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60" yWindow="30" windowWidth="15810" windowHeight="13395"/>
  </bookViews>
  <sheets>
    <sheet name="Hoja1" sheetId="1" r:id="rId1"/>
    <sheet name="Hoja2" sheetId="2" r:id="rId2"/>
  </sheets>
  <externalReferences>
    <externalReference r:id="rId3"/>
    <externalReference r:id="rId4"/>
    <externalReference r:id="rId5"/>
  </externalReferences>
  <calcPr calcId="144525"/>
</workbook>
</file>

<file path=xl/calcChain.xml><?xml version="1.0" encoding="utf-8"?>
<calcChain xmlns="http://schemas.openxmlformats.org/spreadsheetml/2006/main">
  <c r="A45" i="1" l="1"/>
  <c r="A4" i="1" l="1"/>
  <c r="A1" i="2" l="1"/>
  <c r="T136" i="2" l="1"/>
  <c r="X84" i="2"/>
  <c r="X136" i="2" s="1"/>
  <c r="V84" i="2"/>
  <c r="V136" i="2" s="1"/>
  <c r="T84" i="2"/>
  <c r="R84" i="2"/>
  <c r="R136" i="2" s="1"/>
  <c r="P84" i="2"/>
  <c r="P136" i="2" s="1"/>
  <c r="N84" i="2"/>
  <c r="N136" i="2" s="1"/>
  <c r="L84" i="2"/>
  <c r="L136" i="2" s="1"/>
  <c r="K84" i="2"/>
  <c r="K136" i="2" s="1"/>
  <c r="B44" i="2"/>
  <c r="C44" i="2" s="1"/>
  <c r="C84" i="2" s="1"/>
  <c r="C136" i="2" s="1"/>
  <c r="M44" i="2"/>
  <c r="O44" i="2" s="1"/>
  <c r="O84" i="2" s="1"/>
  <c r="O136" i="2" s="1"/>
  <c r="M3" i="2"/>
  <c r="O3" i="2" s="1"/>
  <c r="Q3" i="2" s="1"/>
  <c r="B84" i="2" l="1"/>
  <c r="B136" i="2" s="1"/>
  <c r="M84" i="2"/>
  <c r="M136" i="2" s="1"/>
  <c r="D44" i="2"/>
  <c r="Q44" i="2"/>
  <c r="Q84" i="2" s="1"/>
  <c r="Q136" i="2" s="1"/>
  <c r="S3" i="2"/>
  <c r="E44" i="2" l="1"/>
  <c r="E84" i="2" s="1"/>
  <c r="E136" i="2" s="1"/>
  <c r="D84" i="2"/>
  <c r="D136" i="2" s="1"/>
  <c r="F44" i="2"/>
  <c r="F84" i="2" s="1"/>
  <c r="F136" i="2" s="1"/>
  <c r="S44" i="2"/>
  <c r="S84" i="2" s="1"/>
  <c r="S136" i="2" s="1"/>
  <c r="U3" i="2"/>
  <c r="W3" i="2" s="1"/>
  <c r="U44" i="2" l="1"/>
  <c r="U84" i="2" s="1"/>
  <c r="U136" i="2" s="1"/>
  <c r="G44" i="2"/>
  <c r="G84" i="2" s="1"/>
  <c r="G136" i="2" s="1"/>
  <c r="H44" i="2" l="1"/>
  <c r="H84" i="2" s="1"/>
  <c r="H136" i="2" s="1"/>
  <c r="W44" i="2"/>
  <c r="W84" i="2" s="1"/>
  <c r="W136" i="2" s="1"/>
  <c r="I44" i="2" l="1"/>
  <c r="I84" i="2" s="1"/>
  <c r="I136" i="2" s="1"/>
  <c r="J44" i="2" l="1"/>
  <c r="J84" i="2" s="1"/>
  <c r="J136" i="2" s="1"/>
  <c r="C3" i="2" l="1"/>
  <c r="A136" i="2"/>
  <c r="A135" i="2"/>
  <c r="A134" i="2"/>
  <c r="A133" i="2"/>
  <c r="A132" i="2"/>
  <c r="A84" i="2"/>
  <c r="A83" i="2"/>
  <c r="A82" i="2"/>
  <c r="A81" i="2"/>
  <c r="A46" i="2"/>
  <c r="A44" i="2"/>
  <c r="B43" i="2" s="1"/>
  <c r="A43" i="2"/>
  <c r="A42" i="2"/>
  <c r="A41" i="2"/>
  <c r="A40" i="2"/>
  <c r="A5" i="2"/>
  <c r="A3" i="2"/>
  <c r="B2" i="2" s="1"/>
  <c r="C2" i="2" s="1"/>
  <c r="D2" i="2" s="1"/>
  <c r="E2" i="2" s="1"/>
  <c r="F2" i="2" s="1"/>
  <c r="G2" i="2" s="1"/>
  <c r="H2" i="2" s="1"/>
  <c r="I2" i="2" s="1"/>
  <c r="J2" i="2" s="1"/>
  <c r="K2" i="2" s="1"/>
  <c r="L2" i="2" s="1"/>
  <c r="C43" i="2" l="1"/>
  <c r="N2" i="2"/>
  <c r="M2" i="2"/>
  <c r="D3" i="2"/>
  <c r="D43" i="2" l="1"/>
  <c r="P2" i="2"/>
  <c r="O2" i="2"/>
  <c r="E3" i="2"/>
  <c r="A85" i="1"/>
  <c r="A86" i="2" s="1"/>
  <c r="E43" i="2" l="1"/>
  <c r="R2" i="2"/>
  <c r="Q2" i="2"/>
  <c r="F3" i="2"/>
  <c r="A137" i="1"/>
  <c r="A138" i="2" s="1"/>
  <c r="F43" i="2" l="1"/>
  <c r="T2" i="2"/>
  <c r="S2" i="2"/>
  <c r="G3" i="2"/>
  <c r="D2" i="1"/>
  <c r="D83" i="1" s="1"/>
  <c r="D135" i="1" s="1"/>
  <c r="G43" i="2" l="1"/>
  <c r="V2" i="2"/>
  <c r="U2" i="2"/>
  <c r="H3" i="2"/>
  <c r="AZ137" i="1"/>
  <c r="AZ45" i="1"/>
  <c r="AZ4" i="1"/>
  <c r="H1" i="2" l="1"/>
  <c r="H43" i="2"/>
  <c r="X2" i="2"/>
  <c r="W2" i="2"/>
  <c r="I3" i="2"/>
  <c r="I1" i="2" s="1"/>
  <c r="C2" i="1"/>
  <c r="C83" i="1" s="1"/>
  <c r="C135" i="1" l="1"/>
  <c r="AU134" i="1" s="1"/>
  <c r="B1" i="2"/>
  <c r="N1" i="2"/>
  <c r="O1" i="2"/>
  <c r="P1" i="2"/>
  <c r="M1" i="2"/>
  <c r="R1" i="2"/>
  <c r="S1" i="2"/>
  <c r="T1" i="2"/>
  <c r="Q1" i="2"/>
  <c r="V1" i="2"/>
  <c r="W1" i="2"/>
  <c r="X1" i="2"/>
  <c r="U1" i="2"/>
  <c r="K1" i="2"/>
  <c r="L1" i="2"/>
  <c r="C1" i="2"/>
  <c r="D1" i="2"/>
  <c r="E1" i="2"/>
  <c r="F1" i="2"/>
  <c r="G1" i="2"/>
  <c r="I43" i="2"/>
  <c r="J3" i="2"/>
  <c r="J1" i="2" s="1"/>
  <c r="A138" i="1"/>
  <c r="A139" i="2" s="1"/>
  <c r="A46" i="1"/>
  <c r="A47" i="2" s="1"/>
  <c r="J43" i="2" l="1"/>
  <c r="A139" i="1"/>
  <c r="A140" i="2" s="1"/>
  <c r="AZ138" i="1"/>
  <c r="A47" i="1"/>
  <c r="A48" i="2" s="1"/>
  <c r="AZ46" i="1"/>
  <c r="K43" i="2" l="1"/>
  <c r="A140" i="1"/>
  <c r="A141" i="2" s="1"/>
  <c r="AZ139" i="1"/>
  <c r="A48" i="1"/>
  <c r="A49" i="2" s="1"/>
  <c r="AZ47" i="1"/>
  <c r="B2" i="1"/>
  <c r="B138" i="2"/>
  <c r="B47" i="2"/>
  <c r="B139" i="2"/>
  <c r="B140" i="2"/>
  <c r="B46" i="2"/>
  <c r="B48" i="2"/>
  <c r="B141" i="2"/>
  <c r="B5" i="2"/>
  <c r="B49" i="2"/>
  <c r="B86" i="2"/>
  <c r="B42" i="2" l="1"/>
  <c r="B82" i="2" s="1"/>
  <c r="B134" i="2" s="1"/>
  <c r="M43" i="2"/>
  <c r="L43" i="2"/>
  <c r="B43" i="1"/>
  <c r="B83" i="1"/>
  <c r="B135" i="1" s="1"/>
  <c r="A141" i="1"/>
  <c r="A142" i="2" s="1"/>
  <c r="AZ140" i="1"/>
  <c r="A49" i="1"/>
  <c r="A50" i="2" s="1"/>
  <c r="AZ48" i="1"/>
  <c r="DA1" i="1"/>
  <c r="DC1" i="1" s="1"/>
  <c r="DE1" i="1" s="1"/>
  <c r="EP1" i="1"/>
  <c r="EN1" i="1"/>
  <c r="EL1" i="1"/>
  <c r="EK1" i="1"/>
  <c r="EJ43" i="1"/>
  <c r="EI43" i="1"/>
  <c r="EH43" i="1"/>
  <c r="EG43" i="1"/>
  <c r="EF43" i="1"/>
  <c r="EE43" i="1"/>
  <c r="EJ42" i="1"/>
  <c r="EI42" i="1"/>
  <c r="EH42" i="1"/>
  <c r="EG42" i="1"/>
  <c r="EF42" i="1"/>
  <c r="EE42" i="1"/>
  <c r="EQ42" i="1"/>
  <c r="EP42" i="1"/>
  <c r="EO42" i="1"/>
  <c r="EN42" i="1"/>
  <c r="EM42" i="1"/>
  <c r="EL42" i="1"/>
  <c r="B142" i="2"/>
  <c r="C47" i="2"/>
  <c r="C49" i="2"/>
  <c r="C5" i="2"/>
  <c r="C138" i="2"/>
  <c r="C142" i="2"/>
  <c r="B50" i="2"/>
  <c r="C141" i="2"/>
  <c r="C48" i="2"/>
  <c r="C86" i="2"/>
  <c r="C46" i="2"/>
  <c r="C50" i="2"/>
  <c r="C140" i="2"/>
  <c r="C139" i="2"/>
  <c r="C42" i="2" l="1"/>
  <c r="C82" i="2" s="1"/>
  <c r="C134" i="2" s="1"/>
  <c r="N43" i="2"/>
  <c r="O43" i="2"/>
  <c r="A142" i="1"/>
  <c r="A143" i="2" s="1"/>
  <c r="AZ141" i="1"/>
  <c r="A50" i="1"/>
  <c r="A51" i="2" s="1"/>
  <c r="AZ49" i="1"/>
  <c r="ES2" i="1"/>
  <c r="EQ1" i="1"/>
  <c r="EO1" i="1"/>
  <c r="EM1" i="1"/>
  <c r="EE83" i="1"/>
  <c r="D142" i="2"/>
  <c r="D86" i="2"/>
  <c r="C51" i="2"/>
  <c r="D47" i="2"/>
  <c r="D143" i="2"/>
  <c r="D138" i="2"/>
  <c r="D48" i="2"/>
  <c r="D46" i="2"/>
  <c r="D5" i="2"/>
  <c r="B143" i="2"/>
  <c r="D51" i="2"/>
  <c r="D49" i="2"/>
  <c r="C143" i="2"/>
  <c r="D139" i="2"/>
  <c r="D50" i="2"/>
  <c r="D140" i="2"/>
  <c r="B51" i="2"/>
  <c r="D141" i="2"/>
  <c r="D42" i="2" l="1"/>
  <c r="D82" i="2" s="1"/>
  <c r="D134" i="2" s="1"/>
  <c r="Q43" i="2"/>
  <c r="P43" i="2"/>
  <c r="A143" i="1"/>
  <c r="A144" i="2" s="1"/>
  <c r="AZ142" i="1"/>
  <c r="A51" i="1"/>
  <c r="A52" i="2" s="1"/>
  <c r="AZ50" i="1"/>
  <c r="EE135" i="1"/>
  <c r="EF135" i="1" s="1"/>
  <c r="EG135" i="1" s="1"/>
  <c r="EH135" i="1" s="1"/>
  <c r="EI135" i="1" s="1"/>
  <c r="EJ135" i="1" s="1"/>
  <c r="EF83" i="1"/>
  <c r="D144" i="2"/>
  <c r="E49" i="2"/>
  <c r="E5" i="2"/>
  <c r="E142" i="2"/>
  <c r="C144" i="2"/>
  <c r="E138" i="2"/>
  <c r="E86" i="2"/>
  <c r="E51" i="2"/>
  <c r="E140" i="2"/>
  <c r="E50" i="2"/>
  <c r="B52" i="2"/>
  <c r="E52" i="2"/>
  <c r="E46" i="2"/>
  <c r="D52" i="2"/>
  <c r="E139" i="2"/>
  <c r="C52" i="2"/>
  <c r="E141" i="2"/>
  <c r="E143" i="2"/>
  <c r="E144" i="2"/>
  <c r="E48" i="2"/>
  <c r="E47" i="2"/>
  <c r="B144" i="2"/>
  <c r="E42" i="2" l="1"/>
  <c r="E82" i="2" s="1"/>
  <c r="E134" i="2" s="1"/>
  <c r="R43" i="2"/>
  <c r="S43" i="2"/>
  <c r="A144" i="1"/>
  <c r="A145" i="2" s="1"/>
  <c r="AZ143" i="1"/>
  <c r="A52" i="1"/>
  <c r="A53" i="2" s="1"/>
  <c r="AZ51" i="1"/>
  <c r="EG83" i="1"/>
  <c r="F142" i="2"/>
  <c r="F46" i="2"/>
  <c r="C53" i="2"/>
  <c r="F52" i="2"/>
  <c r="F51" i="2"/>
  <c r="F5" i="2"/>
  <c r="B145" i="2"/>
  <c r="F139" i="2"/>
  <c r="E53" i="2"/>
  <c r="B53" i="2"/>
  <c r="E145" i="2"/>
  <c r="F47" i="2"/>
  <c r="F49" i="2"/>
  <c r="F86" i="2"/>
  <c r="F145" i="2"/>
  <c r="F50" i="2"/>
  <c r="F143" i="2"/>
  <c r="F144" i="2"/>
  <c r="C145" i="2"/>
  <c r="F141" i="2"/>
  <c r="F48" i="2"/>
  <c r="F140" i="2"/>
  <c r="F53" i="2"/>
  <c r="D53" i="2"/>
  <c r="F138" i="2"/>
  <c r="D145" i="2"/>
  <c r="F42" i="2" l="1"/>
  <c r="F82" i="2" s="1"/>
  <c r="F134" i="2" s="1"/>
  <c r="U43" i="2"/>
  <c r="T43" i="2"/>
  <c r="A145" i="1"/>
  <c r="A146" i="2" s="1"/>
  <c r="AZ144" i="1"/>
  <c r="A53" i="1"/>
  <c r="A54" i="2" s="1"/>
  <c r="AZ52" i="1"/>
  <c r="EH83" i="1"/>
  <c r="E134" i="1"/>
  <c r="E82" i="1"/>
  <c r="G51" i="2"/>
  <c r="G53" i="2"/>
  <c r="G47" i="2"/>
  <c r="G49" i="2"/>
  <c r="G5" i="2"/>
  <c r="G144" i="2"/>
  <c r="G54" i="2"/>
  <c r="F146" i="2"/>
  <c r="G50" i="2"/>
  <c r="G143" i="2"/>
  <c r="G142" i="2"/>
  <c r="F54" i="2"/>
  <c r="E54" i="2"/>
  <c r="D54" i="2"/>
  <c r="C54" i="2"/>
  <c r="G86" i="2"/>
  <c r="C146" i="2"/>
  <c r="G138" i="2"/>
  <c r="B146" i="2"/>
  <c r="D146" i="2"/>
  <c r="G46" i="2"/>
  <c r="G52" i="2"/>
  <c r="G139" i="2"/>
  <c r="G146" i="2"/>
  <c r="G140" i="2"/>
  <c r="B54" i="2"/>
  <c r="G145" i="2"/>
  <c r="G141" i="2"/>
  <c r="E146" i="2"/>
  <c r="G48" i="2"/>
  <c r="G42" i="2" l="1"/>
  <c r="G82" i="2" s="1"/>
  <c r="G134" i="2" s="1"/>
  <c r="V43" i="2"/>
  <c r="W43" i="2"/>
  <c r="A146" i="1"/>
  <c r="A147" i="2" s="1"/>
  <c r="AZ145" i="1"/>
  <c r="A54" i="1"/>
  <c r="A55" i="2" s="1"/>
  <c r="AZ53" i="1"/>
  <c r="EI83" i="1"/>
  <c r="F55" i="2"/>
  <c r="H146" i="2"/>
  <c r="H50" i="2"/>
  <c r="H140" i="2"/>
  <c r="H51" i="2"/>
  <c r="H48" i="2"/>
  <c r="G55" i="2"/>
  <c r="E147" i="2"/>
  <c r="H141" i="2"/>
  <c r="D147" i="2"/>
  <c r="H145" i="2"/>
  <c r="H46" i="2"/>
  <c r="H5" i="2"/>
  <c r="D55" i="2"/>
  <c r="C147" i="2"/>
  <c r="E55" i="2"/>
  <c r="H147" i="2"/>
  <c r="H55" i="2"/>
  <c r="G147" i="2"/>
  <c r="H47" i="2"/>
  <c r="H139" i="2"/>
  <c r="H52" i="2"/>
  <c r="H49" i="2"/>
  <c r="H86" i="2"/>
  <c r="H144" i="2"/>
  <c r="H53" i="2"/>
  <c r="H142" i="2"/>
  <c r="H143" i="2"/>
  <c r="F147" i="2"/>
  <c r="B147" i="2"/>
  <c r="C55" i="2"/>
  <c r="B55" i="2"/>
  <c r="H138" i="2"/>
  <c r="H54" i="2"/>
  <c r="H42" i="2" l="1"/>
  <c r="H82" i="2" s="1"/>
  <c r="H134" i="2" s="1"/>
  <c r="X43" i="2"/>
  <c r="A147" i="1"/>
  <c r="A148" i="2" s="1"/>
  <c r="AZ146" i="1"/>
  <c r="A55" i="1"/>
  <c r="A56" i="2" s="1"/>
  <c r="AZ54" i="1"/>
  <c r="EJ83" i="1"/>
  <c r="I138" i="2"/>
  <c r="I139" i="2"/>
  <c r="I146" i="2"/>
  <c r="H148" i="2"/>
  <c r="I144" i="2"/>
  <c r="I46" i="2"/>
  <c r="I148" i="2"/>
  <c r="E148" i="2"/>
  <c r="I142" i="2"/>
  <c r="G148" i="2"/>
  <c r="H56" i="2"/>
  <c r="I47" i="2"/>
  <c r="I140" i="2"/>
  <c r="I143" i="2"/>
  <c r="I53" i="2"/>
  <c r="G56" i="2"/>
  <c r="F148" i="2"/>
  <c r="B56" i="2"/>
  <c r="D148" i="2"/>
  <c r="C56" i="2"/>
  <c r="I51" i="2"/>
  <c r="C148" i="2"/>
  <c r="I50" i="2"/>
  <c r="I5" i="2"/>
  <c r="I48" i="2"/>
  <c r="I56" i="2"/>
  <c r="I145" i="2"/>
  <c r="E56" i="2"/>
  <c r="I49" i="2"/>
  <c r="F56" i="2"/>
  <c r="D56" i="2"/>
  <c r="I55" i="2"/>
  <c r="I86" i="2"/>
  <c r="I141" i="2"/>
  <c r="I52" i="2"/>
  <c r="I147" i="2"/>
  <c r="I54" i="2"/>
  <c r="B148" i="2"/>
  <c r="I42" i="2" l="1"/>
  <c r="I82" i="2" s="1"/>
  <c r="I134" i="2" s="1"/>
  <c r="A148" i="1"/>
  <c r="A149" i="2" s="1"/>
  <c r="AZ147" i="1"/>
  <c r="A56" i="1"/>
  <c r="A57" i="2" s="1"/>
  <c r="AZ55" i="1"/>
  <c r="BO42" i="1"/>
  <c r="BM42" i="1"/>
  <c r="BK42" i="1"/>
  <c r="BF42" i="1"/>
  <c r="BD42" i="1"/>
  <c r="BB42" i="1"/>
  <c r="J55" i="2"/>
  <c r="J145" i="2"/>
  <c r="H57" i="2"/>
  <c r="J53" i="2"/>
  <c r="G57" i="2"/>
  <c r="J49" i="2"/>
  <c r="J144" i="2"/>
  <c r="I149" i="2"/>
  <c r="I57" i="2"/>
  <c r="J46" i="2"/>
  <c r="C149" i="2"/>
  <c r="J54" i="2"/>
  <c r="J149" i="2"/>
  <c r="J140" i="2"/>
  <c r="C57" i="2"/>
  <c r="J56" i="2"/>
  <c r="J147" i="2"/>
  <c r="B57" i="2"/>
  <c r="D57" i="2"/>
  <c r="J47" i="2"/>
  <c r="B149" i="2"/>
  <c r="F57" i="2"/>
  <c r="J57" i="2"/>
  <c r="J142" i="2"/>
  <c r="J48" i="2"/>
  <c r="J50" i="2"/>
  <c r="J143" i="2"/>
  <c r="D149" i="2"/>
  <c r="E149" i="2"/>
  <c r="G149" i="2"/>
  <c r="J141" i="2"/>
  <c r="F149" i="2"/>
  <c r="J138" i="2"/>
  <c r="J86" i="2"/>
  <c r="H149" i="2"/>
  <c r="J148" i="2"/>
  <c r="J51" i="2"/>
  <c r="J139" i="2"/>
  <c r="J5" i="2"/>
  <c r="J146" i="2"/>
  <c r="E57" i="2"/>
  <c r="J52" i="2"/>
  <c r="J42" i="2" l="1"/>
  <c r="J82" i="2" s="1"/>
  <c r="J134" i="2" s="1"/>
  <c r="A149" i="1"/>
  <c r="A150" i="2" s="1"/>
  <c r="AZ148" i="1"/>
  <c r="A57" i="1"/>
  <c r="A58" i="2" s="1"/>
  <c r="AZ56" i="1"/>
  <c r="D43" i="1"/>
  <c r="AW42" i="1" s="1"/>
  <c r="C43" i="1"/>
  <c r="K149" i="2"/>
  <c r="K146" i="2"/>
  <c r="G58" i="2"/>
  <c r="K50" i="2"/>
  <c r="K150" i="2"/>
  <c r="K51" i="2"/>
  <c r="K52" i="2"/>
  <c r="J58" i="2"/>
  <c r="I58" i="2"/>
  <c r="C150" i="2"/>
  <c r="B58" i="2"/>
  <c r="K48" i="2"/>
  <c r="K86" i="2"/>
  <c r="K5" i="2"/>
  <c r="C58" i="2"/>
  <c r="D150" i="2"/>
  <c r="K47" i="2"/>
  <c r="D58" i="2"/>
  <c r="K55" i="2"/>
  <c r="B150" i="2"/>
  <c r="E58" i="2"/>
  <c r="K143" i="2"/>
  <c r="K49" i="2"/>
  <c r="K58" i="2"/>
  <c r="K147" i="2"/>
  <c r="K138" i="2"/>
  <c r="F150" i="2"/>
  <c r="K54" i="2"/>
  <c r="K57" i="2"/>
  <c r="K139" i="2"/>
  <c r="E150" i="2"/>
  <c r="G150" i="2"/>
  <c r="K145" i="2"/>
  <c r="H58" i="2"/>
  <c r="K46" i="2"/>
  <c r="I150" i="2"/>
  <c r="K144" i="2"/>
  <c r="H150" i="2"/>
  <c r="K56" i="2"/>
  <c r="K140" i="2"/>
  <c r="K141" i="2"/>
  <c r="K142" i="2"/>
  <c r="J150" i="2"/>
  <c r="K148" i="2"/>
  <c r="K53" i="2"/>
  <c r="F58" i="2"/>
  <c r="K42" i="2" l="1"/>
  <c r="K82" i="2" s="1"/>
  <c r="K134" i="2" s="1"/>
  <c r="A150" i="1"/>
  <c r="A151" i="2" s="1"/>
  <c r="AZ149" i="1"/>
  <c r="A58" i="1"/>
  <c r="A59" i="2" s="1"/>
  <c r="AZ57" i="1"/>
  <c r="AU42" i="1"/>
  <c r="BC42" i="1" s="1"/>
  <c r="AS42" i="1"/>
  <c r="BN42" i="1"/>
  <c r="BE42" i="1"/>
  <c r="L148" i="2"/>
  <c r="L50" i="2"/>
  <c r="L146" i="2"/>
  <c r="L49" i="2"/>
  <c r="I151" i="2"/>
  <c r="K151" i="2"/>
  <c r="L141" i="2"/>
  <c r="I59" i="2"/>
  <c r="J59" i="2"/>
  <c r="L53" i="2"/>
  <c r="L145" i="2"/>
  <c r="F151" i="2"/>
  <c r="C151" i="2"/>
  <c r="D151" i="2"/>
  <c r="C59" i="2"/>
  <c r="D59" i="2"/>
  <c r="L150" i="2"/>
  <c r="L52" i="2"/>
  <c r="J151" i="2"/>
  <c r="L147" i="2"/>
  <c r="L143" i="2"/>
  <c r="H59" i="2"/>
  <c r="L58" i="2"/>
  <c r="L140" i="2"/>
  <c r="L48" i="2"/>
  <c r="L5" i="2"/>
  <c r="E151" i="2"/>
  <c r="H151" i="2"/>
  <c r="L144" i="2"/>
  <c r="L138" i="2"/>
  <c r="L59" i="2"/>
  <c r="L46" i="2"/>
  <c r="L151" i="2"/>
  <c r="L139" i="2"/>
  <c r="L56" i="2"/>
  <c r="L57" i="2"/>
  <c r="B59" i="2"/>
  <c r="B151" i="2"/>
  <c r="L149" i="2"/>
  <c r="G59" i="2"/>
  <c r="G151" i="2"/>
  <c r="L86" i="2"/>
  <c r="F59" i="2"/>
  <c r="L142" i="2"/>
  <c r="E59" i="2"/>
  <c r="L51" i="2"/>
  <c r="L54" i="2"/>
  <c r="K59" i="2"/>
  <c r="L55" i="2"/>
  <c r="L47" i="2"/>
  <c r="L42" i="2" l="1"/>
  <c r="L82" i="2" s="1"/>
  <c r="L134" i="2" s="1"/>
  <c r="A151" i="1"/>
  <c r="A152" i="2" s="1"/>
  <c r="AZ150" i="1"/>
  <c r="A59" i="1"/>
  <c r="A60" i="2" s="1"/>
  <c r="AZ58" i="1"/>
  <c r="BJ42" i="1"/>
  <c r="BL42" i="1"/>
  <c r="BA42" i="1"/>
  <c r="BJ2" i="1"/>
  <c r="M141" i="2"/>
  <c r="M86" i="2"/>
  <c r="M142" i="2"/>
  <c r="M146" i="2"/>
  <c r="L60" i="2"/>
  <c r="M144" i="2"/>
  <c r="M47" i="2"/>
  <c r="M53" i="2"/>
  <c r="M147" i="2"/>
  <c r="M152" i="2"/>
  <c r="C60" i="2"/>
  <c r="F60" i="2"/>
  <c r="M56" i="2"/>
  <c r="M48" i="2"/>
  <c r="M50" i="2"/>
  <c r="M138" i="2"/>
  <c r="M5" i="2"/>
  <c r="M49" i="2"/>
  <c r="D60" i="2"/>
  <c r="M54" i="2"/>
  <c r="B152" i="2"/>
  <c r="M148" i="2"/>
  <c r="K152" i="2"/>
  <c r="M145" i="2"/>
  <c r="M58" i="2"/>
  <c r="C152" i="2"/>
  <c r="H60" i="2"/>
  <c r="J152" i="2"/>
  <c r="M57" i="2"/>
  <c r="J60" i="2"/>
  <c r="G152" i="2"/>
  <c r="M149" i="2"/>
  <c r="M151" i="2"/>
  <c r="B60" i="2"/>
  <c r="H152" i="2"/>
  <c r="M55" i="2"/>
  <c r="M143" i="2"/>
  <c r="G60" i="2"/>
  <c r="M59" i="2"/>
  <c r="M140" i="2"/>
  <c r="M52" i="2"/>
  <c r="M46" i="2"/>
  <c r="F152" i="2"/>
  <c r="M150" i="2"/>
  <c r="M60" i="2"/>
  <c r="E152" i="2"/>
  <c r="I60" i="2"/>
  <c r="I152" i="2"/>
  <c r="L152" i="2"/>
  <c r="D152" i="2"/>
  <c r="E60" i="2"/>
  <c r="M139" i="2"/>
  <c r="M51" i="2"/>
  <c r="K60" i="2"/>
  <c r="M42" i="2" l="1"/>
  <c r="M82" i="2" s="1"/>
  <c r="M134" i="2" s="1"/>
  <c r="A152" i="1"/>
  <c r="A153" i="2" s="1"/>
  <c r="AZ151" i="1"/>
  <c r="A60" i="1"/>
  <c r="A61" i="2" s="1"/>
  <c r="AZ59" i="1"/>
  <c r="CD43" i="1"/>
  <c r="CE2" i="1"/>
  <c r="N47" i="2"/>
  <c r="N146" i="2"/>
  <c r="G61" i="2"/>
  <c r="L153" i="2"/>
  <c r="N140" i="2"/>
  <c r="D61" i="2"/>
  <c r="C61" i="2"/>
  <c r="N147" i="2"/>
  <c r="N56" i="2"/>
  <c r="K61" i="2"/>
  <c r="N58" i="2"/>
  <c r="H153" i="2"/>
  <c r="N138" i="2"/>
  <c r="N52" i="2"/>
  <c r="J153" i="2"/>
  <c r="E153" i="2"/>
  <c r="I153" i="2"/>
  <c r="N153" i="2"/>
  <c r="E61" i="2"/>
  <c r="N53" i="2"/>
  <c r="F153" i="2"/>
  <c r="G153" i="2"/>
  <c r="J61" i="2"/>
  <c r="N60" i="2"/>
  <c r="H61" i="2"/>
  <c r="N55" i="2"/>
  <c r="D153" i="2"/>
  <c r="F61" i="2"/>
  <c r="N143" i="2"/>
  <c r="N59" i="2"/>
  <c r="C153" i="2"/>
  <c r="N61" i="2"/>
  <c r="N150" i="2"/>
  <c r="N144" i="2"/>
  <c r="N51" i="2"/>
  <c r="N152" i="2"/>
  <c r="N145" i="2"/>
  <c r="N48" i="2"/>
  <c r="I61" i="2"/>
  <c r="N149" i="2"/>
  <c r="B61" i="2"/>
  <c r="M61" i="2"/>
  <c r="N49" i="2"/>
  <c r="N148" i="2"/>
  <c r="N50" i="2"/>
  <c r="M153" i="2"/>
  <c r="N139" i="2"/>
  <c r="K153" i="2"/>
  <c r="N142" i="2"/>
  <c r="N141" i="2"/>
  <c r="N5" i="2"/>
  <c r="B153" i="2"/>
  <c r="N86" i="2"/>
  <c r="N54" i="2"/>
  <c r="L61" i="2"/>
  <c r="N151" i="2"/>
  <c r="N46" i="2"/>
  <c r="N57" i="2"/>
  <c r="N42" i="2" l="1"/>
  <c r="N82" i="2" s="1"/>
  <c r="N134" i="2" s="1"/>
  <c r="A153" i="1"/>
  <c r="A154" i="2" s="1"/>
  <c r="AZ152" i="1"/>
  <c r="AZ60" i="1"/>
  <c r="A61" i="1"/>
  <c r="A62" i="2" s="1"/>
  <c r="CE43" i="1"/>
  <c r="CF2" i="1"/>
  <c r="CD83" i="1"/>
  <c r="AS1" i="1"/>
  <c r="DD51" i="1"/>
  <c r="DB53" i="1"/>
  <c r="DD58" i="1"/>
  <c r="DF57" i="1"/>
  <c r="DB55" i="1"/>
  <c r="DF45" i="1"/>
  <c r="DD60" i="1"/>
  <c r="DF58" i="1"/>
  <c r="DF55" i="1"/>
  <c r="DF59" i="1"/>
  <c r="DD53" i="1"/>
  <c r="DD47" i="1"/>
  <c r="DF52" i="1"/>
  <c r="DD48" i="1"/>
  <c r="DF46" i="1"/>
  <c r="DD49" i="1"/>
  <c r="DF61" i="1"/>
  <c r="DF49" i="1"/>
  <c r="DB54" i="1"/>
  <c r="DD61" i="1"/>
  <c r="DB61" i="1"/>
  <c r="DF48" i="1"/>
  <c r="DF47" i="1"/>
  <c r="DB50" i="1"/>
  <c r="DB4" i="1"/>
  <c r="DB59" i="1"/>
  <c r="DF56" i="1"/>
  <c r="DB46" i="1"/>
  <c r="DF53" i="1"/>
  <c r="DF51" i="1"/>
  <c r="DB52" i="1"/>
  <c r="DD57" i="1"/>
  <c r="DB48" i="1"/>
  <c r="DF50" i="1"/>
  <c r="DD56" i="1"/>
  <c r="DF60" i="1"/>
  <c r="DD50" i="1"/>
  <c r="DB51" i="1"/>
  <c r="DD59" i="1"/>
  <c r="DF54" i="1"/>
  <c r="DB57" i="1"/>
  <c r="DB45" i="1"/>
  <c r="DD46" i="1"/>
  <c r="DB60" i="1"/>
  <c r="DD55" i="1"/>
  <c r="DB47" i="1"/>
  <c r="DB49" i="1"/>
  <c r="DD52" i="1"/>
  <c r="DB58" i="1"/>
  <c r="DD54" i="1"/>
  <c r="DB56" i="1"/>
  <c r="DD45" i="1"/>
  <c r="H62" i="2"/>
  <c r="O53" i="2"/>
  <c r="J154" i="2"/>
  <c r="K62" i="2"/>
  <c r="O52" i="2"/>
  <c r="N62" i="2"/>
  <c r="O54" i="2"/>
  <c r="M62" i="2"/>
  <c r="O50" i="2"/>
  <c r="O59" i="2"/>
  <c r="L62" i="2"/>
  <c r="O139" i="2"/>
  <c r="O5" i="2"/>
  <c r="O47" i="2"/>
  <c r="C154" i="2"/>
  <c r="B154" i="2"/>
  <c r="G154" i="2"/>
  <c r="O55" i="2"/>
  <c r="F154" i="2"/>
  <c r="D62" i="2"/>
  <c r="N154" i="2"/>
  <c r="O151" i="2"/>
  <c r="B62" i="2"/>
  <c r="O62" i="2"/>
  <c r="O141" i="2"/>
  <c r="O138" i="2"/>
  <c r="G62" i="2"/>
  <c r="L154" i="2"/>
  <c r="O51" i="2"/>
  <c r="O145" i="2"/>
  <c r="O56" i="2"/>
  <c r="O48" i="2"/>
  <c r="O153" i="2"/>
  <c r="F62" i="2"/>
  <c r="O148" i="2"/>
  <c r="O143" i="2"/>
  <c r="O140" i="2"/>
  <c r="O86" i="2"/>
  <c r="J62" i="2"/>
  <c r="O149" i="2"/>
  <c r="H154" i="2"/>
  <c r="O57" i="2"/>
  <c r="O146" i="2"/>
  <c r="O61" i="2"/>
  <c r="I62" i="2"/>
  <c r="O147" i="2"/>
  <c r="M154" i="2"/>
  <c r="E154" i="2"/>
  <c r="O142" i="2"/>
  <c r="C62" i="2"/>
  <c r="O150" i="2"/>
  <c r="E62" i="2"/>
  <c r="O144" i="2"/>
  <c r="D154" i="2"/>
  <c r="O58" i="2"/>
  <c r="O152" i="2"/>
  <c r="O46" i="2"/>
  <c r="O154" i="2"/>
  <c r="I154" i="2"/>
  <c r="K154" i="2"/>
  <c r="O60" i="2"/>
  <c r="O49" i="2"/>
  <c r="O42" i="2" l="1"/>
  <c r="O82" i="2" s="1"/>
  <c r="O134" i="2" s="1"/>
  <c r="A154" i="1"/>
  <c r="A155" i="2" s="1"/>
  <c r="AZ153" i="1"/>
  <c r="AZ61" i="1"/>
  <c r="A62" i="1"/>
  <c r="A63" i="2" s="1"/>
  <c r="AT1" i="1"/>
  <c r="CE83" i="1"/>
  <c r="CF83" i="1" s="1"/>
  <c r="CG83" i="1" s="1"/>
  <c r="CH83" i="1" s="1"/>
  <c r="CI83" i="1" s="1"/>
  <c r="CD135" i="1"/>
  <c r="CF43" i="1"/>
  <c r="CG2" i="1"/>
  <c r="DD62" i="1"/>
  <c r="DB62" i="1"/>
  <c r="DF4" i="1"/>
  <c r="DF62" i="1"/>
  <c r="DD4" i="1"/>
  <c r="P48" i="2"/>
  <c r="P155" i="2"/>
  <c r="F63" i="2"/>
  <c r="J155" i="2"/>
  <c r="L63" i="2"/>
  <c r="B63" i="2"/>
  <c r="M155" i="2"/>
  <c r="P148" i="2"/>
  <c r="P138" i="2"/>
  <c r="D155" i="2"/>
  <c r="N63" i="2"/>
  <c r="N155" i="2"/>
  <c r="L155" i="2"/>
  <c r="P51" i="2"/>
  <c r="P47" i="2"/>
  <c r="P46" i="2"/>
  <c r="K63" i="2"/>
  <c r="P143" i="2"/>
  <c r="P147" i="2"/>
  <c r="O155" i="2"/>
  <c r="P142" i="2"/>
  <c r="O63" i="2"/>
  <c r="E63" i="2"/>
  <c r="P52" i="2"/>
  <c r="P50" i="2"/>
  <c r="P149" i="2"/>
  <c r="P53" i="2"/>
  <c r="P154" i="2"/>
  <c r="P139" i="2"/>
  <c r="P60" i="2"/>
  <c r="P61" i="2"/>
  <c r="I155" i="2"/>
  <c r="P144" i="2"/>
  <c r="P151" i="2"/>
  <c r="G155" i="2"/>
  <c r="B155" i="2"/>
  <c r="E155" i="2"/>
  <c r="I63" i="2"/>
  <c r="P150" i="2"/>
  <c r="H155" i="2"/>
  <c r="M63" i="2"/>
  <c r="P152" i="2"/>
  <c r="H63" i="2"/>
  <c r="P56" i="2"/>
  <c r="P49" i="2"/>
  <c r="P141" i="2"/>
  <c r="P153" i="2"/>
  <c r="D63" i="2"/>
  <c r="P55" i="2"/>
  <c r="P59" i="2"/>
  <c r="P5" i="2"/>
  <c r="F155" i="2"/>
  <c r="P54" i="2"/>
  <c r="P145" i="2"/>
  <c r="P86" i="2"/>
  <c r="J63" i="2"/>
  <c r="C63" i="2"/>
  <c r="P63" i="2"/>
  <c r="P146" i="2"/>
  <c r="C155" i="2"/>
  <c r="G63" i="2"/>
  <c r="P62" i="2"/>
  <c r="P57" i="2"/>
  <c r="P58" i="2"/>
  <c r="K155" i="2"/>
  <c r="P140" i="2"/>
  <c r="P42" i="2" l="1"/>
  <c r="P82" i="2" s="1"/>
  <c r="P134" i="2" s="1"/>
  <c r="A155" i="1"/>
  <c r="A156" i="2" s="1"/>
  <c r="AZ154" i="1"/>
  <c r="AZ62" i="1"/>
  <c r="A63" i="1"/>
  <c r="A64" i="2" s="1"/>
  <c r="CG43" i="1"/>
  <c r="CH2" i="1"/>
  <c r="F134" i="1"/>
  <c r="F82" i="1"/>
  <c r="F42" i="1"/>
  <c r="BJ43" i="1"/>
  <c r="BJ83" i="1" s="1"/>
  <c r="BA1" i="1"/>
  <c r="AW1" i="1"/>
  <c r="AU1" i="1"/>
  <c r="I1" i="1"/>
  <c r="F1" i="1"/>
  <c r="G44" i="1"/>
  <c r="F136" i="1"/>
  <c r="F44" i="1"/>
  <c r="DD63" i="1"/>
  <c r="A3" i="1"/>
  <c r="G84" i="1"/>
  <c r="DF63" i="1"/>
  <c r="F3" i="1"/>
  <c r="F84" i="1"/>
  <c r="A44" i="1"/>
  <c r="DB63" i="1"/>
  <c r="G136" i="1"/>
  <c r="Q142" i="2"/>
  <c r="Q63" i="2"/>
  <c r="Q50" i="2"/>
  <c r="B156" i="2"/>
  <c r="Q140" i="2"/>
  <c r="Q144" i="2"/>
  <c r="P156" i="2"/>
  <c r="Q48" i="2"/>
  <c r="L64" i="2"/>
  <c r="F64" i="2"/>
  <c r="Q145" i="2"/>
  <c r="G64" i="2"/>
  <c r="Q46" i="2"/>
  <c r="Q146" i="2"/>
  <c r="Q156" i="2"/>
  <c r="Q49" i="2"/>
  <c r="Q148" i="2"/>
  <c r="Q54" i="2"/>
  <c r="Q155" i="2"/>
  <c r="I64" i="2"/>
  <c r="Q53" i="2"/>
  <c r="Q56" i="2"/>
  <c r="Q60" i="2"/>
  <c r="C156" i="2"/>
  <c r="E64" i="2"/>
  <c r="M64" i="2"/>
  <c r="Q86" i="2"/>
  <c r="Q141" i="2"/>
  <c r="Q58" i="2"/>
  <c r="K64" i="2"/>
  <c r="Q143" i="2"/>
  <c r="D156" i="2"/>
  <c r="P64" i="2"/>
  <c r="Q150" i="2"/>
  <c r="Q149" i="2"/>
  <c r="O156" i="2"/>
  <c r="F156" i="2"/>
  <c r="Q139" i="2"/>
  <c r="Q5" i="2"/>
  <c r="E156" i="2"/>
  <c r="G156" i="2"/>
  <c r="O64" i="2"/>
  <c r="N64" i="2"/>
  <c r="H64" i="2"/>
  <c r="Q152" i="2"/>
  <c r="Q59" i="2"/>
  <c r="I156" i="2"/>
  <c r="N156" i="2"/>
  <c r="Q55" i="2"/>
  <c r="H156" i="2"/>
  <c r="Q51" i="2"/>
  <c r="C64" i="2"/>
  <c r="Q151" i="2"/>
  <c r="Q138" i="2"/>
  <c r="Q52" i="2"/>
  <c r="B64" i="2"/>
  <c r="K156" i="2"/>
  <c r="Q61" i="2"/>
  <c r="Q57" i="2"/>
  <c r="L156" i="2"/>
  <c r="Q154" i="2"/>
  <c r="Q62" i="2"/>
  <c r="Q147" i="2"/>
  <c r="J156" i="2"/>
  <c r="D64" i="2"/>
  <c r="Q47" i="2"/>
  <c r="J64" i="2"/>
  <c r="Q64" i="2"/>
  <c r="Q153" i="2"/>
  <c r="M156" i="2"/>
  <c r="D81" i="1" l="1"/>
  <c r="A84" i="1" s="1"/>
  <c r="Q42" i="2"/>
  <c r="Q82" i="2" s="1"/>
  <c r="Q134" i="2" s="1"/>
  <c r="A4" i="2"/>
  <c r="A45" i="2"/>
  <c r="D133" i="1"/>
  <c r="DG4" i="1"/>
  <c r="DG63" i="1"/>
  <c r="DG59" i="1"/>
  <c r="DG55" i="1"/>
  <c r="DG51" i="1"/>
  <c r="DG47" i="1"/>
  <c r="DG56" i="1"/>
  <c r="DG62" i="1"/>
  <c r="DG58" i="1"/>
  <c r="DG54" i="1"/>
  <c r="DG50" i="1"/>
  <c r="DG46" i="1"/>
  <c r="DG60" i="1"/>
  <c r="DG48" i="1"/>
  <c r="DG61" i="1"/>
  <c r="DG57" i="1"/>
  <c r="DG53" i="1"/>
  <c r="DG49" i="1"/>
  <c r="DG45" i="1"/>
  <c r="DG52" i="1"/>
  <c r="A156" i="1"/>
  <c r="A157" i="2" s="1"/>
  <c r="AZ155" i="1"/>
  <c r="AZ63" i="1"/>
  <c r="A64" i="1"/>
  <c r="A65" i="2" s="1"/>
  <c r="EW4" i="1"/>
  <c r="EU4" i="1"/>
  <c r="F54" i="1"/>
  <c r="BE1" i="1"/>
  <c r="AX1" i="1"/>
  <c r="BK83" i="1"/>
  <c r="BL83" i="1" s="1"/>
  <c r="BM83" i="1" s="1"/>
  <c r="BN83" i="1" s="1"/>
  <c r="BO83" i="1" s="1"/>
  <c r="BJ135" i="1"/>
  <c r="BC1" i="1"/>
  <c r="AV1" i="1"/>
  <c r="CH43" i="1"/>
  <c r="CI2" i="1"/>
  <c r="AY1" i="1"/>
  <c r="BF1" i="1" s="1"/>
  <c r="AW82" i="1"/>
  <c r="BK2" i="1"/>
  <c r="EO54" i="1"/>
  <c r="EQ54" i="1"/>
  <c r="CD54" i="1"/>
  <c r="EP54" i="1"/>
  <c r="BE137" i="1"/>
  <c r="AV54" i="1"/>
  <c r="DC54" i="1"/>
  <c r="AX54" i="1"/>
  <c r="AT54" i="1"/>
  <c r="CH54" i="1"/>
  <c r="AS54" i="1"/>
  <c r="EN54" i="1"/>
  <c r="CG54" i="1"/>
  <c r="DE54" i="1"/>
  <c r="BD54" i="1"/>
  <c r="DD64" i="1"/>
  <c r="DA54" i="1"/>
  <c r="CF54" i="1"/>
  <c r="AU54" i="1"/>
  <c r="BA54" i="1"/>
  <c r="CE54" i="1"/>
  <c r="BF54" i="1"/>
  <c r="DB64" i="1"/>
  <c r="BE54" i="1"/>
  <c r="BC54" i="1"/>
  <c r="BB54" i="1"/>
  <c r="AW54" i="1"/>
  <c r="DF64" i="1"/>
  <c r="CI54" i="1"/>
  <c r="F157" i="2"/>
  <c r="R144" i="2"/>
  <c r="R61" i="2"/>
  <c r="R142" i="2"/>
  <c r="R63" i="2"/>
  <c r="R60" i="2"/>
  <c r="R152" i="2"/>
  <c r="C65" i="2"/>
  <c r="H65" i="2"/>
  <c r="F65" i="2"/>
  <c r="L65" i="2"/>
  <c r="R154" i="2"/>
  <c r="M65" i="2"/>
  <c r="R141" i="2"/>
  <c r="R53" i="2"/>
  <c r="H157" i="2"/>
  <c r="R148" i="2"/>
  <c r="R47" i="2"/>
  <c r="B157" i="2"/>
  <c r="R65" i="2"/>
  <c r="Q157" i="2"/>
  <c r="R153" i="2"/>
  <c r="I157" i="2"/>
  <c r="D65" i="2"/>
  <c r="N157" i="2"/>
  <c r="R54" i="2"/>
  <c r="R51" i="2"/>
  <c r="R52" i="2"/>
  <c r="P157" i="2"/>
  <c r="R86" i="2"/>
  <c r="R49" i="2"/>
  <c r="K65" i="2"/>
  <c r="O157" i="2"/>
  <c r="Q65" i="2"/>
  <c r="G157" i="2"/>
  <c r="R46" i="2"/>
  <c r="R57" i="2"/>
  <c r="R143" i="2"/>
  <c r="L157" i="2"/>
  <c r="B65" i="2"/>
  <c r="D157" i="2"/>
  <c r="R146" i="2"/>
  <c r="R5" i="2"/>
  <c r="R145" i="2"/>
  <c r="R140" i="2"/>
  <c r="O65" i="2"/>
  <c r="R147" i="2"/>
  <c r="R58" i="2"/>
  <c r="R62" i="2"/>
  <c r="E65" i="2"/>
  <c r="C157" i="2"/>
  <c r="R64" i="2"/>
  <c r="R157" i="2"/>
  <c r="R59" i="2"/>
  <c r="R48" i="2"/>
  <c r="M157" i="2"/>
  <c r="R139" i="2"/>
  <c r="J65" i="2"/>
  <c r="G65" i="2"/>
  <c r="N65" i="2"/>
  <c r="R155" i="2"/>
  <c r="R150" i="2"/>
  <c r="R151" i="2"/>
  <c r="R56" i="2"/>
  <c r="I65" i="2"/>
  <c r="K157" i="2"/>
  <c r="R50" i="2"/>
  <c r="R55" i="2"/>
  <c r="R138" i="2"/>
  <c r="E157" i="2"/>
  <c r="R149" i="2"/>
  <c r="J157" i="2"/>
  <c r="P65" i="2"/>
  <c r="R156" i="2"/>
  <c r="A136" i="1" l="1"/>
  <c r="DG146" i="1" s="1"/>
  <c r="A85" i="2"/>
  <c r="DG64" i="1"/>
  <c r="R42" i="2"/>
  <c r="R82" i="2" s="1"/>
  <c r="R134" i="2" s="1"/>
  <c r="AZ85" i="1"/>
  <c r="A86" i="1"/>
  <c r="A87" i="2" s="1"/>
  <c r="DG85" i="1"/>
  <c r="A157" i="1"/>
  <c r="A158" i="2" s="1"/>
  <c r="AZ156" i="1"/>
  <c r="A65" i="1"/>
  <c r="AZ64" i="1"/>
  <c r="EY4" i="1"/>
  <c r="DK54" i="1"/>
  <c r="DU54" i="1"/>
  <c r="DO54" i="1"/>
  <c r="DT54" i="1"/>
  <c r="DN54" i="1"/>
  <c r="EJ54" i="1"/>
  <c r="EC54" i="1" s="1"/>
  <c r="BO54" i="1" s="1"/>
  <c r="EI54" i="1"/>
  <c r="EB54" i="1" s="1"/>
  <c r="BN54" i="1" s="1"/>
  <c r="EG54" i="1"/>
  <c r="DZ54" i="1" s="1"/>
  <c r="BL54" i="1" s="1"/>
  <c r="CS54" i="1"/>
  <c r="CU54" i="1"/>
  <c r="D54" i="1"/>
  <c r="CO54" i="1"/>
  <c r="CQ54" i="1"/>
  <c r="DI54" i="1"/>
  <c r="CM54" i="1"/>
  <c r="C54" i="1"/>
  <c r="DJ54" i="1"/>
  <c r="DH54" i="1"/>
  <c r="CK54" i="1"/>
  <c r="B54" i="1"/>
  <c r="AY54" i="1"/>
  <c r="EH54" i="1"/>
  <c r="EA54" i="1" s="1"/>
  <c r="BM54" i="1" s="1"/>
  <c r="BC134" i="1"/>
  <c r="AW134" i="1"/>
  <c r="BE134" i="1"/>
  <c r="CI43" i="1"/>
  <c r="BK43" i="1"/>
  <c r="BL2" i="1"/>
  <c r="AU82" i="1"/>
  <c r="CD55" i="1"/>
  <c r="DE65" i="1"/>
  <c r="AS55" i="1"/>
  <c r="AW137" i="1"/>
  <c r="AW55" i="1"/>
  <c r="BC65" i="1"/>
  <c r="BC55" i="1"/>
  <c r="EO55" i="1"/>
  <c r="AT55" i="1"/>
  <c r="DE55" i="1"/>
  <c r="BF65" i="1"/>
  <c r="EQ65" i="1"/>
  <c r="CI55" i="1"/>
  <c r="DF65" i="1"/>
  <c r="CD65" i="1"/>
  <c r="CF65" i="1"/>
  <c r="BB65" i="1"/>
  <c r="AV65" i="1"/>
  <c r="DA55" i="1"/>
  <c r="CH65" i="1"/>
  <c r="AV55" i="1"/>
  <c r="CE55" i="1"/>
  <c r="BE65" i="1"/>
  <c r="EP55" i="1"/>
  <c r="CF55" i="1"/>
  <c r="AX65" i="1"/>
  <c r="CG65" i="1"/>
  <c r="BE55" i="1"/>
  <c r="DC65" i="1"/>
  <c r="EQ55" i="1"/>
  <c r="EP65" i="1"/>
  <c r="BB55" i="1"/>
  <c r="AX137" i="1"/>
  <c r="AW65" i="1"/>
  <c r="BF55" i="1"/>
  <c r="AX55" i="1"/>
  <c r="BA65" i="1"/>
  <c r="AU55" i="1"/>
  <c r="AS65" i="1"/>
  <c r="CH55" i="1"/>
  <c r="CG55" i="1"/>
  <c r="CI65" i="1"/>
  <c r="AU65" i="1"/>
  <c r="BD55" i="1"/>
  <c r="DA65" i="1"/>
  <c r="EN65" i="1"/>
  <c r="DC55" i="1"/>
  <c r="EO65" i="1"/>
  <c r="AT65" i="1"/>
  <c r="BD65" i="1"/>
  <c r="DD65" i="1"/>
  <c r="DB65" i="1"/>
  <c r="BA55" i="1"/>
  <c r="CE65" i="1"/>
  <c r="EN55" i="1"/>
  <c r="S155" i="2"/>
  <c r="S47" i="2"/>
  <c r="D158" i="2"/>
  <c r="Q87" i="2"/>
  <c r="S149" i="2"/>
  <c r="S64" i="2"/>
  <c r="S139" i="2"/>
  <c r="F87" i="2"/>
  <c r="S56" i="2"/>
  <c r="S52" i="2"/>
  <c r="S60" i="2"/>
  <c r="S151" i="2"/>
  <c r="R158" i="2"/>
  <c r="P158" i="2"/>
  <c r="S63" i="2"/>
  <c r="S157" i="2"/>
  <c r="C87" i="2"/>
  <c r="I158" i="2"/>
  <c r="J158" i="2"/>
  <c r="R87" i="2"/>
  <c r="S58" i="2"/>
  <c r="K87" i="2"/>
  <c r="L158" i="2"/>
  <c r="M158" i="2"/>
  <c r="F158" i="2"/>
  <c r="N87" i="2"/>
  <c r="H87" i="2"/>
  <c r="S148" i="2"/>
  <c r="I87" i="2"/>
  <c r="S144" i="2"/>
  <c r="S140" i="2"/>
  <c r="E158" i="2"/>
  <c r="S54" i="2"/>
  <c r="S147" i="2"/>
  <c r="J87" i="2"/>
  <c r="S65" i="2"/>
  <c r="S154" i="2"/>
  <c r="S62" i="2"/>
  <c r="E87" i="2"/>
  <c r="S59" i="2"/>
  <c r="S145" i="2"/>
  <c r="S150" i="2"/>
  <c r="L87" i="2"/>
  <c r="G87" i="2"/>
  <c r="S48" i="2"/>
  <c r="D87" i="2"/>
  <c r="S141" i="2"/>
  <c r="O158" i="2"/>
  <c r="O87" i="2"/>
  <c r="S143" i="2"/>
  <c r="N158" i="2"/>
  <c r="S142" i="2"/>
  <c r="B158" i="2"/>
  <c r="S153" i="2"/>
  <c r="H158" i="2"/>
  <c r="S61" i="2"/>
  <c r="S49" i="2"/>
  <c r="S138" i="2"/>
  <c r="S50" i="2"/>
  <c r="S146" i="2"/>
  <c r="C158" i="2"/>
  <c r="S152" i="2"/>
  <c r="S46" i="2"/>
  <c r="S158" i="2"/>
  <c r="Q158" i="2"/>
  <c r="P87" i="2"/>
  <c r="B87" i="2"/>
  <c r="S55" i="2"/>
  <c r="S156" i="2"/>
  <c r="G158" i="2"/>
  <c r="K158" i="2"/>
  <c r="S86" i="2"/>
  <c r="S51" i="2"/>
  <c r="S53" i="2"/>
  <c r="S57" i="2"/>
  <c r="S87" i="2"/>
  <c r="M87" i="2"/>
  <c r="S5" i="2"/>
  <c r="DG153" i="1" l="1"/>
  <c r="DG155" i="1"/>
  <c r="DG150" i="1"/>
  <c r="DG152" i="1"/>
  <c r="DG137" i="1"/>
  <c r="FA4" i="1"/>
  <c r="DG140" i="1"/>
  <c r="DG156" i="1"/>
  <c r="DG141" i="1"/>
  <c r="DG138" i="1"/>
  <c r="DG154" i="1"/>
  <c r="A137" i="2"/>
  <c r="DG139" i="1"/>
  <c r="DG144" i="1"/>
  <c r="DG143" i="1"/>
  <c r="DG145" i="1"/>
  <c r="DG142" i="1"/>
  <c r="DG147" i="1"/>
  <c r="DG148" i="1"/>
  <c r="DG151" i="1"/>
  <c r="DG149" i="1"/>
  <c r="DG157" i="1"/>
  <c r="A66" i="2"/>
  <c r="DG65" i="1"/>
  <c r="S42" i="2"/>
  <c r="S82" i="2" s="1"/>
  <c r="S134" i="2" s="1"/>
  <c r="A87" i="1"/>
  <c r="A88" i="2" s="1"/>
  <c r="AZ86" i="1"/>
  <c r="DG86" i="1"/>
  <c r="A158" i="1"/>
  <c r="AZ157" i="1"/>
  <c r="CQ65" i="1"/>
  <c r="CK65" i="1"/>
  <c r="B65" i="1"/>
  <c r="AY65" i="1"/>
  <c r="DK65" i="1"/>
  <c r="DO65" i="1"/>
  <c r="DI65" i="1"/>
  <c r="DH65" i="1"/>
  <c r="DN65" i="1"/>
  <c r="DJ65" i="1"/>
  <c r="EH65" i="1"/>
  <c r="EA65" i="1" s="1"/>
  <c r="BM65" i="1" s="1"/>
  <c r="EI65" i="1"/>
  <c r="EB65" i="1" s="1"/>
  <c r="BN65" i="1" s="1"/>
  <c r="EG65" i="1"/>
  <c r="DZ65" i="1" s="1"/>
  <c r="BL65" i="1" s="1"/>
  <c r="CO65" i="1"/>
  <c r="D65" i="1"/>
  <c r="CU65" i="1"/>
  <c r="CM65" i="1"/>
  <c r="C65" i="1"/>
  <c r="CS65" i="1"/>
  <c r="EJ65" i="1"/>
  <c r="EC65" i="1" s="1"/>
  <c r="BO65" i="1" s="1"/>
  <c r="A66" i="1"/>
  <c r="AZ65" i="1"/>
  <c r="DT65" i="1" s="1"/>
  <c r="F65" i="1"/>
  <c r="DV54" i="1"/>
  <c r="DW54" i="1"/>
  <c r="DK55" i="1"/>
  <c r="DN55" i="1"/>
  <c r="DU55" i="1"/>
  <c r="DO55" i="1"/>
  <c r="DT55" i="1"/>
  <c r="DS54" i="1"/>
  <c r="DL54" i="1"/>
  <c r="DP54" i="1"/>
  <c r="DM54" i="1"/>
  <c r="DQ54" i="1"/>
  <c r="CP54" i="1"/>
  <c r="CB54" i="1"/>
  <c r="BU54" i="1"/>
  <c r="E54" i="1"/>
  <c r="BZ54" i="1"/>
  <c r="BS54" i="1"/>
  <c r="EJ55" i="1"/>
  <c r="EC55" i="1" s="1"/>
  <c r="BO55" i="1" s="1"/>
  <c r="EI55" i="1"/>
  <c r="EB55" i="1" s="1"/>
  <c r="BN55" i="1" s="1"/>
  <c r="EG55" i="1"/>
  <c r="DZ55" i="1" s="1"/>
  <c r="BL55" i="1" s="1"/>
  <c r="CS55" i="1"/>
  <c r="CU55" i="1"/>
  <c r="D55" i="1"/>
  <c r="CO55" i="1"/>
  <c r="CQ55" i="1"/>
  <c r="DI55" i="1"/>
  <c r="C55" i="1"/>
  <c r="CM55" i="1"/>
  <c r="DJ55" i="1"/>
  <c r="DH55" i="1"/>
  <c r="AY55" i="1"/>
  <c r="CK55" i="1"/>
  <c r="B55" i="1"/>
  <c r="EH55" i="1"/>
  <c r="EA55" i="1" s="1"/>
  <c r="BM55" i="1" s="1"/>
  <c r="F63" i="1"/>
  <c r="F55" i="1"/>
  <c r="AS82" i="1"/>
  <c r="AS134" i="1"/>
  <c r="BA134" i="1"/>
  <c r="BM2" i="1"/>
  <c r="BL43" i="1"/>
  <c r="F66" i="2"/>
  <c r="Q66" i="2"/>
  <c r="M66" i="2"/>
  <c r="B66" i="2"/>
  <c r="E66" i="2"/>
  <c r="J66" i="2"/>
  <c r="P66" i="2"/>
  <c r="G66" i="2"/>
  <c r="K66" i="2"/>
  <c r="R66" i="2"/>
  <c r="C66" i="2"/>
  <c r="O66" i="2"/>
  <c r="S66" i="2"/>
  <c r="H66" i="2"/>
  <c r="I66" i="2"/>
  <c r="L66" i="2"/>
  <c r="D66" i="2"/>
  <c r="N66" i="2"/>
  <c r="ED54" i="1" l="1"/>
  <c r="ES54" i="1"/>
  <c r="A159" i="2"/>
  <c r="DG158" i="1"/>
  <c r="A67" i="2"/>
  <c r="DG66" i="1"/>
  <c r="T42" i="2"/>
  <c r="T82" i="2" s="1"/>
  <c r="T134" i="2" s="1"/>
  <c r="A88" i="1"/>
  <c r="A89" i="2" s="1"/>
  <c r="AZ87" i="1"/>
  <c r="DG87" i="1"/>
  <c r="BU65" i="1"/>
  <c r="A159" i="1"/>
  <c r="AZ158" i="1"/>
  <c r="DQ65" i="1"/>
  <c r="CB65" i="1"/>
  <c r="BS65" i="1"/>
  <c r="DP65" i="1"/>
  <c r="DL65" i="1"/>
  <c r="DU65" i="1"/>
  <c r="E65" i="1"/>
  <c r="BZ65" i="1"/>
  <c r="A67" i="1"/>
  <c r="AZ66" i="1"/>
  <c r="F66" i="1"/>
  <c r="DM65" i="1"/>
  <c r="DS65" i="1"/>
  <c r="CP65" i="1"/>
  <c r="DV65" i="1"/>
  <c r="DW55" i="1"/>
  <c r="DV55" i="1"/>
  <c r="DS55" i="1"/>
  <c r="DL55" i="1"/>
  <c r="DP55" i="1"/>
  <c r="DM55" i="1"/>
  <c r="DQ55" i="1"/>
  <c r="E55" i="1"/>
  <c r="CB55" i="1"/>
  <c r="CC55" i="1" s="1"/>
  <c r="BZ55" i="1"/>
  <c r="CA55" i="1" s="1"/>
  <c r="CP55" i="1"/>
  <c r="BS55" i="1"/>
  <c r="BT55" i="1" s="1"/>
  <c r="BU55" i="1"/>
  <c r="BM43" i="1"/>
  <c r="BN2" i="1"/>
  <c r="F62" i="1"/>
  <c r="ED55" i="1" l="1"/>
  <c r="DW65" i="1"/>
  <c r="ES65" i="1" s="1"/>
  <c r="ES55" i="1"/>
  <c r="A160" i="2"/>
  <c r="DG159" i="1"/>
  <c r="A68" i="2"/>
  <c r="DG67" i="1"/>
  <c r="U42" i="2"/>
  <c r="U82" i="2" s="1"/>
  <c r="U134" i="2" s="1"/>
  <c r="A89" i="1"/>
  <c r="A90" i="2" s="1"/>
  <c r="AZ88" i="1"/>
  <c r="DG88" i="1"/>
  <c r="A160" i="1"/>
  <c r="AZ159" i="1"/>
  <c r="A68" i="1"/>
  <c r="AZ67" i="1"/>
  <c r="F67" i="1"/>
  <c r="F64" i="1"/>
  <c r="BN43" i="1"/>
  <c r="BO2" i="1"/>
  <c r="F61" i="1"/>
  <c r="AT139" i="1"/>
  <c r="AU68" i="1"/>
  <c r="AT144" i="1"/>
  <c r="AS139" i="1"/>
  <c r="CE66" i="1"/>
  <c r="AS153" i="1"/>
  <c r="DB67" i="1"/>
  <c r="AX66" i="1"/>
  <c r="DA68" i="1"/>
  <c r="AT155" i="1"/>
  <c r="BF67" i="1"/>
  <c r="CG66" i="1"/>
  <c r="BA137" i="1"/>
  <c r="AS149" i="1"/>
  <c r="BC66" i="1"/>
  <c r="AT151" i="1"/>
  <c r="AS137" i="1"/>
  <c r="CI68" i="1"/>
  <c r="AT138" i="1"/>
  <c r="AS138" i="1"/>
  <c r="AS145" i="1"/>
  <c r="AW67" i="1"/>
  <c r="AT66" i="1"/>
  <c r="AT160" i="1"/>
  <c r="DF66" i="1"/>
  <c r="DC66" i="1"/>
  <c r="AT141" i="1"/>
  <c r="BA67" i="1"/>
  <c r="AT142" i="1"/>
  <c r="BB68" i="1"/>
  <c r="CD66" i="1"/>
  <c r="DB66" i="1"/>
  <c r="AS156" i="1"/>
  <c r="DE68" i="1"/>
  <c r="AT157" i="1"/>
  <c r="AT158" i="1"/>
  <c r="CH67" i="1"/>
  <c r="BE68" i="1"/>
  <c r="AS150" i="1"/>
  <c r="BD66" i="1"/>
  <c r="DD68" i="1"/>
  <c r="AT159" i="1"/>
  <c r="AS158" i="1"/>
  <c r="AT148" i="1"/>
  <c r="AW68" i="1"/>
  <c r="AS159" i="1"/>
  <c r="DF67" i="1"/>
  <c r="AW66" i="1"/>
  <c r="CH66" i="1"/>
  <c r="DE67" i="1"/>
  <c r="BD67" i="1"/>
  <c r="EQ68" i="1"/>
  <c r="AX68" i="1"/>
  <c r="AS148" i="1"/>
  <c r="AV68" i="1"/>
  <c r="AT152" i="1"/>
  <c r="DC67" i="1"/>
  <c r="DA67" i="1"/>
  <c r="CG67" i="1"/>
  <c r="DB68" i="1"/>
  <c r="AV67" i="1"/>
  <c r="AS143" i="1"/>
  <c r="CF68" i="1"/>
  <c r="AT68" i="1"/>
  <c r="EP67" i="1"/>
  <c r="AS144" i="1"/>
  <c r="AT140" i="1"/>
  <c r="AS141" i="1"/>
  <c r="AS154" i="1"/>
  <c r="AT67" i="1"/>
  <c r="AS68" i="1"/>
  <c r="EN68" i="1"/>
  <c r="EN67" i="1"/>
  <c r="DA66" i="1"/>
  <c r="CI67" i="1"/>
  <c r="AT153" i="1"/>
  <c r="BE67" i="1"/>
  <c r="EP66" i="1"/>
  <c r="DF68" i="1"/>
  <c r="CE67" i="1"/>
  <c r="AS67" i="1"/>
  <c r="DE66" i="1"/>
  <c r="AU67" i="1"/>
  <c r="CI66" i="1"/>
  <c r="DD66" i="1"/>
  <c r="CH68" i="1"/>
  <c r="BC67" i="1"/>
  <c r="AS157" i="1"/>
  <c r="AT156" i="1"/>
  <c r="AT146" i="1"/>
  <c r="BC68" i="1"/>
  <c r="AS160" i="1"/>
  <c r="AT154" i="1"/>
  <c r="AS140" i="1"/>
  <c r="AS146" i="1"/>
  <c r="AS152" i="1"/>
  <c r="CG68" i="1"/>
  <c r="BB67" i="1"/>
  <c r="EQ67" i="1"/>
  <c r="BA68" i="1"/>
  <c r="AX67" i="1"/>
  <c r="AT137" i="1"/>
  <c r="AS142" i="1"/>
  <c r="AS151" i="1"/>
  <c r="DD67" i="1"/>
  <c r="BF66" i="1"/>
  <c r="AT145" i="1"/>
  <c r="EN66" i="1"/>
  <c r="EP68" i="1"/>
  <c r="BB66" i="1"/>
  <c r="AV66" i="1"/>
  <c r="CE68" i="1"/>
  <c r="EO68" i="1"/>
  <c r="EO66" i="1"/>
  <c r="EQ66" i="1"/>
  <c r="BA66" i="1"/>
  <c r="AS147" i="1"/>
  <c r="BD68" i="1"/>
  <c r="BE66" i="1"/>
  <c r="CD67" i="1"/>
  <c r="CF66" i="1"/>
  <c r="AU66" i="1"/>
  <c r="AS66" i="1"/>
  <c r="DC68" i="1"/>
  <c r="AT147" i="1"/>
  <c r="CD68" i="1"/>
  <c r="BF68" i="1"/>
  <c r="AT150" i="1"/>
  <c r="EO67" i="1"/>
  <c r="AT143" i="1"/>
  <c r="AT149" i="1"/>
  <c r="CF67" i="1"/>
  <c r="AS155" i="1"/>
  <c r="BA85" i="1"/>
  <c r="ED65" i="1" l="1"/>
  <c r="CU67" i="1"/>
  <c r="DK67" i="1"/>
  <c r="DO67" i="1"/>
  <c r="DI67" i="1"/>
  <c r="DN67" i="1"/>
  <c r="DH67" i="1"/>
  <c r="DJ67" i="1"/>
  <c r="EJ66" i="1"/>
  <c r="EC66" i="1" s="1"/>
  <c r="BO66" i="1" s="1"/>
  <c r="CO67" i="1"/>
  <c r="D67" i="1"/>
  <c r="EH67" i="1"/>
  <c r="EA67" i="1" s="1"/>
  <c r="BM67" i="1" s="1"/>
  <c r="DU66" i="1"/>
  <c r="EH66" i="1"/>
  <c r="EA66" i="1" s="1"/>
  <c r="BM66" i="1" s="1"/>
  <c r="CU66" i="1"/>
  <c r="DJ66" i="1"/>
  <c r="DH66" i="1"/>
  <c r="DN66" i="1"/>
  <c r="EJ67" i="1"/>
  <c r="EC67" i="1" s="1"/>
  <c r="BO67" i="1" s="1"/>
  <c r="CQ67" i="1"/>
  <c r="EI67" i="1"/>
  <c r="EB67" i="1" s="1"/>
  <c r="BN67" i="1" s="1"/>
  <c r="CK67" i="1"/>
  <c r="AY67" i="1"/>
  <c r="B67" i="1"/>
  <c r="EG66" i="1"/>
  <c r="DZ66" i="1" s="1"/>
  <c r="BL66" i="1" s="1"/>
  <c r="CM66" i="1"/>
  <c r="C66" i="1"/>
  <c r="CS66" i="1"/>
  <c r="D66" i="1"/>
  <c r="CO66" i="1"/>
  <c r="DO66" i="1"/>
  <c r="DI66" i="1"/>
  <c r="DK66" i="1"/>
  <c r="CQ66" i="1"/>
  <c r="DT66" i="1"/>
  <c r="EI66" i="1"/>
  <c r="EB66" i="1" s="1"/>
  <c r="BN66" i="1" s="1"/>
  <c r="AY66" i="1"/>
  <c r="B66" i="1"/>
  <c r="CK66" i="1"/>
  <c r="EG67" i="1"/>
  <c r="DZ67" i="1" s="1"/>
  <c r="BL67" i="1" s="1"/>
  <c r="CM67" i="1"/>
  <c r="C67" i="1"/>
  <c r="CS67" i="1"/>
  <c r="DU67" i="1"/>
  <c r="A161" i="2"/>
  <c r="DG160" i="1"/>
  <c r="A69" i="2"/>
  <c r="DG68" i="1"/>
  <c r="V42" i="2"/>
  <c r="V82" i="2" s="1"/>
  <c r="V134" i="2" s="1"/>
  <c r="A90" i="1"/>
  <c r="A91" i="2" s="1"/>
  <c r="AZ89" i="1"/>
  <c r="DG89" i="1"/>
  <c r="DT67" i="1"/>
  <c r="A161" i="1"/>
  <c r="AZ160" i="1"/>
  <c r="CQ68" i="1"/>
  <c r="DK68" i="1"/>
  <c r="DI68" i="1"/>
  <c r="DO68" i="1"/>
  <c r="CK68" i="1"/>
  <c r="B68" i="1"/>
  <c r="AY68" i="1"/>
  <c r="DN68" i="1"/>
  <c r="DJ68" i="1"/>
  <c r="DH68" i="1"/>
  <c r="CS68" i="1"/>
  <c r="CU68" i="1"/>
  <c r="CO68" i="1"/>
  <c r="D68" i="1"/>
  <c r="EG68" i="1"/>
  <c r="DZ68" i="1" s="1"/>
  <c r="BL68" i="1" s="1"/>
  <c r="EJ68" i="1"/>
  <c r="EC68" i="1" s="1"/>
  <c r="BO68" i="1" s="1"/>
  <c r="EH68" i="1"/>
  <c r="EA68" i="1" s="1"/>
  <c r="BM68" i="1" s="1"/>
  <c r="EI68" i="1"/>
  <c r="EB68" i="1" s="1"/>
  <c r="BN68" i="1" s="1"/>
  <c r="CM68" i="1"/>
  <c r="C68" i="1"/>
  <c r="A69" i="1"/>
  <c r="AZ68" i="1"/>
  <c r="DT68" i="1" s="1"/>
  <c r="F68" i="1"/>
  <c r="F160" i="1"/>
  <c r="G160" i="1"/>
  <c r="BO43" i="1"/>
  <c r="F60" i="1"/>
  <c r="BC69" i="1"/>
  <c r="BF69" i="1"/>
  <c r="BD69" i="1"/>
  <c r="AW69" i="1"/>
  <c r="DA69" i="1"/>
  <c r="EO69" i="1"/>
  <c r="AX69" i="1"/>
  <c r="BA69" i="1"/>
  <c r="CG69" i="1"/>
  <c r="DF69" i="1"/>
  <c r="AU69" i="1"/>
  <c r="CH69" i="1"/>
  <c r="DD69" i="1"/>
  <c r="CE69" i="1"/>
  <c r="BB69" i="1"/>
  <c r="BE69" i="1"/>
  <c r="AS69" i="1"/>
  <c r="AV69" i="1"/>
  <c r="AT161" i="1"/>
  <c r="CI69" i="1"/>
  <c r="CD69" i="1"/>
  <c r="DC69" i="1"/>
  <c r="EQ69" i="1"/>
  <c r="DB69" i="1"/>
  <c r="EN69" i="1"/>
  <c r="AS161" i="1"/>
  <c r="CF69" i="1"/>
  <c r="DE69" i="1"/>
  <c r="AT69" i="1"/>
  <c r="EP69" i="1"/>
  <c r="DV66" i="1" l="1"/>
  <c r="DM66" i="1"/>
  <c r="BZ67" i="1"/>
  <c r="DW66" i="1"/>
  <c r="CP66" i="1"/>
  <c r="CP67" i="1"/>
  <c r="E66" i="1"/>
  <c r="BZ66" i="1"/>
  <c r="CA66" i="1" s="1"/>
  <c r="DV67" i="1"/>
  <c r="DM67" i="1"/>
  <c r="E67" i="1"/>
  <c r="CB67" i="1"/>
  <c r="DQ67" i="1"/>
  <c r="DP66" i="1"/>
  <c r="CB66" i="1"/>
  <c r="CC66" i="1" s="1"/>
  <c r="DP67" i="1"/>
  <c r="DL67" i="1"/>
  <c r="DW67" i="1"/>
  <c r="BU66" i="1"/>
  <c r="DS66" i="1"/>
  <c r="BS67" i="1"/>
  <c r="DL66" i="1"/>
  <c r="BS66" i="1"/>
  <c r="BT66" i="1" s="1"/>
  <c r="DS67" i="1"/>
  <c r="BU67" i="1"/>
  <c r="DQ66" i="1"/>
  <c r="A162" i="2"/>
  <c r="DG161" i="1"/>
  <c r="A70" i="2"/>
  <c r="DG69" i="1"/>
  <c r="W42" i="2"/>
  <c r="W82" i="2" s="1"/>
  <c r="W134" i="2" s="1"/>
  <c r="A91" i="1"/>
  <c r="A92" i="2" s="1"/>
  <c r="AZ90" i="1"/>
  <c r="DG90" i="1"/>
  <c r="DV68" i="1"/>
  <c r="A162" i="1"/>
  <c r="AZ161" i="1"/>
  <c r="F161" i="1"/>
  <c r="G161" i="1"/>
  <c r="DQ68" i="1"/>
  <c r="BS68" i="1"/>
  <c r="BU68" i="1"/>
  <c r="BZ68" i="1"/>
  <c r="DM68" i="1"/>
  <c r="CQ69" i="1"/>
  <c r="B69" i="1"/>
  <c r="CK69" i="1"/>
  <c r="AY69" i="1"/>
  <c r="DK69" i="1"/>
  <c r="DI69" i="1"/>
  <c r="DO69" i="1"/>
  <c r="DH69" i="1"/>
  <c r="DN69" i="1"/>
  <c r="DJ69" i="1"/>
  <c r="CM69" i="1"/>
  <c r="C69" i="1"/>
  <c r="CS69" i="1"/>
  <c r="EI69" i="1"/>
  <c r="EB69" i="1" s="1"/>
  <c r="BN69" i="1" s="1"/>
  <c r="CO69" i="1"/>
  <c r="D69" i="1"/>
  <c r="EH69" i="1"/>
  <c r="EA69" i="1" s="1"/>
  <c r="BM69" i="1" s="1"/>
  <c r="EG69" i="1"/>
  <c r="DZ69" i="1" s="1"/>
  <c r="BL69" i="1" s="1"/>
  <c r="EJ69" i="1"/>
  <c r="EC69" i="1" s="1"/>
  <c r="BO69" i="1" s="1"/>
  <c r="CU69" i="1"/>
  <c r="CP68" i="1"/>
  <c r="DU68" i="1"/>
  <c r="CB68" i="1"/>
  <c r="DL68" i="1"/>
  <c r="DP68" i="1"/>
  <c r="DS68" i="1"/>
  <c r="A70" i="1"/>
  <c r="AZ69" i="1"/>
  <c r="DU69" i="1" s="1"/>
  <c r="F69" i="1"/>
  <c r="E68" i="1"/>
  <c r="F159" i="1"/>
  <c r="G159" i="1"/>
  <c r="F59" i="1"/>
  <c r="AT162" i="1"/>
  <c r="DF70" i="1"/>
  <c r="AS162" i="1"/>
  <c r="DB70" i="1"/>
  <c r="DD70" i="1"/>
  <c r="ED67" i="1" l="1"/>
  <c r="ED66" i="1"/>
  <c r="DW68" i="1"/>
  <c r="ES68" i="1" s="1"/>
  <c r="ES67" i="1"/>
  <c r="ES66" i="1"/>
  <c r="BT68" i="1"/>
  <c r="BT67" i="1"/>
  <c r="CC68" i="1"/>
  <c r="CA68" i="1"/>
  <c r="CA67" i="1"/>
  <c r="CC67" i="1"/>
  <c r="A163" i="2"/>
  <c r="DG162" i="1"/>
  <c r="A71" i="2"/>
  <c r="DG70" i="1"/>
  <c r="X42" i="2"/>
  <c r="X82" i="2" s="1"/>
  <c r="X134" i="2" s="1"/>
  <c r="A92" i="1"/>
  <c r="A93" i="2" s="1"/>
  <c r="AZ91" i="1"/>
  <c r="DG91" i="1"/>
  <c r="A163" i="1"/>
  <c r="AZ162" i="1"/>
  <c r="F162" i="1"/>
  <c r="G162" i="1"/>
  <c r="DM69" i="1"/>
  <c r="DQ69" i="1"/>
  <c r="BU69" i="1"/>
  <c r="BZ69" i="1"/>
  <c r="CA69" i="1" s="1"/>
  <c r="CB69" i="1"/>
  <c r="CC69" i="1" s="1"/>
  <c r="BS69" i="1"/>
  <c r="BT69" i="1" s="1"/>
  <c r="A71" i="1"/>
  <c r="AZ70" i="1"/>
  <c r="F70" i="1"/>
  <c r="DW69" i="1"/>
  <c r="E69" i="1"/>
  <c r="DT69" i="1"/>
  <c r="DV69" i="1" s="1"/>
  <c r="DP69" i="1"/>
  <c r="DL69" i="1"/>
  <c r="CP69" i="1"/>
  <c r="DS69" i="1"/>
  <c r="F158" i="1"/>
  <c r="G158" i="1"/>
  <c r="F58" i="1"/>
  <c r="DD71" i="1"/>
  <c r="AS163" i="1"/>
  <c r="DF71" i="1"/>
  <c r="DB71" i="1"/>
  <c r="AT163" i="1"/>
  <c r="EQ163" i="1"/>
  <c r="ED69" i="1" l="1"/>
  <c r="ED68" i="1"/>
  <c r="ES69" i="1"/>
  <c r="A164" i="2"/>
  <c r="DG163" i="1"/>
  <c r="A72" i="2"/>
  <c r="DG71" i="1"/>
  <c r="A93" i="1"/>
  <c r="A94" i="2" s="1"/>
  <c r="AZ92" i="1"/>
  <c r="DG92" i="1"/>
  <c r="EJ163" i="1"/>
  <c r="EC163" i="1" s="1"/>
  <c r="BO163" i="1" s="1"/>
  <c r="A164" i="1"/>
  <c r="AZ163" i="1"/>
  <c r="G163" i="1"/>
  <c r="F163" i="1"/>
  <c r="A72" i="1"/>
  <c r="AZ71" i="1"/>
  <c r="F71" i="1"/>
  <c r="F56" i="1"/>
  <c r="F157" i="1"/>
  <c r="G157" i="1"/>
  <c r="F57" i="1"/>
  <c r="DD72" i="1"/>
  <c r="DF72" i="1"/>
  <c r="AS164" i="1"/>
  <c r="DB72" i="1"/>
  <c r="AT164" i="1"/>
  <c r="W139" i="2"/>
  <c r="W61" i="2"/>
  <c r="J159" i="2"/>
  <c r="F90" i="2"/>
  <c r="T148" i="2"/>
  <c r="O159" i="2"/>
  <c r="W48" i="2"/>
  <c r="Q70" i="2"/>
  <c r="W57" i="2"/>
  <c r="T152" i="2"/>
  <c r="V57" i="2"/>
  <c r="H160" i="2"/>
  <c r="O160" i="2"/>
  <c r="U151" i="2"/>
  <c r="H67" i="2"/>
  <c r="D89" i="2"/>
  <c r="R88" i="2"/>
  <c r="W63" i="2"/>
  <c r="P88" i="2"/>
  <c r="V152" i="2"/>
  <c r="R162" i="2"/>
  <c r="P162" i="2"/>
  <c r="W51" i="2"/>
  <c r="T143" i="2"/>
  <c r="X67" i="2"/>
  <c r="H69" i="2"/>
  <c r="I159" i="2"/>
  <c r="G89" i="2"/>
  <c r="U61" i="2"/>
  <c r="D161" i="2"/>
  <c r="T140" i="2"/>
  <c r="U64" i="2"/>
  <c r="U90" i="2"/>
  <c r="W156" i="2"/>
  <c r="U143" i="2"/>
  <c r="X161" i="2"/>
  <c r="T89" i="2"/>
  <c r="F89" i="2"/>
  <c r="W5" i="2"/>
  <c r="H89" i="2"/>
  <c r="H159" i="2"/>
  <c r="M90" i="2"/>
  <c r="Q68" i="2"/>
  <c r="C91" i="2"/>
  <c r="U52" i="2"/>
  <c r="U47" i="2"/>
  <c r="Q67" i="2"/>
  <c r="W157" i="2"/>
  <c r="X159" i="2"/>
  <c r="B70" i="2"/>
  <c r="J67" i="2"/>
  <c r="D69" i="2"/>
  <c r="R70" i="2"/>
  <c r="Q88" i="2"/>
  <c r="G69" i="2"/>
  <c r="T90" i="2"/>
  <c r="V70" i="2"/>
  <c r="C161" i="2"/>
  <c r="U160" i="2"/>
  <c r="K89" i="2"/>
  <c r="W54" i="2"/>
  <c r="U157" i="2"/>
  <c r="W143" i="2"/>
  <c r="V138" i="2"/>
  <c r="X152" i="2"/>
  <c r="W86" i="2"/>
  <c r="V69" i="2"/>
  <c r="U147" i="2"/>
  <c r="U87" i="2"/>
  <c r="B161" i="2"/>
  <c r="W145" i="2"/>
  <c r="U155" i="2"/>
  <c r="P90" i="2"/>
  <c r="W89" i="2"/>
  <c r="T50" i="2"/>
  <c r="V139" i="2"/>
  <c r="W142" i="2"/>
  <c r="C69" i="2"/>
  <c r="X91" i="2"/>
  <c r="L89" i="2"/>
  <c r="W59" i="2"/>
  <c r="W92" i="2"/>
  <c r="T62" i="2"/>
  <c r="C159" i="2"/>
  <c r="T139" i="2"/>
  <c r="X59" i="2"/>
  <c r="V148" i="2"/>
  <c r="P68" i="2"/>
  <c r="X70" i="2"/>
  <c r="L69" i="2"/>
  <c r="V161" i="2"/>
  <c r="U159" i="2"/>
  <c r="W146" i="2"/>
  <c r="G90" i="2"/>
  <c r="F160" i="2"/>
  <c r="X52" i="2"/>
  <c r="S92" i="2"/>
  <c r="W49" i="2"/>
  <c r="E67" i="2"/>
  <c r="I161" i="2"/>
  <c r="H161" i="2"/>
  <c r="T60" i="2"/>
  <c r="U158" i="2"/>
  <c r="B88" i="2"/>
  <c r="P160" i="2"/>
  <c r="V63" i="2"/>
  <c r="U153" i="2"/>
  <c r="N68" i="2"/>
  <c r="R159" i="2"/>
  <c r="X50" i="2"/>
  <c r="N162" i="2"/>
  <c r="T55" i="2"/>
  <c r="Q69" i="2"/>
  <c r="X138" i="2"/>
  <c r="V68" i="2"/>
  <c r="B91" i="2"/>
  <c r="V90" i="2"/>
  <c r="B162" i="2"/>
  <c r="W152" i="2"/>
  <c r="N89" i="2"/>
  <c r="T67" i="2"/>
  <c r="U58" i="2"/>
  <c r="J89" i="2"/>
  <c r="C68" i="2"/>
  <c r="V5" i="2"/>
  <c r="X61" i="2"/>
  <c r="X57" i="2"/>
  <c r="V51" i="2"/>
  <c r="U5" i="2"/>
  <c r="E88" i="2"/>
  <c r="H91" i="2"/>
  <c r="U89" i="2"/>
  <c r="W56" i="2"/>
  <c r="T144" i="2"/>
  <c r="U154" i="2"/>
  <c r="Q159" i="2"/>
  <c r="T142" i="2"/>
  <c r="U56" i="2"/>
  <c r="T63" i="2"/>
  <c r="X143" i="2"/>
  <c r="T92" i="2"/>
  <c r="J69" i="2"/>
  <c r="G68" i="2"/>
  <c r="G162" i="2"/>
  <c r="T151" i="2"/>
  <c r="N69" i="2"/>
  <c r="D88" i="2"/>
  <c r="T158" i="2"/>
  <c r="V150" i="2"/>
  <c r="W90" i="2"/>
  <c r="R69" i="2"/>
  <c r="V142" i="2"/>
  <c r="T157" i="2"/>
  <c r="X62" i="2"/>
  <c r="G70" i="2"/>
  <c r="W60" i="2"/>
  <c r="O91" i="2"/>
  <c r="V64" i="2"/>
  <c r="T87" i="2"/>
  <c r="S68" i="2"/>
  <c r="W155" i="2"/>
  <c r="P67" i="2"/>
  <c r="U139" i="2"/>
  <c r="V56" i="2"/>
  <c r="T141" i="2"/>
  <c r="V53" i="2"/>
  <c r="I90" i="2"/>
  <c r="X155" i="2"/>
  <c r="X140" i="2"/>
  <c r="V160" i="2"/>
  <c r="W68" i="2"/>
  <c r="X160" i="2"/>
  <c r="X148" i="2"/>
  <c r="U145" i="2"/>
  <c r="L88" i="2"/>
  <c r="J70" i="2"/>
  <c r="V46" i="2"/>
  <c r="V87" i="2"/>
  <c r="C89" i="2"/>
  <c r="K91" i="2"/>
  <c r="J91" i="2"/>
  <c r="F159" i="2"/>
  <c r="B92" i="2"/>
  <c r="X151" i="2"/>
  <c r="W46" i="2"/>
  <c r="U50" i="2"/>
  <c r="V91" i="2"/>
  <c r="M88" i="2"/>
  <c r="T46" i="2"/>
  <c r="V143" i="2"/>
  <c r="T147" i="2"/>
  <c r="T86" i="2"/>
  <c r="B69" i="2"/>
  <c r="M91" i="2"/>
  <c r="M89" i="2"/>
  <c r="W91" i="2"/>
  <c r="I70" i="2"/>
  <c r="X47" i="2"/>
  <c r="T53" i="2"/>
  <c r="V65" i="2"/>
  <c r="X86" i="2"/>
  <c r="R161" i="2"/>
  <c r="U152" i="2"/>
  <c r="E161" i="2"/>
  <c r="U92" i="2"/>
  <c r="G161" i="2"/>
  <c r="K162" i="2"/>
  <c r="C70" i="2"/>
  <c r="U91" i="2"/>
  <c r="N160" i="2"/>
  <c r="V154" i="2"/>
  <c r="K160" i="2"/>
  <c r="W66" i="2"/>
  <c r="T66" i="2"/>
  <c r="E70" i="2"/>
  <c r="P92" i="2"/>
  <c r="S89" i="2"/>
  <c r="V141" i="2"/>
  <c r="W69" i="2"/>
  <c r="J161" i="2"/>
  <c r="P161" i="2"/>
  <c r="S161" i="2"/>
  <c r="V144" i="2"/>
  <c r="U66" i="2"/>
  <c r="P89" i="2"/>
  <c r="T161" i="2"/>
  <c r="V52" i="2"/>
  <c r="I69" i="2"/>
  <c r="X142" i="2"/>
  <c r="M70" i="2"/>
  <c r="V58" i="2"/>
  <c r="T56" i="2"/>
  <c r="X149" i="2"/>
  <c r="X153" i="2"/>
  <c r="W153" i="2"/>
  <c r="U156" i="2"/>
  <c r="U60" i="2"/>
  <c r="H90" i="2"/>
  <c r="H88" i="2"/>
  <c r="G67" i="2"/>
  <c r="V155" i="2"/>
  <c r="X147" i="2"/>
  <c r="V92" i="2"/>
  <c r="V140" i="2"/>
  <c r="T64" i="2"/>
  <c r="V151" i="2"/>
  <c r="T5" i="2"/>
  <c r="U49" i="2"/>
  <c r="U149" i="2"/>
  <c r="V145" i="2"/>
  <c r="M159" i="2"/>
  <c r="T52" i="2"/>
  <c r="N161" i="2"/>
  <c r="T88" i="2"/>
  <c r="B68" i="2"/>
  <c r="F162" i="2"/>
  <c r="F92" i="2"/>
  <c r="V54" i="2"/>
  <c r="W144" i="2"/>
  <c r="E162" i="2"/>
  <c r="K92" i="2"/>
  <c r="N67" i="2"/>
  <c r="L162" i="2"/>
  <c r="Q160" i="2"/>
  <c r="U68" i="2"/>
  <c r="I91" i="2"/>
  <c r="W147" i="2"/>
  <c r="T153" i="2"/>
  <c r="R68" i="2"/>
  <c r="L92" i="2"/>
  <c r="X49" i="2"/>
  <c r="R89" i="2"/>
  <c r="V60" i="2"/>
  <c r="W150" i="2"/>
  <c r="K161" i="2"/>
  <c r="T65" i="2"/>
  <c r="V50" i="2"/>
  <c r="V49" i="2"/>
  <c r="V149" i="2"/>
  <c r="R67" i="2"/>
  <c r="W161" i="2"/>
  <c r="G159" i="2"/>
  <c r="I89" i="2"/>
  <c r="X56" i="2"/>
  <c r="K70" i="2"/>
  <c r="U55" i="2"/>
  <c r="K159" i="2"/>
  <c r="D162" i="2"/>
  <c r="J92" i="2"/>
  <c r="F161" i="2"/>
  <c r="E92" i="2"/>
  <c r="C90" i="2"/>
  <c r="V55" i="2"/>
  <c r="F91" i="2"/>
  <c r="W53" i="2"/>
  <c r="E89" i="2"/>
  <c r="D160" i="2"/>
  <c r="V157" i="2"/>
  <c r="X58" i="2"/>
  <c r="M92" i="2"/>
  <c r="C88" i="2"/>
  <c r="B89" i="2"/>
  <c r="E159" i="2"/>
  <c r="V67" i="2"/>
  <c r="T47" i="2"/>
  <c r="S69" i="2"/>
  <c r="V156" i="2"/>
  <c r="O88" i="2"/>
  <c r="W158" i="2"/>
  <c r="L160" i="2"/>
  <c r="R90" i="2"/>
  <c r="N91" i="2"/>
  <c r="X139" i="2"/>
  <c r="X145" i="2"/>
  <c r="T48" i="2"/>
  <c r="E91" i="2"/>
  <c r="S70" i="2"/>
  <c r="X64" i="2"/>
  <c r="V66" i="2"/>
  <c r="H92" i="2"/>
  <c r="F70" i="2"/>
  <c r="W47" i="2"/>
  <c r="X90" i="2"/>
  <c r="S91" i="2"/>
  <c r="V147" i="2"/>
  <c r="L159" i="2"/>
  <c r="T57" i="2"/>
  <c r="W50" i="2"/>
  <c r="W138" i="2"/>
  <c r="S67" i="2"/>
  <c r="X5" i="2"/>
  <c r="X158" i="2"/>
  <c r="T61" i="2"/>
  <c r="U48" i="2"/>
  <c r="O67" i="2"/>
  <c r="T69" i="2"/>
  <c r="E69" i="2"/>
  <c r="D91" i="2"/>
  <c r="D68" i="2"/>
  <c r="E68" i="2"/>
  <c r="U150" i="2"/>
  <c r="F69" i="2"/>
  <c r="J88" i="2"/>
  <c r="C160" i="2"/>
  <c r="Q162" i="2"/>
  <c r="W159" i="2"/>
  <c r="L68" i="2"/>
  <c r="X53" i="2"/>
  <c r="X88" i="2"/>
  <c r="X156" i="2"/>
  <c r="O89" i="2"/>
  <c r="X87" i="2"/>
  <c r="W70" i="2"/>
  <c r="U51" i="2"/>
  <c r="W160" i="2"/>
  <c r="U141" i="2"/>
  <c r="T156" i="2"/>
  <c r="F88" i="2"/>
  <c r="I88" i="2"/>
  <c r="D92" i="2"/>
  <c r="T70" i="2"/>
  <c r="W141" i="2"/>
  <c r="S159" i="2"/>
  <c r="W64" i="2"/>
  <c r="T138" i="2"/>
  <c r="J68" i="2"/>
  <c r="T146" i="2"/>
  <c r="P91" i="2"/>
  <c r="M160" i="2"/>
  <c r="T149" i="2"/>
  <c r="U142" i="2"/>
  <c r="U148" i="2"/>
  <c r="U146" i="2"/>
  <c r="O92" i="2"/>
  <c r="M67" i="2"/>
  <c r="W67" i="2"/>
  <c r="H70" i="2"/>
  <c r="P70" i="2"/>
  <c r="G91" i="2"/>
  <c r="T145" i="2"/>
  <c r="I92" i="2"/>
  <c r="D67" i="2"/>
  <c r="E90" i="2"/>
  <c r="K67" i="2"/>
  <c r="U46" i="2"/>
  <c r="O69" i="2"/>
  <c r="H68" i="2"/>
  <c r="X46" i="2"/>
  <c r="W148" i="2"/>
  <c r="Q161" i="2"/>
  <c r="B159" i="2"/>
  <c r="U67" i="2"/>
  <c r="S160" i="2"/>
  <c r="W65" i="2"/>
  <c r="V48" i="2"/>
  <c r="U59" i="2"/>
  <c r="N90" i="2"/>
  <c r="G88" i="2"/>
  <c r="U86" i="2"/>
  <c r="S88" i="2"/>
  <c r="W149" i="2"/>
  <c r="S162" i="2"/>
  <c r="M69" i="2"/>
  <c r="U138" i="2"/>
  <c r="O70" i="2"/>
  <c r="B160" i="2"/>
  <c r="N159" i="2"/>
  <c r="Q90" i="2"/>
  <c r="X55" i="2"/>
  <c r="U57" i="2"/>
  <c r="T59" i="2"/>
  <c r="F67" i="2"/>
  <c r="M68" i="2"/>
  <c r="T154" i="2"/>
  <c r="U140" i="2"/>
  <c r="U53" i="2"/>
  <c r="X66" i="2"/>
  <c r="X48" i="2"/>
  <c r="D90" i="2"/>
  <c r="V159" i="2"/>
  <c r="V61" i="2"/>
  <c r="V153" i="2"/>
  <c r="U62" i="2"/>
  <c r="V59" i="2"/>
  <c r="U63" i="2"/>
  <c r="F68" i="2"/>
  <c r="O90" i="2"/>
  <c r="T91" i="2"/>
  <c r="I160" i="2"/>
  <c r="B67" i="2"/>
  <c r="X162" i="2"/>
  <c r="Q92" i="2"/>
  <c r="W58" i="2"/>
  <c r="W151" i="2"/>
  <c r="N70" i="2"/>
  <c r="X51" i="2"/>
  <c r="W52" i="2"/>
  <c r="W162" i="2"/>
  <c r="V146" i="2"/>
  <c r="B90" i="2"/>
  <c r="X146" i="2"/>
  <c r="O68" i="2"/>
  <c r="Q91" i="2"/>
  <c r="I68" i="2"/>
  <c r="W88" i="2"/>
  <c r="O161" i="2"/>
  <c r="R160" i="2"/>
  <c r="T160" i="2"/>
  <c r="X150" i="2"/>
  <c r="T159" i="2"/>
  <c r="Q89" i="2"/>
  <c r="J160" i="2"/>
  <c r="C67" i="2"/>
  <c r="D159" i="2"/>
  <c r="G160" i="2"/>
  <c r="L91" i="2"/>
  <c r="U161" i="2"/>
  <c r="U65" i="2"/>
  <c r="K90" i="2"/>
  <c r="T49" i="2"/>
  <c r="S90" i="2"/>
  <c r="T150" i="2"/>
  <c r="D70" i="2"/>
  <c r="W55" i="2"/>
  <c r="V89" i="2"/>
  <c r="X54" i="2"/>
  <c r="U69" i="2"/>
  <c r="W154" i="2"/>
  <c r="W87" i="2"/>
  <c r="J162" i="2"/>
  <c r="T54" i="2"/>
  <c r="I162" i="2"/>
  <c r="P69" i="2"/>
  <c r="U144" i="2"/>
  <c r="U162" i="2"/>
  <c r="I67" i="2"/>
  <c r="T58" i="2"/>
  <c r="X69" i="2"/>
  <c r="N88" i="2"/>
  <c r="G92" i="2"/>
  <c r="M162" i="2"/>
  <c r="X157" i="2"/>
  <c r="C162" i="2"/>
  <c r="C92" i="2"/>
  <c r="X92" i="2"/>
  <c r="R91" i="2"/>
  <c r="L67" i="2"/>
  <c r="X141" i="2"/>
  <c r="V86" i="2"/>
  <c r="L70" i="2"/>
  <c r="V162" i="2"/>
  <c r="C93" i="2"/>
  <c r="N93" i="2"/>
  <c r="S163" i="2"/>
  <c r="E163" i="2"/>
  <c r="C163" i="2"/>
  <c r="S93" i="2"/>
  <c r="C71" i="2"/>
  <c r="G93" i="2"/>
  <c r="W163" i="2"/>
  <c r="H93" i="2"/>
  <c r="V71" i="2"/>
  <c r="D163" i="2"/>
  <c r="B163" i="2"/>
  <c r="N163" i="2"/>
  <c r="P163" i="2"/>
  <c r="W93" i="2"/>
  <c r="B93" i="2"/>
  <c r="K68" i="2"/>
  <c r="X65" i="2"/>
  <c r="W62" i="2"/>
  <c r="X68" i="2"/>
  <c r="T155" i="2"/>
  <c r="T162" i="2"/>
  <c r="O162" i="2"/>
  <c r="E160" i="2"/>
  <c r="J90" i="2"/>
  <c r="W140" i="2"/>
  <c r="N92" i="2"/>
  <c r="M163" i="2"/>
  <c r="G71" i="2"/>
  <c r="N71" i="2"/>
  <c r="J93" i="2"/>
  <c r="J71" i="2"/>
  <c r="T93" i="2"/>
  <c r="V93" i="2"/>
  <c r="U163" i="2"/>
  <c r="X71" i="2"/>
  <c r="K163" i="2"/>
  <c r="T71" i="2"/>
  <c r="R93" i="2"/>
  <c r="O163" i="2"/>
  <c r="X93" i="2"/>
  <c r="Q71" i="2"/>
  <c r="I163" i="2"/>
  <c r="L71" i="2"/>
  <c r="V88" i="2"/>
  <c r="M161" i="2"/>
  <c r="K88" i="2"/>
  <c r="V158" i="2"/>
  <c r="U88" i="2"/>
  <c r="X144" i="2"/>
  <c r="H162" i="2"/>
  <c r="K69" i="2"/>
  <c r="X89" i="2"/>
  <c r="L161" i="2"/>
  <c r="U70" i="2"/>
  <c r="R71" i="2"/>
  <c r="F93" i="2"/>
  <c r="K71" i="2"/>
  <c r="E71" i="2"/>
  <c r="I93" i="2"/>
  <c r="O71" i="2"/>
  <c r="T163" i="2"/>
  <c r="V163" i="2"/>
  <c r="W71" i="2"/>
  <c r="K93" i="2"/>
  <c r="F163" i="2"/>
  <c r="L93" i="2"/>
  <c r="S71" i="2"/>
  <c r="B71" i="2"/>
  <c r="L163" i="2"/>
  <c r="G163" i="2"/>
  <c r="X163" i="2"/>
  <c r="V47" i="2"/>
  <c r="R92" i="2"/>
  <c r="L90" i="2"/>
  <c r="P159" i="2"/>
  <c r="T51" i="2"/>
  <c r="T68" i="2"/>
  <c r="U54" i="2"/>
  <c r="V62" i="2"/>
  <c r="X63" i="2"/>
  <c r="X154" i="2"/>
  <c r="X60" i="2"/>
  <c r="Q163" i="2"/>
  <c r="M71" i="2"/>
  <c r="P93" i="2"/>
  <c r="H71" i="2"/>
  <c r="D93" i="2"/>
  <c r="U93" i="2"/>
  <c r="M93" i="2"/>
  <c r="D71" i="2"/>
  <c r="F71" i="2"/>
  <c r="Q93" i="2"/>
  <c r="H163" i="2"/>
  <c r="U71" i="2"/>
  <c r="E93" i="2"/>
  <c r="O93" i="2"/>
  <c r="I71" i="2"/>
  <c r="R163" i="2"/>
  <c r="P71" i="2"/>
  <c r="J163" i="2"/>
  <c r="Q94" i="2"/>
  <c r="W164" i="2"/>
  <c r="M94" i="2"/>
  <c r="V72" i="2"/>
  <c r="X94" i="2"/>
  <c r="B94" i="2"/>
  <c r="O72" i="2"/>
  <c r="E164" i="2"/>
  <c r="S72" i="2"/>
  <c r="L72" i="2"/>
  <c r="F72" i="2"/>
  <c r="X164" i="2"/>
  <c r="N72" i="2"/>
  <c r="T72" i="2"/>
  <c r="G94" i="2"/>
  <c r="I94" i="2"/>
  <c r="Q72" i="2"/>
  <c r="O94" i="2"/>
  <c r="D72" i="2"/>
  <c r="T164" i="2"/>
  <c r="U72" i="2"/>
  <c r="X72" i="2"/>
  <c r="U164" i="2"/>
  <c r="H94" i="2"/>
  <c r="D164" i="2"/>
  <c r="R72" i="2"/>
  <c r="I164" i="2"/>
  <c r="T94" i="2"/>
  <c r="S94" i="2"/>
  <c r="L164" i="2"/>
  <c r="J94" i="2"/>
  <c r="B164" i="2"/>
  <c r="S164" i="2"/>
  <c r="M72" i="2"/>
  <c r="C94" i="2"/>
  <c r="K164" i="2"/>
  <c r="N94" i="2"/>
  <c r="G72" i="2"/>
  <c r="J72" i="2"/>
  <c r="W72" i="2"/>
  <c r="U94" i="2"/>
  <c r="G164" i="2"/>
  <c r="P164" i="2"/>
  <c r="K94" i="2"/>
  <c r="C164" i="2"/>
  <c r="V164" i="2"/>
  <c r="H164" i="2"/>
  <c r="F164" i="2"/>
  <c r="R94" i="2"/>
  <c r="D94" i="2"/>
  <c r="B72" i="2"/>
  <c r="Q164" i="2"/>
  <c r="C72" i="2"/>
  <c r="O164" i="2"/>
  <c r="N164" i="2"/>
  <c r="P72" i="2"/>
  <c r="P94" i="2"/>
  <c r="L94" i="2"/>
  <c r="R164" i="2"/>
  <c r="M164" i="2"/>
  <c r="E94" i="2"/>
  <c r="I72" i="2"/>
  <c r="V94" i="2"/>
  <c r="F94" i="2"/>
  <c r="E72" i="2"/>
  <c r="J164" i="2"/>
  <c r="W94" i="2"/>
  <c r="K72" i="2"/>
  <c r="H72" i="2"/>
  <c r="Y51" i="2" l="1"/>
  <c r="BG50" i="1" s="1"/>
  <c r="Y155" i="2"/>
  <c r="BG154" i="1" s="1"/>
  <c r="Y58" i="2"/>
  <c r="BG57" i="1" s="1"/>
  <c r="Y54" i="2"/>
  <c r="BG53" i="1" s="1"/>
  <c r="Y150" i="2"/>
  <c r="BG149" i="1" s="1"/>
  <c r="Y49" i="2"/>
  <c r="BG48" i="1" s="1"/>
  <c r="Y154" i="2"/>
  <c r="BG153" i="1" s="1"/>
  <c r="Y59" i="2"/>
  <c r="BG58" i="1" s="1"/>
  <c r="Y145" i="2"/>
  <c r="BG144" i="1" s="1"/>
  <c r="Y149" i="2"/>
  <c r="BG148" i="1" s="1"/>
  <c r="Y146" i="2"/>
  <c r="BG145" i="1" s="1"/>
  <c r="Y138" i="2"/>
  <c r="BG137" i="1" s="1"/>
  <c r="Y156" i="2"/>
  <c r="BG155" i="1" s="1"/>
  <c r="Y61" i="2"/>
  <c r="BG60" i="1" s="1"/>
  <c r="Y57" i="2"/>
  <c r="BG56" i="1" s="1"/>
  <c r="Y48" i="2"/>
  <c r="BG47" i="1" s="1"/>
  <c r="Y47" i="2"/>
  <c r="BG46" i="1" s="1"/>
  <c r="Y65" i="2"/>
  <c r="BG64" i="1" s="1"/>
  <c r="Y153" i="2"/>
  <c r="BG152" i="1" s="1"/>
  <c r="Y52" i="2"/>
  <c r="BG51" i="1" s="1"/>
  <c r="Y5" i="2"/>
  <c r="BG4" i="1" s="1"/>
  <c r="Y64" i="2"/>
  <c r="BG63" i="1" s="1"/>
  <c r="Y56" i="2"/>
  <c r="BG55" i="1" s="1"/>
  <c r="BH55" i="1" s="1"/>
  <c r="Y66" i="2"/>
  <c r="BG65" i="1" s="1"/>
  <c r="BH65" i="1" s="1"/>
  <c r="Y53" i="2"/>
  <c r="BG52" i="1" s="1"/>
  <c r="Y86" i="2"/>
  <c r="BG85" i="1" s="1"/>
  <c r="Y147" i="2"/>
  <c r="BG146" i="1" s="1"/>
  <c r="Y46" i="2"/>
  <c r="BG45" i="1" s="1"/>
  <c r="Y141" i="2"/>
  <c r="BG140" i="1" s="1"/>
  <c r="Y87" i="2"/>
  <c r="BG86" i="1" s="1"/>
  <c r="Y157" i="2"/>
  <c r="BG156" i="1" s="1"/>
  <c r="Y158" i="2"/>
  <c r="BG157" i="1" s="1"/>
  <c r="Y151" i="2"/>
  <c r="BG150" i="1" s="1"/>
  <c r="Y63" i="2"/>
  <c r="BG62" i="1" s="1"/>
  <c r="Y142" i="2"/>
  <c r="BG141" i="1" s="1"/>
  <c r="Y144" i="2"/>
  <c r="BG143" i="1" s="1"/>
  <c r="Y55" i="2"/>
  <c r="BG54" i="1" s="1"/>
  <c r="BH54" i="1" s="1"/>
  <c r="Y60" i="2"/>
  <c r="BG59" i="1" s="1"/>
  <c r="Y139" i="2"/>
  <c r="BG138" i="1" s="1"/>
  <c r="Y62" i="2"/>
  <c r="BG61" i="1" s="1"/>
  <c r="Y50" i="2"/>
  <c r="BG49" i="1" s="1"/>
  <c r="Y140" i="2"/>
  <c r="BG139" i="1" s="1"/>
  <c r="Y143" i="2"/>
  <c r="BG142" i="1" s="1"/>
  <c r="Y152" i="2"/>
  <c r="BG151" i="1" s="1"/>
  <c r="Y148" i="2"/>
  <c r="BG147" i="1" s="1"/>
  <c r="Y71" i="2"/>
  <c r="BG70" i="1" s="1"/>
  <c r="Y93" i="2"/>
  <c r="BG92" i="1" s="1"/>
  <c r="Y163" i="2"/>
  <c r="BG162" i="1" s="1"/>
  <c r="Y90" i="2"/>
  <c r="BG89" i="1" s="1"/>
  <c r="Y67" i="2"/>
  <c r="BG66" i="1" s="1"/>
  <c r="BH66" i="1" s="1"/>
  <c r="Y160" i="2"/>
  <c r="BG159" i="1" s="1"/>
  <c r="Y159" i="2"/>
  <c r="BG158" i="1" s="1"/>
  <c r="Y89" i="2"/>
  <c r="BG88" i="1" s="1"/>
  <c r="Y68" i="2"/>
  <c r="BG67" i="1" s="1"/>
  <c r="BH67" i="1" s="1"/>
  <c r="Y69" i="2"/>
  <c r="BG68" i="1" s="1"/>
  <c r="BH68" i="1" s="1"/>
  <c r="Y92" i="2"/>
  <c r="BG91" i="1" s="1"/>
  <c r="Y162" i="2"/>
  <c r="BG161" i="1" s="1"/>
  <c r="Y91" i="2"/>
  <c r="BG90" i="1" s="1"/>
  <c r="Y88" i="2"/>
  <c r="BG87" i="1" s="1"/>
  <c r="Y161" i="2"/>
  <c r="BG160" i="1" s="1"/>
  <c r="Y70" i="2"/>
  <c r="BG69" i="1" s="1"/>
  <c r="BH69" i="1" s="1"/>
  <c r="Y164" i="2"/>
  <c r="BG163" i="1" s="1"/>
  <c r="A165" i="2"/>
  <c r="DG164" i="1"/>
  <c r="Y72" i="2"/>
  <c r="BG71" i="1" s="1"/>
  <c r="A73" i="2"/>
  <c r="DG72" i="1"/>
  <c r="Y94" i="2"/>
  <c r="BG93" i="1" s="1"/>
  <c r="AZ93" i="1"/>
  <c r="A94" i="1"/>
  <c r="A95" i="2" s="1"/>
  <c r="DG93" i="1"/>
  <c r="A165" i="1"/>
  <c r="AZ164" i="1"/>
  <c r="G164" i="1"/>
  <c r="F164" i="1"/>
  <c r="A73" i="1"/>
  <c r="AZ72" i="1"/>
  <c r="F72" i="1"/>
  <c r="F53" i="1"/>
  <c r="F156" i="1"/>
  <c r="G156" i="1"/>
  <c r="DB73" i="1"/>
  <c r="AT165" i="1"/>
  <c r="DD73" i="1"/>
  <c r="DF73" i="1"/>
  <c r="AS165" i="1"/>
  <c r="W95" i="2"/>
  <c r="X73" i="2"/>
  <c r="G73" i="2"/>
  <c r="K73" i="2"/>
  <c r="I73" i="2"/>
  <c r="S95" i="2"/>
  <c r="P95" i="2"/>
  <c r="J73" i="2"/>
  <c r="N95" i="2"/>
  <c r="E95" i="2"/>
  <c r="D165" i="2"/>
  <c r="V95" i="2"/>
  <c r="J165" i="2"/>
  <c r="V73" i="2"/>
  <c r="I95" i="2"/>
  <c r="H95" i="2"/>
  <c r="M73" i="2"/>
  <c r="M165" i="2"/>
  <c r="T95" i="2"/>
  <c r="B165" i="2"/>
  <c r="Q95" i="2"/>
  <c r="W165" i="2"/>
  <c r="F73" i="2"/>
  <c r="K165" i="2"/>
  <c r="U165" i="2"/>
  <c r="S73" i="2"/>
  <c r="C95" i="2"/>
  <c r="M95" i="2"/>
  <c r="L95" i="2"/>
  <c r="X165" i="2"/>
  <c r="S165" i="2"/>
  <c r="L73" i="2"/>
  <c r="O165" i="2"/>
  <c r="U95" i="2"/>
  <c r="I165" i="2"/>
  <c r="B73" i="2"/>
  <c r="J95" i="2"/>
  <c r="O73" i="2"/>
  <c r="D95" i="2"/>
  <c r="Q165" i="2"/>
  <c r="R73" i="2"/>
  <c r="G95" i="2"/>
  <c r="R165" i="2"/>
  <c r="H165" i="2"/>
  <c r="G165" i="2"/>
  <c r="E73" i="2"/>
  <c r="B95" i="2"/>
  <c r="W73" i="2"/>
  <c r="D73" i="2"/>
  <c r="C165" i="2"/>
  <c r="C73" i="2"/>
  <c r="F165" i="2"/>
  <c r="T165" i="2"/>
  <c r="L165" i="2"/>
  <c r="X95" i="2"/>
  <c r="U73" i="2"/>
  <c r="P165" i="2"/>
  <c r="Q73" i="2"/>
  <c r="H73" i="2"/>
  <c r="P73" i="2"/>
  <c r="E165" i="2"/>
  <c r="N165" i="2"/>
  <c r="T73" i="2"/>
  <c r="V165" i="2"/>
  <c r="O95" i="2"/>
  <c r="F95" i="2"/>
  <c r="N73" i="2"/>
  <c r="R95" i="2"/>
  <c r="K95" i="2"/>
  <c r="BI67" i="1" l="1"/>
  <c r="BI55" i="1"/>
  <c r="BI68" i="1"/>
  <c r="BI66" i="1"/>
  <c r="BI69" i="1"/>
  <c r="Y165" i="2"/>
  <c r="BG164" i="1" s="1"/>
  <c r="A166" i="2"/>
  <c r="DG165" i="1"/>
  <c r="Y73" i="2"/>
  <c r="BG72" i="1" s="1"/>
  <c r="A74" i="2"/>
  <c r="DG73" i="1"/>
  <c r="Y95" i="2"/>
  <c r="BG94" i="1" s="1"/>
  <c r="DG94" i="1"/>
  <c r="A95" i="1"/>
  <c r="A96" i="2" s="1"/>
  <c r="AZ94" i="1"/>
  <c r="A166" i="1"/>
  <c r="AZ165" i="1"/>
  <c r="F165" i="1"/>
  <c r="G165" i="1"/>
  <c r="A74" i="1"/>
  <c r="AZ73" i="1"/>
  <c r="F73" i="1"/>
  <c r="F52" i="1"/>
  <c r="F155" i="1"/>
  <c r="G155" i="1"/>
  <c r="F154" i="1"/>
  <c r="G154" i="1"/>
  <c r="F48" i="1"/>
  <c r="DB74" i="1"/>
  <c r="DD74" i="1"/>
  <c r="AT166" i="1"/>
  <c r="DF74" i="1"/>
  <c r="AS166" i="1"/>
  <c r="X96" i="2"/>
  <c r="V166" i="2"/>
  <c r="R96" i="2"/>
  <c r="S96" i="2"/>
  <c r="M166" i="2"/>
  <c r="G166" i="2"/>
  <c r="V96" i="2"/>
  <c r="G74" i="2"/>
  <c r="P166" i="2"/>
  <c r="D166" i="2"/>
  <c r="F96" i="2"/>
  <c r="W166" i="2"/>
  <c r="J74" i="2"/>
  <c r="K96" i="2"/>
  <c r="J96" i="2"/>
  <c r="B74" i="2"/>
  <c r="X166" i="2"/>
  <c r="K166" i="2"/>
  <c r="O96" i="2"/>
  <c r="X74" i="2"/>
  <c r="Q166" i="2"/>
  <c r="J166" i="2"/>
  <c r="H166" i="2"/>
  <c r="G96" i="2"/>
  <c r="C96" i="2"/>
  <c r="M74" i="2"/>
  <c r="U74" i="2"/>
  <c r="F74" i="2"/>
  <c r="I166" i="2"/>
  <c r="M96" i="2"/>
  <c r="D74" i="2"/>
  <c r="I96" i="2"/>
  <c r="U96" i="2"/>
  <c r="H96" i="2"/>
  <c r="C166" i="2"/>
  <c r="W96" i="2"/>
  <c r="R166" i="2"/>
  <c r="S74" i="2"/>
  <c r="R74" i="2"/>
  <c r="L166" i="2"/>
  <c r="Q74" i="2"/>
  <c r="B96" i="2"/>
  <c r="T96" i="2"/>
  <c r="C74" i="2"/>
  <c r="T166" i="2"/>
  <c r="L96" i="2"/>
  <c r="I74" i="2"/>
  <c r="E96" i="2"/>
  <c r="F166" i="2"/>
  <c r="P96" i="2"/>
  <c r="W74" i="2"/>
  <c r="N96" i="2"/>
  <c r="P74" i="2"/>
  <c r="Q96" i="2"/>
  <c r="T74" i="2"/>
  <c r="N74" i="2"/>
  <c r="U166" i="2"/>
  <c r="S166" i="2"/>
  <c r="H74" i="2"/>
  <c r="V74" i="2"/>
  <c r="E166" i="2"/>
  <c r="D96" i="2"/>
  <c r="L74" i="2"/>
  <c r="K74" i="2"/>
  <c r="O74" i="2"/>
  <c r="N166" i="2"/>
  <c r="B166" i="2"/>
  <c r="O166" i="2"/>
  <c r="E74" i="2"/>
  <c r="Y166" i="2" l="1"/>
  <c r="BG165" i="1" s="1"/>
  <c r="A167" i="2"/>
  <c r="DG166" i="1"/>
  <c r="Y74" i="2"/>
  <c r="BG73" i="1" s="1"/>
  <c r="A75" i="2"/>
  <c r="DG74" i="1"/>
  <c r="Y96" i="2"/>
  <c r="BG95" i="1" s="1"/>
  <c r="DG95" i="1"/>
  <c r="A96" i="1"/>
  <c r="A97" i="2" s="1"/>
  <c r="AZ95" i="1"/>
  <c r="A167" i="1"/>
  <c r="AZ166" i="1"/>
  <c r="G166" i="1"/>
  <c r="F166" i="1"/>
  <c r="A75" i="1"/>
  <c r="AZ74" i="1"/>
  <c r="F74" i="1"/>
  <c r="F51" i="1"/>
  <c r="F153" i="1"/>
  <c r="G153" i="1"/>
  <c r="F47" i="1"/>
  <c r="AT167" i="1"/>
  <c r="DD75" i="1"/>
  <c r="DF75" i="1"/>
  <c r="DB75" i="1"/>
  <c r="AS167" i="1"/>
  <c r="L75" i="2"/>
  <c r="V97" i="2"/>
  <c r="M97" i="2"/>
  <c r="E97" i="2"/>
  <c r="S97" i="2"/>
  <c r="B75" i="2"/>
  <c r="R75" i="2"/>
  <c r="Q167" i="2"/>
  <c r="P97" i="2"/>
  <c r="W167" i="2"/>
  <c r="D97" i="2"/>
  <c r="W97" i="2"/>
  <c r="T167" i="2"/>
  <c r="M75" i="2"/>
  <c r="O167" i="2"/>
  <c r="O75" i="2"/>
  <c r="K97" i="2"/>
  <c r="U75" i="2"/>
  <c r="U97" i="2"/>
  <c r="N167" i="2"/>
  <c r="I167" i="2"/>
  <c r="Q97" i="2"/>
  <c r="H97" i="2"/>
  <c r="G75" i="2"/>
  <c r="H75" i="2"/>
  <c r="V167" i="2"/>
  <c r="K167" i="2"/>
  <c r="L167" i="2"/>
  <c r="W75" i="2"/>
  <c r="I97" i="2"/>
  <c r="E75" i="2"/>
  <c r="R97" i="2"/>
  <c r="O97" i="2"/>
  <c r="S75" i="2"/>
  <c r="G97" i="2"/>
  <c r="I75" i="2"/>
  <c r="Q75" i="2"/>
  <c r="F75" i="2"/>
  <c r="M167" i="2"/>
  <c r="J97" i="2"/>
  <c r="C167" i="2"/>
  <c r="E167" i="2"/>
  <c r="H167" i="2"/>
  <c r="F97" i="2"/>
  <c r="R167" i="2"/>
  <c r="X97" i="2"/>
  <c r="F167" i="2"/>
  <c r="S167" i="2"/>
  <c r="C97" i="2"/>
  <c r="P167" i="2"/>
  <c r="D167" i="2"/>
  <c r="N75" i="2"/>
  <c r="C75" i="2"/>
  <c r="G167" i="2"/>
  <c r="B167" i="2"/>
  <c r="X75" i="2"/>
  <c r="P75" i="2"/>
  <c r="J75" i="2"/>
  <c r="D75" i="2"/>
  <c r="K75" i="2"/>
  <c r="U167" i="2"/>
  <c r="L97" i="2"/>
  <c r="N97" i="2"/>
  <c r="J167" i="2"/>
  <c r="X167" i="2"/>
  <c r="V75" i="2"/>
  <c r="T97" i="2"/>
  <c r="T75" i="2"/>
  <c r="B97" i="2"/>
  <c r="Y167" i="2" l="1"/>
  <c r="BG166" i="1" s="1"/>
  <c r="A168" i="2"/>
  <c r="DG167" i="1"/>
  <c r="Y75" i="2"/>
  <c r="BG74" i="1" s="1"/>
  <c r="A76" i="2"/>
  <c r="DG75" i="1"/>
  <c r="Y97" i="2"/>
  <c r="BG96" i="1" s="1"/>
  <c r="DG96" i="1"/>
  <c r="A97" i="1"/>
  <c r="A98" i="2" s="1"/>
  <c r="AZ96" i="1"/>
  <c r="A168" i="1"/>
  <c r="AZ167" i="1"/>
  <c r="G167" i="1"/>
  <c r="F167" i="1"/>
  <c r="A76" i="1"/>
  <c r="AZ75" i="1"/>
  <c r="F75" i="1"/>
  <c r="F50" i="1"/>
  <c r="G152" i="1"/>
  <c r="F152" i="1"/>
  <c r="F46" i="1"/>
  <c r="AT168" i="1"/>
  <c r="DF76" i="1"/>
  <c r="AS168" i="1"/>
  <c r="DD76" i="1"/>
  <c r="DB76" i="1"/>
  <c r="O168" i="2"/>
  <c r="K168" i="2"/>
  <c r="X168" i="2"/>
  <c r="E168" i="2"/>
  <c r="I76" i="2"/>
  <c r="X76" i="2"/>
  <c r="G168" i="2"/>
  <c r="H76" i="2"/>
  <c r="P98" i="2"/>
  <c r="I168" i="2"/>
  <c r="Q98" i="2"/>
  <c r="W98" i="2"/>
  <c r="N76" i="2"/>
  <c r="P168" i="2"/>
  <c r="W76" i="2"/>
  <c r="F98" i="2"/>
  <c r="S98" i="2"/>
  <c r="V168" i="2"/>
  <c r="S168" i="2"/>
  <c r="T98" i="2"/>
  <c r="U168" i="2"/>
  <c r="H98" i="2"/>
  <c r="M76" i="2"/>
  <c r="H168" i="2"/>
  <c r="W168" i="2"/>
  <c r="J98" i="2"/>
  <c r="C76" i="2"/>
  <c r="D76" i="2"/>
  <c r="B168" i="2"/>
  <c r="C168" i="2"/>
  <c r="J76" i="2"/>
  <c r="K76" i="2"/>
  <c r="U98" i="2"/>
  <c r="S76" i="2"/>
  <c r="L98" i="2"/>
  <c r="V76" i="2"/>
  <c r="T76" i="2"/>
  <c r="Q168" i="2"/>
  <c r="U76" i="2"/>
  <c r="R168" i="2"/>
  <c r="O98" i="2"/>
  <c r="T168" i="2"/>
  <c r="P76" i="2"/>
  <c r="F76" i="2"/>
  <c r="B76" i="2"/>
  <c r="B98" i="2"/>
  <c r="R98" i="2"/>
  <c r="V98" i="2"/>
  <c r="D168" i="2"/>
  <c r="L168" i="2"/>
  <c r="N98" i="2"/>
  <c r="N168" i="2"/>
  <c r="Q76" i="2"/>
  <c r="R76" i="2"/>
  <c r="F168" i="2"/>
  <c r="C98" i="2"/>
  <c r="G98" i="2"/>
  <c r="G76" i="2"/>
  <c r="X98" i="2"/>
  <c r="L76" i="2"/>
  <c r="I98" i="2"/>
  <c r="M98" i="2"/>
  <c r="E98" i="2"/>
  <c r="D98" i="2"/>
  <c r="M168" i="2"/>
  <c r="O76" i="2"/>
  <c r="E76" i="2"/>
  <c r="J168" i="2"/>
  <c r="K98" i="2"/>
  <c r="Y168" i="2" l="1"/>
  <c r="BG167" i="1" s="1"/>
  <c r="A169" i="2"/>
  <c r="DG168" i="1"/>
  <c r="Y76" i="2"/>
  <c r="BG75" i="1" s="1"/>
  <c r="A77" i="2"/>
  <c r="DG76" i="1"/>
  <c r="Y98" i="2"/>
  <c r="BG97" i="1" s="1"/>
  <c r="DG97" i="1"/>
  <c r="A98" i="1"/>
  <c r="AZ97" i="1"/>
  <c r="A169" i="1"/>
  <c r="AZ168" i="1"/>
  <c r="G168" i="1"/>
  <c r="F168" i="1"/>
  <c r="A77" i="1"/>
  <c r="AZ76" i="1"/>
  <c r="F76" i="1"/>
  <c r="F49" i="1"/>
  <c r="F151" i="1"/>
  <c r="G151" i="1"/>
  <c r="F45" i="1"/>
  <c r="DB77" i="1"/>
  <c r="AT169" i="1"/>
  <c r="DD77" i="1"/>
  <c r="AS169" i="1"/>
  <c r="DF77" i="1"/>
  <c r="R77" i="2"/>
  <c r="S169" i="2"/>
  <c r="F169" i="2"/>
  <c r="C77" i="2"/>
  <c r="H169" i="2"/>
  <c r="M77" i="2"/>
  <c r="U169" i="2"/>
  <c r="K169" i="2"/>
  <c r="D77" i="2"/>
  <c r="P77" i="2"/>
  <c r="B169" i="2"/>
  <c r="X169" i="2"/>
  <c r="W169" i="2"/>
  <c r="W77" i="2"/>
  <c r="N77" i="2"/>
  <c r="T169" i="2"/>
  <c r="X77" i="2"/>
  <c r="V77" i="2"/>
  <c r="O169" i="2"/>
  <c r="E77" i="2"/>
  <c r="R169" i="2"/>
  <c r="S77" i="2"/>
  <c r="O77" i="2"/>
  <c r="U77" i="2"/>
  <c r="E169" i="2"/>
  <c r="K77" i="2"/>
  <c r="J169" i="2"/>
  <c r="I77" i="2"/>
  <c r="G169" i="2"/>
  <c r="M169" i="2"/>
  <c r="Q77" i="2"/>
  <c r="J77" i="2"/>
  <c r="V169" i="2"/>
  <c r="I169" i="2"/>
  <c r="F77" i="2"/>
  <c r="H77" i="2"/>
  <c r="Q169" i="2"/>
  <c r="D169" i="2"/>
  <c r="P169" i="2"/>
  <c r="T77" i="2"/>
  <c r="N169" i="2"/>
  <c r="L77" i="2"/>
  <c r="G77" i="2"/>
  <c r="B77" i="2"/>
  <c r="C169" i="2"/>
  <c r="L169" i="2"/>
  <c r="Y169" i="2" l="1"/>
  <c r="BG168" i="1" s="1"/>
  <c r="A170" i="2"/>
  <c r="DG169" i="1"/>
  <c r="Y77" i="2"/>
  <c r="BG76" i="1" s="1"/>
  <c r="A78" i="2"/>
  <c r="DG77" i="1"/>
  <c r="G98" i="1"/>
  <c r="A99" i="2"/>
  <c r="DG98" i="1"/>
  <c r="AZ98" i="1"/>
  <c r="A99" i="1"/>
  <c r="A100" i="2" s="1"/>
  <c r="F98" i="1"/>
  <c r="A170" i="1"/>
  <c r="AZ169" i="1"/>
  <c r="G169" i="1"/>
  <c r="F169" i="1"/>
  <c r="A78" i="1"/>
  <c r="AZ77" i="1"/>
  <c r="F77" i="1"/>
  <c r="F97" i="1"/>
  <c r="G97" i="1"/>
  <c r="G150" i="1"/>
  <c r="F150" i="1"/>
  <c r="DD78" i="1"/>
  <c r="AT170" i="1"/>
  <c r="AS170" i="1"/>
  <c r="DF78" i="1"/>
  <c r="DB78" i="1"/>
  <c r="N99" i="2"/>
  <c r="V78" i="2"/>
  <c r="N78" i="2"/>
  <c r="F99" i="2"/>
  <c r="E100" i="2"/>
  <c r="D100" i="2"/>
  <c r="G78" i="2"/>
  <c r="N170" i="2"/>
  <c r="M99" i="2"/>
  <c r="X100" i="2"/>
  <c r="W78" i="2"/>
  <c r="F78" i="2"/>
  <c r="B78" i="2"/>
  <c r="M78" i="2"/>
  <c r="V99" i="2"/>
  <c r="J170" i="2"/>
  <c r="B170" i="2"/>
  <c r="H78" i="2"/>
  <c r="W99" i="2"/>
  <c r="E99" i="2"/>
  <c r="L99" i="2"/>
  <c r="J99" i="2"/>
  <c r="E170" i="2"/>
  <c r="H100" i="2"/>
  <c r="N100" i="2"/>
  <c r="X99" i="2"/>
  <c r="I170" i="2"/>
  <c r="H99" i="2"/>
  <c r="J100" i="2"/>
  <c r="K99" i="2"/>
  <c r="P100" i="2"/>
  <c r="O78" i="2"/>
  <c r="B100" i="2"/>
  <c r="C100" i="2"/>
  <c r="X78" i="2"/>
  <c r="M170" i="2"/>
  <c r="G99" i="2"/>
  <c r="D78" i="2"/>
  <c r="P99" i="2"/>
  <c r="P78" i="2"/>
  <c r="P170" i="2"/>
  <c r="S99" i="2"/>
  <c r="B99" i="2"/>
  <c r="R170" i="2"/>
  <c r="S78" i="2"/>
  <c r="D99" i="2"/>
  <c r="U99" i="2"/>
  <c r="K100" i="2"/>
  <c r="J78" i="2"/>
  <c r="S100" i="2"/>
  <c r="W100" i="2"/>
  <c r="U78" i="2"/>
  <c r="K78" i="2"/>
  <c r="R99" i="2"/>
  <c r="F170" i="2"/>
  <c r="T170" i="2"/>
  <c r="E78" i="2"/>
  <c r="U170" i="2"/>
  <c r="V170" i="2"/>
  <c r="C78" i="2"/>
  <c r="T78" i="2"/>
  <c r="M100" i="2"/>
  <c r="T99" i="2"/>
  <c r="L78" i="2"/>
  <c r="X170" i="2"/>
  <c r="L100" i="2"/>
  <c r="I78" i="2"/>
  <c r="G170" i="2"/>
  <c r="R100" i="2"/>
  <c r="D170" i="2"/>
  <c r="S170" i="2"/>
  <c r="O100" i="2"/>
  <c r="Q78" i="2"/>
  <c r="T100" i="2"/>
  <c r="F100" i="2"/>
  <c r="W170" i="2"/>
  <c r="C170" i="2"/>
  <c r="G100" i="2"/>
  <c r="H170" i="2"/>
  <c r="C99" i="2"/>
  <c r="I100" i="2"/>
  <c r="I99" i="2"/>
  <c r="K170" i="2"/>
  <c r="Q99" i="2"/>
  <c r="Q100" i="2"/>
  <c r="L170" i="2"/>
  <c r="U100" i="2"/>
  <c r="O99" i="2"/>
  <c r="R78" i="2"/>
  <c r="Q170" i="2"/>
  <c r="V100" i="2"/>
  <c r="O170" i="2"/>
  <c r="Y170" i="2" l="1"/>
  <c r="BG169" i="1" s="1"/>
  <c r="A171" i="2"/>
  <c r="DG170" i="1"/>
  <c r="Y78" i="2"/>
  <c r="BG77" i="1" s="1"/>
  <c r="A79" i="2"/>
  <c r="DG78" i="1"/>
  <c r="Y99" i="2"/>
  <c r="BG98" i="1" s="1"/>
  <c r="Y100" i="2"/>
  <c r="BG99" i="1" s="1"/>
  <c r="DG99" i="1"/>
  <c r="A100" i="1"/>
  <c r="A101" i="2" s="1"/>
  <c r="AZ99" i="1"/>
  <c r="G99" i="1"/>
  <c r="F99" i="1"/>
  <c r="A171" i="1"/>
  <c r="AZ170" i="1"/>
  <c r="F170" i="1"/>
  <c r="G170" i="1"/>
  <c r="A79" i="1"/>
  <c r="AZ78" i="1"/>
  <c r="F78" i="1"/>
  <c r="G96" i="1"/>
  <c r="F96" i="1"/>
  <c r="F149" i="1"/>
  <c r="G149" i="1"/>
  <c r="AT171" i="1"/>
  <c r="DB79" i="1"/>
  <c r="DF79" i="1"/>
  <c r="AS171" i="1"/>
  <c r="DD79" i="1"/>
  <c r="W171" i="2"/>
  <c r="O79" i="2"/>
  <c r="N171" i="2"/>
  <c r="U171" i="2"/>
  <c r="I101" i="2"/>
  <c r="M101" i="2"/>
  <c r="L171" i="2"/>
  <c r="K101" i="2"/>
  <c r="P79" i="2"/>
  <c r="J79" i="2"/>
  <c r="B101" i="2"/>
  <c r="H101" i="2"/>
  <c r="W79" i="2"/>
  <c r="P101" i="2"/>
  <c r="C79" i="2"/>
  <c r="V171" i="2"/>
  <c r="G79" i="2"/>
  <c r="I171" i="2"/>
  <c r="N79" i="2"/>
  <c r="S79" i="2"/>
  <c r="J171" i="2"/>
  <c r="L101" i="2"/>
  <c r="D171" i="2"/>
  <c r="X171" i="2"/>
  <c r="V79" i="2"/>
  <c r="K171" i="2"/>
  <c r="W101" i="2"/>
  <c r="I79" i="2"/>
  <c r="C171" i="2"/>
  <c r="E171" i="2"/>
  <c r="T79" i="2"/>
  <c r="B79" i="2"/>
  <c r="J101" i="2"/>
  <c r="B171" i="2"/>
  <c r="O101" i="2"/>
  <c r="F79" i="2"/>
  <c r="C101" i="2"/>
  <c r="D79" i="2"/>
  <c r="D101" i="2"/>
  <c r="Q101" i="2"/>
  <c r="O171" i="2"/>
  <c r="X101" i="2"/>
  <c r="U79" i="2"/>
  <c r="R79" i="2"/>
  <c r="Q171" i="2"/>
  <c r="H171" i="2"/>
  <c r="L79" i="2"/>
  <c r="E79" i="2"/>
  <c r="G101" i="2"/>
  <c r="Q79" i="2"/>
  <c r="X79" i="2"/>
  <c r="S171" i="2"/>
  <c r="S101" i="2"/>
  <c r="F101" i="2"/>
  <c r="M79" i="2"/>
  <c r="N101" i="2"/>
  <c r="E101" i="2"/>
  <c r="U101" i="2"/>
  <c r="T171" i="2"/>
  <c r="V101" i="2"/>
  <c r="F171" i="2"/>
  <c r="T101" i="2"/>
  <c r="R101" i="2"/>
  <c r="G171" i="2"/>
  <c r="M171" i="2"/>
  <c r="P171" i="2"/>
  <c r="K79" i="2"/>
  <c r="R171" i="2"/>
  <c r="H79" i="2"/>
  <c r="Y171" i="2" l="1"/>
  <c r="BG170" i="1" s="1"/>
  <c r="A172" i="2"/>
  <c r="DG171" i="1"/>
  <c r="Y79" i="2"/>
  <c r="BG78" i="1" s="1"/>
  <c r="A80" i="2"/>
  <c r="DG79" i="1"/>
  <c r="Y101" i="2"/>
  <c r="BG100" i="1" s="1"/>
  <c r="DG100" i="1"/>
  <c r="A101" i="1"/>
  <c r="A102" i="2" s="1"/>
  <c r="AZ100" i="1"/>
  <c r="G100" i="1"/>
  <c r="F100" i="1"/>
  <c r="A172" i="1"/>
  <c r="AZ171" i="1"/>
  <c r="F171" i="1"/>
  <c r="G171" i="1"/>
  <c r="DF44" i="1"/>
  <c r="DB44" i="1"/>
  <c r="DD44" i="1"/>
  <c r="AZ79" i="1"/>
  <c r="F79" i="1"/>
  <c r="G95" i="1"/>
  <c r="F95" i="1"/>
  <c r="F148" i="1"/>
  <c r="G148" i="1"/>
  <c r="AS172" i="1"/>
  <c r="AT172" i="1"/>
  <c r="V172" i="2"/>
  <c r="L102" i="2"/>
  <c r="W80" i="2"/>
  <c r="F102" i="2"/>
  <c r="B102" i="2"/>
  <c r="E80" i="2"/>
  <c r="M172" i="2"/>
  <c r="W172" i="2"/>
  <c r="S102" i="2"/>
  <c r="L80" i="2"/>
  <c r="M80" i="2"/>
  <c r="P102" i="2"/>
  <c r="G172" i="2"/>
  <c r="W102" i="2"/>
  <c r="J172" i="2"/>
  <c r="B172" i="2"/>
  <c r="T80" i="2"/>
  <c r="N80" i="2"/>
  <c r="O172" i="2"/>
  <c r="M102" i="2"/>
  <c r="I102" i="2"/>
  <c r="O80" i="2"/>
  <c r="H102" i="2"/>
  <c r="B80" i="2"/>
  <c r="D172" i="2"/>
  <c r="P80" i="2"/>
  <c r="C102" i="2"/>
  <c r="F80" i="2"/>
  <c r="C80" i="2"/>
  <c r="X172" i="2"/>
  <c r="H80" i="2"/>
  <c r="T172" i="2"/>
  <c r="R80" i="2"/>
  <c r="G102" i="2"/>
  <c r="V80" i="2"/>
  <c r="G80" i="2"/>
  <c r="V102" i="2"/>
  <c r="U80" i="2"/>
  <c r="S80" i="2"/>
  <c r="I80" i="2"/>
  <c r="J80" i="2"/>
  <c r="I172" i="2"/>
  <c r="X80" i="2"/>
  <c r="N172" i="2"/>
  <c r="E102" i="2"/>
  <c r="T102" i="2"/>
  <c r="L172" i="2"/>
  <c r="F172" i="2"/>
  <c r="R172" i="2"/>
  <c r="N102" i="2"/>
  <c r="S172" i="2"/>
  <c r="H172" i="2"/>
  <c r="Q80" i="2"/>
  <c r="Q102" i="2"/>
  <c r="P172" i="2"/>
  <c r="R102" i="2"/>
  <c r="X102" i="2"/>
  <c r="K172" i="2"/>
  <c r="D80" i="2"/>
  <c r="J102" i="2"/>
  <c r="U102" i="2"/>
  <c r="U172" i="2"/>
  <c r="E172" i="2"/>
  <c r="K102" i="2"/>
  <c r="Q172" i="2"/>
  <c r="K80" i="2"/>
  <c r="O102" i="2"/>
  <c r="C172" i="2"/>
  <c r="D102" i="2"/>
  <c r="Y172" i="2" l="1"/>
  <c r="BG171" i="1" s="1"/>
  <c r="A173" i="2"/>
  <c r="DG172" i="1"/>
  <c r="Y80" i="2"/>
  <c r="BG79" i="1" s="1"/>
  <c r="Y102" i="2"/>
  <c r="BG101" i="1" s="1"/>
  <c r="DG101" i="1"/>
  <c r="A102" i="1"/>
  <c r="A103" i="2" s="1"/>
  <c r="AZ101" i="1"/>
  <c r="F101" i="1"/>
  <c r="G101" i="1"/>
  <c r="A173" i="1"/>
  <c r="AZ172" i="1"/>
  <c r="G172" i="1"/>
  <c r="F172" i="1"/>
  <c r="G94" i="1"/>
  <c r="F94" i="1"/>
  <c r="F147" i="1"/>
  <c r="G147" i="1"/>
  <c r="AT173" i="1"/>
  <c r="AS173" i="1"/>
  <c r="S103" i="2"/>
  <c r="J173" i="2"/>
  <c r="G173" i="2"/>
  <c r="B103" i="2"/>
  <c r="F103" i="2"/>
  <c r="S173" i="2"/>
  <c r="F173" i="2"/>
  <c r="W103" i="2"/>
  <c r="P173" i="2"/>
  <c r="R103" i="2"/>
  <c r="C103" i="2"/>
  <c r="V103" i="2"/>
  <c r="D173" i="2"/>
  <c r="C173" i="2"/>
  <c r="M173" i="2"/>
  <c r="O103" i="2"/>
  <c r="V173" i="2"/>
  <c r="U103" i="2"/>
  <c r="O173" i="2"/>
  <c r="X173" i="2"/>
  <c r="M103" i="2"/>
  <c r="G103" i="2"/>
  <c r="I173" i="2"/>
  <c r="L103" i="2"/>
  <c r="Q103" i="2"/>
  <c r="T173" i="2"/>
  <c r="T103" i="2"/>
  <c r="R173" i="2"/>
  <c r="U173" i="2"/>
  <c r="X103" i="2"/>
  <c r="J103" i="2"/>
  <c r="K173" i="2"/>
  <c r="D103" i="2"/>
  <c r="N103" i="2"/>
  <c r="B173" i="2"/>
  <c r="H173" i="2"/>
  <c r="E173" i="2"/>
  <c r="K103" i="2"/>
  <c r="Q173" i="2"/>
  <c r="W173" i="2"/>
  <c r="L173" i="2"/>
  <c r="H103" i="2"/>
  <c r="E103" i="2"/>
  <c r="N173" i="2"/>
  <c r="P103" i="2"/>
  <c r="I103" i="2"/>
  <c r="Y173" i="2" l="1"/>
  <c r="BG172" i="1" s="1"/>
  <c r="A174" i="2"/>
  <c r="DG173" i="1"/>
  <c r="Y103" i="2"/>
  <c r="BG102" i="1" s="1"/>
  <c r="DG102" i="1"/>
  <c r="A103" i="1"/>
  <c r="A104" i="2" s="1"/>
  <c r="AZ102" i="1"/>
  <c r="F102" i="1"/>
  <c r="G102" i="1"/>
  <c r="A174" i="1"/>
  <c r="AZ173" i="1"/>
  <c r="G173" i="1"/>
  <c r="F173" i="1"/>
  <c r="G93" i="1"/>
  <c r="F93" i="1"/>
  <c r="G146" i="1"/>
  <c r="F146" i="1"/>
  <c r="AT174" i="1"/>
  <c r="AS174" i="1"/>
  <c r="C174" i="2"/>
  <c r="S104" i="2"/>
  <c r="F104" i="2"/>
  <c r="N174" i="2"/>
  <c r="P174" i="2"/>
  <c r="B174" i="2"/>
  <c r="W104" i="2"/>
  <c r="O104" i="2"/>
  <c r="S174" i="2"/>
  <c r="T174" i="2"/>
  <c r="B104" i="2"/>
  <c r="K104" i="2"/>
  <c r="W174" i="2"/>
  <c r="X104" i="2"/>
  <c r="E104" i="2"/>
  <c r="U104" i="2"/>
  <c r="V104" i="2"/>
  <c r="D174" i="2"/>
  <c r="J104" i="2"/>
  <c r="E174" i="2"/>
  <c r="L174" i="2"/>
  <c r="H174" i="2"/>
  <c r="P104" i="2"/>
  <c r="T104" i="2"/>
  <c r="F174" i="2"/>
  <c r="J174" i="2"/>
  <c r="U174" i="2"/>
  <c r="D104" i="2"/>
  <c r="Q104" i="2"/>
  <c r="M104" i="2"/>
  <c r="M174" i="2"/>
  <c r="Q174" i="2"/>
  <c r="R104" i="2"/>
  <c r="N104" i="2"/>
  <c r="K174" i="2"/>
  <c r="R174" i="2"/>
  <c r="I104" i="2"/>
  <c r="G104" i="2"/>
  <c r="X174" i="2"/>
  <c r="V174" i="2"/>
  <c r="I174" i="2"/>
  <c r="O174" i="2"/>
  <c r="H104" i="2"/>
  <c r="L104" i="2"/>
  <c r="C104" i="2"/>
  <c r="G174" i="2"/>
  <c r="Y174" i="2" l="1"/>
  <c r="BG173" i="1" s="1"/>
  <c r="A175" i="2"/>
  <c r="DG174" i="1"/>
  <c r="Y104" i="2"/>
  <c r="BG103" i="1" s="1"/>
  <c r="DG103" i="1"/>
  <c r="AZ103" i="1"/>
  <c r="A104" i="1"/>
  <c r="A105" i="2" s="1"/>
  <c r="F103" i="1"/>
  <c r="G103" i="1"/>
  <c r="A175" i="1"/>
  <c r="AZ174" i="1"/>
  <c r="F174" i="1"/>
  <c r="G174" i="1"/>
  <c r="F92" i="1"/>
  <c r="G92" i="1"/>
  <c r="F145" i="1"/>
  <c r="G145" i="1"/>
  <c r="AS175" i="1"/>
  <c r="AT175" i="1"/>
  <c r="W175" i="2"/>
  <c r="R175" i="2"/>
  <c r="B105" i="2"/>
  <c r="P105" i="2"/>
  <c r="G175" i="2"/>
  <c r="D105" i="2"/>
  <c r="J105" i="2"/>
  <c r="O175" i="2"/>
  <c r="M175" i="2"/>
  <c r="H175" i="2"/>
  <c r="C175" i="2"/>
  <c r="E175" i="2"/>
  <c r="I175" i="2"/>
  <c r="I105" i="2"/>
  <c r="J175" i="2"/>
  <c r="P175" i="2"/>
  <c r="T105" i="2"/>
  <c r="W105" i="2"/>
  <c r="V105" i="2"/>
  <c r="S175" i="2"/>
  <c r="N175" i="2"/>
  <c r="U105" i="2"/>
  <c r="L175" i="2"/>
  <c r="K105" i="2"/>
  <c r="F105" i="2"/>
  <c r="E105" i="2"/>
  <c r="X175" i="2"/>
  <c r="L105" i="2"/>
  <c r="Q105" i="2"/>
  <c r="V175" i="2"/>
  <c r="O105" i="2"/>
  <c r="B175" i="2"/>
  <c r="D175" i="2"/>
  <c r="N105" i="2"/>
  <c r="K175" i="2"/>
  <c r="S105" i="2"/>
  <c r="H105" i="2"/>
  <c r="C105" i="2"/>
  <c r="T175" i="2"/>
  <c r="Q175" i="2"/>
  <c r="X105" i="2"/>
  <c r="M105" i="2"/>
  <c r="F175" i="2"/>
  <c r="G105" i="2"/>
  <c r="U175" i="2"/>
  <c r="R105" i="2"/>
  <c r="Y175" i="2" l="1"/>
  <c r="BG174" i="1" s="1"/>
  <c r="A176" i="2"/>
  <c r="DG175" i="1"/>
  <c r="Y105" i="2"/>
  <c r="BG104" i="1" s="1"/>
  <c r="DG104" i="1"/>
  <c r="A105" i="1"/>
  <c r="A106" i="2" s="1"/>
  <c r="AZ104" i="1"/>
  <c r="G104" i="1"/>
  <c r="F104" i="1"/>
  <c r="A176" i="1"/>
  <c r="AZ175" i="1"/>
  <c r="F175" i="1"/>
  <c r="G175" i="1"/>
  <c r="G91" i="1"/>
  <c r="F91" i="1"/>
  <c r="G144" i="1"/>
  <c r="F144" i="1"/>
  <c r="AS176" i="1"/>
  <c r="AT176" i="1"/>
  <c r="O106" i="2"/>
  <c r="G106" i="2"/>
  <c r="E106" i="2"/>
  <c r="W106" i="2"/>
  <c r="T176" i="2"/>
  <c r="R106" i="2"/>
  <c r="K176" i="2"/>
  <c r="B106" i="2"/>
  <c r="W176" i="2"/>
  <c r="U106" i="2"/>
  <c r="F106" i="2"/>
  <c r="H106" i="2"/>
  <c r="N106" i="2"/>
  <c r="M106" i="2"/>
  <c r="N176" i="2"/>
  <c r="H176" i="2"/>
  <c r="O176" i="2"/>
  <c r="L176" i="2"/>
  <c r="S106" i="2"/>
  <c r="L106" i="2"/>
  <c r="D106" i="2"/>
  <c r="F176" i="2"/>
  <c r="K106" i="2"/>
  <c r="V176" i="2"/>
  <c r="X106" i="2"/>
  <c r="U176" i="2"/>
  <c r="J106" i="2"/>
  <c r="X176" i="2"/>
  <c r="C106" i="2"/>
  <c r="I176" i="2"/>
  <c r="I106" i="2"/>
  <c r="T106" i="2"/>
  <c r="E176" i="2"/>
  <c r="J176" i="2"/>
  <c r="Q176" i="2"/>
  <c r="R176" i="2"/>
  <c r="V106" i="2"/>
  <c r="S176" i="2"/>
  <c r="D176" i="2"/>
  <c r="P176" i="2"/>
  <c r="M176" i="2"/>
  <c r="Q106" i="2"/>
  <c r="C176" i="2"/>
  <c r="G176" i="2"/>
  <c r="B176" i="2"/>
  <c r="P106" i="2"/>
  <c r="Y176" i="2" l="1"/>
  <c r="BG175" i="1" s="1"/>
  <c r="A177" i="2"/>
  <c r="DG176" i="1"/>
  <c r="Y106" i="2"/>
  <c r="BG105" i="1" s="1"/>
  <c r="DG105" i="1"/>
  <c r="A106" i="1"/>
  <c r="A107" i="2" s="1"/>
  <c r="AZ105" i="1"/>
  <c r="G105" i="1"/>
  <c r="F105" i="1"/>
  <c r="A177" i="1"/>
  <c r="AZ176" i="1"/>
  <c r="F176" i="1"/>
  <c r="G176" i="1"/>
  <c r="G90" i="1"/>
  <c r="F90" i="1"/>
  <c r="F143" i="1"/>
  <c r="G143" i="1"/>
  <c r="AT177" i="1"/>
  <c r="AS177" i="1"/>
  <c r="K177" i="2"/>
  <c r="J107" i="2"/>
  <c r="R177" i="2"/>
  <c r="R107" i="2"/>
  <c r="X107" i="2"/>
  <c r="I107" i="2"/>
  <c r="B107" i="2"/>
  <c r="N177" i="2"/>
  <c r="S107" i="2"/>
  <c r="I177" i="2"/>
  <c r="N107" i="2"/>
  <c r="T107" i="2"/>
  <c r="L177" i="2"/>
  <c r="K107" i="2"/>
  <c r="F107" i="2"/>
  <c r="V107" i="2"/>
  <c r="F177" i="2"/>
  <c r="O177" i="2"/>
  <c r="S177" i="2"/>
  <c r="B177" i="2"/>
  <c r="M107" i="2"/>
  <c r="C177" i="2"/>
  <c r="G107" i="2"/>
  <c r="U177" i="2"/>
  <c r="H107" i="2"/>
  <c r="V177" i="2"/>
  <c r="Q107" i="2"/>
  <c r="W177" i="2"/>
  <c r="O107" i="2"/>
  <c r="D107" i="2"/>
  <c r="X177" i="2"/>
  <c r="M177" i="2"/>
  <c r="C107" i="2"/>
  <c r="J177" i="2"/>
  <c r="P177" i="2"/>
  <c r="D177" i="2"/>
  <c r="W107" i="2"/>
  <c r="L107" i="2"/>
  <c r="P107" i="2"/>
  <c r="E177" i="2"/>
  <c r="Q177" i="2"/>
  <c r="G177" i="2"/>
  <c r="E107" i="2"/>
  <c r="T177" i="2"/>
  <c r="U107" i="2"/>
  <c r="H177" i="2"/>
  <c r="Y177" i="2" l="1"/>
  <c r="BG176" i="1" s="1"/>
  <c r="A178" i="2"/>
  <c r="DG177" i="1"/>
  <c r="Y107" i="2"/>
  <c r="BG106" i="1" s="1"/>
  <c r="DG106" i="1"/>
  <c r="A107" i="1"/>
  <c r="A108" i="2" s="1"/>
  <c r="AZ106" i="1"/>
  <c r="G106" i="1"/>
  <c r="F106" i="1"/>
  <c r="A178" i="1"/>
  <c r="AZ177" i="1"/>
  <c r="F177" i="1"/>
  <c r="G177" i="1"/>
  <c r="G89" i="1"/>
  <c r="F89" i="1"/>
  <c r="F142" i="1"/>
  <c r="G142" i="1"/>
  <c r="AT178" i="1"/>
  <c r="AS178" i="1"/>
  <c r="Q178" i="2"/>
  <c r="O178" i="2"/>
  <c r="F108" i="2"/>
  <c r="V108" i="2"/>
  <c r="U108" i="2"/>
  <c r="T178" i="2"/>
  <c r="W178" i="2"/>
  <c r="H108" i="2"/>
  <c r="U178" i="2"/>
  <c r="L178" i="2"/>
  <c r="Q108" i="2"/>
  <c r="K108" i="2"/>
  <c r="H178" i="2"/>
  <c r="B108" i="2"/>
  <c r="S178" i="2"/>
  <c r="D108" i="2"/>
  <c r="J178" i="2"/>
  <c r="K178" i="2"/>
  <c r="C178" i="2"/>
  <c r="E108" i="2"/>
  <c r="O108" i="2"/>
  <c r="B178" i="2"/>
  <c r="P178" i="2"/>
  <c r="L108" i="2"/>
  <c r="I108" i="2"/>
  <c r="E178" i="2"/>
  <c r="N108" i="2"/>
  <c r="F178" i="2"/>
  <c r="M108" i="2"/>
  <c r="I178" i="2"/>
  <c r="X178" i="2"/>
  <c r="G108" i="2"/>
  <c r="V178" i="2"/>
  <c r="S108" i="2"/>
  <c r="R108" i="2"/>
  <c r="P108" i="2"/>
  <c r="G178" i="2"/>
  <c r="N178" i="2"/>
  <c r="M178" i="2"/>
  <c r="X108" i="2"/>
  <c r="W108" i="2"/>
  <c r="T108" i="2"/>
  <c r="R178" i="2"/>
  <c r="D178" i="2"/>
  <c r="J108" i="2"/>
  <c r="C108" i="2"/>
  <c r="Y178" i="2" l="1"/>
  <c r="BG177" i="1" s="1"/>
  <c r="A179" i="2"/>
  <c r="DG178" i="1"/>
  <c r="Y108" i="2"/>
  <c r="BG107" i="1" s="1"/>
  <c r="DG107" i="1"/>
  <c r="A108" i="1"/>
  <c r="A109" i="2" s="1"/>
  <c r="F107" i="1"/>
  <c r="AZ107" i="1"/>
  <c r="G107" i="1"/>
  <c r="A179" i="1"/>
  <c r="AZ178" i="1"/>
  <c r="G178" i="1"/>
  <c r="F178" i="1"/>
  <c r="F88" i="1"/>
  <c r="G88" i="1"/>
  <c r="G141" i="1"/>
  <c r="F141" i="1"/>
  <c r="AS179" i="1"/>
  <c r="AT179" i="1"/>
  <c r="C179" i="2"/>
  <c r="V109" i="2"/>
  <c r="T109" i="2"/>
  <c r="X109" i="2"/>
  <c r="E109" i="2"/>
  <c r="S179" i="2"/>
  <c r="D179" i="2"/>
  <c r="S109" i="2"/>
  <c r="F179" i="2"/>
  <c r="F109" i="2"/>
  <c r="M109" i="2"/>
  <c r="J109" i="2"/>
  <c r="H179" i="2"/>
  <c r="W109" i="2"/>
  <c r="R179" i="2"/>
  <c r="G179" i="2"/>
  <c r="J179" i="2"/>
  <c r="L179" i="2"/>
  <c r="P179" i="2"/>
  <c r="Q109" i="2"/>
  <c r="B109" i="2"/>
  <c r="Q179" i="2"/>
  <c r="U109" i="2"/>
  <c r="H109" i="2"/>
  <c r="N109" i="2"/>
  <c r="V179" i="2"/>
  <c r="G109" i="2"/>
  <c r="M179" i="2"/>
  <c r="B179" i="2"/>
  <c r="E179" i="2"/>
  <c r="K179" i="2"/>
  <c r="D109" i="2"/>
  <c r="O109" i="2"/>
  <c r="U179" i="2"/>
  <c r="X179" i="2"/>
  <c r="T179" i="2"/>
  <c r="L109" i="2"/>
  <c r="C109" i="2"/>
  <c r="I109" i="2"/>
  <c r="P109" i="2"/>
  <c r="K109" i="2"/>
  <c r="O179" i="2"/>
  <c r="N179" i="2"/>
  <c r="I179" i="2"/>
  <c r="W179" i="2"/>
  <c r="R109" i="2"/>
  <c r="Y179" i="2" l="1"/>
  <c r="BG178" i="1" s="1"/>
  <c r="A180" i="2"/>
  <c r="DG179" i="1"/>
  <c r="Y109" i="2"/>
  <c r="BG108" i="1" s="1"/>
  <c r="DG108" i="1"/>
  <c r="G108" i="1"/>
  <c r="F108" i="1"/>
  <c r="A109" i="1"/>
  <c r="A110" i="2" s="1"/>
  <c r="AZ108" i="1"/>
  <c r="A180" i="1"/>
  <c r="AZ179" i="1"/>
  <c r="G179" i="1"/>
  <c r="F179" i="1"/>
  <c r="F87" i="1"/>
  <c r="G87" i="1"/>
  <c r="G140" i="1"/>
  <c r="F140" i="1"/>
  <c r="AS180" i="1"/>
  <c r="AT180" i="1"/>
  <c r="N180" i="2"/>
  <c r="K110" i="2"/>
  <c r="H110" i="2"/>
  <c r="U110" i="2"/>
  <c r="L180" i="2"/>
  <c r="B110" i="2"/>
  <c r="J180" i="2"/>
  <c r="S180" i="2"/>
  <c r="C180" i="2"/>
  <c r="W180" i="2"/>
  <c r="M180" i="2"/>
  <c r="F180" i="2"/>
  <c r="U180" i="2"/>
  <c r="O110" i="2"/>
  <c r="G180" i="2"/>
  <c r="Q180" i="2"/>
  <c r="E180" i="2"/>
  <c r="D110" i="2"/>
  <c r="N110" i="2"/>
  <c r="P180" i="2"/>
  <c r="R180" i="2"/>
  <c r="Q110" i="2"/>
  <c r="X110" i="2"/>
  <c r="I180" i="2"/>
  <c r="D180" i="2"/>
  <c r="P110" i="2"/>
  <c r="H180" i="2"/>
  <c r="X180" i="2"/>
  <c r="F110" i="2"/>
  <c r="K180" i="2"/>
  <c r="O180" i="2"/>
  <c r="R110" i="2"/>
  <c r="T110" i="2"/>
  <c r="V110" i="2"/>
  <c r="W110" i="2"/>
  <c r="C110" i="2"/>
  <c r="G110" i="2"/>
  <c r="T180" i="2"/>
  <c r="B180" i="2"/>
  <c r="S110" i="2"/>
  <c r="I110" i="2"/>
  <c r="V180" i="2"/>
  <c r="J110" i="2"/>
  <c r="M110" i="2"/>
  <c r="E110" i="2"/>
  <c r="L110" i="2"/>
  <c r="Y180" i="2" l="1"/>
  <c r="BG179" i="1" s="1"/>
  <c r="A181" i="2"/>
  <c r="DG180" i="1"/>
  <c r="Y110" i="2"/>
  <c r="BG109" i="1" s="1"/>
  <c r="DG109" i="1"/>
  <c r="AZ109" i="1"/>
  <c r="G109" i="1"/>
  <c r="F109" i="1"/>
  <c r="A110" i="1"/>
  <c r="A111" i="2" s="1"/>
  <c r="A181" i="1"/>
  <c r="AZ180" i="1"/>
  <c r="G180" i="1"/>
  <c r="F180" i="1"/>
  <c r="F86" i="1"/>
  <c r="G86" i="1"/>
  <c r="F139" i="1"/>
  <c r="G139" i="1"/>
  <c r="AT181" i="1"/>
  <c r="AS181" i="1"/>
  <c r="E111" i="2"/>
  <c r="B111" i="2"/>
  <c r="G181" i="2"/>
  <c r="H181" i="2"/>
  <c r="M111" i="2"/>
  <c r="F111" i="2"/>
  <c r="S181" i="2"/>
  <c r="B181" i="2"/>
  <c r="D111" i="2"/>
  <c r="V181" i="2"/>
  <c r="H111" i="2"/>
  <c r="T181" i="2"/>
  <c r="E181" i="2"/>
  <c r="P111" i="2"/>
  <c r="I111" i="2"/>
  <c r="W111" i="2"/>
  <c r="L181" i="2"/>
  <c r="C111" i="2"/>
  <c r="Q181" i="2"/>
  <c r="K111" i="2"/>
  <c r="O111" i="2"/>
  <c r="R111" i="2"/>
  <c r="C181" i="2"/>
  <c r="N181" i="2"/>
  <c r="G111" i="2"/>
  <c r="W181" i="2"/>
  <c r="N111" i="2"/>
  <c r="D181" i="2"/>
  <c r="I181" i="2"/>
  <c r="J111" i="2"/>
  <c r="T111" i="2"/>
  <c r="X111" i="2"/>
  <c r="X181" i="2"/>
  <c r="S111" i="2"/>
  <c r="V111" i="2"/>
  <c r="J181" i="2"/>
  <c r="O181" i="2"/>
  <c r="L111" i="2"/>
  <c r="M181" i="2"/>
  <c r="U111" i="2"/>
  <c r="Q111" i="2"/>
  <c r="R181" i="2"/>
  <c r="P181" i="2"/>
  <c r="F181" i="2"/>
  <c r="U181" i="2"/>
  <c r="K181" i="2"/>
  <c r="Y181" i="2" l="1"/>
  <c r="BG180" i="1" s="1"/>
  <c r="A182" i="2"/>
  <c r="DG181" i="1"/>
  <c r="Y111" i="2"/>
  <c r="BG110" i="1" s="1"/>
  <c r="DG110" i="1"/>
  <c r="AZ110" i="1"/>
  <c r="F110" i="1"/>
  <c r="G110" i="1"/>
  <c r="A111" i="1"/>
  <c r="A112" i="2" s="1"/>
  <c r="A182" i="1"/>
  <c r="AZ181" i="1"/>
  <c r="G181" i="1"/>
  <c r="F181" i="1"/>
  <c r="G85" i="1"/>
  <c r="F85" i="1"/>
  <c r="G138" i="1"/>
  <c r="F138" i="1"/>
  <c r="AT182" i="1"/>
  <c r="AS182" i="1"/>
  <c r="K112" i="2"/>
  <c r="U112" i="2"/>
  <c r="H182" i="2"/>
  <c r="N182" i="2"/>
  <c r="F182" i="2"/>
  <c r="J112" i="2"/>
  <c r="D112" i="2"/>
  <c r="K182" i="2"/>
  <c r="O112" i="2"/>
  <c r="V182" i="2"/>
  <c r="S182" i="2"/>
  <c r="U182" i="2"/>
  <c r="L182" i="2"/>
  <c r="M112" i="2"/>
  <c r="T112" i="2"/>
  <c r="P182" i="2"/>
  <c r="R112" i="2"/>
  <c r="E112" i="2"/>
  <c r="H112" i="2"/>
  <c r="G182" i="2"/>
  <c r="X112" i="2"/>
  <c r="B182" i="2"/>
  <c r="E182" i="2"/>
  <c r="L112" i="2"/>
  <c r="M182" i="2"/>
  <c r="Q112" i="2"/>
  <c r="W112" i="2"/>
  <c r="F112" i="2"/>
  <c r="Q182" i="2"/>
  <c r="T182" i="2"/>
  <c r="G112" i="2"/>
  <c r="I182" i="2"/>
  <c r="J182" i="2"/>
  <c r="C112" i="2"/>
  <c r="C182" i="2"/>
  <c r="B112" i="2"/>
  <c r="P112" i="2"/>
  <c r="W182" i="2"/>
  <c r="N112" i="2"/>
  <c r="R182" i="2"/>
  <c r="X182" i="2"/>
  <c r="V112" i="2"/>
  <c r="S112" i="2"/>
  <c r="D182" i="2"/>
  <c r="I112" i="2"/>
  <c r="O182" i="2"/>
  <c r="Y182" i="2" l="1"/>
  <c r="BG181" i="1" s="1"/>
  <c r="A183" i="2"/>
  <c r="DG182" i="1"/>
  <c r="Y112" i="2"/>
  <c r="BG111" i="1" s="1"/>
  <c r="DG111" i="1"/>
  <c r="AZ111" i="1"/>
  <c r="F111" i="1"/>
  <c r="G111" i="1"/>
  <c r="A112" i="1"/>
  <c r="A113" i="2" s="1"/>
  <c r="A183" i="1"/>
  <c r="AZ182" i="1"/>
  <c r="G182" i="1"/>
  <c r="F182" i="1"/>
  <c r="G137" i="1"/>
  <c r="F137" i="1"/>
  <c r="AS183" i="1"/>
  <c r="AT183" i="1"/>
  <c r="J113" i="2"/>
  <c r="J183" i="2"/>
  <c r="V113" i="2"/>
  <c r="K183" i="2"/>
  <c r="R183" i="2"/>
  <c r="C113" i="2"/>
  <c r="I183" i="2"/>
  <c r="N113" i="2"/>
  <c r="U113" i="2"/>
  <c r="P183" i="2"/>
  <c r="E183" i="2"/>
  <c r="I113" i="2"/>
  <c r="W183" i="2"/>
  <c r="M183" i="2"/>
  <c r="T113" i="2"/>
  <c r="O183" i="2"/>
  <c r="D113" i="2"/>
  <c r="O113" i="2"/>
  <c r="W113" i="2"/>
  <c r="S113" i="2"/>
  <c r="L113" i="2"/>
  <c r="D183" i="2"/>
  <c r="T183" i="2"/>
  <c r="G183" i="2"/>
  <c r="F183" i="2"/>
  <c r="Q113" i="2"/>
  <c r="Q183" i="2"/>
  <c r="V183" i="2"/>
  <c r="H183" i="2"/>
  <c r="X183" i="2"/>
  <c r="G113" i="2"/>
  <c r="M113" i="2"/>
  <c r="F113" i="2"/>
  <c r="R113" i="2"/>
  <c r="S183" i="2"/>
  <c r="E113" i="2"/>
  <c r="U183" i="2"/>
  <c r="X113" i="2"/>
  <c r="H113" i="2"/>
  <c r="N183" i="2"/>
  <c r="C183" i="2"/>
  <c r="L183" i="2"/>
  <c r="K113" i="2"/>
  <c r="B183" i="2"/>
  <c r="P113" i="2"/>
  <c r="B113" i="2"/>
  <c r="Y183" i="2" l="1"/>
  <c r="BG182" i="1" s="1"/>
  <c r="A184" i="2"/>
  <c r="DG183" i="1"/>
  <c r="Y113" i="2"/>
  <c r="BG112" i="1" s="1"/>
  <c r="DG112" i="1"/>
  <c r="AZ112" i="1"/>
  <c r="G112" i="1"/>
  <c r="F112" i="1"/>
  <c r="A113" i="1"/>
  <c r="A114" i="2" s="1"/>
  <c r="A184" i="1"/>
  <c r="AZ183" i="1"/>
  <c r="F183" i="1"/>
  <c r="G183" i="1"/>
  <c r="CT84" i="1"/>
  <c r="AS184" i="1"/>
  <c r="AT184" i="1"/>
  <c r="D114" i="2"/>
  <c r="B114" i="2"/>
  <c r="C184" i="2"/>
  <c r="K114" i="2"/>
  <c r="N184" i="2"/>
  <c r="F184" i="2"/>
  <c r="R114" i="2"/>
  <c r="J184" i="2"/>
  <c r="H114" i="2"/>
  <c r="C114" i="2"/>
  <c r="G184" i="2"/>
  <c r="O184" i="2"/>
  <c r="L114" i="2"/>
  <c r="K184" i="2"/>
  <c r="T114" i="2"/>
  <c r="Q114" i="2"/>
  <c r="U184" i="2"/>
  <c r="N114" i="2"/>
  <c r="B184" i="2"/>
  <c r="Q184" i="2"/>
  <c r="I114" i="2"/>
  <c r="W114" i="2"/>
  <c r="S184" i="2"/>
  <c r="X184" i="2"/>
  <c r="E184" i="2"/>
  <c r="S114" i="2"/>
  <c r="T184" i="2"/>
  <c r="M184" i="2"/>
  <c r="D184" i="2"/>
  <c r="M114" i="2"/>
  <c r="J114" i="2"/>
  <c r="U114" i="2"/>
  <c r="P114" i="2"/>
  <c r="W184" i="2"/>
  <c r="F114" i="2"/>
  <c r="E114" i="2"/>
  <c r="V114" i="2"/>
  <c r="O114" i="2"/>
  <c r="H184" i="2"/>
  <c r="P184" i="2"/>
  <c r="L184" i="2"/>
  <c r="R184" i="2"/>
  <c r="I184" i="2"/>
  <c r="V184" i="2"/>
  <c r="X114" i="2"/>
  <c r="G114" i="2"/>
  <c r="Y184" i="2" l="1"/>
  <c r="BG183" i="1" s="1"/>
  <c r="A185" i="2"/>
  <c r="DG184" i="1"/>
  <c r="Y114" i="2"/>
  <c r="BG113" i="1" s="1"/>
  <c r="DG113" i="1"/>
  <c r="F113" i="1"/>
  <c r="A114" i="1"/>
  <c r="A115" i="2" s="1"/>
  <c r="AZ113" i="1"/>
  <c r="G113" i="1"/>
  <c r="A185" i="1"/>
  <c r="AZ184" i="1"/>
  <c r="G184" i="1"/>
  <c r="F184" i="1"/>
  <c r="AT185" i="1"/>
  <c r="AS185" i="1"/>
  <c r="E185" i="2"/>
  <c r="R185" i="2"/>
  <c r="N185" i="2"/>
  <c r="S185" i="2"/>
  <c r="U185" i="2"/>
  <c r="Q115" i="2"/>
  <c r="N115" i="2"/>
  <c r="C115" i="2"/>
  <c r="F115" i="2"/>
  <c r="J115" i="2"/>
  <c r="T115" i="2"/>
  <c r="G185" i="2"/>
  <c r="B115" i="2"/>
  <c r="J185" i="2"/>
  <c r="F185" i="2"/>
  <c r="T185" i="2"/>
  <c r="K115" i="2"/>
  <c r="X185" i="2"/>
  <c r="K185" i="2"/>
  <c r="V185" i="2"/>
  <c r="V115" i="2"/>
  <c r="O115" i="2"/>
  <c r="H115" i="2"/>
  <c r="Q185" i="2"/>
  <c r="D115" i="2"/>
  <c r="L115" i="2"/>
  <c r="P185" i="2"/>
  <c r="R115" i="2"/>
  <c r="X115" i="2"/>
  <c r="O185" i="2"/>
  <c r="M185" i="2"/>
  <c r="M115" i="2"/>
  <c r="E115" i="2"/>
  <c r="L185" i="2"/>
  <c r="I185" i="2"/>
  <c r="W115" i="2"/>
  <c r="I115" i="2"/>
  <c r="H185" i="2"/>
  <c r="P115" i="2"/>
  <c r="S115" i="2"/>
  <c r="U115" i="2"/>
  <c r="W185" i="2"/>
  <c r="C185" i="2"/>
  <c r="G115" i="2"/>
  <c r="B185" i="2"/>
  <c r="D185" i="2"/>
  <c r="Y185" i="2" l="1"/>
  <c r="BG184" i="1" s="1"/>
  <c r="A186" i="2"/>
  <c r="DG185" i="1"/>
  <c r="Y115" i="2"/>
  <c r="BG114" i="1" s="1"/>
  <c r="DG114" i="1"/>
  <c r="F114" i="1"/>
  <c r="G114" i="1"/>
  <c r="A115" i="1"/>
  <c r="A116" i="2" s="1"/>
  <c r="AZ114" i="1"/>
  <c r="A186" i="1"/>
  <c r="AZ185" i="1"/>
  <c r="G185" i="1"/>
  <c r="F185" i="1"/>
  <c r="BK135" i="1"/>
  <c r="BL135" i="1" s="1"/>
  <c r="BM135" i="1" s="1"/>
  <c r="BN135" i="1" s="1"/>
  <c r="BO135" i="1" s="1"/>
  <c r="AT186" i="1"/>
  <c r="AS186" i="1"/>
  <c r="X186" i="2"/>
  <c r="U116" i="2"/>
  <c r="M116" i="2"/>
  <c r="G186" i="2"/>
  <c r="F186" i="2"/>
  <c r="B186" i="2"/>
  <c r="B116" i="2"/>
  <c r="I186" i="2"/>
  <c r="J116" i="2"/>
  <c r="C186" i="2"/>
  <c r="L186" i="2"/>
  <c r="L116" i="2"/>
  <c r="R116" i="2"/>
  <c r="K116" i="2"/>
  <c r="P186" i="2"/>
  <c r="V116" i="2"/>
  <c r="W116" i="2"/>
  <c r="S116" i="2"/>
  <c r="T186" i="2"/>
  <c r="N116" i="2"/>
  <c r="P116" i="2"/>
  <c r="N186" i="2"/>
  <c r="G116" i="2"/>
  <c r="C116" i="2"/>
  <c r="X116" i="2"/>
  <c r="H116" i="2"/>
  <c r="V186" i="2"/>
  <c r="W186" i="2"/>
  <c r="H186" i="2"/>
  <c r="D186" i="2"/>
  <c r="K186" i="2"/>
  <c r="U186" i="2"/>
  <c r="Q116" i="2"/>
  <c r="D116" i="2"/>
  <c r="O116" i="2"/>
  <c r="S186" i="2"/>
  <c r="T116" i="2"/>
  <c r="M186" i="2"/>
  <c r="R186" i="2"/>
  <c r="I116" i="2"/>
  <c r="J186" i="2"/>
  <c r="O186" i="2"/>
  <c r="E116" i="2"/>
  <c r="E186" i="2"/>
  <c r="F116" i="2"/>
  <c r="Q186" i="2"/>
  <c r="Y186" i="2" l="1"/>
  <c r="BG185" i="1" s="1"/>
  <c r="A187" i="2"/>
  <c r="DG186" i="1"/>
  <c r="Y116" i="2"/>
  <c r="BG115" i="1" s="1"/>
  <c r="DG115" i="1"/>
  <c r="AZ115" i="1"/>
  <c r="G115" i="1"/>
  <c r="F115" i="1"/>
  <c r="A116" i="1"/>
  <c r="A117" i="2" s="1"/>
  <c r="A187" i="1"/>
  <c r="AZ186" i="1"/>
  <c r="F186" i="1"/>
  <c r="G186" i="1"/>
  <c r="CE135" i="1"/>
  <c r="CF135" i="1" s="1"/>
  <c r="CG135" i="1" s="1"/>
  <c r="CH135" i="1" s="1"/>
  <c r="CI135" i="1" s="1"/>
  <c r="AT187" i="1"/>
  <c r="AS187" i="1"/>
  <c r="X187" i="2"/>
  <c r="J117" i="2"/>
  <c r="L187" i="2"/>
  <c r="S117" i="2"/>
  <c r="T117" i="2"/>
  <c r="F187" i="2"/>
  <c r="E187" i="2"/>
  <c r="L117" i="2"/>
  <c r="H187" i="2"/>
  <c r="H117" i="2"/>
  <c r="M117" i="2"/>
  <c r="D187" i="2"/>
  <c r="N117" i="2"/>
  <c r="D117" i="2"/>
  <c r="J187" i="2"/>
  <c r="R187" i="2"/>
  <c r="C187" i="2"/>
  <c r="I187" i="2"/>
  <c r="S187" i="2"/>
  <c r="U117" i="2"/>
  <c r="K117" i="2"/>
  <c r="U187" i="2"/>
  <c r="V187" i="2"/>
  <c r="M187" i="2"/>
  <c r="I117" i="2"/>
  <c r="O117" i="2"/>
  <c r="T187" i="2"/>
  <c r="G117" i="2"/>
  <c r="B187" i="2"/>
  <c r="O187" i="2"/>
  <c r="R117" i="2"/>
  <c r="X117" i="2"/>
  <c r="W187" i="2"/>
  <c r="C117" i="2"/>
  <c r="W117" i="2"/>
  <c r="N187" i="2"/>
  <c r="Q187" i="2"/>
  <c r="K187" i="2"/>
  <c r="P117" i="2"/>
  <c r="Q117" i="2"/>
  <c r="V117" i="2"/>
  <c r="B117" i="2"/>
  <c r="F117" i="2"/>
  <c r="P187" i="2"/>
  <c r="E117" i="2"/>
  <c r="G187" i="2"/>
  <c r="Y187" i="2" l="1"/>
  <c r="BG186" i="1" s="1"/>
  <c r="A188" i="2"/>
  <c r="DG187" i="1"/>
  <c r="Y117" i="2"/>
  <c r="BG116" i="1" s="1"/>
  <c r="DG116" i="1"/>
  <c r="AZ116" i="1"/>
  <c r="F116" i="1"/>
  <c r="G116" i="1"/>
  <c r="A117" i="1"/>
  <c r="A118" i="2" s="1"/>
  <c r="A188" i="1"/>
  <c r="AZ187" i="1"/>
  <c r="G187" i="1"/>
  <c r="F187" i="1"/>
  <c r="AS188" i="1"/>
  <c r="AT188" i="1"/>
  <c r="G188" i="2"/>
  <c r="J118" i="2"/>
  <c r="E118" i="2"/>
  <c r="T188" i="2"/>
  <c r="M188" i="2"/>
  <c r="N118" i="2"/>
  <c r="T118" i="2"/>
  <c r="C118" i="2"/>
  <c r="F188" i="2"/>
  <c r="L118" i="2"/>
  <c r="Q188" i="2"/>
  <c r="D118" i="2"/>
  <c r="O118" i="2"/>
  <c r="O188" i="2"/>
  <c r="U118" i="2"/>
  <c r="K188" i="2"/>
  <c r="H118" i="2"/>
  <c r="X188" i="2"/>
  <c r="V188" i="2"/>
  <c r="M118" i="2"/>
  <c r="G118" i="2"/>
  <c r="F118" i="2"/>
  <c r="D188" i="2"/>
  <c r="I188" i="2"/>
  <c r="B118" i="2"/>
  <c r="B188" i="2"/>
  <c r="Q118" i="2"/>
  <c r="C188" i="2"/>
  <c r="E188" i="2"/>
  <c r="R188" i="2"/>
  <c r="H188" i="2"/>
  <c r="X118" i="2"/>
  <c r="L188" i="2"/>
  <c r="P118" i="2"/>
  <c r="R118" i="2"/>
  <c r="U188" i="2"/>
  <c r="W188" i="2"/>
  <c r="W118" i="2"/>
  <c r="V118" i="2"/>
  <c r="K118" i="2"/>
  <c r="S118" i="2"/>
  <c r="N188" i="2"/>
  <c r="S188" i="2"/>
  <c r="P188" i="2"/>
  <c r="J188" i="2"/>
  <c r="I118" i="2"/>
  <c r="Y188" i="2" l="1"/>
  <c r="BG187" i="1" s="1"/>
  <c r="A189" i="2"/>
  <c r="DG188" i="1"/>
  <c r="Y118" i="2"/>
  <c r="BG117" i="1" s="1"/>
  <c r="DG117" i="1"/>
  <c r="A118" i="1"/>
  <c r="A119" i="2" s="1"/>
  <c r="AZ117" i="1"/>
  <c r="F117" i="1"/>
  <c r="G117" i="1"/>
  <c r="A189" i="1"/>
  <c r="AZ188" i="1"/>
  <c r="F188" i="1"/>
  <c r="G188" i="1"/>
  <c r="AS189" i="1"/>
  <c r="DC189" i="1"/>
  <c r="DD189" i="1"/>
  <c r="AT189" i="1"/>
  <c r="L189" i="2"/>
  <c r="B189" i="2"/>
  <c r="P189" i="2"/>
  <c r="Q119" i="2"/>
  <c r="D119" i="2"/>
  <c r="F119" i="2"/>
  <c r="G119" i="2"/>
  <c r="S189" i="2"/>
  <c r="M119" i="2"/>
  <c r="R189" i="2"/>
  <c r="U119" i="2"/>
  <c r="N119" i="2"/>
  <c r="C189" i="2"/>
  <c r="L119" i="2"/>
  <c r="N189" i="2"/>
  <c r="X189" i="2"/>
  <c r="B119" i="2"/>
  <c r="W119" i="2"/>
  <c r="S119" i="2"/>
  <c r="T189" i="2"/>
  <c r="H119" i="2"/>
  <c r="O189" i="2"/>
  <c r="W189" i="2"/>
  <c r="I119" i="2"/>
  <c r="I189" i="2"/>
  <c r="C119" i="2"/>
  <c r="P119" i="2"/>
  <c r="D189" i="2"/>
  <c r="R119" i="2"/>
  <c r="K119" i="2"/>
  <c r="K189" i="2"/>
  <c r="J119" i="2"/>
  <c r="M189" i="2"/>
  <c r="T119" i="2"/>
  <c r="V189" i="2"/>
  <c r="X119" i="2"/>
  <c r="H189" i="2"/>
  <c r="O119" i="2"/>
  <c r="G189" i="2"/>
  <c r="V119" i="2"/>
  <c r="F189" i="2"/>
  <c r="U189" i="2"/>
  <c r="J189" i="2"/>
  <c r="E189" i="2"/>
  <c r="E119" i="2"/>
  <c r="Q189" i="2"/>
  <c r="Y189" i="2" l="1"/>
  <c r="BG188" i="1" s="1"/>
  <c r="A190" i="2"/>
  <c r="DG189" i="1"/>
  <c r="Y119" i="2"/>
  <c r="BG118" i="1" s="1"/>
  <c r="DG118" i="1"/>
  <c r="A119" i="1"/>
  <c r="A120" i="2" s="1"/>
  <c r="AZ118" i="1"/>
  <c r="G118" i="1"/>
  <c r="F118" i="1"/>
  <c r="AZ189" i="1"/>
  <c r="F189" i="1"/>
  <c r="G189" i="1"/>
  <c r="EL43" i="1"/>
  <c r="EL68" i="1"/>
  <c r="EL66" i="1"/>
  <c r="EL65" i="1"/>
  <c r="EL55" i="1"/>
  <c r="EL67" i="1"/>
  <c r="EL54" i="1"/>
  <c r="EL69" i="1"/>
  <c r="B190" i="2"/>
  <c r="M120" i="2"/>
  <c r="Q120" i="2"/>
  <c r="H190" i="2"/>
  <c r="J120" i="2"/>
  <c r="X190" i="2"/>
  <c r="I190" i="2"/>
  <c r="L190" i="2"/>
  <c r="T190" i="2"/>
  <c r="U190" i="2"/>
  <c r="T120" i="2"/>
  <c r="R120" i="2"/>
  <c r="K190" i="2"/>
  <c r="H120" i="2"/>
  <c r="G120" i="2"/>
  <c r="K120" i="2"/>
  <c r="S120" i="2"/>
  <c r="D190" i="2"/>
  <c r="X120" i="2"/>
  <c r="P190" i="2"/>
  <c r="N190" i="2"/>
  <c r="M190" i="2"/>
  <c r="C190" i="2"/>
  <c r="O120" i="2"/>
  <c r="Q190" i="2"/>
  <c r="R190" i="2"/>
  <c r="U120" i="2"/>
  <c r="W190" i="2"/>
  <c r="E120" i="2"/>
  <c r="I120" i="2"/>
  <c r="G190" i="2"/>
  <c r="F120" i="2"/>
  <c r="F190" i="2"/>
  <c r="E190" i="2"/>
  <c r="W120" i="2"/>
  <c r="V120" i="2"/>
  <c r="V190" i="2"/>
  <c r="N120" i="2"/>
  <c r="D120" i="2"/>
  <c r="O190" i="2"/>
  <c r="C120" i="2"/>
  <c r="L120" i="2"/>
  <c r="J190" i="2"/>
  <c r="B120" i="2"/>
  <c r="S190" i="2"/>
  <c r="P120" i="2"/>
  <c r="Y190" i="2" l="1"/>
  <c r="BG189" i="1" s="1"/>
  <c r="Y120" i="2"/>
  <c r="BG119" i="1" s="1"/>
  <c r="DG119" i="1"/>
  <c r="A120" i="1"/>
  <c r="A121" i="2" s="1"/>
  <c r="AZ119" i="1"/>
  <c r="G119" i="1"/>
  <c r="F119" i="1"/>
  <c r="EE54" i="1"/>
  <c r="DX54" i="1" s="1"/>
  <c r="EE65" i="1"/>
  <c r="DX65" i="1" s="1"/>
  <c r="EE55" i="1"/>
  <c r="DX55" i="1" s="1"/>
  <c r="EE66" i="1"/>
  <c r="DX66" i="1" s="1"/>
  <c r="EE67" i="1"/>
  <c r="DX67" i="1" s="1"/>
  <c r="EE68" i="1"/>
  <c r="DX68" i="1" s="1"/>
  <c r="EE69" i="1"/>
  <c r="DX69" i="1" s="1"/>
  <c r="EL83" i="1"/>
  <c r="EM43" i="1"/>
  <c r="EM68" i="1"/>
  <c r="EM66" i="1"/>
  <c r="EM54" i="1"/>
  <c r="EM55" i="1"/>
  <c r="EM67" i="1"/>
  <c r="EM69" i="1"/>
  <c r="EM65" i="1"/>
  <c r="G121" i="2"/>
  <c r="H121" i="2"/>
  <c r="V121" i="2"/>
  <c r="J121" i="2"/>
  <c r="B121" i="2"/>
  <c r="S121" i="2"/>
  <c r="P121" i="2"/>
  <c r="N121" i="2"/>
  <c r="U121" i="2"/>
  <c r="K121" i="2"/>
  <c r="I121" i="2"/>
  <c r="W121" i="2"/>
  <c r="E121" i="2"/>
  <c r="O121" i="2"/>
  <c r="X121" i="2"/>
  <c r="D121" i="2"/>
  <c r="L121" i="2"/>
  <c r="F121" i="2"/>
  <c r="C121" i="2"/>
  <c r="M121" i="2"/>
  <c r="R121" i="2"/>
  <c r="T121" i="2"/>
  <c r="Q121" i="2"/>
  <c r="BJ54" i="1" l="1"/>
  <c r="BJ66" i="1"/>
  <c r="BJ67" i="1"/>
  <c r="BJ69" i="1"/>
  <c r="BJ55" i="1"/>
  <c r="BJ68" i="1"/>
  <c r="BJ65" i="1"/>
  <c r="Y121" i="2"/>
  <c r="BG120" i="1" s="1"/>
  <c r="DG120" i="1"/>
  <c r="A121" i="1"/>
  <c r="A122" i="2" s="1"/>
  <c r="AZ120" i="1"/>
  <c r="F120" i="1"/>
  <c r="G120" i="1"/>
  <c r="EF54" i="1"/>
  <c r="DY54" i="1" s="1"/>
  <c r="BK54" i="1" s="1"/>
  <c r="EF65" i="1"/>
  <c r="DY65" i="1" s="1"/>
  <c r="BK65" i="1" s="1"/>
  <c r="EF55" i="1"/>
  <c r="DY55" i="1" s="1"/>
  <c r="BK55" i="1" s="1"/>
  <c r="EF66" i="1"/>
  <c r="DY66" i="1" s="1"/>
  <c r="BK66" i="1" s="1"/>
  <c r="EF67" i="1"/>
  <c r="DY67" i="1" s="1"/>
  <c r="BK67" i="1" s="1"/>
  <c r="EF68" i="1"/>
  <c r="DY68" i="1" s="1"/>
  <c r="BK68" i="1" s="1"/>
  <c r="EF69" i="1"/>
  <c r="DY69" i="1" s="1"/>
  <c r="BK69" i="1" s="1"/>
  <c r="EL135" i="1"/>
  <c r="EM135" i="1" s="1"/>
  <c r="EN135" i="1" s="1"/>
  <c r="EO135" i="1" s="1"/>
  <c r="EP135" i="1" s="1"/>
  <c r="EQ135" i="1" s="1"/>
  <c r="EM83" i="1"/>
  <c r="EN43" i="1"/>
  <c r="U122" i="2"/>
  <c r="G122" i="2"/>
  <c r="K122" i="2"/>
  <c r="M122" i="2"/>
  <c r="Q122" i="2"/>
  <c r="X122" i="2"/>
  <c r="B122" i="2"/>
  <c r="W122" i="2"/>
  <c r="F122" i="2"/>
  <c r="C122" i="2"/>
  <c r="J122" i="2"/>
  <c r="H122" i="2"/>
  <c r="N122" i="2"/>
  <c r="E122" i="2"/>
  <c r="O122" i="2"/>
  <c r="L122" i="2"/>
  <c r="V122" i="2"/>
  <c r="I122" i="2"/>
  <c r="P122" i="2"/>
  <c r="D122" i="2"/>
  <c r="S122" i="2"/>
  <c r="R122" i="2"/>
  <c r="T122" i="2"/>
  <c r="DR69" i="1" l="1"/>
  <c r="DR65" i="1"/>
  <c r="BQ54" i="1"/>
  <c r="EK69" i="1"/>
  <c r="EK55" i="1"/>
  <c r="BQ66" i="1"/>
  <c r="EK54" i="1"/>
  <c r="EK65" i="1"/>
  <c r="EK68" i="1"/>
  <c r="BQ67" i="1"/>
  <c r="EK66" i="1"/>
  <c r="EK67" i="1"/>
  <c r="BX55" i="1"/>
  <c r="CY55" i="1" s="1"/>
  <c r="BQ68" i="1"/>
  <c r="Y122" i="2"/>
  <c r="BG121" i="1" s="1"/>
  <c r="DG121" i="1"/>
  <c r="G121" i="1"/>
  <c r="A122" i="1"/>
  <c r="A123" i="2" s="1"/>
  <c r="AZ121" i="1"/>
  <c r="F121" i="1"/>
  <c r="BQ65" i="1"/>
  <c r="BX67" i="1"/>
  <c r="CY67" i="1" s="1"/>
  <c r="BX54" i="1"/>
  <c r="CY54" i="1" s="1"/>
  <c r="BX68" i="1"/>
  <c r="CY68" i="1" s="1"/>
  <c r="DR54" i="1"/>
  <c r="DR67" i="1"/>
  <c r="BX65" i="1"/>
  <c r="CY65" i="1" s="1"/>
  <c r="DR66" i="1"/>
  <c r="BX66" i="1"/>
  <c r="DR55" i="1"/>
  <c r="BQ69" i="1"/>
  <c r="BX69" i="1"/>
  <c r="BQ55" i="1"/>
  <c r="DR68" i="1"/>
  <c r="EN83" i="1"/>
  <c r="EO43" i="1"/>
  <c r="P123" i="2"/>
  <c r="G123" i="2"/>
  <c r="N123" i="2"/>
  <c r="R123" i="2"/>
  <c r="C123" i="2"/>
  <c r="V123" i="2"/>
  <c r="J123" i="2"/>
  <c r="D123" i="2"/>
  <c r="W123" i="2"/>
  <c r="F123" i="2"/>
  <c r="U123" i="2"/>
  <c r="E123" i="2"/>
  <c r="B123" i="2"/>
  <c r="K123" i="2"/>
  <c r="T123" i="2"/>
  <c r="Q123" i="2"/>
  <c r="S123" i="2"/>
  <c r="O123" i="2"/>
  <c r="X123" i="2"/>
  <c r="L123" i="2"/>
  <c r="I123" i="2"/>
  <c r="H123" i="2"/>
  <c r="M123" i="2"/>
  <c r="ET55" i="1" l="1"/>
  <c r="ET69" i="1"/>
  <c r="ET65" i="1"/>
  <c r="ET68" i="1"/>
  <c r="CW54" i="1"/>
  <c r="ET54" i="1"/>
  <c r="CW67" i="1"/>
  <c r="ET67" i="1"/>
  <c r="CW66" i="1"/>
  <c r="ET66" i="1"/>
  <c r="BR68" i="1"/>
  <c r="BR66" i="1"/>
  <c r="CW68" i="1"/>
  <c r="BR67" i="1"/>
  <c r="CW55" i="1"/>
  <c r="BR55" i="1"/>
  <c r="CW65" i="1"/>
  <c r="CW69" i="1"/>
  <c r="BR69" i="1"/>
  <c r="Y123" i="2"/>
  <c r="BG122" i="1" s="1"/>
  <c r="DG122" i="1"/>
  <c r="F122" i="1"/>
  <c r="A123" i="1"/>
  <c r="A124" i="2" s="1"/>
  <c r="AZ122" i="1"/>
  <c r="G122" i="1"/>
  <c r="BY69" i="1"/>
  <c r="BY55" i="1"/>
  <c r="BY66" i="1"/>
  <c r="BY68" i="1"/>
  <c r="BY67" i="1"/>
  <c r="CY66" i="1"/>
  <c r="CZ67" i="1" s="1"/>
  <c r="CZ55" i="1"/>
  <c r="CY69" i="1"/>
  <c r="CZ69" i="1" s="1"/>
  <c r="CZ68" i="1"/>
  <c r="EO83" i="1"/>
  <c r="EP43" i="1"/>
  <c r="D124" i="2"/>
  <c r="J124" i="2"/>
  <c r="M124" i="2"/>
  <c r="Q124" i="2"/>
  <c r="K124" i="2"/>
  <c r="S124" i="2"/>
  <c r="I124" i="2"/>
  <c r="W124" i="2"/>
  <c r="T124" i="2"/>
  <c r="L124" i="2"/>
  <c r="B124" i="2"/>
  <c r="G124" i="2"/>
  <c r="F124" i="2"/>
  <c r="O124" i="2"/>
  <c r="X124" i="2"/>
  <c r="N124" i="2"/>
  <c r="R124" i="2"/>
  <c r="U124" i="2"/>
  <c r="E124" i="2"/>
  <c r="C124" i="2"/>
  <c r="V124" i="2"/>
  <c r="H124" i="2"/>
  <c r="P124" i="2"/>
  <c r="Y124" i="2" l="1"/>
  <c r="BG123" i="1" s="1"/>
  <c r="DG123" i="1"/>
  <c r="A124" i="1"/>
  <c r="A125" i="2" s="1"/>
  <c r="AZ123" i="1"/>
  <c r="F123" i="1"/>
  <c r="G123" i="1"/>
  <c r="CZ66" i="1"/>
  <c r="EQ43" i="1"/>
  <c r="EP83" i="1"/>
  <c r="G125" i="2"/>
  <c r="M125" i="2"/>
  <c r="T125" i="2"/>
  <c r="W125" i="2"/>
  <c r="S125" i="2"/>
  <c r="X125" i="2"/>
  <c r="O125" i="2"/>
  <c r="F125" i="2"/>
  <c r="D125" i="2"/>
  <c r="I125" i="2"/>
  <c r="J125" i="2"/>
  <c r="Q125" i="2"/>
  <c r="E125" i="2"/>
  <c r="H125" i="2"/>
  <c r="P125" i="2"/>
  <c r="B125" i="2"/>
  <c r="V125" i="2"/>
  <c r="K125" i="2"/>
  <c r="R125" i="2"/>
  <c r="L125" i="2"/>
  <c r="N125" i="2"/>
  <c r="U125" i="2"/>
  <c r="C125" i="2"/>
  <c r="Y125" i="2" l="1"/>
  <c r="BG124" i="1" s="1"/>
  <c r="DG124" i="1"/>
  <c r="A125" i="1"/>
  <c r="A126" i="2" s="1"/>
  <c r="AZ124" i="1"/>
  <c r="F124" i="1"/>
  <c r="G124" i="1"/>
  <c r="EQ83" i="1"/>
  <c r="G126" i="2"/>
  <c r="F126" i="2"/>
  <c r="C126" i="2"/>
  <c r="L126" i="2"/>
  <c r="U126" i="2"/>
  <c r="J126" i="2"/>
  <c r="H126" i="2"/>
  <c r="O126" i="2"/>
  <c r="E126" i="2"/>
  <c r="X126" i="2"/>
  <c r="W126" i="2"/>
  <c r="B126" i="2"/>
  <c r="P126" i="2"/>
  <c r="I126" i="2"/>
  <c r="R126" i="2"/>
  <c r="M126" i="2"/>
  <c r="N126" i="2"/>
  <c r="S126" i="2"/>
  <c r="K126" i="2"/>
  <c r="D126" i="2"/>
  <c r="T126" i="2"/>
  <c r="Q126" i="2"/>
  <c r="V126" i="2"/>
  <c r="Y126" i="2" l="1"/>
  <c r="BG125" i="1" s="1"/>
  <c r="DG125" i="1"/>
  <c r="A126" i="1"/>
  <c r="A127" i="2" s="1"/>
  <c r="AZ125" i="1"/>
  <c r="G125" i="1"/>
  <c r="F125" i="1"/>
  <c r="F4" i="1"/>
  <c r="C127" i="2"/>
  <c r="V127" i="2"/>
  <c r="J127" i="2"/>
  <c r="U127" i="2"/>
  <c r="P127" i="2"/>
  <c r="R127" i="2"/>
  <c r="E127" i="2"/>
  <c r="G127" i="2"/>
  <c r="W127" i="2"/>
  <c r="S127" i="2"/>
  <c r="F127" i="2"/>
  <c r="X127" i="2"/>
  <c r="N127" i="2"/>
  <c r="T127" i="2"/>
  <c r="H127" i="2"/>
  <c r="K127" i="2"/>
  <c r="L127" i="2"/>
  <c r="B127" i="2"/>
  <c r="Q127" i="2"/>
  <c r="D127" i="2"/>
  <c r="I127" i="2"/>
  <c r="M127" i="2"/>
  <c r="O127" i="2"/>
  <c r="Y127" i="2" l="1"/>
  <c r="BG126" i="1" s="1"/>
  <c r="DG126" i="1"/>
  <c r="A127" i="1"/>
  <c r="A128" i="2" s="1"/>
  <c r="AZ126" i="1"/>
  <c r="F126" i="1"/>
  <c r="G126" i="1"/>
  <c r="A5" i="1"/>
  <c r="W128" i="2"/>
  <c r="R128" i="2"/>
  <c r="E128" i="2"/>
  <c r="O128" i="2"/>
  <c r="X128" i="2"/>
  <c r="M128" i="2"/>
  <c r="N128" i="2"/>
  <c r="G128" i="2"/>
  <c r="P128" i="2"/>
  <c r="C128" i="2"/>
  <c r="S128" i="2"/>
  <c r="D128" i="2"/>
  <c r="T128" i="2"/>
  <c r="Q128" i="2"/>
  <c r="V128" i="2"/>
  <c r="U128" i="2"/>
  <c r="H128" i="2"/>
  <c r="I128" i="2"/>
  <c r="F128" i="2"/>
  <c r="L128" i="2"/>
  <c r="K128" i="2"/>
  <c r="B128" i="2"/>
  <c r="J128" i="2"/>
  <c r="AZ5" i="1" l="1"/>
  <c r="A6" i="2"/>
  <c r="DG5" i="1"/>
  <c r="Y128" i="2"/>
  <c r="BG127" i="1" s="1"/>
  <c r="DG127" i="1"/>
  <c r="G127" i="1"/>
  <c r="A128" i="1"/>
  <c r="A129" i="2" s="1"/>
  <c r="AZ127" i="1"/>
  <c r="F127" i="1"/>
  <c r="D137" i="1"/>
  <c r="DT85" i="1"/>
  <c r="F5" i="1"/>
  <c r="A6" i="1"/>
  <c r="G129" i="2"/>
  <c r="P129" i="2"/>
  <c r="J129" i="2"/>
  <c r="I6" i="2"/>
  <c r="L129" i="2"/>
  <c r="T6" i="2"/>
  <c r="W6" i="2"/>
  <c r="U6" i="2"/>
  <c r="M129" i="2"/>
  <c r="X129" i="2"/>
  <c r="C129" i="2"/>
  <c r="G6" i="2"/>
  <c r="D6" i="2"/>
  <c r="O129" i="2"/>
  <c r="M6" i="2"/>
  <c r="P6" i="2"/>
  <c r="V129" i="2"/>
  <c r="N129" i="2"/>
  <c r="C6" i="2"/>
  <c r="R6" i="2"/>
  <c r="J6" i="2"/>
  <c r="H6" i="2"/>
  <c r="B129" i="2"/>
  <c r="T129" i="2"/>
  <c r="S6" i="2"/>
  <c r="R129" i="2"/>
  <c r="F129" i="2"/>
  <c r="X6" i="2"/>
  <c r="D129" i="2"/>
  <c r="Q6" i="2"/>
  <c r="E6" i="2"/>
  <c r="L6" i="2"/>
  <c r="E129" i="2"/>
  <c r="F6" i="2"/>
  <c r="K6" i="2"/>
  <c r="Q129" i="2"/>
  <c r="S129" i="2"/>
  <c r="K129" i="2"/>
  <c r="V6" i="2"/>
  <c r="H129" i="2"/>
  <c r="I129" i="2"/>
  <c r="B6" i="2"/>
  <c r="O6" i="2"/>
  <c r="U129" i="2"/>
  <c r="W129" i="2"/>
  <c r="N6" i="2"/>
  <c r="Y6" i="2" l="1"/>
  <c r="BG5" i="1" s="1"/>
  <c r="AZ6" i="1"/>
  <c r="A7" i="2"/>
  <c r="DG6" i="1"/>
  <c r="Y129" i="2"/>
  <c r="BG128" i="1" s="1"/>
  <c r="DG128" i="1"/>
  <c r="G128" i="1"/>
  <c r="A129" i="1"/>
  <c r="A130" i="2" s="1"/>
  <c r="AZ128" i="1"/>
  <c r="F128" i="1"/>
  <c r="B168" i="1"/>
  <c r="B163" i="1"/>
  <c r="F6" i="1"/>
  <c r="A7" i="1"/>
  <c r="B7" i="2"/>
  <c r="P7" i="2"/>
  <c r="J7" i="2"/>
  <c r="C130" i="2"/>
  <c r="S7" i="2"/>
  <c r="T130" i="2"/>
  <c r="R7" i="2"/>
  <c r="P130" i="2"/>
  <c r="T7" i="2"/>
  <c r="K7" i="2"/>
  <c r="H7" i="2"/>
  <c r="L7" i="2"/>
  <c r="Q130" i="2"/>
  <c r="F130" i="2"/>
  <c r="I130" i="2"/>
  <c r="D7" i="2"/>
  <c r="M130" i="2"/>
  <c r="N7" i="2"/>
  <c r="R130" i="2"/>
  <c r="I7" i="2"/>
  <c r="U130" i="2"/>
  <c r="X130" i="2"/>
  <c r="W7" i="2"/>
  <c r="E7" i="2"/>
  <c r="O130" i="2"/>
  <c r="N130" i="2"/>
  <c r="G7" i="2"/>
  <c r="W130" i="2"/>
  <c r="L130" i="2"/>
  <c r="Q7" i="2"/>
  <c r="F7" i="2"/>
  <c r="O7" i="2"/>
  <c r="J130" i="2"/>
  <c r="U7" i="2"/>
  <c r="K130" i="2"/>
  <c r="V130" i="2"/>
  <c r="E130" i="2"/>
  <c r="M7" i="2"/>
  <c r="H130" i="2"/>
  <c r="D130" i="2"/>
  <c r="V7" i="2"/>
  <c r="S130" i="2"/>
  <c r="X7" i="2"/>
  <c r="B130" i="2"/>
  <c r="G130" i="2"/>
  <c r="C7" i="2"/>
  <c r="Y7" i="2" l="1"/>
  <c r="BG6" i="1" s="1"/>
  <c r="AZ7" i="1"/>
  <c r="A8" i="2"/>
  <c r="DG7" i="1"/>
  <c r="Y130" i="2"/>
  <c r="BG129" i="1" s="1"/>
  <c r="DG129" i="1"/>
  <c r="G129" i="1"/>
  <c r="A130" i="1"/>
  <c r="A131" i="2" s="1"/>
  <c r="AZ129" i="1"/>
  <c r="F129" i="1"/>
  <c r="F7" i="1"/>
  <c r="A8" i="1"/>
  <c r="BA130" i="1"/>
  <c r="T131" i="2"/>
  <c r="V8" i="2"/>
  <c r="V131" i="2"/>
  <c r="P8" i="2"/>
  <c r="D8" i="2"/>
  <c r="G131" i="2"/>
  <c r="I131" i="2"/>
  <c r="N8" i="2"/>
  <c r="O131" i="2"/>
  <c r="T8" i="2"/>
  <c r="Q8" i="2"/>
  <c r="R8" i="2"/>
  <c r="K8" i="2"/>
  <c r="D131" i="2"/>
  <c r="F8" i="2"/>
  <c r="P131" i="2"/>
  <c r="X131" i="2"/>
  <c r="G8" i="2"/>
  <c r="B131" i="2"/>
  <c r="M8" i="2"/>
  <c r="J131" i="2"/>
  <c r="S8" i="2"/>
  <c r="K131" i="2"/>
  <c r="N131" i="2"/>
  <c r="W131" i="2"/>
  <c r="L8" i="2"/>
  <c r="B8" i="2"/>
  <c r="F131" i="2"/>
  <c r="U131" i="2"/>
  <c r="C131" i="2"/>
  <c r="I8" i="2"/>
  <c r="M131" i="2"/>
  <c r="O8" i="2"/>
  <c r="X8" i="2"/>
  <c r="H131" i="2"/>
  <c r="E8" i="2"/>
  <c r="Q131" i="2"/>
  <c r="R131" i="2"/>
  <c r="S131" i="2"/>
  <c r="C8" i="2"/>
  <c r="E131" i="2"/>
  <c r="H8" i="2"/>
  <c r="U8" i="2"/>
  <c r="J8" i="2"/>
  <c r="L131" i="2"/>
  <c r="W8" i="2"/>
  <c r="Y8" i="2" l="1"/>
  <c r="BG7" i="1" s="1"/>
  <c r="AZ8" i="1"/>
  <c r="A9" i="2"/>
  <c r="DG8" i="1"/>
  <c r="Y131" i="2"/>
  <c r="BG130" i="1" s="1"/>
  <c r="DG130" i="1"/>
  <c r="AZ130" i="1"/>
  <c r="DT130" i="1" s="1"/>
  <c r="F130" i="1"/>
  <c r="G130" i="1"/>
  <c r="F8" i="1"/>
  <c r="A9" i="1"/>
  <c r="D9" i="2"/>
  <c r="Q9" i="2"/>
  <c r="O9" i="2"/>
  <c r="X9" i="2"/>
  <c r="N9" i="2"/>
  <c r="E9" i="2"/>
  <c r="K9" i="2"/>
  <c r="F9" i="2"/>
  <c r="P9" i="2"/>
  <c r="I9" i="2"/>
  <c r="U9" i="2"/>
  <c r="S9" i="2"/>
  <c r="M9" i="2"/>
  <c r="J9" i="2"/>
  <c r="R9" i="2"/>
  <c r="C9" i="2"/>
  <c r="G9" i="2"/>
  <c r="V9" i="2"/>
  <c r="H9" i="2"/>
  <c r="W9" i="2"/>
  <c r="T9" i="2"/>
  <c r="L9" i="2"/>
  <c r="B9" i="2"/>
  <c r="Y9" i="2" l="1"/>
  <c r="BG8" i="1" s="1"/>
  <c r="AZ9" i="1"/>
  <c r="A10" i="2"/>
  <c r="DG9" i="1"/>
  <c r="F9" i="1"/>
  <c r="A10" i="1"/>
  <c r="M10" i="2"/>
  <c r="D10" i="2"/>
  <c r="O10" i="2"/>
  <c r="W10" i="2"/>
  <c r="X10" i="2"/>
  <c r="J10" i="2"/>
  <c r="R10" i="2"/>
  <c r="L10" i="2"/>
  <c r="E10" i="2"/>
  <c r="T10" i="2"/>
  <c r="B10" i="2"/>
  <c r="K10" i="2"/>
  <c r="V10" i="2"/>
  <c r="I10" i="2"/>
  <c r="H10" i="2"/>
  <c r="N10" i="2"/>
  <c r="F10" i="2"/>
  <c r="P10" i="2"/>
  <c r="Q10" i="2"/>
  <c r="G10" i="2"/>
  <c r="U10" i="2"/>
  <c r="C10" i="2"/>
  <c r="S10" i="2"/>
  <c r="Y10" i="2" l="1"/>
  <c r="BG9" i="1" s="1"/>
  <c r="AZ10" i="1"/>
  <c r="A11" i="2"/>
  <c r="DG10" i="1"/>
  <c r="F10" i="1"/>
  <c r="A11" i="1"/>
  <c r="C11" i="2"/>
  <c r="O11" i="2"/>
  <c r="T11" i="2"/>
  <c r="D11" i="2"/>
  <c r="P11" i="2"/>
  <c r="F11" i="2"/>
  <c r="K11" i="2"/>
  <c r="Q11" i="2"/>
  <c r="M11" i="2"/>
  <c r="I11" i="2"/>
  <c r="L11" i="2"/>
  <c r="N11" i="2"/>
  <c r="S11" i="2"/>
  <c r="H11" i="2"/>
  <c r="J11" i="2"/>
  <c r="U11" i="2"/>
  <c r="R11" i="2"/>
  <c r="G11" i="2"/>
  <c r="X11" i="2"/>
  <c r="B11" i="2"/>
  <c r="V11" i="2"/>
  <c r="E11" i="2"/>
  <c r="W11" i="2"/>
  <c r="Y11" i="2" l="1"/>
  <c r="BG10" i="1" s="1"/>
  <c r="AZ11" i="1"/>
  <c r="A12" i="2"/>
  <c r="DG11" i="1"/>
  <c r="F11" i="1"/>
  <c r="A12" i="1"/>
  <c r="N12" i="2"/>
  <c r="I12" i="2"/>
  <c r="Q12" i="2"/>
  <c r="V12" i="2"/>
  <c r="G12" i="2"/>
  <c r="C12" i="2"/>
  <c r="P12" i="2"/>
  <c r="H12" i="2"/>
  <c r="F12" i="2"/>
  <c r="K12" i="2"/>
  <c r="S12" i="2"/>
  <c r="B12" i="2"/>
  <c r="U12" i="2"/>
  <c r="R12" i="2"/>
  <c r="E12" i="2"/>
  <c r="T12" i="2"/>
  <c r="O12" i="2"/>
  <c r="W12" i="2"/>
  <c r="J12" i="2"/>
  <c r="M12" i="2"/>
  <c r="X12" i="2"/>
  <c r="D12" i="2"/>
  <c r="L12" i="2"/>
  <c r="Y12" i="2" l="1"/>
  <c r="BG11" i="1" s="1"/>
  <c r="AZ12" i="1"/>
  <c r="A13" i="2"/>
  <c r="DG12" i="1"/>
  <c r="F12" i="1"/>
  <c r="A13" i="1"/>
  <c r="K13" i="2"/>
  <c r="S13" i="2"/>
  <c r="I13" i="2"/>
  <c r="P13" i="2"/>
  <c r="T13" i="2"/>
  <c r="J13" i="2"/>
  <c r="U13" i="2"/>
  <c r="M13" i="2"/>
  <c r="R13" i="2"/>
  <c r="C13" i="2"/>
  <c r="Q13" i="2"/>
  <c r="G13" i="2"/>
  <c r="F13" i="2"/>
  <c r="B13" i="2"/>
  <c r="L13" i="2"/>
  <c r="E13" i="2"/>
  <c r="W13" i="2"/>
  <c r="H13" i="2"/>
  <c r="N13" i="2"/>
  <c r="X13" i="2"/>
  <c r="O13" i="2"/>
  <c r="V13" i="2"/>
  <c r="D13" i="2"/>
  <c r="Y13" i="2" l="1"/>
  <c r="BG12" i="1" s="1"/>
  <c r="AZ13" i="1"/>
  <c r="A14" i="2"/>
  <c r="DG13" i="1"/>
  <c r="F13" i="1"/>
  <c r="A14" i="1"/>
  <c r="N14" i="2"/>
  <c r="D14" i="2"/>
  <c r="U14" i="2"/>
  <c r="X14" i="2"/>
  <c r="S14" i="2"/>
  <c r="I14" i="2"/>
  <c r="M14" i="2"/>
  <c r="C14" i="2"/>
  <c r="L14" i="2"/>
  <c r="Q14" i="2"/>
  <c r="O14" i="2"/>
  <c r="R14" i="2"/>
  <c r="K14" i="2"/>
  <c r="E14" i="2"/>
  <c r="B14" i="2"/>
  <c r="F14" i="2"/>
  <c r="P14" i="2"/>
  <c r="J14" i="2"/>
  <c r="G14" i="2"/>
  <c r="H14" i="2"/>
  <c r="T14" i="2"/>
  <c r="W14" i="2"/>
  <c r="V14" i="2"/>
  <c r="Y14" i="2" l="1"/>
  <c r="BG13" i="1" s="1"/>
  <c r="AZ14" i="1"/>
  <c r="A15" i="2"/>
  <c r="DG14" i="1"/>
  <c r="F14" i="1"/>
  <c r="A15" i="1"/>
  <c r="L15" i="2"/>
  <c r="U15" i="2"/>
  <c r="B15" i="2"/>
  <c r="J15" i="2"/>
  <c r="E15" i="2"/>
  <c r="W15" i="2"/>
  <c r="G15" i="2"/>
  <c r="K15" i="2"/>
  <c r="P15" i="2"/>
  <c r="C15" i="2"/>
  <c r="V15" i="2"/>
  <c r="S15" i="2"/>
  <c r="F15" i="2"/>
  <c r="N15" i="2"/>
  <c r="Q15" i="2"/>
  <c r="X15" i="2"/>
  <c r="O15" i="2"/>
  <c r="R15" i="2"/>
  <c r="T15" i="2"/>
  <c r="M15" i="2"/>
  <c r="D15" i="2"/>
  <c r="H15" i="2"/>
  <c r="I15" i="2"/>
  <c r="Y15" i="2" l="1"/>
  <c r="BG14" i="1" s="1"/>
  <c r="AZ15" i="1"/>
  <c r="A16" i="2"/>
  <c r="DG15" i="1"/>
  <c r="F15" i="1"/>
  <c r="A16" i="1"/>
  <c r="F16" i="2"/>
  <c r="S16" i="2"/>
  <c r="U16" i="2"/>
  <c r="C16" i="2"/>
  <c r="X16" i="2"/>
  <c r="G16" i="2"/>
  <c r="J16" i="2"/>
  <c r="H16" i="2"/>
  <c r="V16" i="2"/>
  <c r="R16" i="2"/>
  <c r="W16" i="2"/>
  <c r="O16" i="2"/>
  <c r="N16" i="2"/>
  <c r="M16" i="2"/>
  <c r="P16" i="2"/>
  <c r="T16" i="2"/>
  <c r="L16" i="2"/>
  <c r="K16" i="2"/>
  <c r="I16" i="2"/>
  <c r="E16" i="2"/>
  <c r="B16" i="2"/>
  <c r="D16" i="2"/>
  <c r="Q16" i="2"/>
  <c r="Y16" i="2" l="1"/>
  <c r="BG15" i="1" s="1"/>
  <c r="AZ16" i="1"/>
  <c r="A17" i="2"/>
  <c r="DG16" i="1"/>
  <c r="F16" i="1"/>
  <c r="A17" i="1"/>
  <c r="W17" i="2"/>
  <c r="D17" i="2"/>
  <c r="L17" i="2"/>
  <c r="N17" i="2"/>
  <c r="K17" i="2"/>
  <c r="C17" i="2"/>
  <c r="E17" i="2"/>
  <c r="T17" i="2"/>
  <c r="P17" i="2"/>
  <c r="U17" i="2"/>
  <c r="R17" i="2"/>
  <c r="H17" i="2"/>
  <c r="M17" i="2"/>
  <c r="F17" i="2"/>
  <c r="S17" i="2"/>
  <c r="J17" i="2"/>
  <c r="B17" i="2"/>
  <c r="Q17" i="2"/>
  <c r="I17" i="2"/>
  <c r="X17" i="2"/>
  <c r="G17" i="2"/>
  <c r="V17" i="2"/>
  <c r="O17" i="2"/>
  <c r="Y17" i="2" l="1"/>
  <c r="BG16" i="1" s="1"/>
  <c r="AZ17" i="1"/>
  <c r="A18" i="2"/>
  <c r="DG17" i="1"/>
  <c r="F17" i="1"/>
  <c r="A18" i="1"/>
  <c r="F18" i="2"/>
  <c r="E18" i="2"/>
  <c r="L18" i="2"/>
  <c r="K18" i="2"/>
  <c r="D18" i="2"/>
  <c r="O18" i="2"/>
  <c r="W18" i="2"/>
  <c r="B18" i="2"/>
  <c r="R18" i="2"/>
  <c r="C18" i="2"/>
  <c r="X18" i="2"/>
  <c r="P18" i="2"/>
  <c r="U18" i="2"/>
  <c r="T18" i="2"/>
  <c r="N18" i="2"/>
  <c r="H18" i="2"/>
  <c r="Q18" i="2"/>
  <c r="V18" i="2"/>
  <c r="G18" i="2"/>
  <c r="S18" i="2"/>
  <c r="J18" i="2"/>
  <c r="I18" i="2"/>
  <c r="M18" i="2"/>
  <c r="Y18" i="2" l="1"/>
  <c r="BG17" i="1" s="1"/>
  <c r="AZ18" i="1"/>
  <c r="A19" i="2"/>
  <c r="DG18" i="1"/>
  <c r="F18" i="1"/>
  <c r="A19" i="1"/>
  <c r="J19" i="2"/>
  <c r="T19" i="2"/>
  <c r="V19" i="2"/>
  <c r="Q19" i="2"/>
  <c r="C19" i="2"/>
  <c r="X19" i="2"/>
  <c r="H19" i="2"/>
  <c r="D19" i="2"/>
  <c r="S19" i="2"/>
  <c r="P19" i="2"/>
  <c r="M19" i="2"/>
  <c r="K19" i="2"/>
  <c r="R19" i="2"/>
  <c r="L19" i="2"/>
  <c r="O19" i="2"/>
  <c r="G19" i="2"/>
  <c r="W19" i="2"/>
  <c r="I19" i="2"/>
  <c r="B19" i="2"/>
  <c r="U19" i="2"/>
  <c r="N19" i="2"/>
  <c r="E19" i="2"/>
  <c r="F19" i="2"/>
  <c r="Y19" i="2" l="1"/>
  <c r="BG18" i="1" s="1"/>
  <c r="AZ19" i="1"/>
  <c r="A20" i="2"/>
  <c r="DG19" i="1"/>
  <c r="F19" i="1"/>
  <c r="A20" i="1"/>
  <c r="B20" i="2"/>
  <c r="X20" i="2"/>
  <c r="R20" i="2"/>
  <c r="T20" i="2"/>
  <c r="J20" i="2"/>
  <c r="D20" i="2"/>
  <c r="N20" i="2"/>
  <c r="P20" i="2"/>
  <c r="C20" i="2"/>
  <c r="F20" i="2"/>
  <c r="M20" i="2"/>
  <c r="S20" i="2"/>
  <c r="O20" i="2"/>
  <c r="W20" i="2"/>
  <c r="L20" i="2"/>
  <c r="V20" i="2"/>
  <c r="K20" i="2"/>
  <c r="H20" i="2"/>
  <c r="U20" i="2"/>
  <c r="Q20" i="2"/>
  <c r="E20" i="2"/>
  <c r="I20" i="2"/>
  <c r="G20" i="2"/>
  <c r="Y20" i="2" l="1"/>
  <c r="BG19" i="1" s="1"/>
  <c r="AZ20" i="1"/>
  <c r="A21" i="2"/>
  <c r="DG20" i="1"/>
  <c r="F20" i="1"/>
  <c r="A21" i="1"/>
  <c r="K21" i="2"/>
  <c r="W21" i="2"/>
  <c r="P21" i="2"/>
  <c r="D21" i="2"/>
  <c r="X21" i="2"/>
  <c r="F21" i="2"/>
  <c r="S21" i="2"/>
  <c r="G21" i="2"/>
  <c r="L21" i="2"/>
  <c r="Q21" i="2"/>
  <c r="B21" i="2"/>
  <c r="T21" i="2"/>
  <c r="I21" i="2"/>
  <c r="E21" i="2"/>
  <c r="N21" i="2"/>
  <c r="U21" i="2"/>
  <c r="J21" i="2"/>
  <c r="O21" i="2"/>
  <c r="R21" i="2"/>
  <c r="C21" i="2"/>
  <c r="V21" i="2"/>
  <c r="H21" i="2"/>
  <c r="M21" i="2"/>
  <c r="Y21" i="2" l="1"/>
  <c r="BG20" i="1" s="1"/>
  <c r="AZ21" i="1"/>
  <c r="A22" i="2"/>
  <c r="DG21" i="1"/>
  <c r="F21" i="1"/>
  <c r="A22" i="1"/>
  <c r="R22" i="2"/>
  <c r="O22" i="2"/>
  <c r="L22" i="2"/>
  <c r="S22" i="2"/>
  <c r="C22" i="2"/>
  <c r="H22" i="2"/>
  <c r="W22" i="2"/>
  <c r="T22" i="2"/>
  <c r="B22" i="2"/>
  <c r="P22" i="2"/>
  <c r="Q22" i="2"/>
  <c r="I22" i="2"/>
  <c r="M22" i="2"/>
  <c r="N22" i="2"/>
  <c r="D22" i="2"/>
  <c r="G22" i="2"/>
  <c r="J22" i="2"/>
  <c r="K22" i="2"/>
  <c r="X22" i="2"/>
  <c r="V22" i="2"/>
  <c r="U22" i="2"/>
  <c r="F22" i="2"/>
  <c r="E22" i="2"/>
  <c r="Y22" i="2" l="1"/>
  <c r="BG21" i="1" s="1"/>
  <c r="AZ22" i="1"/>
  <c r="A23" i="2"/>
  <c r="DG22" i="1"/>
  <c r="F22" i="1"/>
  <c r="A23" i="1"/>
  <c r="E23" i="2"/>
  <c r="N23" i="2"/>
  <c r="J23" i="2"/>
  <c r="F23" i="2"/>
  <c r="M23" i="2"/>
  <c r="O23" i="2"/>
  <c r="S23" i="2"/>
  <c r="G23" i="2"/>
  <c r="X23" i="2"/>
  <c r="R23" i="2"/>
  <c r="B23" i="2"/>
  <c r="L23" i="2"/>
  <c r="P23" i="2"/>
  <c r="H23" i="2"/>
  <c r="D23" i="2"/>
  <c r="K23" i="2"/>
  <c r="V23" i="2"/>
  <c r="C23" i="2"/>
  <c r="U23" i="2"/>
  <c r="T23" i="2"/>
  <c r="Q23" i="2"/>
  <c r="W23" i="2"/>
  <c r="I23" i="2"/>
  <c r="Y23" i="2" l="1"/>
  <c r="BG22" i="1" s="1"/>
  <c r="AZ23" i="1"/>
  <c r="A24" i="2"/>
  <c r="DG23" i="1"/>
  <c r="F23" i="1"/>
  <c r="A24" i="1"/>
  <c r="D24" i="2"/>
  <c r="L24" i="2"/>
  <c r="H24" i="2"/>
  <c r="J24" i="2"/>
  <c r="M24" i="2"/>
  <c r="W24" i="2"/>
  <c r="O24" i="2"/>
  <c r="I24" i="2"/>
  <c r="K24" i="2"/>
  <c r="G24" i="2"/>
  <c r="S24" i="2"/>
  <c r="E24" i="2"/>
  <c r="X24" i="2"/>
  <c r="P24" i="2"/>
  <c r="V24" i="2"/>
  <c r="R24" i="2"/>
  <c r="C24" i="2"/>
  <c r="Q24" i="2"/>
  <c r="T24" i="2"/>
  <c r="B24" i="2"/>
  <c r="F24" i="2"/>
  <c r="N24" i="2"/>
  <c r="U24" i="2"/>
  <c r="Y24" i="2" l="1"/>
  <c r="BG23" i="1" s="1"/>
  <c r="AZ24" i="1"/>
  <c r="A25" i="2"/>
  <c r="DG24" i="1"/>
  <c r="F24" i="1"/>
  <c r="A25" i="1"/>
  <c r="L25" i="2"/>
  <c r="N25" i="2"/>
  <c r="P25" i="2"/>
  <c r="M25" i="2"/>
  <c r="K25" i="2"/>
  <c r="U25" i="2"/>
  <c r="I25" i="2"/>
  <c r="W25" i="2"/>
  <c r="F25" i="2"/>
  <c r="X25" i="2"/>
  <c r="B25" i="2"/>
  <c r="E25" i="2"/>
  <c r="O25" i="2"/>
  <c r="C25" i="2"/>
  <c r="Q25" i="2"/>
  <c r="D25" i="2"/>
  <c r="J25" i="2"/>
  <c r="V25" i="2"/>
  <c r="S25" i="2"/>
  <c r="G25" i="2"/>
  <c r="T25" i="2"/>
  <c r="R25" i="2"/>
  <c r="H25" i="2"/>
  <c r="Y25" i="2" l="1"/>
  <c r="BG24" i="1" s="1"/>
  <c r="AZ25" i="1"/>
  <c r="A26" i="2"/>
  <c r="DG25" i="1"/>
  <c r="F25" i="1"/>
  <c r="A26" i="1"/>
  <c r="AU179" i="1"/>
  <c r="BA114" i="1"/>
  <c r="EO173" i="1"/>
  <c r="AX174" i="1"/>
  <c r="EO146" i="1"/>
  <c r="BD86" i="1"/>
  <c r="EO156" i="1"/>
  <c r="BA95" i="1"/>
  <c r="BB124" i="1"/>
  <c r="BB108" i="1"/>
  <c r="BC128" i="1"/>
  <c r="CD168" i="1"/>
  <c r="BC108" i="1"/>
  <c r="AV156" i="1"/>
  <c r="EO153" i="1"/>
  <c r="BC112" i="1"/>
  <c r="AU182" i="1"/>
  <c r="AV153" i="1"/>
  <c r="AV148" i="1"/>
  <c r="BA119" i="1"/>
  <c r="BA123" i="1"/>
  <c r="BC103" i="1"/>
  <c r="BA126" i="1"/>
  <c r="EO147" i="1"/>
  <c r="EN180" i="1"/>
  <c r="AV154" i="1"/>
  <c r="BB130" i="1"/>
  <c r="BC129" i="1"/>
  <c r="BA106" i="1"/>
  <c r="CD163" i="1"/>
  <c r="BA127" i="1"/>
  <c r="EN189" i="1"/>
  <c r="BC91" i="1"/>
  <c r="AV147" i="1"/>
  <c r="BC94" i="1"/>
  <c r="BB87" i="1"/>
  <c r="BC109" i="1"/>
  <c r="AV141" i="1"/>
  <c r="AV152" i="1"/>
  <c r="BB88" i="1"/>
  <c r="BB129" i="1"/>
  <c r="BC116" i="1"/>
  <c r="AX170" i="1"/>
  <c r="BA125" i="1"/>
  <c r="BA97" i="1"/>
  <c r="BC92" i="1"/>
  <c r="BD92" i="1"/>
  <c r="EO155" i="1"/>
  <c r="BB113" i="1"/>
  <c r="BB112" i="1"/>
  <c r="BA96" i="1"/>
  <c r="BB127" i="1"/>
  <c r="BC126" i="1"/>
  <c r="BB107" i="1"/>
  <c r="BB92" i="1"/>
  <c r="AU185" i="1"/>
  <c r="EO144" i="1"/>
  <c r="BD87" i="1"/>
  <c r="BC106" i="1"/>
  <c r="BC115" i="1"/>
  <c r="BA168" i="1"/>
  <c r="BB94" i="1"/>
  <c r="EO150" i="1"/>
  <c r="BC95" i="1"/>
  <c r="BC122" i="1"/>
  <c r="AX172" i="1"/>
  <c r="BB97" i="1"/>
  <c r="BB90" i="1"/>
  <c r="BA102" i="1"/>
  <c r="BB101" i="1"/>
  <c r="BB121" i="1"/>
  <c r="BB100" i="1"/>
  <c r="EO148" i="1"/>
  <c r="BB125" i="1"/>
  <c r="BB128" i="1"/>
  <c r="BA101" i="1"/>
  <c r="EO152" i="1"/>
  <c r="BB99" i="1"/>
  <c r="BB102" i="1"/>
  <c r="BC101" i="1"/>
  <c r="CD164" i="1"/>
  <c r="BC96" i="1"/>
  <c r="BA117" i="1"/>
  <c r="BB116" i="1"/>
  <c r="EN137" i="1"/>
  <c r="BB96" i="1"/>
  <c r="AV142" i="1"/>
  <c r="BA121" i="1"/>
  <c r="AX171" i="1"/>
  <c r="CD161" i="1"/>
  <c r="EO141" i="1"/>
  <c r="BA129" i="1"/>
  <c r="EN185" i="1"/>
  <c r="BB105" i="1"/>
  <c r="BA115" i="1"/>
  <c r="BC113" i="1"/>
  <c r="BB89" i="1"/>
  <c r="AV146" i="1"/>
  <c r="EN183" i="1"/>
  <c r="BC99" i="1"/>
  <c r="EN187" i="1"/>
  <c r="BB95" i="1"/>
  <c r="BA124" i="1"/>
  <c r="BA107" i="1"/>
  <c r="BB117" i="1"/>
  <c r="BC127" i="1"/>
  <c r="BA120" i="1"/>
  <c r="AU180" i="1"/>
  <c r="BA116" i="1"/>
  <c r="BA109" i="1"/>
  <c r="BB85" i="1"/>
  <c r="AV151" i="1"/>
  <c r="BB115" i="1"/>
  <c r="AV172" i="1"/>
  <c r="BC117" i="1"/>
  <c r="AU139" i="1"/>
  <c r="BC119" i="1"/>
  <c r="EO142" i="1"/>
  <c r="BA98" i="1"/>
  <c r="AX176" i="1"/>
  <c r="CD162" i="1"/>
  <c r="BC124" i="1"/>
  <c r="BD90" i="1"/>
  <c r="BC102" i="1"/>
  <c r="BC100" i="1"/>
  <c r="AU140" i="1"/>
  <c r="BC118" i="1"/>
  <c r="AX175" i="1"/>
  <c r="BA128" i="1"/>
  <c r="BB106" i="1"/>
  <c r="BB93" i="1"/>
  <c r="AV173" i="1"/>
  <c r="BD88" i="1"/>
  <c r="BB111" i="1"/>
  <c r="BB104" i="1"/>
  <c r="BC111" i="1"/>
  <c r="BC120" i="1"/>
  <c r="BB119" i="1"/>
  <c r="BB110" i="1"/>
  <c r="EN140" i="1"/>
  <c r="BB103" i="1"/>
  <c r="AX173" i="1"/>
  <c r="BC93" i="1"/>
  <c r="EO151" i="1"/>
  <c r="BA113" i="1"/>
  <c r="BA112" i="1"/>
  <c r="BF163" i="1"/>
  <c r="BB109" i="1"/>
  <c r="BB114" i="1"/>
  <c r="BB126" i="1"/>
  <c r="BC121" i="1"/>
  <c r="BA100" i="1"/>
  <c r="BA94" i="1"/>
  <c r="BA105" i="1"/>
  <c r="EN178" i="1"/>
  <c r="BB123" i="1"/>
  <c r="EN188" i="1"/>
  <c r="EO149" i="1"/>
  <c r="AV155" i="1"/>
  <c r="BA111" i="1"/>
  <c r="BB122" i="1"/>
  <c r="BA108" i="1"/>
  <c r="BD85" i="1"/>
  <c r="BB120" i="1"/>
  <c r="CD165" i="1"/>
  <c r="BA163" i="1"/>
  <c r="EN179" i="1"/>
  <c r="BA99" i="1"/>
  <c r="BC130" i="1"/>
  <c r="EN186" i="1"/>
  <c r="AV149" i="1"/>
  <c r="BA104" i="1"/>
  <c r="AU183" i="1"/>
  <c r="EN177" i="1"/>
  <c r="EO143" i="1"/>
  <c r="AU178" i="1"/>
  <c r="BC123" i="1"/>
  <c r="AU186" i="1"/>
  <c r="BC107" i="1"/>
  <c r="BC105" i="1"/>
  <c r="BA103" i="1"/>
  <c r="BA110" i="1"/>
  <c r="BA93" i="1"/>
  <c r="BD91" i="1"/>
  <c r="EO157" i="1"/>
  <c r="BA122" i="1"/>
  <c r="BB98" i="1"/>
  <c r="AV143" i="1"/>
  <c r="BB86" i="1"/>
  <c r="AV144" i="1"/>
  <c r="AX169" i="1"/>
  <c r="BC97" i="1"/>
  <c r="BC98" i="1"/>
  <c r="AU184" i="1"/>
  <c r="EO172" i="1"/>
  <c r="BA118" i="1"/>
  <c r="EN138" i="1"/>
  <c r="AU177" i="1"/>
  <c r="AU187" i="1"/>
  <c r="EN184" i="1"/>
  <c r="BC125" i="1"/>
  <c r="EN139" i="1"/>
  <c r="AV145" i="1"/>
  <c r="EO154" i="1"/>
  <c r="BC104" i="1"/>
  <c r="BB118" i="1"/>
  <c r="AV150" i="1"/>
  <c r="BD89" i="1"/>
  <c r="EO145" i="1"/>
  <c r="BB91" i="1"/>
  <c r="EN182" i="1"/>
  <c r="BC114" i="1"/>
  <c r="EN181" i="1"/>
  <c r="AV157" i="1"/>
  <c r="BC110" i="1"/>
  <c r="AU181" i="1"/>
  <c r="BF168" i="1"/>
  <c r="B26" i="2"/>
  <c r="K26" i="2"/>
  <c r="O26" i="2"/>
  <c r="J26" i="2"/>
  <c r="E26" i="2"/>
  <c r="G26" i="2"/>
  <c r="N26" i="2"/>
  <c r="S26" i="2"/>
  <c r="L26" i="2"/>
  <c r="H26" i="2"/>
  <c r="T26" i="2"/>
  <c r="F26" i="2"/>
  <c r="W26" i="2"/>
  <c r="D26" i="2"/>
  <c r="P26" i="2"/>
  <c r="V26" i="2"/>
  <c r="U26" i="2"/>
  <c r="C26" i="2"/>
  <c r="X26" i="2"/>
  <c r="I26" i="2"/>
  <c r="M26" i="2"/>
  <c r="Q26" i="2"/>
  <c r="R26" i="2"/>
  <c r="Y26" i="2" l="1"/>
  <c r="BG25" i="1" s="1"/>
  <c r="AZ26" i="1"/>
  <c r="A27" i="2"/>
  <c r="DG26" i="1"/>
  <c r="DU105" i="1"/>
  <c r="DU124" i="1"/>
  <c r="EG189" i="1"/>
  <c r="DZ189" i="1" s="1"/>
  <c r="BL189" i="1" s="1"/>
  <c r="DU89" i="1"/>
  <c r="DU113" i="1"/>
  <c r="DT124" i="1"/>
  <c r="CQ124" i="1"/>
  <c r="DU97" i="1"/>
  <c r="DT103" i="1"/>
  <c r="CQ103" i="1"/>
  <c r="DU106" i="1"/>
  <c r="DU87" i="1"/>
  <c r="CQ121" i="1"/>
  <c r="DT121" i="1"/>
  <c r="CQ118" i="1"/>
  <c r="DT118" i="1"/>
  <c r="EH147" i="1"/>
  <c r="EA147" i="1" s="1"/>
  <c r="BM147" i="1" s="1"/>
  <c r="EH145" i="1"/>
  <c r="EA145" i="1" s="1"/>
  <c r="BM145" i="1" s="1"/>
  <c r="EG185" i="1"/>
  <c r="DZ185" i="1" s="1"/>
  <c r="BL185" i="1" s="1"/>
  <c r="DU108" i="1"/>
  <c r="DT107" i="1"/>
  <c r="CQ107" i="1"/>
  <c r="CQ111" i="1"/>
  <c r="DT111" i="1"/>
  <c r="EG183" i="1"/>
  <c r="DZ183" i="1" s="1"/>
  <c r="BL183" i="1" s="1"/>
  <c r="EH151" i="1"/>
  <c r="EA151" i="1" s="1"/>
  <c r="BM151" i="1" s="1"/>
  <c r="DU126" i="1"/>
  <c r="DU107" i="1"/>
  <c r="DU92" i="1"/>
  <c r="DT127" i="1"/>
  <c r="CQ127" i="1"/>
  <c r="DU91" i="1"/>
  <c r="CQ125" i="1"/>
  <c r="DT125" i="1"/>
  <c r="DU86" i="1"/>
  <c r="DT105" i="1"/>
  <c r="CQ105" i="1"/>
  <c r="DT120" i="1"/>
  <c r="CQ120" i="1"/>
  <c r="EG178" i="1"/>
  <c r="DZ178" i="1" s="1"/>
  <c r="BL178" i="1" s="1"/>
  <c r="DU98" i="1"/>
  <c r="EG138" i="1"/>
  <c r="DZ138" i="1" s="1"/>
  <c r="BL138" i="1" s="1"/>
  <c r="EH172" i="1"/>
  <c r="EA172" i="1" s="1"/>
  <c r="BM172" i="1" s="1"/>
  <c r="DU88" i="1"/>
  <c r="EH157" i="1"/>
  <c r="EA157" i="1" s="1"/>
  <c r="BM157" i="1" s="1"/>
  <c r="CS92" i="1"/>
  <c r="EH148" i="1"/>
  <c r="EA148" i="1" s="1"/>
  <c r="BM148" i="1" s="1"/>
  <c r="DU117" i="1"/>
  <c r="CQ106" i="1"/>
  <c r="DT106" i="1"/>
  <c r="CS91" i="1"/>
  <c r="DT110" i="1"/>
  <c r="CQ110" i="1"/>
  <c r="DT123" i="1"/>
  <c r="CQ123" i="1"/>
  <c r="EH150" i="1"/>
  <c r="EA150" i="1" s="1"/>
  <c r="BM150" i="1" s="1"/>
  <c r="EG187" i="1"/>
  <c r="DZ187" i="1" s="1"/>
  <c r="BL187" i="1" s="1"/>
  <c r="EG180" i="1"/>
  <c r="DZ180" i="1" s="1"/>
  <c r="BL180" i="1" s="1"/>
  <c r="DU93" i="1"/>
  <c r="DU130" i="1"/>
  <c r="CQ130" i="1"/>
  <c r="DU127" i="1"/>
  <c r="DU102" i="1"/>
  <c r="DU110" i="1"/>
  <c r="CQ122" i="1"/>
  <c r="DT122" i="1"/>
  <c r="DT94" i="1"/>
  <c r="CQ94" i="1"/>
  <c r="EG188" i="1"/>
  <c r="DZ188" i="1" s="1"/>
  <c r="BL188" i="1" s="1"/>
  <c r="DU104" i="1"/>
  <c r="DT168" i="1"/>
  <c r="EH142" i="1"/>
  <c r="EA142" i="1" s="1"/>
  <c r="BM142" i="1" s="1"/>
  <c r="EG177" i="1"/>
  <c r="DZ177" i="1" s="1"/>
  <c r="BL177" i="1" s="1"/>
  <c r="DU128" i="1"/>
  <c r="DU103" i="1"/>
  <c r="DT114" i="1"/>
  <c r="CQ114" i="1"/>
  <c r="EG137" i="1"/>
  <c r="DZ137" i="1" s="1"/>
  <c r="BL137" i="1" s="1"/>
  <c r="CQ95" i="1"/>
  <c r="DT95" i="1"/>
  <c r="DU95" i="1"/>
  <c r="EH173" i="1"/>
  <c r="EA173" i="1" s="1"/>
  <c r="BM173" i="1" s="1"/>
  <c r="CQ119" i="1"/>
  <c r="DT119" i="1"/>
  <c r="DT101" i="1"/>
  <c r="CQ101" i="1"/>
  <c r="DU129" i="1"/>
  <c r="CQ108" i="1"/>
  <c r="DT108" i="1"/>
  <c r="DU94" i="1"/>
  <c r="DT117" i="1"/>
  <c r="CQ117" i="1"/>
  <c r="DU119" i="1"/>
  <c r="DU90" i="1"/>
  <c r="DU125" i="1"/>
  <c r="DU118" i="1"/>
  <c r="DT112" i="1"/>
  <c r="CQ112" i="1"/>
  <c r="EH141" i="1"/>
  <c r="EA141" i="1" s="1"/>
  <c r="BM141" i="1" s="1"/>
  <c r="DT113" i="1"/>
  <c r="CQ113" i="1"/>
  <c r="EG182" i="1"/>
  <c r="DZ182" i="1" s="1"/>
  <c r="BL182" i="1" s="1"/>
  <c r="DU121" i="1"/>
  <c r="CQ93" i="1"/>
  <c r="DT93" i="1"/>
  <c r="EG181" i="1"/>
  <c r="DZ181" i="1" s="1"/>
  <c r="BL181" i="1" s="1"/>
  <c r="EG140" i="1"/>
  <c r="DZ140" i="1" s="1"/>
  <c r="BL140" i="1" s="1"/>
  <c r="DU123" i="1"/>
  <c r="DU100" i="1"/>
  <c r="DU122" i="1"/>
  <c r="DU115" i="1"/>
  <c r="DU109" i="1"/>
  <c r="CQ99" i="1"/>
  <c r="DT99" i="1"/>
  <c r="EH146" i="1"/>
  <c r="EA146" i="1" s="1"/>
  <c r="BM146" i="1" s="1"/>
  <c r="DT128" i="1"/>
  <c r="CQ128" i="1"/>
  <c r="EH153" i="1"/>
  <c r="EA153" i="1" s="1"/>
  <c r="BM153" i="1" s="1"/>
  <c r="EH152" i="1"/>
  <c r="EA152" i="1" s="1"/>
  <c r="BM152" i="1" s="1"/>
  <c r="EH144" i="1"/>
  <c r="EA144" i="1" s="1"/>
  <c r="BM144" i="1" s="1"/>
  <c r="DU112" i="1"/>
  <c r="DU114" i="1"/>
  <c r="DU99" i="1"/>
  <c r="DU120" i="1"/>
  <c r="EG179" i="1"/>
  <c r="DZ179" i="1" s="1"/>
  <c r="BL179" i="1" s="1"/>
  <c r="EH143" i="1"/>
  <c r="EA143" i="1" s="1"/>
  <c r="BM143" i="1" s="1"/>
  <c r="DU111" i="1"/>
  <c r="BB84" i="1"/>
  <c r="CQ85" i="1"/>
  <c r="DU85" i="1"/>
  <c r="BB132" i="1"/>
  <c r="DT104" i="1"/>
  <c r="CQ104" i="1"/>
  <c r="EG184" i="1"/>
  <c r="DZ184" i="1" s="1"/>
  <c r="BL184" i="1" s="1"/>
  <c r="EH155" i="1"/>
  <c r="EA155" i="1" s="1"/>
  <c r="BM155" i="1" s="1"/>
  <c r="DT100" i="1"/>
  <c r="CQ100" i="1"/>
  <c r="CQ109" i="1"/>
  <c r="DT109" i="1"/>
  <c r="EG186" i="1"/>
  <c r="DZ186" i="1" s="1"/>
  <c r="BL186" i="1" s="1"/>
  <c r="DU116" i="1"/>
  <c r="EH156" i="1"/>
  <c r="EA156" i="1" s="1"/>
  <c r="BM156" i="1" s="1"/>
  <c r="DT97" i="1"/>
  <c r="CQ97" i="1"/>
  <c r="DT163" i="1"/>
  <c r="DU101" i="1"/>
  <c r="DT116" i="1"/>
  <c r="CQ116" i="1"/>
  <c r="DT102" i="1"/>
  <c r="CQ102" i="1"/>
  <c r="EG139" i="1"/>
  <c r="DZ139" i="1" s="1"/>
  <c r="BL139" i="1" s="1"/>
  <c r="EH149" i="1"/>
  <c r="EA149" i="1" s="1"/>
  <c r="BM149" i="1" s="1"/>
  <c r="CQ126" i="1"/>
  <c r="DT126" i="1"/>
  <c r="DU96" i="1"/>
  <c r="DT115" i="1"/>
  <c r="CQ115" i="1"/>
  <c r="CQ96" i="1"/>
  <c r="DT96" i="1"/>
  <c r="DT129" i="1"/>
  <c r="CQ129" i="1"/>
  <c r="DT98" i="1"/>
  <c r="CQ98" i="1"/>
  <c r="EH154" i="1"/>
  <c r="EA154" i="1" s="1"/>
  <c r="BM154" i="1" s="1"/>
  <c r="F26" i="1"/>
  <c r="A27" i="1"/>
  <c r="R27" i="2"/>
  <c r="S27" i="2"/>
  <c r="U27" i="2"/>
  <c r="F27" i="2"/>
  <c r="W27" i="2"/>
  <c r="H27" i="2"/>
  <c r="Q27" i="2"/>
  <c r="E27" i="2"/>
  <c r="M27" i="2"/>
  <c r="K27" i="2"/>
  <c r="G27" i="2"/>
  <c r="P27" i="2"/>
  <c r="T27" i="2"/>
  <c r="B27" i="2"/>
  <c r="J27" i="2"/>
  <c r="V27" i="2"/>
  <c r="N27" i="2"/>
  <c r="L27" i="2"/>
  <c r="O27" i="2"/>
  <c r="X27" i="2"/>
  <c r="C27" i="2"/>
  <c r="D27" i="2"/>
  <c r="I27" i="2"/>
  <c r="Y27" i="2" l="1"/>
  <c r="BG26" i="1" s="1"/>
  <c r="AZ27" i="1"/>
  <c r="A28" i="2"/>
  <c r="DG27" i="1"/>
  <c r="F27" i="1"/>
  <c r="A28" i="1"/>
  <c r="EN164" i="1"/>
  <c r="EO175" i="1"/>
  <c r="EO174" i="1"/>
  <c r="EO164" i="1"/>
  <c r="EN162" i="1"/>
  <c r="EN175" i="1"/>
  <c r="EN169" i="1"/>
  <c r="EO170" i="1"/>
  <c r="EN176" i="1"/>
  <c r="EO162" i="1"/>
  <c r="EN159" i="1"/>
  <c r="EO168" i="1"/>
  <c r="EO167" i="1"/>
  <c r="EO169" i="1"/>
  <c r="EN173" i="1"/>
  <c r="EN166" i="1"/>
  <c r="EO160" i="1"/>
  <c r="EO158" i="1"/>
  <c r="EN172" i="1"/>
  <c r="EN167" i="1"/>
  <c r="EN161" i="1"/>
  <c r="EN160" i="1"/>
  <c r="EN163" i="1"/>
  <c r="EO166" i="1"/>
  <c r="EN174" i="1"/>
  <c r="EO171" i="1"/>
  <c r="BE168" i="1"/>
  <c r="EO165" i="1"/>
  <c r="EN158" i="1"/>
  <c r="BE163" i="1"/>
  <c r="EO159" i="1"/>
  <c r="EN171" i="1"/>
  <c r="EO161" i="1"/>
  <c r="EN170" i="1"/>
  <c r="EO176" i="1"/>
  <c r="EN168" i="1"/>
  <c r="EO163" i="1"/>
  <c r="EN165" i="1"/>
  <c r="P28" i="2"/>
  <c r="R28" i="2"/>
  <c r="B28" i="2"/>
  <c r="I28" i="2"/>
  <c r="G28" i="2"/>
  <c r="L28" i="2"/>
  <c r="D28" i="2"/>
  <c r="W28" i="2"/>
  <c r="E28" i="2"/>
  <c r="O28" i="2"/>
  <c r="V28" i="2"/>
  <c r="M28" i="2"/>
  <c r="T28" i="2"/>
  <c r="N28" i="2"/>
  <c r="J28" i="2"/>
  <c r="U28" i="2"/>
  <c r="H28" i="2"/>
  <c r="K28" i="2"/>
  <c r="X28" i="2"/>
  <c r="S28" i="2"/>
  <c r="F28" i="2"/>
  <c r="C28" i="2"/>
  <c r="Q28" i="2"/>
  <c r="Y28" i="2" l="1"/>
  <c r="BG27" i="1" s="1"/>
  <c r="AZ28" i="1"/>
  <c r="A29" i="2"/>
  <c r="DG28" i="1"/>
  <c r="EG169" i="1"/>
  <c r="DZ169" i="1" s="1"/>
  <c r="BL169" i="1" s="1"/>
  <c r="EG174" i="1"/>
  <c r="DZ174" i="1" s="1"/>
  <c r="BL174" i="1" s="1"/>
  <c r="EG159" i="1"/>
  <c r="DZ159" i="1" s="1"/>
  <c r="BL159" i="1" s="1"/>
  <c r="EG171" i="1"/>
  <c r="DZ171" i="1" s="1"/>
  <c r="BL171" i="1" s="1"/>
  <c r="EG167" i="1"/>
  <c r="DZ167" i="1" s="1"/>
  <c r="BL167" i="1" s="1"/>
  <c r="CU168" i="1"/>
  <c r="EG168" i="1"/>
  <c r="DZ168" i="1" s="1"/>
  <c r="BL168" i="1" s="1"/>
  <c r="EH175" i="1"/>
  <c r="EA175" i="1" s="1"/>
  <c r="BM175" i="1" s="1"/>
  <c r="EH161" i="1"/>
  <c r="EA161" i="1" s="1"/>
  <c r="BM161" i="1" s="1"/>
  <c r="EH162" i="1"/>
  <c r="EA162" i="1" s="1"/>
  <c r="BM162" i="1" s="1"/>
  <c r="EH158" i="1"/>
  <c r="EA158" i="1" s="1"/>
  <c r="BM158" i="1" s="1"/>
  <c r="EH159" i="1"/>
  <c r="EA159" i="1" s="1"/>
  <c r="BM159" i="1" s="1"/>
  <c r="EH165" i="1"/>
  <c r="EA165" i="1" s="1"/>
  <c r="BM165" i="1" s="1"/>
  <c r="EG170" i="1"/>
  <c r="DZ170" i="1" s="1"/>
  <c r="BL170" i="1" s="1"/>
  <c r="EG158" i="1"/>
  <c r="DZ158" i="1" s="1"/>
  <c r="BL158" i="1" s="1"/>
  <c r="EG160" i="1"/>
  <c r="DZ160" i="1" s="1"/>
  <c r="BL160" i="1" s="1"/>
  <c r="EH176" i="1"/>
  <c r="EA176" i="1" s="1"/>
  <c r="BM176" i="1" s="1"/>
  <c r="EH174" i="1"/>
  <c r="EA174" i="1" s="1"/>
  <c r="BM174" i="1" s="1"/>
  <c r="EH163" i="1"/>
  <c r="EA163" i="1" s="1"/>
  <c r="BM163" i="1" s="1"/>
  <c r="EH170" i="1"/>
  <c r="EA170" i="1" s="1"/>
  <c r="BM170" i="1" s="1"/>
  <c r="EH168" i="1"/>
  <c r="EA168" i="1" s="1"/>
  <c r="BM168" i="1" s="1"/>
  <c r="EG161" i="1"/>
  <c r="DZ161" i="1" s="1"/>
  <c r="BL161" i="1" s="1"/>
  <c r="EG176" i="1"/>
  <c r="DZ176" i="1" s="1"/>
  <c r="BL176" i="1" s="1"/>
  <c r="EG173" i="1"/>
  <c r="DZ173" i="1" s="1"/>
  <c r="BL173" i="1" s="1"/>
  <c r="EG175" i="1"/>
  <c r="DZ175" i="1" s="1"/>
  <c r="BL175" i="1" s="1"/>
  <c r="EG172" i="1"/>
  <c r="DZ172" i="1" s="1"/>
  <c r="BL172" i="1" s="1"/>
  <c r="EH167" i="1"/>
  <c r="EA167" i="1" s="1"/>
  <c r="BM167" i="1" s="1"/>
  <c r="EG163" i="1"/>
  <c r="DZ163" i="1" s="1"/>
  <c r="BL163" i="1" s="1"/>
  <c r="EH169" i="1"/>
  <c r="EA169" i="1" s="1"/>
  <c r="BM169" i="1" s="1"/>
  <c r="EH160" i="1"/>
  <c r="EA160" i="1" s="1"/>
  <c r="BM160" i="1" s="1"/>
  <c r="EG165" i="1"/>
  <c r="DZ165" i="1" s="1"/>
  <c r="BL165" i="1" s="1"/>
  <c r="EG162" i="1"/>
  <c r="DZ162" i="1" s="1"/>
  <c r="BL162" i="1" s="1"/>
  <c r="CU163" i="1"/>
  <c r="EH166" i="1"/>
  <c r="EA166" i="1" s="1"/>
  <c r="BM166" i="1" s="1"/>
  <c r="EH164" i="1"/>
  <c r="EA164" i="1" s="1"/>
  <c r="BM164" i="1" s="1"/>
  <c r="EG164" i="1"/>
  <c r="DZ164" i="1" s="1"/>
  <c r="BL164" i="1" s="1"/>
  <c r="EG166" i="1"/>
  <c r="DZ166" i="1" s="1"/>
  <c r="BL166" i="1" s="1"/>
  <c r="EH171" i="1"/>
  <c r="EA171" i="1" s="1"/>
  <c r="BM171" i="1" s="1"/>
  <c r="F28" i="1"/>
  <c r="A29" i="1"/>
  <c r="AZ29" i="1" l="1"/>
  <c r="A30" i="2"/>
  <c r="DG29" i="1"/>
  <c r="F29" i="1"/>
  <c r="A30" i="1"/>
  <c r="AZ30" i="1" l="1"/>
  <c r="A31" i="2"/>
  <c r="DG30" i="1"/>
  <c r="F30" i="1"/>
  <c r="A31" i="1"/>
  <c r="AZ31" i="1" l="1"/>
  <c r="A32" i="2"/>
  <c r="DG31" i="1"/>
  <c r="F31" i="1"/>
  <c r="A32" i="1"/>
  <c r="AX63" i="1"/>
  <c r="AU118" i="1"/>
  <c r="CI87" i="1"/>
  <c r="AX101" i="1"/>
  <c r="AW115" i="1"/>
  <c r="DA96" i="1"/>
  <c r="AW163" i="1"/>
  <c r="EQ60" i="1"/>
  <c r="AX95" i="1"/>
  <c r="AX149" i="1"/>
  <c r="CH94" i="1"/>
  <c r="CH103" i="1"/>
  <c r="EQ181" i="1"/>
  <c r="DD166" i="1"/>
  <c r="CD93" i="1"/>
  <c r="CD99" i="1"/>
  <c r="EQ141" i="1"/>
  <c r="CF104" i="1"/>
  <c r="EQ143" i="1"/>
  <c r="CG106" i="1"/>
  <c r="DB178" i="1"/>
  <c r="CG101" i="1"/>
  <c r="AX121" i="1"/>
  <c r="AX158" i="1"/>
  <c r="DD176" i="1"/>
  <c r="DC121" i="1"/>
  <c r="CI105" i="1"/>
  <c r="EP184" i="1"/>
  <c r="CE56" i="1"/>
  <c r="CH114" i="1"/>
  <c r="CF108" i="1"/>
  <c r="AW124" i="1"/>
  <c r="EP166" i="1"/>
  <c r="AW189" i="1"/>
  <c r="CF92" i="1"/>
  <c r="AW64" i="1"/>
  <c r="EQ71" i="1"/>
  <c r="CH120" i="1"/>
  <c r="DE120" i="1"/>
  <c r="DD167" i="1"/>
  <c r="CE94" i="1"/>
  <c r="CD95" i="1"/>
  <c r="DA107" i="1"/>
  <c r="AX113" i="1"/>
  <c r="DF179" i="1"/>
  <c r="EP59" i="1"/>
  <c r="AW128" i="1"/>
  <c r="AX89" i="1"/>
  <c r="DD179" i="1"/>
  <c r="CH104" i="1"/>
  <c r="AX117" i="1"/>
  <c r="CH96" i="1"/>
  <c r="DB85" i="1"/>
  <c r="EQ145" i="1"/>
  <c r="CI99" i="1"/>
  <c r="AX100" i="1"/>
  <c r="AX128" i="1"/>
  <c r="CF126" i="1"/>
  <c r="EP163" i="1"/>
  <c r="DE117" i="1"/>
  <c r="CF109" i="1"/>
  <c r="DA97" i="1"/>
  <c r="EQ152" i="1"/>
  <c r="DE113" i="1"/>
  <c r="DC113" i="1"/>
  <c r="DC129" i="1"/>
  <c r="DA118" i="1"/>
  <c r="DE179" i="1"/>
  <c r="CF114" i="1"/>
  <c r="EQ158" i="1"/>
  <c r="AS96" i="1"/>
  <c r="DE110" i="1"/>
  <c r="DC168" i="1"/>
  <c r="AV87" i="1"/>
  <c r="CI97" i="1"/>
  <c r="CG124" i="1"/>
  <c r="AS105" i="1"/>
  <c r="EQ169" i="1"/>
  <c r="CH121" i="1"/>
  <c r="DB165" i="1"/>
  <c r="AW125" i="1"/>
  <c r="AX116" i="1"/>
  <c r="EQ186" i="1"/>
  <c r="AU104" i="1"/>
  <c r="AX90" i="1"/>
  <c r="CD105" i="1"/>
  <c r="EP79" i="1"/>
  <c r="CD106" i="1"/>
  <c r="CF129" i="1"/>
  <c r="AW98" i="1"/>
  <c r="CH124" i="1"/>
  <c r="CF116" i="1"/>
  <c r="EP176" i="1"/>
  <c r="AX188" i="1"/>
  <c r="AW114" i="1"/>
  <c r="AX56" i="1"/>
  <c r="CD117" i="1"/>
  <c r="DD168" i="1"/>
  <c r="EQ189" i="1"/>
  <c r="CH119" i="1"/>
  <c r="DA103" i="1"/>
  <c r="CD118" i="1"/>
  <c r="EP164" i="1"/>
  <c r="EQ45" i="1"/>
  <c r="EQ74" i="1"/>
  <c r="CH161" i="1"/>
  <c r="DA95" i="1"/>
  <c r="CD103" i="1"/>
  <c r="AW161" i="1"/>
  <c r="EQ183" i="1"/>
  <c r="CG114" i="1"/>
  <c r="CG126" i="1"/>
  <c r="DE177" i="1"/>
  <c r="CG116" i="1"/>
  <c r="EP160" i="1"/>
  <c r="CI49" i="1"/>
  <c r="CF98" i="1"/>
  <c r="AW140" i="1"/>
  <c r="CH165" i="1"/>
  <c r="CG122" i="1"/>
  <c r="CG130" i="1"/>
  <c r="CG117" i="1"/>
  <c r="CG128" i="1"/>
  <c r="EQ157" i="1"/>
  <c r="EP152" i="1"/>
  <c r="BD107" i="1"/>
  <c r="AX115" i="1"/>
  <c r="EQ184" i="1"/>
  <c r="CG115" i="1"/>
  <c r="DE94" i="1"/>
  <c r="CD97" i="1"/>
  <c r="DB179" i="1"/>
  <c r="EQ142" i="1"/>
  <c r="CF121" i="1"/>
  <c r="CF94" i="1"/>
  <c r="AS117" i="1"/>
  <c r="CG129" i="1"/>
  <c r="DA113" i="1"/>
  <c r="CH93" i="1"/>
  <c r="AW95" i="1"/>
  <c r="DB162" i="1"/>
  <c r="CH50" i="1"/>
  <c r="DC98" i="1"/>
  <c r="CI91" i="1"/>
  <c r="DD164" i="1"/>
  <c r="DB168" i="1"/>
  <c r="DE121" i="1"/>
  <c r="DE106" i="1"/>
  <c r="DA102" i="1"/>
  <c r="DC88" i="1"/>
  <c r="CI85" i="1"/>
  <c r="CI125" i="1"/>
  <c r="CF95" i="1"/>
  <c r="CD112" i="1"/>
  <c r="CF88" i="1"/>
  <c r="AS109" i="1"/>
  <c r="AX186" i="1"/>
  <c r="CG109" i="1"/>
  <c r="DF86" i="1"/>
  <c r="EQ144" i="1"/>
  <c r="EP171" i="1"/>
  <c r="CG123" i="1"/>
  <c r="AX184" i="1"/>
  <c r="CI92" i="1"/>
  <c r="CI120" i="1"/>
  <c r="CG125" i="1"/>
  <c r="AW92" i="1"/>
  <c r="CI63" i="1"/>
  <c r="AW167" i="1"/>
  <c r="CF123" i="1"/>
  <c r="AS98" i="1"/>
  <c r="CG102" i="1"/>
  <c r="CI111" i="1"/>
  <c r="AU120" i="1"/>
  <c r="DD163" i="1"/>
  <c r="CI117" i="1"/>
  <c r="DE119" i="1"/>
  <c r="EQ147" i="1"/>
  <c r="DD137" i="1"/>
  <c r="CI119" i="1"/>
  <c r="DC100" i="1"/>
  <c r="AW139" i="1"/>
  <c r="AS122" i="1"/>
  <c r="CG97" i="1"/>
  <c r="CG98" i="1"/>
  <c r="CI122" i="1"/>
  <c r="DE104" i="1"/>
  <c r="CF97" i="1"/>
  <c r="CE164" i="1"/>
  <c r="DC106" i="1"/>
  <c r="CI101" i="1"/>
  <c r="CH108" i="1"/>
  <c r="DC104" i="1"/>
  <c r="AW129" i="1"/>
  <c r="CG110" i="1"/>
  <c r="CF103" i="1"/>
  <c r="CD101" i="1"/>
  <c r="CH115" i="1"/>
  <c r="CI106" i="1"/>
  <c r="CF120" i="1"/>
  <c r="AT100" i="1"/>
  <c r="AV118" i="1"/>
  <c r="AX130" i="1"/>
  <c r="EP140" i="1"/>
  <c r="AX157" i="1"/>
  <c r="AV112" i="1"/>
  <c r="CD113" i="1"/>
  <c r="AX164" i="1"/>
  <c r="AX150" i="1"/>
  <c r="DA100" i="1"/>
  <c r="CF115" i="1"/>
  <c r="AS99" i="1"/>
  <c r="AS97" i="1"/>
  <c r="CF122" i="1"/>
  <c r="DC94" i="1"/>
  <c r="EQ77" i="1"/>
  <c r="CD98" i="1"/>
  <c r="DB138" i="1"/>
  <c r="EQ47" i="1"/>
  <c r="AW56" i="1"/>
  <c r="AX152" i="1"/>
  <c r="AX97" i="1"/>
  <c r="CH111" i="1"/>
  <c r="AW111" i="1"/>
  <c r="CH123" i="1"/>
  <c r="DE98" i="1"/>
  <c r="CI130" i="1"/>
  <c r="AW174" i="1"/>
  <c r="CH87" i="1"/>
  <c r="CH98" i="1"/>
  <c r="EQ58" i="1"/>
  <c r="AW173" i="1"/>
  <c r="CI107" i="1"/>
  <c r="CD104" i="1"/>
  <c r="AX147" i="1"/>
  <c r="CG113" i="1"/>
  <c r="AW178" i="1"/>
  <c r="DD165" i="1"/>
  <c r="CG112" i="1"/>
  <c r="CI114" i="1"/>
  <c r="CI123" i="1"/>
  <c r="DD178" i="1"/>
  <c r="CH86" i="1"/>
  <c r="DF137" i="1"/>
  <c r="DE102" i="1"/>
  <c r="CI98" i="1"/>
  <c r="CF101" i="1"/>
  <c r="CI116" i="1"/>
  <c r="CD119" i="1"/>
  <c r="DC102" i="1"/>
  <c r="CI93" i="1"/>
  <c r="CH105" i="1"/>
  <c r="CH102" i="1"/>
  <c r="DA117" i="1"/>
  <c r="DA114" i="1"/>
  <c r="CI124" i="1"/>
  <c r="AX49" i="1"/>
  <c r="CI88" i="1"/>
  <c r="CI104" i="1"/>
  <c r="AW175" i="1"/>
  <c r="CH130" i="1"/>
  <c r="CI108" i="1"/>
  <c r="CG119" i="1"/>
  <c r="CF102" i="1"/>
  <c r="CG103" i="1"/>
  <c r="CI126" i="1"/>
  <c r="EP165" i="1"/>
  <c r="CF124" i="1"/>
  <c r="DF176" i="1"/>
  <c r="AX178" i="1"/>
  <c r="AX185" i="1"/>
  <c r="EQ50" i="1"/>
  <c r="EP162" i="1"/>
  <c r="CH126" i="1"/>
  <c r="EQ187" i="1"/>
  <c r="DA111" i="1"/>
  <c r="AS119" i="1"/>
  <c r="CI109" i="1"/>
  <c r="EP167" i="1"/>
  <c r="DF178" i="1"/>
  <c r="CD94" i="1"/>
  <c r="CD109" i="1"/>
  <c r="EQ51" i="1"/>
  <c r="EQ75" i="1"/>
  <c r="CF128" i="1"/>
  <c r="AV123" i="1"/>
  <c r="EQ146" i="1"/>
  <c r="DE112" i="1"/>
  <c r="AW158" i="1"/>
  <c r="EP146" i="1"/>
  <c r="CD100" i="1"/>
  <c r="AS100" i="1"/>
  <c r="EP150" i="1"/>
  <c r="AX112" i="1"/>
  <c r="CF93" i="1"/>
  <c r="AW126" i="1"/>
  <c r="CG93" i="1"/>
  <c r="CI113" i="1"/>
  <c r="AW166" i="1"/>
  <c r="DC47" i="1"/>
  <c r="AW164" i="1"/>
  <c r="AX102" i="1"/>
  <c r="CD114" i="1"/>
  <c r="AX142" i="1"/>
  <c r="CF106" i="1"/>
  <c r="CH110" i="1"/>
  <c r="DB137" i="1"/>
  <c r="EQ151" i="1"/>
  <c r="AS108" i="1"/>
  <c r="CH117" i="1"/>
  <c r="CH109" i="1"/>
  <c r="DE97" i="1"/>
  <c r="DF164" i="1"/>
  <c r="AW127" i="1"/>
  <c r="DC114" i="1"/>
  <c r="CD96" i="1"/>
  <c r="AW90" i="1"/>
  <c r="AW53" i="1"/>
  <c r="AW110" i="1"/>
  <c r="AU122" i="1"/>
  <c r="AU102" i="1"/>
  <c r="AW147" i="1"/>
  <c r="CH118" i="1"/>
  <c r="DA108" i="1"/>
  <c r="CH116" i="1"/>
  <c r="CH163" i="1"/>
  <c r="DB163" i="1"/>
  <c r="CD111" i="1"/>
  <c r="BB168" i="1"/>
  <c r="DA105" i="1"/>
  <c r="DC103" i="1"/>
  <c r="DE122" i="1"/>
  <c r="CG120" i="1"/>
  <c r="CG100" i="1"/>
  <c r="CF117" i="1"/>
  <c r="AS101" i="1"/>
  <c r="DC115" i="1"/>
  <c r="CI52" i="1"/>
  <c r="CI56" i="1"/>
  <c r="AW150" i="1"/>
  <c r="AW160" i="1"/>
  <c r="BD117" i="1"/>
  <c r="CH90" i="1"/>
  <c r="DD138" i="1"/>
  <c r="DE115" i="1"/>
  <c r="AX104" i="1"/>
  <c r="CH89" i="1"/>
  <c r="DD162" i="1"/>
  <c r="CD108" i="1"/>
  <c r="AS95" i="1"/>
  <c r="AX106" i="1"/>
  <c r="DF139" i="1"/>
  <c r="CE165" i="1"/>
  <c r="AX105" i="1"/>
  <c r="CH97" i="1"/>
  <c r="AX181" i="1"/>
  <c r="AX122" i="1"/>
  <c r="DF171" i="1"/>
  <c r="DC101" i="1"/>
  <c r="EQ79" i="1"/>
  <c r="CD107" i="1"/>
  <c r="CI115" i="1"/>
  <c r="DE186" i="1"/>
  <c r="CI86" i="1"/>
  <c r="EP161" i="1"/>
  <c r="CF111" i="1"/>
  <c r="CF112" i="1"/>
  <c r="CG99" i="1"/>
  <c r="CE163" i="1"/>
  <c r="CG95" i="1"/>
  <c r="CH88" i="1"/>
  <c r="CH113" i="1"/>
  <c r="CH127" i="1"/>
  <c r="CH162" i="1"/>
  <c r="EP58" i="1"/>
  <c r="DD139" i="1"/>
  <c r="AS93" i="1"/>
  <c r="CE162" i="1"/>
  <c r="AX94" i="1"/>
  <c r="DA121" i="1"/>
  <c r="CH53" i="1"/>
  <c r="DD169" i="1"/>
  <c r="CG121" i="1"/>
  <c r="EQ56" i="1"/>
  <c r="CI94" i="1"/>
  <c r="DF166" i="1"/>
  <c r="CF119" i="1"/>
  <c r="AX96" i="1"/>
  <c r="CH101" i="1"/>
  <c r="DB176" i="1"/>
  <c r="EQ174" i="1"/>
  <c r="AX120" i="1"/>
  <c r="DC116" i="1"/>
  <c r="AX85" i="1"/>
  <c r="EQ155" i="1"/>
  <c r="CD115" i="1"/>
  <c r="AX151" i="1"/>
  <c r="AW88" i="1"/>
  <c r="DF151" i="1"/>
  <c r="CF113" i="1"/>
  <c r="AW180" i="1"/>
  <c r="EQ139" i="1"/>
  <c r="CI102" i="1"/>
  <c r="CI112" i="1"/>
  <c r="DF115" i="1"/>
  <c r="DC99" i="1"/>
  <c r="CD121" i="1"/>
  <c r="AX139" i="1"/>
  <c r="CG108" i="1"/>
  <c r="AW122" i="1"/>
  <c r="AX91" i="1"/>
  <c r="CI51" i="1"/>
  <c r="CH99" i="1"/>
  <c r="AW123" i="1"/>
  <c r="AS110" i="1"/>
  <c r="AW157" i="1"/>
  <c r="DE116" i="1"/>
  <c r="DF168" i="1"/>
  <c r="AV88" i="1"/>
  <c r="AX148" i="1"/>
  <c r="DF138" i="1"/>
  <c r="CF99" i="1"/>
  <c r="CH129" i="1"/>
  <c r="DA119" i="1"/>
  <c r="CI129" i="1"/>
  <c r="DA116" i="1"/>
  <c r="CH106" i="1"/>
  <c r="CF118" i="1"/>
  <c r="CG104" i="1"/>
  <c r="CF130" i="1"/>
  <c r="AW165" i="1"/>
  <c r="CI128" i="1"/>
  <c r="EQ46" i="1"/>
  <c r="CI53" i="1"/>
  <c r="EP172" i="1"/>
  <c r="AX189" i="1"/>
  <c r="CG111" i="1"/>
  <c r="EQ182" i="1"/>
  <c r="AW51" i="1"/>
  <c r="AW144" i="1"/>
  <c r="AU111" i="1"/>
  <c r="EQ178" i="1"/>
  <c r="CI89" i="1"/>
  <c r="DE108" i="1"/>
  <c r="DC111" i="1"/>
  <c r="CF96" i="1"/>
  <c r="AS106" i="1"/>
  <c r="CF125" i="1"/>
  <c r="DC120" i="1"/>
  <c r="DB154" i="1"/>
  <c r="AX99" i="1"/>
  <c r="BD96" i="1"/>
  <c r="AS118" i="1"/>
  <c r="CH122" i="1"/>
  <c r="CI90" i="1"/>
  <c r="AW172" i="1"/>
  <c r="AX103" i="1"/>
  <c r="AW86" i="1"/>
  <c r="CF107" i="1"/>
  <c r="CG94" i="1"/>
  <c r="EQ140" i="1"/>
  <c r="AU123" i="1"/>
  <c r="DA109" i="1"/>
  <c r="CI71" i="1"/>
  <c r="CI64" i="1"/>
  <c r="CI118" i="1"/>
  <c r="EQ70" i="1"/>
  <c r="DE114" i="1"/>
  <c r="AW93" i="1"/>
  <c r="DE105" i="1"/>
  <c r="DC97" i="1"/>
  <c r="CH125" i="1"/>
  <c r="DA122" i="1"/>
  <c r="CF100" i="1"/>
  <c r="DE96" i="1"/>
  <c r="AX187" i="1"/>
  <c r="DC107" i="1"/>
  <c r="DF167" i="1"/>
  <c r="DA112" i="1"/>
  <c r="AS104" i="1"/>
  <c r="CI110" i="1"/>
  <c r="AS121" i="1"/>
  <c r="CI100" i="1"/>
  <c r="DE103" i="1"/>
  <c r="CH107" i="1"/>
  <c r="CG105" i="1"/>
  <c r="DB128" i="1"/>
  <c r="EQ62" i="1"/>
  <c r="CH112" i="1"/>
  <c r="AX146" i="1"/>
  <c r="CH92" i="1"/>
  <c r="BC89" i="1"/>
  <c r="AX88" i="1"/>
  <c r="AX182" i="1"/>
  <c r="AV85" i="1"/>
  <c r="DA101" i="1"/>
  <c r="CE53" i="1"/>
  <c r="DD117" i="1"/>
  <c r="AW116" i="1"/>
  <c r="CI103" i="1"/>
  <c r="AX180" i="1"/>
  <c r="EQ149" i="1"/>
  <c r="EQ76" i="1"/>
  <c r="AX167" i="1"/>
  <c r="AX98" i="1"/>
  <c r="AW182" i="1"/>
  <c r="AW102" i="1"/>
  <c r="DD105" i="1"/>
  <c r="AX93" i="1"/>
  <c r="EQ168" i="1"/>
  <c r="DF170" i="1"/>
  <c r="AW50" i="1"/>
  <c r="BB163" i="1"/>
  <c r="CE89" i="1"/>
  <c r="DF175" i="1"/>
  <c r="AW146" i="1"/>
  <c r="CI96" i="1"/>
  <c r="DC108" i="1"/>
  <c r="DD173" i="1"/>
  <c r="CG89" i="1"/>
  <c r="DF169" i="1"/>
  <c r="DE72" i="1"/>
  <c r="DA124" i="1"/>
  <c r="AW91" i="1"/>
  <c r="AW97" i="1"/>
  <c r="EP177" i="1"/>
  <c r="DF103" i="1"/>
  <c r="DA74" i="1"/>
  <c r="DE183" i="1"/>
  <c r="AX110" i="1"/>
  <c r="CD124" i="1"/>
  <c r="CI121" i="1"/>
  <c r="BD95" i="1"/>
  <c r="CG92" i="1"/>
  <c r="BD118" i="1"/>
  <c r="DC75" i="1"/>
  <c r="DF98" i="1"/>
  <c r="EQ61" i="1"/>
  <c r="AX177" i="1"/>
  <c r="AX123" i="1"/>
  <c r="CD122" i="1"/>
  <c r="EP62" i="1"/>
  <c r="DA99" i="1"/>
  <c r="BB52" i="1"/>
  <c r="CG88" i="1"/>
  <c r="AS89" i="1"/>
  <c r="CI162" i="1"/>
  <c r="DC95" i="1"/>
  <c r="EQ78" i="1"/>
  <c r="AX179" i="1"/>
  <c r="BA50" i="1"/>
  <c r="DE95" i="1"/>
  <c r="AX143" i="1"/>
  <c r="AX108" i="1"/>
  <c r="AU91" i="1"/>
  <c r="DC122" i="1"/>
  <c r="AT112" i="1"/>
  <c r="EP168" i="1"/>
  <c r="DB95" i="1"/>
  <c r="AX64" i="1"/>
  <c r="AW188" i="1"/>
  <c r="EQ159" i="1"/>
  <c r="DE100" i="1"/>
  <c r="AW120" i="1"/>
  <c r="EP149" i="1"/>
  <c r="EQ167" i="1"/>
  <c r="DB118" i="1"/>
  <c r="AS49" i="1"/>
  <c r="DF5" i="1"/>
  <c r="CE91" i="1"/>
  <c r="DE93" i="1"/>
  <c r="EQ177" i="1"/>
  <c r="DF165" i="1"/>
  <c r="EQ176" i="1"/>
  <c r="DF102" i="1"/>
  <c r="EM56" i="1"/>
  <c r="CI127" i="1"/>
  <c r="EL52" i="1"/>
  <c r="AX126" i="1"/>
  <c r="EQ180" i="1"/>
  <c r="BD114" i="1"/>
  <c r="CH85" i="1"/>
  <c r="EQ53" i="1"/>
  <c r="EP50" i="1"/>
  <c r="DA127" i="1"/>
  <c r="AW170" i="1"/>
  <c r="AX138" i="1"/>
  <c r="DA76" i="1"/>
  <c r="AU106" i="1"/>
  <c r="CH51" i="1"/>
  <c r="EP52" i="1"/>
  <c r="AW108" i="1"/>
  <c r="EP47" i="1"/>
  <c r="CE85" i="1"/>
  <c r="DC112" i="1"/>
  <c r="AU109" i="1"/>
  <c r="AV114" i="1"/>
  <c r="AU107" i="1"/>
  <c r="CE123" i="1"/>
  <c r="EQ150" i="1"/>
  <c r="AX118" i="1"/>
  <c r="DD6" i="1"/>
  <c r="CH168" i="1"/>
  <c r="DB94" i="1"/>
  <c r="AX70" i="1"/>
  <c r="AW176" i="1"/>
  <c r="DC109" i="1"/>
  <c r="AT52" i="1"/>
  <c r="EP173" i="1"/>
  <c r="DE143" i="1"/>
  <c r="DD170" i="1"/>
  <c r="CE105" i="1"/>
  <c r="AU96" i="1"/>
  <c r="DE99" i="1"/>
  <c r="BD105" i="1"/>
  <c r="EP145" i="1"/>
  <c r="AS111" i="1"/>
  <c r="EP170" i="1"/>
  <c r="AW185" i="1"/>
  <c r="DC127" i="1"/>
  <c r="DC123" i="1"/>
  <c r="BD100" i="1"/>
  <c r="EQ171" i="1"/>
  <c r="DE109" i="1"/>
  <c r="EQ188" i="1"/>
  <c r="AT86" i="1"/>
  <c r="EP74" i="1"/>
  <c r="DA48" i="1"/>
  <c r="DA141" i="1"/>
  <c r="DE148" i="1"/>
  <c r="CE63" i="1"/>
  <c r="AV113" i="1"/>
  <c r="DA178" i="1"/>
  <c r="CE88" i="1"/>
  <c r="DE111" i="1"/>
  <c r="AU115" i="1"/>
  <c r="AV95" i="1"/>
  <c r="AX154" i="1"/>
  <c r="AT94" i="1"/>
  <c r="AX114" i="1"/>
  <c r="AS115" i="1"/>
  <c r="AV101" i="1"/>
  <c r="CE96" i="1"/>
  <c r="BD115" i="1"/>
  <c r="EQ156" i="1"/>
  <c r="DA98" i="1"/>
  <c r="EQ49" i="1"/>
  <c r="AV116" i="1"/>
  <c r="EQ59" i="1"/>
  <c r="CG96" i="1"/>
  <c r="DF99" i="1"/>
  <c r="CF86" i="1"/>
  <c r="AU129" i="1"/>
  <c r="AX165" i="1"/>
  <c r="CF90" i="1"/>
  <c r="AX86" i="1"/>
  <c r="EP137" i="1"/>
  <c r="EQ48" i="1"/>
  <c r="EP53" i="1"/>
  <c r="EQ148" i="1"/>
  <c r="EP179" i="1"/>
  <c r="AW171" i="1"/>
  <c r="AT130" i="1"/>
  <c r="EL51" i="1"/>
  <c r="EP143" i="1"/>
  <c r="AV104" i="1"/>
  <c r="EP182" i="1"/>
  <c r="CH49" i="1"/>
  <c r="AW100" i="1"/>
  <c r="DC177" i="1"/>
  <c r="BA90" i="1"/>
  <c r="AV105" i="1"/>
  <c r="CD129" i="1"/>
  <c r="CE111" i="1"/>
  <c r="CI161" i="1"/>
  <c r="DA161" i="1"/>
  <c r="DD124" i="1"/>
  <c r="AW96" i="1"/>
  <c r="EP169" i="1"/>
  <c r="AU93" i="1"/>
  <c r="DA56" i="1"/>
  <c r="AU92" i="1"/>
  <c r="CD116" i="1"/>
  <c r="AX92" i="1"/>
  <c r="DC175" i="1"/>
  <c r="BC90" i="1"/>
  <c r="DB169" i="1"/>
  <c r="AU100" i="1"/>
  <c r="CE99" i="1"/>
  <c r="AS107" i="1"/>
  <c r="BD103" i="1"/>
  <c r="BC85" i="1"/>
  <c r="EQ175" i="1"/>
  <c r="CD70" i="1"/>
  <c r="DE74" i="1"/>
  <c r="CD120" i="1"/>
  <c r="DE188" i="1"/>
  <c r="CH56" i="1"/>
  <c r="AW121" i="1"/>
  <c r="DE139" i="1"/>
  <c r="AX166" i="1"/>
  <c r="CF127" i="1"/>
  <c r="CF110" i="1"/>
  <c r="CD85" i="1"/>
  <c r="AT95" i="1"/>
  <c r="EQ63" i="1"/>
  <c r="AW105" i="1"/>
  <c r="DE172" i="1"/>
  <c r="EP180" i="1"/>
  <c r="EP77" i="1"/>
  <c r="AS116" i="1"/>
  <c r="EP51" i="1"/>
  <c r="AW49" i="1"/>
  <c r="DC128" i="1"/>
  <c r="CH91" i="1"/>
  <c r="DB143" i="1"/>
  <c r="DE101" i="1"/>
  <c r="EP175" i="1"/>
  <c r="CD102" i="1"/>
  <c r="AU124" i="1"/>
  <c r="CG118" i="1"/>
  <c r="AX87" i="1"/>
  <c r="AT115" i="1"/>
  <c r="DD155" i="1"/>
  <c r="DC50" i="1"/>
  <c r="DA63" i="1"/>
  <c r="AV111" i="1"/>
  <c r="DA51" i="1"/>
  <c r="AU163" i="1"/>
  <c r="DB99" i="1"/>
  <c r="DE107" i="1"/>
  <c r="CF87" i="1"/>
  <c r="AU99" i="1"/>
  <c r="AS90" i="1"/>
  <c r="DE164" i="1"/>
  <c r="DA106" i="1"/>
  <c r="DC119" i="1"/>
  <c r="CH63" i="1"/>
  <c r="AW99" i="1"/>
  <c r="DF162" i="1"/>
  <c r="DC187" i="1"/>
  <c r="AW154" i="1"/>
  <c r="AT109" i="1"/>
  <c r="BD97" i="1"/>
  <c r="EP45" i="1"/>
  <c r="AS126" i="1"/>
  <c r="AS94" i="1"/>
  <c r="BD108" i="1"/>
  <c r="EP46" i="1"/>
  <c r="AW106" i="1"/>
  <c r="EQ138" i="1"/>
  <c r="DE118" i="1"/>
  <c r="BA53" i="1"/>
  <c r="DB117" i="1"/>
  <c r="EP156" i="1"/>
  <c r="AV94" i="1"/>
  <c r="BA88" i="1"/>
  <c r="DB177" i="1"/>
  <c r="DD89" i="1"/>
  <c r="DC181" i="1"/>
  <c r="AV129" i="1"/>
  <c r="DB147" i="1"/>
  <c r="DF177" i="1"/>
  <c r="CE116" i="1"/>
  <c r="EQ57" i="1"/>
  <c r="DA137" i="1"/>
  <c r="DA171" i="1"/>
  <c r="DE163" i="1"/>
  <c r="AW103" i="1"/>
  <c r="DB148" i="1"/>
  <c r="AX50" i="1"/>
  <c r="AU88" i="1"/>
  <c r="AV125" i="1"/>
  <c r="DA110" i="1"/>
  <c r="DB115" i="1"/>
  <c r="CE161" i="1"/>
  <c r="DF119" i="1"/>
  <c r="CI62" i="1"/>
  <c r="AX161" i="1"/>
  <c r="AX52" i="1"/>
  <c r="EQ160" i="1"/>
  <c r="CG87" i="1"/>
  <c r="AW169" i="1"/>
  <c r="AS112" i="1"/>
  <c r="DC62" i="1"/>
  <c r="DA188" i="1"/>
  <c r="AW118" i="1"/>
  <c r="EQ165" i="1"/>
  <c r="AX109" i="1"/>
  <c r="DC147" i="1"/>
  <c r="EP73" i="1"/>
  <c r="DB171" i="1"/>
  <c r="AU127" i="1"/>
  <c r="DE184" i="1"/>
  <c r="AS120" i="1"/>
  <c r="DD97" i="1"/>
  <c r="EP76" i="1"/>
  <c r="EP185" i="1"/>
  <c r="AW52" i="1"/>
  <c r="EP158" i="1"/>
  <c r="DE158" i="1"/>
  <c r="DB107" i="1"/>
  <c r="DE90" i="1"/>
  <c r="AV128" i="1"/>
  <c r="EP178" i="1"/>
  <c r="AX153" i="1"/>
  <c r="EP181" i="1"/>
  <c r="DA170" i="1"/>
  <c r="EP174" i="1"/>
  <c r="AW145" i="1"/>
  <c r="DB186" i="1"/>
  <c r="DD96" i="1"/>
  <c r="DC105" i="1"/>
  <c r="CI95" i="1"/>
  <c r="DF144" i="1"/>
  <c r="DB164" i="1"/>
  <c r="DB145" i="1"/>
  <c r="AW177" i="1"/>
  <c r="CH64" i="1"/>
  <c r="DA93" i="1"/>
  <c r="DC110" i="1"/>
  <c r="DE185" i="1"/>
  <c r="AU103" i="1"/>
  <c r="DC185" i="1"/>
  <c r="CG107" i="1"/>
  <c r="DE59" i="1"/>
  <c r="AW142" i="1"/>
  <c r="AT90" i="1"/>
  <c r="AV120" i="1"/>
  <c r="DA115" i="1"/>
  <c r="DE73" i="1"/>
  <c r="AT124" i="1"/>
  <c r="BD121" i="1"/>
  <c r="AU94" i="1"/>
  <c r="DB167" i="1"/>
  <c r="AU130" i="1"/>
  <c r="EP72" i="1"/>
  <c r="CF105" i="1"/>
  <c r="EP141" i="1"/>
  <c r="DD143" i="1"/>
  <c r="AX140" i="1"/>
  <c r="AU114" i="1"/>
  <c r="AV92" i="1"/>
  <c r="CD49" i="1"/>
  <c r="CI165" i="1"/>
  <c r="DF94" i="1"/>
  <c r="CI164" i="1"/>
  <c r="DD183" i="1"/>
  <c r="DA162" i="1"/>
  <c r="DA163" i="1"/>
  <c r="DF97" i="1"/>
  <c r="DE178" i="1"/>
  <c r="DD130" i="1"/>
  <c r="AT123" i="1"/>
  <c r="CG127" i="1"/>
  <c r="EP64" i="1"/>
  <c r="DA90" i="1"/>
  <c r="DE71" i="1"/>
  <c r="AU90" i="1"/>
  <c r="CI70" i="1"/>
  <c r="DE127" i="1"/>
  <c r="AX127" i="1"/>
  <c r="DB110" i="1"/>
  <c r="AX124" i="1"/>
  <c r="EM52" i="1"/>
  <c r="AW186" i="1"/>
  <c r="DF183" i="1"/>
  <c r="CG85" i="1"/>
  <c r="DE128" i="1"/>
  <c r="DA94" i="1"/>
  <c r="CE109" i="1"/>
  <c r="AX163" i="1"/>
  <c r="AW85" i="1"/>
  <c r="DC118" i="1"/>
  <c r="DD112" i="1"/>
  <c r="DC161" i="1"/>
  <c r="AT128" i="1"/>
  <c r="CD91" i="1"/>
  <c r="AW117" i="1"/>
  <c r="AW181" i="1"/>
  <c r="AX168" i="1"/>
  <c r="AU85" i="1"/>
  <c r="AU101" i="1"/>
  <c r="AV86" i="1"/>
  <c r="DF160" i="1"/>
  <c r="CE112" i="1"/>
  <c r="DC96" i="1"/>
  <c r="CI163" i="1"/>
  <c r="EQ72" i="1"/>
  <c r="AU128" i="1"/>
  <c r="DA144" i="1"/>
  <c r="AW141" i="1"/>
  <c r="AS102" i="1"/>
  <c r="BD102" i="1"/>
  <c r="DC71" i="1"/>
  <c r="DA175" i="1"/>
  <c r="EP61" i="1"/>
  <c r="EP71" i="1"/>
  <c r="EP153" i="1"/>
  <c r="AS113" i="1"/>
  <c r="CH100" i="1"/>
  <c r="CE168" i="1"/>
  <c r="AW183" i="1"/>
  <c r="AW130" i="1"/>
  <c r="CH95" i="1"/>
  <c r="BA56" i="1"/>
  <c r="CH52" i="1"/>
  <c r="CG90" i="1"/>
  <c r="DC87" i="1"/>
  <c r="DE151" i="1"/>
  <c r="DA158" i="1"/>
  <c r="EP159" i="1"/>
  <c r="EQ137" i="1"/>
  <c r="EQ52" i="1"/>
  <c r="AV106" i="1"/>
  <c r="DA174" i="1"/>
  <c r="DF174" i="1"/>
  <c r="BA92" i="1"/>
  <c r="EP57" i="1"/>
  <c r="EQ166" i="1"/>
  <c r="AW159" i="1"/>
  <c r="EP49" i="1"/>
  <c r="DF163" i="1"/>
  <c r="EQ172" i="1"/>
  <c r="AV109" i="1"/>
  <c r="CI50" i="1"/>
  <c r="BC86" i="1"/>
  <c r="DB113" i="1"/>
  <c r="DD180" i="1"/>
  <c r="AX141" i="1"/>
  <c r="AW155" i="1"/>
  <c r="EP186" i="1"/>
  <c r="DD85" i="1"/>
  <c r="CD123" i="1"/>
  <c r="EP63" i="1"/>
  <c r="DE141" i="1"/>
  <c r="DF126" i="1"/>
  <c r="EP142" i="1"/>
  <c r="DE159" i="1"/>
  <c r="AS56" i="1"/>
  <c r="DD175" i="1"/>
  <c r="DB108" i="1"/>
  <c r="DA72" i="1"/>
  <c r="DA50" i="1"/>
  <c r="AU110" i="1"/>
  <c r="DE153" i="1"/>
  <c r="AW119" i="1"/>
  <c r="DF89" i="1"/>
  <c r="DE63" i="1"/>
  <c r="BA49" i="1"/>
  <c r="DE47" i="1"/>
  <c r="AT111" i="1"/>
  <c r="EQ153" i="1"/>
  <c r="AW184" i="1"/>
  <c r="AS88" i="1"/>
  <c r="DF91" i="1"/>
  <c r="BD128" i="1"/>
  <c r="DF109" i="1"/>
  <c r="DF113" i="1"/>
  <c r="CE126" i="1"/>
  <c r="BD122" i="1"/>
  <c r="DB159" i="1"/>
  <c r="AV122" i="1"/>
  <c r="AV124" i="1"/>
  <c r="DE78" i="1"/>
  <c r="EP70" i="1"/>
  <c r="DA85" i="1"/>
  <c r="AT64" i="1"/>
  <c r="DB189" i="1"/>
  <c r="DB181" i="1"/>
  <c r="AT113" i="1"/>
  <c r="DF147" i="1"/>
  <c r="CH128" i="1"/>
  <c r="DB139" i="1"/>
  <c r="EQ73" i="1"/>
  <c r="DF111" i="1"/>
  <c r="EP189" i="1"/>
  <c r="DC57" i="1"/>
  <c r="AV96" i="1"/>
  <c r="EP75" i="1"/>
  <c r="DE88" i="1"/>
  <c r="DE61" i="1"/>
  <c r="DD120" i="1"/>
  <c r="DA140" i="1"/>
  <c r="AW89" i="1"/>
  <c r="EP144" i="1"/>
  <c r="DE170" i="1"/>
  <c r="DE176" i="1"/>
  <c r="EO64" i="1"/>
  <c r="EQ173" i="1"/>
  <c r="DB120" i="1"/>
  <c r="DC174" i="1"/>
  <c r="DB152" i="1"/>
  <c r="DA167" i="1"/>
  <c r="AV49" i="1"/>
  <c r="AU116" i="1"/>
  <c r="DE45" i="1"/>
  <c r="DB187" i="1"/>
  <c r="DF101" i="1"/>
  <c r="DE174" i="1"/>
  <c r="DB89" i="1"/>
  <c r="AV130" i="1"/>
  <c r="BC87" i="1"/>
  <c r="DA61" i="1"/>
  <c r="DC63" i="1"/>
  <c r="DE125" i="1"/>
  <c r="DA182" i="1"/>
  <c r="BF116" i="1"/>
  <c r="DF117" i="1"/>
  <c r="DA156" i="1"/>
  <c r="DC89" i="1"/>
  <c r="DB158" i="1"/>
  <c r="AT88" i="1"/>
  <c r="AU167" i="1"/>
  <c r="EQ185" i="1"/>
  <c r="DF129" i="1"/>
  <c r="DB140" i="1"/>
  <c r="AW149" i="1"/>
  <c r="DF161" i="1"/>
  <c r="DA52" i="1"/>
  <c r="AV89" i="1"/>
  <c r="DD87" i="1"/>
  <c r="DC188" i="1"/>
  <c r="AV97" i="1"/>
  <c r="DE87" i="1"/>
  <c r="BC50" i="1"/>
  <c r="AV108" i="1"/>
  <c r="DB109" i="1"/>
  <c r="EM53" i="1"/>
  <c r="EQ179" i="1"/>
  <c r="AX162" i="1"/>
  <c r="AT125" i="1"/>
  <c r="AT70" i="1"/>
  <c r="EP154" i="1"/>
  <c r="DB97" i="1"/>
  <c r="EQ162" i="1"/>
  <c r="DA152" i="1"/>
  <c r="DB111" i="1"/>
  <c r="EO180" i="1"/>
  <c r="DF112" i="1"/>
  <c r="BD93" i="1"/>
  <c r="DB188" i="1"/>
  <c r="DD174" i="1"/>
  <c r="DA184" i="1"/>
  <c r="DF152" i="1"/>
  <c r="DD171" i="1"/>
  <c r="DC178" i="1"/>
  <c r="CE62" i="1"/>
  <c r="DF153" i="1"/>
  <c r="DF104" i="1"/>
  <c r="DB182" i="1"/>
  <c r="DA142" i="1"/>
  <c r="DD158" i="1"/>
  <c r="DB151" i="1"/>
  <c r="CD110" i="1"/>
  <c r="DF6" i="1"/>
  <c r="BE105" i="1"/>
  <c r="DF187" i="1"/>
  <c r="DE173" i="1"/>
  <c r="AW138" i="1"/>
  <c r="DF122" i="1"/>
  <c r="DE75" i="1"/>
  <c r="BD126" i="1"/>
  <c r="CE71" i="1"/>
  <c r="CE93" i="1"/>
  <c r="BD106" i="1"/>
  <c r="DC169" i="1"/>
  <c r="AX129" i="1"/>
  <c r="DD152" i="1"/>
  <c r="BF119" i="1"/>
  <c r="AX160" i="1"/>
  <c r="AX183" i="1"/>
  <c r="DA86" i="1"/>
  <c r="DA104" i="1"/>
  <c r="DC155" i="1"/>
  <c r="AW156" i="1"/>
  <c r="DA150" i="1"/>
  <c r="AS123" i="1"/>
  <c r="DE187" i="1"/>
  <c r="DA58" i="1"/>
  <c r="DC167" i="1"/>
  <c r="CE107" i="1"/>
  <c r="AT108" i="1"/>
  <c r="EP138" i="1"/>
  <c r="DB87" i="1"/>
  <c r="BA89" i="1"/>
  <c r="DF93" i="1"/>
  <c r="BF49" i="1"/>
  <c r="CE90" i="1"/>
  <c r="AW101" i="1"/>
  <c r="DF181" i="1"/>
  <c r="BC49" i="1"/>
  <c r="EN50" i="1"/>
  <c r="DA75" i="1"/>
  <c r="DC142" i="1"/>
  <c r="DD119" i="1"/>
  <c r="DA169" i="1"/>
  <c r="DA78" i="1"/>
  <c r="DB160" i="1"/>
  <c r="DC59" i="1"/>
  <c r="CE86" i="1"/>
  <c r="AT49" i="1"/>
  <c r="EP60" i="1"/>
  <c r="AT114" i="1"/>
  <c r="BD124" i="1"/>
  <c r="DD108" i="1"/>
  <c r="AW94" i="1"/>
  <c r="DD121" i="1"/>
  <c r="EP151" i="1"/>
  <c r="AX145" i="1"/>
  <c r="DC93" i="1"/>
  <c r="AU119" i="1"/>
  <c r="DC117" i="1"/>
  <c r="AX156" i="1"/>
  <c r="DD128" i="1"/>
  <c r="AX125" i="1"/>
  <c r="AS103" i="1"/>
  <c r="DF186" i="1"/>
  <c r="CE70" i="1"/>
  <c r="DC164" i="1"/>
  <c r="EP188" i="1"/>
  <c r="DC163" i="1"/>
  <c r="DF182" i="1"/>
  <c r="DB175" i="1"/>
  <c r="DA138" i="1"/>
  <c r="DA164" i="1"/>
  <c r="AV127" i="1"/>
  <c r="DA47" i="1"/>
  <c r="DF116" i="1"/>
  <c r="AX111" i="1"/>
  <c r="DF121" i="1"/>
  <c r="AU89" i="1"/>
  <c r="DA57" i="1"/>
  <c r="CF91" i="1"/>
  <c r="AT56" i="1"/>
  <c r="DB88" i="1"/>
  <c r="EP139" i="1"/>
  <c r="DC58" i="1"/>
  <c r="DF148" i="1"/>
  <c r="DC77" i="1"/>
  <c r="DD149" i="1"/>
  <c r="EN71" i="1"/>
  <c r="AT122" i="1"/>
  <c r="DB91" i="1"/>
  <c r="AV175" i="1"/>
  <c r="BD51" i="1"/>
  <c r="DE180" i="1"/>
  <c r="DE150" i="1"/>
  <c r="AV110" i="1"/>
  <c r="DB102" i="1"/>
  <c r="DC176" i="1"/>
  <c r="DF130" i="1"/>
  <c r="DD125" i="1"/>
  <c r="AW87" i="1"/>
  <c r="DE182" i="1"/>
  <c r="EP183" i="1"/>
  <c r="DB173" i="1"/>
  <c r="DE169" i="1"/>
  <c r="DE161" i="1"/>
  <c r="DE123" i="1"/>
  <c r="DB5" i="1"/>
  <c r="DB146" i="1"/>
  <c r="DF118" i="1"/>
  <c r="BC88" i="1"/>
  <c r="DB185" i="1"/>
  <c r="DA189" i="1"/>
  <c r="DD115" i="1"/>
  <c r="DB114" i="1"/>
  <c r="EN52" i="1"/>
  <c r="DD144" i="1"/>
  <c r="DB124" i="1"/>
  <c r="DD186" i="1"/>
  <c r="DE146" i="1"/>
  <c r="DF120" i="1"/>
  <c r="DB129" i="1"/>
  <c r="AT97" i="1"/>
  <c r="AW107" i="1"/>
  <c r="BD112" i="1"/>
  <c r="DE149" i="1"/>
  <c r="CD56" i="1"/>
  <c r="DA186" i="1"/>
  <c r="AX107" i="1"/>
  <c r="AT107" i="1"/>
  <c r="DA155" i="1"/>
  <c r="DE145" i="1"/>
  <c r="DA159" i="1"/>
  <c r="AT110" i="1"/>
  <c r="EP148" i="1"/>
  <c r="DC156" i="1"/>
  <c r="DE181" i="1"/>
  <c r="BF95" i="1"/>
  <c r="BF126" i="1"/>
  <c r="DF141" i="1"/>
  <c r="AV115" i="1"/>
  <c r="CF89" i="1"/>
  <c r="DB130" i="1"/>
  <c r="DD99" i="1"/>
  <c r="AU125" i="1"/>
  <c r="AT119" i="1"/>
  <c r="BD99" i="1"/>
  <c r="AS124" i="1"/>
  <c r="DE147" i="1"/>
  <c r="AV63" i="1"/>
  <c r="DF90" i="1"/>
  <c r="DD177" i="1"/>
  <c r="DC139" i="1"/>
  <c r="CE101" i="1"/>
  <c r="AT98" i="1"/>
  <c r="DF189" i="1"/>
  <c r="AX144" i="1"/>
  <c r="BF127" i="1"/>
  <c r="DC149" i="1"/>
  <c r="BE49" i="1"/>
  <c r="DC171" i="1"/>
  <c r="DF155" i="1"/>
  <c r="CH71" i="1"/>
  <c r="AW168" i="1"/>
  <c r="DA92" i="1"/>
  <c r="DC64" i="1"/>
  <c r="DF185" i="1"/>
  <c r="AT117" i="1"/>
  <c r="DB90" i="1"/>
  <c r="EQ161" i="1"/>
  <c r="DA62" i="1"/>
  <c r="DB183" i="1"/>
  <c r="DC73" i="1"/>
  <c r="EM50" i="1"/>
  <c r="DB153" i="1"/>
  <c r="EP187" i="1"/>
  <c r="AX51" i="1"/>
  <c r="DA126" i="1"/>
  <c r="AW152" i="1"/>
  <c r="AV90" i="1"/>
  <c r="BD116" i="1"/>
  <c r="EP56" i="1"/>
  <c r="AW179" i="1"/>
  <c r="DE76" i="1"/>
  <c r="DB150" i="1"/>
  <c r="CI168" i="1"/>
  <c r="CH62" i="1"/>
  <c r="EM51" i="1"/>
  <c r="DF100" i="1"/>
  <c r="DB96" i="1"/>
  <c r="AU108" i="1"/>
  <c r="DD188" i="1"/>
  <c r="DC182" i="1"/>
  <c r="DD156" i="1"/>
  <c r="DB144" i="1"/>
  <c r="DA168" i="1"/>
  <c r="AV93" i="1"/>
  <c r="AW187" i="1"/>
  <c r="DC86" i="1"/>
  <c r="EO60" i="1"/>
  <c r="AS127" i="1"/>
  <c r="DE53" i="1"/>
  <c r="AU121" i="1"/>
  <c r="DA120" i="1"/>
  <c r="DB119" i="1"/>
  <c r="AU97" i="1"/>
  <c r="AW104" i="1"/>
  <c r="CE128" i="1"/>
  <c r="AW112" i="1"/>
  <c r="AV64" i="1"/>
  <c r="CE97" i="1"/>
  <c r="DB184" i="1"/>
  <c r="AS125" i="1"/>
  <c r="DE140" i="1"/>
  <c r="DC150" i="1"/>
  <c r="DB157" i="1"/>
  <c r="AT51" i="1"/>
  <c r="CE52" i="1"/>
  <c r="DF158" i="1"/>
  <c r="BD125" i="1"/>
  <c r="DE156" i="1"/>
  <c r="DC143" i="1"/>
  <c r="DD154" i="1"/>
  <c r="DC137" i="1"/>
  <c r="CE117" i="1"/>
  <c r="AW151" i="1"/>
  <c r="AS129" i="1"/>
  <c r="DA125" i="1"/>
  <c r="DF95" i="1"/>
  <c r="CD86" i="1"/>
  <c r="DF87" i="1"/>
  <c r="DA73" i="1"/>
  <c r="AU113" i="1"/>
  <c r="DD123" i="1"/>
  <c r="DC49" i="1"/>
  <c r="CE50" i="1"/>
  <c r="BD119" i="1"/>
  <c r="CH164" i="1"/>
  <c r="DF124" i="1"/>
  <c r="AU155" i="1"/>
  <c r="DE171" i="1"/>
  <c r="DE167" i="1"/>
  <c r="EL56" i="1"/>
  <c r="DB142" i="1"/>
  <c r="AV102" i="1"/>
  <c r="AU112" i="1"/>
  <c r="DE144" i="1"/>
  <c r="AT96" i="1"/>
  <c r="DE130" i="1"/>
  <c r="EQ154" i="1"/>
  <c r="DA77" i="1"/>
  <c r="AV91" i="1"/>
  <c r="CH70" i="1"/>
  <c r="DB105" i="1"/>
  <c r="DC186" i="1"/>
  <c r="DA53" i="1"/>
  <c r="AV56" i="1"/>
  <c r="DB103" i="1"/>
  <c r="DB149" i="1"/>
  <c r="DE56" i="1"/>
  <c r="DE142" i="1"/>
  <c r="DF149" i="1"/>
  <c r="DF180" i="1"/>
  <c r="DC165" i="1"/>
  <c r="DD92" i="1"/>
  <c r="DE162" i="1"/>
  <c r="DF114" i="1"/>
  <c r="DF145" i="1"/>
  <c r="DD111" i="1"/>
  <c r="AT99" i="1"/>
  <c r="DB104" i="1"/>
  <c r="AV99" i="1"/>
  <c r="DC52" i="1"/>
  <c r="EQ170" i="1"/>
  <c r="DA153" i="1"/>
  <c r="DD146" i="1"/>
  <c r="CE127" i="1"/>
  <c r="AX119" i="1"/>
  <c r="DC46" i="1"/>
  <c r="DB141" i="1"/>
  <c r="DF107" i="1"/>
  <c r="CE129" i="1"/>
  <c r="DC180" i="1"/>
  <c r="DF173" i="1"/>
  <c r="DA64" i="1"/>
  <c r="AW109" i="1"/>
  <c r="AS114" i="1"/>
  <c r="EP155" i="1"/>
  <c r="DB166" i="1"/>
  <c r="BB56" i="1"/>
  <c r="EQ64" i="1"/>
  <c r="EP78" i="1"/>
  <c r="DA128" i="1"/>
  <c r="BD111" i="1"/>
  <c r="DD184" i="1"/>
  <c r="DE86" i="1"/>
  <c r="DB170" i="1"/>
  <c r="DA146" i="1"/>
  <c r="DF85" i="1"/>
  <c r="AU157" i="1"/>
  <c r="AS63" i="1"/>
  <c r="DE157" i="1"/>
  <c r="BD98" i="1"/>
  <c r="DA123" i="1"/>
  <c r="DF154" i="1"/>
  <c r="DE124" i="1"/>
  <c r="BD129" i="1"/>
  <c r="DD91" i="1"/>
  <c r="DD90" i="1"/>
  <c r="CG51" i="1"/>
  <c r="AU117" i="1"/>
  <c r="DF105" i="1"/>
  <c r="CD128" i="1"/>
  <c r="CD62" i="1"/>
  <c r="BB49" i="1"/>
  <c r="DA166" i="1"/>
  <c r="CD63" i="1"/>
  <c r="DE137" i="1"/>
  <c r="DE189" i="1"/>
  <c r="DC130" i="1"/>
  <c r="EL49" i="1"/>
  <c r="AW148" i="1"/>
  <c r="DA160" i="1"/>
  <c r="DC125" i="1"/>
  <c r="CE102" i="1"/>
  <c r="EO178" i="1"/>
  <c r="BF122" i="1"/>
  <c r="AS53" i="1"/>
  <c r="DA185" i="1"/>
  <c r="DD145" i="1"/>
  <c r="DC151" i="1"/>
  <c r="DB116" i="1"/>
  <c r="AT101" i="1"/>
  <c r="DB112" i="1"/>
  <c r="CD50" i="1"/>
  <c r="AV100" i="1"/>
  <c r="DA165" i="1"/>
  <c r="EP157" i="1"/>
  <c r="DF108" i="1"/>
  <c r="DE58" i="1"/>
  <c r="DD93" i="1"/>
  <c r="DF184" i="1"/>
  <c r="AT53" i="1"/>
  <c r="AU144" i="1"/>
  <c r="AV126" i="1"/>
  <c r="DC184" i="1"/>
  <c r="AX159" i="1"/>
  <c r="AX155" i="1"/>
  <c r="BA51" i="1"/>
  <c r="DE77" i="1"/>
  <c r="BB64" i="1"/>
  <c r="AT127" i="1"/>
  <c r="DD161" i="1"/>
  <c r="CE92" i="1"/>
  <c r="DD151" i="1"/>
  <c r="DD153" i="1"/>
  <c r="AV117" i="1"/>
  <c r="DD160" i="1"/>
  <c r="DA79" i="1"/>
  <c r="AT93" i="1"/>
  <c r="DD107" i="1"/>
  <c r="DC157" i="1"/>
  <c r="BA52" i="1"/>
  <c r="BD123" i="1"/>
  <c r="DC153" i="1"/>
  <c r="DE138" i="1"/>
  <c r="DE165" i="1"/>
  <c r="AS91" i="1"/>
  <c r="DA179" i="1"/>
  <c r="AW153" i="1"/>
  <c r="DC45" i="1"/>
  <c r="CE115" i="1"/>
  <c r="BA64" i="1"/>
  <c r="DA154" i="1"/>
  <c r="BD127" i="1"/>
  <c r="BE119" i="1"/>
  <c r="EN64" i="1"/>
  <c r="DC152" i="1"/>
  <c r="AU98" i="1"/>
  <c r="CD127" i="1"/>
  <c r="DB92" i="1"/>
  <c r="DB101" i="1"/>
  <c r="CE104" i="1"/>
  <c r="AW143" i="1"/>
  <c r="DC179" i="1"/>
  <c r="CF51" i="1"/>
  <c r="BE122" i="1"/>
  <c r="BD130" i="1"/>
  <c r="DA180" i="1"/>
  <c r="DD114" i="1"/>
  <c r="AT105" i="1"/>
  <c r="AU126" i="1"/>
  <c r="AT103" i="1"/>
  <c r="BE124" i="1"/>
  <c r="AV161" i="1"/>
  <c r="DB155" i="1"/>
  <c r="AT126" i="1"/>
  <c r="BD110" i="1"/>
  <c r="DC158" i="1"/>
  <c r="AS92" i="1"/>
  <c r="DF188" i="1"/>
  <c r="DA143" i="1"/>
  <c r="DB93" i="1"/>
  <c r="DC148" i="1"/>
  <c r="DD129" i="1"/>
  <c r="AT89" i="1"/>
  <c r="CD51" i="1"/>
  <c r="BD104" i="1"/>
  <c r="DE168" i="1"/>
  <c r="DD86" i="1"/>
  <c r="DA129" i="1"/>
  <c r="DE52" i="1"/>
  <c r="BE94" i="1"/>
  <c r="EN157" i="1"/>
  <c r="AV162" i="1"/>
  <c r="BF105" i="1"/>
  <c r="DC76" i="1"/>
  <c r="DC70" i="1"/>
  <c r="BE103" i="1"/>
  <c r="EN45" i="1"/>
  <c r="BE106" i="1"/>
  <c r="DA71" i="1"/>
  <c r="BE109" i="1"/>
  <c r="BF110" i="1"/>
  <c r="AU174" i="1"/>
  <c r="AU149" i="1"/>
  <c r="DC56" i="1"/>
  <c r="DE57" i="1"/>
  <c r="BC64" i="1"/>
  <c r="CD87" i="1"/>
  <c r="CF85" i="1"/>
  <c r="EN56" i="1"/>
  <c r="AU171" i="1"/>
  <c r="BC53" i="1"/>
  <c r="AU50" i="1"/>
  <c r="BD50" i="1"/>
  <c r="EO63" i="1"/>
  <c r="AT102" i="1"/>
  <c r="BE87" i="1"/>
  <c r="BE116" i="1"/>
  <c r="BF87" i="1"/>
  <c r="BF124" i="1"/>
  <c r="BF104" i="1"/>
  <c r="DC172" i="1"/>
  <c r="AV119" i="1"/>
  <c r="DB122" i="1"/>
  <c r="DE129" i="1"/>
  <c r="BE89" i="1"/>
  <c r="BE118" i="1"/>
  <c r="EO57" i="1"/>
  <c r="BE99" i="1"/>
  <c r="DC126" i="1"/>
  <c r="EO56" i="1"/>
  <c r="BF123" i="1"/>
  <c r="DA70" i="1"/>
  <c r="EO52" i="1"/>
  <c r="CD89" i="1"/>
  <c r="DF88" i="1"/>
  <c r="DD102" i="1"/>
  <c r="DA145" i="1"/>
  <c r="DB121" i="1"/>
  <c r="CE100" i="1"/>
  <c r="DC146" i="1"/>
  <c r="BE97" i="1"/>
  <c r="DF110" i="1"/>
  <c r="DB161" i="1"/>
  <c r="DD101" i="1"/>
  <c r="BD94" i="1"/>
  <c r="DB98" i="1"/>
  <c r="BE130" i="1"/>
  <c r="EN46" i="1"/>
  <c r="AV166" i="1"/>
  <c r="EO186" i="1"/>
  <c r="BF109" i="1"/>
  <c r="EN156" i="1"/>
  <c r="BF98" i="1"/>
  <c r="CE119" i="1"/>
  <c r="AV70" i="1"/>
  <c r="AV164" i="1"/>
  <c r="EO182" i="1"/>
  <c r="EN151" i="1"/>
  <c r="AV174" i="1"/>
  <c r="EO70" i="1"/>
  <c r="DF156" i="1"/>
  <c r="AU70" i="1"/>
  <c r="AT92" i="1"/>
  <c r="BE120" i="1"/>
  <c r="BF121" i="1"/>
  <c r="DE89" i="1"/>
  <c r="EO79" i="1"/>
  <c r="CG50" i="1"/>
  <c r="DC85" i="1"/>
  <c r="DA88" i="1"/>
  <c r="AV168" i="1"/>
  <c r="AU154" i="1"/>
  <c r="BD52" i="1"/>
  <c r="DD106" i="1"/>
  <c r="CF52" i="1"/>
  <c r="CE114" i="1"/>
  <c r="BF97" i="1"/>
  <c r="DD98" i="1"/>
  <c r="DB174" i="1"/>
  <c r="DC138" i="1"/>
  <c r="BF103" i="1"/>
  <c r="BE52" i="1"/>
  <c r="EN154" i="1"/>
  <c r="DF123" i="1"/>
  <c r="AV51" i="1"/>
  <c r="DA181" i="1"/>
  <c r="BE110" i="1"/>
  <c r="DE175" i="1"/>
  <c r="CF161" i="1"/>
  <c r="DC92" i="1"/>
  <c r="BF56" i="1"/>
  <c r="DB100" i="1"/>
  <c r="AU56" i="1"/>
  <c r="AU164" i="1"/>
  <c r="CG86" i="1"/>
  <c r="BE98" i="1"/>
  <c r="AS50" i="1"/>
  <c r="CE118" i="1"/>
  <c r="BE128" i="1"/>
  <c r="DE62" i="1"/>
  <c r="BF100" i="1"/>
  <c r="EO62" i="1"/>
  <c r="EO184" i="1"/>
  <c r="AU148" i="1"/>
  <c r="EO78" i="1"/>
  <c r="EO185" i="1"/>
  <c r="EL50" i="1"/>
  <c r="EN142" i="1"/>
  <c r="AT50" i="1"/>
  <c r="CD92" i="1"/>
  <c r="CE103" i="1"/>
  <c r="EO53" i="1"/>
  <c r="DA89" i="1"/>
  <c r="BF99" i="1"/>
  <c r="EN76" i="1"/>
  <c r="EN149" i="1"/>
  <c r="EO72" i="1"/>
  <c r="AU160" i="1"/>
  <c r="CF71" i="1"/>
  <c r="CE64" i="1"/>
  <c r="DE79" i="1"/>
  <c r="BF86" i="1"/>
  <c r="EN63" i="1"/>
  <c r="DA45" i="1"/>
  <c r="DD118" i="1"/>
  <c r="AV169" i="1"/>
  <c r="AX53" i="1"/>
  <c r="AU86" i="1"/>
  <c r="EQ164" i="1"/>
  <c r="BF92" i="1"/>
  <c r="EO71" i="1"/>
  <c r="BD109" i="1"/>
  <c r="DC48" i="1"/>
  <c r="DA59" i="1"/>
  <c r="DD185" i="1"/>
  <c r="DB127" i="1"/>
  <c r="DC60" i="1"/>
  <c r="DD103" i="1"/>
  <c r="AT118" i="1"/>
  <c r="DE50" i="1"/>
  <c r="AS86" i="1"/>
  <c r="AU63" i="1"/>
  <c r="BE100" i="1"/>
  <c r="DB6" i="1"/>
  <c r="DC90" i="1"/>
  <c r="CD130" i="1"/>
  <c r="DC79" i="1"/>
  <c r="DD122" i="1"/>
  <c r="CD126" i="1"/>
  <c r="BE101" i="1"/>
  <c r="EO49" i="1"/>
  <c r="AU53" i="1"/>
  <c r="EL53" i="1"/>
  <c r="AU49" i="1"/>
  <c r="DE51" i="1"/>
  <c r="AV178" i="1"/>
  <c r="CG62" i="1"/>
  <c r="AV183" i="1"/>
  <c r="CF62" i="1"/>
  <c r="CE124" i="1"/>
  <c r="EO74" i="1"/>
  <c r="DF106" i="1"/>
  <c r="DC166" i="1"/>
  <c r="BE126" i="1"/>
  <c r="BE88" i="1"/>
  <c r="EO45" i="1"/>
  <c r="DC145" i="1"/>
  <c r="DA147" i="1"/>
  <c r="BF90" i="1"/>
  <c r="AT106" i="1"/>
  <c r="DC72" i="1"/>
  <c r="DD110" i="1"/>
  <c r="EO137" i="1"/>
  <c r="DF127" i="1"/>
  <c r="BE90" i="1"/>
  <c r="BF108" i="1"/>
  <c r="EN59" i="1"/>
  <c r="BD113" i="1"/>
  <c r="BC52" i="1"/>
  <c r="DB106" i="1"/>
  <c r="AT87" i="1"/>
  <c r="EO50" i="1"/>
  <c r="AU52" i="1"/>
  <c r="AU172" i="1"/>
  <c r="BE85" i="1"/>
  <c r="CE110" i="1"/>
  <c r="AV171" i="1"/>
  <c r="BD49" i="1"/>
  <c r="EO46" i="1"/>
  <c r="EO188" i="1"/>
  <c r="BE129" i="1"/>
  <c r="AU169" i="1"/>
  <c r="EO138" i="1"/>
  <c r="DA49" i="1"/>
  <c r="AU87" i="1"/>
  <c r="BE53" i="1"/>
  <c r="BF88" i="1"/>
  <c r="AU151" i="1"/>
  <c r="CD53" i="1"/>
  <c r="EN141" i="1"/>
  <c r="CG53" i="1"/>
  <c r="CF56" i="1"/>
  <c r="BF106" i="1"/>
  <c r="DB156" i="1"/>
  <c r="DC140" i="1"/>
  <c r="BE64" i="1"/>
  <c r="AU142" i="1"/>
  <c r="EN155" i="1"/>
  <c r="BF117" i="1"/>
  <c r="EN48" i="1"/>
  <c r="DA151" i="1"/>
  <c r="AV159" i="1"/>
  <c r="EN77" i="1"/>
  <c r="DF172" i="1"/>
  <c r="EO139" i="1"/>
  <c r="DE160" i="1"/>
  <c r="AU176" i="1"/>
  <c r="DC162" i="1"/>
  <c r="BF128" i="1"/>
  <c r="AU175" i="1"/>
  <c r="AT104" i="1"/>
  <c r="DD157" i="1"/>
  <c r="EO47" i="1"/>
  <c r="EN148" i="1"/>
  <c r="BE112" i="1"/>
  <c r="DC154" i="1"/>
  <c r="DF92" i="1"/>
  <c r="AU64" i="1"/>
  <c r="EO77" i="1"/>
  <c r="DA87" i="1"/>
  <c r="BF93" i="1"/>
  <c r="BE91" i="1"/>
  <c r="DD172" i="1"/>
  <c r="CE87" i="1"/>
  <c r="EN57" i="1"/>
  <c r="DB86" i="1"/>
  <c r="DF128" i="1"/>
  <c r="BF111" i="1"/>
  <c r="AU150" i="1"/>
  <c r="BF96" i="1"/>
  <c r="DC170" i="1"/>
  <c r="DC61" i="1"/>
  <c r="DF140" i="1"/>
  <c r="AV52" i="1"/>
  <c r="DD159" i="1"/>
  <c r="AV107" i="1"/>
  <c r="EN75" i="1"/>
  <c r="CF53" i="1"/>
  <c r="BE113" i="1"/>
  <c r="DA157" i="1"/>
  <c r="CG162" i="1"/>
  <c r="EO61" i="1"/>
  <c r="DD140" i="1"/>
  <c r="DF150" i="1"/>
  <c r="AV177" i="1"/>
  <c r="EN70" i="1"/>
  <c r="AU159" i="1"/>
  <c r="BD168" i="1"/>
  <c r="BE104" i="1"/>
  <c r="CE108" i="1"/>
  <c r="BE123" i="1"/>
  <c r="BB50" i="1"/>
  <c r="DF146" i="1"/>
  <c r="AU153" i="1"/>
  <c r="BF102" i="1"/>
  <c r="CF63" i="1"/>
  <c r="CG49" i="1"/>
  <c r="CG63" i="1"/>
  <c r="AU141" i="1"/>
  <c r="CF165" i="1"/>
  <c r="BF91" i="1"/>
  <c r="EN58" i="1"/>
  <c r="DE166" i="1"/>
  <c r="DD126" i="1"/>
  <c r="AS52" i="1"/>
  <c r="AT116" i="1"/>
  <c r="AU161" i="1"/>
  <c r="DE49" i="1"/>
  <c r="DD141" i="1"/>
  <c r="DE70" i="1"/>
  <c r="DE126" i="1"/>
  <c r="CG91" i="1"/>
  <c r="BE108" i="1"/>
  <c r="BD120" i="1"/>
  <c r="DC51" i="1"/>
  <c r="AU170" i="1"/>
  <c r="AT120" i="1"/>
  <c r="DC183" i="1"/>
  <c r="DF96" i="1"/>
  <c r="DA183" i="1"/>
  <c r="AV103" i="1"/>
  <c r="DA130" i="1"/>
  <c r="BF113" i="1"/>
  <c r="EN147" i="1"/>
  <c r="DA91" i="1"/>
  <c r="AT129" i="1"/>
  <c r="DA148" i="1"/>
  <c r="CE98" i="1"/>
  <c r="CF70" i="1"/>
  <c r="DA176" i="1"/>
  <c r="AV163" i="1"/>
  <c r="CF163" i="1"/>
  <c r="BE95" i="1"/>
  <c r="EO48" i="1"/>
  <c r="DE46" i="1"/>
  <c r="EN74" i="1"/>
  <c r="AU147" i="1"/>
  <c r="BC51" i="1"/>
  <c r="AU145" i="1"/>
  <c r="EN153" i="1"/>
  <c r="EO58" i="1"/>
  <c r="AV181" i="1"/>
  <c r="CG165" i="1"/>
  <c r="BF125" i="1"/>
  <c r="AU152" i="1"/>
  <c r="EN146" i="1"/>
  <c r="BA87" i="1"/>
  <c r="BB51" i="1"/>
  <c r="AV170" i="1"/>
  <c r="BE56" i="1"/>
  <c r="AV158" i="1"/>
  <c r="EN78" i="1"/>
  <c r="BA91" i="1"/>
  <c r="AT91" i="1"/>
  <c r="EO59" i="1"/>
  <c r="DB180" i="1"/>
  <c r="DA173" i="1"/>
  <c r="BE51" i="1"/>
  <c r="CF49" i="1"/>
  <c r="BC56" i="1"/>
  <c r="BE50" i="1"/>
  <c r="CE106" i="1"/>
  <c r="CD52" i="1"/>
  <c r="CE49" i="1"/>
  <c r="AV185" i="1"/>
  <c r="DA139" i="1"/>
  <c r="BE96" i="1"/>
  <c r="BE86" i="1"/>
  <c r="BF115" i="1"/>
  <c r="AU168" i="1"/>
  <c r="EO51" i="1"/>
  <c r="BE92" i="1"/>
  <c r="AU173" i="1"/>
  <c r="AV98" i="1"/>
  <c r="CF162" i="1"/>
  <c r="DD150" i="1"/>
  <c r="CE122" i="1"/>
  <c r="CG161" i="1"/>
  <c r="BE114" i="1"/>
  <c r="DB125" i="1"/>
  <c r="CE130" i="1"/>
  <c r="DE155" i="1"/>
  <c r="BD101" i="1"/>
  <c r="BF120" i="1"/>
  <c r="EN145" i="1"/>
  <c r="BE125" i="1"/>
  <c r="AV167" i="1"/>
  <c r="EO179" i="1"/>
  <c r="DF142" i="1"/>
  <c r="BE117" i="1"/>
  <c r="DD182" i="1"/>
  <c r="DC74" i="1"/>
  <c r="EN150" i="1"/>
  <c r="CG71" i="1"/>
  <c r="CD125" i="1"/>
  <c r="AU156" i="1"/>
  <c r="EN72" i="1"/>
  <c r="BF51" i="1"/>
  <c r="DD94" i="1"/>
  <c r="DD100" i="1"/>
  <c r="DD142" i="1"/>
  <c r="DE85" i="1"/>
  <c r="EN61" i="1"/>
  <c r="DE48" i="1"/>
  <c r="EO181" i="1"/>
  <c r="BE102" i="1"/>
  <c r="AU51" i="1"/>
  <c r="EO76" i="1"/>
  <c r="BF64" i="1"/>
  <c r="AS51" i="1"/>
  <c r="AV186" i="1"/>
  <c r="BE115" i="1"/>
  <c r="AU165" i="1"/>
  <c r="CE51" i="1"/>
  <c r="BF118" i="1"/>
  <c r="EN51" i="1"/>
  <c r="CG52" i="1"/>
  <c r="EO177" i="1"/>
  <c r="BF50" i="1"/>
  <c r="CE125" i="1"/>
  <c r="BC168" i="1"/>
  <c r="EO187" i="1"/>
  <c r="DD88" i="1"/>
  <c r="AU166" i="1"/>
  <c r="BA86" i="1"/>
  <c r="CG70" i="1"/>
  <c r="CD64" i="1"/>
  <c r="DD148" i="1"/>
  <c r="AW162" i="1"/>
  <c r="DE60" i="1"/>
  <c r="EP147" i="1"/>
  <c r="DA60" i="1"/>
  <c r="AW113" i="1"/>
  <c r="CD90" i="1"/>
  <c r="CE95" i="1"/>
  <c r="AU105" i="1"/>
  <c r="DB126" i="1"/>
  <c r="AU95" i="1"/>
  <c r="AV121" i="1"/>
  <c r="EP48" i="1"/>
  <c r="DF159" i="1"/>
  <c r="DD104" i="1"/>
  <c r="BC163" i="1"/>
  <c r="AV160" i="1"/>
  <c r="CF64" i="1"/>
  <c r="AS64" i="1"/>
  <c r="DC78" i="1"/>
  <c r="DD187" i="1"/>
  <c r="EN143" i="1"/>
  <c r="DA177" i="1"/>
  <c r="BE127" i="1"/>
  <c r="EN53" i="1"/>
  <c r="AV179" i="1"/>
  <c r="CG64" i="1"/>
  <c r="EO73" i="1"/>
  <c r="DA46" i="1"/>
  <c r="EN79" i="1"/>
  <c r="DC53" i="1"/>
  <c r="DA172" i="1"/>
  <c r="DA187" i="1"/>
  <c r="BF94" i="1"/>
  <c r="BE93" i="1"/>
  <c r="EN47" i="1"/>
  <c r="BD64" i="1"/>
  <c r="CF168" i="1"/>
  <c r="DB123" i="1"/>
  <c r="CE120" i="1"/>
  <c r="DD116" i="1"/>
  <c r="EN60" i="1"/>
  <c r="DC124" i="1"/>
  <c r="BD53" i="1"/>
  <c r="AS87" i="1"/>
  <c r="CG163" i="1"/>
  <c r="AV182" i="1"/>
  <c r="CG168" i="1"/>
  <c r="DF125" i="1"/>
  <c r="BF114" i="1"/>
  <c r="EN49" i="1"/>
  <c r="AS130" i="1"/>
  <c r="BF52" i="1"/>
  <c r="AV184" i="1"/>
  <c r="BE121" i="1"/>
  <c r="CD71" i="1"/>
  <c r="CF164" i="1"/>
  <c r="DD5" i="1"/>
  <c r="BF130" i="1"/>
  <c r="DC141" i="1"/>
  <c r="DD147" i="1"/>
  <c r="CF50" i="1"/>
  <c r="DE64" i="1"/>
  <c r="BF129" i="1"/>
  <c r="CG164" i="1"/>
  <c r="EO183" i="1"/>
  <c r="AV187" i="1"/>
  <c r="AV50" i="1"/>
  <c r="DE154" i="1"/>
  <c r="EO140" i="1"/>
  <c r="EM49" i="1"/>
  <c r="DF157" i="1"/>
  <c r="AV140" i="1"/>
  <c r="BF89" i="1"/>
  <c r="DC160" i="1"/>
  <c r="EO75" i="1"/>
  <c r="AU146" i="1"/>
  <c r="DF143" i="1"/>
  <c r="AS128" i="1"/>
  <c r="EN144" i="1"/>
  <c r="CE113" i="1"/>
  <c r="DB172" i="1"/>
  <c r="DD127" i="1"/>
  <c r="AT121" i="1"/>
  <c r="DD95" i="1"/>
  <c r="AU162" i="1"/>
  <c r="EO189" i="1"/>
  <c r="CG56" i="1"/>
  <c r="BF85" i="1"/>
  <c r="DE91" i="1"/>
  <c r="DD113" i="1"/>
  <c r="DD181" i="1"/>
  <c r="DC173" i="1"/>
  <c r="BF53" i="1"/>
  <c r="BE107" i="1"/>
  <c r="BD163" i="1"/>
  <c r="BF107" i="1"/>
  <c r="DE152" i="1"/>
  <c r="BB53" i="1"/>
  <c r="EN152" i="1"/>
  <c r="AU143" i="1"/>
  <c r="DC144" i="1"/>
  <c r="BE111" i="1"/>
  <c r="BF112" i="1"/>
  <c r="DA149" i="1"/>
  <c r="BF101" i="1"/>
  <c r="DD109" i="1"/>
  <c r="AV176" i="1"/>
  <c r="CD88" i="1"/>
  <c r="AV165" i="1"/>
  <c r="BD56" i="1"/>
  <c r="DC159" i="1"/>
  <c r="AV180" i="1"/>
  <c r="DC91" i="1"/>
  <c r="AU158" i="1"/>
  <c r="DE92" i="1"/>
  <c r="CE121" i="1"/>
  <c r="AV53" i="1"/>
  <c r="EN62" i="1"/>
  <c r="EN73" i="1"/>
  <c r="K29" i="2"/>
  <c r="U29" i="2"/>
  <c r="D29" i="2"/>
  <c r="D31" i="2"/>
  <c r="F32" i="2"/>
  <c r="E32" i="2"/>
  <c r="K32" i="2"/>
  <c r="G30" i="2"/>
  <c r="U30" i="2"/>
  <c r="W30" i="2"/>
  <c r="C30" i="2"/>
  <c r="T31" i="2"/>
  <c r="J30" i="2"/>
  <c r="O29" i="2"/>
  <c r="C32" i="2"/>
  <c r="J31" i="2"/>
  <c r="M31" i="2"/>
  <c r="N29" i="2"/>
  <c r="L32" i="2"/>
  <c r="I32" i="2"/>
  <c r="Q32" i="2"/>
  <c r="E30" i="2"/>
  <c r="I30" i="2"/>
  <c r="I31" i="2"/>
  <c r="U31" i="2"/>
  <c r="Q31" i="2"/>
  <c r="P30" i="2"/>
  <c r="I29" i="2"/>
  <c r="J29" i="2"/>
  <c r="X31" i="2"/>
  <c r="B29" i="2"/>
  <c r="R31" i="2"/>
  <c r="K31" i="2"/>
  <c r="L31" i="2"/>
  <c r="N31" i="2"/>
  <c r="R32" i="2"/>
  <c r="V31" i="2"/>
  <c r="O30" i="2"/>
  <c r="K30" i="2"/>
  <c r="O31" i="2"/>
  <c r="L30" i="2"/>
  <c r="H32" i="2"/>
  <c r="P29" i="2"/>
  <c r="X32" i="2"/>
  <c r="P32" i="2"/>
  <c r="L29" i="2"/>
  <c r="G31" i="2"/>
  <c r="G29" i="2"/>
  <c r="C29" i="2"/>
  <c r="R30" i="2"/>
  <c r="H29" i="2"/>
  <c r="Q29" i="2"/>
  <c r="G32" i="2"/>
  <c r="N30" i="2"/>
  <c r="V30" i="2"/>
  <c r="W29" i="2"/>
  <c r="X29" i="2"/>
  <c r="S32" i="2"/>
  <c r="M29" i="2"/>
  <c r="E29" i="2"/>
  <c r="B30" i="2"/>
  <c r="T32" i="2"/>
  <c r="M32" i="2"/>
  <c r="N32" i="2"/>
  <c r="W32" i="2"/>
  <c r="F29" i="2"/>
  <c r="B31" i="2"/>
  <c r="T30" i="2"/>
  <c r="E31" i="2"/>
  <c r="B32" i="2"/>
  <c r="F31" i="2"/>
  <c r="S30" i="2"/>
  <c r="S29" i="2"/>
  <c r="U32" i="2"/>
  <c r="O32" i="2"/>
  <c r="V32" i="2"/>
  <c r="H30" i="2"/>
  <c r="C31" i="2"/>
  <c r="S31" i="2"/>
  <c r="X30" i="2"/>
  <c r="M30" i="2"/>
  <c r="V29" i="2"/>
  <c r="R29" i="2"/>
  <c r="W31" i="2"/>
  <c r="D30" i="2"/>
  <c r="D32" i="2"/>
  <c r="T29" i="2"/>
  <c r="J32" i="2"/>
  <c r="F30" i="2"/>
  <c r="H31" i="2"/>
  <c r="Q30" i="2"/>
  <c r="P31" i="2"/>
  <c r="DI120" i="1" l="1"/>
  <c r="DK120" i="1"/>
  <c r="DO120" i="1"/>
  <c r="DW120" i="1" s="1"/>
  <c r="EI78" i="1"/>
  <c r="EB78" i="1" s="1"/>
  <c r="BN78" i="1" s="1"/>
  <c r="DO110" i="1"/>
  <c r="DW110" i="1" s="1"/>
  <c r="DK110" i="1"/>
  <c r="DI110" i="1"/>
  <c r="EI170" i="1"/>
  <c r="EB170" i="1" s="1"/>
  <c r="BN170" i="1" s="1"/>
  <c r="EJ79" i="1"/>
  <c r="EC79" i="1" s="1"/>
  <c r="BO79" i="1" s="1"/>
  <c r="DJ90" i="1"/>
  <c r="DH90" i="1"/>
  <c r="DN90" i="1"/>
  <c r="C155" i="1"/>
  <c r="DO104" i="1"/>
  <c r="DW104" i="1" s="1"/>
  <c r="DK104" i="1"/>
  <c r="DI104" i="1"/>
  <c r="B130" i="1"/>
  <c r="AY130" i="1"/>
  <c r="CK130" i="1"/>
  <c r="EG58" i="1"/>
  <c r="DZ58" i="1" s="1"/>
  <c r="BL58" i="1" s="1"/>
  <c r="CH84" i="1"/>
  <c r="BH52" i="1"/>
  <c r="DT52" i="1"/>
  <c r="CQ52" i="1"/>
  <c r="EH177" i="1"/>
  <c r="EA177" i="1" s="1"/>
  <c r="BM177" i="1" s="1"/>
  <c r="BS177" i="1" s="1"/>
  <c r="CK112" i="1"/>
  <c r="B112" i="1"/>
  <c r="AY112" i="1"/>
  <c r="EJ156" i="1"/>
  <c r="EC156" i="1" s="1"/>
  <c r="BO156" i="1" s="1"/>
  <c r="C153" i="1"/>
  <c r="C125" i="1"/>
  <c r="CM125" i="1"/>
  <c r="CU89" i="1"/>
  <c r="EF53" i="1"/>
  <c r="DY53" i="1" s="1"/>
  <c r="BK53" i="1" s="1"/>
  <c r="BH118" i="1"/>
  <c r="CS118" i="1"/>
  <c r="CO112" i="1"/>
  <c r="D112" i="1"/>
  <c r="EI148" i="1"/>
  <c r="EB148" i="1" s="1"/>
  <c r="BN148" i="1" s="1"/>
  <c r="EJ184" i="1"/>
  <c r="EC184" i="1" s="1"/>
  <c r="BO184" i="1" s="1"/>
  <c r="CD84" i="1"/>
  <c r="DO102" i="1"/>
  <c r="DW102" i="1" s="1"/>
  <c r="DK102" i="1"/>
  <c r="DI102" i="1"/>
  <c r="CM112" i="1"/>
  <c r="C112" i="1"/>
  <c r="D147" i="1"/>
  <c r="D153" i="1"/>
  <c r="Y30" i="2"/>
  <c r="BG29" i="1" s="1"/>
  <c r="CS127" i="1"/>
  <c r="BH127" i="1"/>
  <c r="CU120" i="1"/>
  <c r="D176" i="1"/>
  <c r="CM91" i="1"/>
  <c r="C91" i="1"/>
  <c r="D143" i="1"/>
  <c r="EI158" i="1"/>
  <c r="EB158" i="1" s="1"/>
  <c r="BN158" i="1" s="1"/>
  <c r="DC136" i="1"/>
  <c r="DI88" i="1"/>
  <c r="DK88" i="1"/>
  <c r="DO88" i="1"/>
  <c r="DW88" i="1" s="1"/>
  <c r="EH75" i="1"/>
  <c r="EA75" i="1" s="1"/>
  <c r="BM75" i="1" s="1"/>
  <c r="BH64" i="1"/>
  <c r="BI65" i="1" s="1"/>
  <c r="CQ64" i="1"/>
  <c r="DT64" i="1"/>
  <c r="CO49" i="1"/>
  <c r="D49" i="1"/>
  <c r="C187" i="1"/>
  <c r="CK113" i="1"/>
  <c r="B113" i="1"/>
  <c r="AY113" i="1"/>
  <c r="EI57" i="1"/>
  <c r="EB57" i="1" s="1"/>
  <c r="BN57" i="1" s="1"/>
  <c r="B51" i="1"/>
  <c r="CK51" i="1"/>
  <c r="AY51" i="1"/>
  <c r="D169" i="1"/>
  <c r="CO89" i="1"/>
  <c r="D89" i="1"/>
  <c r="DJ120" i="1"/>
  <c r="DH120" i="1"/>
  <c r="DN120" i="1"/>
  <c r="DV120" i="1" s="1"/>
  <c r="CU96" i="1"/>
  <c r="CM102" i="1"/>
  <c r="C102" i="1"/>
  <c r="D155" i="1"/>
  <c r="CM114" i="1"/>
  <c r="C114" i="1"/>
  <c r="EI159" i="1"/>
  <c r="EB159" i="1" s="1"/>
  <c r="BN159" i="1" s="1"/>
  <c r="EI52" i="1"/>
  <c r="EB52" i="1" s="1"/>
  <c r="BN52" i="1" s="1"/>
  <c r="DK108" i="1"/>
  <c r="DO108" i="1"/>
  <c r="DW108" i="1" s="1"/>
  <c r="DI108" i="1"/>
  <c r="EJ145" i="1"/>
  <c r="EC145" i="1" s="1"/>
  <c r="BO145" i="1" s="1"/>
  <c r="CK107" i="1"/>
  <c r="B107" i="1"/>
  <c r="AY107" i="1"/>
  <c r="DJ56" i="1"/>
  <c r="DN56" i="1"/>
  <c r="DH56" i="1"/>
  <c r="EG52" i="1"/>
  <c r="DZ52" i="1" s="1"/>
  <c r="BL52" i="1" s="1"/>
  <c r="C183" i="1"/>
  <c r="EI59" i="1"/>
  <c r="EB59" i="1" s="1"/>
  <c r="BN59" i="1" s="1"/>
  <c r="CU117" i="1"/>
  <c r="C147" i="1"/>
  <c r="CK109" i="1"/>
  <c r="B109" i="1"/>
  <c r="AY109" i="1"/>
  <c r="DK124" i="1"/>
  <c r="DI124" i="1"/>
  <c r="DO124" i="1"/>
  <c r="DW124" i="1" s="1"/>
  <c r="DN168" i="1"/>
  <c r="DV168" i="1" s="1"/>
  <c r="DJ168" i="1"/>
  <c r="DH168" i="1"/>
  <c r="DH122" i="1"/>
  <c r="DJ122" i="1"/>
  <c r="DN122" i="1"/>
  <c r="DV122" i="1" s="1"/>
  <c r="DO89" i="1"/>
  <c r="DW89" i="1" s="1"/>
  <c r="DI89" i="1"/>
  <c r="DK89" i="1"/>
  <c r="D90" i="1"/>
  <c r="CO90" i="1"/>
  <c r="D150" i="1"/>
  <c r="B64" i="1"/>
  <c r="CK64" i="1"/>
  <c r="AY64" i="1"/>
  <c r="EI46" i="1"/>
  <c r="EB46" i="1" s="1"/>
  <c r="BN46" i="1" s="1"/>
  <c r="D151" i="1"/>
  <c r="C130" i="1"/>
  <c r="CM130" i="1"/>
  <c r="CO122" i="1"/>
  <c r="D122" i="1"/>
  <c r="EJ171" i="1"/>
  <c r="EC171" i="1" s="1"/>
  <c r="BO171" i="1" s="1"/>
  <c r="EH188" i="1"/>
  <c r="EA188" i="1" s="1"/>
  <c r="BM188" i="1" s="1"/>
  <c r="CM86" i="1"/>
  <c r="C86" i="1"/>
  <c r="CS121" i="1"/>
  <c r="BH121" i="1"/>
  <c r="DI49" i="1"/>
  <c r="DO49" i="1"/>
  <c r="DU49" i="1"/>
  <c r="DK49" i="1"/>
  <c r="DJ53" i="1"/>
  <c r="DH53" i="1"/>
  <c r="DN53" i="1"/>
  <c r="C110" i="1"/>
  <c r="CM110" i="1"/>
  <c r="CU111" i="1"/>
  <c r="AY119" i="1"/>
  <c r="B119" i="1"/>
  <c r="CK119" i="1"/>
  <c r="EG150" i="1"/>
  <c r="DZ150" i="1" s="1"/>
  <c r="BL150" i="1" s="1"/>
  <c r="BS150" i="1" s="1"/>
  <c r="DN115" i="1"/>
  <c r="DV115" i="1" s="1"/>
  <c r="DH115" i="1"/>
  <c r="DJ115" i="1"/>
  <c r="EI63" i="1"/>
  <c r="EB63" i="1" s="1"/>
  <c r="BN63" i="1" s="1"/>
  <c r="DI87" i="1"/>
  <c r="DO87" i="1"/>
  <c r="DW87" i="1" s="1"/>
  <c r="DK87" i="1"/>
  <c r="CK89" i="1"/>
  <c r="AY89" i="1"/>
  <c r="B89" i="1"/>
  <c r="D159" i="1"/>
  <c r="EJ77" i="1"/>
  <c r="EC77" i="1" s="1"/>
  <c r="BO77" i="1" s="1"/>
  <c r="DO52" i="1"/>
  <c r="DK52" i="1"/>
  <c r="DU52" i="1"/>
  <c r="DI52" i="1"/>
  <c r="CU64" i="1"/>
  <c r="EI167" i="1"/>
  <c r="EB167" i="1" s="1"/>
  <c r="BN167" i="1" s="1"/>
  <c r="C159" i="1"/>
  <c r="BS159" i="1"/>
  <c r="EJ155" i="1"/>
  <c r="EC155" i="1" s="1"/>
  <c r="BO155" i="1" s="1"/>
  <c r="DA136" i="1"/>
  <c r="DH108" i="1"/>
  <c r="DJ108" i="1"/>
  <c r="DN108" i="1"/>
  <c r="DV108" i="1" s="1"/>
  <c r="EI152" i="1"/>
  <c r="EB152" i="1" s="1"/>
  <c r="BN152" i="1" s="1"/>
  <c r="EH140" i="1"/>
  <c r="EA140" i="1" s="1"/>
  <c r="BM140" i="1" s="1"/>
  <c r="BS140" i="1" s="1"/>
  <c r="CM126" i="1"/>
  <c r="C126" i="1"/>
  <c r="EJ162" i="1"/>
  <c r="EC162" i="1" s="1"/>
  <c r="BO162" i="1" s="1"/>
  <c r="DK90" i="1"/>
  <c r="DI90" i="1"/>
  <c r="DO90" i="1"/>
  <c r="DW90" i="1" s="1"/>
  <c r="EJ47" i="1"/>
  <c r="EC47" i="1" s="1"/>
  <c r="BO47" i="1" s="1"/>
  <c r="DN99" i="1"/>
  <c r="DV99" i="1" s="1"/>
  <c r="DJ99" i="1"/>
  <c r="DH99" i="1"/>
  <c r="DK105" i="1"/>
  <c r="DI105" i="1"/>
  <c r="DO105" i="1"/>
  <c r="DW105" i="1" s="1"/>
  <c r="EJ74" i="1"/>
  <c r="EC74" i="1" s="1"/>
  <c r="BO74" i="1" s="1"/>
  <c r="DJ96" i="1"/>
  <c r="DH96" i="1"/>
  <c r="DN96" i="1"/>
  <c r="DV96" i="1" s="1"/>
  <c r="EI177" i="1"/>
  <c r="EB177" i="1" s="1"/>
  <c r="BN177" i="1" s="1"/>
  <c r="EI49" i="1"/>
  <c r="EB49" i="1" s="1"/>
  <c r="BN49" i="1" s="1"/>
  <c r="D156" i="1"/>
  <c r="CS51" i="1"/>
  <c r="EI189" i="1"/>
  <c r="EB189" i="1" s="1"/>
  <c r="BN189" i="1" s="1"/>
  <c r="AY97" i="1"/>
  <c r="B97" i="1"/>
  <c r="CK97" i="1"/>
  <c r="DH95" i="1"/>
  <c r="DJ95" i="1"/>
  <c r="DN95" i="1"/>
  <c r="DV95" i="1" s="1"/>
  <c r="DH85" i="1"/>
  <c r="DJ85" i="1"/>
  <c r="DA84" i="1"/>
  <c r="DN85" i="1"/>
  <c r="DV85" i="1" s="1"/>
  <c r="EI149" i="1"/>
  <c r="EB149" i="1" s="1"/>
  <c r="BN149" i="1" s="1"/>
  <c r="CU94" i="1"/>
  <c r="EJ178" i="1"/>
  <c r="EC178" i="1" s="1"/>
  <c r="BO178" i="1" s="1"/>
  <c r="CO100" i="1"/>
  <c r="D100" i="1"/>
  <c r="CM87" i="1"/>
  <c r="C87" i="1"/>
  <c r="DO168" i="1"/>
  <c r="DI168" i="1"/>
  <c r="DK168" i="1"/>
  <c r="CQ90" i="1"/>
  <c r="DT90" i="1"/>
  <c r="BH90" i="1"/>
  <c r="EG78" i="1"/>
  <c r="DZ78" i="1" s="1"/>
  <c r="BL78" i="1" s="1"/>
  <c r="EJ182" i="1"/>
  <c r="EC182" i="1" s="1"/>
  <c r="BO182" i="1" s="1"/>
  <c r="EG70" i="1"/>
  <c r="DZ70" i="1" s="1"/>
  <c r="BL70" i="1" s="1"/>
  <c r="C53" i="1"/>
  <c r="CM53" i="1"/>
  <c r="CS49" i="1"/>
  <c r="DN125" i="1"/>
  <c r="DV125" i="1" s="1"/>
  <c r="DJ125" i="1"/>
  <c r="DH125" i="1"/>
  <c r="D123" i="1"/>
  <c r="CO123" i="1"/>
  <c r="CU53" i="1"/>
  <c r="CK99" i="1"/>
  <c r="B99" i="1"/>
  <c r="AY99" i="1"/>
  <c r="DI116" i="1"/>
  <c r="DK116" i="1"/>
  <c r="DO116" i="1"/>
  <c r="DW116" i="1" s="1"/>
  <c r="EJ138" i="1"/>
  <c r="EC138" i="1" s="1"/>
  <c r="BO138" i="1" s="1"/>
  <c r="EJ143" i="1"/>
  <c r="EC143" i="1" s="1"/>
  <c r="BO143" i="1" s="1"/>
  <c r="DI163" i="1"/>
  <c r="DO163" i="1"/>
  <c r="DK163" i="1"/>
  <c r="CS89" i="1"/>
  <c r="Y31" i="2"/>
  <c r="BG30" i="1" s="1"/>
  <c r="D124" i="1"/>
  <c r="CO124" i="1"/>
  <c r="C124" i="1"/>
  <c r="CM124" i="1"/>
  <c r="C70" i="1"/>
  <c r="CM70" i="1"/>
  <c r="DJ121" i="1"/>
  <c r="DN121" i="1"/>
  <c r="DV121" i="1" s="1"/>
  <c r="DH121" i="1"/>
  <c r="CU115" i="1"/>
  <c r="EJ71" i="1"/>
  <c r="EC71" i="1" s="1"/>
  <c r="BO71" i="1" s="1"/>
  <c r="DK86" i="1"/>
  <c r="DI86" i="1"/>
  <c r="DO86" i="1"/>
  <c r="DW86" i="1" s="1"/>
  <c r="DN130" i="1"/>
  <c r="DV130" i="1" s="1"/>
  <c r="DJ130" i="1"/>
  <c r="DH130" i="1"/>
  <c r="EG156" i="1"/>
  <c r="DZ156" i="1" s="1"/>
  <c r="BL156" i="1" s="1"/>
  <c r="BS156" i="1" s="1"/>
  <c r="DI93" i="1"/>
  <c r="DK93" i="1"/>
  <c r="DO93" i="1"/>
  <c r="DW93" i="1" s="1"/>
  <c r="D95" i="1"/>
  <c r="CO95" i="1"/>
  <c r="CO108" i="1"/>
  <c r="D108" i="1"/>
  <c r="CO168" i="1"/>
  <c r="D168" i="1"/>
  <c r="DO107" i="1"/>
  <c r="DW107" i="1" s="1"/>
  <c r="DK107" i="1"/>
  <c r="DI107" i="1"/>
  <c r="DH129" i="1"/>
  <c r="DJ129" i="1"/>
  <c r="DN129" i="1"/>
  <c r="DV129" i="1" s="1"/>
  <c r="EG71" i="1"/>
  <c r="DZ71" i="1" s="1"/>
  <c r="BL71" i="1" s="1"/>
  <c r="D106" i="1"/>
  <c r="CO106" i="1"/>
  <c r="EG59" i="1"/>
  <c r="DZ59" i="1" s="1"/>
  <c r="BL59" i="1" s="1"/>
  <c r="DO127" i="1"/>
  <c r="DW127" i="1" s="1"/>
  <c r="DI127" i="1"/>
  <c r="DK127" i="1"/>
  <c r="EJ140" i="1"/>
  <c r="EC140" i="1" s="1"/>
  <c r="BO140" i="1" s="1"/>
  <c r="DK123" i="1"/>
  <c r="DO123" i="1"/>
  <c r="DW123" i="1" s="1"/>
  <c r="DI123" i="1"/>
  <c r="C104" i="1"/>
  <c r="CM104" i="1"/>
  <c r="DN93" i="1"/>
  <c r="DV93" i="1" s="1"/>
  <c r="DH93" i="1"/>
  <c r="DJ93" i="1"/>
  <c r="AY88" i="1"/>
  <c r="B88" i="1"/>
  <c r="CK88" i="1"/>
  <c r="CS50" i="1"/>
  <c r="D107" i="1"/>
  <c r="CO107" i="1"/>
  <c r="B127" i="1"/>
  <c r="CK127" i="1"/>
  <c r="AY127" i="1"/>
  <c r="C151" i="1"/>
  <c r="DH97" i="1"/>
  <c r="DN97" i="1"/>
  <c r="DV97" i="1" s="1"/>
  <c r="DJ97" i="1"/>
  <c r="EJ169" i="1"/>
  <c r="EC169" i="1" s="1"/>
  <c r="BO169" i="1" s="1"/>
  <c r="C105" i="1"/>
  <c r="CM105" i="1"/>
  <c r="D99" i="1"/>
  <c r="CO99" i="1"/>
  <c r="EI137" i="1"/>
  <c r="EB137" i="1" s="1"/>
  <c r="BN137" i="1" s="1"/>
  <c r="EP136" i="1"/>
  <c r="EJ181" i="1"/>
  <c r="EC181" i="1" s="1"/>
  <c r="BO181" i="1" s="1"/>
  <c r="CM115" i="1"/>
  <c r="C115" i="1"/>
  <c r="EH186" i="1"/>
  <c r="EA186" i="1" s="1"/>
  <c r="BM186" i="1" s="1"/>
  <c r="BS186" i="1" s="1"/>
  <c r="CQ51" i="1"/>
  <c r="DT51" i="1"/>
  <c r="BH51" i="1"/>
  <c r="DU51" i="1"/>
  <c r="DO51" i="1"/>
  <c r="DK51" i="1"/>
  <c r="DI51" i="1"/>
  <c r="EJ72" i="1"/>
  <c r="EC72" i="1" s="1"/>
  <c r="BO72" i="1" s="1"/>
  <c r="D172" i="1"/>
  <c r="BH113" i="1"/>
  <c r="CS113" i="1"/>
  <c r="CO109" i="1"/>
  <c r="D109" i="1"/>
  <c r="EJ60" i="1"/>
  <c r="EC60" i="1" s="1"/>
  <c r="BO60" i="1" s="1"/>
  <c r="CU108" i="1"/>
  <c r="CO87" i="1"/>
  <c r="D87" i="1"/>
  <c r="EJ146" i="1"/>
  <c r="EC146" i="1" s="1"/>
  <c r="BO146" i="1" s="1"/>
  <c r="DN51" i="1"/>
  <c r="DJ51" i="1"/>
  <c r="DH51" i="1"/>
  <c r="AV84" i="1"/>
  <c r="EH183" i="1"/>
  <c r="EA183" i="1" s="1"/>
  <c r="BM183" i="1" s="1"/>
  <c r="BS183" i="1" s="1"/>
  <c r="CS87" i="1"/>
  <c r="DI113" i="1"/>
  <c r="DK113" i="1"/>
  <c r="DO113" i="1"/>
  <c r="DW113" i="1" s="1"/>
  <c r="EE49" i="1"/>
  <c r="DX49" i="1" s="1"/>
  <c r="DH111" i="1"/>
  <c r="DJ111" i="1"/>
  <c r="DN111" i="1"/>
  <c r="DV111" i="1" s="1"/>
  <c r="EJ139" i="1"/>
  <c r="EC139" i="1" s="1"/>
  <c r="BO139" i="1" s="1"/>
  <c r="B129" i="1"/>
  <c r="CK129" i="1"/>
  <c r="AY129" i="1"/>
  <c r="DF84" i="1"/>
  <c r="EH59" i="1"/>
  <c r="EA59" i="1" s="1"/>
  <c r="BM59" i="1" s="1"/>
  <c r="EI182" i="1"/>
  <c r="EB182" i="1" s="1"/>
  <c r="BN182" i="1" s="1"/>
  <c r="CO130" i="1"/>
  <c r="D130" i="1"/>
  <c r="CM98" i="1"/>
  <c r="C98" i="1"/>
  <c r="DJ109" i="1"/>
  <c r="DN109" i="1"/>
  <c r="DV109" i="1" s="1"/>
  <c r="DH109" i="1"/>
  <c r="EI71" i="1"/>
  <c r="EB71" i="1" s="1"/>
  <c r="BN71" i="1" s="1"/>
  <c r="EI141" i="1"/>
  <c r="EB141" i="1" s="1"/>
  <c r="BN141" i="1" s="1"/>
  <c r="EJ152" i="1"/>
  <c r="EC152" i="1" s="1"/>
  <c r="BO152" i="1" s="1"/>
  <c r="AY102" i="1"/>
  <c r="CK102" i="1"/>
  <c r="B102" i="1"/>
  <c r="EG49" i="1"/>
  <c r="DZ49" i="1" s="1"/>
  <c r="BL49" i="1" s="1"/>
  <c r="CU87" i="1"/>
  <c r="DO114" i="1"/>
  <c r="DW114" i="1" s="1"/>
  <c r="DI114" i="1"/>
  <c r="DK114" i="1"/>
  <c r="DN103" i="1"/>
  <c r="DV103" i="1" s="1"/>
  <c r="DH103" i="1"/>
  <c r="DJ103" i="1"/>
  <c r="D97" i="1"/>
  <c r="CO97" i="1"/>
  <c r="CF84" i="1"/>
  <c r="EI180" i="1"/>
  <c r="EB180" i="1" s="1"/>
  <c r="BN180" i="1" s="1"/>
  <c r="C148" i="1"/>
  <c r="DK85" i="1"/>
  <c r="DB84" i="1"/>
  <c r="DO85" i="1"/>
  <c r="DW85" i="1" s="1"/>
  <c r="DI85" i="1"/>
  <c r="EI140" i="1"/>
  <c r="EB140" i="1" s="1"/>
  <c r="BN140" i="1" s="1"/>
  <c r="EI64" i="1"/>
  <c r="EB64" i="1" s="1"/>
  <c r="BN64" i="1" s="1"/>
  <c r="EI176" i="1"/>
  <c r="EB176" i="1" s="1"/>
  <c r="BN176" i="1" s="1"/>
  <c r="EE53" i="1"/>
  <c r="DX53" i="1" s="1"/>
  <c r="EJ187" i="1"/>
  <c r="EC187" i="1" s="1"/>
  <c r="BO187" i="1" s="1"/>
  <c r="CU95" i="1"/>
  <c r="CM128" i="1"/>
  <c r="C128" i="1"/>
  <c r="DO99" i="1"/>
  <c r="DW99" i="1" s="1"/>
  <c r="DK99" i="1"/>
  <c r="DI99" i="1"/>
  <c r="EJ183" i="1"/>
  <c r="EC183" i="1" s="1"/>
  <c r="BO183" i="1" s="1"/>
  <c r="B115" i="1"/>
  <c r="AY115" i="1"/>
  <c r="CK115" i="1"/>
  <c r="B105" i="1"/>
  <c r="CK105" i="1"/>
  <c r="AY105" i="1"/>
  <c r="CU110" i="1"/>
  <c r="C116" i="1"/>
  <c r="CM116" i="1"/>
  <c r="CQ53" i="1"/>
  <c r="BH53" i="1"/>
  <c r="BI54" i="1" s="1"/>
  <c r="DT53" i="1"/>
  <c r="EG63" i="1"/>
  <c r="DZ63" i="1" s="1"/>
  <c r="BL63" i="1" s="1"/>
  <c r="C146" i="1"/>
  <c r="EJ52" i="1"/>
  <c r="EC52" i="1" s="1"/>
  <c r="BO52" i="1" s="1"/>
  <c r="DA44" i="1"/>
  <c r="EJ137" i="1"/>
  <c r="EC137" i="1" s="1"/>
  <c r="BO137" i="1" s="1"/>
  <c r="EQ136" i="1"/>
  <c r="CO165" i="1"/>
  <c r="D165" i="1"/>
  <c r="DK92" i="1"/>
  <c r="DO92" i="1"/>
  <c r="DW92" i="1" s="1"/>
  <c r="DI92" i="1"/>
  <c r="B108" i="1"/>
  <c r="AY108" i="1"/>
  <c r="CK108" i="1"/>
  <c r="D180" i="1"/>
  <c r="DN104" i="1"/>
  <c r="DV104" i="1" s="1"/>
  <c r="DJ104" i="1"/>
  <c r="DH104" i="1"/>
  <c r="CK111" i="1"/>
  <c r="AY111" i="1"/>
  <c r="B111" i="1"/>
  <c r="DJ126" i="1"/>
  <c r="DN126" i="1"/>
  <c r="DV126" i="1" s="1"/>
  <c r="DH126" i="1"/>
  <c r="EJ165" i="1"/>
  <c r="EC165" i="1" s="1"/>
  <c r="BO165" i="1" s="1"/>
  <c r="CM121" i="1"/>
  <c r="C121" i="1"/>
  <c r="C184" i="1"/>
  <c r="EI77" i="1"/>
  <c r="EB77" i="1" s="1"/>
  <c r="BN77" i="1" s="1"/>
  <c r="CQ56" i="1"/>
  <c r="BH56" i="1"/>
  <c r="BI56" i="1" s="1"/>
  <c r="DT56" i="1"/>
  <c r="DJ127" i="1"/>
  <c r="DN127" i="1"/>
  <c r="DV127" i="1" s="1"/>
  <c r="DH127" i="1"/>
  <c r="C154" i="1"/>
  <c r="C93" i="1"/>
  <c r="CM93" i="1"/>
  <c r="EI61" i="1"/>
  <c r="EB61" i="1" s="1"/>
  <c r="BN61" i="1" s="1"/>
  <c r="C94" i="1"/>
  <c r="CM94" i="1"/>
  <c r="EG48" i="1"/>
  <c r="DZ48" i="1" s="1"/>
  <c r="BL48" i="1" s="1"/>
  <c r="EI73" i="1"/>
  <c r="EB73" i="1" s="1"/>
  <c r="BN73" i="1" s="1"/>
  <c r="CS94" i="1"/>
  <c r="BH94" i="1"/>
  <c r="AU84" i="1"/>
  <c r="C85" i="1"/>
  <c r="CM85" i="1"/>
  <c r="DH91" i="1"/>
  <c r="DN91" i="1"/>
  <c r="DJ91" i="1"/>
  <c r="EJ154" i="1"/>
  <c r="EC154" i="1" s="1"/>
  <c r="BO154" i="1" s="1"/>
  <c r="C106" i="1"/>
  <c r="CM106" i="1"/>
  <c r="EI160" i="1"/>
  <c r="EB160" i="1" s="1"/>
  <c r="BN160" i="1" s="1"/>
  <c r="BH119" i="1"/>
  <c r="CS119" i="1"/>
  <c r="CO103" i="1"/>
  <c r="D103" i="1"/>
  <c r="D186" i="1"/>
  <c r="DN64" i="1"/>
  <c r="DJ64" i="1"/>
  <c r="DH64" i="1"/>
  <c r="BS158" i="1"/>
  <c r="C158" i="1"/>
  <c r="DN50" i="1"/>
  <c r="DJ50" i="1"/>
  <c r="DH50" i="1"/>
  <c r="C178" i="1"/>
  <c r="EI184" i="1"/>
  <c r="EB184" i="1" s="1"/>
  <c r="BN184" i="1" s="1"/>
  <c r="CS96" i="1"/>
  <c r="BH96" i="1"/>
  <c r="CU98" i="1"/>
  <c r="D121" i="1"/>
  <c r="CO121" i="1"/>
  <c r="EH187" i="1"/>
  <c r="EA187" i="1" s="1"/>
  <c r="BM187" i="1" s="1"/>
  <c r="BS187" i="1" s="1"/>
  <c r="D179" i="1"/>
  <c r="EH62" i="1"/>
  <c r="EA62" i="1" s="1"/>
  <c r="BM62" i="1" s="1"/>
  <c r="EG148" i="1"/>
  <c r="DZ148" i="1" s="1"/>
  <c r="BL148" i="1" s="1"/>
  <c r="BS148" i="1" s="1"/>
  <c r="CO128" i="1"/>
  <c r="D128" i="1"/>
  <c r="EI154" i="1"/>
  <c r="EB154" i="1" s="1"/>
  <c r="BN154" i="1" s="1"/>
  <c r="EJ176" i="1"/>
  <c r="EC176" i="1" s="1"/>
  <c r="BO176" i="1" s="1"/>
  <c r="DN117" i="1"/>
  <c r="DV117" i="1" s="1"/>
  <c r="DJ117" i="1"/>
  <c r="DH117" i="1"/>
  <c r="EJ142" i="1"/>
  <c r="EC142" i="1" s="1"/>
  <c r="BO142" i="1" s="1"/>
  <c r="C111" i="1"/>
  <c r="CM111" i="1"/>
  <c r="EH71" i="1"/>
  <c r="EA71" i="1" s="1"/>
  <c r="BM71" i="1" s="1"/>
  <c r="DO101" i="1"/>
  <c r="DW101" i="1" s="1"/>
  <c r="DK101" i="1"/>
  <c r="DI101" i="1"/>
  <c r="DB136" i="1"/>
  <c r="CM127" i="1"/>
  <c r="C127" i="1"/>
  <c r="DK103" i="1"/>
  <c r="DI103" i="1"/>
  <c r="DO103" i="1"/>
  <c r="DW103" i="1" s="1"/>
  <c r="C96" i="1"/>
  <c r="CM96" i="1"/>
  <c r="D187" i="1"/>
  <c r="C157" i="1"/>
  <c r="DE44" i="1"/>
  <c r="CU51" i="1"/>
  <c r="CO50" i="1"/>
  <c r="D50" i="1"/>
  <c r="EI142" i="1"/>
  <c r="EB142" i="1" s="1"/>
  <c r="BN142" i="1" s="1"/>
  <c r="CU49" i="1"/>
  <c r="DJ128" i="1"/>
  <c r="DN128" i="1"/>
  <c r="DV128" i="1" s="1"/>
  <c r="DH128" i="1"/>
  <c r="EJ172" i="1"/>
  <c r="EC172" i="1" s="1"/>
  <c r="BO172" i="1" s="1"/>
  <c r="CU122" i="1"/>
  <c r="DI128" i="1"/>
  <c r="DK128" i="1"/>
  <c r="DO128" i="1"/>
  <c r="DW128" i="1" s="1"/>
  <c r="EI183" i="1"/>
  <c r="EB183" i="1" s="1"/>
  <c r="BN183" i="1" s="1"/>
  <c r="EJ49" i="1"/>
  <c r="EC49" i="1" s="1"/>
  <c r="BO49" i="1" s="1"/>
  <c r="DK100" i="1"/>
  <c r="DI100" i="1"/>
  <c r="DO100" i="1"/>
  <c r="DW100" i="1" s="1"/>
  <c r="C92" i="1"/>
  <c r="CM92" i="1"/>
  <c r="D110" i="1"/>
  <c r="CO110" i="1"/>
  <c r="CM120" i="1"/>
  <c r="C120" i="1"/>
  <c r="EI145" i="1"/>
  <c r="EB145" i="1" s="1"/>
  <c r="BN145" i="1" s="1"/>
  <c r="BH128" i="1"/>
  <c r="CS128" i="1"/>
  <c r="CO104" i="1"/>
  <c r="D104" i="1"/>
  <c r="B95" i="1"/>
  <c r="CK95" i="1"/>
  <c r="AY95" i="1"/>
  <c r="D166" i="1"/>
  <c r="EI171" i="1"/>
  <c r="EB171" i="1" s="1"/>
  <c r="BN171" i="1" s="1"/>
  <c r="EJ157" i="1"/>
  <c r="EC157" i="1" s="1"/>
  <c r="BO157" i="1" s="1"/>
  <c r="EJ45" i="1"/>
  <c r="EC45" i="1" s="1"/>
  <c r="BO45" i="1" s="1"/>
  <c r="EQ44" i="1"/>
  <c r="D167" i="1"/>
  <c r="EH180" i="1"/>
  <c r="EA180" i="1" s="1"/>
  <c r="BM180" i="1" s="1"/>
  <c r="BS180" i="1" s="1"/>
  <c r="CM97" i="1"/>
  <c r="C97" i="1"/>
  <c r="EI138" i="1"/>
  <c r="EB138" i="1" s="1"/>
  <c r="BN138" i="1" s="1"/>
  <c r="B101" i="1"/>
  <c r="CK101" i="1"/>
  <c r="AY101" i="1"/>
  <c r="CO92" i="1"/>
  <c r="D92" i="1"/>
  <c r="EI58" i="1"/>
  <c r="EB58" i="1" s="1"/>
  <c r="BN58" i="1" s="1"/>
  <c r="EI79" i="1"/>
  <c r="EB79" i="1" s="1"/>
  <c r="BN79" i="1" s="1"/>
  <c r="DE84" i="1"/>
  <c r="C95" i="1"/>
  <c r="CM95" i="1"/>
  <c r="D119" i="1"/>
  <c r="CO119" i="1"/>
  <c r="CO53" i="1"/>
  <c r="D53" i="1"/>
  <c r="DN101" i="1"/>
  <c r="DV101" i="1" s="1"/>
  <c r="DH101" i="1"/>
  <c r="DJ101" i="1"/>
  <c r="CU56" i="1"/>
  <c r="EJ167" i="1"/>
  <c r="EC167" i="1" s="1"/>
  <c r="BO167" i="1" s="1"/>
  <c r="EI62" i="1"/>
  <c r="EB62" i="1" s="1"/>
  <c r="BN62" i="1" s="1"/>
  <c r="BA132" i="1"/>
  <c r="BA84" i="1"/>
  <c r="CQ86" i="1"/>
  <c r="BH86" i="1"/>
  <c r="DT86" i="1"/>
  <c r="C172" i="1"/>
  <c r="BS172" i="1"/>
  <c r="DF136" i="1"/>
  <c r="DK112" i="1"/>
  <c r="DI112" i="1"/>
  <c r="DO112" i="1"/>
  <c r="DW112" i="1" s="1"/>
  <c r="CU113" i="1"/>
  <c r="B96" i="1"/>
  <c r="CK96" i="1"/>
  <c r="AY96" i="1"/>
  <c r="DD136" i="1"/>
  <c r="D101" i="1"/>
  <c r="CO101" i="1"/>
  <c r="C176" i="1"/>
  <c r="BS176" i="1"/>
  <c r="AY110" i="1"/>
  <c r="CK110" i="1"/>
  <c r="B110" i="1"/>
  <c r="DH92" i="1"/>
  <c r="DN92" i="1"/>
  <c r="DJ92" i="1"/>
  <c r="BH50" i="1"/>
  <c r="DT50" i="1"/>
  <c r="CQ50" i="1"/>
  <c r="CS100" i="1"/>
  <c r="BH100" i="1"/>
  <c r="AY124" i="1"/>
  <c r="B124" i="1"/>
  <c r="CK124" i="1"/>
  <c r="EJ168" i="1"/>
  <c r="EC168" i="1" s="1"/>
  <c r="BO168" i="1" s="1"/>
  <c r="EJ150" i="1"/>
  <c r="EC150" i="1" s="1"/>
  <c r="BO150" i="1" s="1"/>
  <c r="CS90" i="1"/>
  <c r="D170" i="1"/>
  <c r="DN89" i="1"/>
  <c r="DJ89" i="1"/>
  <c r="DH89" i="1"/>
  <c r="CS110" i="1"/>
  <c r="BH110" i="1"/>
  <c r="DH114" i="1"/>
  <c r="DN114" i="1"/>
  <c r="DV114" i="1" s="1"/>
  <c r="DJ114" i="1"/>
  <c r="BH123" i="1"/>
  <c r="CS123" i="1"/>
  <c r="C142" i="1"/>
  <c r="DK121" i="1"/>
  <c r="DI121" i="1"/>
  <c r="DO121" i="1"/>
  <c r="DW121" i="1" s="1"/>
  <c r="D111" i="1"/>
  <c r="CO111" i="1"/>
  <c r="EG56" i="1"/>
  <c r="DZ56" i="1" s="1"/>
  <c r="BL56" i="1" s="1"/>
  <c r="EH50" i="1"/>
  <c r="EA50" i="1" s="1"/>
  <c r="BM50" i="1" s="1"/>
  <c r="EJ59" i="1"/>
  <c r="EC59" i="1" s="1"/>
  <c r="BO59" i="1" s="1"/>
  <c r="C186" i="1"/>
  <c r="EI187" i="1"/>
  <c r="EB187" i="1" s="1"/>
  <c r="BN187" i="1" s="1"/>
  <c r="EJ170" i="1"/>
  <c r="EC170" i="1" s="1"/>
  <c r="BO170" i="1" s="1"/>
  <c r="EJ151" i="1"/>
  <c r="EC151" i="1" s="1"/>
  <c r="BO151" i="1" s="1"/>
  <c r="CK122" i="1"/>
  <c r="AY122" i="1"/>
  <c r="B122" i="1"/>
  <c r="CU105" i="1"/>
  <c r="EI74" i="1"/>
  <c r="EB74" i="1" s="1"/>
  <c r="BN74" i="1" s="1"/>
  <c r="EI139" i="1"/>
  <c r="EB139" i="1" s="1"/>
  <c r="BN139" i="1" s="1"/>
  <c r="EG61" i="1"/>
  <c r="DZ61" i="1" s="1"/>
  <c r="BL61" i="1" s="1"/>
  <c r="D96" i="1"/>
  <c r="CO96" i="1"/>
  <c r="EI165" i="1"/>
  <c r="EB165" i="1" s="1"/>
  <c r="BN165" i="1" s="1"/>
  <c r="EG74" i="1"/>
  <c r="DZ74" i="1" s="1"/>
  <c r="BL74" i="1" s="1"/>
  <c r="EG51" i="1"/>
  <c r="DZ51" i="1" s="1"/>
  <c r="BL51" i="1" s="1"/>
  <c r="C113" i="1"/>
  <c r="CM113" i="1"/>
  <c r="D129" i="1"/>
  <c r="CO129" i="1"/>
  <c r="EH63" i="1"/>
  <c r="EA63" i="1" s="1"/>
  <c r="BM63" i="1" s="1"/>
  <c r="EI151" i="1"/>
  <c r="EB151" i="1" s="1"/>
  <c r="BN151" i="1" s="1"/>
  <c r="EJ177" i="1"/>
  <c r="EC177" i="1" s="1"/>
  <c r="BO177" i="1" s="1"/>
  <c r="DO97" i="1"/>
  <c r="DW97" i="1" s="1"/>
  <c r="DK97" i="1"/>
  <c r="DI97" i="1"/>
  <c r="DO109" i="1"/>
  <c r="DW109" i="1" s="1"/>
  <c r="DI109" i="1"/>
  <c r="DK109" i="1"/>
  <c r="CS122" i="1"/>
  <c r="BH122" i="1"/>
  <c r="DJ88" i="1"/>
  <c r="DN88" i="1"/>
  <c r="DH88" i="1"/>
  <c r="C145" i="1"/>
  <c r="CU125" i="1"/>
  <c r="C109" i="1"/>
  <c r="CM109" i="1"/>
  <c r="BH105" i="1"/>
  <c r="CS105" i="1"/>
  <c r="EH57" i="1"/>
  <c r="EA57" i="1" s="1"/>
  <c r="BM57" i="1" s="1"/>
  <c r="AY103" i="1"/>
  <c r="B103" i="1"/>
  <c r="CK103" i="1"/>
  <c r="D146" i="1"/>
  <c r="AY94" i="1"/>
  <c r="B94" i="1"/>
  <c r="CK94" i="1"/>
  <c r="CK121" i="1"/>
  <c r="AY121" i="1"/>
  <c r="B121" i="1"/>
  <c r="B100" i="1"/>
  <c r="CK100" i="1"/>
  <c r="AY100" i="1"/>
  <c r="D177" i="1"/>
  <c r="DJ116" i="1"/>
  <c r="DH116" i="1"/>
  <c r="DN116" i="1"/>
  <c r="DV116" i="1" s="1"/>
  <c r="C167" i="1"/>
  <c r="BS167" i="1"/>
  <c r="D93" i="1"/>
  <c r="CO93" i="1"/>
  <c r="D148" i="1"/>
  <c r="DJ87" i="1"/>
  <c r="DN87" i="1"/>
  <c r="DH87" i="1"/>
  <c r="DO98" i="1"/>
  <c r="DW98" i="1" s="1"/>
  <c r="DK98" i="1"/>
  <c r="DI98" i="1"/>
  <c r="EH181" i="1"/>
  <c r="CK118" i="1"/>
  <c r="B118" i="1"/>
  <c r="AY118" i="1"/>
  <c r="CO105" i="1"/>
  <c r="D105" i="1"/>
  <c r="EG47" i="1"/>
  <c r="DZ47" i="1" s="1"/>
  <c r="BL47" i="1" s="1"/>
  <c r="C173" i="1"/>
  <c r="BS173" i="1"/>
  <c r="CU86" i="1"/>
  <c r="DN163" i="1"/>
  <c r="DV163" i="1" s="1"/>
  <c r="DH163" i="1"/>
  <c r="DJ163" i="1"/>
  <c r="EJ70" i="1"/>
  <c r="EC70" i="1" s="1"/>
  <c r="BO70" i="1" s="1"/>
  <c r="CO91" i="1"/>
  <c r="D91" i="1"/>
  <c r="C103" i="1"/>
  <c r="CM103" i="1"/>
  <c r="B128" i="1"/>
  <c r="CK128" i="1"/>
  <c r="AY128" i="1"/>
  <c r="D127" i="1"/>
  <c r="CO127" i="1"/>
  <c r="EH61" i="1"/>
  <c r="EA61" i="1" s="1"/>
  <c r="BM61" i="1" s="1"/>
  <c r="DN94" i="1"/>
  <c r="DV94" i="1" s="1"/>
  <c r="DH94" i="1"/>
  <c r="DJ94" i="1"/>
  <c r="CK163" i="1"/>
  <c r="EG50" i="1"/>
  <c r="DZ50" i="1" s="1"/>
  <c r="BL50" i="1" s="1"/>
  <c r="CO98" i="1"/>
  <c r="D98" i="1"/>
  <c r="CS117" i="1"/>
  <c r="BH117" i="1"/>
  <c r="DN52" i="1"/>
  <c r="DH52" i="1"/>
  <c r="DJ52" i="1"/>
  <c r="CS53" i="1"/>
  <c r="EN136" i="1"/>
  <c r="EG141" i="1"/>
  <c r="DZ141" i="1" s="1"/>
  <c r="BL141" i="1" s="1"/>
  <c r="BS141" i="1" s="1"/>
  <c r="DI130" i="1"/>
  <c r="DK130" i="1"/>
  <c r="DO130" i="1"/>
  <c r="DW130" i="1" s="1"/>
  <c r="CE84" i="1"/>
  <c r="C129" i="1"/>
  <c r="CM129" i="1"/>
  <c r="EI166" i="1"/>
  <c r="EB166" i="1" s="1"/>
  <c r="BN166" i="1" s="1"/>
  <c r="DI122" i="1"/>
  <c r="DO122" i="1"/>
  <c r="DW122" i="1" s="1"/>
  <c r="DK122" i="1"/>
  <c r="CM101" i="1"/>
  <c r="C101" i="1"/>
  <c r="DO96" i="1"/>
  <c r="DW96" i="1" s="1"/>
  <c r="DI96" i="1"/>
  <c r="DK96" i="1"/>
  <c r="EP44" i="1"/>
  <c r="EI45" i="1"/>
  <c r="EB45" i="1" s="1"/>
  <c r="BN45" i="1" s="1"/>
  <c r="D88" i="1"/>
  <c r="CO88" i="1"/>
  <c r="DK94" i="1"/>
  <c r="DO94" i="1"/>
  <c r="DW94" i="1" s="1"/>
  <c r="DI94" i="1"/>
  <c r="B116" i="1"/>
  <c r="CK116" i="1"/>
  <c r="AY116" i="1"/>
  <c r="EG154" i="1"/>
  <c r="DZ154" i="1" s="1"/>
  <c r="BL154" i="1" s="1"/>
  <c r="BS154" i="1" s="1"/>
  <c r="CS98" i="1"/>
  <c r="BH98" i="1"/>
  <c r="EI47" i="1"/>
  <c r="EB47" i="1" s="1"/>
  <c r="BN47" i="1" s="1"/>
  <c r="CI84" i="1"/>
  <c r="DN113" i="1"/>
  <c r="DV113" i="1" s="1"/>
  <c r="DH113" i="1"/>
  <c r="DJ113" i="1"/>
  <c r="EJ158" i="1"/>
  <c r="EC158" i="1" s="1"/>
  <c r="BO158" i="1" s="1"/>
  <c r="EI186" i="1"/>
  <c r="EB186" i="1" s="1"/>
  <c r="BN186" i="1" s="1"/>
  <c r="DC84" i="1"/>
  <c r="DI117" i="1"/>
  <c r="DK117" i="1"/>
  <c r="DO117" i="1"/>
  <c r="DW117" i="1" s="1"/>
  <c r="EG157" i="1"/>
  <c r="DZ157" i="1" s="1"/>
  <c r="BL157" i="1" s="1"/>
  <c r="BS157" i="1" s="1"/>
  <c r="CO64" i="1"/>
  <c r="D64" i="1"/>
  <c r="CS88" i="1"/>
  <c r="DO115" i="1"/>
  <c r="DW115" i="1" s="1"/>
  <c r="DK115" i="1"/>
  <c r="DI115" i="1"/>
  <c r="DJ98" i="1"/>
  <c r="DN98" i="1"/>
  <c r="DV98" i="1" s="1"/>
  <c r="DH98" i="1"/>
  <c r="DH102" i="1"/>
  <c r="DN102" i="1"/>
  <c r="DV102" i="1" s="1"/>
  <c r="DJ102" i="1"/>
  <c r="EG145" i="1"/>
  <c r="DZ145" i="1" s="1"/>
  <c r="BL145" i="1" s="1"/>
  <c r="BS145" i="1" s="1"/>
  <c r="DJ106" i="1"/>
  <c r="DN106" i="1"/>
  <c r="DV106" i="1" s="1"/>
  <c r="DH106" i="1"/>
  <c r="C117" i="1"/>
  <c r="CM117" i="1"/>
  <c r="CU119" i="1"/>
  <c r="EI181" i="1"/>
  <c r="EB181" i="1" s="1"/>
  <c r="BN181" i="1" s="1"/>
  <c r="CK104" i="1"/>
  <c r="AY104" i="1"/>
  <c r="B104" i="1"/>
  <c r="D162" i="1"/>
  <c r="CO162" i="1"/>
  <c r="CU124" i="1"/>
  <c r="EG76" i="1"/>
  <c r="DZ76" i="1" s="1"/>
  <c r="BL76" i="1" s="1"/>
  <c r="BH163" i="1"/>
  <c r="DU163" i="1"/>
  <c r="CQ163" i="1"/>
  <c r="EE51" i="1"/>
  <c r="DX51" i="1" s="1"/>
  <c r="D52" i="1"/>
  <c r="CO52" i="1"/>
  <c r="D184" i="1"/>
  <c r="EJ78" i="1"/>
  <c r="EC78" i="1" s="1"/>
  <c r="BO78" i="1" s="1"/>
  <c r="D114" i="1"/>
  <c r="CO114" i="1"/>
  <c r="EJ51" i="1"/>
  <c r="EC51" i="1" s="1"/>
  <c r="BO51" i="1" s="1"/>
  <c r="C179" i="1"/>
  <c r="EJ64" i="1"/>
  <c r="EC64" i="1" s="1"/>
  <c r="BO64" i="1" s="1"/>
  <c r="CG84" i="1"/>
  <c r="CU127" i="1"/>
  <c r="EI173" i="1"/>
  <c r="EB173" i="1" s="1"/>
  <c r="BN173" i="1" s="1"/>
  <c r="BE132" i="1"/>
  <c r="CU85" i="1"/>
  <c r="BE84" i="1"/>
  <c r="BS175" i="1"/>
  <c r="C175" i="1"/>
  <c r="D139" i="1"/>
  <c r="D145" i="1"/>
  <c r="CU90" i="1"/>
  <c r="DO50" i="1"/>
  <c r="DK50" i="1"/>
  <c r="DI50" i="1"/>
  <c r="DU50" i="1"/>
  <c r="DH118" i="1"/>
  <c r="DJ118" i="1"/>
  <c r="DN118" i="1"/>
  <c r="DV118" i="1" s="1"/>
  <c r="BF84" i="1"/>
  <c r="BF132" i="1"/>
  <c r="D125" i="1"/>
  <c r="CO125" i="1"/>
  <c r="EJ58" i="1"/>
  <c r="EC58" i="1" s="1"/>
  <c r="BO58" i="1" s="1"/>
  <c r="EH185" i="1"/>
  <c r="EA185" i="1" s="1"/>
  <c r="BM185" i="1" s="1"/>
  <c r="BS185" i="1" s="1"/>
  <c r="AY53" i="1"/>
  <c r="B53" i="1"/>
  <c r="CK53" i="1"/>
  <c r="AX136" i="1"/>
  <c r="EJ180" i="1"/>
  <c r="EC180" i="1" s="1"/>
  <c r="BO180" i="1" s="1"/>
  <c r="EJ173" i="1"/>
  <c r="EC173" i="1" s="1"/>
  <c r="BO173" i="1" s="1"/>
  <c r="EE52" i="1"/>
  <c r="DX52" i="1" s="1"/>
  <c r="EI179" i="1"/>
  <c r="EB179" i="1" s="1"/>
  <c r="BN179" i="1" s="1"/>
  <c r="EJ185" i="1"/>
  <c r="EC185" i="1" s="1"/>
  <c r="BO185" i="1" s="1"/>
  <c r="EI175" i="1"/>
  <c r="EB175" i="1" s="1"/>
  <c r="BN175" i="1" s="1"/>
  <c r="EJ53" i="1"/>
  <c r="EC53" i="1" s="1"/>
  <c r="BO53" i="1" s="1"/>
  <c r="EI70" i="1"/>
  <c r="EB70" i="1" s="1"/>
  <c r="BN70" i="1" s="1"/>
  <c r="EI76" i="1"/>
  <c r="EB76" i="1" s="1"/>
  <c r="BN76" i="1" s="1"/>
  <c r="CS125" i="1"/>
  <c r="BH125" i="1"/>
  <c r="CO163" i="1"/>
  <c r="D163" i="1"/>
  <c r="CK168" i="1"/>
  <c r="EH77" i="1"/>
  <c r="EA77" i="1" s="1"/>
  <c r="BM77" i="1" s="1"/>
  <c r="EH72" i="1"/>
  <c r="EA72" i="1" s="1"/>
  <c r="BM72" i="1" s="1"/>
  <c r="EG57" i="1"/>
  <c r="DZ57" i="1" s="1"/>
  <c r="BL57" i="1" s="1"/>
  <c r="EH60" i="1"/>
  <c r="EA60" i="1" s="1"/>
  <c r="BM60" i="1" s="1"/>
  <c r="EJ50" i="1"/>
  <c r="EC50" i="1" s="1"/>
  <c r="BO50" i="1" s="1"/>
  <c r="EG46" i="1"/>
  <c r="DZ46" i="1" s="1"/>
  <c r="BL46" i="1" s="1"/>
  <c r="CU88" i="1"/>
  <c r="CU123" i="1"/>
  <c r="CS116" i="1"/>
  <c r="BH116" i="1"/>
  <c r="C123" i="1"/>
  <c r="CM123" i="1"/>
  <c r="CO164" i="1"/>
  <c r="D164" i="1"/>
  <c r="EH46" i="1"/>
  <c r="EA46" i="1" s="1"/>
  <c r="BM46" i="1" s="1"/>
  <c r="EJ75" i="1"/>
  <c r="EC75" i="1" s="1"/>
  <c r="BO75" i="1" s="1"/>
  <c r="C149" i="1"/>
  <c r="EJ161" i="1"/>
  <c r="EC161" i="1" s="1"/>
  <c r="BO161" i="1" s="1"/>
  <c r="D158" i="1"/>
  <c r="D171" i="1"/>
  <c r="B125" i="1"/>
  <c r="CK125" i="1"/>
  <c r="AY125" i="1"/>
  <c r="C56" i="1"/>
  <c r="CM56" i="1"/>
  <c r="EJ189" i="1"/>
  <c r="EC189" i="1" s="1"/>
  <c r="BO189" i="1" s="1"/>
  <c r="EI60" i="1"/>
  <c r="EB60" i="1" s="1"/>
  <c r="BN60" i="1" s="1"/>
  <c r="BS163" i="1"/>
  <c r="CM163" i="1"/>
  <c r="AY163" i="1"/>
  <c r="C163" i="1"/>
  <c r="D144" i="1"/>
  <c r="EI50" i="1"/>
  <c r="EB50" i="1" s="1"/>
  <c r="BN50" i="1" s="1"/>
  <c r="EJ149" i="1"/>
  <c r="EC149" i="1" s="1"/>
  <c r="BO149" i="1" s="1"/>
  <c r="DH107" i="1"/>
  <c r="DN107" i="1"/>
  <c r="DV107" i="1" s="1"/>
  <c r="DJ107" i="1"/>
  <c r="D86" i="1"/>
  <c r="CO86" i="1"/>
  <c r="DJ105" i="1"/>
  <c r="DH105" i="1"/>
  <c r="DN105" i="1"/>
  <c r="DV105" i="1" s="1"/>
  <c r="D126" i="1"/>
  <c r="CO126" i="1"/>
  <c r="DO111" i="1"/>
  <c r="DW111" i="1" s="1"/>
  <c r="DI111" i="1"/>
  <c r="DK111" i="1"/>
  <c r="C140" i="1"/>
  <c r="EH45" i="1"/>
  <c r="EA45" i="1" s="1"/>
  <c r="BM45" i="1" s="1"/>
  <c r="EO44" i="1"/>
  <c r="EG72" i="1"/>
  <c r="DZ72" i="1" s="1"/>
  <c r="BL72" i="1" s="1"/>
  <c r="EH76" i="1"/>
  <c r="EA76" i="1" s="1"/>
  <c r="BM76" i="1" s="1"/>
  <c r="D178" i="1"/>
  <c r="EI143" i="1"/>
  <c r="EB143" i="1" s="1"/>
  <c r="BN143" i="1" s="1"/>
  <c r="CK106" i="1"/>
  <c r="B106" i="1"/>
  <c r="AY106" i="1"/>
  <c r="EG73" i="1"/>
  <c r="DZ73" i="1" s="1"/>
  <c r="BL73" i="1" s="1"/>
  <c r="EG62" i="1"/>
  <c r="DZ62" i="1" s="1"/>
  <c r="BL62" i="1" s="1"/>
  <c r="B126" i="1"/>
  <c r="AY126" i="1"/>
  <c r="CK126" i="1"/>
  <c r="EG151" i="1"/>
  <c r="DZ151" i="1" s="1"/>
  <c r="BL151" i="1" s="1"/>
  <c r="BS151" i="1" s="1"/>
  <c r="DI118" i="1"/>
  <c r="DO118" i="1"/>
  <c r="DW118" i="1" s="1"/>
  <c r="DK118" i="1"/>
  <c r="EJ144" i="1"/>
  <c r="EC144" i="1" s="1"/>
  <c r="BO144" i="1" s="1"/>
  <c r="EI150" i="1"/>
  <c r="EB150" i="1" s="1"/>
  <c r="BN150" i="1" s="1"/>
  <c r="EJ164" i="1"/>
  <c r="EC164" i="1" s="1"/>
  <c r="BO164" i="1" s="1"/>
  <c r="DN100" i="1"/>
  <c r="DV100" i="1" s="1"/>
  <c r="DH100" i="1"/>
  <c r="DJ100" i="1"/>
  <c r="CU52" i="1"/>
  <c r="EH182" i="1"/>
  <c r="EA182" i="1" s="1"/>
  <c r="BM182" i="1" s="1"/>
  <c r="BS182" i="1" s="1"/>
  <c r="CS115" i="1"/>
  <c r="BH115" i="1"/>
  <c r="CS108" i="1"/>
  <c r="BH108" i="1"/>
  <c r="EJ160" i="1"/>
  <c r="EC160" i="1" s="1"/>
  <c r="BO160" i="1" s="1"/>
  <c r="CS95" i="1"/>
  <c r="BH95" i="1"/>
  <c r="DJ124" i="1"/>
  <c r="DN124" i="1"/>
  <c r="DV124" i="1" s="1"/>
  <c r="DH124" i="1"/>
  <c r="C143" i="1"/>
  <c r="BS166" i="1"/>
  <c r="C166" i="1"/>
  <c r="EH79" i="1"/>
  <c r="EA79" i="1" s="1"/>
  <c r="BM79" i="1" s="1"/>
  <c r="EH178" i="1"/>
  <c r="EA178" i="1" s="1"/>
  <c r="BM178" i="1" s="1"/>
  <c r="BS178" i="1" s="1"/>
  <c r="C162" i="1"/>
  <c r="BS162" i="1"/>
  <c r="CM162" i="1"/>
  <c r="DO129" i="1"/>
  <c r="DW129" i="1" s="1"/>
  <c r="DK129" i="1"/>
  <c r="DI129" i="1"/>
  <c r="CS101" i="1"/>
  <c r="BH101" i="1"/>
  <c r="DK125" i="1"/>
  <c r="DO125" i="1"/>
  <c r="DW125" i="1" s="1"/>
  <c r="DI125" i="1"/>
  <c r="CS56" i="1"/>
  <c r="DU53" i="1"/>
  <c r="DO53" i="1"/>
  <c r="DK53" i="1"/>
  <c r="DI53" i="1"/>
  <c r="DH86" i="1"/>
  <c r="DJ86" i="1"/>
  <c r="DN86" i="1"/>
  <c r="C108" i="1"/>
  <c r="CM108" i="1"/>
  <c r="D102" i="1"/>
  <c r="CO102" i="1"/>
  <c r="D161" i="1"/>
  <c r="CO161" i="1"/>
  <c r="CU116" i="1"/>
  <c r="CU50" i="1"/>
  <c r="DJ123" i="1"/>
  <c r="DH123" i="1"/>
  <c r="DN123" i="1"/>
  <c r="DV123" i="1" s="1"/>
  <c r="B98" i="1"/>
  <c r="CK98" i="1"/>
  <c r="AY98" i="1"/>
  <c r="EG149" i="1"/>
  <c r="DZ149" i="1" s="1"/>
  <c r="BL149" i="1" s="1"/>
  <c r="BS149" i="1" s="1"/>
  <c r="CU101" i="1"/>
  <c r="BS161" i="1"/>
  <c r="C161" i="1"/>
  <c r="CM161" i="1"/>
  <c r="DC44" i="1"/>
  <c r="CS64" i="1"/>
  <c r="DK95" i="1"/>
  <c r="DO95" i="1"/>
  <c r="DW95" i="1" s="1"/>
  <c r="DI95" i="1"/>
  <c r="CU129" i="1"/>
  <c r="EI168" i="1"/>
  <c r="EB168" i="1" s="1"/>
  <c r="BN168" i="1" s="1"/>
  <c r="EH78" i="1"/>
  <c r="EA78" i="1" s="1"/>
  <c r="BM78" i="1" s="1"/>
  <c r="EH184" i="1"/>
  <c r="EA184" i="1" s="1"/>
  <c r="BM184" i="1" s="1"/>
  <c r="BS184" i="1" s="1"/>
  <c r="CK92" i="1"/>
  <c r="B92" i="1"/>
  <c r="AY92" i="1"/>
  <c r="BH49" i="1"/>
  <c r="DT49" i="1"/>
  <c r="CQ49" i="1"/>
  <c r="CU114" i="1"/>
  <c r="EG152" i="1"/>
  <c r="DZ152" i="1" s="1"/>
  <c r="BL152" i="1" s="1"/>
  <c r="BS152" i="1" s="1"/>
  <c r="D188" i="1"/>
  <c r="EI153" i="1"/>
  <c r="EB153" i="1" s="1"/>
  <c r="BN153" i="1" s="1"/>
  <c r="EJ62" i="1"/>
  <c r="EC62" i="1" s="1"/>
  <c r="BO62" i="1" s="1"/>
  <c r="CO118" i="1"/>
  <c r="D118" i="1"/>
  <c r="EJ175" i="1"/>
  <c r="EC175" i="1" s="1"/>
  <c r="BO175" i="1" s="1"/>
  <c r="EJ153" i="1"/>
  <c r="EC153" i="1" s="1"/>
  <c r="BO153" i="1" s="1"/>
  <c r="EI188" i="1"/>
  <c r="EB188" i="1" s="1"/>
  <c r="BN188" i="1" s="1"/>
  <c r="DH49" i="1"/>
  <c r="DN49" i="1"/>
  <c r="DJ49" i="1"/>
  <c r="DI56" i="1"/>
  <c r="DU56" i="1"/>
  <c r="DO56" i="1"/>
  <c r="DK56" i="1"/>
  <c r="CS168" i="1"/>
  <c r="BZ168" i="1"/>
  <c r="EG146" i="1"/>
  <c r="DZ146" i="1" s="1"/>
  <c r="BL146" i="1" s="1"/>
  <c r="BS146" i="1" s="1"/>
  <c r="D94" i="1"/>
  <c r="CO94" i="1"/>
  <c r="CS104" i="1"/>
  <c r="BH104" i="1"/>
  <c r="B93" i="1"/>
  <c r="AY93" i="1"/>
  <c r="CK93" i="1"/>
  <c r="AY50" i="1"/>
  <c r="B50" i="1"/>
  <c r="CK50" i="1"/>
  <c r="BH112" i="1"/>
  <c r="CS112" i="1"/>
  <c r="D149" i="1"/>
  <c r="DI91" i="1"/>
  <c r="DK91" i="1"/>
  <c r="DO91" i="1"/>
  <c r="DW91" i="1" s="1"/>
  <c r="Y29" i="2"/>
  <c r="BG28" i="1" s="1"/>
  <c r="BH102" i="1"/>
  <c r="CS102" i="1"/>
  <c r="EI157" i="1"/>
  <c r="EB157" i="1" s="1"/>
  <c r="BN157" i="1" s="1"/>
  <c r="C118" i="1"/>
  <c r="CM118" i="1"/>
  <c r="EI172" i="1"/>
  <c r="EB172" i="1" s="1"/>
  <c r="BN172" i="1" s="1"/>
  <c r="CM63" i="1"/>
  <c r="C63" i="1"/>
  <c r="EI53" i="1"/>
  <c r="EB53" i="1" s="1"/>
  <c r="BN53" i="1" s="1"/>
  <c r="CU109" i="1"/>
  <c r="CS130" i="1"/>
  <c r="BH130" i="1"/>
  <c r="CU103" i="1"/>
  <c r="DE136" i="1"/>
  <c r="BS174" i="1"/>
  <c r="C174" i="1"/>
  <c r="C185" i="1"/>
  <c r="EG144" i="1"/>
  <c r="DZ144" i="1" s="1"/>
  <c r="BL144" i="1" s="1"/>
  <c r="BS144" i="1" s="1"/>
  <c r="CU104" i="1"/>
  <c r="D142" i="1"/>
  <c r="D185" i="1"/>
  <c r="CU100" i="1"/>
  <c r="EG147" i="1"/>
  <c r="DZ147" i="1" s="1"/>
  <c r="BL147" i="1" s="1"/>
  <c r="BS147" i="1" s="1"/>
  <c r="C141" i="1"/>
  <c r="D141" i="1"/>
  <c r="EJ147" i="1"/>
  <c r="EC147" i="1" s="1"/>
  <c r="BO147" i="1" s="1"/>
  <c r="AY90" i="1"/>
  <c r="B90" i="1"/>
  <c r="CK90" i="1"/>
  <c r="EH139" i="1"/>
  <c r="EA139" i="1" s="1"/>
  <c r="BM139" i="1" s="1"/>
  <c r="B117" i="1"/>
  <c r="AY117" i="1"/>
  <c r="CK117" i="1"/>
  <c r="EG155" i="1"/>
  <c r="DZ155" i="1" s="1"/>
  <c r="BL155" i="1" s="1"/>
  <c r="BS155" i="1" s="1"/>
  <c r="DJ112" i="1"/>
  <c r="DN112" i="1"/>
  <c r="DV112" i="1" s="1"/>
  <c r="DH112" i="1"/>
  <c r="EG60" i="1"/>
  <c r="DZ60" i="1" s="1"/>
  <c r="BL60" i="1" s="1"/>
  <c r="EH52" i="1"/>
  <c r="EA52" i="1" s="1"/>
  <c r="BM52" i="1" s="1"/>
  <c r="C182" i="1"/>
  <c r="EG143" i="1"/>
  <c r="DZ143" i="1" s="1"/>
  <c r="BL143" i="1" s="1"/>
  <c r="BS143" i="1" s="1"/>
  <c r="D152" i="1"/>
  <c r="D173" i="1"/>
  <c r="BH103" i="1"/>
  <c r="CS103" i="1"/>
  <c r="C89" i="1"/>
  <c r="CM89" i="1"/>
  <c r="CU92" i="1"/>
  <c r="EH58" i="1"/>
  <c r="EA58" i="1" s="1"/>
  <c r="BM58" i="1" s="1"/>
  <c r="D175" i="1"/>
  <c r="DI106" i="1"/>
  <c r="DK106" i="1"/>
  <c r="DO106" i="1"/>
  <c r="DW106" i="1" s="1"/>
  <c r="D160" i="1"/>
  <c r="EI178" i="1"/>
  <c r="EB178" i="1" s="1"/>
  <c r="BN178" i="1" s="1"/>
  <c r="B87" i="1"/>
  <c r="CK87" i="1"/>
  <c r="AY87" i="1"/>
  <c r="C171" i="1"/>
  <c r="BS171" i="1"/>
  <c r="DT92" i="1"/>
  <c r="BH92" i="1"/>
  <c r="CQ92" i="1"/>
  <c r="EJ148" i="1"/>
  <c r="EC148" i="1" s="1"/>
  <c r="BO148" i="1" s="1"/>
  <c r="EJ56" i="1"/>
  <c r="EC56" i="1" s="1"/>
  <c r="BO56" i="1" s="1"/>
  <c r="EJ76" i="1"/>
  <c r="EC76" i="1" s="1"/>
  <c r="BO76" i="1" s="1"/>
  <c r="D138" i="1"/>
  <c r="AW136" i="1"/>
  <c r="EI169" i="1"/>
  <c r="EB169" i="1" s="1"/>
  <c r="BN169" i="1" s="1"/>
  <c r="CU97" i="1"/>
  <c r="EH47" i="1"/>
  <c r="EA47" i="1" s="1"/>
  <c r="BM47" i="1" s="1"/>
  <c r="DU168" i="1"/>
  <c r="BH168" i="1"/>
  <c r="CQ168" i="1"/>
  <c r="CQ87" i="1"/>
  <c r="DT87" i="1"/>
  <c r="BH87" i="1"/>
  <c r="D189" i="1"/>
  <c r="CS86" i="1"/>
  <c r="EF49" i="1"/>
  <c r="DY49" i="1" s="1"/>
  <c r="BK49" i="1" s="1"/>
  <c r="EH51" i="1"/>
  <c r="EA51" i="1" s="1"/>
  <c r="BM51" i="1" s="1"/>
  <c r="CO120" i="1"/>
  <c r="D120" i="1"/>
  <c r="EF56" i="1"/>
  <c r="DY56" i="1" s="1"/>
  <c r="BK56" i="1" s="1"/>
  <c r="DT91" i="1"/>
  <c r="BH91" i="1"/>
  <c r="CQ91" i="1"/>
  <c r="CU91" i="1"/>
  <c r="BH106" i="1"/>
  <c r="CS106" i="1"/>
  <c r="CM100" i="1"/>
  <c r="C100" i="1"/>
  <c r="BS160" i="1"/>
  <c r="C160" i="1"/>
  <c r="EH49" i="1"/>
  <c r="EA49" i="1" s="1"/>
  <c r="BM49" i="1" s="1"/>
  <c r="D154" i="1"/>
  <c r="CS93" i="1"/>
  <c r="BD132" i="1"/>
  <c r="BD84" i="1"/>
  <c r="BH93" i="1"/>
  <c r="EJ166" i="1"/>
  <c r="EC166" i="1" s="1"/>
  <c r="BO166" i="1" s="1"/>
  <c r="CM165" i="1"/>
  <c r="BS165" i="1"/>
  <c r="C165" i="1"/>
  <c r="CU112" i="1"/>
  <c r="CS114" i="1"/>
  <c r="BH114" i="1"/>
  <c r="EI147" i="1"/>
  <c r="EB147" i="1" s="1"/>
  <c r="BN147" i="1" s="1"/>
  <c r="EJ174" i="1"/>
  <c r="EC174" i="1" s="1"/>
  <c r="BO174" i="1" s="1"/>
  <c r="D56" i="1"/>
  <c r="CO56" i="1"/>
  <c r="EJ141" i="1"/>
  <c r="EC141" i="1" s="1"/>
  <c r="BO141" i="1" s="1"/>
  <c r="EI75" i="1"/>
  <c r="EB75" i="1" s="1"/>
  <c r="BN75" i="1" s="1"/>
  <c r="EI164" i="1"/>
  <c r="EB164" i="1" s="1"/>
  <c r="BN164" i="1" s="1"/>
  <c r="C152" i="1"/>
  <c r="CM49" i="1"/>
  <c r="C49" i="1"/>
  <c r="EG64" i="1"/>
  <c r="DZ64" i="1" s="1"/>
  <c r="BL64" i="1" s="1"/>
  <c r="EI174" i="1"/>
  <c r="EB174" i="1" s="1"/>
  <c r="BN174" i="1" s="1"/>
  <c r="D51" i="1"/>
  <c r="CO51" i="1"/>
  <c r="EH189" i="1"/>
  <c r="EA189" i="1" s="1"/>
  <c r="BM189" i="1" s="1"/>
  <c r="DI126" i="1"/>
  <c r="DK126" i="1"/>
  <c r="DO126" i="1"/>
  <c r="DW126" i="1" s="1"/>
  <c r="EI48" i="1"/>
  <c r="EB48" i="1" s="1"/>
  <c r="BN48" i="1" s="1"/>
  <c r="D117" i="1"/>
  <c r="CO117" i="1"/>
  <c r="CU102" i="1"/>
  <c r="C122" i="1"/>
  <c r="CM122" i="1"/>
  <c r="CU126" i="1"/>
  <c r="DD84" i="1"/>
  <c r="EE56" i="1"/>
  <c r="DX56" i="1" s="1"/>
  <c r="EG153" i="1"/>
  <c r="DZ153" i="1" s="1"/>
  <c r="BL153" i="1" s="1"/>
  <c r="BS153" i="1" s="1"/>
  <c r="CU107" i="1"/>
  <c r="CS124" i="1"/>
  <c r="BH124" i="1"/>
  <c r="EI163" i="1"/>
  <c r="EB163" i="1" s="1"/>
  <c r="BN163" i="1" s="1"/>
  <c r="BU163" i="1" s="1"/>
  <c r="B56" i="1"/>
  <c r="CK56" i="1"/>
  <c r="AY56" i="1"/>
  <c r="C156" i="1"/>
  <c r="BH97" i="1"/>
  <c r="CS97" i="1"/>
  <c r="EH179" i="1"/>
  <c r="EA179" i="1" s="1"/>
  <c r="BM179" i="1" s="1"/>
  <c r="BS179" i="1" s="1"/>
  <c r="D85" i="1"/>
  <c r="AW84" i="1"/>
  <c r="CO85" i="1"/>
  <c r="EI161" i="1"/>
  <c r="EB161" i="1" s="1"/>
  <c r="BN161" i="1" s="1"/>
  <c r="CS126" i="1"/>
  <c r="BH126" i="1"/>
  <c r="EI185" i="1"/>
  <c r="EB185" i="1" s="1"/>
  <c r="BN185" i="1" s="1"/>
  <c r="D174" i="1"/>
  <c r="EI155" i="1"/>
  <c r="EB155" i="1" s="1"/>
  <c r="BN155" i="1" s="1"/>
  <c r="EI162" i="1"/>
  <c r="EB162" i="1" s="1"/>
  <c r="BN162" i="1" s="1"/>
  <c r="EJ159" i="1"/>
  <c r="EC159" i="1" s="1"/>
  <c r="BO159" i="1" s="1"/>
  <c r="EJ46" i="1"/>
  <c r="EC46" i="1" s="1"/>
  <c r="BO46" i="1" s="1"/>
  <c r="D115" i="1"/>
  <c r="CO115" i="1"/>
  <c r="CS107" i="1"/>
  <c r="BH107" i="1"/>
  <c r="BH120" i="1"/>
  <c r="CS120" i="1"/>
  <c r="CM90" i="1"/>
  <c r="C90" i="1"/>
  <c r="C181" i="1"/>
  <c r="CU99" i="1"/>
  <c r="BH109" i="1"/>
  <c r="CS109" i="1"/>
  <c r="EJ186" i="1"/>
  <c r="EC186" i="1" s="1"/>
  <c r="BO186" i="1" s="1"/>
  <c r="EG53" i="1"/>
  <c r="DZ53" i="1" s="1"/>
  <c r="BL53" i="1" s="1"/>
  <c r="CK52" i="1"/>
  <c r="B52" i="1"/>
  <c r="AY52" i="1"/>
  <c r="EJ63" i="1"/>
  <c r="EC63" i="1" s="1"/>
  <c r="BO63" i="1" s="1"/>
  <c r="EH56" i="1"/>
  <c r="EA56" i="1" s="1"/>
  <c r="BM56" i="1" s="1"/>
  <c r="B123" i="1"/>
  <c r="AY123" i="1"/>
  <c r="CK123" i="1"/>
  <c r="C150" i="1"/>
  <c r="CU130" i="1"/>
  <c r="EH53" i="1"/>
  <c r="EA53" i="1" s="1"/>
  <c r="BM53" i="1" s="1"/>
  <c r="EJ188" i="1"/>
  <c r="EC188" i="1" s="1"/>
  <c r="BO188" i="1" s="1"/>
  <c r="C170" i="1"/>
  <c r="BS170" i="1"/>
  <c r="CQ89" i="1"/>
  <c r="DT89" i="1"/>
  <c r="BH89" i="1"/>
  <c r="EO136" i="1"/>
  <c r="EH137" i="1"/>
  <c r="EA137" i="1" s="1"/>
  <c r="BM137" i="1" s="1"/>
  <c r="EH64" i="1"/>
  <c r="EA64" i="1" s="1"/>
  <c r="BM64" i="1" s="1"/>
  <c r="CO113" i="1"/>
  <c r="D113" i="1"/>
  <c r="C177" i="1"/>
  <c r="BC132" i="1"/>
  <c r="BH85" i="1"/>
  <c r="CS85" i="1"/>
  <c r="BC84" i="1"/>
  <c r="EJ73" i="1"/>
  <c r="EC73" i="1" s="1"/>
  <c r="BO73" i="1" s="1"/>
  <c r="CS163" i="1"/>
  <c r="BZ163" i="1"/>
  <c r="B49" i="1"/>
  <c r="AY49" i="1"/>
  <c r="CK49" i="1"/>
  <c r="DJ110" i="1"/>
  <c r="DN110" i="1"/>
  <c r="DV110" i="1" s="1"/>
  <c r="DH110" i="1"/>
  <c r="C180" i="1"/>
  <c r="DT88" i="1"/>
  <c r="BH88" i="1"/>
  <c r="CQ88" i="1"/>
  <c r="CM88" i="1"/>
  <c r="C88" i="1"/>
  <c r="EG75" i="1"/>
  <c r="DZ75" i="1" s="1"/>
  <c r="BL75" i="1" s="1"/>
  <c r="EI144" i="1"/>
  <c r="EB144" i="1" s="1"/>
  <c r="BN144" i="1" s="1"/>
  <c r="EE50" i="1"/>
  <c r="DX50" i="1" s="1"/>
  <c r="EI156" i="1"/>
  <c r="EB156" i="1" s="1"/>
  <c r="BN156" i="1" s="1"/>
  <c r="EH73" i="1"/>
  <c r="EA73" i="1" s="1"/>
  <c r="BM73" i="1" s="1"/>
  <c r="D116" i="1"/>
  <c r="CO116" i="1"/>
  <c r="CU118" i="1"/>
  <c r="CM64" i="1"/>
  <c r="C64" i="1"/>
  <c r="EG142" i="1"/>
  <c r="D140" i="1"/>
  <c r="EJ179" i="1"/>
  <c r="EC179" i="1" s="1"/>
  <c r="BO179" i="1" s="1"/>
  <c r="CK86" i="1"/>
  <c r="AY86" i="1"/>
  <c r="B86" i="1"/>
  <c r="CU121" i="1"/>
  <c r="EJ57" i="1"/>
  <c r="EC57" i="1" s="1"/>
  <c r="BO57" i="1" s="1"/>
  <c r="D183" i="1"/>
  <c r="EI72" i="1"/>
  <c r="EB72" i="1" s="1"/>
  <c r="BN72" i="1" s="1"/>
  <c r="EF51" i="1"/>
  <c r="DY51" i="1" s="1"/>
  <c r="BK51" i="1" s="1"/>
  <c r="EH74" i="1"/>
  <c r="EA74" i="1" s="1"/>
  <c r="BM74" i="1" s="1"/>
  <c r="DH119" i="1"/>
  <c r="DN119" i="1"/>
  <c r="DV119" i="1" s="1"/>
  <c r="DJ119" i="1"/>
  <c r="C119" i="1"/>
  <c r="CM119" i="1"/>
  <c r="CM107" i="1"/>
  <c r="C107" i="1"/>
  <c r="EI146" i="1"/>
  <c r="EB146" i="1" s="1"/>
  <c r="BN146" i="1" s="1"/>
  <c r="BS169" i="1"/>
  <c r="C169" i="1"/>
  <c r="CU93" i="1"/>
  <c r="B91" i="1"/>
  <c r="AY91" i="1"/>
  <c r="CK91" i="1"/>
  <c r="CM51" i="1"/>
  <c r="C51" i="1"/>
  <c r="EH48" i="1"/>
  <c r="EA48" i="1" s="1"/>
  <c r="BM48" i="1" s="1"/>
  <c r="D157" i="1"/>
  <c r="CK114" i="1"/>
  <c r="AY114" i="1"/>
  <c r="B114" i="1"/>
  <c r="EJ61" i="1"/>
  <c r="EC61" i="1" s="1"/>
  <c r="BO61" i="1" s="1"/>
  <c r="CS129" i="1"/>
  <c r="BH129" i="1"/>
  <c r="CS52" i="1"/>
  <c r="EH138" i="1"/>
  <c r="EA138" i="1" s="1"/>
  <c r="BM138" i="1" s="1"/>
  <c r="DO119" i="1"/>
  <c r="DW119" i="1" s="1"/>
  <c r="DK119" i="1"/>
  <c r="DI119" i="1"/>
  <c r="DU64" i="1"/>
  <c r="DK64" i="1"/>
  <c r="DI64" i="1"/>
  <c r="DO64" i="1"/>
  <c r="C144" i="1"/>
  <c r="BS164" i="1"/>
  <c r="C164" i="1"/>
  <c r="CM164" i="1"/>
  <c r="EG77" i="1"/>
  <c r="DZ77" i="1" s="1"/>
  <c r="BL77" i="1" s="1"/>
  <c r="EI56" i="1"/>
  <c r="EB56" i="1" s="1"/>
  <c r="BN56" i="1" s="1"/>
  <c r="EJ48" i="1"/>
  <c r="EC48" i="1" s="1"/>
  <c r="BO48" i="1" s="1"/>
  <c r="EF50" i="1"/>
  <c r="DY50" i="1" s="1"/>
  <c r="BK50" i="1" s="1"/>
  <c r="EI51" i="1"/>
  <c r="EB51" i="1" s="1"/>
  <c r="BN51" i="1" s="1"/>
  <c r="BH99" i="1"/>
  <c r="CS99" i="1"/>
  <c r="AX84" i="1"/>
  <c r="CK120" i="1"/>
  <c r="AY120" i="1"/>
  <c r="B120" i="1"/>
  <c r="EG79" i="1"/>
  <c r="DZ79" i="1" s="1"/>
  <c r="BL79" i="1" s="1"/>
  <c r="CM99" i="1"/>
  <c r="C99" i="1"/>
  <c r="C50" i="1"/>
  <c r="CM50" i="1"/>
  <c r="CU106" i="1"/>
  <c r="D181" i="1"/>
  <c r="EH70" i="1"/>
  <c r="EA70" i="1" s="1"/>
  <c r="BM70" i="1" s="1"/>
  <c r="CU128" i="1"/>
  <c r="CS111" i="1"/>
  <c r="BH111" i="1"/>
  <c r="C52" i="1"/>
  <c r="CM52" i="1"/>
  <c r="EF52" i="1"/>
  <c r="DY52" i="1" s="1"/>
  <c r="BK52" i="1" s="1"/>
  <c r="BS168" i="1"/>
  <c r="AY168" i="1"/>
  <c r="CM168" i="1"/>
  <c r="C168" i="1"/>
  <c r="EG45" i="1"/>
  <c r="DZ45" i="1" s="1"/>
  <c r="BL45" i="1" s="1"/>
  <c r="EN44" i="1"/>
  <c r="D182" i="1"/>
  <c r="Y32" i="2"/>
  <c r="BG31" i="1" s="1"/>
  <c r="AZ32" i="1"/>
  <c r="A33" i="2"/>
  <c r="DG32" i="1"/>
  <c r="F32" i="1"/>
  <c r="A33" i="1"/>
  <c r="L33" i="2"/>
  <c r="V33" i="2"/>
  <c r="M33" i="2"/>
  <c r="X33" i="2"/>
  <c r="R33" i="2"/>
  <c r="J33" i="2"/>
  <c r="S33" i="2"/>
  <c r="W33" i="2"/>
  <c r="P33" i="2"/>
  <c r="T33" i="2"/>
  <c r="O33" i="2"/>
  <c r="E33" i="2"/>
  <c r="D33" i="2"/>
  <c r="N33" i="2"/>
  <c r="C33" i="2"/>
  <c r="B33" i="2"/>
  <c r="F33" i="2"/>
  <c r="K33" i="2"/>
  <c r="U33" i="2"/>
  <c r="H33" i="2"/>
  <c r="I33" i="2"/>
  <c r="Q33" i="2"/>
  <c r="G33" i="2"/>
  <c r="BJ56" i="1" l="1"/>
  <c r="DR56" i="1" s="1"/>
  <c r="BJ52" i="1"/>
  <c r="DR52" i="1" s="1"/>
  <c r="BJ51" i="1"/>
  <c r="BQ51" i="1" s="1"/>
  <c r="BJ50" i="1"/>
  <c r="BX50" i="1" s="1"/>
  <c r="BJ53" i="1"/>
  <c r="BQ53" i="1" s="1"/>
  <c r="BJ49" i="1"/>
  <c r="DR49" i="1" s="1"/>
  <c r="ED105" i="1"/>
  <c r="ED114" i="1"/>
  <c r="ED100" i="1"/>
  <c r="ED102" i="1"/>
  <c r="ED124" i="1"/>
  <c r="ED110" i="1"/>
  <c r="ED104" i="1"/>
  <c r="ED112" i="1"/>
  <c r="ED127" i="1"/>
  <c r="ED98" i="1"/>
  <c r="ED108" i="1"/>
  <c r="ED116" i="1"/>
  <c r="ED107" i="1"/>
  <c r="ED113" i="1"/>
  <c r="ED123" i="1"/>
  <c r="ED120" i="1"/>
  <c r="ED101" i="1"/>
  <c r="ED128" i="1"/>
  <c r="ED126" i="1"/>
  <c r="ED111" i="1"/>
  <c r="ED121" i="1"/>
  <c r="ED115" i="1"/>
  <c r="ED122" i="1"/>
  <c r="ED106" i="1"/>
  <c r="ED93" i="1"/>
  <c r="ED130" i="1"/>
  <c r="ED96" i="1"/>
  <c r="ED119" i="1"/>
  <c r="ED118" i="1"/>
  <c r="ED94" i="1"/>
  <c r="ED103" i="1"/>
  <c r="ED125" i="1"/>
  <c r="ED95" i="1"/>
  <c r="ED99" i="1"/>
  <c r="ED117" i="1"/>
  <c r="ED109" i="1"/>
  <c r="ED97" i="1"/>
  <c r="ED129" i="1"/>
  <c r="ED85" i="1"/>
  <c r="BT173" i="1"/>
  <c r="DQ114" i="1"/>
  <c r="BT187" i="1"/>
  <c r="ES115" i="1"/>
  <c r="ES100" i="1"/>
  <c r="ES110" i="1"/>
  <c r="ES125" i="1"/>
  <c r="ES102" i="1"/>
  <c r="ES119" i="1"/>
  <c r="ES118" i="1"/>
  <c r="ES122" i="1"/>
  <c r="ES109" i="1"/>
  <c r="ES104" i="1"/>
  <c r="ES121" i="1"/>
  <c r="ES101" i="1"/>
  <c r="ES98" i="1"/>
  <c r="ES126" i="1"/>
  <c r="ES113" i="1"/>
  <c r="ES93" i="1"/>
  <c r="ES123" i="1"/>
  <c r="ES130" i="1"/>
  <c r="ES96" i="1"/>
  <c r="ES120" i="1"/>
  <c r="ES94" i="1"/>
  <c r="ES128" i="1"/>
  <c r="ES127" i="1"/>
  <c r="ES85" i="1"/>
  <c r="ES95" i="1"/>
  <c r="ES99" i="1"/>
  <c r="ES124" i="1"/>
  <c r="ES97" i="1"/>
  <c r="ES129" i="1"/>
  <c r="ES108" i="1"/>
  <c r="ES117" i="1"/>
  <c r="ES114" i="1"/>
  <c r="ES116" i="1"/>
  <c r="ES111" i="1"/>
  <c r="ES107" i="1"/>
  <c r="ES105" i="1"/>
  <c r="ES112" i="1"/>
  <c r="ES106" i="1"/>
  <c r="ES103" i="1"/>
  <c r="BT168" i="1"/>
  <c r="BT178" i="1"/>
  <c r="BT141" i="1"/>
  <c r="BT147" i="1"/>
  <c r="BT179" i="1"/>
  <c r="BT146" i="1"/>
  <c r="BT155" i="1"/>
  <c r="BT170" i="1"/>
  <c r="BT144" i="1"/>
  <c r="BT161" i="1"/>
  <c r="BT164" i="1"/>
  <c r="BT153" i="1"/>
  <c r="BT174" i="1"/>
  <c r="BT157" i="1"/>
  <c r="BT151" i="1"/>
  <c r="BT185" i="1"/>
  <c r="BT180" i="1"/>
  <c r="BT159" i="1"/>
  <c r="BT165" i="1"/>
  <c r="BT167" i="1"/>
  <c r="BT183" i="1"/>
  <c r="BT175" i="1"/>
  <c r="BT176" i="1"/>
  <c r="BT150" i="1"/>
  <c r="BT169" i="1"/>
  <c r="BT160" i="1"/>
  <c r="BT152" i="1"/>
  <c r="BT184" i="1"/>
  <c r="BT163" i="1"/>
  <c r="BT154" i="1"/>
  <c r="BT172" i="1"/>
  <c r="BT156" i="1"/>
  <c r="BT166" i="1"/>
  <c r="BT148" i="1"/>
  <c r="BT171" i="1"/>
  <c r="BT149" i="1"/>
  <c r="BT162" i="1"/>
  <c r="BT145" i="1"/>
  <c r="BT158" i="1"/>
  <c r="BT186" i="1"/>
  <c r="BT177" i="1"/>
  <c r="DP98" i="1"/>
  <c r="BU144" i="1"/>
  <c r="DV52" i="1"/>
  <c r="E92" i="1"/>
  <c r="DS129" i="1"/>
  <c r="DM116" i="1"/>
  <c r="DS95" i="1"/>
  <c r="DL123" i="1"/>
  <c r="DQ115" i="1"/>
  <c r="DL56" i="1"/>
  <c r="DQ122" i="1"/>
  <c r="DP88" i="1"/>
  <c r="DS90" i="1"/>
  <c r="DQ90" i="1"/>
  <c r="DW168" i="1"/>
  <c r="ES168" i="1" s="1"/>
  <c r="DW50" i="1"/>
  <c r="DW49" i="1"/>
  <c r="DW52" i="1"/>
  <c r="DV64" i="1"/>
  <c r="DW163" i="1"/>
  <c r="ES163" i="1" s="1"/>
  <c r="DW51" i="1"/>
  <c r="DW53" i="1"/>
  <c r="DV49" i="1"/>
  <c r="DW64" i="1"/>
  <c r="DW56" i="1"/>
  <c r="DV51" i="1"/>
  <c r="DV50" i="1"/>
  <c r="DV53" i="1"/>
  <c r="DV56" i="1"/>
  <c r="E50" i="1"/>
  <c r="BU171" i="1"/>
  <c r="DQ117" i="1"/>
  <c r="DQ163" i="1"/>
  <c r="DP90" i="1"/>
  <c r="DP130" i="1"/>
  <c r="CP86" i="1"/>
  <c r="CP50" i="1"/>
  <c r="DP106" i="1"/>
  <c r="BU187" i="1"/>
  <c r="DV86" i="1"/>
  <c r="ED86" i="1" s="1"/>
  <c r="C84" i="1"/>
  <c r="DV88" i="1"/>
  <c r="ED88" i="1" s="1"/>
  <c r="BU52" i="1"/>
  <c r="DH131" i="1"/>
  <c r="DI84" i="1"/>
  <c r="BU176" i="1"/>
  <c r="DV89" i="1"/>
  <c r="ED89" i="1" s="1"/>
  <c r="BU170" i="1"/>
  <c r="DI131" i="1"/>
  <c r="BU177" i="1"/>
  <c r="CP51" i="1"/>
  <c r="DI132" i="1"/>
  <c r="DM114" i="1"/>
  <c r="DQ110" i="1"/>
  <c r="DP105" i="1"/>
  <c r="DM107" i="1"/>
  <c r="DQ53" i="1"/>
  <c r="DL96" i="1"/>
  <c r="DL121" i="1"/>
  <c r="DL126" i="1"/>
  <c r="DP86" i="1"/>
  <c r="DP122" i="1"/>
  <c r="DM87" i="1"/>
  <c r="DL89" i="1"/>
  <c r="BI125" i="1"/>
  <c r="BU156" i="1"/>
  <c r="CP113" i="1"/>
  <c r="CP90" i="1"/>
  <c r="DV87" i="1"/>
  <c r="ED87" i="1" s="1"/>
  <c r="DM93" i="1"/>
  <c r="BU164" i="1"/>
  <c r="BV164" i="1" s="1"/>
  <c r="DS96" i="1"/>
  <c r="DQ93" i="1"/>
  <c r="DS93" i="1"/>
  <c r="DP104" i="1"/>
  <c r="DQ118" i="1"/>
  <c r="DL110" i="1"/>
  <c r="DH84" i="1"/>
  <c r="E89" i="1"/>
  <c r="BI96" i="1"/>
  <c r="E113" i="1"/>
  <c r="DL130" i="1"/>
  <c r="CP122" i="1"/>
  <c r="CP127" i="1"/>
  <c r="DM108" i="1"/>
  <c r="DQ120" i="1"/>
  <c r="DM97" i="1"/>
  <c r="BI128" i="1"/>
  <c r="DM86" i="1"/>
  <c r="DL115" i="1"/>
  <c r="DS97" i="1"/>
  <c r="DP85" i="1"/>
  <c r="CP89" i="1"/>
  <c r="E93" i="1"/>
  <c r="CP104" i="1"/>
  <c r="E108" i="1"/>
  <c r="CP100" i="1"/>
  <c r="DV91" i="1"/>
  <c r="ED91" i="1" s="1"/>
  <c r="DP125" i="1"/>
  <c r="DS127" i="1"/>
  <c r="CP53" i="1"/>
  <c r="DM127" i="1"/>
  <c r="E51" i="1"/>
  <c r="CP163" i="1"/>
  <c r="DV90" i="1"/>
  <c r="ED90" i="1" s="1"/>
  <c r="E87" i="1"/>
  <c r="DQ130" i="1"/>
  <c r="DM109" i="1"/>
  <c r="DS114" i="1"/>
  <c r="DP50" i="1"/>
  <c r="DL112" i="1"/>
  <c r="BI120" i="1"/>
  <c r="BS49" i="1"/>
  <c r="DM101" i="1"/>
  <c r="D136" i="1"/>
  <c r="DL128" i="1"/>
  <c r="DM92" i="1"/>
  <c r="DM123" i="1"/>
  <c r="DQ89" i="1"/>
  <c r="DS99" i="1"/>
  <c r="E119" i="1"/>
  <c r="DL100" i="1"/>
  <c r="DP113" i="1"/>
  <c r="DQ96" i="1"/>
  <c r="CP101" i="1"/>
  <c r="BI122" i="1"/>
  <c r="E110" i="1"/>
  <c r="DP89" i="1"/>
  <c r="DQ91" i="1"/>
  <c r="E105" i="1"/>
  <c r="DQ129" i="1"/>
  <c r="CP97" i="1"/>
  <c r="DL122" i="1"/>
  <c r="DQ95" i="1"/>
  <c r="DP107" i="1"/>
  <c r="DS102" i="1"/>
  <c r="DP109" i="1"/>
  <c r="BI119" i="1"/>
  <c r="DS104" i="1"/>
  <c r="DS128" i="1"/>
  <c r="E91" i="1"/>
  <c r="BU138" i="1"/>
  <c r="E64" i="1"/>
  <c r="E115" i="1"/>
  <c r="E97" i="1"/>
  <c r="E127" i="1"/>
  <c r="E121" i="1"/>
  <c r="CP120" i="1"/>
  <c r="DQ109" i="1"/>
  <c r="CP91" i="1"/>
  <c r="DM102" i="1"/>
  <c r="E114" i="1"/>
  <c r="DS109" i="1"/>
  <c r="DQ101" i="1"/>
  <c r="E100" i="1"/>
  <c r="DM96" i="1"/>
  <c r="DL106" i="1"/>
  <c r="CP119" i="1"/>
  <c r="BI109" i="1"/>
  <c r="CP87" i="1"/>
  <c r="E98" i="1"/>
  <c r="E106" i="1"/>
  <c r="DP102" i="1"/>
  <c r="E120" i="1"/>
  <c r="E116" i="1"/>
  <c r="DQ94" i="1"/>
  <c r="DS118" i="1"/>
  <c r="DP123" i="1"/>
  <c r="DM129" i="1"/>
  <c r="DM94" i="1"/>
  <c r="DM95" i="1"/>
  <c r="DL86" i="1"/>
  <c r="DS94" i="1"/>
  <c r="BI116" i="1"/>
  <c r="DV92" i="1"/>
  <c r="ED92" i="1" s="1"/>
  <c r="BI106" i="1"/>
  <c r="BS70" i="1"/>
  <c r="BT70" i="1" s="1"/>
  <c r="BU148" i="1"/>
  <c r="DL107" i="1"/>
  <c r="BU184" i="1"/>
  <c r="CB50" i="1"/>
  <c r="CB49" i="1"/>
  <c r="BI52" i="1"/>
  <c r="DL114" i="1"/>
  <c r="DP108" i="1"/>
  <c r="DQ107" i="1"/>
  <c r="DQ112" i="1"/>
  <c r="DP49" i="1"/>
  <c r="CB52" i="1"/>
  <c r="BI53" i="1"/>
  <c r="BU137" i="1"/>
  <c r="BI103" i="1"/>
  <c r="E94" i="1"/>
  <c r="BI105" i="1"/>
  <c r="CP106" i="1"/>
  <c r="CP121" i="1"/>
  <c r="E117" i="1"/>
  <c r="BI104" i="1"/>
  <c r="BI108" i="1"/>
  <c r="BI91" i="1"/>
  <c r="DM98" i="1"/>
  <c r="DL95" i="1"/>
  <c r="BI110" i="1"/>
  <c r="CP114" i="1"/>
  <c r="DS111" i="1"/>
  <c r="DP95" i="1"/>
  <c r="BU50" i="1"/>
  <c r="DQ99" i="1"/>
  <c r="DS106" i="1"/>
  <c r="DM113" i="1"/>
  <c r="DL87" i="1"/>
  <c r="DM89" i="1"/>
  <c r="DP96" i="1"/>
  <c r="BI121" i="1"/>
  <c r="DS91" i="1"/>
  <c r="DL118" i="1"/>
  <c r="BI92" i="1"/>
  <c r="DL105" i="1"/>
  <c r="CP88" i="1"/>
  <c r="CP118" i="1"/>
  <c r="DP114" i="1"/>
  <c r="DP92" i="1"/>
  <c r="BI126" i="1"/>
  <c r="CP128" i="1"/>
  <c r="DL97" i="1"/>
  <c r="DQ127" i="1"/>
  <c r="E126" i="1"/>
  <c r="DP101" i="1"/>
  <c r="DM110" i="1"/>
  <c r="BU158" i="1"/>
  <c r="DP64" i="1"/>
  <c r="BU162" i="1"/>
  <c r="BU141" i="1"/>
  <c r="DM56" i="1"/>
  <c r="DQ49" i="1"/>
  <c r="DS52" i="1"/>
  <c r="BU49" i="1"/>
  <c r="BU178" i="1"/>
  <c r="DP126" i="1"/>
  <c r="BI89" i="1"/>
  <c r="EJ136" i="1"/>
  <c r="DS103" i="1"/>
  <c r="DS120" i="1"/>
  <c r="DS110" i="1"/>
  <c r="DQ108" i="1"/>
  <c r="CS84" i="1"/>
  <c r="DS101" i="1"/>
  <c r="DP128" i="1"/>
  <c r="BU180" i="1"/>
  <c r="BI112" i="1"/>
  <c r="CQ84" i="1"/>
  <c r="DS119" i="1"/>
  <c r="BU139" i="1"/>
  <c r="BI131" i="1"/>
  <c r="CO84" i="1"/>
  <c r="CO132" i="1" s="1"/>
  <c r="BI88" i="1"/>
  <c r="BI102" i="1"/>
  <c r="BI115" i="1"/>
  <c r="CP123" i="1"/>
  <c r="CP168" i="1"/>
  <c r="BI117" i="1"/>
  <c r="E103" i="1"/>
  <c r="E122" i="1"/>
  <c r="CP92" i="1"/>
  <c r="CP110" i="1"/>
  <c r="CP103" i="1"/>
  <c r="CP93" i="1"/>
  <c r="CP108" i="1"/>
  <c r="BI114" i="1"/>
  <c r="CP115" i="1"/>
  <c r="CP107" i="1"/>
  <c r="CP95" i="1"/>
  <c r="BI90" i="1"/>
  <c r="E130" i="1"/>
  <c r="E102" i="1"/>
  <c r="CP125" i="1"/>
  <c r="D84" i="1"/>
  <c r="E90" i="1"/>
  <c r="BI130" i="1"/>
  <c r="E118" i="1"/>
  <c r="E123" i="1"/>
  <c r="CU84" i="1"/>
  <c r="BI123" i="1"/>
  <c r="CP96" i="1"/>
  <c r="CP111" i="1"/>
  <c r="E128" i="1"/>
  <c r="BI95" i="1"/>
  <c r="E111" i="1"/>
  <c r="CP116" i="1"/>
  <c r="CP105" i="1"/>
  <c r="CP98" i="1"/>
  <c r="E99" i="1"/>
  <c r="CP124" i="1"/>
  <c r="CP126" i="1"/>
  <c r="E86" i="1"/>
  <c r="E125" i="1"/>
  <c r="CP130" i="1"/>
  <c r="DP94" i="1"/>
  <c r="DM112" i="1"/>
  <c r="DM91" i="1"/>
  <c r="BU142" i="1"/>
  <c r="DS87" i="1"/>
  <c r="DS112" i="1"/>
  <c r="DQ87" i="1"/>
  <c r="DS116" i="1"/>
  <c r="BZ51" i="1"/>
  <c r="DQ106" i="1"/>
  <c r="DL94" i="1"/>
  <c r="DL117" i="1"/>
  <c r="DQ126" i="1"/>
  <c r="DM111" i="1"/>
  <c r="DP127" i="1"/>
  <c r="DP129" i="1"/>
  <c r="DP93" i="1"/>
  <c r="DS121" i="1"/>
  <c r="DM125" i="1"/>
  <c r="DL99" i="1"/>
  <c r="DP87" i="1"/>
  <c r="DS168" i="1"/>
  <c r="DQ124" i="1"/>
  <c r="DL108" i="1"/>
  <c r="BU160" i="1"/>
  <c r="DM118" i="1"/>
  <c r="DQ50" i="1"/>
  <c r="DQ92" i="1"/>
  <c r="DK131" i="1"/>
  <c r="DL109" i="1"/>
  <c r="DL111" i="1"/>
  <c r="DL113" i="1"/>
  <c r="DQ97" i="1"/>
  <c r="DS122" i="1"/>
  <c r="DQ102" i="1"/>
  <c r="DQ98" i="1"/>
  <c r="DS107" i="1"/>
  <c r="DS98" i="1"/>
  <c r="BU157" i="1"/>
  <c r="CP56" i="1"/>
  <c r="DL49" i="1"/>
  <c r="DZ142" i="1"/>
  <c r="BL142" i="1" s="1"/>
  <c r="BS142" i="1" s="1"/>
  <c r="BT142" i="1" s="1"/>
  <c r="EG136" i="1"/>
  <c r="DL50" i="1"/>
  <c r="DS126" i="1"/>
  <c r="DL92" i="1"/>
  <c r="DP99" i="1"/>
  <c r="DM130" i="1"/>
  <c r="DS130" i="1"/>
  <c r="DK84" i="1"/>
  <c r="DM119" i="1"/>
  <c r="DS86" i="1"/>
  <c r="DQ86" i="1"/>
  <c r="DS100" i="1"/>
  <c r="DM100" i="1"/>
  <c r="DQ105" i="1"/>
  <c r="DM105" i="1"/>
  <c r="EA181" i="1"/>
  <c r="BM181" i="1" s="1"/>
  <c r="BS181" i="1" s="1"/>
  <c r="BT181" i="1" s="1"/>
  <c r="EH136" i="1"/>
  <c r="CP102" i="1"/>
  <c r="DL168" i="1"/>
  <c r="DP168" i="1"/>
  <c r="DJ84" i="1"/>
  <c r="BH131" i="1"/>
  <c r="DM126" i="1"/>
  <c r="DL93" i="1"/>
  <c r="BI129" i="1"/>
  <c r="BI97" i="1"/>
  <c r="BI98" i="1"/>
  <c r="DL129" i="1"/>
  <c r="BU165" i="1"/>
  <c r="CR82" i="1"/>
  <c r="DS117" i="1"/>
  <c r="DQ123" i="1"/>
  <c r="DS123" i="1"/>
  <c r="DM99" i="1"/>
  <c r="BI82" i="1"/>
  <c r="BI107" i="1"/>
  <c r="DK132" i="1"/>
  <c r="DL104" i="1"/>
  <c r="DL88" i="1"/>
  <c r="DP117" i="1"/>
  <c r="DS89" i="1"/>
  <c r="DM120" i="1"/>
  <c r="DL85" i="1"/>
  <c r="DM163" i="1"/>
  <c r="BI87" i="1"/>
  <c r="DL125" i="1"/>
  <c r="DM124" i="1"/>
  <c r="CS82" i="1"/>
  <c r="DQ125" i="1"/>
  <c r="DP110" i="1"/>
  <c r="DP97" i="1"/>
  <c r="DQ111" i="1"/>
  <c r="DP118" i="1"/>
  <c r="DM85" i="1"/>
  <c r="DP119" i="1"/>
  <c r="DL124" i="1"/>
  <c r="DP124" i="1"/>
  <c r="CP129" i="1"/>
  <c r="CM84" i="1"/>
  <c r="CM131" i="1" s="1"/>
  <c r="DS88" i="1"/>
  <c r="DQ88" i="1"/>
  <c r="DQ168" i="1"/>
  <c r="DS163" i="1"/>
  <c r="DP112" i="1"/>
  <c r="DP115" i="1"/>
  <c r="BI94" i="1"/>
  <c r="BI93" i="1"/>
  <c r="DS115" i="1"/>
  <c r="DM115" i="1"/>
  <c r="DS113" i="1"/>
  <c r="DQ113" i="1"/>
  <c r="DP91" i="1"/>
  <c r="DL91" i="1"/>
  <c r="CP94" i="1"/>
  <c r="DM104" i="1"/>
  <c r="DQ104" i="1"/>
  <c r="DM122" i="1"/>
  <c r="E107" i="1"/>
  <c r="BI127" i="1"/>
  <c r="DL90" i="1"/>
  <c r="DH132" i="1"/>
  <c r="DS105" i="1"/>
  <c r="EI136" i="1"/>
  <c r="DS92" i="1"/>
  <c r="DL98" i="1"/>
  <c r="DL119" i="1"/>
  <c r="DL101" i="1"/>
  <c r="DP121" i="1"/>
  <c r="DQ100" i="1"/>
  <c r="DQ103" i="1"/>
  <c r="BI113" i="1"/>
  <c r="DM117" i="1"/>
  <c r="DL102" i="1"/>
  <c r="DM103" i="1"/>
  <c r="DQ121" i="1"/>
  <c r="DS124" i="1"/>
  <c r="DM88" i="1"/>
  <c r="DM106" i="1"/>
  <c r="DM168" i="1"/>
  <c r="DS108" i="1"/>
  <c r="DP100" i="1"/>
  <c r="BI111" i="1"/>
  <c r="BI100" i="1"/>
  <c r="DJ132" i="1"/>
  <c r="DP111" i="1"/>
  <c r="DL52" i="1"/>
  <c r="DM121" i="1"/>
  <c r="E168" i="1"/>
  <c r="CP99" i="1"/>
  <c r="BI124" i="1"/>
  <c r="BI101" i="1"/>
  <c r="E104" i="1"/>
  <c r="E124" i="1"/>
  <c r="DL127" i="1"/>
  <c r="BU168" i="1"/>
  <c r="BU149" i="1"/>
  <c r="BU181" i="1"/>
  <c r="BU146" i="1"/>
  <c r="E56" i="1"/>
  <c r="DS53" i="1"/>
  <c r="DM53" i="1"/>
  <c r="CB56" i="1"/>
  <c r="CC56" i="1" s="1"/>
  <c r="BU51" i="1"/>
  <c r="DQ116" i="1"/>
  <c r="BU188" i="1"/>
  <c r="BU167" i="1"/>
  <c r="BU145" i="1"/>
  <c r="BS51" i="1"/>
  <c r="BU152" i="1"/>
  <c r="E52" i="1"/>
  <c r="CB51" i="1"/>
  <c r="E49" i="1"/>
  <c r="BU175" i="1"/>
  <c r="BU161" i="1"/>
  <c r="BO44" i="1"/>
  <c r="BS64" i="1"/>
  <c r="CP49" i="1"/>
  <c r="BU147" i="1"/>
  <c r="BU183" i="1"/>
  <c r="BU182" i="1"/>
  <c r="BU140" i="1"/>
  <c r="DL51" i="1"/>
  <c r="DQ51" i="1"/>
  <c r="BH82" i="1"/>
  <c r="DQ119" i="1"/>
  <c r="DJ131" i="1"/>
  <c r="BH84" i="1"/>
  <c r="BI99" i="1"/>
  <c r="CP52" i="1"/>
  <c r="E53" i="1"/>
  <c r="CP64" i="1"/>
  <c r="BS52" i="1"/>
  <c r="DP53" i="1"/>
  <c r="DP56" i="1"/>
  <c r="BI50" i="1"/>
  <c r="BU172" i="1"/>
  <c r="BS63" i="1"/>
  <c r="DQ52" i="1"/>
  <c r="BU179" i="1"/>
  <c r="BI51" i="1"/>
  <c r="DM50" i="1"/>
  <c r="BU153" i="1"/>
  <c r="DL53" i="1"/>
  <c r="DS56" i="1"/>
  <c r="DM52" i="1"/>
  <c r="DP51" i="1"/>
  <c r="DP52" i="1"/>
  <c r="BU166" i="1"/>
  <c r="EH44" i="1"/>
  <c r="DS51" i="1"/>
  <c r="DQ56" i="1"/>
  <c r="DM51" i="1"/>
  <c r="DM64" i="1"/>
  <c r="BZ49" i="1"/>
  <c r="CB168" i="1"/>
  <c r="BU155" i="1"/>
  <c r="DM49" i="1"/>
  <c r="DS49" i="1"/>
  <c r="EJ44" i="1"/>
  <c r="BZ56" i="1"/>
  <c r="CA56" i="1" s="1"/>
  <c r="EG44" i="1"/>
  <c r="DL64" i="1"/>
  <c r="BU185" i="1"/>
  <c r="BS50" i="1"/>
  <c r="BU154" i="1"/>
  <c r="CB64" i="1"/>
  <c r="CC65" i="1" s="1"/>
  <c r="BU143" i="1"/>
  <c r="BZ52" i="1"/>
  <c r="BZ64" i="1"/>
  <c r="CA65" i="1" s="1"/>
  <c r="DQ64" i="1"/>
  <c r="EI44" i="1"/>
  <c r="BL44" i="1"/>
  <c r="BO136" i="1"/>
  <c r="BZ53" i="1"/>
  <c r="CA54" i="1" s="1"/>
  <c r="BU186" i="1"/>
  <c r="BN136" i="1"/>
  <c r="BU174" i="1"/>
  <c r="BU189" i="1"/>
  <c r="BU64" i="1"/>
  <c r="BU159" i="1"/>
  <c r="BU169" i="1"/>
  <c r="CB53" i="1"/>
  <c r="CC54" i="1" s="1"/>
  <c r="BU150" i="1"/>
  <c r="BZ50" i="1"/>
  <c r="DS64" i="1"/>
  <c r="DM128" i="1"/>
  <c r="BM44" i="1"/>
  <c r="BU173" i="1"/>
  <c r="BU151" i="1"/>
  <c r="BU56" i="1"/>
  <c r="BS53" i="1"/>
  <c r="BN44" i="1"/>
  <c r="BU53" i="1"/>
  <c r="BS56" i="1"/>
  <c r="BT56" i="1" s="1"/>
  <c r="CB163" i="1"/>
  <c r="DQ85" i="1"/>
  <c r="E163" i="1"/>
  <c r="DP163" i="1"/>
  <c r="DL163" i="1"/>
  <c r="E95" i="1"/>
  <c r="DS50" i="1"/>
  <c r="BI118" i="1"/>
  <c r="DL103" i="1"/>
  <c r="DP103" i="1"/>
  <c r="E88" i="1"/>
  <c r="DS125" i="1"/>
  <c r="DS85" i="1"/>
  <c r="E112" i="1"/>
  <c r="CP112" i="1"/>
  <c r="DL116" i="1"/>
  <c r="DP116" i="1"/>
  <c r="DQ128" i="1"/>
  <c r="E129" i="1"/>
  <c r="E109" i="1"/>
  <c r="DP120" i="1"/>
  <c r="DL120" i="1"/>
  <c r="DM90" i="1"/>
  <c r="CP117" i="1"/>
  <c r="E96" i="1"/>
  <c r="E101" i="1"/>
  <c r="CP109" i="1"/>
  <c r="Y33" i="2"/>
  <c r="BG32" i="1" s="1"/>
  <c r="AZ33" i="1"/>
  <c r="A34" i="2"/>
  <c r="DG33" i="1"/>
  <c r="F33" i="1"/>
  <c r="A34" i="1"/>
  <c r="E34" i="2"/>
  <c r="B34" i="2"/>
  <c r="R34" i="2"/>
  <c r="H34" i="2"/>
  <c r="P34" i="2"/>
  <c r="D34" i="2"/>
  <c r="K34" i="2"/>
  <c r="J34" i="2"/>
  <c r="C34" i="2"/>
  <c r="S34" i="2"/>
  <c r="M34" i="2"/>
  <c r="I34" i="2"/>
  <c r="T34" i="2"/>
  <c r="V34" i="2"/>
  <c r="N34" i="2"/>
  <c r="G34" i="2"/>
  <c r="X34" i="2"/>
  <c r="F34" i="2"/>
  <c r="Q34" i="2"/>
  <c r="L34" i="2"/>
  <c r="O34" i="2"/>
  <c r="W34" i="2"/>
  <c r="U34" i="2"/>
  <c r="BX53" i="1" l="1"/>
  <c r="BY54" i="1" s="1"/>
  <c r="BX49" i="1"/>
  <c r="BY50" i="1" s="1"/>
  <c r="BQ52" i="1"/>
  <c r="EK56" i="1"/>
  <c r="BX52" i="1"/>
  <c r="BQ49" i="1"/>
  <c r="BX51" i="1"/>
  <c r="CY51" i="1" s="1"/>
  <c r="DR51" i="1"/>
  <c r="BX56" i="1"/>
  <c r="BY56" i="1" s="1"/>
  <c r="EK53" i="1"/>
  <c r="BQ56" i="1"/>
  <c r="DR53" i="1"/>
  <c r="EK50" i="1"/>
  <c r="EK49" i="1"/>
  <c r="EK52" i="1"/>
  <c r="EK51" i="1"/>
  <c r="BQ50" i="1"/>
  <c r="DR50" i="1"/>
  <c r="ED132" i="1"/>
  <c r="ED131" i="1"/>
  <c r="ED56" i="1"/>
  <c r="ED168" i="1"/>
  <c r="ED163" i="1"/>
  <c r="ED53" i="1"/>
  <c r="ED49" i="1"/>
  <c r="ED50" i="1"/>
  <c r="ED64" i="1"/>
  <c r="ED52" i="1"/>
  <c r="ED51" i="1"/>
  <c r="ES91" i="1"/>
  <c r="ES86" i="1"/>
  <c r="ES90" i="1"/>
  <c r="ES87" i="1"/>
  <c r="ES89" i="1"/>
  <c r="ES88" i="1"/>
  <c r="ES92" i="1"/>
  <c r="BV185" i="1"/>
  <c r="BV157" i="1"/>
  <c r="BT50" i="1"/>
  <c r="BT52" i="1"/>
  <c r="ES56" i="1"/>
  <c r="ES53" i="1"/>
  <c r="ES49" i="1"/>
  <c r="ES51" i="1"/>
  <c r="ES50" i="1"/>
  <c r="ES64" i="1"/>
  <c r="ES52" i="1"/>
  <c r="BV140" i="1"/>
  <c r="BV161" i="1"/>
  <c r="BV178" i="1"/>
  <c r="CC52" i="1"/>
  <c r="BV147" i="1"/>
  <c r="BV166" i="1"/>
  <c r="BV182" i="1"/>
  <c r="BV177" i="1"/>
  <c r="BV159" i="1"/>
  <c r="BV189" i="1"/>
  <c r="BV145" i="1"/>
  <c r="BV143" i="1"/>
  <c r="BV153" i="1"/>
  <c r="BV181" i="1"/>
  <c r="BV165" i="1"/>
  <c r="BT53" i="1"/>
  <c r="BT54" i="1"/>
  <c r="BT64" i="1"/>
  <c r="BT65" i="1"/>
  <c r="BT51" i="1"/>
  <c r="BR54" i="1"/>
  <c r="BV172" i="1"/>
  <c r="BV151" i="1"/>
  <c r="BV174" i="1"/>
  <c r="BV169" i="1"/>
  <c r="BV179" i="1"/>
  <c r="BV183" i="1"/>
  <c r="BV162" i="1"/>
  <c r="BV187" i="1"/>
  <c r="BV149" i="1"/>
  <c r="BV167" i="1"/>
  <c r="BV173" i="1"/>
  <c r="BV142" i="1"/>
  <c r="BV139" i="1"/>
  <c r="BV146" i="1"/>
  <c r="BV168" i="1"/>
  <c r="BV160" i="1"/>
  <c r="BV184" i="1"/>
  <c r="BV176" i="1"/>
  <c r="BV171" i="1"/>
  <c r="BV150" i="1"/>
  <c r="BV175" i="1"/>
  <c r="BV152" i="1"/>
  <c r="BV188" i="1"/>
  <c r="BV180" i="1"/>
  <c r="BV158" i="1"/>
  <c r="BV144" i="1"/>
  <c r="BV163" i="1"/>
  <c r="BV186" i="1"/>
  <c r="BV154" i="1"/>
  <c r="BV155" i="1"/>
  <c r="BV141" i="1"/>
  <c r="BV148" i="1"/>
  <c r="BV138" i="1"/>
  <c r="BV156" i="1"/>
  <c r="BV170" i="1"/>
  <c r="BT143" i="1"/>
  <c r="BT182" i="1"/>
  <c r="DP131" i="1"/>
  <c r="DL132" i="1"/>
  <c r="DP84" i="1"/>
  <c r="DP132" i="1"/>
  <c r="CO131" i="1"/>
  <c r="CC50" i="1"/>
  <c r="CM132" i="1"/>
  <c r="CQ82" i="1"/>
  <c r="CA52" i="1"/>
  <c r="BM136" i="1"/>
  <c r="BL136" i="1"/>
  <c r="DS132" i="1"/>
  <c r="DQ132" i="1"/>
  <c r="DL84" i="1"/>
  <c r="DL131" i="1"/>
  <c r="DM131" i="1"/>
  <c r="DQ131" i="1"/>
  <c r="DQ84" i="1"/>
  <c r="CW51" i="1"/>
  <c r="DM132" i="1"/>
  <c r="CC51" i="1"/>
  <c r="CY50" i="1"/>
  <c r="DS84" i="1"/>
  <c r="DS131" i="1"/>
  <c r="DM84" i="1"/>
  <c r="CC53" i="1"/>
  <c r="CW53" i="1"/>
  <c r="CA50" i="1"/>
  <c r="CA51" i="1"/>
  <c r="CA53" i="1"/>
  <c r="BU136" i="1"/>
  <c r="BU191" i="1" s="1"/>
  <c r="Y34" i="2"/>
  <c r="BG33" i="1" s="1"/>
  <c r="AZ34" i="1"/>
  <c r="A35" i="2"/>
  <c r="DG34" i="1"/>
  <c r="F34" i="1"/>
  <c r="A35" i="1"/>
  <c r="G35" i="2"/>
  <c r="L35" i="2"/>
  <c r="B35" i="2"/>
  <c r="P35" i="2"/>
  <c r="H35" i="2"/>
  <c r="F35" i="2"/>
  <c r="S35" i="2"/>
  <c r="T35" i="2"/>
  <c r="O35" i="2"/>
  <c r="N35" i="2"/>
  <c r="Q35" i="2"/>
  <c r="J35" i="2"/>
  <c r="K35" i="2"/>
  <c r="U35" i="2"/>
  <c r="E35" i="2"/>
  <c r="R35" i="2"/>
  <c r="I35" i="2"/>
  <c r="X35" i="2"/>
  <c r="D35" i="2"/>
  <c r="M35" i="2"/>
  <c r="C35" i="2"/>
  <c r="W35" i="2"/>
  <c r="V35" i="2"/>
  <c r="BY53" i="1" l="1"/>
  <c r="CY53" i="1"/>
  <c r="CZ54" i="1" s="1"/>
  <c r="ET53" i="1"/>
  <c r="ET51" i="1"/>
  <c r="ET50" i="1"/>
  <c r="BR56" i="1"/>
  <c r="ET56" i="1"/>
  <c r="BR52" i="1"/>
  <c r="ET52" i="1"/>
  <c r="CW49" i="1"/>
  <c r="ET49" i="1"/>
  <c r="CY49" i="1"/>
  <c r="CZ50" i="1" s="1"/>
  <c r="BR53" i="1"/>
  <c r="CW52" i="1"/>
  <c r="CY52" i="1"/>
  <c r="BY52" i="1"/>
  <c r="BR50" i="1"/>
  <c r="BY51" i="1"/>
  <c r="CY56" i="1"/>
  <c r="CZ56" i="1" s="1"/>
  <c r="CW56" i="1"/>
  <c r="CW50" i="1"/>
  <c r="BR51" i="1"/>
  <c r="DN132" i="1"/>
  <c r="CZ51" i="1"/>
  <c r="BU190" i="1"/>
  <c r="Y35" i="2"/>
  <c r="BG34" i="1" s="1"/>
  <c r="AZ35" i="1"/>
  <c r="A36" i="2"/>
  <c r="DG35" i="1"/>
  <c r="F35" i="1"/>
  <c r="A36" i="1"/>
  <c r="T36" i="2"/>
  <c r="B36" i="2"/>
  <c r="U36" i="2"/>
  <c r="K36" i="2"/>
  <c r="R36" i="2"/>
  <c r="G36" i="2"/>
  <c r="L36" i="2"/>
  <c r="V36" i="2"/>
  <c r="Q36" i="2"/>
  <c r="O36" i="2"/>
  <c r="C36" i="2"/>
  <c r="J36" i="2"/>
  <c r="D36" i="2"/>
  <c r="N36" i="2"/>
  <c r="M36" i="2"/>
  <c r="X36" i="2"/>
  <c r="P36" i="2"/>
  <c r="H36" i="2"/>
  <c r="I36" i="2"/>
  <c r="F36" i="2"/>
  <c r="E36" i="2"/>
  <c r="W36" i="2"/>
  <c r="S36" i="2"/>
  <c r="CZ53" i="1" l="1"/>
  <c r="CZ52" i="1"/>
  <c r="Y36" i="2"/>
  <c r="BG35" i="1" s="1"/>
  <c r="AZ36" i="1"/>
  <c r="A37" i="2"/>
  <c r="DG36" i="1"/>
  <c r="F36" i="1"/>
  <c r="A37" i="1"/>
  <c r="T37" i="2"/>
  <c r="B37" i="2"/>
  <c r="H37" i="2"/>
  <c r="G37" i="2"/>
  <c r="Q37" i="2"/>
  <c r="S37" i="2"/>
  <c r="O37" i="2"/>
  <c r="J37" i="2"/>
  <c r="N37" i="2"/>
  <c r="W37" i="2"/>
  <c r="I37" i="2"/>
  <c r="P37" i="2"/>
  <c r="R37" i="2"/>
  <c r="L37" i="2"/>
  <c r="X37" i="2"/>
  <c r="V37" i="2"/>
  <c r="K37" i="2"/>
  <c r="M37" i="2"/>
  <c r="E37" i="2"/>
  <c r="D37" i="2"/>
  <c r="F37" i="2"/>
  <c r="C37" i="2"/>
  <c r="U37" i="2"/>
  <c r="Y37" i="2" l="1"/>
  <c r="BG36" i="1" s="1"/>
  <c r="AZ37" i="1"/>
  <c r="A38" i="2"/>
  <c r="DG37" i="1"/>
  <c r="F37" i="1"/>
  <c r="A38" i="1"/>
  <c r="P38" i="2"/>
  <c r="K38" i="2"/>
  <c r="S38" i="2"/>
  <c r="D38" i="2"/>
  <c r="M38" i="2"/>
  <c r="U38" i="2"/>
  <c r="R38" i="2"/>
  <c r="N38" i="2"/>
  <c r="C38" i="2"/>
  <c r="G38" i="2"/>
  <c r="W38" i="2"/>
  <c r="X38" i="2"/>
  <c r="O38" i="2"/>
  <c r="B38" i="2"/>
  <c r="H38" i="2"/>
  <c r="V38" i="2"/>
  <c r="F38" i="2"/>
  <c r="E38" i="2"/>
  <c r="J38" i="2"/>
  <c r="Q38" i="2"/>
  <c r="L38" i="2"/>
  <c r="I38" i="2"/>
  <c r="T38" i="2"/>
  <c r="Y38" i="2" l="1"/>
  <c r="BG37" i="1" s="1"/>
  <c r="AZ38" i="1"/>
  <c r="A39" i="2"/>
  <c r="DG38" i="1"/>
  <c r="F38" i="1"/>
  <c r="H39" i="2"/>
  <c r="E39" i="2"/>
  <c r="T39" i="2"/>
  <c r="F39" i="2"/>
  <c r="X39" i="2"/>
  <c r="O39" i="2"/>
  <c r="S39" i="2"/>
  <c r="P39" i="2"/>
  <c r="L39" i="2"/>
  <c r="V39" i="2"/>
  <c r="Q39" i="2"/>
  <c r="M39" i="2"/>
  <c r="B39" i="2"/>
  <c r="I39" i="2"/>
  <c r="N39" i="2"/>
  <c r="K39" i="2"/>
  <c r="C39" i="2"/>
  <c r="R39" i="2"/>
  <c r="W39" i="2"/>
  <c r="U39" i="2"/>
  <c r="G39" i="2"/>
  <c r="J39" i="2"/>
  <c r="D39" i="2"/>
  <c r="Y39" i="2" l="1"/>
  <c r="BG38" i="1" s="1"/>
  <c r="DH137" i="1"/>
  <c r="DT137" i="1"/>
  <c r="DN137" i="1"/>
  <c r="DJ137" i="1"/>
  <c r="DV137" i="1" l="1"/>
  <c r="B188" i="1"/>
  <c r="AY178" i="1"/>
  <c r="B178" i="1"/>
  <c r="E178" i="1" s="1"/>
  <c r="AY182" i="1"/>
  <c r="B182" i="1"/>
  <c r="E182" i="1" s="1"/>
  <c r="AY162" i="1"/>
  <c r="B162" i="1"/>
  <c r="E162" i="1" s="1"/>
  <c r="CK162" i="1"/>
  <c r="CP162" i="1" s="1"/>
  <c r="AY151" i="1"/>
  <c r="B151" i="1"/>
  <c r="E151" i="1" s="1"/>
  <c r="B187" i="1"/>
  <c r="E187" i="1" s="1"/>
  <c r="AY187" i="1"/>
  <c r="B137" i="1"/>
  <c r="AS136" i="1"/>
  <c r="B184" i="1"/>
  <c r="E184" i="1" s="1"/>
  <c r="AY184" i="1"/>
  <c r="AY140" i="1"/>
  <c r="B140" i="1"/>
  <c r="E140" i="1" s="1"/>
  <c r="B139" i="1"/>
  <c r="AY155" i="1"/>
  <c r="B155" i="1"/>
  <c r="E155" i="1" s="1"/>
  <c r="AY173" i="1"/>
  <c r="B173" i="1"/>
  <c r="E173" i="1" s="1"/>
  <c r="AY147" i="1"/>
  <c r="B147" i="1"/>
  <c r="E147" i="1" s="1"/>
  <c r="B148" i="1"/>
  <c r="E148" i="1" s="1"/>
  <c r="AY148" i="1"/>
  <c r="AY161" i="1"/>
  <c r="B161" i="1"/>
  <c r="E161" i="1" s="1"/>
  <c r="CK161" i="1"/>
  <c r="CP161" i="1" s="1"/>
  <c r="B159" i="1"/>
  <c r="E159" i="1" s="1"/>
  <c r="AY159" i="1"/>
  <c r="B167" i="1"/>
  <c r="E167" i="1" s="1"/>
  <c r="AY167" i="1"/>
  <c r="AY141" i="1"/>
  <c r="B141" i="1"/>
  <c r="E141" i="1" s="1"/>
  <c r="B176" i="1"/>
  <c r="E176" i="1" s="1"/>
  <c r="AY176" i="1"/>
  <c r="AY160" i="1"/>
  <c r="B160" i="1"/>
  <c r="E160" i="1" s="1"/>
  <c r="B170" i="1"/>
  <c r="E170" i="1" s="1"/>
  <c r="AY170" i="1"/>
  <c r="B186" i="1"/>
  <c r="E186" i="1" s="1"/>
  <c r="AY186" i="1"/>
  <c r="B174" i="1"/>
  <c r="E174" i="1" s="1"/>
  <c r="AY174" i="1"/>
  <c r="B164" i="1"/>
  <c r="E164" i="1" s="1"/>
  <c r="AY164" i="1"/>
  <c r="CK164" i="1"/>
  <c r="CP164" i="1" s="1"/>
  <c r="AY166" i="1"/>
  <c r="B166" i="1"/>
  <c r="E166" i="1" s="1"/>
  <c r="B185" i="1"/>
  <c r="E185" i="1" s="1"/>
  <c r="AY185" i="1"/>
  <c r="AY183" i="1"/>
  <c r="B183" i="1"/>
  <c r="E183" i="1" s="1"/>
  <c r="AY143" i="1"/>
  <c r="B143" i="1"/>
  <c r="E143" i="1" s="1"/>
  <c r="B157" i="1"/>
  <c r="E157" i="1" s="1"/>
  <c r="AY157" i="1"/>
  <c r="AY149" i="1"/>
  <c r="B149" i="1"/>
  <c r="E149" i="1" s="1"/>
  <c r="AT136" i="1"/>
  <c r="B177" i="1"/>
  <c r="E177" i="1" s="1"/>
  <c r="AY177" i="1"/>
  <c r="AY150" i="1"/>
  <c r="B150" i="1"/>
  <c r="E150" i="1" s="1"/>
  <c r="AY153" i="1"/>
  <c r="B153" i="1"/>
  <c r="E153" i="1" s="1"/>
  <c r="B138" i="1"/>
  <c r="B144" i="1"/>
  <c r="E144" i="1" s="1"/>
  <c r="AY144" i="1"/>
  <c r="B145" i="1"/>
  <c r="E145" i="1" s="1"/>
  <c r="AY145" i="1"/>
  <c r="B152" i="1"/>
  <c r="E152" i="1" s="1"/>
  <c r="AY152" i="1"/>
  <c r="B171" i="1"/>
  <c r="E171" i="1" s="1"/>
  <c r="AY171" i="1"/>
  <c r="AY165" i="1"/>
  <c r="CK165" i="1"/>
  <c r="CP165" i="1" s="1"/>
  <c r="B165" i="1"/>
  <c r="E165" i="1" s="1"/>
  <c r="AY154" i="1"/>
  <c r="B154" i="1"/>
  <c r="E154" i="1" s="1"/>
  <c r="B181" i="1"/>
  <c r="E181" i="1" s="1"/>
  <c r="AY181" i="1"/>
  <c r="B175" i="1"/>
  <c r="E175" i="1" s="1"/>
  <c r="AY175" i="1"/>
  <c r="AY158" i="1"/>
  <c r="B158" i="1"/>
  <c r="E158" i="1" s="1"/>
  <c r="B156" i="1"/>
  <c r="E156" i="1" s="1"/>
  <c r="AY156" i="1"/>
  <c r="B179" i="1"/>
  <c r="E179" i="1" s="1"/>
  <c r="AY179" i="1"/>
  <c r="B142" i="1"/>
  <c r="E142" i="1" s="1"/>
  <c r="AY142" i="1"/>
  <c r="AY169" i="1"/>
  <c r="B169" i="1"/>
  <c r="E169" i="1" s="1"/>
  <c r="B189" i="1"/>
  <c r="AY172" i="1"/>
  <c r="B172" i="1"/>
  <c r="E172" i="1" s="1"/>
  <c r="B146" i="1"/>
  <c r="E146" i="1" s="1"/>
  <c r="AY146" i="1"/>
  <c r="AY180" i="1"/>
  <c r="B180" i="1"/>
  <c r="E180" i="1" s="1"/>
  <c r="B136" i="1" l="1"/>
  <c r="DN131" i="1" l="1"/>
  <c r="EL160" i="1"/>
  <c r="CG155" i="1"/>
  <c r="CG157" i="1"/>
  <c r="BD149" i="1"/>
  <c r="BE158" i="1"/>
  <c r="BA162" i="1"/>
  <c r="BE160" i="1"/>
  <c r="CG151" i="1"/>
  <c r="BA167" i="1"/>
  <c r="BE159" i="1"/>
  <c r="BD152" i="1"/>
  <c r="EL168" i="1"/>
  <c r="BF171" i="1"/>
  <c r="BC180" i="1"/>
  <c r="BD157" i="1"/>
  <c r="BE153" i="1"/>
  <c r="CF181" i="1"/>
  <c r="BC179" i="1"/>
  <c r="CG152" i="1"/>
  <c r="EL161" i="1"/>
  <c r="CG156" i="1"/>
  <c r="BF174" i="1"/>
  <c r="CF179" i="1"/>
  <c r="BE157" i="1"/>
  <c r="EL167" i="1"/>
  <c r="BE155" i="1"/>
  <c r="BF173" i="1"/>
  <c r="BE154" i="1"/>
  <c r="CF184" i="1"/>
  <c r="CG149" i="1"/>
  <c r="EL163" i="1"/>
  <c r="BF175" i="1"/>
  <c r="EL162" i="1"/>
  <c r="BD153" i="1"/>
  <c r="CG153" i="1"/>
  <c r="BE156" i="1"/>
  <c r="BD155" i="1"/>
  <c r="BF170" i="1"/>
  <c r="CF180" i="1"/>
  <c r="EL165" i="1"/>
  <c r="BA165" i="1"/>
  <c r="BD150" i="1"/>
  <c r="CG154" i="1"/>
  <c r="BF176" i="1"/>
  <c r="BD154" i="1"/>
  <c r="CF183" i="1"/>
  <c r="BD156" i="1"/>
  <c r="CG150" i="1"/>
  <c r="BA161" i="1"/>
  <c r="BA164" i="1"/>
  <c r="BD151" i="1"/>
  <c r="CF182" i="1"/>
  <c r="EL164" i="1"/>
  <c r="BA166" i="1"/>
  <c r="EL166" i="1"/>
  <c r="EL159" i="1"/>
  <c r="BF169" i="1"/>
  <c r="EE165" i="1" l="1"/>
  <c r="DX165" i="1" s="1"/>
  <c r="EE168" i="1"/>
  <c r="DX168" i="1" s="1"/>
  <c r="EE167" i="1"/>
  <c r="DX167" i="1" s="1"/>
  <c r="DJ166" i="1"/>
  <c r="DH166" i="1"/>
  <c r="DT166" i="1"/>
  <c r="DN166" i="1"/>
  <c r="DN165" i="1"/>
  <c r="DJ165" i="1"/>
  <c r="DH165" i="1"/>
  <c r="DT165" i="1"/>
  <c r="EE163" i="1"/>
  <c r="DX163" i="1" s="1"/>
  <c r="DN167" i="1"/>
  <c r="DH167" i="1"/>
  <c r="DT167" i="1"/>
  <c r="DJ167" i="1"/>
  <c r="EE159" i="1"/>
  <c r="DX159" i="1" s="1"/>
  <c r="DH162" i="1"/>
  <c r="DJ162" i="1"/>
  <c r="DN162" i="1"/>
  <c r="DT162" i="1"/>
  <c r="DJ161" i="1"/>
  <c r="DT161" i="1"/>
  <c r="DN161" i="1"/>
  <c r="DH161" i="1"/>
  <c r="EE166" i="1"/>
  <c r="DX166" i="1" s="1"/>
  <c r="EE164" i="1"/>
  <c r="DX164" i="1" s="1"/>
  <c r="DJ164" i="1"/>
  <c r="DT164" i="1"/>
  <c r="DN164" i="1"/>
  <c r="DH164" i="1"/>
  <c r="EE160" i="1"/>
  <c r="DX160" i="1" s="1"/>
  <c r="EE161" i="1"/>
  <c r="DX161" i="1" s="1"/>
  <c r="EE162" i="1"/>
  <c r="DX162" i="1" s="1"/>
  <c r="BE166" i="1"/>
  <c r="EM184" i="1"/>
  <c r="BE169" i="1"/>
  <c r="EM181" i="1"/>
  <c r="BE173" i="1"/>
  <c r="BF161" i="1"/>
  <c r="EM138" i="1"/>
  <c r="EM179" i="1"/>
  <c r="EM178" i="1"/>
  <c r="BF162" i="1"/>
  <c r="BF165" i="1"/>
  <c r="BE171" i="1"/>
  <c r="BE189" i="1"/>
  <c r="BE149" i="1"/>
  <c r="EL180" i="1"/>
  <c r="EM143" i="1"/>
  <c r="EL141" i="1"/>
  <c r="BF149" i="1"/>
  <c r="EL177" i="1"/>
  <c r="EL142" i="1"/>
  <c r="BE174" i="1"/>
  <c r="BE172" i="1"/>
  <c r="BE152" i="1"/>
  <c r="EM141" i="1"/>
  <c r="BF151" i="1"/>
  <c r="BE164" i="1"/>
  <c r="EL179" i="1"/>
  <c r="EL138" i="1"/>
  <c r="EL184" i="1"/>
  <c r="BE151" i="1"/>
  <c r="EL144" i="1"/>
  <c r="EL143" i="1"/>
  <c r="EM144" i="1"/>
  <c r="BE175" i="1"/>
  <c r="EL178" i="1"/>
  <c r="EM182" i="1"/>
  <c r="BF166" i="1"/>
  <c r="EL140" i="1"/>
  <c r="EM140" i="1"/>
  <c r="EM177" i="1"/>
  <c r="BE165" i="1"/>
  <c r="EL183" i="1"/>
  <c r="BE162" i="1"/>
  <c r="BF152" i="1"/>
  <c r="BE161" i="1"/>
  <c r="BE150" i="1"/>
  <c r="BF189" i="1"/>
  <c r="BE176" i="1"/>
  <c r="BE170" i="1"/>
  <c r="EM180" i="1"/>
  <c r="EM139" i="1"/>
  <c r="BF164" i="1"/>
  <c r="EL182" i="1"/>
  <c r="BF167" i="1"/>
  <c r="BF150" i="1"/>
  <c r="EM142" i="1"/>
  <c r="EL139" i="1"/>
  <c r="BF172" i="1"/>
  <c r="EM183" i="1"/>
  <c r="BE167" i="1"/>
  <c r="EL181" i="1"/>
  <c r="EL137" i="1"/>
  <c r="EM137" i="1"/>
  <c r="BJ161" i="1" l="1"/>
  <c r="BJ160" i="1"/>
  <c r="BJ163" i="1"/>
  <c r="BJ164" i="1"/>
  <c r="BJ167" i="1"/>
  <c r="BJ162" i="1"/>
  <c r="BJ166" i="1"/>
  <c r="BJ168" i="1"/>
  <c r="BJ159" i="1"/>
  <c r="BJ165" i="1"/>
  <c r="EE138" i="1"/>
  <c r="DX138" i="1" s="1"/>
  <c r="CU165" i="1"/>
  <c r="CB165" i="1"/>
  <c r="CB162" i="1"/>
  <c r="CC163" i="1" s="1"/>
  <c r="CU162" i="1"/>
  <c r="EE144" i="1"/>
  <c r="DX144" i="1" s="1"/>
  <c r="EE137" i="1"/>
  <c r="DX137" i="1" s="1"/>
  <c r="EE181" i="1"/>
  <c r="DX181" i="1" s="1"/>
  <c r="CB170" i="1"/>
  <c r="CU170" i="1"/>
  <c r="CU161" i="1"/>
  <c r="CB161" i="1"/>
  <c r="EE182" i="1"/>
  <c r="DX182" i="1" s="1"/>
  <c r="EF180" i="1"/>
  <c r="DY180" i="1" s="1"/>
  <c r="BK180" i="1" s="1"/>
  <c r="EF138" i="1"/>
  <c r="DY138" i="1" s="1"/>
  <c r="BK138" i="1" s="1"/>
  <c r="EF141" i="1"/>
  <c r="DY141" i="1" s="1"/>
  <c r="BK141" i="1" s="1"/>
  <c r="EF144" i="1"/>
  <c r="DY144" i="1" s="1"/>
  <c r="BK144" i="1" s="1"/>
  <c r="EF139" i="1"/>
  <c r="DY139" i="1" s="1"/>
  <c r="BK139" i="1" s="1"/>
  <c r="CB176" i="1"/>
  <c r="CU176" i="1"/>
  <c r="CU169" i="1"/>
  <c r="CB169" i="1"/>
  <c r="CC169" i="1" s="1"/>
  <c r="CB172" i="1"/>
  <c r="CU172" i="1"/>
  <c r="CU164" i="1"/>
  <c r="CB164" i="1"/>
  <c r="EE143" i="1"/>
  <c r="DX143" i="1" s="1"/>
  <c r="CU166" i="1"/>
  <c r="CB166" i="1"/>
  <c r="EF137" i="1"/>
  <c r="EF142" i="1"/>
  <c r="DY142" i="1" s="1"/>
  <c r="BK142" i="1" s="1"/>
  <c r="CU150" i="1"/>
  <c r="CB150" i="1"/>
  <c r="EF177" i="1"/>
  <c r="DY177" i="1" s="1"/>
  <c r="BK177" i="1" s="1"/>
  <c r="CU189" i="1"/>
  <c r="CB189" i="1"/>
  <c r="CU149" i="1"/>
  <c r="CB149" i="1"/>
  <c r="EF143" i="1"/>
  <c r="DY143" i="1" s="1"/>
  <c r="BK143" i="1" s="1"/>
  <c r="EE184" i="1"/>
  <c r="DX184" i="1" s="1"/>
  <c r="EF182" i="1"/>
  <c r="DY182" i="1" s="1"/>
  <c r="BK182" i="1" s="1"/>
  <c r="EF181" i="1"/>
  <c r="DY181" i="1" s="1"/>
  <c r="BK181" i="1" s="1"/>
  <c r="EF179" i="1"/>
  <c r="DY179" i="1" s="1"/>
  <c r="BK179" i="1" s="1"/>
  <c r="EF140" i="1"/>
  <c r="DY140" i="1" s="1"/>
  <c r="BK140" i="1" s="1"/>
  <c r="EE180" i="1"/>
  <c r="DX180" i="1" s="1"/>
  <c r="EE179" i="1"/>
  <c r="DX179" i="1" s="1"/>
  <c r="CU151" i="1"/>
  <c r="CB151" i="1"/>
  <c r="EF184" i="1"/>
  <c r="DY184" i="1" s="1"/>
  <c r="BK184" i="1" s="1"/>
  <c r="CB174" i="1"/>
  <c r="CU174" i="1"/>
  <c r="CU171" i="1"/>
  <c r="CB171" i="1"/>
  <c r="EE142" i="1"/>
  <c r="DX142" i="1" s="1"/>
  <c r="EE183" i="1"/>
  <c r="DX183" i="1" s="1"/>
  <c r="EE139" i="1"/>
  <c r="DX139" i="1" s="1"/>
  <c r="EE141" i="1"/>
  <c r="DX141" i="1" s="1"/>
  <c r="EE140" i="1"/>
  <c r="DX140" i="1" s="1"/>
  <c r="CU175" i="1"/>
  <c r="CB175" i="1"/>
  <c r="CU173" i="1"/>
  <c r="CB173" i="1"/>
  <c r="CU167" i="1"/>
  <c r="CB167" i="1"/>
  <c r="CC168" i="1" s="1"/>
  <c r="EE178" i="1"/>
  <c r="DX178" i="1" s="1"/>
  <c r="EE177" i="1"/>
  <c r="DX177" i="1" s="1"/>
  <c r="CB152" i="1"/>
  <c r="CU152" i="1"/>
  <c r="EF183" i="1"/>
  <c r="DY183" i="1" s="1"/>
  <c r="BK183" i="1" s="1"/>
  <c r="EF178" i="1"/>
  <c r="DY178" i="1" s="1"/>
  <c r="BK178" i="1" s="1"/>
  <c r="DV164" i="1"/>
  <c r="DV165" i="1"/>
  <c r="DV166" i="1"/>
  <c r="DV161" i="1"/>
  <c r="DV167" i="1"/>
  <c r="DV162" i="1"/>
  <c r="BJ177" i="1" l="1"/>
  <c r="BQ177" i="1" s="1"/>
  <c r="BJ179" i="1"/>
  <c r="BQ179" i="1" s="1"/>
  <c r="BJ144" i="1"/>
  <c r="BQ144" i="1" s="1"/>
  <c r="BJ141" i="1"/>
  <c r="BQ141" i="1" s="1"/>
  <c r="BJ180" i="1"/>
  <c r="BQ180" i="1" s="1"/>
  <c r="BJ138" i="1"/>
  <c r="BQ138" i="1" s="1"/>
  <c r="BJ139" i="1"/>
  <c r="BQ139" i="1" s="1"/>
  <c r="BJ184" i="1"/>
  <c r="BQ184" i="1" s="1"/>
  <c r="BJ181" i="1"/>
  <c r="BQ181" i="1" s="1"/>
  <c r="BJ140" i="1"/>
  <c r="BQ140" i="1" s="1"/>
  <c r="BJ178" i="1"/>
  <c r="BQ178" i="1" s="1"/>
  <c r="BJ182" i="1"/>
  <c r="BQ182" i="1" s="1"/>
  <c r="BJ183" i="1"/>
  <c r="BQ183" i="1" s="1"/>
  <c r="BJ143" i="1"/>
  <c r="BQ143" i="1" s="1"/>
  <c r="BJ142" i="1"/>
  <c r="BQ142" i="1" s="1"/>
  <c r="BJ137" i="1"/>
  <c r="CC175" i="1"/>
  <c r="CC171" i="1"/>
  <c r="CC166" i="1"/>
  <c r="CC152" i="1"/>
  <c r="CC150" i="1"/>
  <c r="CC170" i="1"/>
  <c r="CC162" i="1"/>
  <c r="CC172" i="1"/>
  <c r="DY137" i="1"/>
  <c r="BK137" i="1" s="1"/>
  <c r="CC174" i="1"/>
  <c r="CC176" i="1"/>
  <c r="CC151" i="1"/>
  <c r="CC164" i="1"/>
  <c r="CC165" i="1"/>
  <c r="CC167" i="1"/>
  <c r="CC173" i="1"/>
  <c r="CW183" i="1" l="1"/>
  <c r="BR183" i="1"/>
  <c r="CW143" i="1"/>
  <c r="BR143" i="1"/>
  <c r="CW144" i="1"/>
  <c r="BR144" i="1"/>
  <c r="CW184" i="1"/>
  <c r="BR184" i="1"/>
  <c r="CW177" i="1"/>
  <c r="CW178" i="1"/>
  <c r="BR178" i="1"/>
  <c r="CW182" i="1"/>
  <c r="BR182" i="1"/>
  <c r="CW141" i="1"/>
  <c r="BR141" i="1"/>
  <c r="CW181" i="1"/>
  <c r="BR181" i="1"/>
  <c r="CW180" i="1"/>
  <c r="BR180" i="1"/>
  <c r="CW142" i="1"/>
  <c r="BR142" i="1"/>
  <c r="CW179" i="1"/>
  <c r="BR179" i="1"/>
  <c r="BR139" i="1"/>
  <c r="CW140" i="1"/>
  <c r="BR140" i="1"/>
  <c r="BQ137" i="1"/>
  <c r="BR138" i="1" l="1"/>
  <c r="DH136" i="1" l="1"/>
  <c r="DH190" i="1" l="1"/>
  <c r="DH191" i="1"/>
  <c r="DJ143" i="1" l="1"/>
  <c r="DK161" i="1"/>
  <c r="DQ161" i="1" s="1"/>
  <c r="DJ153" i="1"/>
  <c r="DK157" i="1"/>
  <c r="CH33" i="1"/>
  <c r="AS58" i="1"/>
  <c r="CI30" i="1"/>
  <c r="AW27" i="1"/>
  <c r="BB151" i="1"/>
  <c r="EP29" i="1"/>
  <c r="EQ35" i="1"/>
  <c r="CD76" i="1"/>
  <c r="CH154" i="1"/>
  <c r="BF15" i="1"/>
  <c r="BA8" i="1"/>
  <c r="AU36" i="1"/>
  <c r="EM60" i="1"/>
  <c r="EP36" i="1"/>
  <c r="EM8" i="1"/>
  <c r="EQ106" i="1"/>
  <c r="EQ20" i="1"/>
  <c r="EL25" i="1"/>
  <c r="BB21" i="1"/>
  <c r="BB157" i="1"/>
  <c r="DF25" i="1"/>
  <c r="CE22" i="1"/>
  <c r="EO129" i="1"/>
  <c r="BC35" i="1"/>
  <c r="DD29" i="1"/>
  <c r="BA70" i="1"/>
  <c r="EL75" i="1"/>
  <c r="BB12" i="1"/>
  <c r="BB170" i="1"/>
  <c r="EM6" i="1"/>
  <c r="AX77" i="1"/>
  <c r="EQ6" i="1"/>
  <c r="BA72" i="1"/>
  <c r="EN101" i="1"/>
  <c r="EM185" i="1"/>
  <c r="CH145" i="1"/>
  <c r="CH171" i="1"/>
  <c r="EO127" i="1"/>
  <c r="CI137" i="1"/>
  <c r="DA28" i="1"/>
  <c r="AT34" i="1"/>
  <c r="CH46" i="1"/>
  <c r="AU32" i="1"/>
  <c r="CE46" i="1"/>
  <c r="EL64" i="1"/>
  <c r="AW47" i="1"/>
  <c r="CD36" i="1"/>
  <c r="AW30" i="1"/>
  <c r="CE171" i="1"/>
  <c r="EO111" i="1"/>
  <c r="EO89" i="1"/>
  <c r="EM186" i="1"/>
  <c r="CE166" i="1"/>
  <c r="CE169" i="1"/>
  <c r="EL171" i="1"/>
  <c r="BA147" i="1"/>
  <c r="CD171" i="1"/>
  <c r="BB76" i="1"/>
  <c r="CI45" i="1"/>
  <c r="BB8" i="1"/>
  <c r="DB14" i="1"/>
  <c r="BA30" i="1"/>
  <c r="BB22" i="1"/>
  <c r="DC36" i="1"/>
  <c r="EO123" i="1"/>
  <c r="AT63" i="1"/>
  <c r="EN107" i="1"/>
  <c r="AX18" i="1"/>
  <c r="DA9" i="1"/>
  <c r="BB171" i="1"/>
  <c r="AT7" i="1"/>
  <c r="AS79" i="1"/>
  <c r="EN94" i="1"/>
  <c r="EP38" i="1"/>
  <c r="EM188" i="1"/>
  <c r="EL101" i="1"/>
  <c r="EL148" i="1"/>
  <c r="CD138" i="1"/>
  <c r="CH174" i="1"/>
  <c r="DE17" i="1"/>
  <c r="EP95" i="1"/>
  <c r="CE138" i="1"/>
  <c r="CI180" i="1"/>
  <c r="BB147" i="1"/>
  <c r="EM59" i="1"/>
  <c r="EP127" i="1"/>
  <c r="DC7" i="1"/>
  <c r="EL116" i="1"/>
  <c r="EM147" i="1"/>
  <c r="BB164" i="1"/>
  <c r="EL71" i="1"/>
  <c r="EQ102" i="1"/>
  <c r="EM75" i="1"/>
  <c r="DA36" i="1"/>
  <c r="EQ116" i="1"/>
  <c r="EM26" i="1"/>
  <c r="CE173" i="1"/>
  <c r="AS85" i="1"/>
  <c r="CH24" i="1"/>
  <c r="EO103" i="1"/>
  <c r="EP100" i="1"/>
  <c r="EL174" i="1"/>
  <c r="CI189" i="1"/>
  <c r="AX24" i="1"/>
  <c r="EL94" i="1"/>
  <c r="AX10" i="1"/>
  <c r="BF62" i="1"/>
  <c r="CI160" i="1"/>
  <c r="BB167" i="1"/>
  <c r="AW8" i="1"/>
  <c r="BB143" i="1"/>
  <c r="EL97" i="1"/>
  <c r="EQ9" i="1"/>
  <c r="EP90" i="1"/>
  <c r="EO86" i="1"/>
  <c r="EQ29" i="1"/>
  <c r="AX9" i="1"/>
  <c r="EM101" i="1"/>
  <c r="AT73" i="1"/>
  <c r="EQ112" i="1"/>
  <c r="EQ87" i="1"/>
  <c r="EM119" i="1"/>
  <c r="BA153" i="1"/>
  <c r="BA149" i="1"/>
  <c r="CI73" i="1"/>
  <c r="CH167" i="1"/>
  <c r="DF30" i="1"/>
  <c r="BA77" i="1"/>
  <c r="CH175" i="1"/>
  <c r="EM78" i="1"/>
  <c r="AT10" i="1"/>
  <c r="AT35" i="1"/>
  <c r="CD179" i="1"/>
  <c r="EL118" i="1"/>
  <c r="EO92" i="1"/>
  <c r="BB13" i="1"/>
  <c r="EL107" i="1"/>
  <c r="BB150" i="1"/>
  <c r="DA29" i="1"/>
  <c r="DA17" i="1"/>
  <c r="EM102" i="1"/>
  <c r="EQ16" i="1"/>
  <c r="AX34" i="1"/>
  <c r="CH184" i="1"/>
  <c r="DE12" i="1"/>
  <c r="AW16" i="1"/>
  <c r="DF28" i="1"/>
  <c r="EQ5" i="1"/>
  <c r="EM23" i="1"/>
  <c r="CD155" i="1"/>
  <c r="BA37" i="1"/>
  <c r="CE185" i="1"/>
  <c r="CH25" i="1"/>
  <c r="EL79" i="1"/>
  <c r="CH188" i="1"/>
  <c r="CI142" i="1"/>
  <c r="DE38" i="1"/>
  <c r="EL38" i="1"/>
  <c r="CE57" i="1"/>
  <c r="AW74" i="1"/>
  <c r="DE5" i="1"/>
  <c r="DB9" i="1"/>
  <c r="DD33" i="1"/>
  <c r="AS11" i="1"/>
  <c r="EM149" i="1"/>
  <c r="CI139" i="1"/>
  <c r="CH37" i="1"/>
  <c r="BA143" i="1"/>
  <c r="DD32" i="1"/>
  <c r="EO112" i="1"/>
  <c r="CE142" i="1"/>
  <c r="EM17" i="1"/>
  <c r="DA24" i="1"/>
  <c r="DD34" i="1"/>
  <c r="DE30" i="1"/>
  <c r="EQ115" i="1"/>
  <c r="BB47" i="1"/>
  <c r="EP112" i="1"/>
  <c r="EP97" i="1"/>
  <c r="EQ130" i="1"/>
  <c r="DE6" i="1"/>
  <c r="EQ125" i="1"/>
  <c r="CE179" i="1"/>
  <c r="DB18" i="1"/>
  <c r="EN120" i="1"/>
  <c r="CE47" i="1"/>
  <c r="EM37" i="1"/>
  <c r="BB165" i="1"/>
  <c r="EL18" i="1"/>
  <c r="BB15" i="1"/>
  <c r="BA21" i="1"/>
  <c r="CE154" i="1"/>
  <c r="EQ89" i="1"/>
  <c r="EM170" i="1"/>
  <c r="EP129" i="1"/>
  <c r="EL87" i="1"/>
  <c r="CE150" i="1"/>
  <c r="CE75" i="1"/>
  <c r="AW46" i="1"/>
  <c r="AT31" i="1"/>
  <c r="EN25" i="1"/>
  <c r="DE33" i="1"/>
  <c r="CG12" i="1"/>
  <c r="CG30" i="1"/>
  <c r="CF61" i="1"/>
  <c r="BB137" i="1"/>
  <c r="EL121" i="1"/>
  <c r="EP15" i="1"/>
  <c r="CH73" i="1"/>
  <c r="AX4" i="1"/>
  <c r="CH189" i="1"/>
  <c r="CI167" i="1"/>
  <c r="DA18" i="1"/>
  <c r="CH139" i="1"/>
  <c r="BB148" i="1"/>
  <c r="BC23" i="1"/>
  <c r="DA8" i="1"/>
  <c r="DC28" i="1"/>
  <c r="CD61" i="1"/>
  <c r="DB8" i="1"/>
  <c r="EL85" i="1"/>
  <c r="CH17" i="1"/>
  <c r="AX22" i="1"/>
  <c r="AX14" i="1"/>
  <c r="EP115" i="1"/>
  <c r="EM148" i="1"/>
  <c r="CE15" i="1"/>
  <c r="EL123" i="1"/>
  <c r="DE21" i="1"/>
  <c r="CH75" i="1"/>
  <c r="EM9" i="1"/>
  <c r="BB162" i="1"/>
  <c r="EQ109" i="1"/>
  <c r="BA171" i="1"/>
  <c r="CD149" i="1"/>
  <c r="BA175" i="1"/>
  <c r="BA31" i="1"/>
  <c r="EP88" i="1"/>
  <c r="CE45" i="1"/>
  <c r="AT77" i="1"/>
  <c r="EP11" i="1"/>
  <c r="EP94" i="1"/>
  <c r="CE31" i="1"/>
  <c r="DD19" i="1"/>
  <c r="EQ99" i="1"/>
  <c r="CE175" i="1"/>
  <c r="AT48" i="1"/>
  <c r="AS47" i="1"/>
  <c r="EN10" i="1"/>
  <c r="AS25" i="1"/>
  <c r="AW75" i="1"/>
  <c r="CD38" i="1"/>
  <c r="BB26" i="1"/>
  <c r="BE10" i="1"/>
  <c r="EO124" i="1"/>
  <c r="EQ94" i="1"/>
  <c r="BB146" i="1"/>
  <c r="EM152" i="1"/>
  <c r="DE7" i="1"/>
  <c r="AS21" i="1"/>
  <c r="CE18" i="1"/>
  <c r="BA155" i="1"/>
  <c r="EL72" i="1"/>
  <c r="AW4" i="1"/>
  <c r="CH178" i="1"/>
  <c r="EN130" i="1"/>
  <c r="AX38" i="1"/>
  <c r="BB38" i="1"/>
  <c r="AS77" i="1"/>
  <c r="EL57" i="1"/>
  <c r="BB11" i="1"/>
  <c r="CE176" i="1"/>
  <c r="CI188" i="1"/>
  <c r="CI175" i="1"/>
  <c r="CI28" i="1"/>
  <c r="EN91" i="1"/>
  <c r="EQ21" i="1"/>
  <c r="DE26" i="1"/>
  <c r="DF32" i="1"/>
  <c r="CG9" i="1"/>
  <c r="AX20" i="1"/>
  <c r="BF29" i="1"/>
  <c r="DA7" i="1"/>
  <c r="BC185" i="1"/>
  <c r="AS78" i="1"/>
  <c r="EM162" i="1"/>
  <c r="BB166" i="1"/>
  <c r="DE22" i="1"/>
  <c r="EP28" i="1"/>
  <c r="AX31" i="1"/>
  <c r="CH61" i="1"/>
  <c r="DF19" i="1"/>
  <c r="CI8" i="1"/>
  <c r="EM79" i="1"/>
  <c r="DC31" i="1"/>
  <c r="EM76" i="1"/>
  <c r="DE15" i="1"/>
  <c r="EM97" i="1"/>
  <c r="CE8" i="1"/>
  <c r="EO114" i="1"/>
  <c r="BB185" i="1"/>
  <c r="BA17" i="1"/>
  <c r="DF11" i="1"/>
  <c r="CD18" i="1"/>
  <c r="BA159" i="1"/>
  <c r="CH36" i="1"/>
  <c r="EO104" i="1"/>
  <c r="BB17" i="1"/>
  <c r="CH182" i="1"/>
  <c r="EM36" i="1"/>
  <c r="AT20" i="1"/>
  <c r="EM189" i="1"/>
  <c r="BB153" i="1"/>
  <c r="CH141" i="1"/>
  <c r="EL45" i="1"/>
  <c r="EL59" i="1"/>
  <c r="BF76" i="1"/>
  <c r="BB57" i="1"/>
  <c r="BA76" i="1"/>
  <c r="CD11" i="1"/>
  <c r="AW13" i="1"/>
  <c r="CI57" i="1"/>
  <c r="CD60" i="1"/>
  <c r="AX61" i="1"/>
  <c r="CH152" i="1"/>
  <c r="EM130" i="1"/>
  <c r="EM174" i="1"/>
  <c r="EL112" i="1"/>
  <c r="BC34" i="1"/>
  <c r="BC174" i="1"/>
  <c r="EM18" i="1"/>
  <c r="EP6" i="1"/>
  <c r="BD165" i="1"/>
  <c r="BD148" i="1"/>
  <c r="CI150" i="1"/>
  <c r="CE167" i="1"/>
  <c r="EQ121" i="1"/>
  <c r="CI75" i="1"/>
  <c r="EO88" i="1"/>
  <c r="EM31" i="1"/>
  <c r="EP13" i="1"/>
  <c r="CE144" i="1"/>
  <c r="BE186" i="1"/>
  <c r="EM74" i="1"/>
  <c r="BB31" i="1"/>
  <c r="BA14" i="1"/>
  <c r="CG15" i="1"/>
  <c r="AS18" i="1"/>
  <c r="EL73" i="1"/>
  <c r="EM164" i="1"/>
  <c r="DC12" i="1"/>
  <c r="EO100" i="1"/>
  <c r="BB140" i="1"/>
  <c r="DB12" i="1"/>
  <c r="BB184" i="1"/>
  <c r="AW73" i="1"/>
  <c r="EQ110" i="1"/>
  <c r="CD35" i="1"/>
  <c r="BA71" i="1"/>
  <c r="BB154" i="1"/>
  <c r="EP18" i="1"/>
  <c r="BD73" i="1"/>
  <c r="AW17" i="1"/>
  <c r="EM85" i="1"/>
  <c r="EO126" i="1"/>
  <c r="BC59" i="1"/>
  <c r="CG61" i="1"/>
  <c r="EM163" i="1"/>
  <c r="EM187" i="1"/>
  <c r="DD14" i="1"/>
  <c r="EM15" i="1"/>
  <c r="EM106" i="1"/>
  <c r="BA178" i="1"/>
  <c r="DD21" i="1"/>
  <c r="EP121" i="1"/>
  <c r="BC159" i="1"/>
  <c r="BD26" i="1"/>
  <c r="CF186" i="1"/>
  <c r="AT6" i="1"/>
  <c r="BF140" i="1"/>
  <c r="EL127" i="1"/>
  <c r="CI33" i="1"/>
  <c r="EO96" i="1"/>
  <c r="EL14" i="1"/>
  <c r="CH31" i="1"/>
  <c r="CI155" i="1"/>
  <c r="CI187" i="1"/>
  <c r="EP86" i="1"/>
  <c r="BA75" i="1"/>
  <c r="EM107" i="1"/>
  <c r="BF184" i="1"/>
  <c r="BE11" i="1"/>
  <c r="CD167" i="1"/>
  <c r="AX7" i="1"/>
  <c r="AX74" i="1"/>
  <c r="BB34" i="1"/>
  <c r="CE21" i="1"/>
  <c r="EP31" i="1"/>
  <c r="EL111" i="1"/>
  <c r="CH159" i="1"/>
  <c r="CE187" i="1"/>
  <c r="DD23" i="1"/>
  <c r="CI18" i="1"/>
  <c r="EL158" i="1"/>
  <c r="DD35" i="1"/>
  <c r="CD152" i="1"/>
  <c r="AU59" i="1"/>
  <c r="DE31" i="1"/>
  <c r="CI34" i="1"/>
  <c r="BF188" i="1"/>
  <c r="BF187" i="1"/>
  <c r="DA31" i="1"/>
  <c r="EM155" i="1"/>
  <c r="EP96" i="1"/>
  <c r="BB138" i="1"/>
  <c r="CI151" i="1"/>
  <c r="EL149" i="1"/>
  <c r="AX19" i="1"/>
  <c r="EM158" i="1"/>
  <c r="EP117" i="1"/>
  <c r="EM77" i="1"/>
  <c r="CE178" i="1"/>
  <c r="AV13" i="1"/>
  <c r="BD12" i="1"/>
  <c r="BE141" i="1"/>
  <c r="BD144" i="1"/>
  <c r="CD180" i="1"/>
  <c r="CI24" i="1"/>
  <c r="AT23" i="1"/>
  <c r="DC21" i="1"/>
  <c r="CI13" i="1"/>
  <c r="EM171" i="1"/>
  <c r="DD13" i="1"/>
  <c r="CI38" i="1"/>
  <c r="EQ111" i="1"/>
  <c r="EN129" i="1"/>
  <c r="EM16" i="1"/>
  <c r="EM24" i="1"/>
  <c r="AX26" i="1"/>
  <c r="EP35" i="1"/>
  <c r="CD75" i="1"/>
  <c r="CH20" i="1"/>
  <c r="EL154" i="1"/>
  <c r="CE77" i="1"/>
  <c r="EP4" i="1"/>
  <c r="EM46" i="1"/>
  <c r="EQ23" i="1"/>
  <c r="CH18" i="1"/>
  <c r="EO115" i="1"/>
  <c r="DB37" i="1"/>
  <c r="CH26" i="1"/>
  <c r="AT30" i="1"/>
  <c r="DA27" i="1"/>
  <c r="CI22" i="1"/>
  <c r="BB74" i="1"/>
  <c r="BB172" i="1"/>
  <c r="CI47" i="1"/>
  <c r="CD24" i="1"/>
  <c r="BB181" i="1"/>
  <c r="CD144" i="1"/>
  <c r="EP26" i="1"/>
  <c r="DC20" i="1"/>
  <c r="AT37" i="1"/>
  <c r="CI181" i="1"/>
  <c r="EQ101" i="1"/>
  <c r="BB177" i="1"/>
  <c r="CI15" i="1"/>
  <c r="AW37" i="1"/>
  <c r="CH38" i="1"/>
  <c r="AS16" i="1"/>
  <c r="EP104" i="1"/>
  <c r="DA26" i="1"/>
  <c r="BB144" i="1"/>
  <c r="CE58" i="1"/>
  <c r="EO109" i="1"/>
  <c r="BB72" i="1"/>
  <c r="CH47" i="1"/>
  <c r="EM121" i="1"/>
  <c r="AT62" i="1"/>
  <c r="AT24" i="1"/>
  <c r="AW22" i="1"/>
  <c r="EM96" i="1"/>
  <c r="EM108" i="1"/>
  <c r="CE72" i="1"/>
  <c r="CH60" i="1"/>
  <c r="CH155" i="1"/>
  <c r="BA11" i="1"/>
  <c r="CD183" i="1"/>
  <c r="EL96" i="1"/>
  <c r="BB33" i="1"/>
  <c r="BA157" i="1"/>
  <c r="CI154" i="1"/>
  <c r="BA189" i="1"/>
  <c r="CH146" i="1"/>
  <c r="EM73" i="1"/>
  <c r="EQ100" i="1"/>
  <c r="CE9" i="1"/>
  <c r="EP105" i="1"/>
  <c r="CE10" i="1"/>
  <c r="CE36" i="1"/>
  <c r="CH13" i="1"/>
  <c r="BA184" i="1"/>
  <c r="CD153" i="1"/>
  <c r="CI153" i="1"/>
  <c r="CH19" i="1"/>
  <c r="CI143" i="1"/>
  <c r="CE157" i="1"/>
  <c r="EO95" i="1"/>
  <c r="CH29" i="1"/>
  <c r="BA181" i="1"/>
  <c r="EM123" i="1"/>
  <c r="CG33" i="1"/>
  <c r="CE28" i="1"/>
  <c r="EQ28" i="1"/>
  <c r="AV4" i="1"/>
  <c r="BA150" i="1"/>
  <c r="DE4" i="1"/>
  <c r="AU60" i="1"/>
  <c r="AV27" i="1"/>
  <c r="EM38" i="1"/>
  <c r="BA144" i="1"/>
  <c r="BC188" i="1"/>
  <c r="CF174" i="1"/>
  <c r="BD18" i="1"/>
  <c r="CI171" i="1"/>
  <c r="EM63" i="1"/>
  <c r="CG176" i="1"/>
  <c r="CD182" i="1"/>
  <c r="CD189" i="1"/>
  <c r="CF167" i="1"/>
  <c r="EN100" i="1"/>
  <c r="CF144" i="1"/>
  <c r="DB32" i="1"/>
  <c r="BD7" i="1"/>
  <c r="BC137" i="1"/>
  <c r="EQ120" i="1"/>
  <c r="CD17" i="1"/>
  <c r="AV74" i="1"/>
  <c r="BC46" i="1"/>
  <c r="BF19" i="1"/>
  <c r="EN124" i="1"/>
  <c r="CG17" i="1"/>
  <c r="BA73" i="1"/>
  <c r="EL76" i="1"/>
  <c r="EP24" i="1"/>
  <c r="DD26" i="1"/>
  <c r="CH187" i="1"/>
  <c r="EP130" i="1"/>
  <c r="EM25" i="1"/>
  <c r="BA24" i="1"/>
  <c r="CG6" i="1"/>
  <c r="CF36" i="1"/>
  <c r="CG182" i="1"/>
  <c r="BB156" i="1"/>
  <c r="AT26" i="1"/>
  <c r="CF23" i="1"/>
  <c r="CD160" i="1"/>
  <c r="CD172" i="1"/>
  <c r="EO125" i="1"/>
  <c r="CI27" i="1"/>
  <c r="EN104" i="1"/>
  <c r="EM34" i="1"/>
  <c r="EP109" i="1"/>
  <c r="EQ10" i="1"/>
  <c r="CF28" i="1"/>
  <c r="CF141" i="1"/>
  <c r="DC27" i="1"/>
  <c r="DF21" i="1"/>
  <c r="AT60" i="1"/>
  <c r="CH16" i="1"/>
  <c r="CE26" i="1"/>
  <c r="CF170" i="1"/>
  <c r="AT19" i="1"/>
  <c r="DD11" i="1"/>
  <c r="EQ24" i="1"/>
  <c r="EL28" i="1"/>
  <c r="DC38" i="1"/>
  <c r="BA169" i="1"/>
  <c r="EL155" i="1"/>
  <c r="BB63" i="1"/>
  <c r="AU19" i="1"/>
  <c r="CH35" i="1"/>
  <c r="BD173" i="1"/>
  <c r="BE22" i="1"/>
  <c r="AV23" i="1"/>
  <c r="BE143" i="1"/>
  <c r="BD137" i="1"/>
  <c r="CF155" i="1"/>
  <c r="DB17" i="1"/>
  <c r="BA140" i="1"/>
  <c r="AS14" i="1"/>
  <c r="EL110" i="1"/>
  <c r="DB30" i="1"/>
  <c r="BA36" i="1"/>
  <c r="BF5" i="1"/>
  <c r="EM110" i="1"/>
  <c r="CG34" i="1"/>
  <c r="CF188" i="1"/>
  <c r="CD7" i="1"/>
  <c r="AT15" i="1"/>
  <c r="BB18" i="1"/>
  <c r="EL16" i="1"/>
  <c r="AX25" i="1"/>
  <c r="CD13" i="1"/>
  <c r="BD21" i="1"/>
  <c r="EM92" i="1"/>
  <c r="AX73" i="1"/>
  <c r="EN34" i="1"/>
  <c r="BB180" i="1"/>
  <c r="BA20" i="1"/>
  <c r="DA13" i="1"/>
  <c r="EP10" i="1"/>
  <c r="BA138" i="1"/>
  <c r="BA9" i="1"/>
  <c r="EO91" i="1"/>
  <c r="EN114" i="1"/>
  <c r="AW38" i="1"/>
  <c r="EM12" i="1"/>
  <c r="BB10" i="1"/>
  <c r="EP34" i="1"/>
  <c r="CF159" i="1"/>
  <c r="AV7" i="1"/>
  <c r="CD141" i="1"/>
  <c r="AV31" i="1"/>
  <c r="AW14" i="1"/>
  <c r="BA35" i="1"/>
  <c r="DE32" i="1"/>
  <c r="CE13" i="1"/>
  <c r="EM176" i="1"/>
  <c r="CI12" i="1"/>
  <c r="CE152" i="1"/>
  <c r="CE160" i="1"/>
  <c r="CH166" i="1"/>
  <c r="BD76" i="1"/>
  <c r="CI148" i="1"/>
  <c r="DD24" i="1"/>
  <c r="AU189" i="1"/>
  <c r="CG13" i="1"/>
  <c r="DD8" i="1"/>
  <c r="BE48" i="1"/>
  <c r="BA151" i="1"/>
  <c r="AV33" i="1"/>
  <c r="AV10" i="1"/>
  <c r="EM4" i="1"/>
  <c r="EP98" i="1"/>
  <c r="EQ92" i="1"/>
  <c r="CI177" i="1"/>
  <c r="DE25" i="1"/>
  <c r="DC26" i="1"/>
  <c r="AU17" i="1"/>
  <c r="EQ4" i="1"/>
  <c r="BD74" i="1"/>
  <c r="CG25" i="1"/>
  <c r="CH173" i="1"/>
  <c r="BF148" i="1"/>
  <c r="BE9" i="1"/>
  <c r="BD5" i="1"/>
  <c r="CF7" i="1"/>
  <c r="DA34" i="1"/>
  <c r="EL169" i="1"/>
  <c r="AW29" i="1"/>
  <c r="EM172" i="1"/>
  <c r="DC9" i="1"/>
  <c r="AX8" i="1"/>
  <c r="CI156" i="1"/>
  <c r="CD137" i="1"/>
  <c r="CI58" i="1"/>
  <c r="EQ91" i="1"/>
  <c r="AX59" i="1"/>
  <c r="DB19" i="1"/>
  <c r="AX6" i="1"/>
  <c r="CH28" i="1"/>
  <c r="EM117" i="1"/>
  <c r="EN105" i="1"/>
  <c r="AW48" i="1"/>
  <c r="CH48" i="1"/>
  <c r="CH140" i="1"/>
  <c r="EN116" i="1"/>
  <c r="CH21" i="1"/>
  <c r="DC30" i="1"/>
  <c r="EM20" i="1"/>
  <c r="EL77" i="1"/>
  <c r="BB176" i="1"/>
  <c r="EN123" i="1"/>
  <c r="EL46" i="1"/>
  <c r="EL34" i="1"/>
  <c r="EP20" i="1"/>
  <c r="EQ103" i="1"/>
  <c r="BA188" i="1"/>
  <c r="EO21" i="1"/>
  <c r="CE48" i="1"/>
  <c r="EO18" i="1"/>
  <c r="BA146" i="1"/>
  <c r="EN8" i="1"/>
  <c r="DD15" i="1"/>
  <c r="CD143" i="1"/>
  <c r="BC149" i="1"/>
  <c r="BD138" i="1"/>
  <c r="BC9" i="1"/>
  <c r="BE25" i="1"/>
  <c r="CF30" i="1"/>
  <c r="AS26" i="1"/>
  <c r="CD159" i="1"/>
  <c r="BE185" i="1"/>
  <c r="EN24" i="1"/>
  <c r="EL9" i="1"/>
  <c r="BD70" i="1"/>
  <c r="AT76" i="1"/>
  <c r="EO14" i="1"/>
  <c r="EL86" i="1"/>
  <c r="BE145" i="1"/>
  <c r="BF182" i="1"/>
  <c r="CH138" i="1"/>
  <c r="AV37" i="1"/>
  <c r="EL33" i="1"/>
  <c r="BE147" i="1"/>
  <c r="CE182" i="1"/>
  <c r="CG16" i="1"/>
  <c r="EM98" i="1"/>
  <c r="BB183" i="1"/>
  <c r="CE35" i="1"/>
  <c r="BA33" i="1"/>
  <c r="EL62" i="1"/>
  <c r="BB28" i="1"/>
  <c r="EO110" i="1"/>
  <c r="EP87" i="1"/>
  <c r="EM169" i="1"/>
  <c r="AT85" i="1"/>
  <c r="EP7" i="1"/>
  <c r="BC153" i="1"/>
  <c r="EL98" i="1"/>
  <c r="CD178" i="1"/>
  <c r="EN106" i="1"/>
  <c r="AT14" i="1"/>
  <c r="BB62" i="1"/>
  <c r="BB159" i="1"/>
  <c r="DF7" i="1"/>
  <c r="EM145" i="1"/>
  <c r="EL185" i="1"/>
  <c r="AX5" i="1"/>
  <c r="CH151" i="1"/>
  <c r="CG48" i="1"/>
  <c r="BD187" i="1"/>
  <c r="BB187" i="1"/>
  <c r="BB155" i="1"/>
  <c r="EN95" i="1"/>
  <c r="CG179" i="1"/>
  <c r="BA160" i="1"/>
  <c r="AS28" i="1"/>
  <c r="EQ122" i="1"/>
  <c r="EM154" i="1"/>
  <c r="CH179" i="1"/>
  <c r="AS19" i="1"/>
  <c r="CD37" i="1"/>
  <c r="EQ128" i="1"/>
  <c r="EM10" i="1"/>
  <c r="BC152" i="1"/>
  <c r="DF17" i="1"/>
  <c r="BC20" i="1"/>
  <c r="BD38" i="1"/>
  <c r="BF4" i="1"/>
  <c r="BA22" i="1"/>
  <c r="EO17" i="1"/>
  <c r="EP33" i="1"/>
  <c r="AT79" i="1"/>
  <c r="CH137" i="1"/>
  <c r="CG185" i="1"/>
  <c r="EN108" i="1"/>
  <c r="EL10" i="1"/>
  <c r="AX17" i="1"/>
  <c r="AV8" i="1"/>
  <c r="BE21" i="1"/>
  <c r="CG29" i="1"/>
  <c r="BD171" i="1"/>
  <c r="BE182" i="1"/>
  <c r="CF12" i="1"/>
  <c r="CG20" i="1"/>
  <c r="BE36" i="1"/>
  <c r="BC62" i="1"/>
  <c r="EP119" i="1"/>
  <c r="CF140" i="1"/>
  <c r="CF143" i="1"/>
  <c r="CI144" i="1"/>
  <c r="AW72" i="1"/>
  <c r="EL78" i="1"/>
  <c r="BF179" i="1"/>
  <c r="CD47" i="1"/>
  <c r="AV18" i="1"/>
  <c r="CG138" i="1"/>
  <c r="DB11" i="1"/>
  <c r="EO13" i="1"/>
  <c r="BC155" i="1"/>
  <c r="AW20" i="1"/>
  <c r="EL125" i="1"/>
  <c r="AT59" i="1"/>
  <c r="CI7" i="1"/>
  <c r="EM14" i="1"/>
  <c r="EM168" i="1"/>
  <c r="DF20" i="1"/>
  <c r="EN128" i="1"/>
  <c r="EN119" i="1"/>
  <c r="CG142" i="1"/>
  <c r="BF10" i="1"/>
  <c r="EP16" i="1"/>
  <c r="BD30" i="1"/>
  <c r="EQ7" i="1"/>
  <c r="CG5" i="1"/>
  <c r="AS60" i="1"/>
  <c r="CI140" i="1"/>
  <c r="CI5" i="1"/>
  <c r="AW10" i="1"/>
  <c r="EL114" i="1"/>
  <c r="BB58" i="1"/>
  <c r="CH142" i="1"/>
  <c r="AX37" i="1"/>
  <c r="CF35" i="1"/>
  <c r="BF61" i="1"/>
  <c r="AX15" i="1"/>
  <c r="BD27" i="1"/>
  <c r="CE147" i="1"/>
  <c r="DF10" i="1"/>
  <c r="EQ38" i="1"/>
  <c r="DC34" i="1"/>
  <c r="EL108" i="1"/>
  <c r="DF14" i="1"/>
  <c r="EP107" i="1"/>
  <c r="EO113" i="1"/>
  <c r="CI172" i="1"/>
  <c r="BA27" i="1"/>
  <c r="BC63" i="1"/>
  <c r="DE29" i="1"/>
  <c r="CG27" i="1"/>
  <c r="AS76" i="1"/>
  <c r="BD22" i="1"/>
  <c r="BD48" i="1"/>
  <c r="CF154" i="1"/>
  <c r="BC6" i="1"/>
  <c r="CG23" i="1"/>
  <c r="EP114" i="1"/>
  <c r="CH180" i="1"/>
  <c r="CD73" i="1"/>
  <c r="DB33" i="1"/>
  <c r="BA29" i="1"/>
  <c r="BB161" i="1"/>
  <c r="BC57" i="1"/>
  <c r="EQ31" i="1"/>
  <c r="AU7" i="1"/>
  <c r="CG45" i="1"/>
  <c r="EM22" i="1"/>
  <c r="EM99" i="1"/>
  <c r="BB169" i="1"/>
  <c r="CI79" i="1"/>
  <c r="BB46" i="1"/>
  <c r="CD20" i="1"/>
  <c r="CI60" i="1"/>
  <c r="EN118" i="1"/>
  <c r="BA57" i="1"/>
  <c r="EO121" i="1"/>
  <c r="CH58" i="1"/>
  <c r="CI76" i="1"/>
  <c r="CH147" i="1"/>
  <c r="CH172" i="1"/>
  <c r="CH32" i="1"/>
  <c r="EN98" i="1"/>
  <c r="AS12" i="1"/>
  <c r="CE170" i="1"/>
  <c r="CI16" i="1"/>
  <c r="EN87" i="1"/>
  <c r="CE23" i="1"/>
  <c r="CI146" i="1"/>
  <c r="DD12" i="1"/>
  <c r="EP19" i="1"/>
  <c r="CD169" i="1"/>
  <c r="EP93" i="1"/>
  <c r="CH157" i="1"/>
  <c r="CE158" i="1"/>
  <c r="CE174" i="1"/>
  <c r="DB22" i="1"/>
  <c r="CI159" i="1"/>
  <c r="AS29" i="1"/>
  <c r="AV29" i="1"/>
  <c r="EM160" i="1"/>
  <c r="EL8" i="1"/>
  <c r="CH45" i="1"/>
  <c r="EN30" i="1"/>
  <c r="EO99" i="1"/>
  <c r="CF145" i="1"/>
  <c r="BF9" i="1"/>
  <c r="EN12" i="1"/>
  <c r="EO27" i="1"/>
  <c r="CD57" i="1"/>
  <c r="BD164" i="1"/>
  <c r="CF77" i="1"/>
  <c r="EP32" i="1"/>
  <c r="BB188" i="1"/>
  <c r="BD35" i="1"/>
  <c r="BD46" i="1"/>
  <c r="CF138" i="1"/>
  <c r="DB36" i="1"/>
  <c r="CD72" i="1"/>
  <c r="CI149" i="1"/>
  <c r="EO33" i="1"/>
  <c r="BA74" i="1"/>
  <c r="EM29" i="1"/>
  <c r="CG76" i="1"/>
  <c r="EL60" i="1"/>
  <c r="EL175" i="1"/>
  <c r="BA13" i="1"/>
  <c r="EL176" i="1"/>
  <c r="EN127" i="1"/>
  <c r="EQ30" i="1"/>
  <c r="CD176" i="1"/>
  <c r="EQ12" i="1"/>
  <c r="EL19" i="1"/>
  <c r="DF9" i="1"/>
  <c r="BA185" i="1"/>
  <c r="EP12" i="1"/>
  <c r="BA58" i="1"/>
  <c r="EO128" i="1"/>
  <c r="EL17" i="1"/>
  <c r="CE74" i="1"/>
  <c r="BD10" i="1"/>
  <c r="CH14" i="1"/>
  <c r="EL187" i="1"/>
  <c r="EN92" i="1"/>
  <c r="CI59" i="1"/>
  <c r="DF37" i="1"/>
  <c r="EN90" i="1"/>
  <c r="DD20" i="1"/>
  <c r="CE27" i="1"/>
  <c r="DE20" i="1"/>
  <c r="BB6" i="1"/>
  <c r="BC176" i="1"/>
  <c r="BE184" i="1"/>
  <c r="AS4" i="1"/>
  <c r="CF14" i="1"/>
  <c r="AX60" i="1"/>
  <c r="CF187" i="1"/>
  <c r="EL150" i="1"/>
  <c r="BB189" i="1"/>
  <c r="CG139" i="1"/>
  <c r="DD36" i="1"/>
  <c r="BC77" i="1"/>
  <c r="CI173" i="1"/>
  <c r="CE33" i="1"/>
  <c r="DC6" i="1"/>
  <c r="CG7" i="1"/>
  <c r="AU28" i="1"/>
  <c r="AV139" i="1"/>
  <c r="DF13" i="1"/>
  <c r="CF149" i="1"/>
  <c r="BD9" i="1"/>
  <c r="AT57" i="1"/>
  <c r="CG73" i="1"/>
  <c r="AW6" i="1"/>
  <c r="EM87" i="1"/>
  <c r="EL74" i="1"/>
  <c r="CE6" i="1"/>
  <c r="AT17" i="1"/>
  <c r="EL151" i="1"/>
  <c r="CI11" i="1"/>
  <c r="CI170" i="1"/>
  <c r="AT46" i="1"/>
  <c r="EN99" i="1"/>
  <c r="EL48" i="1"/>
  <c r="EO120" i="1"/>
  <c r="CE139" i="1"/>
  <c r="AX46" i="1"/>
  <c r="EM28" i="1"/>
  <c r="EP128" i="1"/>
  <c r="AS62" i="1"/>
  <c r="CD173" i="1"/>
  <c r="CH186" i="1"/>
  <c r="EL7" i="1"/>
  <c r="BE35" i="1"/>
  <c r="CG158" i="1"/>
  <c r="CG74" i="1"/>
  <c r="AU76" i="1"/>
  <c r="BE148" i="1"/>
  <c r="EL32" i="1"/>
  <c r="BA186" i="1"/>
  <c r="EN15" i="1"/>
  <c r="DB21" i="1"/>
  <c r="BB174" i="1"/>
  <c r="EQ118" i="1"/>
  <c r="EM118" i="1"/>
  <c r="AX12" i="1"/>
  <c r="BA26" i="1"/>
  <c r="BB36" i="1"/>
  <c r="AT8" i="1"/>
  <c r="EQ104" i="1"/>
  <c r="BC71" i="1"/>
  <c r="BB7" i="1"/>
  <c r="BE4" i="1"/>
  <c r="AX47" i="1"/>
  <c r="CF17" i="1"/>
  <c r="AX57" i="1"/>
  <c r="BB35" i="1"/>
  <c r="DA6" i="1"/>
  <c r="EL153" i="1"/>
  <c r="EQ88" i="1"/>
  <c r="CD16" i="1"/>
  <c r="CI31" i="1"/>
  <c r="BA63" i="1"/>
  <c r="BE31" i="1"/>
  <c r="DA19" i="1"/>
  <c r="BE183" i="1"/>
  <c r="DC29" i="1"/>
  <c r="EP99" i="1"/>
  <c r="BE28" i="1"/>
  <c r="BD60" i="1"/>
  <c r="BE26" i="1"/>
  <c r="EM95" i="1"/>
  <c r="EO106" i="1"/>
  <c r="EL152" i="1"/>
  <c r="EN113" i="1"/>
  <c r="CH183" i="1"/>
  <c r="CH177" i="1"/>
  <c r="BA15" i="1"/>
  <c r="CI26" i="1"/>
  <c r="DF27" i="1"/>
  <c r="EL130" i="1"/>
  <c r="CG22" i="1"/>
  <c r="BD79" i="1"/>
  <c r="DD9" i="1"/>
  <c r="CF47" i="1"/>
  <c r="BC7" i="1"/>
  <c r="CG26" i="1"/>
  <c r="CH23" i="1"/>
  <c r="CE60" i="1"/>
  <c r="AT27" i="1"/>
  <c r="BA59" i="1"/>
  <c r="CI182" i="1"/>
  <c r="BA156" i="1"/>
  <c r="CD78" i="1"/>
  <c r="AS46" i="1"/>
  <c r="DA38" i="1"/>
  <c r="CE24" i="1"/>
  <c r="BB139" i="1"/>
  <c r="EQ108" i="1"/>
  <c r="EM167" i="1"/>
  <c r="CI176" i="1"/>
  <c r="EQ97" i="1"/>
  <c r="AS8" i="1"/>
  <c r="BB186" i="1"/>
  <c r="BB179" i="1"/>
  <c r="EQ22" i="1"/>
  <c r="EL12" i="1"/>
  <c r="CI4" i="1"/>
  <c r="AT47" i="1"/>
  <c r="AW12" i="1"/>
  <c r="EM48" i="1"/>
  <c r="EP123" i="1"/>
  <c r="EQ36" i="1"/>
  <c r="DE19" i="1"/>
  <c r="EL186" i="1"/>
  <c r="AW70" i="1"/>
  <c r="EM150" i="1"/>
  <c r="CE177" i="1"/>
  <c r="BD172" i="1"/>
  <c r="BF158" i="1"/>
  <c r="EL129" i="1"/>
  <c r="DA22" i="1"/>
  <c r="CD185" i="1"/>
  <c r="EM125" i="1"/>
  <c r="CF8" i="1"/>
  <c r="EL26" i="1"/>
  <c r="CG31" i="1"/>
  <c r="CG170" i="1"/>
  <c r="AS61" i="1"/>
  <c r="CE148" i="1"/>
  <c r="EN126" i="1"/>
  <c r="EL128" i="1"/>
  <c r="CD184" i="1"/>
  <c r="EM105" i="1"/>
  <c r="CE25" i="1"/>
  <c r="BE58" i="1"/>
  <c r="AW9" i="1"/>
  <c r="CF166" i="1"/>
  <c r="BE79" i="1"/>
  <c r="AU11" i="1"/>
  <c r="DF8" i="1"/>
  <c r="EL122" i="1"/>
  <c r="CI185" i="1"/>
  <c r="CD30" i="1"/>
  <c r="AX75" i="1"/>
  <c r="CE156" i="1"/>
  <c r="EL91" i="1"/>
  <c r="DA11" i="1"/>
  <c r="DF12" i="1"/>
  <c r="BA25" i="1"/>
  <c r="CE153" i="1"/>
  <c r="DF22" i="1"/>
  <c r="EM13" i="1"/>
  <c r="BB20" i="1"/>
  <c r="DC37" i="1"/>
  <c r="BF71" i="1"/>
  <c r="CI61" i="1"/>
  <c r="CE181" i="1"/>
  <c r="EM166" i="1"/>
  <c r="EL156" i="1"/>
  <c r="EP111" i="1"/>
  <c r="EQ25" i="1"/>
  <c r="CE137" i="1"/>
  <c r="DD30" i="1"/>
  <c r="AW25" i="1"/>
  <c r="AW78" i="1"/>
  <c r="DC17" i="1"/>
  <c r="DE11" i="1"/>
  <c r="AT18" i="1"/>
  <c r="AS31" i="1"/>
  <c r="EQ15" i="1"/>
  <c r="CG78" i="1"/>
  <c r="BB60" i="1"/>
  <c r="EQ14" i="1"/>
  <c r="CF175" i="1"/>
  <c r="EM104" i="1"/>
  <c r="CD79" i="1"/>
  <c r="DA5" i="1"/>
  <c r="DB10" i="1"/>
  <c r="CI21" i="1"/>
  <c r="AS15" i="1"/>
  <c r="AU22" i="1"/>
  <c r="AU34" i="1"/>
  <c r="BC45" i="1"/>
  <c r="BC154" i="1"/>
  <c r="AU6" i="1"/>
  <c r="DD18" i="1"/>
  <c r="EO26" i="1"/>
  <c r="AS38" i="1"/>
  <c r="BF31" i="1"/>
  <c r="BC19" i="1"/>
  <c r="AU18" i="1"/>
  <c r="AX58" i="1"/>
  <c r="EP30" i="1"/>
  <c r="EL35" i="1"/>
  <c r="CG58" i="1"/>
  <c r="CF11" i="1"/>
  <c r="BD179" i="1"/>
  <c r="CF38" i="1"/>
  <c r="BD75" i="1"/>
  <c r="EO6" i="1"/>
  <c r="DF33" i="1"/>
  <c r="EM93" i="1"/>
  <c r="EQ19" i="1"/>
  <c r="CI20" i="1"/>
  <c r="DF38" i="1"/>
  <c r="AW61" i="1"/>
  <c r="EM115" i="1"/>
  <c r="CF152" i="1"/>
  <c r="DB13" i="1"/>
  <c r="AX28" i="1"/>
  <c r="CG77" i="1"/>
  <c r="AW36" i="1"/>
  <c r="CD25" i="1"/>
  <c r="BA45" i="1"/>
  <c r="BF13" i="1"/>
  <c r="AW76" i="1"/>
  <c r="EM71" i="1"/>
  <c r="EO102" i="1"/>
  <c r="BA19" i="1"/>
  <c r="CE146" i="1"/>
  <c r="EL109" i="1"/>
  <c r="BA12" i="1"/>
  <c r="BA46" i="1"/>
  <c r="BE38" i="1"/>
  <c r="BC74" i="1"/>
  <c r="CF16" i="1"/>
  <c r="CF148" i="1"/>
  <c r="BA170" i="1"/>
  <c r="BE30" i="1"/>
  <c r="CD22" i="1"/>
  <c r="EP14" i="1"/>
  <c r="AS35" i="1"/>
  <c r="EM45" i="1"/>
  <c r="EM175" i="1"/>
  <c r="EL120" i="1"/>
  <c r="CE78" i="1"/>
  <c r="DC24" i="1"/>
  <c r="CD19" i="1"/>
  <c r="CH10" i="1"/>
  <c r="CD58" i="1"/>
  <c r="CI14" i="1"/>
  <c r="CI158" i="1"/>
  <c r="CG169" i="1"/>
  <c r="AV11" i="1"/>
  <c r="AT58" i="1"/>
  <c r="EM33" i="1"/>
  <c r="BD78" i="1"/>
  <c r="CI32" i="1"/>
  <c r="CD170" i="1"/>
  <c r="EL6" i="1"/>
  <c r="CH76" i="1"/>
  <c r="CE188" i="1"/>
  <c r="BF160" i="1"/>
  <c r="CF29" i="1"/>
  <c r="CH7" i="1"/>
  <c r="CE16" i="1"/>
  <c r="EM128" i="1"/>
  <c r="DD38" i="1"/>
  <c r="AU35" i="1"/>
  <c r="EQ114" i="1"/>
  <c r="EL157" i="1"/>
  <c r="AW31" i="1"/>
  <c r="CD32" i="1"/>
  <c r="EM109" i="1"/>
  <c r="CE79" i="1"/>
  <c r="CE7" i="1"/>
  <c r="BA62" i="1"/>
  <c r="CI152" i="1"/>
  <c r="BB48" i="1"/>
  <c r="BB79" i="1"/>
  <c r="BE78" i="1"/>
  <c r="EO4" i="1"/>
  <c r="DC14" i="1"/>
  <c r="EO105" i="1"/>
  <c r="CI186" i="1"/>
  <c r="BA158" i="1"/>
  <c r="EL147" i="1"/>
  <c r="CH5" i="1"/>
  <c r="BA7" i="1"/>
  <c r="CH148" i="1"/>
  <c r="AT13" i="1"/>
  <c r="AW33" i="1"/>
  <c r="EL70" i="1"/>
  <c r="DC11" i="1"/>
  <c r="CE149" i="1"/>
  <c r="EM173" i="1"/>
  <c r="BB45" i="1"/>
  <c r="AX48" i="1"/>
  <c r="BB77" i="1"/>
  <c r="CI141" i="1"/>
  <c r="BB16" i="1"/>
  <c r="DE18" i="1"/>
  <c r="EO118" i="1"/>
  <c r="DF29" i="1"/>
  <c r="BA174" i="1"/>
  <c r="BD177" i="1"/>
  <c r="AV32" i="1"/>
  <c r="BF23" i="1"/>
  <c r="EO22" i="1"/>
  <c r="BF181" i="1"/>
  <c r="BF141" i="1"/>
  <c r="BD161" i="1"/>
  <c r="BA16" i="1"/>
  <c r="BE180" i="1"/>
  <c r="BF46" i="1"/>
  <c r="AW7" i="1"/>
  <c r="BA180" i="1"/>
  <c r="EO130" i="1"/>
  <c r="AW21" i="1"/>
  <c r="AS75" i="1"/>
  <c r="EO98" i="1"/>
  <c r="BD59" i="1"/>
  <c r="BD29" i="1"/>
  <c r="BD71" i="1"/>
  <c r="EN89" i="1"/>
  <c r="EM88" i="1"/>
  <c r="CF139" i="1"/>
  <c r="BE8" i="1"/>
  <c r="AS34" i="1"/>
  <c r="BC181" i="1"/>
  <c r="EP116" i="1"/>
  <c r="CI169" i="1"/>
  <c r="EQ37" i="1"/>
  <c r="BA172" i="1"/>
  <c r="CE59" i="1"/>
  <c r="AX33" i="1"/>
  <c r="CI145" i="1"/>
  <c r="AX62" i="1"/>
  <c r="EN115" i="1"/>
  <c r="EN97" i="1"/>
  <c r="EL105" i="1"/>
  <c r="AT74" i="1"/>
  <c r="EL22" i="1"/>
  <c r="BF47" i="1"/>
  <c r="AT16" i="1"/>
  <c r="CD181" i="1"/>
  <c r="DA4" i="1"/>
  <c r="EQ119" i="1"/>
  <c r="CI183" i="1"/>
  <c r="DA21" i="1"/>
  <c r="EN111" i="1"/>
  <c r="BA23" i="1"/>
  <c r="EO97" i="1"/>
  <c r="CH34" i="1"/>
  <c r="BB14" i="1"/>
  <c r="BA141" i="1"/>
  <c r="CD31" i="1"/>
  <c r="EM94" i="1"/>
  <c r="EM64" i="1"/>
  <c r="CG188" i="1"/>
  <c r="CD187" i="1"/>
  <c r="AV77" i="1"/>
  <c r="BF33" i="1"/>
  <c r="AV61" i="1"/>
  <c r="CI25" i="1"/>
  <c r="CH74" i="1"/>
  <c r="BB37" i="1"/>
  <c r="CD139" i="1"/>
  <c r="BE142" i="1"/>
  <c r="CF21" i="1"/>
  <c r="BE23" i="1"/>
  <c r="AT4" i="1"/>
  <c r="AV57" i="1"/>
  <c r="CD188" i="1"/>
  <c r="AX13" i="1"/>
  <c r="EO5" i="1"/>
  <c r="AT5" i="1"/>
  <c r="AU15" i="1"/>
  <c r="DC22" i="1"/>
  <c r="BD139" i="1"/>
  <c r="AS33" i="1"/>
  <c r="BF35" i="1"/>
  <c r="EP8" i="1"/>
  <c r="EN23" i="1"/>
  <c r="AU4" i="1"/>
  <c r="AS71" i="1"/>
  <c r="EL95" i="1"/>
  <c r="EL11" i="1"/>
  <c r="CH170" i="1"/>
  <c r="AT22" i="1"/>
  <c r="EL92" i="1"/>
  <c r="AS13" i="1"/>
  <c r="BC75" i="1"/>
  <c r="EM11" i="1"/>
  <c r="DB27" i="1"/>
  <c r="EM70" i="1"/>
  <c r="DA10" i="1"/>
  <c r="EQ86" i="1"/>
  <c r="CH158" i="1"/>
  <c r="BF146" i="1"/>
  <c r="AX45" i="1"/>
  <c r="EP21" i="1"/>
  <c r="EM61" i="1"/>
  <c r="EP102" i="1"/>
  <c r="EO85" i="1"/>
  <c r="AT72" i="1"/>
  <c r="CI72" i="1"/>
  <c r="CI23" i="1"/>
  <c r="CG146" i="1"/>
  <c r="EO11" i="1"/>
  <c r="AV5" i="1"/>
  <c r="BF45" i="1"/>
  <c r="CD27" i="1"/>
  <c r="BA173" i="1"/>
  <c r="EM116" i="1"/>
  <c r="AW18" i="1"/>
  <c r="DB23" i="1"/>
  <c r="EM153" i="1"/>
  <c r="CE61" i="1"/>
  <c r="AT78" i="1"/>
  <c r="EP122" i="1"/>
  <c r="CD12" i="1"/>
  <c r="CI74" i="1"/>
  <c r="BA179" i="1"/>
  <c r="CF24" i="1"/>
  <c r="CF45" i="1"/>
  <c r="CE183" i="1"/>
  <c r="AU5" i="1"/>
  <c r="CF185" i="1"/>
  <c r="AU47" i="1"/>
  <c r="BB73" i="1"/>
  <c r="BF17" i="1"/>
  <c r="EM27" i="1"/>
  <c r="DD16" i="1"/>
  <c r="EQ93" i="1"/>
  <c r="CD145" i="1"/>
  <c r="AW24" i="1"/>
  <c r="DA25" i="1"/>
  <c r="CD166" i="1"/>
  <c r="CF176" i="1"/>
  <c r="EP124" i="1"/>
  <c r="CI9" i="1"/>
  <c r="DB28" i="1"/>
  <c r="EO34" i="1"/>
  <c r="AV48" i="1"/>
  <c r="DC4" i="1"/>
  <c r="AS45" i="1"/>
  <c r="EP110" i="1"/>
  <c r="EO107" i="1"/>
  <c r="EQ129" i="1"/>
  <c r="BA152" i="1"/>
  <c r="BA38" i="1"/>
  <c r="CF160" i="1"/>
  <c r="BD170" i="1"/>
  <c r="EM35" i="1"/>
  <c r="CD23" i="1"/>
  <c r="CG19" i="1"/>
  <c r="DE35" i="1"/>
  <c r="CD29" i="1"/>
  <c r="CH78" i="1"/>
  <c r="DB24" i="1"/>
  <c r="BB149" i="1"/>
  <c r="CI138" i="1"/>
  <c r="AS73" i="1"/>
  <c r="EL4" i="1"/>
  <c r="CE155" i="1"/>
  <c r="EQ85" i="1"/>
  <c r="CH6" i="1"/>
  <c r="EM21" i="1"/>
  <c r="AT12" i="1"/>
  <c r="EQ96" i="1"/>
  <c r="EO35" i="1"/>
  <c r="BA6" i="1"/>
  <c r="CD74" i="1"/>
  <c r="CI147" i="1"/>
  <c r="EM5" i="1"/>
  <c r="EO117" i="1"/>
  <c r="BB178" i="1"/>
  <c r="CD147" i="1"/>
  <c r="DA33" i="1"/>
  <c r="AT71" i="1"/>
  <c r="BF18" i="1"/>
  <c r="EO101" i="1"/>
  <c r="EO29" i="1"/>
  <c r="CF137" i="1"/>
  <c r="DD7" i="1"/>
  <c r="DE10" i="1"/>
  <c r="EO25" i="1"/>
  <c r="CH15" i="1"/>
  <c r="BA4" i="1"/>
  <c r="AT9" i="1"/>
  <c r="AW62" i="1"/>
  <c r="AW35" i="1"/>
  <c r="EQ13" i="1"/>
  <c r="EM127" i="1"/>
  <c r="EM58" i="1"/>
  <c r="BF159" i="1"/>
  <c r="CE141" i="1"/>
  <c r="BF57" i="1"/>
  <c r="EN20" i="1"/>
  <c r="EP106" i="1"/>
  <c r="DE23" i="1"/>
  <c r="AV38" i="1"/>
  <c r="BD33" i="1"/>
  <c r="BC15" i="1"/>
  <c r="BD31" i="1"/>
  <c r="AS36" i="1"/>
  <c r="DE27" i="1"/>
  <c r="EP9" i="1"/>
  <c r="EN22" i="1"/>
  <c r="BD175" i="1"/>
  <c r="CH59" i="1"/>
  <c r="AU61" i="1"/>
  <c r="AU25" i="1"/>
  <c r="AU73" i="1"/>
  <c r="DF34" i="1"/>
  <c r="EQ11" i="1"/>
  <c r="CF173" i="1"/>
  <c r="BF185" i="1"/>
  <c r="CH169" i="1"/>
  <c r="BE139" i="1"/>
  <c r="DC23" i="1"/>
  <c r="BC8" i="1"/>
  <c r="EN117" i="1"/>
  <c r="CH22" i="1"/>
  <c r="BE33" i="1"/>
  <c r="BC37" i="1"/>
  <c r="CF171" i="1"/>
  <c r="EQ113" i="1"/>
  <c r="CG145" i="1"/>
  <c r="CG75" i="1"/>
  <c r="AV19" i="1"/>
  <c r="DF36" i="1"/>
  <c r="BF74" i="1"/>
  <c r="BC32" i="1"/>
  <c r="BF180" i="1"/>
  <c r="BD143" i="1"/>
  <c r="BD11" i="1"/>
  <c r="AX27" i="1"/>
  <c r="EP91" i="1"/>
  <c r="AT36" i="1"/>
  <c r="CF25" i="1"/>
  <c r="CD142" i="1"/>
  <c r="BC27" i="1"/>
  <c r="BB27" i="1"/>
  <c r="AW71" i="1"/>
  <c r="BC38" i="1"/>
  <c r="BF72" i="1"/>
  <c r="AU62" i="1"/>
  <c r="AV9" i="1"/>
  <c r="BC140" i="1"/>
  <c r="AU29" i="1"/>
  <c r="CF151" i="1"/>
  <c r="CF78" i="1"/>
  <c r="BD24" i="1"/>
  <c r="EM62" i="1"/>
  <c r="EN28" i="1"/>
  <c r="EM86" i="1"/>
  <c r="CI178" i="1"/>
  <c r="AW60" i="1"/>
  <c r="EL189" i="1"/>
  <c r="BC170" i="1"/>
  <c r="BC169" i="1"/>
  <c r="AU45" i="1"/>
  <c r="CF33" i="1"/>
  <c r="EL23" i="1"/>
  <c r="BE34" i="1"/>
  <c r="BC4" i="1"/>
  <c r="BF58" i="1"/>
  <c r="BF63" i="1"/>
  <c r="EO108" i="1"/>
  <c r="BA145" i="1"/>
  <c r="DA30" i="1"/>
  <c r="AW34" i="1"/>
  <c r="BD146" i="1"/>
  <c r="AV79" i="1"/>
  <c r="BE16" i="1"/>
  <c r="AU79" i="1"/>
  <c r="EN103" i="1"/>
  <c r="AW32" i="1"/>
  <c r="CG184" i="1"/>
  <c r="AW11" i="1"/>
  <c r="BE5" i="1"/>
  <c r="AU12" i="1"/>
  <c r="EL27" i="1"/>
  <c r="BD183" i="1"/>
  <c r="DE8" i="1"/>
  <c r="CG46" i="1"/>
  <c r="CI46" i="1"/>
  <c r="BA28" i="1"/>
  <c r="CD140" i="1"/>
  <c r="EQ26" i="1"/>
  <c r="BC141" i="1"/>
  <c r="CD177" i="1"/>
  <c r="EM156" i="1"/>
  <c r="EM113" i="1"/>
  <c r="BF36" i="1"/>
  <c r="BA48" i="1"/>
  <c r="EM19" i="1"/>
  <c r="EO87" i="1"/>
  <c r="AS70" i="1"/>
  <c r="EP108" i="1"/>
  <c r="AU71" i="1"/>
  <c r="AU16" i="1"/>
  <c r="EQ127" i="1"/>
  <c r="AU9" i="1"/>
  <c r="BC187" i="1"/>
  <c r="BE72" i="1"/>
  <c r="EL58" i="1"/>
  <c r="CG57" i="1"/>
  <c r="EP103" i="1"/>
  <c r="CF60" i="1"/>
  <c r="BD176" i="1"/>
  <c r="DA32" i="1"/>
  <c r="CF153" i="1"/>
  <c r="EQ32" i="1"/>
  <c r="BC79" i="1"/>
  <c r="EN112" i="1"/>
  <c r="CG143" i="1"/>
  <c r="EP85" i="1"/>
  <c r="EN38" i="1"/>
  <c r="AT28" i="1"/>
  <c r="BB141" i="1"/>
  <c r="EN96" i="1"/>
  <c r="AX32" i="1"/>
  <c r="DA35" i="1"/>
  <c r="CG167" i="1"/>
  <c r="BF75" i="1"/>
  <c r="BB182" i="1"/>
  <c r="BD28" i="1"/>
  <c r="BE17" i="1"/>
  <c r="AV46" i="1"/>
  <c r="CI36" i="1"/>
  <c r="CG21" i="1"/>
  <c r="AS23" i="1"/>
  <c r="EO116" i="1"/>
  <c r="BA61" i="1"/>
  <c r="EN27" i="1"/>
  <c r="AX71" i="1"/>
  <c r="BC166" i="1"/>
  <c r="BC177" i="1"/>
  <c r="AT11" i="1"/>
  <c r="BC5" i="1"/>
  <c r="BB75" i="1"/>
  <c r="BD184" i="1"/>
  <c r="BD47" i="1"/>
  <c r="BF137" i="1"/>
  <c r="DE28" i="1"/>
  <c r="BC17" i="1"/>
  <c r="EN7" i="1"/>
  <c r="DF24" i="1"/>
  <c r="BD32" i="1"/>
  <c r="BC186" i="1"/>
  <c r="BF156" i="1"/>
  <c r="CG147" i="1"/>
  <c r="AT25" i="1"/>
  <c r="BB25" i="1"/>
  <c r="CH27" i="1"/>
  <c r="CG24" i="1"/>
  <c r="BB158" i="1"/>
  <c r="AX78" i="1"/>
  <c r="BC61" i="1"/>
  <c r="BC29" i="1"/>
  <c r="BC58" i="1"/>
  <c r="DC16" i="1"/>
  <c r="CF27" i="1"/>
  <c r="EQ107" i="1"/>
  <c r="BD16" i="1"/>
  <c r="CF48" i="1"/>
  <c r="BD8" i="1"/>
  <c r="CH72" i="1"/>
  <c r="CI184" i="1"/>
  <c r="EN4" i="1"/>
  <c r="EL117" i="1"/>
  <c r="AW28" i="1"/>
  <c r="EL36" i="1"/>
  <c r="BF11" i="1"/>
  <c r="CD45" i="1"/>
  <c r="BD63" i="1"/>
  <c r="BE7" i="1"/>
  <c r="EL145" i="1"/>
  <c r="BE77" i="1"/>
  <c r="CE189" i="1"/>
  <c r="DE13" i="1"/>
  <c r="BD169" i="1"/>
  <c r="DE37" i="1"/>
  <c r="BF14" i="1"/>
  <c r="CH30" i="1"/>
  <c r="CI78" i="1"/>
  <c r="AW23" i="1"/>
  <c r="DE34" i="1"/>
  <c r="CI179" i="1"/>
  <c r="EO37" i="1"/>
  <c r="BE59" i="1"/>
  <c r="BC18" i="1"/>
  <c r="CG148" i="1"/>
  <c r="EO28" i="1"/>
  <c r="BD167" i="1"/>
  <c r="BF26" i="1"/>
  <c r="BC173" i="1"/>
  <c r="AV30" i="1"/>
  <c r="AU46" i="1"/>
  <c r="EP89" i="1"/>
  <c r="EO30" i="1"/>
  <c r="BF144" i="1"/>
  <c r="CD33" i="1"/>
  <c r="BF24" i="1"/>
  <c r="BB59" i="1"/>
  <c r="BA47" i="1"/>
  <c r="AV62" i="1"/>
  <c r="CF72" i="1"/>
  <c r="AV78" i="1"/>
  <c r="BC144" i="1"/>
  <c r="BC30" i="1"/>
  <c r="CG38" i="1"/>
  <c r="DB25" i="1"/>
  <c r="CD21" i="1"/>
  <c r="CF142" i="1"/>
  <c r="EN31" i="1"/>
  <c r="CG141" i="1"/>
  <c r="EP5" i="1"/>
  <c r="BE13" i="1"/>
  <c r="BD160" i="1"/>
  <c r="BC182" i="1"/>
  <c r="CI17" i="1"/>
  <c r="BC147" i="1"/>
  <c r="AV60" i="1"/>
  <c r="EL20" i="1"/>
  <c r="CF79" i="1"/>
  <c r="CD150" i="1"/>
  <c r="BD61" i="1"/>
  <c r="AV16" i="1"/>
  <c r="AU74" i="1"/>
  <c r="BA176" i="1"/>
  <c r="AU38" i="1"/>
  <c r="CF57" i="1"/>
  <c r="AU21" i="1"/>
  <c r="BF183" i="1"/>
  <c r="EO19" i="1"/>
  <c r="DD28" i="1"/>
  <c r="DB15" i="1"/>
  <c r="CI10" i="1"/>
  <c r="BF22" i="1"/>
  <c r="EL119" i="1"/>
  <c r="EN32" i="1"/>
  <c r="EP125" i="1"/>
  <c r="EL90" i="1"/>
  <c r="BE32" i="1"/>
  <c r="EM100" i="1"/>
  <c r="BF7" i="1"/>
  <c r="CE151" i="1"/>
  <c r="CG177" i="1"/>
  <c r="BC139" i="1"/>
  <c r="AU138" i="1"/>
  <c r="EL146" i="1"/>
  <c r="DE36" i="1"/>
  <c r="EO15" i="1"/>
  <c r="EL24" i="1"/>
  <c r="CG166" i="1"/>
  <c r="EQ90" i="1"/>
  <c r="CD186" i="1"/>
  <c r="CF146" i="1"/>
  <c r="DC10" i="1"/>
  <c r="BD37" i="1"/>
  <c r="BA79" i="1"/>
  <c r="EO10" i="1"/>
  <c r="AT38" i="1"/>
  <c r="CG160" i="1"/>
  <c r="AS22" i="1"/>
  <c r="CF75" i="1"/>
  <c r="EM7" i="1"/>
  <c r="EN6" i="1"/>
  <c r="EQ117" i="1"/>
  <c r="DA14" i="1"/>
  <c r="BD19" i="1"/>
  <c r="BC175" i="1"/>
  <c r="DF16" i="1"/>
  <c r="BF73" i="1"/>
  <c r="AX21" i="1"/>
  <c r="BC25" i="1"/>
  <c r="CF6" i="1"/>
  <c r="BE75" i="1"/>
  <c r="EO31" i="1"/>
  <c r="BC171" i="1"/>
  <c r="EP37" i="1"/>
  <c r="AV189" i="1"/>
  <c r="CH4" i="1"/>
  <c r="BF138" i="1"/>
  <c r="AU14" i="1"/>
  <c r="BB30" i="1"/>
  <c r="BC172" i="1"/>
  <c r="AV59" i="1"/>
  <c r="BC48" i="1"/>
  <c r="EO32" i="1"/>
  <c r="BC13" i="1"/>
  <c r="BE6" i="1"/>
  <c r="AW57" i="1"/>
  <c r="CE186" i="1"/>
  <c r="BD4" i="1"/>
  <c r="AX35" i="1"/>
  <c r="EL88" i="1"/>
  <c r="EN86" i="1"/>
  <c r="DC25" i="1"/>
  <c r="EL188" i="1"/>
  <c r="AW58" i="1"/>
  <c r="AW19" i="1"/>
  <c r="EN33" i="1"/>
  <c r="BC183" i="1"/>
  <c r="EL100" i="1"/>
  <c r="CD46" i="1"/>
  <c r="DC35" i="1"/>
  <c r="BF34" i="1"/>
  <c r="AW5" i="1"/>
  <c r="EN21" i="1"/>
  <c r="EQ126" i="1"/>
  <c r="BA78" i="1"/>
  <c r="EM114" i="1"/>
  <c r="CH77" i="1"/>
  <c r="CH8" i="1"/>
  <c r="AS37" i="1"/>
  <c r="CH160" i="1"/>
  <c r="AX16" i="1"/>
  <c r="CG59" i="1"/>
  <c r="CF13" i="1"/>
  <c r="CH9" i="1"/>
  <c r="BE63" i="1"/>
  <c r="DD37" i="1"/>
  <c r="AV20" i="1"/>
  <c r="EN122" i="1"/>
  <c r="AX11" i="1"/>
  <c r="CG189" i="1"/>
  <c r="CE73" i="1"/>
  <c r="BF78" i="1"/>
  <c r="BD36" i="1"/>
  <c r="BF38" i="1"/>
  <c r="BC72" i="1"/>
  <c r="CE30" i="1"/>
  <c r="AS9" i="1"/>
  <c r="BD141" i="1"/>
  <c r="BD6" i="1"/>
  <c r="AV138" i="1"/>
  <c r="BF77" i="1"/>
  <c r="DB38" i="1"/>
  <c r="CH150" i="1"/>
  <c r="BF6" i="1"/>
  <c r="CG186" i="1"/>
  <c r="DC13" i="1"/>
  <c r="BB4" i="1"/>
  <c r="BD14" i="1"/>
  <c r="CF31" i="1"/>
  <c r="CD8" i="1"/>
  <c r="CD28" i="1"/>
  <c r="BF12" i="1"/>
  <c r="EM103" i="1"/>
  <c r="CE184" i="1"/>
  <c r="EL29" i="1"/>
  <c r="CF157" i="1"/>
  <c r="BE71" i="1"/>
  <c r="CG47" i="1"/>
  <c r="CD9" i="1"/>
  <c r="CD4" i="1"/>
  <c r="CE38" i="1"/>
  <c r="DB34" i="1"/>
  <c r="AU13" i="1"/>
  <c r="AW79" i="1"/>
  <c r="BD158" i="1"/>
  <c r="BC60" i="1"/>
  <c r="AS27" i="1"/>
  <c r="CI6" i="1"/>
  <c r="EL15" i="1"/>
  <c r="DA16" i="1"/>
  <c r="CF26" i="1"/>
  <c r="AV12" i="1"/>
  <c r="EQ17" i="1"/>
  <c r="BD189" i="1"/>
  <c r="EN37" i="1"/>
  <c r="BD72" i="1"/>
  <c r="EO94" i="1"/>
  <c r="CG35" i="1"/>
  <c r="AV76" i="1"/>
  <c r="AU30" i="1"/>
  <c r="CG140" i="1"/>
  <c r="BA18" i="1"/>
  <c r="AV34" i="1"/>
  <c r="BD34" i="1"/>
  <c r="CE34" i="1"/>
  <c r="BB24" i="1"/>
  <c r="AV47" i="1"/>
  <c r="EL124" i="1"/>
  <c r="CD175" i="1"/>
  <c r="CG172" i="1"/>
  <c r="EQ33" i="1"/>
  <c r="BC143" i="1"/>
  <c r="EQ123" i="1"/>
  <c r="EO8" i="1"/>
  <c r="DF31" i="1"/>
  <c r="BF20" i="1"/>
  <c r="EM111" i="1"/>
  <c r="AT21" i="1"/>
  <c r="EM165" i="1"/>
  <c r="DB35" i="1"/>
  <c r="AW45" i="1"/>
  <c r="CE29" i="1"/>
  <c r="BF37" i="1"/>
  <c r="AU37" i="1"/>
  <c r="CH185" i="1"/>
  <c r="EP101" i="1"/>
  <c r="DA37" i="1"/>
  <c r="EQ27" i="1"/>
  <c r="BE138" i="1"/>
  <c r="CF46" i="1"/>
  <c r="CD146" i="1"/>
  <c r="DD22" i="1"/>
  <c r="AW77" i="1"/>
  <c r="EL31" i="1"/>
  <c r="CI19" i="1"/>
  <c r="DF23" i="1"/>
  <c r="EO9" i="1"/>
  <c r="CF32" i="1"/>
  <c r="BB23" i="1"/>
  <c r="EL13" i="1"/>
  <c r="AU77" i="1"/>
  <c r="BC11" i="1"/>
  <c r="AS57" i="1"/>
  <c r="BB19" i="1"/>
  <c r="BE144" i="1"/>
  <c r="DD25" i="1"/>
  <c r="CG171" i="1"/>
  <c r="EL99" i="1"/>
  <c r="CE11" i="1"/>
  <c r="BB160" i="1"/>
  <c r="AU20" i="1"/>
  <c r="CG180" i="1"/>
  <c r="BA182" i="1"/>
  <c r="BC21" i="1"/>
  <c r="BE15" i="1"/>
  <c r="BA5" i="1"/>
  <c r="BA183" i="1"/>
  <c r="CD77" i="1"/>
  <c r="CI37" i="1"/>
  <c r="BC78" i="1"/>
  <c r="BD181" i="1"/>
  <c r="EL61" i="1"/>
  <c r="CI29" i="1"/>
  <c r="BE178" i="1"/>
  <c r="CF178" i="1"/>
  <c r="BD23" i="1"/>
  <c r="BE45" i="1"/>
  <c r="BA154" i="1"/>
  <c r="CF58" i="1"/>
  <c r="DC18" i="1"/>
  <c r="BD58" i="1"/>
  <c r="BD77" i="1"/>
  <c r="CD158" i="1"/>
  <c r="BC156" i="1"/>
  <c r="BC164" i="1"/>
  <c r="BE76" i="1"/>
  <c r="CF59" i="1"/>
  <c r="BE187" i="1"/>
  <c r="BD17" i="1"/>
  <c r="BB5" i="1"/>
  <c r="AU10" i="1"/>
  <c r="CF9" i="1"/>
  <c r="AS17" i="1"/>
  <c r="CE5" i="1"/>
  <c r="CG72" i="1"/>
  <c r="BC26" i="1"/>
  <c r="EN17" i="1"/>
  <c r="CF73" i="1"/>
  <c r="AX76" i="1"/>
  <c r="EQ95" i="1"/>
  <c r="CH181" i="1"/>
  <c r="BA34" i="1"/>
  <c r="AV25" i="1"/>
  <c r="CG11" i="1"/>
  <c r="EN102" i="1"/>
  <c r="CD15" i="1"/>
  <c r="BA148" i="1"/>
  <c r="CH176" i="1"/>
  <c r="BE181" i="1"/>
  <c r="CE140" i="1"/>
  <c r="CG14" i="1"/>
  <c r="BE47" i="1"/>
  <c r="CE12" i="1"/>
  <c r="BD174" i="1"/>
  <c r="CF74" i="1"/>
  <c r="BE12" i="1"/>
  <c r="BF157" i="1"/>
  <c r="CE180" i="1"/>
  <c r="BB61" i="1"/>
  <c r="DC33" i="1"/>
  <c r="CH79" i="1"/>
  <c r="AX72" i="1"/>
  <c r="EQ124" i="1"/>
  <c r="EN88" i="1"/>
  <c r="CD151" i="1"/>
  <c r="BC10" i="1"/>
  <c r="BF59" i="1"/>
  <c r="EN26" i="1"/>
  <c r="CG10" i="1"/>
  <c r="BB152" i="1"/>
  <c r="EM57" i="1"/>
  <c r="CD154" i="1"/>
  <c r="EO93" i="1"/>
  <c r="AU23" i="1"/>
  <c r="EM146" i="1"/>
  <c r="EM91" i="1"/>
  <c r="AV137" i="1"/>
  <c r="BD159" i="1"/>
  <c r="BF147" i="1"/>
  <c r="BC145" i="1"/>
  <c r="AS24" i="1"/>
  <c r="BF139" i="1"/>
  <c r="DA12" i="1"/>
  <c r="BC76" i="1"/>
  <c r="BD185" i="1"/>
  <c r="EO12" i="1"/>
  <c r="AT29" i="1"/>
  <c r="AV36" i="1"/>
  <c r="BC161" i="1"/>
  <c r="EP23" i="1"/>
  <c r="CG28" i="1"/>
  <c r="EP17" i="1"/>
  <c r="BA32" i="1"/>
  <c r="AX79" i="1"/>
  <c r="EM90" i="1"/>
  <c r="EN121" i="1"/>
  <c r="DC19" i="1"/>
  <c r="CG174" i="1"/>
  <c r="CF18" i="1"/>
  <c r="BE188" i="1"/>
  <c r="CG32" i="1"/>
  <c r="BF27" i="1"/>
  <c r="EN125" i="1"/>
  <c r="EO122" i="1"/>
  <c r="AV188" i="1"/>
  <c r="BC189" i="1"/>
  <c r="EN109" i="1"/>
  <c r="DF35" i="1"/>
  <c r="DA15" i="1"/>
  <c r="EO119" i="1"/>
  <c r="BA177" i="1"/>
  <c r="EL93" i="1"/>
  <c r="CH144" i="1"/>
  <c r="EL37" i="1"/>
  <c r="AW26" i="1"/>
  <c r="BC36" i="1"/>
  <c r="EM32" i="1"/>
  <c r="BD57" i="1"/>
  <c r="AU24" i="1"/>
  <c r="DC32" i="1"/>
  <c r="EM122" i="1"/>
  <c r="BB29" i="1"/>
  <c r="CG159" i="1"/>
  <c r="BE14" i="1"/>
  <c r="EM72" i="1"/>
  <c r="BE29" i="1"/>
  <c r="BB70" i="1"/>
  <c r="BF155" i="1"/>
  <c r="BA187" i="1"/>
  <c r="BC22" i="1"/>
  <c r="AV58" i="1"/>
  <c r="DD10" i="1"/>
  <c r="BC70" i="1"/>
  <c r="AV75" i="1"/>
  <c r="BC16" i="1"/>
  <c r="BF186" i="1"/>
  <c r="BF79" i="1"/>
  <c r="CD6" i="1"/>
  <c r="EL172" i="1"/>
  <c r="EP113" i="1"/>
  <c r="DB7" i="1"/>
  <c r="EN11" i="1"/>
  <c r="CI48" i="1"/>
  <c r="AS10" i="1"/>
  <c r="CG181" i="1"/>
  <c r="DA20" i="1"/>
  <c r="BD25" i="1"/>
  <c r="BD142" i="1"/>
  <c r="AV26" i="1"/>
  <c r="CE145" i="1"/>
  <c r="BF25" i="1"/>
  <c r="CF156" i="1"/>
  <c r="AX30" i="1"/>
  <c r="BE27" i="1"/>
  <c r="DB16" i="1"/>
  <c r="BC184" i="1"/>
  <c r="BE57" i="1"/>
  <c r="CD14" i="1"/>
  <c r="BA139" i="1"/>
  <c r="CD156" i="1"/>
  <c r="AS72" i="1"/>
  <c r="CF189" i="1"/>
  <c r="EN13" i="1"/>
  <c r="AS59" i="1"/>
  <c r="AS32" i="1"/>
  <c r="CG18" i="1"/>
  <c r="BC28" i="1"/>
  <c r="AV28" i="1"/>
  <c r="BE20" i="1"/>
  <c r="CH149" i="1"/>
  <c r="CE19" i="1"/>
  <c r="BD182" i="1"/>
  <c r="BE140" i="1"/>
  <c r="CE159" i="1"/>
  <c r="AV24" i="1"/>
  <c r="AS5" i="1"/>
  <c r="CD59" i="1"/>
  <c r="AX23" i="1"/>
  <c r="DB26" i="1"/>
  <c r="AU57" i="1"/>
  <c r="DD31" i="1"/>
  <c r="EO38" i="1"/>
  <c r="BC47" i="1"/>
  <c r="BB71" i="1"/>
  <c r="BC142" i="1"/>
  <c r="BF145" i="1"/>
  <c r="CF5" i="1"/>
  <c r="CG178" i="1"/>
  <c r="BF32" i="1"/>
  <c r="CI77" i="1"/>
  <c r="CE17" i="1"/>
  <c r="AS6" i="1"/>
  <c r="BD145" i="1"/>
  <c r="DB31" i="1"/>
  <c r="BE70" i="1"/>
  <c r="BF154" i="1"/>
  <c r="BE62" i="1"/>
  <c r="EM129" i="1"/>
  <c r="EN14" i="1"/>
  <c r="DB20" i="1"/>
  <c r="EP126" i="1"/>
  <c r="EO24" i="1"/>
  <c r="CG79" i="1"/>
  <c r="AW63" i="1"/>
  <c r="EL106" i="1"/>
  <c r="AS74" i="1"/>
  <c r="AV14" i="1"/>
  <c r="EL104" i="1"/>
  <c r="BD180" i="1"/>
  <c r="DF18" i="1"/>
  <c r="BF30" i="1"/>
  <c r="BC167" i="1"/>
  <c r="AV45" i="1"/>
  <c r="BD186" i="1"/>
  <c r="AS20" i="1"/>
  <c r="AV72" i="1"/>
  <c r="BF48" i="1"/>
  <c r="EL47" i="1"/>
  <c r="EQ105" i="1"/>
  <c r="BD62" i="1"/>
  <c r="BC24" i="1"/>
  <c r="BD13" i="1"/>
  <c r="EN5" i="1"/>
  <c r="CH57" i="1"/>
  <c r="CD34" i="1"/>
  <c r="CD157" i="1"/>
  <c r="CF158" i="1"/>
  <c r="AV35" i="1"/>
  <c r="BB175" i="1"/>
  <c r="BB9" i="1"/>
  <c r="AT45" i="1"/>
  <c r="EN9" i="1"/>
  <c r="BB32" i="1"/>
  <c r="CH11" i="1"/>
  <c r="EM159" i="1"/>
  <c r="AX36" i="1"/>
  <c r="EL115" i="1"/>
  <c r="BB145" i="1"/>
  <c r="AV15" i="1"/>
  <c r="BC157" i="1"/>
  <c r="CH12" i="1"/>
  <c r="BC73" i="1"/>
  <c r="EO20" i="1"/>
  <c r="BC178" i="1"/>
  <c r="CF4" i="1"/>
  <c r="DC5" i="1"/>
  <c r="AT33" i="1"/>
  <c r="CI174" i="1"/>
  <c r="CH143" i="1"/>
  <c r="AW15" i="1"/>
  <c r="CI157" i="1"/>
  <c r="EP25" i="1"/>
  <c r="EL103" i="1"/>
  <c r="CD174" i="1"/>
  <c r="CF19" i="1"/>
  <c r="AS48" i="1"/>
  <c r="AU26" i="1"/>
  <c r="CF76" i="1"/>
  <c r="BC138" i="1"/>
  <c r="BF177" i="1"/>
  <c r="CF172" i="1"/>
  <c r="BE179" i="1"/>
  <c r="CE143" i="1"/>
  <c r="EN29" i="1"/>
  <c r="EQ8" i="1"/>
  <c r="EO16" i="1"/>
  <c r="EN16" i="1"/>
  <c r="DC15" i="1"/>
  <c r="CF169" i="1"/>
  <c r="CG175" i="1"/>
  <c r="BC151" i="1"/>
  <c r="CG183" i="1"/>
  <c r="BD15" i="1"/>
  <c r="AU48" i="1"/>
  <c r="DE14" i="1"/>
  <c r="BD188" i="1"/>
  <c r="BB78" i="1"/>
  <c r="AV21" i="1"/>
  <c r="BE24" i="1"/>
  <c r="CE4" i="1"/>
  <c r="AV71" i="1"/>
  <c r="AU75" i="1"/>
  <c r="AU72" i="1"/>
  <c r="CI35" i="1"/>
  <c r="AU33" i="1"/>
  <c r="BD162" i="1"/>
  <c r="BD166" i="1"/>
  <c r="EM126" i="1"/>
  <c r="EL173" i="1"/>
  <c r="EO23" i="1"/>
  <c r="BE74" i="1"/>
  <c r="DD27" i="1"/>
  <c r="EN35" i="1"/>
  <c r="CE172" i="1"/>
  <c r="EM30" i="1"/>
  <c r="CF147" i="1"/>
  <c r="CG8" i="1"/>
  <c r="DC8" i="1"/>
  <c r="AS30" i="1"/>
  <c r="EP92" i="1"/>
  <c r="CE76" i="1"/>
  <c r="BF142" i="1"/>
  <c r="BC31" i="1"/>
  <c r="EM151" i="1"/>
  <c r="DD17" i="1"/>
  <c r="CF150" i="1"/>
  <c r="AT75" i="1"/>
  <c r="EO90" i="1"/>
  <c r="CF177" i="1"/>
  <c r="BE61" i="1"/>
  <c r="AU27" i="1"/>
  <c r="EN36" i="1"/>
  <c r="BC14" i="1"/>
  <c r="CF10" i="1"/>
  <c r="DE16" i="1"/>
  <c r="EN19" i="1"/>
  <c r="AU137" i="1"/>
  <c r="CF22" i="1"/>
  <c r="BE37" i="1"/>
  <c r="BF16" i="1"/>
  <c r="BE73" i="1"/>
  <c r="AV6" i="1"/>
  <c r="EM161" i="1"/>
  <c r="BE60" i="1"/>
  <c r="BC33" i="1"/>
  <c r="EL30" i="1"/>
  <c r="AU31" i="1"/>
  <c r="BD178" i="1"/>
  <c r="BF153" i="1"/>
  <c r="EP118" i="1"/>
  <c r="BA60" i="1"/>
  <c r="EQ18" i="1"/>
  <c r="CE32" i="1"/>
  <c r="CD48" i="1"/>
  <c r="EP120" i="1"/>
  <c r="AT61" i="1"/>
  <c r="AU188" i="1"/>
  <c r="CE14" i="1"/>
  <c r="CD148" i="1"/>
  <c r="EO7" i="1"/>
  <c r="EL170" i="1"/>
  <c r="BE19" i="1"/>
  <c r="EL5" i="1"/>
  <c r="CD10" i="1"/>
  <c r="EN110" i="1"/>
  <c r="CH153" i="1"/>
  <c r="EM47" i="1"/>
  <c r="CE20" i="1"/>
  <c r="EL102" i="1"/>
  <c r="EQ98" i="1"/>
  <c r="EM89" i="1"/>
  <c r="EM112" i="1"/>
  <c r="BF21" i="1"/>
  <c r="DF26" i="1"/>
  <c r="EL113" i="1"/>
  <c r="BE46" i="1"/>
  <c r="BB142" i="1"/>
  <c r="EL63" i="1"/>
  <c r="CF34" i="1"/>
  <c r="EM157" i="1"/>
  <c r="BE177" i="1"/>
  <c r="BA10" i="1"/>
  <c r="EL89" i="1"/>
  <c r="BD140" i="1"/>
  <c r="BF60" i="1"/>
  <c r="CD5" i="1"/>
  <c r="CG187" i="1"/>
  <c r="AV17" i="1"/>
  <c r="DE9" i="1"/>
  <c r="BC146" i="1"/>
  <c r="CH156" i="1"/>
  <c r="AS7" i="1"/>
  <c r="DE24" i="1"/>
  <c r="BF28" i="1"/>
  <c r="AT32" i="1"/>
  <c r="CF15" i="1"/>
  <c r="EL21" i="1"/>
  <c r="BD147" i="1"/>
  <c r="EQ34" i="1"/>
  <c r="AU78" i="1"/>
  <c r="CI166" i="1"/>
  <c r="CG137" i="1"/>
  <c r="CG4" i="1"/>
  <c r="BE18" i="1"/>
  <c r="BC158" i="1"/>
  <c r="BF178" i="1"/>
  <c r="CF37" i="1"/>
  <c r="DA23" i="1"/>
  <c r="EM124" i="1"/>
  <c r="CE37" i="1"/>
  <c r="CG36" i="1"/>
  <c r="EL126" i="1"/>
  <c r="BC162" i="1"/>
  <c r="EN85" i="1"/>
  <c r="BD20" i="1"/>
  <c r="BC160" i="1"/>
  <c r="EP22" i="1"/>
  <c r="EN18" i="1"/>
  <c r="BA142" i="1"/>
  <c r="CG173" i="1"/>
  <c r="BB173" i="1"/>
  <c r="AV73" i="1"/>
  <c r="BF70" i="1"/>
  <c r="AW59" i="1"/>
  <c r="BC12" i="1"/>
  <c r="CG144" i="1"/>
  <c r="CD26" i="1"/>
  <c r="BD45" i="1"/>
  <c r="CG37" i="1"/>
  <c r="EO36" i="1"/>
  <c r="BF143" i="1"/>
  <c r="BC150" i="1"/>
  <c r="BE146" i="1"/>
  <c r="BC148" i="1"/>
  <c r="DF15" i="1"/>
  <c r="DB29" i="1"/>
  <c r="AV22" i="1"/>
  <c r="AU8" i="1"/>
  <c r="CF20" i="1"/>
  <c r="EM120" i="1"/>
  <c r="CG60" i="1"/>
  <c r="BC165" i="1"/>
  <c r="EP27" i="1"/>
  <c r="AX29" i="1"/>
  <c r="BF8" i="1"/>
  <c r="EN93" i="1"/>
  <c r="DJ59" i="1" l="1"/>
  <c r="DJ78" i="1"/>
  <c r="DJ62" i="1"/>
  <c r="DJ63" i="1"/>
  <c r="DJ74" i="1"/>
  <c r="DJ73" i="1"/>
  <c r="DJ75" i="1"/>
  <c r="DK57" i="1"/>
  <c r="DJ72" i="1"/>
  <c r="EG93" i="1"/>
  <c r="DZ93" i="1" s="1"/>
  <c r="BL93" i="1" s="1"/>
  <c r="EI27" i="1"/>
  <c r="EB27" i="1" s="1"/>
  <c r="BN27" i="1" s="1"/>
  <c r="BZ165" i="1"/>
  <c r="CS165" i="1"/>
  <c r="EF120" i="1"/>
  <c r="DY120" i="1" s="1"/>
  <c r="BK120" i="1" s="1"/>
  <c r="C8" i="1"/>
  <c r="CM8" i="1"/>
  <c r="DI29" i="1"/>
  <c r="DO29" i="1"/>
  <c r="DK29" i="1"/>
  <c r="BZ148" i="1"/>
  <c r="CS148" i="1"/>
  <c r="CB146" i="1"/>
  <c r="CU146" i="1"/>
  <c r="CS150" i="1"/>
  <c r="BZ150" i="1"/>
  <c r="EH36" i="1"/>
  <c r="EA36" i="1" s="1"/>
  <c r="BM36" i="1" s="1"/>
  <c r="BD44" i="1"/>
  <c r="CS12" i="1"/>
  <c r="BU59" i="1"/>
  <c r="D59" i="1"/>
  <c r="CO59" i="1"/>
  <c r="DI173" i="1"/>
  <c r="DK173" i="1"/>
  <c r="DO173" i="1"/>
  <c r="DU173" i="1"/>
  <c r="BH142" i="1"/>
  <c r="DJ142" i="1"/>
  <c r="BX142" i="1"/>
  <c r="DN142" i="1"/>
  <c r="DV142" i="1" s="1"/>
  <c r="DT142" i="1"/>
  <c r="CQ142" i="1"/>
  <c r="DH142" i="1"/>
  <c r="EG18" i="1"/>
  <c r="DZ18" i="1" s="1"/>
  <c r="BL18" i="1" s="1"/>
  <c r="EI22" i="1"/>
  <c r="EB22" i="1" s="1"/>
  <c r="BN22" i="1" s="1"/>
  <c r="CS160" i="1"/>
  <c r="BZ160" i="1"/>
  <c r="EN84" i="1"/>
  <c r="EG85" i="1"/>
  <c r="DZ85" i="1" s="1"/>
  <c r="BL85" i="1" s="1"/>
  <c r="CS162" i="1"/>
  <c r="BZ162" i="1"/>
  <c r="CA163" i="1" s="1"/>
  <c r="EE126" i="1"/>
  <c r="DX126" i="1" s="1"/>
  <c r="BJ126" i="1" s="1"/>
  <c r="EF124" i="1"/>
  <c r="DY124" i="1" s="1"/>
  <c r="BK124" i="1" s="1"/>
  <c r="DN23" i="1"/>
  <c r="DV23" i="1" s="1"/>
  <c r="DH23" i="1"/>
  <c r="DJ23" i="1"/>
  <c r="CS158" i="1"/>
  <c r="BZ158" i="1"/>
  <c r="CU18" i="1"/>
  <c r="CG3" i="1"/>
  <c r="C78" i="1"/>
  <c r="CM78" i="1"/>
  <c r="BS78" i="1"/>
  <c r="EJ34" i="1"/>
  <c r="EC34" i="1" s="1"/>
  <c r="BO34" i="1" s="1"/>
  <c r="EE21" i="1"/>
  <c r="DX21" i="1" s="1"/>
  <c r="BJ21" i="1" s="1"/>
  <c r="B7" i="1"/>
  <c r="AY7" i="1"/>
  <c r="CK7" i="1"/>
  <c r="CO156" i="1"/>
  <c r="BZ146" i="1"/>
  <c r="CS146" i="1"/>
  <c r="EE89" i="1"/>
  <c r="DX89" i="1" s="1"/>
  <c r="BJ89" i="1" s="1"/>
  <c r="CQ10" i="1"/>
  <c r="BH10" i="1"/>
  <c r="DT10" i="1"/>
  <c r="CB177" i="1"/>
  <c r="CC177" i="1" s="1"/>
  <c r="CU177" i="1"/>
  <c r="EF157" i="1"/>
  <c r="DY157" i="1" s="1"/>
  <c r="BK157" i="1" s="1"/>
  <c r="EE63" i="1"/>
  <c r="DX63" i="1" s="1"/>
  <c r="BJ63" i="1" s="1"/>
  <c r="DK142" i="1"/>
  <c r="DI142" i="1"/>
  <c r="DU142" i="1"/>
  <c r="DO142" i="1"/>
  <c r="DW142" i="1" s="1"/>
  <c r="CB46" i="1"/>
  <c r="CU46" i="1"/>
  <c r="EE113" i="1"/>
  <c r="DX113" i="1" s="1"/>
  <c r="BJ113" i="1" s="1"/>
  <c r="EF112" i="1"/>
  <c r="DY112" i="1" s="1"/>
  <c r="BK112" i="1" s="1"/>
  <c r="EF89" i="1"/>
  <c r="DY89" i="1" s="1"/>
  <c r="BK89" i="1" s="1"/>
  <c r="EJ98" i="1"/>
  <c r="EC98" i="1" s="1"/>
  <c r="BO98" i="1" s="1"/>
  <c r="EE102" i="1"/>
  <c r="DX102" i="1" s="1"/>
  <c r="BJ102" i="1" s="1"/>
  <c r="EF47" i="1"/>
  <c r="DY47" i="1" s="1"/>
  <c r="BK47" i="1" s="1"/>
  <c r="CO153" i="1"/>
  <c r="EG110" i="1"/>
  <c r="DZ110" i="1" s="1"/>
  <c r="BL110" i="1" s="1"/>
  <c r="EE5" i="1"/>
  <c r="DX5" i="1" s="1"/>
  <c r="BJ5" i="1" s="1"/>
  <c r="CU19" i="1"/>
  <c r="EE170" i="1"/>
  <c r="DX170" i="1" s="1"/>
  <c r="BJ170" i="1" s="1"/>
  <c r="EH7" i="1"/>
  <c r="EA7" i="1" s="1"/>
  <c r="BM7" i="1" s="1"/>
  <c r="CK148" i="1"/>
  <c r="AY188" i="1"/>
  <c r="CM188" i="1"/>
  <c r="BS188" i="1"/>
  <c r="BT188" i="1" s="1"/>
  <c r="C188" i="1"/>
  <c r="E188" i="1" s="1"/>
  <c r="EI120" i="1"/>
  <c r="EB120" i="1" s="1"/>
  <c r="BN120" i="1" s="1"/>
  <c r="EJ18" i="1"/>
  <c r="EC18" i="1" s="1"/>
  <c r="BO18" i="1" s="1"/>
  <c r="DH60" i="1"/>
  <c r="DN60" i="1"/>
  <c r="DJ60" i="1"/>
  <c r="DT60" i="1"/>
  <c r="CQ60" i="1"/>
  <c r="BH60" i="1"/>
  <c r="EI118" i="1"/>
  <c r="EB118" i="1" s="1"/>
  <c r="BN118" i="1" s="1"/>
  <c r="CU153" i="1"/>
  <c r="CB153" i="1"/>
  <c r="CC153" i="1" s="1"/>
  <c r="CM31" i="1"/>
  <c r="C31" i="1"/>
  <c r="EE30" i="1"/>
  <c r="DX30" i="1" s="1"/>
  <c r="BJ30" i="1" s="1"/>
  <c r="CS33" i="1"/>
  <c r="CU60" i="1"/>
  <c r="CB60" i="1"/>
  <c r="EF161" i="1"/>
  <c r="DY161" i="1" s="1"/>
  <c r="BK161" i="1" s="1"/>
  <c r="BQ161" i="1" s="1"/>
  <c r="CB73" i="1"/>
  <c r="CU73" i="1"/>
  <c r="CU37" i="1"/>
  <c r="AY137" i="1"/>
  <c r="C137" i="1"/>
  <c r="E137" i="1" s="1"/>
  <c r="AU136" i="1"/>
  <c r="BS137" i="1"/>
  <c r="CW137" i="1" s="1"/>
  <c r="CM137" i="1"/>
  <c r="EG19" i="1"/>
  <c r="DZ19" i="1" s="1"/>
  <c r="BL19" i="1" s="1"/>
  <c r="CS14" i="1"/>
  <c r="EG36" i="1"/>
  <c r="DZ36" i="1" s="1"/>
  <c r="BL36" i="1" s="1"/>
  <c r="C27" i="1"/>
  <c r="CM27" i="1"/>
  <c r="CU61" i="1"/>
  <c r="CB61" i="1"/>
  <c r="CM177" i="1"/>
  <c r="EH90" i="1"/>
  <c r="EA90" i="1" s="1"/>
  <c r="BM90" i="1" s="1"/>
  <c r="CM150" i="1"/>
  <c r="EF151" i="1"/>
  <c r="DY151" i="1" s="1"/>
  <c r="BK151" i="1" s="1"/>
  <c r="CS31" i="1"/>
  <c r="EI92" i="1"/>
  <c r="EB92" i="1" s="1"/>
  <c r="BN92" i="1" s="1"/>
  <c r="CK30" i="1"/>
  <c r="B30" i="1"/>
  <c r="AY30" i="1"/>
  <c r="CM147" i="1"/>
  <c r="EF30" i="1"/>
  <c r="DY30" i="1" s="1"/>
  <c r="BK30" i="1" s="1"/>
  <c r="EG35" i="1"/>
  <c r="DZ35" i="1" s="1"/>
  <c r="BL35" i="1" s="1"/>
  <c r="CB74" i="1"/>
  <c r="CU74" i="1"/>
  <c r="EH23" i="1"/>
  <c r="EA23" i="1" s="1"/>
  <c r="BM23" i="1" s="1"/>
  <c r="EE173" i="1"/>
  <c r="DX173" i="1" s="1"/>
  <c r="BJ173" i="1" s="1"/>
  <c r="EF126" i="1"/>
  <c r="DY126" i="1" s="1"/>
  <c r="BK126" i="1" s="1"/>
  <c r="CM33" i="1"/>
  <c r="C33" i="1"/>
  <c r="BS72" i="1"/>
  <c r="CM72" i="1"/>
  <c r="C72" i="1"/>
  <c r="CM75" i="1"/>
  <c r="BS75" i="1"/>
  <c r="C75" i="1"/>
  <c r="CE3" i="1"/>
  <c r="CU24" i="1"/>
  <c r="DK78" i="1"/>
  <c r="DU78" i="1"/>
  <c r="DO78" i="1"/>
  <c r="DI78" i="1"/>
  <c r="BS48" i="1"/>
  <c r="C48" i="1"/>
  <c r="CM48" i="1"/>
  <c r="CM183" i="1"/>
  <c r="BZ151" i="1"/>
  <c r="CS151" i="1"/>
  <c r="CM169" i="1"/>
  <c r="EG16" i="1"/>
  <c r="DZ16" i="1" s="1"/>
  <c r="BL16" i="1" s="1"/>
  <c r="EH16" i="1"/>
  <c r="EA16" i="1" s="1"/>
  <c r="BM16" i="1" s="1"/>
  <c r="EJ8" i="1"/>
  <c r="EC8" i="1" s="1"/>
  <c r="BO8" i="1" s="1"/>
  <c r="EG29" i="1"/>
  <c r="DZ29" i="1" s="1"/>
  <c r="BL29" i="1" s="1"/>
  <c r="CU179" i="1"/>
  <c r="CB179" i="1"/>
  <c r="CM172" i="1"/>
  <c r="BZ138" i="1"/>
  <c r="CS138" i="1"/>
  <c r="CM26" i="1"/>
  <c r="C26" i="1"/>
  <c r="AY48" i="1"/>
  <c r="CK48" i="1"/>
  <c r="B48" i="1"/>
  <c r="CK174" i="1"/>
  <c r="EE103" i="1"/>
  <c r="DX103" i="1" s="1"/>
  <c r="EI25" i="1"/>
  <c r="EB25" i="1" s="1"/>
  <c r="BN25" i="1" s="1"/>
  <c r="D15" i="1"/>
  <c r="CO15" i="1"/>
  <c r="CO143" i="1"/>
  <c r="CF3" i="1"/>
  <c r="CS178" i="1"/>
  <c r="BZ178" i="1"/>
  <c r="EH20" i="1"/>
  <c r="EA20" i="1" s="1"/>
  <c r="BM20" i="1" s="1"/>
  <c r="CS73" i="1"/>
  <c r="BZ73" i="1"/>
  <c r="BZ157" i="1"/>
  <c r="CS157" i="1"/>
  <c r="DI145" i="1"/>
  <c r="DK145" i="1"/>
  <c r="DU145" i="1"/>
  <c r="DO145" i="1"/>
  <c r="DW145" i="1" s="1"/>
  <c r="EE115" i="1"/>
  <c r="DX115" i="1" s="1"/>
  <c r="BJ115" i="1" s="1"/>
  <c r="EF159" i="1"/>
  <c r="DY159" i="1" s="1"/>
  <c r="BK159" i="1" s="1"/>
  <c r="DU32" i="1"/>
  <c r="EG9" i="1"/>
  <c r="DZ9" i="1" s="1"/>
  <c r="BL9" i="1" s="1"/>
  <c r="AT44" i="1"/>
  <c r="DU9" i="1"/>
  <c r="DI175" i="1"/>
  <c r="DO175" i="1"/>
  <c r="DK175" i="1"/>
  <c r="DU175" i="1"/>
  <c r="CM158" i="1"/>
  <c r="CK157" i="1"/>
  <c r="EG5" i="1"/>
  <c r="DZ5" i="1" s="1"/>
  <c r="BL5" i="1" s="1"/>
  <c r="CS24" i="1"/>
  <c r="EJ105" i="1"/>
  <c r="EC105" i="1" s="1"/>
  <c r="BO105" i="1" s="1"/>
  <c r="EE47" i="1"/>
  <c r="DX47" i="1" s="1"/>
  <c r="BJ47" i="1" s="1"/>
  <c r="CK20" i="1"/>
  <c r="AY20" i="1"/>
  <c r="B20" i="1"/>
  <c r="AV44" i="1"/>
  <c r="BZ167" i="1"/>
  <c r="CA168" i="1" s="1"/>
  <c r="CS167" i="1"/>
  <c r="CS180" i="1"/>
  <c r="BZ180" i="1"/>
  <c r="EE104" i="1"/>
  <c r="DX104" i="1" s="1"/>
  <c r="BJ104" i="1" s="1"/>
  <c r="AY74" i="1"/>
  <c r="CK74" i="1"/>
  <c r="B74" i="1"/>
  <c r="EE106" i="1"/>
  <c r="DX106" i="1" s="1"/>
  <c r="BJ106" i="1" s="1"/>
  <c r="BU63" i="1"/>
  <c r="D63" i="1"/>
  <c r="CO63" i="1"/>
  <c r="EH24" i="1"/>
  <c r="EA24" i="1" s="1"/>
  <c r="BM24" i="1" s="1"/>
  <c r="EI126" i="1"/>
  <c r="EB126" i="1" s="1"/>
  <c r="BN126" i="1" s="1"/>
  <c r="DI20" i="1"/>
  <c r="DO20" i="1"/>
  <c r="DK20" i="1"/>
  <c r="EG14" i="1"/>
  <c r="DZ14" i="1" s="1"/>
  <c r="BL14" i="1" s="1"/>
  <c r="EF129" i="1"/>
  <c r="DY129" i="1" s="1"/>
  <c r="BK129" i="1" s="1"/>
  <c r="CB62" i="1"/>
  <c r="CU62" i="1"/>
  <c r="CB154" i="1"/>
  <c r="CU154" i="1"/>
  <c r="CB70" i="1"/>
  <c r="CC70" i="1" s="1"/>
  <c r="CU70" i="1"/>
  <c r="DK31" i="1"/>
  <c r="DI31" i="1"/>
  <c r="DO31" i="1"/>
  <c r="B6" i="1"/>
  <c r="AY6" i="1"/>
  <c r="CK6" i="1"/>
  <c r="CS142" i="1"/>
  <c r="BZ142" i="1"/>
  <c r="DK71" i="1"/>
  <c r="DI71" i="1"/>
  <c r="DO71" i="1"/>
  <c r="DU71" i="1"/>
  <c r="CS47" i="1"/>
  <c r="BZ47" i="1"/>
  <c r="EH38" i="1"/>
  <c r="EA38" i="1" s="1"/>
  <c r="BM38" i="1" s="1"/>
  <c r="CM57" i="1"/>
  <c r="C57" i="1"/>
  <c r="BS57" i="1"/>
  <c r="BT57" i="1" s="1"/>
  <c r="DI26" i="1"/>
  <c r="DO26" i="1"/>
  <c r="DK26" i="1"/>
  <c r="AY5" i="1"/>
  <c r="B5" i="1"/>
  <c r="CK5" i="1"/>
  <c r="CU140" i="1"/>
  <c r="CB140" i="1"/>
  <c r="CO149" i="1"/>
  <c r="CU20" i="1"/>
  <c r="CS28" i="1"/>
  <c r="B32" i="1"/>
  <c r="AY32" i="1"/>
  <c r="CK32" i="1"/>
  <c r="AY59" i="1"/>
  <c r="B59" i="1"/>
  <c r="CK59" i="1"/>
  <c r="EG13" i="1"/>
  <c r="DZ13" i="1" s="1"/>
  <c r="BL13" i="1" s="1"/>
  <c r="B72" i="1"/>
  <c r="AY72" i="1"/>
  <c r="CK72" i="1"/>
  <c r="CK156" i="1"/>
  <c r="DN139" i="1"/>
  <c r="DJ139" i="1"/>
  <c r="BX139" i="1"/>
  <c r="CQ139" i="1"/>
  <c r="BH139" i="1"/>
  <c r="DH139" i="1"/>
  <c r="DT139" i="1"/>
  <c r="CB57" i="1"/>
  <c r="CC57" i="1" s="1"/>
  <c r="CU57" i="1"/>
  <c r="BZ184" i="1"/>
  <c r="CS184" i="1"/>
  <c r="DK16" i="1"/>
  <c r="DI16" i="1"/>
  <c r="DO16" i="1"/>
  <c r="CU27" i="1"/>
  <c r="CM156" i="1"/>
  <c r="DJ20" i="1"/>
  <c r="DH20" i="1"/>
  <c r="DN20" i="1"/>
  <c r="CM181" i="1"/>
  <c r="CK10" i="1"/>
  <c r="AY10" i="1"/>
  <c r="B10" i="1"/>
  <c r="EG11" i="1"/>
  <c r="DZ11" i="1" s="1"/>
  <c r="BL11" i="1" s="1"/>
  <c r="DB3" i="1"/>
  <c r="DO7" i="1"/>
  <c r="DK7" i="1"/>
  <c r="DI7" i="1"/>
  <c r="EI113" i="1"/>
  <c r="EB113" i="1" s="1"/>
  <c r="BN113" i="1" s="1"/>
  <c r="EE172" i="1"/>
  <c r="DX172" i="1" s="1"/>
  <c r="BJ172" i="1" s="1"/>
  <c r="CS16" i="1"/>
  <c r="BZ70" i="1"/>
  <c r="CA70" i="1" s="1"/>
  <c r="CS70" i="1"/>
  <c r="C58" i="1"/>
  <c r="BS58" i="1"/>
  <c r="CS22" i="1"/>
  <c r="DT187" i="1"/>
  <c r="DN187" i="1"/>
  <c r="DV187" i="1" s="1"/>
  <c r="CQ187" i="1"/>
  <c r="DJ187" i="1"/>
  <c r="DH187" i="1"/>
  <c r="BH187" i="1"/>
  <c r="CB155" i="1"/>
  <c r="CU155" i="1"/>
  <c r="DK70" i="1"/>
  <c r="DU70" i="1"/>
  <c r="DO70" i="1"/>
  <c r="DI70" i="1"/>
  <c r="CU29" i="1"/>
  <c r="EF72" i="1"/>
  <c r="DY72" i="1" s="1"/>
  <c r="BK72" i="1" s="1"/>
  <c r="CU14" i="1"/>
  <c r="DU29" i="1"/>
  <c r="EF122" i="1"/>
  <c r="DY122" i="1" s="1"/>
  <c r="BK122" i="1" s="1"/>
  <c r="C24" i="1"/>
  <c r="CM24" i="1"/>
  <c r="EF32" i="1"/>
  <c r="DY32" i="1" s="1"/>
  <c r="BK32" i="1" s="1"/>
  <c r="CS36" i="1"/>
  <c r="CO26" i="1"/>
  <c r="D26" i="1"/>
  <c r="EE37" i="1"/>
  <c r="DX37" i="1" s="1"/>
  <c r="BJ37" i="1" s="1"/>
  <c r="CO144" i="1"/>
  <c r="EE93" i="1"/>
  <c r="DX93" i="1" s="1"/>
  <c r="BJ93" i="1" s="1"/>
  <c r="CQ177" i="1"/>
  <c r="DJ177" i="1"/>
  <c r="DH177" i="1"/>
  <c r="BH177" i="1"/>
  <c r="DN177" i="1"/>
  <c r="BX177" i="1"/>
  <c r="DT177" i="1"/>
  <c r="EH119" i="1"/>
  <c r="EA119" i="1" s="1"/>
  <c r="BM119" i="1" s="1"/>
  <c r="DJ15" i="1"/>
  <c r="DN15" i="1"/>
  <c r="DH15" i="1"/>
  <c r="EG109" i="1"/>
  <c r="DZ109" i="1" s="1"/>
  <c r="BL109" i="1" s="1"/>
  <c r="CS189" i="1"/>
  <c r="BZ189" i="1"/>
  <c r="EH122" i="1"/>
  <c r="EA122" i="1" s="1"/>
  <c r="BM122" i="1" s="1"/>
  <c r="EG125" i="1"/>
  <c r="DZ125" i="1" s="1"/>
  <c r="BL125" i="1" s="1"/>
  <c r="CB188" i="1"/>
  <c r="CC189" i="1" s="1"/>
  <c r="CU188" i="1"/>
  <c r="EG121" i="1"/>
  <c r="DZ121" i="1" s="1"/>
  <c r="BL121" i="1" s="1"/>
  <c r="EF90" i="1"/>
  <c r="DY90" i="1" s="1"/>
  <c r="BK90" i="1" s="1"/>
  <c r="DT32" i="1"/>
  <c r="CQ32" i="1"/>
  <c r="BH32" i="1"/>
  <c r="EI17" i="1"/>
  <c r="EB17" i="1" s="1"/>
  <c r="BN17" i="1" s="1"/>
  <c r="EI23" i="1"/>
  <c r="EB23" i="1" s="1"/>
  <c r="BN23" i="1" s="1"/>
  <c r="BZ161" i="1"/>
  <c r="CA161" i="1" s="1"/>
  <c r="CS161" i="1"/>
  <c r="EH12" i="1"/>
  <c r="EA12" i="1" s="1"/>
  <c r="BM12" i="1" s="1"/>
  <c r="BZ76" i="1"/>
  <c r="CS76" i="1"/>
  <c r="DJ12" i="1"/>
  <c r="DN12" i="1"/>
  <c r="DH12" i="1"/>
  <c r="AY24" i="1"/>
  <c r="CK24" i="1"/>
  <c r="B24" i="1"/>
  <c r="BZ145" i="1"/>
  <c r="CS145" i="1"/>
  <c r="AV136" i="1"/>
  <c r="EF91" i="1"/>
  <c r="DY91" i="1" s="1"/>
  <c r="BK91" i="1" s="1"/>
  <c r="EF146" i="1"/>
  <c r="DY146" i="1" s="1"/>
  <c r="BK146" i="1" s="1"/>
  <c r="C23" i="1"/>
  <c r="CM23" i="1"/>
  <c r="EH93" i="1"/>
  <c r="EA93" i="1" s="1"/>
  <c r="BM93" i="1" s="1"/>
  <c r="BZ93" i="1" s="1"/>
  <c r="CD136" i="1"/>
  <c r="CK154" i="1"/>
  <c r="EF57" i="1"/>
  <c r="DY57" i="1" s="1"/>
  <c r="BK57" i="1" s="1"/>
  <c r="DI152" i="1"/>
  <c r="DU152" i="1"/>
  <c r="DO152" i="1"/>
  <c r="DW152" i="1" s="1"/>
  <c r="DK152" i="1"/>
  <c r="EG26" i="1"/>
  <c r="DZ26" i="1" s="1"/>
  <c r="BL26" i="1" s="1"/>
  <c r="CS10" i="1"/>
  <c r="CK151" i="1"/>
  <c r="EG88" i="1"/>
  <c r="DZ88" i="1" s="1"/>
  <c r="BL88" i="1" s="1"/>
  <c r="EJ124" i="1"/>
  <c r="EC124" i="1" s="1"/>
  <c r="BO124" i="1" s="1"/>
  <c r="DO61" i="1"/>
  <c r="DU61" i="1"/>
  <c r="DI61" i="1"/>
  <c r="DK61" i="1"/>
  <c r="CU157" i="1"/>
  <c r="CB157" i="1"/>
  <c r="CU12" i="1"/>
  <c r="CB47" i="1"/>
  <c r="CU47" i="1"/>
  <c r="CB181" i="1"/>
  <c r="CU181" i="1"/>
  <c r="CO176" i="1"/>
  <c r="DH148" i="1"/>
  <c r="DJ148" i="1"/>
  <c r="CQ148" i="1"/>
  <c r="DT148" i="1"/>
  <c r="DN148" i="1"/>
  <c r="DV148" i="1" s="1"/>
  <c r="BH148" i="1"/>
  <c r="EG102" i="1"/>
  <c r="DZ102" i="1" s="1"/>
  <c r="BL102" i="1" s="1"/>
  <c r="CQ34" i="1"/>
  <c r="DT34" i="1"/>
  <c r="BH34" i="1"/>
  <c r="CO181" i="1"/>
  <c r="EJ95" i="1"/>
  <c r="EC95" i="1" s="1"/>
  <c r="BO95" i="1" s="1"/>
  <c r="EG17" i="1"/>
  <c r="DZ17" i="1" s="1"/>
  <c r="BL17" i="1" s="1"/>
  <c r="CS26" i="1"/>
  <c r="B17" i="1"/>
  <c r="CK17" i="1"/>
  <c r="AY17" i="1"/>
  <c r="CM10" i="1"/>
  <c r="C10" i="1"/>
  <c r="DI5" i="1"/>
  <c r="DK5" i="1"/>
  <c r="DU5" i="1"/>
  <c r="DO5" i="1"/>
  <c r="CB187" i="1"/>
  <c r="CU187" i="1"/>
  <c r="CU76" i="1"/>
  <c r="CB76" i="1"/>
  <c r="BZ164" i="1"/>
  <c r="CA164" i="1" s="1"/>
  <c r="CS164" i="1"/>
  <c r="BZ156" i="1"/>
  <c r="CS156" i="1"/>
  <c r="CK158" i="1"/>
  <c r="CM58" i="1"/>
  <c r="DN154" i="1"/>
  <c r="DV154" i="1" s="1"/>
  <c r="DT154" i="1"/>
  <c r="DJ154" i="1"/>
  <c r="BH154" i="1"/>
  <c r="DH154" i="1"/>
  <c r="CQ154" i="1"/>
  <c r="BE44" i="1"/>
  <c r="CU45" i="1"/>
  <c r="CB45" i="1"/>
  <c r="CC46" i="1" s="1"/>
  <c r="CM178" i="1"/>
  <c r="CB178" i="1"/>
  <c r="CU178" i="1"/>
  <c r="EE61" i="1"/>
  <c r="DX61" i="1" s="1"/>
  <c r="BJ61" i="1" s="1"/>
  <c r="CS78" i="1"/>
  <c r="BZ78" i="1"/>
  <c r="DT183" i="1"/>
  <c r="CQ183" i="1"/>
  <c r="DJ183" i="1"/>
  <c r="BX183" i="1"/>
  <c r="DN183" i="1"/>
  <c r="BH183" i="1"/>
  <c r="DH183" i="1"/>
  <c r="DT5" i="1"/>
  <c r="CQ5" i="1"/>
  <c r="BH5" i="1"/>
  <c r="CU15" i="1"/>
  <c r="CS21" i="1"/>
  <c r="BH182" i="1"/>
  <c r="DH182" i="1"/>
  <c r="BX182" i="1"/>
  <c r="CQ182" i="1"/>
  <c r="DT182" i="1"/>
  <c r="DN182" i="1"/>
  <c r="DJ182" i="1"/>
  <c r="CM180" i="1"/>
  <c r="C20" i="1"/>
  <c r="CM20" i="1"/>
  <c r="DU160" i="1"/>
  <c r="DI160" i="1"/>
  <c r="DK160" i="1"/>
  <c r="DO160" i="1"/>
  <c r="DW160" i="1" s="1"/>
  <c r="EE99" i="1"/>
  <c r="DX99" i="1" s="1"/>
  <c r="BJ99" i="1" s="1"/>
  <c r="CB144" i="1"/>
  <c r="CU144" i="1"/>
  <c r="DU19" i="1"/>
  <c r="CK57" i="1"/>
  <c r="AY57" i="1"/>
  <c r="B57" i="1"/>
  <c r="CS11" i="1"/>
  <c r="C77" i="1"/>
  <c r="CM77" i="1"/>
  <c r="BS77" i="1"/>
  <c r="EE13" i="1"/>
  <c r="DX13" i="1" s="1"/>
  <c r="BJ13" i="1" s="1"/>
  <c r="DU23" i="1"/>
  <c r="EH9" i="1"/>
  <c r="EA9" i="1" s="1"/>
  <c r="BM9" i="1" s="1"/>
  <c r="EE31" i="1"/>
  <c r="DX31" i="1" s="1"/>
  <c r="BJ31" i="1" s="1"/>
  <c r="D77" i="1"/>
  <c r="CO77" i="1"/>
  <c r="BU77" i="1"/>
  <c r="CK146" i="1"/>
  <c r="CU138" i="1"/>
  <c r="CB138" i="1"/>
  <c r="BE136" i="1"/>
  <c r="EJ27" i="1"/>
  <c r="EC27" i="1" s="1"/>
  <c r="BO27" i="1" s="1"/>
  <c r="DJ37" i="1"/>
  <c r="DN37" i="1"/>
  <c r="DH37" i="1"/>
  <c r="EI101" i="1"/>
  <c r="EB101" i="1" s="1"/>
  <c r="BN101" i="1" s="1"/>
  <c r="CO185" i="1"/>
  <c r="CM37" i="1"/>
  <c r="C37" i="1"/>
  <c r="D45" i="1"/>
  <c r="AW44" i="1"/>
  <c r="BU45" i="1"/>
  <c r="CO45" i="1"/>
  <c r="DK35" i="1"/>
  <c r="DO35" i="1"/>
  <c r="DI35" i="1"/>
  <c r="EF165" i="1"/>
  <c r="DY165" i="1" s="1"/>
  <c r="BK165" i="1" s="1"/>
  <c r="BQ165" i="1" s="1"/>
  <c r="EF111" i="1"/>
  <c r="DY111" i="1" s="1"/>
  <c r="BK111" i="1" s="1"/>
  <c r="EH8" i="1"/>
  <c r="EA8" i="1" s="1"/>
  <c r="BM8" i="1" s="1"/>
  <c r="EJ123" i="1"/>
  <c r="EC123" i="1" s="1"/>
  <c r="BO123" i="1" s="1"/>
  <c r="BZ143" i="1"/>
  <c r="CS143" i="1"/>
  <c r="EJ33" i="1"/>
  <c r="EC33" i="1" s="1"/>
  <c r="BO33" i="1" s="1"/>
  <c r="CK175" i="1"/>
  <c r="EE124" i="1"/>
  <c r="DX124" i="1" s="1"/>
  <c r="BJ124" i="1" s="1"/>
  <c r="DU24" i="1"/>
  <c r="BH18" i="1"/>
  <c r="DT18" i="1"/>
  <c r="CQ18" i="1"/>
  <c r="C30" i="1"/>
  <c r="CM30" i="1"/>
  <c r="EH94" i="1"/>
  <c r="EA94" i="1" s="1"/>
  <c r="BM94" i="1" s="1"/>
  <c r="EG37" i="1"/>
  <c r="DZ37" i="1" s="1"/>
  <c r="BL37" i="1" s="1"/>
  <c r="EJ17" i="1"/>
  <c r="EC17" i="1" s="1"/>
  <c r="BO17" i="1" s="1"/>
  <c r="DN16" i="1"/>
  <c r="DH16" i="1"/>
  <c r="DJ16" i="1"/>
  <c r="EE15" i="1"/>
  <c r="DX15" i="1" s="1"/>
  <c r="BJ15" i="1" s="1"/>
  <c r="AY27" i="1"/>
  <c r="CK27" i="1"/>
  <c r="B27" i="1"/>
  <c r="BZ60" i="1"/>
  <c r="CS60" i="1"/>
  <c r="D79" i="1"/>
  <c r="CO79" i="1"/>
  <c r="BU79" i="1"/>
  <c r="C13" i="1"/>
  <c r="CM13" i="1"/>
  <c r="DI34" i="1"/>
  <c r="DK34" i="1"/>
  <c r="DO34" i="1"/>
  <c r="DW34" i="1" s="1"/>
  <c r="CD3" i="1"/>
  <c r="CB71" i="1"/>
  <c r="CU71" i="1"/>
  <c r="CM157" i="1"/>
  <c r="EE29" i="1"/>
  <c r="DX29" i="1" s="1"/>
  <c r="BJ29" i="1" s="1"/>
  <c r="EF103" i="1"/>
  <c r="DY103" i="1" s="1"/>
  <c r="BK103" i="1" s="1"/>
  <c r="DI4" i="1"/>
  <c r="DK4" i="1"/>
  <c r="DO4" i="1"/>
  <c r="DU4" i="1"/>
  <c r="BB3" i="1"/>
  <c r="CO150" i="1"/>
  <c r="DK38" i="1"/>
  <c r="DO38" i="1"/>
  <c r="DI38" i="1"/>
  <c r="B9" i="1"/>
  <c r="CK9" i="1"/>
  <c r="AY9" i="1"/>
  <c r="CS72" i="1"/>
  <c r="BZ72" i="1"/>
  <c r="EG122" i="1"/>
  <c r="DZ122" i="1" s="1"/>
  <c r="BL122" i="1" s="1"/>
  <c r="CB63" i="1"/>
  <c r="CC64" i="1" s="1"/>
  <c r="CU63" i="1"/>
  <c r="CO160" i="1"/>
  <c r="CK37" i="1"/>
  <c r="AY37" i="1"/>
  <c r="B37" i="1"/>
  <c r="EF114" i="1"/>
  <c r="DY114" i="1" s="1"/>
  <c r="BK114" i="1" s="1"/>
  <c r="DT78" i="1"/>
  <c r="DH78" i="1"/>
  <c r="DN78" i="1"/>
  <c r="BH78" i="1"/>
  <c r="CQ78" i="1"/>
  <c r="EJ126" i="1"/>
  <c r="EC126" i="1" s="1"/>
  <c r="BO126" i="1" s="1"/>
  <c r="EG21" i="1"/>
  <c r="DZ21" i="1" s="1"/>
  <c r="BL21" i="1" s="1"/>
  <c r="CO5" i="1"/>
  <c r="D5" i="1"/>
  <c r="EE100" i="1"/>
  <c r="DX100" i="1" s="1"/>
  <c r="BJ100" i="1" s="1"/>
  <c r="CS183" i="1"/>
  <c r="BZ183" i="1"/>
  <c r="EG33" i="1"/>
  <c r="DZ33" i="1" s="1"/>
  <c r="BL33" i="1" s="1"/>
  <c r="D19" i="1"/>
  <c r="CO19" i="1"/>
  <c r="CO58" i="1"/>
  <c r="BU58" i="1"/>
  <c r="D58" i="1"/>
  <c r="EE188" i="1"/>
  <c r="DX188" i="1" s="1"/>
  <c r="BJ188" i="1" s="1"/>
  <c r="EG86" i="1"/>
  <c r="DZ86" i="1" s="1"/>
  <c r="BL86" i="1" s="1"/>
  <c r="EE88" i="1"/>
  <c r="DX88" i="1" s="1"/>
  <c r="BJ88" i="1" s="1"/>
  <c r="BD3" i="1"/>
  <c r="BU57" i="1"/>
  <c r="CO57" i="1"/>
  <c r="D57" i="1"/>
  <c r="CU6" i="1"/>
  <c r="CS13" i="1"/>
  <c r="EH32" i="1"/>
  <c r="EA32" i="1" s="1"/>
  <c r="BM32" i="1" s="1"/>
  <c r="BZ48" i="1"/>
  <c r="CA49" i="1" s="1"/>
  <c r="CS48" i="1"/>
  <c r="CS172" i="1"/>
  <c r="BZ172" i="1"/>
  <c r="DU30" i="1"/>
  <c r="CM14" i="1"/>
  <c r="C14" i="1"/>
  <c r="CH3" i="1"/>
  <c r="EI37" i="1"/>
  <c r="EB37" i="1" s="1"/>
  <c r="BN37" i="1" s="1"/>
  <c r="CS171" i="1"/>
  <c r="BZ171" i="1"/>
  <c r="EH31" i="1"/>
  <c r="EA31" i="1" s="1"/>
  <c r="BM31" i="1" s="1"/>
  <c r="CB75" i="1"/>
  <c r="CU75" i="1"/>
  <c r="CS25" i="1"/>
  <c r="CS175" i="1"/>
  <c r="BZ175" i="1"/>
  <c r="DJ14" i="1"/>
  <c r="DN14" i="1"/>
  <c r="DH14" i="1"/>
  <c r="EJ117" i="1"/>
  <c r="EC117" i="1" s="1"/>
  <c r="BO117" i="1" s="1"/>
  <c r="EG6" i="1"/>
  <c r="DZ6" i="1" s="1"/>
  <c r="BL6" i="1" s="1"/>
  <c r="EF7" i="1"/>
  <c r="DY7" i="1" s="1"/>
  <c r="BK7" i="1" s="1"/>
  <c r="B22" i="1"/>
  <c r="AY22" i="1"/>
  <c r="CK22" i="1"/>
  <c r="EH10" i="1"/>
  <c r="EA10" i="1" s="1"/>
  <c r="BM10" i="1" s="1"/>
  <c r="DN79" i="1"/>
  <c r="DV79" i="1" s="1"/>
  <c r="DH79" i="1"/>
  <c r="DT79" i="1"/>
  <c r="CQ79" i="1"/>
  <c r="DJ79" i="1"/>
  <c r="BH79" i="1"/>
  <c r="CM146" i="1"/>
  <c r="CK186" i="1"/>
  <c r="EJ90" i="1"/>
  <c r="EC90" i="1" s="1"/>
  <c r="BO90" i="1" s="1"/>
  <c r="EE24" i="1"/>
  <c r="DX24" i="1" s="1"/>
  <c r="BJ24" i="1" s="1"/>
  <c r="EH15" i="1"/>
  <c r="EA15" i="1" s="1"/>
  <c r="BM15" i="1" s="1"/>
  <c r="EE146" i="1"/>
  <c r="DX146" i="1" s="1"/>
  <c r="BJ146" i="1" s="1"/>
  <c r="BS138" i="1"/>
  <c r="BT138" i="1" s="1"/>
  <c r="C138" i="1"/>
  <c r="E138" i="1" s="1"/>
  <c r="CM138" i="1"/>
  <c r="AY138" i="1"/>
  <c r="CS139" i="1"/>
  <c r="BZ139" i="1"/>
  <c r="EF100" i="1"/>
  <c r="DY100" i="1" s="1"/>
  <c r="BK100" i="1" s="1"/>
  <c r="CU32" i="1"/>
  <c r="EE90" i="1"/>
  <c r="DX90" i="1" s="1"/>
  <c r="BJ90" i="1" s="1"/>
  <c r="BQ90" i="1" s="1"/>
  <c r="EI125" i="1"/>
  <c r="EB125" i="1" s="1"/>
  <c r="BN125" i="1" s="1"/>
  <c r="EG32" i="1"/>
  <c r="DZ32" i="1" s="1"/>
  <c r="BL32" i="1" s="1"/>
  <c r="EE119" i="1"/>
  <c r="DX119" i="1" s="1"/>
  <c r="BJ119" i="1" s="1"/>
  <c r="DI15" i="1"/>
  <c r="DL15" i="1" s="1"/>
  <c r="DO15" i="1"/>
  <c r="DK15" i="1"/>
  <c r="EH19" i="1"/>
  <c r="EA19" i="1" s="1"/>
  <c r="BM19" i="1" s="1"/>
  <c r="CM21" i="1"/>
  <c r="C21" i="1"/>
  <c r="CM38" i="1"/>
  <c r="C38" i="1"/>
  <c r="DN176" i="1"/>
  <c r="DV176" i="1" s="1"/>
  <c r="DT176" i="1"/>
  <c r="DJ176" i="1"/>
  <c r="BH176" i="1"/>
  <c r="CQ176" i="1"/>
  <c r="DH176" i="1"/>
  <c r="BS74" i="1"/>
  <c r="CM74" i="1"/>
  <c r="C74" i="1"/>
  <c r="E74" i="1" s="1"/>
  <c r="CK150" i="1"/>
  <c r="EE20" i="1"/>
  <c r="DX20" i="1" s="1"/>
  <c r="BJ20" i="1" s="1"/>
  <c r="BZ147" i="1"/>
  <c r="CS147" i="1"/>
  <c r="BZ182" i="1"/>
  <c r="CS182" i="1"/>
  <c r="CU13" i="1"/>
  <c r="EI5" i="1"/>
  <c r="EB5" i="1" s="1"/>
  <c r="BN5" i="1" s="1"/>
  <c r="EG31" i="1"/>
  <c r="DZ31" i="1" s="1"/>
  <c r="BL31" i="1" s="1"/>
  <c r="CM142" i="1"/>
  <c r="DK25" i="1"/>
  <c r="DO25" i="1"/>
  <c r="DI25" i="1"/>
  <c r="CS30" i="1"/>
  <c r="BZ144" i="1"/>
  <c r="CS144" i="1"/>
  <c r="CQ47" i="1"/>
  <c r="DJ47" i="1"/>
  <c r="DN47" i="1"/>
  <c r="BH47" i="1"/>
  <c r="DT47" i="1"/>
  <c r="DH47" i="1"/>
  <c r="DO59" i="1"/>
  <c r="DU59" i="1"/>
  <c r="DI59" i="1"/>
  <c r="DK59" i="1"/>
  <c r="EH30" i="1"/>
  <c r="EA30" i="1" s="1"/>
  <c r="BM30" i="1" s="1"/>
  <c r="EI89" i="1"/>
  <c r="EB89" i="1" s="1"/>
  <c r="BN89" i="1" s="1"/>
  <c r="C46" i="1"/>
  <c r="CM46" i="1"/>
  <c r="BS46" i="1"/>
  <c r="CS173" i="1"/>
  <c r="BZ173" i="1"/>
  <c r="EH28" i="1"/>
  <c r="EA28" i="1" s="1"/>
  <c r="BM28" i="1" s="1"/>
  <c r="CS18" i="1"/>
  <c r="CB59" i="1"/>
  <c r="CU59" i="1"/>
  <c r="EH37" i="1"/>
  <c r="EA37" i="1" s="1"/>
  <c r="BM37" i="1" s="1"/>
  <c r="CO23" i="1"/>
  <c r="D23" i="1"/>
  <c r="CB77" i="1"/>
  <c r="CU77" i="1"/>
  <c r="EE145" i="1"/>
  <c r="DX145" i="1" s="1"/>
  <c r="EL136" i="1"/>
  <c r="CU7" i="1"/>
  <c r="CD44" i="1"/>
  <c r="EE36" i="1"/>
  <c r="DX36" i="1" s="1"/>
  <c r="BJ36" i="1" s="1"/>
  <c r="D28" i="1"/>
  <c r="CO28" i="1"/>
  <c r="EE117" i="1"/>
  <c r="DX117" i="1" s="1"/>
  <c r="BJ117" i="1" s="1"/>
  <c r="EG4" i="1"/>
  <c r="DZ4" i="1" s="1"/>
  <c r="BL4" i="1" s="1"/>
  <c r="EN3" i="1"/>
  <c r="EJ107" i="1"/>
  <c r="EC107" i="1" s="1"/>
  <c r="BO107" i="1" s="1"/>
  <c r="CS58" i="1"/>
  <c r="BZ58" i="1"/>
  <c r="CS29" i="1"/>
  <c r="CS61" i="1"/>
  <c r="BZ61" i="1"/>
  <c r="DO158" i="1"/>
  <c r="DU158" i="1"/>
  <c r="DK158" i="1"/>
  <c r="DI158" i="1"/>
  <c r="DU25" i="1"/>
  <c r="CU156" i="1"/>
  <c r="CB156" i="1"/>
  <c r="BZ186" i="1"/>
  <c r="CS186" i="1"/>
  <c r="EG7" i="1"/>
  <c r="DZ7" i="1" s="1"/>
  <c r="BL7" i="1" s="1"/>
  <c r="BZ7" i="1" s="1"/>
  <c r="CS17" i="1"/>
  <c r="BF136" i="1"/>
  <c r="CB137" i="1"/>
  <c r="CU137" i="1"/>
  <c r="DU75" i="1"/>
  <c r="DO75" i="1"/>
  <c r="DI75" i="1"/>
  <c r="DK75" i="1"/>
  <c r="DQ75" i="1" s="1"/>
  <c r="CS5" i="1"/>
  <c r="CS177" i="1"/>
  <c r="BZ177" i="1"/>
  <c r="CS166" i="1"/>
  <c r="BZ166" i="1"/>
  <c r="EG27" i="1"/>
  <c r="DZ27" i="1" s="1"/>
  <c r="BL27" i="1" s="1"/>
  <c r="DT61" i="1"/>
  <c r="CQ61" i="1"/>
  <c r="DH61" i="1"/>
  <c r="DN61" i="1"/>
  <c r="DJ61" i="1"/>
  <c r="BH61" i="1"/>
  <c r="EH116" i="1"/>
  <c r="EA116" i="1" s="1"/>
  <c r="BM116" i="1" s="1"/>
  <c r="CK23" i="1"/>
  <c r="B23" i="1"/>
  <c r="AY23" i="1"/>
  <c r="CU17" i="1"/>
  <c r="DI182" i="1"/>
  <c r="DO182" i="1"/>
  <c r="DK182" i="1"/>
  <c r="DM182" i="1" s="1"/>
  <c r="DU182" i="1"/>
  <c r="DH35" i="1"/>
  <c r="DN35" i="1"/>
  <c r="DJ35" i="1"/>
  <c r="EG96" i="1"/>
  <c r="DZ96" i="1" s="1"/>
  <c r="BL96" i="1" s="1"/>
  <c r="DO141" i="1"/>
  <c r="DW141" i="1" s="1"/>
  <c r="DK141" i="1"/>
  <c r="DU141" i="1"/>
  <c r="DI141" i="1"/>
  <c r="EG38" i="1"/>
  <c r="DZ38" i="1" s="1"/>
  <c r="BL38" i="1" s="1"/>
  <c r="EP84" i="1"/>
  <c r="EI85" i="1"/>
  <c r="EB85" i="1" s="1"/>
  <c r="BN85" i="1" s="1"/>
  <c r="EG112" i="1"/>
  <c r="DZ112" i="1" s="1"/>
  <c r="BL112" i="1" s="1"/>
  <c r="BZ79" i="1"/>
  <c r="CS79" i="1"/>
  <c r="EJ32" i="1"/>
  <c r="EC32" i="1" s="1"/>
  <c r="BO32" i="1" s="1"/>
  <c r="CM153" i="1"/>
  <c r="DJ32" i="1"/>
  <c r="DH32" i="1"/>
  <c r="DN32" i="1"/>
  <c r="DV32" i="1" s="1"/>
  <c r="EI103" i="1"/>
  <c r="EB103" i="1" s="1"/>
  <c r="BN103" i="1" s="1"/>
  <c r="EE58" i="1"/>
  <c r="DX58" i="1" s="1"/>
  <c r="BJ58" i="1" s="1"/>
  <c r="CU72" i="1"/>
  <c r="CB72" i="1"/>
  <c r="CC72" i="1" s="1"/>
  <c r="BZ187" i="1"/>
  <c r="CS187" i="1"/>
  <c r="CM9" i="1"/>
  <c r="C9" i="1"/>
  <c r="EJ127" i="1"/>
  <c r="EC127" i="1" s="1"/>
  <c r="BO127" i="1" s="1"/>
  <c r="C16" i="1"/>
  <c r="CM16" i="1"/>
  <c r="C71" i="1"/>
  <c r="CM71" i="1"/>
  <c r="BS71" i="1"/>
  <c r="BT71" i="1" s="1"/>
  <c r="EI108" i="1"/>
  <c r="EB108" i="1" s="1"/>
  <c r="BN108" i="1" s="1"/>
  <c r="B70" i="1"/>
  <c r="E70" i="1" s="1"/>
  <c r="AY70" i="1"/>
  <c r="CK70" i="1"/>
  <c r="EH87" i="1"/>
  <c r="EA87" i="1" s="1"/>
  <c r="BM87" i="1" s="1"/>
  <c r="EF19" i="1"/>
  <c r="DY19" i="1" s="1"/>
  <c r="BK19" i="1" s="1"/>
  <c r="DH48" i="1"/>
  <c r="DJ48" i="1"/>
  <c r="DT48" i="1"/>
  <c r="BH48" i="1"/>
  <c r="BI49" i="1" s="1"/>
  <c r="CQ48" i="1"/>
  <c r="DN48" i="1"/>
  <c r="EF113" i="1"/>
  <c r="DY113" i="1" s="1"/>
  <c r="BK113" i="1" s="1"/>
  <c r="EF156" i="1"/>
  <c r="DY156" i="1" s="1"/>
  <c r="BK156" i="1" s="1"/>
  <c r="CK177" i="1"/>
  <c r="CS141" i="1"/>
  <c r="BZ141" i="1"/>
  <c r="EJ26" i="1"/>
  <c r="EC26" i="1" s="1"/>
  <c r="BO26" i="1" s="1"/>
  <c r="CK140" i="1"/>
  <c r="BH28" i="1"/>
  <c r="DT28" i="1"/>
  <c r="CQ28" i="1"/>
  <c r="EE27" i="1"/>
  <c r="DX27" i="1" s="1"/>
  <c r="BJ27" i="1" s="1"/>
  <c r="CM12" i="1"/>
  <c r="C12" i="1"/>
  <c r="CU5" i="1"/>
  <c r="CO11" i="1"/>
  <c r="D11" i="1"/>
  <c r="CM184" i="1"/>
  <c r="CO32" i="1"/>
  <c r="D32" i="1"/>
  <c r="EG103" i="1"/>
  <c r="DZ103" i="1" s="1"/>
  <c r="BL103" i="1" s="1"/>
  <c r="C79" i="1"/>
  <c r="BS79" i="1"/>
  <c r="CM79" i="1"/>
  <c r="CU16" i="1"/>
  <c r="CO34" i="1"/>
  <c r="D34" i="1"/>
  <c r="DJ30" i="1"/>
  <c r="DN30" i="1"/>
  <c r="DH30" i="1"/>
  <c r="DT145" i="1"/>
  <c r="CQ145" i="1"/>
  <c r="BH145" i="1"/>
  <c r="DN145" i="1"/>
  <c r="DH145" i="1"/>
  <c r="DL145" i="1" s="1"/>
  <c r="DJ145" i="1"/>
  <c r="EH108" i="1"/>
  <c r="EA108" i="1" s="1"/>
  <c r="BM108" i="1" s="1"/>
  <c r="CS4" i="1"/>
  <c r="BC3" i="1"/>
  <c r="CU34" i="1"/>
  <c r="EE23" i="1"/>
  <c r="DX23" i="1" s="1"/>
  <c r="BJ23" i="1" s="1"/>
  <c r="CM45" i="1"/>
  <c r="AU44" i="1"/>
  <c r="C44" i="1" s="1"/>
  <c r="C45" i="1"/>
  <c r="BS45" i="1"/>
  <c r="CS169" i="1"/>
  <c r="BZ169" i="1"/>
  <c r="CA169" i="1" s="1"/>
  <c r="CS170" i="1"/>
  <c r="BZ170" i="1"/>
  <c r="EE189" i="1"/>
  <c r="DX189" i="1" s="1"/>
  <c r="BJ189" i="1" s="1"/>
  <c r="BU60" i="1"/>
  <c r="CO60" i="1"/>
  <c r="D60" i="1"/>
  <c r="EF86" i="1"/>
  <c r="DY86" i="1" s="1"/>
  <c r="BK86" i="1" s="1"/>
  <c r="EG28" i="1"/>
  <c r="DZ28" i="1" s="1"/>
  <c r="BL28" i="1" s="1"/>
  <c r="EF62" i="1"/>
  <c r="DY62" i="1" s="1"/>
  <c r="BK62" i="1" s="1"/>
  <c r="CM151" i="1"/>
  <c r="C29" i="1"/>
  <c r="CM29" i="1"/>
  <c r="CS140" i="1"/>
  <c r="BZ140" i="1"/>
  <c r="BS62" i="1"/>
  <c r="CM62" i="1"/>
  <c r="C62" i="1"/>
  <c r="CS38" i="1"/>
  <c r="BU71" i="1"/>
  <c r="CO71" i="1"/>
  <c r="D71" i="1"/>
  <c r="DU27" i="1"/>
  <c r="CS27" i="1"/>
  <c r="CK142" i="1"/>
  <c r="EI91" i="1"/>
  <c r="EB91" i="1" s="1"/>
  <c r="BN91" i="1" s="1"/>
  <c r="CS32" i="1"/>
  <c r="EJ113" i="1"/>
  <c r="EC113" i="1" s="1"/>
  <c r="BO113" i="1" s="1"/>
  <c r="CM171" i="1"/>
  <c r="CS37" i="1"/>
  <c r="CU33" i="1"/>
  <c r="EG117" i="1"/>
  <c r="DZ117" i="1" s="1"/>
  <c r="BL117" i="1" s="1"/>
  <c r="CS8" i="1"/>
  <c r="CU139" i="1"/>
  <c r="CB139" i="1"/>
  <c r="CO169" i="1"/>
  <c r="CM173" i="1"/>
  <c r="EJ11" i="1"/>
  <c r="EC11" i="1" s="1"/>
  <c r="BO11" i="1" s="1"/>
  <c r="CM73" i="1"/>
  <c r="C73" i="1"/>
  <c r="BS73" i="1"/>
  <c r="BT73" i="1" s="1"/>
  <c r="C25" i="1"/>
  <c r="CM25" i="1"/>
  <c r="BS61" i="1"/>
  <c r="C61" i="1"/>
  <c r="CM61" i="1"/>
  <c r="EG22" i="1"/>
  <c r="DZ22" i="1" s="1"/>
  <c r="BL22" i="1" s="1"/>
  <c r="EI9" i="1"/>
  <c r="EB9" i="1" s="1"/>
  <c r="BN9" i="1" s="1"/>
  <c r="CK36" i="1"/>
  <c r="B36" i="1"/>
  <c r="AY36" i="1"/>
  <c r="CS15" i="1"/>
  <c r="EI106" i="1"/>
  <c r="EB106" i="1" s="1"/>
  <c r="BN106" i="1" s="1"/>
  <c r="EG20" i="1"/>
  <c r="DZ20" i="1" s="1"/>
  <c r="BL20" i="1" s="1"/>
  <c r="CB159" i="1"/>
  <c r="CU159" i="1"/>
  <c r="EF58" i="1"/>
  <c r="DY58" i="1" s="1"/>
  <c r="BK58" i="1" s="1"/>
  <c r="EF127" i="1"/>
  <c r="DY127" i="1" s="1"/>
  <c r="BK127" i="1" s="1"/>
  <c r="EJ13" i="1"/>
  <c r="EC13" i="1" s="1"/>
  <c r="BO13" i="1" s="1"/>
  <c r="D35" i="1"/>
  <c r="CO35" i="1"/>
  <c r="D62" i="1"/>
  <c r="CO62" i="1"/>
  <c r="BU62" i="1"/>
  <c r="BH4" i="1"/>
  <c r="CQ4" i="1"/>
  <c r="DT4" i="1"/>
  <c r="BA3" i="1"/>
  <c r="EH25" i="1"/>
  <c r="EA25" i="1" s="1"/>
  <c r="BM25" i="1" s="1"/>
  <c r="DD3" i="1"/>
  <c r="EH29" i="1"/>
  <c r="EA29" i="1" s="1"/>
  <c r="BM29" i="1" s="1"/>
  <c r="EH101" i="1"/>
  <c r="EA101" i="1" s="1"/>
  <c r="BM101" i="1" s="1"/>
  <c r="DN33" i="1"/>
  <c r="DV33" i="1" s="1"/>
  <c r="DJ33" i="1"/>
  <c r="DH33" i="1"/>
  <c r="CK147" i="1"/>
  <c r="DU178" i="1"/>
  <c r="DO178" i="1"/>
  <c r="DK178" i="1"/>
  <c r="DI178" i="1"/>
  <c r="EH117" i="1"/>
  <c r="EA117" i="1" s="1"/>
  <c r="BM117" i="1" s="1"/>
  <c r="EF5" i="1"/>
  <c r="DY5" i="1" s="1"/>
  <c r="BK5" i="1" s="1"/>
  <c r="CQ6" i="1"/>
  <c r="BH6" i="1"/>
  <c r="DT6" i="1"/>
  <c r="EH35" i="1"/>
  <c r="EA35" i="1" s="1"/>
  <c r="BM35" i="1" s="1"/>
  <c r="EJ96" i="1"/>
  <c r="EC96" i="1" s="1"/>
  <c r="BO96" i="1" s="1"/>
  <c r="EF21" i="1"/>
  <c r="DY21" i="1" s="1"/>
  <c r="BK21" i="1" s="1"/>
  <c r="EQ84" i="1"/>
  <c r="EJ85" i="1"/>
  <c r="EC85" i="1" s="1"/>
  <c r="BO85" i="1" s="1"/>
  <c r="EE4" i="1"/>
  <c r="DX4" i="1" s="1"/>
  <c r="BJ4" i="1" s="1"/>
  <c r="EL3" i="1"/>
  <c r="B73" i="1"/>
  <c r="AY73" i="1"/>
  <c r="CK73" i="1"/>
  <c r="DI149" i="1"/>
  <c r="DK149" i="1"/>
  <c r="DO149" i="1"/>
  <c r="DW149" i="1" s="1"/>
  <c r="DU149" i="1"/>
  <c r="DO24" i="1"/>
  <c r="DI24" i="1"/>
  <c r="DK24" i="1"/>
  <c r="EF35" i="1"/>
  <c r="DY35" i="1" s="1"/>
  <c r="BK35" i="1" s="1"/>
  <c r="CM160" i="1"/>
  <c r="DT38" i="1"/>
  <c r="CQ38" i="1"/>
  <c r="BH38" i="1"/>
  <c r="DT152" i="1"/>
  <c r="DJ152" i="1"/>
  <c r="DQ152" i="1" s="1"/>
  <c r="CQ152" i="1"/>
  <c r="BH152" i="1"/>
  <c r="DN152" i="1"/>
  <c r="DH152" i="1"/>
  <c r="DL152" i="1" s="1"/>
  <c r="EJ129" i="1"/>
  <c r="EC129" i="1" s="1"/>
  <c r="BO129" i="1" s="1"/>
  <c r="EH107" i="1"/>
  <c r="EA107" i="1" s="1"/>
  <c r="BM107" i="1" s="1"/>
  <c r="EI110" i="1"/>
  <c r="EB110" i="1" s="1"/>
  <c r="BN110" i="1" s="1"/>
  <c r="AY45" i="1"/>
  <c r="CK45" i="1"/>
  <c r="B45" i="1"/>
  <c r="E45" i="1" s="1"/>
  <c r="AS44" i="1"/>
  <c r="DC3" i="1"/>
  <c r="EH34" i="1"/>
  <c r="EA34" i="1" s="1"/>
  <c r="BM34" i="1" s="1"/>
  <c r="DO28" i="1"/>
  <c r="DI28" i="1"/>
  <c r="DK28" i="1"/>
  <c r="EI124" i="1"/>
  <c r="EB124" i="1" s="1"/>
  <c r="BN124" i="1" s="1"/>
  <c r="CM176" i="1"/>
  <c r="CK166" i="1"/>
  <c r="DH25" i="1"/>
  <c r="DP25" i="1" s="1"/>
  <c r="DJ25" i="1"/>
  <c r="DQ25" i="1" s="1"/>
  <c r="DN25" i="1"/>
  <c r="CO24" i="1"/>
  <c r="D24" i="1"/>
  <c r="CK145" i="1"/>
  <c r="EJ93" i="1"/>
  <c r="EC93" i="1" s="1"/>
  <c r="BO93" i="1" s="1"/>
  <c r="EF27" i="1"/>
  <c r="DY27" i="1" s="1"/>
  <c r="BK27" i="1" s="1"/>
  <c r="DK73" i="1"/>
  <c r="DS73" i="1" s="1"/>
  <c r="DU73" i="1"/>
  <c r="DO73" i="1"/>
  <c r="DI73" i="1"/>
  <c r="CM47" i="1"/>
  <c r="BS47" i="1"/>
  <c r="C47" i="1"/>
  <c r="CM185" i="1"/>
  <c r="C5" i="1"/>
  <c r="CM5" i="1"/>
  <c r="CF44" i="1"/>
  <c r="DJ179" i="1"/>
  <c r="BH179" i="1"/>
  <c r="DT179" i="1"/>
  <c r="BX179" i="1"/>
  <c r="DH179" i="1"/>
  <c r="DN179" i="1"/>
  <c r="CQ179" i="1"/>
  <c r="EI122" i="1"/>
  <c r="EB122" i="1" s="1"/>
  <c r="BN122" i="1" s="1"/>
  <c r="EF153" i="1"/>
  <c r="DY153" i="1" s="1"/>
  <c r="BK153" i="1" s="1"/>
  <c r="DO23" i="1"/>
  <c r="DW23" i="1" s="1"/>
  <c r="DK23" i="1"/>
  <c r="DI23" i="1"/>
  <c r="CO18" i="1"/>
  <c r="D18" i="1"/>
  <c r="EF116" i="1"/>
  <c r="DY116" i="1" s="1"/>
  <c r="BK116" i="1" s="1"/>
  <c r="DT173" i="1"/>
  <c r="BH173" i="1"/>
  <c r="DH173" i="1"/>
  <c r="DL173" i="1" s="1"/>
  <c r="DN173" i="1"/>
  <c r="DJ173" i="1"/>
  <c r="CQ173" i="1"/>
  <c r="BF44" i="1"/>
  <c r="EH11" i="1"/>
  <c r="EA11" i="1" s="1"/>
  <c r="BM11" i="1" s="1"/>
  <c r="EO84" i="1"/>
  <c r="EH85" i="1"/>
  <c r="EA85" i="1" s="1"/>
  <c r="BM85" i="1" s="1"/>
  <c r="EI102" i="1"/>
  <c r="EB102" i="1" s="1"/>
  <c r="BN102" i="1" s="1"/>
  <c r="EF61" i="1"/>
  <c r="DY61" i="1" s="1"/>
  <c r="BK61" i="1" s="1"/>
  <c r="EI21" i="1"/>
  <c r="EB21" i="1" s="1"/>
  <c r="BN21" i="1" s="1"/>
  <c r="AX44" i="1"/>
  <c r="CO158" i="1"/>
  <c r="CP158" i="1" s="1"/>
  <c r="EJ86" i="1"/>
  <c r="EC86" i="1" s="1"/>
  <c r="BO86" i="1" s="1"/>
  <c r="DJ10" i="1"/>
  <c r="DN10" i="1"/>
  <c r="DH10" i="1"/>
  <c r="EF70" i="1"/>
  <c r="DY70" i="1" s="1"/>
  <c r="BK70" i="1" s="1"/>
  <c r="DO27" i="1"/>
  <c r="DI27" i="1"/>
  <c r="DK27" i="1"/>
  <c r="EF11" i="1"/>
  <c r="DY11" i="1" s="1"/>
  <c r="BK11" i="1" s="1"/>
  <c r="BZ75" i="1"/>
  <c r="CS75" i="1"/>
  <c r="AY13" i="1"/>
  <c r="B13" i="1"/>
  <c r="CK13" i="1"/>
  <c r="EE92" i="1"/>
  <c r="DX92" i="1" s="1"/>
  <c r="BJ92" i="1" s="1"/>
  <c r="CO170" i="1"/>
  <c r="EE11" i="1"/>
  <c r="DX11" i="1" s="1"/>
  <c r="BJ11" i="1" s="1"/>
  <c r="EE95" i="1"/>
  <c r="DX95" i="1" s="1"/>
  <c r="BJ95" i="1" s="1"/>
  <c r="AY71" i="1"/>
  <c r="CK71" i="1"/>
  <c r="CP71" i="1" s="1"/>
  <c r="B71" i="1"/>
  <c r="AU3" i="1"/>
  <c r="CM4" i="1"/>
  <c r="C4" i="1"/>
  <c r="EG23" i="1"/>
  <c r="DZ23" i="1" s="1"/>
  <c r="BL23" i="1" s="1"/>
  <c r="EI8" i="1"/>
  <c r="EB8" i="1" s="1"/>
  <c r="BN8" i="1" s="1"/>
  <c r="AY33" i="1"/>
  <c r="CK33" i="1"/>
  <c r="B33" i="1"/>
  <c r="CM15" i="1"/>
  <c r="C15" i="1"/>
  <c r="EH5" i="1"/>
  <c r="EA5" i="1" s="1"/>
  <c r="BM5" i="1" s="1"/>
  <c r="CK188" i="1"/>
  <c r="AT3" i="1"/>
  <c r="CU23" i="1"/>
  <c r="CB142" i="1"/>
  <c r="CU142" i="1"/>
  <c r="CK139" i="1"/>
  <c r="DU37" i="1"/>
  <c r="CK187" i="1"/>
  <c r="EF64" i="1"/>
  <c r="DY64" i="1" s="1"/>
  <c r="BK64" i="1" s="1"/>
  <c r="EF94" i="1"/>
  <c r="DY94" i="1" s="1"/>
  <c r="BK94" i="1" s="1"/>
  <c r="DH141" i="1"/>
  <c r="BH141" i="1"/>
  <c r="BX141" i="1"/>
  <c r="DJ141" i="1"/>
  <c r="DN141" i="1"/>
  <c r="DT141" i="1"/>
  <c r="CQ141" i="1"/>
  <c r="DU14" i="1"/>
  <c r="EH97" i="1"/>
  <c r="EA97" i="1" s="1"/>
  <c r="BM97" i="1" s="1"/>
  <c r="CQ23" i="1"/>
  <c r="DT23" i="1"/>
  <c r="BH23" i="1"/>
  <c r="EG111" i="1"/>
  <c r="DZ111" i="1" s="1"/>
  <c r="BL111" i="1" s="1"/>
  <c r="DH21" i="1"/>
  <c r="DJ21" i="1"/>
  <c r="DN21" i="1"/>
  <c r="EJ119" i="1"/>
  <c r="EC119" i="1" s="1"/>
  <c r="BO119" i="1" s="1"/>
  <c r="DJ4" i="1"/>
  <c r="DQ4" i="1" s="1"/>
  <c r="DA3" i="1"/>
  <c r="DH4" i="1"/>
  <c r="DN4" i="1"/>
  <c r="DV4" i="1" s="1"/>
  <c r="CK181" i="1"/>
  <c r="CP181" i="1" s="1"/>
  <c r="EE22" i="1"/>
  <c r="DX22" i="1" s="1"/>
  <c r="BJ22" i="1" s="1"/>
  <c r="EE105" i="1"/>
  <c r="DX105" i="1" s="1"/>
  <c r="EG97" i="1"/>
  <c r="DZ97" i="1" s="1"/>
  <c r="BL97" i="1" s="1"/>
  <c r="EG115" i="1"/>
  <c r="DZ115" i="1" s="1"/>
  <c r="BL115" i="1" s="1"/>
  <c r="DJ172" i="1"/>
  <c r="DT172" i="1"/>
  <c r="DN172" i="1"/>
  <c r="CQ172" i="1"/>
  <c r="BH172" i="1"/>
  <c r="DH172" i="1"/>
  <c r="EJ37" i="1"/>
  <c r="EC37" i="1" s="1"/>
  <c r="BO37" i="1" s="1"/>
  <c r="EI116" i="1"/>
  <c r="EB116" i="1" s="1"/>
  <c r="BN116" i="1" s="1"/>
  <c r="CS181" i="1"/>
  <c r="BZ181" i="1"/>
  <c r="B34" i="1"/>
  <c r="CK34" i="1"/>
  <c r="AY34" i="1"/>
  <c r="CU8" i="1"/>
  <c r="CM139" i="1"/>
  <c r="EF88" i="1"/>
  <c r="DY88" i="1" s="1"/>
  <c r="BK88" i="1" s="1"/>
  <c r="BX88" i="1" s="1"/>
  <c r="EG89" i="1"/>
  <c r="DZ89" i="1" s="1"/>
  <c r="BL89" i="1" s="1"/>
  <c r="EH98" i="1"/>
  <c r="EA98" i="1" s="1"/>
  <c r="BM98" i="1" s="1"/>
  <c r="B75" i="1"/>
  <c r="CK75" i="1"/>
  <c r="AY75" i="1"/>
  <c r="D21" i="1"/>
  <c r="CO21" i="1"/>
  <c r="EH130" i="1"/>
  <c r="EA130" i="1" s="1"/>
  <c r="BM130" i="1" s="1"/>
  <c r="BH180" i="1"/>
  <c r="DT180" i="1"/>
  <c r="BX180" i="1"/>
  <c r="CQ180" i="1"/>
  <c r="DJ180" i="1"/>
  <c r="DH180" i="1"/>
  <c r="DN180" i="1"/>
  <c r="DV180" i="1" s="1"/>
  <c r="D7" i="1"/>
  <c r="CO7" i="1"/>
  <c r="CB180" i="1"/>
  <c r="CU180" i="1"/>
  <c r="CQ16" i="1"/>
  <c r="BH16" i="1"/>
  <c r="DT16" i="1"/>
  <c r="EH22" i="1"/>
  <c r="BH174" i="1"/>
  <c r="DT174" i="1"/>
  <c r="DN174" i="1"/>
  <c r="DV174" i="1" s="1"/>
  <c r="DJ174" i="1"/>
  <c r="DH174" i="1"/>
  <c r="CQ174" i="1"/>
  <c r="EH118" i="1"/>
  <c r="EA118" i="1" s="1"/>
  <c r="BM118" i="1" s="1"/>
  <c r="DU16" i="1"/>
  <c r="DO77" i="1"/>
  <c r="DW77" i="1" s="1"/>
  <c r="DU77" i="1"/>
  <c r="DK77" i="1"/>
  <c r="DI77" i="1"/>
  <c r="BB44" i="1"/>
  <c r="DK45" i="1"/>
  <c r="DI45" i="1"/>
  <c r="DU45" i="1"/>
  <c r="DO45" i="1"/>
  <c r="DW45" i="1" s="1"/>
  <c r="EF173" i="1"/>
  <c r="DY173" i="1" s="1"/>
  <c r="BK173" i="1" s="1"/>
  <c r="EE70" i="1"/>
  <c r="DX70" i="1" s="1"/>
  <c r="D33" i="1"/>
  <c r="CO33" i="1"/>
  <c r="CO148" i="1"/>
  <c r="DT7" i="1"/>
  <c r="CQ7" i="1"/>
  <c r="BH7" i="1"/>
  <c r="EE147" i="1"/>
  <c r="DX147" i="1" s="1"/>
  <c r="BH158" i="1"/>
  <c r="DH158" i="1"/>
  <c r="DN158" i="1"/>
  <c r="DV158" i="1" s="1"/>
  <c r="CQ158" i="1"/>
  <c r="DJ158" i="1"/>
  <c r="DT158" i="1"/>
  <c r="EH105" i="1"/>
  <c r="EA105" i="1" s="1"/>
  <c r="BM105" i="1" s="1"/>
  <c r="EH4" i="1"/>
  <c r="EA4" i="1" s="1"/>
  <c r="BM4" i="1" s="1"/>
  <c r="EO3" i="1"/>
  <c r="CB78" i="1"/>
  <c r="CU78" i="1"/>
  <c r="DK79" i="1"/>
  <c r="DO79" i="1"/>
  <c r="DI79" i="1"/>
  <c r="DU79" i="1"/>
  <c r="DI48" i="1"/>
  <c r="DU48" i="1"/>
  <c r="DO48" i="1"/>
  <c r="DK48" i="1"/>
  <c r="BH62" i="1"/>
  <c r="DT62" i="1"/>
  <c r="DN62" i="1"/>
  <c r="DH62" i="1"/>
  <c r="CQ62" i="1"/>
  <c r="EF109" i="1"/>
  <c r="DY109" i="1" s="1"/>
  <c r="BK109" i="1" s="1"/>
  <c r="CO31" i="1"/>
  <c r="D31" i="1"/>
  <c r="EE157" i="1"/>
  <c r="DX157" i="1" s="1"/>
  <c r="EJ114" i="1"/>
  <c r="EC114" i="1" s="1"/>
  <c r="BO114" i="1" s="1"/>
  <c r="CM35" i="1"/>
  <c r="C35" i="1"/>
  <c r="EF128" i="1"/>
  <c r="DY128" i="1" s="1"/>
  <c r="BK128" i="1" s="1"/>
  <c r="CB160" i="1"/>
  <c r="CC161" i="1" s="1"/>
  <c r="CU160" i="1"/>
  <c r="EE6" i="1"/>
  <c r="DX6" i="1" s="1"/>
  <c r="BJ6" i="1" s="1"/>
  <c r="CK170" i="1"/>
  <c r="EF33" i="1"/>
  <c r="DY33" i="1" s="1"/>
  <c r="BK33" i="1" s="1"/>
  <c r="EE120" i="1"/>
  <c r="DX120" i="1" s="1"/>
  <c r="BJ120" i="1" s="1"/>
  <c r="BX120" i="1" s="1"/>
  <c r="EF175" i="1"/>
  <c r="DY175" i="1" s="1"/>
  <c r="BK175" i="1" s="1"/>
  <c r="EF45" i="1"/>
  <c r="DY45" i="1" s="1"/>
  <c r="BK45" i="1" s="1"/>
  <c r="EM44" i="1"/>
  <c r="AY35" i="1"/>
  <c r="B35" i="1"/>
  <c r="E35" i="1" s="1"/>
  <c r="CK35" i="1"/>
  <c r="EI14" i="1"/>
  <c r="EB14" i="1" s="1"/>
  <c r="BN14" i="1" s="1"/>
  <c r="CU30" i="1"/>
  <c r="DT170" i="1"/>
  <c r="DN170" i="1"/>
  <c r="DH170" i="1"/>
  <c r="BH170" i="1"/>
  <c r="CQ170" i="1"/>
  <c r="DJ170" i="1"/>
  <c r="CM148" i="1"/>
  <c r="BZ74" i="1"/>
  <c r="CS74" i="1"/>
  <c r="CU38" i="1"/>
  <c r="BH46" i="1"/>
  <c r="DT46" i="1"/>
  <c r="DH46" i="1"/>
  <c r="CQ46" i="1"/>
  <c r="DN46" i="1"/>
  <c r="DJ46" i="1"/>
  <c r="CQ12" i="1"/>
  <c r="BH12" i="1"/>
  <c r="DT12" i="1"/>
  <c r="EE109" i="1"/>
  <c r="DX109" i="1" s="1"/>
  <c r="BJ109" i="1" s="1"/>
  <c r="DT19" i="1"/>
  <c r="BH19" i="1"/>
  <c r="CQ19" i="1"/>
  <c r="EH102" i="1"/>
  <c r="EA102" i="1" s="1"/>
  <c r="BM102" i="1" s="1"/>
  <c r="EF71" i="1"/>
  <c r="DY71" i="1" s="1"/>
  <c r="BK71" i="1" s="1"/>
  <c r="CO76" i="1"/>
  <c r="D76" i="1"/>
  <c r="BU76" i="1"/>
  <c r="BA44" i="1"/>
  <c r="DT45" i="1"/>
  <c r="DN45" i="1"/>
  <c r="DH45" i="1"/>
  <c r="CQ45" i="1"/>
  <c r="BH45" i="1"/>
  <c r="DJ45" i="1"/>
  <c r="D36" i="1"/>
  <c r="CO36" i="1"/>
  <c r="DK13" i="1"/>
  <c r="DO13" i="1"/>
  <c r="DI13" i="1"/>
  <c r="CM152" i="1"/>
  <c r="EF115" i="1"/>
  <c r="DY115" i="1" s="1"/>
  <c r="BK115" i="1" s="1"/>
  <c r="D61" i="1"/>
  <c r="CO61" i="1"/>
  <c r="BU61" i="1"/>
  <c r="EJ19" i="1"/>
  <c r="EC19" i="1" s="1"/>
  <c r="BO19" i="1" s="1"/>
  <c r="EF93" i="1"/>
  <c r="DY93" i="1" s="1"/>
  <c r="BK93" i="1" s="1"/>
  <c r="EH6" i="1"/>
  <c r="EA6" i="1" s="1"/>
  <c r="BM6" i="1" s="1"/>
  <c r="CS179" i="1"/>
  <c r="BZ179" i="1"/>
  <c r="EE35" i="1"/>
  <c r="DX35" i="1" s="1"/>
  <c r="BJ35" i="1" s="1"/>
  <c r="EI30" i="1"/>
  <c r="EB30" i="1" s="1"/>
  <c r="BN30" i="1" s="1"/>
  <c r="CM18" i="1"/>
  <c r="C18" i="1"/>
  <c r="CS19" i="1"/>
  <c r="CK38" i="1"/>
  <c r="AY38" i="1"/>
  <c r="B38" i="1"/>
  <c r="EH26" i="1"/>
  <c r="EA26" i="1" s="1"/>
  <c r="BM26" i="1" s="1"/>
  <c r="CM6" i="1"/>
  <c r="C6" i="1"/>
  <c r="BZ154" i="1"/>
  <c r="CS154" i="1"/>
  <c r="BZ45" i="1"/>
  <c r="CS45" i="1"/>
  <c r="BC44" i="1"/>
  <c r="CM34" i="1"/>
  <c r="C34" i="1"/>
  <c r="CM22" i="1"/>
  <c r="C22" i="1"/>
  <c r="AY15" i="1"/>
  <c r="CK15" i="1"/>
  <c r="B15" i="1"/>
  <c r="DI10" i="1"/>
  <c r="DK10" i="1"/>
  <c r="DO10" i="1"/>
  <c r="DJ5" i="1"/>
  <c r="DQ5" i="1" s="1"/>
  <c r="DH5" i="1"/>
  <c r="DN5" i="1"/>
  <c r="EF104" i="1"/>
  <c r="DY104" i="1" s="1"/>
  <c r="BK104" i="1" s="1"/>
  <c r="CM175" i="1"/>
  <c r="EJ14" i="1"/>
  <c r="EC14" i="1" s="1"/>
  <c r="BO14" i="1" s="1"/>
  <c r="DK60" i="1"/>
  <c r="DU60" i="1"/>
  <c r="DO60" i="1"/>
  <c r="DI60" i="1"/>
  <c r="EJ15" i="1"/>
  <c r="EC15" i="1" s="1"/>
  <c r="BO15" i="1" s="1"/>
  <c r="B31" i="1"/>
  <c r="AY31" i="1"/>
  <c r="CK31" i="1"/>
  <c r="D78" i="1"/>
  <c r="CO78" i="1"/>
  <c r="BU78" i="1"/>
  <c r="D25" i="1"/>
  <c r="CO25" i="1"/>
  <c r="EJ25" i="1"/>
  <c r="EC25" i="1" s="1"/>
  <c r="BO25" i="1" s="1"/>
  <c r="EI111" i="1"/>
  <c r="EB111" i="1" s="1"/>
  <c r="BN111" i="1" s="1"/>
  <c r="EE156" i="1"/>
  <c r="DX156" i="1" s="1"/>
  <c r="BJ156" i="1" s="1"/>
  <c r="EF166" i="1"/>
  <c r="DY166" i="1" s="1"/>
  <c r="BK166" i="1" s="1"/>
  <c r="BX166" i="1" s="1"/>
  <c r="DU20" i="1"/>
  <c r="EF13" i="1"/>
  <c r="DY13" i="1" s="1"/>
  <c r="BK13" i="1" s="1"/>
  <c r="BH25" i="1"/>
  <c r="DT25" i="1"/>
  <c r="CQ25" i="1"/>
  <c r="DH11" i="1"/>
  <c r="DN11" i="1"/>
  <c r="DJ11" i="1"/>
  <c r="EE91" i="1"/>
  <c r="DX91" i="1" s="1"/>
  <c r="BJ91" i="1" s="1"/>
  <c r="EE122" i="1"/>
  <c r="DX122" i="1" s="1"/>
  <c r="BJ122" i="1" s="1"/>
  <c r="BX122" i="1" s="1"/>
  <c r="C11" i="1"/>
  <c r="CM11" i="1"/>
  <c r="CU79" i="1"/>
  <c r="CB79" i="1"/>
  <c r="CM166" i="1"/>
  <c r="CO9" i="1"/>
  <c r="D9" i="1"/>
  <c r="CU58" i="1"/>
  <c r="CB58" i="1"/>
  <c r="EF105" i="1"/>
  <c r="DY105" i="1" s="1"/>
  <c r="BK105" i="1" s="1"/>
  <c r="CK184" i="1"/>
  <c r="EE128" i="1"/>
  <c r="DX128" i="1" s="1"/>
  <c r="BJ128" i="1" s="1"/>
  <c r="EG126" i="1"/>
  <c r="DZ126" i="1" s="1"/>
  <c r="BL126" i="1" s="1"/>
  <c r="B61" i="1"/>
  <c r="AY61" i="1"/>
  <c r="CK61" i="1"/>
  <c r="CP61" i="1" s="1"/>
  <c r="EE26" i="1"/>
  <c r="DX26" i="1" s="1"/>
  <c r="BJ26" i="1" s="1"/>
  <c r="EF125" i="1"/>
  <c r="DY125" i="1" s="1"/>
  <c r="BK125" i="1" s="1"/>
  <c r="CK185" i="1"/>
  <c r="DH22" i="1"/>
  <c r="DJ22" i="1"/>
  <c r="DN22" i="1"/>
  <c r="EE129" i="1"/>
  <c r="DX129" i="1" s="1"/>
  <c r="CU158" i="1"/>
  <c r="CB158" i="1"/>
  <c r="EF150" i="1"/>
  <c r="DY150" i="1" s="1"/>
  <c r="BK150" i="1" s="1"/>
  <c r="CO70" i="1"/>
  <c r="BU70" i="1"/>
  <c r="D70" i="1"/>
  <c r="EE186" i="1"/>
  <c r="DX186" i="1" s="1"/>
  <c r="BJ186" i="1" s="1"/>
  <c r="EJ36" i="1"/>
  <c r="EC36" i="1" s="1"/>
  <c r="BO36" i="1" s="1"/>
  <c r="EI123" i="1"/>
  <c r="EB123" i="1" s="1"/>
  <c r="BN123" i="1" s="1"/>
  <c r="BU123" i="1" s="1"/>
  <c r="EF48" i="1"/>
  <c r="DY48" i="1" s="1"/>
  <c r="BK48" i="1" s="1"/>
  <c r="D12" i="1"/>
  <c r="CO12" i="1"/>
  <c r="CI3" i="1"/>
  <c r="EE12" i="1"/>
  <c r="DX12" i="1" s="1"/>
  <c r="BJ12" i="1" s="1"/>
  <c r="EJ22" i="1"/>
  <c r="EC22" i="1" s="1"/>
  <c r="BO22" i="1" s="1"/>
  <c r="DU179" i="1"/>
  <c r="DO179" i="1"/>
  <c r="DW179" i="1" s="1"/>
  <c r="DK179" i="1"/>
  <c r="DI179" i="1"/>
  <c r="DL179" i="1" s="1"/>
  <c r="DO186" i="1"/>
  <c r="DU186" i="1"/>
  <c r="DK186" i="1"/>
  <c r="DI186" i="1"/>
  <c r="AY8" i="1"/>
  <c r="CK8" i="1"/>
  <c r="B8" i="1"/>
  <c r="EJ97" i="1"/>
  <c r="EC97" i="1" s="1"/>
  <c r="BO97" i="1" s="1"/>
  <c r="EF167" i="1"/>
  <c r="DY167" i="1" s="1"/>
  <c r="BK167" i="1" s="1"/>
  <c r="EJ108" i="1"/>
  <c r="EC108" i="1" s="1"/>
  <c r="BO108" i="1" s="1"/>
  <c r="BU108" i="1" s="1"/>
  <c r="DU139" i="1"/>
  <c r="DI139" i="1"/>
  <c r="DK139" i="1"/>
  <c r="DO139" i="1"/>
  <c r="DW139" i="1" s="1"/>
  <c r="DN38" i="1"/>
  <c r="DJ38" i="1"/>
  <c r="DH38" i="1"/>
  <c r="AY46" i="1"/>
  <c r="B46" i="1"/>
  <c r="CK46" i="1"/>
  <c r="DT156" i="1"/>
  <c r="DJ156" i="1"/>
  <c r="DN156" i="1"/>
  <c r="DH156" i="1"/>
  <c r="CQ156" i="1"/>
  <c r="BH156" i="1"/>
  <c r="DH59" i="1"/>
  <c r="DT59" i="1"/>
  <c r="BH59" i="1"/>
  <c r="CQ59" i="1"/>
  <c r="DN59" i="1"/>
  <c r="CS7" i="1"/>
  <c r="EE130" i="1"/>
  <c r="DX130" i="1" s="1"/>
  <c r="BJ130" i="1" s="1"/>
  <c r="CQ15" i="1"/>
  <c r="CV15" i="1" s="1"/>
  <c r="DT15" i="1"/>
  <c r="BH15" i="1"/>
  <c r="CO177" i="1"/>
  <c r="CO183" i="1"/>
  <c r="EG113" i="1"/>
  <c r="DZ113" i="1" s="1"/>
  <c r="BL113" i="1" s="1"/>
  <c r="EE152" i="1"/>
  <c r="DX152" i="1" s="1"/>
  <c r="BJ152" i="1" s="1"/>
  <c r="EH106" i="1"/>
  <c r="EA106" i="1" s="1"/>
  <c r="BM106" i="1" s="1"/>
  <c r="EF95" i="1"/>
  <c r="DY95" i="1" s="1"/>
  <c r="BK95" i="1" s="1"/>
  <c r="CU26" i="1"/>
  <c r="CU28" i="1"/>
  <c r="EI99" i="1"/>
  <c r="EB99" i="1" s="1"/>
  <c r="BN99" i="1" s="1"/>
  <c r="CU183" i="1"/>
  <c r="CB183" i="1"/>
  <c r="DH19" i="1"/>
  <c r="DN19" i="1"/>
  <c r="DJ19" i="1"/>
  <c r="CU31" i="1"/>
  <c r="DN63" i="1"/>
  <c r="BH63" i="1"/>
  <c r="BI64" i="1" s="1"/>
  <c r="DH63" i="1"/>
  <c r="DT63" i="1"/>
  <c r="CQ63" i="1"/>
  <c r="EJ88" i="1"/>
  <c r="EC88" i="1" s="1"/>
  <c r="BO88" i="1" s="1"/>
  <c r="EE153" i="1"/>
  <c r="DX153" i="1" s="1"/>
  <c r="DN6" i="1"/>
  <c r="DJ6" i="1"/>
  <c r="DH6" i="1"/>
  <c r="DU35" i="1"/>
  <c r="CU4" i="1"/>
  <c r="BE3" i="1"/>
  <c r="DU7" i="1"/>
  <c r="CS71" i="1"/>
  <c r="BZ71" i="1"/>
  <c r="EJ104" i="1"/>
  <c r="EC104" i="1" s="1"/>
  <c r="BO104" i="1" s="1"/>
  <c r="DU36" i="1"/>
  <c r="DT26" i="1"/>
  <c r="BH26" i="1"/>
  <c r="CQ26" i="1"/>
  <c r="EF118" i="1"/>
  <c r="DY118" i="1" s="1"/>
  <c r="BK118" i="1" s="1"/>
  <c r="EJ118" i="1"/>
  <c r="EC118" i="1" s="1"/>
  <c r="BO118" i="1" s="1"/>
  <c r="CB118" i="1" s="1"/>
  <c r="DI174" i="1"/>
  <c r="DU174" i="1"/>
  <c r="DK174" i="1"/>
  <c r="DO174" i="1"/>
  <c r="DK21" i="1"/>
  <c r="DI21" i="1"/>
  <c r="DO21" i="1"/>
  <c r="EG15" i="1"/>
  <c r="DZ15" i="1" s="1"/>
  <c r="BL15" i="1" s="1"/>
  <c r="BS15" i="1" s="1"/>
  <c r="BH186" i="1"/>
  <c r="DN186" i="1"/>
  <c r="DH186" i="1"/>
  <c r="DJ186" i="1"/>
  <c r="CQ186" i="1"/>
  <c r="DT186" i="1"/>
  <c r="EE32" i="1"/>
  <c r="DX32" i="1" s="1"/>
  <c r="CU148" i="1"/>
  <c r="CB148" i="1"/>
  <c r="CC149" i="1" s="1"/>
  <c r="BS76" i="1"/>
  <c r="C76" i="1"/>
  <c r="CM76" i="1"/>
  <c r="CG136" i="1"/>
  <c r="CU35" i="1"/>
  <c r="EE7" i="1"/>
  <c r="DX7" i="1" s="1"/>
  <c r="BJ7" i="1" s="1"/>
  <c r="CO186" i="1"/>
  <c r="CK173" i="1"/>
  <c r="AY62" i="1"/>
  <c r="B62" i="1"/>
  <c r="CK62" i="1"/>
  <c r="EI128" i="1"/>
  <c r="EB128" i="1" s="1"/>
  <c r="BN128" i="1" s="1"/>
  <c r="EF28" i="1"/>
  <c r="DY28" i="1" s="1"/>
  <c r="EH120" i="1"/>
  <c r="EA120" i="1" s="1"/>
  <c r="BM120" i="1" s="1"/>
  <c r="EE48" i="1"/>
  <c r="DX48" i="1" s="1"/>
  <c r="BJ48" i="1" s="1"/>
  <c r="EG99" i="1"/>
  <c r="DZ99" i="1" s="1"/>
  <c r="BL99" i="1" s="1"/>
  <c r="EE151" i="1"/>
  <c r="DX151" i="1" s="1"/>
  <c r="BJ151" i="1" s="1"/>
  <c r="EE74" i="1"/>
  <c r="DX74" i="1" s="1"/>
  <c r="BJ74" i="1" s="1"/>
  <c r="EF87" i="1"/>
  <c r="DY87" i="1" s="1"/>
  <c r="BK87" i="1" s="1"/>
  <c r="D6" i="1"/>
  <c r="CO6" i="1"/>
  <c r="CM149" i="1"/>
  <c r="C139" i="1"/>
  <c r="E139" i="1" s="1"/>
  <c r="AY139" i="1"/>
  <c r="BS139" i="1"/>
  <c r="C28" i="1"/>
  <c r="CM28" i="1"/>
  <c r="BZ77" i="1"/>
  <c r="CS77" i="1"/>
  <c r="DU189" i="1"/>
  <c r="DI189" i="1"/>
  <c r="DK189" i="1"/>
  <c r="DO189" i="1"/>
  <c r="EE150" i="1"/>
  <c r="DX150" i="1" s="1"/>
  <c r="BJ150" i="1" s="1"/>
  <c r="CM187" i="1"/>
  <c r="CK4" i="1"/>
  <c r="AY4" i="1"/>
  <c r="B4" i="1"/>
  <c r="AS3" i="1"/>
  <c r="B3" i="1" s="1"/>
  <c r="CU184" i="1"/>
  <c r="CB184" i="1"/>
  <c r="BZ176" i="1"/>
  <c r="CS176" i="1"/>
  <c r="DI6" i="1"/>
  <c r="DU6" i="1"/>
  <c r="DO6" i="1"/>
  <c r="DK6" i="1"/>
  <c r="EG90" i="1"/>
  <c r="DZ90" i="1" s="1"/>
  <c r="BL90" i="1" s="1"/>
  <c r="EG92" i="1"/>
  <c r="DZ92" i="1" s="1"/>
  <c r="BL92" i="1" s="1"/>
  <c r="EE187" i="1"/>
  <c r="DX187" i="1" s="1"/>
  <c r="BJ187" i="1" s="1"/>
  <c r="EE17" i="1"/>
  <c r="DX17" i="1" s="1"/>
  <c r="BJ17" i="1" s="1"/>
  <c r="EH128" i="1"/>
  <c r="EA128" i="1" s="1"/>
  <c r="BM128" i="1" s="1"/>
  <c r="CQ58" i="1"/>
  <c r="DN58" i="1"/>
  <c r="DJ58" i="1"/>
  <c r="DH58" i="1"/>
  <c r="DT58" i="1"/>
  <c r="BH58" i="1"/>
  <c r="EI12" i="1"/>
  <c r="EB12" i="1" s="1"/>
  <c r="BN12" i="1" s="1"/>
  <c r="DN185" i="1"/>
  <c r="DJ185" i="1"/>
  <c r="BH185" i="1"/>
  <c r="DH185" i="1"/>
  <c r="DT185" i="1"/>
  <c r="CQ185" i="1"/>
  <c r="EE19" i="1"/>
  <c r="DX19" i="1" s="1"/>
  <c r="BJ19" i="1" s="1"/>
  <c r="EJ12" i="1"/>
  <c r="EC12" i="1" s="1"/>
  <c r="BO12" i="1" s="1"/>
  <c r="CK176" i="1"/>
  <c r="EJ30" i="1"/>
  <c r="EC30" i="1" s="1"/>
  <c r="BO30" i="1" s="1"/>
  <c r="EG127" i="1"/>
  <c r="DZ127" i="1" s="1"/>
  <c r="BL127" i="1" s="1"/>
  <c r="EE176" i="1"/>
  <c r="DX176" i="1" s="1"/>
  <c r="BJ176" i="1" s="1"/>
  <c r="CQ13" i="1"/>
  <c r="DT13" i="1"/>
  <c r="BH13" i="1"/>
  <c r="EE175" i="1"/>
  <c r="DX175" i="1" s="1"/>
  <c r="BJ175" i="1" s="1"/>
  <c r="EE60" i="1"/>
  <c r="DX60" i="1" s="1"/>
  <c r="BJ60" i="1" s="1"/>
  <c r="EF29" i="1"/>
  <c r="DY29" i="1" s="1"/>
  <c r="BK29" i="1" s="1"/>
  <c r="DH74" i="1"/>
  <c r="DN74" i="1"/>
  <c r="DV74" i="1" s="1"/>
  <c r="CQ74" i="1"/>
  <c r="BH74" i="1"/>
  <c r="DT74" i="1"/>
  <c r="EH33" i="1"/>
  <c r="EA33" i="1" s="1"/>
  <c r="BM33" i="1" s="1"/>
  <c r="BS33" i="1" s="1"/>
  <c r="DO36" i="1"/>
  <c r="DI36" i="1"/>
  <c r="DK36" i="1"/>
  <c r="DU188" i="1"/>
  <c r="DO188" i="1"/>
  <c r="DK188" i="1"/>
  <c r="DI188" i="1"/>
  <c r="EI32" i="1"/>
  <c r="EB32" i="1" s="1"/>
  <c r="BN32" i="1" s="1"/>
  <c r="BU32" i="1" s="1"/>
  <c r="EH27" i="1"/>
  <c r="EA27" i="1" s="1"/>
  <c r="BM27" i="1" s="1"/>
  <c r="EG12" i="1"/>
  <c r="DZ12" i="1" s="1"/>
  <c r="BL12" i="1" s="1"/>
  <c r="CM145" i="1"/>
  <c r="EH99" i="1"/>
  <c r="EA99" i="1" s="1"/>
  <c r="BM99" i="1" s="1"/>
  <c r="EG30" i="1"/>
  <c r="DZ30" i="1" s="1"/>
  <c r="BL30" i="1" s="1"/>
  <c r="CH44" i="1"/>
  <c r="EE8" i="1"/>
  <c r="DX8" i="1" s="1"/>
  <c r="BJ8" i="1" s="1"/>
  <c r="EF160" i="1"/>
  <c r="DY160" i="1" s="1"/>
  <c r="BK160" i="1" s="1"/>
  <c r="BQ160" i="1" s="1"/>
  <c r="CW160" i="1" s="1"/>
  <c r="CK29" i="1"/>
  <c r="AY29" i="1"/>
  <c r="B29" i="1"/>
  <c r="DO22" i="1"/>
  <c r="DW22" i="1" s="1"/>
  <c r="DK22" i="1"/>
  <c r="DI22" i="1"/>
  <c r="CO157" i="1"/>
  <c r="EI93" i="1"/>
  <c r="EB93" i="1" s="1"/>
  <c r="BN93" i="1" s="1"/>
  <c r="BU93" i="1" s="1"/>
  <c r="CK169" i="1"/>
  <c r="EI19" i="1"/>
  <c r="EB19" i="1" s="1"/>
  <c r="BN19" i="1" s="1"/>
  <c r="CB19" i="1" s="1"/>
  <c r="EG87" i="1"/>
  <c r="DZ87" i="1" s="1"/>
  <c r="BL87" i="1" s="1"/>
  <c r="AY12" i="1"/>
  <c r="CK12" i="1"/>
  <c r="B12" i="1"/>
  <c r="E12" i="1" s="1"/>
  <c r="EG98" i="1"/>
  <c r="DZ98" i="1" s="1"/>
  <c r="BL98" i="1" s="1"/>
  <c r="CO172" i="1"/>
  <c r="CO147" i="1"/>
  <c r="EH121" i="1"/>
  <c r="EA121" i="1" s="1"/>
  <c r="BM121" i="1" s="1"/>
  <c r="BS121" i="1" s="1"/>
  <c r="DJ57" i="1"/>
  <c r="DN57" i="1"/>
  <c r="CQ57" i="1"/>
  <c r="DT57" i="1"/>
  <c r="DH57" i="1"/>
  <c r="BH57" i="1"/>
  <c r="BI57" i="1" s="1"/>
  <c r="EG118" i="1"/>
  <c r="DZ118" i="1" s="1"/>
  <c r="BL118" i="1" s="1"/>
  <c r="DK46" i="1"/>
  <c r="DQ46" i="1" s="1"/>
  <c r="DI46" i="1"/>
  <c r="DO46" i="1"/>
  <c r="DW46" i="1" s="1"/>
  <c r="DU46" i="1"/>
  <c r="DO169" i="1"/>
  <c r="DW169" i="1" s="1"/>
  <c r="DK169" i="1"/>
  <c r="DU169" i="1"/>
  <c r="DI169" i="1"/>
  <c r="EF99" i="1"/>
  <c r="DY99" i="1" s="1"/>
  <c r="EF22" i="1"/>
  <c r="DY22" i="1" s="1"/>
  <c r="BK22" i="1" s="1"/>
  <c r="CG44" i="1"/>
  <c r="C7" i="1"/>
  <c r="CM7" i="1"/>
  <c r="EJ31" i="1"/>
  <c r="EC31" i="1" s="1"/>
  <c r="BO31" i="1" s="1"/>
  <c r="CS57" i="1"/>
  <c r="BZ57" i="1"/>
  <c r="CA57" i="1" s="1"/>
  <c r="DI161" i="1"/>
  <c r="DL161" i="1" s="1"/>
  <c r="BH161" i="1"/>
  <c r="CQ161" i="1"/>
  <c r="DU161" i="1"/>
  <c r="DO161" i="1"/>
  <c r="DW161" i="1" s="1"/>
  <c r="ED161" i="1" s="1"/>
  <c r="DT29" i="1"/>
  <c r="CQ29" i="1"/>
  <c r="CV29" i="1" s="1"/>
  <c r="BH29" i="1"/>
  <c r="DO33" i="1"/>
  <c r="DI33" i="1"/>
  <c r="DK33" i="1"/>
  <c r="DM33" i="1" s="1"/>
  <c r="CO180" i="1"/>
  <c r="EI114" i="1"/>
  <c r="EB114" i="1" s="1"/>
  <c r="BN114" i="1" s="1"/>
  <c r="CS6" i="1"/>
  <c r="CF136" i="1"/>
  <c r="CM154" i="1"/>
  <c r="CK76" i="1"/>
  <c r="B76" i="1"/>
  <c r="AY76" i="1"/>
  <c r="CS63" i="1"/>
  <c r="BZ63" i="1"/>
  <c r="CA64" i="1" s="1"/>
  <c r="CQ27" i="1"/>
  <c r="DT27" i="1"/>
  <c r="BH27" i="1"/>
  <c r="EH113" i="1"/>
  <c r="EA113" i="1" s="1"/>
  <c r="BM113" i="1" s="1"/>
  <c r="BS113" i="1" s="1"/>
  <c r="EI107" i="1"/>
  <c r="EB107" i="1" s="1"/>
  <c r="BN107" i="1" s="1"/>
  <c r="EE108" i="1"/>
  <c r="DX108" i="1" s="1"/>
  <c r="BJ108" i="1" s="1"/>
  <c r="EJ38" i="1"/>
  <c r="EC38" i="1" s="1"/>
  <c r="BO38" i="1" s="1"/>
  <c r="CO142" i="1"/>
  <c r="DU58" i="1"/>
  <c r="DK58" i="1"/>
  <c r="DI58" i="1"/>
  <c r="DO58" i="1"/>
  <c r="EE114" i="1"/>
  <c r="DX114" i="1" s="1"/>
  <c r="D10" i="1"/>
  <c r="E10" i="1" s="1"/>
  <c r="CO10" i="1"/>
  <c r="CK60" i="1"/>
  <c r="AY60" i="1"/>
  <c r="B60" i="1"/>
  <c r="EJ7" i="1"/>
  <c r="EC7" i="1" s="1"/>
  <c r="BO7" i="1" s="1"/>
  <c r="EI16" i="1"/>
  <c r="EB16" i="1" s="1"/>
  <c r="BN16" i="1" s="1"/>
  <c r="EG119" i="1"/>
  <c r="DZ119" i="1" s="1"/>
  <c r="BL119" i="1" s="1"/>
  <c r="EG128" i="1"/>
  <c r="DZ128" i="1" s="1"/>
  <c r="BL128" i="1" s="1"/>
  <c r="EF168" i="1"/>
  <c r="DY168" i="1" s="1"/>
  <c r="EK168" i="1" s="1"/>
  <c r="EF14" i="1"/>
  <c r="DY14" i="1" s="1"/>
  <c r="BK14" i="1" s="1"/>
  <c r="EE125" i="1"/>
  <c r="DX125" i="1" s="1"/>
  <c r="BJ125" i="1" s="1"/>
  <c r="CO20" i="1"/>
  <c r="D20" i="1"/>
  <c r="BZ155" i="1"/>
  <c r="CS155" i="1"/>
  <c r="EH13" i="1"/>
  <c r="EA13" i="1" s="1"/>
  <c r="BM13" i="1" s="1"/>
  <c r="BZ13" i="1" s="1"/>
  <c r="DK11" i="1"/>
  <c r="DI11" i="1"/>
  <c r="DO11" i="1"/>
  <c r="EE78" i="1"/>
  <c r="DX78" i="1" s="1"/>
  <c r="BJ78" i="1" s="1"/>
  <c r="CO72" i="1"/>
  <c r="D72" i="1"/>
  <c r="BU72" i="1"/>
  <c r="CM143" i="1"/>
  <c r="CM140" i="1"/>
  <c r="EI119" i="1"/>
  <c r="EB119" i="1" s="1"/>
  <c r="BN119" i="1" s="1"/>
  <c r="BZ62" i="1"/>
  <c r="CS62" i="1"/>
  <c r="CU36" i="1"/>
  <c r="CB182" i="1"/>
  <c r="CU182" i="1"/>
  <c r="CU21" i="1"/>
  <c r="EE10" i="1"/>
  <c r="DX10" i="1" s="1"/>
  <c r="BJ10" i="1" s="1"/>
  <c r="EG108" i="1"/>
  <c r="DZ108" i="1" s="1"/>
  <c r="BL108" i="1" s="1"/>
  <c r="BS108" i="1" s="1"/>
  <c r="CO137" i="1"/>
  <c r="EI33" i="1"/>
  <c r="EB33" i="1" s="1"/>
  <c r="BN33" i="1" s="1"/>
  <c r="BU33" i="1" s="1"/>
  <c r="EH17" i="1"/>
  <c r="EA17" i="1" s="1"/>
  <c r="BM17" i="1" s="1"/>
  <c r="DT22" i="1"/>
  <c r="BH22" i="1"/>
  <c r="CQ22" i="1"/>
  <c r="BF3" i="1"/>
  <c r="CS20" i="1"/>
  <c r="BZ152" i="1"/>
  <c r="CS152" i="1"/>
  <c r="EF10" i="1"/>
  <c r="DY10" i="1" s="1"/>
  <c r="BK10" i="1" s="1"/>
  <c r="EJ128" i="1"/>
  <c r="EC128" i="1" s="1"/>
  <c r="BO128" i="1" s="1"/>
  <c r="CB128" i="1" s="1"/>
  <c r="B19" i="1"/>
  <c r="CK19" i="1"/>
  <c r="AY19" i="1"/>
  <c r="CO179" i="1"/>
  <c r="EF154" i="1"/>
  <c r="DY154" i="1" s="1"/>
  <c r="BK154" i="1" s="1"/>
  <c r="EJ122" i="1"/>
  <c r="EC122" i="1" s="1"/>
  <c r="BO122" i="1" s="1"/>
  <c r="BU122" i="1" s="1"/>
  <c r="AY28" i="1"/>
  <c r="CK28" i="1"/>
  <c r="B28" i="1"/>
  <c r="CQ160" i="1"/>
  <c r="DT160" i="1"/>
  <c r="DN160" i="1"/>
  <c r="DV160" i="1" s="1"/>
  <c r="DJ160" i="1"/>
  <c r="DS160" i="1" s="1"/>
  <c r="DH160" i="1"/>
  <c r="DP160" i="1" s="1"/>
  <c r="BH160" i="1"/>
  <c r="CM179" i="1"/>
  <c r="EG95" i="1"/>
  <c r="DZ95" i="1" s="1"/>
  <c r="BL95" i="1" s="1"/>
  <c r="DI155" i="1"/>
  <c r="DU155" i="1"/>
  <c r="DO155" i="1"/>
  <c r="DW155" i="1" s="1"/>
  <c r="DK155" i="1"/>
  <c r="DO187" i="1"/>
  <c r="DU187" i="1"/>
  <c r="DK187" i="1"/>
  <c r="DI187" i="1"/>
  <c r="CO151" i="1"/>
  <c r="EE185" i="1"/>
  <c r="DX185" i="1" s="1"/>
  <c r="BJ185" i="1" s="1"/>
  <c r="EF145" i="1"/>
  <c r="DY145" i="1" s="1"/>
  <c r="BK145" i="1" s="1"/>
  <c r="EM136" i="1"/>
  <c r="DF3" i="1"/>
  <c r="DO159" i="1"/>
  <c r="DK159" i="1"/>
  <c r="DI159" i="1"/>
  <c r="DU159" i="1"/>
  <c r="DK62" i="1"/>
  <c r="DO62" i="1"/>
  <c r="DI62" i="1"/>
  <c r="DU62" i="1"/>
  <c r="EG106" i="1"/>
  <c r="DZ106" i="1" s="1"/>
  <c r="BL106" i="1" s="1"/>
  <c r="CK178" i="1"/>
  <c r="EE98" i="1"/>
  <c r="DX98" i="1" s="1"/>
  <c r="CS153" i="1"/>
  <c r="BZ153" i="1"/>
  <c r="EI7" i="1"/>
  <c r="EB7" i="1" s="1"/>
  <c r="BN7" i="1" s="1"/>
  <c r="AT84" i="1"/>
  <c r="EF169" i="1"/>
  <c r="DY169" i="1" s="1"/>
  <c r="BK169" i="1" s="1"/>
  <c r="EI87" i="1"/>
  <c r="EB87" i="1" s="1"/>
  <c r="BN87" i="1" s="1"/>
  <c r="EH110" i="1"/>
  <c r="EA110" i="1" s="1"/>
  <c r="BM110" i="1" s="1"/>
  <c r="BZ110" i="1" s="1"/>
  <c r="DU28" i="1"/>
  <c r="EE62" i="1"/>
  <c r="DX62" i="1" s="1"/>
  <c r="BJ62" i="1" s="1"/>
  <c r="DT33" i="1"/>
  <c r="BH33" i="1"/>
  <c r="CQ33" i="1"/>
  <c r="DK183" i="1"/>
  <c r="DM183" i="1" s="1"/>
  <c r="DI183" i="1"/>
  <c r="DO183" i="1"/>
  <c r="DW183" i="1" s="1"/>
  <c r="DU183" i="1"/>
  <c r="EF98" i="1"/>
  <c r="DY98" i="1" s="1"/>
  <c r="BK98" i="1" s="1"/>
  <c r="CB147" i="1"/>
  <c r="CU147" i="1"/>
  <c r="EE33" i="1"/>
  <c r="DX33" i="1" s="1"/>
  <c r="BJ33" i="1" s="1"/>
  <c r="CO138" i="1"/>
  <c r="CU145" i="1"/>
  <c r="CB145" i="1"/>
  <c r="CC145" i="1" s="1"/>
  <c r="EE86" i="1"/>
  <c r="DX86" i="1" s="1"/>
  <c r="EH14" i="1"/>
  <c r="EA14" i="1" s="1"/>
  <c r="BM14" i="1" s="1"/>
  <c r="BZ14" i="1" s="1"/>
  <c r="EE9" i="1"/>
  <c r="DX9" i="1" s="1"/>
  <c r="BJ9" i="1" s="1"/>
  <c r="EG24" i="1"/>
  <c r="DZ24" i="1" s="1"/>
  <c r="BL24" i="1" s="1"/>
  <c r="CU185" i="1"/>
  <c r="CB185" i="1"/>
  <c r="CK159" i="1"/>
  <c r="AY26" i="1"/>
  <c r="B26" i="1"/>
  <c r="CK26" i="1"/>
  <c r="CP26" i="1" s="1"/>
  <c r="CU25" i="1"/>
  <c r="CS9" i="1"/>
  <c r="BZ149" i="1"/>
  <c r="CS149" i="1"/>
  <c r="CK143" i="1"/>
  <c r="EG8" i="1"/>
  <c r="DZ8" i="1" s="1"/>
  <c r="BL8" i="1" s="1"/>
  <c r="DN146" i="1"/>
  <c r="DV146" i="1" s="1"/>
  <c r="DT146" i="1"/>
  <c r="BH146" i="1"/>
  <c r="DJ146" i="1"/>
  <c r="CQ146" i="1"/>
  <c r="DH146" i="1"/>
  <c r="EH18" i="1"/>
  <c r="EA18" i="1" s="1"/>
  <c r="BM18" i="1" s="1"/>
  <c r="EH21" i="1"/>
  <c r="EA21" i="1" s="1"/>
  <c r="BM21" i="1" s="1"/>
  <c r="BS21" i="1" s="1"/>
  <c r="CQ188" i="1"/>
  <c r="DT188" i="1"/>
  <c r="DN188" i="1"/>
  <c r="DV188" i="1" s="1"/>
  <c r="BH188" i="1"/>
  <c r="BI188" i="1" s="1"/>
  <c r="DJ188" i="1"/>
  <c r="DH188" i="1"/>
  <c r="EJ103" i="1"/>
  <c r="EC103" i="1" s="1"/>
  <c r="BO103" i="1" s="1"/>
  <c r="EI20" i="1"/>
  <c r="EB20" i="1" s="1"/>
  <c r="BN20" i="1" s="1"/>
  <c r="EE34" i="1"/>
  <c r="DX34" i="1" s="1"/>
  <c r="BJ34" i="1" s="1"/>
  <c r="EE46" i="1"/>
  <c r="DX46" i="1" s="1"/>
  <c r="BJ46" i="1" s="1"/>
  <c r="EG123" i="1"/>
  <c r="DZ123" i="1" s="1"/>
  <c r="BL123" i="1" s="1"/>
  <c r="DO176" i="1"/>
  <c r="DU176" i="1"/>
  <c r="DI176" i="1"/>
  <c r="DP176" i="1" s="1"/>
  <c r="DK176" i="1"/>
  <c r="DS176" i="1" s="1"/>
  <c r="EE77" i="1"/>
  <c r="DX77" i="1" s="1"/>
  <c r="BJ77" i="1" s="1"/>
  <c r="EF20" i="1"/>
  <c r="DY20" i="1" s="1"/>
  <c r="BK20" i="1" s="1"/>
  <c r="EG116" i="1"/>
  <c r="DZ116" i="1" s="1"/>
  <c r="BL116" i="1" s="1"/>
  <c r="BS116" i="1" s="1"/>
  <c r="CO140" i="1"/>
  <c r="BU48" i="1"/>
  <c r="CO48" i="1"/>
  <c r="D48" i="1"/>
  <c r="E48" i="1" s="1"/>
  <c r="EG105" i="1"/>
  <c r="DZ105" i="1" s="1"/>
  <c r="BL105" i="1" s="1"/>
  <c r="EF117" i="1"/>
  <c r="DY117" i="1" s="1"/>
  <c r="BK117" i="1" s="1"/>
  <c r="DI19" i="1"/>
  <c r="DO19" i="1"/>
  <c r="DW19" i="1" s="1"/>
  <c r="DK19" i="1"/>
  <c r="EJ91" i="1"/>
  <c r="EC91" i="1" s="1"/>
  <c r="BO91" i="1" s="1"/>
  <c r="CB91" i="1" s="1"/>
  <c r="CK137" i="1"/>
  <c r="EF172" i="1"/>
  <c r="DY172" i="1" s="1"/>
  <c r="BK172" i="1" s="1"/>
  <c r="BX172" i="1" s="1"/>
  <c r="CY172" i="1" s="1"/>
  <c r="D29" i="1"/>
  <c r="CO29" i="1"/>
  <c r="CP29" i="1" s="1"/>
  <c r="EE169" i="1"/>
  <c r="DX169" i="1" s="1"/>
  <c r="BJ169" i="1" s="1"/>
  <c r="DJ34" i="1"/>
  <c r="DS34" i="1" s="1"/>
  <c r="DN34" i="1"/>
  <c r="DV34" i="1" s="1"/>
  <c r="DH34" i="1"/>
  <c r="CU9" i="1"/>
  <c r="CO173" i="1"/>
  <c r="EJ4" i="1"/>
  <c r="EC4" i="1" s="1"/>
  <c r="BO4" i="1" s="1"/>
  <c r="EQ3" i="1"/>
  <c r="C17" i="1"/>
  <c r="CM17" i="1"/>
  <c r="EJ92" i="1"/>
  <c r="EC92" i="1" s="1"/>
  <c r="BO92" i="1" s="1"/>
  <c r="EI98" i="1"/>
  <c r="EB98" i="1" s="1"/>
  <c r="BN98" i="1" s="1"/>
  <c r="CB98" i="1" s="1"/>
  <c r="EM3" i="1"/>
  <c r="EF4" i="1"/>
  <c r="DY4" i="1" s="1"/>
  <c r="BK4" i="1" s="1"/>
  <c r="DR4" i="1" s="1"/>
  <c r="BH151" i="1"/>
  <c r="DJ151" i="1"/>
  <c r="CQ151" i="1"/>
  <c r="DN151" i="1"/>
  <c r="DV151" i="1" s="1"/>
  <c r="DH151" i="1"/>
  <c r="DT151" i="1"/>
  <c r="CB48" i="1"/>
  <c r="CC49" i="1" s="1"/>
  <c r="CU48" i="1"/>
  <c r="BS189" i="1"/>
  <c r="CM189" i="1"/>
  <c r="C189" i="1"/>
  <c r="E189" i="1" s="1"/>
  <c r="AY189" i="1"/>
  <c r="AY136" i="1" s="1"/>
  <c r="CO166" i="1"/>
  <c r="EF176" i="1"/>
  <c r="DY176" i="1" s="1"/>
  <c r="BK176" i="1" s="1"/>
  <c r="DT35" i="1"/>
  <c r="BH35" i="1"/>
  <c r="CQ35" i="1"/>
  <c r="D14" i="1"/>
  <c r="CO14" i="1"/>
  <c r="CK141" i="1"/>
  <c r="CM159" i="1"/>
  <c r="EI34" i="1"/>
  <c r="EB34" i="1" s="1"/>
  <c r="BN34" i="1" s="1"/>
  <c r="CB34" i="1" s="1"/>
  <c r="DU10" i="1"/>
  <c r="EF12" i="1"/>
  <c r="DY12" i="1" s="1"/>
  <c r="BK12" i="1" s="1"/>
  <c r="D38" i="1"/>
  <c r="CO38" i="1"/>
  <c r="CP38" i="1" s="1"/>
  <c r="EG114" i="1"/>
  <c r="DZ114" i="1" s="1"/>
  <c r="BL114" i="1" s="1"/>
  <c r="EH91" i="1"/>
  <c r="EA91" i="1" s="1"/>
  <c r="BM91" i="1" s="1"/>
  <c r="DT9" i="1"/>
  <c r="BH9" i="1"/>
  <c r="CQ9" i="1"/>
  <c r="BH138" i="1"/>
  <c r="BI139" i="1" s="1"/>
  <c r="DJ138" i="1"/>
  <c r="BA136" i="1"/>
  <c r="DN138" i="1"/>
  <c r="DV138" i="1" s="1"/>
  <c r="BX138" i="1"/>
  <c r="BY139" i="1" s="1"/>
  <c r="CQ138" i="1"/>
  <c r="DH138" i="1"/>
  <c r="DT138" i="1"/>
  <c r="EI10" i="1"/>
  <c r="EB10" i="1" s="1"/>
  <c r="BN10" i="1" s="1"/>
  <c r="DH13" i="1"/>
  <c r="DJ13" i="1"/>
  <c r="DQ13" i="1" s="1"/>
  <c r="DN13" i="1"/>
  <c r="DT20" i="1"/>
  <c r="CQ20" i="1"/>
  <c r="BH20" i="1"/>
  <c r="BI20" i="1" s="1"/>
  <c r="DK180" i="1"/>
  <c r="DO180" i="1"/>
  <c r="DW180" i="1" s="1"/>
  <c r="EK180" i="1" s="1"/>
  <c r="ET180" i="1" s="1"/>
  <c r="DI180" i="1"/>
  <c r="DU180" i="1"/>
  <c r="EG34" i="1"/>
  <c r="DZ34" i="1" s="1"/>
  <c r="BL34" i="1" s="1"/>
  <c r="EF92" i="1"/>
  <c r="DY92" i="1" s="1"/>
  <c r="BK92" i="1" s="1"/>
  <c r="DR92" i="1" s="1"/>
  <c r="EE16" i="1"/>
  <c r="DX16" i="1" s="1"/>
  <c r="DU18" i="1"/>
  <c r="EF110" i="1"/>
  <c r="DY110" i="1" s="1"/>
  <c r="BK110" i="1" s="1"/>
  <c r="DT36" i="1"/>
  <c r="BH36" i="1"/>
  <c r="CQ36" i="1"/>
  <c r="CV36" i="1" s="1"/>
  <c r="DO30" i="1"/>
  <c r="DW30" i="1" s="1"/>
  <c r="DK30" i="1"/>
  <c r="DM30" i="1" s="1"/>
  <c r="DI30" i="1"/>
  <c r="EE110" i="1"/>
  <c r="DX110" i="1" s="1"/>
  <c r="B14" i="1"/>
  <c r="AY14" i="1"/>
  <c r="CK14" i="1"/>
  <c r="DN140" i="1"/>
  <c r="DV140" i="1" s="1"/>
  <c r="DT140" i="1"/>
  <c r="BH140" i="1"/>
  <c r="BI140" i="1" s="1"/>
  <c r="CQ140" i="1"/>
  <c r="BX140" i="1"/>
  <c r="CY140" i="1" s="1"/>
  <c r="DH140" i="1"/>
  <c r="DJ140" i="1"/>
  <c r="DO17" i="1"/>
  <c r="DK17" i="1"/>
  <c r="DI17" i="1"/>
  <c r="CM155" i="1"/>
  <c r="BD136" i="1"/>
  <c r="CU143" i="1"/>
  <c r="CB143" i="1"/>
  <c r="CU22" i="1"/>
  <c r="CM19" i="1"/>
  <c r="C19" i="1"/>
  <c r="DU63" i="1"/>
  <c r="DO63" i="1"/>
  <c r="DK63" i="1"/>
  <c r="DI63" i="1"/>
  <c r="DP63" i="1" s="1"/>
  <c r="EE155" i="1"/>
  <c r="DX155" i="1" s="1"/>
  <c r="BJ155" i="1" s="1"/>
  <c r="DJ169" i="1"/>
  <c r="CQ169" i="1"/>
  <c r="DH169" i="1"/>
  <c r="DP169" i="1" s="1"/>
  <c r="BH169" i="1"/>
  <c r="DN169" i="1"/>
  <c r="DV169" i="1" s="1"/>
  <c r="DT169" i="1"/>
  <c r="EE28" i="1"/>
  <c r="DX28" i="1" s="1"/>
  <c r="BJ28" i="1" s="1"/>
  <c r="EJ24" i="1"/>
  <c r="EC24" i="1" s="1"/>
  <c r="BO24" i="1" s="1"/>
  <c r="CM170" i="1"/>
  <c r="CP170" i="1" s="1"/>
  <c r="CM141" i="1"/>
  <c r="EJ10" i="1"/>
  <c r="EC10" i="1" s="1"/>
  <c r="BO10" i="1" s="1"/>
  <c r="EI109" i="1"/>
  <c r="EB109" i="1" s="1"/>
  <c r="BN109" i="1" s="1"/>
  <c r="EF34" i="1"/>
  <c r="DY34" i="1" s="1"/>
  <c r="BK34" i="1" s="1"/>
  <c r="EG104" i="1"/>
  <c r="DZ104" i="1" s="1"/>
  <c r="BL104" i="1" s="1"/>
  <c r="EH125" i="1"/>
  <c r="EA125" i="1" s="1"/>
  <c r="BM125" i="1" s="1"/>
  <c r="BS125" i="1" s="1"/>
  <c r="CK172" i="1"/>
  <c r="CK160" i="1"/>
  <c r="CP160" i="1" s="1"/>
  <c r="DI156" i="1"/>
  <c r="DK156" i="1"/>
  <c r="DS156" i="1" s="1"/>
  <c r="DO156" i="1"/>
  <c r="DU156" i="1"/>
  <c r="CM182" i="1"/>
  <c r="DT24" i="1"/>
  <c r="BH24" i="1"/>
  <c r="CQ24" i="1"/>
  <c r="CV24" i="1" s="1"/>
  <c r="EF25" i="1"/>
  <c r="DY25" i="1" s="1"/>
  <c r="BK25" i="1" s="1"/>
  <c r="EI130" i="1"/>
  <c r="EB130" i="1" s="1"/>
  <c r="BN130" i="1" s="1"/>
  <c r="CO187" i="1"/>
  <c r="EI24" i="1"/>
  <c r="EB24" i="1" s="1"/>
  <c r="BN24" i="1" s="1"/>
  <c r="EE76" i="1"/>
  <c r="DX76" i="1" s="1"/>
  <c r="BJ76" i="1" s="1"/>
  <c r="DN73" i="1"/>
  <c r="DV73" i="1" s="1"/>
  <c r="DH73" i="1"/>
  <c r="BH73" i="1"/>
  <c r="CQ73" i="1"/>
  <c r="DT73" i="1"/>
  <c r="EG124" i="1"/>
  <c r="DZ124" i="1" s="1"/>
  <c r="BL124" i="1" s="1"/>
  <c r="CS46" i="1"/>
  <c r="BZ46" i="1"/>
  <c r="CA46" i="1" s="1"/>
  <c r="EJ120" i="1"/>
  <c r="EC120" i="1" s="1"/>
  <c r="BO120" i="1" s="1"/>
  <c r="BU120" i="1" s="1"/>
  <c r="BC136" i="1"/>
  <c r="CS137" i="1"/>
  <c r="BZ137" i="1"/>
  <c r="DI32" i="1"/>
  <c r="DP32" i="1" s="1"/>
  <c r="DO32" i="1"/>
  <c r="DK32" i="1"/>
  <c r="DQ32" i="1" s="1"/>
  <c r="CM144" i="1"/>
  <c r="EG100" i="1"/>
  <c r="DZ100" i="1" s="1"/>
  <c r="BL100" i="1" s="1"/>
  <c r="CM167" i="1"/>
  <c r="CK189" i="1"/>
  <c r="CK182" i="1"/>
  <c r="EF63" i="1"/>
  <c r="DY63" i="1" s="1"/>
  <c r="BK63" i="1" s="1"/>
  <c r="BQ63" i="1" s="1"/>
  <c r="CW63" i="1" s="1"/>
  <c r="CM174" i="1"/>
  <c r="CS188" i="1"/>
  <c r="BZ188" i="1"/>
  <c r="DJ144" i="1"/>
  <c r="DH144" i="1"/>
  <c r="CQ144" i="1"/>
  <c r="BX144" i="1"/>
  <c r="DT144" i="1"/>
  <c r="BH144" i="1"/>
  <c r="DN144" i="1"/>
  <c r="DV144" i="1" s="1"/>
  <c r="EF38" i="1"/>
  <c r="DY38" i="1" s="1"/>
  <c r="BK38" i="1" s="1"/>
  <c r="BS60" i="1"/>
  <c r="BT61" i="1" s="1"/>
  <c r="CM60" i="1"/>
  <c r="C60" i="1"/>
  <c r="DE3" i="1"/>
  <c r="DH150" i="1"/>
  <c r="DJ150" i="1"/>
  <c r="DN150" i="1"/>
  <c r="DV150" i="1" s="1"/>
  <c r="BH150" i="1"/>
  <c r="DT150" i="1"/>
  <c r="CQ150" i="1"/>
  <c r="AV3" i="1"/>
  <c r="C3" i="1" s="1"/>
  <c r="EJ28" i="1"/>
  <c r="EC28" i="1" s="1"/>
  <c r="BO28" i="1" s="1"/>
  <c r="EF123" i="1"/>
  <c r="DY123" i="1" s="1"/>
  <c r="BK123" i="1" s="1"/>
  <c r="BX181" i="1"/>
  <c r="CQ181" i="1"/>
  <c r="DJ181" i="1"/>
  <c r="DT181" i="1"/>
  <c r="BH181" i="1"/>
  <c r="DN181" i="1"/>
  <c r="DV181" i="1" s="1"/>
  <c r="DH181" i="1"/>
  <c r="EH95" i="1"/>
  <c r="EA95" i="1" s="1"/>
  <c r="BM95" i="1" s="1"/>
  <c r="BS95" i="1" s="1"/>
  <c r="CK153" i="1"/>
  <c r="DH184" i="1"/>
  <c r="DN184" i="1"/>
  <c r="BH184" i="1"/>
  <c r="DT184" i="1"/>
  <c r="BX184" i="1"/>
  <c r="BY184" i="1" s="1"/>
  <c r="DJ184" i="1"/>
  <c r="CQ184" i="1"/>
  <c r="EI105" i="1"/>
  <c r="EB105" i="1" s="1"/>
  <c r="BN105" i="1" s="1"/>
  <c r="EJ100" i="1"/>
  <c r="EC100" i="1" s="1"/>
  <c r="BO100" i="1" s="1"/>
  <c r="EF73" i="1"/>
  <c r="DY73" i="1" s="1"/>
  <c r="BK73" i="1" s="1"/>
  <c r="CO146" i="1"/>
  <c r="BH189" i="1"/>
  <c r="DN189" i="1"/>
  <c r="DV189" i="1" s="1"/>
  <c r="DH189" i="1"/>
  <c r="CQ189" i="1"/>
  <c r="DT189" i="1"/>
  <c r="DJ189" i="1"/>
  <c r="CI136" i="1"/>
  <c r="CQ157" i="1"/>
  <c r="DT157" i="1"/>
  <c r="DJ157" i="1"/>
  <c r="DQ157" i="1" s="1"/>
  <c r="BH157" i="1"/>
  <c r="DN157" i="1"/>
  <c r="DV157" i="1" s="1"/>
  <c r="DH157" i="1"/>
  <c r="DU33" i="1"/>
  <c r="EE96" i="1"/>
  <c r="DX96" i="1" s="1"/>
  <c r="BJ96" i="1" s="1"/>
  <c r="CK183" i="1"/>
  <c r="CQ11" i="1"/>
  <c r="DT11" i="1"/>
  <c r="DV11" i="1" s="1"/>
  <c r="BH11" i="1"/>
  <c r="CO155" i="1"/>
  <c r="EF108" i="1"/>
  <c r="DY108" i="1" s="1"/>
  <c r="BK108" i="1" s="1"/>
  <c r="EF96" i="1"/>
  <c r="DY96" i="1" s="1"/>
  <c r="BK96" i="1" s="1"/>
  <c r="D22" i="1"/>
  <c r="CO22" i="1"/>
  <c r="EF121" i="1"/>
  <c r="DY121" i="1" s="1"/>
  <c r="BK121" i="1" s="1"/>
  <c r="DK72" i="1"/>
  <c r="DS72" i="1" s="1"/>
  <c r="DI72" i="1"/>
  <c r="DO72" i="1"/>
  <c r="DU72" i="1"/>
  <c r="EH109" i="1"/>
  <c r="EA109" i="1" s="1"/>
  <c r="BM109" i="1" s="1"/>
  <c r="BS109" i="1" s="1"/>
  <c r="DO144" i="1"/>
  <c r="DW144" i="1" s="1"/>
  <c r="DI144" i="1"/>
  <c r="DU144" i="1"/>
  <c r="DK144" i="1"/>
  <c r="DH26" i="1"/>
  <c r="DJ26" i="1"/>
  <c r="DS26" i="1" s="1"/>
  <c r="DN26" i="1"/>
  <c r="EI104" i="1"/>
  <c r="EB104" i="1" s="1"/>
  <c r="BN104" i="1" s="1"/>
  <c r="B16" i="1"/>
  <c r="AY16" i="1"/>
  <c r="CK16" i="1"/>
  <c r="CO37" i="1"/>
  <c r="CP37" i="1" s="1"/>
  <c r="D37" i="1"/>
  <c r="DK177" i="1"/>
  <c r="DR177" i="1" s="1"/>
  <c r="DO177" i="1"/>
  <c r="DI177" i="1"/>
  <c r="DL177" i="1" s="1"/>
  <c r="DU177" i="1"/>
  <c r="EJ101" i="1"/>
  <c r="EC101" i="1" s="1"/>
  <c r="BO101" i="1" s="1"/>
  <c r="EI26" i="1"/>
  <c r="EB26" i="1" s="1"/>
  <c r="BN26" i="1" s="1"/>
  <c r="CK144" i="1"/>
  <c r="DU181" i="1"/>
  <c r="DI181" i="1"/>
  <c r="DO181" i="1"/>
  <c r="DK181" i="1"/>
  <c r="DS181" i="1" s="1"/>
  <c r="DK172" i="1"/>
  <c r="DU172" i="1"/>
  <c r="DI172" i="1"/>
  <c r="DO172" i="1"/>
  <c r="DW172" i="1" s="1"/>
  <c r="DK74" i="1"/>
  <c r="DO74" i="1"/>
  <c r="DW74" i="1" s="1"/>
  <c r="DI74" i="1"/>
  <c r="DU74" i="1"/>
  <c r="DJ27" i="1"/>
  <c r="DH27" i="1"/>
  <c r="DL27" i="1" s="1"/>
  <c r="DN27" i="1"/>
  <c r="DK37" i="1"/>
  <c r="DQ37" i="1" s="1"/>
  <c r="DI37" i="1"/>
  <c r="DO37" i="1"/>
  <c r="DW37" i="1" s="1"/>
  <c r="EH115" i="1"/>
  <c r="EA115" i="1" s="1"/>
  <c r="BM115" i="1" s="1"/>
  <c r="EJ23" i="1"/>
  <c r="EC23" i="1" s="1"/>
  <c r="BO23" i="1" s="1"/>
  <c r="BU23" i="1" s="1"/>
  <c r="EF46" i="1"/>
  <c r="EP3" i="1"/>
  <c r="EI4" i="1"/>
  <c r="EE154" i="1"/>
  <c r="DX154" i="1" s="1"/>
  <c r="EI35" i="1"/>
  <c r="EB35" i="1" s="1"/>
  <c r="BN35" i="1" s="1"/>
  <c r="EF24" i="1"/>
  <c r="DY24" i="1" s="1"/>
  <c r="BK24" i="1" s="1"/>
  <c r="BQ24" i="1" s="1"/>
  <c r="EF16" i="1"/>
  <c r="DY16" i="1" s="1"/>
  <c r="BK16" i="1" s="1"/>
  <c r="EG129" i="1"/>
  <c r="DZ129" i="1" s="1"/>
  <c r="BL129" i="1" s="1"/>
  <c r="EJ111" i="1"/>
  <c r="EC111" i="1" s="1"/>
  <c r="BO111" i="1" s="1"/>
  <c r="EF171" i="1"/>
  <c r="DY171" i="1" s="1"/>
  <c r="BK171" i="1" s="1"/>
  <c r="CK180" i="1"/>
  <c r="CU141" i="1"/>
  <c r="CB141" i="1"/>
  <c r="EF77" i="1"/>
  <c r="DY77" i="1" s="1"/>
  <c r="BK77" i="1" s="1"/>
  <c r="BQ77" i="1" s="1"/>
  <c r="CW77" i="1" s="1"/>
  <c r="EI117" i="1"/>
  <c r="EB117" i="1" s="1"/>
  <c r="BN117" i="1" s="1"/>
  <c r="EF158" i="1"/>
  <c r="DY158" i="1" s="1"/>
  <c r="BK158" i="1" s="1"/>
  <c r="EE149" i="1"/>
  <c r="DX149" i="1" s="1"/>
  <c r="DK138" i="1"/>
  <c r="DM138" i="1" s="1"/>
  <c r="DI138" i="1"/>
  <c r="DU138" i="1"/>
  <c r="DO138" i="1"/>
  <c r="DW138" i="1" s="1"/>
  <c r="EI96" i="1"/>
  <c r="EB96" i="1" s="1"/>
  <c r="BN96" i="1" s="1"/>
  <c r="BU96" i="1" s="1"/>
  <c r="EF155" i="1"/>
  <c r="DY155" i="1" s="1"/>
  <c r="BK155" i="1" s="1"/>
  <c r="DN31" i="1"/>
  <c r="DV31" i="1" s="1"/>
  <c r="DH31" i="1"/>
  <c r="DJ31" i="1"/>
  <c r="DS31" i="1" s="1"/>
  <c r="C59" i="1"/>
  <c r="E59" i="1" s="1"/>
  <c r="BS59" i="1"/>
  <c r="BT59" i="1" s="1"/>
  <c r="CM59" i="1"/>
  <c r="CK152" i="1"/>
  <c r="EE158" i="1"/>
  <c r="DX158" i="1" s="1"/>
  <c r="BJ158" i="1" s="1"/>
  <c r="CO159" i="1"/>
  <c r="CP159" i="1" s="1"/>
  <c r="EE111" i="1"/>
  <c r="DX111" i="1" s="1"/>
  <c r="BJ111" i="1" s="1"/>
  <c r="EI31" i="1"/>
  <c r="EB31" i="1" s="1"/>
  <c r="BN31" i="1" s="1"/>
  <c r="BU31" i="1" s="1"/>
  <c r="DU34" i="1"/>
  <c r="CK167" i="1"/>
  <c r="CU11" i="1"/>
  <c r="EF107" i="1"/>
  <c r="DY107" i="1" s="1"/>
  <c r="BK107" i="1" s="1"/>
  <c r="CQ75" i="1"/>
  <c r="BH75" i="1"/>
  <c r="DN75" i="1"/>
  <c r="DT75" i="1"/>
  <c r="DH75" i="1"/>
  <c r="DP75" i="1" s="1"/>
  <c r="EI86" i="1"/>
  <c r="EB86" i="1" s="1"/>
  <c r="BN86" i="1" s="1"/>
  <c r="CB86" i="1" s="1"/>
  <c r="EE14" i="1"/>
  <c r="DX14" i="1" s="1"/>
  <c r="BJ14" i="1" s="1"/>
  <c r="EH96" i="1"/>
  <c r="EA96" i="1" s="1"/>
  <c r="BM96" i="1" s="1"/>
  <c r="BS96" i="1" s="1"/>
  <c r="EE127" i="1"/>
  <c r="DX127" i="1" s="1"/>
  <c r="BJ127" i="1" s="1"/>
  <c r="CM186" i="1"/>
  <c r="CP186" i="1" s="1"/>
  <c r="BZ159" i="1"/>
  <c r="CA160" i="1" s="1"/>
  <c r="CS159" i="1"/>
  <c r="EI121" i="1"/>
  <c r="EB121" i="1" s="1"/>
  <c r="BN121" i="1" s="1"/>
  <c r="DT178" i="1"/>
  <c r="DN178" i="1"/>
  <c r="DV178" i="1" s="1"/>
  <c r="DJ178" i="1"/>
  <c r="DS178" i="1" s="1"/>
  <c r="CQ178" i="1"/>
  <c r="BH178" i="1"/>
  <c r="BI178" i="1" s="1"/>
  <c r="DH178" i="1"/>
  <c r="BX178" i="1"/>
  <c r="BY179" i="1" s="1"/>
  <c r="EF106" i="1"/>
  <c r="DY106" i="1" s="1"/>
  <c r="BK106" i="1" s="1"/>
  <c r="BQ106" i="1" s="1"/>
  <c r="EF15" i="1"/>
  <c r="DY15" i="1" s="1"/>
  <c r="BK15" i="1" s="1"/>
  <c r="DR15" i="1" s="1"/>
  <c r="EF187" i="1"/>
  <c r="DY187" i="1" s="1"/>
  <c r="BK187" i="1" s="1"/>
  <c r="EF163" i="1"/>
  <c r="DY163" i="1" s="1"/>
  <c r="BK163" i="1" s="1"/>
  <c r="BQ163" i="1" s="1"/>
  <c r="CW163" i="1" s="1"/>
  <c r="CS59" i="1"/>
  <c r="BZ59" i="1"/>
  <c r="EH126" i="1"/>
  <c r="EA126" i="1" s="1"/>
  <c r="BM126" i="1" s="1"/>
  <c r="EF85" i="1"/>
  <c r="DY85" i="1" s="1"/>
  <c r="BK85" i="1" s="1"/>
  <c r="EM84" i="1"/>
  <c r="CO17" i="1"/>
  <c r="D17" i="1"/>
  <c r="EI18" i="1"/>
  <c r="EB18" i="1" s="1"/>
  <c r="BN18" i="1" s="1"/>
  <c r="BU18" i="1" s="1"/>
  <c r="DO154" i="1"/>
  <c r="DW154" i="1" s="1"/>
  <c r="DI154" i="1"/>
  <c r="DL154" i="1" s="1"/>
  <c r="DK154" i="1"/>
  <c r="DU154" i="1"/>
  <c r="BH71" i="1"/>
  <c r="DJ71" i="1"/>
  <c r="DM71" i="1" s="1"/>
  <c r="DH71" i="1"/>
  <c r="CQ71" i="1"/>
  <c r="DN71" i="1"/>
  <c r="DT71" i="1"/>
  <c r="EJ110" i="1"/>
  <c r="EC110" i="1" s="1"/>
  <c r="BO110" i="1" s="1"/>
  <c r="CO73" i="1"/>
  <c r="BU73" i="1"/>
  <c r="D73" i="1"/>
  <c r="DK184" i="1"/>
  <c r="DO184" i="1"/>
  <c r="DW184" i="1" s="1"/>
  <c r="DU184" i="1"/>
  <c r="DI184" i="1"/>
  <c r="DK12" i="1"/>
  <c r="DI12" i="1"/>
  <c r="DP12" i="1" s="1"/>
  <c r="DO12" i="1"/>
  <c r="DK140" i="1"/>
  <c r="DU140" i="1"/>
  <c r="DI140" i="1"/>
  <c r="DP140" i="1" s="1"/>
  <c r="DO140" i="1"/>
  <c r="DW140" i="1" s="1"/>
  <c r="EH100" i="1"/>
  <c r="EA100" i="1" s="1"/>
  <c r="BM100" i="1" s="1"/>
  <c r="EF164" i="1"/>
  <c r="DY164" i="1" s="1"/>
  <c r="BK164" i="1" s="1"/>
  <c r="BX164" i="1" s="1"/>
  <c r="EE73" i="1"/>
  <c r="DX73" i="1" s="1"/>
  <c r="AY18" i="1"/>
  <c r="CK18" i="1"/>
  <c r="CP18" i="1" s="1"/>
  <c r="B18" i="1"/>
  <c r="CQ14" i="1"/>
  <c r="BH14" i="1"/>
  <c r="DT14" i="1"/>
  <c r="DV14" i="1" s="1"/>
  <c r="DU31" i="1"/>
  <c r="EF74" i="1"/>
  <c r="DY74" i="1" s="1"/>
  <c r="BK74" i="1" s="1"/>
  <c r="BX74" i="1" s="1"/>
  <c r="CY74" i="1" s="1"/>
  <c r="CU186" i="1"/>
  <c r="CB186" i="1"/>
  <c r="CC186" i="1" s="1"/>
  <c r="EI13" i="1"/>
  <c r="EB13" i="1" s="1"/>
  <c r="BN13" i="1" s="1"/>
  <c r="EF31" i="1"/>
  <c r="DY31" i="1" s="1"/>
  <c r="BK31" i="1" s="1"/>
  <c r="BX31" i="1" s="1"/>
  <c r="EH88" i="1"/>
  <c r="EA88" i="1" s="1"/>
  <c r="BM88" i="1" s="1"/>
  <c r="BZ88" i="1" s="1"/>
  <c r="EJ121" i="1"/>
  <c r="EC121" i="1" s="1"/>
  <c r="BO121" i="1" s="1"/>
  <c r="EI6" i="1"/>
  <c r="EB6" i="1" s="1"/>
  <c r="BN6" i="1" s="1"/>
  <c r="EF18" i="1"/>
  <c r="DY18" i="1" s="1"/>
  <c r="BK18" i="1" s="1"/>
  <c r="BZ174" i="1"/>
  <c r="CA174" i="1" s="1"/>
  <c r="CS174" i="1"/>
  <c r="CS34" i="1"/>
  <c r="EE112" i="1"/>
  <c r="DX112" i="1" s="1"/>
  <c r="BJ112" i="1" s="1"/>
  <c r="BX112" i="1" s="1"/>
  <c r="EF174" i="1"/>
  <c r="DY174" i="1" s="1"/>
  <c r="BK174" i="1" s="1"/>
  <c r="EF130" i="1"/>
  <c r="DY130" i="1" s="1"/>
  <c r="BK130" i="1" s="1"/>
  <c r="BQ130" i="1" s="1"/>
  <c r="CO152" i="1"/>
  <c r="CO13" i="1"/>
  <c r="CP13" i="1" s="1"/>
  <c r="D13" i="1"/>
  <c r="E13" i="1" s="1"/>
  <c r="DT76" i="1"/>
  <c r="CQ76" i="1"/>
  <c r="DN76" i="1"/>
  <c r="DV76" i="1" s="1"/>
  <c r="DH76" i="1"/>
  <c r="BH76" i="1"/>
  <c r="BI76" i="1" s="1"/>
  <c r="DJ76" i="1"/>
  <c r="DO57" i="1"/>
  <c r="DW57" i="1" s="1"/>
  <c r="DI57" i="1"/>
  <c r="DL57" i="1" s="1"/>
  <c r="DU57" i="1"/>
  <c r="EE59" i="1"/>
  <c r="DX59" i="1" s="1"/>
  <c r="BJ59" i="1" s="1"/>
  <c r="EE45" i="1"/>
  <c r="EL44" i="1"/>
  <c r="CO141" i="1"/>
  <c r="DO153" i="1"/>
  <c r="DI153" i="1"/>
  <c r="DK153" i="1"/>
  <c r="DM153" i="1" s="1"/>
  <c r="DU153" i="1"/>
  <c r="EF189" i="1"/>
  <c r="DY189" i="1" s="1"/>
  <c r="BK189" i="1" s="1"/>
  <c r="EF36" i="1"/>
  <c r="DY36" i="1" s="1"/>
  <c r="BK36" i="1" s="1"/>
  <c r="BQ36" i="1" s="1"/>
  <c r="CO182" i="1"/>
  <c r="DU17" i="1"/>
  <c r="DW17" i="1" s="1"/>
  <c r="EH104" i="1"/>
  <c r="EA104" i="1" s="1"/>
  <c r="BM104" i="1" s="1"/>
  <c r="DN159" i="1"/>
  <c r="DV159" i="1" s="1"/>
  <c r="BH159" i="1"/>
  <c r="DH159" i="1"/>
  <c r="DL159" i="1" s="1"/>
  <c r="DT159" i="1"/>
  <c r="DJ159" i="1"/>
  <c r="DS159" i="1" s="1"/>
  <c r="CQ159" i="1"/>
  <c r="DT17" i="1"/>
  <c r="BH17" i="1"/>
  <c r="CQ17" i="1"/>
  <c r="DI185" i="1"/>
  <c r="DU185" i="1"/>
  <c r="DO185" i="1"/>
  <c r="DK185" i="1"/>
  <c r="DS185" i="1" s="1"/>
  <c r="EH114" i="1"/>
  <c r="EA114" i="1" s="1"/>
  <c r="BM114" i="1" s="1"/>
  <c r="EF97" i="1"/>
  <c r="DY97" i="1" s="1"/>
  <c r="BK97" i="1" s="1"/>
  <c r="EF76" i="1"/>
  <c r="DY76" i="1" s="1"/>
  <c r="BK76" i="1" s="1"/>
  <c r="EF79" i="1"/>
  <c r="DY79" i="1" s="1"/>
  <c r="BK79" i="1" s="1"/>
  <c r="EI28" i="1"/>
  <c r="EB28" i="1" s="1"/>
  <c r="BN28" i="1" s="1"/>
  <c r="DK166" i="1"/>
  <c r="DQ166" i="1" s="1"/>
  <c r="DU166" i="1"/>
  <c r="BH166" i="1"/>
  <c r="DI166" i="1"/>
  <c r="DL166" i="1" s="1"/>
  <c r="CQ166" i="1"/>
  <c r="DO166" i="1"/>
  <c r="DW166" i="1" s="1"/>
  <c r="ES166" i="1" s="1"/>
  <c r="EF162" i="1"/>
  <c r="DY162" i="1" s="1"/>
  <c r="BK162" i="1" s="1"/>
  <c r="BX162" i="1" s="1"/>
  <c r="CY162" i="1" s="1"/>
  <c r="AY78" i="1"/>
  <c r="B78" i="1"/>
  <c r="E78" i="1" s="1"/>
  <c r="CK78" i="1"/>
  <c r="CS185" i="1"/>
  <c r="BZ185" i="1"/>
  <c r="DN7" i="1"/>
  <c r="DV7" i="1" s="1"/>
  <c r="DH7" i="1"/>
  <c r="DJ7" i="1"/>
  <c r="DQ7" i="1" s="1"/>
  <c r="EJ21" i="1"/>
  <c r="EC21" i="1" s="1"/>
  <c r="BO21" i="1" s="1"/>
  <c r="BU21" i="1" s="1"/>
  <c r="EG91" i="1"/>
  <c r="DZ91" i="1" s="1"/>
  <c r="BL91" i="1" s="1"/>
  <c r="BS91" i="1" s="1"/>
  <c r="DU11" i="1"/>
  <c r="EE57" i="1"/>
  <c r="DX57" i="1" s="1"/>
  <c r="BJ57" i="1" s="1"/>
  <c r="DR57" i="1" s="1"/>
  <c r="B77" i="1"/>
  <c r="CK77" i="1"/>
  <c r="CP77" i="1" s="1"/>
  <c r="AY77" i="1"/>
  <c r="DU38" i="1"/>
  <c r="EG130" i="1"/>
  <c r="DZ130" i="1" s="1"/>
  <c r="BL130" i="1" s="1"/>
  <c r="BZ130" i="1" s="1"/>
  <c r="CO178" i="1"/>
  <c r="CO4" i="1"/>
  <c r="D4" i="1"/>
  <c r="E4" i="1" s="1"/>
  <c r="AW3" i="1"/>
  <c r="EE72" i="1"/>
  <c r="DX72" i="1" s="1"/>
  <c r="BJ72" i="1" s="1"/>
  <c r="BQ72" i="1" s="1"/>
  <c r="DN155" i="1"/>
  <c r="DV155" i="1" s="1"/>
  <c r="DT155" i="1"/>
  <c r="CQ155" i="1"/>
  <c r="DJ155" i="1"/>
  <c r="DS155" i="1" s="1"/>
  <c r="BH155" i="1"/>
  <c r="DH155" i="1"/>
  <c r="B21" i="1"/>
  <c r="AY21" i="1"/>
  <c r="CK21" i="1"/>
  <c r="EF152" i="1"/>
  <c r="DY152" i="1" s="1"/>
  <c r="BK152" i="1" s="1"/>
  <c r="BQ152" i="1" s="1"/>
  <c r="DO146" i="1"/>
  <c r="DW146" i="1" s="1"/>
  <c r="ES146" i="1" s="1"/>
  <c r="DI146" i="1"/>
  <c r="DU146" i="1"/>
  <c r="DK146" i="1"/>
  <c r="DQ146" i="1" s="1"/>
  <c r="EJ94" i="1"/>
  <c r="EC94" i="1" s="1"/>
  <c r="BO94" i="1" s="1"/>
  <c r="EH124" i="1"/>
  <c r="EA124" i="1" s="1"/>
  <c r="BM124" i="1" s="1"/>
  <c r="BS124" i="1" s="1"/>
  <c r="CU10" i="1"/>
  <c r="DU26" i="1"/>
  <c r="BU75" i="1"/>
  <c r="CO75" i="1"/>
  <c r="D75" i="1"/>
  <c r="B25" i="1"/>
  <c r="E25" i="1" s="1"/>
  <c r="CK25" i="1"/>
  <c r="CP25" i="1" s="1"/>
  <c r="AY25" i="1"/>
  <c r="EG10" i="1"/>
  <c r="CK47" i="1"/>
  <c r="AY47" i="1"/>
  <c r="B47" i="1"/>
  <c r="EJ99" i="1"/>
  <c r="EC99" i="1" s="1"/>
  <c r="BO99" i="1" s="1"/>
  <c r="EI94" i="1"/>
  <c r="EB94" i="1" s="1"/>
  <c r="BN94" i="1" s="1"/>
  <c r="EI11" i="1"/>
  <c r="EB11" i="1" s="1"/>
  <c r="BN11" i="1" s="1"/>
  <c r="BU11" i="1" s="1"/>
  <c r="CE44" i="1"/>
  <c r="EI88" i="1"/>
  <c r="EB88" i="1" s="1"/>
  <c r="BN88" i="1" s="1"/>
  <c r="CB88" i="1" s="1"/>
  <c r="DT31" i="1"/>
  <c r="CQ31" i="1"/>
  <c r="CV31" i="1" s="1"/>
  <c r="BH31" i="1"/>
  <c r="DN175" i="1"/>
  <c r="DV175" i="1" s="1"/>
  <c r="DT175" i="1"/>
  <c r="DH175" i="1"/>
  <c r="DP175" i="1" s="1"/>
  <c r="DJ175" i="1"/>
  <c r="DS175" i="1" s="1"/>
  <c r="CQ175" i="1"/>
  <c r="BH175" i="1"/>
  <c r="BI176" i="1" s="1"/>
  <c r="CK149" i="1"/>
  <c r="CP149" i="1" s="1"/>
  <c r="DN171" i="1"/>
  <c r="DV171" i="1" s="1"/>
  <c r="DT171" i="1"/>
  <c r="DJ171" i="1"/>
  <c r="BH171" i="1"/>
  <c r="BI171" i="1" s="1"/>
  <c r="DH171" i="1"/>
  <c r="CQ171" i="1"/>
  <c r="EJ109" i="1"/>
  <c r="EC109" i="1" s="1"/>
  <c r="BO109" i="1" s="1"/>
  <c r="CB109" i="1" s="1"/>
  <c r="BH162" i="1"/>
  <c r="BI163" i="1" s="1"/>
  <c r="DI162" i="1"/>
  <c r="DP162" i="1" s="1"/>
  <c r="DK162" i="1"/>
  <c r="DM162" i="1" s="1"/>
  <c r="DO162" i="1"/>
  <c r="DW162" i="1" s="1"/>
  <c r="ES162" i="1" s="1"/>
  <c r="DU162" i="1"/>
  <c r="CQ162" i="1"/>
  <c r="EF9" i="1"/>
  <c r="DY9" i="1" s="1"/>
  <c r="BK9" i="1" s="1"/>
  <c r="BQ9" i="1" s="1"/>
  <c r="EE123" i="1"/>
  <c r="DX123" i="1" s="1"/>
  <c r="EK123" i="1" s="1"/>
  <c r="EF148" i="1"/>
  <c r="DY148" i="1" s="1"/>
  <c r="BK148" i="1" s="1"/>
  <c r="EI115" i="1"/>
  <c r="EB115" i="1" s="1"/>
  <c r="BN115" i="1" s="1"/>
  <c r="EE85" i="1"/>
  <c r="DX85" i="1" s="1"/>
  <c r="BJ85" i="1" s="1"/>
  <c r="EL84" i="1"/>
  <c r="DK8" i="1"/>
  <c r="DI8" i="1"/>
  <c r="DO8" i="1"/>
  <c r="DH8" i="1"/>
  <c r="DN8" i="1"/>
  <c r="DJ8" i="1"/>
  <c r="CS23" i="1"/>
  <c r="DO148" i="1"/>
  <c r="DW148" i="1" s="1"/>
  <c r="ES148" i="1" s="1"/>
  <c r="DU148" i="1"/>
  <c r="DI148" i="1"/>
  <c r="DL148" i="1" s="1"/>
  <c r="DK148" i="1"/>
  <c r="CO139" i="1"/>
  <c r="CP139" i="1" s="1"/>
  <c r="DJ18" i="1"/>
  <c r="DH18" i="1"/>
  <c r="DN18" i="1"/>
  <c r="CO189" i="1"/>
  <c r="AX3" i="1"/>
  <c r="EI15" i="1"/>
  <c r="EB15" i="1" s="1"/>
  <c r="BN15" i="1" s="1"/>
  <c r="CB15" i="1" s="1"/>
  <c r="EE121" i="1"/>
  <c r="DX121" i="1" s="1"/>
  <c r="BJ121" i="1" s="1"/>
  <c r="BX137" i="1"/>
  <c r="BB136" i="1"/>
  <c r="DK137" i="1"/>
  <c r="DM137" i="1" s="1"/>
  <c r="DI137" i="1"/>
  <c r="DP137" i="1" s="1"/>
  <c r="DP136" i="1" s="1"/>
  <c r="DP191" i="1" s="1"/>
  <c r="CQ137" i="1"/>
  <c r="DO137" i="1"/>
  <c r="DW137" i="1" s="1"/>
  <c r="ES137" i="1" s="1"/>
  <c r="BH137" i="1"/>
  <c r="DU137" i="1"/>
  <c r="EG25" i="1"/>
  <c r="DZ25" i="1" s="1"/>
  <c r="BL25" i="1" s="1"/>
  <c r="D46" i="1"/>
  <c r="CO46" i="1"/>
  <c r="BU46" i="1"/>
  <c r="EE87" i="1"/>
  <c r="DX87" i="1" s="1"/>
  <c r="BJ87" i="1" s="1"/>
  <c r="DR87" i="1" s="1"/>
  <c r="EI129" i="1"/>
  <c r="EB129" i="1" s="1"/>
  <c r="BN129" i="1" s="1"/>
  <c r="BU129" i="1" s="1"/>
  <c r="EF170" i="1"/>
  <c r="DY170" i="1" s="1"/>
  <c r="BK170" i="1" s="1"/>
  <c r="BX170" i="1" s="1"/>
  <c r="CY170" i="1" s="1"/>
  <c r="EJ89" i="1"/>
  <c r="EC89" i="1" s="1"/>
  <c r="BO89" i="1" s="1"/>
  <c r="BU89" i="1" s="1"/>
  <c r="CE136" i="1"/>
  <c r="CQ21" i="1"/>
  <c r="DT21" i="1"/>
  <c r="BH21" i="1"/>
  <c r="BI21" i="1" s="1"/>
  <c r="DU15" i="1"/>
  <c r="DW15" i="1" s="1"/>
  <c r="EE18" i="1"/>
  <c r="DX18" i="1" s="1"/>
  <c r="BJ18" i="1" s="1"/>
  <c r="DO165" i="1"/>
  <c r="DW165" i="1" s="1"/>
  <c r="ED165" i="1" s="1"/>
  <c r="CQ165" i="1"/>
  <c r="DK165" i="1"/>
  <c r="DS165" i="1" s="1"/>
  <c r="DU165" i="1"/>
  <c r="BH165" i="1"/>
  <c r="DI165" i="1"/>
  <c r="DP165" i="1" s="1"/>
  <c r="EF37" i="1"/>
  <c r="DY37" i="1" s="1"/>
  <c r="BK37" i="1" s="1"/>
  <c r="EG120" i="1"/>
  <c r="DZ120" i="1" s="1"/>
  <c r="BL120" i="1" s="1"/>
  <c r="BZ120" i="1" s="1"/>
  <c r="DK18" i="1"/>
  <c r="DO18" i="1"/>
  <c r="DI18" i="1"/>
  <c r="EJ125" i="1"/>
  <c r="EC125" i="1" s="1"/>
  <c r="BO125" i="1" s="1"/>
  <c r="CB125" i="1" s="1"/>
  <c r="EJ130" i="1"/>
  <c r="EC130" i="1" s="1"/>
  <c r="BO130" i="1" s="1"/>
  <c r="EI97" i="1"/>
  <c r="EB97" i="1" s="1"/>
  <c r="BN97" i="1" s="1"/>
  <c r="CB97" i="1" s="1"/>
  <c r="EI112" i="1"/>
  <c r="EB112" i="1" s="1"/>
  <c r="BN112" i="1" s="1"/>
  <c r="DK47" i="1"/>
  <c r="DQ47" i="1" s="1"/>
  <c r="DI47" i="1"/>
  <c r="DL47" i="1" s="1"/>
  <c r="DO47" i="1"/>
  <c r="DW47" i="1" s="1"/>
  <c r="DU47" i="1"/>
  <c r="EJ115" i="1"/>
  <c r="EC115" i="1" s="1"/>
  <c r="BO115" i="1" s="1"/>
  <c r="DH24" i="1"/>
  <c r="DP24" i="1" s="1"/>
  <c r="DJ24" i="1"/>
  <c r="DN24" i="1"/>
  <c r="DV24" i="1" s="1"/>
  <c r="EF17" i="1"/>
  <c r="DY17" i="1" s="1"/>
  <c r="BK17" i="1" s="1"/>
  <c r="BQ17" i="1" s="1"/>
  <c r="EH112" i="1"/>
  <c r="EA112" i="1" s="1"/>
  <c r="BM112" i="1" s="1"/>
  <c r="BZ112" i="1" s="1"/>
  <c r="DT143" i="1"/>
  <c r="BH143" i="1"/>
  <c r="BI144" i="1" s="1"/>
  <c r="CQ143" i="1"/>
  <c r="DH143" i="1"/>
  <c r="DN143" i="1"/>
  <c r="DV143" i="1" s="1"/>
  <c r="BX143" i="1"/>
  <c r="BY144" i="1" s="1"/>
  <c r="EF149" i="1"/>
  <c r="DY149" i="1" s="1"/>
  <c r="BK149" i="1" s="1"/>
  <c r="CK11" i="1"/>
  <c r="CP11" i="1" s="1"/>
  <c r="AY11" i="1"/>
  <c r="B11" i="1"/>
  <c r="E11" i="1" s="1"/>
  <c r="DO9" i="1"/>
  <c r="DW9" i="1" s="1"/>
  <c r="DK9" i="1"/>
  <c r="DI9" i="1"/>
  <c r="CO74" i="1"/>
  <c r="BU74" i="1"/>
  <c r="D74" i="1"/>
  <c r="EE38" i="1"/>
  <c r="DX38" i="1" s="1"/>
  <c r="BJ38" i="1" s="1"/>
  <c r="DR38" i="1" s="1"/>
  <c r="CO188" i="1"/>
  <c r="CP188" i="1" s="1"/>
  <c r="EE79" i="1"/>
  <c r="DX79" i="1" s="1"/>
  <c r="BJ79" i="1" s="1"/>
  <c r="BH37" i="1"/>
  <c r="BI38" i="1" s="1"/>
  <c r="DT37" i="1"/>
  <c r="CQ37" i="1"/>
  <c r="CV37" i="1" s="1"/>
  <c r="CK155" i="1"/>
  <c r="EF23" i="1"/>
  <c r="DY23" i="1" s="1"/>
  <c r="BK23" i="1" s="1"/>
  <c r="BQ23" i="1" s="1"/>
  <c r="EJ5" i="1"/>
  <c r="EC5" i="1" s="1"/>
  <c r="BO5" i="1" s="1"/>
  <c r="D16" i="1"/>
  <c r="E16" i="1" s="1"/>
  <c r="CO16" i="1"/>
  <c r="CP16" i="1" s="1"/>
  <c r="CO184" i="1"/>
  <c r="CP184" i="1" s="1"/>
  <c r="EJ16" i="1"/>
  <c r="EC16" i="1" s="1"/>
  <c r="BO16" i="1" s="1"/>
  <c r="BU16" i="1" s="1"/>
  <c r="EF102" i="1"/>
  <c r="DY102" i="1" s="1"/>
  <c r="BK102" i="1" s="1"/>
  <c r="DJ17" i="1"/>
  <c r="DN17" i="1"/>
  <c r="DV17" i="1" s="1"/>
  <c r="DH17" i="1"/>
  <c r="DH29" i="1"/>
  <c r="DN29" i="1"/>
  <c r="DV29" i="1" s="1"/>
  <c r="DJ29" i="1"/>
  <c r="DQ29" i="1" s="1"/>
  <c r="DU150" i="1"/>
  <c r="DO150" i="1"/>
  <c r="DW150" i="1" s="1"/>
  <c r="DI150" i="1"/>
  <c r="DK150" i="1"/>
  <c r="DQ150" i="1" s="1"/>
  <c r="EE107" i="1"/>
  <c r="DX107" i="1" s="1"/>
  <c r="BJ107" i="1" s="1"/>
  <c r="BX107" i="1" s="1"/>
  <c r="DU13" i="1"/>
  <c r="DW13" i="1" s="1"/>
  <c r="EH92" i="1"/>
  <c r="EA92" i="1" s="1"/>
  <c r="BM92" i="1" s="1"/>
  <c r="BS92" i="1" s="1"/>
  <c r="EE118" i="1"/>
  <c r="DX118" i="1" s="1"/>
  <c r="BJ118" i="1" s="1"/>
  <c r="CK179" i="1"/>
  <c r="EF78" i="1"/>
  <c r="DY78" i="1" s="1"/>
  <c r="BK78" i="1" s="1"/>
  <c r="CO175" i="1"/>
  <c r="CP175" i="1" s="1"/>
  <c r="DN77" i="1"/>
  <c r="DT77" i="1"/>
  <c r="DH77" i="1"/>
  <c r="DL77" i="1" s="1"/>
  <c r="CQ77" i="1"/>
  <c r="BH77" i="1"/>
  <c r="BI77" i="1" s="1"/>
  <c r="DJ77" i="1"/>
  <c r="DS77" i="1" s="1"/>
  <c r="CO167" i="1"/>
  <c r="DT149" i="1"/>
  <c r="BH149" i="1"/>
  <c r="BI149" i="1" s="1"/>
  <c r="DH149" i="1"/>
  <c r="DP149" i="1" s="1"/>
  <c r="DN149" i="1"/>
  <c r="DV149" i="1" s="1"/>
  <c r="CQ149" i="1"/>
  <c r="DJ149" i="1"/>
  <c r="DS149" i="1" s="1"/>
  <c r="CQ153" i="1"/>
  <c r="BH153" i="1"/>
  <c r="BI154" i="1" s="1"/>
  <c r="DH153" i="1"/>
  <c r="DT153" i="1"/>
  <c r="DN153" i="1"/>
  <c r="EF119" i="1"/>
  <c r="DY119" i="1" s="1"/>
  <c r="BK119" i="1" s="1"/>
  <c r="BX119" i="1" s="1"/>
  <c r="EJ87" i="1"/>
  <c r="EC87" i="1" s="1"/>
  <c r="BO87" i="1" s="1"/>
  <c r="CB87" i="1" s="1"/>
  <c r="EJ112" i="1"/>
  <c r="EC112" i="1" s="1"/>
  <c r="BO112" i="1" s="1"/>
  <c r="EF101" i="1"/>
  <c r="DY101" i="1" s="1"/>
  <c r="BK101" i="1" s="1"/>
  <c r="EJ29" i="1"/>
  <c r="EC29" i="1" s="1"/>
  <c r="BO29" i="1" s="1"/>
  <c r="EH86" i="1"/>
  <c r="EA86" i="1" s="1"/>
  <c r="BM86" i="1" s="1"/>
  <c r="BS86" i="1" s="1"/>
  <c r="EI90" i="1"/>
  <c r="EB90" i="1" s="1"/>
  <c r="BN90" i="1" s="1"/>
  <c r="BU90" i="1" s="1"/>
  <c r="EJ9" i="1"/>
  <c r="EC9" i="1" s="1"/>
  <c r="BO9" i="1" s="1"/>
  <c r="BU9" i="1" s="1"/>
  <c r="EE97" i="1"/>
  <c r="DX97" i="1" s="1"/>
  <c r="BJ97" i="1" s="1"/>
  <c r="DU143" i="1"/>
  <c r="DK143" i="1"/>
  <c r="DM143" i="1" s="1"/>
  <c r="DI143" i="1"/>
  <c r="DO143" i="1"/>
  <c r="DW143" i="1" s="1"/>
  <c r="D8" i="1"/>
  <c r="E8" i="1" s="1"/>
  <c r="CO8" i="1"/>
  <c r="CQ167" i="1"/>
  <c r="DK167" i="1"/>
  <c r="DS167" i="1" s="1"/>
  <c r="DO167" i="1"/>
  <c r="DW167" i="1" s="1"/>
  <c r="EK167" i="1" s="1"/>
  <c r="DU167" i="1"/>
  <c r="DI167" i="1"/>
  <c r="DL167" i="1" s="1"/>
  <c r="BH167" i="1"/>
  <c r="BI168" i="1" s="1"/>
  <c r="EE94" i="1"/>
  <c r="DX94" i="1" s="1"/>
  <c r="BJ94" i="1" s="1"/>
  <c r="EE174" i="1"/>
  <c r="DX174" i="1" s="1"/>
  <c r="BJ174" i="1" s="1"/>
  <c r="EI100" i="1"/>
  <c r="EB100" i="1" s="1"/>
  <c r="BN100" i="1" s="1"/>
  <c r="EH103" i="1"/>
  <c r="EA103" i="1" s="1"/>
  <c r="BM103" i="1" s="1"/>
  <c r="BS103" i="1" s="1"/>
  <c r="CK85" i="1"/>
  <c r="CP85" i="1" s="1"/>
  <c r="CP132" i="1" s="1"/>
  <c r="AY85" i="1"/>
  <c r="AY84" i="1" s="1"/>
  <c r="AS84" i="1"/>
  <c r="B84" i="1" s="1"/>
  <c r="B85" i="1"/>
  <c r="E85" i="1" s="1"/>
  <c r="EF26" i="1"/>
  <c r="DY26" i="1" s="1"/>
  <c r="BK26" i="1" s="1"/>
  <c r="BQ26" i="1" s="1"/>
  <c r="EJ116" i="1"/>
  <c r="EC116" i="1" s="1"/>
  <c r="BO116" i="1" s="1"/>
  <c r="DJ36" i="1"/>
  <c r="DN36" i="1"/>
  <c r="DV36" i="1" s="1"/>
  <c r="DH36" i="1"/>
  <c r="EF75" i="1"/>
  <c r="DY75" i="1" s="1"/>
  <c r="BK75" i="1" s="1"/>
  <c r="EJ102" i="1"/>
  <c r="EC102" i="1" s="1"/>
  <c r="BO102" i="1" s="1"/>
  <c r="BU102" i="1" s="1"/>
  <c r="EE71" i="1"/>
  <c r="DX71" i="1" s="1"/>
  <c r="BJ71" i="1" s="1"/>
  <c r="DO164" i="1"/>
  <c r="DW164" i="1" s="1"/>
  <c r="ES164" i="1" s="1"/>
  <c r="BH164" i="1"/>
  <c r="BI164" i="1" s="1"/>
  <c r="CQ164" i="1"/>
  <c r="DI164" i="1"/>
  <c r="DL164" i="1" s="1"/>
  <c r="DK164" i="1"/>
  <c r="DM164" i="1" s="1"/>
  <c r="DU164" i="1"/>
  <c r="EF147" i="1"/>
  <c r="DY147" i="1" s="1"/>
  <c r="BK147" i="1" s="1"/>
  <c r="EE116" i="1"/>
  <c r="DX116" i="1" s="1"/>
  <c r="BJ116" i="1" s="1"/>
  <c r="BX116" i="1" s="1"/>
  <c r="EI127" i="1"/>
  <c r="EB127" i="1" s="1"/>
  <c r="BN127" i="1" s="1"/>
  <c r="CB127" i="1" s="1"/>
  <c r="EF59" i="1"/>
  <c r="DY59" i="1" s="1"/>
  <c r="BK59" i="1" s="1"/>
  <c r="DR59" i="1" s="1"/>
  <c r="DO147" i="1"/>
  <c r="DW147" i="1" s="1"/>
  <c r="DU147" i="1"/>
  <c r="DI147" i="1"/>
  <c r="DK147" i="1"/>
  <c r="EI95" i="1"/>
  <c r="EB95" i="1" s="1"/>
  <c r="BN95" i="1" s="1"/>
  <c r="CB95" i="1" s="1"/>
  <c r="CO174" i="1"/>
  <c r="CP174" i="1" s="1"/>
  <c r="CK138" i="1"/>
  <c r="EE148" i="1"/>
  <c r="DX148" i="1" s="1"/>
  <c r="BJ148" i="1" s="1"/>
  <c r="EE101" i="1"/>
  <c r="DX101" i="1" s="1"/>
  <c r="BJ101" i="1" s="1"/>
  <c r="DR101" i="1" s="1"/>
  <c r="EF188" i="1"/>
  <c r="DY188" i="1" s="1"/>
  <c r="BK188" i="1" s="1"/>
  <c r="DR188" i="1" s="1"/>
  <c r="EI38" i="1"/>
  <c r="EB38" i="1" s="1"/>
  <c r="BN38" i="1" s="1"/>
  <c r="BU38" i="1" s="1"/>
  <c r="EG94" i="1"/>
  <c r="DZ94" i="1" s="1"/>
  <c r="BL94" i="1" s="1"/>
  <c r="BZ94" i="1" s="1"/>
  <c r="CA94" i="1" s="1"/>
  <c r="B79" i="1"/>
  <c r="E79" i="1" s="1"/>
  <c r="AY79" i="1"/>
  <c r="CK79" i="1"/>
  <c r="CP79" i="1" s="1"/>
  <c r="DI171" i="1"/>
  <c r="DU171" i="1"/>
  <c r="DO171" i="1"/>
  <c r="DW171" i="1" s="1"/>
  <c r="DK171" i="1"/>
  <c r="DH9" i="1"/>
  <c r="DL9" i="1" s="1"/>
  <c r="DN9" i="1"/>
  <c r="DJ9" i="1"/>
  <c r="EG107" i="1"/>
  <c r="DZ107" i="1" s="1"/>
  <c r="BL107" i="1" s="1"/>
  <c r="BS107" i="1" s="1"/>
  <c r="CK63" i="1"/>
  <c r="CP63" i="1" s="1"/>
  <c r="B63" i="1"/>
  <c r="E63" i="1" s="1"/>
  <c r="AY63" i="1"/>
  <c r="EH123" i="1"/>
  <c r="EA123" i="1" s="1"/>
  <c r="BM123" i="1" s="1"/>
  <c r="BS123" i="1" s="1"/>
  <c r="DU22" i="1"/>
  <c r="DT30" i="1"/>
  <c r="BH30" i="1"/>
  <c r="BI30" i="1" s="1"/>
  <c r="CQ30" i="1"/>
  <c r="CV30" i="1" s="1"/>
  <c r="DO14" i="1"/>
  <c r="DW14" i="1" s="1"/>
  <c r="DI14" i="1"/>
  <c r="DK14" i="1"/>
  <c r="DM14" i="1" s="1"/>
  <c r="DU8" i="1"/>
  <c r="CI44" i="1"/>
  <c r="DU76" i="1"/>
  <c r="DI76" i="1"/>
  <c r="DO76" i="1"/>
  <c r="DW76" i="1" s="1"/>
  <c r="DK76" i="1"/>
  <c r="DS76" i="1" s="1"/>
  <c r="CK171" i="1"/>
  <c r="DJ147" i="1"/>
  <c r="DN147" i="1"/>
  <c r="DV147" i="1" s="1"/>
  <c r="BH147" i="1"/>
  <c r="BI147" i="1" s="1"/>
  <c r="DH147" i="1"/>
  <c r="CQ147" i="1"/>
  <c r="DT147" i="1"/>
  <c r="EE171" i="1"/>
  <c r="DX171" i="1" s="1"/>
  <c r="BJ171" i="1" s="1"/>
  <c r="EF186" i="1"/>
  <c r="DY186" i="1" s="1"/>
  <c r="BK186" i="1" s="1"/>
  <c r="BQ186" i="1" s="1"/>
  <c r="EH89" i="1"/>
  <c r="EA89" i="1" s="1"/>
  <c r="BM89" i="1" s="1"/>
  <c r="BZ89" i="1" s="1"/>
  <c r="EH111" i="1"/>
  <c r="EA111" i="1" s="1"/>
  <c r="BM111" i="1" s="1"/>
  <c r="BZ111" i="1" s="1"/>
  <c r="CO30" i="1"/>
  <c r="D30" i="1"/>
  <c r="BU47" i="1"/>
  <c r="D47" i="1"/>
  <c r="CO47" i="1"/>
  <c r="CO44" i="1" s="1"/>
  <c r="CO81" i="1" s="1"/>
  <c r="EE64" i="1"/>
  <c r="DX64" i="1" s="1"/>
  <c r="BJ64" i="1" s="1"/>
  <c r="DR64" i="1" s="1"/>
  <c r="CM32" i="1"/>
  <c r="CP32" i="1" s="1"/>
  <c r="C32" i="1"/>
  <c r="E32" i="1" s="1"/>
  <c r="DN28" i="1"/>
  <c r="DV28" i="1" s="1"/>
  <c r="DJ28" i="1"/>
  <c r="DH28" i="1"/>
  <c r="DL28" i="1" s="1"/>
  <c r="EH127" i="1"/>
  <c r="EA127" i="1" s="1"/>
  <c r="BM127" i="1" s="1"/>
  <c r="BZ127" i="1" s="1"/>
  <c r="CO171" i="1"/>
  <c r="CO145" i="1"/>
  <c r="CP145" i="1" s="1"/>
  <c r="EF185" i="1"/>
  <c r="DY185" i="1" s="1"/>
  <c r="BK185" i="1" s="1"/>
  <c r="DR185" i="1" s="1"/>
  <c r="EG101" i="1"/>
  <c r="DZ101" i="1" s="1"/>
  <c r="BL101" i="1" s="1"/>
  <c r="BZ101" i="1" s="1"/>
  <c r="DT72" i="1"/>
  <c r="BH72" i="1"/>
  <c r="CQ72" i="1"/>
  <c r="DN72" i="1"/>
  <c r="DV72" i="1" s="1"/>
  <c r="DH72" i="1"/>
  <c r="DP72" i="1" s="1"/>
  <c r="EJ6" i="1"/>
  <c r="EC6" i="1" s="1"/>
  <c r="BO6" i="1" s="1"/>
  <c r="CB6" i="1" s="1"/>
  <c r="EF6" i="1"/>
  <c r="DY6" i="1" s="1"/>
  <c r="BK6" i="1" s="1"/>
  <c r="BX6" i="1" s="1"/>
  <c r="DO170" i="1"/>
  <c r="DW170" i="1" s="1"/>
  <c r="DU170" i="1"/>
  <c r="DK170" i="1"/>
  <c r="DM170" i="1" s="1"/>
  <c r="DI170" i="1"/>
  <c r="DP170" i="1" s="1"/>
  <c r="DU12" i="1"/>
  <c r="EE75" i="1"/>
  <c r="DX75" i="1" s="1"/>
  <c r="BJ75" i="1" s="1"/>
  <c r="DR75" i="1" s="1"/>
  <c r="CQ70" i="1"/>
  <c r="DT70" i="1"/>
  <c r="DJ70" i="1"/>
  <c r="DM70" i="1" s="1"/>
  <c r="BH70" i="1"/>
  <c r="BI70" i="1" s="1"/>
  <c r="DH70" i="1"/>
  <c r="DN70" i="1"/>
  <c r="DV70" i="1" s="1"/>
  <c r="CS35" i="1"/>
  <c r="EH129" i="1"/>
  <c r="EA129" i="1" s="1"/>
  <c r="BM129" i="1" s="1"/>
  <c r="DI157" i="1"/>
  <c r="DL157" i="1" s="1"/>
  <c r="DU157" i="1"/>
  <c r="DO157" i="1"/>
  <c r="DU21" i="1"/>
  <c r="DW21" i="1" s="1"/>
  <c r="EE25" i="1"/>
  <c r="DX25" i="1" s="1"/>
  <c r="BJ25" i="1" s="1"/>
  <c r="BX25" i="1" s="1"/>
  <c r="EJ20" i="1"/>
  <c r="EC20" i="1" s="1"/>
  <c r="BO20" i="1" s="1"/>
  <c r="BU20" i="1" s="1"/>
  <c r="EJ106" i="1"/>
  <c r="EC106" i="1" s="1"/>
  <c r="BO106" i="1" s="1"/>
  <c r="EF8" i="1"/>
  <c r="DY8" i="1" s="1"/>
  <c r="BK8" i="1" s="1"/>
  <c r="BX8" i="1" s="1"/>
  <c r="EI36" i="1"/>
  <c r="EB36" i="1" s="1"/>
  <c r="BN36" i="1" s="1"/>
  <c r="BU36" i="1" s="1"/>
  <c r="EF60" i="1"/>
  <c r="DY60" i="1" s="1"/>
  <c r="BK60" i="1" s="1"/>
  <c r="BQ60" i="1" s="1"/>
  <c r="CM36" i="1"/>
  <c r="C36" i="1"/>
  <c r="E36" i="1" s="1"/>
  <c r="DT8" i="1"/>
  <c r="BH8" i="1"/>
  <c r="CQ8" i="1"/>
  <c r="CH136" i="1"/>
  <c r="CO154" i="1"/>
  <c r="EJ35" i="1"/>
  <c r="EC35" i="1" s="1"/>
  <c r="BO35" i="1" s="1"/>
  <c r="BU35" i="1" s="1"/>
  <c r="EI29" i="1"/>
  <c r="EB29" i="1" s="1"/>
  <c r="BN29" i="1" s="1"/>
  <c r="DU151" i="1"/>
  <c r="DI151" i="1"/>
  <c r="DP151" i="1" s="1"/>
  <c r="DK151" i="1"/>
  <c r="DM151" i="1" s="1"/>
  <c r="DO151" i="1"/>
  <c r="DW151" i="1" s="1"/>
  <c r="D27" i="1"/>
  <c r="E27" i="1" s="1"/>
  <c r="CO27" i="1"/>
  <c r="B58" i="1"/>
  <c r="E58" i="1" s="1"/>
  <c r="AY58" i="1"/>
  <c r="CK58" i="1"/>
  <c r="CP58" i="1" s="1"/>
  <c r="DW32" i="1"/>
  <c r="DV10" i="1"/>
  <c r="DW156" i="1"/>
  <c r="DW153" i="1"/>
  <c r="DV186" i="1"/>
  <c r="DM12" i="1"/>
  <c r="DQ142" i="1"/>
  <c r="CP153" i="1"/>
  <c r="BI182" i="1"/>
  <c r="DR139" i="1"/>
  <c r="DL5" i="1"/>
  <c r="CK84" i="1"/>
  <c r="CK131" i="1" s="1"/>
  <c r="CJ131" i="1" s="1"/>
  <c r="ED138" i="1"/>
  <c r="CV10" i="1"/>
  <c r="DM161" i="1"/>
  <c r="DL48" i="1"/>
  <c r="DS57" i="1"/>
  <c r="CC75" i="1"/>
  <c r="DW158" i="1"/>
  <c r="CP146" i="1"/>
  <c r="CB92" i="1"/>
  <c r="DS4" i="1"/>
  <c r="CC141" i="1"/>
  <c r="BS12" i="1"/>
  <c r="DQ183" i="1"/>
  <c r="DV172" i="1"/>
  <c r="EK105" i="1"/>
  <c r="CC60" i="1"/>
  <c r="DS161" i="1"/>
  <c r="BI177" i="1"/>
  <c r="CM82" i="1"/>
  <c r="CL82" i="1"/>
  <c r="CP59" i="1"/>
  <c r="DV177" i="1"/>
  <c r="CP57" i="1"/>
  <c r="CC147" i="1"/>
  <c r="DV173" i="1"/>
  <c r="DW178" i="1"/>
  <c r="ES178" i="1" s="1"/>
  <c r="DP179" i="1"/>
  <c r="DW48" i="1"/>
  <c r="DV170" i="1"/>
  <c r="CC47" i="1"/>
  <c r="ES142" i="1"/>
  <c r="DV182" i="1"/>
  <c r="DS179" i="1"/>
  <c r="DW188" i="1"/>
  <c r="ES188" i="1" s="1"/>
  <c r="CV33" i="1"/>
  <c r="DR91" i="1"/>
  <c r="DL17" i="1"/>
  <c r="DM172" i="1"/>
  <c r="DM145" i="1"/>
  <c r="DV48" i="1"/>
  <c r="DL186" i="1"/>
  <c r="DQ11" i="1"/>
  <c r="DL25" i="1"/>
  <c r="DW185" i="1"/>
  <c r="CB30" i="1"/>
  <c r="DQ23" i="1"/>
  <c r="BS119" i="1"/>
  <c r="DL140" i="1"/>
  <c r="EK86" i="1"/>
  <c r="DL178" i="1"/>
  <c r="DV185" i="1"/>
  <c r="BZ35" i="1"/>
  <c r="BT58" i="1"/>
  <c r="EK103" i="1"/>
  <c r="DW6" i="1"/>
  <c r="DW182" i="1"/>
  <c r="DW24" i="1"/>
  <c r="BT47" i="1"/>
  <c r="DW159" i="1"/>
  <c r="DV145" i="1"/>
  <c r="BU17" i="1"/>
  <c r="CP169" i="1"/>
  <c r="DL60" i="1"/>
  <c r="DM15" i="1"/>
  <c r="DW173" i="1"/>
  <c r="DW177" i="1"/>
  <c r="DM173" i="1"/>
  <c r="DV183" i="1"/>
  <c r="DL62" i="1"/>
  <c r="DW176" i="1"/>
  <c r="DW174" i="1"/>
  <c r="ES174" i="1" s="1"/>
  <c r="DV152" i="1"/>
  <c r="CP70" i="1"/>
  <c r="CP74" i="1"/>
  <c r="E75" i="1"/>
  <c r="DV27" i="1"/>
  <c r="DW4" i="1"/>
  <c r="DV153" i="1"/>
  <c r="DW189" i="1"/>
  <c r="DV141" i="1"/>
  <c r="EK141" i="1" s="1"/>
  <c r="ET141" i="1" s="1"/>
  <c r="CB17" i="1"/>
  <c r="DW181" i="1"/>
  <c r="EK137" i="1"/>
  <c r="BZ12" i="1"/>
  <c r="DW187" i="1"/>
  <c r="EK187" i="1" s="1"/>
  <c r="DW5" i="1"/>
  <c r="CB103" i="1"/>
  <c r="DS158" i="1"/>
  <c r="DS20" i="1"/>
  <c r="DL30" i="1"/>
  <c r="DW8" i="1"/>
  <c r="BQ21" i="1"/>
  <c r="CC158" i="1"/>
  <c r="DQ154" i="1"/>
  <c r="DR111" i="1"/>
  <c r="CV17" i="1"/>
  <c r="DQ15" i="1"/>
  <c r="DS60" i="1"/>
  <c r="CP140" i="1"/>
  <c r="DL16" i="1"/>
  <c r="DM158" i="1"/>
  <c r="BX21" i="1"/>
  <c r="CA162" i="1"/>
  <c r="BZ119" i="1"/>
  <c r="DP145" i="1"/>
  <c r="DL31" i="1"/>
  <c r="DL59" i="1"/>
  <c r="BZ20" i="1"/>
  <c r="DP167" i="1"/>
  <c r="DQ158" i="1"/>
  <c r="DW157" i="1"/>
  <c r="DV156" i="1"/>
  <c r="DW186" i="1"/>
  <c r="DW7" i="1"/>
  <c r="DW175" i="1"/>
  <c r="DS162" i="1"/>
  <c r="BS97" i="1"/>
  <c r="BZ122" i="1"/>
  <c r="DL35" i="1"/>
  <c r="BT78" i="1"/>
  <c r="BT62" i="1"/>
  <c r="CC61" i="1"/>
  <c r="BJ86" i="1"/>
  <c r="BQ86" i="1" s="1"/>
  <c r="BZ97" i="1"/>
  <c r="BT63" i="1"/>
  <c r="BU30" i="1"/>
  <c r="DP10" i="1"/>
  <c r="DP74" i="1"/>
  <c r="DV38" i="1"/>
  <c r="DM11" i="1"/>
  <c r="BJ103" i="1"/>
  <c r="BQ103" i="1" s="1"/>
  <c r="DW10" i="1"/>
  <c r="DR179" i="1"/>
  <c r="DS153" i="1"/>
  <c r="CP150" i="1"/>
  <c r="BI152" i="1"/>
  <c r="DW58" i="1"/>
  <c r="DV139" i="1"/>
  <c r="DM174" i="1"/>
  <c r="DP180" i="1"/>
  <c r="BI186" i="1"/>
  <c r="BS102" i="1"/>
  <c r="BT48" i="1"/>
  <c r="BS35" i="1"/>
  <c r="CV28" i="1"/>
  <c r="BS122" i="1"/>
  <c r="DL187" i="1"/>
  <c r="CB32" i="1"/>
  <c r="DP141" i="1"/>
  <c r="DL139" i="1"/>
  <c r="CC156" i="1"/>
  <c r="DP158" i="1"/>
  <c r="DP35" i="1"/>
  <c r="DS23" i="1"/>
  <c r="DP142" i="1"/>
  <c r="CA150" i="1"/>
  <c r="DP183" i="1"/>
  <c r="BI183" i="1"/>
  <c r="CV13" i="1"/>
  <c r="DM79" i="1"/>
  <c r="BT49" i="1"/>
  <c r="DL183" i="1"/>
  <c r="DR182" i="1"/>
  <c r="DM23" i="1"/>
  <c r="DM187" i="1"/>
  <c r="CP27" i="1"/>
  <c r="DL158" i="1"/>
  <c r="BU105" i="1"/>
  <c r="DP45" i="1"/>
  <c r="CP75" i="1"/>
  <c r="E20" i="1"/>
  <c r="DM59" i="1"/>
  <c r="DP139" i="1"/>
  <c r="DW27" i="1"/>
  <c r="DP187" i="1"/>
  <c r="DP15" i="1"/>
  <c r="BT77" i="1"/>
  <c r="BI187" i="1"/>
  <c r="DS182" i="1"/>
  <c r="DQ179" i="1"/>
  <c r="CA48" i="1"/>
  <c r="DL37" i="1"/>
  <c r="BU101" i="1"/>
  <c r="E37" i="1"/>
  <c r="CA155" i="1"/>
  <c r="E17" i="1"/>
  <c r="CP137" i="1"/>
  <c r="DL19" i="1"/>
  <c r="DL141" i="1"/>
  <c r="CV27" i="1"/>
  <c r="CP166" i="1"/>
  <c r="BZ30" i="1"/>
  <c r="BX19" i="1"/>
  <c r="DV46" i="1"/>
  <c r="BU103" i="1"/>
  <c r="BS29" i="1"/>
  <c r="CC140" i="1"/>
  <c r="DS61" i="1"/>
  <c r="BT46" i="1"/>
  <c r="BT79" i="1"/>
  <c r="BZ19" i="1"/>
  <c r="BS38" i="1"/>
  <c r="DQ139" i="1"/>
  <c r="DS59" i="1"/>
  <c r="DQ59" i="1"/>
  <c r="CA47" i="1"/>
  <c r="BX7" i="1"/>
  <c r="BZ17" i="1"/>
  <c r="DL6" i="1"/>
  <c r="BI145" i="1"/>
  <c r="DL38" i="1"/>
  <c r="EK129" i="1"/>
  <c r="DP30" i="1"/>
  <c r="BX61" i="1"/>
  <c r="CY61" i="1" s="1"/>
  <c r="DL23" i="1"/>
  <c r="BZ32" i="1"/>
  <c r="BZ9" i="1"/>
  <c r="DV184" i="1"/>
  <c r="DL142" i="1"/>
  <c r="DV37" i="1"/>
  <c r="DV179" i="1"/>
  <c r="DS47" i="1"/>
  <c r="DS184" i="1"/>
  <c r="BZ118" i="1"/>
  <c r="DQ174" i="1"/>
  <c r="DM184" i="1"/>
  <c r="DM139" i="1"/>
  <c r="DM179" i="1"/>
  <c r="ES138" i="1"/>
  <c r="DS174" i="1"/>
  <c r="DM160" i="1"/>
  <c r="DS139" i="1"/>
  <c r="DR184" i="1"/>
  <c r="DQ160" i="1"/>
  <c r="DV45" i="1"/>
  <c r="DV78" i="1"/>
  <c r="DV35" i="1"/>
  <c r="DP150" i="1"/>
  <c r="DQ172" i="1"/>
  <c r="DP156" i="1"/>
  <c r="DQ180" i="1"/>
  <c r="DQ45" i="1"/>
  <c r="CP147" i="1"/>
  <c r="DR159" i="1"/>
  <c r="DS152" i="1"/>
  <c r="CA171" i="1"/>
  <c r="DM78" i="1"/>
  <c r="DR141" i="1"/>
  <c r="EK142" i="1"/>
  <c r="DQ176" i="1"/>
  <c r="DM154" i="1"/>
  <c r="DW71" i="1"/>
  <c r="DP73" i="1"/>
  <c r="CP176" i="1"/>
  <c r="BS26" i="1"/>
  <c r="DQ145" i="1"/>
  <c r="BI10" i="1"/>
  <c r="CA180" i="1"/>
  <c r="DS173" i="1"/>
  <c r="BY183" i="1"/>
  <c r="DS5" i="1"/>
  <c r="DS154" i="1"/>
  <c r="BX159" i="1"/>
  <c r="CY159" i="1" s="1"/>
  <c r="CP180" i="1"/>
  <c r="DM74" i="1"/>
  <c r="DS172" i="1"/>
  <c r="CY137" i="1"/>
  <c r="DQ36" i="1"/>
  <c r="BI11" i="1"/>
  <c r="DQ184" i="1"/>
  <c r="CC184" i="1"/>
  <c r="DW73" i="1"/>
  <c r="DM176" i="1"/>
  <c r="DM47" i="1"/>
  <c r="EK90" i="1"/>
  <c r="DP161" i="1"/>
  <c r="DM180" i="1"/>
  <c r="DQ170" i="1"/>
  <c r="DQ141" i="1"/>
  <c r="DL156" i="1"/>
  <c r="EK138" i="1"/>
  <c r="BT139" i="1"/>
  <c r="DM61" i="1"/>
  <c r="BT140" i="1"/>
  <c r="DM152" i="1"/>
  <c r="DS170" i="1"/>
  <c r="DV26" i="1"/>
  <c r="DP178" i="1"/>
  <c r="DS141" i="1"/>
  <c r="DS145" i="1"/>
  <c r="BZ29" i="1"/>
  <c r="DR180" i="1"/>
  <c r="BX161" i="1"/>
  <c r="BY162" i="1" s="1"/>
  <c r="DM141" i="1"/>
  <c r="BJ98" i="1"/>
  <c r="DP59" i="1"/>
  <c r="CP177" i="1"/>
  <c r="BQ175" i="1"/>
  <c r="CW175" i="1" s="1"/>
  <c r="CP73" i="1"/>
  <c r="BS20" i="1"/>
  <c r="CB126" i="1"/>
  <c r="BZ38" i="1"/>
  <c r="CC138" i="1"/>
  <c r="BZ37" i="1"/>
  <c r="DW78" i="1"/>
  <c r="CB27" i="1"/>
  <c r="CA154" i="1"/>
  <c r="DW60" i="1"/>
  <c r="DL73" i="1"/>
  <c r="DS45" i="1"/>
  <c r="CA74" i="1"/>
  <c r="E26" i="1"/>
  <c r="BZ26" i="1"/>
  <c r="DV30" i="1"/>
  <c r="ES30" i="1" s="1"/>
  <c r="DQ78" i="1"/>
  <c r="BU92" i="1"/>
  <c r="DS48" i="1"/>
  <c r="BZ87" i="1"/>
  <c r="BX29" i="1"/>
  <c r="CY139" i="1"/>
  <c r="DP16" i="1"/>
  <c r="E57" i="1"/>
  <c r="CA61" i="1"/>
  <c r="EK126" i="1"/>
  <c r="CB22" i="1"/>
  <c r="BY142" i="1"/>
  <c r="BS36" i="1"/>
  <c r="BQ20" i="1"/>
  <c r="CA145" i="1"/>
  <c r="CA78" i="1"/>
  <c r="CC76" i="1"/>
  <c r="DV71" i="1"/>
  <c r="DV62" i="1"/>
  <c r="DW28" i="1"/>
  <c r="BU126" i="1"/>
  <c r="CC139" i="1"/>
  <c r="BX20" i="1"/>
  <c r="DQ61" i="1"/>
  <c r="EK124" i="1"/>
  <c r="DS15" i="1"/>
  <c r="BS30" i="1"/>
  <c r="CW139" i="1"/>
  <c r="BQ159" i="1"/>
  <c r="DS46" i="1"/>
  <c r="DS36" i="1"/>
  <c r="DQ57" i="1"/>
  <c r="DP6" i="1"/>
  <c r="BS88" i="1"/>
  <c r="DV18" i="1"/>
  <c r="CY178" i="1"/>
  <c r="E22" i="1"/>
  <c r="CY144" i="1"/>
  <c r="CA62" i="1"/>
  <c r="DW11" i="1"/>
  <c r="CA182" i="1"/>
  <c r="DV59" i="1"/>
  <c r="DV5" i="1"/>
  <c r="E24" i="1"/>
  <c r="BZ18" i="1"/>
  <c r="CU44" i="1"/>
  <c r="CA178" i="1"/>
  <c r="DL61" i="1"/>
  <c r="CC188" i="1"/>
  <c r="CA79" i="1"/>
  <c r="CC71" i="1"/>
  <c r="DR161" i="1"/>
  <c r="DM35" i="1"/>
  <c r="DM45" i="1"/>
  <c r="BZ36" i="1"/>
  <c r="BS19" i="1"/>
  <c r="DS78" i="1"/>
  <c r="BZ31" i="1"/>
  <c r="CC77" i="1"/>
  <c r="BS37" i="1"/>
  <c r="DQ19" i="1"/>
  <c r="DS24" i="1"/>
  <c r="CP31" i="1"/>
  <c r="BX173" i="1"/>
  <c r="CY173" i="1" s="1"/>
  <c r="DV6" i="1"/>
  <c r="BQ29" i="1"/>
  <c r="DW16" i="1"/>
  <c r="DM57" i="1"/>
  <c r="DV9" i="1"/>
  <c r="DP26" i="1"/>
  <c r="DL71" i="1"/>
  <c r="DW79" i="1"/>
  <c r="BT76" i="1"/>
  <c r="BY182" i="1"/>
  <c r="CC180" i="1"/>
  <c r="CP72" i="1"/>
  <c r="BI59" i="1"/>
  <c r="BU22" i="1"/>
  <c r="E5" i="1"/>
  <c r="DV58" i="1"/>
  <c r="DW70" i="1"/>
  <c r="DW29" i="1"/>
  <c r="DV75" i="1"/>
  <c r="DV21" i="1"/>
  <c r="DV16" i="1"/>
  <c r="DV22" i="1"/>
  <c r="DV12" i="1"/>
  <c r="DW31" i="1"/>
  <c r="DV63" i="1"/>
  <c r="DW36" i="1"/>
  <c r="DV15" i="1"/>
  <c r="DV20" i="1"/>
  <c r="DV61" i="1"/>
  <c r="DW26" i="1"/>
  <c r="DM60" i="1"/>
  <c r="DQ60" i="1"/>
  <c r="DV25" i="1"/>
  <c r="DW38" i="1"/>
  <c r="DW75" i="1"/>
  <c r="DW20" i="1"/>
  <c r="DV47" i="1"/>
  <c r="CB124" i="1"/>
  <c r="CA176" i="1"/>
  <c r="DP33" i="1"/>
  <c r="CV25" i="1"/>
  <c r="DS74" i="1"/>
  <c r="BU19" i="1"/>
  <c r="CP6" i="1"/>
  <c r="CV7" i="1"/>
  <c r="CV19" i="1"/>
  <c r="BX33" i="1"/>
  <c r="BT72" i="1"/>
  <c r="DL58" i="1"/>
  <c r="DP38" i="1"/>
  <c r="E33" i="1"/>
  <c r="BX11" i="1"/>
  <c r="CP24" i="1"/>
  <c r="BS118" i="1"/>
  <c r="CV38" i="1"/>
  <c r="BQ146" i="1"/>
  <c r="BI28" i="1"/>
  <c r="CP9" i="1"/>
  <c r="CC74" i="1"/>
  <c r="DM38" i="1"/>
  <c r="BQ5" i="1"/>
  <c r="BX89" i="1"/>
  <c r="E72" i="1"/>
  <c r="CV5" i="1"/>
  <c r="DL20" i="1"/>
  <c r="CV18" i="1"/>
  <c r="CC146" i="1"/>
  <c r="CA166" i="1"/>
  <c r="BT75" i="1"/>
  <c r="DS25" i="1"/>
  <c r="BS93" i="1"/>
  <c r="DP20" i="1"/>
  <c r="CA181" i="1"/>
  <c r="DQ33" i="1"/>
  <c r="CA144" i="1"/>
  <c r="DM25" i="1"/>
  <c r="EK89" i="1"/>
  <c r="BX4" i="1"/>
  <c r="BJ129" i="1"/>
  <c r="BQ129" i="1" s="1"/>
  <c r="BQ120" i="1"/>
  <c r="BS11" i="1"/>
  <c r="CA152" i="1"/>
  <c r="CV16" i="1"/>
  <c r="E46" i="1"/>
  <c r="DP4" i="1"/>
  <c r="E9" i="1"/>
  <c r="DP5" i="1"/>
  <c r="BQ4" i="1"/>
  <c r="BQ89" i="1"/>
  <c r="DP23" i="1"/>
  <c r="BU27" i="1"/>
  <c r="BS126" i="1"/>
  <c r="DR89" i="1"/>
  <c r="CC178" i="1"/>
  <c r="CC63" i="1"/>
  <c r="DR61" i="1"/>
  <c r="BI158" i="1"/>
  <c r="CA58" i="1"/>
  <c r="E30" i="1"/>
  <c r="BS104" i="1"/>
  <c r="BI146" i="1"/>
  <c r="BS136" i="1"/>
  <c r="BT137" i="1" s="1"/>
  <c r="DQ165" i="1"/>
  <c r="DS180" i="1"/>
  <c r="CA141" i="1"/>
  <c r="BX35" i="1"/>
  <c r="DQ63" i="1"/>
  <c r="CP12" i="1"/>
  <c r="DL13" i="1"/>
  <c r="BX146" i="1"/>
  <c r="BI29" i="1"/>
  <c r="DP34" i="1"/>
  <c r="CC154" i="1"/>
  <c r="DP13" i="1"/>
  <c r="CA177" i="1"/>
  <c r="CV6" i="1"/>
  <c r="DM63" i="1"/>
  <c r="BU124" i="1"/>
  <c r="BS18" i="1"/>
  <c r="DR120" i="1"/>
  <c r="D3" i="1"/>
  <c r="BQ33" i="1"/>
  <c r="DP31" i="1"/>
  <c r="BQ12" i="1"/>
  <c r="BQ189" i="1"/>
  <c r="DL14" i="1"/>
  <c r="BI13" i="1"/>
  <c r="CC159" i="1"/>
  <c r="E29" i="1"/>
  <c r="EK100" i="1"/>
  <c r="DP48" i="1"/>
  <c r="BZ90" i="1"/>
  <c r="CA188" i="1"/>
  <c r="CB113" i="1"/>
  <c r="DP60" i="1"/>
  <c r="CA146" i="1"/>
  <c r="CC62" i="1"/>
  <c r="CA148" i="1"/>
  <c r="DR11" i="1"/>
  <c r="BI173" i="1"/>
  <c r="BI151" i="1"/>
  <c r="CC48" i="1"/>
  <c r="BZ16" i="1"/>
  <c r="CY182" i="1"/>
  <c r="CA187" i="1"/>
  <c r="BZ104" i="1"/>
  <c r="CA140" i="1"/>
  <c r="BS9" i="1"/>
  <c r="BS90" i="1"/>
  <c r="BQ11" i="1"/>
  <c r="BS7" i="1"/>
  <c r="BU28" i="1"/>
  <c r="BU97" i="1"/>
  <c r="BQ151" i="1"/>
  <c r="CW151" i="1" s="1"/>
  <c r="BI161" i="1"/>
  <c r="CA138" i="1"/>
  <c r="BX125" i="1"/>
  <c r="BQ150" i="1"/>
  <c r="CW150" i="1" s="1"/>
  <c r="BU8" i="1"/>
  <c r="CA76" i="1"/>
  <c r="BZ121" i="1"/>
  <c r="CB14" i="1"/>
  <c r="DR93" i="1"/>
  <c r="BZ102" i="1"/>
  <c r="CA77" i="1"/>
  <c r="CA149" i="1"/>
  <c r="BQ27" i="1"/>
  <c r="BU117" i="1"/>
  <c r="BX165" i="1"/>
  <c r="CY165" i="1" s="1"/>
  <c r="CP14" i="1"/>
  <c r="DL33" i="1"/>
  <c r="CB117" i="1"/>
  <c r="CV23" i="1"/>
  <c r="BZ126" i="1"/>
  <c r="BU128" i="1"/>
  <c r="DM24" i="1"/>
  <c r="E76" i="1"/>
  <c r="E7" i="1"/>
  <c r="EK125" i="1"/>
  <c r="BX150" i="1"/>
  <c r="BJ105" i="1"/>
  <c r="BX105" i="1" s="1"/>
  <c r="DP21" i="1"/>
  <c r="DR109" i="1"/>
  <c r="EK120" i="1"/>
  <c r="CB110" i="1"/>
  <c r="CC160" i="1"/>
  <c r="CP45" i="1"/>
  <c r="CP62" i="1"/>
  <c r="CA73" i="1"/>
  <c r="DP17" i="1"/>
  <c r="DL26" i="1"/>
  <c r="BX36" i="1"/>
  <c r="CB36" i="1"/>
  <c r="CY141" i="1"/>
  <c r="DM7" i="1"/>
  <c r="BI155" i="1"/>
  <c r="DP71" i="1"/>
  <c r="CB101" i="1"/>
  <c r="BX111" i="1"/>
  <c r="DP37" i="1"/>
  <c r="BQ111" i="1"/>
  <c r="BI16" i="1"/>
  <c r="CB99" i="1"/>
  <c r="BZ98" i="1"/>
  <c r="BS17" i="1"/>
  <c r="DM159" i="1"/>
  <c r="DP172" i="1"/>
  <c r="DP186" i="1"/>
  <c r="BX12" i="1"/>
  <c r="EK93" i="1"/>
  <c r="BX93" i="1"/>
  <c r="CA159" i="1"/>
  <c r="CA75" i="1"/>
  <c r="BQ93" i="1"/>
  <c r="BU13" i="1"/>
  <c r="BI26" i="1"/>
  <c r="CY179" i="1"/>
  <c r="BX151" i="1"/>
  <c r="CY151" i="1" s="1"/>
  <c r="BI162" i="1"/>
  <c r="BQ7" i="1"/>
  <c r="BQ166" i="1"/>
  <c r="CW166" i="1" s="1"/>
  <c r="EK104" i="1"/>
  <c r="BZ113" i="1"/>
  <c r="CB96" i="1"/>
  <c r="BX189" i="1"/>
  <c r="CY189" i="1" s="1"/>
  <c r="BI12" i="1"/>
  <c r="BS110" i="1"/>
  <c r="BU14" i="1"/>
  <c r="BS98" i="1"/>
  <c r="CC148" i="1"/>
  <c r="E38" i="1"/>
  <c r="EK102" i="1"/>
  <c r="BI46" i="1"/>
  <c r="BI159" i="1"/>
  <c r="CY180" i="1"/>
  <c r="BU110" i="1"/>
  <c r="EK109" i="1"/>
  <c r="DR31" i="1"/>
  <c r="BU99" i="1"/>
  <c r="BQ101" i="1"/>
  <c r="BI181" i="1"/>
  <c r="BJ157" i="1"/>
  <c r="BX157" i="1" s="1"/>
  <c r="CY157" i="1" s="1"/>
  <c r="DQ74" i="1"/>
  <c r="EK121" i="1"/>
  <c r="BZ108" i="1"/>
  <c r="BK28" i="1"/>
  <c r="DM48" i="1"/>
  <c r="BJ153" i="1"/>
  <c r="CB107" i="1"/>
  <c r="BU107" i="1"/>
  <c r="CP76" i="1"/>
  <c r="BX76" i="1"/>
  <c r="CY76" i="1" s="1"/>
  <c r="BQ76" i="1"/>
  <c r="BQ31" i="1"/>
  <c r="BQ164" i="1"/>
  <c r="BR165" i="1" s="1"/>
  <c r="CC183" i="1"/>
  <c r="EK91" i="1"/>
  <c r="CB8" i="1"/>
  <c r="E62" i="1"/>
  <c r="CP60" i="1"/>
  <c r="CA179" i="1"/>
  <c r="DL34" i="1"/>
  <c r="CY181" i="1"/>
  <c r="DQ138" i="1"/>
  <c r="BX57" i="1"/>
  <c r="BY57" i="1" s="1"/>
  <c r="EK146" i="1"/>
  <c r="DQ24" i="1"/>
  <c r="DR24" i="1"/>
  <c r="EB4" i="1"/>
  <c r="BN4" i="1" s="1"/>
  <c r="BJ73" i="1"/>
  <c r="BU88" i="1"/>
  <c r="CV26" i="1"/>
  <c r="CP7" i="1"/>
  <c r="DL172" i="1"/>
  <c r="CA63" i="1"/>
  <c r="BI17" i="1"/>
  <c r="BI22" i="1"/>
  <c r="BS106" i="1"/>
  <c r="DR63" i="1"/>
  <c r="BI143" i="1"/>
  <c r="BZ114" i="1"/>
  <c r="BS114" i="1"/>
  <c r="CV34" i="1"/>
  <c r="BU6" i="1"/>
  <c r="BI34" i="1"/>
  <c r="BI33" i="1"/>
  <c r="DQ26" i="1"/>
  <c r="DZ10" i="1"/>
  <c r="BL10" i="1" s="1"/>
  <c r="BI63" i="1"/>
  <c r="DL79" i="1"/>
  <c r="DP79" i="1"/>
  <c r="CC78" i="1"/>
  <c r="CB44" i="1"/>
  <c r="CB81" i="1" s="1"/>
  <c r="BJ147" i="1"/>
  <c r="BI185" i="1"/>
  <c r="BJ70" i="1"/>
  <c r="BQ173" i="1"/>
  <c r="CV4" i="1"/>
  <c r="DR10" i="1"/>
  <c r="BX10" i="1"/>
  <c r="BQ10" i="1"/>
  <c r="EA22" i="1"/>
  <c r="BM22" i="1" s="1"/>
  <c r="BY181" i="1"/>
  <c r="BY180" i="1"/>
  <c r="DL11" i="1"/>
  <c r="DM73" i="1"/>
  <c r="BU37" i="1"/>
  <c r="CB37" i="1"/>
  <c r="BX14" i="1"/>
  <c r="BQ14" i="1"/>
  <c r="BI25" i="1"/>
  <c r="BI24" i="1"/>
  <c r="DQ38" i="1"/>
  <c r="DS38" i="1"/>
  <c r="BX167" i="1"/>
  <c r="CY167" i="1" s="1"/>
  <c r="BQ167" i="1"/>
  <c r="CW167" i="1" s="1"/>
  <c r="DL4" i="1"/>
  <c r="CB119" i="1"/>
  <c r="BU119" i="1"/>
  <c r="BJ114" i="1"/>
  <c r="EK114" i="1"/>
  <c r="DS21" i="1"/>
  <c r="DM21" i="1"/>
  <c r="DQ21" i="1"/>
  <c r="DR108" i="1"/>
  <c r="BI170" i="1"/>
  <c r="BI169" i="1"/>
  <c r="CC142" i="1"/>
  <c r="CC144" i="1"/>
  <c r="CC143" i="1"/>
  <c r="CB114" i="1"/>
  <c r="BU114" i="1"/>
  <c r="BY141" i="1"/>
  <c r="BJ110" i="1"/>
  <c r="EK110" i="1"/>
  <c r="CP4" i="1"/>
  <c r="BK99" i="1"/>
  <c r="BX99" i="1" s="1"/>
  <c r="EK99" i="1"/>
  <c r="BJ16" i="1"/>
  <c r="DP57" i="1"/>
  <c r="BS34" i="1"/>
  <c r="BZ34" i="1"/>
  <c r="CY138" i="1"/>
  <c r="CV9" i="1"/>
  <c r="CB93" i="1"/>
  <c r="DQ22" i="1"/>
  <c r="DM22" i="1"/>
  <c r="DS22" i="1"/>
  <c r="CB122" i="1"/>
  <c r="DQ10" i="1"/>
  <c r="DS10" i="1"/>
  <c r="DM10" i="1"/>
  <c r="CP15" i="1"/>
  <c r="BZ27" i="1"/>
  <c r="BS27" i="1"/>
  <c r="BJ149" i="1"/>
  <c r="DX45" i="1"/>
  <c r="DY46" i="1"/>
  <c r="BK46" i="1" s="1"/>
  <c r="CA175" i="1"/>
  <c r="BJ123" i="1"/>
  <c r="BX123" i="1" s="1"/>
  <c r="DS62" i="1"/>
  <c r="DM62" i="1"/>
  <c r="BJ32" i="1"/>
  <c r="DL45" i="1"/>
  <c r="DQ73" i="1"/>
  <c r="CB13" i="1"/>
  <c r="DQ62" i="1"/>
  <c r="DR21" i="1"/>
  <c r="CB105" i="1"/>
  <c r="DS63" i="1"/>
  <c r="BI27" i="1"/>
  <c r="DR74" i="1"/>
  <c r="DQ77" i="1"/>
  <c r="BX102" i="1"/>
  <c r="DS75" i="1"/>
  <c r="BK168" i="1"/>
  <c r="DR168" i="1" s="1"/>
  <c r="CA153" i="1"/>
  <c r="DL74" i="1"/>
  <c r="BZ15" i="1"/>
  <c r="BI160" i="1"/>
  <c r="BZ106" i="1"/>
  <c r="DR121" i="1"/>
  <c r="DQ31" i="1"/>
  <c r="DQ12" i="1"/>
  <c r="DS12" i="1"/>
  <c r="DM36" i="1"/>
  <c r="BX155" i="1"/>
  <c r="CY155" i="1" s="1"/>
  <c r="E21" i="1"/>
  <c r="BX152" i="1"/>
  <c r="CY152" i="1" s="1"/>
  <c r="CA139" i="1"/>
  <c r="EK111" i="1"/>
  <c r="DL180" i="1"/>
  <c r="DP58" i="1"/>
  <c r="BU113" i="1"/>
  <c r="DS142" i="1"/>
  <c r="CW165" i="1"/>
  <c r="DP19" i="1"/>
  <c r="BI23" i="1"/>
  <c r="DS11" i="1"/>
  <c r="CP23" i="1"/>
  <c r="DP61" i="1"/>
  <c r="ED142" i="1"/>
  <c r="DP190" i="1"/>
  <c r="BX91" i="1"/>
  <c r="BX109" i="1"/>
  <c r="BQ109" i="1"/>
  <c r="BQ91" i="1"/>
  <c r="BX187" i="1"/>
  <c r="CY187" i="1" s="1"/>
  <c r="DR13" i="1"/>
  <c r="BQ187" i="1"/>
  <c r="BQ188" i="1"/>
  <c r="BQ155" i="1"/>
  <c r="BX38" i="1"/>
  <c r="BQ38" i="1"/>
  <c r="CY166" i="1"/>
  <c r="CW161" i="1"/>
  <c r="BQ47" i="1"/>
  <c r="BX47" i="1"/>
  <c r="DR125" i="1"/>
  <c r="BQ125" i="1"/>
  <c r="DR27" i="1"/>
  <c r="BX27" i="1"/>
  <c r="BQ156" i="1"/>
  <c r="BQ35" i="1"/>
  <c r="BQ119" i="1"/>
  <c r="BX104" i="1"/>
  <c r="BX126" i="1"/>
  <c r="DR126" i="1"/>
  <c r="BQ126" i="1"/>
  <c r="BZ6" i="1"/>
  <c r="BS6" i="1"/>
  <c r="CB7" i="1"/>
  <c r="BU7" i="1"/>
  <c r="BS87" i="1"/>
  <c r="DR100" i="1"/>
  <c r="BX100" i="1"/>
  <c r="BQ100" i="1"/>
  <c r="BQ117" i="1"/>
  <c r="BX117" i="1"/>
  <c r="DR117" i="1"/>
  <c r="BX90" i="1"/>
  <c r="BX127" i="1"/>
  <c r="DR127" i="1"/>
  <c r="BQ127" i="1"/>
  <c r="BQ112" i="1"/>
  <c r="BJ145" i="1"/>
  <c r="DR88" i="1"/>
  <c r="DR22" i="1"/>
  <c r="BX22" i="1"/>
  <c r="BQ22" i="1"/>
  <c r="BZ4" i="1"/>
  <c r="BS4" i="1"/>
  <c r="BS85" i="1"/>
  <c r="BZ85" i="1"/>
  <c r="BQ92" i="1"/>
  <c r="DR124" i="1"/>
  <c r="BX124" i="1"/>
  <c r="BQ124" i="1"/>
  <c r="BU85" i="1"/>
  <c r="CY164" i="1"/>
  <c r="E19" i="1" l="1"/>
  <c r="CB11" i="1"/>
  <c r="CB129" i="1"/>
  <c r="DL175" i="1"/>
  <c r="BX121" i="1"/>
  <c r="BY121" i="1" s="1"/>
  <c r="CP131" i="1"/>
  <c r="BU87" i="1"/>
  <c r="DR164" i="1"/>
  <c r="ED9" i="1"/>
  <c r="BX34" i="1"/>
  <c r="DL188" i="1"/>
  <c r="E73" i="1"/>
  <c r="DP157" i="1"/>
  <c r="DR25" i="1"/>
  <c r="BQ64" i="1"/>
  <c r="CB9" i="1"/>
  <c r="BX186" i="1"/>
  <c r="EK101" i="1"/>
  <c r="EK85" i="1"/>
  <c r="BQ121" i="1"/>
  <c r="BU95" i="1"/>
  <c r="DL151" i="1"/>
  <c r="BX9" i="1"/>
  <c r="DL165" i="1"/>
  <c r="DQ162" i="1"/>
  <c r="DI136" i="1"/>
  <c r="DI191" i="1" s="1"/>
  <c r="BX64" i="1"/>
  <c r="EK64" i="1"/>
  <c r="BQ25" i="1"/>
  <c r="CB16" i="1"/>
  <c r="DM77" i="1"/>
  <c r="BX101" i="1"/>
  <c r="DL137" i="1"/>
  <c r="DL136" i="1" s="1"/>
  <c r="DL191" i="1" s="1"/>
  <c r="DL149" i="1"/>
  <c r="DP181" i="1"/>
  <c r="DV77" i="1"/>
  <c r="ED147" i="1"/>
  <c r="BX85" i="1"/>
  <c r="DL144" i="1"/>
  <c r="DW72" i="1"/>
  <c r="ED148" i="1"/>
  <c r="DS164" i="1"/>
  <c r="DW63" i="1"/>
  <c r="DR116" i="1"/>
  <c r="BQ185" i="1"/>
  <c r="BR185" i="1" s="1"/>
  <c r="BY143" i="1"/>
  <c r="DP147" i="1"/>
  <c r="CB28" i="1"/>
  <c r="CP182" i="1"/>
  <c r="CP144" i="1"/>
  <c r="DR96" i="1"/>
  <c r="BS128" i="1"/>
  <c r="BS99" i="1"/>
  <c r="BS28" i="1"/>
  <c r="E14" i="1"/>
  <c r="DS14" i="1"/>
  <c r="BS89" i="1"/>
  <c r="DL153" i="1"/>
  <c r="BQ107" i="1"/>
  <c r="DM17" i="1"/>
  <c r="ES140" i="1"/>
  <c r="DW18" i="1"/>
  <c r="DL138" i="1"/>
  <c r="BI9" i="1"/>
  <c r="DR77" i="1"/>
  <c r="CB20" i="1"/>
  <c r="DS146" i="1"/>
  <c r="CP179" i="1"/>
  <c r="DM188" i="1"/>
  <c r="DV13" i="1"/>
  <c r="DQ185" i="1"/>
  <c r="DS151" i="1"/>
  <c r="BQ116" i="1"/>
  <c r="DR119" i="1"/>
  <c r="DM31" i="1"/>
  <c r="BX77" i="1"/>
  <c r="CY77" i="1" s="1"/>
  <c r="EK107" i="1"/>
  <c r="BU109" i="1"/>
  <c r="EG3" i="1"/>
  <c r="BQ74" i="1"/>
  <c r="DM146" i="1"/>
  <c r="DS138" i="1"/>
  <c r="DR162" i="1"/>
  <c r="DQ14" i="1"/>
  <c r="BX185" i="1"/>
  <c r="BZ95" i="1"/>
  <c r="DR163" i="1"/>
  <c r="DR7" i="1"/>
  <c r="BX188" i="1"/>
  <c r="CY188" i="1" s="1"/>
  <c r="DL12" i="1"/>
  <c r="DR36" i="1"/>
  <c r="BX24" i="1"/>
  <c r="BU98" i="1"/>
  <c r="BU91" i="1"/>
  <c r="BI153" i="1"/>
  <c r="CB31" i="1"/>
  <c r="BZ125" i="1"/>
  <c r="DM178" i="1"/>
  <c r="DP144" i="1"/>
  <c r="DP27" i="1"/>
  <c r="DR165" i="1"/>
  <c r="BZ21" i="1"/>
  <c r="DL169" i="1"/>
  <c r="BZ96" i="1"/>
  <c r="ET137" i="1"/>
  <c r="EK145" i="1"/>
  <c r="DS188" i="1"/>
  <c r="DM185" i="1"/>
  <c r="DM13" i="1"/>
  <c r="DM46" i="1"/>
  <c r="CB29" i="1"/>
  <c r="CS3" i="1"/>
  <c r="DQ171" i="1"/>
  <c r="DL36" i="1"/>
  <c r="DP153" i="1"/>
  <c r="BZ92" i="1"/>
  <c r="CA93" i="1" s="1"/>
  <c r="DL150" i="1"/>
  <c r="DQ17" i="1"/>
  <c r="BZ136" i="1"/>
  <c r="BZ190" i="1" s="1"/>
  <c r="BI15" i="1"/>
  <c r="EK140" i="1"/>
  <c r="ET140" i="1" s="1"/>
  <c r="DP138" i="1"/>
  <c r="DR107" i="1"/>
  <c r="DR112" i="1"/>
  <c r="DR85" i="1"/>
  <c r="BQ85" i="1"/>
  <c r="EJ3" i="1"/>
  <c r="CB35" i="1"/>
  <c r="DM26" i="1"/>
  <c r="BY140" i="1"/>
  <c r="CY143" i="1"/>
  <c r="BM3" i="1"/>
  <c r="DP77" i="1"/>
  <c r="BQ57" i="1"/>
  <c r="BR57" i="1" s="1"/>
  <c r="DR138" i="1"/>
  <c r="EK112" i="1"/>
  <c r="BZ103" i="1"/>
  <c r="BQ162" i="1"/>
  <c r="EK116" i="1"/>
  <c r="DP28" i="1"/>
  <c r="DS7" i="1"/>
  <c r="BX63" i="1"/>
  <c r="CY63" i="1" s="1"/>
  <c r="EK117" i="1"/>
  <c r="CB120" i="1"/>
  <c r="CB18" i="1"/>
  <c r="DR178" i="1"/>
  <c r="DQ178" i="1"/>
  <c r="BI189" i="1"/>
  <c r="DM177" i="1"/>
  <c r="BU34" i="1"/>
  <c r="DS13" i="1"/>
  <c r="DQ159" i="1"/>
  <c r="DR14" i="1"/>
  <c r="DR146" i="1"/>
  <c r="EK163" i="1"/>
  <c r="BX163" i="1"/>
  <c r="BY163" i="1" s="1"/>
  <c r="DL32" i="1"/>
  <c r="DR167" i="1"/>
  <c r="CP46" i="1"/>
  <c r="CP178" i="1"/>
  <c r="BZ44" i="1"/>
  <c r="BZ81" i="1" s="1"/>
  <c r="BI75" i="1"/>
  <c r="BU104" i="1"/>
  <c r="DW33" i="1"/>
  <c r="BI74" i="1"/>
  <c r="CC185" i="1"/>
  <c r="DW59" i="1"/>
  <c r="BQ58" i="1"/>
  <c r="CW58" i="1" s="1"/>
  <c r="DL143" i="1"/>
  <c r="ED144" i="1"/>
  <c r="DR62" i="1"/>
  <c r="BU94" i="1"/>
  <c r="DR26" i="1"/>
  <c r="CW74" i="1"/>
  <c r="CB94" i="1"/>
  <c r="BS120" i="1"/>
  <c r="BZ107" i="1"/>
  <c r="DS171" i="1"/>
  <c r="CA186" i="1"/>
  <c r="CB21" i="1"/>
  <c r="BZ86" i="1"/>
  <c r="BU24" i="1"/>
  <c r="DR169" i="1"/>
  <c r="E15" i="1"/>
  <c r="DV8" i="1"/>
  <c r="DM186" i="1"/>
  <c r="BQ48" i="1"/>
  <c r="BR49" i="1" s="1"/>
  <c r="DR128" i="1"/>
  <c r="CC79" i="1"/>
  <c r="BI7" i="1"/>
  <c r="BI174" i="1"/>
  <c r="BZ117" i="1"/>
  <c r="BS101" i="1"/>
  <c r="CB38" i="1"/>
  <c r="BU125" i="1"/>
  <c r="DR151" i="1"/>
  <c r="BZ123" i="1"/>
  <c r="EK119" i="1"/>
  <c r="CV35" i="1"/>
  <c r="DS17" i="1"/>
  <c r="DM165" i="1"/>
  <c r="DL170" i="1"/>
  <c r="DP164" i="1"/>
  <c r="DQ153" i="1"/>
  <c r="DQ167" i="1"/>
  <c r="BU29" i="1"/>
  <c r="DS70" i="1"/>
  <c r="DL147" i="1"/>
  <c r="BS127" i="1"/>
  <c r="BX26" i="1"/>
  <c r="BU127" i="1"/>
  <c r="DM167" i="1"/>
  <c r="DQ151" i="1"/>
  <c r="BI167" i="1"/>
  <c r="CA185" i="1"/>
  <c r="BX148" i="1"/>
  <c r="CY148" i="1" s="1"/>
  <c r="DR174" i="1"/>
  <c r="BU130" i="1"/>
  <c r="DS18" i="1"/>
  <c r="BI166" i="1"/>
  <c r="DM8" i="1"/>
  <c r="BU121" i="1"/>
  <c r="BV121" i="1" s="1"/>
  <c r="BS100" i="1"/>
  <c r="DS144" i="1"/>
  <c r="BQ18" i="1"/>
  <c r="ED143" i="1"/>
  <c r="BU112" i="1"/>
  <c r="DS147" i="1"/>
  <c r="DL8" i="1"/>
  <c r="DR171" i="1"/>
  <c r="DP18" i="1"/>
  <c r="CA172" i="1"/>
  <c r="DW61" i="1"/>
  <c r="DS8" i="1"/>
  <c r="DR143" i="1"/>
  <c r="BU15" i="1"/>
  <c r="CR1" i="1"/>
  <c r="DP185" i="1"/>
  <c r="BI80" i="1"/>
  <c r="EF3" i="1"/>
  <c r="DL24" i="1"/>
  <c r="DL176" i="1"/>
  <c r="DM29" i="1"/>
  <c r="DK80" i="1"/>
  <c r="DQ164" i="1"/>
  <c r="CC155" i="1"/>
  <c r="DQ9" i="1"/>
  <c r="DL18" i="1"/>
  <c r="CB115" i="1"/>
  <c r="BI31" i="1"/>
  <c r="E47" i="1"/>
  <c r="BX97" i="1"/>
  <c r="CP167" i="1"/>
  <c r="BS129" i="1"/>
  <c r="DR189" i="1"/>
  <c r="BU100" i="1"/>
  <c r="ED150" i="1"/>
  <c r="CQ136" i="1"/>
  <c r="CP189" i="1"/>
  <c r="CP155" i="1"/>
  <c r="CB10" i="1"/>
  <c r="DR12" i="1"/>
  <c r="BI36" i="1"/>
  <c r="BQ169" i="1"/>
  <c r="CW169" i="1" s="1"/>
  <c r="DW62" i="1"/>
  <c r="DP155" i="1"/>
  <c r="CP19" i="1"/>
  <c r="CV21" i="1"/>
  <c r="DR78" i="1"/>
  <c r="BQ108" i="1"/>
  <c r="DV57" i="1"/>
  <c r="CP172" i="1"/>
  <c r="DR176" i="1"/>
  <c r="DQ6" i="1"/>
  <c r="CP28" i="1"/>
  <c r="DL22" i="1"/>
  <c r="DP11" i="1"/>
  <c r="DV19" i="1"/>
  <c r="DL46" i="1"/>
  <c r="E31" i="1"/>
  <c r="DL174" i="1"/>
  <c r="CP34" i="1"/>
  <c r="DL21" i="1"/>
  <c r="DL10" i="1"/>
  <c r="CP35" i="1"/>
  <c r="E61" i="1"/>
  <c r="E34" i="1"/>
  <c r="DW25" i="1"/>
  <c r="BM84" i="1"/>
  <c r="DQ18" i="1"/>
  <c r="DL76" i="1"/>
  <c r="DW12" i="1"/>
  <c r="BI71" i="1"/>
  <c r="DP184" i="1"/>
  <c r="CS136" i="1"/>
  <c r="DJ136" i="1"/>
  <c r="CL134" i="1"/>
  <c r="CP17" i="1"/>
  <c r="DP146" i="1"/>
  <c r="CO136" i="1"/>
  <c r="CO190" i="1" s="1"/>
  <c r="CV22" i="1"/>
  <c r="CM136" i="1"/>
  <c r="CM190" i="1" s="1"/>
  <c r="E60" i="1"/>
  <c r="AY3" i="1"/>
  <c r="DR175" i="1"/>
  <c r="BO3" i="1"/>
  <c r="DL185" i="1"/>
  <c r="BU12" i="1"/>
  <c r="DR58" i="1"/>
  <c r="DR17" i="1"/>
  <c r="DL189" i="1"/>
  <c r="BX87" i="1"/>
  <c r="DL63" i="1"/>
  <c r="DS19" i="1"/>
  <c r="BI156" i="1"/>
  <c r="DM156" i="1"/>
  <c r="CP8" i="1"/>
  <c r="CB111" i="1"/>
  <c r="CP22" i="1"/>
  <c r="CS44" i="1"/>
  <c r="CP152" i="1"/>
  <c r="CR42" i="1"/>
  <c r="CS1" i="1"/>
  <c r="DR6" i="1"/>
  <c r="DP62" i="1"/>
  <c r="DK81" i="1"/>
  <c r="BS105" i="1"/>
  <c r="BS130" i="1"/>
  <c r="CB116" i="1"/>
  <c r="BS115" i="1"/>
  <c r="BI141" i="1"/>
  <c r="CP187" i="1"/>
  <c r="CB136" i="1"/>
  <c r="CB191" i="1" s="1"/>
  <c r="CP33" i="1"/>
  <c r="DS27" i="1"/>
  <c r="CB102" i="1"/>
  <c r="E18" i="1"/>
  <c r="BI179" i="1"/>
  <c r="CM44" i="1"/>
  <c r="CM80" i="1" s="1"/>
  <c r="DS28" i="1"/>
  <c r="AY44" i="1"/>
  <c r="BZ25" i="1"/>
  <c r="BI39" i="1"/>
  <c r="BU106" i="1"/>
  <c r="CP36" i="1"/>
  <c r="CP173" i="1"/>
  <c r="CV8" i="1"/>
  <c r="CP171" i="1"/>
  <c r="CP142" i="1"/>
  <c r="CU3" i="1"/>
  <c r="BU26" i="1"/>
  <c r="BX156" i="1"/>
  <c r="BQ19" i="1"/>
  <c r="ED32" i="1"/>
  <c r="BN84" i="1"/>
  <c r="DR35" i="1"/>
  <c r="BI62" i="1"/>
  <c r="CU136" i="1"/>
  <c r="E28" i="1"/>
  <c r="CC59" i="1"/>
  <c r="CB89" i="1"/>
  <c r="BH42" i="1"/>
  <c r="CB5" i="1"/>
  <c r="CP21" i="1"/>
  <c r="DL171" i="1"/>
  <c r="CL42" i="1"/>
  <c r="CB112" i="1"/>
  <c r="BX59" i="1"/>
  <c r="CY59" i="1" s="1"/>
  <c r="DJ3" i="1"/>
  <c r="EK130" i="1"/>
  <c r="DP8" i="1"/>
  <c r="BI150" i="1"/>
  <c r="DS169" i="1"/>
  <c r="DS150" i="1"/>
  <c r="BI190" i="1"/>
  <c r="EE136" i="1"/>
  <c r="DM166" i="1"/>
  <c r="DM157" i="1"/>
  <c r="BX72" i="1"/>
  <c r="CY72" i="1" s="1"/>
  <c r="BS111" i="1"/>
  <c r="BI172" i="1"/>
  <c r="BZ91" i="1"/>
  <c r="BH80" i="1"/>
  <c r="EK94" i="1"/>
  <c r="BI72" i="1"/>
  <c r="DQ70" i="1"/>
  <c r="CK136" i="1"/>
  <c r="CK190" i="1" s="1"/>
  <c r="CM1" i="1"/>
  <c r="BX18" i="1"/>
  <c r="BY185" i="1"/>
  <c r="CB104" i="1"/>
  <c r="BT42" i="1"/>
  <c r="BZ129" i="1"/>
  <c r="ED140" i="1"/>
  <c r="BI14" i="1"/>
  <c r="DP9" i="1"/>
  <c r="DL75" i="1"/>
  <c r="CA60" i="1"/>
  <c r="BQ96" i="1"/>
  <c r="DQ144" i="1"/>
  <c r="BQ172" i="1"/>
  <c r="DR47" i="1"/>
  <c r="ES144" i="1"/>
  <c r="DP177" i="1"/>
  <c r="DM169" i="1"/>
  <c r="BI32" i="1"/>
  <c r="ED146" i="1"/>
  <c r="ED137" i="1"/>
  <c r="EK149" i="1"/>
  <c r="DS140" i="1"/>
  <c r="DM189" i="1"/>
  <c r="DL181" i="1"/>
  <c r="DJ40" i="1"/>
  <c r="BQ59" i="1"/>
  <c r="DH3" i="1"/>
  <c r="DH39" i="1" s="1"/>
  <c r="BI73" i="1"/>
  <c r="DS157" i="1"/>
  <c r="DS32" i="1"/>
  <c r="CB23" i="1"/>
  <c r="DQ181" i="1"/>
  <c r="BX15" i="1"/>
  <c r="DM37" i="1"/>
  <c r="BH134" i="1"/>
  <c r="BX78" i="1"/>
  <c r="CY78" i="1" s="1"/>
  <c r="DP166" i="1"/>
  <c r="BX62" i="1"/>
  <c r="CY62" i="1" s="1"/>
  <c r="DP76" i="1"/>
  <c r="BQ148" i="1"/>
  <c r="CW148" i="1" s="1"/>
  <c r="DK190" i="1"/>
  <c r="DI44" i="1"/>
  <c r="DI81" i="1" s="1"/>
  <c r="BU86" i="1"/>
  <c r="BX175" i="1"/>
  <c r="CY175" i="1" s="1"/>
  <c r="CB130" i="1"/>
  <c r="EF84" i="1"/>
  <c r="EK127" i="1"/>
  <c r="BX160" i="1"/>
  <c r="CY160" i="1" s="1"/>
  <c r="DR172" i="1"/>
  <c r="DM150" i="1"/>
  <c r="DS71" i="1"/>
  <c r="CB33" i="1"/>
  <c r="DP36" i="1"/>
  <c r="CA59" i="1"/>
  <c r="DM171" i="1"/>
  <c r="DL155" i="1"/>
  <c r="DL160" i="1"/>
  <c r="DM175" i="1"/>
  <c r="DR181" i="1"/>
  <c r="DS189" i="1"/>
  <c r="EK144" i="1"/>
  <c r="ET144" i="1" s="1"/>
  <c r="BO84" i="1"/>
  <c r="DQ79" i="1"/>
  <c r="DP14" i="1"/>
  <c r="BS31" i="1"/>
  <c r="BS32" i="1"/>
  <c r="BL84" i="1"/>
  <c r="CA183" i="1"/>
  <c r="CO3" i="1"/>
  <c r="CO40" i="1" s="1"/>
  <c r="BI78" i="1"/>
  <c r="CA72" i="1"/>
  <c r="DK3" i="1"/>
  <c r="CP157" i="1"/>
  <c r="EK34" i="1"/>
  <c r="BI18" i="1"/>
  <c r="BS8" i="1"/>
  <c r="DW35" i="1"/>
  <c r="D44" i="1"/>
  <c r="CP185" i="1"/>
  <c r="DS37" i="1"/>
  <c r="E77" i="1"/>
  <c r="BX13" i="1"/>
  <c r="CV11" i="1"/>
  <c r="DP182" i="1"/>
  <c r="BI6" i="1"/>
  <c r="BI184" i="1"/>
  <c r="BQ61" i="1"/>
  <c r="CW61" i="1" s="1"/>
  <c r="DP154" i="1"/>
  <c r="CA156" i="1"/>
  <c r="CM3" i="1"/>
  <c r="CM39" i="1" s="1"/>
  <c r="BI148" i="1"/>
  <c r="DQ148" i="1"/>
  <c r="CC181" i="1"/>
  <c r="CC157" i="1"/>
  <c r="CP151" i="1"/>
  <c r="CP154" i="1"/>
  <c r="E23" i="1"/>
  <c r="CV32" i="1"/>
  <c r="CA189" i="1"/>
  <c r="BY178" i="1"/>
  <c r="DQ177" i="1"/>
  <c r="BQ37" i="1"/>
  <c r="DP70" i="1"/>
  <c r="DR187" i="1"/>
  <c r="DI3" i="1"/>
  <c r="DI39" i="1" s="1"/>
  <c r="BZ11" i="1"/>
  <c r="DM16" i="1"/>
  <c r="CR134" i="1"/>
  <c r="CP156" i="1"/>
  <c r="BS13" i="1"/>
  <c r="BT13" i="1" s="1"/>
  <c r="CV20" i="1"/>
  <c r="CP5" i="1"/>
  <c r="CA142" i="1"/>
  <c r="E6" i="1"/>
  <c r="DM20" i="1"/>
  <c r="BS24" i="1"/>
  <c r="DR106" i="1"/>
  <c r="DR104" i="1"/>
  <c r="CP20" i="1"/>
  <c r="BS5" i="1"/>
  <c r="B44" i="1"/>
  <c r="DR115" i="1"/>
  <c r="BU25" i="1"/>
  <c r="CM42" i="1"/>
  <c r="BS16" i="1"/>
  <c r="CP183" i="1"/>
  <c r="DL78" i="1"/>
  <c r="BS23" i="1"/>
  <c r="BQ30" i="1"/>
  <c r="CP30" i="1"/>
  <c r="CV14" i="1"/>
  <c r="C136" i="1"/>
  <c r="BI60" i="1"/>
  <c r="DV60" i="1"/>
  <c r="CP148" i="1"/>
  <c r="DR5" i="1"/>
  <c r="BQ102" i="1"/>
  <c r="BQ113" i="1"/>
  <c r="CA147" i="1"/>
  <c r="CP78" i="1"/>
  <c r="CA158" i="1"/>
  <c r="DM142" i="1"/>
  <c r="DR173" i="1"/>
  <c r="BV43" i="1"/>
  <c r="CA151" i="1"/>
  <c r="DP29" i="1"/>
  <c r="BH1" i="1"/>
  <c r="DR113" i="1"/>
  <c r="BX106" i="1"/>
  <c r="BQ128" i="1"/>
  <c r="CW128" i="1" s="1"/>
  <c r="DR156" i="1"/>
  <c r="BX17" i="1"/>
  <c r="BQ15" i="1"/>
  <c r="DR23" i="1"/>
  <c r="DS29" i="1"/>
  <c r="DR8" i="1"/>
  <c r="DQ76" i="1"/>
  <c r="BH136" i="1"/>
  <c r="CK44" i="1"/>
  <c r="CK81" i="1" s="1"/>
  <c r="DR102" i="1"/>
  <c r="DM9" i="1"/>
  <c r="CB26" i="1"/>
  <c r="CY26" i="1" s="1"/>
  <c r="DR9" i="1"/>
  <c r="EF44" i="1"/>
  <c r="DP47" i="1"/>
  <c r="BU10" i="1"/>
  <c r="BV11" i="1" s="1"/>
  <c r="BI37" i="1"/>
  <c r="DR114" i="1"/>
  <c r="CQ44" i="1"/>
  <c r="DJ81" i="1"/>
  <c r="BL3" i="1"/>
  <c r="DJ39" i="1"/>
  <c r="DM18" i="1"/>
  <c r="BH190" i="1"/>
  <c r="BQ78" i="1"/>
  <c r="CW78" i="1" s="1"/>
  <c r="BV42" i="1"/>
  <c r="BQ62" i="1"/>
  <c r="BX174" i="1"/>
  <c r="CY174" i="1" s="1"/>
  <c r="DP143" i="1"/>
  <c r="DQ28" i="1"/>
  <c r="DR72" i="1"/>
  <c r="DS166" i="1"/>
  <c r="CP47" i="1"/>
  <c r="BU44" i="1"/>
  <c r="BU80" i="1" s="1"/>
  <c r="DQ8" i="1"/>
  <c r="DR37" i="1"/>
  <c r="DM32" i="1"/>
  <c r="BK3" i="1"/>
  <c r="BZ105" i="1"/>
  <c r="DR29" i="1"/>
  <c r="CY183" i="1"/>
  <c r="BI142" i="1"/>
  <c r="BS112" i="1"/>
  <c r="BS117" i="1"/>
  <c r="DP171" i="1"/>
  <c r="BQ34" i="1"/>
  <c r="DM155" i="1"/>
  <c r="BX96" i="1"/>
  <c r="ET96" i="1" s="1"/>
  <c r="DQ27" i="1"/>
  <c r="BI165" i="1"/>
  <c r="EG84" i="1"/>
  <c r="DL146" i="1"/>
  <c r="EK108" i="1"/>
  <c r="CY150" i="1"/>
  <c r="DR48" i="1"/>
  <c r="CB123" i="1"/>
  <c r="CY123" i="1" s="1"/>
  <c r="CY177" i="1"/>
  <c r="DR33" i="1"/>
  <c r="BZ5" i="1"/>
  <c r="BZ115" i="1"/>
  <c r="CA115" i="1" s="1"/>
  <c r="DP46" i="1"/>
  <c r="CC73" i="1"/>
  <c r="DR122" i="1"/>
  <c r="EE84" i="1"/>
  <c r="DL184" i="1"/>
  <c r="DM140" i="1"/>
  <c r="EK106" i="1"/>
  <c r="DQ71" i="1"/>
  <c r="BX5" i="1"/>
  <c r="DP22" i="1"/>
  <c r="BZ33" i="1"/>
  <c r="CP10" i="1"/>
  <c r="DM5" i="1"/>
  <c r="DM28" i="1"/>
  <c r="BZ24" i="1"/>
  <c r="DQ34" i="1"/>
  <c r="DM6" i="1"/>
  <c r="DR30" i="1"/>
  <c r="DM34" i="1"/>
  <c r="CB108" i="1"/>
  <c r="CC108" i="1" s="1"/>
  <c r="CV12" i="1"/>
  <c r="BX30" i="1"/>
  <c r="CP48" i="1"/>
  <c r="BI79" i="1"/>
  <c r="DQ156" i="1"/>
  <c r="DQ169" i="1"/>
  <c r="DS183" i="1"/>
  <c r="DP188" i="1"/>
  <c r="DS143" i="1"/>
  <c r="DR183" i="1"/>
  <c r="DP152" i="1"/>
  <c r="DQ137" i="1"/>
  <c r="DL182" i="1"/>
  <c r="DR19" i="1"/>
  <c r="BX37" i="1"/>
  <c r="BI35" i="1"/>
  <c r="ET142" i="1"/>
  <c r="DP159" i="1"/>
  <c r="DR140" i="1"/>
  <c r="CB100" i="1"/>
  <c r="CA173" i="1"/>
  <c r="DQ149" i="1"/>
  <c r="DS148" i="1"/>
  <c r="DM147" i="1"/>
  <c r="DQ140" i="1"/>
  <c r="DQ186" i="1"/>
  <c r="DQ72" i="1"/>
  <c r="BZ28" i="1"/>
  <c r="DP173" i="1"/>
  <c r="BZ128" i="1"/>
  <c r="CC182" i="1"/>
  <c r="DL7" i="1"/>
  <c r="DP148" i="1"/>
  <c r="DQ58" i="1"/>
  <c r="DM149" i="1"/>
  <c r="BU118" i="1"/>
  <c r="BV118" i="1" s="1"/>
  <c r="DQ20" i="1"/>
  <c r="BX58" i="1"/>
  <c r="CY58" i="1" s="1"/>
  <c r="CW138" i="1"/>
  <c r="DQ143" i="1"/>
  <c r="CB24" i="1"/>
  <c r="CA184" i="1"/>
  <c r="CA157" i="1"/>
  <c r="CP143" i="1"/>
  <c r="DQ189" i="1"/>
  <c r="BI47" i="1"/>
  <c r="CA165" i="1"/>
  <c r="BH39" i="1"/>
  <c r="BQ6" i="1"/>
  <c r="BX115" i="1"/>
  <c r="BX92" i="1"/>
  <c r="DR90" i="1"/>
  <c r="BQ87" i="1"/>
  <c r="BQ104" i="1"/>
  <c r="DR97" i="1"/>
  <c r="BQ115" i="1"/>
  <c r="BR116" i="1" s="1"/>
  <c r="BQ88" i="1"/>
  <c r="BX113" i="1"/>
  <c r="BX128" i="1"/>
  <c r="BQ97" i="1"/>
  <c r="BQ13" i="1"/>
  <c r="BX169" i="1"/>
  <c r="CA170" i="1"/>
  <c r="BX23" i="1"/>
  <c r="DR18" i="1"/>
  <c r="DM76" i="1"/>
  <c r="DP7" i="1"/>
  <c r="DJ44" i="1"/>
  <c r="BI1" i="1"/>
  <c r="BI134" i="1"/>
  <c r="BT60" i="1"/>
  <c r="BI8" i="1"/>
  <c r="EE3" i="1"/>
  <c r="CK3" i="1"/>
  <c r="CK39" i="1" s="1"/>
  <c r="DM75" i="1"/>
  <c r="BX71" i="1"/>
  <c r="CY71" i="1" s="1"/>
  <c r="BT43" i="1"/>
  <c r="DK40" i="1"/>
  <c r="BU111" i="1"/>
  <c r="BY138" i="1"/>
  <c r="CS42" i="1"/>
  <c r="BI42" i="1"/>
  <c r="CB90" i="1"/>
  <c r="DS9" i="1"/>
  <c r="CL1" i="1"/>
  <c r="EK118" i="1"/>
  <c r="DR76" i="1"/>
  <c r="DR160" i="1"/>
  <c r="DK39" i="1"/>
  <c r="CQ3" i="1"/>
  <c r="CB121" i="1"/>
  <c r="BI175" i="1"/>
  <c r="EI3" i="1"/>
  <c r="EK148" i="1"/>
  <c r="BH3" i="1"/>
  <c r="DK191" i="1"/>
  <c r="BZ124" i="1"/>
  <c r="DK136" i="1"/>
  <c r="DR166" i="1"/>
  <c r="CM134" i="1"/>
  <c r="CS134" i="1"/>
  <c r="DR148" i="1"/>
  <c r="EK150" i="1"/>
  <c r="DR152" i="1"/>
  <c r="EK95" i="1"/>
  <c r="CA71" i="1"/>
  <c r="BU5" i="1"/>
  <c r="BZ109" i="1"/>
  <c r="CA110" i="1" s="1"/>
  <c r="BX75" i="1"/>
  <c r="CY75" i="1" s="1"/>
  <c r="EK96" i="1"/>
  <c r="BZ23" i="1"/>
  <c r="BS25" i="1"/>
  <c r="BT25" i="1" s="1"/>
  <c r="DH44" i="1"/>
  <c r="DH81" i="1" s="1"/>
  <c r="BQ8" i="1"/>
  <c r="BQ75" i="1"/>
  <c r="BQ174" i="1"/>
  <c r="CW174" i="1" s="1"/>
  <c r="DS79" i="1"/>
  <c r="EK122" i="1"/>
  <c r="EK113" i="1"/>
  <c r="BQ122" i="1"/>
  <c r="BR122" i="1" s="1"/>
  <c r="BZ100" i="1"/>
  <c r="BS44" i="1"/>
  <c r="BS80" i="1" s="1"/>
  <c r="BZ116" i="1"/>
  <c r="CB12" i="1"/>
  <c r="CC12" i="1" s="1"/>
  <c r="EI84" i="1"/>
  <c r="DQ155" i="1"/>
  <c r="DM19" i="1"/>
  <c r="CY184" i="1"/>
  <c r="BT74" i="1"/>
  <c r="DS33" i="1"/>
  <c r="DL29" i="1"/>
  <c r="EK88" i="1"/>
  <c r="BZ8" i="1"/>
  <c r="DS6" i="1"/>
  <c r="CC187" i="1"/>
  <c r="BQ176" i="1"/>
  <c r="BR177" i="1" s="1"/>
  <c r="DQ35" i="1"/>
  <c r="DR98" i="1"/>
  <c r="DM4" i="1"/>
  <c r="ET138" i="1"/>
  <c r="DQ173" i="1"/>
  <c r="DS35" i="1"/>
  <c r="DJ190" i="1"/>
  <c r="DP78" i="1"/>
  <c r="BI157" i="1"/>
  <c r="DS177" i="1"/>
  <c r="DQ187" i="1"/>
  <c r="DJ191" i="1"/>
  <c r="DP174" i="1"/>
  <c r="BI180" i="1"/>
  <c r="ES150" i="1"/>
  <c r="DS58" i="1"/>
  <c r="DM181" i="1"/>
  <c r="DP189" i="1"/>
  <c r="DL70" i="1"/>
  <c r="BI5" i="1"/>
  <c r="BI61" i="1"/>
  <c r="CP138" i="1"/>
  <c r="BX48" i="1"/>
  <c r="CY48" i="1" s="1"/>
  <c r="CZ49" i="1" s="1"/>
  <c r="DM144" i="1"/>
  <c r="DQ182" i="1"/>
  <c r="DQ16" i="1"/>
  <c r="DQ30" i="1"/>
  <c r="DQ175" i="1"/>
  <c r="BI48" i="1"/>
  <c r="DS186" i="1"/>
  <c r="CP141" i="1"/>
  <c r="BS14" i="1"/>
  <c r="BT15" i="1" s="1"/>
  <c r="DS30" i="1"/>
  <c r="DS187" i="1"/>
  <c r="DQ188" i="1"/>
  <c r="DR142" i="1"/>
  <c r="CB85" i="1"/>
  <c r="DR155" i="1"/>
  <c r="BR161" i="1"/>
  <c r="EK97" i="1"/>
  <c r="BH44" i="1"/>
  <c r="BU115" i="1"/>
  <c r="EK87" i="1"/>
  <c r="CB106" i="1"/>
  <c r="CC106" i="1" s="1"/>
  <c r="DK44" i="1"/>
  <c r="EE44" i="1"/>
  <c r="DR16" i="1"/>
  <c r="CY142" i="1"/>
  <c r="CZ142" i="1" s="1"/>
  <c r="BX108" i="1"/>
  <c r="EH3" i="1"/>
  <c r="BN3" i="1"/>
  <c r="CY186" i="1"/>
  <c r="CZ187" i="1" s="1"/>
  <c r="DM72" i="1"/>
  <c r="DL72" i="1"/>
  <c r="DQ48" i="1"/>
  <c r="DJ80" i="1"/>
  <c r="DN80" i="1" s="1"/>
  <c r="CB25" i="1"/>
  <c r="DR150" i="1"/>
  <c r="DM27" i="1"/>
  <c r="BU116" i="1"/>
  <c r="CW116" i="1" s="1"/>
  <c r="EH84" i="1"/>
  <c r="EK92" i="1"/>
  <c r="EK128" i="1"/>
  <c r="CC58" i="1"/>
  <c r="BZ99" i="1"/>
  <c r="BX176" i="1"/>
  <c r="CY176" i="1" s="1"/>
  <c r="CY146" i="1"/>
  <c r="DR170" i="1"/>
  <c r="EK115" i="1"/>
  <c r="BQ170" i="1"/>
  <c r="DR186" i="1"/>
  <c r="CA143" i="1"/>
  <c r="DS16" i="1"/>
  <c r="EJ84" i="1"/>
  <c r="BS94" i="1"/>
  <c r="BT95" i="1" s="1"/>
  <c r="DR34" i="1"/>
  <c r="EF136" i="1"/>
  <c r="DS137" i="1"/>
  <c r="DR20" i="1"/>
  <c r="BI58" i="1"/>
  <c r="DR144" i="1"/>
  <c r="DR137" i="1"/>
  <c r="EK98" i="1"/>
  <c r="DM148" i="1"/>
  <c r="DM58" i="1"/>
  <c r="DQ147" i="1"/>
  <c r="ED189" i="1"/>
  <c r="EK4" i="1"/>
  <c r="EK152" i="1"/>
  <c r="DL162" i="1"/>
  <c r="CA167" i="1"/>
  <c r="BI19" i="1"/>
  <c r="E71" i="1"/>
  <c r="CC179" i="1"/>
  <c r="ED10" i="1"/>
  <c r="ED17" i="1"/>
  <c r="ES154" i="1"/>
  <c r="ED153" i="1"/>
  <c r="ES156" i="1"/>
  <c r="ED186" i="1"/>
  <c r="ES155" i="1"/>
  <c r="CK132" i="1"/>
  <c r="CJ132" i="1" s="1"/>
  <c r="CA26" i="1"/>
  <c r="EK160" i="1"/>
  <c r="ET160" i="1" s="1"/>
  <c r="BT109" i="1"/>
  <c r="BT110" i="1"/>
  <c r="ED37" i="1"/>
  <c r="ES158" i="1"/>
  <c r="CC93" i="1"/>
  <c r="BT12" i="1"/>
  <c r="CC98" i="1"/>
  <c r="ES172" i="1"/>
  <c r="BV15" i="1"/>
  <c r="ES176" i="1"/>
  <c r="CA95" i="1"/>
  <c r="ES63" i="1"/>
  <c r="EK161" i="1"/>
  <c r="ET161" i="1" s="1"/>
  <c r="CK82" i="1"/>
  <c r="ES161" i="1"/>
  <c r="ED19" i="1"/>
  <c r="ES177" i="1"/>
  <c r="EK178" i="1"/>
  <c r="ET178" i="1" s="1"/>
  <c r="ED173" i="1"/>
  <c r="ED178" i="1"/>
  <c r="EK48" i="1"/>
  <c r="ED170" i="1"/>
  <c r="ES45" i="1"/>
  <c r="ED46" i="1"/>
  <c r="ED184" i="1"/>
  <c r="ES182" i="1"/>
  <c r="EK170" i="1"/>
  <c r="ET170" i="1" s="1"/>
  <c r="ES170" i="1"/>
  <c r="ES151" i="1"/>
  <c r="EK188" i="1"/>
  <c r="ET188" i="1" s="1"/>
  <c r="ED188" i="1"/>
  <c r="ED48" i="1"/>
  <c r="ES48" i="1"/>
  <c r="CW48" i="1"/>
  <c r="CC21" i="1"/>
  <c r="CC22" i="1"/>
  <c r="EK16" i="1"/>
  <c r="ES18" i="1"/>
  <c r="ED13" i="1"/>
  <c r="CC31" i="1"/>
  <c r="ED185" i="1"/>
  <c r="DI190" i="1"/>
  <c r="BT119" i="1"/>
  <c r="EK185" i="1"/>
  <c r="ET185" i="1" s="1"/>
  <c r="ES185" i="1"/>
  <c r="CC128" i="1"/>
  <c r="CA35" i="1"/>
  <c r="CA36" i="1"/>
  <c r="BV37" i="1"/>
  <c r="BV36" i="1"/>
  <c r="EK172" i="1"/>
  <c r="ET172" i="1" s="1"/>
  <c r="ED172" i="1"/>
  <c r="ES6" i="1"/>
  <c r="ES159" i="1"/>
  <c r="ED182" i="1"/>
  <c r="EK182" i="1"/>
  <c r="ET182" i="1" s="1"/>
  <c r="BV130" i="1"/>
  <c r="ED24" i="1"/>
  <c r="ED162" i="1"/>
  <c r="BV18" i="1"/>
  <c r="BV17" i="1"/>
  <c r="EK173" i="1"/>
  <c r="ET173" i="1" s="1"/>
  <c r="ES145" i="1"/>
  <c r="ED180" i="1"/>
  <c r="ED145" i="1"/>
  <c r="ES180" i="1"/>
  <c r="ED154" i="1"/>
  <c r="ES173" i="1"/>
  <c r="EK184" i="1"/>
  <c r="ET184" i="1" s="1"/>
  <c r="EK174" i="1"/>
  <c r="ED177" i="1"/>
  <c r="EK162" i="1"/>
  <c r="ET162" i="1" s="1"/>
  <c r="EK177" i="1"/>
  <c r="ET177" i="1" s="1"/>
  <c r="ES160" i="1"/>
  <c r="ED160" i="1"/>
  <c r="ED169" i="1"/>
  <c r="ED174" i="1"/>
  <c r="EK143" i="1"/>
  <c r="ET143" i="1" s="1"/>
  <c r="ED183" i="1"/>
  <c r="EK157" i="1"/>
  <c r="EK164" i="1"/>
  <c r="ET164" i="1" s="1"/>
  <c r="ES143" i="1"/>
  <c r="EK176" i="1"/>
  <c r="ED176" i="1"/>
  <c r="ES152" i="1"/>
  <c r="ED152" i="1"/>
  <c r="ES4" i="1"/>
  <c r="ED164" i="1"/>
  <c r="CA13" i="1"/>
  <c r="ED4" i="1"/>
  <c r="EK166" i="1"/>
  <c r="ET166" i="1" s="1"/>
  <c r="EK27" i="1"/>
  <c r="ET27" i="1" s="1"/>
  <c r="ES189" i="1"/>
  <c r="EK189" i="1"/>
  <c r="ET189" i="1" s="1"/>
  <c r="ED166" i="1"/>
  <c r="CC24" i="1"/>
  <c r="ES186" i="1"/>
  <c r="DR103" i="1"/>
  <c r="EK155" i="1"/>
  <c r="ET155" i="1" s="1"/>
  <c r="EK151" i="1"/>
  <c r="ET151" i="1" s="1"/>
  <c r="ED27" i="1"/>
  <c r="BR36" i="1"/>
  <c r="CA120" i="1"/>
  <c r="DR86" i="1"/>
  <c r="CC35" i="1"/>
  <c r="CC6" i="1"/>
  <c r="CC95" i="1"/>
  <c r="EK153" i="1"/>
  <c r="CC25" i="1"/>
  <c r="ES153" i="1"/>
  <c r="ED7" i="1"/>
  <c r="BX86" i="1"/>
  <c r="BY86" i="1" s="1"/>
  <c r="BX103" i="1"/>
  <c r="BY104" i="1" s="1"/>
  <c r="ET150" i="1"/>
  <c r="ED141" i="1"/>
  <c r="EK7" i="1"/>
  <c r="ET7" i="1" s="1"/>
  <c r="BY49" i="1"/>
  <c r="ES171" i="1"/>
  <c r="BR24" i="1"/>
  <c r="BV101" i="1"/>
  <c r="EK165" i="1"/>
  <c r="ET165" i="1" s="1"/>
  <c r="EK158" i="1"/>
  <c r="EK175" i="1"/>
  <c r="ET175" i="1" s="1"/>
  <c r="BR37" i="1"/>
  <c r="CY21" i="1"/>
  <c r="ES8" i="1"/>
  <c r="EK74" i="1"/>
  <c r="ET74" i="1" s="1"/>
  <c r="ES141" i="1"/>
  <c r="CA32" i="1"/>
  <c r="ED78" i="1"/>
  <c r="CA29" i="1"/>
  <c r="ES165" i="1"/>
  <c r="ED167" i="1"/>
  <c r="ES167" i="1"/>
  <c r="BY173" i="1"/>
  <c r="BY19" i="1"/>
  <c r="BY13" i="1"/>
  <c r="BR10" i="1"/>
  <c r="CA112" i="1"/>
  <c r="CA12" i="1"/>
  <c r="CC125" i="1"/>
  <c r="EK58" i="1"/>
  <c r="ET58" i="1" s="1"/>
  <c r="BT38" i="1"/>
  <c r="CA119" i="1"/>
  <c r="CA38" i="1"/>
  <c r="EK181" i="1"/>
  <c r="ET181" i="1" s="1"/>
  <c r="ES9" i="1"/>
  <c r="CZ182" i="1"/>
  <c r="BY20" i="1"/>
  <c r="CC126" i="1"/>
  <c r="BV92" i="1"/>
  <c r="ES183" i="1"/>
  <c r="ED58" i="1"/>
  <c r="CA113" i="1"/>
  <c r="EK17" i="1"/>
  <c r="ET17" i="1" s="1"/>
  <c r="BR21" i="1"/>
  <c r="BV91" i="1"/>
  <c r="BT114" i="1"/>
  <c r="EK37" i="1"/>
  <c r="ET37" i="1" s="1"/>
  <c r="CQ134" i="1"/>
  <c r="CZ183" i="1"/>
  <c r="BT89" i="1"/>
  <c r="CA20" i="1"/>
  <c r="EK5" i="1"/>
  <c r="ET5" i="1" s="1"/>
  <c r="EK36" i="1"/>
  <c r="ET36" i="1" s="1"/>
  <c r="CA97" i="1"/>
  <c r="BY21" i="1"/>
  <c r="BY9" i="1"/>
  <c r="ED171" i="1"/>
  <c r="BS191" i="1"/>
  <c r="CO191" i="1"/>
  <c r="BY10" i="1"/>
  <c r="EK171" i="1"/>
  <c r="CC103" i="1"/>
  <c r="CC104" i="1"/>
  <c r="BT93" i="1"/>
  <c r="ES181" i="1"/>
  <c r="CA125" i="1"/>
  <c r="EK183" i="1"/>
  <c r="ET183" i="1" s="1"/>
  <c r="CC127" i="1"/>
  <c r="ED181" i="1"/>
  <c r="BR30" i="1"/>
  <c r="BT21" i="1"/>
  <c r="ES7" i="1"/>
  <c r="ES187" i="1"/>
  <c r="ED187" i="1"/>
  <c r="EK75" i="1"/>
  <c r="ET75" i="1" s="1"/>
  <c r="BR27" i="1"/>
  <c r="ED8" i="1"/>
  <c r="CM191" i="1"/>
  <c r="CJ191" i="1" s="1"/>
  <c r="EK8" i="1"/>
  <c r="ET8" i="1" s="1"/>
  <c r="BT106" i="1"/>
  <c r="CC129" i="1"/>
  <c r="CJ190" i="1"/>
  <c r="BT113" i="1"/>
  <c r="CA118" i="1"/>
  <c r="ED70" i="1"/>
  <c r="CW36" i="1"/>
  <c r="BV22" i="1"/>
  <c r="CZ179" i="1"/>
  <c r="ES74" i="1"/>
  <c r="CA14" i="1"/>
  <c r="BV19" i="1"/>
  <c r="CY19" i="1"/>
  <c r="CA21" i="1"/>
  <c r="BY30" i="1"/>
  <c r="CC23" i="1"/>
  <c r="CC33" i="1"/>
  <c r="BV127" i="1"/>
  <c r="CA37" i="1"/>
  <c r="BT111" i="1"/>
  <c r="EK30" i="1"/>
  <c r="ET30" i="1" s="1"/>
  <c r="ES10" i="1"/>
  <c r="CC19" i="1"/>
  <c r="BS81" i="1"/>
  <c r="EK6" i="1"/>
  <c r="ET6" i="1" s="1"/>
  <c r="DR129" i="1"/>
  <c r="CA92" i="1"/>
  <c r="EK10" i="1"/>
  <c r="BT116" i="1"/>
  <c r="EK169" i="1"/>
  <c r="ET169" i="1" s="1"/>
  <c r="BT98" i="1"/>
  <c r="ED157" i="1"/>
  <c r="ES157" i="1"/>
  <c r="BV105" i="1"/>
  <c r="CA101" i="1"/>
  <c r="EK156" i="1"/>
  <c r="ET156" i="1" s="1"/>
  <c r="BT32" i="1"/>
  <c r="ED159" i="1"/>
  <c r="BT97" i="1"/>
  <c r="BV106" i="1"/>
  <c r="BY37" i="1"/>
  <c r="CA102" i="1"/>
  <c r="ED26" i="1"/>
  <c r="CZ141" i="1"/>
  <c r="EK33" i="1"/>
  <c r="ET33" i="1" s="1"/>
  <c r="ES60" i="1"/>
  <c r="ES77" i="1"/>
  <c r="ED158" i="1"/>
  <c r="BT122" i="1"/>
  <c r="ED175" i="1"/>
  <c r="BR5" i="1"/>
  <c r="BY8" i="1"/>
  <c r="ED36" i="1"/>
  <c r="BZ80" i="1"/>
  <c r="BV119" i="1"/>
  <c r="BV95" i="1"/>
  <c r="ED155" i="1"/>
  <c r="BT121" i="1"/>
  <c r="EK186" i="1"/>
  <c r="ET186" i="1" s="1"/>
  <c r="CA123" i="1"/>
  <c r="BT24" i="1"/>
  <c r="EK159" i="1"/>
  <c r="ET159" i="1" s="1"/>
  <c r="ED156" i="1"/>
  <c r="CZ139" i="1"/>
  <c r="BX98" i="1"/>
  <c r="BY98" i="1" s="1"/>
  <c r="CP136" i="1"/>
  <c r="CA122" i="1"/>
  <c r="CY125" i="1"/>
  <c r="BR170" i="1"/>
  <c r="CA33" i="1"/>
  <c r="ES179" i="1"/>
  <c r="ES149" i="1"/>
  <c r="ED149" i="1"/>
  <c r="ET93" i="1"/>
  <c r="CC18" i="1"/>
  <c r="ET146" i="1"/>
  <c r="BT105" i="1"/>
  <c r="ET152" i="1"/>
  <c r="ET163" i="1"/>
  <c r="ES175" i="1"/>
  <c r="EK59" i="1"/>
  <c r="ET59" i="1" s="1"/>
  <c r="CW26" i="1"/>
  <c r="CY30" i="1"/>
  <c r="BV33" i="1"/>
  <c r="BT29" i="1"/>
  <c r="CZ140" i="1"/>
  <c r="BV108" i="1"/>
  <c r="EK12" i="1"/>
  <c r="CW24" i="1"/>
  <c r="BV34" i="1"/>
  <c r="CC34" i="1"/>
  <c r="BT36" i="1"/>
  <c r="BX168" i="1"/>
  <c r="BY169" i="1" s="1"/>
  <c r="BT20" i="1"/>
  <c r="CA30" i="1"/>
  <c r="BV20" i="1"/>
  <c r="CW185" i="1"/>
  <c r="CY161" i="1"/>
  <c r="CZ161" i="1" s="1"/>
  <c r="BT37" i="1"/>
  <c r="ES46" i="1"/>
  <c r="EK70" i="1"/>
  <c r="EK147" i="1"/>
  <c r="ES27" i="1"/>
  <c r="BV31" i="1"/>
  <c r="CA127" i="1"/>
  <c r="CA88" i="1"/>
  <c r="ES147" i="1"/>
  <c r="ED73" i="1"/>
  <c r="ES28" i="1"/>
  <c r="ES59" i="1"/>
  <c r="ES11" i="1"/>
  <c r="EK62" i="1"/>
  <c r="ET62" i="1" s="1"/>
  <c r="ES184" i="1"/>
  <c r="ED63" i="1"/>
  <c r="CZ165" i="1"/>
  <c r="BQ98" i="1"/>
  <c r="BR20" i="1"/>
  <c r="BY177" i="1"/>
  <c r="DL190" i="1"/>
  <c r="BX129" i="1"/>
  <c r="BY129" i="1" s="1"/>
  <c r="BV30" i="1"/>
  <c r="CW129" i="1"/>
  <c r="EK13" i="1"/>
  <c r="ET13" i="1" s="1"/>
  <c r="BT35" i="1"/>
  <c r="CZ144" i="1"/>
  <c r="ED151" i="1"/>
  <c r="BT123" i="1"/>
  <c r="ES38" i="1"/>
  <c r="ES12" i="1"/>
  <c r="CA31" i="1"/>
  <c r="CA18" i="1"/>
  <c r="CA128" i="1"/>
  <c r="BV28" i="1"/>
  <c r="BT94" i="1"/>
  <c r="ED6" i="1"/>
  <c r="BY35" i="1"/>
  <c r="EK47" i="1"/>
  <c r="ET47" i="1" s="1"/>
  <c r="ES76" i="1"/>
  <c r="CC32" i="1"/>
  <c r="ED60" i="1"/>
  <c r="CW19" i="1"/>
  <c r="CP191" i="1"/>
  <c r="EK71" i="1"/>
  <c r="BY5" i="1"/>
  <c r="ED75" i="1"/>
  <c r="BT9" i="1"/>
  <c r="ES32" i="1"/>
  <c r="EK15" i="1"/>
  <c r="ET15" i="1" s="1"/>
  <c r="ES29" i="1"/>
  <c r="ED28" i="1"/>
  <c r="CA87" i="1"/>
  <c r="EK35" i="1"/>
  <c r="ET35" i="1" s="1"/>
  <c r="CA9" i="1"/>
  <c r="BT33" i="1"/>
  <c r="BT16" i="1"/>
  <c r="BT100" i="1"/>
  <c r="BT96" i="1"/>
  <c r="CW23" i="1"/>
  <c r="EK32" i="1"/>
  <c r="CA27" i="1"/>
  <c r="ES73" i="1"/>
  <c r="CC100" i="1"/>
  <c r="BV26" i="1"/>
  <c r="CW108" i="1"/>
  <c r="BV27" i="1"/>
  <c r="ED59" i="1"/>
  <c r="ED14" i="1"/>
  <c r="EK60" i="1"/>
  <c r="ES169" i="1"/>
  <c r="BR31" i="1"/>
  <c r="CK191" i="1"/>
  <c r="CW170" i="1"/>
  <c r="CM40" i="1"/>
  <c r="CW152" i="1"/>
  <c r="BS190" i="1"/>
  <c r="BT19" i="1"/>
  <c r="BV109" i="1"/>
  <c r="ES13" i="1"/>
  <c r="EK73" i="1"/>
  <c r="ES37" i="1"/>
  <c r="CC28" i="1"/>
  <c r="CW121" i="1"/>
  <c r="BT103" i="1"/>
  <c r="BR19" i="1"/>
  <c r="CA129" i="1"/>
  <c r="CC101" i="1"/>
  <c r="BR9" i="1"/>
  <c r="BV124" i="1"/>
  <c r="ES19" i="1"/>
  <c r="BY34" i="1"/>
  <c r="CA19" i="1"/>
  <c r="CW159" i="1"/>
  <c r="CC120" i="1"/>
  <c r="CZ62" i="1"/>
  <c r="ES26" i="1"/>
  <c r="CA89" i="1"/>
  <c r="CY31" i="1"/>
  <c r="EK28" i="1"/>
  <c r="CA108" i="1"/>
  <c r="ED45" i="1"/>
  <c r="DI40" i="1"/>
  <c r="CC87" i="1"/>
  <c r="EK78" i="1"/>
  <c r="ET78" i="1" s="1"/>
  <c r="BR34" i="1"/>
  <c r="BV23" i="1"/>
  <c r="CA17" i="1"/>
  <c r="ED72" i="1"/>
  <c r="BR160" i="1"/>
  <c r="EK76" i="1"/>
  <c r="ET76" i="1" s="1"/>
  <c r="EK38" i="1"/>
  <c r="ET38" i="1" s="1"/>
  <c r="CY36" i="1"/>
  <c r="CW172" i="1"/>
  <c r="BY102" i="1"/>
  <c r="CC121" i="1"/>
  <c r="ED76" i="1"/>
  <c r="ED38" i="1"/>
  <c r="BT17" i="1"/>
  <c r="EK26" i="1"/>
  <c r="ET26" i="1" s="1"/>
  <c r="ED139" i="1"/>
  <c r="ES139" i="1"/>
  <c r="EK139" i="1"/>
  <c r="ET139" i="1" s="1"/>
  <c r="CZ175" i="1"/>
  <c r="EK179" i="1"/>
  <c r="ET179" i="1" s="1"/>
  <c r="ED179" i="1"/>
  <c r="ED15" i="1"/>
  <c r="ES70" i="1"/>
  <c r="CY29" i="1"/>
  <c r="EK19" i="1"/>
  <c r="ET19" i="1" s="1"/>
  <c r="EK63" i="1"/>
  <c r="ET63" i="1" s="1"/>
  <c r="ES15" i="1"/>
  <c r="ED77" i="1"/>
  <c r="BV128" i="1"/>
  <c r="ED12" i="1"/>
  <c r="EK23" i="1"/>
  <c r="ET23" i="1" s="1"/>
  <c r="ES78" i="1"/>
  <c r="CC9" i="1"/>
  <c r="CW33" i="1"/>
  <c r="CK134" i="1"/>
  <c r="ED47" i="1"/>
  <c r="BV129" i="1"/>
  <c r="BT126" i="1"/>
  <c r="BT127" i="1"/>
  <c r="ES24" i="1"/>
  <c r="ES57" i="1"/>
  <c r="ES62" i="1"/>
  <c r="EK24" i="1"/>
  <c r="ET24" i="1" s="1"/>
  <c r="ED30" i="1"/>
  <c r="BT108" i="1"/>
  <c r="CA117" i="1"/>
  <c r="EK77" i="1"/>
  <c r="ET77" i="1" s="1"/>
  <c r="EK14" i="1"/>
  <c r="ET14" i="1" s="1"/>
  <c r="BV126" i="1"/>
  <c r="CZ178" i="1"/>
  <c r="ES47" i="1"/>
  <c r="EK25" i="1"/>
  <c r="ET25" i="1" s="1"/>
  <c r="ES31" i="1"/>
  <c r="ED22" i="1"/>
  <c r="ED21" i="1"/>
  <c r="ED62" i="1"/>
  <c r="CY5" i="1"/>
  <c r="CZ173" i="1"/>
  <c r="DN190" i="1"/>
  <c r="BY122" i="1"/>
  <c r="EK79" i="1"/>
  <c r="CK1" i="1"/>
  <c r="ED71" i="1"/>
  <c r="ES71" i="1"/>
  <c r="ED11" i="1"/>
  <c r="ED29" i="1"/>
  <c r="CW30" i="1"/>
  <c r="ES58" i="1"/>
  <c r="BR151" i="1"/>
  <c r="BR152" i="1"/>
  <c r="BY166" i="1"/>
  <c r="BT31" i="1"/>
  <c r="CY163" i="1"/>
  <c r="CZ163" i="1" s="1"/>
  <c r="BY164" i="1"/>
  <c r="CA126" i="1"/>
  <c r="ED31" i="1"/>
  <c r="EK29" i="1"/>
  <c r="ET29" i="1" s="1"/>
  <c r="EK31" i="1"/>
  <c r="ET31" i="1" s="1"/>
  <c r="EK22" i="1"/>
  <c r="ES14" i="1"/>
  <c r="EK9" i="1"/>
  <c r="ET9" i="1" s="1"/>
  <c r="CA8" i="1"/>
  <c r="ES72" i="1"/>
  <c r="EK21" i="1"/>
  <c r="ET21" i="1" s="1"/>
  <c r="CY33" i="1"/>
  <c r="BY36" i="1"/>
  <c r="BT128" i="1"/>
  <c r="DI80" i="1"/>
  <c r="BY161" i="1"/>
  <c r="BR176" i="1"/>
  <c r="BV25" i="1"/>
  <c r="CW146" i="1"/>
  <c r="BT124" i="1"/>
  <c r="ES17" i="1"/>
  <c r="BY123" i="1"/>
  <c r="ES22" i="1"/>
  <c r="CZ184" i="1"/>
  <c r="ES36" i="1"/>
  <c r="EK72" i="1"/>
  <c r="ET72" i="1" s="1"/>
  <c r="EK57" i="1"/>
  <c r="ET57" i="1" s="1"/>
  <c r="CY24" i="1"/>
  <c r="EK18" i="1"/>
  <c r="ET18" i="1" s="1"/>
  <c r="ED74" i="1"/>
  <c r="ED5" i="1"/>
  <c r="ES5" i="1"/>
  <c r="BY165" i="1"/>
  <c r="BT30" i="1"/>
  <c r="BY170" i="1"/>
  <c r="CY8" i="1"/>
  <c r="ED18" i="1"/>
  <c r="CA24" i="1"/>
  <c r="ED57" i="1"/>
  <c r="ES21" i="1"/>
  <c r="EK11" i="1"/>
  <c r="ET11" i="1" s="1"/>
  <c r="EK61" i="1"/>
  <c r="ET61" i="1" s="1"/>
  <c r="ED61" i="1"/>
  <c r="ES61" i="1"/>
  <c r="ED35" i="1"/>
  <c r="ES35" i="1"/>
  <c r="ES20" i="1"/>
  <c r="ED20" i="1"/>
  <c r="EK20" i="1"/>
  <c r="ET20" i="1" s="1"/>
  <c r="ED25" i="1"/>
  <c r="ES25" i="1"/>
  <c r="ED33" i="1"/>
  <c r="ES33" i="1"/>
  <c r="ED23" i="1"/>
  <c r="ES23" i="1"/>
  <c r="ES34" i="1"/>
  <c r="ED34" i="1"/>
  <c r="ED79" i="1"/>
  <c r="ES79" i="1"/>
  <c r="ES16" i="1"/>
  <c r="ED16" i="1"/>
  <c r="ES75" i="1"/>
  <c r="CK40" i="1"/>
  <c r="BR164" i="1"/>
  <c r="BT120" i="1"/>
  <c r="BT34" i="1"/>
  <c r="BT8" i="1"/>
  <c r="CW12" i="1"/>
  <c r="DR105" i="1"/>
  <c r="BV13" i="1"/>
  <c r="CC30" i="1"/>
  <c r="CW75" i="1"/>
  <c r="CC13" i="1"/>
  <c r="CC29" i="1"/>
  <c r="BQ105" i="1"/>
  <c r="CW105" i="1" s="1"/>
  <c r="BQ99" i="1"/>
  <c r="CW99" i="1" s="1"/>
  <c r="BX16" i="1"/>
  <c r="CY16" i="1" s="1"/>
  <c r="CO80" i="1"/>
  <c r="CZ188" i="1"/>
  <c r="CA130" i="1"/>
  <c r="CW122" i="1"/>
  <c r="CY14" i="1"/>
  <c r="CY101" i="1"/>
  <c r="CZ75" i="1"/>
  <c r="CC15" i="1"/>
  <c r="DH40" i="1"/>
  <c r="BJ3" i="1"/>
  <c r="CQ1" i="1"/>
  <c r="BY78" i="1"/>
  <c r="CC110" i="1"/>
  <c r="CC116" i="1"/>
  <c r="BV99" i="1"/>
  <c r="BT91" i="1"/>
  <c r="CW27" i="1"/>
  <c r="BV123" i="1"/>
  <c r="BV104" i="1"/>
  <c r="BY167" i="1"/>
  <c r="CC130" i="1"/>
  <c r="BT104" i="1"/>
  <c r="CA90" i="1"/>
  <c r="BT125" i="1"/>
  <c r="BV98" i="1"/>
  <c r="BV111" i="1"/>
  <c r="DR157" i="1"/>
  <c r="CA121" i="1"/>
  <c r="CC91" i="1"/>
  <c r="BY14" i="1"/>
  <c r="BY59" i="1"/>
  <c r="BY62" i="1"/>
  <c r="BT28" i="1"/>
  <c r="BR62" i="1"/>
  <c r="CY20" i="1"/>
  <c r="BY77" i="1"/>
  <c r="BV117" i="1"/>
  <c r="ET121" i="1"/>
  <c r="BY160" i="1"/>
  <c r="CC20" i="1"/>
  <c r="BR121" i="1"/>
  <c r="BT101" i="1"/>
  <c r="CW164" i="1"/>
  <c r="BQ168" i="1"/>
  <c r="BR168" i="1" s="1"/>
  <c r="BV122" i="1"/>
  <c r="BQ114" i="1"/>
  <c r="CW114" i="1" s="1"/>
  <c r="CA100" i="1"/>
  <c r="CP80" i="1"/>
  <c r="CC123" i="1"/>
  <c r="CY99" i="1"/>
  <c r="ET120" i="1"/>
  <c r="CA16" i="1"/>
  <c r="BX114" i="1"/>
  <c r="BY115" i="1" s="1"/>
  <c r="CW72" i="1"/>
  <c r="BY76" i="1"/>
  <c r="CW120" i="1"/>
  <c r="CC113" i="1"/>
  <c r="CC111" i="1"/>
  <c r="CW102" i="1"/>
  <c r="CY87" i="1"/>
  <c r="CM81" i="1"/>
  <c r="BV24" i="1"/>
  <c r="CW21" i="1"/>
  <c r="DR123" i="1"/>
  <c r="BR166" i="1"/>
  <c r="CC16" i="1"/>
  <c r="BX130" i="1"/>
  <c r="CY130" i="1" s="1"/>
  <c r="CW189" i="1"/>
  <c r="CC92" i="1"/>
  <c r="BY11" i="1"/>
  <c r="BU81" i="1"/>
  <c r="BT27" i="1"/>
  <c r="BT130" i="1"/>
  <c r="BV32" i="1"/>
  <c r="BV16" i="1"/>
  <c r="BR187" i="1"/>
  <c r="BR109" i="1"/>
  <c r="CC99" i="1"/>
  <c r="CC114" i="1"/>
  <c r="BR12" i="1"/>
  <c r="CA105" i="1"/>
  <c r="CA111" i="1"/>
  <c r="CZ160" i="1"/>
  <c r="BR8" i="1"/>
  <c r="BT90" i="1"/>
  <c r="CA99" i="1"/>
  <c r="CC117" i="1"/>
  <c r="BV96" i="1"/>
  <c r="CW8" i="1"/>
  <c r="CP40" i="1"/>
  <c r="BR102" i="1"/>
  <c r="CZ63" i="1"/>
  <c r="BR77" i="1"/>
  <c r="CW9" i="1"/>
  <c r="CY34" i="1"/>
  <c r="CA34" i="1"/>
  <c r="BV9" i="1"/>
  <c r="CW11" i="1"/>
  <c r="CY13" i="1"/>
  <c r="DH80" i="1"/>
  <c r="BY176" i="1"/>
  <c r="BV35" i="1"/>
  <c r="CW96" i="1"/>
  <c r="BV97" i="1"/>
  <c r="BR59" i="1"/>
  <c r="CW7" i="1"/>
  <c r="BR11" i="1"/>
  <c r="CA103" i="1"/>
  <c r="CQ42" i="1"/>
  <c r="CJ40" i="1"/>
  <c r="BY152" i="1"/>
  <c r="ET167" i="1"/>
  <c r="BR76" i="1"/>
  <c r="BY151" i="1"/>
  <c r="ET148" i="1"/>
  <c r="CW37" i="1"/>
  <c r="BV29" i="1"/>
  <c r="BY109" i="1"/>
  <c r="CJ39" i="1"/>
  <c r="BY26" i="1"/>
  <c r="BR58" i="1"/>
  <c r="CO39" i="1"/>
  <c r="BV102" i="1"/>
  <c r="CW76" i="1"/>
  <c r="CW29" i="1"/>
  <c r="ET102" i="1"/>
  <c r="BV103" i="1"/>
  <c r="CW59" i="1"/>
  <c r="BV125" i="1"/>
  <c r="CC112" i="1"/>
  <c r="CY18" i="1"/>
  <c r="BV87" i="1"/>
  <c r="CC38" i="1"/>
  <c r="BV107" i="1"/>
  <c r="CW93" i="1"/>
  <c r="BR78" i="1"/>
  <c r="CZ181" i="1"/>
  <c r="BV100" i="1"/>
  <c r="CC11" i="1"/>
  <c r="DM3" i="1"/>
  <c r="DM40" i="1" s="1"/>
  <c r="CA91" i="1"/>
  <c r="BV6" i="1"/>
  <c r="CZ189" i="1"/>
  <c r="DP3" i="1"/>
  <c r="DP39" i="1" s="1"/>
  <c r="CW5" i="1"/>
  <c r="BU42" i="1"/>
  <c r="DN39" i="1"/>
  <c r="CC97" i="1"/>
  <c r="CC119" i="1"/>
  <c r="CY93" i="1"/>
  <c r="BY189" i="1"/>
  <c r="CC102" i="1"/>
  <c r="CC118" i="1"/>
  <c r="BY12" i="1"/>
  <c r="BR167" i="1"/>
  <c r="CW18" i="1"/>
  <c r="CB190" i="1"/>
  <c r="CA98" i="1"/>
  <c r="DM44" i="1"/>
  <c r="DM81" i="1" s="1"/>
  <c r="DL44" i="1"/>
  <c r="DL81" i="1" s="1"/>
  <c r="CZ180" i="1"/>
  <c r="BT115" i="1"/>
  <c r="CC96" i="1"/>
  <c r="CA104" i="1"/>
  <c r="CW106" i="1"/>
  <c r="CW173" i="1"/>
  <c r="CY57" i="1"/>
  <c r="CZ57" i="1" s="1"/>
  <c r="CW31" i="1"/>
  <c r="BV14" i="1"/>
  <c r="CY121" i="1"/>
  <c r="BT18" i="1"/>
  <c r="CA96" i="1"/>
  <c r="BT129" i="1"/>
  <c r="DP44" i="1"/>
  <c r="DP81" i="1" s="1"/>
  <c r="BV94" i="1"/>
  <c r="BV88" i="1"/>
  <c r="CA124" i="1"/>
  <c r="BT92" i="1"/>
  <c r="DR130" i="1"/>
  <c r="BY58" i="1"/>
  <c r="CY102" i="1"/>
  <c r="CY122" i="1"/>
  <c r="BR173" i="1"/>
  <c r="DS44" i="1"/>
  <c r="CB80" i="1"/>
  <c r="BV12" i="1"/>
  <c r="CC10" i="1"/>
  <c r="DR99" i="1"/>
  <c r="CC122" i="1"/>
  <c r="BT102" i="1"/>
  <c r="CY38" i="1"/>
  <c r="CC88" i="1"/>
  <c r="BR75" i="1"/>
  <c r="CC14" i="1"/>
  <c r="BY63" i="1"/>
  <c r="CW91" i="1"/>
  <c r="BT99" i="1"/>
  <c r="BY186" i="1"/>
  <c r="BR186" i="1"/>
  <c r="CC105" i="1"/>
  <c r="DR60" i="1"/>
  <c r="BQ157" i="1"/>
  <c r="BK84" i="1"/>
  <c r="ET122" i="1"/>
  <c r="BV93" i="1"/>
  <c r="CY37" i="1"/>
  <c r="BV110" i="1"/>
  <c r="CY185" i="1"/>
  <c r="CY91" i="1"/>
  <c r="BY75" i="1"/>
  <c r="BV113" i="1"/>
  <c r="BT112" i="1"/>
  <c r="CA106" i="1"/>
  <c r="CZ143" i="1"/>
  <c r="CA114" i="1"/>
  <c r="BJ84" i="1"/>
  <c r="CC94" i="1"/>
  <c r="CC107" i="1"/>
  <c r="BS42" i="1"/>
  <c r="BQ16" i="1"/>
  <c r="CW16" i="1" s="1"/>
  <c r="CC17" i="1"/>
  <c r="CW20" i="1"/>
  <c r="CC36" i="1"/>
  <c r="CY120" i="1"/>
  <c r="BQ123" i="1"/>
  <c r="CW123" i="1" s="1"/>
  <c r="CY35" i="1"/>
  <c r="CJ81" i="1"/>
  <c r="ET101" i="1"/>
  <c r="BV21" i="1"/>
  <c r="BQ71" i="1"/>
  <c r="CW34" i="1"/>
  <c r="CC115" i="1"/>
  <c r="CA15" i="1"/>
  <c r="CJ80" i="1"/>
  <c r="BR162" i="1"/>
  <c r="CW57" i="1"/>
  <c r="BY31" i="1"/>
  <c r="BR14" i="1"/>
  <c r="BR163" i="1"/>
  <c r="CP81" i="1"/>
  <c r="CP44" i="1"/>
  <c r="DR71" i="1"/>
  <c r="CW162" i="1"/>
  <c r="CY9" i="1"/>
  <c r="ET34" i="1"/>
  <c r="CZ138" i="1"/>
  <c r="BV114" i="1"/>
  <c r="BT107" i="1"/>
  <c r="CY111" i="1"/>
  <c r="BV38" i="1"/>
  <c r="CK42" i="1"/>
  <c r="BV115" i="1"/>
  <c r="CC37" i="1"/>
  <c r="CW186" i="1"/>
  <c r="BX60" i="1"/>
  <c r="CY11" i="1"/>
  <c r="BK44" i="1"/>
  <c r="CZ174" i="1"/>
  <c r="CA107" i="1"/>
  <c r="BR63" i="1"/>
  <c r="BV120" i="1"/>
  <c r="CW60" i="1"/>
  <c r="BR61" i="1"/>
  <c r="BR60" i="1"/>
  <c r="CW111" i="1"/>
  <c r="CA28" i="1"/>
  <c r="BV112" i="1"/>
  <c r="CW101" i="1"/>
  <c r="CK80" i="1"/>
  <c r="CW62" i="1"/>
  <c r="ET111" i="1"/>
  <c r="DR95" i="1"/>
  <c r="BX95" i="1"/>
  <c r="BQ95" i="1"/>
  <c r="BX28" i="1"/>
  <c r="BY28" i="1" s="1"/>
  <c r="DR28" i="1"/>
  <c r="BQ28" i="1"/>
  <c r="BQ153" i="1"/>
  <c r="BX153" i="1"/>
  <c r="DR153" i="1"/>
  <c r="BZ191" i="1"/>
  <c r="BX73" i="1"/>
  <c r="DR73" i="1"/>
  <c r="BQ73" i="1"/>
  <c r="EK154" i="1"/>
  <c r="BJ154" i="1"/>
  <c r="BJ136" i="1" s="1"/>
  <c r="BQ79" i="1"/>
  <c r="BX79" i="1"/>
  <c r="DR79" i="1"/>
  <c r="BU4" i="1"/>
  <c r="BV5" i="1" s="1"/>
  <c r="CB4" i="1"/>
  <c r="CC5" i="1" s="1"/>
  <c r="BY72" i="1"/>
  <c r="EK46" i="1"/>
  <c r="BQ171" i="1"/>
  <c r="BX171" i="1"/>
  <c r="BJ45" i="1"/>
  <c r="EK45" i="1"/>
  <c r="BQ149" i="1"/>
  <c r="DR149" i="1"/>
  <c r="BX149" i="1"/>
  <c r="BX110" i="1"/>
  <c r="BQ110" i="1"/>
  <c r="BR110" i="1" s="1"/>
  <c r="DR110" i="1"/>
  <c r="BZ22" i="1"/>
  <c r="CY22" i="1" s="1"/>
  <c r="BS22" i="1"/>
  <c r="CW22" i="1" s="1"/>
  <c r="BX32" i="1"/>
  <c r="DR32" i="1"/>
  <c r="BQ32" i="1"/>
  <c r="BQ46" i="1"/>
  <c r="BR47" i="1" s="1"/>
  <c r="BX46" i="1"/>
  <c r="BY47" i="1" s="1"/>
  <c r="DR46" i="1"/>
  <c r="BX70" i="1"/>
  <c r="BQ70" i="1"/>
  <c r="DR70" i="1"/>
  <c r="DR147" i="1"/>
  <c r="BQ147" i="1"/>
  <c r="BX147" i="1"/>
  <c r="BZ10" i="1"/>
  <c r="BS10" i="1"/>
  <c r="BX94" i="1"/>
  <c r="DR94" i="1"/>
  <c r="BQ94" i="1"/>
  <c r="DR118" i="1"/>
  <c r="BQ118" i="1"/>
  <c r="BR119" i="1" s="1"/>
  <c r="BX118" i="1"/>
  <c r="CY118" i="1" s="1"/>
  <c r="ET99" i="1"/>
  <c r="CW13" i="1"/>
  <c r="ET187" i="1"/>
  <c r="BR13" i="1"/>
  <c r="CW187" i="1"/>
  <c r="CW109" i="1"/>
  <c r="CY85" i="1"/>
  <c r="BR188" i="1"/>
  <c r="CW188" i="1"/>
  <c r="BY38" i="1"/>
  <c r="BR91" i="1"/>
  <c r="ET91" i="1"/>
  <c r="BY187" i="1"/>
  <c r="CY169" i="1"/>
  <c r="CZ170" i="1" s="1"/>
  <c r="BY188" i="1"/>
  <c r="CW155" i="1"/>
  <c r="CW38" i="1"/>
  <c r="BR38" i="1"/>
  <c r="ET85" i="1"/>
  <c r="CY15" i="1"/>
  <c r="BY15" i="1"/>
  <c r="BR15" i="1"/>
  <c r="CW15" i="1"/>
  <c r="BR22" i="1"/>
  <c r="BR23" i="1"/>
  <c r="CC89" i="1"/>
  <c r="CC90" i="1"/>
  <c r="CY89" i="1"/>
  <c r="ET124" i="1"/>
  <c r="CW124" i="1"/>
  <c r="BY93" i="1"/>
  <c r="CY92" i="1"/>
  <c r="BT5" i="1"/>
  <c r="BY22" i="1"/>
  <c r="CY88" i="1"/>
  <c r="BY88" i="1"/>
  <c r="BY89" i="1"/>
  <c r="BR127" i="1"/>
  <c r="ET127" i="1"/>
  <c r="CW127" i="1"/>
  <c r="CY117" i="1"/>
  <c r="BY117" i="1"/>
  <c r="ET87" i="1"/>
  <c r="CW87" i="1"/>
  <c r="BY100" i="1"/>
  <c r="BY101" i="1"/>
  <c r="BR25" i="1"/>
  <c r="CW25" i="1"/>
  <c r="BT7" i="1"/>
  <c r="BT6" i="1"/>
  <c r="CW64" i="1"/>
  <c r="BR64" i="1"/>
  <c r="BR65" i="1"/>
  <c r="ET64" i="1"/>
  <c r="CY156" i="1"/>
  <c r="BY156" i="1"/>
  <c r="BY157" i="1"/>
  <c r="ET105" i="1"/>
  <c r="BR18" i="1"/>
  <c r="CW17" i="1"/>
  <c r="CW47" i="1"/>
  <c r="BR48" i="1"/>
  <c r="BV86" i="1"/>
  <c r="CW88" i="1"/>
  <c r="ET88" i="1"/>
  <c r="BR89" i="1"/>
  <c r="BR88" i="1"/>
  <c r="BY107" i="1"/>
  <c r="BY108" i="1"/>
  <c r="CY107" i="1"/>
  <c r="ET112" i="1"/>
  <c r="BR112" i="1"/>
  <c r="CW112" i="1"/>
  <c r="CW100" i="1"/>
  <c r="ET100" i="1"/>
  <c r="BR101" i="1"/>
  <c r="BY120" i="1"/>
  <c r="CY119" i="1"/>
  <c r="CZ177" i="1"/>
  <c r="CZ176" i="1"/>
  <c r="BY65" i="1"/>
  <c r="CY64" i="1"/>
  <c r="BY64" i="1"/>
  <c r="BT86" i="1"/>
  <c r="BR130" i="1"/>
  <c r="CW130" i="1"/>
  <c r="CA5" i="1"/>
  <c r="BR108" i="1"/>
  <c r="BR107" i="1"/>
  <c r="CW107" i="1"/>
  <c r="ET107" i="1"/>
  <c r="CY113" i="1"/>
  <c r="BY113" i="1"/>
  <c r="BY112" i="1"/>
  <c r="CY112" i="1"/>
  <c r="BR117" i="1"/>
  <c r="ET117" i="1"/>
  <c r="CW117" i="1"/>
  <c r="BR128" i="1"/>
  <c r="ET128" i="1"/>
  <c r="BR129" i="1"/>
  <c r="BT87" i="1"/>
  <c r="BT88" i="1"/>
  <c r="BV7" i="1"/>
  <c r="BV8" i="1"/>
  <c r="BX158" i="1"/>
  <c r="BK136" i="1"/>
  <c r="BQ158" i="1"/>
  <c r="DR158" i="1"/>
  <c r="CY116" i="1"/>
  <c r="BY116" i="1"/>
  <c r="CW126" i="1"/>
  <c r="ET126" i="1"/>
  <c r="BR126" i="1"/>
  <c r="CY104" i="1"/>
  <c r="CW119" i="1"/>
  <c r="BR120" i="1"/>
  <c r="ET119" i="1"/>
  <c r="CW35" i="1"/>
  <c r="BR35" i="1"/>
  <c r="CY105" i="1"/>
  <c r="BY105" i="1"/>
  <c r="CY17" i="1"/>
  <c r="BY18" i="1"/>
  <c r="ET97" i="1"/>
  <c r="BR97" i="1"/>
  <c r="CW97" i="1"/>
  <c r="CZ167" i="1"/>
  <c r="CZ166" i="1"/>
  <c r="CA86" i="1"/>
  <c r="ET92" i="1"/>
  <c r="BR93" i="1"/>
  <c r="CW92" i="1"/>
  <c r="BY90" i="1"/>
  <c r="CY90" i="1"/>
  <c r="CC7" i="1"/>
  <c r="CC8" i="1"/>
  <c r="CY7" i="1"/>
  <c r="CY126" i="1"/>
  <c r="BY126" i="1"/>
  <c r="CY47" i="1"/>
  <c r="BY48" i="1"/>
  <c r="BR92" i="1"/>
  <c r="BY91" i="1"/>
  <c r="CB84" i="1"/>
  <c r="CC86" i="1"/>
  <c r="CW115" i="1"/>
  <c r="BY124" i="1"/>
  <c r="CY124" i="1"/>
  <c r="BY125" i="1"/>
  <c r="CW85" i="1"/>
  <c r="BY92" i="1"/>
  <c r="CW103" i="1"/>
  <c r="BR103" i="1"/>
  <c r="BV89" i="1"/>
  <c r="BV90" i="1"/>
  <c r="CW89" i="1"/>
  <c r="ET89" i="1"/>
  <c r="DR145" i="1"/>
  <c r="BQ145" i="1"/>
  <c r="BX145" i="1"/>
  <c r="ET113" i="1"/>
  <c r="CW113" i="1"/>
  <c r="BR113" i="1"/>
  <c r="BY127" i="1"/>
  <c r="CY127" i="1"/>
  <c r="ET90" i="1"/>
  <c r="CW90" i="1"/>
  <c r="BR90" i="1"/>
  <c r="BY106" i="1"/>
  <c r="CY128" i="1"/>
  <c r="BY128" i="1"/>
  <c r="BY25" i="1"/>
  <c r="CY25" i="1"/>
  <c r="CA6" i="1"/>
  <c r="CA7" i="1"/>
  <c r="ET116" i="1"/>
  <c r="CZ78" i="1"/>
  <c r="ET104" i="1"/>
  <c r="BR104" i="1"/>
  <c r="CW104" i="1"/>
  <c r="BR156" i="1"/>
  <c r="CW156" i="1"/>
  <c r="BR26" i="1"/>
  <c r="CY27" i="1"/>
  <c r="BY27" i="1"/>
  <c r="BR125" i="1"/>
  <c r="ET125" i="1"/>
  <c r="CW125" i="1"/>
  <c r="CZ151" i="1"/>
  <c r="CZ152" i="1"/>
  <c r="CY97" i="1"/>
  <c r="CZ76" i="1"/>
  <c r="CZ77" i="1"/>
  <c r="CW86" i="1"/>
  <c r="BR87" i="1"/>
  <c r="CZ59" i="1"/>
  <c r="CY6" i="1"/>
  <c r="BY6" i="1"/>
  <c r="BY7" i="1"/>
  <c r="BR7" i="1"/>
  <c r="BR6" i="1"/>
  <c r="CW6" i="1"/>
  <c r="BR86" i="1"/>
  <c r="CZ72" i="1" l="1"/>
  <c r="DL3" i="1"/>
  <c r="DL39" i="1" s="1"/>
  <c r="ET48" i="1"/>
  <c r="CP39" i="1"/>
  <c r="ET176" i="1"/>
  <c r="CA25" i="1"/>
  <c r="CY23" i="1"/>
  <c r="CZ24" i="1" s="1"/>
  <c r="CP190" i="1"/>
  <c r="DS3" i="1"/>
  <c r="DS39" i="1" s="1"/>
  <c r="CY100" i="1"/>
  <c r="CZ101" i="1" s="1"/>
  <c r="DQ3" i="1"/>
  <c r="DQ39" i="1" s="1"/>
  <c r="DQ44" i="1"/>
  <c r="DQ81" i="1" s="1"/>
  <c r="BS84" i="1"/>
  <c r="DS136" i="1"/>
  <c r="DM136" i="1"/>
  <c r="DM190" i="1" s="1"/>
  <c r="EK84" i="1"/>
  <c r="DQ136" i="1"/>
  <c r="DQ191" i="1" s="1"/>
  <c r="BY97" i="1"/>
  <c r="ET115" i="1"/>
  <c r="BU84" i="1"/>
  <c r="CC27" i="1"/>
  <c r="CY96" i="1"/>
  <c r="CZ97" i="1" s="1"/>
  <c r="CW14" i="1"/>
  <c r="BY175" i="1"/>
  <c r="CY12" i="1"/>
  <c r="CZ12" i="1" s="1"/>
  <c r="ET108" i="1"/>
  <c r="CA116" i="1"/>
  <c r="BV116" i="1"/>
  <c r="BR175" i="1"/>
  <c r="BT118" i="1"/>
  <c r="CC124" i="1"/>
  <c r="ET12" i="1"/>
  <c r="BY24" i="1"/>
  <c r="CC26" i="1"/>
  <c r="ET174" i="1"/>
  <c r="CY106" i="1"/>
  <c r="CY115" i="1"/>
  <c r="CZ116" i="1" s="1"/>
  <c r="CY109" i="1"/>
  <c r="BR174" i="1"/>
  <c r="BY174" i="1"/>
  <c r="CZ186" i="1"/>
  <c r="ET106" i="1"/>
  <c r="BV10" i="1"/>
  <c r="CA109" i="1"/>
  <c r="CY108" i="1"/>
  <c r="BT26" i="1"/>
  <c r="CW176" i="1"/>
  <c r="BR98" i="1"/>
  <c r="BT117" i="1"/>
  <c r="BT14" i="1"/>
  <c r="CC109" i="1"/>
  <c r="BY23" i="1"/>
  <c r="ET109" i="1"/>
  <c r="BZ84" i="1"/>
  <c r="BZ131" i="1" s="1"/>
  <c r="ET71" i="1"/>
  <c r="ET157" i="1"/>
  <c r="ET60" i="1"/>
  <c r="CZ22" i="1"/>
  <c r="CZ19" i="1"/>
  <c r="CX27" i="1"/>
  <c r="BY87" i="1"/>
  <c r="CY103" i="1"/>
  <c r="CZ103" i="1" s="1"/>
  <c r="CY86" i="1"/>
  <c r="CZ87" i="1" s="1"/>
  <c r="BY103" i="1"/>
  <c r="ET86" i="1"/>
  <c r="ET103" i="1"/>
  <c r="BY168" i="1"/>
  <c r="CZ21" i="1"/>
  <c r="CZ30" i="1"/>
  <c r="BR100" i="1"/>
  <c r="DM191" i="1"/>
  <c r="CZ36" i="1"/>
  <c r="CZ31" i="1"/>
  <c r="CZ122" i="1"/>
  <c r="CX37" i="1"/>
  <c r="CW98" i="1"/>
  <c r="ET129" i="1"/>
  <c r="CZ14" i="1"/>
  <c r="CX24" i="1"/>
  <c r="CZ27" i="1"/>
  <c r="BY99" i="1"/>
  <c r="CY98" i="1"/>
  <c r="CZ99" i="1" s="1"/>
  <c r="ET114" i="1"/>
  <c r="CY114" i="1"/>
  <c r="DQ190" i="1"/>
  <c r="CY168" i="1"/>
  <c r="CZ168" i="1" s="1"/>
  <c r="CZ126" i="1"/>
  <c r="EK136" i="1"/>
  <c r="CZ37" i="1"/>
  <c r="ET16" i="1"/>
  <c r="ED191" i="1"/>
  <c r="BR115" i="1"/>
  <c r="CZ8" i="1"/>
  <c r="BR114" i="1"/>
  <c r="CX34" i="1"/>
  <c r="CX13" i="1"/>
  <c r="CX19" i="1"/>
  <c r="ED190" i="1"/>
  <c r="CX12" i="1"/>
  <c r="ET130" i="1"/>
  <c r="CZ88" i="1"/>
  <c r="CZ162" i="1"/>
  <c r="CZ123" i="1"/>
  <c r="BY114" i="1"/>
  <c r="BY130" i="1"/>
  <c r="CZ9" i="1"/>
  <c r="CX9" i="1"/>
  <c r="DP40" i="1"/>
  <c r="ET98" i="1"/>
  <c r="CY129" i="1"/>
  <c r="CZ130" i="1" s="1"/>
  <c r="BR99" i="1"/>
  <c r="CZ25" i="1"/>
  <c r="CZ20" i="1"/>
  <c r="BY17" i="1"/>
  <c r="CX21" i="1"/>
  <c r="CX31" i="1"/>
  <c r="BR169" i="1"/>
  <c r="CX30" i="1"/>
  <c r="ED81" i="1"/>
  <c r="ED40" i="1"/>
  <c r="EK3" i="1"/>
  <c r="CZ164" i="1"/>
  <c r="CW168" i="1"/>
  <c r="BR105" i="1"/>
  <c r="EK44" i="1"/>
  <c r="BR106" i="1"/>
  <c r="BY16" i="1"/>
  <c r="ED39" i="1"/>
  <c r="ED80" i="1"/>
  <c r="DM80" i="1"/>
  <c r="DM39" i="1"/>
  <c r="CX38" i="1"/>
  <c r="DL40" i="1"/>
  <c r="DS40" i="1"/>
  <c r="CZ102" i="1"/>
  <c r="ET168" i="1"/>
  <c r="CX8" i="1"/>
  <c r="DR131" i="1"/>
  <c r="CZ35" i="1"/>
  <c r="CZ34" i="1"/>
  <c r="BR157" i="1"/>
  <c r="CX20" i="1"/>
  <c r="CZ58" i="1"/>
  <c r="CW157" i="1"/>
  <c r="DR84" i="1"/>
  <c r="DR3" i="1"/>
  <c r="DR39" i="1" s="1"/>
  <c r="DR132" i="1"/>
  <c r="CX35" i="1"/>
  <c r="BY119" i="1"/>
  <c r="BR124" i="1"/>
  <c r="ET123" i="1"/>
  <c r="BR2" i="1"/>
  <c r="DQ40" i="1"/>
  <c r="BY1" i="1"/>
  <c r="BX3" i="1"/>
  <c r="BX39" i="1" s="1"/>
  <c r="BZ1" i="1"/>
  <c r="BR82" i="1"/>
  <c r="BR123" i="1"/>
  <c r="BR16" i="1"/>
  <c r="BR1" i="1"/>
  <c r="CZ112" i="1"/>
  <c r="BX84" i="1"/>
  <c r="BX131" i="1" s="1"/>
  <c r="DP80" i="1"/>
  <c r="BR17" i="1"/>
  <c r="BS3" i="1"/>
  <c r="BS40" i="1" s="1"/>
  <c r="CZ121" i="1"/>
  <c r="BR72" i="1"/>
  <c r="BR71" i="1"/>
  <c r="CW71" i="1"/>
  <c r="ET22" i="1"/>
  <c r="BT2" i="1"/>
  <c r="CZ38" i="1"/>
  <c r="ET4" i="1"/>
  <c r="BV1" i="1"/>
  <c r="DL80" i="1"/>
  <c r="BY82" i="1"/>
  <c r="BV2" i="1"/>
  <c r="CW4" i="1"/>
  <c r="CX5" i="1" s="1"/>
  <c r="BU3" i="1"/>
  <c r="BU40" i="1" s="1"/>
  <c r="CZ185" i="1"/>
  <c r="BZ82" i="1"/>
  <c r="BQ3" i="1"/>
  <c r="BQ39" i="1" s="1"/>
  <c r="BY118" i="1"/>
  <c r="BT1" i="1"/>
  <c r="BS82" i="1"/>
  <c r="CB3" i="1"/>
  <c r="CB39" i="1" s="1"/>
  <c r="BQ84" i="1"/>
  <c r="BQ132" i="1" s="1"/>
  <c r="BR118" i="1"/>
  <c r="BZ3" i="1"/>
  <c r="BZ39" i="1" s="1"/>
  <c r="CZ16" i="1"/>
  <c r="CY4" i="1"/>
  <c r="CZ5" i="1" s="1"/>
  <c r="CY60" i="1"/>
  <c r="BY61" i="1"/>
  <c r="BY60" i="1"/>
  <c r="CY153" i="1"/>
  <c r="CZ153" i="1" s="1"/>
  <c r="BY153" i="1"/>
  <c r="BY29" i="1"/>
  <c r="CY28" i="1"/>
  <c r="CZ29" i="1" s="1"/>
  <c r="ET153" i="1"/>
  <c r="CW153" i="1"/>
  <c r="BR153" i="1"/>
  <c r="BR96" i="1"/>
  <c r="CW95" i="1"/>
  <c r="ET95" i="1"/>
  <c r="BR29" i="1"/>
  <c r="BR28" i="1"/>
  <c r="ET28" i="1"/>
  <c r="CW28" i="1"/>
  <c r="BY96" i="1"/>
  <c r="CY95" i="1"/>
  <c r="CZ96" i="1" s="1"/>
  <c r="CW79" i="1"/>
  <c r="ET79" i="1"/>
  <c r="BR79" i="1"/>
  <c r="CZ127" i="1"/>
  <c r="DR154" i="1"/>
  <c r="DR136" i="1" s="1"/>
  <c r="DR191" i="1" s="1"/>
  <c r="BX154" i="1"/>
  <c r="BZ134" i="1" s="1"/>
  <c r="BQ154" i="1"/>
  <c r="BS134" i="1" s="1"/>
  <c r="CY73" i="1"/>
  <c r="BY74" i="1"/>
  <c r="BY73" i="1"/>
  <c r="CY79" i="1"/>
  <c r="CZ79" i="1" s="1"/>
  <c r="BY79" i="1"/>
  <c r="ET73" i="1"/>
  <c r="BR74" i="1"/>
  <c r="BR73" i="1"/>
  <c r="CW73" i="1"/>
  <c r="ET118" i="1"/>
  <c r="CW118" i="1"/>
  <c r="CY94" i="1"/>
  <c r="BY94" i="1"/>
  <c r="BY95" i="1"/>
  <c r="CW147" i="1"/>
  <c r="ET147" i="1"/>
  <c r="BR147" i="1"/>
  <c r="BR148" i="1"/>
  <c r="BY70" i="1"/>
  <c r="BY71" i="1"/>
  <c r="CY70" i="1"/>
  <c r="ET32" i="1"/>
  <c r="BR33" i="1"/>
  <c r="BR32" i="1"/>
  <c r="CW32" i="1"/>
  <c r="CA23" i="1"/>
  <c r="CA22" i="1"/>
  <c r="CY171" i="1"/>
  <c r="BY171" i="1"/>
  <c r="BY172" i="1"/>
  <c r="ET10" i="1"/>
  <c r="BT10" i="1"/>
  <c r="BT11" i="1"/>
  <c r="CW10" i="1"/>
  <c r="CW149" i="1"/>
  <c r="BR149" i="1"/>
  <c r="BR150" i="1"/>
  <c r="ET149" i="1"/>
  <c r="ET171" i="1"/>
  <c r="BR172" i="1"/>
  <c r="BR171" i="1"/>
  <c r="CW171" i="1"/>
  <c r="BR94" i="1"/>
  <c r="ET94" i="1"/>
  <c r="BR95" i="1"/>
  <c r="CW94" i="1"/>
  <c r="CA11" i="1"/>
  <c r="CA10" i="1"/>
  <c r="CY10" i="1"/>
  <c r="CY46" i="1"/>
  <c r="CZ47" i="1" s="1"/>
  <c r="BY32" i="1"/>
  <c r="CY32" i="1"/>
  <c r="BY33" i="1"/>
  <c r="ET110" i="1"/>
  <c r="CW110" i="1"/>
  <c r="BR111" i="1"/>
  <c r="CY147" i="1"/>
  <c r="BY147" i="1"/>
  <c r="BY148" i="1"/>
  <c r="CW70" i="1"/>
  <c r="ET70" i="1"/>
  <c r="BR70" i="1"/>
  <c r="ET46" i="1"/>
  <c r="CW46" i="1"/>
  <c r="BT23" i="1"/>
  <c r="BT22" i="1"/>
  <c r="CY110" i="1"/>
  <c r="CZ111" i="1" s="1"/>
  <c r="BY111" i="1"/>
  <c r="BY110" i="1"/>
  <c r="BY150" i="1"/>
  <c r="CY149" i="1"/>
  <c r="BY149" i="1"/>
  <c r="BX45" i="1"/>
  <c r="DR45" i="1"/>
  <c r="DR44" i="1" s="1"/>
  <c r="DR80" i="1" s="1"/>
  <c r="BQ45" i="1"/>
  <c r="BR46" i="1" s="1"/>
  <c r="BJ44" i="1"/>
  <c r="CZ105" i="1"/>
  <c r="CX14" i="1"/>
  <c r="CX36" i="1"/>
  <c r="CZ15" i="1"/>
  <c r="CX15" i="1"/>
  <c r="CX16" i="1"/>
  <c r="CZ89" i="1"/>
  <c r="CZ128" i="1"/>
  <c r="CW158" i="1"/>
  <c r="ET158" i="1"/>
  <c r="BR159" i="1"/>
  <c r="BR158" i="1"/>
  <c r="BS131" i="1"/>
  <c r="BS132" i="1"/>
  <c r="CZ119" i="1"/>
  <c r="CZ120" i="1"/>
  <c r="CZ124" i="1"/>
  <c r="CZ125" i="1"/>
  <c r="CZ48" i="1"/>
  <c r="CX22" i="1"/>
  <c r="CX23" i="1"/>
  <c r="CZ107" i="1"/>
  <c r="BU132" i="1"/>
  <c r="BU131" i="1"/>
  <c r="CZ100" i="1"/>
  <c r="CZ26" i="1"/>
  <c r="CZ106" i="1"/>
  <c r="BY146" i="1"/>
  <c r="CY145" i="1"/>
  <c r="BY145" i="1"/>
  <c r="CZ18" i="1"/>
  <c r="CZ17" i="1"/>
  <c r="BY158" i="1"/>
  <c r="CY158" i="1"/>
  <c r="BY159" i="1"/>
  <c r="CX25" i="1"/>
  <c r="CX26" i="1"/>
  <c r="CB131" i="1"/>
  <c r="CB132" i="1"/>
  <c r="CZ90" i="1"/>
  <c r="CZ91" i="1"/>
  <c r="ET145" i="1"/>
  <c r="BR145" i="1"/>
  <c r="CW145" i="1"/>
  <c r="BR146" i="1"/>
  <c r="CZ113" i="1"/>
  <c r="CZ64" i="1"/>
  <c r="CZ65" i="1"/>
  <c r="CX18" i="1"/>
  <c r="CX17" i="1"/>
  <c r="CZ157" i="1"/>
  <c r="CZ156" i="1"/>
  <c r="CZ118" i="1"/>
  <c r="CZ117" i="1"/>
  <c r="CZ92" i="1"/>
  <c r="CZ93" i="1"/>
  <c r="CX6" i="1"/>
  <c r="CX7" i="1"/>
  <c r="CZ6" i="1"/>
  <c r="CZ7" i="1"/>
  <c r="DQ80" i="1" l="1"/>
  <c r="CZ23" i="1"/>
  <c r="CZ115" i="1"/>
  <c r="BZ132" i="1"/>
  <c r="CZ109" i="1"/>
  <c r="CZ108" i="1"/>
  <c r="CZ13" i="1"/>
  <c r="BQ1" i="1"/>
  <c r="DN40" i="1"/>
  <c r="CZ86" i="1"/>
  <c r="CZ104" i="1"/>
  <c r="DR40" i="1"/>
  <c r="CZ114" i="1"/>
  <c r="CZ98" i="1"/>
  <c r="CZ169" i="1"/>
  <c r="BQ40" i="1"/>
  <c r="DN191" i="1"/>
  <c r="BX40" i="1"/>
  <c r="BS1" i="1"/>
  <c r="CZ129" i="1"/>
  <c r="BX1" i="1"/>
  <c r="DN81" i="1"/>
  <c r="CZ28" i="1"/>
  <c r="BU39" i="1"/>
  <c r="CB40" i="1"/>
  <c r="BS39" i="1"/>
  <c r="BQ82" i="1"/>
  <c r="BP132" i="1"/>
  <c r="BQ131" i="1"/>
  <c r="BP131" i="1" s="1"/>
  <c r="BQ136" i="1"/>
  <c r="BQ190" i="1" s="1"/>
  <c r="BP190" i="1" s="1"/>
  <c r="BP39" i="1"/>
  <c r="BY131" i="1"/>
  <c r="BY39" i="1"/>
  <c r="BX132" i="1"/>
  <c r="BW132" i="1" s="1"/>
  <c r="BW131" i="1"/>
  <c r="BR134" i="1"/>
  <c r="BQ134" i="1" s="1"/>
  <c r="BZ40" i="1"/>
  <c r="BW39" i="1"/>
  <c r="BY132" i="1"/>
  <c r="BP40" i="1"/>
  <c r="BX82" i="1"/>
  <c r="BY40" i="1"/>
  <c r="BU1" i="1"/>
  <c r="CY3" i="1"/>
  <c r="CY40" i="1" s="1"/>
  <c r="CY132" i="1"/>
  <c r="BX136" i="1"/>
  <c r="BX191" i="1" s="1"/>
  <c r="BW191" i="1" s="1"/>
  <c r="CX82" i="1"/>
  <c r="CW3" i="1"/>
  <c r="BY134" i="1"/>
  <c r="BX134" i="1" s="1"/>
  <c r="CX1" i="1"/>
  <c r="CY1" i="1"/>
  <c r="CZ61" i="1"/>
  <c r="CZ60" i="1"/>
  <c r="CY84" i="1"/>
  <c r="CY131" i="1"/>
  <c r="CW131" i="1"/>
  <c r="CY82" i="1"/>
  <c r="CX29" i="1"/>
  <c r="CX28" i="1"/>
  <c r="CW132" i="1"/>
  <c r="CZ74" i="1"/>
  <c r="CZ73" i="1"/>
  <c r="CW84" i="1"/>
  <c r="ET154" i="1"/>
  <c r="CW154" i="1"/>
  <c r="CY134" i="1" s="1"/>
  <c r="BR155" i="1"/>
  <c r="BR154" i="1"/>
  <c r="BY155" i="1"/>
  <c r="BY154" i="1"/>
  <c r="CY154" i="1"/>
  <c r="CY136" i="1" s="1"/>
  <c r="CZ172" i="1"/>
  <c r="CZ171" i="1"/>
  <c r="CZ94" i="1"/>
  <c r="CZ95" i="1"/>
  <c r="DR81" i="1"/>
  <c r="CY45" i="1"/>
  <c r="CZ46" i="1" s="1"/>
  <c r="BX44" i="1"/>
  <c r="BY42" i="1"/>
  <c r="BZ42" i="1"/>
  <c r="BY46" i="1"/>
  <c r="CZ147" i="1"/>
  <c r="CZ148" i="1"/>
  <c r="CX11" i="1"/>
  <c r="CX10" i="1"/>
  <c r="CW45" i="1"/>
  <c r="ET45" i="1"/>
  <c r="BQ44" i="1"/>
  <c r="BR42" i="1"/>
  <c r="BR43" i="1"/>
  <c r="CZ150" i="1"/>
  <c r="CZ149" i="1"/>
  <c r="CZ33" i="1"/>
  <c r="CZ32" i="1"/>
  <c r="CZ10" i="1"/>
  <c r="CZ11" i="1"/>
  <c r="CX32" i="1"/>
  <c r="CX33" i="1"/>
  <c r="CZ70" i="1"/>
  <c r="CZ71" i="1"/>
  <c r="CZ110" i="1"/>
  <c r="DR190" i="1"/>
  <c r="CZ146" i="1"/>
  <c r="CZ145" i="1"/>
  <c r="CZ159" i="1"/>
  <c r="CZ158" i="1"/>
  <c r="BW40" i="1" l="1"/>
  <c r="FE4" i="1"/>
  <c r="CW39" i="1"/>
  <c r="FC4" i="1"/>
  <c r="BQ191" i="1"/>
  <c r="BP191" i="1" s="1"/>
  <c r="BR137" i="1"/>
  <c r="CC1" i="1"/>
  <c r="CC82" i="1"/>
  <c r="EZ4" i="1" s="1"/>
  <c r="CW40" i="1"/>
  <c r="CY39" i="1"/>
  <c r="CW1" i="1"/>
  <c r="BX190" i="1"/>
  <c r="BW190" i="1" s="1"/>
  <c r="CW136" i="1"/>
  <c r="CW82" i="1"/>
  <c r="BY191" i="1"/>
  <c r="CX134" i="1"/>
  <c r="CW134" i="1" s="1"/>
  <c r="BY190" i="1"/>
  <c r="CZ154" i="1"/>
  <c r="CZ155" i="1"/>
  <c r="BQ42" i="1"/>
  <c r="CW80" i="1"/>
  <c r="CW44" i="1"/>
  <c r="CW81" i="1"/>
  <c r="CY42" i="1"/>
  <c r="CX42" i="1"/>
  <c r="BX42" i="1"/>
  <c r="BX80" i="1"/>
  <c r="BW80" i="1" s="1"/>
  <c r="BX81" i="1"/>
  <c r="BW81" i="1" s="1"/>
  <c r="BQ81" i="1"/>
  <c r="BP81" i="1" s="1"/>
  <c r="BQ80" i="1"/>
  <c r="BP80" i="1"/>
  <c r="BY81" i="1"/>
  <c r="BY80" i="1"/>
  <c r="CY80" i="1"/>
  <c r="CY44" i="1"/>
  <c r="CY81" i="1"/>
  <c r="CY190" i="1"/>
  <c r="CY191" i="1"/>
  <c r="CW191" i="1" l="1"/>
  <c r="FF4" i="1"/>
  <c r="FD4" i="1"/>
  <c r="EV4" i="1"/>
  <c r="CC134" i="1"/>
  <c r="CC42" i="1"/>
  <c r="EX4" i="1" s="1"/>
  <c r="CW190" i="1"/>
  <c r="CW42" i="1"/>
  <c r="FB4" i="1" l="1"/>
</calcChain>
</file>

<file path=xl/sharedStrings.xml><?xml version="1.0" encoding="utf-8"?>
<sst xmlns="http://schemas.openxmlformats.org/spreadsheetml/2006/main" count="9493" uniqueCount="9252">
  <si>
    <t>/ES:XCME</t>
  </si>
  <si>
    <t>OPEN_INT</t>
  </si>
  <si>
    <t>QQQ</t>
  </si>
  <si>
    <t>/NQ:XCME</t>
  </si>
  <si>
    <t>0DTE</t>
  </si>
  <si>
    <t>NEXT_FRIDAY</t>
  </si>
  <si>
    <t>NEXT_OPEX</t>
  </si>
  <si>
    <t>VOLUME</t>
  </si>
  <si>
    <t>ABS</t>
  </si>
  <si>
    <t>SPX</t>
  </si>
  <si>
    <t>SPXW</t>
  </si>
  <si>
    <t>GAMMA</t>
  </si>
  <si>
    <t>NET OI</t>
  </si>
  <si>
    <t>SPY</t>
  </si>
  <si>
    <t>NDX</t>
  </si>
  <si>
    <t>NET VOL</t>
  </si>
  <si>
    <t>VOL C-P</t>
  </si>
  <si>
    <t>CALL</t>
  </si>
  <si>
    <t>PUTS</t>
  </si>
  <si>
    <t>DELTA</t>
  </si>
  <si>
    <t>DEX</t>
  </si>
  <si>
    <t>IMPL_VOL</t>
  </si>
  <si>
    <t>E:\GEX\Sync</t>
  </si>
  <si>
    <t xml:space="preserve">=SI(Put_Last &lt;= Put_Bid + (Put_Ask - Put_Bid)*0.4, "BUY", SI(Put_Last &gt;= Put_Bid + (Put_Ask - Put_Bid)*0.6, "SELL", "NEUTRAL"))
</t>
  </si>
  <si>
    <t xml:space="preserve">=SI(Call_Last &gt;= Call_Bid + (Call_Ask - Call_Bid)*0.6, "BUY", SI(Call_Last &lt;= Call_Bid + (Call_Ask - Call_Bid)*0.4, "SELL", "NEUTRAL"))
</t>
  </si>
  <si>
    <t>LAST</t>
  </si>
  <si>
    <t>BID</t>
  </si>
  <si>
    <t>ASK</t>
  </si>
  <si>
    <t>C_VOLPRESS</t>
  </si>
  <si>
    <t>P_VOLPRESS</t>
  </si>
  <si>
    <t>BUYCAL</t>
  </si>
  <si>
    <t>BUYPUT</t>
  </si>
  <si>
    <t>VOLPRESS</t>
  </si>
  <si>
    <t>BUYSEL</t>
  </si>
  <si>
    <t>PREM_VOLPRE</t>
  </si>
  <si>
    <t>PREM_BUYSELL</t>
  </si>
  <si>
    <t>GAMM_BUYSELL</t>
  </si>
  <si>
    <t>spy</t>
  </si>
  <si>
    <t>qqq</t>
  </si>
  <si>
    <t>spx</t>
  </si>
  <si>
    <t>ndx</t>
  </si>
  <si>
    <t>DELTA_BUYSELL</t>
  </si>
  <si>
    <t>CALLFLOW</t>
  </si>
  <si>
    <t>PUTFLOW</t>
  </si>
  <si>
    <t>CALLPRES</t>
  </si>
  <si>
    <t>BUYPRESS</t>
  </si>
  <si>
    <t>NETPRESS</t>
  </si>
  <si>
    <t>NETFLOW</t>
  </si>
  <si>
    <t>PREM_FLOW</t>
  </si>
  <si>
    <t>PREM_PRESS</t>
  </si>
  <si>
    <t>GAMMA_FLOW</t>
  </si>
  <si>
    <t>DELTA_FLOW</t>
  </si>
  <si>
    <t>spy_flow</t>
  </si>
  <si>
    <t>qqq_flow</t>
  </si>
  <si>
    <t>spx_flow</t>
  </si>
  <si>
    <t>ndx_flow</t>
  </si>
  <si>
    <t>CALLINVENTORY</t>
  </si>
  <si>
    <t>PUT INVENTORY</t>
  </si>
  <si>
    <t>NDXP</t>
  </si>
  <si>
    <t>2025-05-11 18:05:00,580,,570,,580,,563.5,,,565,,580,550,570,564</t>
  </si>
  <si>
    <t>2025-05-11 18:05:00,500,,,485,470,,488,,,,,500,480,499,488</t>
  </si>
  <si>
    <t>2025-05-11 18:05:00,,5500,,5550,,5800,5660,,,5650,,5800,5550,5590,5650</t>
  </si>
  <si>
    <t>2025-05-11 18:05:00,20100,,20275,,19500,,20175,,,,,20500,19400,19800,19500</t>
  </si>
  <si>
    <t>2025-05-11 18:05:00,1285333188.11066,3090608149.05183,477530.378929399,968189,2247220.77884198,3935100.19,26969.9213570927,520860.05</t>
  </si>
  <si>
    <t>2025-05-11 18:05:00,722002055.350234,-26357066.9705508,474642.705144028,941482,1810356.55470426,2903827.24,15581.5476957511,419436.05</t>
  </si>
  <si>
    <t>2025-05-11 18:05:00,-8133271.05322562,-9349498.45686422,4913223.8354046,1028291,133213715.183911,26294466.09,-246.961756682742,387171.84</t>
  </si>
  <si>
    <t>2025-05-11 18:05:00,43148537.7890492,33176.4317678441,-10755.8119243551,-397,-1633524.38281098,-303522.79,-10.1993805234852,-1029.43</t>
  </si>
  <si>
    <t>2025-05-11 18:06:00,580,,570,,580,,563.5,,,,565,580,550,,</t>
  </si>
  <si>
    <t>2025-05-11 18:06:00,500,,,485,470,,488,,,,,500,480,,0</t>
  </si>
  <si>
    <t>2025-05-11 18:06:00,,5500,,5550,,5800,5660,,,,,5800,5550,,</t>
  </si>
  <si>
    <t>2025-05-11 18:06:00,20100,,20275,,19500,,20175,,,,,20500,19400,,</t>
  </si>
  <si>
    <t>2025-05-11 18:06:00,1285362163.54314,3091126756.37709,832.039019315231,-234129,-363043.260813516,-746398.06,-3488.104584397,-95431.34</t>
  </si>
  <si>
    <t>2025-05-11 18:06:00,722088597.955966,-26304185.7300622,-194733.210337039,-290052,-414592.496298681,-696370.01,-1091.80842309636,-103033.1</t>
  </si>
  <si>
    <t>2025-05-11 18:06:00,-8133678.27048648,-9349559.71810596,-357735.792802342,-122581,-7539655.35052112,-1877081.67,5.4994954569492,-28041.82</t>
  </si>
  <si>
    <t>2025-05-11 18:06:00,43156186.640298,33207.1392483831,1126.36711001091,287,166234.587848031,46979.64,0.767260608001661,175.19</t>
  </si>
  <si>
    <t>2025-05-11 18:07:00,580,,570,,580,,563.5,,,,,580,550,,</t>
  </si>
  <si>
    <t>2025-05-11 18:07:00,500,,,485,470,,488,,,,,500,480,,0</t>
  </si>
  <si>
    <t>2025-05-11 18:07:00,,5500,,5550,,5800,5660,,,,,5800,5550,,</t>
  </si>
  <si>
    <t>2025-05-11 18:07:00,20100,,20275,,19500,,20175,,,,,20500,19400,,</t>
  </si>
  <si>
    <t>2025-05-11 18:07:00,1285439523.39893,3091053014.21169,0,0,0,0,0,0</t>
  </si>
  <si>
    <t>2025-05-11 18:07:00,722068472.720367,-26345976.1245449,0,0,0,0,0,0</t>
  </si>
  <si>
    <t>2025-05-11 18:07:00,-8135017.2951376,-9349132.00408124,0,0,0,0,0,0</t>
  </si>
  <si>
    <t>2025-05-11 18:07:00,43152043.5782825,33184.6791058142,0,0,0,0,0,0</t>
  </si>
  <si>
    <t>2025-05-11 18:08:00,580,,570,,580,,563.5,,,,,580,550,,</t>
  </si>
  <si>
    <t>2025-05-11 18:08:00,500,,,485,470,,488,,,,,500,480,,0</t>
  </si>
  <si>
    <t>2025-05-11 18:08:00,,5500,,5550,,5800,5660,,,,,5800,5550,,</t>
  </si>
  <si>
    <t>2025-05-11 18:08:00,20100,,20275,,19500,,20175,,,,,20500,19400,,</t>
  </si>
  <si>
    <t>2025-05-11 18:08:00,1285465850.34572,3091524982.08606,0,0,0,0,0,0</t>
  </si>
  <si>
    <t>2025-05-11 18:08:00,722147195.67542,-26297825.3813361,0,0,0,0,0,0</t>
  </si>
  <si>
    <t>2025-05-11 18:08:00,-8135387.84527065,-9349187.11806705,0,0,0,0,0,0</t>
  </si>
  <si>
    <t>2025-05-11 18:08:00,43159003.6618478,33212.6270663206,0,0,0,0,0,0</t>
  </si>
  <si>
    <t>2025-05-11 18:09:00,580,,570,,580,,563.5,,,,,580,550,,</t>
  </si>
  <si>
    <t>2025-05-11 18:09:00,500,,,485,470,,488,,,,,500,480,,0</t>
  </si>
  <si>
    <t>2025-05-11 18:09:00,,5500,,5550,,5800,5660,,,,,5800,5550,,</t>
  </si>
  <si>
    <t>2025-05-11 18:09:00,20100,,20275,,19500,,20175,,,,,20500,19400,,</t>
  </si>
  <si>
    <t>2025-05-11 18:09:00,1285505314.95852,3091072213.5265,0,0,0,0,0,0</t>
  </si>
  <si>
    <t>2025-05-11 18:09:00,721902257.010052,-26395613.0554682,0,0,0,0,0,0</t>
  </si>
  <si>
    <t>2025-05-11 18:09:00,-8137478.32066222,-9351834.24772157,0,0,0,0,0,0</t>
  </si>
  <si>
    <t>2025-05-11 18:09:00,43155823.076764,33187.9285768623,0,0,0,0,0,0</t>
  </si>
  <si>
    <t>2025-05-11 18:10:00,580,,570,,580,,563.5,,,,,580,550,,</t>
  </si>
  <si>
    <t>2025-05-11 18:10:00,500,,,485,470,,488,,,,,500,480,,0</t>
  </si>
  <si>
    <t>2025-05-11 18:10:00,,5500,,5550,,5800,5660,,,,,5800,5550,,</t>
  </si>
  <si>
    <t>2025-05-11 18:10:00,20100,,20275,,19500,,20175,,,,,20500,19400,,</t>
  </si>
  <si>
    <t>2025-05-11 18:10:00,1285173200.57161,3090391136.47242,0,0,0,0,0,0</t>
  </si>
  <si>
    <t>2025-05-11 18:10:00,721927806.378851,-26440512.5633936,0,0,0,0,0,0</t>
  </si>
  <si>
    <t>2025-05-11 18:10:00,-8135485.54542873,-9353399.35158219,0,0,0,0,0,0</t>
  </si>
  <si>
    <t>2025-05-11 18:10:00,43154141.1604553,33174.8157401905,0,0,0,0,0,0</t>
  </si>
  <si>
    <t>2025-05-11 18:11:00,580,,570,,580,,563.5,,,,,580,550,,</t>
  </si>
  <si>
    <t>2025-05-11 18:11:00,500,,,485,470,,488,,,,,500,480,,0</t>
  </si>
  <si>
    <t>2025-05-11 18:11:00,,5500,,5550,,5800,5660,,,,,5800,5550,,</t>
  </si>
  <si>
    <t>2025-05-11 18:11:00,20100,,20275,,19500,,20175,,,,,20500,19400,,</t>
  </si>
  <si>
    <t>2025-05-11 18:11:00,1285203114.09176,3090929259.42252,0,0,0,0,0,0</t>
  </si>
  <si>
    <t>2025-05-11 18:11:00,722017484.986166,-26385605.5661398,0,0,0,0,0,0</t>
  </si>
  <si>
    <t>2025-05-11 18:11:00,-8135905.50709321,-9353462.8144402,0,0,0,0,0,0</t>
  </si>
  <si>
    <t>2025-05-11 18:11:00,43162075.8304401,33206.6818676859,0,0,0,0,0,0</t>
  </si>
  <si>
    <t>2025-05-11 18:12:00,580,,570,,580,,563.5,,,,,580,550,,</t>
  </si>
  <si>
    <t>2025-05-11 18:12:00,500,,,485,470,,488,,,,,500,480,,0</t>
  </si>
  <si>
    <t>2025-05-11 18:12:00,,5500,,5550,,5800,5660,,,,,5800,5550,,</t>
  </si>
  <si>
    <t>2025-05-11 18:12:00,20100,,20275,,19500,,20175,,,,,20500,19400,,</t>
  </si>
  <si>
    <t>2025-05-11 18:12:00,1285462063.01143,3090764081.52435,0,0,0,0,0,0</t>
  </si>
  <si>
    <t>2025-05-11 18:12:00,721941471.093845,-26462616.5387775,0,0,0,0,0,0</t>
  </si>
  <si>
    <t>2025-05-11 18:12:00,-8135986.70565446,-9353257.22789629,0,0,0,0,0,0</t>
  </si>
  <si>
    <t>2025-05-11 18:12:00,43153369.1297494,33182.9702410411,0,0,0,0,0,0</t>
  </si>
  <si>
    <t>2025-05-11 18:13:00,580,,570,,580,,563.5,,,,,580,550,,</t>
  </si>
  <si>
    <t>2025-05-11 18:13:00,500,,,485,470,,488,,,,,500,480,,0</t>
  </si>
  <si>
    <t>2025-05-11 18:13:00,,5500,,5550,,5800,5660,,,,,5800,5550,,</t>
  </si>
  <si>
    <t>2025-05-11 18:13:00,20100,,20275,,19500,,20175,,,,,20500,19400,,</t>
  </si>
  <si>
    <t>2025-05-11 18:13:00,1285487582.02783,3090416719.95129,0,0,0,0,0,0</t>
  </si>
  <si>
    <t>2025-05-11 18:13:00,721805316.594032,-26546185.392605,0,0,0,0,0,0</t>
  </si>
  <si>
    <t>2025-05-11 18:13:00,-8138621.41873566,-9353546.30861844,0,0,0,0,0,0</t>
  </si>
  <si>
    <t>2025-05-11 18:13:00,43148212.4805394,33159.1460273295,0,0,0,0,0,0</t>
  </si>
  <si>
    <t>2025-05-11 18:14:00,580,,570,,580,,563.5,,,,,580,550,,</t>
  </si>
  <si>
    <t>2025-05-11 18:14:00,500,,,485,470,,488,,,,,500,480,,0</t>
  </si>
  <si>
    <t>2025-05-11 18:14:00,,5500,,5550,,5800,5660,,,,,5800,5550,,</t>
  </si>
  <si>
    <t>2025-05-11 18:14:00,20100,,20275,,19500,,20175,,,,,20500,19400,,</t>
  </si>
  <si>
    <t>2025-05-11 18:14:00,1285514072.68987,3090892616.00816,0,0,0,0,0,0</t>
  </si>
  <si>
    <t>2025-05-11 18:14:00,721884474.274518,-26497703.9874083,0,0,0,0,0,0</t>
  </si>
  <si>
    <t>2025-05-11 18:14:00,-8138991.20530943,-9353599.97938805,0,0,0,0,0,0</t>
  </si>
  <si>
    <t>2025-05-11 18:14:00,43155221.217963,33187.3013433224,0,0,0,0,0,0</t>
  </si>
  <si>
    <t>2025-05-11 18:15:00,580,,570,,580,,563.5,,,,,580,550,,</t>
  </si>
  <si>
    <t>2025-05-11 18:15:00,500,,,485,470,,488,,,,,500,480,,0</t>
  </si>
  <si>
    <t>2025-05-11 18:15:00,,5500,,5550,,5800,5660,,,,,5800,5550,,</t>
  </si>
  <si>
    <t>2025-05-11 18:15:00,20100,,20275,,19500,,20175,,,,,20500,19400,,</t>
  </si>
  <si>
    <t>2025-05-11 18:15:00,1285388706.15177,3089941840.37973,0,0,0,0,0,0</t>
  </si>
  <si>
    <t>2025-05-11 18:15:00,721889076.904916,-26554458.1905603,0,0,0,0,0,0</t>
  </si>
  <si>
    <t>2025-05-11 18:15:00,-8138174.92046139,-9354507.89781537,0,0,0,0,0,0</t>
  </si>
  <si>
    <t>2025-05-11 18:15:00,43143371.9577959,33162.4684206425,0,0,0,0,0,0</t>
  </si>
  <si>
    <t>2025-05-11 18:16:00,580,,570,,580,,563.5,,,,,580,550,,</t>
  </si>
  <si>
    <t>2025-05-11 18:16:00,500,,,485,470,,488,,,,,500,480,,0</t>
  </si>
  <si>
    <t>2025-05-11 18:16:00,,5500,,5550,,5800,5660,,,,,5800,5550,,</t>
  </si>
  <si>
    <t>2025-05-11 18:16:00,20100,,20275,,19500,,20175,,,,,20500,19400,,</t>
  </si>
  <si>
    <t>2025-05-11 18:16:00,1285415981.0363,3090432926.06593,0,0,0,0,0,0</t>
  </si>
  <si>
    <t>2025-05-11 18:16:00,721970771.950993,-26504366.9730578,0,0,0,0,0,0</t>
  </si>
  <si>
    <t>2025-05-11 18:16:00,-8138555.87971205,-9354562.5228982,0,0,0,0,0,0</t>
  </si>
  <si>
    <t>2025-05-11 18:16:00,43150606.5797685,33191.5407278309,0,0,0,0,0,0</t>
  </si>
  <si>
    <t>2025-05-11 18:17:00,580,,570,,580,,563.5,,,,,580,550,,</t>
  </si>
  <si>
    <t>2025-05-11 18:17:00,500,,,485,470,,488,,,,,500,480,,0</t>
  </si>
  <si>
    <t>2025-05-11 18:17:00,,5500,,5550,,5800,5660,,,,,5800,5550,,</t>
  </si>
  <si>
    <t>2025-05-11 18:17:00,20100,,20275,,19500,,20175,,,,,20500,19400,,</t>
  </si>
  <si>
    <t>2025-05-11 18:17:00,1285454337.40357,3089993821.56477,0,0,0,0,0,0</t>
  </si>
  <si>
    <t>2025-05-11 18:17:00,721820083.832045,-26653263.9528983,0,0,0,0,0,0</t>
  </si>
  <si>
    <t>2025-05-11 18:17:00,-8140228.03102623,-9354085.16730057,0,0,0,0,0,0</t>
  </si>
  <si>
    <t>2025-05-11 18:17:00,43147510.9627835,33173.7120931147,0,0,0,0,0,0</t>
  </si>
  <si>
    <t>2025-05-11 18:18:00,580,,570,,580,,563.5,,,,,580,550,,</t>
  </si>
  <si>
    <t>2025-05-11 18:18:00,500,,,485,470,,488,,,,,500,480,,0</t>
  </si>
  <si>
    <t>2025-05-11 18:18:00,,5500,,5550,,5800,5660,,,,,5800,5550,,</t>
  </si>
  <si>
    <t>2025-05-11 18:18:00,20100,,20275,,19500,,20175,,,,,20500,19400,,</t>
  </si>
  <si>
    <t>2025-05-11 18:18:00,1285534270.19114,3089689887.6617,0,0,0,0,0,0</t>
  </si>
  <si>
    <t>2025-05-11 18:18:00,721673349.534151,-26593646.8164559,0,0,0,0,0,0</t>
  </si>
  <si>
    <t>2025-05-11 18:18:00,-8143161.74954216,-9355332.4110502,0,0,0,0,0,0</t>
  </si>
  <si>
    <t>2025-05-11 18:18:00,43145121.6612433,33149.6413584558,0,0,0,0,0,0</t>
  </si>
  <si>
    <t>2025-05-11 18:19:00,580,,570,,580,,563.5,,,,,580,550,,</t>
  </si>
  <si>
    <t>2025-05-11 18:19:00,500,,,485,470,,488,,,,,500,480,,0</t>
  </si>
  <si>
    <t>2025-05-11 18:19:00,,5500,,5550,,5800,5660,,,,,5800,5550,,</t>
  </si>
  <si>
    <t>2025-05-11 18:19:00,20100,,20275,,19500,,20175,,,,,20500,19400,,</t>
  </si>
  <si>
    <t>2025-05-11 18:19:00,1285562055.78966,3090190926.62157,0,0,0,0,0,0</t>
  </si>
  <si>
    <t>2025-05-11 18:19:00,721756600.267226,-26542534.7040107,0,0,0,0,0,0</t>
  </si>
  <si>
    <t>2025-05-11 18:19:00,-8143549.42395881,-9355387.76131957,0,0,0,0,0,0</t>
  </si>
  <si>
    <t>2025-05-11 18:19:00,43152501.1690611,33179.2976261532,0,0,0,0,0,0</t>
  </si>
  <si>
    <t>2025-05-11 18:20:00,580,,570,,580,,563.5,,,,,580,550,,</t>
  </si>
  <si>
    <t>2025-05-11 18:20:00,500,,,485,470,,488,,,,,500,480,,0</t>
  </si>
  <si>
    <t>2025-05-11 18:20:00,,5500,,5550,,5800,5660,,,,,5800,5550,,</t>
  </si>
  <si>
    <t>2025-05-11 18:20:00,20100,,20275,,19500,,20175,,,,,20500,19400,,</t>
  </si>
  <si>
    <t>2025-05-11 18:20:00,1285600868.91948,3089992720.65587,0,0,0,0,0,0</t>
  </si>
  <si>
    <t>2025-05-11 18:20:00,721773086.551686,-26708551.4377326,0,0,0,0,0,0</t>
  </si>
  <si>
    <t>2025-05-11 18:20:00,-8151677.74163441,-9358867.89156986,0,0,0,0,0,0</t>
  </si>
  <si>
    <t>2025-05-11 18:20:00,43146977.8348288,33159.7274215358,0,0,0,0,0,0</t>
  </si>
  <si>
    <t>2025-05-11 18:21:00,580,,570,,580,,563.5,,,,,580,550,,</t>
  </si>
  <si>
    <t>2025-05-11 18:21:00,500,,,485,470,,488,,,,,500,480,,0</t>
  </si>
  <si>
    <t>2025-05-11 18:21:00,,5500,,5550,,5800,5660,,,,,5800,5550,,</t>
  </si>
  <si>
    <t>2025-05-11 18:21:00,20100,,20275,,19500,,20175,,,,,20500,19400,,</t>
  </si>
  <si>
    <t>2025-05-11 18:21:00,1285453597.07904,3089115480.20991,0,0,0,0,0,0</t>
  </si>
  <si>
    <t>2025-05-11 18:21:00,721822381.924629,-26616788.9845693,0,0,0,0,0,0</t>
  </si>
  <si>
    <t>2025-05-11 18:21:00,-8162381.50499749,-9359348.4204942,0,0,0,0,0,0</t>
  </si>
  <si>
    <t>2025-05-11 18:21:00,43144762.5428279,33141.4239641215,0,0,0,0,0,0</t>
  </si>
  <si>
    <t>2025-05-11 18:22:00,580,,570,,580,,563.5,,,,,580,550,,</t>
  </si>
  <si>
    <t>2025-05-11 18:22:00,500,,,485,470,,488,,,,,500,480,,0</t>
  </si>
  <si>
    <t>2025-05-11 18:22:00,,5500,,5550,,5800,5660,,,,,5800,5550,,</t>
  </si>
  <si>
    <t>2025-05-11 18:22:00,20100,,20275,,19500,,20175,,,,,20500,19400,,</t>
  </si>
  <si>
    <t>2025-05-11 18:22:00,1285479884.3805,3089590559.80721,0,0,0,0,0,0</t>
  </si>
  <si>
    <t>2025-05-11 18:22:00,721901244.994157,-26568336.7736632,0,0,0,0,0,0</t>
  </si>
  <si>
    <t>2025-05-11 18:22:00,-8162748.67584689,-9359400.21674452,0,0,0,0,0,0</t>
  </si>
  <si>
    <t>2025-05-11 18:22:00,43151757.0549014,33169.5420341463,0,0,0,0,0,0</t>
  </si>
  <si>
    <t>2025-05-11 18:23:00,580,,570,,580,,563.5,,,,,580,550,,</t>
  </si>
  <si>
    <t>2025-05-11 18:23:00,500,,,485,470,,488,,,,,500,480,,0</t>
  </si>
  <si>
    <t>2025-05-11 18:23:00,,5500,,5550,,5800,5660,,,,,5800,5550,,</t>
  </si>
  <si>
    <t>2025-05-11 18:23:00,20100,,20275,,19500,,20175,,,,,20500,19400,,</t>
  </si>
  <si>
    <t>2025-05-11 18:23:00,1285550352.19983,3089232042.60486,0,0,0,0,0,0</t>
  </si>
  <si>
    <t>2025-05-11 18:23:00,721746420.098665,-26742828.9471381,0,0,0,0,0,0</t>
  </si>
  <si>
    <t>2025-05-11 18:23:00,-8157806.54259088,-9357844.32227071,0,0,0,0,0,0</t>
  </si>
  <si>
    <t>2025-05-11 18:23:00,43141605.2578774,33145.6819998522,0,0,0,0,0,0</t>
  </si>
  <si>
    <t>2025-05-11 18:24:00,580,,570,,580,,563.5,,,,,580,550,,</t>
  </si>
  <si>
    <t>2025-05-11 18:24:00,500,,,485,470,,488,,,,,500,480,,0</t>
  </si>
  <si>
    <t>2025-05-11 18:24:00,,5500,,5550,,5800,5660,,,,,5800,5550,,</t>
  </si>
  <si>
    <t>2025-05-11 18:24:00,20100,,20275,,19500,,20175,,,,,20500,19400,,</t>
  </si>
  <si>
    <t>2025-05-11 18:24:00,1285576821.60296,3089711167.06731,0,0,0,0,0,0</t>
  </si>
  <si>
    <t>2025-05-11 18:24:00,721825911.426246,-26693985.8973457,0,0,0,0,0,0</t>
  </si>
  <si>
    <t>2025-05-11 18:24:00,-8158175.75466343,-9357895.20429301,0,0,0,0,0,0</t>
  </si>
  <si>
    <t>2025-05-11 18:24:00,43148657.3133956,33174.0419735852,0,0,0,0,0,0</t>
  </si>
  <si>
    <t>2025-05-11 18:25:00,580,,570,,580,,563.5,,,,,580,550,,</t>
  </si>
  <si>
    <t>2025-05-11 18:25:00,500,,,485,470,,488,,,,,500,480,,0</t>
  </si>
  <si>
    <t>2025-05-11 18:25:00,,5500,,5550,,5800,5660,,,,,5800,5550,,</t>
  </si>
  <si>
    <t>2025-05-11 18:25:00,20100,,20275,,19500,,20175,,,,,20500,19400,,</t>
  </si>
  <si>
    <t>2025-05-11 18:25:00,1285721868.62843,3089100738.32887,0,0,0,0,0,0</t>
  </si>
  <si>
    <t>2025-05-11 18:25:00,721847234.340012,-26661270.5445979,0,0,0,0,0,0</t>
  </si>
  <si>
    <t>2025-05-11 18:25:00,-8154552.99013635,-9356623.60213165,0,0,0,0,0,0</t>
  </si>
  <si>
    <t>2025-05-11 18:25:00,43144717.0527179,33152.6631406499,0,0,0,0,0,0</t>
  </si>
  <si>
    <t>2025-05-11 18:26:00,580,,570,,580,,563.5,,,,,580,550,,</t>
  </si>
  <si>
    <t>2025-05-11 18:26:00,500,,,485,470,,488,,,,,500,480,,0</t>
  </si>
  <si>
    <t>2025-05-11 18:26:00,,5500,,5550,,5800,5660,,,,,5800,5550,,</t>
  </si>
  <si>
    <t>2025-05-11 18:26:00,20100,,20275,,19500,,20175,,,,,20500,19400,,</t>
  </si>
  <si>
    <t>2025-05-11 18:26:00,1285410139.35194,3088694753.55398,0,0,0,0,0,0</t>
  </si>
  <si>
    <t>2025-05-11 18:26:00,721771588.280901,-26823829.5279471,0,0,0,0,0,0</t>
  </si>
  <si>
    <t>2025-05-11 18:26:00,-8164823.19490545,-9361275.31605742,0,0,0,0,0,0</t>
  </si>
  <si>
    <t>2025-05-11 18:26:00,43141510.1865396,33131.5848020933,0,0,0,0,0,0</t>
  </si>
  <si>
    <t>2025-05-11 18:27:00,580,,570,,580,,563.5,,,,,580,550,,</t>
  </si>
  <si>
    <t>2025-05-11 18:27:00,500,,,485,470,,488,,,,,500,480,,0</t>
  </si>
  <si>
    <t>2025-05-11 18:27:00,,5500,,5550,,5800,5660,,,,,5800,5550,,</t>
  </si>
  <si>
    <t>2025-05-11 18:27:00,20100,,20275,,19500,,20175,,,,,20500,19400,,</t>
  </si>
  <si>
    <t>2025-05-11 18:27:00,1285436610.83455,3089175084.02509,0,0,0,0,0,0</t>
  </si>
  <si>
    <t>2025-05-11 18:27:00,721851186.305928,-26774895.2556974,0,0,0,0,0,0</t>
  </si>
  <si>
    <t>2025-05-11 18:27:00,-8165192.70109044,-9361325.96841504,0,0,0,0,0,0</t>
  </si>
  <si>
    <t>2025-05-11 18:27:00,43148577.5419147,33160.0091197285,0,0,0,0,0,0</t>
  </si>
  <si>
    <t>2025-05-11 18:28:00,580,,570,,580,,563.5,,,,,580,550,,</t>
  </si>
  <si>
    <t>2025-05-11 18:28:00,500,,,485,470,,488,,,,,500,480,,0</t>
  </si>
  <si>
    <t>2025-05-11 18:28:00,,5500,,5550,,5800,5660,,,,,5800,5550,,</t>
  </si>
  <si>
    <t>2025-05-11 18:28:00,20100,,20275,,19500,,20175,,,,,20500,19400,,</t>
  </si>
  <si>
    <t>2025-05-11 18:28:00,1285419772.8812,3088758197.46092,0,0,0,0,0,0</t>
  </si>
  <si>
    <t>2025-05-11 18:28:00,721701637.684198,-26745773.6913662,0,0,0,0,0,0</t>
  </si>
  <si>
    <t>2025-05-11 18:28:00,-8161849.89363758,-9362673.34254381,0,0,0,0,0,0</t>
  </si>
  <si>
    <t>2025-05-11 18:28:00,43142305.0550032,33137.2903551476,0,0,0,0,0,0</t>
  </si>
  <si>
    <t>2025-05-11 18:29:00,580,,570,,580,,563.5,,,,,580,550,,</t>
  </si>
  <si>
    <t>2025-05-11 18:29:00,500,,,485,470,,488,,,,,500,480,,0</t>
  </si>
  <si>
    <t>2025-05-11 18:29:00,,5500,,5550,,5800,5660,,,,,5800,5550,,</t>
  </si>
  <si>
    <t>2025-05-11 18:29:00,20100,,20275,,19500,,20175,,,,,20500,19400,,</t>
  </si>
  <si>
    <t>2025-05-11 18:29:00,1285446676.38668,3089246997.11625,0,0,0,0,0,0</t>
  </si>
  <si>
    <t>2025-05-11 18:29:00,721782606.502282,-26695886.6959267,0,0,0,0,0,0</t>
  </si>
  <si>
    <t>2025-05-11 18:29:00,-8162225.00396147,-9362725.28331452,0,0,0,0,0,0</t>
  </si>
  <si>
    <t>2025-05-11 18:29:00,43149495.7865113,33166.2178007199,0,0,0,0,0,0</t>
  </si>
  <si>
    <t>2025-05-11 18:30:00,580,,570,,580,,563.5,,,,,580,550,,</t>
  </si>
  <si>
    <t>2025-05-11 18:30:00,500,,,485,470,,488,,,,,500,480,,0</t>
  </si>
  <si>
    <t>2025-05-11 18:30:00,,5500,,5550,,5800,5660,,,,,5800,5550,,</t>
  </si>
  <si>
    <t>2025-05-11 18:30:00,20100,,20275,,19500,,20175,,,,,20500,19400,,</t>
  </si>
  <si>
    <t>2025-05-11 18:30:00,1285697333.58554,3089104038.574,0,0,0,0,0,0</t>
  </si>
  <si>
    <t>2025-05-11 18:30:00,721769663.603191,-26894118.8844088,0,0,0,0,0,0</t>
  </si>
  <si>
    <t>2025-05-11 18:30:00,-8157066.09719065,-9360720.37062238,0,0,0,0,0,0</t>
  </si>
  <si>
    <t>2025-05-11 18:30:00,43143544.498359,33147.6028469522,0,0,0,0,0,0</t>
  </si>
  <si>
    <t>2025-05-11 18:31:00,580,,570,,580,,563.5,,,,,580,550,,</t>
  </si>
  <si>
    <t>2025-05-11 18:31:00,500,,,485,470,,488,,,,,500,480,,0</t>
  </si>
  <si>
    <t>2025-05-11 18:31:00,,5500,,5550,,5800,5660,,,,,5800,5550,,</t>
  </si>
  <si>
    <t>2025-05-11 18:31:00,20100,,20275,,19500,,20175,,,,,20500,19400,,</t>
  </si>
  <si>
    <t>2025-05-11 18:31:00,1285568925.79909,3088536957.45779,0,0,0,0,0,0</t>
  </si>
  <si>
    <t>2025-05-11 18:31:00,721518306.954727,-26935797.7092413,0,0,0,0,0,0</t>
  </si>
  <si>
    <t>2025-05-11 18:31:00,-8165690.20288345,-9363073.03626524,0,0,0,0,0,0</t>
  </si>
  <si>
    <t>2025-05-11 18:31:00,43139748.5674387,33113.9255354894,0,0,0,0,0,0</t>
  </si>
  <si>
    <t>2025-05-11 18:32:00,580,,570,,580,,563.5,,,,,580,550,,</t>
  </si>
  <si>
    <t>2025-05-11 18:32:00,500,,,485,470,,488,,,,,500,480,,0</t>
  </si>
  <si>
    <t>2025-05-11 18:32:00,,5500,,5550,,5800,5660,,,,,5800,5550,,</t>
  </si>
  <si>
    <t>2025-05-11 18:32:00,20100,,20275,,19500,,20175,,,,,20500,19400,,</t>
  </si>
  <si>
    <t>2025-05-11 18:32:00,1285596749.46627,3089043073.5323,0,0,0,0,0,0</t>
  </si>
  <si>
    <t>2025-05-11 18:32:00,721602038.26555,-26884208.3496018,0,0,0,0,0,0</t>
  </si>
  <si>
    <t>2025-05-11 18:32:00,-8166077.51502794,-9363124.29438175,0,0,0,0,0,0</t>
  </si>
  <si>
    <t>2025-05-11 18:32:00,43147190.5444754,33143.8685128389,0,0,0,0,0,0</t>
  </si>
  <si>
    <t>2025-05-11 18:33:00,580,,570,,580,,563.5,,,,,580,550,,</t>
  </si>
  <si>
    <t>2025-05-11 18:33:00,500,,,485,470,,488,,,,,500,480,,0</t>
  </si>
  <si>
    <t>2025-05-11 18:33:00,,5500,,5550,,5800,5660,,,,,5800,5550,,</t>
  </si>
  <si>
    <t>2025-05-11 18:33:00,20100,,20275,,19500,,20175,,,,,20500,19400,,</t>
  </si>
  <si>
    <t>2025-05-11 18:33:00,1285459865.26253,3088482743.86845,0,0,0,0,0,0</t>
  </si>
  <si>
    <t>2025-05-11 18:33:00,721664966.149257,-26947959.7099194,0,0,0,0,0,0</t>
  </si>
  <si>
    <t>2025-05-11 18:33:00,-8169701.77904041,-9363696.3857959,0,0,0,0,0,0</t>
  </si>
  <si>
    <t>2025-05-11 18:33:00,43143528.6434327,33122.7698262818,0,0,0,0,0,0</t>
  </si>
  <si>
    <t>2025-05-11 18:34:00,580,,570,,580,,563.5,,,,,580,550,,</t>
  </si>
  <si>
    <t>2025-05-11 18:34:00,500,,,485,470,,488,,,,,500,480,,0</t>
  </si>
  <si>
    <t>2025-05-11 18:34:00,,5500,,5550,,5800,5660,,,,,5800,5550,,</t>
  </si>
  <si>
    <t>2025-05-11 18:34:00,20100,,20275,,19500,,20175,,,,,20500,19400,,</t>
  </si>
  <si>
    <t>2025-05-11 18:34:00,1285531726.29537,3088060489.30898,0,0,0,0,0,0</t>
  </si>
  <si>
    <t>2025-05-11 18:34:00,721610122.323641,-26981862.6028742,0,0,0,0,0,0</t>
  </si>
  <si>
    <t>2025-05-11 18:34:00,-8162276.57449073,-9364727.6091179,0,0,0,0,0,0</t>
  </si>
  <si>
    <t>2025-05-11 18:34:00,43138790.6652561,33105.2991498496,0,0,0,0,0,0</t>
  </si>
  <si>
    <t>2025-05-11 18:35:00,580,,570,,580,,563.5,,,,,580,550,,</t>
  </si>
  <si>
    <t>2025-05-11 18:35:00,500,,,485,470,,488,,,,,500,480,,0</t>
  </si>
  <si>
    <t>2025-05-11 18:35:00,,5500,,5550,,5800,5660,,,,,5800,5550,,</t>
  </si>
  <si>
    <t>2025-05-11 18:35:00,20100,,20275,,19500,,20175,,,,,20500,19400,,</t>
  </si>
  <si>
    <t>2025-05-11 18:35:00,1285559084.36744,3088559353.38467,0,0,0,0,0,0</t>
  </si>
  <si>
    <t>2025-05-11 18:35:00,721692563.862794,-26931039.8442025,0,0,0,0,0,0</t>
  </si>
  <si>
    <t>2025-05-11 18:35:00,-8162656.78743716,-9364777.0925356,0,0,0,0,0,0</t>
  </si>
  <si>
    <t>2025-05-11 18:35:00,43146123.2745274,33134.810051226,0,0,0,0,0,0</t>
  </si>
  <si>
    <t>2025-05-11 18:36:00,580,,570,,580,,563.5,,,,,580,550,,</t>
  </si>
  <si>
    <t>2025-05-11 18:36:00,500,,,485,470,,488,,,,,500,480,,0</t>
  </si>
  <si>
    <t>2025-05-11 18:36:00,,5500,,5550,,5800,5660,,,,,5800,5550,,</t>
  </si>
  <si>
    <t>2025-05-11 18:36:00,20100,,20275,,19500,,20175,,,,,20500,19400,,</t>
  </si>
  <si>
    <t>2025-05-11 18:36:00,1285698478.97011,3088103508.07422,0,0,0,0,0,0</t>
  </si>
  <si>
    <t>2025-05-11 18:36:00,721482792.694063,-27057138.8486889,0,0,0,0,0,0</t>
  </si>
  <si>
    <t>2025-05-11 18:36:00,-8184730.77430327,-9364877.97453229,0,0,0,0,0,0</t>
  </si>
  <si>
    <t>2025-05-11 18:36:00,43141993.267293,33105.2968120295,0,0,0,0,0,0</t>
  </si>
  <si>
    <t>2025-05-11 18:37:00,580,,570,,580,,563.5,,,,,580,550,,</t>
  </si>
  <si>
    <t>2025-05-11 18:37:00,500,,,485,470,,488,,,,,500,480,,0</t>
  </si>
  <si>
    <t>2025-05-11 18:37:00,,5500,,5550,,5800,5660,,,,,5800,5550,,</t>
  </si>
  <si>
    <t>2025-05-11 18:37:00,20100,,20275,,19500,,20175,,,,,20500,19400,,</t>
  </si>
  <si>
    <t>2025-05-11 18:37:00,1285724987.32939,3088587496.80402,0,0,0,0,0,0</t>
  </si>
  <si>
    <t>2025-05-11 18:37:00,721562757.571141,-27007810.0133815,0,0,0,0,0,0</t>
  </si>
  <si>
    <t>2025-05-11 18:37:00,-8185100.68700121,-9364926.32948449,0,0,0,0,0,0</t>
  </si>
  <si>
    <t>2025-05-11 18:37:00,43149108.6341953,33133.9382976656,0,0,0,0,0,0</t>
  </si>
  <si>
    <t>2025-05-11 18:38:00,580,,570,,580,,563.5,,,,,580,550,,</t>
  </si>
  <si>
    <t>2025-05-11 18:38:00,500,,,485,470,,488,,,,,500,480,,0</t>
  </si>
  <si>
    <t>2025-05-11 18:38:00,,5500,,5550,,5800,5660,,,,,5800,5550,,</t>
  </si>
  <si>
    <t>2025-05-11 18:38:00,20100,,20275,,19500,,20175,,,,,20500,19400,,</t>
  </si>
  <si>
    <t>2025-05-11 18:38:00,1285462775.75898,3087754576.60224,0,0,0,0,0,0</t>
  </si>
  <si>
    <t>2025-05-11 18:38:00,721599693.680732,-27126521.9950563,0,0,0,0,0,0</t>
  </si>
  <si>
    <t>2025-05-11 18:38:00,-8188673.25742381,-9363766.48652933,0,0,0,0,0,0</t>
  </si>
  <si>
    <t>2025-05-11 18:38:00,43145028.2295944,33116.2759666975,0,0,0,0,0,0</t>
  </si>
  <si>
    <t>2025-05-11 18:39:00,580,,570,,580,,563.5,,,,,580,550,,</t>
  </si>
  <si>
    <t>2025-05-11 18:39:00,500,,,485,470,,488,,,,,500,480,,0</t>
  </si>
  <si>
    <t>2025-05-11 18:39:00,,5500,,5550,,5800,5660,,,,,5800,5550,,</t>
  </si>
  <si>
    <t>2025-05-11 18:39:00,20100,,20275,,19500,,20175,,,,,20500,19400,,</t>
  </si>
  <si>
    <t>2025-05-11 18:39:00,1285478882.57626,3087376542.51427,0,0,0,0,0,0</t>
  </si>
  <si>
    <t>2025-05-11 18:39:00,721530466.709453,-27121858.8667637,0,0,0,0,0,0</t>
  </si>
  <si>
    <t>2025-05-11 18:39:00,-8183040.57828885,-9363382.82584737,0,0,0,0,0,0</t>
  </si>
  <si>
    <t>2025-05-11 18:39:00,43139837.4536141,33093.5876038955,0,0,0,0,0,0</t>
  </si>
  <si>
    <t>2025-05-11 18:40:00,580,,570,,580,,563.5,,,,,580,550,,</t>
  </si>
  <si>
    <t>2025-05-11 18:40:00,500,,,485,470,,488,,,,,500,480,,0</t>
  </si>
  <si>
    <t>2025-05-11 18:40:00,,5500,,5550,,5800,5660,,,,,5800,5550,,</t>
  </si>
  <si>
    <t>2025-05-11 18:40:00,20100,,20275,,19500,,20175,,,,,20500,19400,,</t>
  </si>
  <si>
    <t>2025-05-11 18:40:00,1285505390.39681,3087861875.73884,0,0,0,0,0,0</t>
  </si>
  <si>
    <t>2025-05-11 18:40:00,721610534.766332,-27072419.5757422,0,0,0,0,0,0</t>
  </si>
  <si>
    <t>2025-05-11 18:40:00,-8183409.72467241,-9363428.82260423,0,0,0,0,0,0</t>
  </si>
  <si>
    <t>2025-05-11 18:40:00,43146967.5190613,33122.2942664441,0,0,0,0,0,0</t>
  </si>
  <si>
    <t>2025-05-11 18:41:00,580,,570,,580,,563.5,,,,,580,550,,</t>
  </si>
  <si>
    <t>2025-05-11 18:41:00,500,,,485,470,,488,,,,,500,480,,0</t>
  </si>
  <si>
    <t>2025-05-11 18:41:00,,5500,,5550,,5800,5660,,,,,5800,5550,,</t>
  </si>
  <si>
    <t>2025-05-11 18:41:00,20100,,20275,,19500,,20175,,,,,20500,19400,,</t>
  </si>
  <si>
    <t>2025-05-11 18:41:00,1285776666.56889,3087862090.45486,0,0,0,0,0,0</t>
  </si>
  <si>
    <t>2025-05-11 18:41:00,721436365.953531,-27121536.1858444,0,0,0,0,0,0</t>
  </si>
  <si>
    <t>2025-05-11 18:41:00,-8191179.85202075,-9367862.5061591,0,0,0,0,0,0</t>
  </si>
  <si>
    <t>2025-05-11 18:41:00,43142696.4264039,33100.5290696524,0,0,0,0,0,0</t>
  </si>
  <si>
    <t>2025-05-11 18:42:00,580,,570,,580,,563.5,,,,,580,550,,</t>
  </si>
  <si>
    <t>2025-05-11 18:42:00,500,,,485,470,,488,,,,,500,480,,0</t>
  </si>
  <si>
    <t>2025-05-11 18:42:00,,5500,,5550,,5800,5660,,,,,5800,5550,,</t>
  </si>
  <si>
    <t>2025-05-11 18:42:00,20100,,20275,,19500,,20175,,,,,20500,19400,,</t>
  </si>
  <si>
    <t>2025-05-11 18:42:00,1285803174.33902,3088348088.00133,0,0,0,0,0,0</t>
  </si>
  <si>
    <t>2025-05-11 18:42:00,721516520.89479,-27071982.3724431,0,0,0,0,0,0</t>
  </si>
  <si>
    <t>2025-05-11 18:42:00,-8191550.0492496,-9367909.14776234,0,0,0,0,0,0</t>
  </si>
  <si>
    <t>2025-05-11 18:42:00,43149837.3088725,33129.2855213293,0,0,0,0,0,0</t>
  </si>
  <si>
    <t>2025-05-11 18:43:00,580,,570,,580,,563.5,,,,,580,550,,</t>
  </si>
  <si>
    <t>2025-05-11 18:43:00,500,,,485,470,,488,,,,,500,480,,0</t>
  </si>
  <si>
    <t>2025-05-11 18:43:00,,5500,,5550,,5800,5660,,,,,5800,5550,,</t>
  </si>
  <si>
    <t>2025-05-11 18:43:00,20100,,20275,,19500,,20175,,,,,20500,19400,,</t>
  </si>
  <si>
    <t>2025-05-11 18:43:00,1285637858.65081,3087603463.43772,0,0,0,0,0,0</t>
  </si>
  <si>
    <t>2025-05-11 18:43:00,721434115.354301,-27214028.4864904,0,0,0,0,0,0</t>
  </si>
  <si>
    <t>2025-05-11 18:43:00,-8220497.58742871,-9369854.61056592,0,0,0,0,0,0</t>
  </si>
  <si>
    <t>2025-05-11 18:43:00,43141715.9045318,33104.7105383344,0,0,0,0,0,0</t>
  </si>
  <si>
    <t>2025-05-11 18:45:00,580,,570,,580,,563.5,,,,,580,550,,</t>
  </si>
  <si>
    <t>2025-05-11 18:45:00,500,,,485,470,,488,,,,,500,480,,0</t>
  </si>
  <si>
    <t>2025-05-11 18:45:00,,5500,,5550,,5800,5660,,,,,5800,5550,,</t>
  </si>
  <si>
    <t>2025-05-11 18:45:00,20100,,20275,,19500,,20175,,,,,20500,19400,,</t>
  </si>
  <si>
    <t>2025-05-11 18:45:00,1285402440.2735,3087029262.95774,0,0,0,0,0,0</t>
  </si>
  <si>
    <t>2025-05-11 18:45:00,721465889.263994,-27144601.7574219,0,0,0,0,0,0</t>
  </si>
  <si>
    <t>2025-05-11 18:45:00,-8221044.20465938,-9369701.79532297,0,0,0,0,0,0</t>
  </si>
  <si>
    <t>2025-05-11 18:45:00,43138711.4900437,33086.0639244059,0,0,0,0,0,0</t>
  </si>
  <si>
    <t>2025-05-11 18:46:00,580,,570,,580,,563.5,,,,,580,550,,</t>
  </si>
  <si>
    <t>2025-05-11 18:46:00,500,,,485,470,,488,,,,,500,480,,0</t>
  </si>
  <si>
    <t>2025-05-11 18:46:00,,5500,,5550,,5800,5660,,,,,5800,5550,,</t>
  </si>
  <si>
    <t>2025-05-11 18:46:00,20100,,20275,,19500,,20175,,,,,20500,19400,,</t>
  </si>
  <si>
    <t>2025-05-11 18:46:00,1285428952.55087,3087516428.80194,0,0,0,0,0,0</t>
  </si>
  <si>
    <t>2025-05-11 18:46:00,721546143.126148,-27094973.6118609,0,0,0,0,0,0</t>
  </si>
  <si>
    <t>2025-05-11 18:46:00,-8221414.44686615,-9369746.59116267,0,0,0,0,0,0</t>
  </si>
  <si>
    <t>2025-05-11 18:46:00,43145867.3137318,33114.8835157201,0,0,0,0,0,0</t>
  </si>
  <si>
    <t>2025-05-11 18:47:00,580,,570,,580,,563.5,,,,,580,550,,</t>
  </si>
  <si>
    <t>2025-05-11 18:47:00,500,,,485,470,,488,,,,,500,480,,0</t>
  </si>
  <si>
    <t>2025-05-11 18:47:00,,5500,,5550,,5800,5660,,,,,5800,5550,,</t>
  </si>
  <si>
    <t>2025-05-11 18:47:00,20100,,20275,,19500,,20175,,,,,20500,19400,,</t>
  </si>
  <si>
    <t>2025-05-11 18:47:00,1285659034.17977,3087353887.93248,0,0,0,0,0,0</t>
  </si>
  <si>
    <t>2025-05-11 18:47:00,721366845.827817,-27210323.0117789,0,0,0,0,0,0</t>
  </si>
  <si>
    <t>2025-05-11 18:47:00,-8216019.98708134,-9371516.91055613,0,0,0,0,0,0</t>
  </si>
  <si>
    <t>2025-05-11 18:47:00,43140438.779166,33092.6929370246,0,0,0,0,0,0</t>
  </si>
  <si>
    <t>2025-05-11 18:48:00,580,,570,,580,,563.5,,,,,580,550,,</t>
  </si>
  <si>
    <t>2025-05-11 18:48:00,500,,,485,470,,488,,,,,500,480,,0</t>
  </si>
  <si>
    <t>2025-05-11 18:48:00,,5500,,5550,,5800,5660,,,,,5800,5550,,</t>
  </si>
  <si>
    <t>2025-05-11 18:48:00,20100,,20275,,19500,,20175,,,,,20500,19400,,</t>
  </si>
  <si>
    <t>2025-05-11 18:48:00,1285538354.8477,3086683858.28773,0,0,0,0,0,0</t>
  </si>
  <si>
    <t>2025-05-11 18:48:00,721345262.920711,-27286240.4381612,0,0,0,0,0,0</t>
  </si>
  <si>
    <t>2025-05-11 18:48:00,-8222764.01206852,-9372368.29489701,0,0,0,0,0,0</t>
  </si>
  <si>
    <t>2025-05-11 18:48:00,43135936.5341021,33068.6178800023,0,0,0,0,0,0</t>
  </si>
  <si>
    <t>2025-05-11 18:49:00,580,,570,,580,,563.5,,,,,580,550,,</t>
  </si>
  <si>
    <t>2025-05-11 18:49:00,500,,,485,470,,488,,,,,500,480,,0</t>
  </si>
  <si>
    <t>2025-05-11 18:49:00,,5500,,5550,,5800,5660,,,,,5800,5550,,</t>
  </si>
  <si>
    <t>2025-05-11 18:49:00,20100,,20275,,19500,,20175,,,,,20500,19400,,</t>
  </si>
  <si>
    <t>2025-05-11 18:49:00,1285564893.48372,3087172362.32563,0,0,0,0,0,0</t>
  </si>
  <si>
    <t>2025-05-11 18:49:00,721425617.499579,-27236502.7601258,0,0,0,0,0,0</t>
  </si>
  <si>
    <t>2025-05-11 18:49:00,-8223135.18284323,-9372412.99718712,0,0,0,0,0,0</t>
  </si>
  <si>
    <t>2025-05-11 18:49:00,43143106.4809024,33097.499773598,0,0,0,0,0,0</t>
  </si>
  <si>
    <t>2025-05-11 18:50:00,580,,570,,580,,563.5,,,,,580,550,,</t>
  </si>
  <si>
    <t>2025-05-11 18:50:00,500,,,485,470,,488,,,,,500,480,,0</t>
  </si>
  <si>
    <t>2025-05-11 18:50:00,,5500,,5550,,5800,5660,,,,,5800,5550,,</t>
  </si>
  <si>
    <t>2025-05-11 18:50:00,20100,,20275,,19500,,20175,,,,,20500,19400,,</t>
  </si>
  <si>
    <t>2025-05-11 18:50:00,1285060439.16682,3086402245.32747,0,0,0,0,0,0</t>
  </si>
  <si>
    <t>2025-05-11 18:50:00,721429904.390371,-27219692.7855419,0,0,0,0,0,0</t>
  </si>
  <si>
    <t>2025-05-11 18:50:00,-8207743.21897003,-9373081.13687148,0,0,0,0,0,0</t>
  </si>
  <si>
    <t>2025-05-11 18:50:00,43134533.6537884,33072.1479386675,0,0,0,0,0,0</t>
  </si>
  <si>
    <t>2025-05-11 18:51:00,580,,570,,580,,563.5,,,,,580,550,,</t>
  </si>
  <si>
    <t>2025-05-11 18:51:00,500,,,485,470,,488,,,,,500,480,,0</t>
  </si>
  <si>
    <t>2025-05-11 18:51:00,,5500,,5550,,5800,5660,,,,,5800,5550,,</t>
  </si>
  <si>
    <t>2025-05-11 18:51:00,20100,,20275,,19500,,20175,,,,,20500,19400,,</t>
  </si>
  <si>
    <t>2025-05-11 18:51:00,1285088332.97345,3086916790.76866,0,0,0,0,0,0</t>
  </si>
  <si>
    <t>2025-05-11 18:51:00,721514532.557948,-27167239.1977229,0,0,0,0,0,0</t>
  </si>
  <si>
    <t>2025-05-11 18:51:00,-8208132.27785589,-9373128.62174335,0,0,0,0,0,0</t>
  </si>
  <si>
    <t>2025-05-11 18:51:00,43142086.5030151,33102.5801046855,0,0,0,0,0,0</t>
  </si>
  <si>
    <t>2025-05-11 18:52:00,580,,570,,580,,563.5,,,,,580,550,,</t>
  </si>
  <si>
    <t>2025-05-11 18:52:00,500,,,485,470,,488,,,,,500,480,,0</t>
  </si>
  <si>
    <t>2025-05-11 18:52:00,,5500,,5550,,5800,5660,,,,,5800,5550,,</t>
  </si>
  <si>
    <t>2025-05-11 18:52:00,20100,,20275,,19500,,20175,,,,,20500,19400,,</t>
  </si>
  <si>
    <t>2025-05-11 18:52:00,1285220435.80735,3086875683.24768,0,0,0,0,0,0</t>
  </si>
  <si>
    <t>2025-05-11 18:52:00,721338726.084723,-27379651.4736495,0,0,0,0,0,0</t>
  </si>
  <si>
    <t>2025-05-11 18:52:00,-8198708.87213593,-9373068.41332015,0,0,0,0,0,0</t>
  </si>
  <si>
    <t>2025-05-11 18:52:00,43140800.759802,33084.4497492031,0,0,0,0,0,0</t>
  </si>
  <si>
    <t>2025-05-11 18:53:00,580,,570,,580,,563.5,,,,,580,550,,</t>
  </si>
  <si>
    <t>2025-05-11 18:53:00,500,,,485,470,,488,,,,,500,480,,0</t>
  </si>
  <si>
    <t>2025-05-11 18:53:00,,5500,,5550,,5800,5660,,,,,5800,5550,,</t>
  </si>
  <si>
    <t>2025-05-11 18:53:00,20100,,20275,,19500,,20175,,,,,20500,19400,,</t>
  </si>
  <si>
    <t>2025-05-11 18:53:00,1285336729.64234,3086223305.16879,0,0,0,0,0,0</t>
  </si>
  <si>
    <t>2025-05-11 18:53:00,721274412.476586,-27363441.8134865,0,0,0,0,0,0</t>
  </si>
  <si>
    <t>2025-05-11 18:53:00,-8204587.6439047,-9376117.38542164,0,0,0,0,0,0</t>
  </si>
  <si>
    <t>2025-05-11 18:53:00,43133811.1387368,33066.8184473791,0,0,0,0,0,0</t>
  </si>
  <si>
    <t>2025-05-11 18:54:00,580,,570,,580,,563.5,,,,,580,550,,</t>
  </si>
  <si>
    <t>2025-05-11 18:54:00,500,,,485,470,,488,,,,,500,480,,0</t>
  </si>
  <si>
    <t>2025-05-11 18:54:00,,5500,,5550,,5800,5660,,,,,5800,5550,,</t>
  </si>
  <si>
    <t>2025-05-11 18:54:00,20100,,20275,,19500,,20175,,,,,20500,19400,,</t>
  </si>
  <si>
    <t>2025-05-11 18:54:00,1285364571.00317,3086737764.77349,0,0,0,0,0,0</t>
  </si>
  <si>
    <t>2025-05-11 18:54:00,721358931.376107,-27311017.3439325,0,0,0,0,0,0</t>
  </si>
  <si>
    <t>2025-05-11 18:54:00,-8204974.33297431,-9376162.98670152,0,0,0,0,0,0</t>
  </si>
  <si>
    <t>2025-05-11 18:54:00,43141360.6878687,33097.24664004,0,0,0,0,0,0</t>
  </si>
  <si>
    <t>2025-05-11 18:55:00,580,,570,,580,,563.5,,,,,580,550,,</t>
  </si>
  <si>
    <t>2025-05-11 18:55:00,500,,,485,470,,488,,,,,500,480,,0</t>
  </si>
  <si>
    <t>2025-05-11 18:55:00,,5500,,5550,,5800,5660,,,,,5800,5550,,</t>
  </si>
  <si>
    <t>2025-05-11 18:55:00,20100,,20275,,19500,,20175,,,,,20500,19400,,</t>
  </si>
  <si>
    <t>2025-05-11 18:55:00,1285260720.26359,3086369115.75688,0,0,0,0,0,0</t>
  </si>
  <si>
    <t>2025-05-11 18:55:00,721219836.95566,-27429914.7658978,0,0,0,0,0,0</t>
  </si>
  <si>
    <t>2025-05-11 18:55:00,-8202937.70611205,-9375232.48189883,0,0,0,0,0,0</t>
  </si>
  <si>
    <t>2025-05-11 18:55:00,43136641.8058363,33063.615766098,0,0,0,0,0,0</t>
  </si>
  <si>
    <t>2025-05-11 18:56:00,580,,570,,580,,563.5,,,,,580,550,,</t>
  </si>
  <si>
    <t>2025-05-11 18:56:00,500,,,485,470,,488,,,,,500,480,,0</t>
  </si>
  <si>
    <t>2025-05-11 18:56:00,,5500,,5550,,5800,5660,,,,,5800,5550,,</t>
  </si>
  <si>
    <t>2025-05-11 18:56:00,20100,,20275,,19500,,20175,,,,,20500,19400,,</t>
  </si>
  <si>
    <t>2025-05-11 18:56:00,1285287172.82309,3086858794.6486,0,0,0,0,0,0</t>
  </si>
  <si>
    <t>2025-05-11 18:56:00,721300243.821089,-27380010.564633,0,0,0,0,0,0</t>
  </si>
  <si>
    <t>2025-05-11 18:56:00,-8203304.79716152,-9375275.39724729,0,0,0,0,0,0</t>
  </si>
  <si>
    <t>2025-05-11 18:56:00,43143827.7853205,33092.5815391147,0,0,0,0,0,0</t>
  </si>
  <si>
    <t>2025-05-11 18:57:00,580,,570,,580,,563.5,,,,,580,550,,</t>
  </si>
  <si>
    <t>2025-05-11 18:57:00,500,,,485,470,,488,,,,,500,480,,0</t>
  </si>
  <si>
    <t>2025-05-11 18:57:00,,5500,,5550,,5800,5660,,,,,5800,5550,,</t>
  </si>
  <si>
    <t>2025-05-11 18:57:00,20100,,20275,,19500,,20175,,,,,20500,19400,,</t>
  </si>
  <si>
    <t>2025-05-11 18:57:00,1285116374.28687,3086198028.59344,0,0,0,0,0,0</t>
  </si>
  <si>
    <t>2025-05-11 18:57:00,721187284.870799,-27396093.9160084,0,0,0,0,0,0</t>
  </si>
  <si>
    <t>2025-05-11 18:57:00,-8199999.79900068,-9374032.28608892,0,0,0,0,0,0</t>
  </si>
  <si>
    <t>2025-05-11 18:57:00,43132922.9445037,33076.4124205024,0,0,0,0,0,0</t>
  </si>
  <si>
    <t>2025-05-11 18:58:00,580,,570,,580,,563.5,,,,,580,550,,</t>
  </si>
  <si>
    <t>2025-05-11 18:58:00,500,,,485,470,,488,,,,,500,480,,0</t>
  </si>
  <si>
    <t>2025-05-11 18:58:00,,5500,,5550,,5800,5660,,,,,5800,5550,,</t>
  </si>
  <si>
    <t>2025-05-11 18:58:00,20100,,20275,,19500,,20175,,,,,20500,19400,,</t>
  </si>
  <si>
    <t>2025-05-11 18:58:00,1285282905.63099,3085566228.46362,0,0,0,0,0,0</t>
  </si>
  <si>
    <t>2025-05-11 18:58:00,721110368.071842,-27430487.3791305,0,0,0,0,0,0</t>
  </si>
  <si>
    <t>2025-05-11 18:58:00,-8205223.02328451,-9377034.82417969,0,0,0,0,0,0</t>
  </si>
  <si>
    <t>2025-05-11 18:58:00,43131627.3202251,33053.9437423079,0,0,0,0,0,0</t>
  </si>
  <si>
    <t>2025-05-11 18:59:00,580,,570,,580,,563.5,,,,,580,550,,</t>
  </si>
  <si>
    <t>2025-05-11 18:59:00,500,,,485,470,,488,,,,,500,480,,0</t>
  </si>
  <si>
    <t>2025-05-11 18:59:00,,5500,,5550,,5800,5660,,,,,5800,5550,,</t>
  </si>
  <si>
    <t>2025-05-11 18:59:00,20100,,20275,,19500,,20175,,,,,20500,19400,,</t>
  </si>
  <si>
    <t>2025-05-11 18:59:00,1285309440.01675,3086058466.46471,0,0,0,0,0,0</t>
  </si>
  <si>
    <t>2025-05-11 18:59:00,721191099.6571,-27380316.9206201,0,0,0,0,0,0</t>
  </si>
  <si>
    <t>2025-05-11 18:59:00,-8205591.07259524,-9377076.6306254,0,0,0,0,0,0</t>
  </si>
  <si>
    <t>2025-05-11 18:59:00,43138847.469148,33083.0554809282,0,0,0,0,0,0</t>
  </si>
  <si>
    <t>2025-05-11 19:00:00,580,,570,,580,,562.5,,,,,580,550,,</t>
  </si>
  <si>
    <t>2025-05-11 19:00:00,500,,495,,490,,487,,,,,500,480,,0</t>
  </si>
  <si>
    <t>2025-05-11 19:00:00,,5500,,,,5800,,,,,,,,,</t>
  </si>
  <si>
    <t>2025-05-11 19:00:00,20100,,20275,,19500,,20175,,,,,20500,19400,,</t>
  </si>
  <si>
    <t>2025-05-11 19:00:00,3806679863.20006,12052597847.859,0,0,0,0,0,0</t>
  </si>
  <si>
    <t>2025-05-11 19:00:00,1614153495.19231,2804791849.39629,0,0,0,0,0,0</t>
  </si>
  <si>
    <t>2025-05-11 19:00:00,-8474558.50046738,0,357735.792802342,122581,7539655.35052112,1877081.67,-5.57165970460263,28041.6</t>
  </si>
  <si>
    <t>2025-05-11 19:00:00,43129255.5843431,34107.8410540986,0,0,0,0,0,0</t>
  </si>
  <si>
    <t>2025-05-11 19:01:00,580,,570,,580,,562.5,,,,,580,550,,</t>
  </si>
  <si>
    <t>2025-05-11 19:01:00,500,,495,,490,,487,,,,,500,480,,0</t>
  </si>
  <si>
    <t>2025-05-11 19:01:00,,5500,,,,5800,,,,,,,,,</t>
  </si>
  <si>
    <t>2025-05-11 19:01:00,20100,,20275,,19500,,20175,,,,,20500,19400,,</t>
  </si>
  <si>
    <t>2025-05-11 19:01:00,3734056271.47968,12376787997.0313,0,0,0,0,0,0</t>
  </si>
  <si>
    <t>2025-05-11 19:01:00,2025092154.90033,3073865949.56455,0,0,0,0,0,0</t>
  </si>
  <si>
    <t>2025-05-11 19:01:00,-8467015.67875494,0,0,0,0,0,0,0</t>
  </si>
  <si>
    <t>2025-05-11 19:01:00,43129462.7153901,34104.9205503697,0,0,0,0,0,0</t>
  </si>
  <si>
    <t>2025-05-11 19:02:00,580,,570,,580,,562.5,,,,,580,550,,</t>
  </si>
  <si>
    <t>2025-05-11 19:02:00,500,,495,,490,,487,,,,,500,480,,0</t>
  </si>
  <si>
    <t>2025-05-11 19:02:00,,5500,,,,5800,,,,,,,,,</t>
  </si>
  <si>
    <t>2025-05-11 19:02:00,20100,,20275,,19500,,20175,,,,,20500,19400,,</t>
  </si>
  <si>
    <t>2025-05-11 19:02:00,3952542160.54754,13159747825.5448,0,0,0,0,0,0</t>
  </si>
  <si>
    <t>2025-05-11 19:02:00,2089256496.18346,3278317434.9038,0,0,0,0,0,0</t>
  </si>
  <si>
    <t>2025-05-11 19:02:00,-8474574.10993681,0,0,0,0,0,0,0</t>
  </si>
  <si>
    <t>2025-05-11 19:02:00,43136779.9708299,34164.3082174652,0,0,0,0,0,0</t>
  </si>
  <si>
    <t>2025-05-11 19:03:00,580,,570,,580,,562.5,,,,,580,550,,</t>
  </si>
  <si>
    <t>2025-05-11 19:03:00,500,,495,,490,,487,,,,,500,480,,0</t>
  </si>
  <si>
    <t>2025-05-11 19:03:00,,5500,,,,5800,,,,,,,,,</t>
  </si>
  <si>
    <t>2025-05-11 19:03:00,20100,,20275,,19500,,20175,,,,,20500,19400,,</t>
  </si>
  <si>
    <t>2025-05-11 19:03:00,3735651089.51279,12377134717.0037,0,0,0,0,0,0</t>
  </si>
  <si>
    <t>2025-05-11 19:03:00,2035827669.11723,3097751125.20165,0,0,0,0,0,0</t>
  </si>
  <si>
    <t>2025-05-11 19:03:00,-8469661.42990446,0,0,0,0,0,0,0</t>
  </si>
  <si>
    <t>2025-05-11 19:03:00,43130397.94317,34129.3615488648,0,0,0,0,0,0</t>
  </si>
  <si>
    <t>2025-05-11 19:04:00,580,,570,,580,,562.5,,,,,580,550,,</t>
  </si>
  <si>
    <t>2025-05-11 19:04:00,500,,495,,490,,487,,,,,500,480,,0</t>
  </si>
  <si>
    <t>2025-05-11 19:04:00,,5500,,,,5800,,,,,,,,,</t>
  </si>
  <si>
    <t>2025-05-11 19:04:00,20100,,20275,,19500,,20175,,,,,20500,19400,,</t>
  </si>
  <si>
    <t>2025-05-11 19:04:00,3799927915.38737,12759927342.8369,0,0,0,0,0,0</t>
  </si>
  <si>
    <t>2025-05-11 19:04:00,2089971154.11113,3278330700.39937,0,0,0,0,0,0</t>
  </si>
  <si>
    <t>2025-05-11 19:04:00,-8474830.85361405,0,0,0,0,0,0,0</t>
  </si>
  <si>
    <t>2025-05-11 19:04:00,43137759.2530731,34179.3189602803,0,0,0,0,0,0</t>
  </si>
  <si>
    <t>2025-05-11 19:05:00,580,,570,,580,,562.5,,,,,580,550,,</t>
  </si>
  <si>
    <t>2025-05-11 19:05:00,500,,495,,490,,487,,,,,500,480,,0</t>
  </si>
  <si>
    <t>2025-05-11 19:05:00,,5500,,,,5800,,,,,,,,,</t>
  </si>
  <si>
    <t>2025-05-11 19:05:00,20100,,20275,,19500,,20175,,,,,20500,19400,,</t>
  </si>
  <si>
    <t>2025-05-11 19:05:00,3819380778.45989,12875156091.7503,0,0,0,0,0,0</t>
  </si>
  <si>
    <t>2025-05-11 19:05:00,2057588476.98463,3145737446.62891,0,0,0,0,0,0</t>
  </si>
  <si>
    <t>2025-05-11 19:05:00,-8481840.92458794,0,0,0,0,0,0,0</t>
  </si>
  <si>
    <t>2025-05-11 19:05:00,43124168.5026564,34154.3384045898,0,0,0,0,0,0</t>
  </si>
  <si>
    <t>2025-05-11 19:06:00,580,,570,,580,,562.5,,,,,580,550,,</t>
  </si>
  <si>
    <t>2025-05-11 19:06:00,500,,495,,490,,487,,,,,500,480,,0</t>
  </si>
  <si>
    <t>2025-05-11 19:06:00,,5500,,,,5800,,,,,,,,,</t>
  </si>
  <si>
    <t>2025-05-11 19:06:00,20100,,20275,,19500,,20175,,,,,20500,19400,,</t>
  </si>
  <si>
    <t>2025-05-11 19:06:00,3980355120.7098,13315610425.6517,0,0,0,0,0,0</t>
  </si>
  <si>
    <t>2025-05-11 19:06:00,2089519408.50194,3278535672.88921,0,0,0,0,0,0</t>
  </si>
  <si>
    <t>2025-05-11 19:06:00,-8480132.66088222,0,0,0,0,0,0,0</t>
  </si>
  <si>
    <t>2025-05-11 19:06:00,43120777.9063087,34128.4758416649,0,0,0,0,0,0</t>
  </si>
  <si>
    <t>2025-05-11 19:07:00,580,,570,,580,,562.5,,,,,580,550,,</t>
  </si>
  <si>
    <t>2025-05-11 19:07:00,500,,500,,490,,487,,,,,500,480,,0</t>
  </si>
  <si>
    <t>2025-05-11 19:07:00,,5500,,,,5800,,,,,,,,,</t>
  </si>
  <si>
    <t>2025-05-11 19:07:00,20100,,20275,,19500,,20175,,,,,20500,19400,,</t>
  </si>
  <si>
    <t>2025-05-11 19:07:00,3980290526.43608,13314180945.6605,0,0,0,0,0,0</t>
  </si>
  <si>
    <t>2025-05-11 19:07:00,1901683624.55073,2532817670.20714,0,0,0,0,0,0</t>
  </si>
  <si>
    <t>2025-05-11 19:07:00,-8484285.21454413,0,0,0,0,0,0,0</t>
  </si>
  <si>
    <t>2025-05-11 19:07:00,43128269.0397903,34174.8615103764,0,0,0,0,0,0</t>
  </si>
  <si>
    <t>2025-05-11 19:08:00,580,,574,,580,,569.5,,,,,580,550,,</t>
  </si>
  <si>
    <t>2025-05-11 19:08:00,500,,496,,490,,487,,,,,500,480,,0</t>
  </si>
  <si>
    <t>2025-05-11 19:08:00,,5500,,,,5800,,,,,,,,,</t>
  </si>
  <si>
    <t>2025-05-11 19:08:00,20100,,20275,,19500,,20175,,,,,20500,19400,,</t>
  </si>
  <si>
    <t>2025-05-11 19:08:00,3648444853.00774,9745752360.12401,0,0,0,0,0,0</t>
  </si>
  <si>
    <t>2025-05-11 19:08:00,1937366091.43313,2633349790.23698,0,0,0,0,0,0</t>
  </si>
  <si>
    <t>2025-05-11 19:08:00,-8493346.81731427,0,0,0,0,0,0,0</t>
  </si>
  <si>
    <t>2025-05-11 19:08:00,43121507.8039816,34175.3455708926,0,0,0,0,0,0</t>
  </si>
  <si>
    <t>2025-05-11 19:09:00,580,,570,,580,,562.5,,,,,580,550,,</t>
  </si>
  <si>
    <t>2025-05-11 19:09:00,500,,496,,490,,487,,,,,500,480,,0</t>
  </si>
  <si>
    <t>2025-05-11 19:09:00,,5500,,,,5800,,,,,,,,,</t>
  </si>
  <si>
    <t>2025-05-11 19:09:00,20100,,20275,,19500,,20175,,,,,20500,19400,,</t>
  </si>
  <si>
    <t>2025-05-11 19:09:00,3753888206.84616,10968424741.0747,0,0,0,0,0,0</t>
  </si>
  <si>
    <t>2025-05-11 19:09:00,1933111007.78525,2621394033.2484,0,0,0,0,0,0</t>
  </si>
  <si>
    <t>2025-05-11 19:09:00,-8493055.67608647,0,0,0,0,0,0,0</t>
  </si>
  <si>
    <t>2025-05-11 19:09:00,43129036.0107916,34204.0192539094,0,0,0,0,0,0</t>
  </si>
  <si>
    <t>2025-05-11 19:10:00,580,,570,,580,,562.5,,,,,580,550,,</t>
  </si>
  <si>
    <t>2025-05-11 19:10:00,500,,496,,490,,487,,,,,500,480,,0</t>
  </si>
  <si>
    <t>2025-05-11 19:10:00,,5500,,,,5800,,,,,,,,,</t>
  </si>
  <si>
    <t>2025-05-11 19:10:00,20100,,20275,,19500,,20175,,,,,20500,19400,,</t>
  </si>
  <si>
    <t>2025-05-11 19:10:00,3754096265.58808,10968861786.765,0,0,0,0,0,0</t>
  </si>
  <si>
    <t>2025-05-11 19:10:00,1917064009.70412,2576253412.05216,0,0,0,0,0,0</t>
  </si>
  <si>
    <t>2025-05-11 19:10:00,-8489593.25988774,0,0,0,0,0,0,0</t>
  </si>
  <si>
    <t>2025-05-11 19:10:00,43127110.7555127,34168.3815697764,0,0,0,0,0,0</t>
  </si>
  <si>
    <t>2025-05-11 19:11:00,580,,570,,580,,562.5,,,,,580,550,,</t>
  </si>
  <si>
    <t>2025-05-11 19:11:00,500,,500,,490,,495,,,,,500,480,,0</t>
  </si>
  <si>
    <t>2025-05-11 19:11:00,,5500,,,,5800,,,,,,,,,</t>
  </si>
  <si>
    <t>2025-05-11 19:11:00,20100,,20275,,19500,,20175,,,,,20500,19400,,</t>
  </si>
  <si>
    <t>2025-05-11 19:11:00,3992288839.20748,13363249199.3469,0,0,0,0,0,0</t>
  </si>
  <si>
    <t>2025-05-11 19:11:00,1828247969.35682,2260376946.91563,0,0,0,0,0,0</t>
  </si>
  <si>
    <t>2025-05-11 19:11:00,-8491704.03105102,0,0,0,0,0,0,0</t>
  </si>
  <si>
    <t>2025-05-11 19:11:00,43122519.1928146,34127.4709362282,0,0,0,0,0,0</t>
  </si>
  <si>
    <t>2025-05-11 19:12:00,580,,570,,580,,562.5,,,,,580,550,,</t>
  </si>
  <si>
    <t>2025-05-11 19:12:00,500,,496,,490,,487,,,,,500,480,,0</t>
  </si>
  <si>
    <t>2025-05-11 19:12:00,,5500,,,,5800,,,,,,,,,</t>
  </si>
  <si>
    <t>2025-05-11 19:12:00,20100,,20275,,19500,,20175,,,,,20500,19400,,</t>
  </si>
  <si>
    <t>2025-05-11 19:12:00,3728887499.14851,10864675945.8282,0,0,0,0,0,0</t>
  </si>
  <si>
    <t>2025-05-11 19:12:00,1933761598.45041,2633129199.81711,0,0,0,0,0,0</t>
  </si>
  <si>
    <t>2025-05-11 19:12:00,-8498597.22613719,0,0,0,0,0,0,0</t>
  </si>
  <si>
    <t>2025-05-11 19:12:00,43129931.3676623,34184.5706138886,0,0,0,0,0,0</t>
  </si>
  <si>
    <t>2025-05-11 19:13:00,580,,570,,580,,562.5,,,,,580,550,,</t>
  </si>
  <si>
    <t>2025-05-11 19:13:00,500,,495,,490,,487,,,,,500,480,,0</t>
  </si>
  <si>
    <t>2025-05-11 19:13:00,,5500,,,,5800,,,,,,,,,</t>
  </si>
  <si>
    <t>2025-05-11 19:13:00,20100,,20275,,19500,,20175,,,,,20500,19400,,</t>
  </si>
  <si>
    <t>2025-05-11 19:13:00,3952347038.49964,13315527718.6111,0,0,0,0,0,0</t>
  </si>
  <si>
    <t>2025-05-11 19:13:00,2088754400.49708,3292379686.21149,0,0,0,0,0,0</t>
  </si>
  <si>
    <t>2025-05-11 19:13:00,-8495165.27392175,0,0,0,0,0,0,0</t>
  </si>
  <si>
    <t>2025-05-11 19:13:00,43126532.2291094,34129.3092664108,0,0,0,0,0,0</t>
  </si>
  <si>
    <t>2025-05-11 19:14:00,580,,570,,580,,562.5,,,,,580,550,,</t>
  </si>
  <si>
    <t>2025-05-11 19:14:00,500,,495,,490,,487,,,,,500,480,,0</t>
  </si>
  <si>
    <t>2025-05-11 19:14:00,,5500,,,,5800,,,,,,,,,</t>
  </si>
  <si>
    <t>2025-05-11 19:14:00,20100,,20275,,19500,,20175,,,,,20500,19400,,</t>
  </si>
  <si>
    <t>2025-05-11 19:14:00,3813088755.54943,12841150381.1575,0,0,0,0,0,0</t>
  </si>
  <si>
    <t>2025-05-11 19:14:00,2058551828.4468,3180419347.55603,0,0,0,0,0,0</t>
  </si>
  <si>
    <t>2025-05-11 19:14:00,-8483374.54330481,0,0,0,0,0,0,0</t>
  </si>
  <si>
    <t>2025-05-11 19:14:00,43120581.6538623,34082.6584660268,0,0,0,0,0,0</t>
  </si>
  <si>
    <t>2025-05-11 19:15:00,580,,570,,580,,562.5,,,,,580,550,,</t>
  </si>
  <si>
    <t>2025-05-11 19:15:00,500,,495,,490,,487,,,,,500,480,,0</t>
  </si>
  <si>
    <t>2025-05-11 19:15:00,,5700,,5660,,5800,5550,,,,,5800,5480,,</t>
  </si>
  <si>
    <t>2025-05-11 19:15:00,20100,,20275,,19500,,20175,,,,,20500,19400,,</t>
  </si>
  <si>
    <t>2025-05-11 19:15:00,3807219487.2563,12804846287.1824,0,0,0,0,0,0</t>
  </si>
  <si>
    <t>2025-05-11 19:15:00,2079885319.94957,3249290565.20298,0,0,0,0,0,0</t>
  </si>
  <si>
    <t>2025-05-11 19:15:00,-134503004.137668,-27370.1530438841,-3209.69402744149,-156,-43203.7361206618,-1205.93,0.111284957588298,-20.89</t>
  </si>
  <si>
    <t>2025-05-11 19:15:00,43128001.5076196,34121.856398084,0,0,0,0,0,0</t>
  </si>
  <si>
    <t>2025-05-11 19:16:00,580,,570,,580,,562.5,,,,,580,550,,</t>
  </si>
  <si>
    <t>2025-05-11 19:16:00,500,,495,,490,,487,,,,,500,480,,0</t>
  </si>
  <si>
    <t>2025-05-11 19:16:00,,5700,,5660,,5800,,,,,,5800,5480,,</t>
  </si>
  <si>
    <t>2025-05-11 19:16:00,20100,,20275,,19500,,20175,,,,,20500,19400,,</t>
  </si>
  <si>
    <t>2025-05-11 19:16:00,3695571520.06437,12164205857.0176,0,0,0,0,0,0</t>
  </si>
  <si>
    <t>2025-05-11 19:16:00,2021940171.40609,3065121306.79782,0,0,0,0,0,0</t>
  </si>
  <si>
    <t>2025-05-11 19:16:00,-131686941.726633,-10980.6469941837,-1624.80293542074,-95,-9653.06929158512,-390.95,-0.0614739371926495,-8.94</t>
  </si>
  <si>
    <t>2025-05-11 19:16:00,43125358.9282307,34076.0492208443,0,0,0,0,0,0</t>
  </si>
  <si>
    <t>2025-05-11 19:17:00,580,,570,,580,,562.5,,,,,580,550,,</t>
  </si>
  <si>
    <t>2025-05-11 19:17:00,500,,495,,490,,487,,,,,500,480,,0</t>
  </si>
  <si>
    <t>2025-05-11 19:17:00,,5700,,5660,,5800,5700,,,,,5800,5480,,</t>
  </si>
  <si>
    <t>2025-05-11 19:17:00,20100,,20275,,19500,,20175,,,,,20500,19400,,</t>
  </si>
  <si>
    <t>2025-05-11 19:17:00,3793881518.64325,12137385331.3664,0,0,0,0,0,0</t>
  </si>
  <si>
    <t>2025-05-11 19:17:00,2011567476.36111,3032957967.79407,0,0,0,0,0,0</t>
  </si>
  <si>
    <t>2025-05-11 19:17:00,-129786127.555289,-51932.6684342633,-2790.74761904762,-63,-72560.5014285715,-1033.38,0.167235792008526,-16.2</t>
  </si>
  <si>
    <t>2025-05-11 19:17:00,43132781.1086675,34102.8662421214,0,0,0,0,0,0</t>
  </si>
  <si>
    <t>2025-05-11 19:18:00,580,,570,,580,,562.5,,,,,580,550,,</t>
  </si>
  <si>
    <t>2025-05-11 19:18:00,500,,495,,490,,487,,,,,500,480,,0</t>
  </si>
  <si>
    <t>2025-05-11 19:18:00,,5700,,5660,,5800,5700,,,,,5800,5480,,</t>
  </si>
  <si>
    <t>2025-05-11 19:18:00,20100,,20275,,19500,,20175,,,,,20500,19400,,</t>
  </si>
  <si>
    <t>2025-05-11 19:18:00,3695826176.68209,12164663537.4356,0,0,0,0,0,0</t>
  </si>
  <si>
    <t>2025-05-11 19:18:00,2015206266.46932,3044168593.72278,0,0,0,0,0,0</t>
  </si>
  <si>
    <t>2025-05-11 19:18:00,-130634276.006358,-44736.6525930483,-1346.26904761905,-49,-41186.396404762,-305.93,-0.0329156571803659,-6.77</t>
  </si>
  <si>
    <t>2025-05-11 19:18:00,43127943.4409452,34085.6482548598,0,0,0,0,0,0</t>
  </si>
  <si>
    <t>2025-05-11 19:19:00,580,,570,,580,,562.5,,,,,580,550,,</t>
  </si>
  <si>
    <t>2025-05-11 19:19:00,500,,495,,490,,487,,,,,500,480,,0</t>
  </si>
  <si>
    <t>2025-05-11 19:19:00,,5700,,5660,,5800,5700,,,,,5800,5480,,</t>
  </si>
  <si>
    <t>2025-05-11 19:19:00,20100,,20275,,19500,,20175,,,,,20500,19400,,</t>
  </si>
  <si>
    <t>2025-05-11 19:19:00,3696070937.22981,12165671861.2874,0,0,0,0,0,0</t>
  </si>
  <si>
    <t>2025-05-11 19:19:00,2018567083.8302,3054780044.40413,0,0,0,0,0,0</t>
  </si>
  <si>
    <t>2025-05-11 19:19:00,-131365101.575016,-31186.7969031293,-1408.74742435942,-76,-21778.5306806646,-593.8,-0.0557885578831829,-12.47</t>
  </si>
  <si>
    <t>2025-05-11 19:19:00,43121702.4902687,34054.3058795868,0,0,0,0,0,0</t>
  </si>
  <si>
    <t>2025-05-11 19:20:00,580,,570,,580,,562.5,,,,,580,550,,</t>
  </si>
  <si>
    <t>2025-05-11 19:20:00,500,,495,,490,,487,,,,,500,480,,0</t>
  </si>
  <si>
    <t>2025-05-11 19:20:00,,5700,,5660,,5800,5700,,,,,5800,5480,,</t>
  </si>
  <si>
    <t>2025-05-11 19:20:00,20100,,20275,,19500,,20175,,,,,20500,19400,,</t>
  </si>
  <si>
    <t>2025-05-11 19:20:00,3807218231.98792,12808792155.0913,0,0,0,0,0,0</t>
  </si>
  <si>
    <t>2025-05-11 19:20:00,2083108614.54483,3259367509.62132,0,0,0,0,0,0</t>
  </si>
  <si>
    <t>2025-05-11 19:20:00,-136594855.132877,-58048.3259385529,-2878.87916666667,-69,-65530.6427083333,-909.79,0.0984566554129049,-16.42</t>
  </si>
  <si>
    <t>2025-05-11 19:20:00,43129046.8659582,34109.686599327,0,0,0,0,0,0</t>
  </si>
  <si>
    <t>2025-05-11 19:21:00,580,,570,,580,,562.5,,,,,580,550,,</t>
  </si>
  <si>
    <t>2025-05-11 19:21:00,500,,495,,490,,487,,,,,500,480,,0</t>
  </si>
  <si>
    <t>2025-05-11 19:21:00,,5700,,5660,,5800,5700,,,,,5800,5600,,</t>
  </si>
  <si>
    <t>2025-05-11 19:21:00,20100,,20275,,19500,,20175,,,,,20500,19400,,</t>
  </si>
  <si>
    <t>2025-05-11 19:21:00,3820149617.90793,12884203452.9138,0,0,0,0,0,0</t>
  </si>
  <si>
    <t>2025-05-11 19:21:00,2090566728.91665,3281469664.69687,0,0,0,0,0,0</t>
  </si>
  <si>
    <t>2025-05-11 19:21:00,-136497525.979473,-164010.406099647,-6690.44249999999,-91,-196875.751325,-2107.34,0.430690740090955,-33.99</t>
  </si>
  <si>
    <t>2025-05-11 19:21:00,43125194.9765526,34098.9406080865,0,0,0,0,0,0</t>
  </si>
  <si>
    <t>2025-05-11 19:22:00,580,,570,,580,,562.5,,,,,580,550,,</t>
  </si>
  <si>
    <t>2025-05-11 19:22:00,500,,495,,490,,487,,,,,500,480,,0</t>
  </si>
  <si>
    <t>2025-05-11 19:22:00,,5700,,5660,,5800,5700,,,,,5800,5600,,</t>
  </si>
  <si>
    <t>2025-05-11 19:22:00,20100,,20275,,19500,,20175,,,,,20500,19400,,</t>
  </si>
  <si>
    <t>2025-05-11 19:22:00,3741145960.35768,12426308213.6598,0,0,0,0,0,0</t>
  </si>
  <si>
    <t>2025-05-11 19:22:00,2011622137.55786,3033398797.35021,0,0,0,0,0,0</t>
  </si>
  <si>
    <t>2025-05-11 19:22:00,-133668392.203859,-185443.626501613,-1829.20416666667,-31,-29508.8097083333,-399.96,0.110849933599369,-4.54</t>
  </si>
  <si>
    <t>2025-05-11 19:22:00,43132772.4318491,34094.8021824436,0,0,0,0,0,0</t>
  </si>
  <si>
    <t>2025-05-11 19:23:00,580,,570,,580,,562.5,,,,,580,550,,</t>
  </si>
  <si>
    <t>2025-05-11 19:23:00,500,,495,,490,,487,,,,,500,480,,0</t>
  </si>
  <si>
    <t>2025-05-11 19:23:00,,5700,,5660,,5800,5700,,,,,5800,5600,,</t>
  </si>
  <si>
    <t>2025-05-11 19:23:00,20100,,20275,,19500,,20175,,,,,20500,19400,,</t>
  </si>
  <si>
    <t>2025-05-11 19:23:00,3761251494.67134,12542025527.2684,0,0,0,0,0,0</t>
  </si>
  <si>
    <t>2025-05-11 19:23:00,2062211585.63293,3193681822.80064,0,0,0,0,0,0</t>
  </si>
  <si>
    <t>2025-05-11 19:23:00,-135673802.623984,-201099.27547756,-1330.59047619048,-34,-26871.4145714285,-421.14,0.056451903264285,-7.74</t>
  </si>
  <si>
    <t>2025-05-11 19:23:00,43124125.8765811,34087.7309520563,0,0,0,0,0,0</t>
  </si>
  <si>
    <t>2025-05-11 19:24:00,580,,570,,580,,562.5,,,,,580,550,,</t>
  </si>
  <si>
    <t>2025-05-11 19:24:00,500,,495,,490,,487,,,,,500,480,,0</t>
  </si>
  <si>
    <t>2025-05-11 19:24:00,,5700,,5660,,5800,5700,,,,,5800,5600,,</t>
  </si>
  <si>
    <t>2025-05-11 19:24:00,20100,,20275,,19500,,20175,,,,,20500,19400,,</t>
  </si>
  <si>
    <t>2025-05-11 19:24:00,3721985251.90076,12315203632.6809,0,0,0,0,0,0</t>
  </si>
  <si>
    <t>2025-05-11 19:24:00,2032694539.21785,3099660493.53298,0,0,0,0,0,0</t>
  </si>
  <si>
    <t>2025-05-11 19:24:00,-134019576.964005,-209443.807259454,-540.366666666667,-15,-4075.841,-79.7,0.0190527547475355,-0.7</t>
  </si>
  <si>
    <t>2025-05-11 19:24:00,43121460.411915,34054.7385246332,0,0,0,0,0,0</t>
  </si>
  <si>
    <t>2025-05-11 19:25:00,580,,570,,580,,562.5,,,,,580,550,,</t>
  </si>
  <si>
    <t>2025-05-11 19:25:00,500,,496,,490,,487,,,,,500,480,,0</t>
  </si>
  <si>
    <t>2025-05-11 19:25:00,,5700,,5660,,5800,5700,,,,,5800,5600,,</t>
  </si>
  <si>
    <t>2025-05-11 19:25:00,20100,,20275,,19500,,20175,,,,,20500,19400,,</t>
  </si>
  <si>
    <t>2025-05-11 19:25:00,3739893586.9692,10919495513.2783,0,0,0,0,0,0</t>
  </si>
  <si>
    <t>2025-05-11 19:25:00,1937861633.67489,2636792600.15715,0,0,0,0,0,0</t>
  </si>
  <si>
    <t>2025-05-11 19:25:00,-141842790.023327,-174874.516482329,-3903.09952380952,-113,-124112.289319047,-1632.74,-0.115148919514303,-29.11</t>
  </si>
  <si>
    <t>2025-05-11 19:25:00,43128811.5789163,34150.0624692051,0,0,0,0,0,0</t>
  </si>
  <si>
    <t>2025-05-11 19:26:00,580,,570,,580,,562.5,,,,,580,550,,</t>
  </si>
  <si>
    <t>2025-05-11 19:26:00,500,,500,,490,,487,,,,,500,480,,0</t>
  </si>
  <si>
    <t>2025-05-11 19:26:00,,5700,,5660,,5800,5700,,,,,5800,5600,,</t>
  </si>
  <si>
    <t>2025-05-11 19:26:00,20100,,20275,,19500,,20175,,,,,20500,19400,,</t>
  </si>
  <si>
    <t>2025-05-11 19:26:00,3981594972.09337,13327466239.4105,0,0,0,0,0,0</t>
  </si>
  <si>
    <t>2025-05-11 19:26:00,1900436899.88433,2532033627.62912,0,0,0,0,0,0</t>
  </si>
  <si>
    <t>2025-05-11 19:26:00,-137995657.04546,-157121.841997824,-1064.23630952381,-38,-55766.4323630954,-1067.78,-0.0306947619879279,-15.22</t>
  </si>
  <si>
    <t>2025-05-11 19:26:00,43126455.5947967,34103.6529874096,0,0,0,0,0,0</t>
  </si>
  <si>
    <t>2025-05-11 19:27:00,580,,570,,580,,562.5,,,,,580,550,,</t>
  </si>
  <si>
    <t>2025-05-11 19:27:00,500,,500,,490,,495,,,,,500,480,,0</t>
  </si>
  <si>
    <t>2025-05-11 19:27:00,,5700,,5660,,5800,5700,,,,,5800,5600,,</t>
  </si>
  <si>
    <t>2025-05-11 19:27:00,20100,,20275,,19500,,20175,,,,,20500,19400,,</t>
  </si>
  <si>
    <t>2025-05-11 19:27:00,3986687595.58168,13351574403.8211,0,0,0,0,0,0</t>
  </si>
  <si>
    <t>2025-05-11 19:27:00,1825510416.843,2252440064.15424,0,0,0,0,0,0</t>
  </si>
  <si>
    <t>2025-05-11 19:27:00,-137258176.511783,-174134.062833372,-2364.52364035088,-37,-87651.3905557018,-1178.88,0.0703594264671717,-14.75</t>
  </si>
  <si>
    <t>2025-05-11 19:27:00,43133968.3555079,34129.5400483661,0,0,0,0,0,0</t>
  </si>
  <si>
    <t>2025-05-11 19:28:00,580,,570,,580,,562.5,,,,,580,550,,</t>
  </si>
  <si>
    <t>2025-05-11 19:28:00,500,,496,,490,,487,,,,,500,480,,0</t>
  </si>
  <si>
    <t>2025-05-11 19:28:00,,5700,,5660,,5800,5700,,,,,5800,5600,,</t>
  </si>
  <si>
    <t>2025-05-11 19:28:00,20100,,20275,,19500,,20175,,,,,20500,19400,,</t>
  </si>
  <si>
    <t>2025-05-11 19:28:00,3829423060.41889,11591529573.5426,0,0,0,0,0,0</t>
  </si>
  <si>
    <t>2025-05-11 19:28:00,1908217548.87928,2557192373.66841,0,0,0,0,0,0</t>
  </si>
  <si>
    <t>2025-05-11 19:28:00,-138722525.090803,-190121.526623541,-1036.68333333333,-17,-39177.7816666668,-423.45,0.0581087074095178,-7.21</t>
  </si>
  <si>
    <t>2025-05-11 19:28:00,43126789.5879847,34109.760581167,0,0,0,0,0,0</t>
  </si>
  <si>
    <t>2025-05-11 19:29:00,580,,570,,580,,562.5,,,,,580,550,,</t>
  </si>
  <si>
    <t>2025-05-11 19:29:00,500,,500,,490,,487,,,,,500,480,,0</t>
  </si>
  <si>
    <t>2025-05-11 19:29:00,,5700,,5660,,5800,5700,,,,,5800,5600,,</t>
  </si>
  <si>
    <t>2025-05-11 19:29:00,20100,,20275,,19500,,20175,,,,,20500,19400,,</t>
  </si>
  <si>
    <t>2025-05-11 19:29:00,3995572879.23516,13328863232.6087,0,0,0,0,0,0</t>
  </si>
  <si>
    <t>2025-05-11 19:29:00,1908116563.73991,2553040475.86767,0,0,0,0,0,0</t>
  </si>
  <si>
    <t>2025-05-11 19:29:00,-138409957.062941,-187168.638032011,-69.3333333333333,-6,-282.610666666667,-16.42,-0.00947788919234611,-0.67</t>
  </si>
  <si>
    <t>2025-05-11 19:29:00,43122727.8209751,34084.9258053896,0,0,0,0,0,0</t>
  </si>
  <si>
    <t>2025-05-11 19:30:00,580,,570,,580,,562.5,,,,,580,550,,</t>
  </si>
  <si>
    <t>2025-05-11 19:30:00,500,,496,,490,,487,,,,,500,480,,0</t>
  </si>
  <si>
    <t>2025-05-11 19:30:00,,5700,,5660,,5800,5700,,,,,5800,5600,,</t>
  </si>
  <si>
    <t>2025-05-11 19:30:00,20100,,20275,,19500,,20175,,,,,20500,19400,,</t>
  </si>
  <si>
    <t>2025-05-11 19:30:00,3824963231.13752,11530259216.4245,0,0,0,0,0,0</t>
  </si>
  <si>
    <t>2025-05-11 19:30:00,1914117085.17282,2569064305.52223,0,0,0,0,0,0</t>
  </si>
  <si>
    <t>2025-05-11 19:30:00,-138756272.833768,-190516.503524485,-1046.88333333333,-33,-49377.0493333333,-528.34,0.011849648145399,-10.22</t>
  </si>
  <si>
    <t>2025-05-11 19:30:00,43130218.3177119,34120.3574995997,0,0,0,0,0,0</t>
  </si>
  <si>
    <t>2025-05-11 19:31:00,580,,570,,580,,562.5,,,,,580,550,,</t>
  </si>
  <si>
    <t>2025-05-11 19:31:00,500,,496,,490,,487,,,,,500,480,,0</t>
  </si>
  <si>
    <t>2025-05-11 19:31:00,,5700,,5660,,5800,5700,,,,,5800,5600,,</t>
  </si>
  <si>
    <t>2025-05-11 19:31:00,20100,,20275,,19500,,20175,,,,,20500,19400,,</t>
  </si>
  <si>
    <t>2025-05-11 19:31:00,3828671073.47579,11303705266.6809,0,0,0,0,0,0</t>
  </si>
  <si>
    <t>2025-05-11 19:31:00,1979183212.48881,2735406999.66978,0,0,0,0,0,0</t>
  </si>
  <si>
    <t>2025-05-11 19:31:00,-145299566.637934,-207618.04741477,-2931.84201754387,-73,-90547.8930456145,-1172.83,0.011841205662828,-22.23</t>
  </si>
  <si>
    <t>2025-05-11 19:31:00,43127011.8020954,34139.7389017033,0,0,0,0,0,0</t>
  </si>
  <si>
    <t>2025-05-11 19:32:00,580,,570,,580,,562.5,,,,,580,550,,</t>
  </si>
  <si>
    <t>2025-05-11 19:32:00,500,,496,,490,,487,,,,,500,480,,0</t>
  </si>
  <si>
    <t>2025-05-11 19:32:00,,5700,,5660,,5800,5730,,,,,5800,5600,,</t>
  </si>
  <si>
    <t>2025-05-11 19:32:00,20100,,20275,,19500,,20175,,,,,20500,19400,,</t>
  </si>
  <si>
    <t>2025-05-11 19:32:00,3894840982.01814,11499731338.7341,0,0,0,0,0,0</t>
  </si>
  <si>
    <t>2025-05-11 19:32:00,2012074481.541,2908922900.68834,0,0,0,0,0,0</t>
  </si>
  <si>
    <t>2025-05-11 19:32:00,-146704491.012519,-303309.612227381,-11124.8161064426,-173,-780800.849033615,-9557.61,0.393108725305566,-120.76</t>
  </si>
  <si>
    <t>2025-05-11 19:32:00,43120438.3699751,34136.7495502474,0,0,0,0,0,0</t>
  </si>
  <si>
    <t>2025-05-11 19:33:00,580,,570,,580,,562.5,,,,,580,550,,</t>
  </si>
  <si>
    <t>2025-05-11 19:33:00,500,,496,,490,,487,,,,,500,480,,0</t>
  </si>
  <si>
    <t>2025-05-11 19:33:00,,5700,,5660,,5800,5730,,,,,5800,5600,,</t>
  </si>
  <si>
    <t>2025-05-11 19:33:00,20100,,20275,,19500,,20175,,,,,20500,19400,,</t>
  </si>
  <si>
    <t>2025-05-11 19:33:00,3843591088.41655,11379842082.2681,0,0,0,0,0,0</t>
  </si>
  <si>
    <t>2025-05-11 19:33:00,1999532078.60829,2859423638.13377,0,0,0,0,0,0</t>
  </si>
  <si>
    <t>2025-05-11 19:33:00,-146046674.347259,-328884.481583906,-2387.75714285714,-58,-39035.6743095238,-608.57,0.110711176994131,-7.49</t>
  </si>
  <si>
    <t>2025-05-11 19:33:00,43127963.771592,34161.3987898565,0,0,0,0,0,0</t>
  </si>
  <si>
    <t>2025-05-11 19:34:00,580,,574,,580,,562.5,,,,,580,550,,</t>
  </si>
  <si>
    <t>2025-05-11 19:34:00,500,,496,,490,,487,,,,,500,480,,0</t>
  </si>
  <si>
    <t>2025-05-11 19:34:00,,5700,,5660,,5800,5730,,,,,5800,5600,,</t>
  </si>
  <si>
    <t>2025-05-11 19:34:00,20100,,20275,,19500,,20175,,,,,20500,19400,,</t>
  </si>
  <si>
    <t>2025-05-11 19:34:00,3940799651.22261,11724593424.4348,0,0,0,0,0,0</t>
  </si>
  <si>
    <t>2025-05-11 19:34:00,2025299846.03639,2962283187.31577,0,0,0,0,0,0</t>
  </si>
  <si>
    <t>2025-05-11 19:34:00,-147321928.049372,-331923.598361166,-3374.55571428572,-94,-162959.239957144,-1878.17,0.00519678651781689,-21.71</t>
  </si>
  <si>
    <t>2025-05-11 19:34:00,43124556.8818864,34153.5925526883,0,0,0,0,0,0</t>
  </si>
  <si>
    <t>2025-05-11 19:35:00,580,,574,,580,,562.5,,,,,580,550,,</t>
  </si>
  <si>
    <t>2025-05-11 19:35:00,500,,496,,490,,487,,,,,500,480,,0</t>
  </si>
  <si>
    <t>2025-05-11 19:35:00,,5700,,5660,,5800,5730,,,,,5800,5600,,</t>
  </si>
  <si>
    <t>2025-05-11 19:35:00,20100,,20275,,19500,,20175,,,,,20500,19400,,</t>
  </si>
  <si>
    <t>2025-05-11 19:35:00,3975139383.7162,11898696327.0817,0,0,0,0,0,0</t>
  </si>
  <si>
    <t>2025-05-11 19:35:00,2041499728.93585,3024283281.5393,0,0,0,0,0,0</t>
  </si>
  <si>
    <t>2025-05-11 19:35:00,-148832366.001622,-338104.548579714,-2076.13333333333,-78,-26133.454,-466.64,0.0111458296761921,-9.1</t>
  </si>
  <si>
    <t>2025-05-11 19:35:00,43132076.9106855,34193.3672710159,0,0,0,0,0,0</t>
  </si>
  <si>
    <t>2025-05-11 19:36:00,580,,574,,580,,562.5,,,,,580,550,,</t>
  </si>
  <si>
    <t>2025-05-11 19:36:00,500,,496,,490,,487,,,,,500,480,,0</t>
  </si>
  <si>
    <t>2025-05-11 19:36:00,,5700,,5660,,5800,5730,,,,,5800,5600,,</t>
  </si>
  <si>
    <t>2025-05-11 19:36:00,20100,,20275,,19500,,20175,,,,,20500,19400,,</t>
  </si>
  <si>
    <t>2025-05-11 19:36:00,3936845831.32427,11701154007.1777,0,0,0,0,0,0</t>
  </si>
  <si>
    <t>2025-05-11 19:36:00,2028203486.51626,2973220771.07698,0,0,0,0,0,0</t>
  </si>
  <si>
    <t>2025-05-11 19:36:00,-147644804.497758,-336535.855890459,-2109.05,-76,-43254.1765,-595.87,-0.0354042891647467,-13.28</t>
  </si>
  <si>
    <t>2025-05-11 19:36:00,43125188.2988776,34164.9140939758,0,0,0,0,0,0</t>
  </si>
  <si>
    <t>2025-05-11 19:37:00,580,,574,,580,,562.5,,,,,580,550,,</t>
  </si>
  <si>
    <t>2025-05-11 19:37:00,500,,496,,490,,487,,,,,500,480,,0</t>
  </si>
  <si>
    <t>2025-05-11 19:37:00,,5700,,5660,,5800,5730,,,,,5800,5600,,</t>
  </si>
  <si>
    <t>2025-05-11 19:37:00,20100,,20275,,19500,,20175,,,,,20500,19400,,</t>
  </si>
  <si>
    <t>2025-05-11 19:37:00,3951465846.27082,11777945875.0803,0,0,0,0,0,0</t>
  </si>
  <si>
    <t>2025-05-11 19:37:00,2022806412.4013,2951507258.25635,0,0,0,0,0,0</t>
  </si>
  <si>
    <t>2025-05-11 19:37:00,-148118483.824689,-336530.917730576,-304.99,-8,-8584.61636666669,-119.56,0.0126769313184912,-2.41</t>
  </si>
  <si>
    <t>2025-05-11 19:37:00,43115917.1394223,34131.5468264516,0,0,0,0,0,0</t>
  </si>
  <si>
    <t>2025-05-11 19:38:00,580,,574,,580,,562.5,,,,,580,550,,</t>
  </si>
  <si>
    <t>2025-05-11 19:38:00,500,,496,,490,,487,,,,,500,480,,0</t>
  </si>
  <si>
    <t>2025-05-11 19:38:00,,5700,,5660,,5800,5730,,,,,5800,5730,,</t>
  </si>
  <si>
    <t>2025-05-11 19:38:00,20100,,20275,,19500,,20175,,,,,20500,19400,,</t>
  </si>
  <si>
    <t>2025-05-11 19:38:00,3975613093.83841,11902110977.6785,0,0,0,0,0,0</t>
  </si>
  <si>
    <t>2025-05-11 19:38:00,2054240245.26631,3060442066.98498,0,0,0,0,0,0</t>
  </si>
  <si>
    <t>2025-05-11 19:38:00,-149047530.757909,-372212.577284594,-4382.35000000001,-57,-271831.700500001,-2964.43,0.148793559544267,-42.29</t>
  </si>
  <si>
    <t>2025-05-11 19:38:00,43123694.6036957,34177.9084538895,0,0,0,0,0,0</t>
  </si>
  <si>
    <t>2025-05-11 19:39:00,580,,574,,580,,562.5,,,,,580,550,,</t>
  </si>
  <si>
    <t>2025-05-11 19:39:00,500,,496,,490,,487,,,,,500,480,,0</t>
  </si>
  <si>
    <t>2025-05-11 19:39:00,,5700,,5660,,5800,5730,,,,,5800,5730,,</t>
  </si>
  <si>
    <t>2025-05-11 19:39:00,20100,,20275,,19500,,20175,,,,,20500,19400,,</t>
  </si>
  <si>
    <t>2025-05-11 19:39:00,3983036810.23896,11947831346.2051,0,0,0,0,0,0</t>
  </si>
  <si>
    <t>2025-05-11 19:39:00,2058685144.58684,3063253806.23683,0,0,0,0,0,0</t>
  </si>
  <si>
    <t>2025-05-11 19:39:00,-149337630.660918,-367340.32453049,-1501.91666666667,-41,-50812.3135000001,-542.2,-0.02066266132102,-12.53</t>
  </si>
  <si>
    <t>2025-05-11 19:39:00,43117997.6420288,34161.6878998927,0,0,0,0,0,0</t>
  </si>
  <si>
    <t>2025-05-11 19:40:00,580,,574,,580,,562.5,,,,,580,550,,</t>
  </si>
  <si>
    <t>2025-05-11 19:40:00,500,,496,,490,,487,,,,,500,480,,0</t>
  </si>
  <si>
    <t>2025-05-11 19:40:00,,5700,,5660,,5800,5730,,,,,5800,5730,,</t>
  </si>
  <si>
    <t>2025-05-11 19:40:00,20100,,20275,,19500,,20175,,,,,20500,19400,,</t>
  </si>
  <si>
    <t>2025-05-11 19:40:00,3993924937.93197,12026228115.249,0,0,0,0,0,0</t>
  </si>
  <si>
    <t>2025-05-11 19:40:00,2054524420.19536,3061196700.70331,0,0,0,0,0,0</t>
  </si>
  <si>
    <t>2025-05-11 19:40:00,-149101768.43877,-373208.432158441,-383.891666666666,-9,-8310.45858333333,-114,0.0244773016813328,-2.44</t>
  </si>
  <si>
    <t>2025-05-11 19:40:00,43125559.3872369,34190.6560467819,0,0,0,0,0,0</t>
  </si>
  <si>
    <t>2025-05-11 19:41:00,580,,574,,580,,562.5,,,,,580,550,,</t>
  </si>
  <si>
    <t>2025-05-11 19:41:00,500,,497,,490,,487,,,,,500,480,,0</t>
  </si>
  <si>
    <t>2025-05-11 19:41:00,,5700,,5660,,5800,5730,,,,,5800,5730,,</t>
  </si>
  <si>
    <t>2025-05-11 19:41:00,20100,,20275,,19500,,20175,,,,,20500,19400,,</t>
  </si>
  <si>
    <t>2025-05-11 19:41:00,3994220960.46204,12027820403.7664,0,0,0,0,0,0</t>
  </si>
  <si>
    <t>2025-05-11 19:41:00,2051782198.38367,2570641530.46376,0,0,0,0,0,0</t>
  </si>
  <si>
    <t>2025-05-11 19:41:00,-150937126.453238,-371545.608047531,-1341.0230952381,-49,-40116.1004071428,-559.72,-0.0261637965081059,-9.88</t>
  </si>
  <si>
    <t>2025-05-11 19:41:00,43118016.6245505,34179.7527100871,0,0,0,0,0,0</t>
  </si>
  <si>
    <t>2025-05-11 19:42:00,580,,574,,580,,562.5,,,,,580,550,,</t>
  </si>
  <si>
    <t>2025-05-11 19:42:00,500,,497,,490,,487,,,,,500,480,,0</t>
  </si>
  <si>
    <t>2025-05-11 19:42:00,,5700,,5660,,5800,5730,,,,,5800,5730,,</t>
  </si>
  <si>
    <t>2025-05-11 19:42:00,20100,,20275,,19500,,20175,,,,,20500,19400,,</t>
  </si>
  <si>
    <t>2025-05-11 19:42:00,3970214104.09071,11991793273.1209,0,0,0,0,0,0</t>
  </si>
  <si>
    <t>2025-05-11 19:42:00,2061594089.82282,2592347632.79253,0,0,0,0,0,0</t>
  </si>
  <si>
    <t>2025-05-11 19:42:00,-151387114.694671,-424942.178919518,-3636.96272727273,-63,-97292.4182909093,-1111.84,0.211390126102774,-14.16</t>
  </si>
  <si>
    <t>2025-05-11 19:42:00,43109721.521817,34156.3733583364,0,0,0,0,0,0</t>
  </si>
  <si>
    <t>2025-05-11 19:43:00,580,,574,,580,,562.5,,,,,580,550,,</t>
  </si>
  <si>
    <t>2025-05-11 19:43:00,500,,497,,490,,496,,,,,500,480,,0</t>
  </si>
  <si>
    <t>2025-05-11 19:43:00,,5700,,5660,,5800,5730,,,,,5800,5730,,</t>
  </si>
  <si>
    <t>2025-05-11 19:43:00,20100,,20275,,19500,,20175,,,,,20500,19400,,</t>
  </si>
  <si>
    <t>2025-05-11 19:43:00,3994361057.29262,12030362697.9742,0,0,0,0,0,0</t>
  </si>
  <si>
    <t>2025-05-11 19:43:00,2033606705.23735,2410600363.29655,0,0,0,0,0,0</t>
  </si>
  <si>
    <t>2025-05-11 19:43:00,-149874031.129974,-423481.563370904,-856.752380952379,-19,-52465.2478571427,-648.17,0.00849498602775087,-7.25</t>
  </si>
  <si>
    <t>2025-05-11 19:43:00,43117180.5523283,34176.6842173149,0,0,0,0,0,0</t>
  </si>
  <si>
    <t>2025-05-11 19:44:00,580,,574,,580,,562.5,,,,,580,550,,</t>
  </si>
  <si>
    <t>2025-05-11 19:44:00,500,,497,,490,,487,,,,,500,480,,0</t>
  </si>
  <si>
    <t>2025-05-11 19:44:00,,5700,,5660,,5800,5730,,,,,5800,5730,,</t>
  </si>
  <si>
    <t>2025-05-11 19:44:00,20100,,20275,,19500,,20175,,,,,20500,19400,,</t>
  </si>
  <si>
    <t>2025-05-11 19:44:00,3994410703.94285,12030878388.0146,0,0,0,0,0,0</t>
  </si>
  <si>
    <t>2025-05-11 19:44:00,2047485127.95579,2561265203.46592,0,0,0,0,0,0</t>
  </si>
  <si>
    <t>2025-05-11 19:44:00,-150135457.947314,-427063.631485513,-595.766666666666,-16,-16339.7826666667,-208.34,0.012250564785039,-4.73</t>
  </si>
  <si>
    <t>2025-05-11 19:44:00,43116453.9872454,34164.072716798,0,0,0,0,0,0</t>
  </si>
  <si>
    <t>2025-05-11 19:45:00,580,,574,,580,,562.5,,,,,580,550,,</t>
  </si>
  <si>
    <t>2025-05-11 19:45:00,500,,497,,490,,496,,,,,500,480,,</t>
  </si>
  <si>
    <t>2025-05-11 19:45:00,,5700,,5660,,5800,5730,,,,,5800,5730,,5830</t>
  </si>
  <si>
    <t>2025-05-11 19:45:00,20100,,20275,,19500,,20175,,,,,20500,19400,,</t>
  </si>
  <si>
    <t>2025-05-11 19:45:00,3994549631.20871,12030380332.1822,0,0,0,0,0,0</t>
  </si>
  <si>
    <t>2025-05-11 19:45:00,2036367554.90107,2415967489.49129,0,0,0,0,0,0</t>
  </si>
  <si>
    <t>2025-05-11 19:45:00,-149592387.405653,-441702.330334995,-1187.85833333333,-32,-31849.1094166667,-418.39,0.0443669266409232,-6.55</t>
  </si>
  <si>
    <t>2025-05-11 19:45:00,43111239.8351206,34135.116439381,0,0,0,0,0,0</t>
  </si>
  <si>
    <t>2025-05-11 19:47:00,580,,574,,580,,562.5,,,,,580,550,,</t>
  </si>
  <si>
    <t>2025-05-11 19:47:00,500,,497,,490,,496,,,,,500,480,,</t>
  </si>
  <si>
    <t>2025-05-11 19:47:00,,5700,,5660,,5800,5730,,,,,5800,5730,,5840</t>
  </si>
  <si>
    <t>2025-05-11 19:47:00,20100,,20275,,19500,,20175,,,,,20500,19400,,</t>
  </si>
  <si>
    <t>2025-05-11 19:47:00,3994820963.41021,12034018446.7229,0,0,0,0,0,0</t>
  </si>
  <si>
    <t>2025-05-11 19:47:00,2033497301.53319,2410336478.01186,0,0,0,0,0,0</t>
  </si>
  <si>
    <t>2025-05-11 19:47:00,-148949318.796405,-435182.829362724,-440.924523809524,-21,-6343.06779523809,-140.1,-0.0170612857614612,-3.27</t>
  </si>
  <si>
    <t>2025-05-11 19:47:00,43118919.4349523,34165.9799108142,0,0,0,0,0,0</t>
  </si>
  <si>
    <t>2025-05-11 19:48:00,580,,574,,580,,562.5,,,,,580,550,,</t>
  </si>
  <si>
    <t>2025-05-11 19:48:00,500,,497,,490,,487,,,,,500,480,,</t>
  </si>
  <si>
    <t>2025-05-11 19:48:00,,5700,,5660,,5800,5730,,,,,5830,5730,,5830</t>
  </si>
  <si>
    <t>2025-05-11 19:48:00,20100,,20275,,19500,,20175,,,,,20500,19400,,</t>
  </si>
  <si>
    <t>2025-05-11 19:48:00,3994733300.4068,12032232373.7498,0,0,0,0,0,0</t>
  </si>
  <si>
    <t>2025-05-11 19:48:00,2057149404.319,2582838098.32052,0,0,0,0,0,0</t>
  </si>
  <si>
    <t>2025-05-11 19:48:00,-150091362.312599,-437778.599888937,-243.433333333332,-8,-1151.84799999999,-21.61,-0.00675418423040103,-0.63</t>
  </si>
  <si>
    <t>2025-05-11 19:48:00,43103922.8624563,34143.1169012173,0,0,0,0,0,0</t>
  </si>
  <si>
    <t>2025-05-11 19:49:00,580,,574,,580,,562.5,,,,,580,550,,</t>
  </si>
  <si>
    <t>2025-05-11 19:49:00,500,,497,,490,,487,,,,,500,480,,</t>
  </si>
  <si>
    <t>2025-05-11 19:49:00,,5700,,5650,,5800,5730,,,,,5830,5730,,5650</t>
  </si>
  <si>
    <t>2025-05-11 19:49:00,20100,,20275,,19500,,20175,,,,,20500,19400,,</t>
  </si>
  <si>
    <t>2025-05-11 19:49:00,3969892270.1538,11996644748.8641,0,0,0,0,0,0</t>
  </si>
  <si>
    <t>2025-05-11 19:49:00,2071695521.56342,2616006703.68615,0,0,0,0,0,0</t>
  </si>
  <si>
    <t>2025-05-11 19:49:00,-149918937.315505,-540226.131769774,-7296.68550724637,-98,-342909.828260869,-3547.09,0.415160054022509,-46.44</t>
  </si>
  <si>
    <t>2025-05-11 19:49:00,43111640.8468454,34183.7856769336,0,0,0,0,0,0</t>
  </si>
  <si>
    <t>2025-05-11 19:50:00,580,,574,,580,,562.5,,,,,580,550,,</t>
  </si>
  <si>
    <t>2025-05-11 19:50:00,500,,497,,490,,487,,,,,500,480,,</t>
  </si>
  <si>
    <t>2025-05-11 19:50:00,,5700,,5650,,5800,5730,,,,,5830,5730,,5650</t>
  </si>
  <si>
    <t>2025-05-11 19:50:00,20100,,20275,,19500,,20175,,,,,20500,19400,,</t>
  </si>
  <si>
    <t>2025-05-11 19:50:00,3995250429.32758,12034993131.9106,0,0,0,0,0,0</t>
  </si>
  <si>
    <t>2025-05-11 19:50:00,2049853483.86477,2566896702.28087,0,0,0,0,0,0</t>
  </si>
  <si>
    <t>2025-05-11 19:50:00,-149522540.684515,-538806.259219345,-74.1999999999999,-5,-161.994666666666,-9.44,-0.00765276005836803,-0.49</t>
  </si>
  <si>
    <t>2025-05-11 19:50:00,43107710.919165,34147.0843959243,0,0,0,0,0,0</t>
  </si>
  <si>
    <t>2025-05-11 19:51:00,580,,574,,580,,562.5,,,,,580,550,,</t>
  </si>
  <si>
    <t>2025-05-11 19:51:00,500,,497,,490,,487,,,,,500,480,,</t>
  </si>
  <si>
    <t>2025-05-11 19:51:00,,5700,,5650,,5800,5730,,,,,5830,5730,,5650</t>
  </si>
  <si>
    <t>2025-05-11 19:51:00,20100,,20275,,19500,,20175,,,,,20500,19400,,</t>
  </si>
  <si>
    <t>2025-05-11 19:51:00,3993647218.56037,12020821591.5271,0,0,0,0,0,0</t>
  </si>
  <si>
    <t>2025-05-11 19:51:00,2081702823.41395,2638489347.30956,0,0,0,0,0,0</t>
  </si>
  <si>
    <t>2025-05-11 19:51:00,-150973286.483564,-545826.743819298,-540.383333333332,-9,-18437.5066666666,-177.3,0.0124387639808051,-4.54</t>
  </si>
  <si>
    <t>2025-05-11 19:51:00,43099016.755049,34142.4909939996,0,0,0,0,0,0</t>
  </si>
  <si>
    <t>2025-05-11 19:52:00,580,,574,,580,,562.5,,,,,580,550,,</t>
  </si>
  <si>
    <t>2025-05-11 19:52:00,500,,497,,490,,487,,,,,500,480,,</t>
  </si>
  <si>
    <t>2025-05-11 19:52:00,,5700,,5660,,5800,5760,,,,,5830,5730,,5650</t>
  </si>
  <si>
    <t>2025-05-11 19:52:00,20100,,20275,,19500,,20175,,,,,20500,19400,,</t>
  </si>
  <si>
    <t>2025-05-11 19:52:00,3962811907.25401,11840240479.5576,0,0,0,0,0,0</t>
  </si>
  <si>
    <t>2025-05-11 19:52:00,2062038313.40406,2593965807.9661,0,0,0,0,0,0</t>
  </si>
  <si>
    <t>2025-05-11 19:52:00,-150129491.449102,-592810.843582092,-2330.47619047619,-24,-120296.198095238,-1232.4,0.205261708635441,-18.97</t>
  </si>
  <si>
    <t>2025-05-11 19:52:00,43106615.6838441,34163.4251384408,0,0,0,0,0,0</t>
  </si>
  <si>
    <t>2025-05-11 19:53:00,580,,574,,580,,562.5,,,,,580,550,,</t>
  </si>
  <si>
    <t>2025-05-11 19:53:00,500,,497,,490,,487,,,,,500,480,,</t>
  </si>
  <si>
    <t>2025-05-11 19:53:00,,5700,,5660,,5800,5760,,,,,5830,5730,,5790</t>
  </si>
  <si>
    <t>2025-05-11 19:53:00,20100,,20275,,19500,,20175,,,,,20500,19400,,</t>
  </si>
  <si>
    <t>2025-05-11 19:53:00,3953305131.46331,11791219977.763,0,0,0,0,0,0</t>
  </si>
  <si>
    <t>2025-05-11 19:53:00,2074417225.42017,2622124831.27071,0,0,0,0,0,0</t>
  </si>
  <si>
    <t>2025-05-11 19:53:00,-148101218.416862,-587267.605905964,-670.866666666667,-21,-23563.072,-270.74,0.00212300884945725,-4.75</t>
  </si>
  <si>
    <t>2025-05-11 19:53:00,43101493.2846383,34141.0887575694,0,0,0,0,0,0</t>
  </si>
  <si>
    <t>2025-05-11 19:54:00,580,,570,,580,,562.5,,,,,580,550,,</t>
  </si>
  <si>
    <t>2025-05-11 19:54:00,500,,497,,490,,487,,,,,500,480,,</t>
  </si>
  <si>
    <t>2025-05-11 19:54:00,,5700,,5650,,5800,5760,,,,,5830,5730,,5790</t>
  </si>
  <si>
    <t>2025-05-11 19:54:00,20100,,20275,,19500,,20175,,,,,20500,19400,,</t>
  </si>
  <si>
    <t>2025-05-11 19:54:00,3912032452.31076,11592457829.0365,0,0,0,0,0,0</t>
  </si>
  <si>
    <t>2025-05-11 19:54:00,2059622430.77596,2588832579.32988,0,0,0,0,0,0</t>
  </si>
  <si>
    <t>2025-05-11 19:54:00,-146867862.20477,-655938.176680113,-597.404761904761,-13,-19604.0934285714,-357.8,0.0839691900585022,-4.36</t>
  </si>
  <si>
    <t>2025-05-11 19:54:00,43109162.0286662,34165.0712599223,0,0,0,0,0,0</t>
  </si>
  <si>
    <t>2025-05-11 19:55:00,580,,570,,580,,562.5,,,,,580,550,,</t>
  </si>
  <si>
    <t>2025-05-11 19:55:00,500,,497,,490,,496,,,,,500,480,,</t>
  </si>
  <si>
    <t>2025-05-11 19:55:00,,5700,,5650,,5800,5760,,,,,5830,5730,,5650</t>
  </si>
  <si>
    <t>2025-05-11 19:55:00,20100,,20275,,19500,,20175,,,,,20500,19400,,</t>
  </si>
  <si>
    <t>2025-05-11 19:55:00,3813947572.19168,11259862570.2756,0,0,0,0,0,0</t>
  </si>
  <si>
    <t>2025-05-11 19:55:00,2034011857.64646,2411434163.87658,0,0,0,0,0,0</t>
  </si>
  <si>
    <t>2025-05-11 19:55:00,-144999054.017922,-668758.989964694,-1215.04583333333,-24,-41322.49025,-582.48,0.0820064025272856,-10.81</t>
  </si>
  <si>
    <t>2025-05-11 19:55:00,43107161.1848793,34135.2707546318,0,0,0,0,0,0</t>
  </si>
  <si>
    <t>2025-05-11 19:56:00,580,,570,,580,,562.5,,,,,580,550,,</t>
  </si>
  <si>
    <t>2025-05-11 19:56:00,500,,496,,490,,487,,,,,500,480,,</t>
  </si>
  <si>
    <t>2025-05-11 19:56:00,,5700,,5650,,5800,5760,,,,,5830,5730,,5650</t>
  </si>
  <si>
    <t>2025-05-11 19:56:00,20100,,20275,,19500,,20175,,,,,20500,19400,,</t>
  </si>
  <si>
    <t>2025-05-11 19:56:00,3809415038.00553,11237193233.4329,0,0,0,0,0,0</t>
  </si>
  <si>
    <t>2025-05-11 19:56:00,2024994905.19231,2973597657.97204,0,0,0,0,0,0</t>
  </si>
  <si>
    <t>2025-05-11 19:56:00,-143278439.343515,-660622.495519169,-329.261904761905,-11,-4184.86214285715,-72.19,0.00273038993233614,-1.38</t>
  </si>
  <si>
    <t>2025-05-11 19:56:00,43104530.8057202,34088.9014932834,0,0,0,0,0,0</t>
  </si>
  <si>
    <t>2025-05-11 19:57:00,580,,570,,580,,562.5,,,,,580,550,,</t>
  </si>
  <si>
    <t>2025-05-11 19:57:00,500,,496,,490,,487,,,,,500,480,,</t>
  </si>
  <si>
    <t>2025-05-11 19:57:00,,5700,,5650,,5800,5760,,,,,5830,5730,,5650</t>
  </si>
  <si>
    <t>2025-05-11 19:57:00,20100,,20275,,19500,,20175,,,,,20500,19400,,</t>
  </si>
  <si>
    <t>2025-05-11 19:57:00,3809389617.85815,11237423211.3036,0,0,0,0,0,0</t>
  </si>
  <si>
    <t>2025-05-11 19:57:00,2031181613.417,2985694959.52505,0,0,0,0,0,0</t>
  </si>
  <si>
    <t>2025-05-11 19:57:00,-143094122.510338,-662809.785493549,-399.46,-14,-11733.6791333333,-158.33,0.00240389493228249,-2.97</t>
  </si>
  <si>
    <t>2025-05-11 19:57:00,43112138.2866655,34122.2168743737,0,0,0,0,0,0</t>
  </si>
  <si>
    <t>2025-05-11 19:58:00,580,,570,,580,,562.5,,,,,580,550,,</t>
  </si>
  <si>
    <t>2025-05-11 19:58:00,500,,496,,490,,487,,,,,500,480,,</t>
  </si>
  <si>
    <t>2025-05-11 19:58:00,,5700,,5650,,5800,5760,,,,,5830,5730,,5650</t>
  </si>
  <si>
    <t>2025-05-11 19:58:00,20100,,20275,,19500,,20175,,,,,20500,19400,,</t>
  </si>
  <si>
    <t>2025-05-11 19:58:00,3809641455.82147,11239576725.1206,0,0,0,0,0,0</t>
  </si>
  <si>
    <t>2025-05-11 19:58:00,2015470672.49881,2922170709.02658,0,0,0,0,0,0</t>
  </si>
  <si>
    <t>2025-05-11 19:58:00,-142044673.240502,-667661.592072469,-927.266666666667,-20,-14241.3653333333,-183.56,0.0417086107920445,-1.93</t>
  </si>
  <si>
    <t>2025-05-11 19:58:00,43106759.467153,34087.7708218111,0,0,0,0,0,0</t>
  </si>
  <si>
    <t>2025-05-11 19:59:00,580,,570,,580,,562.5,,,,,580,550,,</t>
  </si>
  <si>
    <t>2025-05-11 19:59:00,500,,496,,490,,487,,,,,500,480,,</t>
  </si>
  <si>
    <t>2025-05-11 19:59:00,,5700,,5650,,5800,5760,,,,,5830,5730,,5650</t>
  </si>
  <si>
    <t>2025-05-11 19:59:00,20100,,20275,,19500,,20175,,,,,20500,19400,,</t>
  </si>
  <si>
    <t>2025-05-11 19:59:00,3830393077.33087,11332526886.0388,0,0,0,0,0,0</t>
  </si>
  <si>
    <t>2025-05-11 19:59:00,2037095001.83707,3006430522.25955,0,0,0,0,0,0</t>
  </si>
  <si>
    <t>2025-05-11 19:59:00,-143806634.915667,-680606.016388034,-921.900000000001,-18,-11934.002,-121.11,0.00369778968114537,-2.01</t>
  </si>
  <si>
    <t>2025-05-11 19:59:00,43114341.9170339,34130.6019169685,0,0,0,0,0,0</t>
  </si>
  <si>
    <t>2025-05-11 20:00:00,580,,570,,580,,562.5,,,,,580,550,,</t>
  </si>
  <si>
    <t>2025-05-11 20:00:00,500,,496,,490,,487,,,,,500,480,,</t>
  </si>
  <si>
    <t>2025-05-11 20:00:00,,5700,,5650,,5800,5760,,,,,5830,5730,,5790</t>
  </si>
  <si>
    <t>2025-05-11 20:00:00,20100,,20275,,19500,,20175,,,,,20500,19400,,</t>
  </si>
  <si>
    <t>2025-05-11 20:00:00,3830636699.04776,11332747029.3348,0,0,0,0,0,0</t>
  </si>
  <si>
    <t>2025-05-11 20:00:00,2036930827.45276,3006912589.88644,0,0,0,0,0,0</t>
  </si>
  <si>
    <t>2025-05-11 20:00:00,-143815395.058173,-667372.408013719,-825.983333333335,-36,-4970.48966666668,-159.27,-0.0554072670620583,-5.72</t>
  </si>
  <si>
    <t>2025-05-11 20:00:00,43107904.9126644,34102.4893092303,0,0,0,0,0,0</t>
  </si>
  <si>
    <t>2025-05-11 20:01:00,580,,570,,580,,562.5,,,,,580,550,,</t>
  </si>
  <si>
    <t>2025-05-11 20:01:00,500,,496,,490,,487,,,,,500,480,,</t>
  </si>
  <si>
    <t>2025-05-11 20:01:00,,5700,,5650,,5800,5760,,,,,5800,5730,,5650</t>
  </si>
  <si>
    <t>2025-05-11 20:01:00,20100,,20275,,19500,,20175,,,,,20500,19400,,</t>
  </si>
  <si>
    <t>2025-05-11 20:01:00,3793880176.25436,11172850962.405,0,0,0,0,0,0</t>
  </si>
  <si>
    <t>2025-05-11 20:01:00,2061195865.74544,3058717542.09717,0,0,0,0,0,0</t>
  </si>
  <si>
    <t>2025-05-11 20:01:00,-145162048.152155,-682259.952826317,-1479.07,-32,-55846.6054333334,-718.57,0.0377337178147674,-12.81</t>
  </si>
  <si>
    <t>2025-05-11 20:01:00,43106538.119528,34094.0814882295,0,0,0,0,0,0</t>
  </si>
  <si>
    <t>2025-05-11 20:02:00,580,,574,,580,,562.5,,,,,580,550,,</t>
  </si>
  <si>
    <t>2025-05-11 20:02:00,500,,497,,490,,487,,,,,500,480,,</t>
  </si>
  <si>
    <t>2025-05-11 20:02:00,,5700,,5650,,5800,5730,,,,,5840,5730,,5840</t>
  </si>
  <si>
    <t>2025-05-11 20:02:00,20100,,20275,,19500,,20175,,,,,20500,19400,,</t>
  </si>
  <si>
    <t>2025-05-11 20:02:00,3981657556.29437,11946175669.831,0,0,0,0,0,0</t>
  </si>
  <si>
    <t>2025-05-11 20:02:00,2150918797.1333,2826761007.90758,0,0,0,0,0,0</t>
  </si>
  <si>
    <t>2025-05-11 20:02:00,-150738912.897325,-685754.215882018,-1425.99166666666,-80,-19980.27025,-326.29,-0.080371677310037,-9.33</t>
  </si>
  <si>
    <t>2025-05-11 20:02:00,43113850.6508439,34192.1582777571,0,0,0,0,0,0</t>
  </si>
  <si>
    <t>2025-05-11 21:07:00,580,,574,,580,,562.5,572,,,,580,560,,</t>
  </si>
  <si>
    <t>2025-05-11 21:07:00,500,,497,,490,,487,,,,,500,480,,</t>
  </si>
  <si>
    <t>2025-05-11 21:07:00,,5700,,5680,,5800,5780,,,,,5830,5680,,</t>
  </si>
  <si>
    <t>2025-05-11 21:07:00,20100,,20700,,20100,,20175,,,,,20700,19900,,</t>
  </si>
  <si>
    <t>2025-05-11 21:07:00,4825710880.30763,12943746438.4387,305907.328822471,282897,2017293.68631591,868244.36,14720.7061696347,59357.57</t>
  </si>
  <si>
    <t>2025-05-11 21:07:00,2949142243.65209,3418618563.15725,-91358.2915027091,-210725,539962.077877898,-485773.24,-9113.98713720943,-172534.69</t>
  </si>
  <si>
    <t>2025-05-11 21:07:00,-94030139.9302648,-368628.502262469,,-3956,,-34389.63,-0.371650103439374,-1049.32</t>
  </si>
  <si>
    <t>2025-05-11 21:07:00,55678085.9504352,518683.60595091,1504.06931877996,2049,120464.61441482,24820.83,1.76153252248516,120.79</t>
  </si>
  <si>
    <t>2025-05-11 21:08:00,580,,574,,580,,562.5,,,,,580,560,,</t>
  </si>
  <si>
    <t>2025-05-11 21:08:00,500,,497,,490,,487,,,,,500,480,,</t>
  </si>
  <si>
    <t>2025-05-11 21:08:00,,5700,,5680,,5800,5780,,,,,5830,5680,,</t>
  </si>
  <si>
    <t>2025-05-11 21:08:00,20100,,20700,,20100,,20175,,,,,20700,19900,,</t>
  </si>
  <si>
    <t>2025-05-11 21:08:00,4820404684.63232,12914977204.9776,0,0,0,0,0,0</t>
  </si>
  <si>
    <t>2025-05-11 21:08:00,2914880676.56231,3328993611.124,0,0,0,0,0,0</t>
  </si>
  <si>
    <t>2025-05-11 21:08:00,-93765381.9637276,-381592.297153167,,-10,,-548.91,0.0397558165066331,-9.08</t>
  </si>
  <si>
    <t>2025-05-11 21:08:00,55761138.7952564,517047.365868222,0,0,0,0,0,0</t>
  </si>
  <si>
    <t>2025-05-11 21:09:00,580,,574,,580,,562.5,,,,,580,560,,</t>
  </si>
  <si>
    <t>2025-05-11 21:09:00,500,,497,,490,,487,,,,,500,480,,</t>
  </si>
  <si>
    <t>2025-05-11 21:09:00,,5700,,5680,,5800,5780,,,,,5830,5680,,</t>
  </si>
  <si>
    <t>2025-05-11 21:09:00,20100,,20700,,20100,,20175,,,,,20700,19900,,</t>
  </si>
  <si>
    <t>2025-05-11 21:09:00,4832980582.67043,12973650474.8137,0,0,0,0,0,0</t>
  </si>
  <si>
    <t>2025-05-11 21:09:00,2940543129.94626,3395291529.20774,0,0,0,0,0,0</t>
  </si>
  <si>
    <t>2025-05-11 21:09:00,-93808807.3579514,-368779.10517426,,-12,,-19.18,-0.0235506158119163,-0.78</t>
  </si>
  <si>
    <t>2025-05-11 21:09:00,55697282.9457789,518488.297754713,0,0,0,0,0,0</t>
  </si>
  <si>
    <t>2025-05-11 21:10:00,580,,574,,580,,562.5,,,,,580,560,,</t>
  </si>
  <si>
    <t>2025-05-11 21:10:00,500,,497,,490,,487,,,,,500,480,,</t>
  </si>
  <si>
    <t>2025-05-11 21:10:00,,5700,,5680,,5800,5780,,,,,5830,5680,,</t>
  </si>
  <si>
    <t>2025-05-11 21:10:00,20100,,20700,,20100,,20175,,,,,20700,19900,,</t>
  </si>
  <si>
    <t>2025-05-11 21:10:00,4869483295.45278,13134995662.0909,0,0,0,0,0,0</t>
  </si>
  <si>
    <t>2025-05-11 21:10:00,2961669989.32196,3457279464.57209,0,0,0,0,0,0</t>
  </si>
  <si>
    <t>2025-05-11 21:10:00,-93732824.6568907,-361031.008250031,,-12,,-171.99,-0.0166031666626517,-3.19</t>
  </si>
  <si>
    <t>2025-05-11 21:10:00,55665768.4123979,519617.333928757,0,0,0,0,0,0</t>
  </si>
  <si>
    <t>2025-05-11 21:11:00,580,,574,,580,,562.5,,,,,580,560,,</t>
  </si>
  <si>
    <t>2025-05-11 21:11:00,500,,497,,490,,487,,,,,500,480,,</t>
  </si>
  <si>
    <t>2025-05-11 21:11:00,,5700,,5680,,5800,5780,,,,,5830,5680,,</t>
  </si>
  <si>
    <t>2025-05-11 21:11:00,20100,,20700,,20100,,20175,,,,,20700,19900,,</t>
  </si>
  <si>
    <t>2025-05-11 21:11:00,4820680720.91109,12919036191.5742,0,0,0,0,0,0</t>
  </si>
  <si>
    <t>2025-05-11 21:11:00,2859869365.08536,3190078875.91848,0,0,0,0,0,0</t>
  </si>
  <si>
    <t>2025-05-11 21:11:00,-94060940.9939676,-385137.574903971,,-3,,-14.89,-0.00413056893803412,-0.19</t>
  </si>
  <si>
    <t>2025-05-11 21:11:00,55855143.6376738,514269.246548768,0,0,0,0,0,0</t>
  </si>
  <si>
    <t>2025-05-11 21:12:00,580,,574,,580,,562.5,,,,,580,560,,</t>
  </si>
  <si>
    <t>2025-05-11 21:12:00,500,,497,,490,,487,,,,,500,480,,</t>
  </si>
  <si>
    <t>2025-05-11 21:12:00,,5700,,5680,,5800,5780,,,,,5830,5680,,</t>
  </si>
  <si>
    <t>2025-05-11 21:12:00,20100,,20700,,20100,,20175,,,,,20700,19900,,</t>
  </si>
  <si>
    <t>2025-05-11 21:12:00,4820575076.66793,12918414866.538,0,0,0,0,0,0</t>
  </si>
  <si>
    <t>2025-05-11 21:12:00,2886017659.64184,3251925569.47039,0,0,0,0,0,0</t>
  </si>
  <si>
    <t>2025-05-11 21:12:00,-93427547.615597,-375722.272898139,,5,,1,0.00380611705288567,0</t>
  </si>
  <si>
    <t>2025-05-11 21:12:00,55793834.652547,515762.121955817,0,0,0,0,0,0</t>
  </si>
  <si>
    <t>2025-05-11 21:13:00,580,,574,,580,,562.5,,,,,580,560,,</t>
  </si>
  <si>
    <t>2025-05-11 21:13:00,500,,497,,490,,487,,,,,500,480,,</t>
  </si>
  <si>
    <t>2025-05-11 21:13:00,,5700,,5680,,5800,5780,,,,,5830,5680,,</t>
  </si>
  <si>
    <t>2025-05-11 21:13:00,20100,,20700,,20100,,20175,,,,,20700,19900,,</t>
  </si>
  <si>
    <t>2025-05-11 21:13:00,4801702142.2113,12832759829.1136,0,0,0,0,0,0</t>
  </si>
  <si>
    <t>2025-05-11 21:13:00,2878659781.63736,3233818969.17019,0,0,0,0,0,0</t>
  </si>
  <si>
    <t>2025-05-11 21:13:00,-93710575.3988717,-375101.858358625,,-7,,-104.21,-0.0118763339221075,-2.34</t>
  </si>
  <si>
    <t>2025-05-11 21:13:00,55842424.5005994,514984.499768521,0,0,0,0,0,0</t>
  </si>
  <si>
    <t>2025-05-11 21:14:00,580,,570,,580,,562.5,,,,,580,560,,</t>
  </si>
  <si>
    <t>2025-05-11 21:14:00,500,,497,,490,,487,,,,,500,480,,</t>
  </si>
  <si>
    <t>2025-05-11 21:14:00,,5700,,5680,,5800,5780,,,,,5830,5680,,</t>
  </si>
  <si>
    <t>2025-05-11 21:14:00,20100,,20700,,20100,,20175,,,,,20700,19900,,</t>
  </si>
  <si>
    <t>2025-05-11 21:14:00,4766039074.14535,12579816030.0883,0,0,0,0,0,0</t>
  </si>
  <si>
    <t>2025-05-11 21:14:00,2885877504.76137,3251732654.36934,0,0,0,0,0,0</t>
  </si>
  <si>
    <t>2025-05-11 21:14:00,-93526944.7830004,-384408.752768457,,-15,,-328,-0.0162259123964594,-3.13</t>
  </si>
  <si>
    <t>2025-05-11 21:14:00,55848457.032,514309.931168026,0,0,0,0,0,0</t>
  </si>
  <si>
    <t>2025-05-11 21:15:00,580,,570,,580,,562.5,,,,,580,560,,</t>
  </si>
  <si>
    <t>2025-05-11 21:15:00,500,,497,,490,,487,,,,,500,480,,</t>
  </si>
  <si>
    <t>2025-05-11 21:15:00,,5700,,5680,,5800,5780,,,,,5830,5680,,</t>
  </si>
  <si>
    <t>2025-05-11 21:15:00,20100,,20700,,20100,,20175,,,,,20700,19900,,</t>
  </si>
  <si>
    <t>2025-05-11 21:15:00,4766274583.09886,12580876683.4152,0,0,0,0,0,0</t>
  </si>
  <si>
    <t>2025-05-11 21:15:00,2845772124.224,3159177888.04119,0,0,0,0,0,0</t>
  </si>
  <si>
    <t>2025-05-11 21:15:00,-93142222.8856771,-386103.49882112,,-39,,-774.42,-0.0108268851450005,-9.82</t>
  </si>
  <si>
    <t>2025-05-11 21:15:00,55865512.8626162,513422.666949599,0,0,0,0,0,0</t>
  </si>
  <si>
    <t>2025-05-11 21:16:00,580,,570,,580,,562.5,,,,,580,560,,</t>
  </si>
  <si>
    <t>2025-05-11 21:16:00,500,,497,,490,,487,,,,,500,480,,</t>
  </si>
  <si>
    <t>2025-05-11 21:16:00,,5700,,5680,,5800,5780,,,,,5830,5680,,</t>
  </si>
  <si>
    <t>2025-05-11 21:16:00,20100,,20700,,20100,,20175,,,,,20700,19900,,</t>
  </si>
  <si>
    <t>2025-05-11 21:16:00,4766515212.97573,12583092020.6985,0,0,0,0,0,0</t>
  </si>
  <si>
    <t>2025-05-11 21:16:00,2833392315.62175,3136193325.69233,0,0,0,0,0,0</t>
  </si>
  <si>
    <t>2025-05-11 21:16:00,-92796350.935021,-386057.399657729,,-1,,-1.62,-0.00331589399599109,-0.09</t>
  </si>
  <si>
    <t>2025-05-11 21:16:00,55912851.8040034,512470.981072995,0,0,0,0,0,0</t>
  </si>
  <si>
    <t>2025-05-11 21:17:00,580,,570,,580,,562.5,,,,,580,560,,</t>
  </si>
  <si>
    <t>2025-05-11 21:17:00,500,,497,,490,,487,,,,,500,480,,</t>
  </si>
  <si>
    <t>2025-05-11 21:17:00,,5700,,5680,,5800,5780,,,,,5830,5680,,</t>
  </si>
  <si>
    <t>2025-05-11 21:17:00,20100,,20700,,20100,,20175,,,,,20700,19900,,</t>
  </si>
  <si>
    <t>2025-05-11 21:17:00,4766440492.41157,12582556968.7772,0,0,0,0,0,0</t>
  </si>
  <si>
    <t>2025-05-11 21:17:00,2842419798.60719,3151536597.6287,0,0,0,0,0,0</t>
  </si>
  <si>
    <t>2025-05-11 21:17:00,-92801947.1011969,-387169.901159998,,-3,,-220.14,0.0151522037421227,-3</t>
  </si>
  <si>
    <t>2025-05-11 21:17:00,55894065.6419809,512887.405849851,0,0,0,0,0,0</t>
  </si>
  <si>
    <t>2025-05-11 21:18:00,580,,570,,580,,562.5,,,,,580,560,,</t>
  </si>
  <si>
    <t>2025-05-11 21:18:00,500,,497,,490,,487,,,,,500,480,,</t>
  </si>
  <si>
    <t>2025-05-11 21:18:00,,5700,,5680,,5800,5780,,,,,5830,5680,,</t>
  </si>
  <si>
    <t>2025-05-11 21:18:00,20100,,20700,,20100,,20175,,,,,20700,19900,,</t>
  </si>
  <si>
    <t>2025-05-11 21:18:00,4766668474.6105,12584561692.9809,0,0,0,0,0,0</t>
  </si>
  <si>
    <t>2025-05-11 21:18:00,2836432057.64529,3136840263.9141,0,0,0,0,0,0</t>
  </si>
  <si>
    <t>2025-05-11 21:18:00,-93705279.818718,-379235.751534321,,-26,,-136.07,-0.0322026414337912,-1.69</t>
  </si>
  <si>
    <t>2025-05-11 21:18:00,55896478.1467144,513112.913414919,0,0,0,0,0,0</t>
  </si>
  <si>
    <t>2025-05-11 21:19:00,580,,570,,580,,562.5,,,,,580,560,,</t>
  </si>
  <si>
    <t>2025-05-11 21:19:00,500,,497,,490,,487,,,,,500,480,,</t>
  </si>
  <si>
    <t>2025-05-11 21:19:00,,5700,,5680,,5800,5780,,,,,5830,5680,,</t>
  </si>
  <si>
    <t>2025-05-11 21:19:00,20100,,20700,,20100,,20175,,,,,20700,19900,,</t>
  </si>
  <si>
    <t>2025-05-11 21:19:00,4766776600.31276,12584721392.3914,0,0,0,0,0,0</t>
  </si>
  <si>
    <t>2025-05-11 21:19:00,2842595935.29112,3151510914.5688,0,0,0,0,0,0</t>
  </si>
  <si>
    <t>2025-05-11 21:19:00,-93340375.5053025,-384273.858139307,,-17,,-354.3,0.00223532907203881,-3.45</t>
  </si>
  <si>
    <t>2025-05-11 21:19:00,55880529.7551173,513285.426107114,0,0,0,0,0,0</t>
  </si>
  <si>
    <t>2025-05-11 21:20:00,580,,570,,580,,562.5,,,,,580,560,,</t>
  </si>
  <si>
    <t>2025-05-11 21:20:00,500,,497,,490,,487,,,,,500,480,,</t>
  </si>
  <si>
    <t>2025-05-11 21:20:00,,5700,,5680,,5800,5780,,,,,5830,5680,,</t>
  </si>
  <si>
    <t>2025-05-11 21:20:00,20100,,20700,,20100,,20175,,,,,20700,19900,,</t>
  </si>
  <si>
    <t>2025-05-11 21:20:00,4766801620.03541,12585625998.7825,0,0,0,0,0,0</t>
  </si>
  <si>
    <t>2025-05-11 21:20:00,2845931942.83546,3159323447.15295,0,0,0,0,0,0</t>
  </si>
  <si>
    <t>2025-05-11 21:20:00,-93637879.7428434,-379198.206690706,,1,,0,0.000616918263046528,-0.02</t>
  </si>
  <si>
    <t>2025-05-11 21:20:00,55863273.4606023,513541.4888317,0,0,0,0,0,0</t>
  </si>
  <si>
    <t>2025-05-11 21:21:00,580,,570,,580,,562.5,,,,,580,560,,</t>
  </si>
  <si>
    <t>2025-05-11 21:21:00,500,,497,,490,,487,,,,,500,480,,</t>
  </si>
  <si>
    <t>2025-05-11 21:21:00,,5700,,5680,,5800,5780,,,,,5830,5680,,</t>
  </si>
  <si>
    <t>2025-05-11 21:21:00,20100,,20700,,20100,,20175,,,,,20700,19900,,</t>
  </si>
  <si>
    <t>2025-05-11 21:21:00,4767018849.63458,12587040116.521,0,0,0,0,0,0</t>
  </si>
  <si>
    <t>2025-05-11 21:21:00,2842481354.15021,3151494672.16901,0,0,0,0,0,0</t>
  </si>
  <si>
    <t>2025-05-11 21:21:00,-93206502.1822509,-379428.575677118,,1,,0.45,0.00132837377333565,0.01</t>
  </si>
  <si>
    <t>2025-05-11 21:21:00,55895627.4472528,513106.95368636,0,0,0,0,0,0</t>
  </si>
  <si>
    <t>2025-05-11 21:22:00,580,,570,,580,,562.5,,,,,580,560,,</t>
  </si>
  <si>
    <t>2025-05-11 21:22:00,500,,497,,490,,487,,,,,500,480,,</t>
  </si>
  <si>
    <t>2025-05-11 21:22:00,,5700,,5680,,5800,5780,,,,,5830,5680,,</t>
  </si>
  <si>
    <t>2025-05-11 21:22:00,20100,,20700,,20100,,20175,,,,,20700,19900,,</t>
  </si>
  <si>
    <t>2025-05-11 21:22:00,4766671082.63388,12587628100.8023,0,0,0,0,0,0</t>
  </si>
  <si>
    <t>2025-05-11 21:22:00,2831832714.27323,3129259007.20234,0,0,0,0,0,0</t>
  </si>
  <si>
    <t>2025-05-11 21:22:00,-93381305.6972189,-389256.052164812,,-1,,-1.28,-0.0022581725582906,-0.07</t>
  </si>
  <si>
    <t>2025-05-11 21:22:00,55900441.2006792,512431.513795387,0,0,0,0,0,0</t>
  </si>
  <si>
    <t>2025-05-11 21:23:00,580,,570,,580,,562.5,,,,,580,560,,</t>
  </si>
  <si>
    <t>2025-05-11 21:23:00,500,,497,,490,,487,,,,,500,480,,</t>
  </si>
  <si>
    <t>2025-05-11 21:23:00,,5700,,5680,,5800,5780,,,,,5830,5680,,</t>
  </si>
  <si>
    <t>2025-05-11 21:23:00,20100,,20700,,20100,,20175,,,,,20700,19900,,</t>
  </si>
  <si>
    <t>2025-05-11 21:23:00,4755318351.11885,12539657164.3533,0,0,0,0,0,0</t>
  </si>
  <si>
    <t>2025-05-11 21:23:00,2856797318.50395,3183222622.40934,0,0,0,0,0,0</t>
  </si>
  <si>
    <t>2025-05-11 21:23:00,-93169781.5464977,-381430.713624176,,-2,,-12.2,0.000342972547599501,-0.04</t>
  </si>
  <si>
    <t>2025-05-11 21:23:00,55862451.1839176,513973.595482388,0,0,0,0,0,0</t>
  </si>
  <si>
    <t>2025-05-11 21:24:00,580,,570,,580,,562.5,,,,,580,560,,</t>
  </si>
  <si>
    <t>2025-05-11 21:24:00,500,,497,,490,,487,,,,,500,480,,</t>
  </si>
  <si>
    <t>2025-05-11 21:24:00,,5700,,5680,,5800,5780,,,,,5830,5680,,</t>
  </si>
  <si>
    <t>2025-05-11 21:24:00,20100,,20700,,20100,,20175,,,,,20700,19900,,</t>
  </si>
  <si>
    <t>2025-05-11 21:24:00,4788685268.4739,12688710142.7356,0,0,0,0,0,0</t>
  </si>
  <si>
    <t>2025-05-11 21:24:00,2863700334.46635,3199879837.09826,0,0,0,0,0,0</t>
  </si>
  <si>
    <t>2025-05-11 21:24:00,-93649901.4118744,-377815.220867052,,-4,,-165.2,0.0149474818752342,-4</t>
  </si>
  <si>
    <t>2025-05-11 21:24:00,55835430.3220033,514698.895066282,0,0,0,0,0,0</t>
  </si>
  <si>
    <t>2025-05-11 21:25:00,580,,570,,580,,562.5,,,,,580,560,,</t>
  </si>
  <si>
    <t>2025-05-11 21:25:00,500,,497,,490,,487,,,,,500,480,,</t>
  </si>
  <si>
    <t>2025-05-11 21:25:00,,5700,,5680,,5800,5780,,,,,5830,5680,,</t>
  </si>
  <si>
    <t>2025-05-11 21:25:00,20100,,20700,,20100,,20175,,,,,20700,19900,,</t>
  </si>
  <si>
    <t>2025-05-11 21:25:00,4738760752.09552,12468248249.5255,0,0,0,0,0,0</t>
  </si>
  <si>
    <t>2025-05-11 21:25:00,2818155519.01669,3101585331.48998,0,0,0,0,0,0</t>
  </si>
  <si>
    <t>2025-05-11 21:25:00,-93021755.5276198,-388851.846303993,,-2,,-2.08,-0.00431833605926216,-0.12</t>
  </si>
  <si>
    <t>2025-05-11 21:25:00,55979853.4978022,510582.897297765,0,0,0,0,0,0</t>
  </si>
  <si>
    <t>2025-05-11 21:26:00,580,,570,,580,,562.5,,,,,580,560,,</t>
  </si>
  <si>
    <t>2025-05-11 21:26:00,500,,497,,490,,487,,,,,500,480,,</t>
  </si>
  <si>
    <t>2025-05-11 21:26:00,,5700,,5680,,5800,5780,,,,,5830,5680,,</t>
  </si>
  <si>
    <t>2025-05-11 21:26:00,20100,,20700,,20100,,20175,,,,,20700,19900,,</t>
  </si>
  <si>
    <t>2025-05-11 21:26:00,4744910326.54499,12493890925.1643,0,0,0,0,0,0</t>
  </si>
  <si>
    <t>2025-05-11 21:26:00,2812096015.45321,3091088058.26427,0,0,0,0,0,0</t>
  </si>
  <si>
    <t>2025-05-11 21:26:00,-93153578.6039585,-388505.308385315,,-25,,-420.6,-0.00244931776120453,-3.17</t>
  </si>
  <si>
    <t>2025-05-11 21:26:00,55972828.9544854,510997.034161305,0,0,0,0,0,0</t>
  </si>
  <si>
    <t>2025-05-11 21:27:00,580,,570,,580,,562.5,,,,,580,560,,</t>
  </si>
  <si>
    <t>2025-05-11 21:27:00,500,,497,,490,,487,,,,,500,480,,</t>
  </si>
  <si>
    <t>2025-05-11 21:27:00,,5700,,5680,,5800,5780,,,,,5830,5680,,</t>
  </si>
  <si>
    <t>2025-05-11 21:27:00,20100,,20700,,20100,,20175,,,,,20700,19900,,</t>
  </si>
  <si>
    <t>2025-05-11 21:27:00,4745073428.99566,12494138964.6727,0,0,0,0,0,0</t>
  </si>
  <si>
    <t>2025-05-11 21:27:00,2818560838.67341,3102901174.65597,0,0,0,0,0,0</t>
  </si>
  <si>
    <t>2025-05-11 21:27:00,-93333455.705949,-385423.319536118,,-6,,-56.44,-0.0130174470053948,-1.71</t>
  </si>
  <si>
    <t>2025-05-11 21:27:00,55940198.7418434,511594.456152033,0,0,0,0,0,0</t>
  </si>
  <si>
    <t>2025-05-11 21:28:00,580,,570,,580,,562.5,,,,,580,560,,</t>
  </si>
  <si>
    <t>2025-05-11 21:28:00,500,,497,,490,,487,,,,,500,480,,</t>
  </si>
  <si>
    <t>2025-05-11 21:28:00,,5700,,5680,,5800,5780,,,,,5830,5680,,</t>
  </si>
  <si>
    <t>2025-05-11 21:28:00,20100,,20700,,20100,,20175,,,,,20700,19900,,</t>
  </si>
  <si>
    <t>2025-05-11 21:28:00,4772861470.08762,12617628200.1722,0,0,0,0,0,0</t>
  </si>
  <si>
    <t>2025-05-11 21:28:00,2845595785.57138,3159778780.00877,0,0,0,0,0,0</t>
  </si>
  <si>
    <t>2025-05-11 21:28:00,-93499012.3417493,-375227.383151259,,-2,,-19,-0.00215173185283652,-0.26</t>
  </si>
  <si>
    <t>2025-05-11 21:28:00,55882539.0905759,513630.641417094,0,0,0,0,0,0</t>
  </si>
  <si>
    <t>2025-05-11 21:29:00,580,,570,,580,,562.5,,,,,580,560,,</t>
  </si>
  <si>
    <t>2025-05-11 21:29:00,500,,497,,490,,487,,,,,500,480,,</t>
  </si>
  <si>
    <t>2025-05-11 21:29:00,,5700,,5680,,5800,5780,,,,,5830,5680,,</t>
  </si>
  <si>
    <t>2025-05-11 21:29:00,20100,,20700,,20100,,20175,,,,,20700,19900,,</t>
  </si>
  <si>
    <t>2025-05-11 21:29:00,4778551803.373,12642986411.2975,0,0,0,0,0,0</t>
  </si>
  <si>
    <t>2025-05-11 21:29:00,2853400992.14445,3175288868.47781,0,0,0,0,0,0</t>
  </si>
  <si>
    <t>2025-05-11 21:29:00,-93597720.7461304,-374609.659977407,,-3,,-12.82,-0.00407974031925046,-0.17</t>
  </si>
  <si>
    <t>2025-05-11 21:29:00,55902588.2730207,513011.373541757,0,0,0,0,0,0</t>
  </si>
  <si>
    <t>2025-05-11 21:30:00,580,,570,,580,,562.5,,,,,580,560,,</t>
  </si>
  <si>
    <t>2025-05-11 21:30:00,500,,497,,490,,487,,,,,500,480,,</t>
  </si>
  <si>
    <t>2025-05-11 21:30:00,,5700,,5680,,5800,5780,,,,,5830,5680,,</t>
  </si>
  <si>
    <t>2025-05-11 21:30:00,20100,,20700,,20100,,20175,,,,,20700,19900,,</t>
  </si>
  <si>
    <t>2025-05-11 21:30:00,4826042610.02955,12893487150.0491,0,0,0,0,0,0</t>
  </si>
  <si>
    <t>2025-05-11 21:30:00,2886714171.06072,3252715670.33436,0,0,0,0,0,0</t>
  </si>
  <si>
    <t>2025-05-11 21:30:00,-93842287.7648719,-353628.639571822,,-2,,-5.28,-0.00473486622710149,-0.25</t>
  </si>
  <si>
    <t>2025-05-11 21:30:00,55828472.2871744,515223.544538364,0,0,0,0,0,0</t>
  </si>
  <si>
    <t>2025-05-11 21:31:00,580,,574,,580,,562.5,,,,,580,560,,</t>
  </si>
  <si>
    <t>2025-05-11 21:31:00,500,,497,,490,,487,,,,,500,480,,</t>
  </si>
  <si>
    <t>2025-05-11 21:31:00,,5700,,5680,,5800,5780,,,,,5830,5680,,</t>
  </si>
  <si>
    <t>2025-05-11 21:31:00,20100,,20700,,20100,,20175,,,,,20700,19900,,</t>
  </si>
  <si>
    <t>2025-05-11 21:31:00,4803269528.75168,12846866247.3988,0,0,0,0,0,0</t>
  </si>
  <si>
    <t>2025-05-11 21:31:00,2867722501.64461,3208582980.09273,0,0,0,0,0,0</t>
  </si>
  <si>
    <t>2025-05-11 21:31:00,-93710110.0835887,-363949.687191902,,-3,,-5.18,-0.00637816379268441,-0.24</t>
  </si>
  <si>
    <t>2025-05-11 21:31:00,55877668.4269484,514050.823011265,0,0,0,0,0,0</t>
  </si>
  <si>
    <t>2025-05-11 21:32:00,580,,574,,580,,562.5,,,,,580,560,,</t>
  </si>
  <si>
    <t>2025-05-11 21:32:00,500,,497,,490,,487,,,,,500,480,,</t>
  </si>
  <si>
    <t>2025-05-11 21:32:00,,5700,,5680,,5800,5780,,,,,5830,5680,,</t>
  </si>
  <si>
    <t>2025-05-11 21:32:00,20100,,20700,,20100,,20175,,,,,20700,19900,,</t>
  </si>
  <si>
    <t>2025-05-11 21:32:00,4803258145.74348,12848835650.474,0,0,0,0,0,0</t>
  </si>
  <si>
    <t>2025-05-11 21:32:00,2867881079.48221,3209200843.39663,0,0,0,0,0,0</t>
  </si>
  <si>
    <t>2025-05-11 21:32:00,-94213131.7738996,-368915.531843442,,-2,,-32.99,-0.00201882771026302,-0.4</t>
  </si>
  <si>
    <t>2025-05-11 21:32:00,55879760.326747,513612.439639927,0,0,0,0,0,0</t>
  </si>
  <si>
    <t>2025-05-11 21:33:00,580,,570,,580,,562.5,,,,,580,560,,</t>
  </si>
  <si>
    <t>2025-05-11 21:33:00,500,,497,,490,,487,,,,,500,480,,</t>
  </si>
  <si>
    <t>2025-05-11 21:33:00,,5700,,5680,,5800,5780,,,,,5830,5680,,</t>
  </si>
  <si>
    <t>2025-05-11 21:33:00,20100,,20700,,20100,,20175,,,,,20700,19900,,</t>
  </si>
  <si>
    <t>2025-05-11 21:33:00,4751198522.71125,12524633235.1282,0,0,0,0,0,0</t>
  </si>
  <si>
    <t>2025-05-11 21:33:00,2818714721.42671,3103860575.36163,0,0,0,0,0,0</t>
  </si>
  <si>
    <t>2025-05-11 21:33:00,-92842746.7165628,-387278.178915557,,-14,,-621.65,0.0412285352768313,-10.32</t>
  </si>
  <si>
    <t>2025-05-11 21:33:00,55940557.5847178,511449.725940087,0,0,0,0,0,0</t>
  </si>
  <si>
    <t>2025-05-11 21:34:00,580,,570,,580,,562.5,,,,,580,560,,</t>
  </si>
  <si>
    <t>2025-05-11 21:34:00,500,,497,,490,,487,,,,,500,480,,</t>
  </si>
  <si>
    <t>2025-05-11 21:34:00,,5700,,5680,,5800,5780,,,,,5830,5680,,</t>
  </si>
  <si>
    <t>2025-05-11 21:34:00,20100,,20700,,20100,,20175,,,,,20700,19900,,</t>
  </si>
  <si>
    <t>2025-05-11 21:34:00,4751074523.70105,12524778812.8937,0,0,0,0,0,0</t>
  </si>
  <si>
    <t>2025-05-11 21:34:00,2835986442.02758,3137928771.42843,0,0,0,0,0,0</t>
  </si>
  <si>
    <t>2025-05-11 21:34:00,-93979124.3939626,-390299.171232957,,-3,,-9.54,-0.00654175618802249,-0.35</t>
  </si>
  <si>
    <t>2025-05-11 21:34:00,55918500.4156462,512295.602069548,0,0,0,0,0,0</t>
  </si>
  <si>
    <t>2025-05-11 21:35:00,580,,570,,580,,562.5,,,,,580,560,,</t>
  </si>
  <si>
    <t>2025-05-11 21:35:00,500,,497,,490,,487,,,,,500,480,,</t>
  </si>
  <si>
    <t>2025-05-11 21:35:00,,5700,,5680,,5800,5780,,,,,5830,5680,,</t>
  </si>
  <si>
    <t>2025-05-11 21:35:00,20100,,20700,,20100,,20175,,,,,20700,19900,,</t>
  </si>
  <si>
    <t>2025-05-11 21:35:00,4734370075.08063,12454529708.7714,0,0,0,0,0,0</t>
  </si>
  <si>
    <t>2025-05-11 21:35:00,2818440901.0164,3102418281.56665,0,0,0,0,0,0</t>
  </si>
  <si>
    <t>2025-05-11 21:35:00,-93762572.3654911,-393450.578075387,,-2,,-8,-0.00156120030013728,-0.06</t>
  </si>
  <si>
    <t>2025-05-11 21:35:00,55943640.387644,511294.601637026,0,0,0,0,0,0</t>
  </si>
  <si>
    <t>2025-05-11 21:36:00,580,,570,,580,,562.5,,,,,580,560,,</t>
  </si>
  <si>
    <t>2025-05-11 21:36:00,500,,497,,490,,487,,,,,500,480,,</t>
  </si>
  <si>
    <t>2025-05-11 21:36:00,,5700,,5680,,5800,5780,,,,,5830,5680,,</t>
  </si>
  <si>
    <t>2025-05-11 21:36:00,20100,,20700,,20100,,20175,,,,,20700,19900,,</t>
  </si>
  <si>
    <t>2025-05-11 21:36:00,4728204483.73895,12428772539.0217,0,0,0,0,0,0</t>
  </si>
  <si>
    <t>2025-05-11 21:36:00,2812511682.48989,3092041302.35354,0,0,0,0,0,0</t>
  </si>
  <si>
    <t>2025-05-11 21:36:00,-93147244.6077262,-398539.041433632,,-9,,-94.68,-0.00262770056755598,-0.68</t>
  </si>
  <si>
    <t>2025-05-11 21:36:00,55994638.1228504,510215.231844206,0,0,0,0,0,0</t>
  </si>
  <si>
    <t>2025-05-11 21:37:00,580,,570,,580,,562.5,,,,,580,560,,</t>
  </si>
  <si>
    <t>2025-05-11 21:37:00,500,,497,,490,,487,,,,,500,480,,</t>
  </si>
  <si>
    <t>2025-05-11 21:37:00,,5700,,5680,,5800,5780,,,,,5830,5680,,</t>
  </si>
  <si>
    <t>2025-05-11 21:37:00,20100,,20700,,20100,,20175,,,,,20700,19900,,</t>
  </si>
  <si>
    <t>2025-05-11 21:37:00,4728510837.28662,12432169447.1567,0,0,0,0,0,0</t>
  </si>
  <si>
    <t>2025-05-11 21:37:00,2806580429.18597,3076096116.9692,0,0,0,0,0,0</t>
  </si>
  <si>
    <t>2025-05-11 21:37:00,-93243780.4237131,-399375.126794812,,-7,,-112.24,-0.000267862080647163,-0.94</t>
  </si>
  <si>
    <t>2025-05-11 21:37:00,56000225.1196336,509843.398006519,0,0,0,0,0,0</t>
  </si>
  <si>
    <t>2025-05-11 21:38:00,580,,570,,580,,562.5,,,,,580,560,,</t>
  </si>
  <si>
    <t>2025-05-11 21:38:00,500,,497,,490,,487,,,,,500,480,,</t>
  </si>
  <si>
    <t>2025-05-11 21:38:00,,5700,,5680,,5800,5780,,,,,5830,5680,,</t>
  </si>
  <si>
    <t>2025-05-11 21:38:00,20100,,20700,,20100,,20175,,,,,20700,19900,,</t>
  </si>
  <si>
    <t>2025-05-11 21:38:00,4722671305.04748,12408359852.9233,0,0,0,0,0,0</t>
  </si>
  <si>
    <t>2025-05-11 21:38:00,2812365481.07697,3092111273.94701,0,0,0,0,0,0</t>
  </si>
  <si>
    <t>2025-05-11 21:38:00,-93528691.7258197,-394109.581903252,,-2,,-3.47,-0.00547341055493326,-0.19</t>
  </si>
  <si>
    <t>2025-05-11 21:38:00,55989116.4058587,510082.907138467,0,0,0,0,0,0</t>
  </si>
  <si>
    <t>2025-05-11 21:39:00,580,,570,,580,,562.5,,,,,580,560,,</t>
  </si>
  <si>
    <t>2025-05-11 21:39:00,500,,497,,490,,487,,,,,500,480,,</t>
  </si>
  <si>
    <t>2025-05-11 21:39:00,,5700,,5680,,5800,5780,,,,,5830,5680,,</t>
  </si>
  <si>
    <t>2025-05-11 21:39:00,20100,,20700,,20100,,20175,,,,,20700,19900,,</t>
  </si>
  <si>
    <t>2025-05-11 21:39:00,4750993306.68163,12529933647.6823,0,0,0,0,0,0</t>
  </si>
  <si>
    <t>2025-05-11 21:39:00,2809636117.58197,3087150496.6257,0,0,0,0,0,0</t>
  </si>
  <si>
    <t>2025-05-11 21:39:00,-93254535.6136352,-379245.218492465,,-22,,-21.2,-0.0460476783214224,-0.98</t>
  </si>
  <si>
    <t>2025-05-11 21:39:00,55977552.56682,510792.036309631,0,0,0,0,0,0</t>
  </si>
  <si>
    <t>2025-05-11 21:40:00,580,,570,,580,,562.5,,,,,580,560,,</t>
  </si>
  <si>
    <t>2025-05-11 21:40:00,500,,497,,490,,487,,,,,500,480,,</t>
  </si>
  <si>
    <t>2025-05-11 21:40:00,,5700,,5680,,5800,5780,,,,,5830,5680,,</t>
  </si>
  <si>
    <t>2025-05-11 21:40:00,20100,,20700,,20100,,20175,,,,,20700,19900,,</t>
  </si>
  <si>
    <t>2025-05-11 21:40:00,4728942882.73577,12435059991.8644,0,0,0,0,0,0</t>
  </si>
  <si>
    <t>2025-05-11 21:40:00,2809737942.07726,3086840676.28372,0,0,0,0,0,0</t>
  </si>
  <si>
    <t>2025-05-11 21:40:00,-93470143.2766528,-389428.900706693,,-5,,-299.75,0.0238727713640007,-5</t>
  </si>
  <si>
    <t>2025-05-11 21:40:00,55982801.7615876,510350.41014088,0,0,0,0,0,0</t>
  </si>
  <si>
    <t>2025-05-11 21:41:00,580,,570,,580,,562.5,,,,,580,560,,</t>
  </si>
  <si>
    <t>2025-05-11 21:41:00,500,,497,,490,,487,,,,,500,480,,</t>
  </si>
  <si>
    <t>2025-05-11 21:41:00,,5700,,5680,,5800,5780,,,,,5830,5680,,</t>
  </si>
  <si>
    <t>2025-05-11 21:41:00,20100,,20700,,20100,,20175,,,,,20700,19900,,</t>
  </si>
  <si>
    <t>2025-05-11 21:41:00,4751635762.36993,12532696631.7331,0,0,0,0,0,0</t>
  </si>
  <si>
    <t>2025-05-11 21:41:00,2839572118.28194,3145955341.83046,0,0,0,0,0,0</t>
  </si>
  <si>
    <t>2025-05-11 21:41:00,-93528948.4504022,-381652.599027036,,0,,0,0,0</t>
  </si>
  <si>
    <t>2025-05-11 21:41:00,55906844.1922235,512897.301223596,0,0,0,0,0,0</t>
  </si>
  <si>
    <t>2025-05-11 21:42:00,580,,570,,580,,562.5,,,,,580,560,,</t>
  </si>
  <si>
    <t>2025-05-11 21:42:00,500,,497,,490,,487,,,,,500,480,,</t>
  </si>
  <si>
    <t>2025-05-11 21:42:00,,5700,,5680,,5800,5780,,,,,5830,5680,,</t>
  </si>
  <si>
    <t>2025-05-11 21:42:00,20100,,20700,,20100,,20175,,,,,20700,19900,,</t>
  </si>
  <si>
    <t>2025-05-11 21:42:00,4751552786.17519,12532534637.9052,0,0,0,0,0,0</t>
  </si>
  <si>
    <t>2025-05-11 21:42:00,2839178695.68717,3145384917.33219,0,0,0,0,0,0</t>
  </si>
  <si>
    <t>2025-05-11 21:42:00,-93777041.7661041,-388040.100434157,,-4,,-85.56,0.00150443239998471,-0.64</t>
  </si>
  <si>
    <t>2025-05-11 21:42:00,55892069.8080892,512898.528493826,0,0,0,0,0,0</t>
  </si>
  <si>
    <t>2025-05-11 21:43:00,580,,570,,580,,562.5,,,,,580,560,,</t>
  </si>
  <si>
    <t>2025-05-11 21:43:00,500,,497,,490,,487,,,,,500,480,,</t>
  </si>
  <si>
    <t>2025-05-11 21:43:00,,5700,,5680,,5800,5780,,,,,5830,5680,,</t>
  </si>
  <si>
    <t>2025-05-11 21:43:00,20100,,20700,,20100,,20175,,,,,20700,19900,,</t>
  </si>
  <si>
    <t>2025-05-11 21:43:00,4779596638.7427,12655226408.0864,0,0,0,0,0,0</t>
  </si>
  <si>
    <t>2025-05-11 21:43:00,2860612594.1377,3193042003.27518,0,0,0,0,0,0</t>
  </si>
  <si>
    <t>2025-05-11 21:43:00,-93601014.4224139,-417368.938415688,,-57,,-2709.24,0.191917563739482,-43.84</t>
  </si>
  <si>
    <t>2025-05-11 21:43:00,55870728.1125285,513675.623595537,0,0,0,0,0,0</t>
  </si>
  <si>
    <t>2025-05-11 21:44:00,580,,570,,580,,562.5,,,,,580,560,,</t>
  </si>
  <si>
    <t>2025-05-11 21:44:00,500,,497,,490,,487,,,,,500,480,,</t>
  </si>
  <si>
    <t>2025-05-11 21:44:00,,5700,,5680,,5800,5780,,,,,5830,5680,,</t>
  </si>
  <si>
    <t>2025-05-11 21:44:00,20100,,20700,,20100,,20175,,,,,20700,19900,,</t>
  </si>
  <si>
    <t>2025-05-11 21:44:00,4763652793.39374,12585230242.2571,0,0,0,0,0,0</t>
  </si>
  <si>
    <t>2025-05-11 21:44:00,2857123976.37361,3185074312.72182,0,0,0,0,0,0</t>
  </si>
  <si>
    <t>2025-05-11 21:44:00,-93977413.068768,-466047.039741243,,-38,,-2159.4,0.168177572222,-36.06</t>
  </si>
  <si>
    <t>2025-05-11 21:44:00,55883867.6066431,513481.454939737,0,0,0,0,0,0</t>
  </si>
  <si>
    <t>2025-05-11 21:46:00,580,,570,,580,,562.5,,,,,580,560,,</t>
  </si>
  <si>
    <t>2025-05-11 21:46:00,500,,497,,490,,487,,,,,500,480,,</t>
  </si>
  <si>
    <t>2025-05-11 21:46:00,,5700,,5680,,5800,5780,,,,,5830,5680,,</t>
  </si>
  <si>
    <t>2025-05-11 21:46:00,20100,,20700,,20100,,20175,,,,,20700,19900,,</t>
  </si>
  <si>
    <t>2025-05-11 21:46:00,4801130868.42725,12756185707.6406,0,0,0,0,0,0</t>
  </si>
  <si>
    <t>2025-05-11 21:46:00,2875603992.48129,3226254083.10796,0,0,0,0,0,0</t>
  </si>
  <si>
    <t>2025-05-11 21:46:00,-94281612.2778078,-451446.479739618,,-6,,-128.96,0.00553072602672921,-2.19</t>
  </si>
  <si>
    <t>2025-05-11 21:46:00,55831823.8966436,515087.399014922,0,0,0,0,0,0</t>
  </si>
  <si>
    <t>2025-05-11 21:47:00,580,,574,,580,,562.5,,,,,580,560,,</t>
  </si>
  <si>
    <t>2025-05-11 21:47:00,500,,497,,490,,487,,,,,500,480,,</t>
  </si>
  <si>
    <t>2025-05-11 21:47:00,,5700,,5680,,5800,5780,,,,,5830,5680,,</t>
  </si>
  <si>
    <t>2025-05-11 21:47:00,20100,,20700,,20100,,20175,,,,,20700,19900,,</t>
  </si>
  <si>
    <t>2025-05-11 21:47:00,4824023262.46014,12948257024.4779,0,0,0,0,0,0</t>
  </si>
  <si>
    <t>2025-05-11 21:47:00,2949552187.59726,3419944488.78792,0,0,0,0,0,0</t>
  </si>
  <si>
    <t>2025-05-11 21:47:00,-94012563.876135,-434757.592528665,,-6,,-167.85,0.0051261238035296,-2.67</t>
  </si>
  <si>
    <t>2025-05-11 21:47:00,55741861.3108345,517674.359845138,0,0,0,0,0,0</t>
  </si>
  <si>
    <t>2025-05-11 21:48:00,580,,574,,580,,562.5,,,,,580,560,,</t>
  </si>
  <si>
    <t>2025-05-11 21:48:00,500,,497,,490,,487,,,,,500,480,,</t>
  </si>
  <si>
    <t>2025-05-11 21:48:00,,5700,,5680,,5800,5780,,,,,5830,5680,,</t>
  </si>
  <si>
    <t>2025-05-11 21:48:00,20100,,20700,,20100,,20175,,,,,20700,19900,,</t>
  </si>
  <si>
    <t>2025-05-11 21:48:00,4854770159.54849,13090861591.4552,0,0,0,0,0,0</t>
  </si>
  <si>
    <t>2025-05-11 21:48:00,2987765772.62611,3537339775.28194,0,0,0,0,0,0</t>
  </si>
  <si>
    <t>2025-05-11 21:48:00,-94050415.7778101,-432099.705859089,,-5,,-67.21,-0.00209724025470255,-1.25</t>
  </si>
  <si>
    <t>2025-05-11 21:48:00,55672606.6502707,519639.794872408,0,0,0,0,0,0</t>
  </si>
  <si>
    <t>2025-05-11 21:49:00,580,,574,,580,,562.5,,,,,580,560,,</t>
  </si>
  <si>
    <t>2025-05-11 21:49:00,500,,497,,490,,487,,,,,500,480,,</t>
  </si>
  <si>
    <t>2025-05-11 21:49:00,,5700,,5680,,5800,5780,,,,,5830,5680,,</t>
  </si>
  <si>
    <t>2025-05-11 21:49:00,20100,,20700,,20100,,20175,,,,,20700,19900,,</t>
  </si>
  <si>
    <t>2025-05-11 21:49:00,4802130101.39081,12861355463.7933,0,0,0,0,0,0</t>
  </si>
  <si>
    <t>2025-05-11 21:49:00,2937799872.46538,3384945832.44696,0,0,0,0,0,0</t>
  </si>
  <si>
    <t>2025-05-11 21:49:00,-94615320.7107027,-439017.109940399,,-5,,-23.31,-0.0085205152259213,-0.4</t>
  </si>
  <si>
    <t>2025-05-11 21:49:00,55725912.4829078,517837.389463199,0,0,0,0,0,0</t>
  </si>
  <si>
    <t>2025-05-11 21:50:00,580,,574,,580,,562.5,,,,,580,560,,</t>
  </si>
  <si>
    <t>2025-05-11 21:50:00,500,,497,,490,,487,,,,,500,480,,</t>
  </si>
  <si>
    <t>2025-05-11 21:50:00,,5700,,5680,,5800,5780,,,,,5830,5680,,</t>
  </si>
  <si>
    <t>2025-05-11 21:50:00,20100,,20700,,20100,,20175,,,,,20700,19900,,</t>
  </si>
  <si>
    <t>2025-05-11 21:50:00,4824428964.02404,12950361302.5829,0,0,0,0,0,0</t>
  </si>
  <si>
    <t>2025-05-11 21:50:00,2958504590.11874,3444810640.57371,0,0,0,0,0,0</t>
  </si>
  <si>
    <t>2025-05-11 21:50:00,-94408792.6831713,-431541.927015968,,-3,,-6.62,-0.00688197756025973,-0.31</t>
  </si>
  <si>
    <t>2025-05-11 21:50:00,55686749.4848522,518714.447847638,0,0,0,0,0,0</t>
  </si>
  <si>
    <t>2025-05-11 21:51:00,580,,574,,580,,562.5,,,,,580,560,,</t>
  </si>
  <si>
    <t>2025-05-11 21:51:00,500,,497,,490,,487,,,,,500,480,,</t>
  </si>
  <si>
    <t>2025-05-11 21:51:00,,5700,,5680,,5800,5780,,,,,5830,5680,,</t>
  </si>
  <si>
    <t>2025-05-11 21:51:00,20100,,20700,,20100,,20175,,,,,20700,19900,,</t>
  </si>
  <si>
    <t>2025-05-11 21:51:00,4805117961.57841,12862978328.0703,0,0,0,0,0,0</t>
  </si>
  <si>
    <t>2025-05-11 21:51:00,2929375706.4782,3363028665.8344,0,0,0,0,0,0</t>
  </si>
  <si>
    <t>2025-05-11 21:51:00,-94729390.9561585,-437814.255693702,,-6,,-106.33,0.00144552753743771,-2.3</t>
  </si>
  <si>
    <t>2025-05-11 21:51:00,55749304.0841009,517444.068760308,0,0,0,0,0,0</t>
  </si>
  <si>
    <t>2025-05-11 21:52:00,580,,574,,580,,562.5,,,,,580,560,,</t>
  </si>
  <si>
    <t>2025-05-11 21:52:00,500,,497,,490,,487,,,,,500,480,,</t>
  </si>
  <si>
    <t>2025-05-11 21:52:00,,5700,,5680,,5800,5780,,,,,5830,5680,,</t>
  </si>
  <si>
    <t>2025-05-11 21:52:00,20100,,20700,,20100,,20175,,,,,20700,19900,,</t>
  </si>
  <si>
    <t>2025-05-11 21:52:00,4882785387.98713,13209861217.984,0,0,0,0,0,0</t>
  </si>
  <si>
    <t>2025-05-11 21:52:00,2962346381.99756,3457383767.71592,0,0,0,0,0,0</t>
  </si>
  <si>
    <t>2025-05-11 21:52:00,-93845946.2169219,-425270.036984423,,-3,,-16.24,-0.00680176688031829,-0.6</t>
  </si>
  <si>
    <t>2025-05-11 21:52:00,55685516.3348934,518919.270097976,0,0,0,0,0,0</t>
  </si>
  <si>
    <t>2025-05-11 21:53:00,580,,574,,580,,562.5,,,,,580,560,,</t>
  </si>
  <si>
    <t>2025-05-11 21:53:00,500,,497,,490,,487,,,,,500,480,,</t>
  </si>
  <si>
    <t>2025-05-11 21:53:00,,5700,,5680,,5800,5780,,,,,5830,5680,,</t>
  </si>
  <si>
    <t>2025-05-11 21:53:00,20100,,20700,,20100,,20175,,,,,20700,19900,,</t>
  </si>
  <si>
    <t>2025-05-11 21:53:00,4887745156.31633,13179120003.9608,0,0,0,0,0,0</t>
  </si>
  <si>
    <t>2025-05-11 21:53:00,2979066987.83737,3509145682.28552,0,0,0,0,0,0</t>
  </si>
  <si>
    <t>2025-05-11 21:53:00,-93785259.5623465,-419762.425546937,,-2,,-36.38,0.000527860910985067,-0.23</t>
  </si>
  <si>
    <t>2025-05-11 21:53:00,55660332.0553694,519381.142558081,0,0,0,0,0,0</t>
  </si>
  <si>
    <t>2025-05-11 21:54:00,580,,574,,580,,562.5,,,,,580,560,,</t>
  </si>
  <si>
    <t>2025-05-11 21:54:00,500,,497,,490,,487,,,,,500,480,,</t>
  </si>
  <si>
    <t>2025-05-11 21:54:00,,5700,,5680,,5800,5780,,,,,5830,5680,,</t>
  </si>
  <si>
    <t>2025-05-11 21:54:00,20100,,20700,,20100,,20175,,,,,20700,19900,,</t>
  </si>
  <si>
    <t>2025-05-11 21:54:00,4883090151.24093,13211026823.6468,0,0,0,0,0,0</t>
  </si>
  <si>
    <t>2025-05-11 21:54:00,2992068606.78736,3551147614.3679,0,0,0,0,0,0</t>
  </si>
  <si>
    <t>2025-05-11 21:54:00,-94114102.9667928,-423437.11846024,,-1,,-3.3,-0.00248209333961842,-0.15</t>
  </si>
  <si>
    <t>2025-05-11 21:54:00,55700854.6813231,518858.163313675,0,0,0,0,0,0</t>
  </si>
  <si>
    <t>2025-05-11 21:55:00,580,,574,,580,,562.5,,,,,580,560,,</t>
  </si>
  <si>
    <t>2025-05-11 21:55:00,500,,497,,490,,487,,,,,500,480,,</t>
  </si>
  <si>
    <t>2025-05-11 21:55:00,,5700,,5680,,5800,5780,,,,,5830,5680,,</t>
  </si>
  <si>
    <t>2025-05-11 21:55:00,20100,,20700,,20100,,20175,,,,,20700,19900,,</t>
  </si>
  <si>
    <t>2025-05-11 21:55:00,4882847492.6586,13210681919.2041,0,0,0,0,0,0</t>
  </si>
  <si>
    <t>2025-05-11 21:55:00,2991758317.90565,3551115796.2525,0,0,0,0,0,0</t>
  </si>
  <si>
    <t>2025-05-11 21:55:00,-93822377.999431,-419915.952289071,,-8,,-225.2,-0.00195435257450204,-3.52</t>
  </si>
  <si>
    <t>2025-05-11 21:55:00,55692364.0576919,518981.853470543,0,0,0,0,0,0</t>
  </si>
  <si>
    <t>2025-05-11 21:56:00,580,,574,,580,,562.5,,,,,580,560,,</t>
  </si>
  <si>
    <t>2025-05-11 21:56:00,500,,497,,490,,487,,,,,500,480,,</t>
  </si>
  <si>
    <t>2025-05-11 21:56:00,,5700,,5680,,5800,5780,,,,,5830,5680,,</t>
  </si>
  <si>
    <t>2025-05-11 21:56:00,20100,,20700,,20100,,20175,,,,,20700,19900,,</t>
  </si>
  <si>
    <t>2025-05-11 21:56:00,4883039296.65237,13212332356.4017,0,0,0,0,0,0</t>
  </si>
  <si>
    <t>2025-05-11 21:56:00,2991917514.01882,3551402078.78635,0,0,0,0,0,0</t>
  </si>
  <si>
    <t>2025-05-11 21:56:00,-94052068.0852395,-429434.450197701,,-15,,-530.5,0.022527563414613,-9.78</t>
  </si>
  <si>
    <t>2025-05-11 21:56:00,55689412.6788379,519256.060348391,0,0,0,0,0,0</t>
  </si>
  <si>
    <t>2025-05-11 21:57:00,580,,574,,580,,562.5,,,,,580,560,,</t>
  </si>
  <si>
    <t>2025-05-11 21:57:00,500,,497,,490,,487,,,,,500,480,,</t>
  </si>
  <si>
    <t>2025-05-11 21:57:00,,5700,,5680,,5800,5780,,,,,5830,5680,,</t>
  </si>
  <si>
    <t>2025-05-11 21:57:00,20100,,20700,,20100,,20175,,,,,20700,19900,,</t>
  </si>
  <si>
    <t>2025-05-11 21:57:00,4883166890.90552,13212882278.7272,0,0,0,0,0,0</t>
  </si>
  <si>
    <t>2025-05-11 21:57:00,2949859663.54171,3419898200.85195,0,0,0,0,0,0</t>
  </si>
  <si>
    <t>2025-05-11 21:57:00,-94335948.3748361,-437122.93542417,,-3,,-341.16,0.0138776963378465,-3</t>
  </si>
  <si>
    <t>2025-05-11 21:57:00,55701918.3823051,518450.625794238,0,0,0,0,0,0</t>
  </si>
  <si>
    <t>2025-05-11 21:58:00,580,,574,,580,,562.5,,,,,580,560,,</t>
  </si>
  <si>
    <t>2025-05-11 21:58:00,500,,497,,490,,487,,,,,500,480,,</t>
  </si>
  <si>
    <t>2025-05-11 21:58:00,,5700,,5680,,5800,5780,,,,,5830,5680,,</t>
  </si>
  <si>
    <t>2025-05-11 21:58:00,20100,,20700,,20100,,20175,,,,,20700,19900,,</t>
  </si>
  <si>
    <t>2025-05-11 21:58:00,4840088557.8879,12800428151.3218,0,0,0,0,0,0</t>
  </si>
  <si>
    <t>2025-05-11 21:58:00,3009780278.07342,3609741098.67854,0,0,0,0,0,0</t>
  </si>
  <si>
    <t>2025-05-11 21:58:00,-93103722.6167106,-418481.159044281,,-24,,-652.9,-0.00162520706545028,-10.02</t>
  </si>
  <si>
    <t>2025-05-11 21:58:00,55598307.6547993,521092.821643314,0,0,0,0,0,0</t>
  </si>
  <si>
    <t>2025-05-11 21:59:00,580,,574,,580,,570.5,,,,,580,560,,</t>
  </si>
  <si>
    <t>2025-05-11 21:59:00,500,,497,,490,,487,,,,,500,480,,</t>
  </si>
  <si>
    <t>2025-05-11 21:59:00,,5700,,5680,,5800,5780,,,,,5830,5680,,</t>
  </si>
  <si>
    <t>2025-05-11 21:59:00,20100,,20700,,20100,,20175,,,,,20700,19900,,</t>
  </si>
  <si>
    <t>2025-05-11 21:59:00,4758025187.53083,12173054548.2972,0,0,0,0,0,0</t>
  </si>
  <si>
    <t>2025-05-11 21:59:00,2985879797.07351,3536428700.68104,0,0,0,0,0,0</t>
  </si>
  <si>
    <t>2025-05-11 21:59:00,-94264695.126324,-430524.561665975,,-8,,-133.9,-0.00763484057903553,-2.91</t>
  </si>
  <si>
    <t>2025-05-11 21:59:00,55685711.9811159,519247.763717071,0,0,0,0,0,0</t>
  </si>
  <si>
    <t>2025-05-11 22:00:00,580,,574,,580,,570.5,,,,,580,560,,</t>
  </si>
  <si>
    <t>2025-05-11 22:00:00,500,,497,,490,,487,,,,,500,480,,</t>
  </si>
  <si>
    <t>2025-05-11 22:00:00,,5700,,5680,,5800,5780,,,,,5830,5680,,</t>
  </si>
  <si>
    <t>2025-05-11 22:00:00,20100,,20700,,20100,,20175,,,,,20700,19900,,</t>
  </si>
  <si>
    <t>2025-05-11 22:00:00,4757804184.67912,12171837722.6129,0,0,0,0,0,0</t>
  </si>
  <si>
    <t>2025-05-11 22:00:00,2988095055.38634,3537369493.89889,0,0,0,0,0,0</t>
  </si>
  <si>
    <t>2025-05-11 22:00:00,-93991650.9494336,-425647.235781457,,-3,,-2.1,-0.00567743799995494,-0.1</t>
  </si>
  <si>
    <t>2025-05-11 22:00:00,55666358.2167166,519586.58325749,0,0,0,0,0,0</t>
  </si>
  <si>
    <t>2025-05-11 22:01:00,580,,574,,580,,570.5,,,,,580,560,,</t>
  </si>
  <si>
    <t>2025-05-11 22:01:00,500,,497,,490,,487,,,,,500,480,,</t>
  </si>
  <si>
    <t>2025-05-11 22:01:00,,5700,,5680,,5800,5780,,,,,5830,5680,,</t>
  </si>
  <si>
    <t>2025-05-11 22:01:00,20100,,20700,,20100,,20175,,,,,20700,19900,,</t>
  </si>
  <si>
    <t>2025-05-11 22:01:00,4758099230.71241,12174025781.766,0,0,0,0,0,0</t>
  </si>
  <si>
    <t>2025-05-11 22:01:00,2988179239.63896,3537414522.55965,0,0,0,0,0,0</t>
  </si>
  <si>
    <t>2025-05-11 22:01:00,-94051431.8089697,-425051.951337713,,-1,,-1.6,-0.00237312945649518,-0.09</t>
  </si>
  <si>
    <t>2025-05-11 22:01:00,55662461.2077238,519962.663397367,0,0,0,0,0,0</t>
  </si>
  <si>
    <t>2025-05-11 22:02:00,580,,574,,580,,570.5,,,,,580,560,,</t>
  </si>
  <si>
    <t>2025-05-11 22:02:00,500,,497,,490,,487,,,,,500,480,,</t>
  </si>
  <si>
    <t>2025-05-11 22:02:00,,5700,,5680,,5800,5780,,,,,5830,5680,,</t>
  </si>
  <si>
    <t>2025-05-11 22:02:00,20100,,20700,,20100,,20175,,,,,20700,19900,,</t>
  </si>
  <si>
    <t>2025-05-11 22:02:00,4757746676.32894,12174266288.2364,0,0,0,0,0,0</t>
  </si>
  <si>
    <t>2025-05-11 22:02:00,2966954711.12077,3469904723.01116,0,0,0,0,0,0</t>
  </si>
  <si>
    <t>2025-05-11 22:02:00,-94161434.3091294,-457323.977243282,,-43,,-1864.78,0.121492142726123,-33.51</t>
  </si>
  <si>
    <t>2025-05-11 22:02:00,55675986.807588,519273.516574,0,0,0,0,0,0</t>
  </si>
  <si>
    <t>2025-05-11 22:03:00,580,,574,,580,,562.5,,,,,580,560,,</t>
  </si>
  <si>
    <t>2025-05-11 22:03:00,500,,497,,490,,487,,,,,500,480,,</t>
  </si>
  <si>
    <t>2025-05-11 22:03:00,,5700,,5680,,5800,5780,,,,,5830,5680,,</t>
  </si>
  <si>
    <t>2025-05-11 22:03:00,20100,,20700,,20100,,20175,,,,,20700,19900,,</t>
  </si>
  <si>
    <t>2025-05-11 22:03:00,4883786328.51395,13217667445.8203,0,0,0,0,0,0</t>
  </si>
  <si>
    <t>2025-05-11 22:03:00,2958165909.99789,3444322417.26327,0,0,0,0,0,0</t>
  </si>
  <si>
    <t>2025-05-11 22:03:00,-94353968.915529,-468753.05632669,,-10,,-434.13,0.0326345839129827,-8.17</t>
  </si>
  <si>
    <t>2025-05-11 22:03:00,55714789.9143558,518161.433159676,0,0,0,0,0,0</t>
  </si>
  <si>
    <t>2025-05-11 22:04:00,580,,574,,580,,562.5,,,,,580,560,,</t>
  </si>
  <si>
    <t>2025-05-11 22:04:00,500,,497,,490,,487,,,,,500,480,,</t>
  </si>
  <si>
    <t>2025-05-11 22:04:00,,5700,,5680,,5800,5780,,,,,5830,5680,,</t>
  </si>
  <si>
    <t>2025-05-11 22:04:00,20100,,20700,,20100,,20175,,,,,20700,19900,,</t>
  </si>
  <si>
    <t>2025-05-11 22:04:00,4883631322.87195,13218206828.0715,0,0,0,0,0,0</t>
  </si>
  <si>
    <t>2025-05-11 22:04:00,2967178581.92006,3469484867.11164,0,0,0,0,0,0</t>
  </si>
  <si>
    <t>2025-05-11 22:04:00,-94251519.3507347,-464340.903328001,,-2,,-30.24,-0.00164722670606807,-0.47</t>
  </si>
  <si>
    <t>2025-05-11 22:04:00,55677994.5157007,519331.435845268,0,0,0,0,0,0</t>
  </si>
  <si>
    <t>2025-05-11 22:05:00,580,,574,,580,,562.5,,,,,580,560,,</t>
  </si>
  <si>
    <t>2025-05-11 22:05:00,500,,497,,490,,487,,,,,500,480,,</t>
  </si>
  <si>
    <t>2025-05-11 22:05:00,,5700,,5680,,5800,5780,,,,,5830,5680,,</t>
  </si>
  <si>
    <t>2025-05-11 22:05:00,20100,,20700,,20100,,20175,,,,,20700,19900,,</t>
  </si>
  <si>
    <t>2025-05-11 22:05:00,4883835762.40688,13221283526.3192,0,0,0,0,0,0</t>
  </si>
  <si>
    <t>2025-05-11 22:05:00,2966773742.77674,3469531212.31224,0,0,0,0,0,0</t>
  </si>
  <si>
    <t>2025-05-11 22:05:00,-94240783.0098383,-483335.664804117,,-49,,-1875.96,0.0618790634554811,-23.6</t>
  </si>
  <si>
    <t>2025-05-11 22:05:00,55701587.6601137,518534.875738816,0,0,0,0,0,0</t>
  </si>
  <si>
    <t>2025-05-11 22:06:00,580,,570,,580,,562.5,,,,,580,560,,</t>
  </si>
  <si>
    <t>2025-05-11 22:06:00,500,,497,,490,,487,,,,,500,480,,</t>
  </si>
  <si>
    <t>2025-05-11 22:06:00,,5700,,5680,,5800,5780,,,,,5830,5680,,</t>
  </si>
  <si>
    <t>2025-05-11 22:06:00,20100,,20700,,20100,,20175,,,,,20700,19900,,</t>
  </si>
  <si>
    <t>2025-05-11 22:06:00,4830102657.8783,12938036828.6484,0,0,0,0,0,0</t>
  </si>
  <si>
    <t>2025-05-11 22:06:00,2958443772.75774,3444049186.33374,0,0,0,0,0,0</t>
  </si>
  <si>
    <t>2025-05-11 22:06:00,-94078630.0072349,-494280.236685133,,-25,,-712.53,0.0321951138318807,-12.33</t>
  </si>
  <si>
    <t>2025-05-11 22:06:00,55736315.5162599,517542.470259118,0,0,0,0,0,0</t>
  </si>
  <si>
    <t>2025-05-11 22:07:00,580,,574,,580,,562.5,,,,,580,560,,</t>
  </si>
  <si>
    <t>2025-05-11 22:07:00,500,,497,,490,,487,,,,,500,480,,</t>
  </si>
  <si>
    <t>2025-05-11 22:07:00,,5700,,5680,,5800,5780,,,,,5830,5680,,</t>
  </si>
  <si>
    <t>2025-05-11 22:07:00,20100,,20700,,20100,,20175,,,,,20700,19900,,</t>
  </si>
  <si>
    <t>2025-05-11 22:07:00,4856874226.45302,13107143307.27,0,0,0,0,0,0</t>
  </si>
  <si>
    <t>2025-05-11 22:07:00,2987617884.70549,3536980451.96472,0,0,0,0,0,0</t>
  </si>
  <si>
    <t>2025-05-11 22:07:00,-93887029.0975915,-493066.572198545,,-31,,-1041.01,0.0136427859562044,-13.61</t>
  </si>
  <si>
    <t>2025-05-11 22:07:00,55665982.7806024,519675.112036157,0,0,0,0,0,0</t>
  </si>
  <si>
    <t>2025-05-11 22:08:00,580,,574,,580,,562.5,,,,,580,560,,</t>
  </si>
  <si>
    <t>2025-05-11 22:08:00,500,,497,,490,,487,,,,,500,480,,</t>
  </si>
  <si>
    <t>2025-05-11 22:08:00,,5700,,5680,,5800,5780,,,,,5830,5680,,</t>
  </si>
  <si>
    <t>2025-05-11 22:08:00,20100,,20700,,20100,,20175,,,,,20700,19900,,</t>
  </si>
  <si>
    <t>2025-05-11 22:08:00,4892086472.03805,13228911168.0434,0,0,0,0,0,0</t>
  </si>
  <si>
    <t>2025-05-11 22:08:00,3030965060.3967,3672932810.18061,0,0,0,0,0,0</t>
  </si>
  <si>
    <t>2025-05-11 22:08:00,-93311470.8047399,-477600.843764257,,-15,,-157.64,-0.0148802508630709,-2.37</t>
  </si>
  <si>
    <t>2025-05-11 22:08:00,55566329.3785531,521894.520782181,0,0,0,0,0,0</t>
  </si>
  <si>
    <t>2025-05-11 22:09:00,580,,574,,580,,562.5,,,,,580,560,,</t>
  </si>
  <si>
    <t>2025-05-11 22:09:00,500,,497,,490,,487,,,,,500,480,,</t>
  </si>
  <si>
    <t>2025-05-11 22:09:00,,5700,,5680,,5800,5780,,,,,5830,5680,,</t>
  </si>
  <si>
    <t>2025-05-11 22:09:00,20100,,20700,,20100,,20175,,,,,20700,19900,,</t>
  </si>
  <si>
    <t>2025-05-11 22:09:00,4817908840.99052,12570938956.3025,0,0,0,0,0,0</t>
  </si>
  <si>
    <t>2025-05-11 22:09:00,3038479461.75221,3570054364.99744,0,0,0,0,0,0</t>
  </si>
  <si>
    <t>2025-05-11 22:09:00,-93315395.8467195,-471682.921617856,,-24,,-533.88,-0.0213831552266451,-7.98</t>
  </si>
  <si>
    <t>2025-05-11 22:09:00,55533408.696967,522892.610430866,0,0,0,0,0,0</t>
  </si>
  <si>
    <t>2025-05-11 22:10:00,580,,574,,580,,562.5,,,,,580,560,,</t>
  </si>
  <si>
    <t>2025-05-11 22:10:00,500,,497,,490,,487,,,,,500,480,,</t>
  </si>
  <si>
    <t>2025-05-11 22:10:00,,5700,,5680,,5800,5780,,,,,5830,5680,,</t>
  </si>
  <si>
    <t>2025-05-11 22:10:00,20100,,20700,,20100,,20175,,,,,20700,19900,,</t>
  </si>
  <si>
    <t>2025-05-11 22:10:00,4857318035.70502,13109736438.5721,0,0,0,0,0,0</t>
  </si>
  <si>
    <t>2025-05-11 22:10:00,3010127971.53872,3609362878.34462,0,0,0,0,0,0</t>
  </si>
  <si>
    <t>2025-05-11 22:10:00,-94567422.0746039,-484460.284237088,,-10,,-158.31,-0.00437032333058241,-3</t>
  </si>
  <si>
    <t>2025-05-11 22:10:00,55628273.5908062,520329.508601695,0,0,0,0,0,0</t>
  </si>
  <si>
    <t>2025-05-11 22:11:00,580,,574,,580,,562.5,,,,,580,560,,</t>
  </si>
  <si>
    <t>2025-05-11 22:11:00,500,,497,,490,,487,,,,,500,480,,</t>
  </si>
  <si>
    <t>2025-05-11 22:11:00,,5700,,5680,,5800,5780,,,,,5830,5680,,</t>
  </si>
  <si>
    <t>2025-05-11 22:11:00,20100,,20700,,20100,,20175,,,,,20700,19900,,</t>
  </si>
  <si>
    <t>2025-05-11 22:11:00,4874828184.83728,13185875902.9482,0,0,0,0,0,0</t>
  </si>
  <si>
    <t>2025-05-11 22:11:00,3027144044.81004,3662861959.73955,0,0,0,0,0,0</t>
  </si>
  <si>
    <t>2025-05-11 22:11:00,-93624694.8726652,-465860.598023289,,-46,,-1227.35,-0.0303343161189205,-17.4</t>
  </si>
  <si>
    <t>2025-05-11 22:11:00,55581429.4837719,521370.643036253,0,0,0,0,0,0</t>
  </si>
  <si>
    <t>2025-05-11 22:12:00,580,,574,,580,,562.5,,,,,580,560,,</t>
  </si>
  <si>
    <t>2025-05-11 22:12:00,500,,497,,490,,487,,,,,500,480,,</t>
  </si>
  <si>
    <t>2025-05-11 22:12:00,,5700,,5680,,5800,5780,,,,,5830,5680,,</t>
  </si>
  <si>
    <t>2025-05-11 22:12:00,20100,,20700,,20100,,20175,,,,,20700,19900,,</t>
  </si>
  <si>
    <t>2025-05-11 22:12:00,4874996446.79972,13187642898.4852,0,0,0,0,0,0</t>
  </si>
  <si>
    <t>2025-05-11 22:12:00,3023277506.89279,3649535590.57186,0,0,0,0,0,0</t>
  </si>
  <si>
    <t>2025-05-11 22:12:00,-93646483.3183009,-465277.831709326,,-53,,-759.08,0.00392237540646922,-3.9</t>
  </si>
  <si>
    <t>2025-05-11 22:12:00,55611194.075934,521102.908646474,0,0,0,0,0,0</t>
  </si>
  <si>
    <t>2025-05-11 22:13:00,580,,574,,580,,562.5,,,,,580,560,,</t>
  </si>
  <si>
    <t>2025-05-11 22:13:00,500,,497,,490,,487,,,,,500,480,,</t>
  </si>
  <si>
    <t>2025-05-11 22:13:00,,5700,,5680,,5800,5780,,,,,5830,5680,,</t>
  </si>
  <si>
    <t>2025-05-11 22:13:00,20100,,20700,,20100,,20175,,,,,20700,19900,,</t>
  </si>
  <si>
    <t>2025-05-11 22:13:00,4857653992.13627,13112157322.7862,0,0,0,0,0,0</t>
  </si>
  <si>
    <t>2025-05-11 22:13:00,3001641265.80455,3580287292.39893,0,0,0,0,0,0</t>
  </si>
  <si>
    <t>2025-05-11 22:13:00,-93492874.3689619,-464335.35482893,,-58,,-953.28,-0.0149527423138977,-7.81</t>
  </si>
  <si>
    <t>2025-05-11 22:13:00,55602922.3128884,520833.564764848,0,0,0,0,0,0</t>
  </si>
  <si>
    <t>2025-05-11 22:14:00,580,,574,,580,,562.5,,,,,580,560,,</t>
  </si>
  <si>
    <t>2025-05-11 22:14:00,500,,499,,490,,497,,,,,500,480,,</t>
  </si>
  <si>
    <t>2025-05-11 22:14:00,,5700,,5680,,5800,5780,,,,,5830,5680,,</t>
  </si>
  <si>
    <t>2025-05-11 22:14:00,20100,,20700,,20100,,20175,,,,,20700,19900,,</t>
  </si>
  <si>
    <t>2025-05-11 22:14:00,4884304350.20232,13227011788.616,0,0,0,0,0,0</t>
  </si>
  <si>
    <t>2025-05-11 22:14:00,2981015975.44371,2742442241.26424,0,0,0,0,0,0</t>
  </si>
  <si>
    <t>2025-05-11 22:14:00,-93224338.334082,-458501.686269317,,0,,0,0,0</t>
  </si>
  <si>
    <t>2025-05-11 22:14:00,55488564.3037985,523700.018340067,0,0,0,0,0,0</t>
  </si>
  <si>
    <t>2025-05-11 22:15:00,580,,574,,580,,562.5,,,,,580,560,,</t>
  </si>
  <si>
    <t>2025-05-11 22:15:00,500,,499,,490,,487,,,,,500,480,,</t>
  </si>
  <si>
    <t>2025-05-11 22:15:00,,5700,,5680,,5800,5780,,,,,5830,5680,,</t>
  </si>
  <si>
    <t>2025-05-11 22:15:00,20100,,20700,,20100,,20175,,,,,20700,19900,,</t>
  </si>
  <si>
    <t>2025-05-11 22:15:00,4847646023.85417,12854087488.0374,0,0,0,0,0,0</t>
  </si>
  <si>
    <t>2025-05-11 22:15:00,3002292176.14493,2921875443.3826,0,0,0,0,0,0</t>
  </si>
  <si>
    <t>2025-05-11 22:15:00,-92375622.6578738,-453955.298121065,,-3,,-149.36,0.00781271797267494,-2.13</t>
  </si>
  <si>
    <t>2025-05-11 22:15:00,55469096.5181144,524053.90205191,0,0,0,0,0,0</t>
  </si>
  <si>
    <t>2025-05-11 22:16:00,580,,574,,580,,562.5,,,,,580,560,,</t>
  </si>
  <si>
    <t>2025-05-11 22:16:00,500,,497,,490,,487,,,,,500,480,,</t>
  </si>
  <si>
    <t>2025-05-11 22:16:00,,5700,,5680,,5800,5780,,,,,5830,5680,,</t>
  </si>
  <si>
    <t>2025-05-11 22:16:00,20100,,20700,,20100,,20175,,,,,20700,19900,,</t>
  </si>
  <si>
    <t>2025-05-11 22:16:00,4884743116.76657,13229695393.1539,0,0,0,0,0,0</t>
  </si>
  <si>
    <t>2025-05-11 22:16:00,3035221885.81997,3679713839.2871,0,0,0,0,0,0</t>
  </si>
  <si>
    <t>2025-05-11 22:16:00,-93116754.6314344,-458853.741773215,,6,,-57.07,0.0137592998953509,-0.95</t>
  </si>
  <si>
    <t>2025-05-11 22:16:00,55562624.1283698,521864.95391831,0,0,0,0,0,0</t>
  </si>
  <si>
    <t>2025-05-11 22:17:00,580,,574,,580,,562.5,,,,,580,560,,</t>
  </si>
  <si>
    <t>2025-05-11 22:17:00,500,,497,,490,,487,,,,,500,480,,</t>
  </si>
  <si>
    <t>2025-05-11 22:17:00,,5700,,5680,,5800,5780,,,,,5830,5680,,</t>
  </si>
  <si>
    <t>2025-05-11 22:17:00,20100,,20700,,20100,,20175,,,,,20700,19900,,</t>
  </si>
  <si>
    <t>2025-05-11 22:17:00,4884922876.56057,13230431037.1757,0,0,0,0,0,0</t>
  </si>
  <si>
    <t>2025-05-11 22:17:00,3030914050.80953,3672330567.70924,0,0,0,0,0,0</t>
  </si>
  <si>
    <t>2025-05-11 22:17:00,-94004465.277882,-467948.450591181,,-2,,-5.48,-0.00395228102216528,-0.22</t>
  </si>
  <si>
    <t>2025-05-11 22:17:00,55560230.9832973,522018.025066677,0,0,0,0,0,0</t>
  </si>
  <si>
    <t>2025-05-11 22:18:00,580,,574,,580,,562.5,,,,,580,560,,</t>
  </si>
  <si>
    <t>2025-05-11 22:18:00,500,,497,,490,,487,,,,,500,480,,</t>
  </si>
  <si>
    <t>2025-05-11 22:18:00,,5700,,5680,,5800,5780,,,,,5830,5680,,</t>
  </si>
  <si>
    <t>2025-05-11 22:18:00,20100,,20700,,20100,,20175,,,,,20700,19900,,</t>
  </si>
  <si>
    <t>2025-05-11 22:18:00,4884941673.95236,13230877719.991,0,0,0,0,0,0</t>
  </si>
  <si>
    <t>2025-05-11 22:18:00,3022980880.85978,3649942255.40414,0,0,0,0,0,0</t>
  </si>
  <si>
    <t>2025-05-11 22:18:00,-93852260.5876801,-468401.577231177,,-1,,-6.1,0.000119514909308722,-0.02</t>
  </si>
  <si>
    <t>2025-05-11 22:18:00,55584383.8297051,521352.860860519,0,0,0,0,0,0</t>
  </si>
  <si>
    <t>2025-05-11 22:19:00,580,,574,,580,,562.5,,,,,580,560,,</t>
  </si>
  <si>
    <t>2025-05-11 22:19:00,500,,497,,490,,487,,,,,500,480,,</t>
  </si>
  <si>
    <t>2025-05-11 22:19:00,,5700,,5680,,5800,5780,,,,,5830,5680,,</t>
  </si>
  <si>
    <t>2025-05-11 22:19:00,20100,,20700,,20100,,20175,,,,,20700,19900,,</t>
  </si>
  <si>
    <t>2025-05-11 22:19:00,4885196418.43018,13231729131.3519,0,0,0,0,0,0</t>
  </si>
  <si>
    <t>2025-05-11 22:19:00,2997223039.2748,3565945831.09402,0,0,0,0,0,0</t>
  </si>
  <si>
    <t>2025-05-11 22:19:00,-93749281.7749936,-467736.020553825,,-53,,-470.61,0.00385114758306601,-1.74</t>
  </si>
  <si>
    <t>2025-05-11 22:19:00,55616561.0579871,520332.430915052,0,0,0,0,0,0</t>
  </si>
  <si>
    <t>2025-05-11 22:21:00,580,,574,,580,,562.5,,,,,580,560,,</t>
  </si>
  <si>
    <t>2025-05-11 22:21:00,500,,497,,490,,487,,,,,500,480,,</t>
  </si>
  <si>
    <t>2025-05-11 22:21:00,,5700,,5680,,5800,5780,,,,,5830,5680,,</t>
  </si>
  <si>
    <t>2025-05-11 22:21:00,20100,,20700,,20100,,20175,,,,,20700,19900,,</t>
  </si>
  <si>
    <t>2025-05-11 22:21:00,4885469364.95541,13233866709.5077,0,0,0,0,0,0</t>
  </si>
  <si>
    <t>2025-05-11 22:21:00,2984168397.99503,3523171314.01206,0,0,0,0,0,0</t>
  </si>
  <si>
    <t>2025-05-11 22:21:00,-94180826.2932572,-477411.001318544,,-3,,-63.85,0.000481228533506807,-1.18</t>
  </si>
  <si>
    <t>2025-05-11 22:21:00,55663863.3504347,519486.999100712,0,0,0,0,0,0</t>
  </si>
  <si>
    <t>2025-05-11 22:22:00,580,,574,,580,,562.5,,,,,580,560,,</t>
  </si>
  <si>
    <t>2025-05-11 22:22:00,500,,497,,490,,487,,,,,500,480,,</t>
  </si>
  <si>
    <t>2025-05-11 22:22:00,,5700,,5680,,5800,5780,,,,,5830,5680,,</t>
  </si>
  <si>
    <t>2025-05-11 22:22:00,20100,,20700,,20100,,20175,,,,,20700,19900,,</t>
  </si>
  <si>
    <t>2025-05-11 22:22:00,4885688564.43416,13234600263.241,0,0,0,0,0,0</t>
  </si>
  <si>
    <t>2025-05-11 22:22:00,3010294498.73846,3608513371.11868,0,0,0,0,0,0</t>
  </si>
  <si>
    <t>2025-05-11 22:22:00,-93278046.5902449,-460982.077800536,,0,,0,0,0</t>
  </si>
  <si>
    <t>2025-05-11 22:22:00,55615572.6583414,520787.159590032,0,0,0,0,0,0</t>
  </si>
  <si>
    <t>2025-05-11 22:23:00,580,,574,,580,,562.5,,,,,580,560,,</t>
  </si>
  <si>
    <t>2025-05-11 22:23:00,500,,497,,490,,487,,,,,500,480,,</t>
  </si>
  <si>
    <t>2025-05-11 22:23:00,,5700,,5680,,5800,5780,,,,,5830,5680,,</t>
  </si>
  <si>
    <t>2025-05-11 22:23:00,20100,,20700,,20100,,20175,,,,,20700,19900,,</t>
  </si>
  <si>
    <t>2025-05-11 22:23:00,4892560811.19041,13244627855.7838,0,0,0,0,0,0</t>
  </si>
  <si>
    <t>2025-05-11 22:23:00,3019044599.0871,3636292056.83957,0,0,0,0,0,0</t>
  </si>
  <si>
    <t>2025-05-11 22:23:00,-92841427.0988709,-454461.523000296,,-3,,-7.8,-0.00742374654187108,-0.39</t>
  </si>
  <si>
    <t>2025-05-11 22:23:00,55610728.1340169,521311.383558977,0,0,0,0,0,0</t>
  </si>
  <si>
    <t>2025-05-11 22:24:00,580,,574,,580,,562.5,,,,,580,560,,</t>
  </si>
  <si>
    <t>2025-05-11 22:24:00,500,,497,,490,,487,,,,,500,480,,</t>
  </si>
  <si>
    <t>2025-05-11 22:24:00,,5700,,5680,,5800,5780,,,,,5830,5680,,</t>
  </si>
  <si>
    <t>2025-05-11 22:24:00,20100,,20700,,20100,,20175,,,,,20700,19900,,</t>
  </si>
  <si>
    <t>2025-05-11 22:24:00,4886105445.31157,13237110745.2751,0,0,0,0,0,0</t>
  </si>
  <si>
    <t>2025-05-11 22:24:00,2983901274.49468,3522540611.19491,0,0,0,0,0,0</t>
  </si>
  <si>
    <t>2025-05-11 22:24:00,-93753005.5942403,-460528.055354727,,-4,,-13.22,-0.00929146067164564,-0.55</t>
  </si>
  <si>
    <t>2025-05-11 22:24:00,55674863.297654,519520.422277188,0,0,0,0,0,0</t>
  </si>
  <si>
    <t>2025-05-11 22:25:00,580,,574,,580,,562.5,,,,,580,560,,</t>
  </si>
  <si>
    <t>2025-05-11 22:25:00,500,,497,,490,,487,,,,,500,480,,</t>
  </si>
  <si>
    <t>2025-05-11 22:25:00,,5700,,5680,,5800,5780,,,,,5830,5680,,</t>
  </si>
  <si>
    <t>2025-05-11 22:25:00,20100,,20700,,20100,,20175,,,,,20700,19900,,</t>
  </si>
  <si>
    <t>2025-05-11 22:25:00,4860045501.6352,12722486169.4633,0,0,0,0,0,0</t>
  </si>
  <si>
    <t>2025-05-11 22:25:00,3027569363.90779,3662424872.73886,0,0,0,0,0,0</t>
  </si>
  <si>
    <t>2025-05-11 22:25:00,-90587977.5421911,-433553.788622209,,-5,,-66.71,-0.0073649155142053,-0.88</t>
  </si>
  <si>
    <t>2025-05-11 22:25:00,55604455.8873423,521415.136705217,0,0,0,0,0,0</t>
  </si>
  <si>
    <t>2025-05-11 22:26:00,580,,574,,580,,570.5,,,,,580,560,,</t>
  </si>
  <si>
    <t>2025-05-11 22:26:00,500,,497,,490,,487,,,,,500,480,,</t>
  </si>
  <si>
    <t>2025-05-11 22:26:00,,5700,,5680,,5800,5780,,,,,5830,5680,,</t>
  </si>
  <si>
    <t>2025-05-11 22:26:00,20100,,20700,,20100,,20175,,,,,20700,19900,,</t>
  </si>
  <si>
    <t>2025-05-11 22:26:00,4765594619.7176,12217293796.1998,0,0,0,0,0,0</t>
  </si>
  <si>
    <t>2025-05-11 22:26:00,3019286326.06967,3635898394.65017,0,0,0,0,0,0</t>
  </si>
  <si>
    <t>2025-05-11 22:26:00,-91444179.2312094,-438253.971360266,,-5,,-91.01,0.0017016419372707,-1.37</t>
  </si>
  <si>
    <t>2025-05-11 22:26:00,55640560.8290593,520917.324787714,0,0,0,0,0,0</t>
  </si>
  <si>
    <t>2025-05-11 22:27:00,580,,574,,580,,570.5,,,,,580,560,,</t>
  </si>
  <si>
    <t>2025-05-11 22:27:00,500,,497,,490,,487,,,,,500,480,,</t>
  </si>
  <si>
    <t>2025-05-11 22:27:00,,5700,,5680,,5800,5780,,,,,5830,5680,,</t>
  </si>
  <si>
    <t>2025-05-11 22:27:00,20100,,20700,,20100,,20175,,,,,20700,19900,,</t>
  </si>
  <si>
    <t>2025-05-11 22:27:00,4771083909.56654,12242237838.0256,0,0,0,0,0,0</t>
  </si>
  <si>
    <t>2025-05-11 22:27:00,2984240698.17964,3522297900.91591,0,0,0,0,0,0</t>
  </si>
  <si>
    <t>2025-05-11 22:27:00,-91388227.4456524,-436212.378087069,,-1,,-6.2,-0.00238167879024592,-0.24</t>
  </si>
  <si>
    <t>2025-05-11 22:27:00,55722001.3938379,519012.465996149,0,0,0,0,0,0</t>
  </si>
  <si>
    <t>2025-05-11 22:28:00,580,,574,,580,,562.5,,,,,580,560,,</t>
  </si>
  <si>
    <t>2025-05-11 22:28:00,500,,497,,490,,487,,,,,500,480,,</t>
  </si>
  <si>
    <t>2025-05-11 22:28:00,,5700,,5680,,5800,5780,,,,,5830,5680,,</t>
  </si>
  <si>
    <t>2025-05-11 22:28:00,20100,,20700,,20100,,20175,,,,,20700,19900,,</t>
  </si>
  <si>
    <t>2025-05-11 22:28:00,4892012444.69574,13218264559.0556,0,0,0,0,0,0</t>
  </si>
  <si>
    <t>2025-05-11 22:28:00,2950571673.88068,3419723752.27709,0,0,0,0,0,0</t>
  </si>
  <si>
    <t>2025-05-11 22:28:00,-92580483.5411953,-444112.700509509,,-2,,-7.24,-0.00458335569148255,-0.3</t>
  </si>
  <si>
    <t>2025-05-11 22:28:00,55763076.8922641,518157.997245071,0,0,0,0,0,0</t>
  </si>
  <si>
    <t>2025-05-11 22:29:00,580,,574,,580,,570.5,,,,,580,560,,</t>
  </si>
  <si>
    <t>2025-05-11 22:29:00,500,,497,,490,,487,,,,,500,480,,</t>
  </si>
  <si>
    <t>2025-05-11 22:29:00,,5700,,5680,,5800,5780,,,,,5830,5680,,</t>
  </si>
  <si>
    <t>2025-05-11 22:29:00,20100,,20700,,20100,,20175,,,,,20700,19900,,</t>
  </si>
  <si>
    <t>2025-05-11 22:29:00,4765272002.12781,12220059556.8668,0,0,0,0,0,0</t>
  </si>
  <si>
    <t>2025-05-11 22:29:00,2942226564.46997,3395863376.63212,0,0,0,0,0,0</t>
  </si>
  <si>
    <t>2025-05-11 22:29:00,-92037414.1895413,-439111.087460117,,14,,1.77,0.0182355648825584,-0.06</t>
  </si>
  <si>
    <t>2025-05-11 22:29:00,55780537.3447772,517592.456953149,0,0,0,0,0,0</t>
  </si>
  <si>
    <t>2025-05-11 22:30:00,580,,574,,580,,562.5,,,,,580,560,,</t>
  </si>
  <si>
    <t>2025-05-11 22:30:00,500,,497,,490,,487,,,,,500,480,,</t>
  </si>
  <si>
    <t>2025-05-11 22:30:00,,5700,,5680,,5800,5780,,,,,5830,5680,,</t>
  </si>
  <si>
    <t>2025-05-11 22:30:00,20100,,20700,,20100,,20175,,,,,20700,19900,,</t>
  </si>
  <si>
    <t>2025-05-11 22:30:00,4886367056.8846,13241290197.8228,0,0,0,0,0,0</t>
  </si>
  <si>
    <t>2025-05-11 22:30:00,2895585372.64125,3273889953.94858,0,0,0,0,0,0</t>
  </si>
  <si>
    <t>2025-05-11 22:30:00,-93825331.1459205,-452269.958957042,,-3,,-44.94,-0.000981013972039593,-1.19</t>
  </si>
  <si>
    <t>2025-05-11 22:30:00,55847596.7014257,515477.273949496,0,0,0,0,0,0</t>
  </si>
  <si>
    <t>2025-05-11 22:31:00,580,,574,,580,,562.5,,,,,580,560,,</t>
  </si>
  <si>
    <t>2025-05-11 22:31:00,500,,497,,490,,487,,,,,500,480,,</t>
  </si>
  <si>
    <t>2025-05-11 22:31:00,,5700,,5680,,5800,5780,,,,,5830,5680,,</t>
  </si>
  <si>
    <t>2025-05-11 22:31:00,20100,,20700,,20100,,20175,,,,,20700,19900,,</t>
  </si>
  <si>
    <t>2025-05-11 22:31:00,4883257781.74006,13135668899.2174,0,0,0,0,0,0</t>
  </si>
  <si>
    <t>2025-05-11 22:31:00,2903155829.68642,3292675051.51473,0,0,0,0,0,0</t>
  </si>
  <si>
    <t>2025-05-11 22:31:00,-92489116.4653496,-440012.011241056,,0,,0,0,0</t>
  </si>
  <si>
    <t>2025-05-11 22:31:00,55859303.5252607,515903.307671003,0,0,0,0,0,0</t>
  </si>
  <si>
    <t>2025-05-11 22:32:00,580,,574,,580,,562.5,,,,,580,560,,</t>
  </si>
  <si>
    <t>2025-05-11 22:32:00,500,,497,,490,,487,,,,,500,480,,</t>
  </si>
  <si>
    <t>2025-05-11 22:32:00,,5700,,5680,,5800,5780,,,,,5830,5680,,</t>
  </si>
  <si>
    <t>2025-05-11 22:32:00,20100,,20700,,20100,,20175,,,,,20700,19900,,</t>
  </si>
  <si>
    <t>2025-05-11 22:32:00,4892801041.37793,13221991081.5641,0,0,0,0,0,0</t>
  </si>
  <si>
    <t>2025-05-11 22:32:00,2888193328.13275,3255412113.91159,0,0,0,0,0,0</t>
  </si>
  <si>
    <t>2025-05-11 22:32:00,-92961119.9057031,-444201.641666635,,-1,,-9.25,-0.00222912561593591,-0.3</t>
  </si>
  <si>
    <t>2025-05-11 22:32:00,55903112.0318591,514572.182793698,0,0,0,0,0,0</t>
  </si>
  <si>
    <t>2025-05-11 22:33:00,580,,574,,580,,562.5,,,,,580,560,,</t>
  </si>
  <si>
    <t>2025-05-11 22:33:00,500,,497,,490,,487,,,,,500,480,,</t>
  </si>
  <si>
    <t>2025-05-11 22:33:00,,5700,,5680,,5800,5780,,,,,5830,5680,,</t>
  </si>
  <si>
    <t>2025-05-11 22:33:00,20100,,20700,,20100,,20175,,,,,20700,19900,,</t>
  </si>
  <si>
    <t>2025-05-11 22:33:00,4890105546.44432,13256277250.2285,0,0,0,0,0,0</t>
  </si>
  <si>
    <t>2025-05-11 22:33:00,2869317700.13882,3211310954.23902,0,0,0,0,0,0</t>
  </si>
  <si>
    <t>2025-05-11 22:33:00,-93484663.1210505,-448455.776473153,,0,,0,0,0</t>
  </si>
  <si>
    <t>2025-05-11 22:33:00,55920067.0745354,513712.692720043,0,0,0,0,0,0</t>
  </si>
  <si>
    <t>2025-05-11 22:34:00,580,,574,,580,,562.5,,,,,580,560,,</t>
  </si>
  <si>
    <t>2025-05-11 22:34:00,500,,497,,490,,487,,,,,500,480,,</t>
  </si>
  <si>
    <t>2025-05-11 22:34:00,,5700,,5680,,5800,5780,,,,,5830,5680,,</t>
  </si>
  <si>
    <t>2025-05-11 22:34:00,20100,,20700,,20100,,20175,,,,,20700,19900,,</t>
  </si>
  <si>
    <t>2025-05-11 22:34:00,4886657363.13747,13244202854.5438,0,0,0,0,0,0</t>
  </si>
  <si>
    <t>2025-05-11 22:34:00,2858962300.82224,3187594242.40872,0,0,0,0,0,0</t>
  </si>
  <si>
    <t>2025-05-11 22:34:00,-93712185.4686948,-451551.39139573,,-15,,-94.97,-0.0031415119358146,-0.83</t>
  </si>
  <si>
    <t>2025-05-11 22:34:00,55948089.8002333,513257.312487093,0,0,0,0,0,0</t>
  </si>
  <si>
    <t>2025-05-11 22:35:00,580,,574,,580,,562.5,,,,,580,560,,</t>
  </si>
  <si>
    <t>2025-05-11 22:35:00,500,,497,,490,,487,,,,,500,480,,</t>
  </si>
  <si>
    <t>2025-05-11 22:35:00,,5700,,5680,,5800,5780,,,,,5830,5680,,</t>
  </si>
  <si>
    <t>2025-05-11 22:35:00,20100,,20700,,20100,,20175,,,,,20700,19900,,</t>
  </si>
  <si>
    <t>2025-05-11 22:35:00,4886848144.12114,13245786932.5187,0,0,0,0,0,0</t>
  </si>
  <si>
    <t>2025-05-11 22:35:00,2869673793.01066,3212043679.12747,0,0,0,0,0,0</t>
  </si>
  <si>
    <t>2025-05-11 22:35:00,-93164031.5123099,-447704.126602056,,-2,,-13.25,-0.00216016102515566,-0.31</t>
  </si>
  <si>
    <t>2025-05-11 22:35:00,55919137.2340707,513850.897202035,0,0,0,0,0,0</t>
  </si>
  <si>
    <t>2025-05-11 22:36:00,580,,574,,580,,562.5,,,,,580,560,,</t>
  </si>
  <si>
    <t>2025-05-11 22:36:00,500,,497,,490,,487,,,,,500,480,,</t>
  </si>
  <si>
    <t>2025-05-11 22:36:00,,5700,,5680,,5800,5780,,,,,5830,5680,,</t>
  </si>
  <si>
    <t>2025-05-11 22:36:00,20100,,20700,,20100,,20175,,,,,20700,19900,,</t>
  </si>
  <si>
    <t>2025-05-11 22:36:00,4890531317.94883,13257984123.2803,0,0,0,0,0,0</t>
  </si>
  <si>
    <t>2025-05-11 22:36:00,2872863956.25543,3219767934.70854,0,0,0,0,0,0</t>
  </si>
  <si>
    <t>2025-05-11 22:36:00,-92826280.6468568,-432628.409506818,,-49,,-414.42,-0.0443752448504274,-4.15</t>
  </si>
  <si>
    <t>2025-05-11 22:36:00,55926501.1941986,514145.683735559,0,0,0,0,0,0</t>
  </si>
  <si>
    <t>2025-05-11 22:37:00,580,,574,,580,,562.5,,,,,580,560,,</t>
  </si>
  <si>
    <t>2025-05-11 22:37:00,500,,497,,490,,487,,,,,500,480,,</t>
  </si>
  <si>
    <t>2025-05-11 22:37:00,,5700,,5680,,5800,5780,,,,,5830,5680,,</t>
  </si>
  <si>
    <t>2025-05-11 22:37:00,20100,,20700,,20100,,20175,,,,,20700,19900,,</t>
  </si>
  <si>
    <t>2025-05-11 22:37:00,4890794315.31926,13261159677.8555,0,0,0,0,0,0</t>
  </si>
  <si>
    <t>2025-05-11 22:37:00,2873002866.13486,3220274159.68692,0,0,0,0,0,0</t>
  </si>
  <si>
    <t>2025-05-11 22:37:00,-92723028.9388546,-429604.843592133,,-6,,-28.43,-0.0106885686346456,-0.58</t>
  </si>
  <si>
    <t>2025-05-11 22:37:00,55925661.6118701,513935.965069501,0,0,0,0,0,0</t>
  </si>
  <si>
    <t>2025-05-11 22:38:00,580,,574,,580,,562.5,,,,,580,560,,</t>
  </si>
  <si>
    <t>2025-05-11 22:38:00,500,,497,,490,,487,,,,,500,480,,</t>
  </si>
  <si>
    <t>2025-05-11 22:38:00,,5700,,5680,,5800,5780,,,,,5830,5680,,</t>
  </si>
  <si>
    <t>2025-05-11 22:38:00,20100,,20700,,20100,,20175,,,,,20700,19900,,</t>
  </si>
  <si>
    <t>2025-05-11 22:38:00,4887053899.98059,13247770038.2873,0,0,0,0,0,0</t>
  </si>
  <si>
    <t>2025-05-11 22:38:00,2862194688.98944,3195616715.10218,0,0,0,0,0,0</t>
  </si>
  <si>
    <t>2025-05-11 22:38:00,-93538404.9794146,-437193.187813201,,-1,,-2.6,-0.00248183092010067,-0.13</t>
  </si>
  <si>
    <t>2025-05-11 22:38:00,55921378.8659988,513510.958240301,0,0,0,0,0,0</t>
  </si>
  <si>
    <t>2025-05-11 22:39:00,580,,574,,580,,562.5,,,,,580,560,,</t>
  </si>
  <si>
    <t>2025-05-11 22:39:00,500,,497,,490,,487,,,,,500,480,,</t>
  </si>
  <si>
    <t>2025-05-11 22:39:00,,5700,,5680,,5800,5780,,,,,5830,5680,,</t>
  </si>
  <si>
    <t>2025-05-11 22:39:00,20100,,20700,,20100,,20175,,,,,20700,19900,,</t>
  </si>
  <si>
    <t>2025-05-11 22:39:00,4891247990.77222,13261730126.9366,0,0,0,0,0,0</t>
  </si>
  <si>
    <t>2025-05-11 22:39:00,2858824086.62841,3187612100.93648,0,0,0,0,0,0</t>
  </si>
  <si>
    <t>2025-05-11 22:39:00,-92989433.1074359,-436798.072877142,,-4,,-124.4,0.00952801525066286,-3.01</t>
  </si>
  <si>
    <t>2025-05-11 22:39:00,55954313.960422,513213.537003685,0,0,0,0,0,0</t>
  </si>
  <si>
    <t>2025-05-11 22:40:00,580,,574,,580,,562.5,,,,,580,560,,</t>
  </si>
  <si>
    <t>2025-05-11 22:40:00,500,,497,,490,,487,,,,,500,480,,</t>
  </si>
  <si>
    <t>2025-05-11 22:40:00,,5700,,5680,,5800,5780,,,,,5830,5680,,</t>
  </si>
  <si>
    <t>2025-05-11 22:40:00,20100,,20700,,20100,,20175,,,,,20700,19900,,</t>
  </si>
  <si>
    <t>2025-05-11 22:40:00,4820522484.60188,12597244403.2102,0,0,0,0,0,0</t>
  </si>
  <si>
    <t>2025-05-11 22:40:00,2930962540.47941,3363227131.92209,0,0,0,0,0,0</t>
  </si>
  <si>
    <t>2025-05-11 22:40:00,-90029919.4011631,-420103.912451228,,-10,,-269.13,0.00294438950835883,-4.05</t>
  </si>
  <si>
    <t>2025-05-11 22:40:00,55823887.1666618,516747.849627177,0,0,0,0,0,0</t>
  </si>
  <si>
    <t>2025-05-11 22:41:00,580,,574,,580,,562.5,,,,,580,560,,</t>
  </si>
  <si>
    <t>2025-05-11 22:41:00,500,,497,,490,,487,,,,,500,480,,</t>
  </si>
  <si>
    <t>2025-05-11 22:41:00,,5700,,5680,,5800,5780,,,,,5830,5680,,</t>
  </si>
  <si>
    <t>2025-05-11 22:41:00,20100,,20700,,20100,,20175,,,,,20700,19900,,</t>
  </si>
  <si>
    <t>2025-05-11 22:41:00,4820664142.99396,12597876446.7736,0,0,0,0,0,0</t>
  </si>
  <si>
    <t>2025-05-11 22:41:00,2895538662.86279,3273714613.34624,0,0,0,0,0,0</t>
  </si>
  <si>
    <t>2025-05-11 22:41:00,-91387261.3232759,-433924.518182948,,-5,,-398.11,0.0258884271552536,-5</t>
  </si>
  <si>
    <t>2025-05-11 22:41:00,55889731.8306541,515329.645206849,0,0,0,0,0,0</t>
  </si>
  <si>
    <t>2025-05-11 22:42:00,580,,574,,580,,570.5,,,,,580,560,,</t>
  </si>
  <si>
    <t>2025-05-11 22:42:00,500,,497,,490,,487,,,,,500,480,,</t>
  </si>
  <si>
    <t>2025-05-11 22:42:00,,5700,,5680,,5800,5780,,,,,5830,5680,,</t>
  </si>
  <si>
    <t>2025-05-11 22:42:00,20100,,20700,,20100,,20175,,,,,20700,19900,,</t>
  </si>
  <si>
    <t>2025-05-11 22:42:00,4772799285.61496,12253848096.3003,0,0,0,0,0,0</t>
  </si>
  <si>
    <t>2025-05-11 22:42:00,2914808908.44899,3321087470.84937,0,0,0,0,0,0</t>
  </si>
  <si>
    <t>2025-05-11 22:42:00,-91006226.4626359,-431289.98623616,,-3,,-62.2,0.00176603675861111,-1.2</t>
  </si>
  <si>
    <t>2025-05-11 22:42:00,55882360.3216239,515536.035520657,0,0,0,0,0,0</t>
  </si>
  <si>
    <t>2025-05-11 22:43:00,580,,574,,580,,562.5,,,,,580,560,,</t>
  </si>
  <si>
    <t>2025-05-11 22:43:00,500,,497,,490,,487,,,,,500,480,,</t>
  </si>
  <si>
    <t>2025-05-11 22:43:00,,5700,,5680,,5800,5780,,,,,5830,5680,,</t>
  </si>
  <si>
    <t>2025-05-11 22:43:00,20100,,20700,,20100,,20175,,,,,20700,19900,,</t>
  </si>
  <si>
    <t>2025-05-11 22:43:00,4856926760.77569,12713934675.1457,0,0,0,0,0,0</t>
  </si>
  <si>
    <t>2025-05-11 22:43:00,2914977745.49435,3321451692.37987,0,0,0,0,0,0</t>
  </si>
  <si>
    <t>2025-05-11 22:43:00,-89824945.8735152,-422914.412678225,,-2,,-18.5,-0.0044127971503329,-0.6</t>
  </si>
  <si>
    <t>2025-05-11 22:43:00,55861592.2783637,515936.240675849,0,0,0,0,0,0</t>
  </si>
  <si>
    <t>2025-05-11 22:44:00,580,,574,,580,,562.5,,,,,580,560,,</t>
  </si>
  <si>
    <t>2025-05-11 22:44:00,500,,497,,490,,487,,,,,500,480,,</t>
  </si>
  <si>
    <t>2025-05-11 22:44:00,,5700,,5680,,5800,5780,,,,,5830,5680,,</t>
  </si>
  <si>
    <t>2025-05-11 22:44:00,20100,,20700,,20100,,20175,,,,,20700,19900,,</t>
  </si>
  <si>
    <t>2025-05-11 22:44:00,4908943668.32205,12970710984.3302,0,0,0,0,0,0</t>
  </si>
  <si>
    <t>2025-05-11 22:44:00,2938628535.10508,3384394898.29104,0,0,0,0,0,0</t>
  </si>
  <si>
    <t>2025-05-11 22:44:00,-81801127.9140319,-409335.617385754,,-12,,-189.26,-0.0144758487508832,-2.86</t>
  </si>
  <si>
    <t>2025-05-11 22:44:00,55825665.5858501,517424.850545036,0,0,0,0,0,0</t>
  </si>
  <si>
    <t>2025-05-11 22:45:00,580,,574,,580,,562.5,,,,,580,560,,</t>
  </si>
  <si>
    <t>2025-05-11 22:45:00,500,,497,,490,,487,,,,,500,480,,</t>
  </si>
  <si>
    <t>2025-05-11 22:45:00,,5700,,5680,,5800,5780,,,,,5830,5680,,</t>
  </si>
  <si>
    <t>2025-05-11 22:45:00,20100,,20700,,20100,,20175,,,,,20700,19900,,</t>
  </si>
  <si>
    <t>2025-05-11 22:45:00,4888935455.78008,12866305017.482,0,0,0,0,0,0</t>
  </si>
  <si>
    <t>2025-05-11 22:45:00,2926328846.08569,3352050337.59802,0,0,0,0,0,0</t>
  </si>
  <si>
    <t>2025-05-11 22:45:00,-86690788.6901063,-416612.403645002,,-19,,-325.06,-0.00910413066355911,-6.2</t>
  </si>
  <si>
    <t>2025-05-11 22:45:00,55855407.0717808,516411.98410812,0,0,0,0,0,0</t>
  </si>
  <si>
    <t>2025-05-11 22:46:00,580,,574,,580,,562.5,,,,,580,560,,</t>
  </si>
  <si>
    <t>2025-05-11 22:46:00,500,,497,,490,,487,,,,,500,480,,</t>
  </si>
  <si>
    <t>2025-05-11 22:46:00,,5700,,5680,,5800,5780,,,,,5830,5680,,</t>
  </si>
  <si>
    <t>2025-05-11 22:46:00,20100,,20700,,20100,,20175,,,,,20700,19900,,</t>
  </si>
  <si>
    <t>2025-05-11 22:46:00,4889179121.17404,12868071936.6313,0,0,0,0,0,0</t>
  </si>
  <si>
    <t>2025-05-11 22:46:00,2926467545.21152,3352241004.3345,0,0,0,0,0,0</t>
  </si>
  <si>
    <t>2025-05-11 22:46:00,-87481499.3708422,-413031.866844457,,-7,,-4.88,-0.0124396089469457,-0.19</t>
  </si>
  <si>
    <t>2025-05-11 22:46:00,55869081.1733869,515932.080323452,0,0,0,0,0,0</t>
  </si>
  <si>
    <t>2025-05-11 22:47:00,580,,574,,580,,562.5,,,,,580,560,,</t>
  </si>
  <si>
    <t>2025-05-11 22:47:00,500,,497,,490,,487,,,,,500,480,,</t>
  </si>
  <si>
    <t>2025-05-11 22:47:00,,5700,,5680,,5800,5780,,,,,5830,5680,,</t>
  </si>
  <si>
    <t>2025-05-11 22:47:00,20100,,20700,,20100,,20175,,,,,20700,19900,,</t>
  </si>
  <si>
    <t>2025-05-11 22:47:00,4914621115.89085,12999413520.1742,0,0,0,0,0,0</t>
  </si>
  <si>
    <t>2025-05-11 22:47:00,2930710365.63895,3351561878.86099,0,0,0,0,0,0</t>
  </si>
  <si>
    <t>2025-05-11 22:47:00,-84011448.7852409,-412444.707193598,,-11,,-234.31,0.00643376371951789,-2.83</t>
  </si>
  <si>
    <t>2025-05-11 22:47:00,55844683.0315376,516903.549015066,0,0,0,0,0,0</t>
  </si>
  <si>
    <t>2025-05-11 22:48:00,580,,574,,580,,562.5,,,,,580,560,,</t>
  </si>
  <si>
    <t>2025-05-11 22:48:00,500,,497,,490,,487,,,,,500,480,,</t>
  </si>
  <si>
    <t>2025-05-11 22:48:00,,5700,,5680,,5800,5780,,,,,5830,5680,,</t>
  </si>
  <si>
    <t>2025-05-11 22:48:00,20100,,20700,,20100,,20175,,,,,20700,19900,,</t>
  </si>
  <si>
    <t>2025-05-11 22:48:00,4899670621.1136,12922691685.1888,0,0,0,0,0,0</t>
  </si>
  <si>
    <t>2025-05-11 22:48:00,2926663386.59591,3351941646.39578,0,0,0,0,0,0</t>
  </si>
  <si>
    <t>2025-05-11 22:48:00,-85873700.0357713,-415730.996854756,,-7,,-18.92,-0.00591169576367809,-0.19</t>
  </si>
  <si>
    <t>2025-05-11 22:48:00,55855652.0690379,516287.476382912,0,0,0,0,0,0</t>
  </si>
  <si>
    <t>2025-05-11 22:49:00,580,,574,,580,,562.5,,,,,580,560,,</t>
  </si>
  <si>
    <t>2025-05-11 22:49:00,500,,497,,490,,487,,,,,500,480,,</t>
  </si>
  <si>
    <t>2025-05-11 22:49:00,,5700,,5680,,5800,5780,,,,,5830,5680,,</t>
  </si>
  <si>
    <t>2025-05-11 22:49:00,20100,,20700,,20100,,20175,,,,,20700,19900,,</t>
  </si>
  <si>
    <t>2025-05-11 22:49:00,4924745509.77296,13054745349.7367,0,0,0,0,0,0</t>
  </si>
  <si>
    <t>2025-05-11 22:49:00,2942775436.75975,3396178288.858,0,0,0,0,0,0</t>
  </si>
  <si>
    <t>2025-05-11 22:49:00,-79052790.6106777,-402942.872305007,,-5,,-78.7,-0.00592774755424437,-1.07</t>
  </si>
  <si>
    <t>2025-05-11 22:49:00,55840781.4607724,517298.716062757,0,0,0,0,0,0</t>
  </si>
  <si>
    <t>2025-05-11 22:50:00,580,,574,,580,,562.5,,,,,580,560,,</t>
  </si>
  <si>
    <t>2025-05-11 22:50:00,500,,497,,490,,487,,,,,500,480,,</t>
  </si>
  <si>
    <t>2025-05-11 22:50:00,,5700,,5680,,5800,5780,,,,,5830,5680,,</t>
  </si>
  <si>
    <t>2025-05-11 22:50:00,20100,,20700,,20100,,20175,,,,,20700,19900,,</t>
  </si>
  <si>
    <t>2025-05-11 22:50:00,4899824843.53368,12922849020.391,0,0,0,0,0,0</t>
  </si>
  <si>
    <t>2025-05-11 22:50:00,2922948958.34243,3341767271.27765,0,0,0,0,0,0</t>
  </si>
  <si>
    <t>2025-05-11 22:50:00,-86630433.7039128,-415797.034386873,,-3,,-104.11,5.02577309548035E-05,-1.29</t>
  </si>
  <si>
    <t>2025-05-11 22:50:00,55881578.552527,515853.424101251,0,0,0,0,0,0</t>
  </si>
  <si>
    <t>2025-05-11 22:51:00,580,,574,,580,,562.5,,,,,580,560,,</t>
  </si>
  <si>
    <t>2025-05-11 22:51:00,500,,497,,490,,487,,,,,500,480,,</t>
  </si>
  <si>
    <t>2025-05-11 22:51:00,,5700,,5680,,5800,5780,,,,,5830,5680,,</t>
  </si>
  <si>
    <t>2025-05-11 22:51:00,20100,,20700,,20100,,20175,,,,,20700,19900,,</t>
  </si>
  <si>
    <t>2025-05-11 22:51:00,4944032797.19355,13165427533.2181,0,0,0,0,0,0</t>
  </si>
  <si>
    <t>2025-05-11 22:51:00,2931312802.30895,3362856875.73707,0,0,0,0,0,0</t>
  </si>
  <si>
    <t>2025-05-11 22:51:00,-79392270.3856673,-406537.17099982,,-3,,-7.64,-0.0071587016398431,-0.36</t>
  </si>
  <si>
    <t>2025-05-11 22:51:00,55835510.8112231,516895.042505496,0,0,0,0,0,0</t>
  </si>
  <si>
    <t>2025-05-11 22:52:00,580,,573,,580,,562.5,,,,,580,560,,</t>
  </si>
  <si>
    <t>2025-05-11 22:52:00,500,,497,,490,,487,,,,,500,480,,</t>
  </si>
  <si>
    <t>2025-05-11 22:52:00,,5700,,5680,,5800,5780,,,,,5830,5680,,</t>
  </si>
  <si>
    <t>2025-05-11 22:52:00,20100,,20700,,20100,,20175,,,,,20700,19900,,</t>
  </si>
  <si>
    <t>2025-05-11 22:52:00,4961727017.47618,13302014953.7973,0,0,0,0,0,0</t>
  </si>
  <si>
    <t>2025-05-11 22:52:00,2963587528.6348,3456367119.00364,0,0,0,0,0,0</t>
  </si>
  <si>
    <t>2025-05-11 22:52:00,-73469707.2422285,-398366.256314539,,-9,,-428.37,0.0248904840289901,-6.25</t>
  </si>
  <si>
    <t>2025-05-11 22:52:00,55792704.3693464,518627.313590959,0,0,0,0,0,0</t>
  </si>
  <si>
    <t>2025-05-11 22:53:00,580,,573,,580,,562.5,,,,,580,560,,</t>
  </si>
  <si>
    <t>2025-05-11 22:53:00,500,,497,,490,,487,,,,,500,480,,</t>
  </si>
  <si>
    <t>2025-05-11 22:53:00,,5700,,5680,,5800,5780,,,,,5830,5680,,</t>
  </si>
  <si>
    <t>2025-05-11 22:53:00,20100,,20700,,20100,,20175,,,,,20700,19900,,</t>
  </si>
  <si>
    <t>2025-05-11 22:53:00,4942455004.77796,13434751014.8806,0,0,0,0,0,0</t>
  </si>
  <si>
    <t>2025-05-11 22:53:00,3002393913.08594,3578692405.96442,0,0,0,0,0,0</t>
  </si>
  <si>
    <t>2025-05-11 22:53:00,-73981190.1949931,-395515.576366514,,-123,,-1123.53,-0.0190898667465105,-8.52</t>
  </si>
  <si>
    <t>2025-05-11 22:53:00,55718755.679641,519939.441237387,0,0,0,0,0,0</t>
  </si>
  <si>
    <t>2025-05-11 22:54:00,580,,573,,580,,562.5,,,,,580,560,,</t>
  </si>
  <si>
    <t>2025-05-11 22:54:00,500,,497,,490,,487,,,,,500,480,,</t>
  </si>
  <si>
    <t>2025-05-11 22:54:00,,5700,,5680,,5800,5780,,,,,5830,5680,,</t>
  </si>
  <si>
    <t>2025-05-11 22:54:00,20100,,20700,,20100,,20175,,,,,20700,19900,,</t>
  </si>
  <si>
    <t>2025-05-11 22:54:00,4965737031.40248,13380745317.5051,0,0,0,0,0,0</t>
  </si>
  <si>
    <t>2025-05-11 22:54:00,2984896867.87446,3521582256.13067,0,0,0,0,0,0</t>
  </si>
  <si>
    <t>2025-05-11 22:54:00,-73667078.9874588,-385798.613614311,,-6,,-179.57,-0.00486010827093854,-2.73</t>
  </si>
  <si>
    <t>2025-05-11 22:54:00,55768986.0771931,519396.838726357,0,0,0,0,0,0</t>
  </si>
  <si>
    <t>2025-05-11 22:55:00,580,,573,,580,,562.5,,,,,580,560,,</t>
  </si>
  <si>
    <t>2025-05-11 22:55:00,500,,497,,490,,487,,,,,500,480,,</t>
  </si>
  <si>
    <t>2025-05-11 22:55:00,,5700,,5680,,5800,5780,,,,,5830,5680,,</t>
  </si>
  <si>
    <t>2025-05-11 22:55:00,20100,,20700,,20100,,20175,,,,,20700,19900,,</t>
  </si>
  <si>
    <t>2025-05-11 22:55:00,4910264425.91381,13458484230.9325,0,0,0,0,0,0</t>
  </si>
  <si>
    <t>2025-05-11 22:55:00,3007225702.57272,3593714707.55035,0,0,0,0,0,0</t>
  </si>
  <si>
    <t>2025-05-11 22:55:00,-73735002.6825613,-385490.012903102,,-9,,-129.15,0.00287666608055043,-1.35</t>
  </si>
  <si>
    <t>2025-05-11 22:55:00,55737281.650726,519986.474230949,0,0,0,0,0,0</t>
  </si>
  <si>
    <t>2025-05-11 22:56:00,580,,573,,580,,562.5,,,,,580,560,,</t>
  </si>
  <si>
    <t>2025-05-11 22:56:00,500,,497,,490,,487,,,,,500,480,,</t>
  </si>
  <si>
    <t>2025-05-11 22:56:00,,5700,,5680,,5800,5780,,,,,5830,5680,,</t>
  </si>
  <si>
    <t>2025-05-11 22:56:00,20100,,20700,,20100,,20175,,,,,20700,19900,,</t>
  </si>
  <si>
    <t>2025-05-11 22:56:00,4964336137.051,13330928071.2908,0,0,0,0,0,0</t>
  </si>
  <si>
    <t>2025-05-11 22:56:00,2984809258.07458,3522401173.71722,0,0,0,0,0,0</t>
  </si>
  <si>
    <t>2025-05-11 22:56:00,-73872138.4951476,-389253.407367132,,-4,,-4.75,-0.00942923740430912,-0.28</t>
  </si>
  <si>
    <t>2025-05-11 22:56:00,55783589.9707205,518630.80930305,0,0,0,0,0,0</t>
  </si>
  <si>
    <t>2025-05-11 22:57:00,580,,573,,580,,562.5,,,,,580,560,,</t>
  </si>
  <si>
    <t>2025-05-11 22:57:00,500,,497,,490,,487,,,,,500,480,,</t>
  </si>
  <si>
    <t>2025-05-11 22:57:00,,5700,,5680,,5800,5780,,,,,5830,5680,,</t>
  </si>
  <si>
    <t>2025-05-11 22:57:00,20100,,20700,,20100,,20175,,,,,20700,19900,,</t>
  </si>
  <si>
    <t>2025-05-11 22:57:00,4965918831.30651,13385121199.7842,0,0,0,0,0,0</t>
  </si>
  <si>
    <t>2025-05-11 22:57:00,3006361199.40616,3592428304.04947,0,0,0,0,0,0</t>
  </si>
  <si>
    <t>2025-05-11 22:57:00,-73679096.4602101,-383416.10162794,,-3,,-101.17,0.000684394304893515,-1.48</t>
  </si>
  <si>
    <t>2025-05-11 22:57:00,55740432.4361887,520072.375897502,0,0,0,0,0,0</t>
  </si>
  <si>
    <t>2025-05-11 22:58:00,580,,573,,580,,562.5,,,,,580,560,,</t>
  </si>
  <si>
    <t>2025-05-11 22:58:00,500,,497,,490,,487,,,,,500,480,,</t>
  </si>
  <si>
    <t>2025-05-11 22:58:00,,5700,,5680,,5800,5780,,,,,5830,5680,,</t>
  </si>
  <si>
    <t>2025-05-11 22:58:00,20100,,20700,,20100,,20175,,,,,20700,19900,,</t>
  </si>
  <si>
    <t>2025-05-11 22:58:00,4943884174.7857,13441867924.7236,0,0,0,0,0,0</t>
  </si>
  <si>
    <t>2025-05-11 22:58:00,2997836960.62384,3564200714.69948,0,0,0,0,0,0</t>
  </si>
  <si>
    <t>2025-05-11 22:58:00,-74070717.8609473,-303324.534215376,,-165,,-346.84,-0.32877994155774,-10.19</t>
  </si>
  <si>
    <t>2025-05-11 22:58:00,55748647.8552634,519671.401812829,0,0,0,0,0,0</t>
  </si>
  <si>
    <t>2025-05-11 22:59:00,580,,573,,580,,562.5,,,,,580,560,,</t>
  </si>
  <si>
    <t>2025-05-11 22:59:00,500,,497,,490,,487,,,,,500,480,,</t>
  </si>
  <si>
    <t>2025-05-11 22:59:00,,5700,,5680,,5800,5780,,,,,5830,5680,,</t>
  </si>
  <si>
    <t>2025-05-11 22:59:00,20100,,20700,,20100,,20175,,,,,20700,19900,,</t>
  </si>
  <si>
    <t>2025-05-11 22:59:00,4964923655.32736,13334785723.6609,0,0,0,0,0,0</t>
  </si>
  <si>
    <t>2025-05-11 22:59:00,2993334143.18339,3549487443.54135,0,0,0,0,0,0</t>
  </si>
  <si>
    <t>2025-05-11 22:59:00,-73899070.7729415,-310758.54350304,,-6,,-15.2,-0.0135027573999436,-0.68</t>
  </si>
  <si>
    <t>2025-05-11 22:59:00,55817943.0185539,518338.669940761,0,0,0,0,0,0</t>
  </si>
  <si>
    <t>2025-05-11 23:00:00,580,,573,,580,,562.5,,,,,580,560,,</t>
  </si>
  <si>
    <t>2025-05-11 23:00:00,500,,497,,490,,487,,,,,500,480,,</t>
  </si>
  <si>
    <t>2025-05-11 23:00:00,,5700,,5680,,5800,5780,,,,,5830,5680,,</t>
  </si>
  <si>
    <t>2025-05-11 23:00:00,20100,,20700,,20100,,20175,,,,,20700,19900,,</t>
  </si>
  <si>
    <t>2025-05-11 23:00:00,4965933996.89892,13359780645.8887,0,0,0,0,0,0</t>
  </si>
  <si>
    <t>2025-05-11 23:00:00,2997567827.23622,3563197524.83229,0,0,0,0,0,0</t>
  </si>
  <si>
    <t>2025-05-11 23:00:00,-73745643.1026437,-302977.666212605,,-9,,-40.03,-0.0177382722054731,-0.78</t>
  </si>
  <si>
    <t>2025-05-11 23:00:00,55779255.4273266,518881.550010497,0,0,0,0,0,0</t>
  </si>
  <si>
    <t>2025-05-11 23:01:00,580,,573,,580,,562.5,,,,,580,560,,</t>
  </si>
  <si>
    <t>2025-05-11 23:01:00,500,,497,,490,,487,,,,,500,480,,</t>
  </si>
  <si>
    <t>2025-05-11 23:01:00,,5700,,5680,,5800,5780,,,,,5830,5680,,</t>
  </si>
  <si>
    <t>2025-05-11 23:01:00,20100,,20700,,20100,,20175,,,,,20700,19900,,</t>
  </si>
  <si>
    <t>2025-05-11 23:01:00,4944058666.54303,13442176153.2236,0,0,0,0,0,0</t>
  </si>
  <si>
    <t>2025-05-11 23:01:00,2997706811.22014,3563874031.38654,0,0,0,0,0,0</t>
  </si>
  <si>
    <t>2025-05-11 23:01:00,-73848300.6072173,-302431.24486299,,-3,,-21.58,-0.00622161051515089,-0.54</t>
  </si>
  <si>
    <t>2025-05-11 23:01:00,55754410.9997084,519292.013155371,0,0,0,0,0,0</t>
  </si>
  <si>
    <t>2025-05-11 23:02:00,580,,573,,580,,562.5,,,,,580,560,,</t>
  </si>
  <si>
    <t>2025-05-11 23:02:00,500,,497,,490,,487,,,,,500,480,,</t>
  </si>
  <si>
    <t>2025-05-11 23:02:00,,5700,,5680,,5800,5780,,,,,5830,5680,,</t>
  </si>
  <si>
    <t>2025-05-11 23:02:00,20100,,20700,,20100,,20175,,,,,20700,19900,,</t>
  </si>
  <si>
    <t>2025-05-11 23:02:00,4944315297.97616,13443761351.4159,0,0,0,0,0,0</t>
  </si>
  <si>
    <t>2025-05-11 23:02:00,2997821014.70136,3563975506.74929,0,0,0,0,0,0</t>
  </si>
  <si>
    <t>2025-05-11 23:02:00,-73503114.9325796,-293274.074167937,,-5,,-44.89,-0.00676345645866612,-0.72</t>
  </si>
  <si>
    <t>2025-05-11 23:02:00,55782635.7727812,519256.257741104,0,0,0,0,0,0</t>
  </si>
  <si>
    <t>2025-05-11 23:03:00,580,,573,,580,,562.5,,,,,580,560,,</t>
  </si>
  <si>
    <t>2025-05-11 23:03:00,500,,497,,490,,487,,,,,500,480,,</t>
  </si>
  <si>
    <t>2025-05-11 23:03:00,,5700,,5680,,5800,5780,,,,,5830,5680,,</t>
  </si>
  <si>
    <t>2025-05-11 23:03:00,20100,,20700,,20100,,20175,,,,,20700,19900,,</t>
  </si>
  <si>
    <t>2025-05-11 23:03:00,4955200096.7858,13703334681.8761,0,0,0,0,0,0</t>
  </si>
  <si>
    <t>2025-05-11 23:03:00,3015345404.83692,3620788617.75356,0,0,0,0,0,0</t>
  </si>
  <si>
    <t>2025-05-11 23:03:00,-74007104.6855716,-281054.086829373,,47,,-97.86,0.0435873577510014,-1.12</t>
  </si>
  <si>
    <t>2025-05-11 23:03:00,55725227.6237527,520362.927918453,0,0,0,0,0,0</t>
  </si>
  <si>
    <t>2025-05-11 23:04:00,580,,573,,580,,562.5,,,,,580,560,,</t>
  </si>
  <si>
    <t>2025-05-11 23:04:00,500,,497,,490,,487,,,,,500,480,,</t>
  </si>
  <si>
    <t>2025-05-11 23:04:00,,5700,,5680,,5800,5780,,,,,5830,5680,,</t>
  </si>
  <si>
    <t>2025-05-11 23:04:00,20100,,20700,,20100,,20175,,,,,20700,19900,,</t>
  </si>
  <si>
    <t>2025-05-11 23:04:00,4955278975.35064,13701523272.7965,0,0,0,0,0,0</t>
  </si>
  <si>
    <t>2025-05-11 23:04:00,3010891056.36256,3606888115.48028,0,0,0,0,0,0</t>
  </si>
  <si>
    <t>2025-05-11 23:04:00,-73871889.8944926,-284146.762962518,,-6,,-19.9,-0.0104129768145243,-0.34</t>
  </si>
  <si>
    <t>2025-05-11 23:04:00,55759724.3361669,519347.764253093,0,0,0,0,0,0</t>
  </si>
  <si>
    <t>2025-05-11 23:05:00,580,,573,,580,,562.5,,,,,580,560,,</t>
  </si>
  <si>
    <t>2025-05-11 23:05:00,500,,497,,490,,487,,,,,500,480,,</t>
  </si>
  <si>
    <t>2025-05-11 23:05:00,,5700,,5680,,5800,5780,,,,,5830,5680,,</t>
  </si>
  <si>
    <t>2025-05-11 23:05:00,20100,,20700,,20100,,20175,,,,,20700,19900,,</t>
  </si>
  <si>
    <t>2025-05-11 23:05:00,4960857903.46527,13284788836.3978,0,0,0,0,0,0</t>
  </si>
  <si>
    <t>2025-05-11 23:05:00,2972594770.91664,3481095191.30709,0,0,0,0,0,0</t>
  </si>
  <si>
    <t>2025-05-11 23:05:00,-73847626.2708389,-293171.98894817,,-3,,-21.58,-0.00622039129698894,-0.54</t>
  </si>
  <si>
    <t>2025-05-11 23:05:00,55818082.5462167,518064.430355922,0,0,0,0,0,0</t>
  </si>
  <si>
    <t>2025-05-11 23:06:00,580,,574,,580,,562.5,,,,,580,560,,</t>
  </si>
  <si>
    <t>2025-05-11 23:06:00,500,,497,,490,,487,,,,,500,480,,</t>
  </si>
  <si>
    <t>2025-05-11 23:06:00,,5700,,5680,,5800,5780,,,,,5830,5680,,</t>
  </si>
  <si>
    <t>2025-05-11 23:06:00,20100,,20700,,20100,,20175,,,,,20700,19900,,</t>
  </si>
  <si>
    <t>2025-05-11 23:06:00,4940710463.8982,13149179798.5824,0,0,0,0,0,0</t>
  </si>
  <si>
    <t>2025-05-11 23:06:00,2955758339.29091,3430919332.13343,0,0,0,0,0,0</t>
  </si>
  <si>
    <t>2025-05-11 23:06:00,-73679404.8052763,-297520.778914987,,-24,,-275.46,-0.0316507061026833,-4.91</t>
  </si>
  <si>
    <t>2025-05-11 23:06:00,55864991.4018321,516551.150613445,0,0,0,0,0,0</t>
  </si>
  <si>
    <t>2025-05-11 23:07:00,580,,574,,580,,562.5,,,,,580,560,,</t>
  </si>
  <si>
    <t>2025-05-11 23:07:00,500,,497,,490,,487,,,,,500,480,,</t>
  </si>
  <si>
    <t>2025-05-11 23:07:00,,5700,,5680,,5800,5780,,,,,5830,5680,,</t>
  </si>
  <si>
    <t>2025-05-11 23:07:00,20100,,20700,,20100,,20175,,,,,20700,19900,,</t>
  </si>
  <si>
    <t>2025-05-11 23:07:00,4947448892.72366,13200037620.6671,0,0,0,0,0,0</t>
  </si>
  <si>
    <t>2025-05-11 23:07:00,2955382200.56107,3431205302.6843,0,0,0,0,0,0</t>
  </si>
  <si>
    <t>2025-05-11 23:07:00,-73462259.7005161,-292825.318798213,,-7,,-345.63,0.0103039341678232,-4.45</t>
  </si>
  <si>
    <t>2025-05-11 23:07:00,55861369.0288495,517159.913736141,0,0,0,0,0,0</t>
  </si>
  <si>
    <t>2025-05-11 23:08:00,580,,574,,580,,562.5,,,,,580,560,,</t>
  </si>
  <si>
    <t>2025-05-11 23:08:00,500,,497,,490,,487,,,,,500,480,,</t>
  </si>
  <si>
    <t>2025-05-11 23:08:00,,5700,,5680,,5800,5780,,,,,5830,5680,,</t>
  </si>
  <si>
    <t>2025-05-11 23:08:00,20100,,20700,,20100,,20175,,,,,20700,19900,,</t>
  </si>
  <si>
    <t>2025-05-11 23:08:00,4953201043.32665,13212981978.8603,0,0,0,0,0,0</t>
  </si>
  <si>
    <t>2025-05-11 23:08:00,2958969523.27955,3432469601.39975,0,0,0,0,0,0</t>
  </si>
  <si>
    <t>2025-05-11 23:08:00,-73702904.7585929,-295044.438171135,,-5,,-6,-0.0113595659611713,-0.34</t>
  </si>
  <si>
    <t>2025-05-11 23:08:00,55809318.8295346,517868.043981962,0,0,0,0,0,0</t>
  </si>
  <si>
    <t>2025-05-11 23:09:00,580,,573,,580,,562.5,,,,,580,560,,</t>
  </si>
  <si>
    <t>2025-05-11 23:09:00,500,,497,,490,,487,,,,,500,480,,</t>
  </si>
  <si>
    <t>2025-05-11 23:09:00,,5700,,5680,,5800,5780,,,,,5830,5680,,</t>
  </si>
  <si>
    <t>2025-05-11 23:09:00,20100,,20700,,20100,,20175,,,,,20700,19900,,</t>
  </si>
  <si>
    <t>2025-05-11 23:09:00,4966183096.75779,13342857941.4904,0,0,0,0,0,0</t>
  </si>
  <si>
    <t>2025-05-11 23:09:00,2972409700.34733,3480796219.55778,0,0,0,0,0,0</t>
  </si>
  <si>
    <t>2025-05-11 23:09:00,-73739994.6611381,-272136.506573697,,-22,,-109.05,-0.0445070390055343,-2.32</t>
  </si>
  <si>
    <t>2025-05-11 23:09:00,55814934.9169546,517976.963668921,0,0,0,0,0,0</t>
  </si>
  <si>
    <t>2025-05-11 23:10:00,580,,573,,580,,562.5,,,,,580,560,,</t>
  </si>
  <si>
    <t>2025-05-11 23:10:00,500,,497,,490,,487,,,,,500,480,,</t>
  </si>
  <si>
    <t>2025-05-11 23:10:00,,5700,,5680,,5800,5780,,,,,5830,5680,,</t>
  </si>
  <si>
    <t>2025-05-11 23:10:00,20100,,20700,,20100,,20175,,,,,20700,19900,,</t>
  </si>
  <si>
    <t>2025-05-11 23:10:00,4966148119.78077,13418732481.6258,0,0,0,0,0,0</t>
  </si>
  <si>
    <t>2025-05-11 23:10:00,2976285660.39381,3493697715.32352,0,0,0,0,0,0</t>
  </si>
  <si>
    <t>2025-05-11 23:10:00,-74281637.8734442,-268456.352721717,,-12,,-94.02,-0.0198318454396402,-1.74</t>
  </si>
  <si>
    <t>2025-05-11 23:10:00,55800789.4858517,518597.070632988,0,0,0,0,0,0</t>
  </si>
  <si>
    <t>2025-05-11 23:11:00,580,,573,,580,,562.5,,,,,580,560,,</t>
  </si>
  <si>
    <t>2025-05-11 23:11:00,500,,497,,490,,487,,,,,500,480,,</t>
  </si>
  <si>
    <t>2025-05-11 23:11:00,,5700,,5680,,5800,5780,,,,,5830,5680,,</t>
  </si>
  <si>
    <t>2025-05-11 23:11:00,20100,,20700,,20100,,20175,,,,,20700,19900,,</t>
  </si>
  <si>
    <t>2025-05-11 23:11:00,4946794566.72939,13450822469.899,0,0,0,0,0,0</t>
  </si>
  <si>
    <t>2025-05-11 23:11:00,2971940764.73723,3481627492.02347,0,0,0,0,0,0</t>
  </si>
  <si>
    <t>2025-05-11 23:11:00,-74091813.1771503,-264794.69308572,,0,,0,0,0</t>
  </si>
  <si>
    <t>2025-05-11 23:11:00,55807953.5899666,518323.154510606,0,0,0,0,0,0</t>
  </si>
  <si>
    <t>2025-05-11 23:12:00,580,,573,,580,,562.5,,,,,580,560,,</t>
  </si>
  <si>
    <t>2025-05-11 23:12:00,500,,497,,490,,487,,,,,500,480,,</t>
  </si>
  <si>
    <t>2025-05-11 23:12:00,,5700,,5680,,5800,5780,,,,,5830,5680,,</t>
  </si>
  <si>
    <t>2025-05-11 23:12:00,20100,,20700,,20100,,20175,,,,,20700,19900,,</t>
  </si>
  <si>
    <t>2025-05-11 23:12:00,4911648232.04317,13471284675.0836,0,0,0,0,0,0</t>
  </si>
  <si>
    <t>2025-05-11 23:12:00,3002576466.63975,3577468557.71519,0,0,0,0,0,0</t>
  </si>
  <si>
    <t>2025-05-11 23:12:00,-73899753.4038608,-254254.831016862,,-4,,-37.83,-0.00760863897780031,-0.71</t>
  </si>
  <si>
    <t>2025-05-11 23:12:00,55803532.3931532,519070.462423157,0,0,0,0,0,0</t>
  </si>
  <si>
    <t>2025-05-11 23:13:00,580,,573,,580,,562.5,,,,,580,560,,</t>
  </si>
  <si>
    <t>2025-05-11 23:13:00,500,,497,,490,,487,,,,,500,480,,</t>
  </si>
  <si>
    <t>2025-05-11 23:13:00,,5700,,5680,,5800,5780,,,,,5830,5680,,</t>
  </si>
  <si>
    <t>2025-05-11 23:13:00,20100,,20700,,20100,,20175,,,,,20700,19900,,</t>
  </si>
  <si>
    <t>2025-05-11 23:13:00,4962067347.82508,13291476057.5646,0,0,0,0,0,0</t>
  </si>
  <si>
    <t>2025-05-11 23:13:00,2951548819.78564,3418484939.7652,0,0,0,0,0,0</t>
  </si>
  <si>
    <t>2025-05-11 23:13:00,-74029028.9094294,-309120.92707677,,-87,,-2727.86,0.0790985545651092,-39.83</t>
  </si>
  <si>
    <t>2025-05-11 23:13:00,55888892.4478885,516539.058429207,0,0,0,0,0,0</t>
  </si>
  <si>
    <t>2025-05-11 23:14:00,580,,573,,580,,562.5,,,,,580,560,,</t>
  </si>
  <si>
    <t>2025-05-11 23:14:00,500,,497,,490,,487,,,,,500,480,,</t>
  </si>
  <si>
    <t>2025-05-11 23:14:00,,5700,,5680,,5800,5780,,,,,5830,5680,,</t>
  </si>
  <si>
    <t>2025-05-11 23:14:00,20100,,20700,,20100,,20175,,,,,20700,19900,,</t>
  </si>
  <si>
    <t>2025-05-11 23:14:00,4961610799.78535,13293312088.8116,0,0,0,0,0,0</t>
  </si>
  <si>
    <t>2025-05-11 23:14:00,2951726754.1071,3418799657.86651,0,0,0,0,0,0</t>
  </si>
  <si>
    <t>2025-05-11 23:14:00,-74116570.7397903,-307058.9255288,,-39,,-270.68,-0.012147203383515,-2.23</t>
  </si>
  <si>
    <t>2025-05-11 23:14:00,55907637.84476,515965.724568929,0,0,0,0,0,0</t>
  </si>
  <si>
    <t>2025-05-11 23:15:00,580,,573,,580,,562.5,,,,,580,560,,</t>
  </si>
  <si>
    <t>2025-05-11 23:15:00,500,,497,,490,,487,,,,,500,480,,</t>
  </si>
  <si>
    <t>2025-05-11 23:15:00,,5700,,5680,,5800,5780,,,,,5830,5680,,</t>
  </si>
  <si>
    <t>2025-05-11 23:15:00,20100,,20700,,20100,,20175,,,,,20700,19900,,</t>
  </si>
  <si>
    <t>2025-05-11 23:15:00,4960660827.03699,13442044198.8544,0,0,0,0,0,0</t>
  </si>
  <si>
    <t>2025-05-11 23:15:00,2955762736.66464,3430373219.6657,0,0,0,0,0,0</t>
  </si>
  <si>
    <t>2025-05-11 23:15:00,-74011327.1307835,-296802.094533473,,-8,,-163.69,0.00383510318981352,-1.54</t>
  </si>
  <si>
    <t>2025-05-11 23:15:00,55861091.9111836,517563.426640897,0,0,0,0,0,0</t>
  </si>
  <si>
    <t>2025-05-11 23:16:00,580,,573,,580,,562.5,,,,,580,560,,</t>
  </si>
  <si>
    <t>2025-05-11 23:16:00,500,,497,,490,,487,,,,,500,480,,</t>
  </si>
  <si>
    <t>2025-05-11 23:16:00,,5700,,5680,,5800,5780,,,,,5830,5680,,</t>
  </si>
  <si>
    <t>2025-05-11 23:16:00,20100,,20700,,20100,,20175,,,,,20700,19900,,</t>
  </si>
  <si>
    <t>2025-05-11 23:16:00,4911771694.18011,13473981486.5286,0,0,0,0,0,0</t>
  </si>
  <si>
    <t>2025-05-11 23:16:00,2977156957.90276,3494628601.88724,0,0,0,0,0,0</t>
  </si>
  <si>
    <t>2025-05-11 23:16:00,-74286294.8296686,-280111.633004932,,-24,,-50.8,-0.0572929090921031,-2.67</t>
  </si>
  <si>
    <t>2025-05-11 23:16:00,55823218.6790178,518226.762364247,0,0,0,0,0,0</t>
  </si>
  <si>
    <t>2025-05-11 23:17:00,580,,573,,580,,562.5,,,,,580,560,,</t>
  </si>
  <si>
    <t>2025-05-11 23:17:00,500,,497,,490,,487,,,,,500,480,,</t>
  </si>
  <si>
    <t>2025-05-11 23:17:00,,5700,,5680,,5800,5780,,,,,5830,5680,,</t>
  </si>
  <si>
    <t>2025-05-11 23:17:00,20100,,20700,,20100,,20175,,,,,20700,19900,,</t>
  </si>
  <si>
    <t>2025-05-11 23:17:00,4966929667.67735,13347523360.2948,0,0,0,0,0,0</t>
  </si>
  <si>
    <t>2025-05-11 23:17:00,2952015167.09122,3418610305.22114,0,0,0,0,0,0</t>
  </si>
  <si>
    <t>2025-05-11 23:17:00,-74685250.1084464,-298468.563467583,,0,,0,0,0</t>
  </si>
  <si>
    <t>2025-05-11 23:17:00,55848558.6951434,516994.941758405,0,0,0,0,0,0</t>
  </si>
  <si>
    <t>2025-05-11 23:18:00,580,,573,,580,,562.5,,,,,580,560,,</t>
  </si>
  <si>
    <t>2025-05-11 23:18:00,500,,497,,490,,487,,,,,500,480,,</t>
  </si>
  <si>
    <t>2025-05-11 23:18:00,,5700,,5680,,5800,5780,,,,,5830,5680,,</t>
  </si>
  <si>
    <t>2025-05-11 23:18:00,20100,,20700,,20100,,20175,,,,,20700,19900,,</t>
  </si>
  <si>
    <t>2025-05-11 23:18:00,4967259210.69226,13349200668.3247,0,0,0,0,0,0</t>
  </si>
  <si>
    <t>2025-05-11 23:18:00,2955775089.62159,3430379191.90999,0,0,0,0,0,0</t>
  </si>
  <si>
    <t>2025-05-11 23:18:00,-74204934.1373802,-291155.665516288,,-1,,-4,-0.00241129254202251,-0.19</t>
  </si>
  <si>
    <t>2025-05-11 23:18:00,55834435.8096194,517728.00026995,0,0,0,0,0,0</t>
  </si>
  <si>
    <t>2025-05-11 23:19:00,580,,573,,580,,562.5,,,,,580,560,,</t>
  </si>
  <si>
    <t>2025-05-11 23:19:00,500,,497,,490,,487,,,,,500,480,,</t>
  </si>
  <si>
    <t>2025-05-11 23:19:00,,5700,,5680,,5800,5780,,,,,5830,5680,,</t>
  </si>
  <si>
    <t>2025-05-11 23:19:00,20100,,20700,,20100,,20175,,,,,20700,19900,,</t>
  </si>
  <si>
    <t>2025-05-11 23:19:00,4947432401.44172,13457731082.0912,0,0,0,0,0,0</t>
  </si>
  <si>
    <t>2025-05-11 23:19:00,2972482034.0211,3480332901.51905,0,0,0,0,0,0</t>
  </si>
  <si>
    <t>2025-05-11 23:19:00,-74150462.7395128,-286555.549539428,,-3,,-11.58,-0.0071858051560016,-0.54</t>
  </si>
  <si>
    <t>2025-05-11 23:19:00,55796975.603527,518415.179249676,0,0,0,0,0,0</t>
  </si>
  <si>
    <t>2025-05-11 23:20:00,580,,573,,580,,562.5,,,,,580,560,,</t>
  </si>
  <si>
    <t>2025-05-11 23:20:00,500,,497,,490,,487,,,,,500,480,,</t>
  </si>
  <si>
    <t>2025-05-11 23:20:00,,5700,,5680,,5800,5780,,,,,5830,5680,,</t>
  </si>
  <si>
    <t>2025-05-11 23:20:00,20100,,20700,,20100,,20175,,,,,20700,19900,,</t>
  </si>
  <si>
    <t>2025-05-11 23:20:00,4969117716.35318,13401565305.3824,0,0,0,0,0,0</t>
  </si>
  <si>
    <t>2025-05-11 23:20:00,2972627981.58356,3480648673.16517,0,0,0,0,0,0</t>
  </si>
  <si>
    <t>2025-05-11 23:20:00,-74209974.2870554,-286344.262967735,,-3,,-3.84,-0.00688727155182744,-0.24</t>
  </si>
  <si>
    <t>2025-05-11 23:20:00,55804643.6607512,518593.430998873,0,0,0,0,0,0</t>
  </si>
  <si>
    <t>2025-05-11 23:22:00,580,,573,,580,,562.5,,,,,580,560,,</t>
  </si>
  <si>
    <t>2025-05-11 23:22:00,500,,497,,490,,487,,,,,500,480,,</t>
  </si>
  <si>
    <t>2025-05-11 23:22:00,,5700,,5680,,5800,5780,,,,,5830,5680,,</t>
  </si>
  <si>
    <t>2025-05-11 23:22:00,20100,,20700,,20100,,20175,,,,,20700,19900,,</t>
  </si>
  <si>
    <t>2025-05-11 23:22:00,4961666931.06348,13445983996.9784,0,0,0,0,0,0</t>
  </si>
  <si>
    <t>2025-05-11 23:22:00,2989480649.01034,3534894441.4264,0,0,0,0,0,0</t>
  </si>
  <si>
    <t>2025-05-11 23:22:00,-74524483.3205379,-280495.294708901,,-6,,-10.3,-0.0137921806756525,-0.55</t>
  </si>
  <si>
    <t>2025-05-11 23:22:00,55772794.3616588,519168.887790915,0,0,0,0,0,0</t>
  </si>
  <si>
    <t>2025-05-11 23:23:00,580,,573,,580,,562.5,,,,,580,560,,</t>
  </si>
  <si>
    <t>2025-05-11 23:23:00,500,,497,,490,,487,,,,,500,480,,</t>
  </si>
  <si>
    <t>2025-05-11 23:23:00,,5700,,5680,,5800,5780,,,,,5830,5680,,</t>
  </si>
  <si>
    <t>2025-05-11 23:23:00,20100,,20700,,20100,,20175,,,,,20700,19900,,</t>
  </si>
  <si>
    <t>2025-05-11 23:23:00,4967927403.4216,13352668426.934,0,0,0,0,0,0</t>
  </si>
  <si>
    <t>2025-05-11 23:23:00,2985436068.98954,3520070254.23775,0,0,0,0,0,0</t>
  </si>
  <si>
    <t>2025-05-11 23:23:00,-74297574.572859,-284129.092358347,,-7,,-282.86,0.0182359214849789,-5.1</t>
  </si>
  <si>
    <t>2025-05-11 23:23:00,55795244.508003,518481.298450875,0,0,0,0,0,0</t>
  </si>
  <si>
    <t>2025-05-11 23:24:00,580,,573,,580,,562.5,,,,,580,560,,</t>
  </si>
  <si>
    <t>2025-05-11 23:24:00,500,,497,,490,,487,,,,,500,480,,</t>
  </si>
  <si>
    <t>2025-05-11 23:24:00,,5700,,5680,,5800,5780,,,,,5830,5680,,</t>
  </si>
  <si>
    <t>2025-05-11 23:24:00,20100,,20700,,20100,,20175,,,,,20700,19900,,</t>
  </si>
  <si>
    <t>2025-05-11 23:24:00,4967244593.6227,13428378444.8589,0,0,0,0,0,0</t>
  </si>
  <si>
    <t>2025-05-11 23:24:00,2989662014.82976,3533979065.6818,0,0,0,0,0,0</t>
  </si>
  <si>
    <t>2025-05-11 23:24:00,-74359226.8215318,-286464.154623524,,-13,,-416.89,0.00561814420954277,-4.18</t>
  </si>
  <si>
    <t>2025-05-11 23:24:00,55786614.0394177,518999.390642589,0,0,0,0,0,0</t>
  </si>
  <si>
    <t>2025-05-11 23:25:00,580,,573,,580,,562.5,,,,,580,560,,</t>
  </si>
  <si>
    <t>2025-05-11 23:25:00,500,,497,,490,,487,,,,,500,480,,</t>
  </si>
  <si>
    <t>2025-05-11 23:25:00,,5700,,5680,,5800,5780,,,,,5830,5680,,</t>
  </si>
  <si>
    <t>2025-05-11 23:25:00,20100,,20700,,20100,,20175,,,,,20700,19900,,</t>
  </si>
  <si>
    <t>2025-05-11 23:25:00,4968313480.92911,13353748534.3967,0,0,0,0,0,0</t>
  </si>
  <si>
    <t>2025-05-11 23:25:00,2977010031.97867,3493476668.17067,0,0,0,0,0,0</t>
  </si>
  <si>
    <t>2025-05-11 23:25:00,-74526067.6491187,-294854.905101186,,-11,,-310.29,0.0122460308281953,-5.18</t>
  </si>
  <si>
    <t>2025-05-11 23:25:00,55809828.6124706,518160.626219275,0,0,0,0,0,0</t>
  </si>
  <si>
    <t>2025-05-11 23:26:00,580,,573,,580,,562.5,,,,,580,560,,</t>
  </si>
  <si>
    <t>2025-05-11 23:26:00,500,,497,,490,,487,,,,,500,480,,</t>
  </si>
  <si>
    <t>2025-05-11 23:26:00,,5700,,5680,,5800,5780,,,,,5830,5680,,</t>
  </si>
  <si>
    <t>2025-05-11 23:26:00,20100,,20700,,20100,,20175,,,,,20700,19900,,</t>
  </si>
  <si>
    <t>2025-05-11 23:26:00,4969345312.60557,13378773500.8493,0,0,0,0,0,0</t>
  </si>
  <si>
    <t>2025-05-11 23:26:00,2960043533.19751,3442696760.04102,0,0,0,0,0,0</t>
  </si>
  <si>
    <t>2025-05-11 23:26:00,-74521920.6950834,-295377.247814396,,-2,,-9.8,-0.0019827161958879,-0.08</t>
  </si>
  <si>
    <t>2025-05-11 23:26:00,55835157.9297028,517461.109158333,0,0,0,0,0,0</t>
  </si>
  <si>
    <t>2025-05-11 23:27:00,580,,573,,580,,562.5,,,,,580,560,,</t>
  </si>
  <si>
    <t>2025-05-11 23:27:00,500,,497,,490,,487,,,,,500,480,,</t>
  </si>
  <si>
    <t>2025-05-11 23:27:00,,5700,,5680,,5800,5780,,,,,5830,5680,,</t>
  </si>
  <si>
    <t>2025-05-11 23:27:00,20100,,20700,,20100,,20175,,,,,20700,19900,,</t>
  </si>
  <si>
    <t>2025-05-11 23:27:00,4931590097.58298,13580200342.6674,0,0,0,0,0,0</t>
  </si>
  <si>
    <t>2025-05-11 23:27:00,2955716628.49029,3430469566.00584,0,0,0,0,0,0</t>
  </si>
  <si>
    <t>2025-05-11 23:27:00,-74316397.7504408,-299882.898017039,,-5,,-114.36,0.00271198330236604,-1.49</t>
  </si>
  <si>
    <t>2025-05-11 23:27:00,55875332.5495564,516867.579749247,0,0,0,0,0,0</t>
  </si>
  <si>
    <t>2025-05-11 23:28:00,580,,573,,580,,562.5,,,,,580,560,,</t>
  </si>
  <si>
    <t>2025-05-11 23:28:00,500,,497,,490,,487,,,,,500,480,,</t>
  </si>
  <si>
    <t>2025-05-11 23:28:00,,5700,,5680,,5800,5780,,,,,5830,5680,,</t>
  </si>
  <si>
    <t>2025-05-11 23:28:00,20100,,20700,,20100,,20175,,,,,20700,19900,,</t>
  </si>
  <si>
    <t>2025-05-11 23:28:00,4931707189.57984,13581552655.1747,0,0,0,0,0,0</t>
  </si>
  <si>
    <t>2025-05-11 23:28:00,2968373158.33409,3466765760.89671,0,0,0,0,0,0</t>
  </si>
  <si>
    <t>2025-05-11 23:28:00,-74423279.121651,-299242.409401605,,-19,,-271.9,-0.00990579573123952,-6.23</t>
  </si>
  <si>
    <t>2025-05-11 23:28:00,55825209.8597215,517756.936529001,0,0,0,0,0,0</t>
  </si>
  <si>
    <t>2025-05-11 23:29:00,580,,573,,580,,562.5,,,,,580,560,,</t>
  </si>
  <si>
    <t>2025-05-11 23:29:00,500,,497,,490,,487,,,,,500,480,,</t>
  </si>
  <si>
    <t>2025-05-11 23:29:00,,5700,,5680,,5800,5780,,,,,5830,5680,,</t>
  </si>
  <si>
    <t>2025-05-11 23:29:00,20100,,20700,,20100,,20175,,,,,20700,19900,,</t>
  </si>
  <si>
    <t>2025-05-11 23:29:00,4932005343.16188,13581981949.2056,0,0,0,0,0,0</t>
  </si>
  <si>
    <t>2025-05-11 23:29:00,2972527013.7881,3479682520.30333,0,0,0,0,0,0</t>
  </si>
  <si>
    <t>2025-05-11 23:29:00,-74369914.8599954,-295755.648729138,,-15,,-256.44,-0.00328369114975139,-4.84</t>
  </si>
  <si>
    <t>2025-05-11 23:29:00,55805317.4549125,518592.971995246,0,0,0,0,0,0</t>
  </si>
  <si>
    <t>2025-05-11 23:30:00,580,,573,,580,,562.5,,,,,580,560,,</t>
  </si>
  <si>
    <t>2025-05-11 23:30:00,500,,497,,490,,487,,,,,500,480,,</t>
  </si>
  <si>
    <t>2025-05-11 23:30:00,,5700,,5680,,5800,5780,,,,,5830,5680,,</t>
  </si>
  <si>
    <t>2025-05-11 23:30:00,20100,,20700,,20100,,20175,,,,,20700,19900,,</t>
  </si>
  <si>
    <t>2025-05-11 23:30:00,4971132139.4416,13790886349.1172,0,0,0,0,0,0</t>
  </si>
  <si>
    <t>2025-05-11 23:30:00,2998444583.80524,3561292191.5188,0,0,0,0,0,0</t>
  </si>
  <si>
    <t>2025-05-11 23:30:00,-74658683.2617708,-250595.259350949,,-35,,-397.19,-0.0532402440168344,-6.14</t>
  </si>
  <si>
    <t>2025-05-11 23:30:00,55734847.1987998,520463.235648808,0,0,0,0,0,0</t>
  </si>
  <si>
    <t>2025-05-11 23:31:00,580,,573,,580,,562.5,,,,,580,560,,</t>
  </si>
  <si>
    <t>2025-05-11 23:31:00,500,,497,,490,,487,,,,,500,480,,</t>
  </si>
  <si>
    <t>2025-05-11 23:31:00,,5700,,5680,,5800,5780,,,,,5830,5680,,</t>
  </si>
  <si>
    <t>2025-05-11 23:31:00,20100,,20700,,20100,,20175,,,,,20700,19900,,</t>
  </si>
  <si>
    <t>2025-05-11 23:31:00,4944707524.48889,13651619970.2241,0,0,0,0,0,0</t>
  </si>
  <si>
    <t>2025-05-11 23:31:00,3015882394.25308,3618956515.87206,0,0,0,0,0,0</t>
  </si>
  <si>
    <t>2025-05-11 23:31:00,-75027028.4282883,-258362.73584626,,-14,,-140.44,-0.0213894758331246,-2.32</t>
  </si>
  <si>
    <t>2025-05-11 23:31:00,55735376.6916915,520102.214662651,0,0,0,0,0,0</t>
  </si>
  <si>
    <t>2025-05-11 23:32:00,580,,573,,580,,562.5,,,,,580,560,,</t>
  </si>
  <si>
    <t>2025-05-11 23:32:00,500,,497,,490,,487,,,,,500,480,,</t>
  </si>
  <si>
    <t>2025-05-11 23:32:00,,5700,,5680,,5800,5780,,,,,5830,5680,,</t>
  </si>
  <si>
    <t>2025-05-11 23:32:00,20100,,20700,,20100,,20175,,,,,20700,19900,,</t>
  </si>
  <si>
    <t>2025-05-11 23:32:00,4964484766.72812,13755527647.5294,0,0,0,0,0,0</t>
  </si>
  <si>
    <t>2025-05-11 23:32:00,3032053926.433,3433471854.908,0,0,0,0,0,0</t>
  </si>
  <si>
    <t>2025-05-11 23:32:00,-75248875.5085203,-232674.911203527,,-34,,-155.1,-0.0695318736270389,-4.95</t>
  </si>
  <si>
    <t>2025-05-11 23:32:00,55758289.1471979,520389.627332154,0,0,0,0,0,0</t>
  </si>
  <si>
    <t>2025-05-11 23:33:00,580,,573,,580,,562.5,,,,,580,560,,</t>
  </si>
  <si>
    <t>2025-05-11 23:33:00,500,,497,,490,,487,,,,,500,480,,</t>
  </si>
  <si>
    <t>2025-05-11 23:33:00,,5700,,5680,,5800,5780,,,,,5830,5680,,</t>
  </si>
  <si>
    <t>2025-05-11 23:33:00,20100,,20700,,20100,,20175,,,,,20700,19900,,</t>
  </si>
  <si>
    <t>2025-05-11 23:33:00,4983565415.56773,13864011661.3528,0,0,0,0,0,0</t>
  </si>
  <si>
    <t>2025-05-11 23:33:00,2972907443.55769,3479716664.51655,0,0,0,0,0,0</t>
  </si>
  <si>
    <t>2025-05-11 23:33:00,-74755911.5226105,-249131.114739846,,-8,,-153.2,-0.00275116707298639,-2.38</t>
  </si>
  <si>
    <t>2025-05-11 23:33:00,55834830.3355334,517937.637891127,0,0,0,0,0,0</t>
  </si>
  <si>
    <t>2025-05-11 23:34:00,580,,573,,580,,562.5,,,,,580,560,,</t>
  </si>
  <si>
    <t>2025-05-11 23:34:00,500,,497,,490,,487,,,,,500,480,,</t>
  </si>
  <si>
    <t>2025-05-11 23:34:00,,5700,,5680,,5800,5780,,,,,5830,5680,,</t>
  </si>
  <si>
    <t>2025-05-11 23:34:00,20100,,20700,,20100,,20175,,,,,20700,19900,,</t>
  </si>
  <si>
    <t>2025-05-11 23:34:00,4983937508.45445,13867340814.083,0,0,0,0,0,0</t>
  </si>
  <si>
    <t>2025-05-11 23:34:00,2977070225.58127,3492298034.94411,0,0,0,0,0,0</t>
  </si>
  <si>
    <t>2025-05-11 23:34:00,-74736746.8640348,-245003.826789038,,-10,,-208.87,-0.00671130628963158,-3.6</t>
  </si>
  <si>
    <t>2025-05-11 23:34:00,55831253.4100897,518457.821453882,0,0,0,0,0,0</t>
  </si>
  <si>
    <t>2025-05-11 23:35:00,580,,573,,580,,562.5,,,,,580,560,,</t>
  </si>
  <si>
    <t>2025-05-11 23:35:00,500,,497,,490,,487,,,,,500,480,,</t>
  </si>
  <si>
    <t>2025-05-11 23:35:00,,5700,,5680,,5800,5780,,,,,5830,5680,,</t>
  </si>
  <si>
    <t>2025-05-11 23:35:00,20100,,20700,,20100,,20175,,,,,20700,19900,,</t>
  </si>
  <si>
    <t>2025-05-11 23:35:00,4983969934.90335,13865722830.0139,0,0,0,0,0,0</t>
  </si>
  <si>
    <t>2025-05-11 23:35:00,3011855308.04537,3604711285.9935,0,0,0,0,0,0</t>
  </si>
  <si>
    <t>2025-05-11 23:35:00,-74655693.2172036,-234938.987512518,,-3,,-6.5,-0.007151066396282,-0.34</t>
  </si>
  <si>
    <t>2025-05-11 23:35:00,55771190.6562065,519742.406458081,0,0,0,0,0,0</t>
  </si>
  <si>
    <t>2025-05-11 23:36:00,580,,573,,580,,562.5,,,,,580,560,,</t>
  </si>
  <si>
    <t>2025-05-11 23:36:00,500,,497,,490,,487,,,,,500,480,,</t>
  </si>
  <si>
    <t>2025-05-11 23:36:00,,5700,,5680,,5800,5780,,,,,5830,5680,,</t>
  </si>
  <si>
    <t>2025-05-11 23:36:00,20100,,20700,,20100,,20175,,,,,20700,19900,,</t>
  </si>
  <si>
    <t>2025-05-11 23:36:00,4983935147.66285,13865532317.514,0,0,0,0,0,0</t>
  </si>
  <si>
    <t>2025-05-11 23:36:00,3011428227.74464,3605094718.52485,0,0,0,0,0,0</t>
  </si>
  <si>
    <t>2025-05-11 23:36:00,-74855893.7903716,-227621.926607272,,-4,,-5.64,-0.00880275137471715,-0.31</t>
  </si>
  <si>
    <t>2025-05-11 23:36:00,55753687.3807581,519820.31328655,0,0,0,0,0,0</t>
  </si>
  <si>
    <t>2025-05-11 23:37:00,580,,573,,580,,562.5,,,,,580,560,,</t>
  </si>
  <si>
    <t>2025-05-11 23:37:00,500,,497,,490,,487,,,,,500,480,,</t>
  </si>
  <si>
    <t>2025-05-11 23:37:00,,5700,,5680,,5800,5780,,,,,5830,5680,,</t>
  </si>
  <si>
    <t>2025-05-11 23:37:00,20100,,20700,,20100,,20175,,,,,20700,19900,,</t>
  </si>
  <si>
    <t>2025-05-11 23:37:00,4984251483.50156,13869353984.0026,0,0,0,0,0,0</t>
  </si>
  <si>
    <t>2025-05-11 23:37:00,3033297603.32831,3670434247.92823,0,0,0,0,0,0</t>
  </si>
  <si>
    <t>2025-05-11 23:37:00,-74626658.281209,-218464.81332364,,-2,,-2.08,-0.00445475179284972,-0.12</t>
  </si>
  <si>
    <t>2025-05-11 23:37:00,55732149.2943488,520838.630216172,0,0,0,0,0,0</t>
  </si>
  <si>
    <t>2025-05-11 23:38:00,580,,573,,580,,562.5,,,,,580,560,,</t>
  </si>
  <si>
    <t>2025-05-11 23:38:00,500,,497,,490,,487,,,,,500,480,,</t>
  </si>
  <si>
    <t>2025-05-11 23:38:00,,5700,,5680,,5800,5780,,,,,5830,5680,,</t>
  </si>
  <si>
    <t>2025-05-11 23:38:00,20100,,20700,,20100,,20175,,,,,20700,19900,,</t>
  </si>
  <si>
    <t>2025-05-11 23:38:00,4984447296.14524,13867589422.5397,0,0,0,0,0,0</t>
  </si>
  <si>
    <t>2025-05-11 23:38:00,3043538928.89202,3607127726.45616,0,0,0,0,0,0</t>
  </si>
  <si>
    <t>2025-05-11 23:38:00,-74801473.0291979,-212544.572806962,,-11,,-13.84,-0.0253205063233221,-0.86</t>
  </si>
  <si>
    <t>2025-05-11 23:38:00,55713114.2525205,521002.660047,0,0,0,0,0,0</t>
  </si>
  <si>
    <t>2025-05-11 23:39:00,580,,573,,580,,562.5,,,,,580,560,,</t>
  </si>
  <si>
    <t>2025-05-11 23:39:00,500,,497,,490,,487,,,,,500,480,,</t>
  </si>
  <si>
    <t>2025-05-11 23:39:00,,5700,,5680,,5800,5780,,,,,5830,5680,,</t>
  </si>
  <si>
    <t>2025-05-11 23:39:00,20100,,20700,,20100,,20175,,,,,20700,19900,,</t>
  </si>
  <si>
    <t>2025-05-11 23:39:00,4990610646.0148,13903132236.8966,0,0,0,0,0,0</t>
  </si>
  <si>
    <t>2025-05-11 23:39:00,3033446085.25085,3440748138.88206,0,0,0,0,0,0</t>
  </si>
  <si>
    <t>2025-05-11 23:39:00,-74781783.2124907,-215394.177173429,,-3,,-123.4,0.00650801741941742,-2.09</t>
  </si>
  <si>
    <t>2025-05-11 23:39:00,55663941.4381366,521706.842939186,0,0,0,0,0,0</t>
  </si>
  <si>
    <t>2025-05-11 23:40:00,580,,573,,580,,562.5,,,,,580,560,,</t>
  </si>
  <si>
    <t>2025-05-11 23:40:00,500,,497,,490,,487,,,,,500,480,,</t>
  </si>
  <si>
    <t>2025-05-11 23:40:00,,5700,,5680,,5800,5780,,,,,5830,5680,,</t>
  </si>
  <si>
    <t>2025-05-11 23:40:00,20100,,20700,,20100,,20175,,,,,20700,19900,,</t>
  </si>
  <si>
    <t>2025-05-11 23:40:00,4984752572.6375,13868228200.4656,0,0,0,0,0,0</t>
  </si>
  <si>
    <t>2025-05-11 23:40:00,3043884793.56716,3608533553.10332,0,0,0,0,0,0</t>
  </si>
  <si>
    <t>2025-05-11 23:40:00,-74916236.116982,-223183.029839416,,-13,,-74.83,-0.0214468453722237,-2.14</t>
  </si>
  <si>
    <t>2025-05-11 23:40:00,55730181.9476205,520530.190737404,0,0,0,0,0,0</t>
  </si>
  <si>
    <t>2025-05-11 23:41:00,580,,573,,580,,562.5,,,,,580,560,,</t>
  </si>
  <si>
    <t>2025-05-11 23:41:00,500,,497,,490,,487,,,,,500,480,,</t>
  </si>
  <si>
    <t>2025-05-11 23:41:00,,5700,,5680,,5800,5780,,,,,5830,5680,,</t>
  </si>
  <si>
    <t>2025-05-11 23:41:00,20100,,20700,,20100,,20175,,,,,20700,19900,,</t>
  </si>
  <si>
    <t>2025-05-11 23:41:00,4985066066.41282,13871463484.1456,0,0,0,0,0,0</t>
  </si>
  <si>
    <t>2025-05-11 23:41:00,3043912748.9325,3608480353.52169,0,0,0,0,0,0</t>
  </si>
  <si>
    <t>2025-05-11 23:41:00,-74904689.2267566,-222849.872348276,,-3,,-62.65,-0.000324044965518892,-1.44</t>
  </si>
  <si>
    <t>2025-05-11 23:41:00,55744900.2327701,520080.013793891,0,0,0,0,0,0</t>
  </si>
  <si>
    <t>2025-05-11 23:42:00,580,,573,,580,,562.5,,,,,580,560,,</t>
  </si>
  <si>
    <t>2025-05-11 23:42:00,500,,497,,490,,487,,,,,500,480,,</t>
  </si>
  <si>
    <t>2025-05-11 23:42:00,,5700,,5680,,5800,5780,,,,,5830,5680,,</t>
  </si>
  <si>
    <t>2025-05-11 23:42:00,20100,,20700,,20100,,20175,,,,,20700,19900,,</t>
  </si>
  <si>
    <t>2025-05-11 23:42:00,5017634292.68187,14058758492.6164,0,0,0,0,0,0</t>
  </si>
  <si>
    <t>2025-05-11 23:42:00,3043955265.91213,3608025130.19483,0,0,0,0,0,0</t>
  </si>
  <si>
    <t>2025-05-11 23:42:00,-74848174.2633941,-221758.265897833,,-3,,-55.92,-0.0059780014674907,-0.98</t>
  </si>
  <si>
    <t>2025-05-11 23:42:00,55719269.6346019,520891.257348941,0,0,0,0,0,0</t>
  </si>
  <si>
    <t>2025-05-11 23:43:00,580,,573,,580,,562.5,,,,,580,560,,</t>
  </si>
  <si>
    <t>2025-05-11 23:43:00,500,,497,,490,,487,,,,,500,480,,</t>
  </si>
  <si>
    <t>2025-05-11 23:43:00,,5700,,5680,,5800,5780,,,,,5830,5680,,</t>
  </si>
  <si>
    <t>2025-05-11 23:43:00,20100,,20700,,20100,,20175,,,,,20700,19900,,</t>
  </si>
  <si>
    <t>2025-05-11 23:43:00,5017275110.62559,14056128928.022,0,0,0,0,0,0</t>
  </si>
  <si>
    <t>2025-05-11 23:43:00,3043793772.454,3609744792.01687,0,0,0,0,0,0</t>
  </si>
  <si>
    <t>2025-05-11 23:43:00,-74861862.0089827,-218487.54679524,,-5,,-11.27,-0.0110886839792393,-0.5</t>
  </si>
  <si>
    <t>2025-05-11 23:43:00,55724591.0727375,520542.983329988,0,0,0,0,0,0</t>
  </si>
  <si>
    <t>2025-05-11 23:44:00,580,,573,,580,,562.5,,,,,580,560,,</t>
  </si>
  <si>
    <t>2025-05-11 23:44:00,500,,497,,490,,487,,,,,500,480,,</t>
  </si>
  <si>
    <t>2025-05-11 23:44:00,,5700,,5680,,5800,5780,,,,,5830,5680,,</t>
  </si>
  <si>
    <t>2025-05-11 23:44:00,20100,,20700,,20100,,20175,,,,,20700,19900,,</t>
  </si>
  <si>
    <t>2025-05-11 23:44:00,4946157965.70392,13659032393.4902,0,0,0,0,0,0</t>
  </si>
  <si>
    <t>2025-05-11 23:44:00,3043542012.24079,3609912333.2432,0,0,0,0,0,0</t>
  </si>
  <si>
    <t>2025-05-11 23:44:00,-75054800.8854673,-225187.000258158,,0,,0,0,0</t>
  </si>
  <si>
    <t>2025-05-11 23:44:00,55717154.4692353,520398.743923463,0,0,0,0,0,0</t>
  </si>
  <si>
    <t>2025-05-11 23:45:00,580,,573,,580,,562.5,,,,,580,560,,</t>
  </si>
  <si>
    <t>2025-05-11 23:45:00,500,,497,,490,,487,,,,,500,480,,</t>
  </si>
  <si>
    <t>2025-05-11 23:45:00,,5700,,5680,,5800,5780,,,,,5830,5680,,</t>
  </si>
  <si>
    <t>2025-05-11 23:45:00,20100,,20700,,20100,,20175,,,,,20700,19900,,</t>
  </si>
  <si>
    <t>2025-05-11 23:45:00,4984589532.47024,13870982400.7768,0,0,0,0,0,0</t>
  </si>
  <si>
    <t>2025-05-11 23:45:00,3043665328.22442,3609711515.81718,0,0,0,0,0,0</t>
  </si>
  <si>
    <t>2025-05-11 23:45:00,-74619632.7425189,-219253.607013881,,-4,,-60.69,-0.00348459433821665,-0.56</t>
  </si>
  <si>
    <t>2025-05-11 23:45:00,55729894.4651237,520588.843598678,0,0,0,0,0,0</t>
  </si>
  <si>
    <t>2025-05-11 23:46:00,580,,573,,580,,562.5,,,,,580,560,,</t>
  </si>
  <si>
    <t>2025-05-11 23:46:00,500,,500,,490,,497,,,,,500,480,,</t>
  </si>
  <si>
    <t>2025-05-11 23:46:00,,5700,,5680,,5800,5780,,,,,5830,5680,,</t>
  </si>
  <si>
    <t>2025-05-11 23:46:00,20100,,20700,,20100,,20175,,,,,20700,19900,,</t>
  </si>
  <si>
    <t>2025-05-11 23:46:00,4984866066.37187,13873127501.2436,0,0,0,0,0,0</t>
  </si>
  <si>
    <t>2025-05-11 23:46:00,2979250730.56523,2735076528.50061,0,0,0,0,0,0</t>
  </si>
  <si>
    <t>2025-05-11 23:46:00,-74745974.7863158,-219552.964495339,,-6,,-200.23,0.00118648582387618,-2.76</t>
  </si>
  <si>
    <t>2025-05-11 23:46:00,55687808.6692747,521217.060301757,0,0,0,0,0,0</t>
  </si>
  <si>
    <t>2025-05-11 23:47:00,580,,573,,580,,562.5,,,,,580,560,,</t>
  </si>
  <si>
    <t>2025-05-11 23:47:00,500,,497,,490,,488,,,,,500,480,,</t>
  </si>
  <si>
    <t>2025-05-11 23:47:00,,5700,,5680,,5800,5780,,,,,5830,5680,,</t>
  </si>
  <si>
    <t>2025-05-11 23:47:00,20100,,20700,,20100,,20175,,,,,20700,19900,,</t>
  </si>
  <si>
    <t>2025-05-11 23:47:00,4985091966.16389,13873424041.9707,0,0,0,0,0,0</t>
  </si>
  <si>
    <t>2025-05-11 23:47:00,3044028196.60234,3611454591.92595,0,0,0,0,0,0</t>
  </si>
  <si>
    <t>2025-05-11 23:47:00,-74612190.6091741,-219099.23698817,,-1,,-1.04,-0.00222265475852655,-0.06</t>
  </si>
  <si>
    <t>2025-05-11 23:47:00,55723443.1203327,520842.551596458,0,0,0,0,0,0</t>
  </si>
  <si>
    <t>2025-05-11 23:48:00,580,,573,,580,,562.5,,,,,580,560,,</t>
  </si>
  <si>
    <t>2025-05-11 23:48:00,500,,497,,490,,488,,,,,500,480,,</t>
  </si>
  <si>
    <t>2025-05-11 23:48:00,,5700,,5680,,5800,5780,,,,,5830,5680,,</t>
  </si>
  <si>
    <t>2025-05-11 23:48:00,20100,,20700,,20100,,20175,,,,,20700,19900,,</t>
  </si>
  <si>
    <t>2025-05-11 23:48:00,4985184353.44779,13874947714.5359,0,0,0,0,0,0</t>
  </si>
  <si>
    <t>2025-05-11 23:48:00,3044088631.28332,3610989030.33362,0,0,0,0,0,0</t>
  </si>
  <si>
    <t>2025-05-11 23:48:00,-74938405.9467186,-220240.60300246,,-2,,-13.7,-0.00211065326189537,-0.3</t>
  </si>
  <si>
    <t>2025-05-11 23:48:00,55690685.9571403,521225.944387714,0,0,0,0,0,0</t>
  </si>
  <si>
    <t>2025-05-11 23:49:00,580,,573,,580,,562.5,,,,,580,560,,</t>
  </si>
  <si>
    <t>2025-05-11 23:49:00,500,,497,,490,,488,,,,,500,480,,</t>
  </si>
  <si>
    <t>2025-05-11 23:49:00,,5700,,5680,,5800,5780,,,,,5830,5680,,</t>
  </si>
  <si>
    <t>2025-05-11 23:49:00,20100,,20700,,20100,,20175,,,,,20700,19900,,</t>
  </si>
  <si>
    <t>2025-05-11 23:49:00,4985552417.17352,13875130709.0231,0,0,0,0,0,0</t>
  </si>
  <si>
    <t>2025-05-11 23:49:00,3034945535.71892,3456815083.65992,0,0,0,0,0,0</t>
  </si>
  <si>
    <t>2025-05-11 23:49:00,-74971210.3078876,-217341.34214437,,-4,,-50.28,0.000555437814163636,-0.2</t>
  </si>
  <si>
    <t>2025-05-11 23:49:00,55674652.0960536,521413.311185983,0,0,0,0,0,0</t>
  </si>
  <si>
    <t>2025-05-11 23:50:00,580,,573,,580,,562.5,,,,,580,560,,</t>
  </si>
  <si>
    <t>2025-05-11 23:50:00,500,,500,,490,,497,,,,,500,480,,</t>
  </si>
  <si>
    <t>2025-05-11 23:50:00,,5700,,5680,,5800,5780,,,,,5830,5680,,</t>
  </si>
  <si>
    <t>2025-05-11 23:50:00,20100,,20700,,20100,,20175,,,,,20700,19900,,</t>
  </si>
  <si>
    <t>2025-05-11 23:50:00,5032028468.32832,14140481070.0009,0,0,0,0,0,0</t>
  </si>
  <si>
    <t>2025-05-11 23:50:00,2979250396.96049,2734711743.09686,0,0,0,0,0,0</t>
  </si>
  <si>
    <t>2025-05-11 23:50:00,-74907588.5519768,-217142.945049869,,-1,,-20.63,0.000149163379200962,-0.11</t>
  </si>
  <si>
    <t>2025-05-11 23:50:00,55704806.6616028,521208.563649948,0,0,0,0,0,0</t>
  </si>
  <si>
    <t>2025-05-11 23:51:00,580,,573,,580,,562.5,,,,,580,560,,</t>
  </si>
  <si>
    <t>2025-05-11 23:51:00,500,,497,,490,,488,,,,,500,480,,</t>
  </si>
  <si>
    <t>2025-05-11 23:51:00,,5700,,5680,,5800,5780,,,,,5830,5680,,</t>
  </si>
  <si>
    <t>2025-05-11 23:51:00,20100,,20700,,20100,,20175,,,,,20700,19900,,</t>
  </si>
  <si>
    <t>2025-05-11 23:51:00,5031762144.72228,14140192155.2034,0,0,0,0,0,0</t>
  </si>
  <si>
    <t>2025-05-11 23:51:00,3043987896.70611,3612585779.76606,0,0,0,0,0,0</t>
  </si>
  <si>
    <t>2025-05-11 23:51:00,-75008569.7474026,-220230.110852009,,-5,,-9.78,-0.0105867738016004,-0.44</t>
  </si>
  <si>
    <t>2025-05-11 23:51:00,55709303.373516,520827.711547699,0,0,0,0,0,0</t>
  </si>
  <si>
    <t>2025-05-11 23:52:00,580,,573,,580,,562.5,,,,,580,560,,</t>
  </si>
  <si>
    <t>2025-05-11 23:52:00,500,,497,,490,,488,,,,,500,480,,</t>
  </si>
  <si>
    <t>2025-05-11 23:52:00,,5700,,5680,,5800,5780,,,,,5830,5680,,</t>
  </si>
  <si>
    <t>2025-05-11 23:52:00,20100,,20700,,20100,,20175,,,,,20700,19900,,</t>
  </si>
  <si>
    <t>2025-05-11 23:52:00,4934533301.78793,13597897768.5342,0,0,0,0,0,0</t>
  </si>
  <si>
    <t>2025-05-11 23:52:00,3043635090.05705,3612088508.04577,0,0,0,0,0,0</t>
  </si>
  <si>
    <t>2025-05-11 23:52:00,-75098391.2073935,-224271.136019811,,-1,,-1.04,-0.00222011569225591,-0.06</t>
  </si>
  <si>
    <t>2025-05-11 23:52:00,55734419.7777513,520598.012663468,0,0,0,0,0,0</t>
  </si>
  <si>
    <t>2025-05-11 23:53:00,580,,573,,580,,562.5,,,,,580,560,,</t>
  </si>
  <si>
    <t>2025-05-11 23:53:00,500,,497,,490,,488,,,,,500,480,,</t>
  </si>
  <si>
    <t>2025-05-11 23:53:00,,5700,,5680,,5800,5780,,,,,5830,5680,,</t>
  </si>
  <si>
    <t>2025-05-11 23:53:00,20100,,20700,,20100,,20175,,,,,20700,19900,,</t>
  </si>
  <si>
    <t>2025-05-11 23:53:00,4934698754.43842,13597770611.2976,0,0,0,0,0,0</t>
  </si>
  <si>
    <t>2025-05-11 23:53:00,3043770849.44038,3612265384.58302,0,0,0,0,0,0</t>
  </si>
  <si>
    <t>2025-05-11 23:53:00,-74570603.6998265,-218629.386183666,,-22,,-362.38,-0.0224468564448853,-3.8</t>
  </si>
  <si>
    <t>2025-05-11 23:53:00,55764352.9310962,519840.150679476,0,0,0,0,0,0</t>
  </si>
  <si>
    <t>2025-05-11 23:54:00,580,,573,,580,,562.5,,,,,580,560,,</t>
  </si>
  <si>
    <t>2025-05-11 23:54:00,500,,497,,490,,488,,,,,500,480,,</t>
  </si>
  <si>
    <t>2025-05-11 23:54:00,,5700,,5680,,5800,5780,,,,,5830,5680,,</t>
  </si>
  <si>
    <t>2025-05-11 23:54:00,20100,,20700,,20100,,20175,,,,,20700,19900,,</t>
  </si>
  <si>
    <t>2025-05-11 23:54:00,4946950173.81378,13665903841.9698,0,0,0,0,0,0</t>
  </si>
  <si>
    <t>2025-05-11 23:54:00,3043914849.62827,3679539312.7089,0,0,0,0,0,0</t>
  </si>
  <si>
    <t>2025-05-11 23:54:00,-74877672.5529952,-215991.247035878,,-5,,-64.35,-0.00420322523513959,-1.25</t>
  </si>
  <si>
    <t>2025-05-11 23:54:00,55711487.0767003,520697.419870416,0,0,0,0,0,0</t>
  </si>
  <si>
    <t>2025-05-11 23:55:00,580,,573,,580,,562.5,,,,,580,560,,</t>
  </si>
  <si>
    <t>2025-05-11 23:55:00,500,,497,,490,,488,,,,,500,480,,</t>
  </si>
  <si>
    <t>2025-05-11 23:55:00,,5700,,5680,,5800,5780,,,,,5830,5680,,</t>
  </si>
  <si>
    <t>2025-05-11 23:55:00,20100,,20700,,20100,,20175,,,,,20700,19900,,</t>
  </si>
  <si>
    <t>2025-05-11 23:55:00,4934701880.49809,13598686201.5413,0,0,0,0,0,0</t>
  </si>
  <si>
    <t>2025-05-11 23:55:00,3040994402.41134,3681971955.99938,0,0,0,0,0,0</t>
  </si>
  <si>
    <t>2025-05-11 23:55:00,-74757837.0143788,-216185.31874969,,-6,,-104.51,0.000381527265620985,-1.43</t>
  </si>
  <si>
    <t>2025-05-11 23:55:00,55747151.4238294,520346.607223769,0,0,0,0,0,0</t>
  </si>
  <si>
    <t>2025-05-11 23:56:00,580,,573,,580,,562.5,,,,,580,560,,</t>
  </si>
  <si>
    <t>2025-05-11 23:56:00,500,,497,,490,,487,,,,,500,480,,</t>
  </si>
  <si>
    <t>2025-05-11 23:56:00,,5700,,5680,,5800,5780,,,,,5830,5680,,</t>
  </si>
  <si>
    <t>2025-05-11 23:56:00,20100,,20700,,20100,,20175,,,,,20700,19900,,</t>
  </si>
  <si>
    <t>2025-05-11 23:56:00,4934679557.74993,13600711554.2641,0,0,0,0,0,0</t>
  </si>
  <si>
    <t>2025-05-11 23:56:00,3024903812.84904,3645083312.23277,0,0,0,0,0,0</t>
  </si>
  <si>
    <t>2025-05-11 23:56:00,-74550663.0435917,-219389.826291045,,-3,,-92.37,0.000703971808681529,-1.2</t>
  </si>
  <si>
    <t>2025-05-11 23:56:00,55742552.3220839,520020.735875256,0,0,0,0,0,0</t>
  </si>
  <si>
    <t>2025-05-11 23:57:00,580,,573,,580,,562.5,,,,,580,560,,</t>
  </si>
  <si>
    <t>2025-05-11 23:57:00,500,,497,,490,,487,,,,,500,480,,</t>
  </si>
  <si>
    <t>2025-05-11 23:57:00,,5700,,5680,,5800,5780,,,,,5830,5680,,</t>
  </si>
  <si>
    <t>2025-05-11 23:57:00,20100,,20700,,20100,,20175,,,,,20700,19900,,</t>
  </si>
  <si>
    <t>2025-05-11 23:57:00,4934233253.87871,13600278929.3233,0,0,0,0,0,0</t>
  </si>
  <si>
    <t>2025-05-11 23:57:00,3029384803.66526,3657736170.26852,0,0,0,0,0,0</t>
  </si>
  <si>
    <t>2025-05-11 23:57:00,-74634278.4851885,-224124.289671047,,-3,,-142.74,0.00759340228011006,-2.07</t>
  </si>
  <si>
    <t>2025-05-11 23:57:00,55737968.749446,519797.863228963,0,0,0,0,0,0</t>
  </si>
  <si>
    <t>2025-05-11 23:58:00,580,,573,,580,,562.5,,,,,580,560,,</t>
  </si>
  <si>
    <t>2025-05-11 23:58:00,500,,497,,490,,487,,,,,500,480,,</t>
  </si>
  <si>
    <t>2025-05-11 23:58:00,,5700,,5680,,5800,5780,,,,,5830,5680,,</t>
  </si>
  <si>
    <t>2025-05-11 23:58:00,20100,,20700,,20100,,20175,,,,,20700,19900,,</t>
  </si>
  <si>
    <t>2025-05-11 23:58:00,4934335706.9481,13600740382.3744,0,0,0,0,0,0</t>
  </si>
  <si>
    <t>2025-05-11 23:58:00,3033327913.35991,3669323621.2584,0,0,0,0,0,0</t>
  </si>
  <si>
    <t>2025-05-11 23:58:00,-74643220.5724316,-215371.61391775,,-19,,-66.31,-0.03456293724398,-1.55</t>
  </si>
  <si>
    <t>2025-05-11 23:58:00,55723593.1818117,520423.111741174,0,0,0,0,0,0</t>
  </si>
  <si>
    <t>2025-05-11 23:59:00,580,,573,,580,,562.5,,,,,580,560,,</t>
  </si>
  <si>
    <t>2025-05-11 23:59:00,500,,497,,490,,487,,,,,500,480,,</t>
  </si>
  <si>
    <t>2025-05-11 23:59:00,,5700,,5680,,5800,5780,,,,,5830,5680,,</t>
  </si>
  <si>
    <t>2025-05-11 23:59:00,20100,,20700,,20100,,20175,,,,,20700,19900,,</t>
  </si>
  <si>
    <t>2025-05-11 23:59:00,4934553855.51817,13602943745.6036,0,0,0,0,0,0</t>
  </si>
  <si>
    <t>2025-05-11 23:59:00,3029659613.55395,3658318394.10002,0,0,0,0,0,0</t>
  </si>
  <si>
    <t>2025-05-11 23:59:00,-74834635.7171262,-221136.427584133,,-1,,-213.57,0.0109490307340694,-2</t>
  </si>
  <si>
    <t>2025-05-11 23:59:00,55739533.8193463,519847.478826063,0,0,0,0,0,0</t>
  </si>
  <si>
    <t>2025-05-12 00:00:00,580,,573,,580,,562.5,,,,,580,560,,</t>
  </si>
  <si>
    <t>2025-05-12 00:00:00,500,,497,,490,,487,,,,,500,480,,</t>
  </si>
  <si>
    <t>2025-05-12 00:00:00,,5700,,5680,,5800,5780,,,,,5830,5680,,</t>
  </si>
  <si>
    <t>2025-05-12 00:00:00,20100,,20700,,20100,,20175,,,,,20700,19900,,</t>
  </si>
  <si>
    <t>2025-05-12 00:00:00,4934608380.65273,13601557532.2664,0,0,0,0,0,0</t>
  </si>
  <si>
    <t>2025-05-12 00:00:00,2999166325.16387,3560107566.99329,0,0,0,0,0,0</t>
  </si>
  <si>
    <t>2025-05-12 00:00:00,-74533348.229382,-221334.109164094,,-8,,-15.48,-0.0177508642338158,-0.76</t>
  </si>
  <si>
    <t>2025-05-12 00:00:00,55808280.6431847,518631.53189611,0,0,0,0,0,0</t>
  </si>
  <si>
    <t>2025-05-12 00:01:00,580,,573,,580,,562.5,,,,,580,560,,</t>
  </si>
  <si>
    <t>2025-05-12 00:01:00,500,,497,,490,,487,,,,,500,480,,</t>
  </si>
  <si>
    <t>2025-05-12 00:01:00,,5700,,5680,,5800,5780,,,,,5830,5680,,</t>
  </si>
  <si>
    <t>2025-05-12 00:01:00,20100,,20700,,20100,,20175,,,,,20700,19900,,</t>
  </si>
  <si>
    <t>2025-05-12 00:01:00,4957819045.37502,13707488534.8253,0,0,0,0,0,0</t>
  </si>
  <si>
    <t>2025-05-12 00:01:00,3023008234.97104,3631237183.63288,0,0,0,0,0,0</t>
  </si>
  <si>
    <t>2025-05-12 00:01:00,-74921288.297196,-213379.159054805,,-4,,-13.82,-0.00641905180003656,-0.21</t>
  </si>
  <si>
    <t>2025-05-12 00:01:00,55720661.5883952,520386.794615288,0,0,0,0,0,0</t>
  </si>
  <si>
    <t>2025-05-12 00:02:00,580,,573,,580,,562.5,,,,,580,560,,</t>
  </si>
  <si>
    <t>2025-05-12 00:02:00,500,,497,,490,,487,,,,,500,480,,</t>
  </si>
  <si>
    <t>2025-05-12 00:02:00,,5700,,5680,,5800,5780,,,,,5830,5680,,</t>
  </si>
  <si>
    <t>2025-05-12 00:02:00,20100,,20700,,20100,,20175,,,,,20700,19900,,</t>
  </si>
  <si>
    <t>2025-05-12 00:02:00,4935007534.16342,13603662325.2024,0,0,0,0,0,0</t>
  </si>
  <si>
    <t>2025-05-12 00:02:00,3021160216.6249,3631053118.79139,0,0,0,0,0,0</t>
  </si>
  <si>
    <t>2025-05-12 00:02:00,-74720336.7434808,-217738.118414797,,-2,,-32.99,-0.00227336921459746,-0.38</t>
  </si>
  <si>
    <t>2025-05-12 00:02:00,55745443.9125438,519630.887553538,0,0,0,0,0,0</t>
  </si>
  <si>
    <t>2025-05-12 00:03:00,580,,573,,580,,562.5,,,,,580,560,,</t>
  </si>
  <si>
    <t>2025-05-12 00:03:00,500,,497,,490,,488,,,,,500,480,,</t>
  </si>
  <si>
    <t>2025-05-12 00:03:00,,5700,,5680,,5800,5780,,,,,5830,5680,,</t>
  </si>
  <si>
    <t>2025-05-12 00:03:00,20100,,20700,,20100,,20175,,,,,20700,19900,,</t>
  </si>
  <si>
    <t>2025-05-12 00:03:00,4986328683.46533,13881759905.4345,0,0,0,0,0,0</t>
  </si>
  <si>
    <t>2025-05-12 00:03:00,3036136447.27938,3469719536.18864,0,0,0,0,0,0</t>
  </si>
  <si>
    <t>2025-05-12 00:03:00,-74855996.8781987,-198505.785392157,,-7,,-7.56,-0.0154853896891827,-0.45</t>
  </si>
  <si>
    <t>2025-05-12 00:03:00,55688713.6464713,521555.524427747,0,0,0,0,0,0</t>
  </si>
  <si>
    <t>2025-05-12 00:04:00,580,,573,,580,,562.5,,,,,580,560,,</t>
  </si>
  <si>
    <t>2025-05-12 00:04:00,500,,500,,490,,497,,,,,500,480,,</t>
  </si>
  <si>
    <t>2025-05-12 00:04:00,,5700,,5680,,5800,5780,,,,,5830,5680,,</t>
  </si>
  <si>
    <t>2025-05-12 00:04:00,20100,,20700,,20100,,20175,,,,,20700,19900,,</t>
  </si>
  <si>
    <t>2025-05-12 00:04:00,4967362246.17563,13775723371.5711,0,0,0,0,0,0</t>
  </si>
  <si>
    <t>2025-05-12 00:04:00,2981735847.30149,2747329462.57491,0,0,0,0,0,0</t>
  </si>
  <si>
    <t>2025-05-12 00:04:00,-75355678.1974174,-204667.408460465,,-16,,-159.29,-0.0132055196366945,-1.89</t>
  </si>
  <si>
    <t>2025-05-12 00:04:00,55676239.5993673,521459.233077905,0,0,0,0,0,0</t>
  </si>
  <si>
    <t>2025-05-12 00:05:00,580,,573,,580,,562.5,,,,,580,560,,</t>
  </si>
  <si>
    <t>2025-05-12 00:05:00,500,,500,,490,,497,,,,,500,480,,</t>
  </si>
  <si>
    <t>2025-05-12 00:05:00,,5700,,5680,,5800,5780,,,,,5830,5680,,</t>
  </si>
  <si>
    <t>2025-05-12 00:05:00,20100,,20700,,20100,,20175,,,,,20700,19900,,</t>
  </si>
  <si>
    <t>2025-05-12 00:05:00,4967411566.58801,13775858028.3901,0,0,0,0,0,0</t>
  </si>
  <si>
    <t>2025-05-12 00:05:00,2979968494.54698,2734105716.64926,0,0,0,0,0,0</t>
  </si>
  <si>
    <t>2025-05-12 00:05:00,-75076002.7543173,-204332.281238551,,-7,,-265.53,0.0174748540744733,-5.12</t>
  </si>
  <si>
    <t>2025-05-12 00:05:00,55688823.7029575,521628.890509089,0,0,0,0,0,0</t>
  </si>
  <si>
    <t>2025-05-12 00:06:00,580,,573,,580,,562.5,,,,,580,560,,</t>
  </si>
  <si>
    <t>2025-05-12 00:06:00,500,,500,,490,,497,,,,,500,480,,</t>
  </si>
  <si>
    <t>2025-05-12 00:06:00,,5700,,5680,,5800,5780,,,,,5830,5680,,</t>
  </si>
  <si>
    <t>2025-05-12 00:06:00,20100,,20700,,20100,,20175,,,,,20700,19900,,</t>
  </si>
  <si>
    <t>2025-05-12 00:06:00,4986898280.40977,13884731517.6372,0,0,0,0,0,0</t>
  </si>
  <si>
    <t>2025-05-12 00:06:00,2987142535.2893,2742215441.21585,0,0,0,0,0,0</t>
  </si>
  <si>
    <t>2025-05-12 00:06:00,-75254131.4776621,-204196.860557853,,-12,,-535.75,0.0163432403181966,-7</t>
  </si>
  <si>
    <t>2025-05-12 00:06:00,55663116.7365157,521987.988535858,0,0,0,0,0,0</t>
  </si>
  <si>
    <t>2025-05-12 00:07:00,580,,573,,580,,562.5,,,,,580,560,,</t>
  </si>
  <si>
    <t>2025-05-12 00:07:00,500,,497,,490,,487,,,,,500,480,,</t>
  </si>
  <si>
    <t>2025-05-12 00:07:00,,5700,,5680,,5800,5780,,,,,5830,5680,,</t>
  </si>
  <si>
    <t>2025-05-12 00:07:00,20100,,20700,,20100,,20175,,,,,20700,19900,,</t>
  </si>
  <si>
    <t>2025-05-12 00:07:00,5013360220.21815,14032325231.6994,0,0,0,0,0,0</t>
  </si>
  <si>
    <t>2025-05-12 00:07:00,3012118558.11099,3601401705.28118,0,0,0,0,0,0</t>
  </si>
  <si>
    <t>2025-05-12 00:07:00,-74855022.5013798,-227557.215626854,,-3,,-82.14,0.00154972977292799,-1.08</t>
  </si>
  <si>
    <t>2025-05-12 00:07:00,55763671.3131498,519200.96341211,0,0,0,0,0,0</t>
  </si>
  <si>
    <t>2025-05-12 00:08:00,580,,573,,580,,562.5,,,,,580,560,,</t>
  </si>
  <si>
    <t>2025-05-12 00:08:00,500,,497,,490,,488,,,,,500,480,,</t>
  </si>
  <si>
    <t>2025-05-12 00:08:00,,5700,,5680,,5800,5780,,,,,5830,5680,,</t>
  </si>
  <si>
    <t>2025-05-12 00:08:00,20100,,20700,,20100,,20175,,,,,20700,19900,,</t>
  </si>
  <si>
    <t>2025-05-12 00:08:00,4935321423.70868,13607449683.3561,0,0,0,0,0,0</t>
  </si>
  <si>
    <t>2025-05-12 00:08:00,3029211767.62492,3656905002.32398,0,0,0,0,0,0</t>
  </si>
  <si>
    <t>2025-05-12 00:08:00,-74906572.5361642,-215243.986122882,,-5,,-22.15,-0.00873089740383612,-0.56</t>
  </si>
  <si>
    <t>2025-05-12 00:08:00,55742570.5646051,520201.889793628,0,0,0,0,0,0</t>
  </si>
  <si>
    <t>2025-05-12 00:09:00,580,,573,,580,,562.5,,,,,580,560,,</t>
  </si>
  <si>
    <t>2025-05-12 00:09:00,500,,497,,490,,488,,,,,500,480,,</t>
  </si>
  <si>
    <t>2025-05-12 00:09:00,,5700,,5680,,5800,5780,,,,,5830,5680,,</t>
  </si>
  <si>
    <t>2025-05-12 00:09:00,20100,,20700,,20100,,20175,,,,,20700,19900,,</t>
  </si>
  <si>
    <t>2025-05-12 00:09:00,4935296733.0545,13606003435.1826,0,0,0,0,0,0</t>
  </si>
  <si>
    <t>2025-05-12 00:09:00,3044278297.77665,3679787505.72841,0,0,0,0,0,0</t>
  </si>
  <si>
    <t>2025-05-12 00:09:00,-74988312.9012919,-216984.138827392,,-5,,-66.65,-0.00210015222552317,-1.22</t>
  </si>
  <si>
    <t>2025-05-12 00:09:00,55712282.1779597,520668.317583756,0,0,0,0,0,0</t>
  </si>
  <si>
    <t>2025-05-12 00:10:00,580,,573,,580,,562.5,,,,,580,560,,</t>
  </si>
  <si>
    <t>2025-05-12 00:10:00,500,,500,,490,,497,,,,,500,480,,</t>
  </si>
  <si>
    <t>2025-05-12 00:10:00,,5700,,5680,,5800,5780,,,,,5830,5680,,</t>
  </si>
  <si>
    <t>2025-05-12 00:10:00,20100,,20700,,20100,,20175,,,,,20700,19900,,</t>
  </si>
  <si>
    <t>2025-05-12 00:10:00,4935576959.1927,13609475004.8434,0,0,0,0,0,0</t>
  </si>
  <si>
    <t>2025-05-12 00:10:00,2980030648.88401,2733525919.60451,0,0,0,0,0,0</t>
  </si>
  <si>
    <t>2025-05-12 00:10:00,-75009090.056664,-216111.063796781,,-1,,-1.04,-0.00222168708352498,-0.06</t>
  </si>
  <si>
    <t>2025-05-12 00:10:00,55685013.2236271,521028.015103231,0,0,0,0,0,0</t>
  </si>
  <si>
    <t>2025-05-12 00:11:00,580,,573,,580,,562.5,,,,,580,560,,</t>
  </si>
  <si>
    <t>2025-05-12 00:11:00,500,,500,,490,,497,,,,,500,480,,</t>
  </si>
  <si>
    <t>2025-05-12 00:11:00,,5700,,5680,,5800,5780,,,,,5830,5680,,</t>
  </si>
  <si>
    <t>2025-05-12 00:11:00,20100,,20700,,20100,,20175,,,,,20700,19900,,</t>
  </si>
  <si>
    <t>2025-05-12 00:11:00,4935698674.79609,13608229978.6035,0,0,0,0,0,0</t>
  </si>
  <si>
    <t>2025-05-12 00:11:00,2980126311.54439,2733223582.86338,0,0,0,0,0,0</t>
  </si>
  <si>
    <t>2025-05-12 00:11:00,-74811970.7552284,-215287.312202492,,-2,,-2.32,-0.00437447861528425,-0.13</t>
  </si>
  <si>
    <t>2025-05-12 00:11:00,55687090.6924653,521320.438591306,0,0,0,0,0,0</t>
  </si>
  <si>
    <t>2025-05-12 00:12:00,580,,573,,580,,562.5,,,,,580,560,,</t>
  </si>
  <si>
    <t>2025-05-12 00:12:00,500,,497,,490,,488,,,,,500,480,,</t>
  </si>
  <si>
    <t>2025-05-12 00:12:00,,5700,,5680,,5800,5780,,,,,5830,5680,,</t>
  </si>
  <si>
    <t>2025-05-12 00:12:00,20100,,20700,,20100,,20175,,,,,20700,19900,,</t>
  </si>
  <si>
    <t>2025-05-12 00:12:00,4974419594.26767,13463494995.3988,0,0,0,0,0,0</t>
  </si>
  <si>
    <t>2025-05-12 00:12:00,3021270949.92966,3629714175.99891,0,0,0,0,0,0</t>
  </si>
  <si>
    <t>2025-05-12 00:12:00,-69557722.565029,-224368.394438248,,-24,,-335.85,-0.0209106333969482,-3.14</t>
  </si>
  <si>
    <t>2025-05-12 00:12:00,55740933.558518,519636.155270293,0,0,0,0,0,0</t>
  </si>
  <si>
    <t>2025-05-12 00:13:00,580,,573,,580,,562.5,,,,,580,560,,</t>
  </si>
  <si>
    <t>2025-05-12 00:13:00,500,,500,,490,,497,,,,,500,480,,</t>
  </si>
  <si>
    <t>2025-05-12 00:13:00,,5700,,5680,,5800,5780,,,,,5830,5680,,</t>
  </si>
  <si>
    <t>2025-05-12 00:13:00,20100,,20700,,20100,,20175,,,,,20700,19900,,</t>
  </si>
  <si>
    <t>2025-05-12 00:13:00,4941940565.26701,13644518698.2201,0,0,0,0,0,0</t>
  </si>
  <si>
    <t>2025-05-12 00:13:00,2982544829.9049,2736981687.66511,0,0,0,0,0,0</t>
  </si>
  <si>
    <t>2025-05-12 00:13:00,-74777974.8502221,-216600.454619231,,-2,,-4.34,-0.00464613391474997,-0.22</t>
  </si>
  <si>
    <t>2025-05-12 00:13:00,55663197.7867742,521806.497439079,0,0,0,0,0,0</t>
  </si>
  <si>
    <t>2025-05-12 00:14:00,580,,573,,580,,562.5,,,,,580,560,,</t>
  </si>
  <si>
    <t>2025-05-12 00:14:00,500,,499,,490,,488,,,,,500,480,,</t>
  </si>
  <si>
    <t>2025-05-12 00:14:00,,5700,,5680,,5800,5780,,,,,5830,5680,,</t>
  </si>
  <si>
    <t>2025-05-12 00:14:00,20100,,20700,,20100,,20175,,,,,20700,19900,,</t>
  </si>
  <si>
    <t>2025-05-12 00:14:00,4961483867.06332,13746809834.7441,0,0,0,0,0,0</t>
  </si>
  <si>
    <t>2025-05-12 00:14:00,3008884758.68381,2930491211.69887,0,0,0,0,0,0</t>
  </si>
  <si>
    <t>2025-05-12 00:14:00,-74862823.7127859,-209689.832359009,,0,,0,0,0</t>
  </si>
  <si>
    <t>2025-05-12 00:14:00,55647594.3163607,522145.197102199,0,0,0,0,0,0</t>
  </si>
  <si>
    <t>2025-05-12 00:15:00,580,,573,,580,,562.5,,,,,580,560,,</t>
  </si>
  <si>
    <t>2025-05-12 00:15:00,500,,500,,490,,497,,,,,500,480,,</t>
  </si>
  <si>
    <t>2025-05-12 00:15:00,,5700,,5680,,5800,5780,,,,,5830,5680,,</t>
  </si>
  <si>
    <t>2025-05-12 00:15:00,20100,,20700,,20100,,20175,,,,,20700,19900,,</t>
  </si>
  <si>
    <t>2025-05-12 00:15:00,4936842934.37494,13613841458.5537,0,0,0,0,0,0</t>
  </si>
  <si>
    <t>2025-05-12 00:15:00,2981247151.82559,2736144331.92212,0,0,0,0,0,0</t>
  </si>
  <si>
    <t>2025-05-12 00:15:00,-74967835.9861301,-211542.358133583,,-2,,-8.64,-0.00442632900729533,-0.34</t>
  </si>
  <si>
    <t>2025-05-12 00:15:00,55676908.1492019,521157.760414297,0,0,0,0,0,0</t>
  </si>
  <si>
    <t>2025-05-12 00:16:00,580,,573,,580,,562.5,,,,,580,560,,</t>
  </si>
  <si>
    <t>2025-05-12 00:16:00,500,,500,,490,,497,,,,,500,480,,</t>
  </si>
  <si>
    <t>2025-05-12 00:16:00,,5700,,5680,,5800,5780,,,,,5830,5680,,</t>
  </si>
  <si>
    <t>2025-05-12 00:16:00,20100,,20700,,20100,,20175,,,,,20700,19900,,</t>
  </si>
  <si>
    <t>2025-05-12 00:16:00,4930194379.33491,13579330049.3392,0,0,0,0,0,0</t>
  </si>
  <si>
    <t>2025-05-12 00:16:00,2981371963.23197,2736075647.22842,0,0,0,0,0,0</t>
  </si>
  <si>
    <t>2025-05-12 00:16:00,-74579864.4636832,-217468.407814348,,-3,,-112.77,0.00378937935212872,-1.58</t>
  </si>
  <si>
    <t>2025-05-12 00:16:00,55708001.6897032,520838.000584219,0,0,0,0,0,0</t>
  </si>
  <si>
    <t>2025-05-12 00:17:00,580,,573,,580,,562.5,,,,,580,560,,</t>
  </si>
  <si>
    <t>2025-05-12 00:17:00,500,,497,,490,,488,,,,,500,480,,</t>
  </si>
  <si>
    <t>2025-05-12 00:17:00,,5700,,5680,,5800,5780,,,,,5830,5680,,</t>
  </si>
  <si>
    <t>2025-05-12 00:17:00,20100,,20700,,20100,,20175,,,,,20700,19900,,</t>
  </si>
  <si>
    <t>2025-05-12 00:17:00,4923784694.57049,13547733929.6561,0,0,0,0,0,0</t>
  </si>
  <si>
    <t>2025-05-12 00:17:00,3041051835.4989,3680990460.4396,0,0,0,0,0,0</t>
  </si>
  <si>
    <t>2025-05-12 00:17:00,-74798947.434828,-221230.228833604,,-5,,-30.27,-0.00971579817374197,-0.57</t>
  </si>
  <si>
    <t>2025-05-12 00:17:00,55718401.4502101,520291.989010716,0,0,0,0,0,0</t>
  </si>
  <si>
    <t>2025-05-12 00:18:00,580,,573,,580,,562.5,,,,,580,560,,</t>
  </si>
  <si>
    <t>2025-05-12 00:18:00,500,,497,,490,,488,,,,,500,480,,</t>
  </si>
  <si>
    <t>2025-05-12 00:18:00,,5700,,5680,,5800,5780,,,,,5830,5680,,</t>
  </si>
  <si>
    <t>2025-05-12 00:18:00,20100,,20700,,20100,,20175,,,,,20700,19900,,</t>
  </si>
  <si>
    <t>2025-05-12 00:18:00,4930551070.84054,13581620116.2132,0,0,0,0,0,0</t>
  </si>
  <si>
    <t>2025-05-12 00:18:00,3037690677.74437,3676530477.94679,0,0,0,0,0,0</t>
  </si>
  <si>
    <t>2025-05-12 00:18:00,-74668003.8064453,-223281.044046238,,-2,,-61.95,0.00242322895388677,-1.11</t>
  </si>
  <si>
    <t>2025-05-12 00:18:00,55718971.9545139,520035.566969801,0,0,0,0,0,0</t>
  </si>
  <si>
    <t>2025-05-12 00:19:00,580,,573,,580,,562.5,,,,,580,560,,</t>
  </si>
  <si>
    <t>2025-05-12 00:19:00,500,,497,,490,,488,,,,,500,480,,</t>
  </si>
  <si>
    <t>2025-05-12 00:19:00,,5700,,5680,,5800,5780,,,,,5830,5680,,</t>
  </si>
  <si>
    <t>2025-05-12 00:19:00,20100,,20700,,20100,,20175,,,,,20700,19900,,</t>
  </si>
  <si>
    <t>2025-05-12 00:19:00,4936910353.58987,13615046929.8514,0,0,0,0,0,0</t>
  </si>
  <si>
    <t>2025-05-12 00:19:00,3046006608.40392,3664665665.19599,0,0,0,0,0,0</t>
  </si>
  <si>
    <t>2025-05-12 00:19:00,-74922329.1940119,-218582.671179149,,0,,0,0,0</t>
  </si>
  <si>
    <t>2025-05-12 00:19:00,55709382.8972989,520702.860648586,0,0,0,0,0,0</t>
  </si>
  <si>
    <t>2025-05-12 00:20:00,580,,573,,580,,562.5,,,,,580,560,,</t>
  </si>
  <si>
    <t>2025-05-12 00:20:00,500,,497,,490,,488,,,,,500,480,,</t>
  </si>
  <si>
    <t>2025-05-12 00:20:00,,5700,,5680,,5800,5780,,,,,5830,5680,,</t>
  </si>
  <si>
    <t>2025-05-12 00:20:00,20100,,20700,,20100,,20175,,,,,20700,19900,,</t>
  </si>
  <si>
    <t>2025-05-12 00:20:00,4924205721.28393,13549575857.1832,0,0,0,0,0,0</t>
  </si>
  <si>
    <t>2025-05-12 00:20:00,3046074005.22708,3664388769.85054,0,0,0,0,0,0</t>
  </si>
  <si>
    <t>2025-05-12 00:20:00,-74504815.2141651,-216217.499701145,,-4,,-41.35,-0.00837363833863442,-1.12</t>
  </si>
  <si>
    <t>2025-05-12 00:20:00,55759769.3399062,519536.241822438,0,0,0,0,0,0</t>
  </si>
  <si>
    <t>2025-05-12 00:21:00,580,,573,,580,,562.5,,,,,580,560,,</t>
  </si>
  <si>
    <t>2025-05-12 00:21:00,500,,497,,490,,488,,,,,500,480,,</t>
  </si>
  <si>
    <t>2025-05-12 00:21:00,,5700,,5680,,5800,5780,,,,,5830,5680,,</t>
  </si>
  <si>
    <t>2025-05-12 00:21:00,20100,,20700,,20100,,20175,,,,,20700,19900,,</t>
  </si>
  <si>
    <t>2025-05-12 00:21:00,4975011135.99296,13470270054.6176,0,0,0,0,0,0</t>
  </si>
  <si>
    <t>2025-05-12 00:21:00,3045745826.34285,3664217855.89302,0,0,0,0,0,0</t>
  </si>
  <si>
    <t>2025-05-12 00:21:00,-74530867.5550218,-224943.512055693,,-1,,-23.81,0.000157008569558729,-0.16</t>
  </si>
  <si>
    <t>2025-05-12 00:21:00,55790901.5798161,519101.497166083,0,0,0,0,0,0</t>
  </si>
  <si>
    <t>2025-05-12 00:23:00,580,,573,,580,,562.5,,,,,580,560,,</t>
  </si>
  <si>
    <t>2025-05-12 00:23:00,500,,497,,490,,487,,,,,500,480,,</t>
  </si>
  <si>
    <t>2025-05-12 00:23:00,,5700,,5680,,5800,5780,,,,,5830,5680,,</t>
  </si>
  <si>
    <t>2025-05-12 00:23:00,20100,,20700,,20100,,20175,,,,,20700,19900,,</t>
  </si>
  <si>
    <t>2025-05-12 00:23:00,4969538599.95659,13344908982.1641,0,0,0,0,0,0</t>
  </si>
  <si>
    <t>2025-05-12 00:23:00,2974034559.85671,3476950293.72723,0,0,0,0,0,0</t>
  </si>
  <si>
    <t>2025-05-12 00:23:00,-74083481.0693913,-231584.380773084,,-3,,-16.49,-0.00667313998111179,-0.61</t>
  </si>
  <si>
    <t>2025-05-12 00:23:00,55866795.9393244,516918.961100983,0,0,0,0,0,0</t>
  </si>
  <si>
    <t>2025-05-12 00:24:00,580,,573,,580,,562.5,,,,,580,560,,</t>
  </si>
  <si>
    <t>2025-05-12 00:24:00,500,,497,,490,,487,,,,,500,480,,</t>
  </si>
  <si>
    <t>2025-05-12 00:24:00,,5700,,5680,,5800,5780,,,,,5830,5680,,</t>
  </si>
  <si>
    <t>2025-05-12 00:24:00,20100,,20700,,20100,,20175,,,,,20700,19900,,</t>
  </si>
  <si>
    <t>2025-05-12 00:24:00,4974606892.0427,13397562509.5172,0,0,0,0,0,0</t>
  </si>
  <si>
    <t>2025-05-12 00:24:00,2990852723.50462,3530207076.08081,0,0,0,0,0,0</t>
  </si>
  <si>
    <t>2025-05-12 00:24:00,-74231649.7611311,-232346.929428557,,-2,,-37.48,-0.00230270066735771,-0.56</t>
  </si>
  <si>
    <t>2025-05-12 00:24:00,55805448.7669131,517878.379155953,0,0,0,0,0,0</t>
  </si>
  <si>
    <t>2025-05-12 00:25:00,580,,573,,580,,562.5,,,,,580,560,,</t>
  </si>
  <si>
    <t>2025-05-12 00:25:00,500,,497,,490,,487,,,,,500,480,,</t>
  </si>
  <si>
    <t>2025-05-12 00:25:00,,5700,,5680,,5800,5780,,,,,5830,5680,,</t>
  </si>
  <si>
    <t>2025-05-12 00:25:00,20100,,20700,,20100,,20175,,,,,20700,19900,,</t>
  </si>
  <si>
    <t>2025-05-12 00:25:00,4974735602.65637,13398185721.188,0,0,0,0,0,0</t>
  </si>
  <si>
    <t>2025-05-12 00:25:00,2986343197.0258,3515920250.0828,0,0,0,0,0,0</t>
  </si>
  <si>
    <t>2025-05-12 00:25:00,-74367734.3225422,-222986.51594237,,-6,,-34.42,-0.0133443355800393,-1.28</t>
  </si>
  <si>
    <t>2025-05-12 00:25:00,55812835.6322982,518150.659573744,0,0,0,0,0,0</t>
  </si>
  <si>
    <t>2025-05-12 00:26:00,580,,573,,580,,562.5,,,,,580,560,,</t>
  </si>
  <si>
    <t>2025-05-12 00:26:00,500,,497,,490,,487,,,,,500,480,,</t>
  </si>
  <si>
    <t>2025-05-12 00:26:00,,5700,,5680,,5800,5780,,,,,5830,5680,,</t>
  </si>
  <si>
    <t>2025-05-12 00:26:00,20100,,20700,,20100,,20175,,,,,20700,19900,,</t>
  </si>
  <si>
    <t>2025-05-12 00:26:00,4969516583.30441,13346322787.4575,0,0,0,0,0,0</t>
  </si>
  <si>
    <t>2025-05-12 00:26:00,2977776557.28525,3488536154.3797,0,0,0,0,0,0</t>
  </si>
  <si>
    <t>2025-05-12 00:26:00,-74221335.1195771,-227187.195159444,,-6,,-135.99,-0.00280012030123506,-2.16</t>
  </si>
  <si>
    <t>2025-05-12 00:26:00,55818138.9001199,517654.804074144,0,0,0,0,0,0</t>
  </si>
  <si>
    <t>2025-05-12 00:27:00,580,,573,,580,,562.5,,,,,580,560,,</t>
  </si>
  <si>
    <t>2025-05-12 00:27:00,500,,497,,490,,488,,,,,500,480,,</t>
  </si>
  <si>
    <t>2025-05-12 00:27:00,,5700,,5680,,5800,5780,,,,,5830,5680,,</t>
  </si>
  <si>
    <t>2025-05-12 00:27:00,20100,,20700,,20100,,20175,,,,,20700,19900,,</t>
  </si>
  <si>
    <t>2025-05-12 00:27:00,4974664170.2667,13398148780.029,0,0,0,0,0,0</t>
  </si>
  <si>
    <t>2025-05-12 00:27:00,2999701411.70863,3557287397.69888,0,0,0,0,0,0</t>
  </si>
  <si>
    <t>2025-05-12 00:27:00,-74215654.6143518,-222505.862705577,,-1,,-88.77,0.00557767377069544,-1</t>
  </si>
  <si>
    <t>2025-05-12 00:27:00,55787947.714441,518795.491967941,0,0,0,0,0,0</t>
  </si>
  <si>
    <t>2025-05-12 00:28:00,580,,573,,580,,562.5,,,,,580,560,,</t>
  </si>
  <si>
    <t>2025-05-12 00:28:00,500,,497,,490,,488,,,,,500,480,,</t>
  </si>
  <si>
    <t>2025-05-12 00:28:00,,5700,,5680,,5800,5780,,,,,5830,5680,,</t>
  </si>
  <si>
    <t>2025-05-12 00:28:00,20100,,20700,,20100,,20175,,,,,20700,19900,,</t>
  </si>
  <si>
    <t>2025-05-12 00:28:00,4972687853.48416,13374228997.9974,0,0,0,0,0,0</t>
  </si>
  <si>
    <t>2025-05-12 00:28:00,2990808334.9201,3528836177.70316,0,0,0,0,0,0</t>
  </si>
  <si>
    <t>2025-05-12 00:28:00,-74236422.532848,-226156.011690989,,-2,,-6.29,-0.0022257025162718,-0.09</t>
  </si>
  <si>
    <t>2025-05-12 00:28:00,55806246.2395724,518214.536621506,0,0,0,0,0,0</t>
  </si>
  <si>
    <t>2025-05-12 00:29:00,580,,573,,580,,562.5,,,,,580,560,,</t>
  </si>
  <si>
    <t>2025-05-12 00:29:00,500,,497,,490,,488,,,,,500,480,,</t>
  </si>
  <si>
    <t>2025-05-12 00:29:00,,5700,,5680,,5800,5780,,,,,5830,5680,,</t>
  </si>
  <si>
    <t>2025-05-12 00:29:00,20100,,20700,,20100,,20175,,,,,20700,19900,,</t>
  </si>
  <si>
    <t>2025-05-12 00:29:00,4961196057.7877,13510617888.6937,0,0,0,0,0,0</t>
  </si>
  <si>
    <t>2025-05-12 00:29:00,3046270597.25163,3664965375.24606,0,0,0,0,0,0</t>
  </si>
  <si>
    <t>2025-05-12 00:29:00,-74488947.814995,-206464.754263832,,-11,,-80.03,-0.0169932711153955,-0.94</t>
  </si>
  <si>
    <t>2025-05-12 00:29:00,55696117.3956099,520602.054250437,0,0,0,0,0,0</t>
  </si>
  <si>
    <t>2025-05-12 00:30:00,580,,573,,580,,562.5,,,,,580,560,,</t>
  </si>
  <si>
    <t>2025-05-12 00:30:00,500,,499,,490,,488,,,,,500,480,,</t>
  </si>
  <si>
    <t>2025-05-12 00:30:00,,5700,,5680,,5800,5780,,,,,5830,5680,,</t>
  </si>
  <si>
    <t>2025-05-12 00:30:00,20100,,20700,,20100,,20175,,,,,20700,19900,,</t>
  </si>
  <si>
    <t>2025-05-12 00:30:00,4937361060.30391,13620896553.6148,0,0,0,0,0,0</t>
  </si>
  <si>
    <t>2025-05-12 00:30:00,3005585982.3859,2926097284.86197,0,0,0,0,0,0</t>
  </si>
  <si>
    <t>2025-05-12 00:30:00,-74815109.4597431,-201346.488318883,,-12,,-75.27,-0.020432676472305,-1.83</t>
  </si>
  <si>
    <t>2025-05-12 00:30:00,55635214.6475502,522246.633850868,0,0,0,0,0,0</t>
  </si>
  <si>
    <t>2025-05-12 00:31:00,580,,573,,580,,562.5,,,,,580,560,,</t>
  </si>
  <si>
    <t>2025-05-12 00:31:00,500,,500,,490,,497,,,,,500,480,,</t>
  </si>
  <si>
    <t>2025-05-12 00:31:00,,5700,,5680,,5800,5780,,,,,5830,5680,,</t>
  </si>
  <si>
    <t>2025-05-12 00:31:00,20100,,20700,,20100,,20175,,,,,20700,19900,,</t>
  </si>
  <si>
    <t>2025-05-12 00:31:00,4913126382.0141,13493083833.3527,0,0,0,0,0,0</t>
  </si>
  <si>
    <t>2025-05-12 00:31:00,2981465242.58365,2735535073.60336,0,0,0,0,0,0</t>
  </si>
  <si>
    <t>2025-05-12 00:31:00,-74590983.9332944,-205128.238586763,,-4,,-18.12,-0.00420860334644491,-0.23</t>
  </si>
  <si>
    <t>2025-05-12 00:31:00,55678357.8540145,521139.229294308,0,0,0,0,0,0</t>
  </si>
  <si>
    <t>2025-05-12 00:32:00,580,,573,,580,,562.5,,,,,580,560,,</t>
  </si>
  <si>
    <t>2025-05-12 00:32:00,500,,497,,490,,488,,,,,500,480,,</t>
  </si>
  <si>
    <t>2025-05-12 00:32:00,,5700,,5680,,5800,5780,,,,,5830,5680,,</t>
  </si>
  <si>
    <t>2025-05-12 00:32:00,20100,,20700,,20100,,20175,,,,,20700,19900,,</t>
  </si>
  <si>
    <t>2025-05-12 00:32:00,4960921449.45798,13511846539.9678,0,0,0,0,0,0</t>
  </si>
  <si>
    <t>2025-05-12 00:32:00,3039572644.18384,3505127504.08942,0,0,0,0,0,0</t>
  </si>
  <si>
    <t>2025-05-12 00:32:00,-74412699.0907923,-209917.458000311,,-1,,-0.6,-0.00186283061954478,-0.03</t>
  </si>
  <si>
    <t>2025-05-12 00:32:00,55660154.0075014,521199.382568257,0,0,0,0,0,0</t>
  </si>
  <si>
    <t>2025-05-12 00:33:00,580,,573,,580,,562.5,,,,,580,560,,</t>
  </si>
  <si>
    <t>2025-05-12 00:33:00,500,,497,,490,,488,,,,,500,480,,</t>
  </si>
  <si>
    <t>2025-05-12 00:33:00,,5700,,5680,,5800,5780,,,,,5830,5680,,</t>
  </si>
  <si>
    <t>2025-05-12 00:33:00,20100,,20700,,20100,,20175,,,,,20700,19900,,</t>
  </si>
  <si>
    <t>2025-05-12 00:33:00,4969996343.52105,13351813106.7038,0,0,0,0,0,0</t>
  </si>
  <si>
    <t>2025-05-12 00:33:00,3046383228.13626,3665278752.78402,0,0,0,0,0,0</t>
  </si>
  <si>
    <t>2025-05-12 00:33:00,-74323941.1278705,-223848.252455455,,-1,,-7.65,-0.00238750983426771,-0.27</t>
  </si>
  <si>
    <t>2025-05-12 00:33:00,55759278.3075166,519396.186356089,0,0,0,0,0,0</t>
  </si>
  <si>
    <t>2025-05-12 00:34:00,580,,573,,580,,562.5,,,,,580,560,,</t>
  </si>
  <si>
    <t>2025-05-12 00:34:00,500,,497,,490,,488,,,,,500,480,,</t>
  </si>
  <si>
    <t>2025-05-12 00:34:00,,5700,,5680,,5800,5780,,,,,5830,5680,,</t>
  </si>
  <si>
    <t>2025-05-12 00:34:00,20100,,20700,,20100,,20175,,,,,20700,19900,,</t>
  </si>
  <si>
    <t>2025-05-12 00:34:00,4961896060.07741,13515499699.2534,0,0,0,0,0,0</t>
  </si>
  <si>
    <t>2025-05-12 00:34:00,3046451548.85436,3664980153.44731,0,0,0,0,0,0</t>
  </si>
  <si>
    <t>2025-05-12 00:34:00,-74340013.5113714,-214363.493132836,,-2,,-3.6,-0.00479914297151812,-0.2</t>
  </si>
  <si>
    <t>2025-05-12 00:34:00,55758211.8798095,519370.970778074,0,0,0,0,0,0</t>
  </si>
  <si>
    <t>2025-05-12 00:35:00,580,,573,,580,,562.5,,,,,580,560,,</t>
  </si>
  <si>
    <t>2025-05-12 00:35:00,500,,497,,490,,488,,,,,500,480,,</t>
  </si>
  <si>
    <t>2025-05-12 00:35:00,,5700,,5680,,5800,5780,,,,,5830,5680,,</t>
  </si>
  <si>
    <t>2025-05-12 00:35:00,20100,,20700,,20100,,20175,,,,,20700,19900,,</t>
  </si>
  <si>
    <t>2025-05-12 00:35:00,4977114327.9475,13430024132.6716,0,0,0,0,0,0</t>
  </si>
  <si>
    <t>2025-05-12 00:35:00,3046551330.46414,3665272986.24076,0,0,0,0,0,0</t>
  </si>
  <si>
    <t>2025-05-12 00:35:00,-74363889.6268589,-218138.739466481,,-10,,-164.02,-0.00791400092051602,-3.56</t>
  </si>
  <si>
    <t>2025-05-12 00:35:00,55755206.3060857,519772.871311544,0,0,0,0,0,0</t>
  </si>
  <si>
    <t>2025-05-12 00:36:00,580,,573,,580,,562.5,,,,,580,560,,</t>
  </si>
  <si>
    <t>2025-05-12 00:36:00,500,,497,,490,,488,,,,,500,480,,</t>
  </si>
  <si>
    <t>2025-05-12 00:36:00,,5700,,5680,,5800,5780,,,,,5830,5680,,</t>
  </si>
  <si>
    <t>2025-05-12 00:36:00,20100,,20700,,20100,,20175,,,,,20700,19900,,</t>
  </si>
  <si>
    <t>2025-05-12 00:36:00,4975936845.65004,13405653016.4077,0,0,0,0,0,0</t>
  </si>
  <si>
    <t>2025-05-12 00:36:00,3017114180.07881,3613880578.88557,0,0,0,0,0,0</t>
  </si>
  <si>
    <t>2025-05-12 00:36:00,-74321672.533996,-221895.135117627,,-4,,-26.22,-0.00421404814531836,-0.23</t>
  </si>
  <si>
    <t>2025-05-12 00:36:00,55763194.5446086,519117.405274236,0,0,0,0,0,0</t>
  </si>
  <si>
    <t>2025-05-12 00:37:00,580,,573,,580,,562.5,,,,,580,560,,</t>
  </si>
  <si>
    <t>2025-05-12 00:37:00,500,,497,,490,,488,,,,,500,480,,</t>
  </si>
  <si>
    <t>2025-05-12 00:37:00,,5700,,5680,,5800,5780,,,,,5830,5680,,</t>
  </si>
  <si>
    <t>2025-05-12 00:37:00,20100,,20700,,20100,,20175,,,,,20700,19900,,</t>
  </si>
  <si>
    <t>2025-05-12 00:37:00,4976673292.31483,13481616953.5221,0,0,0,0,0,0</t>
  </si>
  <si>
    <t>2025-05-12 00:37:00,3034315252.91467,3665894103.7561,0,0,0,0,0,0</t>
  </si>
  <si>
    <t>2025-05-12 00:37:00,-74381807.049234,-219122.839805617,,-1,,-23.81,0.000157062050492977,-0.16</t>
  </si>
  <si>
    <t>2025-05-12 00:37:00,55731163.4028172,519694.960647511,0,0,0,0,0,0</t>
  </si>
  <si>
    <t>2025-05-12 00:38:00,580,,573,,580,,562.5,,,,,580,560,,</t>
  </si>
  <si>
    <t>2025-05-12 00:38:00,500,,499,,490,,488,,,,,500,480,,</t>
  </si>
  <si>
    <t>2025-05-12 00:38:00,,5700,,5730,,5800,5780,,,,,5830,5680,,</t>
  </si>
  <si>
    <t>2025-05-12 00:38:00,20100,,20700,,20100,,20175,,,,,20700,19900,,</t>
  </si>
  <si>
    <t>2025-05-12 00:38:00,4957291916.07382,13726593099.5711,0,0,0,0,0,0</t>
  </si>
  <si>
    <t>2025-05-12 00:38:00,3005730830.46338,2926509835.31461,0,0,0,0,0,0</t>
  </si>
  <si>
    <t>2025-05-12 00:38:00,-74825440.7052568,-196395.085109939,,-13,,-202,-0.00266155208219192,-1.29</t>
  </si>
  <si>
    <t>2025-05-12 00:38:00,55679320.4652332,521636.495484394,0,0,0,0,0,0</t>
  </si>
  <si>
    <t>2025-05-12 00:39:00,580,,573,,580,,562.5,,,,,580,560,,</t>
  </si>
  <si>
    <t>2025-05-12 00:39:00,500,,499,,490,,488,,,,,500,480,,</t>
  </si>
  <si>
    <t>2025-05-12 00:39:00,,5700,,5730,,5800,5780,,,,,5830,5680,,</t>
  </si>
  <si>
    <t>2025-05-12 00:39:00,20100,,20700,,20100,,20175,,,,,20700,19900,,</t>
  </si>
  <si>
    <t>2025-05-12 00:39:00,4957050355.7514,13726674502.892,0,0,0,0,0,0</t>
  </si>
  <si>
    <t>2025-05-12 00:39:00,3024190227.24543,2948550589.16114,0,0,0,0,0,0</t>
  </si>
  <si>
    <t>2025-05-12 00:39:00,-74883953.1854892,-193624.210845378,,-8,,-96.19,-0.0090477626087017,-1.39</t>
  </si>
  <si>
    <t>2025-05-12 00:39:00,55648059.4064498,522119.559231888,0,0,0,0,0,0</t>
  </si>
  <si>
    <t>2025-05-12 00:40:00,580,,573,,580,,563.5,,,,,580,560,,</t>
  </si>
  <si>
    <t>2025-05-12 00:40:00,500,,499,,490,,488,,,,,500,480,,</t>
  </si>
  <si>
    <t>2025-05-12 00:40:00,,5700,,5730,,5800,5780,,,,,5830,5680,,</t>
  </si>
  <si>
    <t>2025-05-12 00:40:00,20100,,20700,,20100,,20175,,,,,20700,19900,,</t>
  </si>
  <si>
    <t>2025-05-12 00:40:00,5064077385.00793,14326676186.5554,0,0,0,0,0,0</t>
  </si>
  <si>
    <t>2025-05-12 00:40:00,3072172918.17543,3011991622.83085,0,0,0,0,0,0</t>
  </si>
  <si>
    <t>2025-05-12 00:40:00,-75642012.742637,-174283.190652448,,-15,,-479.07,0.00221499534506197,-6.28</t>
  </si>
  <si>
    <t>2025-05-12 00:40:00,55516578.8207798,525376.83436485,0,0,0,0,0,0</t>
  </si>
  <si>
    <t>2025-05-12 00:41:00,580,,573,,580,,563.5,,,,,580,560,,</t>
  </si>
  <si>
    <t>2025-05-12 00:41:00,500,,499,,490,,488,,,,,500,480,,</t>
  </si>
  <si>
    <t>2025-05-12 00:41:00,,5700,,5730,,5800,5780,,,,,5830,5680,,</t>
  </si>
  <si>
    <t>2025-05-12 00:41:00,20100,,20700,,20100,,20175,,,,,20700,19900,,</t>
  </si>
  <si>
    <t>2025-05-12 00:41:00,5057200174.47963,14285360072.2642,0,0,0,0,0,0</t>
  </si>
  <si>
    <t>2025-05-12 00:41:00,3083211890.24894,3028400109.49593,0,0,0,0,0,0</t>
  </si>
  <si>
    <t>2025-05-12 00:41:00,-75729570.3494779,-164563.236286418,,-32,,-1003.81,0.0173903433695349,-16.02</t>
  </si>
  <si>
    <t>2025-05-12 00:41:00,55489999.5178655,525642.597483305,0,0,0,0,0,0</t>
  </si>
  <si>
    <t>2025-05-12 00:42:00,580,,573,,580,,563.5,,,,,580,560,,</t>
  </si>
  <si>
    <t>2025-05-12 00:42:00,500,,499,,490,,488,,,,,500,480,,</t>
  </si>
  <si>
    <t>2025-05-12 00:42:00,,5700,,5730,,5800,5780,,,,,5830,5680,,</t>
  </si>
  <si>
    <t>2025-05-12 00:42:00,20100,,20700,,20100,,20175,,,,,20700,19900,,</t>
  </si>
  <si>
    <t>2025-05-12 00:42:00,5161617001.41874,14667252511.1234,0,0,0,0,0,0</t>
  </si>
  <si>
    <t>2025-05-12 00:42:00,3112425749.92621,3080951640.23374,0,0,0,0,0,0</t>
  </si>
  <si>
    <t>2025-05-12 00:42:00,-75808525.2802583,-117000.608565079,,-60,,-288.76,-0.117461640438632,-7.99</t>
  </si>
  <si>
    <t>2025-05-12 00:42:00,55402059.15545,527310.44029486,0,0,0,0,0,0</t>
  </si>
  <si>
    <t>2025-05-12 00:43:00,580,,573,,580,,563.5,,,,,580,560,,</t>
  </si>
  <si>
    <t>2025-05-12 00:43:00,500,,499,,490,,488,,,,,500,480,,</t>
  </si>
  <si>
    <t>2025-05-12 00:43:00,,5700,,5730,,5800,5780,,,,,5830,5680,,</t>
  </si>
  <si>
    <t>2025-05-12 00:43:00,20100,,20700,,20100,,20175,,,,,20700,19900,,</t>
  </si>
  <si>
    <t>2025-05-12 00:43:00,5168214336.41206,14709647389.8285,0,0,0,0,0,0</t>
  </si>
  <si>
    <t>2025-05-12 00:43:00,3131315883.53378,3125465253.37714,0,0,0,0,0,0</t>
  </si>
  <si>
    <t>2025-05-12 00:43:00,-76095009.4866097,-109398.95972501,,-32,,-320.54,-0.0594389857247691,-7.45</t>
  </si>
  <si>
    <t>2025-05-12 00:43:00,55336750.2266278,528706.920317685,0,0,0,0,0,0</t>
  </si>
  <si>
    <t>2025-05-12 00:44:00,580,,573,,580,,563.5,,,,,580,560,,</t>
  </si>
  <si>
    <t>2025-05-12 00:44:00,500,,499,,490,,488,,,,,500,480,,</t>
  </si>
  <si>
    <t>2025-05-12 00:44:00,,5700,,5730,,5800,5780,,,,,5830,5680,,</t>
  </si>
  <si>
    <t>2025-05-12 00:44:00,20100,,20700,,20100,,20175,,,,,20700,19900,,</t>
  </si>
  <si>
    <t>2025-05-12 00:44:00,5147860436.99145,14583661109.2519,0,0,0,0,0,0</t>
  </si>
  <si>
    <t>2025-05-12 00:44:00,3123856912.13462,3105648356.23812,0,0,0,0,0,0</t>
  </si>
  <si>
    <t>2025-05-12 00:44:00,-75816397.9085823,-124681.43061901,,-19,,-968.56,0.0536916056683007,-13.74</t>
  </si>
  <si>
    <t>2025-05-12 00:44:00,55374040.9897549,527789.751103934,0,0,0,0,0,0</t>
  </si>
  <si>
    <t>2025-05-12 00:45:00,580,,573,,580,,563.5,,,,,580,560,,</t>
  </si>
  <si>
    <t>2025-05-12 00:45:00,500,,499,,490,,488,,,,,500,480,,</t>
  </si>
  <si>
    <t>2025-05-12 00:45:00,,5700,,5730,,5800,5780,,,,,5830,5680,,</t>
  </si>
  <si>
    <t>2025-05-12 00:45:00,20100,,20700,,20100,,20175,,,,,20700,19900,,</t>
  </si>
  <si>
    <t>2025-05-12 00:45:00,5134223215.69547,14499645321.2212,0,0,0,0,0,0</t>
  </si>
  <si>
    <t>2025-05-12 00:45:00,3135172498.41105,3138692711.22832,0,0,0,0,0,0</t>
  </si>
  <si>
    <t>2025-05-12 00:45:00,-75795693.0583522,-114022.952856391,,-31,,-483.2,-0.0368406967097056,-7.19</t>
  </si>
  <si>
    <t>2025-05-12 00:45:00,55374134.7028159,527667.278198734,0,0,0,0,0,0</t>
  </si>
  <si>
    <t>2025-05-12 00:46:00,580,,573,,580,,563.5,,,,,580,560,,</t>
  </si>
  <si>
    <t>2025-05-12 00:46:00,500,,499,,490,,488,,,,,500,480,,</t>
  </si>
  <si>
    <t>2025-05-12 00:46:00,,5700,,5730,,5800,5780,,,,,5830,5680,,</t>
  </si>
  <si>
    <t>2025-05-12 00:46:00,20100,,20700,,20100,,20175,,,,,20700,19900,,</t>
  </si>
  <si>
    <t>2025-05-12 00:46:00,5175793100.69668,14755530849.8587,0,0,0,0,0,0</t>
  </si>
  <si>
    <t>2025-05-12 00:46:00,3135270616.04087,3138558072.66598,0,0,0,0,0,0</t>
  </si>
  <si>
    <t>2025-05-12 00:46:00,-75850814.838055,-107335.384988405,,-14,,-149.5,-0.0173261318664901,-3.47</t>
  </si>
  <si>
    <t>2025-05-12 00:46:00,55330739.3902095,528724.799331812,0,0,0,0,0,0</t>
  </si>
  <si>
    <t>2025-05-12 00:47:00,580,,573,,580,,563.5,,,,,580,560,,</t>
  </si>
  <si>
    <t>2025-05-12 00:47:00,500,,499,,490,,488,,,,,500,480,,</t>
  </si>
  <si>
    <t>2025-05-12 00:47:00,,5700,,5730,,5800,5780,,,,,5830,5680,,</t>
  </si>
  <si>
    <t>2025-05-12 00:47:00,20100,,20700,,20100,,20175,,,,,20700,19900,,</t>
  </si>
  <si>
    <t>2025-05-12 00:47:00,5182962703.40215,14796822229.6484,0,0,0,0,0,0</t>
  </si>
  <si>
    <t>2025-05-12 00:47:00,3133232634.37227,3131511647.94745,0,0,0,0,0,0</t>
  </si>
  <si>
    <t>2025-05-12 00:47:00,-75783255.3680953,-98734.7856558945,,-15,,-199.28,-0.012226311573487,-3.2</t>
  </si>
  <si>
    <t>2025-05-12 00:47:00,55337017.5449288,528475.502791636,0,0,0,0,0,0</t>
  </si>
  <si>
    <t>2025-05-12 00:48:00,580,,573,,580,,563.5,,,,,580,560,,</t>
  </si>
  <si>
    <t>2025-05-12 00:48:00,500,,499,,490,,488,,,,,500,480,,</t>
  </si>
  <si>
    <t>2025-05-12 00:48:00,,5700,,5730,,5800,5780,,,,,5830,5680,,</t>
  </si>
  <si>
    <t>2025-05-12 00:48:00,20100,,20700,,20100,,20175,,,,,20700,19900,,</t>
  </si>
  <si>
    <t>2025-05-12 00:48:00,5208380925.55964,14953319134.8238,0,0,0,0,0,0</t>
  </si>
  <si>
    <t>2025-05-12 00:48:00,3138505206.38993,3158475574.45382,0,0,0,0,0,0</t>
  </si>
  <si>
    <t>2025-05-12 00:48:00,-76067389.6361198,-49878.5928496752,,-107,,-671.24,-0.186729422148931,-12.14</t>
  </si>
  <si>
    <t>2025-05-12 00:48:00,55311828.5135162,529332.267708734,0,0,0,0,0,0</t>
  </si>
  <si>
    <t>2025-05-12 00:49:00,580,,573,,580,,563.5,,,,,580,560,,</t>
  </si>
  <si>
    <t>2025-05-12 00:49:00,500,,499,,490,,488,,,,,500,480,,</t>
  </si>
  <si>
    <t>2025-05-12 00:49:00,,5700,,5730,,5800,5780,,,,,5830,5680,,</t>
  </si>
  <si>
    <t>2025-05-12 00:49:00,20100,,20700,,20100,,20175,,,,,20700,19900,,</t>
  </si>
  <si>
    <t>2025-05-12 00:49:00,5195352301.92133,14878630843.6412,0,0,0,0,0,0</t>
  </si>
  <si>
    <t>2025-05-12 00:49:00,3138115280.82083,3151200419.27088,0,0,0,0,0,0</t>
  </si>
  <si>
    <t>2025-05-12 00:49:00,-76050689.6188963,-46826.025349827,,-25,,-95.4,-0.0526256661133242,-2.65</t>
  </si>
  <si>
    <t>2025-05-12 00:49:00,55308591.3510301,528775.508061978,0,0,0,0,0,0</t>
  </si>
  <si>
    <t>2025-05-12 00:50:00,580,,573,,580,,563.5,,,,,580,560,,</t>
  </si>
  <si>
    <t>2025-05-12 00:50:00,500,,499,,490,,488,,,,,500,480,,</t>
  </si>
  <si>
    <t>2025-05-12 00:50:00,,5700,,5730,,5800,5780,,,,,5830,5680,,</t>
  </si>
  <si>
    <t>2025-05-12 00:50:00,20100,,20700,,20100,,20175,,,,,20700,19900,,</t>
  </si>
  <si>
    <t>2025-05-12 00:50:00,5134073681.39865,13872191124.4751,0,0,0,0,0,0</t>
  </si>
  <si>
    <t>2025-05-12 00:50:00,2539781135.74471,3226294270.58155,0,0,0,0,0,0</t>
  </si>
  <si>
    <t>2025-05-12 00:50:00,-76356069.9133745,65884.5202400109,,-180,,-905.17,-0.308533491495151,-21.33</t>
  </si>
  <si>
    <t>2025-05-12 00:50:00,55105757.3209824,532808.888411368,0,0,0,0,0,0</t>
  </si>
  <si>
    <t>2025-05-12 00:51:00,580,,573,,580,,563.5,,,,,580,560,,</t>
  </si>
  <si>
    <t>2025-05-12 00:51:00,500,,499,,490,,488,,,,,500,480,,</t>
  </si>
  <si>
    <t>2025-05-12 00:51:00,,5700,,5730,,5800,5780,,,,,5830,5680,,</t>
  </si>
  <si>
    <t>2025-05-12 00:51:00,20100,,20700,,20100,,20175,,,,,20700,19900,,</t>
  </si>
  <si>
    <t>2025-05-12 00:51:00,5217060214.71625,14856249626.5262,0,0,0,0,0,0</t>
  </si>
  <si>
    <t>2025-05-12 00:51:00,3119268392.23421,3222225187.30226,0,0,0,0,0,0</t>
  </si>
  <si>
    <t>2025-05-12 00:51:00,-76463118.8850804,73758.3883654265,,-49,,-217.74,-0.105439273421992,-7.09</t>
  </si>
  <si>
    <t>2025-05-12 00:51:00,55230461.2962275,530924.077265582,0,0,0,0,0,0</t>
  </si>
  <si>
    <t>2025-05-12 00:52:00,580,,573,,580,,563.5,,,,,580,560,,</t>
  </si>
  <si>
    <t>2025-05-12 00:52:00,500,,499,,490,,488,,,,,500,480,,</t>
  </si>
  <si>
    <t>2025-05-12 00:52:00,,5700,,5730,,5800,5780,,,,,5830,5680,,</t>
  </si>
  <si>
    <t>2025-05-12 00:52:00,20100,,20700,,20100,,20175,,,,,20700,19900,,</t>
  </si>
  <si>
    <t>2025-05-12 00:52:00,5217142162.15268,14854462090.396,0,0,0,0,0,0</t>
  </si>
  <si>
    <t>2025-05-12 00:52:00,3069955241.89722,3247133535.59715,0,0,0,0,0,0</t>
  </si>
  <si>
    <t>2025-05-12 00:52:00,-76506344.6151843,70108.7216123212,,-28,,-470.73,-0.011621618282362,-11.54</t>
  </si>
  <si>
    <t>2025-05-12 00:52:00,55200829.8544122,531137.068494832,0,0,0,0,0,0</t>
  </si>
  <si>
    <t>2025-05-12 00:53:00,580,,573,,580,,563.5,,,,,580,560,,</t>
  </si>
  <si>
    <t>2025-05-12 00:53:00,500,,499,,490,,488,,,,,500,480,,</t>
  </si>
  <si>
    <t>2025-05-12 00:53:00,,5700,,5730,,5800,5780,,,,,5830,5680,,</t>
  </si>
  <si>
    <t>2025-05-12 00:53:00,20100,,20700,,20100,,20175,,,,,20700,19900,,</t>
  </si>
  <si>
    <t>2025-05-12 00:53:00,5163069596.29488,14673059488.0572,0,0,0,0,0,0</t>
  </si>
  <si>
    <t>2025-05-12 00:53:00,3139393658.3762,3171719430.07267,0,0,0,0,0,0</t>
  </si>
  <si>
    <t>2025-05-12 00:53:00,-76163289.1241443,48398.2721545527,,-3,,-46.8,-0.000391085022984798,-1.13</t>
  </si>
  <si>
    <t>2025-05-12 00:53:00,55277710.4736278,529239.569943048,0,0,0,0,0,0</t>
  </si>
  <si>
    <t>2025-05-12 00:54:00,580,,573,,580,,563.5,,,,,580,560,,</t>
  </si>
  <si>
    <t>2025-05-12 00:54:00,500,,499,,490,,488,,,,,500,480,,</t>
  </si>
  <si>
    <t>2025-05-12 00:54:00,,5700,,5730,,5800,5780,,,,,5830,5680,,</t>
  </si>
  <si>
    <t>2025-05-12 00:54:00,20100,,20700,,20100,,20175,,,,,20700,19900,,</t>
  </si>
  <si>
    <t>2025-05-12 00:54:00,5196370311.02974,14881668090.7892,0,0,0,0,0,0</t>
  </si>
  <si>
    <t>2025-05-12 00:54:00,3139472477.70058,3171508624.73542,0,0,0,0,0,0</t>
  </si>
  <si>
    <t>2025-05-12 00:54:00,-76089191.6892624,57159.375819598,,-7,,-16.89,-0.0153250908999118,-0.76</t>
  </si>
  <si>
    <t>2025-05-12 00:54:00,55271088.4279366,529730.090608419,0,0,0,0,0,0</t>
  </si>
  <si>
    <t>2025-05-12 00:55:00,580,,573,,580,,563.5,,,,,580,560,,</t>
  </si>
  <si>
    <t>2025-05-12 00:55:00,500,,499,,490,,488,,,,,500,480,,</t>
  </si>
  <si>
    <t>2025-05-12 00:55:00,,5700,,5730,,5800,5780,,,,,5830,5680,,</t>
  </si>
  <si>
    <t>2025-05-12 00:55:00,20100,,20700,,20100,,20175,,,,,20700,19900,,</t>
  </si>
  <si>
    <t>2025-05-12 00:55:00,5183460678.98411,14800923337.6139,0,0,0,0,0,0</t>
  </si>
  <si>
    <t>2025-05-12 00:55:00,3133458043.67889,3130312797.09416,0,0,0,0,0,0</t>
  </si>
  <si>
    <t>2025-05-12 00:55:00,-76276782.7299915,52941.1185638806,,-1,,-5.08,-0.00378707300900969,-0.27</t>
  </si>
  <si>
    <t>2025-05-12 00:55:00,55334684.642603,528206.783307638,0,0,0,0,0,0</t>
  </si>
  <si>
    <t>2025-05-12 00:56:00,580,,573,,580,,563.5,,,,,580,560,,</t>
  </si>
  <si>
    <t>2025-05-12 00:56:00,500,,499,,490,,488,,,,,500,480,,</t>
  </si>
  <si>
    <t>2025-05-12 00:56:00,,5700,,5730,,5800,5780,,,,,5830,5680,,</t>
  </si>
  <si>
    <t>2025-05-12 00:56:00,20100,,20700,,20100,,20175,,,,,20700,19900,,</t>
  </si>
  <si>
    <t>2025-05-12 00:56:00,5149234001.86952,14590153339.7056,0,0,0,0,0,0</t>
  </si>
  <si>
    <t>2025-05-12 00:56:00,3133556176.23961,3130974025.8308,0,0,0,0,0,0</t>
  </si>
  <si>
    <t>2025-05-12 00:56:00,-76132674.1244143,49153.4791809015,,-6,,-6.82,-0.0135372748612283,-0.41</t>
  </si>
  <si>
    <t>2025-05-12 00:56:00,55382241.0662256,527668.347240891,0,0,0,0,0,0</t>
  </si>
  <si>
    <t>2025-05-12 00:57:00,580,,573,,580,,563.5,,,,,580,560,,</t>
  </si>
  <si>
    <t>2025-05-12 00:57:00,500,,499,,490,,488,,,,,500,480,,</t>
  </si>
  <si>
    <t>2025-05-12 00:57:00,,5700,,5730,,5800,5780,,,,,5830,5680,,</t>
  </si>
  <si>
    <t>2025-05-12 00:57:00,20100,,20700,,20100,,20175,,,,,20700,19900,,</t>
  </si>
  <si>
    <t>2025-05-12 00:57:00,5149478223.92472,14590509340.4482,0,0,0,0,0,0</t>
  </si>
  <si>
    <t>2025-05-12 00:57:00,3136929951.62695,3144259819.30537,0,0,0,0,0,0</t>
  </si>
  <si>
    <t>2025-05-12 00:57:00,-75779955.2008284,51553.8632177821,,-20,,-382.18,-0.00658479974466344,-7.63</t>
  </si>
  <si>
    <t>2025-05-12 00:57:00,55305381.328792,528712.938930026,0,0,0,0,0,0</t>
  </si>
  <si>
    <t>2025-05-12 00:58:00,580,,573,,580,,563.5,,,,,580,560,,</t>
  </si>
  <si>
    <t>2025-05-12 00:58:00,500,,499,,490,,488,,,,,500,480,,</t>
  </si>
  <si>
    <t>2025-05-12 00:58:00,,5700,,5730,,5800,5780,,,,,5830,5680,,</t>
  </si>
  <si>
    <t>2025-05-12 00:58:00,20100,,20700,,20100,,20175,,,,,20700,19900,,</t>
  </si>
  <si>
    <t>2025-05-12 00:58:00,5149204157.07454,14589903917.6657,0,0,0,0,0,0</t>
  </si>
  <si>
    <t>2025-05-12 00:58:00,3136926257.26602,3143639420.2886,0,0,0,0,0,0</t>
  </si>
  <si>
    <t>2025-05-12 00:58:00,-76011966.4694829,55749.2066115655,,-3,,-7.54,-0.00692642184644592,-0.38</t>
  </si>
  <si>
    <t>2025-05-12 00:58:00,55336244.3909034,528638.315665478,0,0,0,0,0,0</t>
  </si>
  <si>
    <t>2025-05-12 00:59:00,580,,573,,580,,563.5,,,,,580,560,,</t>
  </si>
  <si>
    <t>2025-05-12 00:59:00,500,,499,,490,,488,,,,,500,480,,</t>
  </si>
  <si>
    <t>2025-05-12 00:59:00,,5700,,5730,,5800,5780,,,,,5830,5680,,</t>
  </si>
  <si>
    <t>2025-05-12 00:59:00,20100,,20700,,20100,,20175,,,,,20700,19900,,</t>
  </si>
  <si>
    <t>2025-05-12 00:59:00,5176753649.86583,14761113667.7165,0,0,0,0,0,0</t>
  </si>
  <si>
    <t>2025-05-12 00:59:00,3140000052.54547,3171165528.68442,0,0,0,0,0,0</t>
  </si>
  <si>
    <t>2025-05-12 00:59:00,-75615596.427897,64368.5192539232,,-127,,-2234.04,0.0137552915902674,-21.36</t>
  </si>
  <si>
    <t>2025-05-12 00:59:00,55294133.338878,529256.807000585,0,0,0,0,0,0</t>
  </si>
  <si>
    <t>2025-05-12 01:00:00,580,,573,,580,,563.5,,,,,580,560,,</t>
  </si>
  <si>
    <t>2025-05-12 01:00:00,500,,499,,490,,488,,,,,500,480,,</t>
  </si>
  <si>
    <t>2025-05-12 01:00:00,,5700,,5730,,5800,5780,,,,,5830,5680,,</t>
  </si>
  <si>
    <t>2025-05-12 01:00:00,20100,,20700,,20100,,20175,,,,,20700,19900,,</t>
  </si>
  <si>
    <t>2025-05-12 01:00:00,5037999917.10412,14175429139.5523,0,0,0,0,0,0</t>
  </si>
  <si>
    <t>2025-05-12 01:00:00,3112682195.24841,3079138099.3845,0,0,0,0,0,0</t>
  </si>
  <si>
    <t>2025-05-12 01:00:00,-75646177.7382053,33116.6175157528,,-19,,-555.07,0.0213128316325629,-7.98</t>
  </si>
  <si>
    <t>2025-05-12 01:00:00,55395168.7434769,526719.726315696,0,0,0,0,0,0</t>
  </si>
  <si>
    <t>2025-05-12 01:01:00,580,,573,,580,,563.5,,,,,580,560,,</t>
  </si>
  <si>
    <t>2025-05-12 01:01:00,500,,499,,490,,488,,,,,500,480,,</t>
  </si>
  <si>
    <t>2025-05-12 01:01:00,,5700,,5730,,5800,5780,,,,,5830,5680,,</t>
  </si>
  <si>
    <t>2025-05-12 01:01:00,20100,,20700,,20100,,20175,,,,,20700,19900,,</t>
  </si>
  <si>
    <t>2025-05-12 01:01:00,5163293605.84179,14675832475.775,0,0,0,0,0,0</t>
  </si>
  <si>
    <t>2025-05-12 01:01:00,3140159937.80284,3170981986.56567,0,0,0,0,0,0</t>
  </si>
  <si>
    <t>2025-05-12 01:01:00,-75690060.8567381,51325.2744555464,,-34,,-509.41,-0.0168122489431544,-6.42</t>
  </si>
  <si>
    <t>2025-05-12 01:01:00,55279535.4727404,529386.969721881,0,0,0,0,0,0</t>
  </si>
  <si>
    <t>2025-05-12 01:02:00,580,,573,,580,,563.5,,,,,580,560,,</t>
  </si>
  <si>
    <t>2025-05-12 01:02:00,500,,499,,490,,488,,,,,500,480,,</t>
  </si>
  <si>
    <t>2025-05-12 01:02:00,,5700,,5730,,5800,5780,,,,,5830,5680,,</t>
  </si>
  <si>
    <t>2025-05-12 01:02:00,20100,,20700,,20100,,20175,,,,,20700,19900,,</t>
  </si>
  <si>
    <t>2025-05-12 01:02:00,5121552800.88468,14423277867.463,0,0,0,0,0,0</t>
  </si>
  <si>
    <t>2025-05-12 01:02:00,3129060026.0326,3116776215.94636,0,0,0,0,0,0</t>
  </si>
  <si>
    <t>2025-05-12 01:02:00,-75921611.4880701,41890.7131494453,,-7,,-82.14,-0.0125497222886858,-1.81</t>
  </si>
  <si>
    <t>2025-05-12 01:02:00,55338987.8433314,527970.411154501,0,0,0,0,0,0</t>
  </si>
  <si>
    <t>2025-05-12 01:03:00,580,,573,,580,,563.5,,,,,580,560,,</t>
  </si>
  <si>
    <t>2025-05-12 01:03:00,500,,499,,490,,488,,,,,500,480,,</t>
  </si>
  <si>
    <t>2025-05-12 01:03:00,,5700,,5730,,5800,5780,,,,,5830,5680,,</t>
  </si>
  <si>
    <t>2025-05-12 01:03:00,20100,,20700,,20100,,20175,,,,,20700,19900,,</t>
  </si>
  <si>
    <t>2025-05-12 01:03:00,5038775113.25618,14177973562.7844,0,0,0,0,0,0</t>
  </si>
  <si>
    <t>2025-05-12 01:03:00,3122061218.57712,3097308168.082,0,0,0,0,0,0</t>
  </si>
  <si>
    <t>2025-05-12 01:03:00,-75750397.8133665,29689.4728125078,,-16,,-217.29,-0.011734417410145,-3.57</t>
  </si>
  <si>
    <t>2025-05-12 01:03:00,55366548.5443773,527743.693724548,0,0,0,0,0,0</t>
  </si>
  <si>
    <t>2025-05-12 01:04:00,580,,573,,580,,563.5,,,,,580,560,,</t>
  </si>
  <si>
    <t>2025-05-12 01:04:00,500,,499,,490,,488,,,,,500,480,,</t>
  </si>
  <si>
    <t>2025-05-12 01:04:00,,5700,,5730,,5800,5780,,,,,5830,5680,,</t>
  </si>
  <si>
    <t>2025-05-12 01:04:00,20100,,20700,,20100,,20175,,,,,20700,19900,,</t>
  </si>
  <si>
    <t>2025-05-12 01:04:00,5018688359.99632,14064256313.7483,0,0,0,0,0,0</t>
  </si>
  <si>
    <t>2025-05-12 01:04:00,3096786548.08041,3050012422.05613,0,0,0,0,0,0</t>
  </si>
  <si>
    <t>2025-05-12 01:04:00,-75683783.4288339,26406.1090635135,,-19,,-120.27,-0.0308785910228899,-1.67</t>
  </si>
  <si>
    <t>2025-05-12 01:04:00,55445730.6653361,526031.935552026,0,0,0,0,0,0</t>
  </si>
  <si>
    <t>2025-05-12 01:05:00,580,,573,,580,,563.5,,,,,580,560,,</t>
  </si>
  <si>
    <t>2025-05-12 01:05:00,500,,499,,490,,488,,,,,500,480,,</t>
  </si>
  <si>
    <t>2025-05-12 01:05:00,,5700,,5730,,5800,5780,,,,,5830,5680,,</t>
  </si>
  <si>
    <t>2025-05-12 01:05:00,20100,,20700,,20100,,20175,,,,,20700,19900,,</t>
  </si>
  <si>
    <t>2025-05-12 01:05:00,5209815107.25679,14960470134.5808,0,0,0,0,0,0</t>
  </si>
  <si>
    <t>2025-05-12 01:05:00,2971377507.24176,3257741129.4681,0,0,0,0,0,0</t>
  </si>
  <si>
    <t>2025-05-12 01:05:00,-76219917.0722807,64342.9186081055,,-26,,-661.61,0.0103097041450304,-9.83</t>
  </si>
  <si>
    <t>2025-05-12 01:05:00,55220094.6562432,530573.862468673,0,0,0,0,0,0</t>
  </si>
  <si>
    <t>2025-05-12 01:06:00,580,,573,,580,,563.5,,,,,580,560,,</t>
  </si>
  <si>
    <t>2025-05-12 01:06:00,500,,499,,490,,488,,,,,500,480,,</t>
  </si>
  <si>
    <t>2025-05-12 01:06:00,,5700,,5730,,5800,5780,,,,,5830,5680,,</t>
  </si>
  <si>
    <t>2025-05-12 01:06:00,20100,,20700,,20100,,20175,,,,,20700,19900,,</t>
  </si>
  <si>
    <t>2025-05-12 01:06:00,5177728062.56566,14762339058.3737,0,0,0,0,0,0</t>
  </si>
  <si>
    <t>2025-05-12 01:06:00,3048262083.97914,3250330086.06924,0,0,0,0,0,0</t>
  </si>
  <si>
    <t>2025-05-12 01:06:00,-76050422.4787347,57982.1294291462,,-18,,-240.3,-0.00974497966720139,-5.96</t>
  </si>
  <si>
    <t>2025-05-12 01:06:00,55217950.3685211,530748.619579147,0,0,0,0,0,0</t>
  </si>
  <si>
    <t>2025-05-12 01:07:00,580,,573,,580,,563.5,,,,,580,560,,</t>
  </si>
  <si>
    <t>2025-05-12 01:07:00,500,,499,,490,,488,,,,,500,480,,</t>
  </si>
  <si>
    <t>2025-05-12 01:07:00,,5700,,5730,,5800,5780,,,,,5830,5680,,</t>
  </si>
  <si>
    <t>2025-05-12 01:07:00,20100,,20700,,20100,,20175,,,,,20700,19900,,</t>
  </si>
  <si>
    <t>2025-05-12 01:07:00,5052730331.28958,14259790227.2254,0,0,0,0,0,0</t>
  </si>
  <si>
    <t>2025-05-12 01:07:00,3137108855.38986,3191335208.66969,0,0,0,0,0,0</t>
  </si>
  <si>
    <t>2025-05-12 01:07:00,-75661541.7549392,36617.163793819,,-11,,-80.5,-0.0177103524038051,-1.11</t>
  </si>
  <si>
    <t>2025-05-12 01:07:00,55292782.2703575,528958.951471715,0,0,0,0,0,0</t>
  </si>
  <si>
    <t>2025-05-12 01:08:00,580,,573,,580,,563.5,,,,,580,560,,</t>
  </si>
  <si>
    <t>2025-05-12 01:08:00,500,,499,,490,,488,,,,,500,480,,</t>
  </si>
  <si>
    <t>2025-05-12 01:08:00,,5700,,5730,,5800,5780,,,,,5830,5680,,</t>
  </si>
  <si>
    <t>2025-05-12 01:08:00,20100,,20700,,20100,,20175,,,,,20700,19900,,</t>
  </si>
  <si>
    <t>2025-05-12 01:08:00,4986029264.42293,13881282430.6486,0,0,0,0,0,0</t>
  </si>
  <si>
    <t>2025-05-12 01:08:00,3118792713.38466,3090564226.38627,0,0,0,0,0,0</t>
  </si>
  <si>
    <t>2025-05-12 01:08:00,-75483903.5035922,22519.7151616013,,-5,,-51.46,-0.00846151701783539,-0.87</t>
  </si>
  <si>
    <t>2025-05-12 01:08:00,55360474.7075633,527139.907645294,0,0,0,0,0,0</t>
  </si>
  <si>
    <t>2025-05-12 01:09:00,580,,573,,580,,563.5,,,,,580,560,,</t>
  </si>
  <si>
    <t>2025-05-12 01:09:00,500,,499,,490,,488,,,,,500,480,,</t>
  </si>
  <si>
    <t>2025-05-12 01:09:00,,5700,,5730,,5800,5780,,,,,5830,5680,,</t>
  </si>
  <si>
    <t>2025-05-12 01:09:00,20100,,20700,,20100,,20175,,,,,20700,19900,,</t>
  </si>
  <si>
    <t>2025-05-12 01:09:00,5019299990.95903,14068040977.8776,0,0,0,0,0,0</t>
  </si>
  <si>
    <t>2025-05-12 01:09:00,3135721478.72299,3136013344.31186,0,0,0,0,0,0</t>
  </si>
  <si>
    <t>2025-05-12 01:09:00,-75159242.4045202,36429.6926955868,,-9,,-91.6,-0.0121555180937466,-2.04</t>
  </si>
  <si>
    <t>2025-05-12 01:09:00,55341000.2697154,528071.141480832,0,0,0,0,0,0</t>
  </si>
  <si>
    <t>2025-05-12 01:10:00,580,,573,,580,,563.5,,,,,580,560,,</t>
  </si>
  <si>
    <t>2025-05-12 01:10:00,500,,499,,490,,488,,,,,500,480,,</t>
  </si>
  <si>
    <t>2025-05-12 01:10:00,,5700,,5730,,5800,5780,,,,,5830,5680,,</t>
  </si>
  <si>
    <t>2025-05-12 01:10:00,20100,,20700,,20100,,20175,,,,,20700,19900,,</t>
  </si>
  <si>
    <t>2025-05-12 01:10:00,5005759899.32289,13992383819.1285,0,0,0,0,0,0</t>
  </si>
  <si>
    <t>2025-05-12 01:10:00,3129711523.77033,3116063899.51711,0,0,0,0,0,0</t>
  </si>
  <si>
    <t>2025-05-12 01:10:00,-75428824.3350699,26476.3270499222,,-18,,-396.6,-0.00820040672170881,-6.31</t>
  </si>
  <si>
    <t>2025-05-12 01:10:00,55331711.4175205,527725.627686133,0,0,0,0,0,0</t>
  </si>
  <si>
    <t>2025-05-12 01:11:00,580,,573,,580,,563.5,,,,,580,560,,</t>
  </si>
  <si>
    <t>2025-05-12 01:11:00,500,,499,,490,,488,,,,,500,480,,</t>
  </si>
  <si>
    <t>2025-05-12 01:11:00,,5700,,5730,,5800,5780,,,,,5830,5680,,</t>
  </si>
  <si>
    <t>2025-05-12 01:11:00,20100,,20700,,20100,,20175,,,,,20700,19900,,</t>
  </si>
  <si>
    <t>2025-05-12 01:11:00,5059832794.1911,14301384051.7627,0,0,0,0,0,0</t>
  </si>
  <si>
    <t>2025-05-12 01:11:00,3134632346.36072,3197347379.85263,0,0,0,0,0,0</t>
  </si>
  <si>
    <t>2025-05-12 01:11:00,-75545145.6392025,42650.3118228774,,-3,,-26.18,-0.00192053491639235,-0.18</t>
  </si>
  <si>
    <t>2025-05-12 01:11:00,55239810.0478262,529964.084887392,0,0,0,0,0,0</t>
  </si>
  <si>
    <t>2025-05-12 01:12:00,580,,573,,580,,563.5,,,,,580,560,,</t>
  </si>
  <si>
    <t>2025-05-12 01:12:00,500,,499,,490,,488,,,,,500,480,,</t>
  </si>
  <si>
    <t>2025-05-12 01:12:00,,5700,,5730,,5800,5780,,,,,5830,5680,,</t>
  </si>
  <si>
    <t>2025-05-12 01:12:00,20100,,20700,,20100,,20175,,,,,20700,19900,,</t>
  </si>
  <si>
    <t>2025-05-12 01:12:00,5026401654.82447,14106769033.0425,0,0,0,0,0,0</t>
  </si>
  <si>
    <t>2025-05-12 01:12:00,3140103417.81834,3169833915.71402,0,0,0,0,0,0</t>
  </si>
  <si>
    <t>2025-05-12 01:12:00,-75844065.6296102,23108.47699802,,-9,,-506.8,0.0143380334248336,-5.42</t>
  </si>
  <si>
    <t>2025-05-12 01:12:00,55259476.6449955,529202.200964361,0,0,0,0,0,0</t>
  </si>
  <si>
    <t>2025-05-12 01:13:00,580,,573,,580,,563.5,,,,,580,560,,</t>
  </si>
  <si>
    <t>2025-05-12 01:13:00,500,,499,,490,,488,,,,,500,480,,</t>
  </si>
  <si>
    <t>2025-05-12 01:13:00,,5700,,5680,,5800,5780,,,,,5830,5680,,</t>
  </si>
  <si>
    <t>2025-05-12 01:13:00,20100,,20700,,20100,,20175,,,,,20700,19900,,</t>
  </si>
  <si>
    <t>2025-05-12 01:13:00,5032233563.24179,14143483695.6787,0,0,0,0,0,0</t>
  </si>
  <si>
    <t>2025-05-12 01:13:00,3102611382.60491,3231910491.37363,0,0,0,0,0,0</t>
  </si>
  <si>
    <t>2025-05-12 01:13:00,-75574279.7079848,-55525.8794912357,,-104,,-4096.67,0.334703226803434,-87.43</t>
  </si>
  <si>
    <t>2025-05-12 01:13:00,55270716.2037701,529106.31576185,0,0,0,0,0,0</t>
  </si>
  <si>
    <t>2025-05-12 01:14:00,580,,573,,580,,563.5,,,,,580,560,,</t>
  </si>
  <si>
    <t>2025-05-12 01:14:00,500,,499,,490,,488,,,,,500,480,,</t>
  </si>
  <si>
    <t>2025-05-12 01:14:00,,5700,,5680,,5800,5780,,,,,5830,5680,,</t>
  </si>
  <si>
    <t>2025-05-12 01:14:00,20100,,20700,,20100,,20175,,,,,20700,19900,,</t>
  </si>
  <si>
    <t>2025-05-12 01:14:00,5060238241.88828,14300163735.9773,0,0,0,0,0,0</t>
  </si>
  <si>
    <t>2025-05-12 01:14:00,3121012613.82505,3218691088.39062,0,0,0,0,0,0</t>
  </si>
  <si>
    <t>2025-05-12 01:14:00,-75788180.4656118,-93567.3830970992,,-37,,-1593.5,0.134651728376328,-35.8</t>
  </si>
  <si>
    <t>2025-05-12 01:14:00,55202378.3979912,530383.214967029,0,0,0,0,0,0</t>
  </si>
  <si>
    <t>2025-05-12 01:15:00,580,,573,,580,,563.5,,,,,580,560,,</t>
  </si>
  <si>
    <t>2025-05-12 01:15:00,500,,499,,490,,488,,,,,500,480,,</t>
  </si>
  <si>
    <t>2025-05-12 01:15:00,,5700,,5680,,5800,5780,,,,,5830,5680,,</t>
  </si>
  <si>
    <t>2025-05-12 01:15:00,20100,,20700,,20100,,20175,,,,,20700,19900,,</t>
  </si>
  <si>
    <t>2025-05-12 01:15:00,5122855817.565,14430343780.5619,0,0,0,0,0,0</t>
  </si>
  <si>
    <t>2025-05-12 01:15:00,3139948517.61323,3169456615.68632,0,0,0,0,0,0</t>
  </si>
  <si>
    <t>2025-05-12 01:15:00,-75644150.4297871,-101048.45983811,,-9,,-251.52,0.00793827835047269,-3.27</t>
  </si>
  <si>
    <t>2025-05-12 01:15:00,55270368.4440752,528953.932175026,0,0,0,0,0,0</t>
  </si>
  <si>
    <t>2025-05-12 01:16:00,580,,573,,580,,563.5,,,,,580,560,,</t>
  </si>
  <si>
    <t>2025-05-12 01:16:00,500,,499,,490,,488,,,,,500,480,,</t>
  </si>
  <si>
    <t>2025-05-12 01:16:00,,5700,,5680,,5800,5780,,,,,5830,5680,,</t>
  </si>
  <si>
    <t>2025-05-12 01:16:00,20100,,20700,,20100,,20175,,,,,20700,19900,,</t>
  </si>
  <si>
    <t>2025-05-12 01:16:00,5123242592.96872,14430895383.0284,0,0,0,0,0,0</t>
  </si>
  <si>
    <t>2025-05-12 01:16:00,3131157585.034,3204221916.32531,0,0,0,0,0,0</t>
  </si>
  <si>
    <t>2025-05-12 01:16:00,-75455896.0776152,-159760.962857564,,-59,,-3967.27,0.196303698519652,-43.42</t>
  </si>
  <si>
    <t>2025-05-12 01:16:00,55299658.0417392,528813.261113171,0,0,0,0,0,0</t>
  </si>
  <si>
    <t>2025-05-12 01:17:00,580,,573,,580,,562.5,,,,,580,560,,</t>
  </si>
  <si>
    <t>2025-05-12 01:17:00,500,,499,,490,,488,,,,,500,480,,</t>
  </si>
  <si>
    <t>2025-05-12 01:17:00,,5700,,5680,,5800,5780,,,,,5830,5680,,</t>
  </si>
  <si>
    <t>2025-05-12 01:17:00,20100,,20700,,20100,,20175,,,,,20700,19900,,</t>
  </si>
  <si>
    <t>2025-05-12 01:17:00,4926978782.46645,13533097817.3554,0,0,0,0,0,0</t>
  </si>
  <si>
    <t>2025-05-12 01:17:00,3098382929.59051,3042840852.87102,0,0,0,0,0,0</t>
  </si>
  <si>
    <t>2025-05-12 01:17:00,-74435830.9024293,-176092.602478614,,-56,,-774.65,-0.0462356135755463,-13.11</t>
  </si>
  <si>
    <t>2025-05-12 01:17:00,55380514.6110838,526478.248845045,0,0,0,0,0,0</t>
  </si>
  <si>
    <t>2025-05-12 01:18:00,580,,573,,580,,562.5,,,,,580,560,,</t>
  </si>
  <si>
    <t>2025-05-12 01:18:00,500,,499,,490,,488,,,,,500,480,,</t>
  </si>
  <si>
    <t>2025-05-12 01:18:00,,5700,,5680,,5800,5780,,,,,5830,5680,,</t>
  </si>
  <si>
    <t>2025-05-12 01:18:00,20100,,20700,,20100,,20175,,,,,20700,19900,,</t>
  </si>
  <si>
    <t>2025-05-12 01:18:00,4980740523.08049,13436582489.7068,0,0,0,0,0,0</t>
  </si>
  <si>
    <t>2025-05-12 01:18:00,3097189949.95706,3048643848.04948,0,0,0,0,0,0</t>
  </si>
  <si>
    <t>2025-05-12 01:18:00,-74474971.5501281,-180181.616514629,,-68,,-1542.78,-0.0130598947300905,-25.41</t>
  </si>
  <si>
    <t>2025-05-12 01:18:00,55413118.8102167,525537.452668333,0,0,0,0,0,0</t>
  </si>
  <si>
    <t>2025-05-12 01:19:00,580,,573,,580,,563.5,,,,,580,560,,</t>
  </si>
  <si>
    <t>2025-05-12 01:19:00,500,,499,,490,,488,,,,,500,480,,</t>
  </si>
  <si>
    <t>2025-05-12 01:19:00,,5700,,5680,,5800,5780,,,,,5830,5680,,</t>
  </si>
  <si>
    <t>2025-05-12 01:19:00,20100,,20700,,20100,,20175,,,,,20700,19900,,</t>
  </si>
  <si>
    <t>2025-05-12 01:19:00,4954745633.97823,13716859724.2113,0,0,0,0,0,0</t>
  </si>
  <si>
    <t>2025-05-12 01:19:00,3113327526.24181,3224832667.40859,0,0,0,0,0,0</t>
  </si>
  <si>
    <t>2025-05-12 01:19:00,-75202139.4503874,-114030.938439107,,-105,,-1420.43,-0.134708107761638,-30.21</t>
  </si>
  <si>
    <t>2025-05-12 01:19:00,55183673.1232414,530352.463688533,0,0,0,0,0,0</t>
  </si>
  <si>
    <t>2025-05-12 01:21:00,580,,573,,580,,563.5,,,,,580,560,,</t>
  </si>
  <si>
    <t>2025-05-12 01:21:00,500,,499,,490,,488,,,,,500,480,,</t>
  </si>
  <si>
    <t>2025-05-12 01:21:00,,5700,,5680,,5800,5780,,,,,5830,5680,,</t>
  </si>
  <si>
    <t>2025-05-12 01:21:00,20100,,20700,,20100,,20175,,,,,20700,19900,,</t>
  </si>
  <si>
    <t>2025-05-12 01:21:00,4954927880.16143,13717245211.0162,0,0,0,0,0,0</t>
  </si>
  <si>
    <t>2025-05-12 01:21:00,3131290363.58122,3203010535.99582,0,0,0,0,0,0</t>
  </si>
  <si>
    <t>2025-05-12 01:21:00,-74895020.9566409,-106272.86562593,,-31,,-162.37,-0.064426418572861,-4.18</t>
  </si>
  <si>
    <t>2025-05-12 01:21:00,55203888.1582593,529656.837731334,0,0,0,0,0,0</t>
  </si>
  <si>
    <t>2025-05-12 01:22:00,580,,573,,580,,562.5,,,,,580,560,,</t>
  </si>
  <si>
    <t>2025-05-12 01:22:00,500,,499,,490,,488,,,,,500,480,,</t>
  </si>
  <si>
    <t>2025-05-12 01:22:00,,5700,,5680,,5800,5780,,,,,5830,5680,,</t>
  </si>
  <si>
    <t>2025-05-12 01:22:00,20100,,20700,,20100,,20175,,,,,20700,19900,,</t>
  </si>
  <si>
    <t>2025-05-12 01:22:00,4970521877.51899,13551208531.4551,0,0,0,0,0,0</t>
  </si>
  <si>
    <t>2025-05-12 01:22:00,3139062927.40655,3182198214.82925,0,0,0,0,0,0</t>
  </si>
  <si>
    <t>2025-05-12 01:22:00,-75106731.437032,-118313.302251165,,-3,,-3.08,-0.0065447004470865,-0.17</t>
  </si>
  <si>
    <t>2025-05-12 01:22:00,55228285.8616687,528848.948928133,0,0,0,0,0,0</t>
  </si>
  <si>
    <t>2025-05-12 01:23:00,580,,573,,580,,563.5,,,,,580,560,,</t>
  </si>
  <si>
    <t>2025-05-12 01:23:00,500,,499,,490,,488,,,,,500,480,,</t>
  </si>
  <si>
    <t>2025-05-12 01:23:00,,5700,,5680,,5800,5780,,,,,5830,5680,,</t>
  </si>
  <si>
    <t>2025-05-12 01:23:00,20100,,20700,,20100,,20175,,,,,20700,19900,,</t>
  </si>
  <si>
    <t>2025-05-12 01:23:00,4924363379.85983,13557840018.6485,0,0,0,0,0,0</t>
  </si>
  <si>
    <t>2025-05-12 01:23:00,3139948250.12986,3168188452.0677,0,0,0,0,0,0</t>
  </si>
  <si>
    <t>2025-05-12 01:23:00,-75316157.6138431,-114688.108825534,,-23,,-761.08,-0.0169775966792687,-12.82</t>
  </si>
  <si>
    <t>2025-05-12 01:23:00,55279629.8099417,528376.35389751,0,0,0,0,0,0</t>
  </si>
  <si>
    <t>2025-05-12 01:24:00,580,,573,,580,,562.5,,,,,580,560,,</t>
  </si>
  <si>
    <t>2025-05-12 01:24:00,500,,499,,490,,488,,,,,500,480,,</t>
  </si>
  <si>
    <t>2025-05-12 01:24:00,,5700,,5680,,5800,5780,,,,,5830,5680,,</t>
  </si>
  <si>
    <t>2025-05-12 01:24:00,20100,,20700,,20100,,20175,,,,,20700,19900,,</t>
  </si>
  <si>
    <t>2025-05-12 01:24:00,4981165390.55102,13439193385.888,0,0,0,0,0,0</t>
  </si>
  <si>
    <t>2025-05-12 01:24:00,3119549229.34688,3089351609.27299,0,0,0,0,0,0</t>
  </si>
  <si>
    <t>2025-05-12 01:24:00,-74678983.2938028,-121183.120111664,,-26,,-145.54,-0.0501112714431933,-4.18</t>
  </si>
  <si>
    <t>2025-05-12 01:24:00,55349213.7273774,526684.790508022,0,0,0,0,0,0</t>
  </si>
  <si>
    <t>2025-05-12 01:25:00,580,,573,,580,,563.5,,,,,580,560,,</t>
  </si>
  <si>
    <t>2025-05-12 01:25:00,500,,499,,490,,488,,,,,500,480,,</t>
  </si>
  <si>
    <t>2025-05-12 01:25:00,,5700,,5680,,5800,5780,,,,,5830,5680,,</t>
  </si>
  <si>
    <t>2025-05-12 01:25:00,20100,,20700,,20100,,20175,,,,,20700,19900,,</t>
  </si>
  <si>
    <t>2025-05-12 01:25:00,5205203994.17637,14931764677.447,0,0,0,0,0,0</t>
  </si>
  <si>
    <t>2025-05-12 01:25:00,2561430297.17157,3283922939.02525,0,0,0,0,0,0</t>
  </si>
  <si>
    <t>2025-05-12 01:25:00,-76767059.2767677,30837.6635168127,,-117,,-858.14,-0.226558141958427,-23.35</t>
  </si>
  <si>
    <t>2025-05-12 01:25:00,55069127.7108587,533039.361937225,0,0,0,0,0,0</t>
  </si>
  <si>
    <t>2025-05-12 01:26:00,580,,573,,580,,563.5,,,,,580,560,,</t>
  </si>
  <si>
    <t>2025-05-12 01:26:00,500,,499,,490,,488,,,,,500,480,,</t>
  </si>
  <si>
    <t>2025-05-12 01:26:00,,5700,,5680,,5800,5780,,,,,5830,5680,,</t>
  </si>
  <si>
    <t>2025-05-12 01:26:00,20100,,20700,,20100,,20175,,,,,20700,19900,,</t>
  </si>
  <si>
    <t>2025-05-12 01:26:00,5137670759.45882,14516909515.2927,0,0,0,0,0,0</t>
  </si>
  <si>
    <t>2025-05-12 01:26:00,2540519699.53157,3218849476.67804,0,0,0,0,0,0</t>
  </si>
  <si>
    <t>2025-05-12 01:26:00,-76301855.6640085,14280.863750027,,-31,,-797.46,-0.0146160753078861,-10.86</t>
  </si>
  <si>
    <t>2025-05-12 01:26:00,55100922.8143387,531934.384978724,0,0,0,0,0,0</t>
  </si>
  <si>
    <t>2025-05-12 01:27:00,580,,573,,580,,563.5,,,,,580,560,,</t>
  </si>
  <si>
    <t>2025-05-12 01:27:00,500,,499,,490,,488,,,,,500,480,,</t>
  </si>
  <si>
    <t>2025-05-12 01:27:00,,5700,,5680,,5800,5780,,,,,5830,5680,,</t>
  </si>
  <si>
    <t>2025-05-12 01:27:00,20100,,20700,,20100,,20175,,,,,20700,19900,,</t>
  </si>
  <si>
    <t>2025-05-12 01:27:00,5222855149.06687,15031058935.8515,0,0,0,0,0,0</t>
  </si>
  <si>
    <t>2025-05-12 01:27:00,2599782039.09484,3407786367.62393,0,0,0,0,0,0</t>
  </si>
  <si>
    <t>2025-05-12 01:27:00,-75963337.5192572,69288.9583592344,,-76,,-1314.18,-0.101509639666263,-21.9</t>
  </si>
  <si>
    <t>2025-05-12 01:27:00,54953275.1972349,534351.931698531,0,0,0,0,0,0</t>
  </si>
  <si>
    <t>2025-05-12 01:28:00,580,,573,,580,,563.5,,,,,580,560,,</t>
  </si>
  <si>
    <t>2025-05-12 01:28:00,500,,499,,490,,488,,,,,500,480,,</t>
  </si>
  <si>
    <t>2025-05-12 01:28:00,,5700,,5680,,5800,5780,,,,,5830,5680,,</t>
  </si>
  <si>
    <t>2025-05-12 01:28:00,20100,,20700,,20100,,20175,,,,,20700,19900,,</t>
  </si>
  <si>
    <t>2025-05-12 01:28:00,5133510645.34948,13814527173.0255,0,0,0,0,0,0</t>
  </si>
  <si>
    <t>2025-05-12 01:28:00,2809361891.94665,3180277711.61182,0,0,0,0,0,0</t>
  </si>
  <si>
    <t>2025-05-12 01:28:00,-77104019.7418775,97014.2588749858,,-100,,-957.37,-0.100027169934342,-17.07</t>
  </si>
  <si>
    <t>2025-05-12 01:28:00,54836334.2746082,536670.430005704,0,0,0,0,0,0</t>
  </si>
  <si>
    <t>2025-05-12 01:29:00,580,,573,,580,,563.5,,,,,580,560,,</t>
  </si>
  <si>
    <t>2025-05-12 01:29:00,500,,499,,490,,488,,,,,500,480,,</t>
  </si>
  <si>
    <t>2025-05-12 01:29:00,,5700,,5680,,5800,5780,,,,,5830,5680,,</t>
  </si>
  <si>
    <t>2025-05-12 01:29:00,20100,,20700,,20100,,20175,,,,,20700,19900,,</t>
  </si>
  <si>
    <t>2025-05-12 01:29:00,5138784854.93475,13870190619.5073,0,0,0,0,0,0</t>
  </si>
  <si>
    <t>2025-05-12 01:29:00,2803474856.80357,3162924253.5455,0,0,0,0,0,0</t>
  </si>
  <si>
    <t>2025-05-12 01:29:00,-77037594.4636196,150217.794918571,,-93,,-640.51,-0.196760897174635,-21.79</t>
  </si>
  <si>
    <t>2025-05-12 01:29:00,54807102.3537413,536850.533978069,0,0,0,0,0,0</t>
  </si>
  <si>
    <t>2025-05-12 01:30:00,580,,573,,580,,563.5,,,,,580,560,,</t>
  </si>
  <si>
    <t>2025-05-12 01:30:00,500,,499,,490,,488,,,,,500,480,,</t>
  </si>
  <si>
    <t>2025-05-12 01:30:00,,5700,,5680,,5800,5780,,,,,5830,5680,,</t>
  </si>
  <si>
    <t>2025-05-12 01:30:00,20100,,20700,,20100,,20175,,,,,20700,19900,,</t>
  </si>
  <si>
    <t>2025-05-12 01:30:00,5133243804.255,14040178404.2413,0,0,0,0,0,0</t>
  </si>
  <si>
    <t>2025-05-12 01:30:00,2831868335.00428,3242948728.70057,0,0,0,0,0,0</t>
  </si>
  <si>
    <t>2025-05-12 01:30:00,-77219149.4365321,169021.364748746,,-27,,-184.54,-0.0484979143988928,-4.79</t>
  </si>
  <si>
    <t>2025-05-12 01:30:00,54753816.8531198,538094.976502314,0,0,0,0,0,0</t>
  </si>
  <si>
    <t>2025-05-12 01:31:00,580,,573,,580,,571.5,,,,,580,560,,</t>
  </si>
  <si>
    <t>2025-05-12 01:31:00,500,,499,,490,,488,,,,,500,480,,</t>
  </si>
  <si>
    <t>2025-05-12 01:31:00,,5700,,5680,,5800,5780,,,,,5830,5680,,</t>
  </si>
  <si>
    <t>2025-05-12 01:31:00,20100,,20700,,20100,,20175,,,,,20700,19900,,</t>
  </si>
  <si>
    <t>2025-05-12 01:31:00,5076520605.66174,13239786470.4954,0,0,0,0,0,0</t>
  </si>
  <si>
    <t>2025-05-12 01:31:00,2809574583.65066,3179348348.31519,0,0,0,0,0,0</t>
  </si>
  <si>
    <t>2025-05-12 01:31:00,-77224380.2263917,147821.829689077,,-45,,-805.3,-0.0235827718008873,-9.95</t>
  </si>
  <si>
    <t>2025-05-12 01:31:00,54822969.9700079,536686.243352922,0,0,0,0,0,0</t>
  </si>
  <si>
    <t>2025-05-12 01:32:00,580,,573,,580,,563.5,,,,,580,560,,</t>
  </si>
  <si>
    <t>2025-05-12 01:32:00,500,,499,,490,,488,,,,,500,480,,</t>
  </si>
  <si>
    <t>2025-05-12 01:32:00,,5700,,5680,,5800,5780,,,,,5800,5680,,</t>
  </si>
  <si>
    <t>2025-05-12 01:32:00,20100,,20700,,20100,,20175,,,,,20700,19900,,</t>
  </si>
  <si>
    <t>2025-05-12 01:32:00,5137953253.39649,14519075940.3554,0,0,0,0,0,0</t>
  </si>
  <si>
    <t>2025-05-12 01:32:00,2583592990.15658,3355416179.60266,0,0,0,0,0,0</t>
  </si>
  <si>
    <t>2025-05-12 01:32:00,-76760560.9413427,109735.185708645,,-70,,-1385.21,-0.0426160569669233,-19.79</t>
  </si>
  <si>
    <t>2025-05-12 01:32:00,54992615.8103983,533382.524207143,0,0,0,0,0,0</t>
  </si>
  <si>
    <t>2025-05-12 01:33:00,580,,573,,580,,563.5,,,,,580,560,,</t>
  </si>
  <si>
    <t>2025-05-12 01:33:00,500,,499,,490,,488,,,,,500,480,,</t>
  </si>
  <si>
    <t>2025-05-12 01:33:00,,5700,,5680,,5800,5780,,,,,5800,5680,,</t>
  </si>
  <si>
    <t>2025-05-12 01:33:00,20100,,20700,,20100,,20175,,,,,20700,19900,,</t>
  </si>
  <si>
    <t>2025-05-12 01:33:00,5193328061.71222,14854677575.46,0,0,0,0,0,0</t>
  </si>
  <si>
    <t>2025-05-12 01:33:00,2618016918.23892,3443961691.45149,0,0,0,0,0,0</t>
  </si>
  <si>
    <t>2025-05-12 01:33:00,-76820311.3816034,103754.629010247,,-17,,-1927.74,0.0764806375582832,-16.1</t>
  </si>
  <si>
    <t>2025-05-12 01:33:00,54920385.976514,535048.846227061,0,0,0,0,0,0</t>
  </si>
  <si>
    <t>2025-05-12 01:34:00,580,,573,,580,,563.5,,,,,580,560,,</t>
  </si>
  <si>
    <t>2025-05-12 01:34:00,500,,499,,490,,488,,,,,500,480,,</t>
  </si>
  <si>
    <t>2025-05-12 01:34:00,,5700,,5680,,5800,5780,,,,,5800,5680,,</t>
  </si>
  <si>
    <t>2025-05-12 01:34:00,20100,,20700,,20100,,20175,,,,,20700,19900,,</t>
  </si>
  <si>
    <t>2025-05-12 01:34:00,5218106658.1836,15003698943.7522,0,0,0,0,0,0</t>
  </si>
  <si>
    <t>2025-05-12 01:34:00,2833153080.32799,3395869163.85889,0,0,0,0,0,0</t>
  </si>
  <si>
    <t>2025-05-12 01:34:00,-76925195.3926506,58517.8006965601,,-50,,-4578.42,0.233137945350935,-45.36</t>
  </si>
  <si>
    <t>2025-05-12 01:34:00,54869109.547148,535616.586838673,0,0,0,0,0,0</t>
  </si>
  <si>
    <t>2025-05-12 01:35:00,580,,573,,580,,563.5,,,,,580,560,,</t>
  </si>
  <si>
    <t>2025-05-12 01:35:00,500,,499,,490,,488,,,,,500,480,,</t>
  </si>
  <si>
    <t>2025-05-12 01:35:00,,5700,,5680,,5800,5780,,,,,5800,5680,,</t>
  </si>
  <si>
    <t>2025-05-12 01:35:00,20100,,20700,,20100,,20175,,,,,20700,19900,,</t>
  </si>
  <si>
    <t>2025-05-12 01:35:00,5218348252.53547,15007145882.5183,0,0,0,0,0,0</t>
  </si>
  <si>
    <t>2025-05-12 01:35:00,2617678619.76207,3444177883.53193,0,0,0,0,0,0</t>
  </si>
  <si>
    <t>2025-05-12 01:35:00,-76845147.7634974,51452.5581591905,,-20,,-503.9,-0.000484612610606955,-6.5</t>
  </si>
  <si>
    <t>2025-05-12 01:35:00,54885235.3763143,535659.590719804,0,0,0,0,0,0</t>
  </si>
  <si>
    <t>2025-05-12 01:36:00,580,,573,,580,,563.5,,,,,580,560,,</t>
  </si>
  <si>
    <t>2025-05-12 01:36:00,500,,499,,490,,488,,,,,500,480,,</t>
  </si>
  <si>
    <t>2025-05-12 01:36:00,,5700,,5680,,5800,5780,,,,,5800,5680,,</t>
  </si>
  <si>
    <t>2025-05-12 01:36:00,20100,,20700,,20100,,20175,,,,,20700,19900,,</t>
  </si>
  <si>
    <t>2025-05-12 01:36:00,5232572955.05413,15020433488.2839,0,0,0,0,0,0</t>
  </si>
  <si>
    <t>2025-05-12 01:36:00,2809512737.57832,3178889793.72474,0,0,0,0,0,0</t>
  </si>
  <si>
    <t>2025-05-12 01:36:00,-77086362.058501,66866.8283523032,,-12,,-101.43,-0.0135486440636904,-1.67</t>
  </si>
  <si>
    <t>2025-05-12 01:36:00,54892095.3019079,535641.9541441,0,0,0,0,0,0</t>
  </si>
  <si>
    <t>2025-05-12 01:37:00,580,,573,,580,,571.5,,,,,580,560,,</t>
  </si>
  <si>
    <t>2025-05-12 01:37:00,500,,499,,490,,488,,,,,500,480,,</t>
  </si>
  <si>
    <t>2025-05-12 01:37:00,,5700,,5680,,5800,5780,,,,,5800,5680,,</t>
  </si>
  <si>
    <t>2025-05-12 01:37:00,20100,,20700,,20100,,20175,,,,,20700,19900,,</t>
  </si>
  <si>
    <t>2025-05-12 01:37:00,5068325903.01876,13182760633.7726,0,0,0,0,0,0</t>
  </si>
  <si>
    <t>2025-05-12 01:37:00,2809681445.89774,3178473927.61186,0,0,0,0,0,0</t>
  </si>
  <si>
    <t>2025-05-12 01:37:00,-77244651.227797,71584.5532770819,,-7,,-96.75,-0.00090657967678176,-1.81</t>
  </si>
  <si>
    <t>2025-05-12 01:37:00,54824126.1795224,536289.484887676,0,0,0,0,0,0</t>
  </si>
  <si>
    <t>2025-05-12 01:38:00,580,,573,,580,,563.5,,,,,580,560,,</t>
  </si>
  <si>
    <t>2025-05-12 01:38:00,500,,499,,490,,488,,,,,500,480,,</t>
  </si>
  <si>
    <t>2025-05-12 01:38:00,,5700,,5680,,5800,5780,,,,,5800,5680,,</t>
  </si>
  <si>
    <t>2025-05-12 01:38:00,20100,,20700,,20100,,20175,,,,,20700,19900,,</t>
  </si>
  <si>
    <t>2025-05-12 01:38:00,5139502516.38782,13874840471.2475,0,0,0,0,0,0</t>
  </si>
  <si>
    <t>2025-05-12 01:38:00,2831889493.20606,3239896899.83861,0,0,0,0,0,0</t>
  </si>
  <si>
    <t>2025-05-12 01:38:00,-77048765.2004954,86297.6910321381,,-7,,-100.51,-0.0084637399437674,-1.27</t>
  </si>
  <si>
    <t>2025-05-12 01:38:00,54748236.3925919,537824.160706652,0,0,0,0,0,0</t>
  </si>
  <si>
    <t>2025-05-12 01:39:00,580,,573,,580,,563.5,,,,,580,560,,</t>
  </si>
  <si>
    <t>2025-05-12 01:39:00,500,,499,,490,,488,,,,,500,480,,</t>
  </si>
  <si>
    <t>2025-05-12 01:39:00,,5700,,5680,,5800,5780,,,,,5800,5680,,</t>
  </si>
  <si>
    <t>2025-05-12 01:39:00,20100,,20700,,20100,,20175,,,,,20700,19900,,</t>
  </si>
  <si>
    <t>2025-05-12 01:39:00,5146088838.84866,14113450196.9968,0,0,0,0,0,0</t>
  </si>
  <si>
    <t>2025-05-12 01:39:00,2858009324.01156,3320618632.48587,0,0,0,0,0,0</t>
  </si>
  <si>
    <t>2025-05-12 01:39:00,-77633193.9832338,121234.569880742,,-38,,-292.92,-0.0549089017593868,-8.7</t>
  </si>
  <si>
    <t>2025-05-12 01:39:00,54657936.9240017,539013.550893573,0,0,0,0,0,0</t>
  </si>
  <si>
    <t>2025-05-12 01:40:00,580,,573,,580,,563.5,,,,,580,560,,</t>
  </si>
  <si>
    <t>2025-05-12 01:40:00,500,,499,,490,,488,,,,,500,480,,</t>
  </si>
  <si>
    <t>2025-05-12 01:40:00,,5700,,5680,,5800,5780,,,,,5800,5680,,</t>
  </si>
  <si>
    <t>2025-05-12 01:40:00,20100,,20700,,20100,,20175,,,,,20700,19900,,</t>
  </si>
  <si>
    <t>2025-05-12 01:40:00,5146340316.51248,14115182375.837,0,0,0,0,0,0</t>
  </si>
  <si>
    <t>2025-05-12 01:40:00,2874988803.89122,3376298217.63181,0,0,0,0,0,0</t>
  </si>
  <si>
    <t>2025-05-12 01:40:00,-77592573.4648423,126088.693994146,,-23,,-62.33,-0.0440424622585089,-1.83</t>
  </si>
  <si>
    <t>2025-05-12 01:40:00,54700488.1873334,538961.637859752,0,0,0,0,0,0</t>
  </si>
  <si>
    <t>2025-05-12 01:41:00,580,,573,,580,,563.5,,,,,580,560,,</t>
  </si>
  <si>
    <t>2025-05-12 01:41:00,500,,499,,490,,488,,,,,500,480,,</t>
  </si>
  <si>
    <t>2025-05-12 01:41:00,,5700,,5680,,5800,5780,,,,,5830,5680,,</t>
  </si>
  <si>
    <t>2025-05-12 01:41:00,20100,,20700,,20100,,20175,,,,,20700,19900,,</t>
  </si>
  <si>
    <t>2025-05-12 01:41:00,5140086953.40539,13876876334.484,0,0,0,0,0,0</t>
  </si>
  <si>
    <t>2025-05-12 01:41:00,2819500908.15307,3202691250.67733,0,0,0,0,0,0</t>
  </si>
  <si>
    <t>2025-05-12 01:41:00,-77707730.7972747,117962.776519105,,-36,,-710.39,-0.0246867097325896,-7.75</t>
  </si>
  <si>
    <t>2025-05-12 01:41:00,54809524.8817619,536950.418600214,0,0,0,0,0,0</t>
  </si>
  <si>
    <t>2025-05-12 01:42:00,580,,573,,580,,563.5,,,,,580,560,,</t>
  </si>
  <si>
    <t>2025-05-12 01:42:00,500,,499,,490,,488,,,,,500,480,,</t>
  </si>
  <si>
    <t>2025-05-12 01:42:00,,5700,,5680,,5800,5780,,,,,5830,5680,,</t>
  </si>
  <si>
    <t>2025-05-12 01:42:00,20100,,20700,,20100,,20175,,,,,20700,19900,,</t>
  </si>
  <si>
    <t>2025-05-12 01:42:00,5146767206.82189,14117582249.6307,0,0,0,0,0,0</t>
  </si>
  <si>
    <t>2025-05-12 01:42:00,2847913337.88509,3288447713.71145,0,0,0,0,0,0</t>
  </si>
  <si>
    <t>2025-05-12 01:42:00,-77328448.0007498,147522.526854849,,-26,,-133.57,-0.0464733180733306,-2.78</t>
  </si>
  <si>
    <t>2025-05-12 01:42:00,54770437.9465448,537523.213933433,0,0,0,0,0,0</t>
  </si>
  <si>
    <t>2025-05-12 01:43:00,580,,573,,580,,563.5,,,,,580,560,,</t>
  </si>
  <si>
    <t>2025-05-12 01:43:00,500,,499,,490,,488,,,,,500,480,,</t>
  </si>
  <si>
    <t>2025-05-12 01:43:00,,5700,,5680,,5800,5780,,,,,5830,5680,,</t>
  </si>
  <si>
    <t>2025-05-12 01:43:00,20100,,20700,,20100,,20175,,,,,20700,19900,,</t>
  </si>
  <si>
    <t>2025-05-12 01:43:00,5152008967.56825,14149586807.0335,0,0,0,0,0,0</t>
  </si>
  <si>
    <t>2025-05-12 01:43:00,2847972728.76638,3287436171.46499,0,0,0,0,0,0</t>
  </si>
  <si>
    <t>2025-05-12 01:43:00,-77424762.3341002,135813.143250685,,-53,,-1582.63,0.0368363970766237,-19.06</t>
  </si>
  <si>
    <t>2025-05-12 01:43:00,54742671.2373768,538173.642384326,0,0,0,0,0,0</t>
  </si>
  <si>
    <t>2025-05-12 01:44:00,580,,573,,580,,563.5,,,,,580,560,,</t>
  </si>
  <si>
    <t>2025-05-12 01:44:00,500,,499,,490,,488,,,,,500,480,,</t>
  </si>
  <si>
    <t>2025-05-12 01:44:00,,5700,,5680,,5800,5780,,,,,5830,5680,,</t>
  </si>
  <si>
    <t>2025-05-12 01:44:00,20100,,20700,,20100,,20175,,,,,20700,19900,,</t>
  </si>
  <si>
    <t>2025-05-12 01:44:00,5211162115.26421,14529080887.294,0,0,0,0,0,0</t>
  </si>
  <si>
    <t>2025-05-12 01:44:00,2851580416.96836,3298564310.33992,0,0,0,0,0,0</t>
  </si>
  <si>
    <t>2025-05-12 01:44:00,-77856310.9071023,173817.686590425,,-63,,-723.62,-0.0722051580671751,-15.13</t>
  </si>
  <si>
    <t>2025-05-12 01:44:00,54710494.3227211,538568.756840288,0,0,0,0,0,0</t>
  </si>
  <si>
    <t>2025-05-12 01:45:00,580,,573,,580,,563.5,,,,,580,560,,</t>
  </si>
  <si>
    <t>2025-05-12 01:45:00,500,,499,,490,,488,,,,,500,480,,</t>
  </si>
  <si>
    <t>2025-05-12 01:45:00,,5700,,5680,,5800,5780,,,,,5830,5680,,</t>
  </si>
  <si>
    <t>2025-05-12 01:45:00,20100,,20700,,20100,,20175,,,,,20700,19900,,</t>
  </si>
  <si>
    <t>2025-05-12 01:45:00,5282181008.70862,14896545141.5619,0,0,0,0,0,0</t>
  </si>
  <si>
    <t>2025-05-12 01:45:00,2888090847.59875,3422783572.01127,0,0,0,0,0,0</t>
  </si>
  <si>
    <t>2025-05-12 01:45:00,-78510656.1209486,192847.685505253,,-110,,-2414.39,-0.0103778825234632,-29.5</t>
  </si>
  <si>
    <t>2025-05-12 01:45:00,54621790.7433025,540304.242210156,0,0,0,0,0,0</t>
  </si>
  <si>
    <t>2025-05-12 01:46:00,580,,573,,580,,563.5,,,,,580,560,,</t>
  </si>
  <si>
    <t>2025-05-12 01:46:00,500,,499,,490,,488,,,,,500,480,,</t>
  </si>
  <si>
    <t>2025-05-12 01:46:00,,5700,,5680,,5800,5780,,,,,5830,5680,,</t>
  </si>
  <si>
    <t>2025-05-12 01:46:00,20800,,20700,,20100,,20175,,,,,20700,19900,,</t>
  </si>
  <si>
    <t>2025-05-12 01:46:00,5360289053.77099,15617014983.0979,0,0,0,0,0,0</t>
  </si>
  <si>
    <t>2025-05-12 01:46:00,2948772910.10173,3714547065.058,0,0,0,0,0,0</t>
  </si>
  <si>
    <t>2025-05-12 01:46:00,-78372326.2925526,239678.871903656,,-92,,-1811.77,-0.0569959422342611,-35.6</t>
  </si>
  <si>
    <t>2025-05-12 01:46:00,54400635.4844,543118.597707953,0,0,0,0,0,0</t>
  </si>
  <si>
    <t>2025-05-12 01:47:00,580,,573,,580,,563.5,,,,,580,560,,</t>
  </si>
  <si>
    <t>2025-05-12 01:47:00,500,,499,,490,,488,,,,,500,480,,</t>
  </si>
  <si>
    <t>2025-05-12 01:47:00,,5700,,5680,,5800,5780,,,,,5830,5680,,</t>
  </si>
  <si>
    <t>2025-05-12 01:47:00,20100,,20700,,20100,,20175,,,,,20700,19900,,</t>
  </si>
  <si>
    <t>2025-05-12 01:47:00,5276307260.15504,14852871270.819,0,0,0,0,0,0</t>
  </si>
  <si>
    <t>2025-05-12 01:47:00,2904054793.26978,3485500919.9827,0,0,0,0,0,0</t>
  </si>
  <si>
    <t>2025-05-12 01:47:00,-78881562.4191221,227286.146811748,,-168,,-5509.76,-0.0743238409732266,-61.15</t>
  </si>
  <si>
    <t>2025-05-12 01:47:00,54541716.1692956,540808.912047303,0,0,0,0,0,0</t>
  </si>
  <si>
    <t>2025-05-12 01:48:00,580,,573,,580,,563.5,,,,,580,560,,</t>
  </si>
  <si>
    <t>2025-05-12 01:48:00,500,,499,,490,,488,,,,,500,480,,</t>
  </si>
  <si>
    <t>2025-05-12 01:48:00,,5700,,5680,,5800,5780,,,,,5830,5680,,</t>
  </si>
  <si>
    <t>2025-05-12 01:48:00,20100,,20700,,20100,,20175,,,,,20700,19900,,</t>
  </si>
  <si>
    <t>2025-05-12 01:48:00,5299663436.86941,15029487087.4103,0,0,0,0,0,0</t>
  </si>
  <si>
    <t>2025-05-12 01:48:00,2885262277.58879,3408756105.29589,0,0,0,0,0,0</t>
  </si>
  <si>
    <t>2025-05-12 01:48:00,-78959513.7834171,230588.172552203,,-43,,-767.91,-0.0166177033746105,-14.65</t>
  </si>
  <si>
    <t>2025-05-12 01:48:00,54625946.1189616,540150.86454528,0,0,0,0,0,0</t>
  </si>
  <si>
    <t>2025-05-12 01:49:00,580,,573,,580,,563.5,,,,,580,560,,</t>
  </si>
  <si>
    <t>2025-05-12 01:49:00,500,,499,,490,,488,,,,,500,480,,</t>
  </si>
  <si>
    <t>2025-05-12 01:49:00,,5700,,5680,,5800,5780,,,,,5830,5680,,</t>
  </si>
  <si>
    <t>2025-05-12 01:49:00,20100,,20700,,20100,,20175,,,,,20700,19900,,</t>
  </si>
  <si>
    <t>2025-05-12 01:49:00,5305455029.52223,15075241319.8163,0,0,0,0,0,0</t>
  </si>
  <si>
    <t>2025-05-12 01:49:00,2861625008.30253,3328754259.16016,0,0,0,0,0,0</t>
  </si>
  <si>
    <t>2025-05-12 01:49:00,-78779748.5095554,227994.646703801,,-23,,-947.88,0.00946657934257032,-8.97</t>
  </si>
  <si>
    <t>2025-05-12 01:49:00,54695064.1420451,539031.103440834,0,0,0,0,0,0</t>
  </si>
  <si>
    <t>2025-05-12 01:50:00,580,,573,,580,,563.5,,,,,580,560,,</t>
  </si>
  <si>
    <t>2025-05-12 01:50:00,500,,499,,490,,488,,,,,500,480,,</t>
  </si>
  <si>
    <t>2025-05-12 01:50:00,,5700,,5680,,5800,5780,,,,,5830,5680,,</t>
  </si>
  <si>
    <t>2025-05-12 01:50:00,20100,,20700,,20100,,20175,,,,,20700,19900,,</t>
  </si>
  <si>
    <t>2025-05-12 01:50:00,5241032538.60828,14734292300.6742,0,0,0,0,0,0</t>
  </si>
  <si>
    <t>2025-05-12 01:50:00,2810149336.37463,3175776594.49674,0,0,0,0,0,0</t>
  </si>
  <si>
    <t>2025-05-12 01:50:00,-78079061.7130019,223343.12264081,,-30,,-426.48,-0.023978894181166,-6.77</t>
  </si>
  <si>
    <t>2025-05-12 01:50:00,54885852.0924757,536160.410584291,0,0,0,0,0,0</t>
  </si>
  <si>
    <t>2025-05-12 01:51:00,580,,573,,580,,563.5,,,,,580,560,,</t>
  </si>
  <si>
    <t>2025-05-12 01:51:00,500,,499,,490,,488,,,,,500,480,,</t>
  </si>
  <si>
    <t>2025-05-12 01:51:00,,5700,,5680,,5800,5780,,,,,5830,5680,,</t>
  </si>
  <si>
    <t>2025-05-12 01:51:00,20100,,20700,,20100,,20175,,,,,20700,19900,,</t>
  </si>
  <si>
    <t>2025-05-12 01:51:00,5247098619.5508,14775849588.732,0,0,0,0,0,0</t>
  </si>
  <si>
    <t>2025-05-12 01:51:00,2825951651.88884,3218782120.54627,0,0,0,0,0,0</t>
  </si>
  <si>
    <t>2025-05-12 01:51:00,-79214058.8123302,210513.065213072,,-11,,-423.65,0.00404305210270501,-4.45</t>
  </si>
  <si>
    <t>2025-05-12 01:51:00,54832804.6078636,537162.168621408,0,0,0,0,0,0</t>
  </si>
  <si>
    <t>2025-05-12 01:52:00,580,,573,,580,,563.5,,,,,580,560,,</t>
  </si>
  <si>
    <t>2025-05-12 01:52:00,500,,499,,490,,488,,,,,500,480,,</t>
  </si>
  <si>
    <t>2025-05-12 01:52:00,,5700,,5680,,5800,5780,,,,,5830,5680,,</t>
  </si>
  <si>
    <t>2025-05-12 01:52:00,20100,,20700,,20100,,20175,,,,,20700,19900,,</t>
  </si>
  <si>
    <t>2025-05-12 01:52:00,5211796540.68748,14531449496.4963,0,0,0,0,0,0</t>
  </si>
  <si>
    <t>2025-05-12 01:52:00,2614176112.78756,3449690717.0012,0,0,0,0,0,0</t>
  </si>
  <si>
    <t>2025-05-12 01:52:00,-78038592.3664574,221547.282126966,,-25,,-146.39,-0.043586595362732,-2.99</t>
  </si>
  <si>
    <t>2025-05-12 01:52:00,54999016.7721015,534556.984723745,0,0,0,0,0,0</t>
  </si>
  <si>
    <t>2025-05-12 01:53:00,580,,573,,580,,563.5,,,,,580,560,,</t>
  </si>
  <si>
    <t>2025-05-12 01:53:00,500,,499,,490,,498,,,,,500,480,,</t>
  </si>
  <si>
    <t>2025-05-12 01:53:00,,5700,,5680,,5800,5780,,,,,5830,5680,,</t>
  </si>
  <si>
    <t>2025-05-12 01:53:00,20100,,20700,,20100,,20175,,,,,20700,19900,,</t>
  </si>
  <si>
    <t>2025-05-12 01:53:00,5211755207.47745,14529479769.9015,0,0,0,0,0,0</t>
  </si>
  <si>
    <t>2025-05-12 01:53:00,2779333190.63174,3048267480.54051,0,0,0,0,0,0</t>
  </si>
  <si>
    <t>2025-05-12 01:53:00,-77928452.9164049,224631.850868507,,-23,,-74.97,-0.0367016995155807,-2.4</t>
  </si>
  <si>
    <t>2025-05-12 01:53:00,54954049.5645261,535490.960422466,0,0,0,0,0,0</t>
  </si>
  <si>
    <t>2025-05-12 01:54:00,580,,573,,580,,563.5,,,,,580,560,,</t>
  </si>
  <si>
    <t>2025-05-12 01:54:00,500,,499,,490,,498,,,,,500,480,,</t>
  </si>
  <si>
    <t>2025-05-12 01:54:00,,5700,,5680,,5800,5780,,,,,5830,5680,,</t>
  </si>
  <si>
    <t>2025-05-12 01:54:00,20100,,20700,,20100,,20175,,,,,20700,19900,,</t>
  </si>
  <si>
    <t>2025-05-12 01:54:00,5165555029.54272,14228779929.6204,0,0,0,0,0,0</t>
  </si>
  <si>
    <t>2025-05-12 01:54:00,2782016521.39612,3055912057.64101,0,0,0,0,0,0</t>
  </si>
  <si>
    <t>2025-05-12 01:54:00,-77828152.4479051,226924.649089991,,-28,,-253.86,-0.0444669709985938,-6.42</t>
  </si>
  <si>
    <t>2025-05-12 01:54:00,55014764.4637583,534405.227478278,0,0,0,0,0,0</t>
  </si>
  <si>
    <t>2025-05-12 01:55:00,580,,573,,580,,563.5,,,,,580,560,,</t>
  </si>
  <si>
    <t>2025-05-12 01:55:00,500,,499,,490,,488,,,,,500,480,,</t>
  </si>
  <si>
    <t>2025-05-12 01:55:00,,5700,,5680,,5800,5780,,,,,5830,5680,,</t>
  </si>
  <si>
    <t>2025-05-12 01:55:00,20100,,20700,,20100,,20175,,,,,20700,19900,,</t>
  </si>
  <si>
    <t>2025-05-12 01:55:00,5142193070.00317,14084992098.3997,0,0,0,0,0,0</t>
  </si>
  <si>
    <t>2025-05-12 01:55:00,2583912140.32024,3349553982.92545,0,0,0,0,0,0</t>
  </si>
  <si>
    <t>2025-05-12 01:55:00,-78020741.6048513,213338.917195361,,-16,,-281.61,-0.00491434476588377,-4.13</t>
  </si>
  <si>
    <t>2025-05-12 01:55:00,55065120.4930622,533070.35370129,0,0,0,0,0,0</t>
  </si>
  <si>
    <t>2025-05-12 01:56:00,580,,573,,580,,563.5,,,,,580,560,,</t>
  </si>
  <si>
    <t>2025-05-12 01:56:00,500,,499,,490,,488,,,,,500,480,,</t>
  </si>
  <si>
    <t>2025-05-12 01:56:00,,5700,,5680,,5800,5780,,,,,5830,5680,,</t>
  </si>
  <si>
    <t>2025-05-12 01:56:00,20100,,20700,,20100,,20175,,,,,20700,19900,,</t>
  </si>
  <si>
    <t>2025-05-12 01:56:00,5135936046.63652,14052548328.2493,0,0,0,0,0,0</t>
  </si>
  <si>
    <t>2025-05-12 01:56:00,2553836951.90388,3253798697.68352,0,0,0,0,0,0</t>
  </si>
  <si>
    <t>2025-05-12 01:56:00,-77952230.7055462,211021.600826356,,-35,,-312.93,-0.0404440198227113,-6.42</t>
  </si>
  <si>
    <t>2025-05-12 01:56:00,55140540.6252136,532178.40975361,0,0,0,0,0,0</t>
  </si>
  <si>
    <t>2025-05-12 01:57:00,580,,573,,580,,563.5,,,,,580,560,,</t>
  </si>
  <si>
    <t>2025-05-12 01:57:00,500,,499,,490,,488,,,,,500,480,,</t>
  </si>
  <si>
    <t>2025-05-12 01:57:00,,5700,,5680,,5800,5780,,,,,5830,5680,,</t>
  </si>
  <si>
    <t>2025-05-12 01:57:00,20100,,20700,,20100,,20175,,,,,20700,19900,,</t>
  </si>
  <si>
    <t>2025-05-12 01:57:00,5153764030.51105,14158545332.0219,0,0,0,0,0,0</t>
  </si>
  <si>
    <t>2025-05-12 01:57:00,2565102709.4759,3287332020.58156,0,0,0,0,0,0</t>
  </si>
  <si>
    <t>2025-05-12 01:57:00,-77695831.478418,230608.892679776,,-56,,-1821.78,-0.00744728902708736,-25</t>
  </si>
  <si>
    <t>2025-05-12 01:57:00,55135436.1253156,532244.374335228,0,0,0,0,0,0</t>
  </si>
  <si>
    <t>2025-05-12 01:58:00,580,,573,,580,,563.5,,,,,580,560,,</t>
  </si>
  <si>
    <t>2025-05-12 01:58:00,500,,499,,490,,488,,,,,500,480,,</t>
  </si>
  <si>
    <t>2025-05-12 01:58:00,,5700,,5680,,5800,5780,,,,,5830,5680,,</t>
  </si>
  <si>
    <t>2025-05-12 01:58:00,20100,,20700,,20100,,20175,,,,,20700,19900,,</t>
  </si>
  <si>
    <t>2025-05-12 01:58:00,5136415573.19653,14053147638.8686,0,0,0,0,0,0</t>
  </si>
  <si>
    <t>2025-05-12 01:58:00,2547259202.87422,3232892608.70293,0,0,0,0,0,0</t>
  </si>
  <si>
    <t>2025-05-12 01:58:00,-77981990.0551088,221390.266599363,,-9,,-37.34,-0.0167578905227847,-1.13</t>
  </si>
  <si>
    <t>2025-05-12 01:58:00,55179281.0891195,531756.000883942,0,0,0,0,0,0</t>
  </si>
  <si>
    <t>2025-05-12 01:59:00,580,,573,,580,,563.5,,,,,580,560,,</t>
  </si>
  <si>
    <t>2025-05-12 01:59:00,500,,499,,490,,488,,,,,500,480,,</t>
  </si>
  <si>
    <t>2025-05-12 01:59:00,,5700,,5680,,5800,5780,,,,,5830,5680,,</t>
  </si>
  <si>
    <t>2025-05-12 01:59:00,20100,,20700,,20100,,20175,,,,,20700,19900,,</t>
  </si>
  <si>
    <t>2025-05-12 01:59:00,5136497049.57065,14053692257.4176,0,0,0,0,0,0</t>
  </si>
  <si>
    <t>2025-05-12 01:59:00,2543923379.40684,3222508555.61109,0,0,0,0,0,0</t>
  </si>
  <si>
    <t>2025-05-12 01:59:00,-77992590.140994,228677.179331889,,-26,,-738.22,-0.0111822094024437,-9.57</t>
  </si>
  <si>
    <t>2025-05-12 01:59:00,55192629.8429116,531378.368252174,0,0,0,0,0,0</t>
  </si>
  <si>
    <t>2025-05-12 02:00:00,580,,,,560,,,,,,,,,,</t>
  </si>
  <si>
    <t>2025-05-12 02:00:00,500,,,,490,,,,,,,,,,</t>
  </si>
  <si>
    <t>2025-05-12 02:00:00,,5800,,5730,,5800,5780,,,,,5830,5680,,</t>
  </si>
  <si>
    <t>2025-05-12 02:00:00,20800,,,,20100,,,,,,,,,,</t>
  </si>
  <si>
    <t>2025-05-12 02:00:00,6776272206.51034,0,-41452.865476778,241682,357365.286441644,736340.14,8519.52607174249,119778.67</t>
  </si>
  <si>
    <t>2025-05-12 02:00:00,3766194120.09944,0,134071.297382123,241819,402980.145186842,682742.22,-1443.24089973238,157641.38</t>
  </si>
  <si>
    <t>2025-05-12 02:00:00,-49997574.8070595,959333.252929782,,-823,,-12060.61,-0.74304747526708,-226.15</t>
  </si>
  <si>
    <t>2025-05-12 02:00:00,50464887.3965684,0,-3401.61102002626,-2775,-185039.800312432,-69941.64,-2.25678083866848,-304.19</t>
  </si>
  <si>
    <t>2025-05-12 02:01:00,580,,,,580,,,,,,,,,,</t>
  </si>
  <si>
    <t>2025-05-12 02:01:00,500,,,,500,,,,,,,,,,</t>
  </si>
  <si>
    <t>2025-05-12 02:01:00,,5800,5840,,,5800,5780,,,,,5830,5680,,</t>
  </si>
  <si>
    <t>2025-05-12 02:01:00,20800,,,,20100,,,,,,,,,,</t>
  </si>
  <si>
    <t>2025-05-12 02:01:00,7157103472.1218,0,0,0,0,0,0,0</t>
  </si>
  <si>
    <t>2025-05-12 02:01:00,3352373856.39026,0,0,0,0,0,0,0</t>
  </si>
  <si>
    <t>2025-05-12 02:01:00,-84467264.2089247,1376135.99177804,,-1018,,-13935.43,-0.745623757256498,-210.72</t>
  </si>
  <si>
    <t>2025-05-12 02:01:00,47101607.906342,0,0,0,0,0,0,0</t>
  </si>
  <si>
    <t>2025-05-12 02:02:00,580,,,,575,,,,,,,,,,</t>
  </si>
  <si>
    <t>2025-05-12 02:02:00,500,,,,500,,,,,,,,,,</t>
  </si>
  <si>
    <t>2025-05-12 02:02:00,,5800,5830,,,5800,5780,,,,,5830,5680,,</t>
  </si>
  <si>
    <t>2025-05-12 02:02:00,20800,,,,20100,,,,,,,,,,</t>
  </si>
  <si>
    <t>2025-05-12 02:02:00,6468947406.52831,0,0,0,0,0,0,0</t>
  </si>
  <si>
    <t>2025-05-12 02:02:00,3087334813.9732,0,0,0,0,0,0,0</t>
  </si>
  <si>
    <t>2025-05-12 02:02:00,-78790312.739975,1417788.79641069,,-257,,-5954.45,-0.129720341611292,-78.54</t>
  </si>
  <si>
    <t>2025-05-12 02:02:00,48614089.7111479,0,0,0,0,0,0,0</t>
  </si>
  <si>
    <t>2025-05-12 02:03:00,580,,,,575,,,,,,,,,,</t>
  </si>
  <si>
    <t>2025-05-12 02:03:00,500,,,,500,,,,,,,,,,</t>
  </si>
  <si>
    <t>2025-05-12 02:03:00,,5800,,5730,,5800,5780,,,,,5830,5680,,</t>
  </si>
  <si>
    <t>2025-05-12 02:03:00,20800,,,,20100,,,,,,,,,,</t>
  </si>
  <si>
    <t>2025-05-12 02:03:00,6100118797.89555,0,0,0,0,0,0,0</t>
  </si>
  <si>
    <t>2025-05-12 02:03:00,3073728372.84661,0,0,0,0,0,0,0</t>
  </si>
  <si>
    <t>2025-05-12 02:03:00,-78339589.4590845,1420990.02356743,,-219,,-4354.38,-0.131804280095913,-52.07</t>
  </si>
  <si>
    <t>2025-05-12 02:03:00,48097072.2583268,0,0,0,0,0,0,0</t>
  </si>
  <si>
    <t>2025-05-12 02:04:00,580,,,,575,,,,,,,,,,</t>
  </si>
  <si>
    <t>2025-05-12 02:04:00,500,,,,500,,,,,,,,,,</t>
  </si>
  <si>
    <t>2025-05-12 02:04:00,,5800,,5730,,5800,5780,,,,,5830,5680,,</t>
  </si>
  <si>
    <t>2025-05-12 02:04:00,20800,,,,20100,,,,,,,,,,</t>
  </si>
  <si>
    <t>2025-05-12 02:04:00,6212807171.98203,0,0,0,0,0,0,0</t>
  </si>
  <si>
    <t>2025-05-12 02:04:00,3065616824.49703,0,0,0,0,0,0,0</t>
  </si>
  <si>
    <t>2025-05-12 02:04:00,-77270539.2626792,1491904.8239504,,-398,,-8812.07,-0.151480886839024,-103.44</t>
  </si>
  <si>
    <t>2025-05-12 02:04:00,48536445.7241822,0,0,0,0,0,0,0</t>
  </si>
  <si>
    <t>2025-05-12 02:05:00,580,,,,575,,,,,,,,,,</t>
  </si>
  <si>
    <t>2025-05-12 02:05:00,500,,,,500,,,,,,,,,,</t>
  </si>
  <si>
    <t>2025-05-12 02:05:00,,5800,,5730,,5800,5780,,,,,5950,5680,,</t>
  </si>
  <si>
    <t>2025-05-12 02:05:00,20800,,,,20100,,,,,,,,,,</t>
  </si>
  <si>
    <t>2025-05-12 02:05:00,6487863745.48432,0,0,0,0,0,0,0</t>
  </si>
  <si>
    <t>2025-05-12 02:05:00,3071763109.18855,0,0,0,0,0,0,0</t>
  </si>
  <si>
    <t>2025-05-12 02:05:00,-78585377.4018052,1531234.66158462,,-238,,-2582.02,-0.289866057086694,-43.08</t>
  </si>
  <si>
    <t>2025-05-12 02:05:00,48332201.6273594,0,0,0,0,0,0,0</t>
  </si>
  <si>
    <t>2025-05-12 02:06:00,580,,,,575,,,,,,,,,,</t>
  </si>
  <si>
    <t>2025-05-12 02:06:00,500,,,,500,,,,,,,,,,</t>
  </si>
  <si>
    <t>2025-05-12 02:06:00,,5800,5950,,,5800,5780,,,,,5950,5680,,</t>
  </si>
  <si>
    <t>2025-05-12 02:06:00,20800,,,,20100,,,,,,,,,,</t>
  </si>
  <si>
    <t>2025-05-12 02:06:00,6083244911.57015,0,0,0,0,0,0,0</t>
  </si>
  <si>
    <t>2025-05-12 02:06:00,3055173464.1518,0,0,0,0,0,0,0</t>
  </si>
  <si>
    <t>2025-05-12 02:06:00,-75527566.4364755,1645072.27051089,,-322,,-2356.65,-0.411607076993332,-47.47</t>
  </si>
  <si>
    <t>2025-05-12 02:06:00,48270984.7691283,0,0,0,0,0,0,0</t>
  </si>
  <si>
    <t>2025-05-12 02:07:00,580,,,,580,,,,,,,,,,</t>
  </si>
  <si>
    <t>2025-05-12 02:07:00,500,,,,500,,,,,,,,,,</t>
  </si>
  <si>
    <t>2025-05-12 02:07:00,,5800,5950,,,5800,5780,,,,,5950,5680,,</t>
  </si>
  <si>
    <t>2025-05-12 02:07:00,20800,,,,20100,,,,,,,,,,</t>
  </si>
  <si>
    <t>2025-05-12 02:07:00,7674461686.44101,0,0,0,0,0,0,0</t>
  </si>
  <si>
    <t>2025-05-12 02:07:00,3116321948.51154,0,0,0,0,0,0,0</t>
  </si>
  <si>
    <t>2025-05-12 02:07:00,-67242529.1977326,1826649.64339703,,-284,,-6268.16,-0.151867692458244,-73.36</t>
  </si>
  <si>
    <t>2025-05-12 02:07:00,44727706.464971,0,0,0,0,0,0,0</t>
  </si>
  <si>
    <t>2025-05-12 02:08:00,580,,,,580,,,,,,,,,,</t>
  </si>
  <si>
    <t>2025-05-12 02:08:00,505,,,,500,,,,,,,,,,</t>
  </si>
  <si>
    <t>2025-05-12 02:08:00,,5800,5950,,,5800,5780,,,,,5950,5680,,</t>
  </si>
  <si>
    <t>2025-05-12 02:08:00,20800,,,,20100,,,,,,,,,,</t>
  </si>
  <si>
    <t>2025-05-12 02:08:00,8240918399.14288,0,0,0,0,0,0,0</t>
  </si>
  <si>
    <t>2025-05-12 02:08:00,3399422576.91423,0,0,0,0,0,0,0</t>
  </si>
  <si>
    <t>2025-05-12 02:08:00,-37621215.0784661,1947161.95926755,,-594,,-16461.39,-0.257265263565789,-192.77</t>
  </si>
  <si>
    <t>2025-05-12 02:08:00,44360538.0035903,0,0,0,0,0,0,0</t>
  </si>
  <si>
    <t>2025-05-12 02:09:00,580,,,,580,,,,,,,,,,</t>
  </si>
  <si>
    <t>2025-05-12 02:09:00,500,,,,500,,,,,,,,,,</t>
  </si>
  <si>
    <t>2025-05-12 02:09:00,,5800,5950,,,5800,5780,,,,,5950,5680,,</t>
  </si>
  <si>
    <t>2025-05-12 02:09:00,20800,,,,20100,,,,,,,,,,</t>
  </si>
  <si>
    <t>2025-05-12 02:09:00,7245065073.03229,0,0,0,0,0,0,0</t>
  </si>
  <si>
    <t>2025-05-12 02:09:00,3218557072.81454,0,0,0,0,0,0,0</t>
  </si>
  <si>
    <t>2025-05-12 02:09:00,-61155265.4410966,1931848.99022636,,-116,,-1673.19,-0.111927695038826,-21.6</t>
  </si>
  <si>
    <t>2025-05-12 02:09:00,44608687.3883921,0,0,0,0,0,0,0</t>
  </si>
  <si>
    <t>2025-05-12 02:10:00,580,,,,580,,,,,,,,,,</t>
  </si>
  <si>
    <t>2025-05-12 02:10:00,505,,,,500,,,,,,,,,,</t>
  </si>
  <si>
    <t>2025-05-12 02:10:00,,5800,5950,,,5800,5780,,,,,5950,5680,,</t>
  </si>
  <si>
    <t>2025-05-12 02:10:00,20800,,,,20100,,,,,,,,,,</t>
  </si>
  <si>
    <t>2025-05-12 02:10:00,7264723873.56082,0,0,0,0,0,0,0</t>
  </si>
  <si>
    <t>2025-05-12 02:10:00,3447969129.8424,0,0,0,0,0,0,0</t>
  </si>
  <si>
    <t>2025-05-12 02:10:00,-57973682.4269534,1945094.55104688,,-91,,-4531.25,0.075475194332399,-52.53</t>
  </si>
  <si>
    <t>2025-05-12 02:10:00,44161461.4815786,0,0,0,0,0,0,0</t>
  </si>
  <si>
    <t>2025-05-12 02:11:00,580,,,,580,,,,,,,,,,</t>
  </si>
  <si>
    <t>2025-05-12 02:11:00,505,,,,500,,,,,,,,,,</t>
  </si>
  <si>
    <t>2025-05-12 02:11:00,,5800,5950,,,5800,5780,,,,,5950,5680,,</t>
  </si>
  <si>
    <t>2025-05-12 02:11:00,20800,,,,20100,,,,,,,,,,</t>
  </si>
  <si>
    <t>2025-05-12 02:11:00,7730961215.30184,0,0,0,0,0,0,0</t>
  </si>
  <si>
    <t>2025-05-12 02:11:00,3703236165.88462,0,0,0,0,0,0,0</t>
  </si>
  <si>
    <t>2025-05-12 02:11:00,-65579213.8799429,1913529.94717964,,-156,,-4103.43,-0.101718170290026,-40.82</t>
  </si>
  <si>
    <t>2025-05-12 02:11:00,45450181.3200956,0,0,0,0,0,0,0</t>
  </si>
  <si>
    <t>2025-05-12 02:12:00,580,,,,580,,,,,,,,,,</t>
  </si>
  <si>
    <t>2025-05-12 02:12:00,500,,,,500,,,,,,,,,,</t>
  </si>
  <si>
    <t>2025-05-12 02:12:00,,5800,5950,,,5800,5780,,,,,5950,5680,,</t>
  </si>
  <si>
    <t>2025-05-12 02:12:00,20800,,,,20100,,,,,,,,,,</t>
  </si>
  <si>
    <t>2025-05-12 02:12:00,7068788128.70852,0,0,0,0,0,0,0</t>
  </si>
  <si>
    <t>2025-05-12 02:12:00,3546775770.37216,0,0,0,0,0,0,0</t>
  </si>
  <si>
    <t>2025-05-12 02:12:00,-68500227.1888839,1888362.5761997,,-231,,-11907.69,0.23549368871812,-123.18</t>
  </si>
  <si>
    <t>2025-05-12 02:12:00,45731042.2716944,0,0,0,0,0,0,0</t>
  </si>
  <si>
    <t>2025-05-12 02:13:00,580,,,,580,,,,,,,,,,</t>
  </si>
  <si>
    <t>2025-05-12 02:13:00,500,,,,500,,,,,,,,,,</t>
  </si>
  <si>
    <t>2025-05-12 02:13:00,,5800,5950,,,5800,5780,,,,,5950,5680,,</t>
  </si>
  <si>
    <t>2025-05-12 02:13:00,20800,,,,20100,,,,,,,,,,</t>
  </si>
  <si>
    <t>2025-05-12 02:13:00,7465865545.01049,0,0,0,0,0,0,0</t>
  </si>
  <si>
    <t>2025-05-12 02:13:00,3218879911.32749,0,0,0,0,0,0,0</t>
  </si>
  <si>
    <t>2025-05-12 02:13:00,-67849434.1683741,1886592.46769374,,-117,,-4160.61,0.00822260160826213,-47.96</t>
  </si>
  <si>
    <t>2025-05-12 02:13:00,44661583.5571151,0,0,0,0,0,0,0</t>
  </si>
  <si>
    <t>2025-05-12 02:14:00,580,,,,580,,,,,,,,,,</t>
  </si>
  <si>
    <t>2025-05-12 02:14:00,505,,,,500,,,,,,,,,,</t>
  </si>
  <si>
    <t>2025-05-12 02:14:00,,5800,5950,,,5800,5780,,,,,5950,5680,,</t>
  </si>
  <si>
    <t>2025-05-12 02:14:00,20800,,,,20100,,,,,,,,,,</t>
  </si>
  <si>
    <t>2025-05-12 02:14:00,7000051964.71238,0,0,0,0,0,0,0</t>
  </si>
  <si>
    <t>2025-05-12 02:14:00,3589923995.24308,0,0,0,0,0,0,0</t>
  </si>
  <si>
    <t>2025-05-12 02:14:00,-67705461.296705,1983832.84034971,,-204,,-5486.03,-0.112020750205122,-55.3</t>
  </si>
  <si>
    <t>2025-05-12 02:14:00,43663173.0223831,0,0,0,0,0,0,0</t>
  </si>
  <si>
    <t>2025-05-12 02:15:00,580,,,,580,,,,,,,,,,</t>
  </si>
  <si>
    <t>2025-05-12 02:15:00,505,,,,500,,,,,,,,,,</t>
  </si>
  <si>
    <t>2025-05-12 02:15:00,,5800,5950,,,5800,5780,,,,,5950,5680,,</t>
  </si>
  <si>
    <t>2025-05-12 02:15:00,20800,,,,20100,,,,,,,,,,</t>
  </si>
  <si>
    <t>2025-05-12 02:15:00,8366654346.25117,0,0,0,0,0,0,0</t>
  </si>
  <si>
    <t>2025-05-12 02:15:00,3569567274.83536,0,0,0,0,0,0,0</t>
  </si>
  <si>
    <t>2025-05-12 02:15:00,-69916849.8504975,2066107.98097612,,-231,,-3867.67,-0.230761341783556,-52.89</t>
  </si>
  <si>
    <t>2025-05-12 02:15:00,43912711.384664,0,0,0,0,0,0,0</t>
  </si>
  <si>
    <t>2025-05-12 02:16:00,580,,,,580,,,,,,,,,,</t>
  </si>
  <si>
    <t>2025-05-12 02:16:00,505,,,,500,,,,,,,,,,</t>
  </si>
  <si>
    <t>2025-05-12 02:16:00,,5800,5870,,,5800,5780,,,,,5950,5680,,</t>
  </si>
  <si>
    <t>2025-05-12 02:16:00,20800,,,,20100,,,,,,,,,,</t>
  </si>
  <si>
    <t>2025-05-12 02:16:00,7674323385.60622,0,0,0,0,0,0,0</t>
  </si>
  <si>
    <t>2025-05-12 02:16:00,3547125159.27196,0,0,0,0,0,0,0</t>
  </si>
  <si>
    <t>2025-05-12 02:16:00,-68047829.9589586,2014982.36928665,,-422,,-21465.45,0.178843287911277,-157.79</t>
  </si>
  <si>
    <t>2025-05-12 02:16:00,43866435.8630582,0,0,0,0,0,0,0</t>
  </si>
  <si>
    <t>2025-05-12 02:17:00,580,,,,580,,,,,,,,,,</t>
  </si>
  <si>
    <t>2025-05-12 02:17:00,505,,,,500,,,,,,,,,,</t>
  </si>
  <si>
    <t>2025-05-12 02:17:00,,5800,5870,,,5800,5790,,,,,5950,5680,,</t>
  </si>
  <si>
    <t>2025-05-12 02:17:00,20800,,,,20100,,,,,,,,,,</t>
  </si>
  <si>
    <t>2025-05-12 02:17:00,7440982349.71268,0,0,0,0,0,0,0</t>
  </si>
  <si>
    <t>2025-05-12 02:17:00,3406105780.3522,0,0,0,0,0,0,0</t>
  </si>
  <si>
    <t>2025-05-12 02:17:00,-68305476.0066484,1923297.31066984,,-188,,-11707.02,0.320383428813667,-103.1</t>
  </si>
  <si>
    <t>2025-05-12 02:17:00,44359471.5163482,0,0,0,0,0,0,0</t>
  </si>
  <si>
    <t>2025-05-12 02:18:00,580,,,,580,,,,,,,,,,</t>
  </si>
  <si>
    <t>2025-05-12 02:18:00,505,,,,500,,,,,,,,,,</t>
  </si>
  <si>
    <t>2025-05-12 02:18:00,,5800,5870,,,5800,5790,,,,,5950,5680,,</t>
  </si>
  <si>
    <t>2025-05-12 02:18:00,20800,,,,20100,,,,,,,,,,</t>
  </si>
  <si>
    <t>2025-05-12 02:18:00,6799283429.07297,0,0,0,0,0,0,0</t>
  </si>
  <si>
    <t>2025-05-12 02:18:00,3693496830.41601,0,0,0,0,0,0,0</t>
  </si>
  <si>
    <t>2025-05-12 02:18:00,-69274363.6303509,1953677.65723065,,-286,,-6265.03,-0.0698793660103735,-70.07</t>
  </si>
  <si>
    <t>2025-05-12 02:18:00,45030267.5213495,0,0,0,0,0,0,0</t>
  </si>
  <si>
    <t>2025-05-12 02:19:00,580,,,,580,,,,,,,,,,</t>
  </si>
  <si>
    <t>2025-05-12 02:19:00,500,,,,500,,,,,,,,,,</t>
  </si>
  <si>
    <t>2025-05-12 02:19:00,,5800,5870,,,5800,5790,,,,,5950,5680,,</t>
  </si>
  <si>
    <t>2025-05-12 02:19:00,20800,,,,20100,,,,,,,,,,</t>
  </si>
  <si>
    <t>2025-05-12 02:19:00,7374465039.97735,0,0,0,0,0,0,0</t>
  </si>
  <si>
    <t>2025-05-12 02:19:00,3180264727.38841,0,0,0,0,0,0,0</t>
  </si>
  <si>
    <t>2025-05-12 02:19:00,-71793750.1652474,1867009.76202701,,-259,,-21943.05,0.456384551410606,-153.4</t>
  </si>
  <si>
    <t>2025-05-12 02:19:00,44631114.6291985,0,0,0,0,0,0,0</t>
  </si>
  <si>
    <t>2025-05-12 02:20:00,580,,,,580,,,,,,,,,,</t>
  </si>
  <si>
    <t>2025-05-12 02:20:00,505,,,,500,,,,,,,,,,</t>
  </si>
  <si>
    <t>2025-05-12 02:20:00,,5800,5870,,,5800,5790,,,,,5950,5680,,</t>
  </si>
  <si>
    <t>2025-05-12 02:20:00,20800,,,,20100,,,,,,,,,,</t>
  </si>
  <si>
    <t>2025-05-12 02:20:00,8711624606.62426,0,0,0,0,0,0,0</t>
  </si>
  <si>
    <t>2025-05-12 02:20:00,3562125086.4555,0,0,0,0,0,0,0</t>
  </si>
  <si>
    <t>2025-05-12 02:20:00,-72758891.2039607,2000132.85606034,,-224,,-3130.18,-0.239610021017868,-62.18</t>
  </si>
  <si>
    <t>2025-05-12 02:20:00,43821257.8892385,0,0,0,0,0,0,0</t>
  </si>
  <si>
    <t>2025-05-12 02:21:00,580,,,,580,,,,,,,,,,</t>
  </si>
  <si>
    <t>2025-05-12 02:21:00,505,,,,500,,,,,,,,,,</t>
  </si>
  <si>
    <t>2025-05-12 02:21:00,,5800,5870,,,5800,5790,,,,,5950,5680,,</t>
  </si>
  <si>
    <t>2025-05-12 02:21:00,20800,,,,20100,,,,,,,,,,</t>
  </si>
  <si>
    <t>2025-05-12 02:21:00,7232774612.46416,0,0,0,0,0,0,0</t>
  </si>
  <si>
    <t>2025-05-12 02:21:00,3582340567.23965,0,0,0,0,0,0,0</t>
  </si>
  <si>
    <t>2025-05-12 02:21:00,-69659793.5626721,2154566.79930316,,-682,,-19777.41,-0.265081470316474,-225.04</t>
  </si>
  <si>
    <t>2025-05-12 02:21:00,43777003.6649373,0,0,0,0,0,0,0</t>
  </si>
  <si>
    <t>2025-05-12 02:23:00,580,,,,580,,,,,,,,,,</t>
  </si>
  <si>
    <t>2025-05-12 02:23:00,500,,,,500,,,,,,,,,,</t>
  </si>
  <si>
    <t>2025-05-12 02:23:00,,5800,5870,,,5800,5790,,,,,5950,5680,,</t>
  </si>
  <si>
    <t>2025-05-12 02:23:00,20800,,,,20100,,,,,,,,,,</t>
  </si>
  <si>
    <t>2025-05-12 02:23:00,7583286971.09943,0,0,0,0,0,0,0</t>
  </si>
  <si>
    <t>2025-05-12 02:23:00,2656534309.1993,0,0,0,0,0,0,0</t>
  </si>
  <si>
    <t>2025-05-12 02:23:00,-60482352.9831559,2109341.68800503,,-235,,-6883.62,-0.113869477436019,-86.84</t>
  </si>
  <si>
    <t>2025-05-12 02:23:00,43225467.5673811,0,0,0,0,0,0,0</t>
  </si>
  <si>
    <t>2025-05-12 02:24:00,580,,,,580,,,,,,,,,,</t>
  </si>
  <si>
    <t>2025-05-12 02:24:00,500,,,,500,,,,,,,,,,</t>
  </si>
  <si>
    <t>2025-05-12 02:24:00,,5800,5870,,,5800,5790,,,,,5870,5680,,</t>
  </si>
  <si>
    <t>2025-05-12 02:24:00,20800,,,,20100,,,,,,,,,,</t>
  </si>
  <si>
    <t>2025-05-12 02:24:00,8107613047.55825,0,0,0,0,0,0,0</t>
  </si>
  <si>
    <t>2025-05-12 02:24:00,2584036184.29575,0,0,0,0,0,0,0</t>
  </si>
  <si>
    <t>2025-05-12 02:24:00,-47372288.5621917,2166972.61746279,,-155,,-2340.34,-0.183821005065381,-35.24</t>
  </si>
  <si>
    <t>2025-05-12 02:24:00,42640220.6204132,0,0,0,0,0,0,0</t>
  </si>
  <si>
    <t>2025-05-12 02:25:00,580,,,,580,,,,,,,,,,</t>
  </si>
  <si>
    <t>2025-05-12 02:25:00,500,,,,500,,,,,,,,,,</t>
  </si>
  <si>
    <t>2025-05-12 02:25:00,5650,,5870,,,5800,5790,,,,,5870,5680,,</t>
  </si>
  <si>
    <t>2025-05-12 02:25:00,20800,,,,20100,,,,,,,,,,</t>
  </si>
  <si>
    <t>2025-05-12 02:25:00,8281054207.54515,0,0,0,0,0,0,0</t>
  </si>
  <si>
    <t>2025-05-12 02:25:00,2594465379.74846,0,0,0,0,0,0,0</t>
  </si>
  <si>
    <t>2025-05-12 02:25:00,31242937.2673255,2184686.86790064,,-234,,-7661.48,-0.0678075643110943,-91.01</t>
  </si>
  <si>
    <t>2025-05-12 02:25:00,42224584.2334409,0,0,0,0,0,0,0</t>
  </si>
  <si>
    <t>2025-05-12 02:26:00,580,,,,580,,,,,,,,,,</t>
  </si>
  <si>
    <t>2025-05-12 02:26:00,510,,,,500,,,,,,,,,,</t>
  </si>
  <si>
    <t>2025-05-12 02:26:00,5650,,5870,,,5800,5790,,,,,5870,5680,,</t>
  </si>
  <si>
    <t>2025-05-12 02:26:00,20800,,,,20100,,,,,,,,,,</t>
  </si>
  <si>
    <t>2025-05-12 02:26:00,6550627170.55786,0,0,0,0,0,0,0</t>
  </si>
  <si>
    <t>2025-05-12 02:26:00,2390866420.69284,0,0,0,0,0,0,0</t>
  </si>
  <si>
    <t>2025-05-12 02:26:00,32062469.2028109,2282854.48606744,,-459,,-8048.16,-0.449077303820956,-108.66</t>
  </si>
  <si>
    <t>2025-05-12 02:26:00,41553790.7987628,0,0,0,0,0,0,0</t>
  </si>
  <si>
    <t>2025-05-12 02:27:00,580,,,,580,,,,,,,,,,</t>
  </si>
  <si>
    <t>2025-05-12 02:27:00,510,,,,500,,,,,,,,,,</t>
  </si>
  <si>
    <t>2025-05-12 02:27:00,5650,,5870,,,5800,5790,,,,,5870,5680,,</t>
  </si>
  <si>
    <t>2025-05-12 02:27:00,20800,,,,20100,,,,,,,,,,</t>
  </si>
  <si>
    <t>2025-05-12 02:27:00,5998746841.9187,0,0,0,0,0,0,0</t>
  </si>
  <si>
    <t>2025-05-12 02:27:00,2421866262.25838,0,0,0,0,0,0,0</t>
  </si>
  <si>
    <t>2025-05-12 02:27:00,36742980.5792144,2281713.12834209,,-120,,-3949.17,-0.034842059797823,-45.93</t>
  </si>
  <si>
    <t>2025-05-12 02:27:00,41001891.9802725,0,0,0,0,0,0,0</t>
  </si>
  <si>
    <t>2025-05-12 02:28:00,580,,,,580,,,,,,,,,,</t>
  </si>
  <si>
    <t>2025-05-12 02:28:00,500,,,,500,,,,,,,,,,</t>
  </si>
  <si>
    <t>2025-05-12 02:28:00,5650,,5870,,,5800,5790,,,,,5870,5680,,</t>
  </si>
  <si>
    <t>2025-05-12 02:28:00,20800,,,,20100,,,,,,,,,,</t>
  </si>
  <si>
    <t>2025-05-12 02:28:00,6936589648.80315,0,0,0,0,0,0,0</t>
  </si>
  <si>
    <t>2025-05-12 02:28:00,2585339385.13082,0,0,0,0,0,0,0</t>
  </si>
  <si>
    <t>2025-05-12 02:28:00,31876639.5910728,2228176.32541964,,-145,,-5733.29,0.00419178650905479,-55.18</t>
  </si>
  <si>
    <t>2025-05-12 02:28:00,42676425.5187475,0,0,0,0,0,0,0</t>
  </si>
  <si>
    <t>2025-05-12 02:29:00,580,,,,580,,,,,,,,,,</t>
  </si>
  <si>
    <t>2025-05-12 02:29:00,510,,,,500,,,,,,,,,,</t>
  </si>
  <si>
    <t>2025-05-12 02:29:00,5650,,5870,,,5800,5790,,,,,5870,5680,,</t>
  </si>
  <si>
    <t>2025-05-12 02:29:00,20800,,,,20100,,,,,,,,,,</t>
  </si>
  <si>
    <t>2025-05-12 02:29:00,6125026013.61035,0,0,0,0,0,0,0</t>
  </si>
  <si>
    <t>2025-05-12 02:29:00,2388719711.83983,0,0,0,0,0,0,0</t>
  </si>
  <si>
    <t>2025-05-12 02:29:00,38325791.6213224,2240962.0692388,,-278,,-6722.11,-0.140666224105733,-102.21</t>
  </si>
  <si>
    <t>2025-05-12 02:29:00,41533443.7283315,0,0,0,0,0,0,0</t>
  </si>
  <si>
    <t>2025-05-12 02:30:00,580,,,,580,,,,,,,,,,</t>
  </si>
  <si>
    <t>2025-05-12 02:30:00,510,,,,500,,,,,,,,,,</t>
  </si>
  <si>
    <t>2025-05-12 02:30:00,5650,,5870,,,5800,5790,,,,,5870,5680,,</t>
  </si>
  <si>
    <t>2025-05-12 02:30:00,20800,,,,20100,,,,,,,,,,</t>
  </si>
  <si>
    <t>2025-05-12 02:30:00,6140372886.89949,0,0,0,0,0,0,0</t>
  </si>
  <si>
    <t>2025-05-12 02:30:00,2389403683.06074,0,0,0,0,0,0,0</t>
  </si>
  <si>
    <t>2025-05-12 02:30:00,38562825.6015865,2318258.90759997,,-271,,-2073.45,-0.339839372477577,-37.08</t>
  </si>
  <si>
    <t>2025-05-12 02:30:00,41672983.6041865,0,0,0,0,0,0,0</t>
  </si>
  <si>
    <t>2025-05-12 02:31:00,580,,,,580,,,,,,,,,,</t>
  </si>
  <si>
    <t>2025-05-12 02:31:00,500,,,,500,,,,,,,,,,</t>
  </si>
  <si>
    <t>2025-05-12 02:31:00,5650,,5870,,,5800,5790,,,,,5870,5680,,</t>
  </si>
  <si>
    <t>2025-05-12 02:31:00,20800,,,,20100,,,,,,,,,,</t>
  </si>
  <si>
    <t>2025-05-12 02:31:00,7241511899.29324,0,0,0,0,0,0,0</t>
  </si>
  <si>
    <t>2025-05-12 02:31:00,2594179080.18387,0,0,0,0,0,0,0</t>
  </si>
  <si>
    <t>2025-05-12 02:31:00,31540489.7707383,2344512.27024157,,-321,,-6701.47,-0.211468532896413,-95.52</t>
  </si>
  <si>
    <t>2025-05-12 02:31:00,42331093.0094423,0,0,0,0,0,0,0</t>
  </si>
  <si>
    <t>2025-05-12 02:32:00,580,,,,580,,,,,,,,,,</t>
  </si>
  <si>
    <t>2025-05-12 02:32:00,510,,,,500,,,,,,,,,,</t>
  </si>
  <si>
    <t>2025-05-12 02:32:00,5650,,5870,,,5800,5790,,,,,5900,5680,,</t>
  </si>
  <si>
    <t>2025-05-12 02:32:00,20800,,,,20100,,,,,,,,,,</t>
  </si>
  <si>
    <t>2025-05-12 02:32:00,5999853368.08101,0,0,0,0,0,0,0</t>
  </si>
  <si>
    <t>2025-05-12 02:32:00,2596465104.06738,0,0,0,0,0,0,0</t>
  </si>
  <si>
    <t>2025-05-12 02:32:00,34091151.7643797,2443114.49010021,,-316,,-5281.83,-0.28385680870174,-78.62</t>
  </si>
  <si>
    <t>2025-05-12 02:32:00,41993424.3026685,0,0,0,0,0,0,0</t>
  </si>
  <si>
    <t>2025-05-12 02:33:00,580,,,,580,,,,,,,,,,</t>
  </si>
  <si>
    <t>2025-05-12 02:33:00,500,,,,500,,,,,,,,,,</t>
  </si>
  <si>
    <t>2025-05-12 02:33:00,5650,,5870,,,5800,5800,,,,,5900,5680,,</t>
  </si>
  <si>
    <t>2025-05-12 02:33:00,20800,,,,20100,,,,,,,,,,</t>
  </si>
  <si>
    <t>2025-05-12 02:33:00,6796103481.39811,0,0,0,0,0,0,0</t>
  </si>
  <si>
    <t>2025-05-12 02:33:00,2593365818.28375,0,0,0,0,0,0,0</t>
  </si>
  <si>
    <t>2025-05-12 02:33:00,30245780.2101197,2378165.42786815,,-110,,-9118.22,0.227477336594591,-71.67</t>
  </si>
  <si>
    <t>2025-05-12 02:33:00,42381948.3583714,0,0,0,0,0,0,0</t>
  </si>
  <si>
    <t>2025-05-12 02:34:00,580,,,,580,,,,,,,,,,</t>
  </si>
  <si>
    <t>2025-05-12 02:34:00,500,,,,500,,,,,,,,,,</t>
  </si>
  <si>
    <t>2025-05-12 02:34:00,,5800,5870,,,5800,5800,,,,,5900,5680,,</t>
  </si>
  <si>
    <t>2025-05-12 02:34:00,20800,,,,20100,,,,,,,,,,</t>
  </si>
  <si>
    <t>2025-05-12 02:34:00,8305214498.02525,0,0,0,0,0,0,0</t>
  </si>
  <si>
    <t>2025-05-12 02:34:00,2584690555.25386,0,0,0,0,0,0,0</t>
  </si>
  <si>
    <t>2025-05-12 02:34:00,-47417613.0253704,2366832.37490902,,-170,,-10731.35,0.194130817012521,-104.34</t>
  </si>
  <si>
    <t>2025-05-12 02:34:00,42689981.5713208,0,0,0,0,0,0,0</t>
  </si>
  <si>
    <t>2025-05-12 02:35:00,580,,,,580,,,,,,,,,,</t>
  </si>
  <si>
    <t>2025-05-12 02:35:00,500,,,,500,,,,,,,,,,</t>
  </si>
  <si>
    <t>2025-05-12 02:35:00,,5800,5870,,,5800,5800,,,,,5950,5680,,</t>
  </si>
  <si>
    <t>2025-05-12 02:35:00,20800,,,,20100,,,,,,,,,,</t>
  </si>
  <si>
    <t>2025-05-12 02:35:00,8150396969.31957,0,0,0,0,0,0,0</t>
  </si>
  <si>
    <t>2025-05-12 02:35:00,2581801510.29029,0,0,0,0,0,0,0</t>
  </si>
  <si>
    <t>2025-05-12 02:35:00,-52548220.5508127,2363999.1602894,,-83,,-3289.78,0.0100559882227749,-31.16</t>
  </si>
  <si>
    <t>2025-05-12 02:35:00,42834495.1896964,0,0,0,0,0,0,0</t>
  </si>
  <si>
    <t>2025-05-12 02:36:00,580,,,,580,,,,,,,,,,</t>
  </si>
  <si>
    <t>2025-05-12 02:36:00,500,,,,500,,,,,,,,,,</t>
  </si>
  <si>
    <t>2025-05-12 02:36:00,,5800,5870,,,5800,5800,,,,,5950,5680,,</t>
  </si>
  <si>
    <t>2025-05-12 02:36:00,20800,,,,20100,,,,,,,,,,</t>
  </si>
  <si>
    <t>2025-05-12 02:36:00,7013761857.57836,0,0,0,0,0,0,0</t>
  </si>
  <si>
    <t>2025-05-12 02:36:00,3132081774.18576,0,0,0,0,0,0,0</t>
  </si>
  <si>
    <t>2025-05-12 02:36:00,-60202952.2492046,2334027.03904441,,-133,,-4141.89,-0.0168955218418875,-55.62</t>
  </si>
  <si>
    <t>2025-05-12 02:36:00,43650979.8311193,0,0,0,0,0,0,0</t>
  </si>
  <si>
    <t>2025-05-12 02:37:00,580,,,,580,,,,,,,,,,</t>
  </si>
  <si>
    <t>2025-05-12 02:37:00,505,,,,500,,,,,,,,,,</t>
  </si>
  <si>
    <t>2025-05-12 02:37:00,,5800,5950,,,5800,5800,,,,,5950,5680,,</t>
  </si>
  <si>
    <t>2025-05-12 02:37:00,20800,,,,20100,,,,,,,,,,</t>
  </si>
  <si>
    <t>2025-05-12 02:37:00,8717932117.04625,0,0,0,0,0,0,0</t>
  </si>
  <si>
    <t>2025-05-12 02:37:00,3581518989.81928,0,0,0,0,0,0,0</t>
  </si>
  <si>
    <t>2025-05-12 02:37:00,-62902366.3959184,2349361.02047164,,-449,,-15283.18,0.0192742960140705,-132.85</t>
  </si>
  <si>
    <t>2025-05-12 02:37:00,43692112.6112918,0,0,0,0,0,0,0</t>
  </si>
  <si>
    <t>2025-05-12 02:38:00,580,,,,580,,,,,,,,,,</t>
  </si>
  <si>
    <t>2025-05-12 02:38:00,505,,,,500,,,,,,,,,,</t>
  </si>
  <si>
    <t>2025-05-12 02:38:00,,5800,5950,,,5800,5800,,,,,5950,5680,,</t>
  </si>
  <si>
    <t>2025-05-12 02:38:00,20800,,,,20100,,,,,,,,,,</t>
  </si>
  <si>
    <t>2025-05-12 02:38:00,7000261185.43171,0,0,0,0,0,0,0</t>
  </si>
  <si>
    <t>2025-05-12 02:38:00,3511911110.81262,0,0,0,0,0,0,0</t>
  </si>
  <si>
    <t>2025-05-12 02:38:00,-59643836.5134586,2343026.48905776,,-46,,-2799.53,0.0612548121768428,-27.14</t>
  </si>
  <si>
    <t>2025-05-12 02:38:00,43653844.4611574,0,0,0,0,0,0,0</t>
  </si>
  <si>
    <t>2025-05-12 02:39:00,580,,,,580,,,,,,,,,,</t>
  </si>
  <si>
    <t>2025-05-12 02:39:00,505,,,,500,,,,,,,,,,</t>
  </si>
  <si>
    <t>2025-05-12 02:39:00,,5800,5950,,,5800,5800,,,,,5950,5680,,</t>
  </si>
  <si>
    <t>2025-05-12 02:39:00,20800,,,,20100,,,,,,,,,,</t>
  </si>
  <si>
    <t>2025-05-12 02:39:00,6902600887.0634,0,0,0,0,0,0,0</t>
  </si>
  <si>
    <t>2025-05-12 02:39:00,3581051672.62275,0,0,0,0,0,0,0</t>
  </si>
  <si>
    <t>2025-05-12 02:39:00,-61762280.417469,2395240.46261236,,-133,,-3721.38,-0.0242100155059617,-53.93</t>
  </si>
  <si>
    <t>2025-05-12 02:39:00,43820509.9772724,0,0,0,0,0,0,0</t>
  </si>
  <si>
    <t>2025-05-12 02:40:00,580,,,,580,,,,,,,,,,</t>
  </si>
  <si>
    <t>2025-05-12 02:40:00,505,,,,500,,,,,,,,,,</t>
  </si>
  <si>
    <t>2025-05-12 02:40:00,,5800,5950,,,5800,5800,,,,,5950,5680,,</t>
  </si>
  <si>
    <t>2025-05-12 02:40:00,20800,,,,20100,,,,,,,,,,</t>
  </si>
  <si>
    <t>2025-05-12 02:40:00,6893650487.08989,0,0,0,0,0,0,0</t>
  </si>
  <si>
    <t>2025-05-12 02:40:00,3589299975.49356,0,0,0,0,0,0,0</t>
  </si>
  <si>
    <t>2025-05-12 02:40:00,-64771596.0316995,2389988.46039513,,-25,,-855.77,0.00180139307767706,-11.03</t>
  </si>
  <si>
    <t>2025-05-12 02:40:00,43824301.9686921,0,0,0,0,0,0,0</t>
  </si>
  <si>
    <t>2025-05-12 02:41:00,580,,,,580,,,,,,,,,,</t>
  </si>
  <si>
    <t>2025-05-12 02:41:00,505,,,,500,,,,,,,,,,</t>
  </si>
  <si>
    <t>2025-05-12 02:41:00,,5800,5950,,,5800,5800,,,,,5950,5680,,</t>
  </si>
  <si>
    <t>2025-05-12 02:41:00,20800,,,,20100,,,,,,,,,,</t>
  </si>
  <si>
    <t>2025-05-12 02:41:00,8039156781.47221,0,0,0,0,0,0,0</t>
  </si>
  <si>
    <t>2025-05-12 02:41:00,3462176225.94584,0,0,0,0,0,0,0</t>
  </si>
  <si>
    <t>2025-05-12 02:41:00,-63355880.0017142,2448027.99301263,,-93,,-1776.05,-0.0770058514285715,-25.48</t>
  </si>
  <si>
    <t>2025-05-12 02:41:00,44197814.7917178,0,0,0,0,0,0,0</t>
  </si>
  <si>
    <t>2025-05-12 02:42:00,580,,,,580,,,,,,,,,,</t>
  </si>
  <si>
    <t>2025-05-12 02:42:00,500,,,,500,,,,,,,,,,</t>
  </si>
  <si>
    <t>2025-05-12 02:42:00,,5800,5950,,,5800,5800,,,,,5950,5680,,</t>
  </si>
  <si>
    <t>2025-05-12 02:42:00,20800,,,,20100,,,,,,,,,,</t>
  </si>
  <si>
    <t>2025-05-12 02:42:00,6945107265.8391,0,0,0,0,0,0,0</t>
  </si>
  <si>
    <t>2025-05-12 02:42:00,3195305675.79621,0,0,0,0,0,0,0</t>
  </si>
  <si>
    <t>2025-05-12 02:42:00,-65811043.0468677,2405432.80848926,,-218,,-4546.01,0.0122178249541863,-47.01</t>
  </si>
  <si>
    <t>2025-05-12 02:42:00,44779806.479453,0,0,0,0,0,0,0</t>
  </si>
  <si>
    <t>2025-05-12 02:43:00,580,,,,580,,,,,,,,,,</t>
  </si>
  <si>
    <t>2025-05-12 02:43:00,500,,,,500,,,,,,,,,,</t>
  </si>
  <si>
    <t>2025-05-12 02:43:00,,5800,5950,,,5800,5800,,,,,5950,5680,,</t>
  </si>
  <si>
    <t>2025-05-12 02:43:00,20800,,,,20100,,,,,,,,,,</t>
  </si>
  <si>
    <t>2025-05-12 02:43:00,6972057628.33414,0,0,0,0,0,0,0</t>
  </si>
  <si>
    <t>2025-05-12 02:43:00,3195358481.3459,0,0,0,0,0,0,0</t>
  </si>
  <si>
    <t>2025-05-12 02:43:00,-65488426.5688815,2384528.21068184,,-169,,-9365.06,0.168817545226396,-85.55</t>
  </si>
  <si>
    <t>2025-05-12 02:43:00,44716491.4547219,0,0,0,0,0,0,0</t>
  </si>
  <si>
    <t>2025-05-12 02:44:00,580,,,,580,,,,,,,,,,</t>
  </si>
  <si>
    <t>2025-05-12 02:44:00,500,,,,500,,,,,,,,,,</t>
  </si>
  <si>
    <t>2025-05-12 02:44:00,,5800,5900,,,5800,5800,,,,,5950,5680,,</t>
  </si>
  <si>
    <t>2025-05-12 02:44:00,20800,,,,20100,,,,,,,,,,</t>
  </si>
  <si>
    <t>2025-05-12 02:44:00,6708887783.79683,0,0,0,0,0,0,0</t>
  </si>
  <si>
    <t>2025-05-12 02:44:00,3045368816.87159,0,0,0,0,0,0,0</t>
  </si>
  <si>
    <t>2025-05-12 02:44:00,-66992432.8188438,2347684.88597799,,-97,,-4701.33,0.065802782186444,-50.08</t>
  </si>
  <si>
    <t>2025-05-12 02:44:00,44932360.6694181,0,0,0,0,0,0,0</t>
  </si>
  <si>
    <t>2025-05-12 02:45:00,580,,,,580,,,,,,,,,,</t>
  </si>
  <si>
    <t>2025-05-12 02:45:00,500,,,,500,,,,,,,,,,</t>
  </si>
  <si>
    <t>2025-05-12 02:45:00,,5800,5900,,,5800,5800,,,,,5950,5680,,</t>
  </si>
  <si>
    <t>2025-05-12 02:45:00,20800,,,,20100,,,,,,,,,,</t>
  </si>
  <si>
    <t>2025-05-12 02:45:00,6968822022.27136,0,0,0,0,0,0,0</t>
  </si>
  <si>
    <t>2025-05-12 02:45:00,3253276525.08231,0,0,0,0,0,0,0</t>
  </si>
  <si>
    <t>2025-05-12 02:45:00,-67838215.6416239,2346186.45801206,,-81,,-3782.35,0.0732508355175864,-42.26</t>
  </si>
  <si>
    <t>2025-05-12 02:45:00,44468041.8758398,0,0,0,0,0,0,0</t>
  </si>
  <si>
    <t>2025-05-12 02:46:00,580,,,,580,,,,,,,,,,</t>
  </si>
  <si>
    <t>2025-05-12 02:46:00,500,,,,500,,,,,,,,,,</t>
  </si>
  <si>
    <t>2025-05-12 02:46:00,,5800,5900,,,5800,5800,,,,,5950,5680,,</t>
  </si>
  <si>
    <t>2025-05-12 02:46:00,20800,,,,20100,,,,,,,,,,</t>
  </si>
  <si>
    <t>2025-05-12 02:46:00,6930498254.39139,0,0,0,0,0,0,0</t>
  </si>
  <si>
    <t>2025-05-12 02:46:00,3259523901.11659,0,0,0,0,0,0,0</t>
  </si>
  <si>
    <t>2025-05-12 02:46:00,-66557015.1696315,2353045.45133736,,-54,,-1547.04,0.0119423174418208,-18.33</t>
  </si>
  <si>
    <t>2025-05-12 02:46:00,44441381.4625196,0,0,0,0,0,0,0</t>
  </si>
  <si>
    <t>2025-05-12 02:47:00,580,,,,575,,,,,,,,,,</t>
  </si>
  <si>
    <t>2025-05-12 02:47:00,505,,,,500,,,,,,,,,,</t>
  </si>
  <si>
    <t>2025-05-12 02:47:00,,5800,5900,,,5800,5800,,,,,5950,5680,,</t>
  </si>
  <si>
    <t>2025-05-12 02:47:00,20800,,,,20100,,,,,,,,,,</t>
  </si>
  <si>
    <t>2025-05-12 02:47:00,7222387633.7368,0,0,0,0,0,0,0</t>
  </si>
  <si>
    <t>2025-05-12 02:47:00,3807305341.23501,0,0,0,0,0,0,0</t>
  </si>
  <si>
    <t>2025-05-12 02:47:00,-81128287.8769949,2317093.42968487,,-117,,-4253.63,0.029350514419868,-54.79</t>
  </si>
  <si>
    <t>2025-05-12 02:47:00,45036853.7624881,0,0,0,0,0,0,0</t>
  </si>
  <si>
    <t>2025-05-12 02:48:00,580,,,,575,,,,,,,,,,</t>
  </si>
  <si>
    <t>2025-05-12 02:48:00,500,,,,500,,,,,,,,,,</t>
  </si>
  <si>
    <t>2025-05-12 02:48:00,,5800,5900,,,5800,5800,,,,,5950,5680,,</t>
  </si>
  <si>
    <t>2025-05-12 02:48:00,20800,,,,20100,,,,,,,,,,</t>
  </si>
  <si>
    <t>2025-05-12 02:48:00,6961169429.02024,0,0,0,0,0,0,0</t>
  </si>
  <si>
    <t>2025-05-12 02:48:00,3636795669.16335,0,0,0,0,0,0,0</t>
  </si>
  <si>
    <t>2025-05-12 02:48:00,-79221451.8633916,2322864.12658364,,-147,,-4938.3,-0.00645874382048826,-57.54</t>
  </si>
  <si>
    <t>2025-05-12 02:48:00,45510702.0016704,0,0,0,0,0,0,0</t>
  </si>
  <si>
    <t>2025-05-12 02:49:00,580,,,,575,,,,,,,,,,</t>
  </si>
  <si>
    <t>2025-05-12 02:49:00,505,,,,500,,,,,,,,,,</t>
  </si>
  <si>
    <t>2025-05-12 02:49:00,,5800,5900,,,5800,5800,,,,,5950,5680,,</t>
  </si>
  <si>
    <t>2025-05-12 02:49:00,20800,,,,20100,,,,,,,,,,</t>
  </si>
  <si>
    <t>2025-05-12 02:49:00,7034340811.74259,0,0,0,0,0,0,0</t>
  </si>
  <si>
    <t>2025-05-12 02:49:00,3537540662.19259,0,0,0,0,0,0,0</t>
  </si>
  <si>
    <t>2025-05-12 02:49:00,-80598531.7146827,2296263.05033527,,-118,,-3942.76,0.0295498000706134,-51.41</t>
  </si>
  <si>
    <t>2025-05-12 02:49:00,45203157.0299615,0,0,0,0,0,0,0</t>
  </si>
  <si>
    <t>2025-05-12 02:50:00,580,,,,575,,,,,,,,,,</t>
  </si>
  <si>
    <t>2025-05-12 02:50:00,505,,,,500,,,,,,,,,,</t>
  </si>
  <si>
    <t>2025-05-12 02:50:00,,5800,5900,,,5800,5800,,,,,5950,5680,,</t>
  </si>
  <si>
    <t>2025-05-12 02:50:00,20800,,,,20100,,,,,,,,,,</t>
  </si>
  <si>
    <t>2025-05-12 02:50:00,7070105638.83607,0,0,0,0,0,0,0</t>
  </si>
  <si>
    <t>2025-05-12 02:50:00,3773271579.14503,0,0,0,0,0,0,0</t>
  </si>
  <si>
    <t>2025-05-12 02:50:00,-80529685.8324081,2297498.61280477,,-38,,-983.66,-0.00611678514568656,-12.77</t>
  </si>
  <si>
    <t>2025-05-12 02:50:00,45319471.7856839,0,0,0,0,0,0,0</t>
  </si>
  <si>
    <t>2025-05-12 02:51:00,580,,,,575,,,,,,,,,,</t>
  </si>
  <si>
    <t>2025-05-12 02:51:00,500,,,,500,,,,,,,,,,</t>
  </si>
  <si>
    <t>2025-05-12 02:51:00,,5800,5900,,,5800,5800,,,,,5950,5680,,</t>
  </si>
  <si>
    <t>2025-05-12 02:51:00,20800,,,,20100,,,,,,,,,,</t>
  </si>
  <si>
    <t>2025-05-12 02:51:00,7069390039.51321,0,0,0,0,0,0,0</t>
  </si>
  <si>
    <t>2025-05-12 02:51:00,3577658349.5336,0,0,0,0,0,0,0</t>
  </si>
  <si>
    <t>2025-05-12 02:51:00,-81657429.0382695,2280188.86015474,,-60,,-2196.61,0.0156710620005929,-31.57</t>
  </si>
  <si>
    <t>2025-05-12 02:51:00,45655001.0542454,0,0,0,0,0,0,0</t>
  </si>
  <si>
    <t>2025-05-12 02:52:00,580,,,,575,,,,,,,,,,</t>
  </si>
  <si>
    <t>2025-05-12 02:52:00,500,,,,500,,,,,,,,,,</t>
  </si>
  <si>
    <t>2025-05-12 02:52:00,,5800,5900,,,5800,5800,,,,,5950,5680,,</t>
  </si>
  <si>
    <t>2025-05-12 02:52:00,20800,,,,20100,,,,,,,,,,</t>
  </si>
  <si>
    <t>2025-05-12 02:52:00,6793169702.06025,0,0,0,0,0,0,0</t>
  </si>
  <si>
    <t>2025-05-12 02:52:00,3484929315.11755,0,0,0,0,0,0,0</t>
  </si>
  <si>
    <t>2025-05-12 02:52:00,-81077717.2102074,2243113.59777934,,-43,,-1419.93,0.00963079613861194,-18.44</t>
  </si>
  <si>
    <t>2025-05-12 02:52:00,45784651.6592642,0,0,0,0,0,0,0</t>
  </si>
  <si>
    <t>2025-05-12 02:53:00,580,,,,575,,,,,,,,,,</t>
  </si>
  <si>
    <t>2025-05-12 02:53:00,500,,,,500,,,,,,,,,,</t>
  </si>
  <si>
    <t>2025-05-12 02:53:00,,5800,5900,,,5800,5800,,,,,5950,5680,,</t>
  </si>
  <si>
    <t>2025-05-12 02:53:00,20800,,,,20100,,,,,,,,,,</t>
  </si>
  <si>
    <t>2025-05-12 02:53:00,6684887017.02112,0,0,0,0,0,0,0</t>
  </si>
  <si>
    <t>2025-05-12 02:53:00,3397721166.32278,0,0,0,0,0,0,0</t>
  </si>
  <si>
    <t>2025-05-12 02:53:00,-78943296.5890146,2233302.78820414,,-44,,-1827.5,0.0273754724470886,-19.25</t>
  </si>
  <si>
    <t>2025-05-12 02:53:00,45998333.5000981,0,0,0,0,0,0,0</t>
  </si>
  <si>
    <t>2025-05-12 02:54:00,580,,,,575,,,,,,,,,,</t>
  </si>
  <si>
    <t>2025-05-12 02:54:00,500,,,,500,,,,,,,,,,</t>
  </si>
  <si>
    <t>2025-05-12 02:54:00,,5800,5900,,,5800,5800,,,,,5950,5680,,</t>
  </si>
  <si>
    <t>2025-05-12 02:54:00,20800,,,,20100,,,,,,,,,,</t>
  </si>
  <si>
    <t>2025-05-12 02:54:00,6494809533.05113,0,0,0,0,0,0,0</t>
  </si>
  <si>
    <t>2025-05-12 02:54:00,3304763098.36227,0,0,0,0,0,0,0</t>
  </si>
  <si>
    <t>2025-05-12 02:54:00,-78197059.9983797,2210013.01121918,,-83,,-3172.65,0.0506588643875816,-35.28</t>
  </si>
  <si>
    <t>2025-05-12 02:54:00,46201490.0958769,0,0,0,0,0,0,0</t>
  </si>
  <si>
    <t>2025-05-12 02:55:00,580,,,,575,,,,,,,,,,</t>
  </si>
  <si>
    <t>2025-05-12 02:55:00,500,,,,500,,,,,,,,,,</t>
  </si>
  <si>
    <t>2025-05-12 02:55:00,,5800,5900,,,5800,5800,,,,,5900,5680,,</t>
  </si>
  <si>
    <t>2025-05-12 02:55:00,20800,,,,20100,,,,,,,,,,</t>
  </si>
  <si>
    <t>2025-05-12 02:55:00,6261695501.31933,0,0,0,0,0,0,0</t>
  </si>
  <si>
    <t>2025-05-12 02:55:00,3574697310.18953,0,0,0,0,0,0,0</t>
  </si>
  <si>
    <t>2025-05-12 02:55:00,-78622476.2010562,2225315.20941736,,-415,,-7383.49,-0.0998485065413374,-85.78</t>
  </si>
  <si>
    <t>2025-05-12 02:55:00,46786513.8964426,0,0,0,0,0,0,0</t>
  </si>
  <si>
    <t>2025-05-12 02:56:00,580,,,,575,,,,,,,,,,</t>
  </si>
  <si>
    <t>2025-05-12 02:56:00,500,,,,500,,,,,,,,,,</t>
  </si>
  <si>
    <t>2025-05-12 02:56:00,,5800,5900,,,5800,5800,,,,,5900,5680,,</t>
  </si>
  <si>
    <t>2025-05-12 02:56:00,20800,,,,20100,,,,,,,,,,</t>
  </si>
  <si>
    <t>2025-05-12 02:56:00,5848865805.01607,0,0,0,0,0,0,0</t>
  </si>
  <si>
    <t>2025-05-12 02:56:00,3300633287.78527,0,0,0,0,0,0,0</t>
  </si>
  <si>
    <t>2025-05-12 02:56:00,-84315359.8988217,2219884.18246878,,-259,,-5516.4,-0.141982421685366,-48.47</t>
  </si>
  <si>
    <t>2025-05-12 02:56:00,47347065.6598712,0,0,0,0,0,0,0</t>
  </si>
  <si>
    <t>2025-05-12 02:57:00,580,,,,575,,,,,,,,,,</t>
  </si>
  <si>
    <t>2025-05-12 02:57:00,500,,,,500,,,,,,,,,,</t>
  </si>
  <si>
    <t>2025-05-12 02:57:00,,5800,5900,,,5800,5800,,,,,5900,5680,,</t>
  </si>
  <si>
    <t>2025-05-12 02:57:00,20800,,,,20100,,,,,,,,,,</t>
  </si>
  <si>
    <t>2025-05-12 02:57:00,6063312042.29018,0,0,0,0,0,0,0</t>
  </si>
  <si>
    <t>2025-05-12 02:57:00,3535587596.95573,0,0,0,0,0,0,0</t>
  </si>
  <si>
    <t>2025-05-12 02:57:00,-78331591.7095918,2180204.06512231,,-295,,-15643.34,0.497450718497717,-149.2</t>
  </si>
  <si>
    <t>2025-05-12 02:57:00,46987362.0638464,0,0,0,0,0,0,0</t>
  </si>
  <si>
    <t>2025-05-12 02:58:00,580,,,,575,,,,,,,,,,</t>
  </si>
  <si>
    <t>2025-05-12 02:58:00,500,,,,500,,,,,,,,,,</t>
  </si>
  <si>
    <t>2025-05-12 02:58:00,,5800,5900,,,5800,5800,,,,,5900,5680,,</t>
  </si>
  <si>
    <t>2025-05-12 02:58:00,20800,,,,20100,,,,,,,,,,</t>
  </si>
  <si>
    <t>2025-05-12 02:58:00,6464984511.44608,0,0,0,0,0,0,0</t>
  </si>
  <si>
    <t>2025-05-12 02:58:00,3197746709.12525,0,0,0,0,0,0,0</t>
  </si>
  <si>
    <t>2025-05-12 02:58:00,-79808099.733152,2248151.17756722,,-97,,-2394.3,-0.0387891802975336,-30.85</t>
  </si>
  <si>
    <t>2025-05-12 02:58:00,46539704.5024872,0,0,0,0,0,0,0</t>
  </si>
  <si>
    <t>2025-05-12 02:59:00,580,,,,575,,,,,,,,,,</t>
  </si>
  <si>
    <t>2025-05-12 02:59:00,500,,,,500,,,,,,,,,,</t>
  </si>
  <si>
    <t>2025-05-12 02:59:00,,5800,5900,,,5800,5800,,,,,5900,5680,,</t>
  </si>
  <si>
    <t>2025-05-12 02:59:00,20800,,,,20100,,,,,,,,,,</t>
  </si>
  <si>
    <t>2025-05-12 02:59:00,6086927238.99165,0,0,0,0,0,0,0</t>
  </si>
  <si>
    <t>2025-05-12 02:59:00,3219984723.81696,0,0,0,0,0,0,0</t>
  </si>
  <si>
    <t>2025-05-12 02:59:00,-79014513.6755533,2285251.64940239,,-126,,-2766.57,-0.0772606148654836,-33.42</t>
  </si>
  <si>
    <t>2025-05-12 02:59:00,46360466.2450169,0,0,0,0,0,0,0</t>
  </si>
  <si>
    <t>2025-05-12 03:00:00,580,,,,575,,,,,,,,,,</t>
  </si>
  <si>
    <t>2025-05-12 03:00:00,500,,,,500,,,,,,,,,,</t>
  </si>
  <si>
    <t>2025-05-12 03:00:00,,5800,5900,,,5800,5800,,,,,5900,5680,,</t>
  </si>
  <si>
    <t>2025-05-12 03:00:00,20800,,,,20100,,,,,,,,,,</t>
  </si>
  <si>
    <t>2025-05-12 03:00:00,6222612216.11239,0,0,0,0,0,0,0</t>
  </si>
  <si>
    <t>2025-05-12 03:00:00,3166004028.69891,0,0,0,0,0,0,0</t>
  </si>
  <si>
    <t>2025-05-12 03:00:00,-78564936.748139,2279598.86568636,,-46,,-1307.91,-0.0121323349741711,-14.37</t>
  </si>
  <si>
    <t>2025-05-12 03:00:00,46578464.035249,0,0,0,0,0,0,0</t>
  </si>
  <si>
    <t>2025-05-12 03:01:00,580,,,,575,,,,,,,,,,</t>
  </si>
  <si>
    <t>2025-05-12 03:01:00,500,,,,500,,,,,,,,,,</t>
  </si>
  <si>
    <t>2025-05-12 03:01:00,,5800,5900,,,5800,5800,,,,,5900,5680,,</t>
  </si>
  <si>
    <t>2025-05-12 03:01:00,20800,,,,20100,,,,,,,,,,</t>
  </si>
  <si>
    <t>2025-05-12 03:01:00,6096928223.86679,0,0,0,0,0,0,0</t>
  </si>
  <si>
    <t>2025-05-12 03:01:00,3181587926.2481,0,0,0,0,0,0,0</t>
  </si>
  <si>
    <t>2025-05-12 03:01:00,-78962555.1090046,2270201.33621528,,-61,,-1194.83,-0.0435119551857154,-12.39</t>
  </si>
  <si>
    <t>2025-05-12 03:01:00,46500158.3631272,0,0,0,0,0,0,0</t>
  </si>
  <si>
    <t>2025-05-12 03:02:00,580,,,,575,,,,,,,,,,</t>
  </si>
  <si>
    <t>2025-05-12 03:02:00,500,,,,500,,,,,,,,,,</t>
  </si>
  <si>
    <t>2025-05-12 03:02:00,,5800,5900,,,5800,5800,,,,,5900,5680,,</t>
  </si>
  <si>
    <t>2025-05-12 03:02:00,20800,,,,20100,,,,,,,,,,</t>
  </si>
  <si>
    <t>2025-05-12 03:02:00,6711066979.03675,0,0,0,0,0,0,0</t>
  </si>
  <si>
    <t>2025-05-12 03:02:00,3576644601.66703,0,0,0,0,0,0,0</t>
  </si>
  <si>
    <t>2025-05-12 03:02:00,-79851378.2096758,2290176.64577906,,-119,,-8575.64,0.159199813173155,-62.01</t>
  </si>
  <si>
    <t>2025-05-12 03:02:00,45561858.5092713,0,0,0,0,0,0,0</t>
  </si>
  <si>
    <t>2025-05-12 03:03:00,580,,,,575,,,,,,,,,,</t>
  </si>
  <si>
    <t>2025-05-12 03:03:00,505,,,,500,,,,,,,,,,</t>
  </si>
  <si>
    <t>2025-05-12 03:03:00,,5800,5900,,,5800,5800,,,,,5900,5680,,</t>
  </si>
  <si>
    <t>2025-05-12 03:03:00,20800,,,,20100,,,,,,,,,,</t>
  </si>
  <si>
    <t>2025-05-12 03:03:00,7022707333.09321,0,0,0,0,0,0,0</t>
  </si>
  <si>
    <t>2025-05-12 03:03:00,3780602871.36573,0,0,0,0,0,0,0</t>
  </si>
  <si>
    <t>2025-05-12 03:03:00,-80468085.2330057,2326751.15481071,,-60,,-2654.74,0.0341242241518942,-24.36</t>
  </si>
  <si>
    <t>2025-05-12 03:03:00,45271174.2059297,0,0,0,0,0,0,0</t>
  </si>
  <si>
    <t>2025-05-12 03:04:00,580,,,,575,,,,,,,,,,</t>
  </si>
  <si>
    <t>2025-05-12 03:04:00,500,,,,500,,,,,,,,,,</t>
  </si>
  <si>
    <t>2025-05-12 03:04:00,,5800,5900,,,5800,5800,,,,,5900,5680,,</t>
  </si>
  <si>
    <t>2025-05-12 03:04:00,20800,,,,20100,,,,,,,,,,</t>
  </si>
  <si>
    <t>2025-05-12 03:04:00,6212692746.81961,0,0,0,0,0,0,0</t>
  </si>
  <si>
    <t>2025-05-12 03:04:00,3587053583.035,0,0,0,0,0,0,0</t>
  </si>
  <si>
    <t>2025-05-12 03:04:00,-78260386.7308635,2227898.52904443,,-102,,-5394.42,0.138450751211276,-54.47</t>
  </si>
  <si>
    <t>2025-05-12 03:04:00,46832097.0852515,0,0,0,0,0,0,0</t>
  </si>
  <si>
    <t>2025-05-12 03:05:00,580,,,,575,,,,,,,,,,</t>
  </si>
  <si>
    <t>2025-05-12 03:05:00,500,,,,500,,,,,,,,,,</t>
  </si>
  <si>
    <t>2025-05-12 03:05:00,,5800,5900,,,5800,5800,,,,,5900,5680,,</t>
  </si>
  <si>
    <t>2025-05-12 03:05:00,20800,,,,20100,,,,,,,,,,</t>
  </si>
  <si>
    <t>2025-05-12 03:05:00,6170828364.81051,0,0,0,0,0,0,0</t>
  </si>
  <si>
    <t>2025-05-12 03:05:00,3431261451.75617,0,0,0,0,0,0,0</t>
  </si>
  <si>
    <t>2025-05-12 03:05:00,-78205812.2345363,2222292.89688259,,-51,,-2713.25,0.0149481825614476,-21.97</t>
  </si>
  <si>
    <t>2025-05-12 03:05:00,47256686.1911336,0,0,0,0,0,0,0</t>
  </si>
  <si>
    <t>2025-05-12 03:06:00,580,,,,575,,,,,,,,,,</t>
  </si>
  <si>
    <t>2025-05-12 03:06:00,500,,,,500,,,,,,,,,,</t>
  </si>
  <si>
    <t>2025-05-12 03:06:00,,5800,5900,,,5800,5800,,,,,5900,5680,,</t>
  </si>
  <si>
    <t>2025-05-12 03:06:00,20800,,,,20100,,,,,,,,,,</t>
  </si>
  <si>
    <t>2025-05-12 03:06:00,6068087083.24355,0,0,0,0,0,0,0</t>
  </si>
  <si>
    <t>2025-05-12 03:06:00,3176168687.20798,0,0,0,0,0,0,0</t>
  </si>
  <si>
    <t>2025-05-12 03:06:00,-84184719.2255344,2184709.17033453,,-80,,-5591.92,0.123051037962385,-43.53</t>
  </si>
  <si>
    <t>2025-05-12 03:06:00,47886969.5616516,0,0,0,0,0,0,0</t>
  </si>
  <si>
    <t>2025-05-12 03:07:00,580,,,,575,,,,,,,,,,</t>
  </si>
  <si>
    <t>2025-05-12 03:07:00,500,,,,500,,,,,,,,,,</t>
  </si>
  <si>
    <t>2025-05-12 03:07:00,,5800,5900,,,5800,5800,,,,,5900,5680,,</t>
  </si>
  <si>
    <t>2025-05-12 03:07:00,20800,,,,20100,,,,,,,,,,</t>
  </si>
  <si>
    <t>2025-05-12 03:07:00,6213199018.17972,0,0,0,0,0,0,0</t>
  </si>
  <si>
    <t>2025-05-12 03:07:00,3603580659.22008,0,0,0,0,0,0,0</t>
  </si>
  <si>
    <t>2025-05-12 03:07:00,-76269268.4581263,2258860.00861617,,-124,,-3418.26,0.0233760784170999,-43.61</t>
  </si>
  <si>
    <t>2025-05-12 03:07:00,46979751.467739,0,0,0,0,0,0,0</t>
  </si>
  <si>
    <t>2025-05-12 03:08:00,580,,,,575,,,,,,,,,,</t>
  </si>
  <si>
    <t>2025-05-12 03:08:00,500,,,,500,,,,,,,,,,</t>
  </si>
  <si>
    <t>2025-05-12 03:08:00,,5800,5900,,,5800,5800,,,,,5900,5680,,</t>
  </si>
  <si>
    <t>2025-05-12 03:08:00,20800,,,,20100,,,,,,,,,,</t>
  </si>
  <si>
    <t>2025-05-12 03:08:00,6193377652.44671,0,0,0,0,0,0,0</t>
  </si>
  <si>
    <t>2025-05-12 03:08:00,3676036765.27111,0,0,0,0,0,0,0</t>
  </si>
  <si>
    <t>2025-05-12 03:08:00,-76938692.8412192,2251812.54246453,,-206,,-7685.03,0.0329235757650675,-77.08</t>
  </si>
  <si>
    <t>2025-05-12 03:08:00,46861331.4443452,0,0,0,0,0,0,0</t>
  </si>
  <si>
    <t>2025-05-12 03:09:00,580,,,,575,,,,,,,,,,</t>
  </si>
  <si>
    <t>2025-05-12 03:09:00,500,,,,500,,,,,,,,,,</t>
  </si>
  <si>
    <t>2025-05-12 03:09:00,,5800,5900,,,5800,5800,,,,,5900,5680,,</t>
  </si>
  <si>
    <t>2025-05-12 03:09:00,20800,,,,20100,,,,,,,,,,</t>
  </si>
  <si>
    <t>2025-05-12 03:09:00,6101660771.94049,0,0,0,0,0,0,0</t>
  </si>
  <si>
    <t>2025-05-12 03:09:00,3213771827.65256,0,0,0,0,0,0,0</t>
  </si>
  <si>
    <t>2025-05-12 03:09:00,-76973924.7514534,2291463.04257314,,-121,,-1493.22,-0.134546799711674,-27.76</t>
  </si>
  <si>
    <t>2025-05-12 03:09:00,46417957.8353892,0,0,0,0,0,0,0</t>
  </si>
  <si>
    <t>2025-05-12 03:10:00,580,,,,575,,,,,,,,,,</t>
  </si>
  <si>
    <t>2025-05-12 03:10:00,500,,,,500,,,,,,,,,,</t>
  </si>
  <si>
    <t>2025-05-12 03:10:00,,5800,5900,,,5800,5800,,,,,5900,5680,,</t>
  </si>
  <si>
    <t>2025-05-12 03:10:00,20800,,,,20100,,,,,,,,,,</t>
  </si>
  <si>
    <t>2025-05-12 03:10:00,6107887250.02892,0,0,0,0,0,0,0</t>
  </si>
  <si>
    <t>2025-05-12 03:10:00,3171022888.93977,0,0,0,0,0,0,0</t>
  </si>
  <si>
    <t>2025-05-12 03:10:00,-76457454.6309832,2324633.70389501,,-38,,-511.48,-0.0402981700983442,-10.91</t>
  </si>
  <si>
    <t>2025-05-12 03:10:00,46582812.3133089,0,0,0,0,0,0,0</t>
  </si>
  <si>
    <t>2025-05-12 03:11:00,580,,,,575,,,,,,,,,,</t>
  </si>
  <si>
    <t>2025-05-12 03:11:00,500,,,,500,,,,,,,,,,</t>
  </si>
  <si>
    <t>2025-05-12 03:11:00,,5800,5900,,,5800,5800,,,,,5900,5680,,</t>
  </si>
  <si>
    <t>2025-05-12 03:11:00,20800,,,,20100,,,,,,,,,,</t>
  </si>
  <si>
    <t>2025-05-12 03:11:00,6194369833.96311,0,0,0,0,0,0,0</t>
  </si>
  <si>
    <t>2025-05-12 03:11:00,3127022627.9616,0,0,0,0,0,0,0</t>
  </si>
  <si>
    <t>2025-05-12 03:11:00,-76579022.4657182,2271138.35023498,,-106,,-4581.82,0.0942180955668298,-55.64</t>
  </si>
  <si>
    <t>2025-05-12 03:11:00,46759698.914991,0,0,0,0,0,0,0</t>
  </si>
  <si>
    <t>2025-05-12 03:12:00,580,,,,575,,,,,,,,,,</t>
  </si>
  <si>
    <t>2025-05-12 03:12:00,500,,,,500,,,,,,,,,,</t>
  </si>
  <si>
    <t>2025-05-12 03:12:00,,5800,5900,,,5800,5800,,,,,5900,5680,,</t>
  </si>
  <si>
    <t>2025-05-12 03:12:00,20800,,,,20100,,,,,,,,,,</t>
  </si>
  <si>
    <t>2025-05-12 03:12:00,6177730111.1306,0,0,0,0,0,0,0</t>
  </si>
  <si>
    <t>2025-05-12 03:12:00,3150627190.15002,0,0,0,0,0,0,0</t>
  </si>
  <si>
    <t>2025-05-12 03:12:00,-76031040.7879434,2323420.34456188,,-31,,-1183.17,0.00626013964997934,-10.83</t>
  </si>
  <si>
    <t>2025-05-12 03:12:00,46707079.9829683,0,0,0,0,0,0,0</t>
  </si>
  <si>
    <t>2025-05-12 03:13:00,580,,,,575,,,,,,,,,,</t>
  </si>
  <si>
    <t>2025-05-12 03:13:00,500,,,,500,,,,,,,,,,</t>
  </si>
  <si>
    <t>2025-05-12 03:13:00,,5800,5900,,,5800,5810,,,,,5900,5680,,</t>
  </si>
  <si>
    <t>2025-05-12 03:13:00,20800,,,,20100,,,,,,,,,,</t>
  </si>
  <si>
    <t>2025-05-12 03:13:00,6859986980.16338,0,0,0,0,0,0,0</t>
  </si>
  <si>
    <t>2025-05-12 03:13:00,3542355036.21905,0,0,0,0,0,0,0</t>
  </si>
  <si>
    <t>2025-05-12 03:13:00,-78955196.9328578,2342974.74068165,,-79,,-4031.11,0.0948412103394046,-42.25</t>
  </si>
  <si>
    <t>2025-05-12 03:13:00,45663496.0212347,0,0,0,0,0,0,0</t>
  </si>
  <si>
    <t>2025-05-12 03:14:00,580,,,,575,,,,,,,,,,</t>
  </si>
  <si>
    <t>2025-05-12 03:14:00,500,,,,500,,,,,,,,,,</t>
  </si>
  <si>
    <t>2025-05-12 03:14:00,,5800,5900,,,5800,5810,,,,,5900,5680,,</t>
  </si>
  <si>
    <t>2025-05-12 03:14:00,20800,,,,20100,,,,,,,,,,</t>
  </si>
  <si>
    <t>2025-05-12 03:14:00,6216314159.10485,0,0,0,0,0,0,0</t>
  </si>
  <si>
    <t>2025-05-12 03:14:00,3310340082.15978,0,0,0,0,0,0,0</t>
  </si>
  <si>
    <t>2025-05-12 03:14:00,-76136182.3663715,2246134.75838358,,-83,,-5841.38,0.171330207409763,-46.19</t>
  </si>
  <si>
    <t>2025-05-12 03:14:00,46265752.7231684,0,0,0,0,0,0,0</t>
  </si>
  <si>
    <t>2025-05-12 03:15:00,580,,,,575,,,,,,,,,,</t>
  </si>
  <si>
    <t>2025-05-12 03:15:00,505,,,,500,,,,,,,,,,</t>
  </si>
  <si>
    <t>2025-05-12 03:15:00,,5800,5900,,,5800,5810,,,,,5900,5680,,</t>
  </si>
  <si>
    <t>2025-05-12 03:15:00,20800,,,,20100,,,,,,,,,,</t>
  </si>
  <si>
    <t>2025-05-12 03:15:00,6890196530.43996,0,0,0,0,0,0,0</t>
  </si>
  <si>
    <t>2025-05-12 03:15:00,3779107042.80341,0,0,0,0,0,0,0</t>
  </si>
  <si>
    <t>2025-05-12 03:15:00,-76088048.494784,2305152.9346674,,-56,,-3350.43,0.0816597321217736,-26.63</t>
  </si>
  <si>
    <t>2025-05-12 03:15:00,45305620.0553388,0,0,0,0,0,0,0</t>
  </si>
  <si>
    <t>2025-05-12 03:16:00,580,,,,575,,,,,,,,,,</t>
  </si>
  <si>
    <t>2025-05-12 03:16:00,505,,,,500,,,,,,,,,,</t>
  </si>
  <si>
    <t>2025-05-12 03:16:00,,5800,5900,,,5800,5810,,,,,5900,5680,,</t>
  </si>
  <si>
    <t>2025-05-12 03:16:00,20800,,,,20100,,,,,,,,,,</t>
  </si>
  <si>
    <t>2025-05-12 03:16:00,6947321285.30692,0,0,0,0,0,0,0</t>
  </si>
  <si>
    <t>2025-05-12 03:16:00,3614748594.34287,0,0,0,0,0,0,0</t>
  </si>
  <si>
    <t>2025-05-12 03:16:00,-78642972.1177402,2263545.15828475,,-53,,-2086.89,0.0240433383485263,-21.4</t>
  </si>
  <si>
    <t>2025-05-12 03:16:00,45161291.4225229,0,0,0,0,0,0,0</t>
  </si>
  <si>
    <t>2025-05-12 03:17:00,580,,,,575,,,,,,,,,,</t>
  </si>
  <si>
    <t>2025-05-12 03:17:00,505,,,,500,,,,,,,,,,</t>
  </si>
  <si>
    <t>2025-05-12 03:17:00,,5800,5900,,,5800,5810,,,,,5900,5680,,</t>
  </si>
  <si>
    <t>2025-05-12 03:17:00,20800,,,,20100,,,,,,,,,,</t>
  </si>
  <si>
    <t>2025-05-12 03:17:00,6964608718.53047,0,0,0,0,0,0,0</t>
  </si>
  <si>
    <t>2025-05-12 03:17:00,3685505018.91618,0,0,0,0,0,0,0</t>
  </si>
  <si>
    <t>2025-05-12 03:17:00,-77210224.8919758,2244392.32521654,,-172,,-12627.58,0.193093082624471,-99.65</t>
  </si>
  <si>
    <t>2025-05-12 03:17:00,45086998.810791,0,0,0,0,0,0,0</t>
  </si>
  <si>
    <t>2025-05-12 03:18:00,580,,,,575,,,,,,,,,,</t>
  </si>
  <si>
    <t>2025-05-12 03:18:00,505,,,,500,,,,,,,,,,</t>
  </si>
  <si>
    <t>2025-05-12 03:18:00,,5800,5900,,,5800,5810,,,,,5900,5680,,</t>
  </si>
  <si>
    <t>2025-05-12 03:18:00,20800,,,,20100,,,,,,,,,,</t>
  </si>
  <si>
    <t>2025-05-12 03:18:00,6948411742.85501,0,0,0,0,0,0,0</t>
  </si>
  <si>
    <t>2025-05-12 03:18:00,3836506569.96901,0,0,0,0,0,0,0</t>
  </si>
  <si>
    <t>2025-05-12 03:18:00,-77239099.934445,2226237.33110929,,-57,,-2682.38,0.0118214544610494,-25.25</t>
  </si>
  <si>
    <t>2025-05-12 03:18:00,44953004.6032487,0,0,0,0,0,0,0</t>
  </si>
  <si>
    <t>2025-05-12 03:19:00,580,,,,575,,,,,,,,,,</t>
  </si>
  <si>
    <t>2025-05-12 03:19:00,505,,,,500,,,,,,,,,,</t>
  </si>
  <si>
    <t>2025-05-12 03:19:00,,5800,5900,,,5800,5810,,,,,5900,5680,,</t>
  </si>
  <si>
    <t>2025-05-12 03:19:00,20800,,,,20100,,,,,,,,,,</t>
  </si>
  <si>
    <t>2025-05-12 03:19:00,6758911279.56994,0,0,0,0,0,0,0</t>
  </si>
  <si>
    <t>2025-05-12 03:19:00,3649619916.11671,0,0,0,0,0,0,0</t>
  </si>
  <si>
    <t>2025-05-12 03:19:00,-76921043.2605359,2227257.47788877,,-44,,-953.53,-0.0282796438551361,-15.48</t>
  </si>
  <si>
    <t>2025-05-12 03:19:00,45061236.5350878,0,0,0,0,0,0,0</t>
  </si>
  <si>
    <t>2025-05-12 03:20:00,580,,,,575,,,,,,,,,,</t>
  </si>
  <si>
    <t>2025-05-12 03:20:00,500,,,,500,,,,,,,,,,</t>
  </si>
  <si>
    <t>2025-05-12 03:20:00,,5800,5900,,,5800,5810,,,,,5900,5680,,</t>
  </si>
  <si>
    <t>2025-05-12 03:20:00,20800,,,,20100,,,,,,,,,,</t>
  </si>
  <si>
    <t>2025-05-12 03:20:00,6227830099.95242,0,0,0,0,0,0,0</t>
  </si>
  <si>
    <t>2025-05-12 03:20:00,3456541057.34374,0,0,0,0,0,0,0</t>
  </si>
  <si>
    <t>2025-05-12 03:20:00,-76177232.8943664,2167183.26651532,,-91,,-4551.43,0.0698330160143565,-41.25</t>
  </si>
  <si>
    <t>2025-05-12 03:20:00,45852439.3449606,0,0,0,0,0,0,0</t>
  </si>
  <si>
    <t>2025-05-12 03:21:00,580,,,,575,,,,,,,,,,</t>
  </si>
  <si>
    <t>2025-05-12 03:21:00,500,,,,500,,,,,,,,,,</t>
  </si>
  <si>
    <t>2025-05-12 03:21:00,,5800,5900,,,5800,5810,,,,,5900,5680,,</t>
  </si>
  <si>
    <t>2025-05-12 03:21:00,20800,,,,20100,,,,,,,,,,</t>
  </si>
  <si>
    <t>2025-05-12 03:21:00,6225872292.56814,0,0,0,0,0,0,0</t>
  </si>
  <si>
    <t>2025-05-12 03:21:00,3429228552.21643,0,0,0,0,0,0,0</t>
  </si>
  <si>
    <t>2025-05-12 03:21:00,-76384656.665659,2205744.62087902,,-58,,-589.69,-0.0722468105125296,-13.58</t>
  </si>
  <si>
    <t>2025-05-12 03:21:00,45661821.1875341,0,0,0,0,0,0,0</t>
  </si>
  <si>
    <t>2025-05-12 03:22:00,580,,,,575,,,,,,,,,,</t>
  </si>
  <si>
    <t>2025-05-12 03:22:00,500,,,,500,,,,,,,,,,</t>
  </si>
  <si>
    <t>2025-05-12 03:22:00,,5800,5900,,,5800,5810,,,,,5900,5680,,</t>
  </si>
  <si>
    <t>2025-05-12 03:22:00,20800,,,,20100,,,,,,,,,,</t>
  </si>
  <si>
    <t>2025-05-12 03:22:00,6225918999.10964,0,0,0,0,0,0,0</t>
  </si>
  <si>
    <t>2025-05-12 03:22:00,3297865190.42992,0,0,0,0,0,0,0</t>
  </si>
  <si>
    <t>2025-05-12 03:22:00,-84428584.7225921,2136595.59349306,,-131,,-5146.37,0.116216629151165,-45.33</t>
  </si>
  <si>
    <t>2025-05-12 03:22:00,46308828.0840611,0,0,0,0,0,0,0</t>
  </si>
  <si>
    <t>2025-05-12 03:24:00,580,,,,575,,,,,,,,,,</t>
  </si>
  <si>
    <t>2025-05-12 03:24:00,500,,,,500,,,,,,,,,,</t>
  </si>
  <si>
    <t>2025-05-12 03:24:00,,5800,5900,,,5800,5810,,,,,5900,5680,,</t>
  </si>
  <si>
    <t>2025-05-12 03:24:00,20800,,,,20100,,,,,,,,,,</t>
  </si>
  <si>
    <t>2025-05-12 03:24:00,6140624450.91613,0,0,0,0,0,0,0</t>
  </si>
  <si>
    <t>2025-05-12 03:24:00,3278558042.48479,0,0,0,0,0,0,0</t>
  </si>
  <si>
    <t>2025-05-12 03:24:00,-83405835.2071948,2187842.14286155,,-43,,-880.9,-0.0224610451752354,-13.76</t>
  </si>
  <si>
    <t>2025-05-12 03:24:00,46279388.3363944,0,0,0,0,0,0,0</t>
  </si>
  <si>
    <t>2025-05-12 03:25:00,580,,,,575,,,,,,,,,,</t>
  </si>
  <si>
    <t>2025-05-12 03:25:00,500,,,,500,,,,,,,,,,</t>
  </si>
  <si>
    <t>2025-05-12 03:25:00,,5800,5900,,,5800,5810,,,,,5950,5680,,</t>
  </si>
  <si>
    <t>2025-05-12 03:25:00,20800,,,,20100,,,,,,,,,,</t>
  </si>
  <si>
    <t>2025-05-12 03:25:00,6200300835.63345,0,0,0,0,0,0,0</t>
  </si>
  <si>
    <t>2025-05-12 03:25:00,3272464136.23544,0,0,0,0,0,0,0</t>
  </si>
  <si>
    <t>2025-05-12 03:25:00,-84242504.3513353,2246183.21041244,,-633,,-12471.9,-0.18968165147976,-161.82</t>
  </si>
  <si>
    <t>2025-05-12 03:25:00,46101306.9763504,0,0,0,0,0,0,0</t>
  </si>
  <si>
    <t>2025-05-12 03:26:00,580,,,,575,,,,,,,,,,</t>
  </si>
  <si>
    <t>2025-05-12 03:26:00,500,,,,500,,,,,,,,,,</t>
  </si>
  <si>
    <t>2025-05-12 03:26:00,,5800,5900,,,5800,5810,,,,,5950,5680,,</t>
  </si>
  <si>
    <t>2025-05-12 03:26:00,20800,,,,20100,,,,,,,,,,</t>
  </si>
  <si>
    <t>2025-05-12 03:26:00,6189254854.79818,0,0,0,0,0,0,0</t>
  </si>
  <si>
    <t>2025-05-12 03:26:00,3242898574.61992,0,0,0,0,0,0,0</t>
  </si>
  <si>
    <t>2025-05-12 03:26:00,-77258293.8465901,2291007.67921566,,-86,,-2408.43,0.00130519011666116,-39.35</t>
  </si>
  <si>
    <t>2025-05-12 03:26:00,46344701.1083478,0,0,0,0,0,0,0</t>
  </si>
  <si>
    <t>2025-05-12 03:27:00,580,,,,575,,,,,,,,,,</t>
  </si>
  <si>
    <t>2025-05-12 03:27:00,500,,,,500,,,,,,,,,,</t>
  </si>
  <si>
    <t>2025-05-12 03:27:00,,5800,5900,,,5800,5810,,,,,5950,5680,,</t>
  </si>
  <si>
    <t>2025-05-12 03:27:00,20800,,,,20100,,,,,,,,,,</t>
  </si>
  <si>
    <t>2025-05-12 03:27:00,6175777605.16555,0,0,0,0,0,0,0</t>
  </si>
  <si>
    <t>2025-05-12 03:27:00,3278826887.07688,0,0,0,0,0,0,0</t>
  </si>
  <si>
    <t>2025-05-12 03:27:00,-77713282.7409562,2303033.64734656,,-59,,-2816.15,0.0628778755938316,-30.58</t>
  </si>
  <si>
    <t>2025-05-12 03:27:00,46298157.3531363,0,0,0,0,0,0,0</t>
  </si>
  <si>
    <t>2025-05-12 03:28:00,580,,,,575,,,,,,,,,,</t>
  </si>
  <si>
    <t>2025-05-12 03:28:00,500,,,,500,,,,,,,,,,</t>
  </si>
  <si>
    <t>2025-05-12 03:28:00,,5800,5900,,,5800,5810,,,,,5950,5680,,</t>
  </si>
  <si>
    <t>2025-05-12 03:28:00,20800,,,,20100,,,,,,,,,,</t>
  </si>
  <si>
    <t>2025-05-12 03:28:00,6099553748.31496,0,0,0,0,0,0,0</t>
  </si>
  <si>
    <t>2025-05-12 03:28:00,3531798949.81516,0,0,0,0,0,0,0</t>
  </si>
  <si>
    <t>2025-05-12 03:28:00,-76871773.5948907,2342445.8082455,,-50,,-3168.68,0.0901194130944218,-27.76</t>
  </si>
  <si>
    <t>2025-05-12 03:28:00,45657800.281805,0,0,0,0,0,0,0</t>
  </si>
  <si>
    <t>2025-05-12 03:29:00,580,,,,575,,,,,,,,,,</t>
  </si>
  <si>
    <t>2025-05-12 03:29:00,500,,,,500,,,,,,,,,,</t>
  </si>
  <si>
    <t>2025-05-12 03:29:00,,5800,5900,,,5800,5810,,,,,5900,5680,,</t>
  </si>
  <si>
    <t>2025-05-12 03:29:00,20800,,,,20100,,,,,,,,,,</t>
  </si>
  <si>
    <t>2025-05-12 03:29:00,6458744977.79136,0,0,0,0,0,0,0</t>
  </si>
  <si>
    <t>2025-05-12 03:29:00,3574477077.43709,0,0,0,0,0,0,0</t>
  </si>
  <si>
    <t>2025-05-12 03:29:00,-79928070.0403022,2412699.85651882,,-57,,-1943.1,0.0112127972010933,-22.73</t>
  </si>
  <si>
    <t>2025-05-12 03:29:00,45634751.2056906,0,0,0,0,0,0,0</t>
  </si>
  <si>
    <t>2025-05-12 03:30:00,580,,,,575,,,,,,,,,,</t>
  </si>
  <si>
    <t>2025-05-12 03:30:00,505,,,,500,,,,,,,,,,</t>
  </si>
  <si>
    <t>2025-05-12 03:30:00,,5800,5900,,,5800,5810,,,,,5900,5680,,</t>
  </si>
  <si>
    <t>2025-05-12 03:30:00,20800,,,,20100,,,,,,,,,,</t>
  </si>
  <si>
    <t>2025-05-12 03:30:00,6644309407.18393,0,0,0,0,0,0,0</t>
  </si>
  <si>
    <t>2025-05-12 03:30:00,3735292943.85975,0,0,0,0,0,0,0</t>
  </si>
  <si>
    <t>2025-05-12 03:30:00,-80800839.2343069,2446829.10963835,,-32,,-290.32,-0.0423364900672047,-7.55</t>
  </si>
  <si>
    <t>2025-05-12 03:30:00,45359894.4324401,0,0,0,0,0,0,0</t>
  </si>
  <si>
    <t>2025-05-12 03:31:00,580,,,,575,,,,,,,,,,</t>
  </si>
  <si>
    <t>2025-05-12 03:31:00,500,,,,500,,,,,,,,,,</t>
  </si>
  <si>
    <t>2025-05-12 03:31:00,,5800,5900,,,5800,5810,,,,,5900,5680,,</t>
  </si>
  <si>
    <t>2025-05-12 03:31:00,20800,,,,20100,,,,,,,,,,</t>
  </si>
  <si>
    <t>2025-05-12 03:31:00,6518185839.7455,0,0,0,0,0,0,0</t>
  </si>
  <si>
    <t>2025-05-12 03:31:00,3609519805.40278,0,0,0,0,0,0,0</t>
  </si>
  <si>
    <t>2025-05-12 03:31:00,-80432224.1614038,2420425.81154093,,-62,,-5762.45,0.192377456250355,-43.44</t>
  </si>
  <si>
    <t>2025-05-12 03:31:00,45538184.3720527,0,0,0,0,0,0,0</t>
  </si>
  <si>
    <t>2025-05-12 03:32:00,580,,,,575,,,,,,,,,,</t>
  </si>
  <si>
    <t>2025-05-12 03:32:00,500,,,,500,,,,,,,,,,</t>
  </si>
  <si>
    <t>2025-05-12 03:32:00,,5800,5900,,,5800,5810,,,,,5900,5680,,</t>
  </si>
  <si>
    <t>2025-05-12 03:32:00,20800,,,,20100,,,,,,,,,,</t>
  </si>
  <si>
    <t>2025-05-12 03:32:00,6118186163.97521,0,0,0,0,0,0,0</t>
  </si>
  <si>
    <t>2025-05-12 03:32:00,3542527270.16755,0,0,0,0,0,0,0</t>
  </si>
  <si>
    <t>2025-05-12 03:32:00,-80690911.7449432,2382596.86854154,,-19,,-1302.12,0.00493015180553463,-7.92</t>
  </si>
  <si>
    <t>2025-05-12 03:32:00,45670148.9177587,0,0,0,0,0,0,0</t>
  </si>
  <si>
    <t>2025-05-12 03:33:00,580,,,,575,,,,,,,,,,</t>
  </si>
  <si>
    <t>2025-05-12 03:33:00,500,,,,500,,,,,,,,,,</t>
  </si>
  <si>
    <t>2025-05-12 03:33:00,,5800,5900,,,5800,5810,,,,,5900,5680,,</t>
  </si>
  <si>
    <t>2025-05-12 03:33:00,20800,,,,20100,,,,,,,,,,</t>
  </si>
  <si>
    <t>2025-05-12 03:33:00,6226450356.14787,0,0,0,0,0,0,0</t>
  </si>
  <si>
    <t>2025-05-12 03:33:00,3446434813.53829,0,0,0,0,0,0,0</t>
  </si>
  <si>
    <t>2025-05-12 03:33:00,-80293323.9172837,2423859.94465331,,-38,,-776.84,-0.0211469743948757,-15.15</t>
  </si>
  <si>
    <t>2025-05-12 03:33:00,45850473.9478438,0,0,0,0,0,0,0</t>
  </si>
  <si>
    <t>2025-05-12 03:34:00,580,,,,575,,,,,,,,,,</t>
  </si>
  <si>
    <t>2025-05-12 03:34:00,500,,,,500,,,,,,,,,,</t>
  </si>
  <si>
    <t>2025-05-12 03:34:00,,5800,5900,,,5800,5810,,,,,5900,5680,,</t>
  </si>
  <si>
    <t>2025-05-12 03:34:00,20800,,,,20100,,,,,,,,,,</t>
  </si>
  <si>
    <t>2025-05-12 03:34:00,6488262294.60749,0,0,0,0,0,0,0</t>
  </si>
  <si>
    <t>2025-05-12 03:34:00,3598020245.19559,0,0,0,0,0,0,0</t>
  </si>
  <si>
    <t>2025-05-12 03:34:00,-80486873.668338,2480591.56847521,,-10,,-373.71,0.00583229716060159,-4.83</t>
  </si>
  <si>
    <t>2025-05-12 03:34:00,45575326.5269685,0,0,0,0,0,0,0</t>
  </si>
  <si>
    <t>2025-05-12 03:35:00,580,,,,575,,,,,,,,,,</t>
  </si>
  <si>
    <t>2025-05-12 03:35:00,500,,,,500,,,,,,,,,,</t>
  </si>
  <si>
    <t>2025-05-12 03:35:00,,5800,5900,,,5800,5810,,,,,5900,5680,,</t>
  </si>
  <si>
    <t>2025-05-12 03:35:00,20800,,,,20100,,,,,,,,,,</t>
  </si>
  <si>
    <t>2025-05-12 03:35:00,6517739979.51413,0,0,0,0,0,0,0</t>
  </si>
  <si>
    <t>2025-05-12 03:35:00,3585414534.57292,0,0,0,0,0,0,0</t>
  </si>
  <si>
    <t>2025-05-12 03:35:00,-81279900.4690014,2485879.24674162,,-41,,-829.89,-0.0241020758307622,-13.93</t>
  </si>
  <si>
    <t>2025-05-12 03:35:00,45604621.2167832,0,0,0,0,0,0,0</t>
  </si>
  <si>
    <t>2025-05-12 03:36:00,580,,,,575,,,,,,,,,,</t>
  </si>
  <si>
    <t>2025-05-12 03:36:00,500,,,,500,,,,,,,,,,</t>
  </si>
  <si>
    <t>2025-05-12 03:36:00,,5800,5900,,,5800,5810,,,,,5900,5680,,</t>
  </si>
  <si>
    <t>2025-05-12 03:36:00,20800,,,,20100,,,,,,,,,,</t>
  </si>
  <si>
    <t>2025-05-12 03:36:00,6645132034.8616,0,0,0,0,0,0,0</t>
  </si>
  <si>
    <t>2025-05-12 03:36:00,3658044854.11816,0,0,0,0,0,0,0</t>
  </si>
  <si>
    <t>2025-05-12 03:36:00,-81790702.6666234,2501647.01101959,,-20,,-311.64,-0.0207674919319504,-4.91</t>
  </si>
  <si>
    <t>2025-05-12 03:36:00,45531417.4308512,0,0,0,0,0,0,0</t>
  </si>
  <si>
    <t>2025-05-12 03:37:00,580,,,,575,,,,,,,,,,</t>
  </si>
  <si>
    <t>2025-05-12 03:37:00,505,,,,500,,,,,,,,,,</t>
  </si>
  <si>
    <t>2025-05-12 03:37:00,,5800,5900,,,5800,5810,,,,,5900,5680,,</t>
  </si>
  <si>
    <t>2025-05-12 03:37:00,20800,,,,20100,,,,,,,,,,</t>
  </si>
  <si>
    <t>2025-05-12 03:37:00,6690410552.72729,0,0,0,0,0,0,0</t>
  </si>
  <si>
    <t>2025-05-12 03:37:00,3722489962.81121,0,0,0,0,0,0,0</t>
  </si>
  <si>
    <t>2025-05-12 03:37:00,-82461231.7396893,2506966.78550711,,-72,,-1855.95,-0.0224101918400939,-18.16</t>
  </si>
  <si>
    <t>2025-05-12 03:37:00,45424599.7013254,0,0,0,0,0,0,0</t>
  </si>
  <si>
    <t>2025-05-12 03:38:00,580,,,,575,,,,,,,,,,</t>
  </si>
  <si>
    <t>2025-05-12 03:38:00,505,,,,500,,,,,,,,,,</t>
  </si>
  <si>
    <t>2025-05-12 03:38:00,,5800,5900,,,5800,5810,,,,,5900,5680,,</t>
  </si>
  <si>
    <t>2025-05-12 03:38:00,20800,,,,20100,,,,,,,,,,</t>
  </si>
  <si>
    <t>2025-05-12 03:38:00,6724499345.70481,0,0,0,0,0,0,0</t>
  </si>
  <si>
    <t>2025-05-12 03:38:00,3680441659.73636,0,0,0,0,0,0,0</t>
  </si>
  <si>
    <t>2025-05-12 03:38:00,-82083043.4749096,2548639.1864483,,-64,,-2612.84,0.0323575837265583,-25.7</t>
  </si>
  <si>
    <t>2025-05-12 03:38:00,45132921.7293319,0,0,0,0,0,0,0</t>
  </si>
  <si>
    <t>2025-05-12 03:39:00,580,,,,575,,,,,,,,,,</t>
  </si>
  <si>
    <t>2025-05-12 03:39:00,505,,,,500,,,,,,,,,,</t>
  </si>
  <si>
    <t>2025-05-12 03:39:00,,5800,5900,,,5800,5810,,,,,5900,5680,,</t>
  </si>
  <si>
    <t>2025-05-12 03:39:00,20800,,,,20100,,,,,,,,,,</t>
  </si>
  <si>
    <t>2025-05-12 03:39:00,6747333523.11693,0,0,0,0,0,0,0</t>
  </si>
  <si>
    <t>2025-05-12 03:39:00,3773293045.8764,0,0,0,0,0,0,0</t>
  </si>
  <si>
    <t>2025-05-12 03:39:00,-82691638.363582,2590656.20107514,,-82,,-1823.42,-0.0440528951929413,-15.45</t>
  </si>
  <si>
    <t>2025-05-12 03:39:00,45240348.0275148,0,0,0,0,0,0,0</t>
  </si>
  <si>
    <t>2025-05-12 03:40:00,580,,,,575,,,,,,,,,,</t>
  </si>
  <si>
    <t>2025-05-12 03:40:00,505,,,,500,,,,,,,,,,</t>
  </si>
  <si>
    <t>2025-05-12 03:40:00,,5800,5900,,,5800,5810,,,,,5900,5680,,</t>
  </si>
  <si>
    <t>2025-05-12 03:40:00,20800,,,,20100,,,,,,,,,,</t>
  </si>
  <si>
    <t>2025-05-12 03:40:00,6663681375.44792,0,0,0,0,0,0,0</t>
  </si>
  <si>
    <t>2025-05-12 03:40:00,3770532738.31033,0,0,0,0,0,0,0</t>
  </si>
  <si>
    <t>2025-05-12 03:40:00,-81885676.9489187,2599144.08074327,,-34,,-565.87,-0.0370451172114332,-7.35</t>
  </si>
  <si>
    <t>2025-05-12 03:40:00,45394389.0196516,0,0,0,0,0,0,0</t>
  </si>
  <si>
    <t>2025-05-12 03:41:00,580,,,,575,,,,,,,,,,</t>
  </si>
  <si>
    <t>2025-05-12 03:41:00,500,,,,500,,,,,,,,,,</t>
  </si>
  <si>
    <t>2025-05-12 03:41:00,,5800,5900,,,5800,5810,,,,,5900,5680,,</t>
  </si>
  <si>
    <t>2025-05-12 03:41:00,20800,,,,20100,,,,,,,,,,</t>
  </si>
  <si>
    <t>2025-05-12 03:41:00,7022880183.86714,0,0,0,0,0,0,0</t>
  </si>
  <si>
    <t>2025-05-12 03:41:00,3096422082.17391,0,0,0,0,0,0,0</t>
  </si>
  <si>
    <t>2025-05-12 03:41:00,-85746715.4957237,2622902.94611192,,-53,,-3216.44,0.104251671135464,-36.52</t>
  </si>
  <si>
    <t>2025-05-12 03:41:00,44872086.9914523,0,0,0,0,0,0,0</t>
  </si>
  <si>
    <t>2025-05-12 03:42:00,580,,,,575,,,,,,,,,,</t>
  </si>
  <si>
    <t>2025-05-12 03:42:00,500,,,,500,,,,,,,,,,</t>
  </si>
  <si>
    <t>2025-05-12 03:42:00,,5800,5900,,,5800,5810,,,,,5900,5680,,</t>
  </si>
  <si>
    <t>2025-05-12 03:42:00,20800,,,,20100,,,,,,,,,,</t>
  </si>
  <si>
    <t>2025-05-12 03:42:00,7329627914.78118,0,0,0,0,0,0,0</t>
  </si>
  <si>
    <t>2025-05-12 03:42:00,3234326775.73554,0,0,0,0,0,0,0</t>
  </si>
  <si>
    <t>2025-05-12 03:42:00,-68979406.2730284,2665762.12933417,,-52,,-2730.8,0.0222542013848967,-24.3</t>
  </si>
  <si>
    <t>2025-05-12 03:42:00,44598485.8761109,0,0,0,0,0,0,0</t>
  </si>
  <si>
    <t>2025-05-12 03:43:00,580,,,,575,,,,,,,,,,</t>
  </si>
  <si>
    <t>2025-05-12 03:43:00,500,,,,500,,,,,,,,,,</t>
  </si>
  <si>
    <t>2025-05-12 03:43:00,,5800,5900,,,5800,5810,,,,,5900,5680,,</t>
  </si>
  <si>
    <t>2025-05-12 03:43:00,20800,,,,20100,,,,,,,,,,</t>
  </si>
  <si>
    <t>2025-05-12 03:43:00,7200461914.51931,0,0,0,0,0,0,0</t>
  </si>
  <si>
    <t>2025-05-12 03:43:00,3201261296.25463,0,0,0,0,0,0,0</t>
  </si>
  <si>
    <t>2025-05-12 03:43:00,-86340233.0569275,2633906.89852684,,-29,,-2061.25,0.0278764682371585,-16.31</t>
  </si>
  <si>
    <t>2025-05-12 03:43:00,44612159.0769856,0,0,0,0,0,0,0</t>
  </si>
  <si>
    <t>2025-05-12 03:44:00,580,,,,580,,,,,,,,,,</t>
  </si>
  <si>
    <t>2025-05-12 03:44:00,505,,,,500,,,,,,,,,,</t>
  </si>
  <si>
    <t>2025-05-12 03:44:00,,5800,5900,,,5800,5810,,,,,5900,5680,,</t>
  </si>
  <si>
    <t>2025-05-12 03:44:00,20800,,,,20100,,,,,,,,,,</t>
  </si>
  <si>
    <t>2025-05-12 03:44:00,7325812250.07167,0,0,0,0,0,0,0</t>
  </si>
  <si>
    <t>2025-05-12 03:44:00,3395652347.30593,0,0,0,0,0,0,0</t>
  </si>
  <si>
    <t>2025-05-12 03:44:00,-69685213.3782874,2630710.8075746,,-43,,-2802.45,0.0708914895954325,-24.79</t>
  </si>
  <si>
    <t>2025-05-12 03:44:00,44361890.5507549,0,0,0,0,0,0,0</t>
  </si>
  <si>
    <t>2025-05-12 03:45:00,580,,,,580,,,,,,,,,,</t>
  </si>
  <si>
    <t>2025-05-12 03:45:00,505,,,,500,,,,,,,,,,</t>
  </si>
  <si>
    <t>2025-05-12 03:45:00,,5800,5900,,,5800,5810,,,,,5900,5680,,</t>
  </si>
  <si>
    <t>2025-05-12 03:45:00,20800,,,,20100,,,,,,,,,,</t>
  </si>
  <si>
    <t>2025-05-12 03:45:00,6582966910.30366,0,0,0,0,0,0,0</t>
  </si>
  <si>
    <t>2025-05-12 03:45:00,3500180815.70127,0,0,0,0,0,0,0</t>
  </si>
  <si>
    <t>2025-05-12 03:45:00,-68548242.9517152,2675676.20082948,,-24,,-351.81,-0.0264859164927701,-6.49</t>
  </si>
  <si>
    <t>2025-05-12 03:45:00,44095130.958693,0,0,0,0,0,0,0</t>
  </si>
  <si>
    <t>2025-05-12 03:46:00,580,,,,580,,,,,,,,,,</t>
  </si>
  <si>
    <t>2025-05-12 03:46:00,500,,,,500,,,,,,,,,,</t>
  </si>
  <si>
    <t>2025-05-12 03:46:00,,5800,5900,,,5800,5810,,,,,5900,5680,,</t>
  </si>
  <si>
    <t>2025-05-12 03:46:00,20800,,,,20100,,,,,,,,,,</t>
  </si>
  <si>
    <t>2025-05-12 03:46:00,7255131096.25182,0,0,0,0,0,0,0</t>
  </si>
  <si>
    <t>2025-05-12 03:46:00,2622755642.71623,0,0,0,0,0,0,0</t>
  </si>
  <si>
    <t>2025-05-12 03:46:00,-68140566.2671026,2711794.23159131,,-140,,-12201.79,0.105413413045968,-74.1</t>
  </si>
  <si>
    <t>2025-05-12 03:46:00,43532949.329931,0,0,0,0,0,0,0</t>
  </si>
  <si>
    <t>2025-05-12 03:47:00,580,,,,580,,,,,,,,,,</t>
  </si>
  <si>
    <t>2025-05-12 03:47:00,505,,,,500,,,,,,,,,,</t>
  </si>
  <si>
    <t>2025-05-12 03:47:00,,5800,5900,,,5800,5810,,,,,5900,5680,,</t>
  </si>
  <si>
    <t>2025-05-12 03:47:00,20800,,,,20100,,,,,,,,,,</t>
  </si>
  <si>
    <t>2025-05-12 03:47:00,6652176530.28282,0,0,0,0,0,0,0</t>
  </si>
  <si>
    <t>2025-05-12 03:47:00,3516404178.16233,0,0,0,0,0,0,0</t>
  </si>
  <si>
    <t>2025-05-12 03:47:00,-68026577.5557456,2576991.34094115,,-133,,-11709.37,0.315991053116672,-92.47</t>
  </si>
  <si>
    <t>2025-05-12 03:47:00,43967023.122864,0,0,0,0,0,0,0</t>
  </si>
  <si>
    <t>2025-05-12 03:48:00,580,,,,580,,,,,,,,,,</t>
  </si>
  <si>
    <t>2025-05-12 03:48:00,505,,,,500,,,,,,,,,,</t>
  </si>
  <si>
    <t>2025-05-12 03:48:00,,5800,5900,,,5800,5810,,,,,5900,5680,,</t>
  </si>
  <si>
    <t>2025-05-12 03:48:00,20800,,,,20100,,,,,,,,,,</t>
  </si>
  <si>
    <t>2025-05-12 03:48:00,6903039254.85416,0,0,0,0,0,0,0</t>
  </si>
  <si>
    <t>2025-05-12 03:48:00,3589127085.41056,0,0,0,0,0,0,0</t>
  </si>
  <si>
    <t>2025-05-12 03:48:00,-66355688.0221716,2614416.29942142,,-28,,-1192.48,0.0164890667227733,-14.8</t>
  </si>
  <si>
    <t>2025-05-12 03:48:00,43825690.3579633,0,0,0,0,0,0,0</t>
  </si>
  <si>
    <t>2025-05-12 03:49:00,580,,,,580,,,,,,,,,,</t>
  </si>
  <si>
    <t>2025-05-12 03:49:00,500,,,,500,,,,,,,,,,</t>
  </si>
  <si>
    <t>2025-05-12 03:49:00,,5800,5900,,,5800,5810,,,,,5900,5600,,</t>
  </si>
  <si>
    <t>2025-05-12 03:49:00,20800,,,,20100,,,,,,,,,,</t>
  </si>
  <si>
    <t>2025-05-12 03:49:00,7106032465.75458,0,0,0,0,0,0,0</t>
  </si>
  <si>
    <t>2025-05-12 03:49:00,2605819779.48142,0,0,0,0,0,0,0</t>
  </si>
  <si>
    <t>2025-05-12 03:49:00,-66514520.5702919,2604986.92145582,,-1121,,-27265.44,0.05682602568339,-352.43</t>
  </si>
  <si>
    <t>2025-05-12 03:49:00,43422021.1426813,0,0,0,0,0,0,0</t>
  </si>
  <si>
    <t>2025-05-12 03:50:00,580,,,,580,,,,,,,,,,</t>
  </si>
  <si>
    <t>2025-05-12 03:50:00,500,,,,500,,,,,,,,,,</t>
  </si>
  <si>
    <t>2025-05-12 03:50:00,,5800,5900,,,5800,5810,,,,,5900,5600,,</t>
  </si>
  <si>
    <t>2025-05-12 03:50:00,20800,,,,20100,,,,,,,,,,</t>
  </si>
  <si>
    <t>2025-05-12 03:50:00,7887622419.63557,0,0,0,0,0,0,0</t>
  </si>
  <si>
    <t>2025-05-12 03:50:00,2583482464.08447,0,0,0,0,0,0,0</t>
  </si>
  <si>
    <t>2025-05-12 03:50:00,-66019320.1815498,2674933.58628085,,-198,,-5196.57,-0.0883788077599234,-60.53</t>
  </si>
  <si>
    <t>2025-05-12 03:50:00,42720778.9610722,0,0,0,0,0,0,0</t>
  </si>
  <si>
    <t>2025-05-12 03:51:00,580,,,,580,,,,,,,,,,</t>
  </si>
  <si>
    <t>2025-05-12 03:51:00,500,,,,500,,,,,,,,,,</t>
  </si>
  <si>
    <t>2025-05-12 03:51:00,,5800,5900,,,5800,5810,,,,,5900,5600,,</t>
  </si>
  <si>
    <t>2025-05-12 03:51:00,20800,,,,20100,,,,,,,,,,</t>
  </si>
  <si>
    <t>2025-05-12 03:51:00,7789881729.5113,0,0,0,0,0,0,0</t>
  </si>
  <si>
    <t>2025-05-12 03:51:00,2586944435.71083,0,0,0,0,0,0,0</t>
  </si>
  <si>
    <t>2025-05-12 03:51:00,-66122700.695515,2664477.34888559,,-78,,-4732.95,0.0340930171275559,-33.73</t>
  </si>
  <si>
    <t>2025-05-12 03:51:00,42493655.9490464,0,0,0,0,0,0,0</t>
  </si>
  <si>
    <t>2025-05-12 03:52:00,580,,,,580,,,,,,,,,,</t>
  </si>
  <si>
    <t>2025-05-12 03:52:00,500,,,,500,,,,,,,,,,</t>
  </si>
  <si>
    <t>2025-05-12 03:52:00,,5800,5900,,,5800,5810,,,,,5900,5600,,</t>
  </si>
  <si>
    <t>2025-05-12 03:52:00,20800,,,,20100,,,,,,,,,,</t>
  </si>
  <si>
    <t>2025-05-12 03:52:00,7758018246.6943,0,0,0,0,0,0,0</t>
  </si>
  <si>
    <t>2025-05-12 03:52:00,2585868535.93508,0,0,0,0,0,0,0</t>
  </si>
  <si>
    <t>2025-05-12 03:52:00,-65211834.8117797,2678294.21104145,,-132,,-2862.59,-0.0220839141081064,-18.31</t>
  </si>
  <si>
    <t>2025-05-12 03:52:00,42547160.745867,0,0,0,0,0,0,0</t>
  </si>
  <si>
    <t>2025-05-12 03:53:00,580,,,,580,,,,,,,,,,</t>
  </si>
  <si>
    <t>2025-05-12 03:53:00,500,,,,500,,,,,,,,,,</t>
  </si>
  <si>
    <t>2025-05-12 03:53:00,,5800,5900,,,5800,5810,,,,,5900,5600,,</t>
  </si>
  <si>
    <t>2025-05-12 03:53:00,20800,,,,20100,,,,,,,,,,</t>
  </si>
  <si>
    <t>2025-05-12 03:53:00,7591387413.77394,0,0,0,0,0,0,0</t>
  </si>
  <si>
    <t>2025-05-12 03:53:00,2582163302.04417,0,0,0,0,0,0,0</t>
  </si>
  <si>
    <t>2025-05-12 03:53:00,-66398324.8488909,2671635.44438405,,-66,,-1456.55,-0.0449623757030695,-24.14</t>
  </si>
  <si>
    <t>2025-05-12 03:53:00,42760011.3973402,0,0,0,0,0,0,0</t>
  </si>
  <si>
    <t>2025-05-12 03:54:00,580,,,,580,,,,,,,,,,</t>
  </si>
  <si>
    <t>2025-05-12 03:54:00,500,,,,500,,,,,,,,,,</t>
  </si>
  <si>
    <t>2025-05-12 03:54:00,,5800,5900,,,5800,5810,,,,,5900,5600,,</t>
  </si>
  <si>
    <t>2025-05-12 03:54:00,20800,,,,20100,,,,,,,,,,</t>
  </si>
  <si>
    <t>2025-05-12 03:54:00,7537445947.70636,0,0,0,0,0,0,0</t>
  </si>
  <si>
    <t>2025-05-12 03:54:00,2584995594.03754,0,0,0,0,0,0,0</t>
  </si>
  <si>
    <t>2025-05-12 03:54:00,-66744991.186731,2653482.18243853,,-23,,-755.49,0.00687988912591593,-9.39</t>
  </si>
  <si>
    <t>2025-05-12 03:54:00,42565708.2627021,0,0,0,0,0,0,0</t>
  </si>
  <si>
    <t>2025-05-12 03:55:00,580,,,,580,,,,,,,,,,</t>
  </si>
  <si>
    <t>2025-05-12 03:55:00,500,,,,500,,,,,,,,,,</t>
  </si>
  <si>
    <t>2025-05-12 03:55:00,,5800,5900,,,5800,5810,,,,,5900,5600,,</t>
  </si>
  <si>
    <t>2025-05-12 03:55:00,20800,,,,20100,,,,,,,,,,</t>
  </si>
  <si>
    <t>2025-05-12 03:55:00,7228515381.04077,0,0,0,0,0,0,0</t>
  </si>
  <si>
    <t>2025-05-12 03:55:00,2609252332.5103,0,0,0,0,0,0,0</t>
  </si>
  <si>
    <t>2025-05-12 03:55:00,-67204056.5509585,2628119.44509956,,-155,,-5293.76,-0.0106566701406196,-71.68</t>
  </si>
  <si>
    <t>2025-05-12 03:55:00,43129919.2282195,0,0,0,0,0,0,0</t>
  </si>
  <si>
    <t>2025-05-12 03:56:00,580,,,,580,,,,,,,,,,</t>
  </si>
  <si>
    <t>2025-05-12 03:56:00,500,,,,500,,,,,,,,,,</t>
  </si>
  <si>
    <t>2025-05-12 03:56:00,,5800,5900,,,5800,5810,,,,,5900,5600,,</t>
  </si>
  <si>
    <t>2025-05-12 03:56:00,20800,,,,20100,,,,,,,,,,</t>
  </si>
  <si>
    <t>2025-05-12 03:56:00,7159243042.6629,0,0,0,0,0,0,0</t>
  </si>
  <si>
    <t>2025-05-12 03:56:00,2580253723.47678,0,0,0,0,0,0,0</t>
  </si>
  <si>
    <t>2025-05-12 03:56:00,-67561655.6009887,2594707.88701386,,-30,,-1753.83,0.04397314171252,-17.01</t>
  </si>
  <si>
    <t>2025-05-12 03:56:00,42950490.3675059,0,0,0,0,0,0,0</t>
  </si>
  <si>
    <t>2025-05-12 03:57:00,580,,,,580,,,,,,,,,,</t>
  </si>
  <si>
    <t>2025-05-12 03:57:00,500,,,,500,,,,,,,,,,</t>
  </si>
  <si>
    <t>2025-05-12 03:57:00,,5800,5900,,,5800,5810,,,,,5900,5600,,</t>
  </si>
  <si>
    <t>2025-05-12 03:57:00,20800,,,,20100,,,,,,,,,,</t>
  </si>
  <si>
    <t>2025-05-12 03:57:00,7038322810.17838,0,0,0,0,0,0,0</t>
  </si>
  <si>
    <t>2025-05-12 03:57:00,2579851238.65503,0,0,0,0,0,0,0</t>
  </si>
  <si>
    <t>2025-05-12 03:57:00,-67692954.5077665,2585394.21634518,,-9,,-100.55,-0.0118040821021151,-2.08</t>
  </si>
  <si>
    <t>2025-05-12 03:57:00,42979726.4378674,0,0,0,0,0,0,0</t>
  </si>
  <si>
    <t>2025-05-12 03:58:00,580,,,,580,,,,,,,,,,</t>
  </si>
  <si>
    <t>2025-05-12 03:58:00,500,,,,500,,,,,,,,,,</t>
  </si>
  <si>
    <t>2025-05-12 03:58:00,,5800,5900,,,5800,5810,,,,,5900,5600,,</t>
  </si>
  <si>
    <t>2025-05-12 03:58:00,20800,,,,20100,,,,,,,,,,</t>
  </si>
  <si>
    <t>2025-05-12 03:58:00,6956990740.05487,0,0,0,0,0,0,0</t>
  </si>
  <si>
    <t>2025-05-12 03:58:00,2737123498.19059,0,0,0,0,0,0,0</t>
  </si>
  <si>
    <t>2025-05-12 03:58:00,-68209232.6395185,2561146.75083782,,-15,,-679.99,0.012082203342778,-6.86</t>
  </si>
  <si>
    <t>2025-05-12 03:58:00,43140706.8918996,0,0,0,0,0,0,0</t>
  </si>
  <si>
    <t>2025-05-12 03:59:00,580,,,,580,,,,,,,,,,</t>
  </si>
  <si>
    <t>2025-05-12 03:59:00,500,,,,500,,,,,,,,,,</t>
  </si>
  <si>
    <t>2025-05-12 03:59:00,,5800,5900,,,5800,5810,,,,,5900,5600,,</t>
  </si>
  <si>
    <t>2025-05-12 03:59:00,20800,,,,20100,,,,,,,,,,</t>
  </si>
  <si>
    <t>2025-05-12 03:59:00,6689169212.21256,0,0,0,0,0,0,0</t>
  </si>
  <si>
    <t>2025-05-12 03:59:00,2616263013.35406,0,0,0,0,0,0,0</t>
  </si>
  <si>
    <t>2025-05-12 03:59:00,-69307975.0929962,2551199.75274984,,-90,,-1668.54,-0.0728537688484108,-23.68</t>
  </si>
  <si>
    <t>2025-05-12 03:59:00,43390813.557207,0,0,0,0,0,0,0</t>
  </si>
  <si>
    <t>2025-05-12 04:00:00,580,,,,580,,,,,,,,,,</t>
  </si>
  <si>
    <t>2025-05-12 04:00:00,500,,,,500,,,,,,,,,,</t>
  </si>
  <si>
    <t>2025-05-12 04:00:00,,5800,5900,,,5800,5810,,,,,5900,5600,,</t>
  </si>
  <si>
    <t>2025-05-12 04:00:00,20800,,,,20100,,,,,,,,,,</t>
  </si>
  <si>
    <t>2025-05-12 04:00:00,6661871613.44868,0,0,0,0,0,0,0</t>
  </si>
  <si>
    <t>2025-05-12 04:00:00,2627992408.02135,0,0,0,0,0,0,0</t>
  </si>
  <si>
    <t>2025-05-12 04:00:00,-67589332.4547684,2553166.02664561,,-59,,-3827.3,0.00267101108591854,-26.67</t>
  </si>
  <si>
    <t>2025-05-12 04:00:00,43390396.7633153,0,0,0,0,0,0,0</t>
  </si>
  <si>
    <t>2025-05-12 04:01:00,580,,,,580,,,,,,,,,,</t>
  </si>
  <si>
    <t>2025-05-12 04:01:00,500,,,,500,,,,,,,,,,</t>
  </si>
  <si>
    <t>2025-05-12 04:01:00,,5800,5900,,,5800,5810,,,,,5950,5600,,</t>
  </si>
  <si>
    <t>2025-05-12 04:01:00,20800,,,,20100,,,,,,,,,,</t>
  </si>
  <si>
    <t>2025-05-12 04:01:00,7010186783.83548,0,0,0,0,0,0,0</t>
  </si>
  <si>
    <t>2025-05-12 04:01:00,2575166638.17366,0,0,0,0,0,0,0</t>
  </si>
  <si>
    <t>2025-05-12 04:01:00,-66707831.3585574,2659172.30109051,,-201,,-5640.91,-0.261509701383168,-47.47</t>
  </si>
  <si>
    <t>2025-05-12 04:01:00,42825230.0854564,0,0,0,0,0,0,0</t>
  </si>
  <si>
    <t>2025-05-12 04:02:00,580,,,,580,,,,,,,,,,</t>
  </si>
  <si>
    <t>2025-05-12 04:02:00,500,,,,500,,,,,,,,,,</t>
  </si>
  <si>
    <t>2025-05-12 04:02:00,,5800,5900,,,5800,5810,,,,,5950,5600,,</t>
  </si>
  <si>
    <t>2025-05-12 04:02:00,20800,,,,20100,,,,,,,,,,</t>
  </si>
  <si>
    <t>2025-05-12 04:02:00,7231688443.09753,0,0,0,0,0,0,0</t>
  </si>
  <si>
    <t>2025-05-12 04:02:00,2586091501.39517,0,0,0,0,0,0,0</t>
  </si>
  <si>
    <t>2025-05-12 04:02:00,-66757097.7221197,2678968.4752359,,-62,,-2704.75,0.0602154197507796,-30.32</t>
  </si>
  <si>
    <t>2025-05-12 04:02:00,42526283.3276524,0,0,0,0,0,0,0</t>
  </si>
  <si>
    <t>2025-05-12 04:03:00,580,,,,580,,,,,,,,,,</t>
  </si>
  <si>
    <t>2025-05-12 04:03:00,500,,,,500,,,,,,,,,,</t>
  </si>
  <si>
    <t>2025-05-12 04:03:00,,5800,5900,,,5800,5810,,,,,5900,5600,,</t>
  </si>
  <si>
    <t>2025-05-12 04:03:00,20800,,,,20100,,,,,,,,,,</t>
  </si>
  <si>
    <t>2025-05-12 04:03:00,7107891480.28327,0,0,0,0,0,0,0</t>
  </si>
  <si>
    <t>2025-05-12 04:03:00,2586676199.8917,0,0,0,0,0,0,0</t>
  </si>
  <si>
    <t>2025-05-12 04:03:00,-67046773.5499222,2677209.18593888,,-17,,-836.43,0.0192709659206038,-7.75</t>
  </si>
  <si>
    <t>2025-05-12 04:03:00,42542535.5861773,0,0,0,0,0,0,0</t>
  </si>
  <si>
    <t>2025-05-12 04:04:00,580,,,,580,,,,,,,,,,</t>
  </si>
  <si>
    <t>2025-05-12 04:04:00,500,,,,500,,,,,,,,,,</t>
  </si>
  <si>
    <t>2025-05-12 04:04:00,,5800,5900,,,5800,5810,,,,,5950,5600,,</t>
  </si>
  <si>
    <t>2025-05-12 04:04:00,20800,,,,20100,,,,,,,,,,</t>
  </si>
  <si>
    <t>2025-05-12 04:04:00,7141485792.82715,0,0,0,0,0,0,0</t>
  </si>
  <si>
    <t>2025-05-12 04:04:00,2588286762.22182,0,0,0,0,0,0,0</t>
  </si>
  <si>
    <t>2025-05-12 04:04:00,-66977063.5763069,2694096.78373055,,-83,,-5132.73,-0.0456406343726499,-24.25</t>
  </si>
  <si>
    <t>2025-05-12 04:04:00,42416813.6691445,0,0,0,0,0,0,0</t>
  </si>
  <si>
    <t>2025-05-12 04:05:00,580,,,,580,,,,,,,,,,</t>
  </si>
  <si>
    <t>2025-05-12 04:05:00,510,,,,500,,,,,,,,,,</t>
  </si>
  <si>
    <t>2025-05-12 04:05:00,,5800,5900,,,5800,5810,,,,,5950,5600,,</t>
  </si>
  <si>
    <t>2025-05-12 04:05:00,20800,,,,20100,,,,,,,,,,</t>
  </si>
  <si>
    <t>2025-05-12 04:05:00,7269694279.30208,0,0,0,0,0,0,0</t>
  </si>
  <si>
    <t>2025-05-12 04:05:00,2592366993.93689,0,0,0,0,0,0,0</t>
  </si>
  <si>
    <t>2025-05-12 04:05:00,-66475573.7788259,2707383.62885283,,-13,,-608.98,0.0111792165009325,-8.74</t>
  </si>
  <si>
    <t>2025-05-12 04:05:00,42203291.4731471,0,0,0,0,0,0,0</t>
  </si>
  <si>
    <t>2025-05-12 04:06:00,580,,,,580,,,,,,,,,,</t>
  </si>
  <si>
    <t>2025-05-12 04:06:00,500,,,,500,,,,,,,,,,</t>
  </si>
  <si>
    <t>2025-05-12 04:06:00,,5800,5900,,,5800,5810,,,,,5950,5600,,</t>
  </si>
  <si>
    <t>2025-05-12 04:06:00,20800,,,,20100,,,,,,,,,,</t>
  </si>
  <si>
    <t>2025-05-12 04:06:00,7232691479.35079,0,0,0,0,0,0,0</t>
  </si>
  <si>
    <t>2025-05-12 04:06:00,2592587526.11178,0,0,0,0,0,0,0</t>
  </si>
  <si>
    <t>2025-05-12 04:06:00,-66827973.6448484,2698292.68685314,,-22,,-1473.21,0.0478195452596385,-10.6</t>
  </si>
  <si>
    <t>2025-05-12 04:06:00,42296249.7858598,0,0,0,0,0,0,0</t>
  </si>
  <si>
    <t>2025-05-12 04:07:00,580,,,,580,,,,,,,,,,</t>
  </si>
  <si>
    <t>2025-05-12 04:07:00,500,,,,500,,,,,,,,,,</t>
  </si>
  <si>
    <t>2025-05-12 04:07:00,,5800,5900,,,5800,5810,,,,,5950,5600,,</t>
  </si>
  <si>
    <t>2025-05-12 04:07:00,20800,,,,20100,,,,,,,,,,</t>
  </si>
  <si>
    <t>2025-05-12 04:07:00,7380488228.10699,0,0,0,0,0,0,0</t>
  </si>
  <si>
    <t>2025-05-12 04:07:00,2591233699.68984,0,0,0,0,0,0,0</t>
  </si>
  <si>
    <t>2025-05-12 04:07:00,-65447316.4150572,2724882.93935917,,-10,,-357.68,0.00100653019437838,-4.62</t>
  </si>
  <si>
    <t>2025-05-12 04:07:00,42322976.8313596,0,0,0,0,0,0,0</t>
  </si>
  <si>
    <t>2025-05-12 04:08:00,580,,,,580,,,,,,,,,,</t>
  </si>
  <si>
    <t>2025-05-12 04:08:00,510,,,,500,,,,,,,,,,</t>
  </si>
  <si>
    <t>2025-05-12 04:08:00,,5800,5900,,,5800,5810,,,,,5950,5600,,</t>
  </si>
  <si>
    <t>2025-05-12 04:08:00,20800,,,,20100,,,,,,,,,,</t>
  </si>
  <si>
    <t>2025-05-12 04:08:00,7466976512.10489,0,0,0,0,0,0,0</t>
  </si>
  <si>
    <t>2025-05-12 04:08:00,2593404353.95497,0,0,0,0,0,0,0</t>
  </si>
  <si>
    <t>2025-05-12 04:08:00,-65373281.5019957,2737854.05672708,,-10,,-178.68,-0.00671549968217085,-3.37</t>
  </si>
  <si>
    <t>2025-05-12 04:08:00,42200945.6420117,0,0,0,0,0,0,0</t>
  </si>
  <si>
    <t>2025-05-12 04:09:00,580,,,,580,,,,,,,,,,</t>
  </si>
  <si>
    <t>2025-05-12 04:09:00,500,,,,500,,,,,,,,,,</t>
  </si>
  <si>
    <t>2025-05-12 04:09:00,,5800,5900,,,5800,5810,,,,,5950,5600,,</t>
  </si>
  <si>
    <t>2025-05-12 04:09:00,20800,,,,20100,,,,,,,,,,</t>
  </si>
  <si>
    <t>2025-05-12 04:09:00,7334447760.81081,0,0,0,0,0,0,0</t>
  </si>
  <si>
    <t>2025-05-12 04:09:00,2588567325.09804,0,0,0,0,0,0,0</t>
  </si>
  <si>
    <t>2025-05-12 04:09:00,-65306092.0382941,2773198.26326434,,-133,,-1018.1,-0.169983304986983,-13.76</t>
  </si>
  <si>
    <t>2025-05-12 04:09:00,42402753.6951452,0,0,0,0,0,0,0</t>
  </si>
  <si>
    <t>2025-05-12 04:10:00,580,,,,580,,,,,,,,,,</t>
  </si>
  <si>
    <t>2025-05-12 04:10:00,500,,,,500,,,,,,,,,,</t>
  </si>
  <si>
    <t>2025-05-12 04:10:00,,5800,5900,,,5800,5810,,,,,5950,5600,,</t>
  </si>
  <si>
    <t>2025-05-12 04:10:00,20800,,,,20100,,,,,,,,,,</t>
  </si>
  <si>
    <t>2025-05-12 04:10:00,7398238768.04806,0,0,0,0,0,0,0</t>
  </si>
  <si>
    <t>2025-05-12 04:10:00,2602677851.54713,0,0,0,0,0,0,0</t>
  </si>
  <si>
    <t>2025-05-12 04:10:00,-65535453.2870463,2789579.38599498,,-45,,-1003.21,-0.0124749352407378,-10.48</t>
  </si>
  <si>
    <t>2025-05-12 04:10:00,42547680.374576,0,0,0,0,0,0,0</t>
  </si>
  <si>
    <t>2025-05-12 04:11:00,580,,,,580,,,,,,,,,,</t>
  </si>
  <si>
    <t>2025-05-12 04:11:00,500,,,,500,,,,,,,,,,</t>
  </si>
  <si>
    <t>2025-05-12 04:11:00,,5800,5900,,,5800,5810,,,,,5950,5600,,</t>
  </si>
  <si>
    <t>2025-05-12 04:11:00,20800,,,,20100,,,,,,,,,,</t>
  </si>
  <si>
    <t>2025-05-12 04:11:00,7509977942.12154,0,0,0,0,0,0,0</t>
  </si>
  <si>
    <t>2025-05-12 04:11:00,2590792965.40627,0,0,0,0,0,0,0</t>
  </si>
  <si>
    <t>2025-05-12 04:11:00,-65908691.2933154,2786843.79053128,,-23,,-259.44,-0.0254080407150159,-6.89</t>
  </si>
  <si>
    <t>2025-05-12 04:11:00,42315094.8821922,0,0,0,0,0,0,0</t>
  </si>
  <si>
    <t>2025-05-12 04:12:00,580,,,,580,,,,,,,,,,</t>
  </si>
  <si>
    <t>2025-05-12 04:12:00,510,,,,500,,,,,,,,,,</t>
  </si>
  <si>
    <t>2025-05-12 04:12:00,,5800,5900,,,5800,5810,,,,,5950,5600,,</t>
  </si>
  <si>
    <t>2025-05-12 04:12:00,20800,,,,20100,,,,,,,,,,</t>
  </si>
  <si>
    <t>2025-05-12 04:12:00,7855600879.05652,0,0,0,0,0,0,0</t>
  </si>
  <si>
    <t>2025-05-12 04:12:00,2588999338.22009,0,0,0,0,0,0,0</t>
  </si>
  <si>
    <t>2025-05-12 04:12:00,-64778211.6137542,2817604.74751398,,-49,,-550.51,-0.0607996167977448,-13.43</t>
  </si>
  <si>
    <t>2025-05-12 04:12:00,41991515.5139662,0,0,0,0,0,0,0</t>
  </si>
  <si>
    <t>2025-05-12 04:13:00,580,,,,580,,,,,,,,,,</t>
  </si>
  <si>
    <t>2025-05-12 04:13:00,510,,,,500,,,,,,,,,,</t>
  </si>
  <si>
    <t>2025-05-12 04:13:00,,5800,5900,,,5800,5810,,,,,5950,5600,,</t>
  </si>
  <si>
    <t>2025-05-12 04:13:00,20800,,,,20100,,,,,,,,,,</t>
  </si>
  <si>
    <t>2025-05-12 04:13:00,8419357067.96544,0,0,0,0,0,0,0</t>
  </si>
  <si>
    <t>2025-05-12 04:13:00,2386400883.222,0,0,0,0,0,0,0</t>
  </si>
  <si>
    <t>2025-05-12 04:13:00,-64680662.3253635,2863429.26846522,,-186,,-3562.65,-0.0588692642112897,-26.56</t>
  </si>
  <si>
    <t>2025-05-12 04:13:00,41651294.1558871,0,0,0,0,0,0,0</t>
  </si>
  <si>
    <t>2025-05-12 04:14:00,580,,,,580,,,,,,,,,,</t>
  </si>
  <si>
    <t>2025-05-12 04:14:00,500,,,,500,,,,,,,,,,</t>
  </si>
  <si>
    <t>2025-05-12 04:14:00,,5800,5900,,,5800,5810,,,,,5950,5600,,</t>
  </si>
  <si>
    <t>2025-05-12 04:14:00,20800,,,,20100,,,,,,,,,,</t>
  </si>
  <si>
    <t>2025-05-12 04:14:00,7700311190.7106,0,0,0,0,0,0,0</t>
  </si>
  <si>
    <t>2025-05-12 04:14:00,2589784044.18165,0,0,0,0,0,0,0</t>
  </si>
  <si>
    <t>2025-05-12 04:14:00,-66055660.5240559,2809269.11571924,,-87,,-3693.43,0.0370338819615202,-41.86</t>
  </si>
  <si>
    <t>2025-05-12 04:14:00,42403935.8522146,0,0,0,0,0,0,0</t>
  </si>
  <si>
    <t>2025-05-12 04:15:00,580,,,,580,,,,,,,,,,</t>
  </si>
  <si>
    <t>2025-05-12 04:15:00,500,,,,500,,,,,,,,,,</t>
  </si>
  <si>
    <t>2025-05-12 04:15:00,,5800,5900,,,5800,5810,,,,,5950,5600,,</t>
  </si>
  <si>
    <t>2025-05-12 04:15:00,20800,,,,20100,,,,,,,,,,</t>
  </si>
  <si>
    <t>2025-05-12 04:15:00,7670419835.41961,0,0,0,0,0,0,0</t>
  </si>
  <si>
    <t>2025-05-12 04:15:00,2587652631.83262,0,0,0,0,0,0,0</t>
  </si>
  <si>
    <t>2025-05-12 04:15:00,-65864875.2005119,2844609.22463112,,-64,,-908.35,-0.0667598319349921,-15.87</t>
  </si>
  <si>
    <t>2025-05-12 04:15:00,42543825.6396992,0,0,0,0,0,0,0</t>
  </si>
  <si>
    <t>2025-05-12 04:16:00,580,,,,580,,,,,,,,,,</t>
  </si>
  <si>
    <t>2025-05-12 04:16:00,500,,,,500,,,,,,,,,,</t>
  </si>
  <si>
    <t>2025-05-12 04:16:00,,5800,5900,,,5800,5810,,,,,5950,5600,,</t>
  </si>
  <si>
    <t>2025-05-12 04:16:00,20800,,,,20100,,,,,,,,,,</t>
  </si>
  <si>
    <t>2025-05-12 04:16:00,7727169845.71628,0,0,0,0,0,0,0</t>
  </si>
  <si>
    <t>2025-05-12 04:16:00,2584546175.84234,0,0,0,0,0,0,0</t>
  </si>
  <si>
    <t>2025-05-12 04:16:00,-66999752.0148046,2800853.67224634,,-80,,-3353.7,0.0198863903978173,-44.81</t>
  </si>
  <si>
    <t>2025-05-12 04:16:00,42421253.2881831,0,0,0,0,0,0,0</t>
  </si>
  <si>
    <t>2025-05-12 04:17:00,580,,,,580,,,,,,,,,,</t>
  </si>
  <si>
    <t>2025-05-12 04:17:00,510,,,,500,,,,,,,,,,</t>
  </si>
  <si>
    <t>2025-05-12 04:17:00,,5800,5900,,,5800,5810,,,,,5950,5600,,</t>
  </si>
  <si>
    <t>2025-05-12 04:17:00,20800,,,,20100,,,,,,,,,,</t>
  </si>
  <si>
    <t>2025-05-12 04:17:00,7696894835.10582,0,0,0,0,0,0,0</t>
  </si>
  <si>
    <t>2025-05-12 04:17:00,2592918168.65938,0,0,0,0,0,0,0</t>
  </si>
  <si>
    <t>2025-05-12 04:17:00,-67093477.292133,2791508.46718082,,-10,,-284.14,-0.000496966480974518,-3.9</t>
  </si>
  <si>
    <t>2025-05-12 04:17:00,42249794.5447155,0,0,0,0,0,0,0</t>
  </si>
  <si>
    <t>2025-05-12 04:18:00,580,,,,580,,,,,,,,,,</t>
  </si>
  <si>
    <t>2025-05-12 04:18:00,500,,,,500,,,,,,,,,,</t>
  </si>
  <si>
    <t>2025-05-12 04:18:00,,5800,5900,,,5800,5810,,,,,5950,5600,,</t>
  </si>
  <si>
    <t>2025-05-12 04:18:00,20800,,,,20100,,,,,,,,,,</t>
  </si>
  <si>
    <t>2025-05-12 04:18:00,7417792847.57418,0,0,0,0,0,0,0</t>
  </si>
  <si>
    <t>2025-05-12 04:18:00,2587561281.39421,0,0,0,0,0,0,0</t>
  </si>
  <si>
    <t>2025-05-12 04:18:00,-66773641.9044745,2782017.97575405,,-12,,-382.22,-0.000380999110541212,-4.43</t>
  </si>
  <si>
    <t>2025-05-12 04:18:00,42434556.8739118,0,0,0,0,0,0,0</t>
  </si>
  <si>
    <t>2025-05-12 04:19:00,580,,,,580,,,,,,,,,,</t>
  </si>
  <si>
    <t>2025-05-12 04:19:00,500,,,,500,,,,,,,,,,</t>
  </si>
  <si>
    <t>2025-05-12 04:19:00,,5800,5900,,,5800,5810,,,,,5950,5600,,</t>
  </si>
  <si>
    <t>2025-05-12 04:19:00,20800,,,,20100,,,,,,,,,,</t>
  </si>
  <si>
    <t>2025-05-12 04:19:00,7107961951.96649,0,0,0,0,0,0,0</t>
  </si>
  <si>
    <t>2025-05-12 04:19:00,2583242105.73493,0,0,0,0,0,0,0</t>
  </si>
  <si>
    <t>2025-05-12 04:19:00,-67462008.016403,2702766.97632858,,-73,,-5630.58,0.139267964333715,-40.34</t>
  </si>
  <si>
    <t>2025-05-12 04:19:00,42660666.9685697,0,0,0,0,0,0,0</t>
  </si>
  <si>
    <t>2025-05-12 04:20:00,580,,,,580,,,,,,,,,,</t>
  </si>
  <si>
    <t>2025-05-12 04:20:00,500,,,,500,,,,,,,,,,</t>
  </si>
  <si>
    <t>2025-05-12 04:20:00,,5800,5900,,,5800,5810,,,,,5950,5600,,</t>
  </si>
  <si>
    <t>2025-05-12 04:20:00,20800,,,,20100,,,,,,,,,,</t>
  </si>
  <si>
    <t>2025-05-12 04:20:00,6779187979.76089,0,0,0,0,0,0,0</t>
  </si>
  <si>
    <t>2025-05-12 04:20:00,2579597992.71917,0,0,0,0,0,0,0</t>
  </si>
  <si>
    <t>2025-05-12 04:20:00,-68516680.6398723,2733291.3143412,,-196,,-2433.47,-0.210219938552461,-55.52</t>
  </si>
  <si>
    <t>2025-05-12 04:20:00,43021326.5309932,0,0,0,0,0,0,0</t>
  </si>
  <si>
    <t>2025-05-12 04:21:00,580,,,,580,,,,,,,,,,</t>
  </si>
  <si>
    <t>2025-05-12 04:21:00,500,,,,500,,,,,,,,,,</t>
  </si>
  <si>
    <t>2025-05-12 04:21:00,,5800,5900,,,5800,5810,,,,,5950,5600,,</t>
  </si>
  <si>
    <t>2025-05-12 04:21:00,20800,,,,20100,,,,,,,,,,</t>
  </si>
  <si>
    <t>2025-05-12 04:21:00,6642444672.63993,0,0,0,0,0,0,0</t>
  </si>
  <si>
    <t>2025-05-12 04:21:00,2691045673.58911,0,0,0,0,0,0,0</t>
  </si>
  <si>
    <t>2025-05-12 04:21:00,-68324869.7745447,2535060.66714887,,-177,,-18201.79,0.79203778338598,-157.64</t>
  </si>
  <si>
    <t>2025-05-12 04:21:00,43230629.9139473,0,0,0,0,0,0,0</t>
  </si>
  <si>
    <t>2025-05-12 04:22:00,580,,,,580,,,,,,,,,,</t>
  </si>
  <si>
    <t>2025-05-12 04:22:00,500,,,,500,,,,,,,,,,</t>
  </si>
  <si>
    <t>2025-05-12 04:22:00,,5800,5900,,,5800,5810,,,,,5950,5600,,</t>
  </si>
  <si>
    <t>2025-05-12 04:22:00,20800,,,,20100,,,,,,,,,,</t>
  </si>
  <si>
    <t>2025-05-12 04:22:00,7047155066.83456,0,0,0,0,0,0,0</t>
  </si>
  <si>
    <t>2025-05-12 04:22:00,2582117645.7951,0,0,0,0,0,0,0</t>
  </si>
  <si>
    <t>2025-05-12 04:22:00,-68072127.0865226,2557159.13350755,,-59,,-2780.98,0.0550721576520911,-30.94</t>
  </si>
  <si>
    <t>2025-05-12 04:22:00,42696393.4599958,0,0,0,0,0,0,0</t>
  </si>
  <si>
    <t>2025-05-12 04:23:00,580,,,,580,,,,,,,,,,</t>
  </si>
  <si>
    <t>2025-05-12 04:23:00,500,,,,500,,,,,,,,,,</t>
  </si>
  <si>
    <t>2025-05-12 04:23:00,,5800,5900,,,5800,5810,,,,,5950,5600,,</t>
  </si>
  <si>
    <t>2025-05-12 04:23:00,20800,,,,20100,,,,,,,,,,</t>
  </si>
  <si>
    <t>2025-05-12 04:23:00,7160700838.74243,0,0,0,0,0,0,0</t>
  </si>
  <si>
    <t>2025-05-12 04:23:00,2584157002.71981,0,0,0,0,0,0,0</t>
  </si>
  <si>
    <t>2025-05-12 04:23:00,-67692689.06496,2579104.02778044,,-17,,-420.3,-0.00539271222180299,-6.01</t>
  </si>
  <si>
    <t>2025-05-12 04:23:00,42632861.8651809,0,0,0,0,0,0,0</t>
  </si>
  <si>
    <t>2025-05-12 04:25:00,580,,,,580,,,,,,,,,,</t>
  </si>
  <si>
    <t>2025-05-12 04:25:00,500,,,,500,,,,,,,,,,</t>
  </si>
  <si>
    <t>2025-05-12 04:25:00,,5800,5900,,,5800,5810,,,,,5950,5600,,</t>
  </si>
  <si>
    <t>2025-05-12 04:25:00,20800,,,,20100,,,,,,,,,,</t>
  </si>
  <si>
    <t>2025-05-12 04:25:00,7311399406.75688,0,0,0,0,0,0,0</t>
  </si>
  <si>
    <t>2025-05-12 04:25:00,2585813199.13542,0,0,0,0,0,0,0</t>
  </si>
  <si>
    <t>2025-05-12 04:25:00,-67219473.9525981,2577273.66614266,,-29,,-1555.12,0.0327782452735364,-19.32</t>
  </si>
  <si>
    <t>2025-05-12 04:25:00,42544673.9929018,0,0,0,0,0,0,0</t>
  </si>
  <si>
    <t>2025-05-12 04:26:00,580,,,,580,,,,,,,,,,</t>
  </si>
  <si>
    <t>2025-05-12 04:26:00,500,,,,500,,,,,,,,,,</t>
  </si>
  <si>
    <t>2025-05-12 04:26:00,,5800,5900,,,5800,5810,,,,,5950,5600,,</t>
  </si>
  <si>
    <t>2025-05-12 04:26:00,20800,,,,20100,,,,,,,,,,</t>
  </si>
  <si>
    <t>2025-05-12 04:26:00,7071256904.11255,0,0,0,0,0,0,0</t>
  </si>
  <si>
    <t>2025-05-12 04:26:00,2581813139.69325,0,0,0,0,0,0,0</t>
  </si>
  <si>
    <t>2025-05-12 04:26:00,-68761132.9866126,2527328.69996997,,-26,,-535.38,-0.0181676290038108,-8.76</t>
  </si>
  <si>
    <t>2025-05-12 04:26:00,42780194.0778178,0,0,0,0,0,0,0</t>
  </si>
  <si>
    <t>2025-05-12 04:27:00,580,,,,580,,,,,,,,,,</t>
  </si>
  <si>
    <t>2025-05-12 04:27:00,500,,,,500,,,,,,,,,,</t>
  </si>
  <si>
    <t>2025-05-12 04:27:00,,5800,5900,,,5800,5810,,,,,5950,5600,,</t>
  </si>
  <si>
    <t>2025-05-12 04:27:00,20800,,,,20100,,,,,,,,,,</t>
  </si>
  <si>
    <t>2025-05-12 04:27:00,7442196108.31296,0,0,0,0,0,0,0</t>
  </si>
  <si>
    <t>2025-05-12 04:27:00,2587518956.16371,0,0,0,0,0,0,0</t>
  </si>
  <si>
    <t>2025-05-12 04:27:00,-67597810.4615312,2588918.67403776,,-13,,-118.63,-0.0163596154178307,-3</t>
  </si>
  <si>
    <t>2025-05-12 04:27:00,42446766.0115169,0,0,0,0,0,0,0</t>
  </si>
  <si>
    <t>2025-05-12 04:28:00,580,,,,580,,,,,,,,,,</t>
  </si>
  <si>
    <t>2025-05-12 04:28:00,500,,,,500,,,,,,,,,,</t>
  </si>
  <si>
    <t>2025-05-12 04:28:00,,5800,5900,,,5800,5810,,,,,5950,5600,,</t>
  </si>
  <si>
    <t>2025-05-12 04:28:00,20800,,,,20100,,,,,,,,,,</t>
  </si>
  <si>
    <t>2025-05-12 04:28:00,7562963846.46278,0,0,0,0,0,0,0</t>
  </si>
  <si>
    <t>2025-05-12 04:28:00,2590353185.2255,0,0,0,0,0,0,0</t>
  </si>
  <si>
    <t>2025-05-12 04:28:00,-67121788.2846534,2588236.62156655,,-13,,-178.21,-0.0155229226092571,-2.85</t>
  </si>
  <si>
    <t>2025-05-12 04:28:00,42339753.0036973,0,0,0,0,0,0,0</t>
  </si>
  <si>
    <t>2025-05-12 04:29:00,580,,,,580,,,,,,,,,,</t>
  </si>
  <si>
    <t>2025-05-12 04:29:00,510,,,,500,,,,,,,,,,</t>
  </si>
  <si>
    <t>2025-05-12 04:29:00,,5800,5900,,,5800,5810,,,,,5950,5600,,</t>
  </si>
  <si>
    <t>2025-05-12 04:29:00,20800,,,,20100,,,,,,,,,,</t>
  </si>
  <si>
    <t>2025-05-12 04:29:00,7858561271.73932,0,0,0,0,0,0,0</t>
  </si>
  <si>
    <t>2025-05-12 04:29:00,2588404247.44622,0,0,0,0,0,0,0</t>
  </si>
  <si>
    <t>2025-05-12 04:29:00,-67318321.3192694,2481122.51294097,,-290,,-16305.35,0.433543971557849,-159.4</t>
  </si>
  <si>
    <t>2025-05-12 04:29:00,42132191.2989499,0,0,0,0,0,0,0</t>
  </si>
  <si>
    <t>2025-05-12 04:30:00,580,,,,580,,,,,,,,,,</t>
  </si>
  <si>
    <t>2025-05-12 04:30:00,510,,,,500,,,,,,,,,,</t>
  </si>
  <si>
    <t>2025-05-12 04:30:00,,5800,5900,,,5800,5810,,,,,5950,5600,,</t>
  </si>
  <si>
    <t>2025-05-12 04:30:00,20800,,,,20100,,,,,,,,,,</t>
  </si>
  <si>
    <t>2025-05-12 04:30:00,7990116542.59052,0,0,0,0,0,0,0</t>
  </si>
  <si>
    <t>2025-05-12 04:30:00,2594046955.3399,0,0,0,0,0,0,0</t>
  </si>
  <si>
    <t>2025-05-12 04:30:00,-67464934.5532746,2494039.75874963,,-35,,-214.63,-0.0541804009671413,-5.31</t>
  </si>
  <si>
    <t>2025-05-12 04:30:00,42140912.4826504,0,0,0,0,0,0,0</t>
  </si>
  <si>
    <t>2025-05-12 04:31:00,580,,,,580,,,,,,,,,,</t>
  </si>
  <si>
    <t>2025-05-12 04:31:00,510,,,,500,,,,,,,,,,</t>
  </si>
  <si>
    <t>2025-05-12 04:31:00,,5800,5900,,,5800,5810,,,,,5950,5600,,</t>
  </si>
  <si>
    <t>2025-05-12 04:31:00,20800,,,,20100,,,,,,,,,,</t>
  </si>
  <si>
    <t>2025-05-12 04:31:00,8028796129.07031,0,0,0,0,0,0,0</t>
  </si>
  <si>
    <t>2025-05-12 04:31:00,2593496761.6152,0,0,0,0,0,0,0</t>
  </si>
  <si>
    <t>2025-05-12 04:31:00,-67157359.2137423,2571144.42567986,,-134,,-1316.97,-0.182556418879924,-26.49</t>
  </si>
  <si>
    <t>2025-05-12 04:31:00,42185583.4038187,0,0,0,0,0,0,0</t>
  </si>
  <si>
    <t>2025-05-12 04:32:00,580,,,,580,,,,,,,,,,</t>
  </si>
  <si>
    <t>2025-05-12 04:32:00,510,,,,500,,,,,,,,,,</t>
  </si>
  <si>
    <t>2025-05-12 04:32:00,,5800,5900,,,5800,5810,,,,,5950,5600,,</t>
  </si>
  <si>
    <t>2025-05-12 04:32:00,20800,,,,20100,,,,,,,,,,</t>
  </si>
  <si>
    <t>2025-05-12 04:32:00,6923149287.45055,0,0,0,0,0,0,0</t>
  </si>
  <si>
    <t>2025-05-12 04:32:00,2536452369.47377,0,0,0,0,0,0,0</t>
  </si>
  <si>
    <t>2025-05-12 04:32:00,-65449713.264239,2606582.31682669,,-90,,-3025.36,-0.00738050655465238,-44.03</t>
  </si>
  <si>
    <t>2025-05-12 04:32:00,41878053.805552,0,0,0,0,0,0,0</t>
  </si>
  <si>
    <t>2025-05-12 04:33:00,580,,,,580,,,,,,,,,,</t>
  </si>
  <si>
    <t>2025-05-12 04:33:00,510,,,,500,,,,,,,,,,</t>
  </si>
  <si>
    <t>2025-05-12 04:33:00,,5800,5900,,,5800,5810,,,,,5950,5600,,</t>
  </si>
  <si>
    <t>2025-05-12 04:33:00,20800,,,,20100,,,,,,,,,,</t>
  </si>
  <si>
    <t>2025-05-12 04:33:00,8495549905.76323,0,0,0,0,0,0,0</t>
  </si>
  <si>
    <t>2025-05-12 04:33:00,2590260116.60089,0,0,0,0,0,0,0</t>
  </si>
  <si>
    <t>2025-05-12 04:33:00,-66004951.4600394,2570207.11804646,,-49,,-4619.38,0.156682981015323,-33.58</t>
  </si>
  <si>
    <t>2025-05-12 04:33:00,42025075.5556511,0,0,0,0,0,0,0</t>
  </si>
  <si>
    <t>2025-05-12 04:34:00,580,,,,580,,,,,,,,,,</t>
  </si>
  <si>
    <t>2025-05-12 04:34:00,510,,,,500,,,,,,,,,,</t>
  </si>
  <si>
    <t>2025-05-12 04:34:00,,5800,5900,,,5800,5810,,,,,5950,5600,,</t>
  </si>
  <si>
    <t>2025-05-12 04:34:00,20800,,,,20100,,,,,,,,,,</t>
  </si>
  <si>
    <t>2025-05-12 04:34:00,8414714851.79163,0,0,0,0,0,0,0</t>
  </si>
  <si>
    <t>2025-05-12 04:34:00,2584539306.01482,0,0,0,0,0,0,0</t>
  </si>
  <si>
    <t>2025-05-12 04:34:00,-67921478.9442975,2554105.51158489,,-33,,-555.77,-0.0274774996774437,-13.67</t>
  </si>
  <si>
    <t>2025-05-12 04:34:00,41997447.2342037,0,0,0,0,0,0,0</t>
  </si>
  <si>
    <t>2025-05-12 04:35:00,580,,,,580,,,,,,,,,,</t>
  </si>
  <si>
    <t>2025-05-12 04:35:00,510,,,,500,,,,,,,,,,</t>
  </si>
  <si>
    <t>2025-05-12 04:35:00,,5800,5900,,,5800,5810,,,,,5950,5600,,</t>
  </si>
  <si>
    <t>2025-05-12 04:35:00,20800,,,,20100,,,,,,,,,,</t>
  </si>
  <si>
    <t>2025-05-12 04:35:00,8415647433.05399,0,0,0,0,0,0,0</t>
  </si>
  <si>
    <t>2025-05-12 04:35:00,2590029556.40074,0,0,0,0,0,0,0</t>
  </si>
  <si>
    <t>2025-05-12 04:35:00,-68478236.1560014,2573571.44957189,,-47,,-753.43,-0.04305952396151,-9.92</t>
  </si>
  <si>
    <t>2025-05-12 04:35:00,42025171.1296845,0,0,0,0,0,0,0</t>
  </si>
  <si>
    <t>2025-05-12 04:36:00,580,,,,580,,,,,,,,,,</t>
  </si>
  <si>
    <t>2025-05-12 04:36:00,510,,,,500,,,,,,,,,,</t>
  </si>
  <si>
    <t>2025-05-12 04:36:00,,5800,5900,,,5800,5810,,,,,5950,5600,,</t>
  </si>
  <si>
    <t>2025-05-12 04:36:00,20800,,,,20100,,,,,,,,,,</t>
  </si>
  <si>
    <t>2025-05-12 04:36:00,8661083543.97201,0,0,0,0,0,0,0</t>
  </si>
  <si>
    <t>2025-05-12 04:36:00,2579670679.25734,0,0,0,0,0,0,0</t>
  </si>
  <si>
    <t>2025-05-12 04:36:00,-67489775.2018721,2615967.8889245,,-59,,-465.45,-0.0841134517481625,-7.6</t>
  </si>
  <si>
    <t>2025-05-12 04:36:00,41968646.0473867,0,0,0,0,0,0,0</t>
  </si>
  <si>
    <t>2025-05-12 04:37:00,580,,,,580,,,,,,,,,,</t>
  </si>
  <si>
    <t>2025-05-12 04:37:00,510,,,,500,,,,,,,,,,</t>
  </si>
  <si>
    <t>2025-05-12 04:37:00,,5800,5900,,,5800,5810,,,,,5950,5600,,</t>
  </si>
  <si>
    <t>2025-05-12 04:37:00,20800,,,,20100,,,,,,,,,,</t>
  </si>
  <si>
    <t>2025-05-12 04:37:00,8208595291.83582,0,0,0,0,0,0,0</t>
  </si>
  <si>
    <t>2025-05-12 04:37:00,2593536425.06633,0,0,0,0,0,0,0</t>
  </si>
  <si>
    <t>2025-05-12 04:37:00,-66931821.7014944,2611243.99137168,,-35,,-138.86,-0.0590511884211912,-4.99</t>
  </si>
  <si>
    <t>2025-05-12 04:37:00,42161198.7381295,0,0,0,0,0,0,0</t>
  </si>
  <si>
    <t>2025-05-12 04:38:00,580,,,,580,,,,,,,,,,</t>
  </si>
  <si>
    <t>2025-05-12 04:38:00,510,,,,500,,,,,,,,,,</t>
  </si>
  <si>
    <t>2025-05-12 04:38:00,,5800,5900,,,5800,5810,,,,,5950,5600,,</t>
  </si>
  <si>
    <t>2025-05-12 04:38:00,20800,,,,20100,,,,,,,,,,</t>
  </si>
  <si>
    <t>2025-05-12 04:38:00,8346237166.02792,0,0,0,0,0,0,0</t>
  </si>
  <si>
    <t>2025-05-12 04:38:00,2594975181.94743,0,0,0,0,0,0,0</t>
  </si>
  <si>
    <t>2025-05-12 04:38:00,-68507283.130408,2603413.70866039,,-14,,-622.76,0.00830386953441107,-8.46</t>
  </si>
  <si>
    <t>2025-05-12 04:38:00,42093003.8753992,0,0,0,0,0,0,0</t>
  </si>
  <si>
    <t>2025-05-12 04:39:00,580,,,,580,,,,,,,,,,</t>
  </si>
  <si>
    <t>2025-05-12 04:39:00,510,,,,500,,,,,,,,,,</t>
  </si>
  <si>
    <t>2025-05-12 04:39:00,,5800,5900,,,5800,5810,,,,,5950,5600,,</t>
  </si>
  <si>
    <t>2025-05-12 04:39:00,20800,,,,20100,,,,,,,,,,</t>
  </si>
  <si>
    <t>2025-05-12 04:39:00,8274790249.47656,0,0,0,0,0,0,0</t>
  </si>
  <si>
    <t>2025-05-12 04:39:00,2592899884.81472,0,0,0,0,0,0,0</t>
  </si>
  <si>
    <t>2025-05-12 04:39:00,-67655555.7361896,2613962.19365726,,-18,,-270.2,-0.0235194707615868,-2.96</t>
  </si>
  <si>
    <t>2025-05-12 04:39:00,42259851.1675402,0,0,0,0,0,0,0</t>
  </si>
  <si>
    <t>2025-05-12 04:40:00,580,,,,580,,,,,,,,,,</t>
  </si>
  <si>
    <t>2025-05-12 04:40:00,510,,,,500,,,,,,,,,,</t>
  </si>
  <si>
    <t>2025-05-12 04:40:00,,5800,5900,,,5800,5810,,,,,5950,5600,,</t>
  </si>
  <si>
    <t>2025-05-12 04:40:00,20800,,,,20100,,,,,,,,,,</t>
  </si>
  <si>
    <t>2025-05-12 04:40:00,6921333209.44967,0,0,0,0,0,0,0</t>
  </si>
  <si>
    <t>2025-05-12 04:40:00,2593895767.74015,0,0,0,0,0,0,0</t>
  </si>
  <si>
    <t>2025-05-12 04:40:00,-67377762.4030236,2608031.79389147,,-30,,-678.53,-0.00798550461488944,-5.39</t>
  </si>
  <si>
    <t>2025-05-12 04:40:00,42108317.5650401,0,0,0,0,0,0,0</t>
  </si>
  <si>
    <t>2025-05-12 04:41:00,580,,,,580,,,,,,,,,,</t>
  </si>
  <si>
    <t>2025-05-12 04:41:00,510,,,,500,,,,,,,,,,</t>
  </si>
  <si>
    <t>2025-05-12 04:41:00,,5800,5900,,,5800,5810,,,,,5950,5600,,</t>
  </si>
  <si>
    <t>2025-05-12 04:41:00,20800,,,,20100,,,,,,,,,,</t>
  </si>
  <si>
    <t>2025-05-12 04:41:00,8492685979.18286,0,0,0,0,0,0,0</t>
  </si>
  <si>
    <t>2025-05-12 04:41:00,2600632682.95354,0,0,0,0,0,0,0</t>
  </si>
  <si>
    <t>2025-05-12 04:41:00,-67248336.236931,2608890.49345205,,-9,,-636.43,0.0191315490961157,-7.25</t>
  </si>
  <si>
    <t>2025-05-12 04:41:00,42247007.442259,0,0,0,0,0,0,0</t>
  </si>
  <si>
    <t>2025-05-12 04:42:00,580,,,,580,,,,,,,,,,</t>
  </si>
  <si>
    <t>2025-05-12 04:42:00,500,,,,500,,,,,,,,,,</t>
  </si>
  <si>
    <t>2025-05-12 04:42:00,,5800,5900,,,5800,5810,,,,,5950,5600,,</t>
  </si>
  <si>
    <t>2025-05-12 04:42:00,20800,,,,20100,,,,,,,,,,</t>
  </si>
  <si>
    <t>2025-05-12 04:42:00,8343085546.93757,0,0,0,0,0,0,0</t>
  </si>
  <si>
    <t>2025-05-12 04:42:00,2588829841.29293,0,0,0,0,0,0,0</t>
  </si>
  <si>
    <t>2025-05-12 04:42:00,-67384203.3235272,2592346.25973901,,-17,,-497.8,-0.0023239082874633,-6.85</t>
  </si>
  <si>
    <t>2025-05-12 04:42:00,42409611.404768,0,0,0,0,0,0,0</t>
  </si>
  <si>
    <t>2025-05-12 04:43:00,580,,,,580,,,,,,,,,,</t>
  </si>
  <si>
    <t>2025-05-12 04:43:00,500,,,,500,,,,,,,,,,</t>
  </si>
  <si>
    <t>2025-05-12 04:43:00,,5800,5900,,,5800,5810,,,,,5950,5600,,</t>
  </si>
  <si>
    <t>2025-05-12 04:43:00,20800,,,,20100,,,,,,,,,,</t>
  </si>
  <si>
    <t>2025-05-12 04:43:00,8495641237.20793,0,0,0,0,0,0,0</t>
  </si>
  <si>
    <t>2025-05-12 04:43:00,2590529412.67813,0,0,0,0,0,0,0</t>
  </si>
  <si>
    <t>2025-05-12 04:43:00,-66655091.462152,2588461.28156418,,-22,,-1132.11,0.0193763378859257,-13.62</t>
  </si>
  <si>
    <t>2025-05-12 04:43:00,42363155.300099,0,0,0,0,0,0,0</t>
  </si>
  <si>
    <t>2025-05-12 04:44:00,580,,,,580,,,,,,,,,,</t>
  </si>
  <si>
    <t>2025-05-12 04:44:00,510,,,,500,,,,,,,,,,</t>
  </si>
  <si>
    <t>2025-05-12 04:44:00,,5800,5900,,,5800,5810,,,,,5950,5600,,</t>
  </si>
  <si>
    <t>2025-05-12 04:44:00,20800,,,,20100,,,,,,,,,,</t>
  </si>
  <si>
    <t>2025-05-12 04:44:00,8345814838.88786,0,0,0,0,0,0,0</t>
  </si>
  <si>
    <t>2025-05-12 04:44:00,2592020282.27477,0,0,0,0,0,0,0</t>
  </si>
  <si>
    <t>2025-05-12 04:44:00,-67732162.1485487,2583718.72818161,,-5,,-38.02,-0.00746854212192831,-0.73</t>
  </si>
  <si>
    <t>2025-05-12 04:44:00,42356760.2836764,0,0,0,0,0,0,0</t>
  </si>
  <si>
    <t>2025-05-12 04:45:00,580,,,,580,,,,,,,,,,</t>
  </si>
  <si>
    <t>2025-05-12 04:45:00,500,,,,500,,,,,,,,,,</t>
  </si>
  <si>
    <t>2025-05-12 04:45:00,,5800,5900,,,5800,5810,,,,,5950,5600,,</t>
  </si>
  <si>
    <t>2025-05-12 04:45:00,20800,,,,20100,,,,,,,,,,</t>
  </si>
  <si>
    <t>2025-05-12 04:45:00,8339008153.71834,0,0,0,0,0,0,0</t>
  </si>
  <si>
    <t>2025-05-12 04:45:00,2587773269.81656,0,0,0,0,0,0,0</t>
  </si>
  <si>
    <t>2025-05-12 04:45:00,-67123477.546986,2554759.96709475,,-23,,-2075.58,0.0572652390585807,-16.09</t>
  </si>
  <si>
    <t>2025-05-12 04:45:00,42492724.1755566,0,0,0,0,0,0,0</t>
  </si>
  <si>
    <t>2025-05-12 04:46:00,580,,,,580,,,,,,,,,,</t>
  </si>
  <si>
    <t>2025-05-12 04:46:00,500,,,,500,,,,,,,,,,</t>
  </si>
  <si>
    <t>2025-05-12 04:46:00,,5800,5900,,,5800,5810,,,,,5950,5600,,</t>
  </si>
  <si>
    <t>2025-05-12 04:46:00,20800,,,,20100,,,,,,,,,,</t>
  </si>
  <si>
    <t>2025-05-12 04:46:00,8027682134.5309,0,0,0,0,0,0,0</t>
  </si>
  <si>
    <t>2025-05-12 04:46:00,2582976978.61771,0,0,0,0,0,0,0</t>
  </si>
  <si>
    <t>2025-05-12 04:46:00,-67717784.2548066,2513619.98066857,,-30,,-879.88,0.014354048334267,-6.99</t>
  </si>
  <si>
    <t>2025-05-12 04:46:00,42738680.818663,0,0,0,0,0,0,0</t>
  </si>
  <si>
    <t>2025-05-12 04:47:00,580,,,,580,,,,,,,,,,</t>
  </si>
  <si>
    <t>2025-05-12 04:47:00,500,,,,500,,,,,,,,,,</t>
  </si>
  <si>
    <t>2025-05-12 04:47:00,,5800,5900,,,5800,5810,,,,,5950,5600,,</t>
  </si>
  <si>
    <t>2025-05-12 04:47:00,20800,,,,20100,,,,,,,,,,</t>
  </si>
  <si>
    <t>2025-05-12 04:47:00,8133259223.46173,0,0,0,0,0,0,0</t>
  </si>
  <si>
    <t>2025-05-12 04:47:00,2585283731.43849,0,0,0,0,0,0,0</t>
  </si>
  <si>
    <t>2025-05-12 04:47:00,-67076953.3743676,2518123.29002178,,-13,,-979.2,0.023213623502064,-6.69</t>
  </si>
  <si>
    <t>2025-05-12 04:47:00,42497431.5274576,0,0,0,0,0,0,0</t>
  </si>
  <si>
    <t>2025-05-12 04:48:00,580,,,,580,,,,,,,,,,</t>
  </si>
  <si>
    <t>2025-05-12 04:48:00,510,,,,500,,,,,,,,,,</t>
  </si>
  <si>
    <t>2025-05-12 04:48:00,,5800,5900,,,5800,5810,,,,,5950,5600,,</t>
  </si>
  <si>
    <t>2025-05-12 04:48:00,20800,,,,20100,,,,,,,,,,</t>
  </si>
  <si>
    <t>2025-05-12 04:48:00,6923781336.42372,0,0,0,0,0,0,0</t>
  </si>
  <si>
    <t>2025-05-12 04:48:00,2591647387.28813,0,0,0,0,0,0,0</t>
  </si>
  <si>
    <t>2025-05-12 04:48:00,-66308512.2917136,2565568.34772173,,-27,,-912.38,0.000370092654651819,-9.37</t>
  </si>
  <si>
    <t>2025-05-12 04:48:00,42055359.1160922,0,0,0,0,0,0,0</t>
  </si>
  <si>
    <t>2025-05-12 04:49:00,580,,,,580,,,,,,,,,,</t>
  </si>
  <si>
    <t>2025-05-12 04:49:00,510,,,,500,,,,,,,,,,</t>
  </si>
  <si>
    <t>2025-05-12 04:49:00,,5800,5900,,,5800,5810,,,,,5950,5600,,</t>
  </si>
  <si>
    <t>2025-05-12 04:49:00,20800,,,,20100,,,,,,,,,,</t>
  </si>
  <si>
    <t>2025-05-12 04:49:00,8659990571.03154,0,0,0,0,0,0,0</t>
  </si>
  <si>
    <t>2025-05-12 04:49:00,2594076107.8158,0,0,0,0,0,0,0</t>
  </si>
  <si>
    <t>2025-05-12 04:49:00,-66524799.7759326,2530888.91340038,,-35,,-3345.96,0.109818939791805,-25.87</t>
  </si>
  <si>
    <t>2025-05-12 04:49:00,42224661.6768965,0,0,0,0,0,0,0</t>
  </si>
  <si>
    <t>2025-05-12 04:50:00,580,,,,580,,,,,,,,,,</t>
  </si>
  <si>
    <t>2025-05-12 04:50:00,510,,,,500,,,,,,,,,,</t>
  </si>
  <si>
    <t>2025-05-12 04:50:00,,5800,5900,,,5800,5810,,,,,5950,5600,,</t>
  </si>
  <si>
    <t>2025-05-12 04:50:00,20800,,,,20100,,,,,,,,,,</t>
  </si>
  <si>
    <t>2025-05-12 04:50:00,6919571948.58301,0,0,0,0,0,0,0</t>
  </si>
  <si>
    <t>2025-05-12 04:50:00,2592972911.30084,0,0,0,0,0,0,0</t>
  </si>
  <si>
    <t>2025-05-12 04:50:00,-65536497.8993645,2529781.38232354,,-36,,-1846.53,0.0350580928711112,-16.92</t>
  </si>
  <si>
    <t>2025-05-12 04:50:00,42124494.7449645,0,0,0,0,0,0,0</t>
  </si>
  <si>
    <t>2025-05-12 04:51:00,580,,,,580,,,,,,,,,,</t>
  </si>
  <si>
    <t>2025-05-12 04:51:00,510,,,,500,,,,,,,,,,</t>
  </si>
  <si>
    <t>2025-05-12 04:51:00,,5800,5900,,,5800,5810,,,,,5950,5600,,</t>
  </si>
  <si>
    <t>2025-05-12 04:51:00,20800,,,,20100,,,,,,,,,,</t>
  </si>
  <si>
    <t>2025-05-12 04:51:00,7049410457.53616,0,0,0,0,0,0,0</t>
  </si>
  <si>
    <t>2025-05-12 04:51:00,2579445726.00531,0,0,0,0,0,0,0</t>
  </si>
  <si>
    <t>2025-05-12 04:51:00,-66444643.3044991,2544691.24800472,,-78,,-1581.44,-0.0627137722404402,-27.09</t>
  </si>
  <si>
    <t>2025-05-12 04:51:00,42040203.3707954,0,0,0,0,0,0,0</t>
  </si>
  <si>
    <t>2025-05-12 04:52:00,580,,,,580,,,,,,,,,,</t>
  </si>
  <si>
    <t>2025-05-12 04:52:00,510,,,,500,,,,,,,,,,</t>
  </si>
  <si>
    <t>2025-05-12 04:52:00,,5800,5900,,,5800,5810,,,,,5950,5600,,</t>
  </si>
  <si>
    <t>2025-05-12 04:52:00,20800,,,,20100,,,,,,,,,,</t>
  </si>
  <si>
    <t>2025-05-12 04:52:00,7320879251.39901,0,0,0,0,0,0,0</t>
  </si>
  <si>
    <t>2025-05-12 04:52:00,2388889491.38272,0,0,0,0,0,0,0</t>
  </si>
  <si>
    <t>2025-05-12 04:52:00,-65726310.9775159,2560967.76559046,,-79,,-2904.18,0.00697285735431437,-34.16</t>
  </si>
  <si>
    <t>2025-05-12 04:52:00,41875993.1653781,0,0,0,0,0,0,0</t>
  </si>
  <si>
    <t>2025-05-12 04:53:00,580,,,,580,,,,,,,,,,</t>
  </si>
  <si>
    <t>2025-05-12 04:53:00,510,,,,500,,,,,,,,,,</t>
  </si>
  <si>
    <t>2025-05-12 04:53:00,,5800,5900,,,5800,5810,,,,,5950,5600,,</t>
  </si>
  <si>
    <t>2025-05-12 04:53:00,20800,,,,20100,,,,,,,,,,</t>
  </si>
  <si>
    <t>2025-05-12 04:53:00,7076801244.67553,0,0,0,0,0,0,0</t>
  </si>
  <si>
    <t>2025-05-12 04:53:00,2594071759.25485,0,0,0,0,0,0,0</t>
  </si>
  <si>
    <t>2025-05-12 04:53:00,-66278677.9516268,2538507.36770027,,-37,,-2116.14,0.0510723750716831,-19.71</t>
  </si>
  <si>
    <t>2025-05-12 04:53:00,42166630.9474111,0,0,0,0,0,0,0</t>
  </si>
  <si>
    <t>2025-05-12 04:54:00,580,,,,580,,,,,,,,,,</t>
  </si>
  <si>
    <t>2025-05-12 04:54:00,510,,,,500,,,,,,,,,,</t>
  </si>
  <si>
    <t>2025-05-12 04:54:00,,5800,5900,,,5800,5810,,,,,5950,5600,,</t>
  </si>
  <si>
    <t>2025-05-12 04:54:00,20800,,,,20100,,,,,,,,,,</t>
  </si>
  <si>
    <t>2025-05-12 04:54:00,7016484473.2928,0,0,0,0,0,0,0</t>
  </si>
  <si>
    <t>2025-05-12 04:54:00,2592561824.98825,0,0,0,0,0,0,0</t>
  </si>
  <si>
    <t>2025-05-12 04:54:00,-66359142.0114516,2516326.11481656,,-21,,-571.95,-0.00522730109659975,-6.6</t>
  </si>
  <si>
    <t>2025-05-12 04:54:00,42280801.8431076,0,0,0,0,0,0,0</t>
  </si>
  <si>
    <t>2025-05-12 04:55:00,580,,,,580,,,,,,,,,,</t>
  </si>
  <si>
    <t>2025-05-12 04:55:00,500,,,,500,,,,,,,,,,</t>
  </si>
  <si>
    <t>2025-05-12 04:55:00,,5800,5900,,,5800,5810,,,,,5950,5600,,</t>
  </si>
  <si>
    <t>2025-05-12 04:55:00,20800,,,,20100,,,,,,,,,,</t>
  </si>
  <si>
    <t>2025-05-12 04:55:00,6931107482.56705,0,0,0,0,0,0,0</t>
  </si>
  <si>
    <t>2025-05-12 04:55:00,2591612740.55754,0,0,0,0,0,0,0</t>
  </si>
  <si>
    <t>2025-05-12 04:55:00,-67015142.7542833,2503207.63542983,,-5,,-317.48,0.00930557574632931,-3.19</t>
  </si>
  <si>
    <t>2025-05-12 04:55:00,42370231.4938854,0,0,0,0,0,0,0</t>
  </si>
  <si>
    <t>2025-05-12 04:56:00,580,,,,580,,,,,,,,,,</t>
  </si>
  <si>
    <t>2025-05-12 04:56:00,510,,,,500,,,,,,,,,,</t>
  </si>
  <si>
    <t>2025-05-12 04:56:00,,5800,5900,,,5800,5810,,,,,5950,5600,,</t>
  </si>
  <si>
    <t>2025-05-12 04:56:00,20800,,,,20100,,,,,,,,,,</t>
  </si>
  <si>
    <t>2025-05-12 04:56:00,8751289968.92339,0,0,0,0,0,0,0</t>
  </si>
  <si>
    <t>2025-05-12 04:56:00,2592509021.09151,0,0,0,0,0,0,0</t>
  </si>
  <si>
    <t>2025-05-12 04:56:00,-66719782.0998917,2504865.57656589,,-20,,-273.34,-0.0209552606531031,-5.67</t>
  </si>
  <si>
    <t>2025-05-12 04:56:00,42302102.2759093,0,0,0,0,0,0,0</t>
  </si>
  <si>
    <t>2025-05-12 04:57:00,580,,,,580,,,,,,,,,,</t>
  </si>
  <si>
    <t>2025-05-12 04:57:00,510,,,,500,,,,,,,,,,</t>
  </si>
  <si>
    <t>2025-05-12 04:57:00,,5800,5900,,,5800,5810,,,,,5950,5600,,</t>
  </si>
  <si>
    <t>2025-05-12 04:57:00,20800,,,,20100,,,,,,,,,,</t>
  </si>
  <si>
    <t>2025-05-12 04:57:00,8383589214.53897,0,0,0,0,0,0,0</t>
  </si>
  <si>
    <t>2025-05-12 04:57:00,2592523666.5827,0,0,0,0,0,0,0</t>
  </si>
  <si>
    <t>2025-05-12 04:57:00,-65034666.9451704,2497597.63143806,,-18,,-962.37,0.0186965372843169,-11.3</t>
  </si>
  <si>
    <t>2025-05-12 04:57:00,42288225.4401606,0,0,0,0,0,0,0</t>
  </si>
  <si>
    <t>2025-05-12 04:58:00,580,,,,580,,,,,,,,,,</t>
  </si>
  <si>
    <t>2025-05-12 04:58:00,500,,,,500,,,,,,,,,,</t>
  </si>
  <si>
    <t>2025-05-12 04:58:00,,5800,5900,,,5800,5810,,,,,5950,5600,,</t>
  </si>
  <si>
    <t>2025-05-12 04:58:00,20800,,,,20100,,,,,,,,,,</t>
  </si>
  <si>
    <t>2025-05-12 04:58:00,8197690624.49606,0,0,0,0,0,0,0</t>
  </si>
  <si>
    <t>2025-05-12 04:58:00,2590030422.82953,0,0,0,0,0,0,0</t>
  </si>
  <si>
    <t>2025-05-12 04:58:00,-65574702.9862235,1911133.16683293,,-31,,-586.81,-0.016631241234711,-9.41</t>
  </si>
  <si>
    <t>2025-05-12 04:58:00,42408280.0407426,0,0,0,0,0,0,0</t>
  </si>
  <si>
    <t>2025-05-12 04:59:00,580,,,,580,,,,,,,,,,</t>
  </si>
  <si>
    <t>2025-05-12 04:59:00,510,,,,500,,,,,,,,,,</t>
  </si>
  <si>
    <t>2025-05-12 04:59:00,,5800,5900,,,5800,5810,,,,,5950,5600,,</t>
  </si>
  <si>
    <t>2025-05-12 04:59:00,20800,,,,20100,,,,,,,,,,</t>
  </si>
  <si>
    <t>2025-05-12 04:59:00,8732913147.16473,0,0,0,0,0,0,0</t>
  </si>
  <si>
    <t>2025-05-12 04:59:00,2593731477.00569,0,0,0,0,0,0,0</t>
  </si>
  <si>
    <t>2025-05-12 04:59:00,-65415076.5303143,1913112.42061648,,-30,,-1478.98,0.0220625799535971,-19.81</t>
  </si>
  <si>
    <t>2025-05-12 04:59:00,42229036.1666233,0,0,0,0,0,0,0</t>
  </si>
  <si>
    <t>2025-05-12 05:00:00,580,,,,580,,,,,,,,,,</t>
  </si>
  <si>
    <t>2025-05-12 05:00:00,510,,,,500,,,,,,,,,,</t>
  </si>
  <si>
    <t>2025-05-12 05:00:00,,5800,5900,,,5800,5810,,,,,5950,5600,,</t>
  </si>
  <si>
    <t>2025-05-12 05:00:00,20800,,,,20100,,,,,,,,,,</t>
  </si>
  <si>
    <t>2025-05-12 05:00:00,6920014946.31371,0,0,0,0,0,0,0</t>
  </si>
  <si>
    <t>2025-05-12 05:00:00,2591413369.23255,0,0,0,0,0,0,0</t>
  </si>
  <si>
    <t>2025-05-12 05:00:00,-66330244.6265883,1897842.96848033,,-33,,-1675.64,0.0279511017075095,-16.41</t>
  </si>
  <si>
    <t>2025-05-12 05:00:00,42350416.9156013,0,0,0,0,0,0,0</t>
  </si>
  <si>
    <t>2025-05-12 05:01:00,580,,,,580,,,,,,,,,,</t>
  </si>
  <si>
    <t>2025-05-12 05:01:00,510,,,,500,,,,,,,,,,</t>
  </si>
  <si>
    <t>2025-05-12 05:01:00,,5800,5900,,,5800,5810,,,,,5950,5600,,</t>
  </si>
  <si>
    <t>2025-05-12 05:01:00,20800,,,,20100,,,,,,,,,,</t>
  </si>
  <si>
    <t>2025-05-12 05:01:00,7048580060.932,0,0,0,0,0,0,0</t>
  </si>
  <si>
    <t>2025-05-12 05:01:00,2590178607.30252,0,0,0,0,0,0,0</t>
  </si>
  <si>
    <t>2025-05-12 05:01:00,-65693847.6816995,1914498.1675154,,-16,,-1132.95,0.0285735510086929,-10.78</t>
  </si>
  <si>
    <t>2025-05-12 05:01:00,42124267.1541361,0,0,0,0,0,0,0</t>
  </si>
  <si>
    <t>2025-05-12 05:02:00,580,,,,580,,,,,,,,,,</t>
  </si>
  <si>
    <t>2025-05-12 05:02:00,510,,,,500,,,,,,,,,,</t>
  </si>
  <si>
    <t>2025-05-12 05:02:00,,5800,5900,,,5800,5810,,,,,5950,5600,,</t>
  </si>
  <si>
    <t>2025-05-12 05:02:00,20800,,,,20100,,,,,,,,,,</t>
  </si>
  <si>
    <t>2025-05-12 05:02:00,7462201117.15652,0,0,0,0,0,0,0</t>
  </si>
  <si>
    <t>2025-05-12 05:02:00,2388431809.36167,0,0,0,0,0,0,0</t>
  </si>
  <si>
    <t>2025-05-12 05:02:00,-64336232.29686,1946309.13540074,,-56,,-1211.1,-0.0435694676859361,-15.28</t>
  </si>
  <si>
    <t>2025-05-12 05:02:00,41920296.7257754,0,0,0,0,0,0,0</t>
  </si>
  <si>
    <t>2025-05-12 05:03:00,580,,,,580,,,,,,,,,,</t>
  </si>
  <si>
    <t>2025-05-12 05:03:00,500,,,,500,,,,,,,,,,</t>
  </si>
  <si>
    <t>2025-05-12 05:03:00,,5800,5900,,,5800,5810,,,,,5950,5600,,</t>
  </si>
  <si>
    <t>2025-05-12 05:03:00,20800,,,,20100,,,,,,,,,,</t>
  </si>
  <si>
    <t>2025-05-12 05:03:00,8137639233.63997,0,0,0,0,0,0,0</t>
  </si>
  <si>
    <t>2025-05-12 05:03:00,2579850692.17852,0,0,0,0,0,0,0</t>
  </si>
  <si>
    <t>2025-05-12 05:03:00,-67758426.9685668,1569824.81679223,,-86,,-2123.51,-0.0435568310063094,-23.9</t>
  </si>
  <si>
    <t>2025-05-12 05:03:00,42991691.4835496,0,0,0,0,0,0,0</t>
  </si>
  <si>
    <t>2025-05-12 05:04:00,580,,,,580,,,,,,,,,,</t>
  </si>
  <si>
    <t>2025-05-12 05:04:00,500,,,,500,,,,,,,,,,</t>
  </si>
  <si>
    <t>2025-05-12 05:04:00,,5800,5900,,,5800,5810,,,,,5950,5600,,</t>
  </si>
  <si>
    <t>2025-05-12 05:04:00,20800,,,,20100,,,,,,,,,,</t>
  </si>
  <si>
    <t>2025-05-12 05:04:00,7785069450.68437,0,0,0,0,0,0,0</t>
  </si>
  <si>
    <t>2025-05-12 05:04:00,2579654647.30277,0,0,0,0,0,0,0</t>
  </si>
  <si>
    <t>2025-05-12 05:04:00,-68733541.8568112,1313363.60544038,,-66,,-2040.45,-0.00511788973148387,-34.36</t>
  </si>
  <si>
    <t>2025-05-12 05:04:00,43086087.300389,0,0,0,0,0,0,0</t>
  </si>
  <si>
    <t>2025-05-12 05:05:00,580,,,,580,,,,,,,,,,</t>
  </si>
  <si>
    <t>2025-05-12 05:05:00,510,,,,500,,,,,,,,,,</t>
  </si>
  <si>
    <t>2025-05-12 05:05:00,,5800,5900,,,5800,5810,,,,,5950,5600,,</t>
  </si>
  <si>
    <t>2025-05-12 05:05:00,20800,,,,20100,,,,,,,,,,</t>
  </si>
  <si>
    <t>2025-05-12 05:05:00,7682025964.05736,0,0,0,0,0,0,0</t>
  </si>
  <si>
    <t>2025-05-12 05:05:00,2406888284.63622,0,0,0,0,0,0,0</t>
  </si>
  <si>
    <t>2025-05-12 05:05:00,-61171514.2693224,1427928.20628249,,-63,,-2595.84,0.017943495483262,-30.04</t>
  </si>
  <si>
    <t>2025-05-12 05:05:00,41315314.4928857,0,0,0,0,0,0,0</t>
  </si>
  <si>
    <t>2025-05-12 05:06:00,580,,,,580,,,,,,,,,,</t>
  </si>
  <si>
    <t>2025-05-12 05:06:00,510,,,,500,,,,,,,,,,</t>
  </si>
  <si>
    <t>2025-05-12 05:06:00,,5800,5900,,,5800,5810,,,,,5950,5600,,</t>
  </si>
  <si>
    <t>2025-05-12 05:06:00,20800,,,,20100,,,,,,,,,,</t>
  </si>
  <si>
    <t>2025-05-12 05:06:00,7517039470.42961,0,0,0,0,0,0,0</t>
  </si>
  <si>
    <t>2025-05-12 05:06:00,2382554589.18955,0,0,0,0,0,0,0</t>
  </si>
  <si>
    <t>2025-05-12 05:06:00,-63450717.861783,1325757.62923193,,-138,,-13553.66,0.255474306887998,-84.07</t>
  </si>
  <si>
    <t>2025-05-12 05:06:00,41480000.1147467,0,0,0,0,0,0,0</t>
  </si>
  <si>
    <t>2025-05-12 05:07:00,580,,,,580,,,,,,,,,,</t>
  </si>
  <si>
    <t>2025-05-12 05:07:00,510,,,,500,,,,,,,,,,</t>
  </si>
  <si>
    <t>2025-05-12 05:07:00,,5800,5950,,,5800,5820,,,,,5950,5600,,</t>
  </si>
  <si>
    <t>2025-05-12 05:07:00,20800,,,,20100,,,,,,,,,,</t>
  </si>
  <si>
    <t>2025-05-12 05:07:00,7726123963.1962,0,0,0,0,0,0,0</t>
  </si>
  <si>
    <t>2025-05-12 05:07:00,2404786597.86206,0,0,0,0,0,0,0</t>
  </si>
  <si>
    <t>2025-05-12 05:07:00,-58248075.2013766,1382180.43248307,,-65,,-3108.06,0.0356503118796585,-21.58</t>
  </si>
  <si>
    <t>2025-05-12 05:07:00,41396491.2609788,0,0,0,0,0,0,0</t>
  </si>
  <si>
    <t>2025-05-12 05:08:00,580,,,,580,,,,,,,,,,</t>
  </si>
  <si>
    <t>2025-05-12 05:08:00,510,,,,500,,,,,,,,,,</t>
  </si>
  <si>
    <t>2025-05-12 05:08:00,,5800,5900,,,5800,5810,,,,,5950,5600,,</t>
  </si>
  <si>
    <t>2025-05-12 05:08:00,20800,,,,20100,,,,,,,,,,</t>
  </si>
  <si>
    <t>2025-05-12 05:08:00,7517510465.87604,0,0,0,0,0,0,0</t>
  </si>
  <si>
    <t>2025-05-12 05:08:00,2383217419.00481,0,0,0,0,0,0,0</t>
  </si>
  <si>
    <t>2025-05-12 05:08:00,-62899169.1505469,1271457.29908223,,-88,,-7287.38,0.195323228486617,-59.98</t>
  </si>
  <si>
    <t>2025-05-12 05:08:00,41625247.4765656,0,0,0,0,0,0,0</t>
  </si>
  <si>
    <t>2025-05-12 05:09:00,580,,,,580,,,,,,,,,,</t>
  </si>
  <si>
    <t>2025-05-12 05:09:00,510,,,,500,,,,,,,,,,</t>
  </si>
  <si>
    <t>2025-05-12 05:09:00,,5800,5900,,,5800,5810,,,,,5950,5600,,</t>
  </si>
  <si>
    <t>2025-05-12 05:09:00,20800,,,,20100,,,,,,,,,,</t>
  </si>
  <si>
    <t>2025-05-12 05:09:00,8410634709.88574,0,0,0,0,0,0,0</t>
  </si>
  <si>
    <t>2025-05-12 05:09:00,2591745947.43372,0,0,0,0,0,0,0</t>
  </si>
  <si>
    <t>2025-05-12 05:09:00,-67810996.4542361,1175300.88452454,,-110,,-5230.4,0.0801847409778093,-61.13</t>
  </si>
  <si>
    <t>2025-05-12 05:09:00,42319925.6425164,0,0,0,0,0,0,0</t>
  </si>
  <si>
    <t>2025-05-12 05:10:00,580,,,,580,,,,,,,,,,</t>
  </si>
  <si>
    <t>2025-05-12 05:10:00,510,,,,500,,,,,,,,,,</t>
  </si>
  <si>
    <t>2025-05-12 05:10:00,,5800,5900,,,5800,5820,,,,,5950,5600,,</t>
  </si>
  <si>
    <t>2025-05-12 05:10:00,20800,,,,20100,,,,,,,,,,</t>
  </si>
  <si>
    <t>2025-05-12 05:10:00,8571815392.44982,0,0,0,0,0,0,0</t>
  </si>
  <si>
    <t>2025-05-12 05:10:00,2593486163.20833,0,0,0,0,0,0,0</t>
  </si>
  <si>
    <t>2025-05-12 05:10:00,-68119146.5787832,1125490.51293995,,-35,,-3771.96,0.143171474178314,-26.13</t>
  </si>
  <si>
    <t>2025-05-12 05:10:00,42303966.659755,0,0,0,0,0,0,0</t>
  </si>
  <si>
    <t>2025-05-12 05:11:00,580,,,,580,,,,,,,,,,</t>
  </si>
  <si>
    <t>2025-05-12 05:11:00,510,,,,500,,,,,,,,,,</t>
  </si>
  <si>
    <t>2025-05-12 05:11:00,,5800,5900,,,5800,5820,,,,,5950,5600,,</t>
  </si>
  <si>
    <t>2025-05-12 05:11:00,20800,,,,20100,,,,,,,,,,</t>
  </si>
  <si>
    <t>2025-05-12 05:11:00,7286607022.33133,0,0,0,0,0,0,0</t>
  </si>
  <si>
    <t>2025-05-12 05:11:00,2590011873.19023,0,0,0,0,0,0,0</t>
  </si>
  <si>
    <t>2025-05-12 05:11:00,-63674741.4017215,1227244.85520479,,-38,,-775.16,-0.0297049432844285,-12.35</t>
  </si>
  <si>
    <t>2025-05-12 05:11:00,42094435.081798,0,0,0,0,0,0,0</t>
  </si>
  <si>
    <t>2025-05-12 05:12:00,580,,,,580,,,,,,,,,,</t>
  </si>
  <si>
    <t>2025-05-12 05:12:00,510,,,,500,,,,,,,,,,</t>
  </si>
  <si>
    <t>2025-05-12 05:12:00,,5800,5900,,,5800,5820,,,,,5950,5600,,</t>
  </si>
  <si>
    <t>2025-05-12 05:12:00,20800,,,,20100,,,,,,,,,,</t>
  </si>
  <si>
    <t>2025-05-12 05:12:00,7287293675.02616,0,0,0,0,0,0,0</t>
  </si>
  <si>
    <t>2025-05-12 05:12:00,2593442209.99977,0,0,0,0,0,0,0</t>
  </si>
  <si>
    <t>2025-05-12 05:12:00,-65311360.1528642,1167292.93586642,,-18,,-1124.05,0.0306740266926507,-10.76</t>
  </si>
  <si>
    <t>2025-05-12 05:12:00,42209562.8671641,0,0,0,0,0,0,0</t>
  </si>
  <si>
    <t>2025-05-12 05:13:00,580,,,,580,,,,,,,,,,</t>
  </si>
  <si>
    <t>2025-05-12 05:13:00,510,,,,500,,,,,,,,,,</t>
  </si>
  <si>
    <t>2025-05-12 05:13:00,,5800,5900,,,5800,5820,,,,,5950,5600,,</t>
  </si>
  <si>
    <t>2025-05-12 05:13:00,20800,,,,20100,,,,,,,,,,</t>
  </si>
  <si>
    <t>2025-05-12 05:13:00,7661625748.01175,0,0,0,0,0,0,0</t>
  </si>
  <si>
    <t>2025-05-12 05:13:00,2387193128.49117,0,0,0,0,0,0,0</t>
  </si>
  <si>
    <t>2025-05-12 05:13:00,-62516100.6706853,1234527.64316471,,-79,,-473.16,-0.125433347772994,-12.41</t>
  </si>
  <si>
    <t>2025-05-12 05:13:00,41917972.8341479,0,0,0,0,0,0,0</t>
  </si>
  <si>
    <t>2025-05-12 05:14:00,580,,,,580,,,,,,,,,,</t>
  </si>
  <si>
    <t>2025-05-12 05:14:00,510,,,,500,,,,,,,,,,</t>
  </si>
  <si>
    <t>2025-05-12 05:14:00,,5800,5900,,,5800,5820,,,,,5950,5600,,</t>
  </si>
  <si>
    <t>2025-05-12 05:14:00,20800,,,,20100,,,,,,,,,,</t>
  </si>
  <si>
    <t>2025-05-12 05:14:00,7541889001.95458,0,0,0,0,0,0,0</t>
  </si>
  <si>
    <t>2025-05-12 05:14:00,2570068015.28929,0,0,0,0,0,0,0</t>
  </si>
  <si>
    <t>2025-05-12 05:14:00,-63992606.6535728,1162495.31984873,,-69,,-6999.11,0.254709414189853,-59.36</t>
  </si>
  <si>
    <t>2025-05-12 05:14:00,42035124.9913302,0,0,0,0,0,0,0</t>
  </si>
  <si>
    <t>2025-05-12 05:15:00,580,,,,580,,,,,,,,,,</t>
  </si>
  <si>
    <t>2025-05-12 05:15:00,510,,,,500,,,,,,,,,,</t>
  </si>
  <si>
    <t>2025-05-12 05:15:00,,5800,5900,,,5800,5820,,,,,5950,5600,,</t>
  </si>
  <si>
    <t>2025-05-12 05:15:00,20800,,,,20100,,,,,,,,,,</t>
  </si>
  <si>
    <t>2025-05-12 05:15:00,7519772767.7621,0,0,0,0,0,0,0</t>
  </si>
  <si>
    <t>2025-05-12 05:15:00,2590850760.60906,0,0,0,0,0,0,0</t>
  </si>
  <si>
    <t>2025-05-12 05:15:00,-60923969.1471869,1210695.95733587,,-20,,-775.4,0.00866794379609104,-10.18</t>
  </si>
  <si>
    <t>2025-05-12 05:15:00,42160936.4468866,0,0,0,0,0,0,0</t>
  </si>
  <si>
    <t>2025-05-12 05:16:00,580,,,,580,,,,,,,,,,</t>
  </si>
  <si>
    <t>2025-05-12 05:16:00,510,,,,500,,,,,,,,,,</t>
  </si>
  <si>
    <t>2025-05-12 05:16:00,,5800,5900,,,5800,5820,,,,,5950,5600,,</t>
  </si>
  <si>
    <t>2025-05-12 05:16:00,20800,,,,20100,,,,,,,,,,</t>
  </si>
  <si>
    <t>2025-05-12 05:16:00,7480535755.71798,0,0,0,0,0,0,0</t>
  </si>
  <si>
    <t>2025-05-12 05:16:00,2591914225.65183,0,0,0,0,0,0,0</t>
  </si>
  <si>
    <t>2025-05-12 05:16:00,-66012204.1821173,1098775.7484983,,-15,,-1373.92,0.0435154351710052,-10.84</t>
  </si>
  <si>
    <t>2025-05-12 05:16:00,42187339.1604456,0,0,0,0,0,0,0</t>
  </si>
  <si>
    <t>2025-05-12 05:17:00,580,,,,580,,,,,,,,,,</t>
  </si>
  <si>
    <t>2025-05-12 05:17:00,510,,,,500,,,,,,,,,,</t>
  </si>
  <si>
    <t>2025-05-12 05:17:00,,5800,5900,,,5800,5820,,,,,5950,5600,,</t>
  </si>
  <si>
    <t>2025-05-12 05:17:00,20800,,,,20100,,,,,,,,,,</t>
  </si>
  <si>
    <t>2025-05-12 05:17:00,7684615533.37984,0,0,0,0,0,0,0</t>
  </si>
  <si>
    <t>2025-05-12 05:17:00,2495408829.39462,0,0,0,0,0,0,0</t>
  </si>
  <si>
    <t>2025-05-12 05:17:00,-60850327.1215202,1201750.9479139,,-88,,-2207.16,-0.0403716802128891,-29.31</t>
  </si>
  <si>
    <t>2025-05-12 05:17:00,42006669.9063283,0,0,0,0,0,0,0</t>
  </si>
  <si>
    <t>2025-05-12 05:18:00,580,,,,580,,,,,,,,,,</t>
  </si>
  <si>
    <t>2025-05-12 05:18:00,510,,,,500,,,,,,,,,,</t>
  </si>
  <si>
    <t>2025-05-12 05:18:00,,5800,5900,,,5800,5820,,,,,5950,5600,,</t>
  </si>
  <si>
    <t>2025-05-12 05:18:00,20800,,,,20100,,,,,,,,,,</t>
  </si>
  <si>
    <t>2025-05-12 05:18:00,7480939896.00352,0,0,0,0,0,0,0</t>
  </si>
  <si>
    <t>2025-05-12 05:18:00,2593320617.05759,0,0,0,0,0,0,0</t>
  </si>
  <si>
    <t>2025-05-12 05:18:00,-61726093.3128066,1190522.98511032,,-29,,-1563.78,0.0250359824056608,-13.78</t>
  </si>
  <si>
    <t>2025-05-12 05:18:00,42216429.1459926,0,0,0,0,0,0,0</t>
  </si>
  <si>
    <t>2025-05-12 05:19:00,580,,,,580,,,,,,,,,,</t>
  </si>
  <si>
    <t>2025-05-12 05:19:00,510,,,,500,,,,,,,,,,</t>
  </si>
  <si>
    <t>2025-05-12 05:19:00,,5800,5900,,,5800,5820,,,,,5950,5600,,</t>
  </si>
  <si>
    <t>2025-05-12 05:19:00,20800,,,,20100,,,,,,,,,,</t>
  </si>
  <si>
    <t>2025-05-12 05:19:00,7520535542.43509,0,0,0,0,0,0,0</t>
  </si>
  <si>
    <t>2025-05-12 05:19:00,2591457989.21236,0,0,0,0,0,0,0</t>
  </si>
  <si>
    <t>2025-05-12 05:19:00,-61992987.3126574,1182628.7295933,,-49,,-2663.32,0.0468843499148524,-23</t>
  </si>
  <si>
    <t>2025-05-12 05:19:00,42374001.6994864,0,0,0,0,0,0,0</t>
  </si>
  <si>
    <t>2025-05-12 05:20:00,580,,,,580,,,,,,,,,,</t>
  </si>
  <si>
    <t>2025-05-12 05:20:00,500,,,,500,,,,,,,,,,</t>
  </si>
  <si>
    <t>2025-05-12 05:20:00,,5800,5900,,,5800,5820,,,,,5950,5600,,</t>
  </si>
  <si>
    <t>2025-05-12 05:20:00,20800,,,,20100,,,,,,,,,,</t>
  </si>
  <si>
    <t>2025-05-12 05:20:00,7499173391.76929,0,0,0,0,0,0,0</t>
  </si>
  <si>
    <t>2025-05-12 05:20:00,2589575653.85579,0,0,0,0,0,0,0</t>
  </si>
  <si>
    <t>2025-05-12 05:20:00,-61369966.3934622,1185258.20766969,,-17,,-843.73,0.0158028099643442,-10.56</t>
  </si>
  <si>
    <t>2025-05-12 05:20:00,42454010.167128,0,0,0,0,0,0,0</t>
  </si>
  <si>
    <t>2025-05-12 05:21:00,580,,,,580,,,,,,,,,,</t>
  </si>
  <si>
    <t>2025-05-12 05:21:00,500,,,,500,,,,,,,,,,</t>
  </si>
  <si>
    <t>2025-05-12 05:21:00,,5800,5900,,,5800,5820,,,,,5950,5600,,</t>
  </si>
  <si>
    <t>2025-05-12 05:21:00,20800,,,,20100,,,,,,,,,,</t>
  </si>
  <si>
    <t>2025-05-12 05:21:00,7286558767.31666,0,0,0,0,0,0,0</t>
  </si>
  <si>
    <t>2025-05-12 05:21:00,2585386106.64077,0,0,0,0,0,0,0</t>
  </si>
  <si>
    <t>2025-05-12 05:21:00,-63913990.4985548,1143624.89883869,,-42,,-2962.19,0.0864709892827891,-24.69</t>
  </si>
  <si>
    <t>2025-05-12 05:21:00,42722810.0879072,0,0,0,0,0,0,0</t>
  </si>
  <si>
    <t>2025-05-12 05:22:00,580,,,,580,,,,,,,,,,</t>
  </si>
  <si>
    <t>2025-05-12 05:22:00,500,,,,500,,,,,,,,,,</t>
  </si>
  <si>
    <t>2025-05-12 05:22:00,,5800,5900,,,5800,5820,,,,,5950,5600,,</t>
  </si>
  <si>
    <t>2025-05-12 05:22:00,20800,,,,20100,,,,,,,,,,</t>
  </si>
  <si>
    <t>2025-05-12 05:22:00,7148614399.67809,0,0,0,0,0,0,0</t>
  </si>
  <si>
    <t>2025-05-12 05:22:00,2580748726.37912,0,0,0,0,0,0,0</t>
  </si>
  <si>
    <t>2025-05-12 05:22:00,-63920870.6735701,1121262.4332029,,-32,,-976.27,-0.00130452805242606,-12.36</t>
  </si>
  <si>
    <t>2025-05-12 05:22:00,42884881.0325239,0,0,0,0,0,0,0</t>
  </si>
  <si>
    <t>2025-05-12 05:24:00,580,,,,580,,,,,,,,,,</t>
  </si>
  <si>
    <t>2025-05-12 05:24:00,510,,,,500,,,,,,,,,,</t>
  </si>
  <si>
    <t>2025-05-12 05:24:00,,5800,5900,,,5800,5820,,,,,5950,5600,,</t>
  </si>
  <si>
    <t>2025-05-12 05:24:00,20800,,,,20100,,,,,,,,,,</t>
  </si>
  <si>
    <t>2025-05-12 05:24:00,8113631768.64482,0,0,0,0,0,0,0</t>
  </si>
  <si>
    <t>2025-05-12 05:24:00,2591603870.86616,0,0,0,0,0,0,0</t>
  </si>
  <si>
    <t>2025-05-12 05:24:00,-20614258.4569395,1629145.51467615,,-62,,-3019.48,0.0442629798791686,-36.73</t>
  </si>
  <si>
    <t>2025-05-12 05:24:00,42246541.7367936,0,0,0,0,0,0,0</t>
  </si>
  <si>
    <t>2025-05-12 05:25:00,580,,,,580,,,,,,,,,,</t>
  </si>
  <si>
    <t>2025-05-12 05:25:00,510,,,,500,,,,,,,,,,</t>
  </si>
  <si>
    <t>2025-05-12 05:25:00,,5800,5900,,,5800,5820,,,,,5950,5600,,</t>
  </si>
  <si>
    <t>2025-05-12 05:25:00,20800,,,,20100,,,,,,,,,,</t>
  </si>
  <si>
    <t>2025-05-12 05:25:00,8085802350.22686,0,0,0,0,0,0,0</t>
  </si>
  <si>
    <t>2025-05-12 05:25:00,2589351756.33733,0,0,0,0,0,0,0</t>
  </si>
  <si>
    <t>2025-05-12 05:25:00,-40259653.4772516,1389922.4582554,,-61,,-4517.84,0.13772153079308,-39.5</t>
  </si>
  <si>
    <t>2025-05-12 05:25:00,42213521.3519725,0,0,0,0,0,0,0</t>
  </si>
  <si>
    <t>2025-05-12 05:26:00,580,,,,580,,,,,,,,,,</t>
  </si>
  <si>
    <t>2025-05-12 05:26:00,510,,,,500,,,,,,,,,,</t>
  </si>
  <si>
    <t>2025-05-12 05:26:00,5650,,5950,,,5800,5820,,,,,5950,5600,,</t>
  </si>
  <si>
    <t>2025-05-12 05:26:00,20800,,,,20100,,,,,,,,,,</t>
  </si>
  <si>
    <t>2025-05-12 05:26:00,8363554754.91493,0,0,0,0,0,0,0</t>
  </si>
  <si>
    <t>2025-05-12 05:26:00,2387508164.83938,0,0,0,0,0,0,0</t>
  </si>
  <si>
    <t>2025-05-12 05:26:00,32727471.7471638,2204533.14629758,,-37,,-1383.96,0.000832821314763932,-17.03</t>
  </si>
  <si>
    <t>2025-05-12 05:26:00,41966016.5523468,0,0,0,0,0,0,0</t>
  </si>
  <si>
    <t>2025-05-12 05:27:00,580,,,,580,,,,,,,,,,</t>
  </si>
  <si>
    <t>2025-05-12 05:27:00,510,,,,500,,,,,,,,,,</t>
  </si>
  <si>
    <t>2025-05-12 05:27:00,5650,,5950,,,5800,5820,,,,,5950,5600,,</t>
  </si>
  <si>
    <t>2025-05-12 05:27:00,20800,,,,20100,,,,,,,,,,</t>
  </si>
  <si>
    <t>2025-05-12 05:27:00,8364486530.79252,0,0,0,0,0,0,0</t>
  </si>
  <si>
    <t>2025-05-12 05:27:00,2388509625.02181,0,0,0,0,0,0,0</t>
  </si>
  <si>
    <t>2025-05-12 05:27:00,32716823.4954987,2211449.28918834,,-81,,-1694.43,-0.0565778214175182,-29.09</t>
  </si>
  <si>
    <t>2025-05-12 05:27:00,41980871.4560691,0,0,0,0,0,0,0</t>
  </si>
  <si>
    <t>2025-05-12 05:28:00,580,,,,580,,,,,,,,,,</t>
  </si>
  <si>
    <t>2025-05-12 05:28:00,510,,,,500,,,,,,,,,,</t>
  </si>
  <si>
    <t>2025-05-12 05:28:00,5650,,5950,,,5800,5820,,,,,5950,5600,,</t>
  </si>
  <si>
    <t>2025-05-12 05:28:00,20800,,,,20100,,,,,,,,,,</t>
  </si>
  <si>
    <t>2025-05-12 05:28:00,6970474427.05527,0,0,0,0,0,0,0</t>
  </si>
  <si>
    <t>2025-05-12 05:28:00,2381313315.69332,0,0,0,0,0,0,0</t>
  </si>
  <si>
    <t>2025-05-12 05:28:00,36185905.1587472,2214323.14895723,,-104,,-6908.56,0.15675695765501,-65.43</t>
  </si>
  <si>
    <t>2025-05-12 05:28:00,41657647.665688,0,0,0,0,0,0,0</t>
  </si>
  <si>
    <t>2025-05-12 05:29:00,580,,,,580,,,,,,,,,,</t>
  </si>
  <si>
    <t>2025-05-12 05:29:00,510,,,,500,,,,,,,,,,</t>
  </si>
  <si>
    <t>2025-05-12 05:29:00,5650,,5950,,,5800,5820,,,,,5950,5600,,</t>
  </si>
  <si>
    <t>2025-05-12 05:29:00,20800,,,,20100,,,,,,,,,,</t>
  </si>
  <si>
    <t>2025-05-12 05:29:00,8015680373.47359,0,0,0,0,0,0,0</t>
  </si>
  <si>
    <t>2025-05-12 05:29:00,2416744926.47548,0,0,0,0,0,0,0</t>
  </si>
  <si>
    <t>2025-05-12 05:29:00,38834413.9352246,2183035.69826379,,-146,,-8807.22,0.179087145458893,-95.95</t>
  </si>
  <si>
    <t>2025-05-12 05:29:00,41350933.9899219,0,0,0,0,0,0,0</t>
  </si>
  <si>
    <t>2025-05-12 05:30:00,580,,,,580,,,,,,,,,,</t>
  </si>
  <si>
    <t>2025-05-12 05:30:00,510,,,,500,,,,,,,,,,</t>
  </si>
  <si>
    <t>2025-05-12 05:30:00,5650,,5950,,,5800,5820,,,,,5950,5600,,</t>
  </si>
  <si>
    <t>2025-05-12 05:30:00,20800,,,,20100,,,,,,,,,,</t>
  </si>
  <si>
    <t>2025-05-12 05:30:00,9216846891.77077,0,0,0,0,0,0,0</t>
  </si>
  <si>
    <t>2025-05-12 05:30:00,2465254343.01951,0,0,0,0,0,0,0</t>
  </si>
  <si>
    <t>2025-05-12 05:30:00,38911318.3685729,2197163.75287262,,-50,,-1483.03,-0.0107857744033117,-16.27</t>
  </si>
  <si>
    <t>2025-05-12 05:30:00,41648929.3790294,0,0,0,0,0,0,0</t>
  </si>
  <si>
    <t>2025-05-12 05:31:00,580,,,,580,,,,,,,,,,</t>
  </si>
  <si>
    <t>2025-05-12 05:31:00,510,,,,500,,,,,,,,,,</t>
  </si>
  <si>
    <t>2025-05-12 05:31:00,5650,,5950,,,5800,5820,,,,,5950,5600,,</t>
  </si>
  <si>
    <t>2025-05-12 05:31:00,20700,,,,20100,,,,,,,,,,</t>
  </si>
  <si>
    <t>2025-05-12 05:31:00,11720617018.1108,0,0,0,0,0,0,0</t>
  </si>
  <si>
    <t>2025-05-12 05:31:00,2454136816.28784,0,0,0,0,0,0,0</t>
  </si>
  <si>
    <t>2025-05-12 05:31:00,46764792.7076035,2088719.53806955,,-152,,-15899.77,0.45201514276306,-101.21</t>
  </si>
  <si>
    <t>2025-05-12 05:31:00,103051860.797255,0,0,0,0,0,0,0</t>
  </si>
  <si>
    <t>2025-05-12 05:32:00,580,,,,580,,,,,,,,,,</t>
  </si>
  <si>
    <t>2025-05-12 05:32:00,510,,,,500,,,,,,,,,,</t>
  </si>
  <si>
    <t>2025-05-12 05:32:00,5650,,5950,,,5800,5840,,,,,5950,5600,,</t>
  </si>
  <si>
    <t>2025-05-12 05:32:00,20700,,,,20100,,,,,,,,,,</t>
  </si>
  <si>
    <t>2025-05-12 05:32:00,9351966994.78559,0,0,0,0,0,0,0</t>
  </si>
  <si>
    <t>2025-05-12 05:32:00,2450824744.38917,0,0,0,0,0,0,0</t>
  </si>
  <si>
    <t>2025-05-12 05:32:00,48560199.7651765,2066509.95423483,,-61,,-5763.71,0.182652147292546,-56.15</t>
  </si>
  <si>
    <t>2025-05-12 05:32:00,102437656.064948,0,0,0,0,0,0,0</t>
  </si>
  <si>
    <t>2025-05-12 05:33:00,580,,,,580,,,,,,,,,,</t>
  </si>
  <si>
    <t>2025-05-12 05:33:00,510,,,,500,,,,,,,,,,</t>
  </si>
  <si>
    <t>2025-05-12 05:33:00,5650,,5950,,,5800,5840,,,,,5950,5600,,</t>
  </si>
  <si>
    <t>2025-05-12 05:33:00,20700,,,,20100,,,,,,,,,,</t>
  </si>
  <si>
    <t>2025-05-12 05:33:00,9495008390.44603,0,0,0,0,0,0,0</t>
  </si>
  <si>
    <t>2025-05-12 05:33:00,2457386650.43637,0,0,0,0,0,0,0</t>
  </si>
  <si>
    <t>2025-05-12 05:33:00,53191729.9963626,2143774.66705047,,-52,,-1694.32,-0.0143797244892198,-25.03</t>
  </si>
  <si>
    <t>2025-05-12 05:33:00,101615352.368622,0,0,0,0,0,0,0</t>
  </si>
  <si>
    <t>2025-05-12 05:34:00,580,,,,580,,,,,,,,,,</t>
  </si>
  <si>
    <t>2025-05-12 05:34:00,510,,,,500,,,,,,,,,,</t>
  </si>
  <si>
    <t>2025-05-12 05:34:00,5650,,5950,,,5800,5840,,,,,5950,5600,,</t>
  </si>
  <si>
    <t>2025-05-12 05:34:00,20700,,,,20100,,,,,,,,,,</t>
  </si>
  <si>
    <t>2025-05-12 05:34:00,9402713482.35756,0,0,0,0,0,0,0</t>
  </si>
  <si>
    <t>2025-05-12 05:34:00,2385173098.51803,0,0,0,0,0,0,0</t>
  </si>
  <si>
    <t>2025-05-12 05:34:00,59850742.6349064,2198017.96013316,,-132,,-6774.91,0.0866383294173686,-75.46</t>
  </si>
  <si>
    <t>2025-05-12 05:34:00,99858736.2479462,0,0,0,0,0,0,0</t>
  </si>
  <si>
    <t>2025-05-12 05:35:00,580,,,,580,,,,,,,,,,</t>
  </si>
  <si>
    <t>2025-05-12 05:35:00,510,,,,500,,,,,,,,,,</t>
  </si>
  <si>
    <t>2025-05-12 05:35:00,5650,,5950,,,5800,5840,,,,,5950,5600,,</t>
  </si>
  <si>
    <t>2025-05-12 05:35:00,20700,,,,20100,,,,,,,,,,</t>
  </si>
  <si>
    <t>2025-05-12 05:35:00,9765643115.0636,0,0,0,0,0,0,0</t>
  </si>
  <si>
    <t>2025-05-12 05:35:00,2395957216.72417,0,0,0,0,0,0,0</t>
  </si>
  <si>
    <t>2025-05-12 05:35:00,61951380.5454089,2173738.30941902,,-463,,-13731.84,-0.0518467535095998,-198.63</t>
  </si>
  <si>
    <t>2025-05-12 05:35:00,99403985.7834178,0,0,0,0,0,0,0</t>
  </si>
  <si>
    <t>2025-05-12 05:36:00,580,,,,580,,,,,,,,,,</t>
  </si>
  <si>
    <t>2025-05-12 05:36:00,510,,,,500,,,,,,,,,,</t>
  </si>
  <si>
    <t>2025-05-12 05:36:00,5650,,5950,,,5800,5840,,,,,5900,5600,,</t>
  </si>
  <si>
    <t>2025-05-12 05:36:00,20700,,,,20100,,,,,,,,,,</t>
  </si>
  <si>
    <t>2025-05-12 05:36:00,9630922509.80832,0,0,0,0,0,0,0</t>
  </si>
  <si>
    <t>2025-05-12 05:36:00,2268381424.78437,0,0,0,0,0,0,0</t>
  </si>
  <si>
    <t>2025-05-12 05:36:00,56632884.3600105,2178576.33239608,,-282,,-5563.41,-0.229549606409548,-85.22</t>
  </si>
  <si>
    <t>2025-05-12 05:36:00,100790110.630739,0,0,0,0,0,0,0</t>
  </si>
  <si>
    <t>2025-05-12 05:37:00,580,,,,580,,,,,,,,,,</t>
  </si>
  <si>
    <t>2025-05-12 05:37:00,510,,,,500,,,,,,,,,,</t>
  </si>
  <si>
    <t>2025-05-12 05:37:00,5650,,5950,,,5800,5840,,,,,5900,5600,,</t>
  </si>
  <si>
    <t>2025-05-12 05:37:00,20700,,,,20100,,,,,,,,,,</t>
  </si>
  <si>
    <t>2025-05-12 05:37:00,9319226489.53028,0,0,0,0,0,0,0</t>
  </si>
  <si>
    <t>2025-05-12 05:37:00,2273008815.27737,0,0,0,0,0,0,0</t>
  </si>
  <si>
    <t>2025-05-12 05:37:00,57580323.1534934,2251871.7657944,,-115,,-2088.33,-0.114076451755286,-25.88</t>
  </si>
  <si>
    <t>2025-05-12 05:37:00,100674946.712632,0,0,0,0,0,0,0</t>
  </si>
  <si>
    <t>2025-05-12 05:38:00,580,,,,580,,,,,,,,,,</t>
  </si>
  <si>
    <t>2025-05-12 05:38:00,510,,,,500,,,,,,,,,,</t>
  </si>
  <si>
    <t>2025-05-12 05:38:00,5650,,5950,,,5800,5840,,,,,5900,5600,,</t>
  </si>
  <si>
    <t>2025-05-12 05:38:00,20700,,,,20100,,,,,,,,,,</t>
  </si>
  <si>
    <t>2025-05-12 05:38:00,9668948888.31197,0,0,0,0,0,0,0</t>
  </si>
  <si>
    <t>2025-05-12 05:38:00,2245712215.11419,0,0,0,0,0,0,0</t>
  </si>
  <si>
    <t>2025-05-12 05:38:00,55060299.448919,2167533.23411639,,-81,,-4491.13,0.0678840528478675,-49.79</t>
  </si>
  <si>
    <t>2025-05-12 05:38:00,101165848.856023,0,0,0,0,0,0,0</t>
  </si>
  <si>
    <t>2025-05-12 05:39:00,580,,,,580,,,,,,,,,,</t>
  </si>
  <si>
    <t>2025-05-12 05:39:00,510,,,,500,,,,,,,,,,</t>
  </si>
  <si>
    <t>2025-05-12 05:39:00,5650,,5950,,,5800,5840,,,,,5900,5600,,</t>
  </si>
  <si>
    <t>2025-05-12 05:39:00,20700,,,,20100,,,,,,,,,,</t>
  </si>
  <si>
    <t>2025-05-12 05:39:00,9670096525.29238,0,0,0,0,0,0,0</t>
  </si>
  <si>
    <t>2025-05-12 05:39:00,2245304407.43033,0,0,0,0,0,0,0</t>
  </si>
  <si>
    <t>2025-05-12 05:39:00,55082871.9846585,2182342.21234422,,-19,,-651.75,0.000290287812971152,-6.36</t>
  </si>
  <si>
    <t>2025-05-12 05:39:00,101113579.733392,0,0,0,0,0,0,0</t>
  </si>
  <si>
    <t>2025-05-12 05:40:00,580,,,,580,,,,,,,,,,</t>
  </si>
  <si>
    <t>2025-05-12 05:40:00,510,,,,500,,,,,,,,,,</t>
  </si>
  <si>
    <t>2025-05-12 05:40:00,5650,,5900,,,5800,5840,,,,,5900,5600,,</t>
  </si>
  <si>
    <t>2025-05-12 05:40:00,20700,,,,20100,,,,,,,,,,</t>
  </si>
  <si>
    <t>2025-05-12 05:40:00,9507888179.14734,0,0,0,0,0,0,0</t>
  </si>
  <si>
    <t>2025-05-12 05:40:00,2449322596.76929,0,0,0,0,0,0,0</t>
  </si>
  <si>
    <t>2025-05-12 05:40:00,49838717.4934889,2071791.13442962,,-56,,-2632.21,0.0407492086837072,-24.91</t>
  </si>
  <si>
    <t>2025-05-12 05:40:00,102131540.328146,0,0,0,0,0,0,0</t>
  </si>
  <si>
    <t>2025-05-12 05:41:00,580,,,,580,,,,,,,,,,</t>
  </si>
  <si>
    <t>2025-05-12 05:41:00,510,,,,500,,,,,,,,,,</t>
  </si>
  <si>
    <t>2025-05-12 05:41:00,5650,,5950,,,5800,5840,,,,,5900,5600,,</t>
  </si>
  <si>
    <t>2025-05-12 05:41:00,20700,,,,20100,,,,,,,,,,</t>
  </si>
  <si>
    <t>2025-05-12 05:41:00,9642700762.50346,0,0,0,0,0,0,0</t>
  </si>
  <si>
    <t>2025-05-12 05:41:00,2244696406.32692,0,0,0,0,0,0,0</t>
  </si>
  <si>
    <t>2025-05-12 05:41:00,54805398.8719635,2176602.32329792,,-77,,-3085.91,-0.000464326969246953,-33.71</t>
  </si>
  <si>
    <t>2025-05-12 05:41:00,101037598.953446,0,0,0,0,0,0,0</t>
  </si>
  <si>
    <t>2025-05-12 05:42:00,580,,,,580,,,,,,,,,,</t>
  </si>
  <si>
    <t>2025-05-12 05:42:00,510,,,,500,,,,,,,,,,</t>
  </si>
  <si>
    <t>2025-05-12 05:42:00,5650,,5900,,,5800,5840,,,,,5900,5600,,</t>
  </si>
  <si>
    <t>2025-05-12 05:42:00,20700,,,,20100,,,,,,,,,,</t>
  </si>
  <si>
    <t>2025-05-12 05:42:00,9516033195.3031,0,0,0,0,0,0,0</t>
  </si>
  <si>
    <t>2025-05-12 05:42:00,2456804861.66586,0,0,0,0,0,0,0</t>
  </si>
  <si>
    <t>2025-05-12 05:42:00,51877878.0923079,2138670.18105446,,-74,,-2578.79,0.00922535882660367,-23.42</t>
  </si>
  <si>
    <t>2025-05-12 05:42:00,101458566.911883,0,0,0,0,0,0,0</t>
  </si>
  <si>
    <t>2025-05-12 05:43:00,580,,,,580,,,,,,,,,,</t>
  </si>
  <si>
    <t>2025-05-12 05:43:00,510,,,,500,,,,,,,,,,</t>
  </si>
  <si>
    <t>2025-05-12 05:43:00,5650,,5900,,,5800,5840,,,,,5900,5600,,</t>
  </si>
  <si>
    <t>2025-05-12 05:43:00,20700,,,,20100,,,,,,,,,,</t>
  </si>
  <si>
    <t>2025-05-12 05:43:00,9451566572.2618,0,0,0,0,0,0,0</t>
  </si>
  <si>
    <t>2025-05-12 05:43:00,2451453867.0527,0,0,0,0,0,0,0</t>
  </si>
  <si>
    <t>2025-05-12 05:43:00,49959371.5277977,2095588.9327826,,-34,,-2114.47,0.0419029880618193,-19.82</t>
  </si>
  <si>
    <t>2025-05-12 05:43:00,101754891.283874,0,0,0,0,0,0,0</t>
  </si>
  <si>
    <t>2025-05-12 05:44:00,580,,,,580,,,,,,,,,,</t>
  </si>
  <si>
    <t>2025-05-12 05:44:00,510,,,,500,,,,,,,,,,</t>
  </si>
  <si>
    <t>2025-05-12 05:44:00,5650,,5900,,,5800,5840,,,,,5900,5600,,</t>
  </si>
  <si>
    <t>2025-05-12 05:44:00,20700,,,,20100,,,,,,,,,,</t>
  </si>
  <si>
    <t>2025-05-12 05:44:00,9465744448.78036,0,0,0,0,0,0,0</t>
  </si>
  <si>
    <t>2025-05-12 05:44:00,2449879976.07781,0,0,0,0,0,0,0</t>
  </si>
  <si>
    <t>2025-05-12 05:44:00,49631508.8237111,2103443.75120461,,-45,,-3326.39,0.0816898563556567,-24.47</t>
  </si>
  <si>
    <t>2025-05-12 05:44:00,102404704.462972,0,0,0,0,0,0,0</t>
  </si>
  <si>
    <t>2025-05-12 05:45:00,580,,,,580,,,,,,,,,,</t>
  </si>
  <si>
    <t>2025-05-12 05:45:00,510,,,,500,,,,,,,,,,</t>
  </si>
  <si>
    <t>2025-05-12 05:45:00,5650,,5900,,,5800,5820,,,,,5900,5600,,</t>
  </si>
  <si>
    <t>2025-05-12 05:45:00,20700,,,,20100,,,,,,,,,,</t>
  </si>
  <si>
    <t>2025-05-12 05:45:00,10740376029.2702,0,0,0,0,0,0,0</t>
  </si>
  <si>
    <t>2025-05-12 05:45:00,2603721267.37147,0,0,0,0,0,0,0</t>
  </si>
  <si>
    <t>2025-05-12 05:45:00,43235801.2574803,1963585.36535979,,-60,,-2629.86,0.027052644838553,-32.06</t>
  </si>
  <si>
    <t>2025-05-12 05:45:00,103209368.662103,0,0,0,0,0,0,0</t>
  </si>
  <si>
    <t>2025-05-12 05:46:00,580,,,,580,,,,,,,,,,</t>
  </si>
  <si>
    <t>2025-05-12 05:46:00,510,,,,500,,,,,,,,,,</t>
  </si>
  <si>
    <t>2025-05-12 05:46:00,5650,,5900,,,5800,5820,,,,,5900,5600,,</t>
  </si>
  <si>
    <t>2025-05-12 05:46:00,20700,,,,20100,,,,,,,,,,</t>
  </si>
  <si>
    <t>2025-05-12 05:46:00,10479415974.3931,0,0,0,0,0,0,0</t>
  </si>
  <si>
    <t>2025-05-12 05:46:00,2590756043.411,0,0,0,0,0,0,0</t>
  </si>
  <si>
    <t>2025-05-12 05:46:00,41791123.68973,1969128.47936843,,-135,,-4701.28,-0.00408073854652741,-53.37</t>
  </si>
  <si>
    <t>2025-05-12 05:46:00,103283123.175315,0,0,0,0,0,0,0</t>
  </si>
  <si>
    <t>2025-05-12 05:47:00,580,,,,580,,,,,,,,,,</t>
  </si>
  <si>
    <t>2025-05-12 05:47:00,510,,,,500,,,,,,,,,,</t>
  </si>
  <si>
    <t>2025-05-12 05:47:00,5650,,5900,,,5800,5840,,,,,5900,5600,,</t>
  </si>
  <si>
    <t>2025-05-12 05:47:00,20700,,,,20100,,,,,,,,,,</t>
  </si>
  <si>
    <t>2025-05-12 05:47:00,11454886807.5227,0,0,0,0,0,0,0</t>
  </si>
  <si>
    <t>2025-05-12 05:47:00,2633696590.09069,0,0,0,0,0,0,0</t>
  </si>
  <si>
    <t>2025-05-12 05:47:00,45016774.9600915,2008068.03246692,,-182,,-5150.59,0.0869458873293347,-41.31</t>
  </si>
  <si>
    <t>2025-05-12 05:47:00,103124667.115364,0,0,0,0,0,0,0</t>
  </si>
  <si>
    <t>2025-05-12 05:48:00,580,,,,580,,,,,,,,,,</t>
  </si>
  <si>
    <t>2025-05-12 05:48:00,510,,,,500,,,,,,,,,,</t>
  </si>
  <si>
    <t>2025-05-12 05:48:00,5650,,5900,,,5800,5840,,,,,5900,5600,,</t>
  </si>
  <si>
    <t>2025-05-12 05:48:00,20700,,,,20100,,,,,,,,,,</t>
  </si>
  <si>
    <t>2025-05-12 05:48:00,9330395294.37779,0,0,0,0,0,0,0</t>
  </si>
  <si>
    <t>2025-05-12 05:48:00,2452249806.32363,0,0,0,0,0,0,0</t>
  </si>
  <si>
    <t>2025-05-12 05:48:00,44871936.456237,2027553.54127481,,-39,,-836.83,-0.026509385926572,-11.51</t>
  </si>
  <si>
    <t>2025-05-12 05:48:00,102644780.466433,0,0,0,0,0,0,0</t>
  </si>
  <si>
    <t>2025-05-12 05:49:00,580,,,,580,,,,,,,,,,</t>
  </si>
  <si>
    <t>2025-05-12 05:49:00,510,,,,500,,,,,,,,,,</t>
  </si>
  <si>
    <t>2025-05-12 05:49:00,5650,,5900,,,5800,5840,,,,,5900,5600,,</t>
  </si>
  <si>
    <t>2025-05-12 05:49:00,20700,,,,20100,,,,,,,,,,</t>
  </si>
  <si>
    <t>2025-05-12 05:49:00,9399943944.19782,0,0,0,0,0,0,0</t>
  </si>
  <si>
    <t>2025-05-12 05:49:00,2448622303.9302,0,0,0,0,0,0,0</t>
  </si>
  <si>
    <t>2025-05-12 05:49:00,47655417.2824167,2058140.72108543,,-94,,-1274.51,-0.104468631725557,-22.06</t>
  </si>
  <si>
    <t>2025-05-12 05:49:00,102357139.791606,0,0,0,0,0,0,0</t>
  </si>
  <si>
    <t>2025-05-12 05:50:00,580,,,,580,,,,,,,,,,</t>
  </si>
  <si>
    <t>2025-05-12 05:50:00,,,,,,,,,,,,,,,</t>
  </si>
  <si>
    <t>2025-05-12 05:50:00,5650,,5900,,,5800,5840,,,,,5900,5600,,</t>
  </si>
  <si>
    <t>2025-05-12 05:50:00,20700,,,,20100,,,,,,,,,,</t>
  </si>
  <si>
    <t>2025-05-12 05:50:00,10624659403.4459,0,0,0,0,0,0,0</t>
  </si>
  <si>
    <t>2025-05-12 05:50:00,,0,0,0,0,0,0,0</t>
  </si>
  <si>
    <t>2025-05-12 05:50:00,49863893.0450108,2087556.91921413,,-41,,-2757.26,0.0576686943512888,-21.7</t>
  </si>
  <si>
    <t>2025-05-12 05:50:00,102113208.093549,0,0,0,0,0,0,0</t>
  </si>
  <si>
    <t>2025-05-12 05:51:00,580,,,,580,,,,,,,,,,</t>
  </si>
  <si>
    <t>2025-05-12 05:51:00,,,,,,,,,,,,,,,</t>
  </si>
  <si>
    <t>2025-05-12 05:51:00,5650,,5900,,,5800,5840,,,,,5900,5600,,</t>
  </si>
  <si>
    <t>2025-05-12 05:51:00,20700,,,,20100,,,,,,,,,,</t>
  </si>
  <si>
    <t>2025-05-12 05:51:00,10605714788.3565,0,0,0,0,0,0,0</t>
  </si>
  <si>
    <t>2025-05-12 05:51:00,,0,0,0,0,0,0,0</t>
  </si>
  <si>
    <t>2025-05-12 05:51:00,50126650.6342159,2062186.41919587,,-33,,-1398.82,0.00316473045681475,-16.56</t>
  </si>
  <si>
    <t>2025-05-12 05:51:00,102047093.758856,0,0,0,0,0,0,0</t>
  </si>
  <si>
    <t>2025-05-12 05:52:00,580,,,,580,,,,,,,,,,</t>
  </si>
  <si>
    <t>2025-05-12 05:52:00,,,,,,,,,,,,,,,</t>
  </si>
  <si>
    <t>2025-05-12 05:52:00,5650,,5900,,,5800,5840,,,,,5900,5600,,</t>
  </si>
  <si>
    <t>2025-05-12 05:52:00,20700,,,,20100,,,,,,,,,,</t>
  </si>
  <si>
    <t>2025-05-12 05:52:00,10672266911.4625,0,0,0,0,0,0,0</t>
  </si>
  <si>
    <t>2025-05-12 05:52:00,,0,0,0,0,0,0,0</t>
  </si>
  <si>
    <t>2025-05-12 05:52:00,51375145.994192,2216775.99756483,,-189,,-911.61,-0.303044795528413,-30.76</t>
  </si>
  <si>
    <t>2025-05-12 05:52:00,101773664.34156,0,0,0,0,0,0,0</t>
  </si>
  <si>
    <t>2025-05-12 05:53:00,580,,,,580,,,,,,,,,,</t>
  </si>
  <si>
    <t>2025-05-12 05:53:00,,,,,,,,,,,,,,,</t>
  </si>
  <si>
    <t>2025-05-12 05:53:00,5650,,5900,,,5800,5840,,,,,5900,5600,,</t>
  </si>
  <si>
    <t>2025-05-12 05:53:00,20700,,,,20100,,,,,,,,,,</t>
  </si>
  <si>
    <t>2025-05-12 05:53:00,10501427881.1373,0,0,0,0,0,0,0</t>
  </si>
  <si>
    <t>2025-05-12 05:53:00,,0,0,0,0,0,0,0</t>
  </si>
  <si>
    <t>2025-05-12 05:53:00,48071687.5665472,2137972.18458685,,-100,,-1954.18,-0.0800143053749542,-25.46</t>
  </si>
  <si>
    <t>2025-05-12 05:53:00,102282012.519136,0,0,0,0,0,0,0</t>
  </si>
  <si>
    <t>2025-05-12 05:54:00,580,,,,580,,,,,,,,,,</t>
  </si>
  <si>
    <t>2025-05-12 05:54:00,,,,,,,,,,,,,,,</t>
  </si>
  <si>
    <t>2025-05-12 05:54:00,5650,,5900,,,5800,5840,,,,,5900,5600,,</t>
  </si>
  <si>
    <t>2025-05-12 05:54:00,20700,,,,20100,,,,,,,,,,</t>
  </si>
  <si>
    <t>2025-05-12 05:54:00,10524889492.2232,0,0,0,0,0,0,0</t>
  </si>
  <si>
    <t>2025-05-12 05:54:00,,0,0,0,0,0,0,0</t>
  </si>
  <si>
    <t>2025-05-12 05:54:00,49085271.7653295,2149541.58647851,,-9,,-670.93,0.0123536403698906,-5.39</t>
  </si>
  <si>
    <t>2025-05-12 05:54:00,102257479.603253,0,0,0,0,0,0,0</t>
  </si>
  <si>
    <t>2025-05-12 05:55:00,580,,,,580,,,,,,,,,,</t>
  </si>
  <si>
    <t>2025-05-12 05:55:00,,,,,,,,,,,,,,,</t>
  </si>
  <si>
    <t>2025-05-12 05:55:00,5650,,5950,,,5800,5840,,,,,5900,5600,,</t>
  </si>
  <si>
    <t>2025-05-12 05:55:00,20700,,,,20100,,,,,,,,,,</t>
  </si>
  <si>
    <t>2025-05-12 05:55:00,10763480195.2207,0,0,0,0,0,0,0</t>
  </si>
  <si>
    <t>2025-05-12 05:55:00,,0,0,0,0,0,0,0</t>
  </si>
  <si>
    <t>2025-05-12 05:55:00,54710835.4391851,2244918.30540508,,-105,,-5454.45,0.0737867747828863,-65.54</t>
  </si>
  <si>
    <t>2025-05-12 05:55:00,100786678.582123,0,0,0,0,0,0,0</t>
  </si>
  <si>
    <t>2025-05-12 05:56:00,580,,,,580,,,,,,,,,,</t>
  </si>
  <si>
    <t>2025-05-12 05:56:00,,,,,,,,,,,,,,,</t>
  </si>
  <si>
    <t>2025-05-12 05:56:00,5650,,5950,,,5800,5840,,,,,5900,5600,,</t>
  </si>
  <si>
    <t>2025-05-12 05:56:00,20700,,,,20100,,,,,,,,,,</t>
  </si>
  <si>
    <t>2025-05-12 05:56:00,10520025832.8389,0,0,0,0,0,0,0</t>
  </si>
  <si>
    <t>2025-05-12 05:56:00,,0,0,0,0,0,0,0</t>
  </si>
  <si>
    <t>2025-05-12 05:56:00,58609617.2013789,1881538.33675042,,-549,,-51709.64,1.59188605508394,-466.96</t>
  </si>
  <si>
    <t>2025-05-12 05:56:00,99764483.4202391,0,0,0,0,0,0,0</t>
  </si>
  <si>
    <t>2025-05-12 05:57:00,580,,,,580,,,,,,,,,,</t>
  </si>
  <si>
    <t>2025-05-12 05:57:00,,,,,,,,,,,,,,,</t>
  </si>
  <si>
    <t>2025-05-12 05:57:00,5650,,5950,,,5800,5840,,,,,5900,5600,,</t>
  </si>
  <si>
    <t>2025-05-12 05:57:00,20700,,,,20100,,,,,,,,,,</t>
  </si>
  <si>
    <t>2025-05-12 05:57:00,10430677031.6325,0,0,0,0,0,0,0</t>
  </si>
  <si>
    <t>2025-05-12 05:57:00,,0,0,0,0,0,0,0</t>
  </si>
  <si>
    <t>2025-05-12 05:57:00,56460112.9375175,1807153.36113157,,-36,,-2279.11,0.0568425245069979,-20.96</t>
  </si>
  <si>
    <t>2025-05-12 05:57:00,99746729.5202917,0,0,0,0,0,0,0</t>
  </si>
  <si>
    <t>2025-05-12 05:58:00,580,,,,580,,,,,,,,,,</t>
  </si>
  <si>
    <t>2025-05-12 05:58:00,,,,,,,,,,,,,,,</t>
  </si>
  <si>
    <t>2025-05-12 05:58:00,5650,,5950,,,5800,5840,,,,,5900,5600,,</t>
  </si>
  <si>
    <t>2025-05-12 05:58:00,20700,,,,20100,,,,,,,,,,</t>
  </si>
  <si>
    <t>2025-05-12 05:58:00,10912728053.0946,0,0,0,0,0,0,0</t>
  </si>
  <si>
    <t>2025-05-12 05:58:00,,0,0,0,0,0,0,0</t>
  </si>
  <si>
    <t>2025-05-12 05:58:00,60741251.26175,1860449.98211448,,-68,,-4254.55,0.0996753841999415,-34.39</t>
  </si>
  <si>
    <t>2025-05-12 05:58:00,99040351.8702586,0,0,0,0,0,0,0</t>
  </si>
  <si>
    <t>2025-05-12 05:59:00,580,,,,580,,,,,,,,,,</t>
  </si>
  <si>
    <t>2025-05-12 05:59:00,,,,,,,,,,,,,,,</t>
  </si>
  <si>
    <t>2025-05-12 05:59:00,5650,,5950,,,5800,5840,,,,,5900,5600,,</t>
  </si>
  <si>
    <t>2025-05-12 05:59:00,20700,,,,20100,,,,,,,,,,</t>
  </si>
  <si>
    <t>2025-05-12 05:59:00,10440118219.5765,0,0,0,0,0,0,0</t>
  </si>
  <si>
    <t>2025-05-12 05:59:00,,0,0,0,0,0,0,0</t>
  </si>
  <si>
    <t>2025-05-12 05:59:00,65830187.842646,1988084.41153121,,-140,,-2636.77,-0.131938338214234,-38.13</t>
  </si>
  <si>
    <t>2025-05-12 05:59:00,98106275.1996229,0,0,0,0,0,0,0</t>
  </si>
  <si>
    <t>2025-05-12 06:00:00,580,,,,580,,,,,,,,,,</t>
  </si>
  <si>
    <t>2025-05-12 06:00:00,,,,,,,,,,,,,,,</t>
  </si>
  <si>
    <t>2025-05-12 06:00:00,5650,,5950,,,5800,5840,,,,,5900,5600,,</t>
  </si>
  <si>
    <t>2025-05-12 06:00:00,20700,,,,20100,,,,,,,,,,</t>
  </si>
  <si>
    <t>2025-05-12 06:00:00,10915049175.5251,0,0,0,0,0,0,0</t>
  </si>
  <si>
    <t>2025-05-12 06:00:00,,0,0,0,0,0,0,0</t>
  </si>
  <si>
    <t>2025-05-12 06:00:00,60635317.6940709,1934500.62940786,,-369,,-10680.23,-0.166645991502143,-138.42</t>
  </si>
  <si>
    <t>2025-05-12 06:00:00,100379059.796882,0,0,0,0,0,0,0</t>
  </si>
  <si>
    <t>2025-05-12 06:01:00,580,,,,580,,,,,,,,,,</t>
  </si>
  <si>
    <t>2025-05-12 06:01:00,,,,,,,,,,,,,,,</t>
  </si>
  <si>
    <t>2025-05-12 06:01:00,5650,,5900,,,5800,5840,,,,,5900,5600,,</t>
  </si>
  <si>
    <t>2025-05-12 06:01:00,20700,,,,20100,,,,,,,,,,</t>
  </si>
  <si>
    <t>2025-05-12 06:01:00,10658409806.4076,0,0,0,0,0,0,0</t>
  </si>
  <si>
    <t>2025-05-12 06:01:00,,0,0,0,0,0,0,0</t>
  </si>
  <si>
    <t>2025-05-12 06:01:00,59523530.352946,1906117.98608679,,-112,,-2427.96,-0.0626910316884456,-33.43</t>
  </si>
  <si>
    <t>2025-05-12 06:01:00,100264052.106935,0,0,0,0,0,0,0</t>
  </si>
  <si>
    <t>2025-05-12 06:02:00,580,,,,580,,,,,,,,,,</t>
  </si>
  <si>
    <t>2025-05-12 06:02:00,,,,,,,,,,,,,,,</t>
  </si>
  <si>
    <t>2025-05-12 06:02:00,5650,,5950,,,5800,5840,,,,,5900,5600,,</t>
  </si>
  <si>
    <t>2025-05-12 06:02:00,20700,,,,20100,,,,,,,,,,</t>
  </si>
  <si>
    <t>2025-05-12 06:02:00,10532318064.5081,0,0,0,0,0,0,0</t>
  </si>
  <si>
    <t>2025-05-12 06:02:00,,0,0,0,0,0,0,0</t>
  </si>
  <si>
    <t>2025-05-12 06:02:00,68174631.9955287,2099246.3287624,,-364,,-12486.05,-0.000283787842356347,-141.76</t>
  </si>
  <si>
    <t>2025-05-12 06:02:00,98415180.9455922,0,0,0,0,0,0,0</t>
  </si>
  <si>
    <t>2025-05-12 06:03:00,580,,,,580,,,,,,,,,,</t>
  </si>
  <si>
    <t>2025-05-12 06:03:00,,,,,,,,,,,,,,,</t>
  </si>
  <si>
    <t>2025-05-12 06:03:00,5650,,5950,,,5800,5840,,,,,5900,5600,,</t>
  </si>
  <si>
    <t>2025-05-12 06:03:00,20700,,,,20100,,,,,,,,,,</t>
  </si>
  <si>
    <t>2025-05-12 06:03:00,11294896995.0749,0,0,0,0,0,0,0</t>
  </si>
  <si>
    <t>2025-05-12 06:03:00,,0,0,0,0,0,0,0</t>
  </si>
  <si>
    <t>2025-05-12 06:03:00,62975391.6669522,2029951.25974321,,-175,,-3169.73,-0.146782927531063,-37.21</t>
  </si>
  <si>
    <t>2025-05-12 06:03:00,99081940.5988228,0,0,0,0,0,0,0</t>
  </si>
  <si>
    <t>2025-05-12 06:04:00,580,,,,580,,,,,,,,,,</t>
  </si>
  <si>
    <t>2025-05-12 06:04:00,,,,,,,,,,,,,,,</t>
  </si>
  <si>
    <t>2025-05-12 06:04:00,5650,,5950,,,5800,5840,,,,,5900,5600,,</t>
  </si>
  <si>
    <t>2025-05-12 06:04:00,20700,,,,20100,,,,,,,,,,</t>
  </si>
  <si>
    <t>2025-05-12 06:04:00,10368879518.395,0,0,0,0,0,0,0</t>
  </si>
  <si>
    <t>2025-05-12 06:04:00,,0,0,0,0,0,0,0</t>
  </si>
  <si>
    <t>2025-05-12 06:04:00,65276584.3026977,2012668.16637473,,-75,,-5856.72,0.173410840412822,-49.51</t>
  </si>
  <si>
    <t>2025-05-12 06:04:00,98615196.2208098,0,0,0,0,0,0,0</t>
  </si>
  <si>
    <t>2025-05-12 06:05:00,580,,,,580,,,,,,,,,,</t>
  </si>
  <si>
    <t>2025-05-12 06:05:00,,,,,,,,,,,,,,,</t>
  </si>
  <si>
    <t>2025-05-12 06:05:00,5650,,5950,,,5800,5840,,,,,5900,5600,,</t>
  </si>
  <si>
    <t>2025-05-12 06:05:00,20700,,,,20100,,,,,,,,,,</t>
  </si>
  <si>
    <t>2025-05-12 06:05:00,10810444279.3725,0,0,0,0,0,0,0</t>
  </si>
  <si>
    <t>2025-05-12 06:05:00,,0,0,0,0,0,0,0</t>
  </si>
  <si>
    <t>2025-05-12 06:05:00,68205721.3790463,2088314.52773502,,-45,,-1384.6,-0.0149255718556845,-16.04</t>
  </si>
  <si>
    <t>2025-05-12 06:05:00,98399198.2142793,0,0,0,0,0,0,0</t>
  </si>
  <si>
    <t>2025-05-12 06:06:00,580,,,,580,,,,,,,,,,</t>
  </si>
  <si>
    <t>2025-05-12 06:06:00,,,,,,,,,,,,,,,</t>
  </si>
  <si>
    <t>2025-05-12 06:06:00,5650,,5950,,,5800,5840,,,,,5900,5600,,</t>
  </si>
  <si>
    <t>2025-05-12 06:06:00,20700,,,,20100,,,,,,,,,,</t>
  </si>
  <si>
    <t>2025-05-12 06:06:00,10552183736.6256,0,0,0,0,0,0,0</t>
  </si>
  <si>
    <t>2025-05-12 06:06:00,,0,0,0,0,0,0,0</t>
  </si>
  <si>
    <t>2025-05-12 06:06:00,71988725.4430092,2152150.0648762,,-283,,-10582.31,0.0202874693111386,-108.56</t>
  </si>
  <si>
    <t>2025-05-12 06:06:00,97551899.889539,0,0,0,0,0,0,0</t>
  </si>
  <si>
    <t>2025-05-12 06:07:00,580,,,,580,,,,,,,,,,</t>
  </si>
  <si>
    <t>2025-05-12 06:07:00,,,,,,,,,,,,,,,</t>
  </si>
  <si>
    <t>2025-05-12 06:07:00,5650,,5950,,,5800,5840,,,,,5900,5600,,</t>
  </si>
  <si>
    <t>2025-05-12 06:07:00,20700,,,,20100,,,,,,,,,,</t>
  </si>
  <si>
    <t>2025-05-12 06:07:00,10475056763.4467,0,0,0,0,0,0,0</t>
  </si>
  <si>
    <t>2025-05-12 06:07:00,,0,0,0,0,0,0,0</t>
  </si>
  <si>
    <t>2025-05-12 06:07:00,71344391.2991026,2106935.3505185,,-199,,-6797.05,0.00371038926992251,-73.34</t>
  </si>
  <si>
    <t>2025-05-12 06:07:00,97755382.1428144,0,0,0,0,0,0,0</t>
  </si>
  <si>
    <t>2025-05-12 06:08:00,580,,,,580,,,,,,,,,,</t>
  </si>
  <si>
    <t>2025-05-12 06:08:00,,,,,,,,,,,,,,,</t>
  </si>
  <si>
    <t>2025-05-12 06:08:00,5650,,5950,,,5800,5840,,,,,5900,5600,,</t>
  </si>
  <si>
    <t>2025-05-12 06:08:00,20700,,,,20100,,,,,,,,,,</t>
  </si>
  <si>
    <t>2025-05-12 06:08:00,10895585835.532,0,0,0,0,0,0,0</t>
  </si>
  <si>
    <t>2025-05-12 06:08:00,,0,0,0,0,0,0,0</t>
  </si>
  <si>
    <t>2025-05-12 06:08:00,70511592.6815588,2104685.57998409,,-80,,-2361.53,-0.029911046091781,-26.66</t>
  </si>
  <si>
    <t>2025-05-12 06:08:00,97911258.9288419,0,0,0,0,0,0,0</t>
  </si>
  <si>
    <t>2025-05-12 06:09:00,580,,,,580,,,,,,,,,,</t>
  </si>
  <si>
    <t>2025-05-12 06:09:00,510,,,,500,,,,,,,,,,</t>
  </si>
  <si>
    <t>2025-05-12 06:09:00,5650,,5950,,,6000,5840,,,,,6000,5600,,</t>
  </si>
  <si>
    <t>2025-05-12 06:09:00,20700,,,,20100,,,,,,,,,,</t>
  </si>
  <si>
    <t>2025-05-12 06:09:00,10894552715.5308,0,0,0,0,0,0,0</t>
  </si>
  <si>
    <t>2025-05-12 06:09:00,2830040745.50658,0,0,0,0,0,0,0</t>
  </si>
  <si>
    <t>2025-05-12 06:09:00,72850908.7581851,3746885.42765634,,-13354,,483321.63,-41.7656403388019,-53.5800000000004</t>
  </si>
  <si>
    <t>2025-05-12 06:09:00,130286087.464712,0,,0,,0,0,0</t>
  </si>
  <si>
    <t>2025-05-12 06:10:00,580,,,,580,,,,,,,,,,</t>
  </si>
  <si>
    <t>2025-05-12 06:10:00,510,,,,500,,,,,,,,,,</t>
  </si>
  <si>
    <t>2025-05-12 06:10:00,5650,,5950,,,6000,5840,,,,,6000,5600,,</t>
  </si>
  <si>
    <t>2025-05-12 06:10:00,20700,,,,20100,,,,,,,,,,</t>
  </si>
  <si>
    <t>2025-05-12 06:10:00,10882431041.633,0,0,0,0,0,0,0</t>
  </si>
  <si>
    <t>2025-05-12 06:10:00,2765211447.40881,0,0,0,0,0,0,0</t>
  </si>
  <si>
    <t>2025-05-12 06:10:00,71410648.4465557,3646532.48501878,,-54,,-3212.42,0.0581186302783996,-28.55</t>
  </si>
  <si>
    <t>2025-05-12 06:10:00,130591810.597558,0,,0,,0,0,0</t>
  </si>
  <si>
    <t>2025-05-12 06:11:00,580,,,,580,,,,,,,,,,</t>
  </si>
  <si>
    <t>2025-05-12 06:11:00,510,,,,500,,,,,,,,,,</t>
  </si>
  <si>
    <t>2025-05-12 06:11:00,5650,,5950,,,6000,5840,,,,,6000,5600,,</t>
  </si>
  <si>
    <t>2025-05-12 06:11:00,20700,,,,20100,,,,,,,,,,</t>
  </si>
  <si>
    <t>2025-05-12 06:11:00,10542863332.117,0,0,0,0,0,0,0</t>
  </si>
  <si>
    <t>2025-05-12 06:11:00,2730699943.86829,0,0,0,0,0,0,0</t>
  </si>
  <si>
    <t>2025-05-12 06:11:00,69963051.5797261,3625125.7804307,,-74,,-3324.39,0.023004617387235,-34.45</t>
  </si>
  <si>
    <t>2025-05-12 06:11:00,131219791.152754,0,,0,,0,0,0</t>
  </si>
  <si>
    <t>2025-05-12 06:12:00,580,,,,580,,,,,,,,,,</t>
  </si>
  <si>
    <t>2025-05-12 06:12:00,510,,,,500,,,,,,,,,,</t>
  </si>
  <si>
    <t>2025-05-12 06:12:00,5650,,5950,,,6000,5840,,,,,6000,5600,,</t>
  </si>
  <si>
    <t>2025-05-12 06:12:00,20700,,,,20100,,,,,,,,,,</t>
  </si>
  <si>
    <t>2025-05-12 06:12:00,10755210426.128,0,0,0,0,0,0,0</t>
  </si>
  <si>
    <t>2025-05-12 06:12:00,2670828911.08082,0,0,0,0,0,0,0</t>
  </si>
  <si>
    <t>2025-05-12 06:12:00,62382023.3066584,3394558.59179084,,-191,,-7649.05,0.0665789923716066,-76.09</t>
  </si>
  <si>
    <t>2025-05-12 06:12:00,131951076.240344,0,,0,,0,0,0</t>
  </si>
  <si>
    <t>2025-05-12 06:13:00,580,,,,580,,,,,,,,,,</t>
  </si>
  <si>
    <t>2025-05-12 06:13:00,510,,,,500,,,,,,,,,,</t>
  </si>
  <si>
    <t>2025-05-12 06:13:00,5650,,5950,,,6000,5840,,,,,6000,5600,,</t>
  </si>
  <si>
    <t>2025-05-12 06:13:00,20700,,,,20100,,,,,,,,,,</t>
  </si>
  <si>
    <t>2025-05-12 06:13:00,10793463957.2876,0,0,0,0,0,0,0</t>
  </si>
  <si>
    <t>2025-05-12 06:13:00,2773945147.51944,0,0,0,0,0,0,0</t>
  </si>
  <si>
    <t>2025-05-12 06:13:00,56721991.758908,3335390.64310133,,-262,,-2342.24,-0.33061062686388,-42.15</t>
  </si>
  <si>
    <t>2025-05-12 06:13:00,132907095.355181,0,,0,,0,0,0</t>
  </si>
  <si>
    <t>2025-05-12 06:14:00,580,,,,580,,,,,,,,,,</t>
  </si>
  <si>
    <t>2025-05-12 06:14:00,510,,,,500,,,,,,,,,,</t>
  </si>
  <si>
    <t>2025-05-12 06:14:00,5650,,5950,,,6000,5840,,,,,6000,5600,,</t>
  </si>
  <si>
    <t>2025-05-12 06:14:00,20700,,,,20100,,,,,,,,,,</t>
  </si>
  <si>
    <t>2025-05-12 06:14:00,10748245148.4507,0,0,0,0,0,0,0</t>
  </si>
  <si>
    <t>2025-05-12 06:14:00,2798278446.92343,0,0,0,0,0,0,0</t>
  </si>
  <si>
    <t>2025-05-12 06:14:00,56331541.0547853,3354626.97538665,,-119,,-2617.67,-0.0593888688299314,-44.36</t>
  </si>
  <si>
    <t>2025-05-12 06:14:00,132969348.811614,0,,0,,0,0,0</t>
  </si>
  <si>
    <t>2025-05-12 06:15:00,580,,,,580,,,,,,,,,,</t>
  </si>
  <si>
    <t>2025-05-12 06:15:00,510,,,,500,,,,,,,,,,</t>
  </si>
  <si>
    <t>2025-05-12 06:15:00,5650,,5950,,,6000,5840,,,,,6000,5600,,</t>
  </si>
  <si>
    <t>2025-05-12 06:15:00,20700,,,,20100,,,,,,,,,,</t>
  </si>
  <si>
    <t>2025-05-12 06:15:00,10719535985.9997,0,0,0,0,0,0,0</t>
  </si>
  <si>
    <t>2025-05-12 06:15:00,2792097784.71804,0,0,0,0,0,0,0</t>
  </si>
  <si>
    <t>2025-05-12 06:15:00,54915589.9727176,3380881.09004252,,-392,,-5369.85,-0.344350746704645,-77.18</t>
  </si>
  <si>
    <t>2025-05-12 06:15:00,133419165.006391,0,,0,,0,0,0</t>
  </si>
  <si>
    <t>2025-05-12 06:16:00,580,,,,580,,,,,,,,,,</t>
  </si>
  <si>
    <t>2025-05-12 06:16:00,510,,,,500,,,,,,,,,,</t>
  </si>
  <si>
    <t>2025-05-12 06:16:00,5650,,5950,,,6000,5840,,,,,6000,5600,,</t>
  </si>
  <si>
    <t>2025-05-12 06:16:00,20700,,,,20100,,,,,,,,,,</t>
  </si>
  <si>
    <t>2025-05-12 06:16:00,10730172898.6909,0,0,0,0,0,0,0</t>
  </si>
  <si>
    <t>2025-05-12 06:16:00,2589331777.3024,0,0,0,0,0,0,0</t>
  </si>
  <si>
    <t>2025-05-12 06:16:00,57735446.4088085,3250764.15994661,,-250,,-24613.85,0.890035735356992,-189.15</t>
  </si>
  <si>
    <t>2025-05-12 06:16:00,132658166.952781,0,,0,,0,0,0</t>
  </si>
  <si>
    <t>2025-05-12 06:18:00,580,,,,580,,,,,,,,,,</t>
  </si>
  <si>
    <t>2025-05-12 06:18:00,510,,,,500,,,,,,,,,,</t>
  </si>
  <si>
    <t>2025-05-12 06:18:00,5650,,5950,,,6000,5840,,,,,6000,5600,,</t>
  </si>
  <si>
    <t>2025-05-12 06:18:00,20700,,,,20100,,,,,,,,,,</t>
  </si>
  <si>
    <t>2025-05-12 06:18:00,10805157751.4552,0,0,0,0,0,0,0</t>
  </si>
  <si>
    <t>2025-05-12 06:18:00,2797718936.51708,0,0,0,0,0,0,0</t>
  </si>
  <si>
    <t>2025-05-12 06:18:00,57215549.4502102,3161890.90450552,,-107,,-8832.66,0.277150979884897,-66.19</t>
  </si>
  <si>
    <t>2025-05-12 06:18:00,132956643.10282,0,,0,,0,0,0</t>
  </si>
  <si>
    <t>2025-05-12 06:19:00,580,,,,580,,,,,,,,,,</t>
  </si>
  <si>
    <t>2025-05-12 06:19:00,510,,,,500,,,,,,,,,,</t>
  </si>
  <si>
    <t>2025-05-12 06:19:00,5650,,5950,,,6000,5840,,,,,6000,5600,,</t>
  </si>
  <si>
    <t>2025-05-12 06:19:00,20700,,,,20100,,,,,,,,,,</t>
  </si>
  <si>
    <t>2025-05-12 06:19:00,10424024942.0468,0,0,0,0,0,0,0</t>
  </si>
  <si>
    <t>2025-05-12 06:19:00,2784539324.61347,0,0,0,0,0,0,0</t>
  </si>
  <si>
    <t>2025-05-12 06:19:00,58015951.1075979,3128165.14169382,,-73,,-4834.85,0.0859249721009184,-55.64</t>
  </si>
  <si>
    <t>2025-05-12 06:19:00,132905716.80142,0,,0,,0,0,0</t>
  </si>
  <si>
    <t>2025-05-12 06:20:00,580,,,,580,,,,,,,,,,</t>
  </si>
  <si>
    <t>2025-05-12 06:20:00,510,,,,500,,,,,,,,,,</t>
  </si>
  <si>
    <t>2025-05-12 06:20:00,5650,,5950,,,6000,5840,,,,,6000,5600,,</t>
  </si>
  <si>
    <t>2025-05-12 06:20:00,20700,,,,20100,,,,,,,,,,</t>
  </si>
  <si>
    <t>2025-05-12 06:20:00,10798959759.1423,0,0,0,0,0,0,0</t>
  </si>
  <si>
    <t>2025-05-12 06:20:00,2797049738.47726,0,0,0,0,0,0,0</t>
  </si>
  <si>
    <t>2025-05-12 06:20:00,56534174.4269292,3093648.42359268,,-30,,-1565.71,0.0180617908571373,-12.66</t>
  </si>
  <si>
    <t>2025-05-12 06:20:00,133174478.816828,0,,0,,0,0,0</t>
  </si>
  <si>
    <t>2025-05-12 06:21:00,580,,,,580,,,,,,,,,,</t>
  </si>
  <si>
    <t>2025-05-12 06:21:00,510,,,,500,,,,,,,,,,</t>
  </si>
  <si>
    <t>2025-05-12 06:21:00,5650,,5950,,,6000,5840,,,,,6000,5600,,</t>
  </si>
  <si>
    <t>2025-05-12 06:21:00,20700,,,,20100,,,,,,,,,,</t>
  </si>
  <si>
    <t>2025-05-12 06:21:00,10624027565.4114,0,0,0,0,0,0,0</t>
  </si>
  <si>
    <t>2025-05-12 06:21:00,2783543332.44989,0,0,0,0,0,0,0</t>
  </si>
  <si>
    <t>2025-05-12 06:21:00,52744540.6174995,2978952.67420189,,-71,,-3138.75,0.0289217723573939,-35.77</t>
  </si>
  <si>
    <t>2025-05-12 06:21:00,133772759.848278,0,,0,,0,0,0</t>
  </si>
  <si>
    <t>2025-05-12 06:22:00,580,,,,580,,,,,,,,,,</t>
  </si>
  <si>
    <t>2025-05-12 06:22:00,510,,,,500,,,,,,,,,,</t>
  </si>
  <si>
    <t>2025-05-12 06:22:00,5650,,5950,,,6000,5840,,,,,6000,5600,,</t>
  </si>
  <si>
    <t>2025-05-12 06:22:00,20700,,,,20100,,,,,,,,,,</t>
  </si>
  <si>
    <t>2025-05-12 06:22:00,10592105086.7098,0,0,0,0,0,0,0</t>
  </si>
  <si>
    <t>2025-05-12 06:22:00,2784824776.72564,0,0,0,0,0,0,0</t>
  </si>
  <si>
    <t>2025-05-12 06:22:00,52275612.3471929,2959463.05466677,,-35,,-2002.26,0.0416188948024494,-20.12</t>
  </si>
  <si>
    <t>2025-05-12 06:22:00,133772755.12461,0,,0,,0,0,0</t>
  </si>
  <si>
    <t>2025-05-12 06:23:00,580,,,,580,,,,,,,,,,</t>
  </si>
  <si>
    <t>2025-05-12 06:23:00,510,,,,500,,,,,,,,,,</t>
  </si>
  <si>
    <t>2025-05-12 06:23:00,5650,,5950,,,6000,5840,,,,,6000,5600,,</t>
  </si>
  <si>
    <t>2025-05-12 06:23:00,20700,,,,20100,,,,,,,,,,</t>
  </si>
  <si>
    <t>2025-05-12 06:23:00,10764733145.0239,0,0,0,0,0,0,0</t>
  </si>
  <si>
    <t>2025-05-12 06:23:00,2791505012.36411,0,0,0,0,0,0,0</t>
  </si>
  <si>
    <t>2025-05-12 06:23:00,55708034.3068078,3049424.98096403,,-41,,-1313.02,-0.0104294587916125,-16.85</t>
  </si>
  <si>
    <t>2025-05-12 06:23:00,133313193.944854,0,,0,,0,0,0</t>
  </si>
  <si>
    <t>2025-05-12 06:24:00,580,,,,580,,,,,,,,,,</t>
  </si>
  <si>
    <t>2025-05-12 06:24:00,510,,,,500,,,,,,,,,,</t>
  </si>
  <si>
    <t>2025-05-12 06:24:00,5650,,5950,,,6000,5840,,,,,6000,5600,,</t>
  </si>
  <si>
    <t>2025-05-12 06:24:00,20700,,,,20100,,,,,,,,,,</t>
  </si>
  <si>
    <t>2025-05-12 06:24:00,10788500985.3133,0,0,0,0,0,0,0</t>
  </si>
  <si>
    <t>2025-05-12 06:24:00,2793947811.53973,0,0,0,0,0,0,0</t>
  </si>
  <si>
    <t>2025-05-12 06:24:00,56685513.6838631,3123299.66802855,,-61,,-475.98,-0.0859359155662982,-6.98</t>
  </si>
  <si>
    <t>2025-05-12 06:24:00,133346128.544273,0,,0,,0,0,0</t>
  </si>
  <si>
    <t>2025-05-12 06:25:00,580,,,,580,,,,,,,,,,</t>
  </si>
  <si>
    <t>2025-05-12 06:25:00,510,,,,500,,,,,,,,,,</t>
  </si>
  <si>
    <t>2025-05-12 06:25:00,5650,,5950,,,6000,5840,,,,,6000,5600,,</t>
  </si>
  <si>
    <t>2025-05-12 06:25:00,20700,,,,20100,,,,,,,,,,</t>
  </si>
  <si>
    <t>2025-05-12 06:25:00,10809111492.2001,0,0,0,0,0,0,0</t>
  </si>
  <si>
    <t>2025-05-12 06:25:00,2788873413.29062,0,0,0,0,0,0,0</t>
  </si>
  <si>
    <t>2025-05-12 06:25:00,57831986.9505887,3226851.27622767,,-25,,-1603.54,0.041403137221149,-14.03</t>
  </si>
  <si>
    <t>2025-05-12 06:25:00,133388508.835203,0,,0,,0,0,0</t>
  </si>
  <si>
    <t>2025-05-12 06:26:00,580,,,,580,,,,,,,,,,</t>
  </si>
  <si>
    <t>2025-05-12 06:26:00,510,,,,500,,,,,,,,,,</t>
  </si>
  <si>
    <t>2025-05-12 06:26:00,5650,,5950,,,6000,5840,,,,,6000,5600,,</t>
  </si>
  <si>
    <t>2025-05-12 06:26:00,20700,,,,20100,,,,,,,,,,</t>
  </si>
  <si>
    <t>2025-05-12 06:26:00,10674871364.129,0,0,0,0,0,0,0</t>
  </si>
  <si>
    <t>2025-05-12 06:26:00,2797458721.14346,0,0,0,0,0,0,0</t>
  </si>
  <si>
    <t>2025-05-12 06:26:00,62241904.6737004,3392348.7331171,,-54,,-1466.91,-0.0106757309915823,-16.77</t>
  </si>
  <si>
    <t>2025-05-12 06:26:00,133132860.27437,0,,0,,0,0,0</t>
  </si>
  <si>
    <t>2025-05-12 06:27:00,580,,,,580,,,,,,,,,,</t>
  </si>
  <si>
    <t>2025-05-12 06:27:00,510,,,,500,,,,,,,,,,</t>
  </si>
  <si>
    <t>2025-05-12 06:27:00,5650,,5950,,,6000,5840,,,,,6000,5600,,</t>
  </si>
  <si>
    <t>2025-05-12 06:27:00,20700,,,,20100,,,,,,,,,,</t>
  </si>
  <si>
    <t>2025-05-12 06:27:00,10928541949.3205,0,0,0,0,0,0,0</t>
  </si>
  <si>
    <t>2025-05-12 06:27:00,2773655217.52853,0,0,0,0,0,0,0</t>
  </si>
  <si>
    <t>2025-05-12 06:27:00,63192585.1991262,3432311.04505047,,-73,,-946.17,-0.0782342068497139,-14.22</t>
  </si>
  <si>
    <t>2025-05-12 06:27:00,132997617.600038,0,,0,,0,0,0</t>
  </si>
  <si>
    <t>2025-05-12 06:28:00,580,,,,580,,,,,,,,,,</t>
  </si>
  <si>
    <t>2025-05-12 06:28:00,510,,,,500,,,,,,,,,,</t>
  </si>
  <si>
    <t>2025-05-12 06:28:00,5650,,5950,,,6000,5840,,,,,6000,5600,,</t>
  </si>
  <si>
    <t>2025-05-12 06:28:00,20700,,,,20100,,,,,,,,,,</t>
  </si>
  <si>
    <t>2025-05-12 06:28:00,10675144950.0419,0,0,0,0,0,0,0</t>
  </si>
  <si>
    <t>2025-05-12 06:28:00,2797762329.55617,0,0,0,0,0,0,0</t>
  </si>
  <si>
    <t>2025-05-12 06:28:00,61739889.0725143,3266374.34416307,,-399,,-22101.83,0.476032772132414,-191</t>
  </si>
  <si>
    <t>2025-05-12 06:28:00,133507612.798482,0,,0,,0,0,0</t>
  </si>
  <si>
    <t>2025-05-12 06:29:00,580,,,,580,,,,,,,,,,</t>
  </si>
  <si>
    <t>2025-05-12 06:29:00,510,,,,500,,,,,,,,,,</t>
  </si>
  <si>
    <t>2025-05-12 06:29:00,5650,,5950,,,6000,5840,,,,,6000,5600,,</t>
  </si>
  <si>
    <t>2025-05-12 06:29:00,20700,,,,20100,,,,,,,,,,</t>
  </si>
  <si>
    <t>2025-05-12 06:29:00,10806498265.735,0,0,0,0,0,0,0</t>
  </si>
  <si>
    <t>2025-05-12 06:29:00,2783714400.20353,0,0,0,0,0,0,0</t>
  </si>
  <si>
    <t>2025-05-12 06:29:00,56347799.4885418,3102093.28349328,,-134,,-7887.21,0.139705645821007,-53.79</t>
  </si>
  <si>
    <t>2025-05-12 06:29:00,134305457.661208,0,,0,,0,0,0</t>
  </si>
  <si>
    <t>2025-05-12 06:30:00,580,,,,580,,,,,,,,,,</t>
  </si>
  <si>
    <t>2025-05-12 06:30:00,510,,,,500,,,,,,,,,,</t>
  </si>
  <si>
    <t>2025-05-12 06:30:00,5650,,5950,,,6000,5840,,,,,6000,5600,,</t>
  </si>
  <si>
    <t>2025-05-12 06:30:00,20700,,,,20100,,,,,,,,,,</t>
  </si>
  <si>
    <t>2025-05-12 06:30:00,10785740399.8281,0,0,0,0,0,0,0</t>
  </si>
  <si>
    <t>2025-05-12 06:30:00,2781904171.10771,0,0,0,0,0,0,0</t>
  </si>
  <si>
    <t>2025-05-12 06:30:00,55890857.4073483,3109218.94108314,,-75,,-1415.31,-0.045745272604709,-24.44</t>
  </si>
  <si>
    <t>2025-05-12 06:30:00,134023593.629481,0,,0,,0,0,0</t>
  </si>
  <si>
    <t>2025-05-12 06:31:00,580,,,,580,,,,,,,,,,</t>
  </si>
  <si>
    <t>2025-05-12 06:31:00,510,,,,500,,,,,,,,,,</t>
  </si>
  <si>
    <t>2025-05-12 06:31:00,5650,,5950,,,6000,5840,,,,,6000,5600,,</t>
  </si>
  <si>
    <t>2025-05-12 06:31:00,20700,,,,20100,,,,,,,,,,</t>
  </si>
  <si>
    <t>2025-05-12 06:31:00,10616451804.0503,0,0,0,0,0,0,0</t>
  </si>
  <si>
    <t>2025-05-12 06:31:00,2958538431.0854,0,0,0,0,0,0,0</t>
  </si>
  <si>
    <t>2025-05-12 06:31:00,52761096.2298238,3081535.65936444,,-224,,-3511.71,-0.227463675232908,-46.26</t>
  </si>
  <si>
    <t>2025-05-12 06:31:00,134363525.738734,0,,0,,0,0,0</t>
  </si>
  <si>
    <t>2025-05-12 06:32:00,580,,,,580,,,,,,,,,,</t>
  </si>
  <si>
    <t>2025-05-12 06:32:00,510,,,,500,,,,,,,,,,</t>
  </si>
  <si>
    <t>2025-05-12 06:32:00,5650,,5950,,,6000,5840,,,,,6000,5600,,</t>
  </si>
  <si>
    <t>2025-05-12 06:32:00,20700,,,,20100,,,,,,,,,,</t>
  </si>
  <si>
    <t>2025-05-12 06:32:00,10661425801.5317,0,0,0,0,0,0,0</t>
  </si>
  <si>
    <t>2025-05-12 06:32:00,2781403819.79683,0,0,0,0,0,0,0</t>
  </si>
  <si>
    <t>2025-05-12 06:32:00,53814820.5443976,2890042.98204919,,-221,,-21652.63,0.83249690333789,-162.81</t>
  </si>
  <si>
    <t>2025-05-12 06:32:00,133926139.641096,0,,0,,0,0,0</t>
  </si>
  <si>
    <t>2025-05-12 06:33:00,580,,,,580,,,,,,,,,,</t>
  </si>
  <si>
    <t>2025-05-12 06:33:00,510,,,,500,,,,,,,,,,</t>
  </si>
  <si>
    <t>2025-05-12 06:33:00,5650,,5950,,,6000,5840,,,,,6000,5600,,</t>
  </si>
  <si>
    <t>2025-05-12 06:33:00,20700,,,,20100,,,,,,,,,,</t>
  </si>
  <si>
    <t>2025-05-12 06:33:00,10547914348.8907,0,0,0,0,0,0,0</t>
  </si>
  <si>
    <t>2025-05-12 06:33:00,2969165474.33123,0,0,0,0,0,0,0</t>
  </si>
  <si>
    <t>2025-05-12 06:33:00,51305459.5062009,2817075.81006771,,-82,,-2240.15,-0.0195228810570119,-26.1</t>
  </si>
  <si>
    <t>2025-05-12 06:33:00,134419515.477871,0,,0,,0,0,0</t>
  </si>
  <si>
    <t>2025-05-12 06:34:00,580,,,,580,,,,,,,,,,</t>
  </si>
  <si>
    <t>2025-05-12 06:34:00,510,,,,500,,,,,,,,,,</t>
  </si>
  <si>
    <t>2025-05-12 06:34:00,5650,,5950,,,6000,5840,,,,,6000,5600,,</t>
  </si>
  <si>
    <t>2025-05-12 06:34:00,20700,,,,20100,,,,,,,,,,</t>
  </si>
  <si>
    <t>2025-05-12 06:34:00,10520069122.3956,0,0,0,0,0,0,0</t>
  </si>
  <si>
    <t>2025-05-12 06:34:00,2907488220.1801,0,0,0,0,0,0,0</t>
  </si>
  <si>
    <t>2025-05-12 06:34:00,49954262.7724504,2710839.11144649,,-37,,-2456.01,0.0653204603304045,-22.13</t>
  </si>
  <si>
    <t>2025-05-12 06:34:00,134557539.459756,0,,0,,0,0,0</t>
  </si>
  <si>
    <t>2025-05-12 06:35:00,580,,,,580,,,,,,,,,,</t>
  </si>
  <si>
    <t>2025-05-12 06:35:00,510,,,,500,,,,,,,,,,</t>
  </si>
  <si>
    <t>2025-05-12 06:35:00,5650,,5950,,,6000,5840,,,,,6000,5600,,</t>
  </si>
  <si>
    <t>2025-05-12 06:35:00,20700,,,,20100,,,,,,,,,,</t>
  </si>
  <si>
    <t>2025-05-12 06:35:00,10525193623.1819,0,0,0,0,0,0,0</t>
  </si>
  <si>
    <t>2025-05-12 06:35:00,2902594722.42669,0,0,0,0,0,0,0</t>
  </si>
  <si>
    <t>2025-05-12 06:35:00,50825544.9658266,2597242.03863078,,-230,,-18928.87,0.61742164703278,-159.1</t>
  </si>
  <si>
    <t>2025-05-12 06:35:00,134567461.100676,0,,0,,0,0,0</t>
  </si>
  <si>
    <t>2025-05-12 06:36:00,580,,,,580,,,,,,,,,,</t>
  </si>
  <si>
    <t>2025-05-12 06:36:00,510,,,,500,,,,,,,,,,</t>
  </si>
  <si>
    <t>2025-05-12 06:36:00,5650,,5950,,,6000,5840,,,,,6000,5600,,</t>
  </si>
  <si>
    <t>2025-05-12 06:36:00,20700,,,,20100,,,,,,,,,,</t>
  </si>
  <si>
    <t>2025-05-12 06:36:00,10598772015.1969,0,0,0,0,0,0,0</t>
  </si>
  <si>
    <t>2025-05-12 06:36:00,2969253032.56193,0,0,0,0,0,0,0</t>
  </si>
  <si>
    <t>2025-05-12 06:36:00,52928703.0673146,2637579.14276691,,-60,,-3795.56,0.0853936302683151,-36.33</t>
  </si>
  <si>
    <t>2025-05-12 06:36:00,134290272.968582,0,,0,,0,0,0</t>
  </si>
  <si>
    <t>2025-05-12 06:37:00,580,,,,580,,,,,,,,,,</t>
  </si>
  <si>
    <t>2025-05-12 06:37:00,510,,,,500,,,,,,,,,,</t>
  </si>
  <si>
    <t>2025-05-12 06:37:00,5650,,5950,,,6000,5840,,,,,6000,5600,,</t>
  </si>
  <si>
    <t>2025-05-12 06:37:00,20700,,,,20100,,,,,,,,,,</t>
  </si>
  <si>
    <t>2025-05-12 06:37:00,10719786277.0337,0,0,0,0,0,0,0</t>
  </si>
  <si>
    <t>2025-05-12 06:37:00,2783135058.21449,0,0,0,0,0,0,0</t>
  </si>
  <si>
    <t>2025-05-12 06:37:00,56099272.2312632,2654785.77232011,,-96,,-8043.15,0.182022991290956,-87.47</t>
  </si>
  <si>
    <t>2025-05-12 06:37:00,134143284.132614,0,,0,,0,0,0</t>
  </si>
  <si>
    <t>2025-05-12 06:38:00,580,,,,580,,,,,,,,,,</t>
  </si>
  <si>
    <t>2025-05-12 06:38:00,510,,,,500,,,,,,,,,,</t>
  </si>
  <si>
    <t>2025-05-12 06:38:00,5650,,5950,,,6000,5840,,,,,6000,5600,,</t>
  </si>
  <si>
    <t>2025-05-12 06:38:00,20700,,,,20100,,,,,,,,,,</t>
  </si>
  <si>
    <t>2025-05-12 06:38:00,10783883157.516,0,0,0,0,0,0,0</t>
  </si>
  <si>
    <t>2025-05-12 06:38:00,2782901875.72785,0,0,0,0,0,0,0</t>
  </si>
  <si>
    <t>2025-05-12 06:38:00,59725459.7562495,2567934.05536043,,-395,,-34417.14,0.815587618577048,-350.97</t>
  </si>
  <si>
    <t>2025-05-12 06:38:00,133618807.836731,0,,0,,0,0,0</t>
  </si>
  <si>
    <t>2025-05-12 06:39:00,580,,,,580,,,,,,,,,,</t>
  </si>
  <si>
    <t>2025-05-12 06:39:00,510,,,,500,,,,,,,,,,</t>
  </si>
  <si>
    <t>2025-05-12 06:39:00,5650,,,5800,,6000,5840,,,,,6000,5600,,</t>
  </si>
  <si>
    <t>2025-05-12 06:39:00,20700,,,,20100,,,,,,,,,,</t>
  </si>
  <si>
    <t>2025-05-12 06:39:00,10498535676.3284,0,0,0,0,0,0,0</t>
  </si>
  <si>
    <t>2025-05-12 06:39:00,2782817420.10178,0,0,0,0,0,0,0</t>
  </si>
  <si>
    <t>2025-05-12 06:39:00,61770604.5287817,2462744.34395597,,-135,,-14203.94,0.541713683934188,-106.16</t>
  </si>
  <si>
    <t>2025-05-12 06:39:00,133698284.795157,0,,0,,0,0,0</t>
  </si>
  <si>
    <t>2025-05-12 06:40:00,580,,,,580,,,,,,,,,,</t>
  </si>
  <si>
    <t>2025-05-12 06:40:00,510,,,,500,,,,,,,,,,</t>
  </si>
  <si>
    <t>2025-05-12 06:40:00,5650,,,5800,,6000,5840,,,,,6000,5600,,</t>
  </si>
  <si>
    <t>2025-05-12 06:40:00,20700,,,,20100,,,,,,,,,,</t>
  </si>
  <si>
    <t>2025-05-12 06:40:00,10722998872.9068,0,0,0,0,0,0,0</t>
  </si>
  <si>
    <t>2025-05-12 06:40:00,2967793391.74779,0,0,0,0,0,0,0</t>
  </si>
  <si>
    <t>2025-05-12 06:40:00,56394614.5798951,2329993.79332061,,-209,,-1823.07,-0.295978216656926,-32.71</t>
  </si>
  <si>
    <t>2025-05-12 06:40:00,134409065.843422,0,,0,,0,0,0</t>
  </si>
  <si>
    <t>2025-05-12 06:41:00,580,,,,580,,,,,,,,,,</t>
  </si>
  <si>
    <t>2025-05-12 06:41:00,510,,,,500,,,,,,,,,,</t>
  </si>
  <si>
    <t>2025-05-12 06:41:00,5650,,,5800,,6000,5840,,,,,6000,5600,,</t>
  </si>
  <si>
    <t>2025-05-12 06:41:00,20700,,,,20100,,,,,,,,,,</t>
  </si>
  <si>
    <t>2025-05-12 06:41:00,10618281631.2362,0,0,0,0,0,0,0</t>
  </si>
  <si>
    <t>2025-05-12 06:41:00,2875403811.20466,0,0,0,0,0,0,0</t>
  </si>
  <si>
    <t>2025-05-12 06:41:00,52095973.256468,2119137.48262411,,-151,,-6857.67,0.108759498520123,-64.59</t>
  </si>
  <si>
    <t>2025-05-12 06:41:00,134583712.039818,0,,0,,0,0,0</t>
  </si>
  <si>
    <t>2025-05-12 06:42:00,580,,,,580,,,,,,,,,,</t>
  </si>
  <si>
    <t>2025-05-12 06:42:00,510,,,,500,,,,,,,,,,</t>
  </si>
  <si>
    <t>2025-05-12 06:42:00,5650,,,5800,,6000,5840,,,,,6000,5600,,</t>
  </si>
  <si>
    <t>2025-05-12 06:42:00,20700,,,,20100,,,,,,,,,,</t>
  </si>
  <si>
    <t>2025-05-12 06:42:00,10498769308.4309,0,0,0,0,0,0,0</t>
  </si>
  <si>
    <t>2025-05-12 06:42:00,2846136652.95899,0,0,0,0,0,0,0</t>
  </si>
  <si>
    <t>2025-05-12 06:42:00,51197819.3340321,2078117.16526606,,-65,,-3540.63,0.0842573590936992,-30.67</t>
  </si>
  <si>
    <t>2025-05-12 06:42:00,134944163.888937,0,,0,,0,0,0</t>
  </si>
  <si>
    <t>2025-05-12 06:43:00,580,,,,580,,,,,,,,,,</t>
  </si>
  <si>
    <t>2025-05-12 06:43:00,510,,,,500,,,,,,,,,,</t>
  </si>
  <si>
    <t>2025-05-12 06:43:00,5650,,,5800,,6000,5840,,,,,6000,5600,,</t>
  </si>
  <si>
    <t>2025-05-12 06:43:00,20700,,,,20100,,,,,,,,,,</t>
  </si>
  <si>
    <t>2025-05-12 06:43:00,10539610911.1757,0,0,0,0,0,0,0</t>
  </si>
  <si>
    <t>2025-05-12 06:43:00,2837801725.41853,0,0,0,0,0,0,0</t>
  </si>
  <si>
    <t>2025-05-12 06:43:00,48825802.2274155,1994894.40412161,,-438,,-17388.59,0.137819135281656,-163.48</t>
  </si>
  <si>
    <t>2025-05-12 06:43:00,135085030.985187,0,,0,,0,0,0</t>
  </si>
  <si>
    <t>2025-05-12 06:44:00,580,,,,580,,,,,,,,,,</t>
  </si>
  <si>
    <t>2025-05-12 06:44:00,510,,,,500,,,,,,,,,,</t>
  </si>
  <si>
    <t>2025-05-12 06:44:00,5650,,,5800,,6000,5840,,,,,6000,5600,,</t>
  </si>
  <si>
    <t>2025-05-12 06:44:00,20700,,,,20100,,,,,,,,,,</t>
  </si>
  <si>
    <t>2025-05-12 06:44:00,12842863762.7142,0,0,0,0,0,0,0</t>
  </si>
  <si>
    <t>2025-05-12 06:44:00,3007548579.32555,0,0,0,0,0,0,0</t>
  </si>
  <si>
    <t>2025-05-12 06:44:00,47967468.1841037,1971059.88409756,,-68,,-1623.19,-0.0431560894975143,-19.92</t>
  </si>
  <si>
    <t>2025-05-12 06:44:00,135279308.934761,0,,0,,0,0,0</t>
  </si>
  <si>
    <t>2025-05-12 06:45:00,580,,,,580,,,,,,,,,,</t>
  </si>
  <si>
    <t>2025-05-12 06:45:00,510,,,,500,,,,,,,,,,</t>
  </si>
  <si>
    <t>2025-05-12 06:45:00,5650,,,5800,,6000,5840,,,,,6000,5600,,</t>
  </si>
  <si>
    <t>2025-05-12 06:45:00,20700,,,,20100,,,,,,,,,,</t>
  </si>
  <si>
    <t>2025-05-12 06:45:00,12064861627.603,0,0,0,0,0,0,0</t>
  </si>
  <si>
    <t>2025-05-12 06:45:00,3029283051.94692,0,0,0,0,0,0,0</t>
  </si>
  <si>
    <t>2025-05-12 06:45:00,47079040.5198197,1942417.10888239,,-37,,-1063.82,-0.00459012520683822,-13.62</t>
  </si>
  <si>
    <t>2025-05-12 06:45:00,135356920.232613,0,,0,,0,0,0</t>
  </si>
  <si>
    <t>2025-05-12 06:47:00,580,,,,580,,,,,,,,,,</t>
  </si>
  <si>
    <t>2025-05-12 06:47:00,510,,,,500,,,,,,,,,,</t>
  </si>
  <si>
    <t>2025-05-12 06:47:00,5650,,,5800,,6000,5840,,,,,6000,5600,,</t>
  </si>
  <si>
    <t>2025-05-12 06:47:00,20700,,,,20100,,,,,,,,,,</t>
  </si>
  <si>
    <t>2025-05-12 06:47:00,10453652943.4083,0,0,0,0,0,0,0</t>
  </si>
  <si>
    <t>2025-05-12 06:47:00,2843084666.52788,0,0,0,0,0,0,0</t>
  </si>
  <si>
    <t>2025-05-12 06:47:00,48145180.9373185,1980592.6066888,,-69,,-2999.78,0.0308375476062543,-29.56</t>
  </si>
  <si>
    <t>2025-05-12 06:47:00,134917681.393041,0,,0,,0,0,0</t>
  </si>
  <si>
    <t>2025-05-12 06:48:00,580,,,,580,,,,,,,,,,</t>
  </si>
  <si>
    <t>2025-05-12 06:48:00,510,,,,500,,,,,,,,,,</t>
  </si>
  <si>
    <t>2025-05-12 06:48:00,5650,,,5800,,6000,5840,,,,,6000,5600,,</t>
  </si>
  <si>
    <t>2025-05-12 06:48:00,20700,,,,20100,,,,,,,,,,</t>
  </si>
  <si>
    <t>2025-05-12 06:48:00,10534479904.8781,0,0,0,0,0,0,0</t>
  </si>
  <si>
    <t>2025-05-12 06:48:00,2900501349.63291,0,0,0,0,0,0,0</t>
  </si>
  <si>
    <t>2025-05-12 06:48:00,50589045.4588284,2064237.75674653,,-49,,-2592.71,0.0452178856430766,-25.68</t>
  </si>
  <si>
    <t>2025-05-12 06:48:00,134544175.30006,0,,0,,0,0,0</t>
  </si>
  <si>
    <t>2025-05-12 06:49:00,580,,,,580,,,,,,,,,,</t>
  </si>
  <si>
    <t>2025-05-12 06:49:00,510,,,,500,,,,,,,,,,</t>
  </si>
  <si>
    <t>2025-05-12 06:49:00,5650,,,5800,,6000,5840,,,,,6000,5600,,</t>
  </si>
  <si>
    <t>2025-05-12 06:49:00,20700,,,,20100,,,,,,,,,,</t>
  </si>
  <si>
    <t>2025-05-12 06:49:00,10512785846.9896,0,0,0,0,0,0,0</t>
  </si>
  <si>
    <t>2025-05-12 06:49:00,2850364105.00931,0,0,0,0,0,0,0</t>
  </si>
  <si>
    <t>2025-05-12 06:49:00,49230109.6706683,1939889.36056796,,-138,,-8877.68,0.202278806165796,-84.89</t>
  </si>
  <si>
    <t>2025-05-12 06:49:00,134746830.172711,0,,0,,0,0,0</t>
  </si>
  <si>
    <t>2025-05-12 06:50:00,580,,,,580,,,,,,,,,,</t>
  </si>
  <si>
    <t>2025-05-12 06:50:00,510,,,,500,,,,,,,,,,</t>
  </si>
  <si>
    <t>2025-05-12 06:50:00,5650,,,5800,,6000,5840,,,,,6000,5600,,</t>
  </si>
  <si>
    <t>2025-05-12 06:50:00,20700,,,,20100,,,,,,,,,,</t>
  </si>
  <si>
    <t>2025-05-12 06:50:00,11974487965.978,0,0,0,0,0,0,0</t>
  </si>
  <si>
    <t>2025-05-12 06:50:00,2844156205.99166,0,0,0,0,0,0,0</t>
  </si>
  <si>
    <t>2025-05-12 06:50:00,45368096.0458848,1742100.70254298,,-198,,-8197.13,0.0796161885280399,-94.33</t>
  </si>
  <si>
    <t>2025-05-12 06:50:00,134840217.883087,0,,0,,0,0,0</t>
  </si>
  <si>
    <t>2025-05-12 06:51:00,580,,,,580,,,,,,,,,,</t>
  </si>
  <si>
    <t>2025-05-12 06:51:00,510,,,,500,,,,,,,,,,</t>
  </si>
  <si>
    <t>2025-05-12 06:51:00,5650,,,5800,,6000,5840,,,,,6000,5600,,</t>
  </si>
  <si>
    <t>2025-05-12 06:51:00,20700,,,,20100,,,,,,,,,,</t>
  </si>
  <si>
    <t>2025-05-12 06:51:00,12406606479.2501,0,0,0,0,0,0,0</t>
  </si>
  <si>
    <t>2025-05-12 06:51:00,2851719857.62358,0,0,0,0,0,0,0</t>
  </si>
  <si>
    <t>2025-05-12 06:51:00,46148337.503167,1732237.08817901,,-138,,-7749.34,0.149857002397526,-91.37</t>
  </si>
  <si>
    <t>2025-05-12 06:51:00,134726499.155296,0,,0,,0,0,0</t>
  </si>
  <si>
    <t>2025-05-12 06:52:00,580,,,,580,,,,,,,,,,</t>
  </si>
  <si>
    <t>2025-05-12 06:52:00,510,,,,500,,,,,,,,,,</t>
  </si>
  <si>
    <t>2025-05-12 06:52:00,,5800,,5800,,6000,5840,,,,,6000,5600,,</t>
  </si>
  <si>
    <t>2025-05-12 06:52:00,20700,,,,20100,,,,,,,,,,</t>
  </si>
  <si>
    <t>2025-05-12 06:52:00,12837260535.3155,0,0,0,0,0,0,0</t>
  </si>
  <si>
    <t>2025-05-12 06:52:00,3017953714.61683,0,0,0,0,0,0,0</t>
  </si>
  <si>
    <t>2025-05-12 06:52:00,-37431398.5205911,620873.486131359,,-110,,-6587.06,0.153690816036697,-62.68</t>
  </si>
  <si>
    <t>2025-05-12 06:52:00,135543118.930802,0,,0,,0,0,0</t>
  </si>
  <si>
    <t>2025-05-12 06:53:00,580,,,,580,,,,,,,,,,</t>
  </si>
  <si>
    <t>2025-05-12 06:53:00,500,,,,500,,,,,,,,,,</t>
  </si>
  <si>
    <t>2025-05-12 06:53:00,,5800,,5800,,6000,5830,,,,,6000,5600,,</t>
  </si>
  <si>
    <t>2025-05-12 06:53:00,20700,,,,20100,,,,,,,,,,</t>
  </si>
  <si>
    <t>2025-05-12 06:53:00,12035999356.4377,0,0,0,0,0,0,0</t>
  </si>
  <si>
    <t>2025-05-12 06:53:00,2998728692.05603,0,0,0,0,0,0,0</t>
  </si>
  <si>
    <t>2025-05-12 06:53:00,-48087963.3748869,267559.383302434,,-212,,-12576.55,0.299356251273303,-122.37</t>
  </si>
  <si>
    <t>2025-05-12 06:53:00,136033605.006156,0,,0,,0,0,0</t>
  </si>
  <si>
    <t>2025-05-12 06:54:00,580,,,,580,,,,,,,,,,</t>
  </si>
  <si>
    <t>2025-05-12 06:54:00,500,,,,500,,,,,,,,,,</t>
  </si>
  <si>
    <t>2025-05-12 06:54:00,,5800,,5800,,6000,5830,,,,,6000,5600,,</t>
  </si>
  <si>
    <t>2025-05-12 06:54:00,20700,,,,20100,,,,,,,,,,</t>
  </si>
  <si>
    <t>2025-05-12 06:54:00,11794118339.2409,0,0,0,0,0,0,0</t>
  </si>
  <si>
    <t>2025-05-12 06:54:00,2995764473.93045,0,0,0,0,0,0,0</t>
  </si>
  <si>
    <t>2025-05-12 06:54:00,-47514076.7696772,277556.074097546,,-89,,-3029.67,0.0070968188087385,-35.12</t>
  </si>
  <si>
    <t>2025-05-12 06:54:00,136180393.352825,0,,0,,0,0,0</t>
  </si>
  <si>
    <t>2025-05-12 06:55:00,580,,,,580,,,,,,,,,,</t>
  </si>
  <si>
    <t>2025-05-12 06:55:00,500,,,,500,,,,,,,,,,</t>
  </si>
  <si>
    <t>2025-05-12 06:55:00,,5800,,5800,,6000,5840,,,,,6000,5600,,</t>
  </si>
  <si>
    <t>2025-05-12 06:55:00,20700,,,,20100,,,,,,,,,,</t>
  </si>
  <si>
    <t>2025-05-12 06:55:00,12271526215.811,0,0,0,0,0,0,0</t>
  </si>
  <si>
    <t>2025-05-12 06:55:00,3003772192.10449,0,0,0,0,0,0,0</t>
  </si>
  <si>
    <t>2025-05-12 06:55:00,-45349497.8892208,214461.931558652,,-130,,-9493.43,0.325382084982571,-86.19</t>
  </si>
  <si>
    <t>2025-05-12 06:55:00,135958597.362631,0,,0,,0,0,0</t>
  </si>
  <si>
    <t>2025-05-12 06:56:00,580,,,,580,,,,,,,,,,</t>
  </si>
  <si>
    <t>2025-05-12 06:56:00,510,,,,500,,,,,,,,,,</t>
  </si>
  <si>
    <t>2025-05-12 06:56:00,,5800,,5800,,6000,5840,,,,,6000,5600,,</t>
  </si>
  <si>
    <t>2025-05-12 06:56:00,20700,,,,20100,,,,,,,,,,</t>
  </si>
  <si>
    <t>2025-05-12 06:56:00,12590955001.9743,0,0,0,0,0,0,0</t>
  </si>
  <si>
    <t>2025-05-12 06:56:00,3026744813.38957,0,0,0,0,0,0,0</t>
  </si>
  <si>
    <t>2025-05-12 06:56:00,-41085858.8318464,249064.198740448,,-203,,-8536.19,0.128714006846938,-83.71</t>
  </si>
  <si>
    <t>2025-05-12 06:56:00,135331950.178173,0,,0,,0,0,0</t>
  </si>
  <si>
    <t>2025-05-12 06:57:00,580,,,,580,,,,,,,,,,</t>
  </si>
  <si>
    <t>2025-05-12 06:57:00,510,,,,500,,,,,,,,,,</t>
  </si>
  <si>
    <t>2025-05-12 06:57:00,5650,,,5800,,6000,5840,,,,,6000,5600,,</t>
  </si>
  <si>
    <t>2025-05-12 06:57:00,20700,,,,20100,,,,,,,,,,</t>
  </si>
  <si>
    <t>2025-05-12 06:57:00,12891538320.5921,0,0,0,0,0,0,0</t>
  </si>
  <si>
    <t>2025-05-12 06:57:00,3020684431.92726,0,0,0,0,0,0,0</t>
  </si>
  <si>
    <t>2025-05-12 06:57:00,42700276.6619392,1313733.11699656,,-43,,-639.36,-0.046998397248421,-11.39</t>
  </si>
  <si>
    <t>2025-05-12 06:57:00,135142771.737642,0,,0,,0,0,0</t>
  </si>
  <si>
    <t>2025-05-12 06:58:00,580,,,,580,,,,,,,,,,</t>
  </si>
  <si>
    <t>2025-05-12 06:58:00,510,,,,500,,,,,,,,,,</t>
  </si>
  <si>
    <t>2025-05-12 06:58:00,5650,,,5800,,6000,5840,,,,,6000,5600,,</t>
  </si>
  <si>
    <t>2025-05-12 06:58:00,20700,,,,20100,,,,,,,,,,</t>
  </si>
  <si>
    <t>2025-05-12 06:58:00,11166848847.7796,0,0,0,0,0,0,0</t>
  </si>
  <si>
    <t>2025-05-12 06:58:00,2834614325.88075,0,0,0,0,0,0,0</t>
  </si>
  <si>
    <t>2025-05-12 06:58:00,44322002.6082064,1299597.66567051,,-87,,-5785.3,0.176150227520646,-49.64</t>
  </si>
  <si>
    <t>2025-05-12 06:58:00,134937325.96237,0,,0,,0,0,0</t>
  </si>
  <si>
    <t>2025-05-12 06:59:00,580,,,,580,,,,,,,,,,</t>
  </si>
  <si>
    <t>2025-05-12 06:59:00,510,,,,500,,,,,,,,,,</t>
  </si>
  <si>
    <t>2025-05-12 06:59:00,5650,,,5800,,6000,5840,,,,,6000,5600,,</t>
  </si>
  <si>
    <t>2025-05-12 06:59:00,20700,,,,20100,,,,,,,,,,</t>
  </si>
  <si>
    <t>2025-05-12 06:59:00,11277564674.1382,0,0,0,0,0,0,0</t>
  </si>
  <si>
    <t>2025-05-12 06:59:00,2837890240.27928,0,0,0,0,0,0,0</t>
  </si>
  <si>
    <t>2025-05-12 06:59:00,44862523.6968439,1321678.4331274,,-51,,-1909.92,0.00423138275614699,-18.74</t>
  </si>
  <si>
    <t>2025-05-12 06:59:00,134857887.296458,0,,0,,0,0,0</t>
  </si>
  <si>
    <t>2025-05-12 07:00:00,580,,,,580,,,,,,,,,,</t>
  </si>
  <si>
    <t>2025-05-12 07:00:00,510,,,,500,,,,,,,,,,</t>
  </si>
  <si>
    <t>2025-05-12 07:00:00,5650,,,5800,,6000,5840,,,,,6000,5600,,</t>
  </si>
  <si>
    <t>2025-05-12 07:00:00,20700,,,,20100,,,,,,,,,,</t>
  </si>
  <si>
    <t>2025-05-12 07:00:00,10584030871.5169,0,0,0,0,0,0,0</t>
  </si>
  <si>
    <t>2025-05-12 07:00:00,2778779597.87398,0,0,0,0,0,0,0</t>
  </si>
  <si>
    <t>2025-05-12 07:00:00,54192512.9506916,1721561.98468248,,-132,,-13645.06,-0.0788065183180888,-64.77</t>
  </si>
  <si>
    <t>2025-05-12 07:00:00,133919676.878072,0,,0,,0,0,0</t>
  </si>
  <si>
    <t>2025-05-12 07:01:00,580,,,,580,,,,,,,,,,</t>
  </si>
  <si>
    <t>2025-05-12 07:01:00,510,,,,500,,,,,,,,,,</t>
  </si>
  <si>
    <t>2025-05-12 07:01:00,5650,,,5800,,6000,5840,,,,,6000,5600,,</t>
  </si>
  <si>
    <t>2025-05-12 07:01:00,20700,,,,20100,,,,,,,,,,</t>
  </si>
  <si>
    <t>2025-05-12 07:01:00,10598987540.9869,0,0,0,0,0,0,0</t>
  </si>
  <si>
    <t>2025-05-12 07:01:00,2779391914.51033,0,0,0,0,0,0,0</t>
  </si>
  <si>
    <t>2025-05-12 07:01:00,53456125.4665186,1691990.2665175,,-81,,-2142.31,-0.022457981213474,-29.1</t>
  </si>
  <si>
    <t>2025-05-12 07:01:00,133743516.357869,0,,0,,0,0,0</t>
  </si>
  <si>
    <t>2025-05-12 07:02:00,580,,,,580,,,,,,,,,,</t>
  </si>
  <si>
    <t>2025-05-12 07:02:00,510,,,,500,,,,,,,,,,</t>
  </si>
  <si>
    <t>2025-05-12 07:02:00,5650,,,5800,,6000,5840,,,,,6000,5600,,</t>
  </si>
  <si>
    <t>2025-05-12 07:02:00,20700,,,,20100,,,,,,,,,,</t>
  </si>
  <si>
    <t>2025-05-12 07:02:00,10535169721.2777,0,0,0,0,0,0,0</t>
  </si>
  <si>
    <t>2025-05-12 07:02:00,2779189713.52464,0,0,0,0,0,0,0</t>
  </si>
  <si>
    <t>2025-05-12 07:02:00,51854567.8663928,1639593.86919635,,-81,,-2910.62,0.0116321325373514,-33.15</t>
  </si>
  <si>
    <t>2025-05-12 07:02:00,133921371.358678,0,,0,,0,0,0</t>
  </si>
  <si>
    <t>2025-05-12 07:03:00,580,,,,580,,,,,,,,,,</t>
  </si>
  <si>
    <t>2025-05-12 07:03:00,510,,,,500,,,,,,,,,,</t>
  </si>
  <si>
    <t>2025-05-12 07:03:00,5650,,,5800,,6000,5840,,,,,6000,5600,,</t>
  </si>
  <si>
    <t>2025-05-12 07:03:00,20700,,,,20100,,,,,,,,,,</t>
  </si>
  <si>
    <t>2025-05-12 07:03:00,10558718739.6321,0,0,0,0,0,0,0</t>
  </si>
  <si>
    <t>2025-05-12 07:03:00,2780253072.22827,0,0,0,0,0,0,0</t>
  </si>
  <si>
    <t>2025-05-12 07:03:00,52387085.4354398,1659238.70054419,,-28,,-1243.67,0.0104840265260596,-12.72</t>
  </si>
  <si>
    <t>2025-05-12 07:03:00,134155196.851076,0,,0,,0,0,0</t>
  </si>
  <si>
    <t>2025-05-12 07:04:00,580,,,,580,,,,,,,,,,</t>
  </si>
  <si>
    <t>2025-05-12 07:04:00,510,,,,500,,,,,,,,,,</t>
  </si>
  <si>
    <t>2025-05-12 07:04:00,5650,,,5800,,6000,5840,,,,,6000,5600,,</t>
  </si>
  <si>
    <t>2025-05-12 07:04:00,20700,,,,20100,,,,,,,,,,</t>
  </si>
  <si>
    <t>2025-05-12 07:04:00,10504296532.9223,0,0,0,0,0,0,0</t>
  </si>
  <si>
    <t>2025-05-12 07:04:00,2931276640.70642,0,0,0,0,0,0,0</t>
  </si>
  <si>
    <t>2025-05-12 07:04:00,50733453.2337027,1819968.87369414,,-553,,-4542.63,-0.820746751963878,-71.91</t>
  </si>
  <si>
    <t>2025-05-12 07:04:00,134297456.94583,0,,0,,0,0,0</t>
  </si>
  <si>
    <t>2025-05-12 07:05:00,580,,,,580,,,,,,,,,,</t>
  </si>
  <si>
    <t>2025-05-12 07:05:00,510,,,,500,,,,,,,,,,</t>
  </si>
  <si>
    <t>2025-05-12 07:05:00,5650,,,5800,,6000,5840,,,,,6000,5600,,</t>
  </si>
  <si>
    <t>2025-05-12 07:05:00,20700,,,,20100,,,,,,,,,,</t>
  </si>
  <si>
    <t>2025-05-12 07:05:00,12822770842.3337,0,0,0,0,0,0,0</t>
  </si>
  <si>
    <t>2025-05-12 07:05:00,2909440539.60297,0,0,0,0,0,0,0</t>
  </si>
  <si>
    <t>2025-05-12 07:05:00,48228245.4598747,1745189.93966115,,-333,,-8909.86,-0.170961328268636,-100.46</t>
  </si>
  <si>
    <t>2025-05-12 07:05:00,134324018.844727,0,,0,,0,0,0</t>
  </si>
  <si>
    <t>2025-05-12 07:06:00,580,,,,580,,,,,,,,,,</t>
  </si>
  <si>
    <t>2025-05-12 07:06:00,510,,,,500,,,,,,,,,,</t>
  </si>
  <si>
    <t>2025-05-12 07:06:00,5650,,,5800,,6000,5840,,,,,6000,5600,,</t>
  </si>
  <si>
    <t>2025-05-12 07:06:00,20700,,,,20100,,,,,,,,,,</t>
  </si>
  <si>
    <t>2025-05-12 07:06:00,11822024306.7702,0,0,0,0,0,0,0</t>
  </si>
  <si>
    <t>2025-05-12 07:06:00,2898054790.19985,0,0,0,0,0,0,0</t>
  </si>
  <si>
    <t>2025-05-12 07:06:00,46794019.8918427,1789723.00725062,,-266,,-1857.55,-0.371153178564756,-29.3</t>
  </si>
  <si>
    <t>2025-05-12 07:06:00,134440413.761259,0,,0,,0,0,0</t>
  </si>
  <si>
    <t>2025-05-12 07:07:00,580,,,,580,,,,,,,,,,</t>
  </si>
  <si>
    <t>2025-05-12 07:07:00,510,,,,500,,,,,,,,,,</t>
  </si>
  <si>
    <t>2025-05-12 07:07:00,5650,,,5800,,6000,5840,,,,,6000,5600,,</t>
  </si>
  <si>
    <t>2025-05-12 07:07:00,20700,,,,20100,,,,,,,,,,</t>
  </si>
  <si>
    <t>2025-05-12 07:07:00,11562509193.1622,0,0,0,0,0,0,0</t>
  </si>
  <si>
    <t>2025-05-12 07:07:00,2849174739.74601,0,0,0,0,0,0,0</t>
  </si>
  <si>
    <t>2025-05-12 07:07:00,45265940.7469864,1706260.29672699,,-24,,-556.24,-0.0109978896517123,-4.52</t>
  </si>
  <si>
    <t>2025-05-12 07:07:00,134661228.307959,0,,0,,0,0,0</t>
  </si>
  <si>
    <t>2025-05-12 07:08:00,580,,,,580,,,,,,,,,,</t>
  </si>
  <si>
    <t>2025-05-12 07:08:00,510,,,,500,,,,,,,,,,</t>
  </si>
  <si>
    <t>2025-05-12 07:08:00,5650,,,5800,,6000,5840,,,,,6000,5600,,</t>
  </si>
  <si>
    <t>2025-05-12 07:08:00,20700,,,,20100,,,,,,,,,,</t>
  </si>
  <si>
    <t>2025-05-12 07:08:00,11367523202.0785,0,0,0,0,0,0,0</t>
  </si>
  <si>
    <t>2025-05-12 07:08:00,2841157691.97363,0,0,0,0,0,0,0</t>
  </si>
  <si>
    <t>2025-05-12 07:08:00,44982500.3245849,1809965.26302336,,-270,,-1361.49,-0.440802496566373,-31.02</t>
  </si>
  <si>
    <t>2025-05-12 07:08:00,134728711.61294,0,,0,,0,0,0</t>
  </si>
  <si>
    <t>2025-05-12 07:09:00,580,,,,580,,,,,,,,,,</t>
  </si>
  <si>
    <t>2025-05-12 07:09:00,510,,,,500,,,,,,,,,,</t>
  </si>
  <si>
    <t>2025-05-12 07:09:00,5650,,,5800,,6000,5840,,,,,6000,5600,,</t>
  </si>
  <si>
    <t>2025-05-12 07:09:00,20700,,,,20100,,,,,,,,,,</t>
  </si>
  <si>
    <t>2025-05-12 07:09:00,11180137625.6145,0,0,0,0,0,0,0</t>
  </si>
  <si>
    <t>2025-05-12 07:09:00,2839271548.84252,0,0,0,0,0,0,0</t>
  </si>
  <si>
    <t>2025-05-12 07:09:00,44752722.35574,1820611.15745092,,-51,,-325.2,-0.0722841450088956,-9.99</t>
  </si>
  <si>
    <t>2025-05-12 07:09:00,134694571.153205,0,,0,,0,0,0</t>
  </si>
  <si>
    <t>2025-05-12 07:10:00,580,,,,580,,,,,,,,,,</t>
  </si>
  <si>
    <t>2025-05-12 07:10:00,510,,,,500,,,,,,,,,,</t>
  </si>
  <si>
    <t>2025-05-12 07:10:00,5650,,,5800,,6000,5840,,,,,6000,5600,,</t>
  </si>
  <si>
    <t>2025-05-12 07:10:00,20700,,,,20100,,,,,,,,,,</t>
  </si>
  <si>
    <t>2025-05-12 07:10:00,12076695126.7493,0,0,0,0,0,0,0</t>
  </si>
  <si>
    <t>2025-05-12 07:10:00,2865114363.99392,0,0,0,0,0,0,0</t>
  </si>
  <si>
    <t>2025-05-12 07:10:00,47236673.7025837,1697335.48810636,,-172,,-18860.64,0.779451099582957,-138.63</t>
  </si>
  <si>
    <t>2025-05-12 07:10:00,134347404.065375,0,,0,,0,0,0</t>
  </si>
  <si>
    <t>2025-05-12 07:11:00,580,,,,580,,,,,,,,,,</t>
  </si>
  <si>
    <t>2025-05-12 07:11:00,510,,,,500,,,,,,,,,,</t>
  </si>
  <si>
    <t>2025-05-12 07:11:00,5650,,,5800,,6000,5840,,,,,6000,5600,,</t>
  </si>
  <si>
    <t>2025-05-12 07:11:00,20700,,,,20100,,,,,,,,,,</t>
  </si>
  <si>
    <t>2025-05-12 07:11:00,11827454528.5781,0,0,0,0,0,0,0</t>
  </si>
  <si>
    <t>2025-05-12 07:11:00,2845646865.64841,0,0,0,0,0,0,0</t>
  </si>
  <si>
    <t>2025-05-12 07:11:00,46859434.021354,1576843.66905124,,-248,,-10889.18,0.196419879757697,-128.92</t>
  </si>
  <si>
    <t>2025-05-12 07:11:00,134707042.931304,0,,0,,0,0,0</t>
  </si>
  <si>
    <t>2025-05-12 07:12:00,580,,,,580,,,,,,,,,,</t>
  </si>
  <si>
    <t>2025-05-12 07:12:00,510,,,,500,,,,,,,,,,</t>
  </si>
  <si>
    <t>2025-05-12 07:12:00,5650,,,5800,,6000,5840,,,,,6000,5600,,</t>
  </si>
  <si>
    <t>2025-05-12 07:12:00,20700,,,,20100,,,,,,,,,,</t>
  </si>
  <si>
    <t>2025-05-12 07:12:00,10494065615.8674,0,0,0,0,0,0,0</t>
  </si>
  <si>
    <t>2025-05-12 07:12:00,2902930616.00999,0,0,0,0,0,0,0</t>
  </si>
  <si>
    <t>2025-05-12 07:12:00,49960852.1081742,1723429.08931425,,-101,,-3057.54,-0.0797830640288206,-43.44</t>
  </si>
  <si>
    <t>2025-05-12 07:12:00,134426091.15943,0,,0,,0,0,0</t>
  </si>
  <si>
    <t>2025-05-12 07:13:00,580,,,,580,,,,,,,,,,</t>
  </si>
  <si>
    <t>2025-05-12 07:13:00,510,,,,500,,,,,,,,,,</t>
  </si>
  <si>
    <t>2025-05-12 07:13:00,5650,,,5800,,6000,5840,,,,,6000,5600,,</t>
  </si>
  <si>
    <t>2025-05-12 07:13:00,20700,,,,20100,,,,,,,,,,</t>
  </si>
  <si>
    <t>2025-05-12 07:13:00,10582461447.0483,0,0,0,0,0,0,0</t>
  </si>
  <si>
    <t>2025-05-12 07:13:00,2778524143.44935,0,0,0,0,0,0,0</t>
  </si>
  <si>
    <t>2025-05-12 07:13:00,54043719.3480254,1917509.16538265,,-42,,-2148.99,0.0237245529013524,-24.91</t>
  </si>
  <si>
    <t>2025-05-12 07:13:00,134081498.7982,0,,0,,0,0,0</t>
  </si>
  <si>
    <t>2025-05-12 07:14:00,580,,,,580,,,,,,,,,,</t>
  </si>
  <si>
    <t>2025-05-12 07:14:00,510,,,,500,,,,,,,,,,</t>
  </si>
  <si>
    <t>2025-05-12 07:14:00,5650,,,5800,,6000,5840,,,,,6000,5600,,</t>
  </si>
  <si>
    <t>2025-05-12 07:14:00,20700,,,,20100,,,,,,,,,,</t>
  </si>
  <si>
    <t>2025-05-12 07:14:00,10729736491.0219,0,0,0,0,0,0,0</t>
  </si>
  <si>
    <t>2025-05-12 07:14:00,2777247417.04872,0,0,0,0,0,0,0</t>
  </si>
  <si>
    <t>2025-05-12 07:14:00,57647990.0613741,1934573.03332371,,-170,,-14484.78,0.471100044911779,-127.81</t>
  </si>
  <si>
    <t>2025-05-12 07:14:00,133683457.429055,0,,0,,0,0,0</t>
  </si>
  <si>
    <t>2025-05-12 07:15:00,580,,,,580,,,,,,,,,,</t>
  </si>
  <si>
    <t>2025-05-12 07:15:00,510,,,,500,,,,,,,,,,</t>
  </si>
  <si>
    <t>2025-05-12 07:15:00,5650,,,5800,,6000,5840,,,,,6000,5600,,</t>
  </si>
  <si>
    <t>2025-05-12 07:15:00,20700,,,,20100,,,,,,,,,,</t>
  </si>
  <si>
    <t>2025-05-12 07:15:00,10703138276.194,0,0,0,0,0,0,0</t>
  </si>
  <si>
    <t>2025-05-12 07:15:00,2777423256.75955,0,0,0,0,0,0,0</t>
  </si>
  <si>
    <t>2025-05-12 07:15:00,56275723.21123,1868349.33215547,,-141,,-7481.16,0.146737025400583,-67.09</t>
  </si>
  <si>
    <t>2025-05-12 07:15:00,133661727.005334,0,,0,,0,0,0</t>
  </si>
  <si>
    <t>2025-05-12 07:16:00,580,,,,580,,,,,,,,,,</t>
  </si>
  <si>
    <t>2025-05-12 07:16:00,510,,,,500,,,,,,,,,,</t>
  </si>
  <si>
    <t>2025-05-12 07:16:00,5650,,,5800,,6000,5840,,,,,6000,5600,,</t>
  </si>
  <si>
    <t>2025-05-12 07:16:00,20700,,,,20100,,,,,,,,,,</t>
  </si>
  <si>
    <t>2025-05-12 07:16:00,10723155916.3411,0,0,0,0,0,0,0</t>
  </si>
  <si>
    <t>2025-05-12 07:16:00,2780425147.08027,0,0,0,0,0,0,0</t>
  </si>
  <si>
    <t>2025-05-12 07:16:00,56465855.6767212,1880601.59072058,,-82,,-8471.88,0.217280088277958,-51.88</t>
  </si>
  <si>
    <t>2025-05-12 07:16:00,133681096.324314,0,,0,,0,0,0</t>
  </si>
  <si>
    <t>2025-05-12 07:18:00,580,,,,580,,,,,,,,,,</t>
  </si>
  <si>
    <t>2025-05-12 07:18:00,510,,,,500,,,,,,,,,,</t>
  </si>
  <si>
    <t>2025-05-12 07:18:00,5650,,,5800,,6000,5840,,,,,6000,5600,,</t>
  </si>
  <si>
    <t>2025-05-12 07:18:00,20700,,,,20100,,,,,,,,,,</t>
  </si>
  <si>
    <t>2025-05-12 07:18:00,10846802327.5624,0,0,0,0,0,0,0</t>
  </si>
  <si>
    <t>2025-05-12 07:18:00,2778846900.6608,0,0,0,0,0,0,0</t>
  </si>
  <si>
    <t>2025-05-12 07:18:00,58935017.1304339,2000905.46413437,,-84,,-2243.46,-0.0251164783606251,-31</t>
  </si>
  <si>
    <t>2025-05-12 07:18:00,133497468.312189,0,,0,,0,0,0</t>
  </si>
  <si>
    <t>2025-05-12 07:19:00,580,,,,580,,,,,,,,,,</t>
  </si>
  <si>
    <t>2025-05-12 07:19:00,510,,,,500,,,,,,,,,,</t>
  </si>
  <si>
    <t>2025-05-12 07:19:00,5650,,,5800,,6000,5840,,,,,6000,5700,,</t>
  </si>
  <si>
    <t>2025-05-12 07:19:00,20700,,,,20100,,,,,,,,,,</t>
  </si>
  <si>
    <t>2025-05-12 07:19:00,10482581568.4328,0,0,0,0,0,0,0</t>
  </si>
  <si>
    <t>2025-05-12 07:19:00,2784393494.97915,0,0,0,0,0,0,0</t>
  </si>
  <si>
    <t>2025-05-12 07:19:00,61006227.1791136,2011150.81396713,,-228,,-22102.98,0.115517252400843,-166.12</t>
  </si>
  <si>
    <t>2025-05-12 07:19:00,133262468.642767,0,,0,,0,0,0</t>
  </si>
  <si>
    <t>2025-05-12 07:20:00,580,,,,580,,,,,,,,,,</t>
  </si>
  <si>
    <t>2025-05-12 07:20:00,510,,,,500,,,,,,,,,,</t>
  </si>
  <si>
    <t>2025-05-12 07:20:00,5650,,,5800,,6000,5840,,,,,6000,5700,,</t>
  </si>
  <si>
    <t>2025-05-12 07:20:00,20700,,,,20100,,,,,,,,,,</t>
  </si>
  <si>
    <t>2025-05-12 07:20:00,10689404418.388,0,0,0,0,0,0,0</t>
  </si>
  <si>
    <t>2025-05-12 07:20:00,2770706468.70074,0,0,0,0,0,0,0</t>
  </si>
  <si>
    <t>2025-05-12 07:20:00,64225227.1805528,2126429.64877902,,-72,,-2831.04,0.0141891577567732,-25.34</t>
  </si>
  <si>
    <t>2025-05-12 07:20:00,132847341.292299,0,,0,,0,0,0</t>
  </si>
  <si>
    <t>2025-05-12 07:21:00,580,,,,580,,,,,,,,,,</t>
  </si>
  <si>
    <t>2025-05-12 07:21:00,510,,,,500,,,,,,,,,,</t>
  </si>
  <si>
    <t>2025-05-12 07:21:00,5650,,,5800,,6000,5840,,,,,6000,5700,,</t>
  </si>
  <si>
    <t>2025-05-12 07:21:00,20700,,,,20100,,,,,,,,,,</t>
  </si>
  <si>
    <t>2025-05-12 07:21:00,10793391699.4097,0,0,0,0,0,0,0</t>
  </si>
  <si>
    <t>2025-05-12 07:21:00,2582818218.29261,0,0,0,0,0,0,0</t>
  </si>
  <si>
    <t>2025-05-12 07:21:00,65545382.2316867,2184150.38257247,,-55,,-3737.27,0.0744721636952276,-32.64</t>
  </si>
  <si>
    <t>2025-05-12 07:21:00,132706306.223813,0,,0,,0,0,0</t>
  </si>
  <si>
    <t>2025-05-12 07:22:00,580,,,,580,,,,,,,,,,</t>
  </si>
  <si>
    <t>2025-05-12 07:22:00,510,,,,500,,,,,,,,,,</t>
  </si>
  <si>
    <t>2025-05-12 07:22:00,5650,,,5800,,6000,5840,,,,,6000,5700,,</t>
  </si>
  <si>
    <t>2025-05-12 07:22:00,20700,,,,20100,,,,,,,,,,</t>
  </si>
  <si>
    <t>2025-05-12 07:22:00,10689843869.0169,0,0,0,0,0,0,0</t>
  </si>
  <si>
    <t>2025-05-12 07:22:00,2790888289.46874,0,0,0,0,0,0,0</t>
  </si>
  <si>
    <t>2025-05-12 07:22:00,64837912.4386099,2141884.59439178,,-64,,-3766.5,0.0758418055643296,-33.2</t>
  </si>
  <si>
    <t>2025-05-12 07:22:00,133022016.250007,0,,0,,0,0,0</t>
  </si>
  <si>
    <t>2025-05-12 07:23:00,580,,,,580,,,,,,,,,,</t>
  </si>
  <si>
    <t>2025-05-12 07:23:00,510,,,,500,,,,,,,,,,</t>
  </si>
  <si>
    <t>2025-05-12 07:23:00,5650,,,5800,,6000,5840,,,,,6000,5700,,</t>
  </si>
  <si>
    <t>2025-05-12 07:23:00,20700,,,,20100,,,,,,,,,,</t>
  </si>
  <si>
    <t>2025-05-12 07:23:00,10594016755.0523,0,0,0,0,0,0,0</t>
  </si>
  <si>
    <t>2025-05-12 07:23:00,2782818614.08866,0,0,0,0,0,0,0</t>
  </si>
  <si>
    <t>2025-05-12 07:23:00,63466174.9222628,2079971.56010744,,-17,,-562.11,-0.00577860059648642,-6.29</t>
  </si>
  <si>
    <t>2025-05-12 07:23:00,133311852.240351,0,,0,,0,0,0</t>
  </si>
  <si>
    <t>2025-05-12 07:24:00,580,,,,580,,,,,,,,,,</t>
  </si>
  <si>
    <t>2025-05-12 07:24:00,510,,,,500,,,,,,,,,,</t>
  </si>
  <si>
    <t>2025-05-12 07:24:00,5650,,,5800,,6000,5840,,,,,6000,5700,,</t>
  </si>
  <si>
    <t>2025-05-12 07:24:00,20700,,,,20100,,,,,,,,,,</t>
  </si>
  <si>
    <t>2025-05-12 07:24:00,10509651012.8331,0,0,0,0,0,0,0</t>
  </si>
  <si>
    <t>2025-05-12 07:24:00,2639280269.59509,0,0,0,0,0,0,0</t>
  </si>
  <si>
    <t>2025-05-12 07:24:00,72240996.496022,2412012.33233716,,-169,,-14694.48,0.40385882964306,-118.56</t>
  </si>
  <si>
    <t>2025-05-12 07:24:00,132078508.9475,0,,0,,0,0,0</t>
  </si>
  <si>
    <t>2025-05-12 07:25:00,580,,,,580,,,,,,,,,,</t>
  </si>
  <si>
    <t>2025-05-12 07:25:00,510,,,,500,,,,,,,,,,</t>
  </si>
  <si>
    <t>2025-05-12 07:25:00,5650,,,5800,,6000,5840,,,,,6000,5700,,</t>
  </si>
  <si>
    <t>2025-05-12 07:25:00,20700,,,,20100,,,,,,,,,,</t>
  </si>
  <si>
    <t>2025-05-12 07:25:00,10448802897.712,0,0,0,0,0,0,0</t>
  </si>
  <si>
    <t>2025-05-12 07:25:00,2626450221.03131,0,0,0,0,0,0,0</t>
  </si>
  <si>
    <t>2025-05-12 07:25:00,71081875.7334238,2294616.91421628,,-131,,-7989.49,0.0951079775079502,-62.19</t>
  </si>
  <si>
    <t>2025-05-12 07:25:00,132183032.263577,0,,0,,0,0,0</t>
  </si>
  <si>
    <t>2025-05-12 07:26:00,580,,,,580,,,,,,,,,,</t>
  </si>
  <si>
    <t>2025-05-12 07:26:00,510,,,,500,,,,,,,,,,</t>
  </si>
  <si>
    <t>2025-05-12 07:26:00,5650,,,5800,,6000,5840,,,,,6000,5700,,</t>
  </si>
  <si>
    <t>2025-05-12 07:26:00,20700,,,,20100,,,,,,,,,,</t>
  </si>
  <si>
    <t>2025-05-12 07:26:00,10486532532.9477,0,0,0,0,0,0,0</t>
  </si>
  <si>
    <t>2025-05-12 07:26:00,2616052987.46403,0,0,0,0,0,0,0</t>
  </si>
  <si>
    <t>2025-05-12 07:26:00,71363036.2208587,2295845.70657699,,-91,,-3925.44,0.00976862013221899,-34.7</t>
  </si>
  <si>
    <t>2025-05-12 07:26:00,132266547.366115,0,,0,,0,0,0</t>
  </si>
  <si>
    <t>2025-05-12 07:27:00,580,,,,580,,,,,,,,,,</t>
  </si>
  <si>
    <t>2025-05-12 07:27:00,510,,,,500,,,,,,,,,,</t>
  </si>
  <si>
    <t>2025-05-12 07:27:00,5650,,,5800,,6000,5840,,,,,6000,5700,,</t>
  </si>
  <si>
    <t>2025-05-12 07:27:00,20700,,,,20100,,,,,,,,,,</t>
  </si>
  <si>
    <t>2025-05-12 07:27:00,10532967646.0706,0,0,0,0,0,0,0</t>
  </si>
  <si>
    <t>2025-05-12 07:27:00,2638555766.06522,0,0,0,0,0,0,0</t>
  </si>
  <si>
    <t>2025-05-12 07:27:00,72408703.8459194,2302412.41667423,,-138,,-11187.35,0.235765163964143,-109.08</t>
  </si>
  <si>
    <t>2025-05-12 07:27:00,132047507.812397,0,,0,,0,0,0</t>
  </si>
  <si>
    <t>2025-05-12 07:28:00,580,,,,580,,,,,,,,,,</t>
  </si>
  <si>
    <t>2025-05-12 07:28:00,510,,,,500,,,,,,,,,,</t>
  </si>
  <si>
    <t>2025-05-12 07:28:00,5650,,,5800,,6000,5840,,,,,6000,5700,,</t>
  </si>
  <si>
    <t>2025-05-12 07:28:00,20700,,,,20100,,,,,,,,,,</t>
  </si>
  <si>
    <t>2025-05-12 07:28:00,10852373204.6219,0,0,0,0,0,0,0</t>
  </si>
  <si>
    <t>2025-05-12 07:28:00,2698917253.56288,0,0,0,0,0,0,0</t>
  </si>
  <si>
    <t>2025-05-12 07:28:00,73194919.9071485,2298614.61602905,,-29,,-1989.93,0.0578648062793407,-16.76</t>
  </si>
  <si>
    <t>2025-05-12 07:28:00,131784877.58645,0,,0,,0,0,0</t>
  </si>
  <si>
    <t>2025-05-12 07:29:00,580,,,,580,,,,,,,,,,</t>
  </si>
  <si>
    <t>2025-05-12 07:29:00,510,,,,500,,,,,,,,,,</t>
  </si>
  <si>
    <t>2025-05-12 07:29:00,5650,,,5800,,6000,5840,,,,,6000,5700,,</t>
  </si>
  <si>
    <t>2025-05-12 07:29:00,20700,,,,20100,,,,,,,,,,</t>
  </si>
  <si>
    <t>2025-05-12 07:29:00,10893145689.1025,0,0,0,0,0,0,0</t>
  </si>
  <si>
    <t>2025-05-12 07:29:00,2750327003.26613,0,0,0,0,0,0,0</t>
  </si>
  <si>
    <t>2025-05-12 07:29:00,73772661.0293543,2298798.0078625,,-90,,-6004.03,0.125876879473971,-52.68</t>
  </si>
  <si>
    <t>2025-05-12 07:29:00,131557693.161138,0,,0,,0,0,0</t>
  </si>
  <si>
    <t>2025-05-12 07:30:00,580,,,,580,,,,,,,,,,</t>
  </si>
  <si>
    <t>2025-05-12 07:30:00,510,,,,500,,,,,,,,,,</t>
  </si>
  <si>
    <t>2025-05-12 07:30:00,5650,,,5800,,6000,5840,,,,,6000,5700,,</t>
  </si>
  <si>
    <t>2025-05-12 07:30:00,20700,,,,20100,,,,,,,,,,</t>
  </si>
  <si>
    <t>2025-05-12 07:30:00,10853635985.9574,0,0,0,0,0,0,0</t>
  </si>
  <si>
    <t>2025-05-12 07:30:00,2666631600.52095,0,0,0,0,0,0,0</t>
  </si>
  <si>
    <t>2025-05-12 07:30:00,73039506.834049,2164205.72454933,,-100,,-8312.23,0.257247410248235,-66.98</t>
  </si>
  <si>
    <t>2025-05-12 07:30:00,132008400.616385,0,,0,,0,0,0</t>
  </si>
  <si>
    <t>2025-05-12 07:31:00,580,,,,580,,,,,,,,,,</t>
  </si>
  <si>
    <t>2025-05-12 07:31:00,510,,,,500,,,,,,,,,,</t>
  </si>
  <si>
    <t>2025-05-12 07:31:00,5650,,,5800,,6000,5840,,,,,6000,5700,,</t>
  </si>
  <si>
    <t>2025-05-12 07:31:00,20700,,,,20100,,,,,,,,,,</t>
  </si>
  <si>
    <t>2025-05-12 07:31:00,10420670282.8042,0,0,0,0,0,0,0</t>
  </si>
  <si>
    <t>2025-05-12 07:31:00,2602051807.54581,0,0,0,0,0,0,0</t>
  </si>
  <si>
    <t>2025-05-12 07:31:00,70089841.8554831,1972099.70322034,,-89,,-8019.63,0.17772296844093,-53.38</t>
  </si>
  <si>
    <t>2025-05-12 07:31:00,132484142.013204,0,,0,,0,0,0</t>
  </si>
  <si>
    <t>2025-05-12 07:32:00,580,,,,580,,,,,,,,,,</t>
  </si>
  <si>
    <t>2025-05-12 07:32:00,510,,,,500,,,,,,,,,,</t>
  </si>
  <si>
    <t>2025-05-12 07:32:00,5650,,,5800,,6000,5840,,,,,6000,5700,,</t>
  </si>
  <si>
    <t>2025-05-12 07:32:00,20700,,,,20100,,,,,,,,,,</t>
  </si>
  <si>
    <t>2025-05-12 07:32:00,10747797628.3763,0,0,0,0,0,0,0</t>
  </si>
  <si>
    <t>2025-05-12 07:32:00,2603741606.93061,0,0,0,0,0,0,0</t>
  </si>
  <si>
    <t>2025-05-12 07:32:00,67420089.1402714,1698013.4008923,,-180,,-12330.22,0.318634673099537,-103.24</t>
  </si>
  <si>
    <t>2025-05-12 07:32:00,132451660.257531,0,,0,,0,0,0</t>
  </si>
  <si>
    <t>2025-05-12 07:33:00,580,,,,580,,,,,,,,,,</t>
  </si>
  <si>
    <t>2025-05-12 07:33:00,510,,,,500,,,,,,,,,,</t>
  </si>
  <si>
    <t>2025-05-12 07:33:00,5650,,,5800,,6000,5840,,,,,6000,5700,,</t>
  </si>
  <si>
    <t>2025-05-12 07:33:00,20700,,,,20100,,,,,,,,,,</t>
  </si>
  <si>
    <t>2025-05-12 07:33:00,10402555840.664,0,0,0,0,0,0,0</t>
  </si>
  <si>
    <t>2025-05-12 07:33:00,2609134689.598,0,0,0,0,0,0,0</t>
  </si>
  <si>
    <t>2025-05-12 07:33:00,68866790.5734251,1723531.10572672,,-62,,-2596.19,0.0212464713097727,-25.45</t>
  </si>
  <si>
    <t>2025-05-12 07:33:00,132329986.675064,0,,0,,0,0,0</t>
  </si>
  <si>
    <t>2025-05-12 07:34:00,580,,,,580,,,,,,,,,,</t>
  </si>
  <si>
    <t>2025-05-12 07:34:00,510,,,,500,,,,,,,,,,</t>
  </si>
  <si>
    <t>2025-05-12 07:34:00,5650,,,5800,,6000,5840,,,,,6000,5700,,</t>
  </si>
  <si>
    <t>2025-05-12 07:34:00,20700,,,,20100,,,,,,,,,,</t>
  </si>
  <si>
    <t>2025-05-12 07:34:00,11070819207.7759,0,0,0,0,0,0,0</t>
  </si>
  <si>
    <t>2025-05-12 07:34:00,2581246239.0433,0,0,0,0,0,0,0</t>
  </si>
  <si>
    <t>2025-05-12 07:34:00,65857406.6964936,1529767.54230123,,-90,,-2933.1,0.00828271119145321,-30.71</t>
  </si>
  <si>
    <t>2025-05-12 07:34:00,132637689.148091,0,,0,,0,0,0</t>
  </si>
  <si>
    <t>2025-05-12 07:35:00,580,,,,580,,,,,,,,,,</t>
  </si>
  <si>
    <t>2025-05-12 07:35:00,510,,,,500,,,,,,,,,,</t>
  </si>
  <si>
    <t>2025-05-12 07:35:00,5650,,,5800,,6000,5840,,,,,6000,5700,,</t>
  </si>
  <si>
    <t>2025-05-12 07:35:00,20700,,,,20100,,,,,,,,,,</t>
  </si>
  <si>
    <t>2025-05-12 07:35:00,10648785300.531,0,0,0,0,0,0,0</t>
  </si>
  <si>
    <t>2025-05-12 07:35:00,2789177352.9901,0,0,0,0,0,0,0</t>
  </si>
  <si>
    <t>2025-05-12 07:35:00,63596732.170145,1629094.12270795,,-597,,-7034.98,-0.761903389229116,-99.73</t>
  </si>
  <si>
    <t>2025-05-12 07:35:00,132887059.957864,0,,0,,0,0,0</t>
  </si>
  <si>
    <t>2025-05-12 07:36:00,580,,,,580,,,,,,,,,,</t>
  </si>
  <si>
    <t>2025-05-12 07:36:00,510,,,,500,,,,,,,,,,</t>
  </si>
  <si>
    <t>2025-05-12 07:36:00,5650,,,5800,,6000,5840,,,,,6000,5700,,</t>
  </si>
  <si>
    <t>2025-05-12 07:36:00,20700,,,,20100,,,,,,,,,,</t>
  </si>
  <si>
    <t>2025-05-12 07:36:00,10527912492.0754,0,0,0,0,0,0,0</t>
  </si>
  <si>
    <t>2025-05-12 07:36:00,2779247363.96181,0,0,0,0,0,0,0</t>
  </si>
  <si>
    <t>2025-05-12 07:36:00,61133401.4128226,1541132.22471493,,-297,,-7242.22,-0.105017645537592,-86.54</t>
  </si>
  <si>
    <t>2025-05-12 07:36:00,133303280.533669,0,,0,,0,0,0</t>
  </si>
  <si>
    <t>2025-05-12 07:37:00,580,,,,580,,,,,,,,,,</t>
  </si>
  <si>
    <t>2025-05-12 07:37:00,510,,,,500,,,,,,,,,,</t>
  </si>
  <si>
    <t>2025-05-12 07:37:00,5650,,,5800,,6000,5840,,,,,6000,5700,,</t>
  </si>
  <si>
    <t>2025-05-12 07:37:00,20700,,,,20100,,,,,,,,,,</t>
  </si>
  <si>
    <t>2025-05-12 07:37:00,10539413119.0137,0,0,0,0,0,0,0</t>
  </si>
  <si>
    <t>2025-05-12 07:37:00,2779332318.93691,0,0,0,0,0,0,0</t>
  </si>
  <si>
    <t>2025-05-12 07:37:00,60819309.1399842,1487275.56095284,,-30,,-1462.04,0.009479779631677,-10.74</t>
  </si>
  <si>
    <t>2025-05-12 07:37:00,133209134.736442,0,,0,,0,0,0</t>
  </si>
  <si>
    <t>2025-05-12 07:41:00,580,,,,580,,,,,,,,,,</t>
  </si>
  <si>
    <t>2025-05-12 07:41:00,510,,,,500,,,,,,,,,,</t>
  </si>
  <si>
    <t>2025-05-12 07:41:00,5650,,,5800,,6000,5840,,,,,6000,5700,,</t>
  </si>
  <si>
    <t>2025-05-12 07:41:00,20700,,,,20100,,,,,,,,,,</t>
  </si>
  <si>
    <t>2025-05-12 07:41:00,10696270545.43,0,0,0,0,0,0,0</t>
  </si>
  <si>
    <t>2025-05-12 07:41:00,3105851330.4036,0,0,0,0,0,0,0</t>
  </si>
  <si>
    <t>2025-05-12 07:41:00,55029341.1715029,1143362.80722371,,-47,,-3411.82,0.0451562854978347,-25.49</t>
  </si>
  <si>
    <t>2025-05-12 07:41:00,134279146.822941,0,,0,,0,0,0</t>
  </si>
  <si>
    <t>2025-05-12 07:42:00,580,,,,580,,,,,,,,,,</t>
  </si>
  <si>
    <t>2025-05-12 07:42:00,510,,,,500,,,,,,,,,,</t>
  </si>
  <si>
    <t>2025-05-12 07:42:00,5650,,,5800,,6000,5840,,,,,6000,5700,,5900</t>
  </si>
  <si>
    <t>2025-05-12 07:42:00,20700,,,,20100,,,,,,,,,,</t>
  </si>
  <si>
    <t>2025-05-12 07:42:00,10545196523.0405,0,0,0,0,0,0,0</t>
  </si>
  <si>
    <t>2025-05-12 07:42:00,3011277498.07609,0,0,0,0,0,0,0</t>
  </si>
  <si>
    <t>2025-05-12 07:42:00,52224773.6421004,1295914.97681121,,-225,,-7517.81,0.0746525828259598,-72.01</t>
  </si>
  <si>
    <t>2025-05-12 07:42:00,134756072.366046,0,,0,,0,0,0</t>
  </si>
  <si>
    <t>2025-05-12 07:43:00,580,,,,580,,,,,,,,,,</t>
  </si>
  <si>
    <t>2025-05-12 07:43:00,510,,,,500,,,,,,,,,,</t>
  </si>
  <si>
    <t>2025-05-12 07:43:00,5650,,,5800,,6000,5840,,,,,6000,5700,,5900</t>
  </si>
  <si>
    <t>2025-05-12 07:43:00,20700,,,,20100,,,,,,,,,,</t>
  </si>
  <si>
    <t>2025-05-12 07:43:00,10554184879.5752,0,0,0,0,0,0,0</t>
  </si>
  <si>
    <t>2025-05-12 07:43:00,3013749351.27607,0,0,0,0,0,0,0</t>
  </si>
  <si>
    <t>2025-05-12 07:43:00,52216756.5017474,1283562.76243111,,-77,,-2161.35,-0.0149404552968137,-23.02</t>
  </si>
  <si>
    <t>2025-05-12 07:43:00,134693267.262654,0,,0,,0,0,0</t>
  </si>
  <si>
    <t>2025-05-12 07:44:00,580,,,,580,,,,,,,,,,</t>
  </si>
  <si>
    <t>2025-05-12 07:44:00,510,,,,500,,,,,,,,,,</t>
  </si>
  <si>
    <t>2025-05-12 07:44:00,5650,,,5800,,6000,5840,,,,,6000,5700,,5900</t>
  </si>
  <si>
    <t>2025-05-12 07:44:00,20700,,,,20100,,,,,,,,,,</t>
  </si>
  <si>
    <t>2025-05-12 07:44:00,10629045757.7283,0,0,0,0,0,0,0</t>
  </si>
  <si>
    <t>2025-05-12 07:44:00,3039451092.2229,0,0,0,0,0,0,0</t>
  </si>
  <si>
    <t>2025-05-12 07:44:00,54922796.4236462,1348791.33606041,,-127,,-9701.27,0.270342132793203,-65.18</t>
  </si>
  <si>
    <t>2025-05-12 07:44:00,134301071.523641,0,,0,,0,0,0</t>
  </si>
  <si>
    <t>2025-05-12 07:45:00,580,,,,580,,,,,,,,,,</t>
  </si>
  <si>
    <t>2025-05-12 07:45:00,510,,,,500,,,,,,,,,,</t>
  </si>
  <si>
    <t>2025-05-12 07:45:00,5650,,,5800,,6000,5840,,,,,6000,5700,,5900</t>
  </si>
  <si>
    <t>2025-05-12 07:45:00,20700,,,,20100,,,,,,,,,,</t>
  </si>
  <si>
    <t>2025-05-12 07:45:00,10602766589.3796,0,0,0,0,0,0,0</t>
  </si>
  <si>
    <t>2025-05-12 07:45:00,3032855993.04715,0,0,0,0,0,0,0</t>
  </si>
  <si>
    <t>2025-05-12 07:45:00,54061754.6296093,1274520.48628018,,-133,,-2253.89,-0.0413644552480719,-33.99</t>
  </si>
  <si>
    <t>2025-05-12 07:45:00,134442712.837814,0,,0,,0,0,0</t>
  </si>
  <si>
    <t>2025-05-12 07:46:00,580,,,,580,,,,,,,,,,</t>
  </si>
  <si>
    <t>2025-05-12 07:46:00,510,,,,500,,,,,,,,,,</t>
  </si>
  <si>
    <t>2025-05-12 07:46:00,5650,,,5800,,6000,5840,,,,,6000,5700,,5900</t>
  </si>
  <si>
    <t>2025-05-12 07:46:00,20700,,,,20100,,,,,,,,,,</t>
  </si>
  <si>
    <t>2025-05-12 07:46:00,10649210583.4754,0,0,0,0,0,0,0</t>
  </si>
  <si>
    <t>2025-05-12 07:46:00,3007681330.87115,0,0,0,0,0,0,0</t>
  </si>
  <si>
    <t>2025-05-12 07:46:00,50622283.7881211,1157607.17401178,,-256,,-6048.52,-0.208399836165368,-65.25</t>
  </si>
  <si>
    <t>2025-05-12 07:46:00,134747798.444833,0,,0,,0,0,0</t>
  </si>
  <si>
    <t>2025-05-12 07:47:00,580,,,,580,,,,,,,,,,</t>
  </si>
  <si>
    <t>2025-05-12 07:47:00,510,,,,500,,,,,,,,,,</t>
  </si>
  <si>
    <t>2025-05-12 07:47:00,5650,,,5800,,6000,5840,,,,,6000,5700,,5900</t>
  </si>
  <si>
    <t>2025-05-12 07:47:00,20700,,,,20100,,,,,,,,,,</t>
  </si>
  <si>
    <t>2025-05-12 07:47:00,10529748968.7536,0,0,0,0,0,0,0</t>
  </si>
  <si>
    <t>2025-05-12 07:47:00,3014351248.77871,0,0,0,0,0,0,0</t>
  </si>
  <si>
    <t>2025-05-12 07:47:00,51863331.420394,1255349.04714889,,-49,,-3297.74,0.0759047155150629,-37.28</t>
  </si>
  <si>
    <t>2025-05-12 07:47:00,134711854.990987,0,,0,,0,0,0</t>
  </si>
  <si>
    <t>2025-05-12 07:48:00,580,,,,580,,,,,,,,,,</t>
  </si>
  <si>
    <t>2025-05-12 07:48:00,510,,,,500,,,,,,,,,,</t>
  </si>
  <si>
    <t>2025-05-12 07:48:00,5650,,,5800,,6000,5840,,,,,6000,5700,,5900</t>
  </si>
  <si>
    <t>2025-05-12 07:48:00,20700,,,,20100,,,,,,,,,,</t>
  </si>
  <si>
    <t>2025-05-12 07:48:00,10523151924.4436,0,0,0,0,0,0,0</t>
  </si>
  <si>
    <t>2025-05-12 07:48:00,3014344224.28454,0,0,0,0,0,0,0</t>
  </si>
  <si>
    <t>2025-05-12 07:48:00,50808096.5418542,1254040.61271065,,-177,,-1376.53,-0.271491601999234,-23.56</t>
  </si>
  <si>
    <t>2025-05-12 07:48:00,134623492.725486,0,,0,,0,0,0</t>
  </si>
  <si>
    <t>2025-05-12 07:49:00,580,,,,580,,,,,,,,,,</t>
  </si>
  <si>
    <t>2025-05-12 07:49:00,510,,,,500,,,,,,,,,,</t>
  </si>
  <si>
    <t>2025-05-12 07:49:00,5650,,,5800,,6000,5840,,,,,6000,5700,,5900</t>
  </si>
  <si>
    <t>2025-05-12 07:49:00,20700,,,,20100,,,,,,,,,,</t>
  </si>
  <si>
    <t>2025-05-12 07:49:00,10508998236.1061,0,0,0,0,0,0,0</t>
  </si>
  <si>
    <t>2025-05-12 07:49:00,3018162057.71578,0,0,0,0,0,0,0</t>
  </si>
  <si>
    <t>2025-05-12 07:49:00,50663983.0081347,1299869.37390908,,-126,,-4932.29,0.0544681181889352,-41.66</t>
  </si>
  <si>
    <t>2025-05-12 07:49:00,134503057.996572,0,,0,,0,0,0</t>
  </si>
  <si>
    <t>2025-05-12 07:50:00,580,,,,580,,,,,,,,,,</t>
  </si>
  <si>
    <t>2025-05-12 07:50:00,510,,,,500,,,,,,,,,,</t>
  </si>
  <si>
    <t>2025-05-12 07:50:00,5650,,,5800,,6000,5840,,,,,6000,5700,,5900</t>
  </si>
  <si>
    <t>2025-05-12 07:50:00,20700,,,,20100,,,,,,,,,,</t>
  </si>
  <si>
    <t>2025-05-12 07:50:00,10627826433.2522,0,0,0,0,0,0,0</t>
  </si>
  <si>
    <t>2025-05-12 07:50:00,3138106459.89316,0,0,0,0,0,0,0</t>
  </si>
  <si>
    <t>2025-05-12 07:50:00,55106495.4861434,1425735.92458572,,-58,,-5218.63,0.164255694042428,-40.83</t>
  </si>
  <si>
    <t>2025-05-12 07:50:00,133913252.573846,0,,0,,0,0,0</t>
  </si>
  <si>
    <t>2025-05-12 07:51:00,580,,,,580,,,,,,,,,,</t>
  </si>
  <si>
    <t>2025-05-12 07:51:00,510,,,,500,,,,,,,,,,</t>
  </si>
  <si>
    <t>2025-05-12 07:51:00,5650,,,5800,,6000,5840,,,,,6000,5700,,5900</t>
  </si>
  <si>
    <t>2025-05-12 07:51:00,20700,,,,20100,,,,,,,,,,</t>
  </si>
  <si>
    <t>2025-05-12 07:51:00,10703683837.1191,0,0,0,0,0,0,0</t>
  </si>
  <si>
    <t>2025-05-12 07:51:00,3005439016.46465,0,0,0,0,0,0,0</t>
  </si>
  <si>
    <t>2025-05-12 07:51:00,57176402.667514,1494055.09149637,,-111,,-6024.48,0.129401907299674,-63.18</t>
  </si>
  <si>
    <t>2025-05-12 07:51:00,133950004.225327,0,,0,,0,0,0</t>
  </si>
  <si>
    <t>2025-05-12 07:52:00,580,,,,580,,,,,,,,,,</t>
  </si>
  <si>
    <t>2025-05-12 07:52:00,510,,,,500,,,,,,,,,,</t>
  </si>
  <si>
    <t>2025-05-12 07:52:00,5650,,,5800,,6000,5840,,,,,6000,5700,,5900</t>
  </si>
  <si>
    <t>2025-05-12 07:52:00,20700,,,,20100,,,,,,,,,,</t>
  </si>
  <si>
    <t>2025-05-12 07:52:00,10748416267.9109,0,0,0,0,0,0,0</t>
  </si>
  <si>
    <t>2025-05-12 07:52:00,2954542059.29869,0,0,0,0,0,0,0</t>
  </si>
  <si>
    <t>2025-05-12 07:52:00,57658255.0887818,1519387.70778018,,-50,,-2746.98,0.03101784145117,-26.52</t>
  </si>
  <si>
    <t>2025-05-12 07:52:00,133956774.871545,0,,0,,0,0,0</t>
  </si>
  <si>
    <t>2025-05-12 07:53:00,580,,,,580,,,,,,,,,,</t>
  </si>
  <si>
    <t>2025-05-12 07:53:00,510,,,,500,,,,,,,,,,</t>
  </si>
  <si>
    <t>2025-05-12 07:53:00,5650,,,5800,,6000,5840,,,,,6000,5700,,5900</t>
  </si>
  <si>
    <t>2025-05-12 07:53:00,20700,,,,20100,,,,,,,,,,</t>
  </si>
  <si>
    <t>2025-05-12 07:53:00,10851846757.8115,0,0,0,0,0,0,0</t>
  </si>
  <si>
    <t>2025-05-12 07:53:00,2951636116.8078,0,0,0,0,0,0,0</t>
  </si>
  <si>
    <t>2025-05-12 07:53:00,60685637.6780784,1635463.46333588,,-78,,-6062.27,0.102614017470076,-41.69</t>
  </si>
  <si>
    <t>2025-05-12 07:53:00,133585893.610029,0,,0,,0,0,0</t>
  </si>
  <si>
    <t>2025-05-12 07:54:00,580,,,,580,,,,,,,,,,</t>
  </si>
  <si>
    <t>2025-05-12 07:54:00,510,,,,500,,,,,,,,,,</t>
  </si>
  <si>
    <t>2025-05-12 07:54:00,5650,,,5800,,6000,5840,,,,,6000,5700,,5900</t>
  </si>
  <si>
    <t>2025-05-12 07:54:00,20700,,,,20100,,,,,,,,,,</t>
  </si>
  <si>
    <t>2025-05-12 07:54:00,10774612568.5558,0,0,0,0,0,0,0</t>
  </si>
  <si>
    <t>2025-05-12 07:54:00,2952300691.05569,0,0,0,0,0,0,0</t>
  </si>
  <si>
    <t>2025-05-12 07:54:00,59296622.2614302,1579350.8719008,,-47,,-471.5,-0.0623974117145698,-11.59</t>
  </si>
  <si>
    <t>2025-05-12 07:54:00,133723326.846819,0,,0,,0,0,0</t>
  </si>
  <si>
    <t>2025-05-12 07:55:00,580,,,,580,,,,,,,,,,</t>
  </si>
  <si>
    <t>2025-05-12 07:55:00,510,,,,500,,,,,,,,,,</t>
  </si>
  <si>
    <t>2025-05-12 07:55:00,5650,,,5800,,6000,5840,,,,,6000,5700,,5900</t>
  </si>
  <si>
    <t>2025-05-12 07:55:00,20700,,,,20100,,,,,,,,,,</t>
  </si>
  <si>
    <t>2025-05-12 07:55:00,10808880096.223,0,0,0,0,0,0,0</t>
  </si>
  <si>
    <t>2025-05-12 07:55:00,2952289725.56691,0,0,0,0,0,0,0</t>
  </si>
  <si>
    <t>2025-05-12 07:55:00,59353552.2298753,1514159.27745761,,-200,,-11051.03,0.198539528744097,-92.72</t>
  </si>
  <si>
    <t>2025-05-12 07:55:00,133747112.85436,0,,0,,0,0,0</t>
  </si>
  <si>
    <t>2025-05-12 07:56:00,580,,,,580,,,,,,,,,,</t>
  </si>
  <si>
    <t>2025-05-12 07:56:00,510,,,,500,,,,,,,,,,</t>
  </si>
  <si>
    <t>2025-05-12 07:56:00,5650,,,5800,,6000,5840,,,,,6000,5700,,5900</t>
  </si>
  <si>
    <t>2025-05-12 07:56:00,20700,,,,20100,,,,,,,,,,</t>
  </si>
  <si>
    <t>2025-05-12 07:56:00,10855115542.0769,0,0,0,0,0,0,0</t>
  </si>
  <si>
    <t>2025-05-12 07:56:00,2950883793.23638,0,0,0,0,0,0,0</t>
  </si>
  <si>
    <t>2025-05-12 07:56:00,61157468.9857784,1611419.49599841,,-139,,-2048.31,-0.125940261326645,-24.37</t>
  </si>
  <si>
    <t>2025-05-12 07:56:00,133584814.850472,0,,0,,0,0,0</t>
  </si>
  <si>
    <t>2025-05-12 07:58:00,580,,,,580,,,,,,,,,,</t>
  </si>
  <si>
    <t>2025-05-12 07:58:00,510,,,,500,,,,,,,,,,</t>
  </si>
  <si>
    <t>2025-05-12 07:58:00,5650,,,5800,,6000,5840,,,,,6000,5700,,5900</t>
  </si>
  <si>
    <t>2025-05-12 07:58:00,20700,,,,20100,,,,,,,,,,</t>
  </si>
  <si>
    <t>2025-05-12 07:58:00,10564591565.2081,0,0,0,0,0,0,0</t>
  </si>
  <si>
    <t>2025-05-12 07:58:00,3021694236.68002,0,0,0,0,0,0,0</t>
  </si>
  <si>
    <t>2025-05-12 07:58:00,53474160.8370704,1320541.74338025,,-130,,-6707.06,0.141274403517691,-62.04</t>
  </si>
  <si>
    <t>2025-05-12 07:58:00,134401388.47471,0,,0,,0,0,0</t>
  </si>
  <si>
    <t>2025-05-12 08:25:00,580,,,,580,,,,,,,,,,</t>
  </si>
  <si>
    <t>2025-05-12 08:25:00,510,,,,500,,,,,,,,,,</t>
  </si>
  <si>
    <t>2025-05-12 08:25:00,5650,,6000,,,6000,5840,,,,,6000,5700,,6000</t>
  </si>
  <si>
    <t>2025-05-12 08:25:00,20700,,,,20100,,,,,,,,,,</t>
  </si>
  <si>
    <t>2025-05-12 08:25:00,10802779299.6476,0,0,0,0,0,0,0</t>
  </si>
  <si>
    <t>2025-05-12 08:25:00,2950054761.5798,0,0,0,0,0,0,0</t>
  </si>
  <si>
    <t>2025-05-12 08:25:00,72522232.7581471,4716395.65915181,,-15075,,-247376.46,-11.0887696619281,-2804.64</t>
  </si>
  <si>
    <t>2025-05-12 08:25:00,133670363.070319,0,,0,,0,0,0</t>
  </si>
  <si>
    <t>2025-05-12 08:26:00,580,,,,580,,,,,,,,,,</t>
  </si>
  <si>
    <t>2025-05-12 08:26:00,510,,,,500,,,,,,,,,,</t>
  </si>
  <si>
    <t>2025-05-12 08:26:00,5650,,6000,,,6000,5840,,,,,6000,5700,,6000</t>
  </si>
  <si>
    <t>2025-05-12 08:26:00,20700,,,,20100,,,,,,,,,,</t>
  </si>
  <si>
    <t>2025-05-12 08:26:00,10815087041.6943,0,0,0,0,0,0,0</t>
  </si>
  <si>
    <t>2025-05-12 08:26:00,3143829390.55977,0,0,0,0,0,0,0</t>
  </si>
  <si>
    <t>2025-05-12 08:26:00,72880509.7244743,4773404.45965572,,0,,0,0,0</t>
  </si>
  <si>
    <t>2025-05-12 08:26:00,133874012.86878,0,,0,,0,0,0</t>
  </si>
  <si>
    <t>2025-05-12 08:27:00,580,,,,580,,,,,,,,,,</t>
  </si>
  <si>
    <t>2025-05-12 08:27:00,510,,,,500,,,,,,,,,,</t>
  </si>
  <si>
    <t>2025-05-12 08:27:00,5650,,6000,,,6000,5840,,,,,6000,5700,,6000</t>
  </si>
  <si>
    <t>2025-05-12 08:27:00,20700,,,,20100,,,,,,,,,,</t>
  </si>
  <si>
    <t>2025-05-12 08:27:00,10858069745.5573,0,0,0,0,0,0,0</t>
  </si>
  <si>
    <t>2025-05-12 08:27:00,2948504537.93111,0,0,0,0,0,0,0</t>
  </si>
  <si>
    <t>2025-05-12 08:27:00,73251316.4063829,4822595.2445817,,0,,0,0,0</t>
  </si>
  <si>
    <t>2025-05-12 08:27:00,133781838.085086,0,,0,,0,0,0</t>
  </si>
  <si>
    <t>2025-05-12 08:28:00,580,,,,580,,,,,,,,,,</t>
  </si>
  <si>
    <t>2025-05-12 08:28:00,510,,,,500,,,,,,,,,,</t>
  </si>
  <si>
    <t>2025-05-12 08:28:00,5650,,6000,,,6000,5840,,,,,6000,5700,,6000</t>
  </si>
  <si>
    <t>2025-05-12 08:28:00,20700,,,,20100,,,,,,,,,,</t>
  </si>
  <si>
    <t>2025-05-12 08:28:00,10556934889.4417,0,0,0,0,0,0,0</t>
  </si>
  <si>
    <t>2025-05-12 08:28:00,2948432342.49956,0,0,0,0,0,0,0</t>
  </si>
  <si>
    <t>2025-05-12 08:28:00,76057829.5053211,5276642.83308113,,0,,0,0,0</t>
  </si>
  <si>
    <t>2025-05-12 08:28:00,133509573.647446,0,,0,,0,0,0</t>
  </si>
  <si>
    <t>2025-05-12 08:29:00,580,,,,580,,,,,,,,,,</t>
  </si>
  <si>
    <t>2025-05-12 08:29:00,510,,,,500,,,,,,,,,,</t>
  </si>
  <si>
    <t>2025-05-12 08:29:00,5650,,6000,,,6000,5840,,,,,6000,5700,,6000</t>
  </si>
  <si>
    <t>2025-05-12 08:29:00,20700,,,,20100,,,,,,,,,,</t>
  </si>
  <si>
    <t>2025-05-12 08:29:00,10916239240.9968,0,0,0,0,0,0,0</t>
  </si>
  <si>
    <t>2025-05-12 08:29:00,2949842434.23017,0,0,0,0,0,0,0</t>
  </si>
  <si>
    <t>2025-05-12 08:29:00,74649743.0927597,5034209.44605692,,0,,0,0,0</t>
  </si>
  <si>
    <t>2025-05-12 08:29:00,133832636.969247,0,,0,,0,0,0</t>
  </si>
  <si>
    <t>GEX-VOL</t>
  </si>
  <si>
    <t>2025-05-12 10:05:00,580,,580,,580,,578.5,,580,,,580,578,580,577,579.502</t>
  </si>
  <si>
    <t>2025-05-12 10:05:00,500,,505,,500,,503,,,,,505,500,506,503,503.84</t>
  </si>
  <si>
    <t>2025-05-12 10:05:00,5900,,5850,,,6000,5800,,,,,6000,5750,5820,6000,5807.25</t>
  </si>
  <si>
    <t>2025-05-12 10:05:00,20700,,20700,,20700,,20625,,,,,21200,20150,20700,20150,20683.5</t>
  </si>
  <si>
    <t>2025-05-12 10:05:00,8678030460.62624,6197907373.93825,-4315.40052045655,-1368,-1148.86493835187,765.02,119.98385222724,-77.7300000000001,579.502</t>
  </si>
  <si>
    <t>2025-05-12 10:05:00,2351814039.98881,1047762403.33374,2369.9668261563,1181,4826.90114354067,1298.55,-28.973945117961,367.22,503.84</t>
  </si>
  <si>
    <t>2025-05-12 10:05:00,89625268.1756655,114034311.944023,,370,,3075.89,0.155491875805813,33.99,5807.25</t>
  </si>
  <si>
    <t>2025-05-12 10:05:00,219635698.66975,574223.336370977,,8,,124.35,0.00679995622257596,1.39,20683.5</t>
  </si>
  <si>
    <t>2025-05-12 10:06:00,580,,580,,580,,578.5,,,579,,580,578,580,577,579.12</t>
  </si>
  <si>
    <t>2025-05-12 10:06:00,500,,505,,500,,503,,,,,505,500,506,503,503.437</t>
  </si>
  <si>
    <t>2025-05-12 10:06:00,5900,,5850,,,6000,5800,,,,,6000,5750,5820,6000,5802.75</t>
  </si>
  <si>
    <t>2025-05-12 10:06:00,20700,,20700,,20700,,20625,,,,,21200,20150,20700,20150,20670.5</t>
  </si>
  <si>
    <t>2025-05-12 10:06:00,8516231180.70615,5849377026.56111,2660.97886002886,-292,4582.44101731601,3376.24,-364.381022222596,814.75,579.12</t>
  </si>
  <si>
    <t>2025-05-12 10:06:00,2332605232.33573,801498881.850583,-672.217638398761,1137,-778.415494904999,1624.49,-192.060491765628,487.16,503.437</t>
  </si>
  <si>
    <t>2025-05-12 10:06:00,90692527.2296478,92457161.578511,,-2296,,-20264.78,0.0665296779630413,-709.11,5802.75</t>
  </si>
  <si>
    <t>2025-05-12 10:06:00,218496066.636403,527171.280181661,,6,,207.3,-0.0240517926527622,1.47,20670.5</t>
  </si>
  <si>
    <t>2025-05-12 10:08:00,580,,580,,580,,578.5,,,,,580,578,580,577,579.04</t>
  </si>
  <si>
    <t>2025-05-12 10:08:00,500,,505,,500,,503,,,,,505,500,506,495,503.53</t>
  </si>
  <si>
    <t>2025-05-12 10:08:00,5850,,5850,,,6000,5800,,,,,6000,5750,5820,6000,5802.5</t>
  </si>
  <si>
    <t>2025-05-12 10:08:00,20700,,20700,,20700,,20625,,,,,21200,20150,20700,20150,20672.75</t>
  </si>
  <si>
    <t>2025-05-12 10:08:00,8664313081.99046,5283908678.69149,13702.6138306138,6448,21051.9401219891,9973.54,-162.271447482474,2880.74,579.04</t>
  </si>
  <si>
    <t>2025-05-12 10:08:00,2347110921.96769,588010089.465542,5646.8444980695,9543,7512.63575740026,6290.12,-63.93908071482,2025.49,503.53</t>
  </si>
  <si>
    <t>2025-05-12 10:08:00,90401031.7151651,96324086.7552045,,1507,,13569.57,-1.43405447123273,458.57,5802.5</t>
  </si>
  <si>
    <t>2025-05-12 10:08:00,220804215.51622,534511.601162655,,38,,772.82,-0.0133224096003969,4.05,20672.75</t>
  </si>
  <si>
    <t>2025-05-12 10:09:00,580,,580,,580,,578.5,,,,,580,578,580,577,579.28</t>
  </si>
  <si>
    <t>2025-05-12 10:09:00,500,,505,,500,,503,,,,,505,500,504,495,503.71</t>
  </si>
  <si>
    <t>2025-05-12 10:09:00,5900,,5850,,,6000,5800,,,,,6000,5750,5820,6000,5804.75</t>
  </si>
  <si>
    <t>2025-05-12 10:09:00,20700,,20700,,20700,,20625,,,,,21200,20150,20700,20150,20682.25</t>
  </si>
  <si>
    <t>2025-05-12 10:09:00,8530634445.33557,6619927596.62261,2487.71666666666,2812,2985.94583333332,2442.35,280.610797735679,832.93,579.28</t>
  </si>
  <si>
    <t>2025-05-12 10:09:00,2225660825.16607,1035992489.83522,192.690281162393,716,293.55132349773,817,101.490242944105,268.39,503.71</t>
  </si>
  <si>
    <t>2025-05-12 10:09:00,86699961.1175121,105726028.980337,,404,,1999.66,-1.96103092032774,94.71,5804.75</t>
  </si>
  <si>
    <t>2025-05-12 10:09:00,219791547.834023,575657.160744868,,-9,,223.5,-0.00208875969850529,1.81,20682.25</t>
  </si>
  <si>
    <t>2025-05-12 10:10:00,580,,580,,580,,578.5,,,,,580,578,580,577,579.015</t>
  </si>
  <si>
    <t>2025-05-12 10:10:00,500,,505,,500,,503,,,,,505,500,506,495,503.46</t>
  </si>
  <si>
    <t>2025-05-12 10:10:00,5900,,5850,,,6000,5800,,,,,6000,5750,5820,6000,5802.25</t>
  </si>
  <si>
    <t>2025-05-12 10:10:00,20700,,20700,,20700,,20625,,,,,21200,20150,20700,20150,20671.5</t>
  </si>
  <si>
    <t>2025-05-12 10:10:00,8579276482.4276,5622893594.29042,2422.39511599512,921,3857.41423565325,1657.55,-74.0141816548034,395.37,579.015</t>
  </si>
  <si>
    <t>2025-05-12 10:10:00,2307814243.34894,701909894.642485,91.075568181819,145,423.572752435069,72.42,-12.4524244932789,-40.88,503.46</t>
  </si>
  <si>
    <t>2025-05-12 10:10:00,89976437.4809578,88498029.8796288,,-1296,,-7046.19,6.7561585784341,-282.87,5802.25</t>
  </si>
  <si>
    <t>2025-05-12 10:10:00,219267938.58073,523291.566093591,,10,,76.94,0.00200061486690114,0.85,20671.5</t>
  </si>
  <si>
    <t>2025-05-12 10:11:00,580,,580,,580,,578.5,,,,,580,578,580,577,579.29</t>
  </si>
  <si>
    <t>2025-05-12 10:11:00,500,,505,,500,,503,,504,,,505,500,506,495,503.72</t>
  </si>
  <si>
    <t>2025-05-12 10:11:00,5900,,5850,,,6000,5800,,,,,6000,5750,5820,6000,5804.75</t>
  </si>
  <si>
    <t>2025-05-12 10:11:00,20700,,20700,,20700,,20625,,,,,21200,20150,20700,20150,20682.75</t>
  </si>
  <si>
    <t>2025-05-12 10:11:00,8496572322.33382,6665565493.825,-26671.5111111111,-9871,-32779.1577777777,-12125.33,323.832116682566,-4000.29,579.29</t>
  </si>
  <si>
    <t>2025-05-12 10:11:00,2243808099.06133,1009690478.51968,-5626.87256070877,-4543,-5924.84678388287,-4914.55,-66.677981264294,-1614.56,503.72</t>
  </si>
  <si>
    <t>2025-05-12 10:11:00,87211116.7209941,101897786.566053,,-2297,,-7681.8,4.01342282592838,-420.75,5804.75</t>
  </si>
  <si>
    <t>2025-05-12 10:11:00,220884935.124715,554385.676994212,,9,,-192.32,0.0108853548109515,-1.37,20682.75</t>
  </si>
  <si>
    <t>2025-05-12 10:12:00,580,,580,,580,,578.5,,,,,580,578,580,577,579.05</t>
  </si>
  <si>
    <t>2025-05-12 10:12:00,500,,505,,500,,503,,,,,505,500,506,495,503.55</t>
  </si>
  <si>
    <t>2025-05-12 10:12:00,5900,,5850,,,6000,5800,,,,,6000,5750,5820,6000,5802.25</t>
  </si>
  <si>
    <t>2025-05-12 10:12:00,20700,,20700,,20700,,20625,,,,,21200,20150,20700,20150,20674.5</t>
  </si>
  <si>
    <t>2025-05-12 10:12:00,8594388215.33724,5752892157.42306,-457.34444444446,-2204,22727.6979999998,9570.86,-139.837461085483,-86.1300000000001,579.05</t>
  </si>
  <si>
    <t>2025-05-12 10:12:00,2282382024.80884,819244616.948896,-22.4892820285982,1280,182.124709125762,65.71,12.4914619149191,-24.84,503.55</t>
  </si>
  <si>
    <t>2025-05-12 10:12:00,90578438.9268613,89158774.8506095,,-670,,-2446.01,-1.01700451644664,-114.16,5802.25</t>
  </si>
  <si>
    <t>2025-05-12 10:12:00,219649718.189895,516984.912966505,,35,,282,-0.0151475839571453,2.84,20674.5</t>
  </si>
  <si>
    <t>2025-05-12 10:13:00,580,,580,,580,,578.5,,,,,580,578,580,577,579.48</t>
  </si>
  <si>
    <t>2025-05-12 10:13:00,500,,505,,500,,503,,,,,505,500,506,495,503.925</t>
  </si>
  <si>
    <t>2025-05-12 10:13:00,5900,,5850,,,6000,5800,,,,,6000,5750,5820,6000,5806.75</t>
  </si>
  <si>
    <t>2025-05-12 10:13:00,20700,,20700,,20700,,20625,,,,,21200,20150,20700,20150,20690.75</t>
  </si>
  <si>
    <t>2025-05-12 10:13:00,8662080029.149,6491210075.88552,3025.31666666667,2381,4694.53416666666,4832.61,134.597471395744,1485.02,579.48</t>
  </si>
  <si>
    <t>2025-05-12 10:13:00,2331217622.13019,1174142573.01276,1036.52684331798,999,2034.21940245776,1104.27,139.892662738296,319.18,503.925</t>
  </si>
  <si>
    <t>2025-05-12 10:13:00,90166054.1885638,113008106.904521,,107,,-791.75,3.82559905337371,-0.660000000000009,5806.75</t>
  </si>
  <si>
    <t>2025-05-12 10:13:00,215650527.075377,558023.820057114,,-18,,-212.6,0.011738011364982,-1.85,20690.75</t>
  </si>
  <si>
    <t>2025-05-12 10:14:00,580,,580,,580,,578.5,,,,,580,578,580,577,579.47</t>
  </si>
  <si>
    <t>2025-05-12 10:14:00,500,,505,,500,,503,,,,,505,500,506,495,504</t>
  </si>
  <si>
    <t>2025-05-12 10:14:00,5900,,5850,,,6000,5800,,,,,6000,5750,5820,6000,5806.5</t>
  </si>
  <si>
    <t>2025-05-12 10:14:00,20700,,20700,,20700,,20625,,,,,21200,20150,20700,20150,20693</t>
  </si>
  <si>
    <t>2025-05-12 10:14:00,8686838931.01717,6511647979.06623,511.243899401252,-1522,282.388918281065,-2995.06,6.39676857689555,-945.33,579.47</t>
  </si>
  <si>
    <t>2025-05-12 10:14:00,2237602749.4346,1221481077.86167,3575.71525019098,3063,4862.096581137,4020.1,13.8112347699686,1252.05,504</t>
  </si>
  <si>
    <t>2025-05-12 10:14:00,86904353.110145,114743682.647817,,-202,,2158,-0.481448650762509,-38.51,5806.5</t>
  </si>
  <si>
    <t>2025-05-12 10:14:00,217877460.36884,577917.284355273,,3,,30.03,0.00824125386106588,0.52,20693</t>
  </si>
  <si>
    <t>2025-05-12 10:15:00,580,,580,,580,,578.5,,,,,580,578,580,577,579.34</t>
  </si>
  <si>
    <t>2025-05-12 10:15:00,500,,505,,500,,503,,,,,505,500,505,495,503.84</t>
  </si>
  <si>
    <t>2025-05-12 10:15:00,5900,,5850,,,6000,5800,5800,,5800,,6000,5750,5820,6000,5804.5</t>
  </si>
  <si>
    <t>2025-05-12 10:15:00,20700,,20700,,20700,,20625,,,,,21200,20150,20700,20150,20690.75</t>
  </si>
  <si>
    <t>2025-05-12 10:15:00,8731385416.20664,6222959758.6086,4323.65346320345,1562,7286.70263528137,1670.24,88.4139855894876,488.92,579.34</t>
  </si>
  <si>
    <t>2025-05-12 10:15:00,2345075709.14184,1131098715.93094,5081.27482695979,2385,8020.42754983157,2714.79,40.6444294400024,907.29,503.84</t>
  </si>
  <si>
    <t>2025-05-12 10:15:00,91080958.5580953,100045198.961778,,2809,,33129.69,4.54155777237501,1149.61,5804.5</t>
  </si>
  <si>
    <t>2025-05-12 10:15:00,222258361.892189,587914.240020968,,9,,172.76,0.010340230069715,1.77,20690.75</t>
  </si>
  <si>
    <t>2025-05-12 10:16:00,580,,580,,580,,578.5,,,,,580,578,580,577,579.39</t>
  </si>
  <si>
    <t>2025-05-12 10:16:00,500,,505,,500,,503,,,,,505,500,506,495,503.94</t>
  </si>
  <si>
    <t>2025-05-12 10:16:00,5900,,5850,,,6000,5800,,,,,6000,5750,5820,6000,5806</t>
  </si>
  <si>
    <t>2025-05-12 10:16:00,20700,,20700,,20700,,20625,,,,,21200,20150,20700,20150,20691.25</t>
  </si>
  <si>
    <t>2025-05-12 10:16:00,8586896733.50504,6537942085.54646,-2518.38137398833,-2075,-3282.72800222096,-2800.87,159.458510155283,-906.82,579.39</t>
  </si>
  <si>
    <t>2025-05-12 10:16:00,2306403724.69079,1233315166.84072,-802.318181818182,-1039,-734.191060606062,-1146.85,-11.323877598126,-388.57,503.94</t>
  </si>
  <si>
    <t>2025-05-12 10:16:00,88919854.1305662,108529861.252937,,-458,,-6640.44,0.773617369151886,-163.95,5806</t>
  </si>
  <si>
    <t>2025-05-12 10:16:00,215351389.819697,564474.792990564,,4,,118.48,-0.00623475564963788,-0.07,20691.25</t>
  </si>
  <si>
    <t>2025-05-12 10:17:00,580,,580,,580,,578.5,,,,,580,578,580,577,579.02</t>
  </si>
  <si>
    <t>2025-05-12 10:17:00,500,,505,,500,,503,,,,,505,500,506,495,503.68</t>
  </si>
  <si>
    <t>2025-05-12 10:17:00,5900,,5850,,,6000,5800,,,5800,,6000,5750,5820,6000,5802</t>
  </si>
  <si>
    <t>2025-05-12 10:17:00,20700,,20700,,20700,,20625,,,,,21200,20150,20700,20150,20680.5</t>
  </si>
  <si>
    <t>2025-05-12 10:17:00,8771798320.62803,5460966406.43133,-512.201190476188,-988,-142.348738095227,86.4100000000003,46.9935105649198,-347.93,579.02</t>
  </si>
  <si>
    <t>2025-05-12 10:17:00,2352376879.12216,916533166.838315,1580.63855135924,1923,2332.37529082285,2280.14,-22.7809092456661,755.16,503.68</t>
  </si>
  <si>
    <t>2025-05-12 10:17:00,89561185.1273673,88758855.3180593,,1293,,14150.97,-10.412357178212,511.53,5802</t>
  </si>
  <si>
    <t>2025-05-12 10:17:00,223143360.718092,565150.905687542,,-3,,-42.49,0.00642216811567338,0.18,20680.5</t>
  </si>
  <si>
    <t>2025-05-12 10:18:00,580,,580,,580,,578.5,,,,,580,578,580,577,579.13</t>
  </si>
  <si>
    <t>2025-05-12 10:18:00,500,,505,,500,,503,,,,,505,500,506,495,503.83</t>
  </si>
  <si>
    <t>2025-05-12 10:18:00,5900,,5850,,,6000,5800,,,,,6000,5750,5820,6000,5803.25</t>
  </si>
  <si>
    <t>2025-05-12 10:18:00,20700,,20700,,20700,,20625,,,,,21200,20150,20700,20150,20687.5</t>
  </si>
  <si>
    <t>2025-05-12 10:18:00,8739865528.67196,5416916227.57195,1901.80476190476,4454,2679.79779761904,5574.22,85.9751379363578,2090.92,579.13</t>
  </si>
  <si>
    <t>2025-05-12 10:18:00,2339709710.94768,1010496132.10541,-895.935695187165,-380,-909.065889037431,-584.08,-53.6493827585229,-132.22,503.83</t>
  </si>
  <si>
    <t>2025-05-12 10:18:00,89897739.8780919,90440468.3725617,,277,,661.99,0.34337281766636,55.78,5803.25</t>
  </si>
  <si>
    <t>2025-05-12 10:18:00,220178097.628487,563192.519185191,,-12,,-286.42,0.0018117064300171,-2.89,20687.5</t>
  </si>
  <si>
    <t>2025-05-12 10:19:00,580,,580,,580,,578.5,,,,,580,578,580,577,579.27</t>
  </si>
  <si>
    <t>2025-05-12 10:19:00,500,,505,,500,,503,,,,,505,500,506,495,503.94</t>
  </si>
  <si>
    <t>2025-05-12 10:19:00,5900,,5850,,,6000,5800,,,,,6000,5750,5820,6000,5804.75</t>
  </si>
  <si>
    <t>2025-05-12 10:19:00,20700,,20700,,20700,,20625,,,,,21200,20150,20700,20150,20691.5</t>
  </si>
  <si>
    <t>2025-05-12 10:19:00,8740378288.90212,6192929418.74826,-1309.8937950938,-2040,39.6357113996888,-2033.2,-24.5608362647323,-1015.7,579.27</t>
  </si>
  <si>
    <t>2025-05-12 10:19:00,2351009906.3715,1168782960.59917,-1314.98756613757,-1267,-1126.60442857143,-1311.02,-124.614223033276,-455.35,503.94</t>
  </si>
  <si>
    <t>2025-05-12 10:19:00,92129717.3147332,101095866.606149,,26,,-495.72,-0.760883880461133,-17.53,5804.75</t>
  </si>
  <si>
    <t>2025-05-12 10:19:00,219134396.781986,568098.602870207,,9,,481.82,-0.00138126820195226,3.04,20691.5</t>
  </si>
  <si>
    <t>2025-05-12 10:20:00,580,,580,,580,,578.5,,,,,580,578,580,577,579.07</t>
  </si>
  <si>
    <t>2025-05-12 10:20:00,500,,505,,500,,503,,,,,505,500,506,495,503.82</t>
  </si>
  <si>
    <t>2025-05-12 10:20:00,5900,,5850,,,6000,5800,,,,,6000,5750,5820,6000,5802.5</t>
  </si>
  <si>
    <t>2025-05-12 10:20:00,20700,,20700,,20700,,20625,,,,,21200,20150,20700,20150,20685.5</t>
  </si>
  <si>
    <t>2025-05-12 10:20:00,8781060180.12791,5659153507.4534,1674.48214285714,2893,2525.93982142857,3915.75,-15.2050650400339,1287.52,579.07</t>
  </si>
  <si>
    <t>2025-05-12 10:20:00,2281266924.83597,1032079210.47986,-8.42654480452663,552,-158.613885262961,377.03,-20.3318756019962,102.93,503.82</t>
  </si>
  <si>
    <t>2025-05-12 10:20:00,90275040.0245626,88848130.0995853,,473,,4070.61,-2.56958675967606,145.09,5802.5</t>
  </si>
  <si>
    <t>2025-05-12 10:20:00,219088849.697516,549105.326882279,,-4,,36.25,-0.0017680415440118,0.17,20685.5</t>
  </si>
  <si>
    <t>2025-05-12 10:21:00,580,,580,,580,,578.5,,,,,580,578,580,577,579.013</t>
  </si>
  <si>
    <t>2025-05-12 10:21:00,500,,505,,500,,503,,,,,505,500,506,495,503.85</t>
  </si>
  <si>
    <t>2025-05-12 10:21:00,5900,,5850,,,6000,5800,,,,,6000,5750,5820,6000,5802</t>
  </si>
  <si>
    <t>2025-05-12 10:21:00,20700,,20700,,20700,,20625,,,,,21200,20150,20700,20150,20688.5</t>
  </si>
  <si>
    <t>2025-05-12 10:21:00,8780364925.90533,5375064769.54202,216.012698412696,1187,771.393063492057,1975.63,-198.533330739453,559.71,579.013</t>
  </si>
  <si>
    <t>2025-05-12 10:21:00,2352738993.51694,1073982297.17294,186.994927536233,389,648.384710144929,324.01,0.9336888817938,88.14,503.85</t>
  </si>
  <si>
    <t>2025-05-12 10:21:00,93941124.4153728,84379131.7853194,,-661,,-2853.83,-0.905556816123376,-114.16,5802</t>
  </si>
  <si>
    <t>2025-05-12 10:21:00,224434528.572589,582256.83856414,,8,,111.13,-0.0066792593224877,1,20688.5</t>
  </si>
  <si>
    <t>2025-05-12 10:22:00,580,,580,,580,,578.5,,,,579,580,578,580,577,578.51</t>
  </si>
  <si>
    <t>2025-05-12 10:22:00,500,,505,,500,,503,,,,,505,500,506,495,503.36</t>
  </si>
  <si>
    <t>2025-05-12 10:22:00,5900,,5850,,,6000,5800,,,,,6000,5750,5820,6000,5797.25</t>
  </si>
  <si>
    <t>2025-05-12 10:22:00,20700,,20700,,20700,,20625,,,,,21200,20150,20700,20150,20667</t>
  </si>
  <si>
    <t>2025-05-12 10:22:00,8781700402.56507,3159607863.28838,-251.276733044761,3307,-273.119519350717,4096.82,559.195601925266,1291.76,578.51</t>
  </si>
  <si>
    <t>2025-05-12 10:22:00,2364830924.33217,457811127.509997,3787.83830772584,3805,4115.70364716138,3652.12,-156.101684097785,1309.7,503.36</t>
  </si>
  <si>
    <t>2025-05-12 10:22:00,89148050.85574,50211251.0763901,,-889,,7788.22,-0.724095802328738,77.28,5797.25</t>
  </si>
  <si>
    <t>2025-05-12 10:22:00,218650892.066309,471743.132916768,,18,,389.23,-0.00905145300232415,3.68,20667</t>
  </si>
  <si>
    <t>2025-05-12 10:23:00,580,,580,,580,,578.5,,,578,,580,578,580,577,578.16</t>
  </si>
  <si>
    <t>2025-05-12 10:23:00,500,,505,,500,,503,,,,,505,500,506,495,503.11</t>
  </si>
  <si>
    <t>2025-05-12 10:23:00,5850,,5850,,,6000,5800,,,,5800,6000,5750,5820,6000,5794.25</t>
  </si>
  <si>
    <t>2025-05-12 10:23:00,20700,,20700,,20700,,20625,,,,,21200,20150,20700,20150,20655.25</t>
  </si>
  <si>
    <t>2025-05-12 10:23:00,8774179205.43706,2655288334.19194,4348.72226384728,8333,7463.64899739153,15840.62,42.3590323123369,4919.82,578.16</t>
  </si>
  <si>
    <t>2025-05-12 10:23:00,2358587066.49239,305587355.467338,3704.83531746034,3479,4167.18565476192,5100.47,-250.7512826272,1516.58,503.11</t>
  </si>
  <si>
    <t>2025-05-12 10:23:00,88047251.6511248,33483853.1608464,,323,,2774.5,9.23215224895518,79.88,5794.25</t>
  </si>
  <si>
    <t>2025-05-12 10:23:00,220649952.229176,433496.130044993,,32,,793.35,0.0215634385896019,7.15,20655.25</t>
  </si>
  <si>
    <t>2025-05-12 10:24:00,580,,580,,580,,578.5,,,,,580,578,580,577,578.61</t>
  </si>
  <si>
    <t>2025-05-12 10:24:00,500,,505,,500,,503,,,,,505,500,506,495,503.45</t>
  </si>
  <si>
    <t>2025-05-12 10:24:00,5900,,5850,,,6000,5800,,,,,6000,5750,5820,6000,5797.75</t>
  </si>
  <si>
    <t>2025-05-12 10:24:00,20700,,20700,,20700,,20625,,,,,21200,20150,20700,20150,20671.75</t>
  </si>
  <si>
    <t>2025-05-12 10:24:00,8709462036.24473,3949814119.42186,-16322.476984127,-8945,-17808.2395396825,-10406.22,318.699598915171,-3466.81,578.61</t>
  </si>
  <si>
    <t>2025-05-12 10:24:00,2352764288.15872,686997049.499188,2900.09547952048,2680,2907.69067282717,2672.88,-19.1971696120352,1031.67,503.45</t>
  </si>
  <si>
    <t>2025-05-12 10:24:00,87580707.8228813,52237033.8879204,,-2698,,-16465.25,-10.329195037886,-654.09,5797.75</t>
  </si>
  <si>
    <t>2025-05-12 10:24:00,222562926.084521,509960.381546354,,-65,,-869.11,-0.00297378836721488,-7.93,20671.75</t>
  </si>
  <si>
    <t>2025-05-12 10:25:00,580,,580,,580,,578.5,,,,,580,578,580,577,578.572</t>
  </si>
  <si>
    <t>2025-05-12 10:25:00,500,,505,,500,,503,,,503,,505,500,504,495,503.49</t>
  </si>
  <si>
    <t>2025-05-12 10:25:00,5900,,5850,,,6000,5800,,,,,6000,5750,5820,6000,5797.5</t>
  </si>
  <si>
    <t>2025-05-12 10:25:00,20700,,20700,,20700,,20625,,,,,21200,20150,20700,20150,20672.5</t>
  </si>
  <si>
    <t>2025-05-12 10:25:00,8750772157.65415,3721891014.74172,875.584157509153,1108,-2930.75697954824,422.11,186.260658111584,302.98,578.572</t>
  </si>
  <si>
    <t>2025-05-12 10:25:00,2357337632.58341,783654882.143472,2502.09898315543,1583,3149.70831520868,2628.25,-22.2238018449452,921.93,503.49</t>
  </si>
  <si>
    <t>2025-05-12 10:25:00,88732520.802063,53454170.9910676,,1174,,6593.21,-2.84821150572951,356.17,5797.5</t>
  </si>
  <si>
    <t>2025-05-12 10:25:00,221735892.887856,523866.421861814,,-14,,-357.34,0.00155071316672154,-3.46,20672.5</t>
  </si>
  <si>
    <t>2025-05-12 10:27:00,580,,580,,580,,578.5,,,,,580,578,580,577,578.78</t>
  </si>
  <si>
    <t>2025-05-12 10:27:00,500,,505,,500,,503,,,,,505,500,505,495,503.65</t>
  </si>
  <si>
    <t>2025-05-12 10:27:00,5900,,5850,,,6000,5800,,,,,6000,5750,5820,6000,5799.5</t>
  </si>
  <si>
    <t>2025-05-12 10:27:00,20700,,20700,,20700,,20625,,,,,21200,20150,20700,20150,20679.25</t>
  </si>
  <si>
    <t>2025-05-12 10:27:00,8790163040.53285,4356573522.26765,-753.491125541125,2906,-2765.02758946609,1586.65,-250.627569004283,805.71,578.78</t>
  </si>
  <si>
    <t>2025-05-12 10:27:00,2355295542.91127,885489251.723648,-1115.49826546003,-1084,-1118.60326923077,-1176.26,17.2941870794954,-346.32,503.65</t>
  </si>
  <si>
    <t>2025-05-12 10:27:00,88838522.4020659,62301685.9342444,,356,,4170.7,2.72417825428713,172.01,5799.5</t>
  </si>
  <si>
    <t>2025-05-12 10:27:00,225534255.218407,559128.161026576,,-13,,-349.1,-0.00935729713034579,-3.55,20679.25</t>
  </si>
  <si>
    <t>2025-05-12 10:28:00,580,,580,,580,,578.5,,,,,580,578,580,577,578.88</t>
  </si>
  <si>
    <t>2025-05-12 10:28:00,500,,505,,500,,503,,,,,505,500,505,495,503.79</t>
  </si>
  <si>
    <t>2025-05-12 10:28:00,5900,,5850,,,6000,5800,,,,,6000,5750,5820,6000,5801</t>
  </si>
  <si>
    <t>2025-05-12 10:28:00,20700,,20700,,20700,,20650,,,,,21200,20150,20700,20150,20686</t>
  </si>
  <si>
    <t>2025-05-12 10:28:00,8812455936.36999,3982367688.69445,-197.482073482073,1139,-83.6689532689494,1314.72,307.373905776345,383.65,578.88</t>
  </si>
  <si>
    <t>2025-05-12 10:28:00,2349078278.7183,1012468224.28911,471.98118890771,1122,-747.040323985198,503.34,177.474469952879,367.88,503.79</t>
  </si>
  <si>
    <t>2025-05-12 10:28:00,91054058.0034178,71604339.3457942,,-1,,703.62,-2.48927356156667,20.64,5801</t>
  </si>
  <si>
    <t>2025-05-12 10:28:00,224625194.516458,585341.583552423,,3,,-70.19,0.0202111217641392,0.71,20686</t>
  </si>
  <si>
    <t>2025-05-12 10:29:00,580,,580,,580,,578.5,,,,,580,578,580,577,578.84</t>
  </si>
  <si>
    <t>2025-05-12 10:29:00,500,,505,,500,,503,,,,,505,500,505,495,503.78</t>
  </si>
  <si>
    <t>2025-05-12 10:29:00,5900,,5850,,,6000,5800,,,,,6000,5750,5820,6000,5800.25</t>
  </si>
  <si>
    <t>2025-05-12 10:29:00,20700,,20700,,20700,,20650,,,,,21200,20150,20700,20150,20684.5</t>
  </si>
  <si>
    <t>2025-05-12 10:29:00,8836637897.17231,4371895201.87777,-997.524458874455,-2268,-1392.16295670996,-2217.94,417.309591152175,-793.6,578.84</t>
  </si>
  <si>
    <t>2025-05-12 10:29:00,2345911152.83356,987959591.45597,-1889.07793990324,-1335,-1129.52770486377,-559.08,27.0043205069422,-314.04,503.78</t>
  </si>
  <si>
    <t>2025-05-12 10:29:00,90636500.955522,67134444.1214959,,574,,6604.98,-2.55311348970379,269.5,5800.25</t>
  </si>
  <si>
    <t>2025-05-12 10:29:00,223946855.310287,581232.63697131,,13,,-159.76,-0.0346781799081075,-0.35,20684.5</t>
  </si>
  <si>
    <t>2025-05-12 10:30:00,580,,580,,580,,578.5,,,,,580,578,580,577,578.82</t>
  </si>
  <si>
    <t>2025-05-12 10:30:00,500,,505,,500,,503,,,,,505,500,505,495,503.75</t>
  </si>
  <si>
    <t>2025-05-12 10:30:00,5900,,5850,,,6000,5800,,,,,6000,5750,5820,6000,5800</t>
  </si>
  <si>
    <t>2025-05-12 10:30:00,20700,,20700,,20700,,20625,,,,,21200,20150,20700,20150,20683.5</t>
  </si>
  <si>
    <t>2025-05-12 10:30:00,8914560748.46484,4355854822.21221,5810.60245310245,3905,8644.28251803752,5277.38,70.3779187013544,1866.17,578.82</t>
  </si>
  <si>
    <t>2025-05-12 10:30:00,2311298503.55807,1023622788.72868,712.219365079367,1414,677.577234920638,1411.6,-7.7740337413186,498.74,503.75</t>
  </si>
  <si>
    <t>2025-05-12 10:30:00,90140511.360662,66803530.1803342,,317,,4111.46,-1.7208158662088,151.86,5800</t>
  </si>
  <si>
    <t>2025-05-12 10:30:00,226811634.358246,602089.441720142,,-19,,-29.74,-0.01964891980909,-1.65,20683.5</t>
  </si>
  <si>
    <t>2025-05-12 10:31:00,580,,580,,580,,578.5,,,,,580,578,580,575,578.885</t>
  </si>
  <si>
    <t>2025-05-12 10:31:00,500,,505,,500,,503,,,,,505,500,505,495,503.775</t>
  </si>
  <si>
    <t>2025-05-12 10:31:00,5850,,5850,,,6000,5800,,,,,6000,5750,5820,6000,5800.75</t>
  </si>
  <si>
    <t>2025-05-12 10:31:00,20700,,20700,,20700,,20625,,,,,21200,20150,20700,20150,20683.75</t>
  </si>
  <si>
    <t>2025-05-12 10:31:00,8871479244.78108,4269357020.00284,4687.46266223648,2459,5818.4666448385,3241,-6.31030894669607,1051.62,578.885</t>
  </si>
  <si>
    <t>2025-05-12 10:31:00,2347588159.40331,961357436.022708,26.2080303030308,-173,974.458234848487,441.51,62.868751621846,119.53,503.775</t>
  </si>
  <si>
    <t>2025-05-12 10:31:00,88355805.2606866,69107050.8419352,,-54,,5151.14,-2.0522120362909,179.24,5800.75</t>
  </si>
  <si>
    <t>2025-05-12 10:31:00,224539999.731157,592490.869712034,,-9,,270.83,-0.0250970237997122,-0.43,20683.75</t>
  </si>
  <si>
    <t>2025-05-12 10:32:00,580,,580,,580,,578.5,,,,,580,578,580,575,579.069</t>
  </si>
  <si>
    <t>2025-05-12 10:32:00,500,,505,,500,,503,,,,,505,500,505,495,503.96</t>
  </si>
  <si>
    <t>2025-05-12 10:32:00,5900,,5850,,,6000,5800,,,,,6000,5750,5820,6000,5802.5</t>
  </si>
  <si>
    <t>2025-05-12 10:32:00,20700,,20700,,20700,,20650,,,,,21200,20150,20700,20150,20693</t>
  </si>
  <si>
    <t>2025-05-12 10:32:00,8911012934.81052,5449321961.64906,1304.5476847662,167,4135.78243075844,3089.4,48.2765145226383,381.42,579.069</t>
  </si>
  <si>
    <t>2025-05-12 10:32:00,2356010490.62221,1209624152.42941,1127.63517531976,1538,1166.83475152914,1633.46,12.9882802202941,635.42,503.96</t>
  </si>
  <si>
    <t>2025-05-12 10:32:00,91424538.560501,82715477.4374226,,201,,5490.58,0.830827475730905,167.01,5802.5</t>
  </si>
  <si>
    <t>2025-05-12 10:32:00,229243595.446811,650071.229921412,,2,,-55.46,0.00599710137321023,-0.42,20693</t>
  </si>
  <si>
    <t>2025-05-12 10:33:00,580,,580,,580,,578.5,,,,,580,578,580,575,579.3</t>
  </si>
  <si>
    <t>2025-05-12 10:33:00,500,,505,,500,,503,,,,,505,500,505,495,504.16</t>
  </si>
  <si>
    <t>2025-05-12 10:33:00,5900,,5850,,,6000,5800,,,,,6000,5750,5820,6000,5804.5</t>
  </si>
  <si>
    <t>2025-05-12 10:33:00,20700,,20700,,20700,,20650,,,,,21200,20150,20700,20150,20699.5</t>
  </si>
  <si>
    <t>2025-05-12 10:33:00,8768292279.72963,6512504717.87664,2428.84450549451,3363,2264.52352014652,2133.91,167.815949427497,845.06,579.3</t>
  </si>
  <si>
    <t>2025-05-12 10:33:00,2253840571.19723,1569658475.94905,-12.0200767263421,1443,263.131810741689,1235.23,86.7911071847408,454.46,504.16</t>
  </si>
  <si>
    <t>2025-05-12 10:33:00,91386920.3734038,100055305.786881,,798,,10616.3,1.17443347172041,351.9,5804.5</t>
  </si>
  <si>
    <t>2025-05-12 10:33:00,229344604.856112,688183.401207774,,-8,,-627.65,-0.0119187269444206,-3.53,20699.5</t>
  </si>
  <si>
    <t>2025-05-12 10:34:00,580,,580,,580,,578.5,,,,,580,578,580,575,579.08</t>
  </si>
  <si>
    <t>2025-05-12 10:34:00,500,,505,,500,,503,,,,,505,500,505,495,503.99</t>
  </si>
  <si>
    <t>2025-05-12 10:34:00,5900,,5850,,,6000,5800,,,,,6000,5750,5820,6000,5802.75</t>
  </si>
  <si>
    <t>2025-05-12 10:34:00,20700,,20700,,20700,,20625,,,,,21200,20200,20700,20150,20693</t>
  </si>
  <si>
    <t>2025-05-12 10:34:00,8907427933.73421,5527864247.53723,-2796.32196969698,-4951,2200.64965909086,-2275.5,-16.4831054479796,-1981.76,579.08</t>
  </si>
  <si>
    <t>2025-05-12 10:34:00,2222253119.26602,1189328059.56327,-3370.34462574463,-2725,-4609.10165552967,-3477.68,46.6666867697956,-1176.16,503.99</t>
  </si>
  <si>
    <t>2025-05-12 10:34:00,92097957.6789735,87466204.2167726,,-1001,,-7093.22,-0.631087659227439,-305.94,5802.75</t>
  </si>
  <si>
    <t>2025-05-12 10:34:00,224030460.378792,631372.708400807,,-12,,443.76,0.00608036446870423,1.43,20693</t>
  </si>
  <si>
    <t>2025-05-12 10:35:00,580,,580,,580,,578.5,,,,,580,578,580,575,579.12</t>
  </si>
  <si>
    <t>2025-05-12 10:35:00,500,,505,,500,,503,,,,,505,500,505,495,504.04</t>
  </si>
  <si>
    <t>2025-05-12 10:35:00,5850,,5850,,,6000,5800,,,,,6000,5750,5820,6000,5803</t>
  </si>
  <si>
    <t>2025-05-12 10:35:00,20700,,20700,,20700,,20650,,,,,21200,20200,20700,20150,20696</t>
  </si>
  <si>
    <t>2025-05-12 10:35:00,8823032448.18489,6072822358.93296,-1574.5235042735,349,-1851.62042735042,-306.23,139.066757893761,-69.8299999999999,579.12</t>
  </si>
  <si>
    <t>2025-05-12 10:35:00,2283436812.57249,1316735495.89876,-1141.18275955544,-652,-960.151029095509,-539.24,-42.8933697118734,-221.59,504.04</t>
  </si>
  <si>
    <t>2025-05-12 10:35:00,92741479.0237442,91293200.1307455,,-350,,512.309999999999,-1.92909205802782,-97.66,5803</t>
  </si>
  <si>
    <t>2025-05-12 10:35:00,223670930.734157,637719.446824746,,-41,,27.67,0.0168546585853947,-0.27,20696</t>
  </si>
  <si>
    <t>2025-05-12 10:36:00,580,,580,,580,,578.5,,,,,580,578,580,575,579.26</t>
  </si>
  <si>
    <t>2025-05-12 10:36:00,500,,505,,500,,503,,,,,505,500,505,495,504.19</t>
  </si>
  <si>
    <t>2025-05-12 10:36:00,5900,,5850,,,6000,5800,,5810,,,6000,5750,5820,6000,5804.25</t>
  </si>
  <si>
    <t>2025-05-12 10:36:00,20700,,20700,,20700,,20625,,,,,21200,20200,20700,20150,20702.25</t>
  </si>
  <si>
    <t>2025-05-12 10:36:00,8786421081.58082,6318419113.1174,-3964.73447488585,-2752,-2660.26286692761,-2596.07,101.113060788862,-1141.89,579.26</t>
  </si>
  <si>
    <t>2025-05-12 10:36:00,2262433120.88278,1439520441.74412,-283.218978596206,-49,255.259813546725,-51.4799999999999,30.3519264404596,-74.55,504.19</t>
  </si>
  <si>
    <t>2025-05-12 10:36:00,91064737.1390768,101297969.899054,,-416,,1802.66,-6.4380012669901,-167.79,5804.25</t>
  </si>
  <si>
    <t>2025-05-12 10:36:00,225164248.728148,680322.793870236,,12,,-124.39,-0.0429653661977021,-1.4,20702.25</t>
  </si>
  <si>
    <t>2025-05-12 10:37:00,580,,580,,580,,578.5,,,,,580,578,580,575,579.225</t>
  </si>
  <si>
    <t>2025-05-12 10:37:00,500,,505,,500,,503,,504,,,505,500,505,495,504.18</t>
  </si>
  <si>
    <t>2025-05-12 10:37:00,5900,,5850,,,6000,5800,,,,,6000,5750,5820,6000,5803.75</t>
  </si>
  <si>
    <t>2025-05-12 10:37:00,20700,,20700,,20700,,20625,,,,,21200,20200,20700,20150,20701</t>
  </si>
  <si>
    <t>2025-05-12 10:37:00,8867230010.35689,6067708183.33068,-502.031746031748,-123,-1177.38261904762,-785.76,165.085508509497,-153.88,579.225</t>
  </si>
  <si>
    <t>2025-05-12 10:37:00,2353171976.28021,1538496506.94101,-1577.27592710998,-3171,-1060.00469149617,-2927.22,30.5859711758764,-1121.59,504.18</t>
  </si>
  <si>
    <t>2025-05-12 10:37:00,91588730.9083726,94066573.8919509,,-402,,-3748.71,-0.772147827847628,-145.48,5803.75</t>
  </si>
  <si>
    <t>2025-05-12 10:37:00,228182062.020672,689166.8525969,,-36,,482.69,0.00667572505903925,4.04,20701</t>
  </si>
  <si>
    <t>2025-05-12 10:38:00,580,,580,,580,,578.5,,,,,580,578,580,575,579.16</t>
  </si>
  <si>
    <t>2025-05-12 10:38:00,500,,505,,500,,503,,,,,505,500,505,495,504.19</t>
  </si>
  <si>
    <t>2025-05-12 10:38:00,5850,,5850,,,6000,5800,,,,,6000,5750,5820,6000,5803.75</t>
  </si>
  <si>
    <t>2025-05-12 10:38:00,20700,,20700,,20700,,20650,,,,,21200,20200,20700,20150,20701.75</t>
  </si>
  <si>
    <t>2025-05-12 10:38:00,8831325542.36434,6131495705.49401,-80.4725829725829,-1404,-827.420721500722,-2451.59,-116.143039604616,-985.6,579.16</t>
  </si>
  <si>
    <t>2025-05-12 10:38:00,2245513853.16946,1489043927.16089,-717.071266233764,-600,-949.312245670992,-1204.95,5.20178086001185,-409.81,504.19</t>
  </si>
  <si>
    <t>2025-05-12 10:38:00,92083527.0609289,99422267.4923645,,-316,,-3451.53,-2.03762437777278,-164.53,5803.75</t>
  </si>
  <si>
    <t>2025-05-12 10:38:00,229033862.986875,698003.838149501,,3,,103.7,0.00134072892220742,1.04,20701.75</t>
  </si>
  <si>
    <t>2025-05-12 10:39:00,580,,580,,580,,578.5,,,,,580,578,580,575,578.79</t>
  </si>
  <si>
    <t>2025-05-12 10:39:00,500,,505,,500,,503,,,,,505,500,505,495,503.84</t>
  </si>
  <si>
    <t>2025-05-12 10:39:00,5900,,5850,,,6000,5800,,,,,6000,5750,5820,6000,5799.75</t>
  </si>
  <si>
    <t>2025-05-12 10:39:00,20700,,20700,,20700,,20650,,,,,21200,20200,20700,20200,20686.75</t>
  </si>
  <si>
    <t>2025-05-12 10:39:00,8777712683.93808,1474392617.70876,-1809.61414141413,-1010,417.863316017329,-195.83,-117.420844710319,-206.26,578.79</t>
  </si>
  <si>
    <t>2025-05-12 10:39:00,2323730636.08894,123905038.407133,2986.17151651951,2258,3869.28291130465,2341.64,-49.3661140942045,840.56,503.84</t>
  </si>
  <si>
    <t>2025-05-12 10:39:00,86505862.6875474,46521136.1702285,,269,,2825.11,-0.798711204444679,94.79,5799.75</t>
  </si>
  <si>
    <t>2025-05-12 10:39:00,231815282.286827,587801.271087381,,-7,,369.34,-0.0157281812202517,4.26,20686.75</t>
  </si>
  <si>
    <t>2025-05-12 10:40:00,580,,580,,580,,578.5,,,,,580,578,580,575,578.6</t>
  </si>
  <si>
    <t>2025-05-12 10:40:00,500,,505,,500,,503,,,,,505,500,505,495,503.5</t>
  </si>
  <si>
    <t>2025-05-12 10:40:00,5850,,5850,,,6000,5800,,,,5800,6000,5750,5820,6000,5797.25</t>
  </si>
  <si>
    <t>2025-05-12 10:40:00,20700,,20700,,20700,,20625,,,,,21200,20200,20700,20150,20677</t>
  </si>
  <si>
    <t>2025-05-12 10:40:00,8978803386.64264,4085593506.39308,-14263.1973304473,-8014,-11246.8383802309,-7314.15,1188.41768775207,-2665.47,578.6</t>
  </si>
  <si>
    <t>2025-05-12 10:40:00,2220461249.02815,612314322.626726,-1884.41508732813,-1518,-691.580245102729,-2077.16,-2.78578577508666,-872.59,503.5</t>
  </si>
  <si>
    <t>2025-05-12 10:40:00,85638758.7227926,48336821.2062978,,-772,,-10542.44,17.3290269779723,-397.88,5797.25</t>
  </si>
  <si>
    <t>2025-05-12 10:40:00,223370336.276685,530882.208141974,,65,,620.96,-0.0307030347515958,6.37,20677</t>
  </si>
  <si>
    <t>2025-05-12 10:41:00,580,,580,,580,,578.5,,,578,,580,578,580,575,578.29</t>
  </si>
  <si>
    <t>2025-05-12 10:41:00,500,,505,,500,,503,,,,,505,500,505,495,503.28</t>
  </si>
  <si>
    <t>2025-05-12 10:41:00,5850,,5850,,,6000,5800,,,,,6000,5750,5820,6000,5794.5</t>
  </si>
  <si>
    <t>2025-05-12 10:41:00,20700,,20700,,20700,,20625,,,,,21200,20200,20700,20150,20664.25</t>
  </si>
  <si>
    <t>2025-05-12 10:41:00,8921460878.39791,2935181939.32351,2245.91881313131,4594,-3439.02436868687,1519.08,-163.400907321401,914.92,578.29</t>
  </si>
  <si>
    <t>2025-05-12 10:41:00,2296191163.19446,297988762.928553,1095.0532948533,1245,-136.618588504078,952.63,107.337151625285,367.99,503.28</t>
  </si>
  <si>
    <t>2025-05-12 10:41:00,90068356.3060534,28804636.3693746,,-1588,,-3447.21,-5.7703305517687,-202.38,5794.5</t>
  </si>
  <si>
    <t>2025-05-12 10:41:00,225606563.306766,472338.887224564,,-48,,807.95,-0.0121738339475196,6.53,20664.25</t>
  </si>
  <si>
    <t>2025-05-12 10:42:00,580,,580,,580,,578.5,,,578,,580,578,580,575,578.42</t>
  </si>
  <si>
    <t>2025-05-12 10:42:00,500,,505,,500,,503,,,,,505,500,505,495,503.42</t>
  </si>
  <si>
    <t>2025-05-12 10:42:00,5850,,5850,,,6000,5800,,,,,6000,5750,5820,6000,5796</t>
  </si>
  <si>
    <t>2025-05-12 10:42:00,20700,,20700,,20700,,20650,,,,,21200,20200,20700,20150,20669.75</t>
  </si>
  <si>
    <t>2025-05-12 10:42:00,8953623588.09593,3145311735.16115,-1985.15298312797,3690,-4065.48608080806,3148.36,-289.622163654075,1206.76,578.42</t>
  </si>
  <si>
    <t>2025-05-12 10:42:00,2345853422.53297,517104681.121524,-462.398809523809,-277,-1209.49321428571,-1125.76,-6.37768798771943,-383.27,503.42</t>
  </si>
  <si>
    <t>2025-05-12 10:42:00,89692015.0853482,32824635.7286661,,-435,,-2984.21,4.25995228574887,-118.54,5796</t>
  </si>
  <si>
    <t>2025-05-12 10:42:00,228481699.211311,501963.717673934,,9,,-97.07,0.00608040576615348,-0.81,20669.75</t>
  </si>
  <si>
    <t>2025-05-12 10:43:00,580,,580,,580,,578.5,,,,,580,578,580,575,578.71</t>
  </si>
  <si>
    <t>2025-05-12 10:43:00,500,,505,,500,,503,,,,,505,500,505,495,503.72</t>
  </si>
  <si>
    <t>2025-05-12 10:43:00,5850,,5850,,,6000,5800,,,,,6000,5750,5820,6000,5799</t>
  </si>
  <si>
    <t>2025-05-12 10:43:00,20700,,20700,,20700,,20650,,,,,21200,20200,20700,20200,20683</t>
  </si>
  <si>
    <t>2025-05-12 10:43:00,8980430346.97756,3862150583.89407,-5012.80476570213,-5444,-4778.12653022708,-7456.41,-174.875077895065,-2098.17,578.71</t>
  </si>
  <si>
    <t>2025-05-12 10:43:00,2381286708.05363,805989859.879259,-154.319187675067,-793,-798.452393090563,-1458.18,-139.974394779322,-365.15,503.72</t>
  </si>
  <si>
    <t>2025-05-12 10:43:00,85021519.2457163,52986389.974797,,-441,,-5829.17,-3.88037445408856,-166.66,5799</t>
  </si>
  <si>
    <t>2025-05-12 10:43:00,233019151.96577,591163.005252978,,-50,,-247.69,0.0219339794716874,-2.22,20683</t>
  </si>
  <si>
    <t>2025-05-12 10:44:00,580,,580,,580,,578.5,,,,,580,578,580,575,578.65</t>
  </si>
  <si>
    <t>2025-05-12 10:44:00,500,,505,,500,,503,,,,,505,500,505,495,503.79</t>
  </si>
  <si>
    <t>2025-05-12 10:44:00,5850,,5850,,,6000,5800,,,,,6000,5750,5820,6000,5798.25</t>
  </si>
  <si>
    <t>2025-05-12 10:44:00,20700,,20700,,20700,,20625,,,,,21200,20200,20700,20150,20685</t>
  </si>
  <si>
    <t>2025-05-12 10:44:00,8969163049.58222,3922586156.52289,704.241269841271,-94,-859.423857142856,-1672.94,-220.552111214512,-687.59,578.65</t>
  </si>
  <si>
    <t>2025-05-12 10:44:00,2235609607.91512,895480899.465037,670.952793949358,-211,2000.21836582577,-84.3700000000001,130.127553492206,-88.68,503.79</t>
  </si>
  <si>
    <t>2025-05-12 10:44:00,89349124.6761584,55685922.2148727,,-42,,6331.88,-2.11166901530087,104.07,5798.25</t>
  </si>
  <si>
    <t>2025-05-12 10:44:00,234279216.751581,616621.218963603,,67,,159.4,-0.00340446398614078,2.02,20685</t>
  </si>
  <si>
    <t>2025-05-12 10:45:00,580,,580,,580,,578.5,,,,,580,578,580,575,578.395</t>
  </si>
  <si>
    <t>2025-05-12 10:45:00,500,,505,,500,,503,,,,,505,500,505,495,503.59</t>
  </si>
  <si>
    <t>2025-05-12 10:45:00,5850,,5850,,,6000,5800,,,,,6000,5750,5820,6000,5796</t>
  </si>
  <si>
    <t>2025-05-12 10:45:00,20700,,20700,,20700,,20625,,,,,21200,20200,20700,20150,20676.5</t>
  </si>
  <si>
    <t>2025-05-12 10:45:00,9056534516.4161,2714707299.94701,4559.96507936511,2716,7347.26479365085,4260.37,26.6731632937972,1479.52,578.395</t>
  </si>
  <si>
    <t>2025-05-12 10:45:00,2378595147.27455,679041444.488294,-789.029450523658,-736,1008.25796815337,1116.32,5.06885620813086,290.5,503.59</t>
  </si>
  <si>
    <t>2025-05-12 10:45:00,91488516.1311858,39171515.3077088,,663,,6866.71,1.86974331977315,254.16,5796</t>
  </si>
  <si>
    <t>2025-05-12 10:45:00,234041645.342168,562036.405493185,,0,,66,0.00461504314970721,0.59,20676.5</t>
  </si>
  <si>
    <t>2025-05-12 10:46:00,580,,580,,580,,578.5,,,,,580,578,580,575,578.72</t>
  </si>
  <si>
    <t>2025-05-12 10:46:00,500,,505,,500,,503,,,,,505,500,505,495,503.88</t>
  </si>
  <si>
    <t>2025-05-12 10:46:00,5850,,5850,,,6000,5800,,,,,6000,5750,5820,6000,5799</t>
  </si>
  <si>
    <t>2025-05-12 10:46:00,20700,,20700,,20700,,20625,,,,,21200,20200,20700,20150,20689</t>
  </si>
  <si>
    <t>2025-05-12 10:46:00,8975618583.54902,4161971218.28819,2606.18939393939,3816,2470.23671212121,3218.89,105.352058393475,1311.7,578.72</t>
  </si>
  <si>
    <t>2025-05-12 10:46:00,2349195516.90333,1027271046.10508,-2513.19603174603,-2688,-1821.56387301588,-2180.39,-46.4979305465935,-792.92,503.88</t>
  </si>
  <si>
    <t>2025-05-12 10:46:00,89723214.5479076,54707703.2936637,,-81,,-1688.33,5.81623017185752,-41.18,5799</t>
  </si>
  <si>
    <t>2025-05-12 10:46:00,232434925.160079,622278.654567684,,-53,,-148.36,-0.0209414111007616,-1.34,20689</t>
  </si>
  <si>
    <t>2025-05-12 10:47:00,580,,580,,580,,578.5,,,,,580,578,580,575,578.55</t>
  </si>
  <si>
    <t>2025-05-12 10:47:00,500,,505,,500,,503,,,,,505,500,505,495,503.83</t>
  </si>
  <si>
    <t>2025-05-12 10:47:00,5850,,5850,,,6000,5800,,,,,6000,5750,5820,6000,5797.5</t>
  </si>
  <si>
    <t>2025-05-12 10:47:00,20700,,20700,,20700,,20625,,,,,21200,20200,20700,20150,20687.25</t>
  </si>
  <si>
    <t>2025-05-12 10:47:00,9064208923.422,3462070384.41337,275.42936507937,672,1114.14537301587,2210.66,96.3033079010495,521.15,578.55</t>
  </si>
  <si>
    <t>2025-05-12 10:47:00,2385313471.49636,991476372.863837,-644.295833333333,-874,-46.8271249999993,-310.53,-29.6091574851605,-164.05,503.83</t>
  </si>
  <si>
    <t>2025-05-12 10:47:00,88650191.3911541,51115906.8985848,,-490,,-3503.58,4.10091210348302,-156.61,5797.5</t>
  </si>
  <si>
    <t>2025-05-12 10:47:00,228346787.380848,597220.767680079,,-26,,12.12,-0.00529248481730482,0.12,20687.25</t>
  </si>
  <si>
    <t>2025-05-12 10:48:00,580,,580,,580,,578.5,,,,,580,578,580,575,578.73</t>
  </si>
  <si>
    <t>2025-05-12 10:48:00,500,,505,,500,,503,,,,,505,500,505,495,503.95</t>
  </si>
  <si>
    <t>2025-05-12 10:48:00,5850,,5850,,,6000,5800,,,,,6000,5750,5820,6000,5799.5</t>
  </si>
  <si>
    <t>2025-05-12 10:48:00,20700,,20700,,20700,,20625,,,,,21200,20200,20700,20150,20692.5</t>
  </si>
  <si>
    <t>2025-05-12 10:48:00,8850629333.35381,5450439728.16278,510.219047619047,3141,1452.00604761905,3697.29,-161.951480888073,1318.74,578.73</t>
  </si>
  <si>
    <t>2025-05-12 10:48:00,2249950228.23873,1592733751.74682,1462.73717750257,678,3288.67471542827,1818.39,-48.4409979749435,354.58,503.95</t>
  </si>
  <si>
    <t>2025-05-12 10:48:00,88674249.3406804,71217601.2714459,,429,,5672.69,-2.1280081727941,161.72,5799.5</t>
  </si>
  <si>
    <t>2025-05-12 10:48:00,236178673.85988,691734.64040767,,11,,243.73,0.0115223060173133,2.29,20692.5</t>
  </si>
  <si>
    <t>2025-05-12 10:49:00,580,,580,,580,,578.5,,,,,580,578,580,575,578.67</t>
  </si>
  <si>
    <t>2025-05-12 10:49:00,500,,505,,500,,503,,,,,505,500,505,495,503.845</t>
  </si>
  <si>
    <t>2025-05-12 10:49:00,5850,,5850,,,6000,5800,,,,,6000,5750,5820,6000,5798.75</t>
  </si>
  <si>
    <t>2025-05-12 10:49:00,20700,,20700,,20700,,20625,,,,,21200,20200,20700,20150,20688.25</t>
  </si>
  <si>
    <t>2025-05-12 10:49:00,9095063939.80521,3978369892.23952,3481.03333333333,3204,4026.44283333333,3402.41,-108.263441772907,1275.64,578.67</t>
  </si>
  <si>
    <t>2025-05-12 10:49:00,2327934408.619,960110946.478348,-295.921487029593,-83,-1004.2090690537,-277.42,-28.9687172180388,-71.97,503.845</t>
  </si>
  <si>
    <t>2025-05-12 10:49:00,88943264.3644715,56531543.3465343,,206,,3841.04,1.89169728450964,124.81,5798.75</t>
  </si>
  <si>
    <t>2025-05-12 10:49:00,231566036.314203,606924.565056581,,-4,,14.59,0.0024845885190862,-0.08,20688.25</t>
  </si>
  <si>
    <t>2025-05-12 10:50:00,580,,580,,580,,578.5,,,,,580,578,580,575,578.56</t>
  </si>
  <si>
    <t>2025-05-12 10:50:00,500,,505,,500,,503,,,,,505,500,505,495,503.71</t>
  </si>
  <si>
    <t>2025-05-12 10:50:00,5850,,5850,,,6000,5800,,,,,6000,5750,5820,6000,5797.5</t>
  </si>
  <si>
    <t>2025-05-12 10:50:00,20700,,20700,,20700,,20650,,,,,21200,20200,20700,20150,20681.5</t>
  </si>
  <si>
    <t>2025-05-12 10:50:00,9107384742.54786,3423225226.24161,-4749.09726993434,-2687,-6147.49006807705,-3331.53,160.855319142194,-1085.83,578.56</t>
  </si>
  <si>
    <t>2025-05-12 10:50:00,2278038520.78471,761671172.495945,-2753.60278902384,-1044,-2760.95090643275,-800.58,-86.808298347348,-329.85,503.71</t>
  </si>
  <si>
    <t>2025-05-12 10:50:00,89498182.5451466,44311782.4934719,,-748,,-2490.4,-1.90790463059947,-82.24,5797.5</t>
  </si>
  <si>
    <t>2025-05-12 10:50:00,236593571.703053,589752.310878807,,30,,-125.59,-0.00338118831354548,-0.96,20681.5</t>
  </si>
  <si>
    <t>2025-05-12 10:51:00,580,,580,,580,,578.5,,,,,580,578,580,575,578.08</t>
  </si>
  <si>
    <t>2025-05-12 10:51:00,500,,505,,490,,503,,,,,505,500,505,495,503.25</t>
  </si>
  <si>
    <t>2025-05-12 10:51:00,5850,,5820,,,6000,5800,,,,,6000,5750,5820,6000,5792.75</t>
  </si>
  <si>
    <t>2025-05-12 10:51:00,20700,,20700,,20700,,20625,,,,,21200,20200,20700,20150,20662.75</t>
  </si>
  <si>
    <t>2025-05-12 10:51:00,9076839226.54855,1834819484.18808,-4008.95613275609,-2768,-7724.87074386716,-4945.84,16.6357553801331,-1505.98,578.08</t>
  </si>
  <si>
    <t>2025-05-12 10:51:00,2262331818.11627,354395384.674641,420.437803454716,1341,369.283095821663,1523.19,158.189261217288,546.55,503.25</t>
  </si>
  <si>
    <t>2025-05-12 10:51:00,88342915.5711643,31107193.0829796,,-1216,,-4399.85,10.5420567977094,-210.28,5792.75</t>
  </si>
  <si>
    <t>2025-05-12 10:51:00,234624543.123453,493074.131440752,,20,,388.19,0.0255991419969163,4.02,20662.75</t>
  </si>
  <si>
    <t>2025-05-12 10:52:00,580,,580,,580,,578.5,,,,578,580,578,580,575,578.11</t>
  </si>
  <si>
    <t>2025-05-12 10:52:00,500,,505,,500,,503,,,503,,505,500,505,495,503.22</t>
  </si>
  <si>
    <t>2025-05-12 10:52:00,5850,,5820,,,6000,5800,,,,5800,6000,5750,5820,6000,5792.75</t>
  </si>
  <si>
    <t>2025-05-12 10:52:00,20700,,20700,,20700,,20625,,,,,21200,20200,20700,20150,20662.25</t>
  </si>
  <si>
    <t>2025-05-12 10:52:00,9013403640.02697,1644549023.54171,7459.5785714288,1447,15978.1844523814,-918.11,47.7882396602386,-498.36,578.11</t>
  </si>
  <si>
    <t>2025-05-12 10:52:00,2348790710.41822,226272154.393694,15177.1525493576,5142,18543.0625418487,6591.34,0.547991972635309,2114.79,503.22</t>
  </si>
  <si>
    <t>2025-05-12 10:52:00,88323270.3465354,25003060.6964155,,-216,,-6081.68,7.23809578232989,-277.45,5792.75</t>
  </si>
  <si>
    <t>2025-05-12 10:52:00,226710226.26317,462553.168885622,,11,,236.62,-0.0085135834926797,1.82,20662.25</t>
  </si>
  <si>
    <t>2025-05-12 10:53:00,580,,580,,580,,578.5,,,,,580,578,580,575,578.21</t>
  </si>
  <si>
    <t>2025-05-12 10:53:00,500,,505,,500,,503,,,,,505,500,505,495,503.31</t>
  </si>
  <si>
    <t>2025-05-12 10:53:00,5850,,5820,,,6000,5800,,,,,6000,5750,5820,6000,5794</t>
  </si>
  <si>
    <t>2025-05-12 10:53:00,20700,,20700,,20700,,20625,,,,,21200,20200,20700,20150,20664.5</t>
  </si>
  <si>
    <t>2025-05-12 10:53:00,9078134084.40238,2427803161.99377,31372.9583333336,11555,93513.6118333341,36985.44,605.833659428972,9318.63,578.21</t>
  </si>
  <si>
    <t>2025-05-12 10:53:00,2391247446.24948,355752477.273552,83.4205797101448,70,229.177701449274,-279.95,-61.5877385213934,-136.15,503.31</t>
  </si>
  <si>
    <t>2025-05-12 10:53:00,89021256.9123753,30229313.3328682,,-297,,-455.44,0.30663389348732,-40.55,5794</t>
  </si>
  <si>
    <t>2025-05-12 10:53:00,230487467.675469,501124.787854694,,-3,,133.79,0.0132650010918723,1.69,20664.5</t>
  </si>
  <si>
    <t>2025-05-12 10:55:00,580,,580,,580,,578.5,,,,,580,578,580,575,578.36</t>
  </si>
  <si>
    <t>2025-05-12 10:55:00,500,,505,,500,,503,,,,,505,500,505,495,503.485</t>
  </si>
  <si>
    <t>2025-05-12 10:55:00,5850,,5820,,,6000,5800,,,,,6000,5750,5820,6000,5795.5</t>
  </si>
  <si>
    <t>2025-05-12 10:55:00,20700,,20700,,20700,,20625,,,,,21200,20200,20700,20150,20672.5</t>
  </si>
  <si>
    <t>2025-05-12 10:55:00,9088373471.67398,3022724777.12562,-55.7353858784899,1487,-383.448058292284,674.12,-136.87803967681,338.16,578.36</t>
  </si>
  <si>
    <t>2025-05-12 10:55:00,2309535613.97973,665244043.557943,-40.8349753694581,-302,-311.207559934319,-171.4,-0.619769834890655,-60.24,503.485</t>
  </si>
  <si>
    <t>2025-05-12 10:55:00,86541439.178707,41904743.3637876,,-387,,-4505.08,-1.61201000268423,-162.54,5795.5</t>
  </si>
  <si>
    <t>2025-05-12 10:55:00,232735860.231615,560155.144667608,,-26,,-190.36,-0.0154825784076427,-2.02,20672.5</t>
  </si>
  <si>
    <t>2025-05-12 10:56:00,580,,580,,580,,578.5,,,578,,580,578,580,577,578.45</t>
  </si>
  <si>
    <t>2025-05-12 10:56:00,500,,505,,500,,503,,504,,,505,500,505,495,503.63</t>
  </si>
  <si>
    <t>2025-05-12 10:56:00,5850,,5820,,,6000,5800,,,,,6000,5750,5820,6000,5796.5</t>
  </si>
  <si>
    <t>2025-05-12 10:56:00,20700,,20700,,20700,,20650,,,,,21200,20200,20700,20150,20678.25</t>
  </si>
  <si>
    <t>2025-05-12 10:56:00,9119523379.64054,3311852700.99542,-2100.22142857143,-3017,-409.354111111135,-758.850000000001,-382.107597493138,-459.38,578.45</t>
  </si>
  <si>
    <t>2025-05-12 10:56:00,2389422360.95943,736977496.128425,-4239.74657097289,-1616,-5622.86033014354,-2099.7,-138.80362867298,-765.65,503.63</t>
  </si>
  <si>
    <t>2025-05-12 10:56:00,88890123.8406813,55765092.3327634,,-858,,-2068.02,2.59267293390831,-268.85,5796.5</t>
  </si>
  <si>
    <t>2025-05-12 10:56:00,235888204.61104,595027.729873985,,14,,-296.53,-0.00313621678520824,-3.13,20678.25</t>
  </si>
  <si>
    <t>2025-05-12 10:57:00,580,,580,,580,,578.5,,,,,580,578,580,577,578.29</t>
  </si>
  <si>
    <t>2025-05-12 10:57:00,500,,505,,500,,503,,,,,505,500,505,495,503.51</t>
  </si>
  <si>
    <t>2025-05-12 10:57:00,5850,,5820,,,6000,5800,,,,,6000,5750,5820,6000,5794.75</t>
  </si>
  <si>
    <t>2025-05-12 10:57:00,20700,,20700,,20700,,20625,,,,,21200,20200,20700,20150,20673.25</t>
  </si>
  <si>
    <t>2025-05-12 10:57:00,9086117148.40631,2430137474.88343,3413.27530114813,2822,4987.83447501412,3903,-312.741524328349,1344.88,578.29</t>
  </si>
  <si>
    <t>2025-05-12 10:57:00,2373124709.04206,572237295.335527,704.085858585859,786,687.458838383839,703.42,10.9404759544067,244.23,503.51</t>
  </si>
  <si>
    <t>2025-05-12 10:57:00,89889705.9160442,43143263.4124758,,120,,-2157.48,0.910855209512351,-63.32,5794.75</t>
  </si>
  <si>
    <t>2025-05-12 10:57:00,235352826.527625,575230.993526632,,11,,521.61,0.0101219531404246,4.23,20673.25</t>
  </si>
  <si>
    <t>2025-05-12 10:58:00,580,,580,,580,,578.5,,,,578,580,578,580,577,578.27</t>
  </si>
  <si>
    <t>2025-05-12 10:58:00,500,,505,,500,,503,,,,,505,500,505,495,503.39</t>
  </si>
  <si>
    <t>2025-05-12 10:58:00,5850,,5820,,,6000,5800,,,,,6000,5750,5820,6000,5794</t>
  </si>
  <si>
    <t>2025-05-12 10:58:00,20700,,20700,,20700,,20625,,,,,21200,20200,20700,20150,20668</t>
  </si>
  <si>
    <t>2025-05-12 10:58:00,9013243201.19934,3091060709.09983,-6170.45252525251,-1870,-10563.2686161616,-3807.69,292.43540940695,-1375.27,578.27</t>
  </si>
  <si>
    <t>2025-05-12 10:58:00,2402727990.57914,639663540.522378,666.836300309596,-871,-111.014698142416,-1269.62,10.7628638866812,-410.99,503.39</t>
  </si>
  <si>
    <t>2025-05-12 10:58:00,86087959.8567787,38373985.6575728,,331,,62.6199999999997,-1.9637153884553,24.33,5794</t>
  </si>
  <si>
    <t>2025-05-12 10:58:00,235767286.14509,552988.957493326,,3,,189.9,0.000814371470797467,1.71,20668</t>
  </si>
  <si>
    <t>2025-05-12 10:59:00,580,,580,,580,,578.5,,,,,580,578,580,577,578.19</t>
  </si>
  <si>
    <t>2025-05-12 10:59:00,500,,505,,500,,503,,,,,505,500,505,495,503.389</t>
  </si>
  <si>
    <t>2025-05-12 10:59:00,5850,,5820,,,6000,5800,,,,,6000,5750,5820,6000,5793.75</t>
  </si>
  <si>
    <t>2025-05-12 10:59:00,20700,,20700,,20700,,20625,,,,,21200,20200,20700,20150,20667</t>
  </si>
  <si>
    <t>2025-05-12 10:59:00,9153989189.01235,2123731189.31248,-2840.37771929824,-4450,-2573.91747017544,-4827.16,78.5369069805031,-1827.19,578.19</t>
  </si>
  <si>
    <t>2025-05-12 10:59:00,2407949893.10342,622296719.642286,-122.316972360912,-360,534.540294151847,-79.5000000000001,-36.5995001338988,-157.84,503.389</t>
  </si>
  <si>
    <t>2025-05-12 10:59:00,89374548.6504556,25968217.6686038,,-1977,,-1590.94,12.8516617685527,-108.42,5793.75</t>
  </si>
  <si>
    <t>2025-05-12 10:59:00,235494472.759883,546110.05024471,,-5,,-142.92,-0.0346939058221398,-1.61,20667</t>
  </si>
  <si>
    <t>2025-05-12 11:00:00,580,,580,,580,,578.5,,,,578,580,578,580,577,578.14</t>
  </si>
  <si>
    <t>2025-05-12 11:00:00,500,,505,,500,,503,,,,,505,500,505,495,503.23</t>
  </si>
  <si>
    <t>2025-05-12 11:00:00,5850,,5820,,,6000,5800,,,,,6000,5750,5820,6000,5793.25</t>
  </si>
  <si>
    <t>2025-05-12 11:00:00,20700,,20700,,20700,,20625,,,,,21200,20200,20700,20150,20662</t>
  </si>
  <si>
    <t>2025-05-12 11:00:00,9142380299.73965,1334272160.50527,-1586.5807102502,-3478,-2167.62734624697,-3333.11,80.4054741440045,-1270.31,578.14</t>
  </si>
  <si>
    <t>2025-05-12 11:00:00,2378618823.24027,175140721.652522,632.525333563377,-192,-52.1752865254938,-2230.08,11.8318614942943,-494.8,503.23</t>
  </si>
  <si>
    <t>2025-05-12 11:00:00,89641477.7151538,17851746.7401063,,-471,,1309.9,-4.32017259963976,67.66,5793.25</t>
  </si>
  <si>
    <t>2025-05-12 11:00:00,237884196.333727,505188.346593389,,-13,,-141.4,0.00421521631918406,-1.2,20662</t>
  </si>
  <si>
    <t>2025-05-12 11:01:00,580,,580,,580,,578.5,,,,,580,578,580,577,578.21</t>
  </si>
  <si>
    <t>2025-05-12 11:01:00,500,,505,,500,,503,,,,,505,500,506,495,503.37</t>
  </si>
  <si>
    <t>2025-05-12 11:01:00,5850,,5820,,,6000,5800,,,,,6000,5750,5820,6000,5794</t>
  </si>
  <si>
    <t>2025-05-12 11:01:00,20700,,20700,,20700,,20625,,,,,21200,20200,20700,20150,20667.25</t>
  </si>
  <si>
    <t>2025-05-12 11:01:00,8989182251.46706,3186236401.46086,-2913.09126984127,-3586,-5224.12176984127,-7797.2,-308.324262225808,-2630.21,578.21</t>
  </si>
  <si>
    <t>2025-05-12 11:01:00,2361410027.59264,793003910.304069,479.931798245614,371,619.823280701755,505.94,-71.3318994539779,154.45,503.37</t>
  </si>
  <si>
    <t>2025-05-12 11:01:00,87421900.0545536,30801456.4445452,,-393,,-3240.59,-1.79199821812187,-124.23,5794</t>
  </si>
  <si>
    <t>2025-05-12 11:01:00,235325400.800667,550369.92393488,,-18,,-456.63,0.0118296304118743,-4.19,20667.25</t>
  </si>
  <si>
    <t>2025-05-12 11:02:00,580,,580,,580,,578.5,,,,,580,578,580,577,578.44</t>
  </si>
  <si>
    <t>2025-05-12 11:02:00,500,,505,,500,,503,,,,,505,500,506,495,503.59</t>
  </si>
  <si>
    <t>2025-05-12 11:02:00,5850,,5820,,,6000,5800,,,,,6000,5750,5820,6000,5796.75</t>
  </si>
  <si>
    <t>2025-05-12 11:02:00,20700,,20700,,20700,,20625,,,,,21200,20200,20700,20150,20677.5</t>
  </si>
  <si>
    <t>2025-05-12 11:02:00,9186015092.57942,3102040110.89408,-3248.03452380954,-2972,-5360.97265476192,-4392.15,113.694685722251,-1112.16,578.44</t>
  </si>
  <si>
    <t>2025-05-12 11:02:00,2341849015.20724,750868410.599319,124.0611182677,1530,-516.200938443131,-191.08,-122.833864057462,134.57,503.59</t>
  </si>
  <si>
    <t>2025-05-12 11:02:00,88416459.1881077,46389163.9456899,,477,,-490.37,0.285965347369156,21.01,5796.75</t>
  </si>
  <si>
    <t>2025-05-12 11:02:00,240157313.370495,611691.097103084,,-11,,-568.81,0.0426184118157529,-4.57,20677.5</t>
  </si>
  <si>
    <t>2025-05-12 11:03:00,580,,580,,580,,578.5,,,,,580,578,580,577,578.27</t>
  </si>
  <si>
    <t>2025-05-12 11:03:00,500,,505,,500,,503,,,,,505,500,505,495,503.41</t>
  </si>
  <si>
    <t>2025-05-12 11:03:00,5850,,5820,,,6000,5800,,,,,6000,5750,5820,6000,5794.5</t>
  </si>
  <si>
    <t>2025-05-12 11:03:00,20700,,20700,,20700,,20625,,,,,21200,20200,20700,20150,20668.5</t>
  </si>
  <si>
    <t>2025-05-12 11:03:00,9118303086.47842,801200819.406525,2805.33678191177,2338,3281.52353979952,943.77,66.6842842776083,268.62,578.27</t>
  </si>
  <si>
    <t>2025-05-12 11:03:00,2407399625.29608,233818343.500939,2327.4012899106,1368,2862.50648595147,1432.36,-75.2618208368468,565.54,503.41</t>
  </si>
  <si>
    <t>2025-05-12 11:03:00,90899662.306901,31830658.2716259,,2103,,7428.38,3.292569067704,336.57,5794.5</t>
  </si>
  <si>
    <t>2025-05-12 11:03:00,232314029.026207,518163.891986886,,10,,349.79,0.00114784988294165,3.49,20668.5</t>
  </si>
  <si>
    <t>2025-05-12 11:04:00,580,,580,,580,,578.5,,,578,,580,578,580,575,578.42</t>
  </si>
  <si>
    <t>2025-05-12 11:04:00,500,,505,,500,,503,,,,,505,500,505,495,503.55</t>
  </si>
  <si>
    <t>2025-05-12 11:04:00,5850,,5820,,,6000,5800,,,,,6000,5750,5820,6000,5795.25</t>
  </si>
  <si>
    <t>2025-05-12 11:04:00,20700,,20700,,20700,,20625,,,,,21200,20200,20700,20150,20674.75</t>
  </si>
  <si>
    <t>2025-05-12 11:04:00,9185892878.43256,3278697969.67671,6072.60674603175,6386,7971.29825793652,8904.27,-133.168685010113,2976.33,578.42</t>
  </si>
  <si>
    <t>2025-05-12 11:04:00,2265727041.76145,795595838.36358,1210.04956905839,2407,1606.18509836242,2383.64,73.7374430441053,962.74,503.55</t>
  </si>
  <si>
    <t>2025-05-12 11:04:00,88308197.5649007,42868110.8845288,,857,,8684.27,-1.67411770328176,363.67,5795.25</t>
  </si>
  <si>
    <t>2025-05-12 11:04:00,237600936.786135,616468.338998429,,2,,54.12,0.037248579899246,1.14,20674.75</t>
  </si>
  <si>
    <t>2025-05-12 11:05:00,580,,580,,580,,578.5,,,,,580,578,580,577,578.82</t>
  </si>
  <si>
    <t>2025-05-12 11:05:00,500,,505,,500,,503,,,,,505,500,505,495,503.93</t>
  </si>
  <si>
    <t>2025-05-12 11:05:00,5850,,5820,,,6000,5800,5810,,,,6000,5750,5820,6000,5800.25</t>
  </si>
  <si>
    <t>2025-05-12 11:05:00,20700,,20700,,20700,,20625,,,,,21200,20200,20700,20150,20690.5</t>
  </si>
  <si>
    <t>2025-05-12 11:05:00,9092098925.16044,5087493417.91497,3014.21077547241,7061,2501.88851232922,5952.62,-47.5296029064177,2697.79,578.82</t>
  </si>
  <si>
    <t>2025-05-12 11:05:00,2266203568.04758,1429284593.782,808.457407407407,1445,716.651407407408,1115.2,104.722741863883,490.5,503.93</t>
  </si>
  <si>
    <t>2025-05-12 11:05:00,89187036.5198393,82997317.7843701,,-705,,-11315.2,-3.18951845010584,-244.18,5800.25</t>
  </si>
  <si>
    <t>2025-05-12 11:05:00,235416671.800151,690473.032033483,,-16,,-415.88,-0.0104922067745332,-4.15,20690.5</t>
  </si>
  <si>
    <t>2025-05-12 11:06:00,580,,580,,580,,577.5,,579,,,580,578,580,577,579.01</t>
  </si>
  <si>
    <t>2025-05-12 11:06:00,500,,505,,500,,503,,,,,505,500,505,495,504.1</t>
  </si>
  <si>
    <t>2025-05-12 11:06:00,5850,,5820,,,6000,5800,,5810,,,6000,5750,5820,6000,5802.25</t>
  </si>
  <si>
    <t>2025-05-12 11:06:00,20700,,20700,,20700,,20625,,,,,21200,20200,20700,20150,20698</t>
  </si>
  <si>
    <t>2025-05-12 11:06:00,9004479356.18841,7280572282.17034,-2622.73055555555,-10337,2507.48255555556,-6977.25,-1133.62721363326,-4255.81,579.01</t>
  </si>
  <si>
    <t>2025-05-12 11:06:00,2248280747.71357,1989683557.38873,678.290193539405,1607,861.410632344753,1071.24,1.86267535458047,403.33,504.1</t>
  </si>
  <si>
    <t>2025-05-12 11:06:00,87896892.3504812,110864509.389009,,-946,,-15138.14,-12.5355930019778,-490.79,5802.25</t>
  </si>
  <si>
    <t>2025-05-12 11:06:00,237436037.872947,757071.771763687,,-10,,-190.08,0.00873030054561467,-2.1,20698</t>
  </si>
  <si>
    <t>2025-05-12 11:07:00,580,,580,,580,,578.5,,579,,,580,578,580,577,578.95</t>
  </si>
  <si>
    <t>2025-05-12 11:07:00,500,,505,,500,,503,,,,,505,500,505,495,504.02</t>
  </si>
  <si>
    <t>2025-05-12 11:07:00,5850,,5820,,,6000,5800,,,,,6000,5750,5820,6000,5801</t>
  </si>
  <si>
    <t>2025-05-12 11:07:00,20700,,20700,,20700,,20625,,,,,21200,20200,20700,20150,20693.75</t>
  </si>
  <si>
    <t>2025-05-12 11:07:00,9065272632.52865,6293325530.6715,900.563095238093,-10066,3813.51177380951,-16858.69,-1131.18102960127,-5705.54,578.95</t>
  </si>
  <si>
    <t>2025-05-12 11:07:00,2302976716.35215,1537597738.27198,590.382960717444,1372,832.684945054948,1293.97,60.429688771858,473.87,504.02</t>
  </si>
  <si>
    <t>2025-05-12 11:07:00,92254202.4630619,95113358.4181855,,1292,,4471.16,4.01466152139145,150.61,5801</t>
  </si>
  <si>
    <t>2025-05-12 11:07:00,236743269.530132,708797.601664868,,7,,76.69,0.00559106842136511,1.02,20693.75</t>
  </si>
  <si>
    <t>2025-05-12 11:08:00,580,,580,,580,,578.5,,,,,580,578,580,577,578.91</t>
  </si>
  <si>
    <t>2025-05-12 11:08:00,500,,505,,500,,503,,,,,505,500,505,495,504.02</t>
  </si>
  <si>
    <t>2025-05-12 11:08:00,5850,,5820,,,6000,5800,,,,,6000,5750,5820,6000,5801</t>
  </si>
  <si>
    <t>2025-05-12 11:08:00,20700,,20700,,20700,,20650,,,,,21200,20200,20700,20150,20694.25</t>
  </si>
  <si>
    <t>2025-05-12 11:08:00,9159897716.08016,5758057428.45179,-1547.88888888889,-2455,-2124.41744444445,-3902.37,-21.4368457526466,-1516.45,578.91</t>
  </si>
  <si>
    <t>2025-05-12 11:08:00,2394843257.76295,1447870084.01704,-882.033262322473,560,-993.789634502924,19.3699999999999,-165.900125115494,171.72,504.02</t>
  </si>
  <si>
    <t>2025-05-12 11:08:00,92605077.9741712,95397911.927288,,-407,,-2377.31,-4.23667085775474,-138.14,5801</t>
  </si>
  <si>
    <t>2025-05-12 11:08:00,235462811.442422,705941.572949057,,15,,-1.63,0.027285965791381,0.18,20694.25</t>
  </si>
  <si>
    <t>2025-05-12 11:09:00,580,,580,,580,,578.5,,,,,580,578,580,577,578.88</t>
  </si>
  <si>
    <t>2025-05-12 11:09:00,500,,505,,500,,503,,,,,505,500,505,495,504.01</t>
  </si>
  <si>
    <t>2025-05-12 11:09:00,5850,,5820,,,6000,5800,,,,,6000,5750,5820,6000,5800.75</t>
  </si>
  <si>
    <t>2025-05-12 11:09:00,20700,,20700,,20700,,20650,,,,,21200,20200,20700,20150,20694.5</t>
  </si>
  <si>
    <t>2025-05-12 11:09:00,9179075525.06236,5697997158.87049,-5162.58888888889,-5927,-4382.36450793651,-3892.13,-201.889529167295,-1861.13,578.88</t>
  </si>
  <si>
    <t>2025-05-12 11:09:00,2320187381.63631,1368326205.46612,-355.549717017263,-75,-523.380278916487,-281.86,106.267432738283,-89.45,504.01</t>
  </si>
  <si>
    <t>2025-05-12 11:09:00,93046978.7666854,91323998.831498,,-341,,-1206.28,-3.88741589876997,-89.25,5800.75</t>
  </si>
  <si>
    <t>2025-05-12 11:09:00,235537997.72609,707164.681395497,,19,,159.26,-0.00221455315035933,1.81,20694.5</t>
  </si>
  <si>
    <t>2025-05-12 11:10:00,580,,580,,580,,578.5,,,,,580,578,580,575,579.15</t>
  </si>
  <si>
    <t>2025-05-12 11:10:00,500,,505,,500,,503,,,,504,505,500,505,495,504.29</t>
  </si>
  <si>
    <t>2025-05-12 11:10:00,5850,,5820,,,6000,5800,,,,,6000,5750,5820,6000,5803.5</t>
  </si>
  <si>
    <t>2025-05-12 11:10:00,20700,,20700,,20700,,20650,,,,,21200,20200,20700,20150,20705.25</t>
  </si>
  <si>
    <t>2025-05-12 11:10:00,9206571168.68871,6761044525.28059,1400.4341991342,990,386.452549062047,-4106.32,-1124.35874012291,-1268.85,579.15</t>
  </si>
  <si>
    <t>2025-05-12 11:10:00,2239833569.63199,1766350626.24422,-1721.57240215924,-1577,-810.96203113553,-1699.64,-29.7773690204947,-806.4,504.29</t>
  </si>
  <si>
    <t>2025-05-12 11:10:00,89366295.7192849,119826689.350292,,-618,,-2370.88,-4.3647189588312,-71.29,5803.5</t>
  </si>
  <si>
    <t>2025-05-12 11:10:00,238222825.262305,785536.914013673,,-5,,-191.36,0.0111931005958037,-2.57,20705.25</t>
  </si>
  <si>
    <t>2025-05-12 11:11:00,580,,580,,580,,578.5,,,,,580,578,576,575,578.81</t>
  </si>
  <si>
    <t>2025-05-12 11:11:00,500,,505,,500,,503,,,,,505,500,505,495,504.01</t>
  </si>
  <si>
    <t>2025-05-12 11:11:00,5850,,5820,,,6000,5800,,,,,6000,5750,5820,6000,5800.25</t>
  </si>
  <si>
    <t>2025-05-12 11:11:00,20700,,20700,,20700,,20650,,,,,21200,20200,20700,20150,20692</t>
  </si>
  <si>
    <t>2025-05-12 11:11:00,9191241078.38577,5720136461.26282,-2175.56017316017,-5202,122.17990692641,-2369.02,-324.185069546907,-1369.04,578.81</t>
  </si>
  <si>
    <t>2025-05-12 11:11:00,2259846271.08541,1290538504.36412,1219.16893047837,2032,1788.18952582544,2758.09,-166.969324770175,940.9,504.01</t>
  </si>
  <si>
    <t>2025-05-12 11:11:00,90934393.4404549,97632998.8242711,,-85,,2428.88,-0.484608351275014,72.22,5800.25</t>
  </si>
  <si>
    <t>2025-05-12 11:11:00,239801930.677226,703984.430761546,,21,,681.14,0.00924069789261464,6.96,20692</t>
  </si>
  <si>
    <t>2025-05-12 11:12:00,580,,580,,580,,578.5,,,,,580,578,576,575,578.975</t>
  </si>
  <si>
    <t>2025-05-12 11:12:00,500,,505,,500,,503,,,,,505,500,505,495,504.17</t>
  </si>
  <si>
    <t>2025-05-12 11:12:00,5850,,5820,,,6000,5800,,,,,6000,5750,5820,6000,5801.75</t>
  </si>
  <si>
    <t>2025-05-12 11:12:00,20700,,20700,,20700,,20650,,,,,21200,20200,20700,20150,20700.25</t>
  </si>
  <si>
    <t>2025-05-12 11:12:00,9222566713.16146,6211410338.3125,-1599.65,-343,-1828.50744444444,-1406.88,26.9065081316018,-391.02,578.975</t>
  </si>
  <si>
    <t>2025-05-12 11:12:00,2248212402.8678,1475176747.15635,-2801.38329121965,-3054,-2316.68141521504,-2550.05,71.6125531311796,-1289.57,504.17</t>
  </si>
  <si>
    <t>2025-05-12 11:12:00,92341691.1807919,107023537.776401,,-467,,38.6599999999999,5.08927292847117,-17.73,5801.75</t>
  </si>
  <si>
    <t>2025-05-12 11:12:00,239144812.822521,755864.686891973,,1,,278.13,0.00583058147875559,2.02,20700.25</t>
  </si>
  <si>
    <t>2025-05-12 11:13:00,580,,580,,580,,578.5,,,,,580,578,580,575,578.95</t>
  </si>
  <si>
    <t>2025-05-12 11:13:00,500,,505,,500,,503,504,,,,505,500,505,495,504.23</t>
  </si>
  <si>
    <t>2025-05-12 11:13:00,5850,,5820,,,6000,5800,,,,,6000,5750,5820,6000,5801.25</t>
  </si>
  <si>
    <t>2025-05-12 11:13:00,20700,,20700,,20700,,20650,,,,,21200,20200,20700,20150,20703.5</t>
  </si>
  <si>
    <t>2025-05-12 11:13:00,9227834488.8865,5897571094.0616,8352.71486291486,3999,9072.6938903319,3993.59,-15.9406408096994,1614.91,578.95</t>
  </si>
  <si>
    <t>2025-05-12 11:13:00,2359495307.02671,1478183205.21202,8106.65476927613,3078,10235.6642576294,4025,-20.2874368996591,1431.73,504.23</t>
  </si>
  <si>
    <t>2025-05-12 11:13:00,91152847.3673849,97445971.0972983,,583,,3505.28,1.41299457987251,151.86,5801.25</t>
  </si>
  <si>
    <t>2025-05-12 11:13:00,246571177.652965,810542.724756338,,12,,932.58,0.0297753058889579,7.64,20703.5</t>
  </si>
  <si>
    <t>2025-05-12 11:14:00,580,,580,,580,,578.5,,,,,580,578,576,575,579.05</t>
  </si>
  <si>
    <t>2025-05-12 11:14:00,500,,505,,500,,503,,,,,505,500,505,495,504.33</t>
  </si>
  <si>
    <t>2025-05-12 11:14:00,5850,,5820,,,6000,5800,,,,,6000,5750,5820,6000,5802.5</t>
  </si>
  <si>
    <t>2025-05-12 11:14:00,20700,,20700,,20700,,20650,,,,,21200,20200,20700,20150,20707.75</t>
  </si>
  <si>
    <t>2025-05-12 11:14:00,9219794522.11982,6652686898.53532,521.242857142856,575,1221.42439682538,326.22,-252.107811485801,61.47,579.05</t>
  </si>
  <si>
    <t>2025-05-12 11:14:00,2394732539.18368,1891623962.82402,2997.575,2610,2283.253,1120.53,67.2113192415544,657.57,504.33</t>
  </si>
  <si>
    <t>2025-05-12 11:14:00,90977274.2324116,114305463.083686,,661,,4292.23,0.383735794535853,207.06,5802.5</t>
  </si>
  <si>
    <t>2025-05-12 11:14:00,241028668.177511,834042.655759035,,-5,,-91.69,0.0164162577414657,-0.91,20707.75</t>
  </si>
  <si>
    <t>2025-05-12 11:15:00,580,,580,,580,,578.5,,,,,580,578,576,575,579.105</t>
  </si>
  <si>
    <t>2025-05-12 11:15:00,500,,505,,500,,503,,,,,505,500,505,495,504.34</t>
  </si>
  <si>
    <t>2025-05-12 11:15:00,5850,,5820,,,6000,5800,,,,,6000,5750,5820,6000,5802.75</t>
  </si>
  <si>
    <t>2025-05-12 11:15:00,20700,,20700,,20700,,20650,,,,,21200,20200,20700,20150,20708.5</t>
  </si>
  <si>
    <t>2025-05-12 11:15:00,9152782240.18348,7089423006.58837,-4867.7421274962,-2893,-7327.07772695858,-3297.55,120.987558195552,-1373.45,579.105</t>
  </si>
  <si>
    <t>2025-05-12 11:15:00,2230150694.17164,1769910181.70132,-3585.97532062141,-2545,-3070.74755459613,-2404.13,36.4622620460306,-1003.52,504.34</t>
  </si>
  <si>
    <t>2025-05-12 11:15:00,91352775.3953108,111254383.841879,,-1215,,-8307.06,-1.61124838321919,-253.12,5802.75</t>
  </si>
  <si>
    <t>2025-05-12 11:15:00,238872882.293797,830374.901572202,,13,,32.49,-0.0187873451462754,-0.17,20708.5</t>
  </si>
  <si>
    <t>2025-05-12 11:16:00,580,,580,,580,,577.5,,,,,580,578,576,575,579.13</t>
  </si>
  <si>
    <t>2025-05-12 11:16:00,500,,505,,500,,503,,,,,505,500,506,495,504.43</t>
  </si>
  <si>
    <t>2025-05-12 11:16:00,5850,,5820,,,6000,5800,,,,,6000,5750,5820,6000,5803</t>
  </si>
  <si>
    <t>2025-05-12 11:16:00,20700,,20700,,20700,,20650,,,,,21200,20200,20700,20150,20711.75</t>
  </si>
  <si>
    <t>2025-05-12 11:16:00,9171087076.18614,7295934571.51081,-3108.20555555557,-3608,-3261.73194444446,-4643,-142.867680434863,-1979,579.13</t>
  </si>
  <si>
    <t>2025-05-12 11:16:00,2348064418.33645,2021479219.64449,-411.764705882353,-358,-106.332401960785,-91.0399999999999,-105.288088716649,-129.52,504.43</t>
  </si>
  <si>
    <t>2025-05-12 11:16:00,92231339.6347061,119514365.195397,,53,,-266.86,1.78551444050359,-63.31,5803</t>
  </si>
  <si>
    <t>2025-05-12 11:16:00,240631743.274489,863285.045189234,,0,,-105.77,0.00830416476831582,-1.18,20711.75</t>
  </si>
  <si>
    <t>2025-05-12 11:17:00,580,,580,,580,,578.5,,,,,580,578,580,575,579.12</t>
  </si>
  <si>
    <t>2025-05-12 11:17:00,500,,505,,500,,503,,,,,505,500,506,495,504.45</t>
  </si>
  <si>
    <t>2025-05-12 11:17:00,5850,,5820,,,6000,5800,,,,,6000,5750,5820,6000,5803.25</t>
  </si>
  <si>
    <t>2025-05-12 11:17:00,20700,,20700,,20700,,20650,,,,,21200,20200,20700,20150,20713</t>
  </si>
  <si>
    <t>2025-05-12 11:17:00,9336629278.82832,7316279635.49194,3248.36286549708,4608,4208.21815789474,4926.78,225.513233052434,1906.26,579.12</t>
  </si>
  <si>
    <t>2025-05-12 11:17:00,2377302721.04422,1914992578.98754,-1603.94804987212,-1498,-364.944900468887,-745.9,30.9309131907587,-335.83,504.45</t>
  </si>
  <si>
    <t>2025-05-12 11:17:00,95256583.8762213,124724395.681661,,333,,2203.42,-2.28084905329593,69.31,5803.25</t>
  </si>
  <si>
    <t>2025-05-12 11:17:00,242047367.287469,877466.792935142,,0,,111.12,0.000494220921408563,1.28,20713</t>
  </si>
  <si>
    <t>2025-05-12 11:18:00,580,,580,,580,,578.5,,,,,580,578,576,575,579.23</t>
  </si>
  <si>
    <t>2025-05-12 11:18:00,500,,505,,500,,503,,505,,,505,500,506,495,504.61</t>
  </si>
  <si>
    <t>2025-05-12 11:18:00,5850,,5820,,,6000,5800,,,,,6000,5750,5820,6000,5804.5</t>
  </si>
  <si>
    <t>2025-05-12 11:18:00,20700,,20700,,20700,,20650,,,,,21200,20200,20700,20150,20719.25</t>
  </si>
  <si>
    <t>2025-05-12 11:18:00,9152817770.51542,7632764972.51351,-1873.92063492063,-2063,-599.32149603174,-1595.68,-299.470110849434,-937.14,579.23</t>
  </si>
  <si>
    <t>2025-05-12 11:18:00,2273984052.52271,2217869662.80807,-1926.83653959456,-2866,-403.108646192051,-1758.01,-76.301729134628,-1098.68,504.61</t>
  </si>
  <si>
    <t>2025-05-12 11:18:00,93019109.9235532,140451807.192146,,-15,,-2368.95,-0.531212613521491,-156.84,5804.5</t>
  </si>
  <si>
    <t>2025-05-12 11:18:00,240090932.97206,905173.508107896,,-4,,-168.26,0.0136583645076471,-1.5,20719.25</t>
  </si>
  <si>
    <t>2025-05-12 11:19:00,580,,580,,580,,577.5,,,,,580,578,576,575,579.05</t>
  </si>
  <si>
    <t>2025-05-12 11:19:00,500,,505,,500,,503,,505,,,505,500,508,495,504.52</t>
  </si>
  <si>
    <t>2025-05-12 11:19:00,5850,,5820,,,6000,5800,,,,,6000,5750,5820,6000,5802.5</t>
  </si>
  <si>
    <t>2025-05-12 11:19:00,20700,,20700,,20700,,20650,,,,,21200,20200,20700,20150,20716.5</t>
  </si>
  <si>
    <t>2025-05-12 11:19:00,9141363256.4668,7923427539.55931,-5215.77976190476,-4056,-6271.37572619048,-4032.99,279.062720695882,-1575.96,579.05</t>
  </si>
  <si>
    <t>2025-05-12 11:19:00,2231130855.16788,2064757081.5176,-4913.23863636364,-5009,-6641.97811688313,-6299.16,75.4552481082862,-2356.09,504.52</t>
  </si>
  <si>
    <t>2025-05-12 11:19:00,88296694.458645,124936776.92812,,-1532,,-7200.5,-2.65738705373373,-306.96,5802.5</t>
  </si>
  <si>
    <t>2025-05-12 11:19:00,249511908.388901,925768.49308242,,-2,,234.12,-0.00307216330239872,1.79,20716.5</t>
  </si>
  <si>
    <t>2025-05-12 11:20:00,580,,580,,580,,577.5,,,,,580,578,576,575,579.22</t>
  </si>
  <si>
    <t>2025-05-12 11:20:00,500,,505,,500,,503,,505,,,505,500,508,495,504.63</t>
  </si>
  <si>
    <t>2025-05-12 11:20:00,5900,,5820,,,6000,5800,,,,,6000,5750,5820,6000,5804</t>
  </si>
  <si>
    <t>2025-05-12 11:20:00,20700,,20700,,20700,,20650,,,,,21200,20200,20700,20150,20721.5</t>
  </si>
  <si>
    <t>2025-05-12 11:20:00,9133289084.55111,8748546547.30552,-4573.87857142859,-2117,-6224.80642857144,-1722.78,-402.106888487492,-665.45,579.22</t>
  </si>
  <si>
    <t>2025-05-12 11:20:00,2358253576.52718,2260997278.2993,-3169.42523809524,-1772,-4288.30890476191,-2321.18,-103.099152954294,-873.56,504.63</t>
  </si>
  <si>
    <t>2025-05-12 11:20:00,91427954.4964185,128304683.688492,,-400,,-1182.36,2.541066297062,-32.41,5804</t>
  </si>
  <si>
    <t>2025-05-12 11:20:00,243550348.687946,917388.267894524,,-6,,-230,0.00974611336439976,-2.48,20721.5</t>
  </si>
  <si>
    <t>2025-05-12 11:22:00,580,,580,,580,,577.5,,,,,580,578,576,575,579.3</t>
  </si>
  <si>
    <t>2025-05-12 11:22:00,500,,505,,500,,503,,,,,505,500,508,495,504.69</t>
  </si>
  <si>
    <t>2025-05-12 11:22:00,5850,,5820,,,6000,5800,,,,,6000,5750,5820,6000,5804.5</t>
  </si>
  <si>
    <t>2025-05-12 11:22:00,20700,,20700,,20700,,20650,,,,,21200,20200,20700,20150,20722.5</t>
  </si>
  <si>
    <t>2025-05-12 11:22:00,9245908027.90158,8687347331.4613,-972.552777777778,-496,-666.717055555559,-731.1,310.455041047264,-102.92,579.3</t>
  </si>
  <si>
    <t>2025-05-12 11:22:00,2224735188.85544,2202496809.71654,-3235.02295482295,-2384,-2126.14308791209,-1968.73,136.045194260606,-798.66,504.69</t>
  </si>
  <si>
    <t>2025-05-12 11:22:00,93652778.5879623,134370026.150718,,-32,,-1460.72,1.30969080277756,-6.37000000000002,5804.5</t>
  </si>
  <si>
    <t>2025-05-12 11:22:00,247956148.023388,945345.287892371,,-10,,-633.26,0.0127019602029521,-5.78,20722.5</t>
  </si>
  <si>
    <t>2025-05-12 11:23:00,580,,580,,580,,578.5,,,,,580,578,580,575,579.48</t>
  </si>
  <si>
    <t>2025-05-12 11:23:00,500,,505,,500,,503,,505,,,505,500,508,495,504.8</t>
  </si>
  <si>
    <t>2025-05-12 11:23:00,5900,,5820,,,6000,5800,,,,,6000,5750,5820,6000,5806.75</t>
  </si>
  <si>
    <t>2025-05-12 11:23:00,20700,,20700,,20700,,20650,,,,,21200,20200,20700,20150,20727.5</t>
  </si>
  <si>
    <t>2025-05-12 11:23:00,9224853723.27541,9661822394.32908,-2803.27063492064,-1156,-5188.58606349206,-5430.93,382.421952441033,-1432.51,579.48</t>
  </si>
  <si>
    <t>2025-05-12 11:23:00,2236545780.25493,2335145843.30135,-3562.8532981174,-3617,-3128.75778036079,-3921.97,72.6440828894137,-1622.04,504.8</t>
  </si>
  <si>
    <t>2025-05-12 11:23:00,94019914.7811833,155847005.70832,,-412,,-6942.65,-5.17938573313153,-251.86,5806.75</t>
  </si>
  <si>
    <t>2025-05-12 11:23:00,242280826.508009,979905.152111473,,1,,-99.82,-0.00932420500909442,-0.88,20727.5</t>
  </si>
  <si>
    <t>2025-05-12 11:24:00,580,,580,,580,,578.5,,580,,,580,578,576,577,579.675</t>
  </si>
  <si>
    <t>2025-05-12 11:24:00,500,,505,,500,,503,,505,,,505,500,508,495,504.99</t>
  </si>
  <si>
    <t>2025-05-12 11:24:00,5900,,5830,,,6000,5800,,,,,6000,5750,5820,6000,5809</t>
  </si>
  <si>
    <t>2025-05-12 11:24:00,20700,,20700,,20700,,20650,,,,,21200,20200,20700,20150,20734.75</t>
  </si>
  <si>
    <t>2025-05-12 11:24:00,9266661888.02962,10116977226.2406,-7687.86951659451,-9126,-7569.30289141413,-10940.95,-642.671412377759,-4275.76,579.675</t>
  </si>
  <si>
    <t>2025-05-12 11:24:00,2294999102.02564,2668971775.69063,-4904.12928841479,-5124,-3076.4116231391,-4472.34,152.179297034818,-1710.53,504.99</t>
  </si>
  <si>
    <t>2025-05-12 11:24:00,95263664.6998409,182353199.460137,,-271,,1937.69,-1.28063770572026,129.92,5809</t>
  </si>
  <si>
    <t>2025-05-12 11:24:00,251707836.332025,1076056.89628055,,12,,-128.65,0.0316436901404629,-0.0299999999999997,20734.75</t>
  </si>
  <si>
    <t>2025-05-12 11:25:00,580,,580,,580,,577.5,,580,,,580,578,576,577,579.79</t>
  </si>
  <si>
    <t>2025-05-12 11:25:00,500,,505,,500,,503,,505,,,505,500,508,495,505</t>
  </si>
  <si>
    <t>2025-05-12 11:25:00,5900,,5830,,,6000,5800,,,,,6000,5750,5820,6000,5809.75</t>
  </si>
  <si>
    <t>2025-05-12 11:25:00,20700,,20700,,20700,,20650,,,,,21200,20200,20700,20150,20735.75</t>
  </si>
  <si>
    <t>2025-05-12 11:25:00,9116632161.57611,11209047875.6492,-2178.68968253971,-9844,1336.65140476185,-6847.43,-173.916363305274,-3336.84,579.79</t>
  </si>
  <si>
    <t>2025-05-12 11:25:00,2372950922.8484,2600821870.33719,-1477.10301857585,-417,-1389.38744414344,-1250.91,84.180968056752,-517.31,505</t>
  </si>
  <si>
    <t>2025-05-12 11:25:00,94805128.1805005,191418983.662622,,-639,,-4621.25,-7.74697415054251,-194.89,5809.75</t>
  </si>
  <si>
    <t>2025-05-12 11:25:00,241006263.639094,1051105.32285929,,-6,,-73.03,0.0157419603583971,-0.97,20735.75</t>
  </si>
  <si>
    <t>2025-05-12 11:26:00,580,,580,,580,,577.5,,,,,580,578,576,577,579.78</t>
  </si>
  <si>
    <t>2025-05-12 11:26:00,500,,505,,500,,503,,505,,,505,500,506,495,504.97</t>
  </si>
  <si>
    <t>2025-05-12 11:26:00,5900,,5830,,,6000,5800,,,,,6000,5750,5820,6000,5809.75</t>
  </si>
  <si>
    <t>2025-05-12 11:26:00,20700,,20700,,20700,,20650,,,,,21200,20200,20700,20150,20733.75</t>
  </si>
  <si>
    <t>2025-05-12 11:26:00,9222433907.97697,11495490864.1235,1290.75284208545,1848,2545.23604065499,2034.64,529.69695217034,816.59,579.78</t>
  </si>
  <si>
    <t>2025-05-12 11:26:00,2204876015.24827,2609834693.55237,386.431008044242,231,616.679784690797,-437.19,-122.496819763509,-198.68,504.97</t>
  </si>
  <si>
    <t>2025-05-12 11:26:00,95100504.2578335,197775097.874643,,299,,11029.08,-6.24230905720592,324.99,5809.75</t>
  </si>
  <si>
    <t>2025-05-12 11:26:00,242891129.561135,1045352.21571972,,-2,,85.06,0.0180549008645303,0.6,20733.75</t>
  </si>
  <si>
    <t>2025-05-12 11:27:00,580,,580,,580,,578.5,,580,,,580,578,576,577,579.745</t>
  </si>
  <si>
    <t>2025-05-12 11:27:00,500,,505,,500,,503,,,,,505,500,508,495,504.979</t>
  </si>
  <si>
    <t>2025-05-12 11:27:00,5900,,5830,,,6000,5800,,,,,6000,5750,5820,6000,5809.75</t>
  </si>
  <si>
    <t>2025-05-12 11:27:00,20700,,20700,,20700,,20650,,,,,21200,20200,20700,20150,20734</t>
  </si>
  <si>
    <t>2025-05-12 11:27:00,9193590620.48459,11277020841.3758,-860.141269841267,-4584,375.041257936514,-4472.62,-263.267751578813,-1899.61,579.745</t>
  </si>
  <si>
    <t>2025-05-12 11:27:00,2227890806.42312,2665375691.6284,-1282.0955165692,-1609,-1314.32305068226,-2046.75,-42.2933563391488,-756.53,504.979</t>
  </si>
  <si>
    <t>2025-05-12 11:27:00,95100406.927837,193097217.490824,,-763,,-5932.06,-5.72982590112223,-236.15,5809.75</t>
  </si>
  <si>
    <t>2025-05-12 11:27:00,240971735.314037,1041057.10787831,,-15,,-271.67,0.00497490667562371,-3.26,20734</t>
  </si>
  <si>
    <t>2025-05-12 11:28:00,580,,580,,580,,578.5,,,,,580,578,576,577,579.52</t>
  </si>
  <si>
    <t>2025-05-12 11:28:00,500,,505,,500,,503,,,,,505,500,508,495,504.83</t>
  </si>
  <si>
    <t>2025-05-12 11:28:00,5900,,5830,,,6000,5800,,,,,6000,5750,5820,6000,5807.25</t>
  </si>
  <si>
    <t>2025-05-12 11:28:00,20700,,20700,,20700,,20650,,,,,21200,20200,20700,20150,20729</t>
  </si>
  <si>
    <t>2025-05-12 11:28:00,9283647733.32495,10161998153.0586,1270.0619047619,878,1503.66660714285,1044.38,217.579454691857,461.96,579.52</t>
  </si>
  <si>
    <t>2025-05-12 11:28:00,2268841677.66946,2404848063.31023,452.549516908211,267,574.809082125605,-60.2999999999999,6.85777765939077,-59.5399999999999,504.83</t>
  </si>
  <si>
    <t>2025-05-12 11:28:00,97244838.083749,173214890.35531,,745,,5153.96,-4.19400005706168,202.91,5807.25</t>
  </si>
  <si>
    <t>2025-05-12 11:28:00,243846699.830352,1024469.99771817,,39,,1367.56,0.0148570561905294,12.02,20729</t>
  </si>
  <si>
    <t>2025-05-12 11:29:00,580,,580,,580,,578.5,,,579,,580,578,576,577,579.47</t>
  </si>
  <si>
    <t>2025-05-12 11:29:00,500,,505,,500,,503,505,,,505,505,500,508,495,504.779</t>
  </si>
  <si>
    <t>2025-05-12 11:29:00,5850,,5830,,,6000,5800,,,,,6000,5750,5820,6000,5806.75</t>
  </si>
  <si>
    <t>2025-05-12 11:29:00,20700,,20700,,20700,,20650,,,,,21200,20200,20700,20150,20725.75</t>
  </si>
  <si>
    <t>2025-05-12 11:29:00,9219617696.31585,10261192594.4677,2409.53571428572,4354,2161.43564285715,4562.94,246.60242698601,2026.69,579.47</t>
  </si>
  <si>
    <t>2025-05-12 11:29:00,2251319870.76046,2450016691.76096,2615.89030530873,1985,3060.81626885395,1877.86,225.350842991978,782.77,504.779</t>
  </si>
  <si>
    <t>2025-05-12 11:29:00,96746405.1735656,166197607.678817,,-117,,1678.34,-10.373824322215,21.79,5806.75</t>
  </si>
  <si>
    <t>2025-05-12 11:29:00,246508610.427522,995663.222246479,,17,,436.21,-0.0232089167858349,5.16,20725.75</t>
  </si>
  <si>
    <t>2025-05-12 11:30:00,580,,580,,580,,578.5,,,,,580,578,576,577,579.37</t>
  </si>
  <si>
    <t>2025-05-12 11:30:00,500,,505,,500,,503,,,,,505,500,508,495,504.73</t>
  </si>
  <si>
    <t>2025-05-12 11:30:00,5850,,5820,,,6000,5800,,,,,6000,5750,5820,6000,5806</t>
  </si>
  <si>
    <t>2025-05-12 11:30:00,20700,,20700,,20700,,20650,,,,,21200,20200,20700,20150,20723.75</t>
  </si>
  <si>
    <t>2025-05-12 11:30:00,9288427695.47369,9557745486.74467,-1307.60702614378,-3905,-3497.27643790844,-10954.85,146.84656633983,-2755.74,579.37</t>
  </si>
  <si>
    <t>2025-05-12 11:30:00,2233598609.11108,2226503129.27153,-501.706793498897,547,795.594456558064,2599.41,-40.1580590816533,908.19,504.73</t>
  </si>
  <si>
    <t>2025-05-12 11:30:00,94138121.4091849,156469630.747604,,-433,,-2988.01,-3.4932580769923,-130.25,5806</t>
  </si>
  <si>
    <t>2025-05-12 11:30:00,249089114.221987,996255.028382133,,-12,,-113,-0.0189420141764964,-1.84,20723.75</t>
  </si>
  <si>
    <t>2025-05-12 11:31:00,580,,580,,580,,578.5,,,,,580,578,580,575,579.44</t>
  </si>
  <si>
    <t>2025-05-12 11:31:00,500,,505,,500,,503,,,,,505,500,508,495,504.77</t>
  </si>
  <si>
    <t>2025-05-12 11:31:00,5850,,5830,,,6000,5800,,,,,6000,5750,5820,6000,5806.25</t>
  </si>
  <si>
    <t>2025-05-12 11:31:00,20700,,20700,,20700,,20650,,,,,21200,20200,20700,20150,20726.25</t>
  </si>
  <si>
    <t>2025-05-12 11:31:00,9212602182.4435,10323908896.3045,-659.006666666667,1074,968.106133333333,2199.25,633.922316226414,1136.87,579.44</t>
  </si>
  <si>
    <t>2025-05-12 11:31:00,2350318959.6924,2326272233.1975,-1590.83571428571,-1916,-1319.5980952381,-1600.47,6.47349350843036,-650.43,504.77</t>
  </si>
  <si>
    <t>2025-05-12 11:31:00,94686666.9630831,152746096.582629,,-3169,,-14582.14,28.3836713020504,-755.01,5806.25</t>
  </si>
  <si>
    <t>2025-05-12 11:31:00,250200244.219107,994045.132750066,,-5,,-250.81,0.00805794818352933,-2.65,20726.25</t>
  </si>
  <si>
    <t>2025-05-12 11:32:00,580,,580,,580,,578.5,,,,,580,578,580,575,579.58</t>
  </si>
  <si>
    <t>2025-05-12 11:32:00,500,,505,,500,,503,,,,,505,500,508,495,504.925</t>
  </si>
  <si>
    <t>2025-05-12 11:32:00,5900,,5830,,,6000,5800,,,,,6000,5750,5820,6000,5808</t>
  </si>
  <si>
    <t>2025-05-12 11:32:00,20700,,20700,,20700,,20650,,,,,21200,20200,20700,20150,20732.25</t>
  </si>
  <si>
    <t>2025-05-12 11:32:00,9165607886.13841,11098928177.135,-2369.98769841269,-1088,-2085.13268650793,-884.62,115.094538160351,-359.75,579.58</t>
  </si>
  <si>
    <t>2025-05-12 11:32:00,2373367405.45836,2677102958.76435,-155.829120879121,-459,-516.109001831502,-852.81,26.7339503304084,-197.86,504.925</t>
  </si>
  <si>
    <t>2025-05-12 11:32:00,91661756.1333929,172104823.98093,,-434,,-2416.87,-3.85717624510424,-102.27,5808</t>
  </si>
  <si>
    <t>2025-05-12 11:32:00,243032080.666176,1030360.96785135,,-10,,-293.5,0.00878737811072325,-3.44,20732.25</t>
  </si>
  <si>
    <t>2025-05-12 11:33:00,580,,580,,580,,578.5,,,,,580,578,576,575,579.673</t>
  </si>
  <si>
    <t>2025-05-12 11:33:00,500,,505,,500,,503,,,,,505,500,508,495,505</t>
  </si>
  <si>
    <t>2025-05-12 11:33:00,5900,,5830,,,6000,5800,,,,,6000,5750,5820,6000,5809</t>
  </si>
  <si>
    <t>2025-05-12 11:33:00,20700,,20700,,20700,,20650,,,,,21200,20200,20700,20150,20735.25</t>
  </si>
  <si>
    <t>2025-05-12 11:33:00,9121750217.13141,11794239222.3569,-3100.31464076858,-2514,-4336.76178884711,-3450.52,-98.8292659788509,-1477.64,579.673</t>
  </si>
  <si>
    <t>2025-05-12 11:33:00,2324371238.49904,2780044813.23885,-554.985714285713,507,-553.036666666667,429.36,42.0974041629728,187.76,505</t>
  </si>
  <si>
    <t>2025-05-12 11:33:00,94628321.3537987,183504805.397584,,-896,,-5586.46,-1.91103775414724,-228.24,5809</t>
  </si>
  <si>
    <t>2025-05-12 11:33:00,247771886.971508,1092311.17950853,,-15,,-558.04,-0.0259600471624075,-5.92,20735.25</t>
  </si>
  <si>
    <t>2025-05-12 11:34:00,580,,580,,580,,578.5,,,,,580,578,580,575,579.64</t>
  </si>
  <si>
    <t>2025-05-12 11:34:00,500,,505,,500,,503,,,,,505,500,508,495,504.95</t>
  </si>
  <si>
    <t>2025-05-12 11:34:00,5850,,5830,,,6000,5800,,,,,6000,5750,5820,6000,5808.25</t>
  </si>
  <si>
    <t>2025-05-12 11:34:00,20700,,20700,,20700,,20650,,,,,21200,20200,20700,20150,20733</t>
  </si>
  <si>
    <t>2025-05-12 11:34:00,9217769920.89214,11423198543.0807,1362.77380952381,1423,1909.51988095238,1807.26,419.263918189672,878.72,579.64</t>
  </si>
  <si>
    <t>2025-05-12 11:34:00,2380542701.96158,2739691283.46778,-192.694304388422,354,52.3576120448168,-425.98,-98.06377012573,-154.77,504.95</t>
  </si>
  <si>
    <t>2025-05-12 11:34:00,94505519.7662723,182615153.387262,,-255,,-1942.91,2.40620289686482,-96.63,5808.25</t>
  </si>
  <si>
    <t>2025-05-12 11:34:00,245018972.554901,1192813.8507996,,-196,,-15437.65,-0.504010288074984,-134.56,20733</t>
  </si>
  <si>
    <t>2025-05-12 11:35:00,580,,580,,580,,578.5,,,,,580,578,580,575,579.7</t>
  </si>
  <si>
    <t>2025-05-12 11:35:00,500,,505,,500,,503,,,,,505,500,508,495,504.99</t>
  </si>
  <si>
    <t>2025-05-12 11:35:00,5850,,5830,,,6000,5800,,,,,6000,5750,5820,6000,5809</t>
  </si>
  <si>
    <t>2025-05-12 11:35:00,20700,,20700,,20700,,20650,,,,,21200,20200,20700,20150,20734.25</t>
  </si>
  <si>
    <t>2025-05-12 11:35:00,9374531962.36091,10935877434.3989,-571.535714285715,325,-136.252857142859,-1040.64,325.196123367043,-319.47,579.7</t>
  </si>
  <si>
    <t>2025-05-12 11:35:00,2354309123.00986,2649265469.14187,-80.2360347985348,8,158.28503968254,396,13.5585532326216,129.38,504.99</t>
  </si>
  <si>
    <t>2025-05-12 11:35:00,93655174.7498168,193017830.376742,,168,,-164.51,-0.929164787437768,21.11,5809</t>
  </si>
  <si>
    <t>2025-05-12 11:35:00,247384614.505216,1216416.55383732,,6,,-129.32,-0.0135109888653026,-1.15,20734.25</t>
  </si>
  <si>
    <t>2025-05-12 11:36:00,580,,580,,580,,578.5,,,,,580,578,580,575,579.79</t>
  </si>
  <si>
    <t>2025-05-12 11:36:00,500,,505,,500,,503,,,,,505,500,508,495,505.05</t>
  </si>
  <si>
    <t>2025-05-12 11:36:00,5900,,5830,,,6000,5800,,,,,6000,5750,5820,6000,5810</t>
  </si>
  <si>
    <t>2025-05-12 11:36:00,20700,,20700,,20700,,20650,,,,,21200,20200,20700,20150,20736.5</t>
  </si>
  <si>
    <t>2025-05-12 11:36:00,9247819309.81744,12263609182.336,2530.2380952381,4383,2582.0561904762,2354.49,80.258606711535,1038.26,579.79</t>
  </si>
  <si>
    <t>2025-05-12 11:36:00,2196236016.61258,2899737101.67011,405.820833333333,883,687.18875,624.87,-52.4304780065315,293.99,505.05</t>
  </si>
  <si>
    <t>2025-05-12 11:36:00,96349499.6925046,204307449.630407,,166,,1231.71,-1.56870223325756,5.78,5810</t>
  </si>
  <si>
    <t>2025-05-12 11:36:00,246899263.174332,1237476.54164147,,-6,,-38.56,-0.0147983247371005,-0.61,20736.5</t>
  </si>
  <si>
    <t>2025-05-12 11:37:00,580,,580,,580,,578.5,,580,,,580,578,580,575,579.88</t>
  </si>
  <si>
    <t>2025-05-12 11:37:00,500,,505,,500,,503,,,,,505,500,508,495,505.12</t>
  </si>
  <si>
    <t>2025-05-12 11:37:00,5900,,5830,,,6000,5800,,,,,6000,5750,5820,6000,5810.75</t>
  </si>
  <si>
    <t>2025-05-12 11:37:00,20700,,20700,,20700,,20650,,,,,21200,20200,20700,20150,20740.5</t>
  </si>
  <si>
    <t>2025-05-12 11:37:00,9083889552.3296,13316627334.7361,-2020.2474025974,-6146,-2023.20268398267,-6657.51,-167.4220803043,-2850.86,579.88</t>
  </si>
  <si>
    <t>2025-05-12 11:37:00,2227366691.37696,2932488566.98915,-1961.30685483871,-1945,-2579.36375806452,-2787.53,52.6486649243298,-1072.98,505.12</t>
  </si>
  <si>
    <t>2025-05-12 11:37:00,97408151.0041751,211565232.749462,,-613,,-6213.6,0.412230891537136,-251.96,5810.75</t>
  </si>
  <si>
    <t>2025-05-12 11:37:00,244802210.546554,1255377.34049812,,-10,,-238.69,0.0142437618535019,-2.49,20740.5</t>
  </si>
  <si>
    <t>2025-05-12 11:38:00,580,,580,,580,,578.5,,,,,580,578,576,575,579.91</t>
  </si>
  <si>
    <t>2025-05-12 11:38:00,500,,505,,500,,503,,505,,,505,500,508,495,505.13</t>
  </si>
  <si>
    <t>2025-05-12 11:38:00,5850,,5830,,,6000,5800,,,,,6000,5750,5820,6000,5811.25</t>
  </si>
  <si>
    <t>2025-05-12 11:38:00,20700,,20700,,20700,,20650,,,,,21200,20200,20700,20150,20740.5</t>
  </si>
  <si>
    <t>2025-05-12 11:38:00,9059002646.38854,13109751565.1227,161.578876678885,-1318,368.288354090369,-1536.72,-474.668892114046,-870.89,579.91</t>
  </si>
  <si>
    <t>2025-05-12 11:38:00,2214228561.21448,2983201099.06646,-1635.01870266355,-1817,-1530.39546938492,-2009.87,-161.605834383723,-997.22,505.13</t>
  </si>
  <si>
    <t>2025-05-12 11:38:00,94090018.1017773,224339026.036441,,-73,,-2714.54,-5.75926580615265,-122.71,5811.25</t>
  </si>
  <si>
    <t>2025-05-12 11:38:00,247103662.823725,1271022.69886265,,-2,,-110.96,0.00460261605957154,-1.17,20740.5</t>
  </si>
  <si>
    <t>2025-05-12 11:39:00,580,,580,,580,,578.5,,,,,580,578,576,575,579.78</t>
  </si>
  <si>
    <t>2025-05-12 11:39:00,500,,505,,500,,503,,,505,,505,500,508,495,504.97</t>
  </si>
  <si>
    <t>2025-05-12 11:39:00,5850,,5830,,,6000,5800,,,,,6000,5750,5820,6000,5810</t>
  </si>
  <si>
    <t>2025-05-12 11:39:00,20700,,20700,,20700,,20650,,,,,21200,20200,20700,20150,20733.75</t>
  </si>
  <si>
    <t>2025-05-12 11:39:00,9245023074.8277,12438363390.0278,2876.67120879121,1505,12458.7890923077,11792.65,484.983677777958,2498.52,579.78</t>
  </si>
  <si>
    <t>2025-05-12 11:39:00,2208672152.26231,2703023597.76117,-955.895281835468,-913,-412.176353475214,-103.07,-149.037722843859,-186.5,504.97</t>
  </si>
  <si>
    <t>2025-05-12 11:39:00,98963683.3160624,212118992.69174,,273,,7848.75,10.122643143597,461.43,5810</t>
  </si>
  <si>
    <t>2025-05-12 11:39:00,252715749.84202,1252524.17474753,,5,,40.07,-0.0100879129013891,0.44,20733.75</t>
  </si>
  <si>
    <t>2025-05-12 11:40:00,580,,580,,580,,578.5,,,,,580,578,576,577,579.85</t>
  </si>
  <si>
    <t>2025-05-12 11:40:00,500,,505,,500,,503,,,,,505,500,508,495,505.05</t>
  </si>
  <si>
    <t>2025-05-12 11:40:00,5850,,5830,,,6000,5800,,,,,6000,5750,5820,6000,5810.75</t>
  </si>
  <si>
    <t>2025-05-12 11:40:00,20700,,20700,,20700,,20650,,,,,21200,20200,21300,20150,20737.75</t>
  </si>
  <si>
    <t>2025-05-12 11:40:00,9174951765.43794,12962198561.6564,544.615476190476,990,678.07664285714,527.45,107.762073384228,368.84,579.85</t>
  </si>
  <si>
    <t>2025-05-12 11:40:00,2218347739.20446,2851073222.81394,-2565.26380524024,-2642,-2554.31004974655,-2531.67,120.764138510486,-965.14,505.05</t>
  </si>
  <si>
    <t>2025-05-12 11:40:00,94485130.0299368,229237333.374457,,-736,,-5521.89,-5.00380913868293,-270.27,5810.75</t>
  </si>
  <si>
    <t>2025-05-12 11:40:00,245944613.047776,1363297.64411359,,-163,,-10051.82,-0.348961683606626,-88.86,20737.75</t>
  </si>
  <si>
    <t>2025-05-12 11:41:00,580,,580,,580,,578.5,,580,,,580,578,576,577,579.99</t>
  </si>
  <si>
    <t>2025-05-12 11:41:00,500,,505,,500,,503,505,,,,505,500,508,495,505.16</t>
  </si>
  <si>
    <t>2025-05-12 11:41:00,5900,,5830,,,6000,5800,,,,,6000,5750,5820,6000,5812</t>
  </si>
  <si>
    <t>2025-05-12 11:41:00,20700,,20700,,20700,,20650,,,,,21200,20200,21300,20150,20742.5</t>
  </si>
  <si>
    <t>2025-05-12 11:41:00,9179033784.9312,13833227592.9357,197.338492063494,-618,734.356238095244,-2454.55,-431.653347572529,-1159.95,579.99</t>
  </si>
  <si>
    <t>2025-05-12 11:41:00,2223514429.11603,3039731648.17082,1766.58518518518,1402,2396.05411111111,1925.23,188.144797834801,796.3,505.16</t>
  </si>
  <si>
    <t>2025-05-12 11:41:00,95258551.7578275,247066793.171586,,213,,-1373.74,2.03648430080307,-24.74,5812</t>
  </si>
  <si>
    <t>2025-05-12 11:41:00,247023285.863179,1396186.46488965,,-13,,-194.2,0.015417783549461,-2.37,20742.5</t>
  </si>
  <si>
    <t>2025-05-12 11:42:00,580,,580,,580,,578.5,,580,,,580,578,576,577,580.015</t>
  </si>
  <si>
    <t>2025-05-12 11:42:00,500,,505,,500,,503,505,,,,505,500,508,495,505.15</t>
  </si>
  <si>
    <t>2025-05-12 11:42:00,5850,,5830,,,6000,5800,,,,,6000,5750,5820,6000,5812.25</t>
  </si>
  <si>
    <t>2025-05-12 11:42:00,20700,,20700,,20700,,20650,,,,,21200,20200,21300,20150,20742</t>
  </si>
  <si>
    <t>2025-05-12 11:42:00,9182277567.39588,14049746806.3974,-1823.03650793651,-4217,308.337920634918,-3175.32,0.897486052706537,-1916.15,580.015</t>
  </si>
  <si>
    <t>2025-05-12 11:42:00,2343775924.11602,2987800997.43005,-416.544444444446,-1238,630.322888888885,-1005,262.152931414996,-402.83,505.15</t>
  </si>
  <si>
    <t>2025-05-12 11:42:00,96148105.2637439,259614272.381014,,2369,,4887.62,12.568978210338,263.78,5812.25</t>
  </si>
  <si>
    <t>2025-05-12 11:42:00,244016095.682746,1378962.2896952,,-23,,-707.12,0.125853983044944,-6.99,20742</t>
  </si>
  <si>
    <t>2025-05-12 11:43:00,580,,580,,580,,578.5,,,,,580,578,576,577,580.08</t>
  </si>
  <si>
    <t>2025-05-12 11:43:00,500,,505,,500,,503,,,,,505,500,508,495,505.19</t>
  </si>
  <si>
    <t>2025-05-12 11:43:00,5850,,5830,,,6000,5800,,,,,6000,5750,5820,6000,5813</t>
  </si>
  <si>
    <t>2025-05-12 11:43:00,20700,,20700,,20700,,20650,,,,,21200,20200,21300,20150,20743.75</t>
  </si>
  <si>
    <t>2025-05-12 11:43:00,9037733760.02614,14670785348.5528,639.746480331263,-334,733.77372256729,-1143.1,-105.855510776382,-826.53,580.08</t>
  </si>
  <si>
    <t>2025-05-12 11:43:00,2223110634.01542,3098979588.37818,-1062.30501672241,-1405,-329.877819397991,-762.62,141.552771354677,-480.23,505.19</t>
  </si>
  <si>
    <t>2025-05-12 11:43:00,96121860.1004887,265872044.371467,,-424,,-2599.65,-2.36292098998049,-132.22,5813</t>
  </si>
  <si>
    <t>2025-05-12 11:43:00,243408562.633781,1407418.63754416,,3,,51.1,0.00302745506238386,0.71,20743.75</t>
  </si>
  <si>
    <t>2025-05-12 11:44:00,580,,580,,580,,578.5,,580,,,580,578,576,577,580.26</t>
  </si>
  <si>
    <t>2025-05-12 11:44:00,500,,505,,500,,503,,,,,505,500,508,495,505.37</t>
  </si>
  <si>
    <t>2025-05-12 11:44:00,5900,,5830,,,6000,5800,,,,,6000,5750,5820,6000,5815</t>
  </si>
  <si>
    <t>2025-05-12 11:44:00,20700,,20700,,20700,,20650,,,,,21200,20200,21300,20150,20750.25</t>
  </si>
  <si>
    <t>2025-05-12 11:44:00,8930777509.54598,14370153728.1636,-4441.36448412698,-3848,-9053.51561507937,-6863.43,-342.903269102466,-2681.11,580.26</t>
  </si>
  <si>
    <t>2025-05-12 11:44:00,2171309343.23971,3425710368.64929,2502.2605820106,723,3631.41010582011,1682.57,-13.8852281959363,618.49,505.37</t>
  </si>
  <si>
    <t>2025-05-12 11:44:00,98999302.7598822,294374250.459054,,441,,4129.38,7.32738245815274,277.48,5815</t>
  </si>
  <si>
    <t>2025-05-12 11:44:00,246314871.68748,1485525.64216854,,-14,,-317.14,-0.0201992936858991,-4.32,20750.25</t>
  </si>
  <si>
    <t>2025-05-12 11:45:00,580,,580,,580,,578.5,,,,,580,578,576,577,580.25</t>
  </si>
  <si>
    <t>2025-05-12 11:45:00,500,,505,,500,,503,,,,,505,500,508,495,505.29</t>
  </si>
  <si>
    <t>2025-05-12 11:45:00,5900,,5830,,,6000,5800,,,,,6000,5750,5820,6000,5814.75</t>
  </si>
  <si>
    <t>2025-05-12 11:45:00,20700,,20700,,20700,,20650,,,,,21200,20200,21300,20150,20747.25</t>
  </si>
  <si>
    <t>2025-05-12 11:45:00,9020253678.24383,15073674668.3044,125.485714285714,-1033,-539.466464285716,-2502.66,433.482018445,-771.25,580.25</t>
  </si>
  <si>
    <t>2025-05-12 11:45:00,2231664744.03406,3178780489.93305,-1367.95657781331,-2261,-924.153438848818,-1528.17,100.637082880169,-759.58,505.29</t>
  </si>
  <si>
    <t>2025-05-12 11:45:00,97679393.6092799,284495697.858191,,-285,,-3608.41,-0.579430427025452,-140.41,5814.75</t>
  </si>
  <si>
    <t>2025-05-12 11:45:00,241296345.705771,1414724.5115709,,11,,429.5,0.0304826555424489,2.9,20747.25</t>
  </si>
  <si>
    <t>2025-05-12 11:46:00,580,,580,,580,,578.5,,581,,,580,578,576,575,580.59</t>
  </si>
  <si>
    <t>2025-05-12 11:46:00,500,,505,,500,,503,,,,,505,500,508,495,505.67</t>
  </si>
  <si>
    <t>2025-05-12 11:46:00,5900,,5850,,,6000,5800,,,,,6000,5750,5820,6000,5818</t>
  </si>
  <si>
    <t>2025-05-12 11:46:00,20700,,20700,,20700,,20650,,,,,21200,20200,21300,20150,20762.75</t>
  </si>
  <si>
    <t>2025-05-12 11:46:00,8853211741.50241,16942629669.7883,1941.08622673624,-522,7618.14137118438,799.679999999999,244.927276866794,341.49,580.59</t>
  </si>
  <si>
    <t>2025-05-12 11:46:00,2140573385.88927,3757681603.85883,-2989.41634533716,-2029,-3767.89369362081,-4137.63,-199.792247436121,-986.21,505.67</t>
  </si>
  <si>
    <t>2025-05-12 11:46:00,97812512.4406178,329873454.846063,,315,,-8205.75,0.63947978553792,-145.37,5818</t>
  </si>
  <si>
    <t>2025-05-12 11:46:00,246023098.822141,1562309.21399555,,-85,,-2409.38,-0.0533672508469925,-17.55,20762.75</t>
  </si>
  <si>
    <t>2025-05-12 11:47:00,580,,580,,580,,578.5,,,,,580,578,576,577,580.79</t>
  </si>
  <si>
    <t>2025-05-12 11:47:00,500,,505,,500,,503,,,,,505,500,508,495,505.77</t>
  </si>
  <si>
    <t>2025-05-12 11:47:00,5900,,5850,,,6000,5800,,,,,6000,5750,5820,6000,5820</t>
  </si>
  <si>
    <t>2025-05-12 11:47:00,20700,,20700,,20700,,20650,,,,,21200,20200,21300,20150,20767.5</t>
  </si>
  <si>
    <t>2025-05-12 11:47:00,8739273106.98793,16896358218.1009,-5598.37112054608,-8559,-12442.1626748251,-19948.92,-1295.89098464274,-6769.07,580.79</t>
  </si>
  <si>
    <t>2025-05-12 11:47:00,2323814179.77281,3734366719.30748,-1024.26469912527,-2038,1248.00030831367,-2042.79,159.452301882472,-542.7,505.77</t>
  </si>
  <si>
    <t>2025-05-12 11:47:00,96608162.998502,346529944.290983,,-655,,-23311.34,-34.2391014404411,-715.28,5820</t>
  </si>
  <si>
    <t>2025-05-12 11:47:00,228653080.444383,1571813.1211533,,-31,,-829.48,-0.0600927328836948,-11.04,20767.5</t>
  </si>
  <si>
    <t>2025-05-12 11:48:00,580,,580,,580,,578.5,,,,,580,578,576,577,580.74</t>
  </si>
  <si>
    <t>2025-05-12 11:48:00,500,,505,,500,,503,506,,,,505,500,508,495,505.804</t>
  </si>
  <si>
    <t>2025-05-12 11:48:00,5900,,5850,,,6000,5800,,,,,6000,5750,5820,6000,5819.5</t>
  </si>
  <si>
    <t>2025-05-12 11:48:00,20700,,20700,,20700,,20650,,,,,21200,20200,21300,20150,20769.75</t>
  </si>
  <si>
    <t>2025-05-12 11:48:00,8746992261.72912,17843456854.4111,-8655.45104617606,-9477,-8122.37084776335,-12298.84,-535.062412422384,-5109.8,580.74</t>
  </si>
  <si>
    <t>2025-05-12 11:48:00,2193542711.176,3874616362.95447,723.425000000012,2106,540.244416666675,56.33,-202.175974440922,241.68,505.804</t>
  </si>
  <si>
    <t>2025-05-12 11:48:00,98239168.3314087,363019947.444067,,1275,,16797.24,9.1095286116147,412.5,5819.5</t>
  </si>
  <si>
    <t>2025-05-12 11:48:00,236175411.023178,1642071.92067558,,8,,360.19,0.0287042732557998,4.26,20769.75</t>
  </si>
  <si>
    <t>2025-05-12 11:50:00,580,,580,,580,,578.5,,,,,580,578,576,577,580.725</t>
  </si>
  <si>
    <t>2025-05-12 11:50:00,500,,505,,500,,503,,,,,505,500,508,495,505.83</t>
  </si>
  <si>
    <t>2025-05-12 11:50:00,5900,,5850,,,6000,5800,,,5820,,6000,5750,5820,6000,5819.25</t>
  </si>
  <si>
    <t>2025-05-12 11:50:00,20700,,20700,,20700,,20650,,,,,21200,20200,21300,20150,20770.25</t>
  </si>
  <si>
    <t>2025-05-12 11:50:00,8706205982.20877,17637854567.1742,-5315.61006493506,-12470,-2822.77150432897,-14453.14,-137.385765185086,-5472.7,580.725</t>
  </si>
  <si>
    <t>2025-05-12 11:50:00,2235524886.53537,3806328666.86932,-629.690967080459,479,-254.69486901859,-1465.67,-297.50984363538,-420.96,505.83</t>
  </si>
  <si>
    <t>2025-05-12 11:50:00,99198476.2529031,357341076.204508,,-1535,,-2036.79,-13.4565224916872,-131.92,5819.25</t>
  </si>
  <si>
    <t>2025-05-12 11:50:00,229000671.507735,1604473.71851279,,-48,,-754.33,0.100674692924223,-9.92,20770.25</t>
  </si>
  <si>
    <t>2025-05-12 11:51:00,580,,580,,580,,578.5,,581,,,580,578,576,577,580.696</t>
  </si>
  <si>
    <t>2025-05-12 11:51:00,500,,505,,500,,503,,,,,505,500,508,495,505.74</t>
  </si>
  <si>
    <t>2025-05-12 11:51:00,5900,,5850,,,6000,5800,,,5820,,6000,5750,5820,6000,5819</t>
  </si>
  <si>
    <t>2025-05-12 11:51:00,20700,,20700,,20700,,20650,,,,,21200,20200,21300,20150,20766.5</t>
  </si>
  <si>
    <t>2025-05-12 11:51:00,8818453039.81897,17593558973.7057,4911.64566544564,-914,7764.82421062268,3341.09,-56.9627181319109,1159.34,580.696</t>
  </si>
  <si>
    <t>2025-05-12 11:51:00,2314221897.13718,3694437991.82091,1344.12415714846,2514,2574.52774098453,3706.73,245.99060788291,1292.57,505.74</t>
  </si>
  <si>
    <t>2025-05-12 11:51:00,98570563.5725797,359581996.952021,,2989,,18216.08,8.09390331952524,793.45,5819</t>
  </si>
  <si>
    <t>2025-05-12 11:51:00,234232825.543634,1623452.27554599,,26,,889.91,0.0535118643001991,9.6,20766.5</t>
  </si>
  <si>
    <t>2025-05-12 11:52:00,580,,580,,580,,578.5,,,,,580,578,576,577,580.78</t>
  </si>
  <si>
    <t>2025-05-12 11:52:00,500,,505,,500,,503,506,,,,505,500,508,495,505.84</t>
  </si>
  <si>
    <t>2025-05-12 11:52:00,5900,,5850,,,6000,5800,,,,,6000,5750,5820,6000,5820</t>
  </si>
  <si>
    <t>2025-05-12 11:52:00,20700,,20700,,20700,,20650,,,,,21200,20200,21300,20150,20771</t>
  </si>
  <si>
    <t>2025-05-12 11:52:00,8715627952.64701,17882479342.5991,-547.736922726397,-2358,326.312750611958,-2314.83,200.70843957941,-962.32,580.78</t>
  </si>
  <si>
    <t>2025-05-12 11:52:00,2202687740.50611,3980646245.29281,319.58870038665,1078,883.322641416134,749.77,282.240471807832,428.38,505.84</t>
  </si>
  <si>
    <t>2025-05-12 11:52:00,93741416.7499133,375870988.147183,,551,,-1865.7,4.04782227021414,-26.28,5820</t>
  </si>
  <si>
    <t>2025-05-12 11:52:00,236260081.07992,1684611.89772871,,6,,-31.8,0.0203512953803652,0.23,20771</t>
  </si>
  <si>
    <t>2025-05-12 11:53:00,580,,580,,580,,578.5,,581,,,580,578,576,577,580.9</t>
  </si>
  <si>
    <t>2025-05-12 11:53:00,500,,505,,500,,503,,506,,,505,500,508,495,505.915</t>
  </si>
  <si>
    <t>2025-05-12 11:53:00,5900,,5850,,,6000,5800,,,,,6000,5750,5820,6000,5821.5</t>
  </si>
  <si>
    <t>2025-05-12 11:53:00,20700,,20700,,20700,,20650,,,,,21200,20200,21300,20150,20773.25</t>
  </si>
  <si>
    <t>2025-05-12 11:53:00,8670520831.05395,18098546730.7664,2155.90627705628,-5319,5955.92056132756,-9902.73,-1310.23676952518,-3084.4,580.9</t>
  </si>
  <si>
    <t>2025-05-12 11:53:00,2092446807.49546,3782800781.87814,-1201.86648785997,510,-200.445937530591,132.590000000001,-344.908453878451,-43.4899999999999,505.915</t>
  </si>
  <si>
    <t>2025-05-12 11:53:00,99256800.309129,388538921.476091,,-1605,,-15127.41,-12.9109379191166,-593.9,5821.5</t>
  </si>
  <si>
    <t>2025-05-12 11:53:00,233987457.892946,1858203.15865088,,17,,446.51,0.0530413313603897,4.26,20773.25</t>
  </si>
  <si>
    <t>2025-05-12 11:54:00,580,,580,,580,,578.5,,581,,,580,578,576,577,580.98</t>
  </si>
  <si>
    <t>2025-05-12 11:54:00,500,,505,,500,,503,506,,,,505,500,508,495,505.94</t>
  </si>
  <si>
    <t>2025-05-12 11:54:00,5900,,5850,,,6000,5800,,,,,6000,5750,5820,6000,5822</t>
  </si>
  <si>
    <t>2025-05-12 11:54:00,20700,,20700,,20700,,20650,,,,,21200,20200,21300,20150,20774.5</t>
  </si>
  <si>
    <t>2025-05-12 11:54:00,8374197460.92595,19502506949.8044,6349.5619047619,3611,7368.85677777777,4739.01,454.637023197862,1730.99,580.98</t>
  </si>
  <si>
    <t>2025-05-12 11:54:00,2239484904.18614,4021748796.54527,421.413218390803,508,1735.50429885057,15.5600000000001,145.862041871771,91.29,505.94</t>
  </si>
  <si>
    <t>2025-05-12 11:54:00,98868191.4976485,403308714.286673,,-358,,-6675.68,-4.5728171278901,-260.62,5822</t>
  </si>
  <si>
    <t>2025-05-12 11:54:00,221202258.099953,1843164.50658628,,-22,,138.28,-0.0138653995820937,0.79,20774.5</t>
  </si>
  <si>
    <t>2025-05-12 11:55:00,580,,580,,580,,578.5,581,,,,580,578,576,577,581.06</t>
  </si>
  <si>
    <t>2025-05-12 11:55:00,500,,505,,500,,503,,,,,505,500,508,495,505.97</t>
  </si>
  <si>
    <t>2025-05-12 11:55:00,5900,,5850,,,6000,5800,,,,,6000,5750,5820,6000,5823</t>
  </si>
  <si>
    <t>2025-05-12 11:55:00,20700,,20700,,20700,,20650,,,,,21200,20200,21300,20150,20776.75</t>
  </si>
  <si>
    <t>2025-05-12 11:55:00,8290307948.28286,20090323719.4013,5369.69484126984,6545,7028.92966269841,7096.37,261.180107480929,2916.62,581.06</t>
  </si>
  <si>
    <t>2025-05-12 11:55:00,2196084674.68396,4030322268.09813,319.177376461306,886,1386.26887086012,1842.26,144.292056914152,616.84,505.97</t>
  </si>
  <si>
    <t>2025-05-12 11:55:00,97417343.1146372,421913151.041724,,1424,,7305.76,5.55243001995432,354.93,5823</t>
  </si>
  <si>
    <t>2025-05-12 11:55:00,222980805.495263,1874935.67210496,,0,,0,0,0,20776.75</t>
  </si>
  <si>
    <t>2025-05-12 11:56:00,580,,580,,580,,578.5,581,,,,580,578,576,577,580.95</t>
  </si>
  <si>
    <t>2025-05-12 11:56:00,500,,505,,500,,503,,,,,505,500,508,495,505.9</t>
  </si>
  <si>
    <t>2025-05-12 11:56:00,5900,,5850,,,6000,5800,,,,,6000,5750,5820,6000,5821.75</t>
  </si>
  <si>
    <t>2025-05-12 11:56:00,20700,,20700,,20700,,20650,,,,,21200,20200,21300,20150,20772.75</t>
  </si>
  <si>
    <t>2025-05-12 11:56:00,8437754202.87744,19942872411.2635,-8990.53859710551,-8278,-8088.29975303455,-5776.81,-344.654617396703,-2933.89,580.95</t>
  </si>
  <si>
    <t>2025-05-12 11:56:00,2147190249.26795,3891316126.99057,-8856.31945569051,-7126,-12423.6570451128,-9616.84,224.121108143834,-3412.97,505.9</t>
  </si>
  <si>
    <t>2025-05-12 11:56:00,100471912.15349,398319654.539786,,-419,,-9414.38,-1.3272364098915,-347.13,5821.75</t>
  </si>
  <si>
    <t>2025-05-12 11:56:00,232392130.421366,1868614.88676635,,-15,,-402.35,-0.0582665862124268,-5.27,20772.75</t>
  </si>
  <si>
    <t>2025-05-12 11:57:00,580,,580,,580,,578.5,,,,,580,578,576,577,581.03</t>
  </si>
  <si>
    <t>2025-05-12 11:57:00,500,,505,,500,,503,,,,,505,500,508,495,505.99</t>
  </si>
  <si>
    <t>2025-05-12 11:57:00,5900,,5850,,,6000,5800,,,,,6000,5750,5820,6000,5822.75</t>
  </si>
  <si>
    <t>2025-05-12 11:57:00,20700,,20700,,20700,,20650,,,,,21200,20200,21300,20150,20776.75</t>
  </si>
  <si>
    <t>2025-05-12 11:57:00,8356118429.69362,19877874005.4646,-4451.5544595111,-1329,-6409.28474216966,-4403.04,-121.992985544187,-1599.36,581.03</t>
  </si>
  <si>
    <t>2025-05-12 11:57:00,2189385782.92426,3976011771.97371,-392.033333333332,-34,-705.465999999995,-639.08,-10.6531516811921,-205.88,505.99</t>
  </si>
  <si>
    <t>2025-05-12 11:57:00,99135118.8314644,413203961.865714,,-552,,-7728.84,0.0485894278718802,-324.14,5822.75</t>
  </si>
  <si>
    <t>2025-05-12 11:57:00,239685125.587051,1926220.21677066,,-21,,-363.83,-0.0071619489080202,-4.91,20776.75</t>
  </si>
  <si>
    <t>2025-05-12 11:58:00,580,,580,,580,,578.5,,,,,580,578,576,581,581.11</t>
  </si>
  <si>
    <t>2025-05-12 11:58:00,500,,505,,500,,503,,,,,505,500,508,495,506.025</t>
  </si>
  <si>
    <t>2025-05-12 11:58:00,5900,,5850,,,6000,5800,,,,,6000,5750,5820,6000,5822.75</t>
  </si>
  <si>
    <t>2025-05-12 11:58:00,20700,,20700,,20700,,20650,,,,,21200,20200,21300,20150,20778</t>
  </si>
  <si>
    <t>2025-05-12 11:58:00,8397267045.57014,20896015423.2915,-4018.48768638769,-2331,-3603.89238768641,-4777.73,-168.89991323668,-1542.64,581.11</t>
  </si>
  <si>
    <t>2025-05-12 11:58:00,2127492341.26676,4031466500.65543,-1952.03378317588,-3002,-3805.64029877722,-5849.27,101.167580672153,-1851.17,506.025</t>
  </si>
  <si>
    <t>2025-05-12 11:58:00,95916117.3374269,419288202.293814,,-892,,-9896.83,-5.3078367916426,-337.69,5822.75</t>
  </si>
  <si>
    <t>2025-05-12 11:58:00,234066519.322921,1927441.50335958,,-10,,-275.39,0.00225536419290791,-2.95,20778</t>
  </si>
  <si>
    <t>2025-05-12 11:59:00,580,,580,,580,,578.5,,,,,580,578,576,577,581.13</t>
  </si>
  <si>
    <t>2025-05-12 11:59:00,500,,505,,500,,503,,,,,505,500,508,495,506.07</t>
  </si>
  <si>
    <t>2025-05-12 11:59:00,5900,,5850,,,6000,5800,,,,,5850,5750,5820,6000,5823.5</t>
  </si>
  <si>
    <t>2025-05-12 11:59:00,20700,,20700,,20700,,20650,,,,,21200,20200,21300,20150,20780</t>
  </si>
  <si>
    <t>2025-05-12 11:59:00,8376727690.83239,20819609262.0883,2713.97222222221,2025,-1403.15272222229,-5378.08,223.179147116483,-614.5,581.13</t>
  </si>
  <si>
    <t>2025-05-12 11:59:00,2285892792.48153,4117641416.60665,-1467.27468671679,-542,-17.1094310776997,259.52,124.058760534335,-8.22000000000003,506.07</t>
  </si>
  <si>
    <t>2025-05-12 11:59:00,98839574.5820567,431394579.207667,,151,,714.64,4.53500525702591,60.94,5823.5</t>
  </si>
  <si>
    <t>2025-05-12 11:59:00,230486075.370547,1962529.89407336,,-6,,-65.31,-0.027586931131584,-0.92,20780</t>
  </si>
  <si>
    <t>2025-05-12 12:00:00,580,,580,,580,,578.5,,581,,,580,578,576,581,581.14</t>
  </si>
  <si>
    <t>2025-05-12 12:00:00,500,,505,,500,,503,,,,,505,500,508,495,506.04</t>
  </si>
  <si>
    <t>2025-05-12 12:00:00,5900,,5850,,,6000,5800,,,,,5850,5750,5820,6000,5823.5</t>
  </si>
  <si>
    <t>2025-05-12 12:00:00,20700,,20700,,20700,,20650,,,,,21200,20200,21300,20150,20778.5</t>
  </si>
  <si>
    <t>2025-05-12 12:00:00,8331323270.8243,20753986448.1957,939.377142857143,-1364,1871.78669047619,-1195.39,403.431748292702,-625.97,581.14</t>
  </si>
  <si>
    <t>2025-05-12 12:00:00,2142484444.96811,3964505661.70252,-278.12430274404,-1005,1657.75875877193,-503.13,0.496101957266178,-586.33,506.04</t>
  </si>
  <si>
    <t>2025-05-12 12:00:00,97976017.3008318,434667136.889556,,101,,-4006.93,8.72260154829262,-119.54,5823.5</t>
  </si>
  <si>
    <t>2025-05-12 12:00:00,225848007.194203,1891574.96063884,,57,,450.8,-0.0668911746703768,6.56,20778.5</t>
  </si>
  <si>
    <t>2025-05-12 12:01:00,580,,580,,580,,578.5,,,,,580,578,576,577,581.13</t>
  </si>
  <si>
    <t>2025-05-12 12:01:00,500,,505,,500,,503,,,,,505,500,508,495,506.05</t>
  </si>
  <si>
    <t>2025-05-12 12:01:00,5900,,5850,,,6000,5800,,,,,5850,5750,5820,6000,5823.5</t>
  </si>
  <si>
    <t>2025-05-12 12:01:00,20700,,20700,,20700,,20650,,,,,21200,20200,21300,20150,20778</t>
  </si>
  <si>
    <t>2025-05-12 12:01:00,8260483058.48947,21135022924.062,-274.765479781654,111,1830.8171308626,1788.43,-54.6006454249517,628.09,581.13</t>
  </si>
  <si>
    <t>2025-05-12 12:01:00,2168094452.55532,4157810728.91147,-646.570430169531,-1194,-4.64541540768124,-1272.61,52.4129168141967,-498.59,506.05</t>
  </si>
  <si>
    <t>2025-05-12 12:01:00,98135786.0639675,441080517.567908,,-1686,,-4912.23,-0.776779338474488,-259.57,5823.5</t>
  </si>
  <si>
    <t>2025-05-12 12:01:00,230035270.149746,1925218.4818897,,-16,,-401.04,0.0220612703603452,-4.99,20778</t>
  </si>
  <si>
    <t>2025-05-12 12:02:00,580,,580,,580,,578.5,,,,,580,578,576,577,581.12</t>
  </si>
  <si>
    <t>2025-05-12 12:02:00,500,,505,,500,,503,,,,,505,500,508,495,506.03</t>
  </si>
  <si>
    <t>2025-05-12 12:02:00,5900,,5850,,,6000,5800,,,,,5850,5750,5820,6000,5823.5</t>
  </si>
  <si>
    <t>2025-05-12 12:02:00,20700,,20700,,20700,,20650,,,,,21200,20200,21300,20150,20779.25</t>
  </si>
  <si>
    <t>2025-05-12 12:02:00,8376206237.08936,20585481744.5474,6587.85173992674,4700,7061.18327380952,4908.13,321.973708741129,2079.61,581.12</t>
  </si>
  <si>
    <t>2025-05-12 12:02:00,2213412616.14141,3892695648.70813,-515.57687161452,483,17.517118097664,654.65,-43.5738090683943,254.81,506.03</t>
  </si>
  <si>
    <t>2025-05-12 12:02:00,96476780.4636689,442116422.374942,,571,,5513.81,-11.4308587257006,187.11,5823.5</t>
  </si>
  <si>
    <t>2025-05-12 12:02:00,226272414.621154,1916827.91197509,,15,,376.01,0.00697107817274555,4.51,20779.25</t>
  </si>
  <si>
    <t>2025-05-12 12:03:00,580,,580,,580,,578.5,,,581,,580,578,576,577,581.17</t>
  </si>
  <si>
    <t>2025-05-12 12:03:00,500,,505,,500,,503,,,506,,505,500,508,495,506.08</t>
  </si>
  <si>
    <t>2025-05-12 12:03:00,5900,,5850,,,6000,5800,,,,,5850,5750,5820,6000,5823.75</t>
  </si>
  <si>
    <t>2025-05-12 12:03:00,20700,,20700,,20700,,20650,,,,,21200,20200,21300,20150,20779.5</t>
  </si>
  <si>
    <t>2025-05-12 12:03:00,8369793934.79851,20724429908.2592,2394.76742424243,1132,4773.02151515151,3746.09,-178.628163170749,1416.52,581.17</t>
  </si>
  <si>
    <t>2025-05-12 12:03:00,2293463979.68216,3989209069.05211,834.991666666673,2179,374.840690476199,1206.17,-91.6858786803976,783.34,506.08</t>
  </si>
  <si>
    <t>2025-05-12 12:03:00,99765448.0143161,437198945.610533,,1166,,3486.6,18.680537374004,217.31,5823.75</t>
  </si>
  <si>
    <t>2025-05-12 12:03:00,231640259.024049,1959252.69644853,,-29,,-511.34,-0.018010281172248,-7.3,20779.5</t>
  </si>
  <si>
    <t>2025-05-12 12:04:00,580,,580,,580,,578.5,,,,,580,578,576,577,581.26</t>
  </si>
  <si>
    <t>2025-05-12 12:04:00,500,,505,,500,,503,,,,,505,500,508,495,506.125</t>
  </si>
  <si>
    <t>2025-05-12 12:04:00,5900,,5850,,,6000,5800,,,,,5850,5750,5820,6000,5825.25</t>
  </si>
  <si>
    <t>2025-05-12 12:04:00,20700,,20700,,20700,,20650,,,,,21200,20200,21300,20150,20782.75</t>
  </si>
  <si>
    <t>2025-05-12 12:04:00,8372847116.73146,21345198361.8535,11157.1261904762,10003,12275.5131825397,7475.38,583.110099711454,3786.65,581.26</t>
  </si>
  <si>
    <t>2025-05-12 12:04:00,2295258145.51091,4111992772.61429,1779.57519837367,1381,3104.03837507378,1613.95,-1.58933062442001,612.35,506.125</t>
  </si>
  <si>
    <t>2025-05-12 12:04:00,99662377.9450322,452244783.282652,,698,,-3575.66,-6.65817789963939,262.5,5825.25</t>
  </si>
  <si>
    <t>2025-05-12 12:04:00,231682897.591463,2012468.94459816,,-61,,-4582.5,-0.151598605251129,-41.24,20782.75</t>
  </si>
  <si>
    <t>2025-05-12 12:05:00,580,,580,,580,,578.5,,,,,580,578,576,577,581.46</t>
  </si>
  <si>
    <t>2025-05-12 12:05:00,500,,505,,500,,503,,,506,,505,500,508,495,506.32</t>
  </si>
  <si>
    <t>2025-05-12 12:05:00,5900,,5850,,,6000,5800,,,,,5850,5750,5820,6000,5826.75</t>
  </si>
  <si>
    <t>2025-05-12 12:05:00,20700,,20950,,20700,,20650,,,,,20950,20200,21300,20950,20790</t>
  </si>
  <si>
    <t>2025-05-12 12:05:00,8031525852.01428,21954889564.1248,-3505.25939153438,-10463,300.284189153471,-3753.57,156.943489416661,-2396.44,581.46</t>
  </si>
  <si>
    <t>2025-05-12 12:05:00,2237613945.54259,4289985584.09837,-334.092618310483,552,-350.601459457472,-720.6,-62.8357264727473,-55.91,506.32</t>
  </si>
  <si>
    <t>2025-05-12 12:05:00,99159605.4133377,473885884.629102,,-758,,-10646.87,2.73935492758304,-314.25,5826.75</t>
  </si>
  <si>
    <t>2025-05-12 12:05:00,228798509.854693,2281626.01082917,,-515,,-3514.72,-0.774121426142945,-60.93,20790</t>
  </si>
  <si>
    <t>2025-05-12 12:06:00,580,,580,,580,,578.5,,,,,580,578,576,577,581.351</t>
  </si>
  <si>
    <t>2025-05-12 12:06:00,500,,505,,500,,503,,,,,505,500,508,495,506.345</t>
  </si>
  <si>
    <t>2025-05-12 12:06:00,5900,,5850,,,6000,5800,,,,,5850,5750,5820,6000,5826</t>
  </si>
  <si>
    <t>2025-05-12 12:06:00,20700,,20950,,20700,,20650,,,,,20950,20200,21300,20950,20791.25</t>
  </si>
  <si>
    <t>2025-05-12 12:06:00,8207993549.67576,21815373675.2072,5146.03874883287,10708,6458.33360130719,11597.06,145.396117264868,5176.16,581.351</t>
  </si>
  <si>
    <t>2025-05-12 12:06:00,2130846052.18088,4239522257.86524,262.757061296191,398,968.017024217326,-108.44,80.2376631417891,62.7,506.345</t>
  </si>
  <si>
    <t>2025-05-12 12:06:00,98235770.4763473,463860558.599558,,459,,2907.56,8.90343894866069,207.08,5826</t>
  </si>
  <si>
    <t>2025-05-12 12:06:00,220340215.072198,2239387.2793768,,-26,,-649.88,-0.0147196242104728,-7.56,20791.25</t>
  </si>
  <si>
    <t>2025-05-12 12:07:00,580,,580,,580,,578.5,,,,,580,578,576,577,581.49</t>
  </si>
  <si>
    <t>2025-05-12 12:07:00,500,,505,,500,,503,,,,,505,500,508,495,506.48</t>
  </si>
  <si>
    <t>2025-05-12 12:07:00,5900,,5850,,,6000,5800,,,,,5850,5750,5820,6000,5827.25</t>
  </si>
  <si>
    <t>2025-05-12 12:07:00,20700,,20950,,20700,,20650,,,,,20950,20200,21300,20950,20796</t>
  </si>
  <si>
    <t>2025-05-12 12:07:00,8054214327.00425,22373998991.6678,1238.73398458267,201,216.92251435407,-2364.49,-511.615614001144,-859.03,581.49</t>
  </si>
  <si>
    <t>2025-05-12 12:07:00,2221941434.16701,4613590194.13946,-1504.15532679739,-779,-1458.5543640523,-1859.7,115.722519162672,-694.47,506.48</t>
  </si>
  <si>
    <t>2025-05-12 12:07:00,99706450.258597,484512937.231815,,-443,,10327.97,0.901966106738771,-108.86,5827.25</t>
  </si>
  <si>
    <t>2025-05-12 12:07:00,217488869.079539,2315426.93550976,,-13,,264.52,0.00189119127815727,2.31,20796</t>
  </si>
  <si>
    <t>2025-05-12 12:08:00,580,,580,,580,,578.5,582,,,,580,578,576,579,581.897</t>
  </si>
  <si>
    <t>2025-05-12 12:08:00,500,,505,,500,,503,507,,,,505,500,508,495,506.88</t>
  </si>
  <si>
    <t>2025-05-12 12:08:00,5900,,5850,,,6000,5800,,,,,5850,5750,5820,6000,5831.25</t>
  </si>
  <si>
    <t>2025-05-12 12:08:00,20700,,20950,,20700,,20650,,,,,20950,20200,21300,20950,20813.75</t>
  </si>
  <si>
    <t>2025-05-12 12:08:00,7564442720.89043,22406063995.2055,-6019.97427489663,-10231,-166.765389156622,-16785.71,-75.9244378449106,-5315.73,581.897</t>
  </si>
  <si>
    <t>2025-05-12 12:08:00,2073024059.27857,4646812863.35033,-362.278558871843,2016,224.48680965931,-414.19,-415.89644388827,-47.39,506.88</t>
  </si>
  <si>
    <t>2025-05-12 12:08:00,98145598.8208495,519782476.601217,,-4506,,-32294.81,-25.049092638345,-1439.79,5831.25</t>
  </si>
  <si>
    <t>2025-05-12 12:08:00,207833591.826579,2437718.2942597,,-14,,-1052.31,-0.092020029569162,-11.62,20813.75</t>
  </si>
  <si>
    <t>2025-05-12 12:09:00,580,,580,,580,,578.5,582,,,,580,578,576,575,582.39</t>
  </si>
  <si>
    <t>2025-05-12 12:09:00,500,,505,,500,,503,,,,,505,500,508,495,507.34</t>
  </si>
  <si>
    <t>2025-05-12 12:09:00,5900,,5850,,,6000,5800,,,,,5850,5750,5820,6000,5836.25</t>
  </si>
  <si>
    <t>2025-05-12 12:09:00,20700,,20950,,20700,,20650,,,,,20950,20200,20100,20150,20833</t>
  </si>
  <si>
    <t>2025-05-12 12:09:00,7485846745.10955,22605267718.5957,7494.51336672117,7461,16070.6169323324,9896.21,1662.64255093344,3631.93,582.39</t>
  </si>
  <si>
    <t>2025-05-12 12:09:00,2121262558.00915,4934998894.75418,2455.66414924945,4523,7587.40480986498,10550.48,942.918630200625,3699.01,507.34</t>
  </si>
  <si>
    <t>2025-05-12 12:09:00,97842620.7880635,539705466.056812,,887,,8104.91000000001,0.795360426701028,572.33,5836.25</t>
  </si>
  <si>
    <t>2025-05-12 12:09:00,199545143.347774,2792366.56174141,,423,,6179.71,0.808214530764401,91.89,20833</t>
  </si>
  <si>
    <t>2025-05-12 12:10:00,580,,580,,580,,578.5,,582,,582,580,578,576,577,582.17</t>
  </si>
  <si>
    <t>2025-05-12 12:10:00,500,,505,,500,,503,507,,507,,505,500,508,495,507.18</t>
  </si>
  <si>
    <t>2025-05-12 12:10:00,5900,,5850,,,6000,5800,,,,5830,5850,5750,5820,6000,5834.25</t>
  </si>
  <si>
    <t>2025-05-12 12:10:00,20700,,20950,,20700,,20650,,,,,20950,20200,20100,20150,20826.5</t>
  </si>
  <si>
    <t>2025-05-12 12:10:00,7713325221.58379,21152951665.5433,1468.1224725275,-11061,331.457868742377,-15366.23,194.764744959711,-6382.2,582.17</t>
  </si>
  <si>
    <t>2025-05-12 12:10:00,2192637267.52554,4411583048.36909,-358.790606721499,-3382,2482.72650564153,-2464.31,-48.431624368525,-1133.17,507.18</t>
  </si>
  <si>
    <t>2025-05-12 12:10:00,97992903.9912573,560901830.967038,,2217,,2548.72,17.9141786258582,290.89,5834.25</t>
  </si>
  <si>
    <t>2025-05-12 12:10:00,197757797.524076,2702275.10600465,,30,,1266.47,-0.0749750689335926,13.72,20826.5</t>
  </si>
  <si>
    <t>2025-05-12 12:11:00,580,,580,,580,,578.5,,582,,582,580,578,576,577,581.88</t>
  </si>
  <si>
    <t>2025-05-12 12:11:00,500,,505,,500,,503,,,,507,505,500,508,495,506.9</t>
  </si>
  <si>
    <t>2025-05-12 12:11:00,5900,,5850,,,6000,5800,5840,,5840,5830,5850,5750,5820,6000,5831</t>
  </si>
  <si>
    <t>2025-05-12 12:11:00,20700,,20950,,20700,,20675,,,,,20950,20200,20700,20150,20814.25</t>
  </si>
  <si>
    <t>2025-05-12 12:11:00,7747579095.40998,22721953799.5819,-12642.9721646069,-9083,-11269.4562868882,-8596.16,810.819872073631,-4120.55,581.88</t>
  </si>
  <si>
    <t>2025-05-12 12:11:00,2024597209.07307,4768863886.25912,1554.27670729653,1661,2313.64529940845,1073.95,301.738458503071,453.3,506.9</t>
  </si>
  <si>
    <t>2025-05-12 12:11:00,97280166.5330614,545497821.450388,,2063,,21713.72,22.634739088112,826.71,5831</t>
  </si>
  <si>
    <t>2025-05-12 12:11:00,205252710.854901,2683578.56736,,10,,1490.36,-0.0911532766901307,13.96,20814.25</t>
  </si>
  <si>
    <t>2025-05-12 12:12:00,580,,580,,580,,578.5,,582,,,580,578,576,577,581.98</t>
  </si>
  <si>
    <t>2025-05-12 12:12:00,500,,505,,500,,503,,,,,505,500,508,495,507.03</t>
  </si>
  <si>
    <t>2025-05-12 12:12:00,5900,,5850,,,6000,5800,,,,,5850,5750,5820,6000,5832.25</t>
  </si>
  <si>
    <t>2025-05-12 12:12:00,20700,,20950,,20700,,20675,,,,,20950,20200,20100,20150,20819.75</t>
  </si>
  <si>
    <t>2025-05-12 12:12:00,7609583861.00725,22864732322.5919,1469.38805276849,677,220.742116127836,-2431.72,188.955618100407,-824.67,581.98</t>
  </si>
  <si>
    <t>2025-05-12 12:12:00,2216473522.0364,4640784745.28995,-1487.25681181564,-4027,-1435.52126368729,-5336.99,1.21364450584345,-1779.6,507.03</t>
  </si>
  <si>
    <t>2025-05-12 12:12:00,98448961.5401899,557338898.128967,,1691,,9660.73,11.6602606707238,468.47,5832.25</t>
  </si>
  <si>
    <t>2025-05-12 12:12:00,206877064.785531,2721977.97413021,,-22,,-285.27,-0.0162229991541617,-3.75,20819.75</t>
  </si>
  <si>
    <t>2025-05-12 12:13:00,580,,580,,580,,578.5,,,,,580,578,576,581,581.89</t>
  </si>
  <si>
    <t>2025-05-12 12:13:00,500,,505,,500,,503,,,,507,505,500,508,495,506.97</t>
  </si>
  <si>
    <t>2025-05-12 12:13:00,5900,,5850,,,6000,5800,,,,,5850,5750,5820,6000,5831.25</t>
  </si>
  <si>
    <t>2025-05-12 12:13:00,20700,,20950,,20700,,20675,,,,,20950,20200,20100,20150,20816.25</t>
  </si>
  <si>
    <t>2025-05-12 12:13:00,7703946338.59301,22164096122.8348,-3350.24808802309,-2852,-2176.67396500722,-3215.81,349.177971981924,-1550.87,581.89</t>
  </si>
  <si>
    <t>2025-05-12 12:13:00,2219472015.58107,4824397468.38569,67.9943977591039,205,-545.99175630252,-394.77,126.402352882074,-159.63,506.97</t>
  </si>
  <si>
    <t>2025-05-12 12:13:00,95244480.6040666,548585423.786248,,1471,,18288.1,7.13982471354818,762.14,5831.25</t>
  </si>
  <si>
    <t>2025-05-12 12:13:00,201103122.215783,2728455.84554001,,50,,1209.07,0.13822994023727,14.54,20816.25</t>
  </si>
  <si>
    <t>2025-05-12 12:14:00,580,,580,,580,,578.5,,,,,580,578,576,581,581.73</t>
  </si>
  <si>
    <t>2025-05-12 12:14:00,500,,505,,500,,503,,,,,505,500,508,495,506.755</t>
  </si>
  <si>
    <t>2025-05-12 12:14:00,5900,,5850,,,6000,5800,,,,,5850,5750,5820,6000,5829.25</t>
  </si>
  <si>
    <t>2025-05-12 12:14:00,20700,,20950,,20700,,20725,,,,,20950,20200,20100,20150,20808.75</t>
  </si>
  <si>
    <t>2025-05-12 12:14:00,7917839159.25223,22805862619.0013,-2482.87115384616,-2434,-818.978916666667,-631.25,926.187066053305,-587.82,581.73</t>
  </si>
  <si>
    <t>2025-05-12 12:14:00,2235944570.32922,4723178499.7397,1987.80025062657,2818,3126.50635588973,2261.19,-57.1563171557813,1076.68,506.755</t>
  </si>
  <si>
    <t>2025-05-12 12:14:00,97622891.1652288,536022166.142479,,1878,,14078.47,4.76662688574477,668.28,5829.25</t>
  </si>
  <si>
    <t>2025-05-12 12:14:00,205493664.594359,2599230.9135548,,48,,1169.6,0.0435527644676985,17.16,20808.75</t>
  </si>
  <si>
    <t>2025-05-12 12:15:00,580,,580,,580,,578.5,,,,,580,578,576,581,581.8</t>
  </si>
  <si>
    <t>2025-05-12 12:15:00,500,,505,,500,,503,,,,,505,500,508,495,506.82</t>
  </si>
  <si>
    <t>2025-05-12 12:15:00,5900,,5850,,,6000,5800,,,,,5850,5750,5820,6000,5830.25</t>
  </si>
  <si>
    <t>2025-05-12 12:15:00,20700,,20950,,20700,,20725,,,,,20950,20200,20100,20150,20812.25</t>
  </si>
  <si>
    <t>2025-05-12 12:15:00,7899388241.55908,22776546925.1739,865.97151702786,2157,1785.33649363604,2881.77,53.2452342216756,982.43,581.8</t>
  </si>
  <si>
    <t>2025-05-12 12:15:00,2237971480.72029,4825145079.50815,420.99391923436,1016,1822.72201202147,3228.01,228.711976303859,842.83,506.82</t>
  </si>
  <si>
    <t>2025-05-12 12:15:00,100641281.406491,543786931.035966,,891,,8031.87,-2.47147218839144,333.6,5830.25</t>
  </si>
  <si>
    <t>2025-05-12 12:15:00,210979533.551737,2642816.94102623,,47,,1096.01,0.0623877649491254,13.01,20812.25</t>
  </si>
  <si>
    <t>2025-05-12 12:16:00,580,,580,,580,,578.5,,,,,580,578,576,581,581.74</t>
  </si>
  <si>
    <t>2025-05-12 12:16:00,500,,505,,500,,503,,,,,505,500,508,495,506.79</t>
  </si>
  <si>
    <t>2025-05-12 12:16:00,5900,,5850,,,6000,5800,,,,,5850,5750,5820,6000,5829.75</t>
  </si>
  <si>
    <t>2025-05-12 12:16:00,20700,,20950,,20700,,20725,,,,,20950,20200,20100,20150,20811</t>
  </si>
  <si>
    <t>2025-05-12 12:16:00,7908124611.03209,25045583969.4892,-3065.30665802206,-2225,-3940.47502850599,-3156.65,16.4546754711469,-1351.8,581.74</t>
  </si>
  <si>
    <t>2025-05-12 12:16:00,2038709141.39596,4897112344.6602,-4187.45498948938,-3969,-2908.62442020577,-3268.27,101.321987649677,-1299.02,506.79</t>
  </si>
  <si>
    <t>2025-05-12 12:16:00,96195605.3825897,560055359.954276,,202,,-177.079999999999,1.6720557737544,3.25000000000002,5829.75</t>
  </si>
  <si>
    <t>2025-05-12 12:16:00,217315553.807534,2744279.75966809,,31,,386.51,0.0496390679882349,5.43,20811</t>
  </si>
  <si>
    <t>2025-05-12 12:17:00,580,,580,,580,,578.5,,,,,580,578,576,581,581.82</t>
  </si>
  <si>
    <t>2025-05-12 12:17:00,500,,505,,500,,503,,,,,505,500,508,495,506.81</t>
  </si>
  <si>
    <t>2025-05-12 12:17:00,5900,,5850,,,6000,5800,,,,,5850,5750,5820,6000,5830.75</t>
  </si>
  <si>
    <t>2025-05-12 12:17:00,20700,,20950,,20700,,20725,,,,,20950,20200,20100,20150,20811.75</t>
  </si>
  <si>
    <t>2025-05-12 12:17:00,7794914598.47922,23887126418.1424,-604.825115819852,2529,-1352.8545573783,194.04,-354.969794659823,845.13,581.82</t>
  </si>
  <si>
    <t>2025-05-12 12:17:00,2249086913.56035,4966050353.18076,-639.478092740592,-622,-50.5217454628696,-473.91,-31.840764896745,-66.57,506.81</t>
  </si>
  <si>
    <t>2025-05-12 12:17:00,99483592.1351663,548554081.582447,,-289,,-45125.11,7.07835555514803,-611.99,5830.75</t>
  </si>
  <si>
    <t>2025-05-12 12:17:00,211489688.965846,2690491.53012953,,-29,,-608.7,0.0196675661936473,-7.29,20811.75</t>
  </si>
  <si>
    <t>2025-05-12 12:18:00,580,,580,,580,,578.5,582,,,,580,578,576,577,581.82</t>
  </si>
  <si>
    <t>2025-05-12 12:18:00,500,,505,,500,,503,,,,,505,500,508,495,506.908</t>
  </si>
  <si>
    <t>2025-05-12 12:18:00,5900,,5850,,,6000,5800,,,,,5850,5750,5820,6000,5830.5</t>
  </si>
  <si>
    <t>2025-05-12 12:18:00,20700,,20950,,20700,,20725,,,,,20950,20200,20100,20150,20815</t>
  </si>
  <si>
    <t>2025-05-12 12:18:00,7792924396.17604,23682918845.2789,5278.51503189793,5416,5284.63379066986,5155.64,118.729404713988,2599.99,581.82</t>
  </si>
  <si>
    <t>2025-05-12 12:18:00,2035329715.91483,4882582477.66473,-258.145186968175,-115,230.250607064417,131.37,98.7531938116205,-60.29,506.908</t>
  </si>
  <si>
    <t>2025-05-12 12:18:00,94744667.4181257,559544200.646882,,752,,4345.87,-0.896588642963833,244.23,5830.5</t>
  </si>
  <si>
    <t>2025-05-12 12:18:00,215281198.719236,2754499.59148763,,-3,,80.92,0.00950840113996004,0.63,20815</t>
  </si>
  <si>
    <t>2025-05-12 12:19:00,580,,580,,580,,578.5,,,,,580,578,576,577,581.743</t>
  </si>
  <si>
    <t>2025-05-12 12:19:00,500,,505,,500,,503,,,,,505,500,508,503,506.9</t>
  </si>
  <si>
    <t>2025-05-12 12:19:00,5900,,5850,,,6000,5800,,,,,5850,5750,5820,6000,5830</t>
  </si>
  <si>
    <t>2025-05-12 12:19:00,20700,,20950,,20700,,20725,,,,,20950,20200,20100,20150,20814.75</t>
  </si>
  <si>
    <t>2025-05-12 12:19:00,8154062898.9081,22926001537.9993,2719.83809523809,668,4216.36828571428,-876.62,34.9358137419804,86.2999999999998,581.743</t>
  </si>
  <si>
    <t>2025-05-12 12:19:00,2251831764.20683,5063427044.19276,2798.15088523448,2089,5614.36521651722,4653.73,2.40114819422013,1052.22,506.9</t>
  </si>
  <si>
    <t>2025-05-12 12:19:00,98326861.8085783,560151737.896861,,1272,,6587.24,1.72786670753107,322.27,5830</t>
  </si>
  <si>
    <t>2025-05-12 12:19:00,202237147.587678,2700427.12647389,,2,,-0.319999999999999,0.00160703447773583,0.06,20814.75</t>
  </si>
  <si>
    <t>2025-05-12 12:20:00,580,,580,,580,,578.5,,,,,580,578,576,577,581.52</t>
  </si>
  <si>
    <t>2025-05-12 12:20:00,500,,508,,500,,504,,,,,505,500,508,495,506.65</t>
  </si>
  <si>
    <t>2025-05-12 12:20:00,5900,,5850,,,6000,5800,,,,,5850,5750,5820,6000,5827.5</t>
  </si>
  <si>
    <t>2025-05-12 12:20:00,20700,,20950,,20700,,20725,,,,,20950,20200,20100,20150,20805</t>
  </si>
  <si>
    <t>2025-05-12 12:20:00,8420872063.2854,21989500546.5286,4742.14999999998,6635,4514.5193333333,4344.43,11.408631729925,2076.23,581.52</t>
  </si>
  <si>
    <t>2025-05-12 12:20:00,2273591359.09736,4313677631.53359,2692.54764957265,2116,3442.81609829059,2500.85,-46.7214249065077,860.15,506.65</t>
  </si>
  <si>
    <t>2025-05-12 12:20:00,94905367.7853554,535949638.435354,,257,,-1942.6,7.92698742312831,-64.22,5827.5</t>
  </si>
  <si>
    <t>2025-05-12 12:20:00,208411345.101332,2581551.12721743,,28,,233.49,0.0248223263321325,3.03,20805</t>
  </si>
  <si>
    <t>2025-05-12 12:21:00,580,,580,,580,,578.5,,,581,,580,578,576,577,581.465</t>
  </si>
  <si>
    <t>2025-05-12 12:21:00,500,,505,,500,,503,,507,,507,505,500,508,503,506.57</t>
  </si>
  <si>
    <t>2025-05-12 12:21:00,5900,,5850,,,6000,5800,,,5830,,5850,5750,5820,6000,5826.5</t>
  </si>
  <si>
    <t>2025-05-12 12:21:00,20700,,20950,,20700,,20725,,,,,20950,20200,20100,20150,20799.5</t>
  </si>
  <si>
    <t>2025-05-12 12:21:00,8016225175.24394,23699107820.1923,17422.3786688804,519,7632.58349933585,-2986.79,-986.94569551701,-305.25,581.465</t>
  </si>
  <si>
    <t>2025-05-12 12:21:00,2083761893.73847,4662836867.23887,-2477.6957624419,-3691,-989.762092515329,-3387.65,159.591553835004,-1210.34,506.57</t>
  </si>
  <si>
    <t>2025-05-12 12:21:00,98309785.1360708,506669488.082934,,-2031,,-9588.42999999999,-4.61949095873617,-342.66,5826.5</t>
  </si>
  <si>
    <t>2025-05-12 12:21:00,233150841.153551,2615835.74999405,,-48,,-1083.45,0.0350923105361947,-13.4,20799.5</t>
  </si>
  <si>
    <t>2025-05-12 12:22:00,580,,580,,580,,578.5,,,581,,580,578,576,577,581.325</t>
  </si>
  <si>
    <t>2025-05-12 12:22:00,500,,505,,500,,503,,,,,505,500,508,503,506.47</t>
  </si>
  <si>
    <t>2025-05-12 12:22:00,5900,,5850,,,6000,5800,,,,,5850,5750,5820,6000,5825.5</t>
  </si>
  <si>
    <t>2025-05-12 12:22:00,20700,,20950,,20700,,20725,,,,,20950,20200,20100,20150,20798.25</t>
  </si>
  <si>
    <t>2025-05-12 12:22:00,8618219532.47234,21130224415.3431,178.010606060606,1475,848.22422077922,1384.88,-516.360518348297,540.55,581.325</t>
  </si>
  <si>
    <t>2025-05-12 12:22:00,2272753869.41097,4461097501.41993,1232.96106465998,261,1268.17156633222,735.73,169.154325469116,90.72,506.47</t>
  </si>
  <si>
    <t>2025-05-12 12:22:00,100230898.600575,494671516.784,,752,,8204.47,-4.70640633799641,301.83,5825.5</t>
  </si>
  <si>
    <t>2025-05-12 12:22:00,220010589.317509,2527601.49315734,,19,,733.09,0.00504825981620194,8.58,20798.25</t>
  </si>
  <si>
    <t>2025-05-12 12:23:00,580,,580,,580,,578.5,,,,,580,578,576,577,581.33</t>
  </si>
  <si>
    <t>2025-05-12 12:23:00,500,,505,,500,,503,,,,,505,500,508,503,506.42</t>
  </si>
  <si>
    <t>2025-05-12 12:23:00,5900,,5850,,,6000,5800,,,,,5850,5750,5820,6000,5825.5</t>
  </si>
  <si>
    <t>2025-05-12 12:23:00,20700,,20950,,20700,,20725,,,,,20950,20200,20100,20150,20795</t>
  </si>
  <si>
    <t>2025-05-12 12:23:00,8734394312.30608,20544800094.9072,3182.02693140192,5092,2991.84113844488,3707.5,-108.056061630504,1822.83,581.33</t>
  </si>
  <si>
    <t>2025-05-12 12:23:00,2279315534.53856,4361613606.49032,-531.61965714174,621,-1041.57393501731,-36.4899999999999,-13.5153242023862,38.0999999999999,506.42</t>
  </si>
  <si>
    <t>2025-05-12 12:23:00,96789286.1289277,507494776.184794,,1373,,9181.64,-4.0291514156005,514.87,5825.5</t>
  </si>
  <si>
    <t>2025-05-12 12:23:00,228299680.145902,2586267.92748011,,-70,,-998.96,-0.107372417027818,-14.41,20795</t>
  </si>
  <si>
    <t>2025-05-12 12:24:00,580,,580,,580,,578.5,,,,,580,578,576,577,581.205</t>
  </si>
  <si>
    <t>2025-05-12 12:24:00,500,,505,,500,,504,,,,,505,500,508,503,506.32</t>
  </si>
  <si>
    <t>2025-05-12 12:24:00,5900,,5850,,,6000,5800,,,,,5850,5750,5820,6000,5824.5</t>
  </si>
  <si>
    <t>2025-05-12 12:24:00,20700,,20950,,20700,,20725,,,,,20950,20200,20100,20150,20790.5</t>
  </si>
  <si>
    <t>2025-05-12 12:24:00,8696187098.53065,20151874434.0308,8539.67299259879,8227,8865.47942098393,5157.79,-500.495341150514,3052.73,581.205</t>
  </si>
  <si>
    <t>2025-05-12 12:24:00,2300379661.28391,4160504253.19895,331.142640692639,2971,-541.922971861477,1699.58,-441.210925753632,1056.46,506.32</t>
  </si>
  <si>
    <t>2025-05-12 12:24:00,97581012.2386294,471969159.92884,,-711,,-8410.09,12.1181708661199,-339.01,5824.5</t>
  </si>
  <si>
    <t>2025-05-12 12:24:00,223528582.484843,2450635.15222884,,-31,,-374.55,-0.0192095382967049,-5.51,20790.5</t>
  </si>
  <si>
    <t>2025-05-12 12:25:00,580,,580,,580,,578.5,,,,581,580,578,576,577,581.23</t>
  </si>
  <si>
    <t>2025-05-12 12:25:00,500,,505,,500,,503,,,,,505,500,508,503,506.339</t>
  </si>
  <si>
    <t>2025-05-12 12:25:00,5900,,5850,,,6000,5800,,,,,5850,5750,5820,6000,5824.5</t>
  </si>
  <si>
    <t>2025-05-12 12:25:00,20700,,20950,,20700,,20725,,,,,20950,20200,20100,20150,20791</t>
  </si>
  <si>
    <t>2025-05-12 12:25:00,8512655243.14246,21536057098.9584,-1328.37857142857,-940,-226.737523809512,-2531.97,484.391217288045,-853.65,581.23</t>
  </si>
  <si>
    <t>2025-05-12 12:25:00,2196808721.38357,4487575205.16831,549.309212808126,1017,1338.74399975226,1783.35,3.37533836329884,601.35,506.339</t>
  </si>
  <si>
    <t>2025-05-12 12:25:00,99707183.5059499,488374486.07439,,1321,,8757.61,5.08446761994797,425.52,5824.5</t>
  </si>
  <si>
    <t>2025-05-12 12:25:00,219689937.998917,2477220.51596442,,17,,353.51,0.0071353585450811,4.82,20791</t>
  </si>
  <si>
    <t>2025-05-12 12:26:00,580,,580,,580,,578.5,,,,581,580,578,576,577,581.22</t>
  </si>
  <si>
    <t>2025-05-12 12:26:00,500,,505,,500,,503,,,,,505,500,508,503,506.305</t>
  </si>
  <si>
    <t>2025-05-12 12:26:00,5900,,5850,,,6000,5800,,,,,5850,5750,5820,6000,5824.5</t>
  </si>
  <si>
    <t>2025-05-12 12:26:00,20700,,20950,,20700,,20725,,,,,20950,20200,20100,20150,20790</t>
  </si>
  <si>
    <t>2025-05-12 12:26:00,8600309290.11585,20757791880.9843,-2553.1126984127,-2026,-2734.99055555556,-2078.39,225.638055574177,-951.15,581.22</t>
  </si>
  <si>
    <t>2025-05-12 12:26:00,2285169813.98568,4244754659.32228,-494.529914529915,-330,-524.593974358976,-284.08,5.16900985147273,-125.83,506.305</t>
  </si>
  <si>
    <t>2025-05-12 12:26:00,99078911.0428431,475672945.667308,,-207,,-500.66,0.711957257441962,-61.23,5824.5</t>
  </si>
  <si>
    <t>2025-05-12 12:26:00,223838974.12323,2463749.8938268,,1,,158.46,0.00667975234180999,1.36,20790</t>
  </si>
  <si>
    <t>2025-05-12 12:27:00,580,,580,,580,,578.5,,,,581,580,578,576,577,581.25</t>
  </si>
  <si>
    <t>2025-05-12 12:27:00,500,,505,,500,,503,,,,,505,500,508,503,506.381</t>
  </si>
  <si>
    <t>2025-05-12 12:27:00,5900,,5850,,,6000,5800,,,,,5850,5750,5820,6000,5825</t>
  </si>
  <si>
    <t>2025-05-12 12:27:00,20700,,20950,,20700,,20725,,,,,20950,20200,20100,20150,20792.75</t>
  </si>
  <si>
    <t>2025-05-12 12:27:00,8435836964.067,21723773340.4917,-12020.3285714286,-6789,-12365.418952381,-7600.97,451.819915562307,-3297.31,581.25</t>
  </si>
  <si>
    <t>2025-05-12 12:27:00,2136585925.6006,4507646718.99009,-2156.40784659785,-2065,-1410.13186315906,-1583.02,144.1215530987,-716.36,506.381</t>
  </si>
  <si>
    <t>2025-05-12 12:27:00,95872205.1883119,499728463.85785,,-995,,-1081.86,0.208365910655584,-263.87,5825</t>
  </si>
  <si>
    <t>2025-05-12 12:27:00,227169304.630333,2573394.51151241,,3,,168.82,-0.000501022130435279,1.75,20792.75</t>
  </si>
  <si>
    <t>2025-05-12 12:28:00,580,,580,,580,,578.5,,,,581,580,578,576,577,581.4</t>
  </si>
  <si>
    <t>2025-05-12 12:28:00,500,,505,,500,,503,,,,,505,500,508,503,506.56</t>
  </si>
  <si>
    <t>2025-05-12 12:28:00,5900,,5850,,,6000,5800,,,,,5850,5750,5820,6000,5826.25</t>
  </si>
  <si>
    <t>2025-05-12 12:28:00,20700,,20950,,20700,,20725,,,,,20950,20200,20100,20150,20801</t>
  </si>
  <si>
    <t>2025-05-12 12:28:00,8222858640.29549,24213061272.2669,-3691.57710944027,6882,-3243.81259899749,-2795.12,326.380738119807,-1281.07,581.4</t>
  </si>
  <si>
    <t>2025-05-12 12:28:00,2132371999.85742,5136571778.80726,-547.547619047621,-552,-862.205714285717,-918.6,18.9294863192805,-336.61,506.56</t>
  </si>
  <si>
    <t>2025-05-12 12:28:00,100746665.045159,521583065.88459,,-233,,-3471.29,-1.65462333801884,-133.01,5826.25</t>
  </si>
  <si>
    <t>2025-05-12 12:28:00,226154828.689381,2689300.09319992,,-13,,-242.46,0.0193178310231536,-2.9,20801</t>
  </si>
  <si>
    <t>2025-05-12 12:29:00,580,,580,,580,,578.5,,,581,,580,578,576,577,581.49</t>
  </si>
  <si>
    <t>2025-05-12 12:29:00,500,,508,,500,,503,,,,,505,500,508,503,506.67</t>
  </si>
  <si>
    <t>2025-05-12 12:29:00,5900,,5850,,,6000,5800,5830,,,,5850,5750,5820,6000,5827.5</t>
  </si>
  <si>
    <t>2025-05-12 12:29:00,20700,,20950,,20700,,20725,,,,,20950,20200,20100,20150,20805.25</t>
  </si>
  <si>
    <t>2025-05-12 12:29:00,8504470815.93176,21716731247.58,6758.81031746032,10175,6498.04773809524,8244.01,-53.6233483237548,4077.83,581.49</t>
  </si>
  <si>
    <t>2025-05-12 12:29:00,2272893398.99703,4725398846.10767,-2309.43566433566,-2530,-844.933624708624,-1000.45,368.992316238687,-534.01,506.67</t>
  </si>
  <si>
    <t>2025-05-12 12:29:00,99827454.5981198,531141066.421666,,579,,7548.31,11.8914346311593,291.93,5827.5</t>
  </si>
  <si>
    <t>2025-05-12 12:29:00,211925295.991894,2649452.57736885,,-8,,93.03,0.0212181524655596,0.94,20805.25</t>
  </si>
  <si>
    <t>2025-05-12 12:30:00,580,,580,,580,,578.5,,,581,,580,578,576,577,581.47</t>
  </si>
  <si>
    <t>2025-05-12 12:30:00,500,,508,,500,,503,,,,,505,500,508,505,506.67</t>
  </si>
  <si>
    <t>2025-05-12 12:30:00,5900,,5850,,,6000,5800,,,,,5850,5750,5820,6000,5827.25</t>
  </si>
  <si>
    <t>2025-05-12 12:30:00,20700,,20950,,20700,,20725,,,,,20950,20200,20100,20150,20804.5</t>
  </si>
  <si>
    <t>2025-05-12 12:30:00,8434328798.55255,22438216868.7408,-907.62702020202,962,-2097.93720165945,-703.44,-455.389648582309,-36.13,581.47</t>
  </si>
  <si>
    <t>2025-05-12 12:30:00,2268075870.15514,4827290635.64422,-631.000000000002,-403,-977.720000000003,-322.22,-32.5476461109067,-146.25,506.67</t>
  </si>
  <si>
    <t>2025-05-12 12:30:00,102269589.217659,536369971.123916,,-1535,,-11721.15,-10.0979843823816,-582.29,5827.25</t>
  </si>
  <si>
    <t>2025-05-12 12:30:00,224938322.409205,2750373.19044276,,-37,,-568.97,-0.0776154979296585,-8.85,20804.5</t>
  </si>
  <si>
    <t>2025-05-12 12:31:00,580,,580,,580,,578.5,,,,,580,578,576,577,581.67</t>
  </si>
  <si>
    <t>2025-05-12 12:31:00,500,,508,,500,,503,,,,,508,500,508,505,506.8</t>
  </si>
  <si>
    <t>2025-05-12 12:31:00,5900,,5850,,,6000,5800,,,,,5850,5750,5820,6000,5829</t>
  </si>
  <si>
    <t>2025-05-12 12:31:00,20700,,20950,,20700,,20725,,,,,20950,20200,20100,20150,20811</t>
  </si>
  <si>
    <t>2025-05-12 12:31:00,7945914492.40722,23550123800.5608,290.626709401709,1680,-405.272264957271,-1143.59,-968.004756190302,-229.77,581.67</t>
  </si>
  <si>
    <t>2025-05-12 12:31:00,2094594916.37745,5097309858.7477,-2372.92195767196,-1890,-1250.06742063492,-983.87,392.699314650787,-475.83,506.8</t>
  </si>
  <si>
    <t>2025-05-12 12:31:00,101476959.181982,555441194.771404,,286,,-990.95,-7.13896876903597,130.24,5829</t>
  </si>
  <si>
    <t>2025-05-12 12:31:00,221813542.654107,2854396.65171123,,-58,,-819.38,-0.045957201308314,-11.8,20811</t>
  </si>
  <si>
    <t>2025-05-12 12:32:00,580,,580,,580,,578.5,582,,,,580,578,576,577,581.8</t>
  </si>
  <si>
    <t>2025-05-12 12:32:00,500,,508,,500,,504,,507,,,508,500,508,505,506.95</t>
  </si>
  <si>
    <t>2025-05-12 12:32:00,5900,,5850,,,6000,5800,,,,,5850,5750,5820,6000,5830.5</t>
  </si>
  <si>
    <t>2025-05-12 12:32:00,20700,,20950,,20700,,20725,,,,,20950,20200,20100,20150,20816.75</t>
  </si>
  <si>
    <t>2025-05-12 12:32:00,8164377578.59108,23494138973.4377,-125.738878446115,-575,916.42640507519,-1708.91,334.96627290005,-539.06,581.8</t>
  </si>
  <si>
    <t>2025-05-12 12:32:00,2130410651.35057,5053628662.07651,-717.075810276679,1600,-1224.88915415019,-689.16,-217.471205053065,22.12,506.95</t>
  </si>
  <si>
    <t>2025-05-12 12:32:00,102912717.725368,588787060.781777,,-1634,,-12428.71,-6.64935314097233,-386.94,5830.5</t>
  </si>
  <si>
    <t>2025-05-12 12:32:00,208728833.794735,2878653.73571877,,-58,,-621.27,0.0387062044800035,-8.28,20816.75</t>
  </si>
  <si>
    <t>2025-05-12 12:33:00,580,,580,,580,,578.5,582,,,,580,578,576,577,581.525</t>
  </si>
  <si>
    <t>2025-05-12 12:33:00,500,,508,,500,,504,,,,,508,500,508,505,506.685</t>
  </si>
  <si>
    <t>2025-05-12 12:33:00,5900,,5850,,,6000,5800,,,,,5850,5750,5820,6000,5827.75</t>
  </si>
  <si>
    <t>2025-05-12 12:33:00,20700,,20950,,20700,,20725,,,,,20950,20200,20100,20150,20806.25</t>
  </si>
  <si>
    <t>2025-05-12 12:33:00,8501528002.55706,22499442306.9883,2567.17103174603,3094,1594.9121984127,713.18,293.390292619699,165.43,581.525</t>
  </si>
  <si>
    <t>2025-05-12 12:33:00,2253544762.87507,4744477834.58838,855.124203213604,2148,1302.97020597249,2551.23,96.4641204802432,901.07,506.685</t>
  </si>
  <si>
    <t>2025-05-12 12:33:00,102161422.622994,559687289.409319,,1090,,4741.19,1.73815909110086,226.14,5827.75</t>
  </si>
  <si>
    <t>2025-05-12 12:33:00,213997465.109878,2778315.78450322,,32,,2562.86,0.041760212623595,12.46,20806.25</t>
  </si>
  <si>
    <t>2025-05-12 12:34:00,580,,580,,580,,578.5,,,,,580,578,576,577,581.519</t>
  </si>
  <si>
    <t>2025-05-12 12:34:00,500,,508,,500,,503,,,,,508,500,508,505,506.65</t>
  </si>
  <si>
    <t>2025-05-12 12:34:00,5850,,5850,,,6000,5800,,,,,5850,5750,5820,6000,5827.5</t>
  </si>
  <si>
    <t>2025-05-12 12:34:00,20700,,20950,,20700,,20725,,,,,20950,20200,20100,20150,20804.75</t>
  </si>
  <si>
    <t>2025-05-12 12:34:00,8331103541.78103,22877167078.754,-2359.39243697479,-61,-3184.03214939309,-1086.47,-78.6661230485273,-413.54,581.519</t>
  </si>
  <si>
    <t>2025-05-12 12:34:00,2135843166.63592,4813326274.14872,577.72133903134,1260,732.121605698006,1193.61,26.4718738849836,533.24,506.65</t>
  </si>
  <si>
    <t>2025-05-12 12:34:00,96595643.8702957,571649807.218258,,-152,,1670.25,-3.51148063517468,-2.66000000000001,5827.5</t>
  </si>
  <si>
    <t>2025-05-12 12:34:00,218544122.473464,2771675.14562678,,2,,77.12,0.0080692420213946,0.84,20804.75</t>
  </si>
  <si>
    <t>2025-05-12 12:35:00,580,,580,,580,,578.5,,,,,580,578,576,577,581.35</t>
  </si>
  <si>
    <t>2025-05-12 12:35:00,500,,508,,500,,503,,,,,508,500,508,505,506.579</t>
  </si>
  <si>
    <t>2025-05-12 12:35:00,5850,,5850,,,6000,5800,,,,,5850,5750,5820,6000,5826</t>
  </si>
  <si>
    <t>2025-05-12 12:35:00,20700,,20950,,20700,,20725,,,,,20950,20200,20100,20150,20800.5</t>
  </si>
  <si>
    <t>2025-05-12 12:35:00,8546987223.35863,21997510556.2748,-2544.49444444444,-2144,-1219.00672222222,-1065.47,79.2019065249276,-762.13,581.35</t>
  </si>
  <si>
    <t>2025-05-12 12:35:00,2124568677.3479,5053696185.00871,3060.47917582418,2624,3890.58372142857,2202.6,-179.390664229483,964.8,506.579</t>
  </si>
  <si>
    <t>2025-05-12 12:35:00,94979905.9088544,558303095.55426,,648,,4972.84,-4.26925508709323,232.28,5826</t>
  </si>
  <si>
    <t>2025-05-12 12:35:00,218994361.364024,2769026.63480891,,49,,579.2,0.0818576298064712,9.69,20800.5</t>
  </si>
  <si>
    <t>2025-05-12 12:36:00,580,,580,,580,,578.5,,,581,,580,578,576,577,581.25</t>
  </si>
  <si>
    <t>2025-05-12 12:36:00,500,,508,,500,,504,,,,,508,500,508,495,506.44</t>
  </si>
  <si>
    <t>2025-05-12 12:36:00,5850,,5850,,,6000,5800,,,,,5850,5750,5820,6000,5824.75</t>
  </si>
  <si>
    <t>2025-05-12 12:36:00,20700,,20950,,20700,,20725,,,,,20950,20200,20100,20150,20794.75</t>
  </si>
  <si>
    <t>2025-05-12 12:36:00,8852456143.91418,21305900658.4635,4863.08063909775,9260,3519.38939411028,7369.43,-241.210918669416,3754.33,581.25</t>
  </si>
  <si>
    <t>2025-05-12 12:36:00,2270184790.19001,4489113822.83289,798.066666666666,2168,786.290000000001,1502.33,-45.8292144212946,864.97,506.44</t>
  </si>
  <si>
    <t>2025-05-12 12:36:00,99694405.1812438,531822139.901332,,651,,27561.38,-4.53283017611107,758.71,5824.75</t>
  </si>
  <si>
    <t>2025-05-12 12:36:00,218422899.12555,2654175.8855592,,4,,91.4,0.0141083697032755,1.32,20794.75</t>
  </si>
  <si>
    <t>2025-05-12 12:37:00,580,,580,,580,,578.5,,,581,,580,578,576,577,581.45</t>
  </si>
  <si>
    <t>2025-05-12 12:37:00,500,,508,,500,,504,,507,,,508,500,508,495,506.61</t>
  </si>
  <si>
    <t>2025-05-12 12:37:00,5900,,5850,,,6000,5800,,,,,5850,5750,5820,6000,5826.75</t>
  </si>
  <si>
    <t>2025-05-12 12:37:00,20700,,20950,,20700,,20725,,,,,20950,20200,20100,20150,20805.25</t>
  </si>
  <si>
    <t>2025-05-12 12:37:00,8442572383.22161,22435846377.9578,-997.425793650794,1705,-2121.6456468254,-68.9000000000002,-13.0621032855785,334.94,581.45</t>
  </si>
  <si>
    <t>2025-05-12 12:37:00,2113808423.79803,4609079450.05041,-1583.28889226715,-1143,-2581.43825985609,-2357.95,-158.763945796913,-748.4,506.61</t>
  </si>
  <si>
    <t>2025-05-12 12:37:00,101640263.545374,543523352.002495,,-1510,,-8716.18,1.97676586486373,-388.93,5826.75</t>
  </si>
  <si>
    <t>2025-05-12 12:37:00,228175410.855114,2804711.09899045,,-11,,-414.24,-0.00843789817538523,-4.57,20805.25</t>
  </si>
  <si>
    <t>2025-05-12 12:38:00,580,,580,,580,,578.5,,,,,580,578,576,577,581.57</t>
  </si>
  <si>
    <t>2025-05-12 12:38:00,500,,508,,500,,503,,,,,508,500,508,495,506.703</t>
  </si>
  <si>
    <t>2025-05-12 12:38:00,5900,,5850,,,6000,5800,,,,,5850,5750,5820,6000,5828</t>
  </si>
  <si>
    <t>2025-05-12 12:38:00,20700,,20950,,20700,,20725,,,,,20950,20200,20100,20150,20808.25</t>
  </si>
  <si>
    <t>2025-05-12 12:38:00,8451774644.32451,22429523911.4929,-1990.18095238094,-1148,-1662.59761904761,-1311.88,0.118520227402364,-576.73,581.57</t>
  </si>
  <si>
    <t>2025-05-12 12:38:00,2248696428.88364,4990837251.62392,1118.37721674877,1540,1084.93593349754,1115.28,96.0857941262361,660.99,506.703</t>
  </si>
  <si>
    <t>2025-05-12 12:38:00,100754208.178552,560737470.900284,,549,,1496.07,-2.94758679811324,126.68,5828</t>
  </si>
  <si>
    <t>2025-05-12 12:38:00,225756230.562119,2873485.2107048,,-2,,105.16,0.00185000447746,0.43,20808.25</t>
  </si>
  <si>
    <t>2025-05-12 12:39:00,580,,580,,580,,578.5,,,,,580,578,576,577,581.54</t>
  </si>
  <si>
    <t>2025-05-12 12:39:00,500,,508,,500,,503,,,,,508,500,508,495,506.69</t>
  </si>
  <si>
    <t>2025-05-12 12:39:00,5850,,5850,,,6000,5800,,5830,,,5850,5750,5820,6000,5827.75</t>
  </si>
  <si>
    <t>2025-05-12 12:39:00,20700,,20950,,20700,,20725,,,,,20950,20200,20100,20150,20805.25</t>
  </si>
  <si>
    <t>2025-05-12 12:39:00,8388777655.45618,23093496504.7669,631.862957211869,-351,1674.53377501725,743.43,72.2481312897767,53.5600000000001,581.54</t>
  </si>
  <si>
    <t>2025-05-12 12:39:00,2161419953.36904,5032222930.89158,96.9785159583542,321,265.297496031745,280.24,12.6269142332862,151.97,506.69</t>
  </si>
  <si>
    <t>2025-05-12 12:39:00,101510113.392173,579053156.896973,,77,,-1651.32,-2.492079908257,-41.65,5827.75</t>
  </si>
  <si>
    <t>2025-05-12 12:39:00,222356675.309948,2862170.31934895,,40,,587.94,0.100822937622058,9.29,20805.25</t>
  </si>
  <si>
    <t>2025-05-12 12:40:00,580,,580,,580,,578.5,,,,,580,578,576,577,581.55</t>
  </si>
  <si>
    <t>2025-05-12 12:40:00,500,,508,,500,,503,,,,,508,500,508,495,506.69</t>
  </si>
  <si>
    <t>2025-05-12 12:40:00,5850,,5850,,,6000,5800,,,,,5850,5750,5820,6000,5828</t>
  </si>
  <si>
    <t>2025-05-12 12:40:00,20700,,20950,,20700,,20725,,,,,20950,20200,20100,20150,20803.25</t>
  </si>
  <si>
    <t>2025-05-12 12:40:00,8598157974.82821,23111338176.5322,-2250.85394736842,-3197,-707.290355263154,-1346.64,215.635519580721,-932.33,581.55</t>
  </si>
  <si>
    <t>2025-05-12 12:40:00,2103309051.80379,4996909819.5311,-132.689799331103,255,112.783570234119,89.74,-38.3818141526991,31.7,506.69</t>
  </si>
  <si>
    <t>2025-05-12 12:40:00,102698774.896532,590338964.648124,,1805,,16714.03,12.8917676186864,538.08,5828</t>
  </si>
  <si>
    <t>2025-05-12 12:40:00,223360106.332634,2876816.63608747,,-2,,-33.1,0.00494508071928812,-0.5,20803.25</t>
  </si>
  <si>
    <t>2025-05-12 12:41:00,580,,580,,580,,578.5,,,,,580,578,576,577,581.6</t>
  </si>
  <si>
    <t>2025-05-12 12:41:00,500,,508,,500,,504,,,,,508,500,508,495,506.71</t>
  </si>
  <si>
    <t>2025-05-12 12:41:00,5900,,5850,,,6000,5800,,,,,5850,5750,5820,6000,5828.25</t>
  </si>
  <si>
    <t>2025-05-12 12:41:00,20700,,20950,,20700,,20725,,,,,20950,20200,20100,20150,20806.75</t>
  </si>
  <si>
    <t>2025-05-12 12:41:00,8635826246.13559,22875652525.8623,-6606.5481990232,-5539,-4792.64157875458,-3695.02,176.03177113422,-2044.08,581.6</t>
  </si>
  <si>
    <t>2025-05-12 12:41:00,2256681063.47684,4936004890.12845,-461.403763030765,-532,47.8503165522503,-1256.93,-46.7025741176927,-515.52,506.71</t>
  </si>
  <si>
    <t>2025-05-12 12:41:00,100944791.181357,572398827.478363,,-583,,-4765.24,5.99666956349119,-251.35,5828.25</t>
  </si>
  <si>
    <t>2025-05-12 12:41:00,227853367.269251,2898734.34302748,,-7,,-33.65,-0.00251308435300323,-0.5,20806.75</t>
  </si>
  <si>
    <t>2025-05-12 12:42:00,580,,580,,580,,578.5,,,,,580,578,576,577,581.59</t>
  </si>
  <si>
    <t>2025-05-12 12:42:00,500,,508,,500,,503,,,,,508,500,508,495,506.75</t>
  </si>
  <si>
    <t>2025-05-12 12:42:00,5850,,5850,,,6000,5800,,,,,5850,5750,5820,6000,5828.25</t>
  </si>
  <si>
    <t>2025-05-12 12:42:00,20700,,20950,,20700,,20725,,,,,20950,20200,20100,20150,20807.75</t>
  </si>
  <si>
    <t>2025-05-12 12:42:00,8130749871.9452,25160287902.6844,103.181457431457,740,-683.754779942282,-775.449999999999,420.495024461511,-171.03,581.59</t>
  </si>
  <si>
    <t>2025-05-12 12:42:00,2034589301.59244,5274180105.11455,-1142.37618444828,-2295,-1047.90489402503,-577.33,-106.101659822259,-383.81,506.75</t>
  </si>
  <si>
    <t>2025-05-12 12:42:00,101005580.954865,593545336.529494,,-635,,-3075.35,-2.77141910406765,-162.68,5828.25</t>
  </si>
  <si>
    <t>2025-05-12 12:42:00,223353644.35679,2956682.82754411,,0,,-62.45,-0.00823038690326912,-0.73,20807.75</t>
  </si>
  <si>
    <t>2025-05-12 12:43:00,580,,580,,580,,578.5,,,,,580,578,576,577,581.58</t>
  </si>
  <si>
    <t>2025-05-12 12:43:00,500,,508,,500,,504,,,,,508,500,508,495,506.745</t>
  </si>
  <si>
    <t>2025-05-12 12:43:00,5850,,5850,,,6000,5800,,,,,5850,5750,5820,6000,5828</t>
  </si>
  <si>
    <t>2025-05-12 12:43:00,20700,,20950,,20700,,20725,,,,,20950,20200,20100,20150,20807.75</t>
  </si>
  <si>
    <t>2025-05-12 12:43:00,8505277344.7788,22925790925.0746,-3420.81904761905,-1087,-2610.76266666666,-1530.97,404.503997988608,-666.25,581.58</t>
  </si>
  <si>
    <t>2025-05-12 12:43:00,2145106405.3275,5019786059.38695,-477.905502645503,-200,-1343.28765767196,-849.73,37.6245941502321,-354.5,506.745</t>
  </si>
  <si>
    <t>2025-05-12 12:43:00,99597738.1151774,587428764.80055,,-53,,-688.82,-2.88095477038352,23.65,5828</t>
  </si>
  <si>
    <t>2025-05-12 12:43:00,222501656.47281,2913136.3577056,,-4,,41.85,0.0215477459529515,0.11,20807.75</t>
  </si>
  <si>
    <t>2025-05-12 12:44:00,580,,580,,580,,578.5,,,,,580,578,576,577,581.51</t>
  </si>
  <si>
    <t>2025-05-12 12:44:00,500,,508,,500,,504,,,,,508,500,508,495,506.65</t>
  </si>
  <si>
    <t>2025-05-12 12:44:00,5850,,5850,,,6000,5800,,,,,5850,5750,5820,6000,5827.75</t>
  </si>
  <si>
    <t>2025-05-12 12:44:00,20700,,20950,,20700,,20725,,,,,20950,20200,20100,20150,20805</t>
  </si>
  <si>
    <t>2025-05-12 12:44:00,8798395477.96905,22624489867.4703,1829.12011599512,2180,2188.54187576313,2092.77,79.8216940985553,996.71,581.51</t>
  </si>
  <si>
    <t>2025-05-12 12:44:00,2282267454.61527,4923312113.1197,281.369299221357,933,401.056829810901,548.85,50.476579033101,229.81,506.65</t>
  </si>
  <si>
    <t>2025-05-12 12:44:00,101195979.158317,592167290.755082,,1458,,61858.89,2.08428832329954,793.41,5827.75</t>
  </si>
  <si>
    <t>2025-05-12 12:44:00,220603058.510192,2899724.51097164,,3,,93.45,0.00805861768360225,1.2,20805</t>
  </si>
  <si>
    <t>2025-05-12 12:45:00,580,,580,,580,,578.5,,,,,580,578,576,577,581.705</t>
  </si>
  <si>
    <t>2025-05-12 12:45:00,500,,508,,500,,504,,,,,508,500,508,495,506.857</t>
  </si>
  <si>
    <t>2025-05-12 12:45:00,5900,,5850,,,6000,5800,,,,,5850,5750,5820,6000,5829.5</t>
  </si>
  <si>
    <t>2025-05-12 12:45:00,20700,,20950,,20700,,20725,,,,,20950,20200,20100,20150,20813</t>
  </si>
  <si>
    <t>2025-05-12 12:45:00,8542109240.00048,24104976164.1732,351.55986235987,3107,184.912478188489,-997.22,175.227055643995,311.16,581.705</t>
  </si>
  <si>
    <t>2025-05-12 12:45:00,2105788826.45337,5098740812.2182,-99.2260312151618,-163,-155.053550724637,-778.94,-46.9989128444962,-271.82,506.857</t>
  </si>
  <si>
    <t>2025-05-12 12:45:00,99042469.5179732,608652800.700707,,-1160,,-5264.28,0.197150766563922,-295.01,5829.5</t>
  </si>
  <si>
    <t>2025-05-12 12:45:00,219625158.42727,3000364.81605453,,-4,,-34,-0.00125958127130996,-0.55,20813</t>
  </si>
  <si>
    <t>2025-05-12 12:46:00,580,,580,,580,,578.5,,,,,580,578,576,577,581.735</t>
  </si>
  <si>
    <t>2025-05-12 12:46:00,500,,508,,500,,504,,,,,508,500,508,495,506.88</t>
  </si>
  <si>
    <t>2025-05-12 12:46:00,5850,,5850,,,6000,5800,,,,,5850,5750,5820,6000,5829.75</t>
  </si>
  <si>
    <t>2025-05-12 12:46:00,20700,,20950,,20700,,20725,,,,,20950,20200,20100,20150,20813.25</t>
  </si>
  <si>
    <t>2025-05-12 12:46:00,8206002588.55741,24652112429.5256,439.656481031852,2340,-43.8011577483621,784.03,45.786528895346,615.56,581.735</t>
  </si>
  <si>
    <t>2025-05-12 12:46:00,2175605842.99225,5336293630.36271,-782.36451048951,-772,-1155.25759615385,-1847.21,-83.7581302330368,-788.63,506.88</t>
  </si>
  <si>
    <t>2025-05-12 12:46:00,100471282.421947,629084095.713726,,-1187,,-6573.08,-4.24438204515762,-350.11,5829.75</t>
  </si>
  <si>
    <t>2025-05-12 12:46:00,220511706.942081,3045755.3528527,,-13,,-167.81,-0.00400833124397506,-1.75,20813.25</t>
  </si>
  <si>
    <t>2025-05-12 12:47:00,580,,580,,580,,578.5,,,,,580,578,576,577,581.8</t>
  </si>
  <si>
    <t>2025-05-12 12:47:00,500,,508,,500,,504,507,,,,508,500,508,495,506.94</t>
  </si>
  <si>
    <t>2025-05-12 12:47:00,5850,,5850,,,6000,5800,,,,,5850,5750,5820,6000,5830</t>
  </si>
  <si>
    <t>2025-05-12 12:47:00,20700,,20950,,20700,,20725,,,,,20950,20200,20100,20150,20815.5</t>
  </si>
  <si>
    <t>2025-05-12 12:47:00,8153054908.19186,25153192919.6802,1956.20059523809,6728,3689.92668452381,5475.79,-84.319922851323,2870.25,581.8</t>
  </si>
  <si>
    <t>2025-05-12 12:47:00,2143744886.55625,5565021976.11473,775.417087542087,453,1259.62583754209,571.56,173.60990914693,253.01,506.94</t>
  </si>
  <si>
    <t>2025-05-12 12:47:00,100544002.422304,651676418.12757,,118,,-4382.82,-5.60977528016843,-194.36,5830</t>
  </si>
  <si>
    <t>2025-05-12 12:47:00,215369143.515852,3107575.56538822,,1,,106.47,0.0252438098865874,1.64,20815.5</t>
  </si>
  <si>
    <t>2025-05-12 12:48:00,580,,580,,580,,578.5,,,,,580,578,576,577,581.8</t>
  </si>
  <si>
    <t>2025-05-12 12:48:00,500,,508,,500,,504,,,,,508,500,508,495,506.97</t>
  </si>
  <si>
    <t>2025-05-12 12:48:00,5850,,5850,,,6000,5800,,,,,5850,5750,5820,6000,5830.25</t>
  </si>
  <si>
    <t>2025-05-12 12:48:00,20700,,20950,,20700,,20725,,,,,20950,20200,20100,20150,20817.25</t>
  </si>
  <si>
    <t>2025-05-12 12:48:00,8059838978.96535,25304498438.2189,-2062.18080808081,-393,-857.540520202022,323.95,-33.5878081023036,57.8799999999999,581.8</t>
  </si>
  <si>
    <t>2025-05-12 12:48:00,2070160116.35226,5317502985.72793,-1981.26010760446,-134,756.76071150832,-2499.46,-149.563077471128,-478.51,506.97</t>
  </si>
  <si>
    <t>2025-05-12 12:48:00,103725994.387599,654441961.138324,,-231,,-7307.34,-1.74599002897285,-119.18,5830.25</t>
  </si>
  <si>
    <t>2025-05-12 12:48:00,209816300.317794,3087363.96372791,,14,,468.37,0.030630606165649,4.67,20817.25</t>
  </si>
  <si>
    <t>2025-05-12 12:49:00,580,,580,,580,,578.5,,,,,580,578,576,577,581.63</t>
  </si>
  <si>
    <t>2025-05-12 12:49:00,500,,508,,500,,504,,,,,508,500,508,495,506.85</t>
  </si>
  <si>
    <t>2025-05-12 12:49:00,5850,,5850,,,6000,5800,,,,,5850,5750,5820,6000,5828.5</t>
  </si>
  <si>
    <t>2025-05-12 12:49:00,20700,,20950,,20700,,20725,,,,,20950,20200,20100,20150,20812.25</t>
  </si>
  <si>
    <t>2025-05-12 12:49:00,8391077353.03843,24591671448.2579,-9018.29980798771,-6036,-6823.69726420891,-5321.85,-198.868712388381,-2656.87,581.63</t>
  </si>
  <si>
    <t>2025-05-12 12:49:00,2202978164.77766,5314413068.31758,-820.536636636638,-854,-382.899792792797,-1499.9,-192.816398063317,-606.21,506.85</t>
  </si>
  <si>
    <t>2025-05-12 12:49:00,101007911.465405,618949376.886013,,-1285,,-5579.33,-1.98251014180355,-375.67,5828.5</t>
  </si>
  <si>
    <t>2025-05-12 12:49:00,207453859.643982,2953796.48378339,,11,,185.27,-0.000172316937929113,2.64,20812.25</t>
  </si>
  <si>
    <t>2025-05-12 12:50:00,580,,580,,580,,578.5,,,,,580,578,576,577,581.77</t>
  </si>
  <si>
    <t>2025-05-12 12:50:00,500,,508,,500,,504,,,,,508,500,508,495,506.94</t>
  </si>
  <si>
    <t>2025-05-12 12:50:00,5850,,5850,,,6000,5800,,,,,5850,5750,5820,6000,5830</t>
  </si>
  <si>
    <t>2025-05-12 12:50:00,20700,,20950,,20700,,20725,,,,,20950,20200,20100,20150,20816.5</t>
  </si>
  <si>
    <t>2025-05-12 12:50:00,8554230977.1106,24644951207.3453,-1490.68065998329,-1017,-1045.32499874687,-1852.64,621.251998017227,-887.22,581.77</t>
  </si>
  <si>
    <t>2025-05-12 12:50:00,2220228250.54942,5376011568.04683,-3312.97199567961,-989,-1163.27584638836,-146.94,163.559520345812,-233.32,506.94</t>
  </si>
  <si>
    <t>2025-05-12 12:50:00,101324424.075484,651463148.048608,,-1924,,-8965.71,6.31579421338871,-383.21,5830</t>
  </si>
  <si>
    <t>2025-05-12 12:50:00,213916182.031533,3085615.54197231,,-3,,25.03,-0.00650872282996121,0.21,20816.5</t>
  </si>
  <si>
    <t>2025-05-12 12:51:00,580,,580,,580,,578.5,,,,,580,578,576,581,581.83</t>
  </si>
  <si>
    <t>2025-05-12 12:51:00,500,,508,,500,,504,,,,,508,500,508,495,507.02</t>
  </si>
  <si>
    <t>2025-05-12 12:51:00,5850,,5850,,,6000,5800,,,,,5850,5750,5820,6000,5830.75</t>
  </si>
  <si>
    <t>2025-05-12 12:51:00,20700,,20950,,20700,,20725,,,,,20950,20200,20100,20150,20819</t>
  </si>
  <si>
    <t>2025-05-12 12:51:00,8656422022.45233,24934214713.2587,-1318.60238095238,-1958,54.9341666666577,-1635.63,-161.511658981773,-914.69,581.83</t>
  </si>
  <si>
    <t>2025-05-12 12:51:00,2174021217.64799,5507154009.79021,-890.748328877005,-890,14.6194685828883,-397.84,86.7018198206775,-216.13,507.02</t>
  </si>
  <si>
    <t>2025-05-12 12:51:00,102178769.077451,663222403.495278,,78,,-1044.2,2.69033721084363,-54.55,5830.75</t>
  </si>
  <si>
    <t>2025-05-12 12:51:00,209540328.837273,3138924.61799451,,0,,6.31,0.000904666694478243,0.12,20819</t>
  </si>
  <si>
    <t>2025-05-12 12:52:00,580,,580,,580,,578.5,,,,,580,578,576,581,581.75</t>
  </si>
  <si>
    <t>2025-05-12 12:52:00,500,,508,,500,,504,,,,,508,500,508,495,507.01</t>
  </si>
  <si>
    <t>2025-05-12 12:52:00,5850,,5850,,,6000,5800,,,,,5850,5750,5820,6000,5829.75</t>
  </si>
  <si>
    <t>2025-05-12 12:52:00,20700,,20950,,20700,,20725,,,,,20950,20200,20100,20150,20818.75</t>
  </si>
  <si>
    <t>2025-05-12 12:52:00,8694629464.95427,24582028779.2177,1493.68055555556,2548,2682.23716666667,3291.15,-13.1736049754661,1478.66,581.75</t>
  </si>
  <si>
    <t>2025-05-12 12:52:00,2227607939.37566,5588528159.55148,-185.666759170512,1038,264.944035326064,-119.36,-27.9651631493389,170.08,507.01</t>
  </si>
  <si>
    <t>2025-05-12 12:52:00,100619692.841644,663527309.214169,,788,,3378.63,0.494283333510623,210.87,5829.75</t>
  </si>
  <si>
    <t>2025-05-12 12:52:00,211370540.176513,3130824.65660754,,-3,,-19.96,0.00632356253056375,-0.35,20818.75</t>
  </si>
  <si>
    <t>2025-05-12 12:53:00,580,,580,,580,,578.5,,,,,580,578,576,581,581.898</t>
  </si>
  <si>
    <t>2025-05-12 12:53:00,500,,508,,500,,504,,,,,508,500,508,495,507.071</t>
  </si>
  <si>
    <t>2025-05-12 12:53:00,5850,,5850,,,6000,5800,,,,,5850,5750,5820,6000,5831.25</t>
  </si>
  <si>
    <t>2025-05-12 12:53:00,20700,,20950,,20700,,20725,,,,,20950,20200,20100,20150,20822</t>
  </si>
  <si>
    <t>2025-05-12 12:53:00,8287476911.11304,25728632845.7837,-3259.39316239316,-1915,-3317.8955982906,-3694.38,-137.519607683748,-1720.94,581.898</t>
  </si>
  <si>
    <t>2025-05-12 12:53:00,2153466351.56455,5613110316.33708,-1697.0775967697,-869,-1512.53687426901,-928.11,-78.8155836041706,-500.65,507.071</t>
  </si>
  <si>
    <t>2025-05-12 12:53:00,102442768.5818,648368910.421229,,-727,,-4084.69,-4.21493411312675,-200.93,5831.25</t>
  </si>
  <si>
    <t>2025-05-12 12:53:00,216911490.954269,3174104.81600894,,-1,,-23.5,0.00293887087233263,-0.35,20822</t>
  </si>
  <si>
    <t>2025-05-12 12:54:00,580,,580,,580,,578.5,,582,,,580,578,576,581,581.97</t>
  </si>
  <si>
    <t>2025-05-12 12:54:00,500,,508,,500,,504,,,,,508,500,508,495,507.2</t>
  </si>
  <si>
    <t>2025-05-12 12:54:00,5850,,5850,,,6000,5800,,,,,5850,5750,5820,6000,5831.75</t>
  </si>
  <si>
    <t>2025-05-12 12:54:00,20700,,20950,,20700,,20725,,,,,20950,20200,20100,20150,20827.25</t>
  </si>
  <si>
    <t>2025-05-12 12:54:00,7879707537.04916,25432971585.0749,-1532.67857142857,-4066,-1586.93897619048,-5391.18,-127.288946223827,-2488.18,581.97</t>
  </si>
  <si>
    <t>2025-05-12 12:54:00,2153804214.08928,5495599144.57797,-3054.6525433998,-2382,-2222.00218411001,-2623.97,-264.490628063515,-1134.7,507.2</t>
  </si>
  <si>
    <t>2025-05-12 12:54:00,101619801.598677,681052225.741832,,-507,,-6052.1,-9.24371216531485,-278.21,5831.75</t>
  </si>
  <si>
    <t>2025-05-12 12:54:00,211592513.177808,3251677.9988451,,-6,,-26.84,0.00150006437371746,-0.5,20827.25</t>
  </si>
  <si>
    <t>2025-05-12 12:56:00,580,,580,,580,,578.5,,,,,580,578,576,581,581.959</t>
  </si>
  <si>
    <t>2025-05-12 12:56:00,500,,508,,500,,504,,,,,508,500,508,495,507.189</t>
  </si>
  <si>
    <t>2025-05-12 12:56:00,5850,,5850,,,6000,5800,,,,,5850,5750,5820,6000,5831.75</t>
  </si>
  <si>
    <t>2025-05-12 12:56:00,20700,,20950,,20700,,20725,,,,,20950,20200,20100,20150,20825.75</t>
  </si>
  <si>
    <t>2025-05-12 12:56:00,8310307388.67143,25361775717.481,-2153.9398844333,-1455,-901.827889863551,-2428.76,-387.366617776133,-1144.85,581.959</t>
  </si>
  <si>
    <t>2025-05-12 12:56:00,2224730980.29894,5820717868.72866,763.482075866189,266,1222.75472016129,380.97,26.2857216710929,39.67,507.189</t>
  </si>
  <si>
    <t>2025-05-12 12:56:00,104024230.76565,682650995.853141,,-870,,-3176.81,-8.64519962342199,-253.95,5831.75</t>
  </si>
  <si>
    <t>2025-05-12 12:56:00,210189134.508616,3234115.1397156,,-1,,-10.36,-0.0258964565261736,-0.28,20825.75</t>
  </si>
  <si>
    <t>2025-05-12 12:57:00,580,,580,,580,,578.5,,582,,,580,578,576,581,581.86</t>
  </si>
  <si>
    <t>2025-05-12 12:57:00,500,,508,,500,,504,,,,,508,500,508,495,507.08</t>
  </si>
  <si>
    <t>2025-05-12 12:57:00,5850,,5850,,,6000,5800,,,,,5850,5750,5820,6000,5831</t>
  </si>
  <si>
    <t>2025-05-12 12:57:00,20700,,20950,,20700,,20725,,,,,20950,20200,20100,20150,20822.25</t>
  </si>
  <si>
    <t>2025-05-12 12:57:00,8264292095.85338,25558926708.5916,-1497.92979242979,-4522,208.554652625152,-1906.76,-218.266595665746,-1565.54,581.86</t>
  </si>
  <si>
    <t>2025-05-12 12:57:00,2187078361.05494,5669191024.23688,-17.8344059728498,-498,162.650508718729,-228.53,37.5397923887385,-160.95,507.08</t>
  </si>
  <si>
    <t>2025-05-12 12:57:00,104014437.971679,681875797.60909,,-38,,5203.54,6.76186610351262,199.55,5831</t>
  </si>
  <si>
    <t>2025-05-12 12:57:00,212406169.788171,3248054.84231648,,21,,660.9,0.0551886898783213,8.84,20822.25</t>
  </si>
  <si>
    <t>2025-05-12 12:58:00,580,,580,,580,,578.5,,,,,580,578,576,581,581.685</t>
  </si>
  <si>
    <t>2025-05-12 12:58:00,500,,508,,500,,504,507,,507,,508,500,508,503,506.92</t>
  </si>
  <si>
    <t>2025-05-12 12:58:00,5850,,5850,,,6000,5800,,,,,5850,5750,5820,6000,5829</t>
  </si>
  <si>
    <t>2025-05-12 12:58:00,20700,,20950,,20700,,20725,,,,,20950,20200,20100,20150,20815.25</t>
  </si>
  <si>
    <t>2025-05-12 12:58:00,8445935330.4512,24094887944.1484,-1376.59045658691,283,-239.704392283995,-48.4999999999999,473.587987433431,207.71,581.685</t>
  </si>
  <si>
    <t>2025-05-12 12:58:00,2214085414.24336,5339048667.3843,3109.71149425287,2573,3415.90813218391,3045.09,255.431383935318,1473.43,506.92</t>
  </si>
  <si>
    <t>2025-05-12 12:58:00,105518329.550622,633848246.058137,,812,,5609.47,5.79717663616006,314.63,5829</t>
  </si>
  <si>
    <t>2025-05-12 12:58:00,224961608.913964,3120919.34278771,,-73,,-469.69,0.0450864877150748,-9.07,20815.25</t>
  </si>
  <si>
    <t>2025-05-12 12:59:00,580,,580,,580,,578.5,,,,,580,578,576,581,581.6</t>
  </si>
  <si>
    <t>2025-05-12 12:59:00,500,,508,,500,,504,507,,,,508,500,508,503,506.88</t>
  </si>
  <si>
    <t>2025-05-12 12:59:00,5850,,5850,,,6000,5800,,,,,5850,5750,5820,6000,5828.25</t>
  </si>
  <si>
    <t>2025-05-12 12:59:00,20700,,20950,,20700,,20725,,,,,20950,20200,20100,20150,20813.75</t>
  </si>
  <si>
    <t>2025-05-12 12:59:00,8522615568.18312,23396373259.4126,-3747.83383838384,-2220,-2028.49424747475,-2605.72,261.299444681284,-1205.49,581.6</t>
  </si>
  <si>
    <t>2025-05-12 12:59:00,2242377029.80844,5440523177.24686,907.749017443274,-859,1067.52966151331,-448.26,155.36375120078,-266.48,506.88</t>
  </si>
  <si>
    <t>2025-05-12 12:59:00,102403791.602173,625586209.766227,,-950,,-4112.59,-3.00733472912241,-302.3,5828.25</t>
  </si>
  <si>
    <t>2025-05-12 12:59:00,217846407.896101,3091994.63968874,,-11,,-26.46,-0.0273371948573112,-1.28,20813.75</t>
  </si>
  <si>
    <t>2025-05-12 13:00:00,580,,580,,580,,578.5,,,,,580,578,576,581,581.55</t>
  </si>
  <si>
    <t>2025-05-12 13:00:00,500,,508,,500,,504,,507,,,508,500,508,503,506.8</t>
  </si>
  <si>
    <t>2025-05-12 13:00:00,5850,,5850,,,6000,5800,,,,,5850,5750,5820,6000,5827.75</t>
  </si>
  <si>
    <t>2025-05-12 13:00:00,20700,,20950,,20700,,20725,,,,,20950,20200,20100,20150,20810.25</t>
  </si>
  <si>
    <t>2025-05-12 13:00:00,8214929991.4162,24856860399.2943,-2057.31289682539,-1448,566.082900793655,1010.11,-172.99148361515,71.2300000000001,581.55</t>
  </si>
  <si>
    <t>2025-05-12 13:00:00,2164225392.67181,5327772829.52707,-2082.98162825736,-2140,-2053.38694264069,-1977.76,-118.592662411953,-947.87,506.8</t>
  </si>
  <si>
    <t>2025-05-12 13:00:00,97710881.4880648,630213419.436837,,-464,,729.38,-5.98052480748816,-56.11,5827.75</t>
  </si>
  <si>
    <t>2025-05-12 13:00:00,222179477.461504,2980738.22865356,,-58,,-317.84,0.0809482860891634,-7.13,20810.25</t>
  </si>
  <si>
    <t>2025-05-12 13:01:00,580,,580,,580,,578.5,,,,,580,578,576,581,581.7</t>
  </si>
  <si>
    <t>2025-05-12 13:01:00,500,,508,,500,,504,,507,,,508,500,508,503,506.96</t>
  </si>
  <si>
    <t>2025-05-12 13:01:00,5850,,5850,,,6000,5800,,,,,5850,5750,5820,6000,5829.5</t>
  </si>
  <si>
    <t>2025-05-12 13:01:00,20700,,20950,,20700,,20725,,,,,20950,20200,20100,20150,20817</t>
  </si>
  <si>
    <t>2025-05-12 13:01:00,8086033251.34324,25765324424.3322,,-7448,,-6099.76,106.46108792306,-3642.59,581.7</t>
  </si>
  <si>
    <t>2025-05-12 13:01:00,2043804700.03626,5806401152.61704,-3243.72776309094,-3201,-1246.85589923548,-1118.78,-20.2942622805014,-829.75,506.96</t>
  </si>
  <si>
    <t>2025-05-12 13:01:00,105623975.277258,644170700.978217,,-1049,,-7156.23,-6.48739194979714,-518.65,5829.5</t>
  </si>
  <si>
    <t>2025-05-12 13:01:00,214896733.659604,3157405.73836733,,3,,385.73,0.0590667069987959,5.99,20817</t>
  </si>
  <si>
    <t>2025-05-12 13:02:00,580,,580,,580,,578.5,,582,,,580,578,576,581,581.77</t>
  </si>
  <si>
    <t>2025-05-12 13:02:00,500,,508,,500,,504,,,,,508,500,508,503,506.98</t>
  </si>
  <si>
    <t>2025-05-12 13:02:00,5850,,5850,,,6000,5800,,,,,5850,5750,5820,6000,5830</t>
  </si>
  <si>
    <t>2025-05-12 13:02:00,20700,,20950,,20700,,20725,,,,,20950,20200,20100,20150,20817.75</t>
  </si>
  <si>
    <t>2025-05-12 13:02:00,8502362362.1165,24934142615.4589,889.222843822848,2273,1180.41440143191,1391.26,-669.160175056957,618.46,581.77</t>
  </si>
  <si>
    <t>2025-05-12 13:02:00,2134367411.94983,5622176318.79123,-80.1029192546584,-319,153.590866459627,-276.25,3.89209619179712,-161.74,506.98</t>
  </si>
  <si>
    <t>2025-05-12 13:02:00,101079609.609956,657468902.912615,,-284,,-497.52,4.63037699142173,-92.42,5830</t>
  </si>
  <si>
    <t>2025-05-12 13:02:00,217405988.529502,3173615.01447669,,5,,207.26,0.0155938248614714,2.72,20817.75</t>
  </si>
  <si>
    <t>2025-05-12 13:03:00,580,,580,,580,,578.5,,,,,580,578,576,581,581.89</t>
  </si>
  <si>
    <t>2025-05-12 13:03:00,500,,508,,500,,504,,,,,508,500,508,503,507.06</t>
  </si>
  <si>
    <t>2025-05-12 13:03:00,5850,,5850,,,6000,5800,,,,,5850,5750,5820,6000,5831.25</t>
  </si>
  <si>
    <t>2025-05-12 13:03:00,20700,,20950,,20700,,20725,,,,,20950,20200,20100,20150,20821.5</t>
  </si>
  <si>
    <t>2025-05-12 13:03:00,8436445789.62188,25570051017.7471,-2743.56761904762,-2233,-2779.80593333333,-2808.98,-472.732316162293,-1350,581.89</t>
  </si>
  <si>
    <t>2025-05-12 13:03:00,2141445644.14637,5764546078.93716,-693.416666666665,-384,-439.652499999998,-153.9,11.6276800799762,-81.95,507.06</t>
  </si>
  <si>
    <t>2025-05-12 13:03:00,100746903.491367,681310252.859424,,-106,,828.66,1.76004028823043,88.55,5831.25</t>
  </si>
  <si>
    <t>2025-05-12 13:03:00,217188249.439986,3215081.84253664,,-6,,-226.35,-0.0143083511367216,-2.85,20821.5</t>
  </si>
  <si>
    <t>2025-05-12 13:04:00,580,,580,,580,,578.5,,582,,,580,578,576,581,581.97</t>
  </si>
  <si>
    <t>2025-05-12 13:04:00,500,,508,,500,,504,,,,,508,500,508,503,507.08</t>
  </si>
  <si>
    <t>2025-05-12 13:04:00,5850,,5850,,,6000,5800,,,,5830,5850,5750,5820,6000,5832</t>
  </si>
  <si>
    <t>2025-05-12 13:04:00,20700,,20950,,20700,,20725,,,,,20950,20200,20100,20150,20822.25</t>
  </si>
  <si>
    <t>2025-05-12 13:04:00,8580570412.47435,24711126812.5016,1720.09586617086,2770,5356.98463124837,1570.46,-75.0115667379729,557.23,581.97</t>
  </si>
  <si>
    <t>2025-05-12 13:04:00,2271335074.47948,5530336212.61266,739.6619047619,607,827.084166666662,283.41,-18.8614402960805,186.05,507.08</t>
  </si>
  <si>
    <t>2025-05-12 13:04:00,100704347.155691,705694092.096318,,187,,5520.8,-2.31390007846055,194.21,5832</t>
  </si>
  <si>
    <t>2025-05-12 13:04:00,220181493.915743,3300650.65129919,,8,,181.16,0.00289475120500406,2.77,20822.25</t>
  </si>
  <si>
    <t>2025-05-12 13:05:00,580,,580,,580,,578.5,,582,,,580,578,576,581,582.02</t>
  </si>
  <si>
    <t>2025-05-12 13:05:00,500,,508,,500,,504,,,,,508,500,508,503,507.11</t>
  </si>
  <si>
    <t>2025-05-12 13:05:00,5850,,5850,,,6000,5800,,5840,5830,,5850,5750,5820,6000,5832.5</t>
  </si>
  <si>
    <t>2025-05-12 13:05:00,20700,,20950,,20700,,20725,,,,,20950,20200,20100,20150,20823</t>
  </si>
  <si>
    <t>2025-05-12 13:05:00,8485405210.88397,25670591985.9987,1743.42044622045,5257,1379.71409207459,1625.52,-829.990011472356,742.21,582.02</t>
  </si>
  <si>
    <t>2025-05-12 13:05:00,2233052180.37327,5702110007.77082,469.146296296297,1186,677.727851851853,699.84,-118.013096603643,347.6,507.11</t>
  </si>
  <si>
    <t>2025-05-12 13:05:00,101477936.938314,714825265.613119,,-28,,2204.83,-14.7495173039089,15.76,5832.5</t>
  </si>
  <si>
    <t>2025-05-12 13:05:00,218040666.789267,3233541.77297421,,8,,64.64,-0.0372083563355578,1.04,20823</t>
  </si>
  <si>
    <t>2025-05-12 13:06:00,580,,580,,580,,578.5,,,,,580,578,576,581,581.94</t>
  </si>
  <si>
    <t>2025-05-12 13:06:00,500,,508,,500,,504,,,,,508,500,508,503,506.99</t>
  </si>
  <si>
    <t>2025-05-12 13:06:00,5850,,5850,,,6000,5800,,,,,5850,5750,5820,6000,5831.5</t>
  </si>
  <si>
    <t>2025-05-12 13:06:00,20700,,20950,,20700,,20725,,,,,20950,20200,20100,20150,20818</t>
  </si>
  <si>
    <t>2025-05-12 13:06:00,8478704079.01262,24816943663.342,2454.25412414383,1105,1704.8620785587,-225.91,633.909983315054,-131.44,581.94</t>
  </si>
  <si>
    <t>2025-05-12 13:06:00,2262973664.65503,5489027283.08466,663.754166666667,670,89.8714583333337,18.38,142.923329608452,64.51,506.99</t>
  </si>
  <si>
    <t>2025-05-12 13:06:00,98898759.8361596,707269547.647237,,2142,,10972.59,19.1517891841011,735.42,5831.5</t>
  </si>
  <si>
    <t>2025-05-12 13:06:00,219425453.772654,3190023.46515705,,8,,157.11,0.0148643760440391,2.39,20818</t>
  </si>
  <si>
    <t>2025-05-12 13:07:00,580,,580,,580,,578.5,,,,,580,578,576,581,581.89</t>
  </si>
  <si>
    <t>2025-05-12 13:07:00,500,,508,,500,,504,,,,,508,500,508,503,506.94</t>
  </si>
  <si>
    <t>2025-05-12 13:07:00,5850,,5850,,,6000,5800,,,,,5850,5750,5820,6000,5831.25</t>
  </si>
  <si>
    <t>2025-05-12 13:07:00,20700,,20950,,20700,,20725,,,,,20950,20200,20100,20150,20815.75</t>
  </si>
  <si>
    <t>2025-05-12 13:07:00,8279906251.64221,25614357891.5093,-2465.69972527473,-1914,-1034.1851456044,-773.04,363.173311058604,-534.24,581.89</t>
  </si>
  <si>
    <t>2025-05-12 13:07:00,2085675568.00505,5750708233.81769,-11.9357142857141,175,-428.652571428571,-800.96,10.6808713069782,-305.46,506.94</t>
  </si>
  <si>
    <t>2025-05-12 13:07:00,105013503.645159,701566991.254989,,-186,,-183.68,-7.09003885104793,-21.17,5831.25</t>
  </si>
  <si>
    <t>2025-05-12 13:07:00,215946473.475183,3139190.90098344,,2,,74.65,-0.00244064977425222,1.15,20815.75</t>
  </si>
  <si>
    <t>2025-05-12 13:08:00,580,,580,,580,,578.5,,,,,580,578,576,581,581.955</t>
  </si>
  <si>
    <t>2025-05-12 13:08:00,500,,508,,500,,504,,,,,508,500,508,503,507</t>
  </si>
  <si>
    <t>2025-05-12 13:08:00,5850,,5850,,,6000,5800,,,,,5850,5750,5820,6000,5832</t>
  </si>
  <si>
    <t>2025-05-12 13:08:00,20700,,20950,,20700,,20725,,,,,20950,20200,20100,20150,20818.25</t>
  </si>
  <si>
    <t>2025-05-12 13:08:00,8274092886.45834,25432367838.8736,-2543.42142857143,-1984,-1312.3895,-1368.75,-327.112564306823,-630.04,581.955</t>
  </si>
  <si>
    <t>2025-05-12 13:08:00,2059676713.23075,5747004495.19074,-800.164532019703,-1032,16.7950344827606,-123.34,150.900408712351,-28.87,507</t>
  </si>
  <si>
    <t>2025-05-12 13:08:00,101843366.713547,696181867.740683,,-770,,-2534.63,-4.61996302373786,-172.76,5832</t>
  </si>
  <si>
    <t>2025-05-12 13:08:00,218866565.052342,3196109.76000977,,-11,,-90.96,-0.00160028633452616,-1.8,20818.25</t>
  </si>
  <si>
    <t>2025-05-12 13:09:00,580,,580,,580,,578.5,,,,,580,578,576,581,581.89</t>
  </si>
  <si>
    <t>2025-05-12 13:09:00,500,,508,,500,,504,,,,,508,500,508,503,506.995</t>
  </si>
  <si>
    <t>2025-05-12 13:09:00,5850,,5850,,,6000,5800,,,,,5850,5750,5820,6000,5831.25</t>
  </si>
  <si>
    <t>2025-05-12 13:09:00,20700,,20950,,20700,,20725,,,,,20950,20200,20100,20150,20817.75</t>
  </si>
  <si>
    <t>2025-05-12 13:09:00,8348805932.35228,25488967355.026,-426.758333333333,-1395,753.178761904759,-268.36,-47.4448813635277,-403.82,581.89</t>
  </si>
  <si>
    <t>2025-05-12 13:09:00,2146597476.98214,5761750720.28221,222.816666666669,-396,286.071333333335,-640.26,-58.6148680151574,-325.37,506.995</t>
  </si>
  <si>
    <t>2025-05-12 13:09:00,101840995.802003,714088948.529241,,-907,,-4661.57,-0.675367231408116,-260.63,5831.25</t>
  </si>
  <si>
    <t>2025-05-12 13:09:00,219763267.330237,3238931.51266818,,1,,9.57,0.00975622359943843,0.23,20817.75</t>
  </si>
  <si>
    <t>2025-05-12 13:10:00,580,,580,,580,,578.5,,,,,580,578,576,581,581.83</t>
  </si>
  <si>
    <t>2025-05-12 13:10:00,500,,508,,500,,504,,,,,508,500,508,503,506.87</t>
  </si>
  <si>
    <t>2025-05-12 13:10:00,5850,,5850,,,6000,5800,,,,,5850,5750,5820,6000,5830.75</t>
  </si>
  <si>
    <t>2025-05-12 13:10:00,20700,,20950,,20700,,20725,,,,,20950,20200,20100,20150,20813.5</t>
  </si>
  <si>
    <t>2025-05-12 13:10:00,8365824648.81228,25188568927.1378,-638.604761904763,-2569,582.188285714282,-720.4,17.3965539640332,-265.32,581.83</t>
  </si>
  <si>
    <t>2025-05-12 13:10:00,2249085214.78745,5607822645.98109,1661.40228950573,2124,788.641072468906,715.49,42.454333579899,588.69,506.87</t>
  </si>
  <si>
    <t>2025-05-12 13:10:00,102307825.872819,689136119.927669,,827,,-871.24,14.1242457205314,198.97,5830.75</t>
  </si>
  <si>
    <t>2025-05-12 13:10:00,225530206.226803,3167307.74967419,,-10,,-64.64,-0.0191245776216975,-1.38,20813.5</t>
  </si>
  <si>
    <t>2025-05-12 13:11:00,580,,580,,580,,578.5,,,,,580,578,576,581,581.66</t>
  </si>
  <si>
    <t>2025-05-12 13:11:00,500,,508,,500,,504,,,,,508,500,508,503,506.66</t>
  </si>
  <si>
    <t>2025-05-12 13:11:00,5850,,5850,,,6000,5800,,,,,5850,5750,5820,6000,5828.75</t>
  </si>
  <si>
    <t>2025-05-12 13:11:00,20700,,20950,,20700,,20725,,,,,20950,20200,20100,20150,20804</t>
  </si>
  <si>
    <t>2025-05-12 13:11:00,8202780187.55048,25102870298.0543,444.965476190476,1086,2030.28820238095,2457.46,172.049170277062,839.64,581.66</t>
  </si>
  <si>
    <t>2025-05-12 13:11:00,2130946868.29081,5609996500.16443,1358.66688439675,1892,493.719897839705,746.49,-141.501865919203,521.87,506.66</t>
  </si>
  <si>
    <t>2025-05-12 13:11:00,108471978.265568,652592770.954157,,-72,,2875.17,-4.31748696292045,90.74,5828.75</t>
  </si>
  <si>
    <t>2025-05-12 13:11:00,229925489.83346,3008898.31939629,,87,,471.74,0.0631007334678211,9.84,20804</t>
  </si>
  <si>
    <t>2025-05-12 13:12:00,580,,580,,580,,578.5,,,581,,580,578,576,581,581.39</t>
  </si>
  <si>
    <t>2025-05-12 13:12:00,500,,508,,500,,504,,,,507,508,500,508,503,506.54</t>
  </si>
  <si>
    <t>2025-05-12 13:12:00,5850,,5850,,,6000,5800,,,,,5850,5750,5820,6000,5826.75</t>
  </si>
  <si>
    <t>2025-05-12 13:12:00,20700,,20950,,20700,,20725,,,,,20950,20200,20950,20150,20798.75</t>
  </si>
  <si>
    <t>2025-05-12 13:12:00,8231679772.56474,23749706537.9339,-4821.28864468865,-227,-3782.03692948719,1210.06,-278.267473159326,664.01,581.39</t>
  </si>
  <si>
    <t>2025-05-12 13:12:00,2156081835.48452,5239638419.37776,-1757.82133718133,-1048,-1708.40072414622,-636.98,-144.059569830444,-426.73,506.54</t>
  </si>
  <si>
    <t>2025-05-12 13:12:00,97213427.6670687,640256323.661829,,-3069,,-6891.48,-9.93788674024749,-570.97,5826.75</t>
  </si>
  <si>
    <t>2025-05-12 13:12:00,225257753.673935,3490317.31991353,,1461,,5103.51,2.37011800898747,119.38,20798.75</t>
  </si>
  <si>
    <t>2025-05-12 13:13:00,580,,580,,580,,578.5,,,581,,580,578,576,581,581.452</t>
  </si>
  <si>
    <t>2025-05-12 13:13:00,500,,508,,500,,504,507,,,,508,500,508,503,506.62</t>
  </si>
  <si>
    <t>2025-05-12 13:13:00,5850,,5850,,,6000,5800,,,,,5850,5750,5820,6000,5826.75</t>
  </si>
  <si>
    <t>2025-05-12 13:13:00,20700,,20950,,20700,,20725,,,,,20950,20200,20950,20150,20802.75</t>
  </si>
  <si>
    <t>2025-05-12 13:13:00,8569441324.42407,23016462374.611,-8994.73336219336,-6364,180.542977272727,2451.98,-263.820830291215,951.68,581.452</t>
  </si>
  <si>
    <t>2025-05-12 13:13:00,2299483715.61462,5393702974.11054,641.624154589376,1814,1604.67483091788,2692.06,67.9814155425697,1198.6,506.62</t>
  </si>
  <si>
    <t>2025-05-12 13:13:00,100746417.247241,612840207.418121,,-1871,,-6117.04,9.42261805477053,-473.83,5826.75</t>
  </si>
  <si>
    <t>2025-05-12 13:13:00,217164097.443549,3548923.38326173,,1,,-203,0.00951423734084068,-2,20802.75</t>
  </si>
  <si>
    <t>2025-05-12 13:14:00,580,,580,,580,,578.5,,,581,,580,578,576,581,581.449</t>
  </si>
  <si>
    <t>2025-05-12 13:14:00,500,,508,,500,,504,,,,,508,500,508,503,506.59</t>
  </si>
  <si>
    <t>2025-05-12 13:14:00,5850,,5850,,,6000,5810,,,,,5850,5750,5820,6000,5826.5</t>
  </si>
  <si>
    <t>2025-05-12 13:14:00,20700,,20950,,20700,,20725,,,,,20950,20200,20950,20150,20802.25</t>
  </si>
  <si>
    <t>2025-05-12 13:14:00,8546662401.41613,23338864373.9764,-271.414682539679,1271,-206.728908730154,1532.32,-389.534622887912,797.97,581.449</t>
  </si>
  <si>
    <t>2025-05-12 13:14:00,2288962721.72368,5268013657.04549,566.046376811594,1157,652.992224637681,902.59,32.3128748038451,457.21,506.59</t>
  </si>
  <si>
    <t>2025-05-12 13:14:00,105350967.681156,593665334.99068,,-582,,1646.06,3.87000054820695,-22.46,5826.5</t>
  </si>
  <si>
    <t>2025-05-12 13:14:00,228663790.121847,3565095.78290195,,7,,129.3,0.0103871915798452,1.94,20802.25</t>
  </si>
  <si>
    <t>2025-05-12 13:15:00,580,,580,,580,,578.5,,,,,580,578,576,581,581.58</t>
  </si>
  <si>
    <t>2025-05-12 13:15:00,500,,508,,500,,504,,,,,508,500,508,503,506.75</t>
  </si>
  <si>
    <t>2025-05-12 13:15:00,5850,,5850,,,6000,5810,,,,,5850,5750,5820,6000,5828.25</t>
  </si>
  <si>
    <t>2025-05-12 13:15:00,20700,,20950,,20700,,20725,,,,,20950,20200,20950,20150,20809</t>
  </si>
  <si>
    <t>2025-05-12 13:15:00,8759520746.33413,23422616815.8383,1506.86605339105,675,1636.35614069264,805.18,-12.7106188213022,428.34,581.58</t>
  </si>
  <si>
    <t>2025-05-12 13:15:00,2290065544.18922,5491121205.66573,847.389469497793,977,1324.63593304695,1208.57,149.228085508819,506.45,506.75</t>
  </si>
  <si>
    <t>2025-05-12 13:15:00,102606543.621615,645198030.040163,,1461,,10955.36,9.87090690660555,595.66,5828.25</t>
  </si>
  <si>
    <t>2025-05-12 13:15:00,223854793.142329,3738909.79573346,,-1,,66.98,0.0112606805475991,0.72,20809</t>
  </si>
  <si>
    <t>2025-05-12 13:16:00,580,,580,,580,,578.5,582,,,,580,578,576,581,581.761</t>
  </si>
  <si>
    <t>2025-05-12 13:16:00,500,,508,,500,,504,,,,,508,500,508,503,506.81</t>
  </si>
  <si>
    <t>2025-05-12 13:16:00,5850,,5850,,,6000,5810,,,,5830,5850,5750,5820,6000,5830.25</t>
  </si>
  <si>
    <t>2025-05-12 13:16:00,20700,,20950,,20700,,20725,,,,,20950,20200,20950,20150,20811</t>
  </si>
  <si>
    <t>2025-05-12 13:16:00,8857166357.84406,23191493381.7398,-791.568903318902,-1807,504.994046897548,-618.15,931.394839133441,-387.95,581.761</t>
  </si>
  <si>
    <t>2025-05-12 13:16:00,2302072866.87768,5307277836.94493,95.3893906221496,-210,411.901816274403,-429.77,-240.778479381385,-243.19,506.81</t>
  </si>
  <si>
    <t>2025-05-12 13:16:00,103779740.67795,665770220.859396,,-84,,229.4,13.8272155394531,-78.7,5830.25</t>
  </si>
  <si>
    <t>2025-05-12 13:16:00,217838985.585992,3775387.99726452,,1,,-4.88,-0.0176049309848531,0.21,20811</t>
  </si>
  <si>
    <t>2025-05-12 13:17:00,580,,580,,580,,578.5,,,,,580,578,576,581,581.8</t>
  </si>
  <si>
    <t>2025-05-12 13:17:00,500,,508,,500,,504,,,,,508,500,508,503,506.85</t>
  </si>
  <si>
    <t>2025-05-12 13:17:00,5850,,5850,,,6000,5810,,,,,5850,5750,5820,6000,5830.5</t>
  </si>
  <si>
    <t>2025-05-12 13:17:00,20700,,20950,,20700,,20725,,,,,20950,20200,20950,20150,20812.75</t>
  </si>
  <si>
    <t>2025-05-12 13:17:00,8442333546.41937,25289493454.8345,-2148.53553113553,-839,-1996.37172344321,-863.4,-184.569748405035,-228.61,581.8</t>
  </si>
  <si>
    <t>2025-05-12 13:17:00,2094070701.62206,5614821769.18809,-3955.94067982456,-1761,-3553.38599122807,-1400.6,53.9296151042065,-712.45,506.85</t>
  </si>
  <si>
    <t>2025-05-12 13:17:00,100582392.852883,681749674.790367,,-995,,-7801.46,-1.22346273544595,-436.78,5830.5</t>
  </si>
  <si>
    <t>2025-05-12 13:17:00,221810491.590839,3844423.33865146,,-12,,-79.02,0.012288083651681,-1.27,20812.75</t>
  </si>
  <si>
    <t>2025-05-12 13:18:00,580,,580,,580,,578.5,,,,,580,578,576,581,581.9</t>
  </si>
  <si>
    <t>2025-05-12 13:18:00,500,,508,,500,,504,,,,,508,500,508,503,507.03</t>
  </si>
  <si>
    <t>2025-05-12 13:18:00,5850,,5850,,,6000,5810,,,,,5850,5750,5820,6000,5831.5</t>
  </si>
  <si>
    <t>2025-05-12 13:18:00,20700,,20950,,20700,,20725,,,,,20950,20200,20950,20150,20821</t>
  </si>
  <si>
    <t>2025-05-12 13:18:00,8688624383.1918,24871006877.838,-3325.01388888889,-2059,-1598.10175,-1567.6,320.048327550727,-892.51,581.9</t>
  </si>
  <si>
    <t>2025-05-12 13:18:00,2209088554.76146,5786466738.31393,-247.315965033356,-37,180.206359558316,502.08,15.4253933732344,186.55,507.03</t>
  </si>
  <si>
    <t>2025-05-12 13:18:00,104701363.318278,712031554.312062,,-267,,-4647.3,9.756611547989,-219.05,5831.5</t>
  </si>
  <si>
    <t>2025-05-12 13:18:00,222241905.349568,4054630.40722454,,-1,,-63.54,-0.0119642212249432,-1.03,20821</t>
  </si>
  <si>
    <t>2025-05-12 13:19:00,580,,582,,580,,578.5,,,,,580,578,576,581,582.03</t>
  </si>
  <si>
    <t>2025-05-12 13:19:00,500,,508,,500,,504,,,,,508,500,508,503,507.16</t>
  </si>
  <si>
    <t>2025-05-12 13:19:00,5850,,5850,,,6000,5810,,,,,5850,5750,5820,6000,5832.75</t>
  </si>
  <si>
    <t>2025-05-12 13:19:00,20700,,20950,,20700,,20725,,,,,20950,20200,20950,20150,20825.25</t>
  </si>
  <si>
    <t>2025-05-12 13:19:00,8551738435.89654,25973581783.6345,1472.0685966811,4652,4291.2019908009,3740.06,329.858835758775,1730.18,582.03</t>
  </si>
  <si>
    <t>2025-05-12 13:19:00,2172645480.83749,5998721054.29072,-666.821895106423,-951,-301.695267016388,-1341.18,174.763099924898,-522.48,507.16</t>
  </si>
  <si>
    <t>2025-05-12 13:19:00,103220206.822669,730922810.33584,,1455,,3600.46,4.86230902544209,339.81,5832.75</t>
  </si>
  <si>
    <t>2025-05-12 13:19:00,220041566.176161,4030395.89635826,,-93,,-774.98,0.10876559650114,-13.83,20825.25</t>
  </si>
  <si>
    <t>2025-05-12 13:20:00,580,,582,,580,,578.5,582,,,,580,578,576,581,582.11</t>
  </si>
  <si>
    <t>2025-05-12 13:20:00,500,,508,,500,,504,507,,507,,508,500,508,503,507.22</t>
  </si>
  <si>
    <t>2025-05-12 13:20:00,5850,,5850,,,6000,5810,5840,,,,5850,5750,5820,6000,5833.5</t>
  </si>
  <si>
    <t>2025-05-12 13:20:00,20700,,20950,,20700,,20725,,,,,20950,20200,20950,20150,20828.25</t>
  </si>
  <si>
    <t>2025-05-12 13:20:00,8589062992.342,25894614010.9666,2891.55079365079,5656,5207.22707936508,6639.66,-92.6315771771309,3124.52,582.11</t>
  </si>
  <si>
    <t>2025-05-12 13:20:00,2270267530.19092,6009612416.61834,4284.70626417062,5184,3862.70196780611,4143.44,13.4998462392259,2272.39,507.22</t>
  </si>
  <si>
    <t>2025-05-12 13:20:00,101956553.143444,756633021.347838,,-676,,6816.85,5.92386705288998,284.42,5833.5</t>
  </si>
  <si>
    <t>2025-05-12 13:20:00,207174031.852013,4117606.44497473,,0,,15.44,-0.00661220399062564,0.17,20828.25</t>
  </si>
  <si>
    <t>2025-05-12 13:21:00,580,,582,,580,,578.5,,,582,,580,578,576,581,582.01</t>
  </si>
  <si>
    <t>2025-05-12 13:21:00,500,,508,,500,,504,,,,,508,500,508,503,507.19</t>
  </si>
  <si>
    <t>2025-05-12 13:21:00,5850,,5850,,,6000,5800,,,,,5850,5750,5820,6000,5832.25</t>
  </si>
  <si>
    <t>2025-05-12 13:21:00,20700,,20950,,20700,,20725,,,,,20950,20200,20950,20150,20825.25</t>
  </si>
  <si>
    <t>2025-05-12 13:21:00,8136047505.61803,25988909964.4885,1996.99166666667,4171,1190.00666666667,2691.65,-147.870522757415,1499.94,582.01</t>
  </si>
  <si>
    <t>2025-05-12 13:21:00,2241811425.50296,6267382313.28523,103.13730032151,-299,2103.96719918483,1681.64,203.035943433216,686.53,507.19</t>
  </si>
  <si>
    <t>2025-05-12 13:21:00,96289390.6532635,772941739.1509,,1351,,8776.26,6.23361584656875,508.16,5832.25</t>
  </si>
  <si>
    <t>2025-05-12 13:21:00,205255052.098352,4052836.54884682,,13,,228.77,-0.000194899500262003,3.32,20825.25</t>
  </si>
  <si>
    <t>2025-05-12 13:22:00,580,,582,,580,,578.5,,,,,580,578,576,581,581.95</t>
  </si>
  <si>
    <t>2025-05-12 13:22:00,500,,508,,500,,504,,,,,508,500,508,503,507.18</t>
  </si>
  <si>
    <t>2025-05-12 13:22:00,5850,,5850,,,6000,5810,,,,,5850,5750,5820,6000,5832</t>
  </si>
  <si>
    <t>2025-05-12 13:22:00,20700,,20950,,20700,,20725,,,,,20950,20200,20950,20150,20826.5</t>
  </si>
  <si>
    <t>2025-05-12 13:22:00,8548438486.54334,24400720574.7039,6468.561998557,4291,2796.52252590188,1041.19,-246.176237874151,722.24,581.95</t>
  </si>
  <si>
    <t>2025-05-12 13:22:00,2258901450.4199,5938417970.63774,1142.54523809524,1279,1153.88673809524,735.75,-74.7080433153897,474.97,507.18</t>
  </si>
  <si>
    <t>2025-05-12 13:22:00,99418295.5435729,760372179.895918,,1720,,11230.87,-4.48428527884758,700.72,5832</t>
  </si>
  <si>
    <t>2025-05-12 13:22:00,208822190.032492,4112255.91171738,,0,,-30.76,-0.0169165803505149,-0.4,20826.5</t>
  </si>
  <si>
    <t>2025-05-12 13:23:00,580,,580,,580,,578.5,,,,,580,578,576,581,581.917</t>
  </si>
  <si>
    <t>2025-05-12 13:23:00,500,,508,,500,,504,,,,,508,500,508,503,507.11</t>
  </si>
  <si>
    <t>2025-05-12 13:23:00,5850,,5850,,,6000,5810,,,,,5850,5750,5820,6000,5831.5</t>
  </si>
  <si>
    <t>2025-05-12 13:23:00,20700,,20950,,20700,,20725,,,,,20950,20200,20950,20150,20824</t>
  </si>
  <si>
    <t>2025-05-12 13:23:00,8202041482.23833,25831934748.6707,-579.208333333333,124,-700.95861904762,-1164.49,206.948232093947,-341.37,581.917</t>
  </si>
  <si>
    <t>2025-05-12 13:23:00,2258191726.7298,5974626982.23655,-519.595493025494,-672,-142.740415392017,-284.92,113.010674607442,-167.67,507.11</t>
  </si>
  <si>
    <t>2025-05-12 13:23:00,104127416.621965,727129152.859642,,14,,-2042.24,-6.3225046042116,-40.61,5831.5</t>
  </si>
  <si>
    <t>2025-05-12 13:23:00,220890743.996415,4087303.50621414,,2,,-80.35,0.00307695067192834,-0.97,20824</t>
  </si>
  <si>
    <t>2025-05-12 13:24:00,580,,582,,580,,578.5,,,,,580,578,576,577,581.955</t>
  </si>
  <si>
    <t>2025-05-12 13:24:00,500,,508,,500,,504,507,,,,508,500,508,503,507.17</t>
  </si>
  <si>
    <t>2025-05-12 13:24:00,5850,,5850,,,6000,5810,,,,,5850,5750,5820,6000,5832</t>
  </si>
  <si>
    <t>2025-05-12 13:24:00,20700,,20950,,20700,,20725,,,,,20950,20200,20950,20150,20826</t>
  </si>
  <si>
    <t>2025-05-12 13:24:00,8443993376.01375,25299210524.9151,312.422619047619,1419,466.586345238095,965.04,-275.067409009147,637.82,581.955</t>
  </si>
  <si>
    <t>2025-05-12 13:24:00,2222870878.60468,6142232015.67143,821.021212121213,1294,998.766727272728,1110.46,56.5933822623857,613.62,507.17</t>
  </si>
  <si>
    <t>2025-05-12 13:24:00,105545712.144607,744848401.704148,,687,,4010.09,-9.27988837578785,217.62,5832</t>
  </si>
  <si>
    <t>2025-05-12 13:24:00,221072358.955833,4143379.54365486,,9,,156.29,-0.0368691012230468,2.74,20826</t>
  </si>
  <si>
    <t>2025-05-12 13:25:00,580,,580,,580,,578.5,,,,,580,578,576,577,581.89</t>
  </si>
  <si>
    <t>2025-05-12 13:25:00,500,,508,,500,,504,,,,,508,500,508,503,507.1</t>
  </si>
  <si>
    <t>2025-05-12 13:25:00,5850,,5850,,,6000,5810,,,,,5850,5750,5820,6000,5831.25</t>
  </si>
  <si>
    <t>2025-05-12 13:25:00,20700,,20950,,20700,,20725,,,,,20950,20200,20950,20150,20822.5</t>
  </si>
  <si>
    <t>2025-05-12 13:25:00,8164976436.89003,24710307425.4221,4231.11142857143,3033,3753.76828571429,2175.27,136.40631566569,1119.22,581.89</t>
  </si>
  <si>
    <t>2025-05-12 13:25:00,2211822247.18812,6403837425.12883,1258.02070393375,-50,873.996187652928,-114.36,-189.857497400439,-85.27,507.1</t>
  </si>
  <si>
    <t>2025-05-12 13:25:00,99959224.7458624,751117195.462021,,947,,7067.21,5.35613716670449,382.76,5831.25</t>
  </si>
  <si>
    <t>2025-05-12 13:25:00,213080828.336891,4092864.43990936,,12,,139.5,0.00892198168512455,2.43,20822.5</t>
  </si>
  <si>
    <t>2025-05-12 13:26:00,580,,582,,580,,578.5,,,,,580,578,576,577,581.955</t>
  </si>
  <si>
    <t>2025-05-12 13:26:00,500,,508,,500,,504,,,,,508,500,508,503,507.09</t>
  </si>
  <si>
    <t>2025-05-12 13:26:00,5850,,5850,,,6000,5810,,,,,5850,5750,5820,6000,5831.75</t>
  </si>
  <si>
    <t>2025-05-12 13:26:00,20700,,20950,,20700,,20725,,,,,20950,20200,20950,20150,20822.25</t>
  </si>
  <si>
    <t>2025-05-12 13:26:00,8130209068.27247,25725154727.9158,1282.23174603174,1616,1901.72038095238,2266.14,-67.9784297625743,1135.86,581.955</t>
  </si>
  <si>
    <t>2025-05-12 13:26:00,2270531590.57346,6017808929.66812,268.275862068965,696,640.49724137931,657.12,-30.4589524207719,323.63,507.09</t>
  </si>
  <si>
    <t>2025-05-12 13:26:00,104213301.095947,736495016.126231,,220,,1894.33,1.06650726436987,141.39,5831.75</t>
  </si>
  <si>
    <t>2025-05-12 13:26:00,217270218.726824,4052705.78901477,,8,,72.75,0.0132167253087008,1.51,20822.25</t>
  </si>
  <si>
    <t>2025-05-12 13:27:00,580,,582,,580,,578.5,,,,,580,578,576,577,581.96</t>
  </si>
  <si>
    <t>2025-05-12 13:27:00,500,,508,,500,,504,,,,,508,500,508,503,507.17</t>
  </si>
  <si>
    <t>2025-05-12 13:27:00,5850,,5850,,,6000,5810,,,,,5850,5750,5820,6000,5832</t>
  </si>
  <si>
    <t>2025-05-12 13:27:00,20700,,20950,,20700,,20725,,,,,20950,20200,20950,20150,20824.75</t>
  </si>
  <si>
    <t>2025-05-12 13:27:00,8373581011.75828,26037776421.3234,-771.177380952381,-1156,-212.616321428571,-1278.49,222.357312626107,-409.54,581.96</t>
  </si>
  <si>
    <t>2025-05-12 13:27:00,2060112459.70051,5940444243.92113,-599.764705882353,-565,-279.756470588235,-264.29,68.0653467232667,-181.16,507.17</t>
  </si>
  <si>
    <t>2025-05-12 13:27:00,103993693.131696,714979834.556226,,444,,-1528.94,-3.24784402948067,31.49,5832</t>
  </si>
  <si>
    <t>2025-05-12 13:27:00,219098669.795538,4096618.80733367,,-9,,-90.71,0.0171750854226482,-1.55,20824.75</t>
  </si>
  <si>
    <t>2025-05-12 13:28:00,580,,582,,580,,578.5,,,,,580,578,576,577,581.779</t>
  </si>
  <si>
    <t>2025-05-12 13:28:00,500,,508,,500,,504,,,,507,508,500,508,503,506.99</t>
  </si>
  <si>
    <t>2025-05-12 13:28:00,5850,,5850,,,6000,5810,,,5830,,5850,5750,5820,6000,5830</t>
  </si>
  <si>
    <t>2025-05-12 13:28:00,20700,,20950,,20700,,20725,,,,,20950,20200,20950,20150,20818</t>
  </si>
  <si>
    <t>2025-05-12 13:28:00,8714303609.54027,24621650712.2857,-828.429365079364,-1230,492.10360714286,318.95,260.935149771641,-130.65,581.779</t>
  </si>
  <si>
    <t>2025-05-12 13:28:00,2267186509.06524,5757853438.5448,-1353.96415954416,-854,-563.775629629627,208.55,19.5139244714446,-95.2599999999999,506.99</t>
  </si>
  <si>
    <t>2025-05-12 13:28:00,103610427.477992,681109221.374195,,1471,,7151.3,-3.98379224430953,485.74,5830</t>
  </si>
  <si>
    <t>2025-05-12 13:28:00,224990415.147805,3976288.22152555,,2,,-0.0800000000000018,-0.00256784996282315,0.04,20818</t>
  </si>
  <si>
    <t>2025-05-12 13:29:00,580,,582,,580,,578.5,,,,,580,578,576,577,581.965</t>
  </si>
  <si>
    <t>2025-05-12 13:29:00,500,,508,,500,,504,,,,,508,500,508,503,507.17</t>
  </si>
  <si>
    <t>2025-05-12 13:29:00,5850,,5850,,,6000,5810,5840,,,5830,5850,5750,5820,6000,5832</t>
  </si>
  <si>
    <t>2025-05-12 13:29:00,20700,,20950,,20700,,20725,,,,,20950,20200,20950,20150,20824</t>
  </si>
  <si>
    <t>2025-05-12 13:29:00,8352533490.55341,25624825899.3145,4842.75113522099,10728,3891.10231871886,5324.87,199.437776499068,2901.21,581.965</t>
  </si>
  <si>
    <t>2025-05-12 13:29:00,2222849448.18897,6192727009.03373,-178.336363636362,-327,2240.64036363637,1207.21,-60.4006512330762,289.04,507.17</t>
  </si>
  <si>
    <t>2025-05-12 13:29:00,102745169.743039,746415178.569493,,904,,4742.98,9.28637468852111,277.79,5832</t>
  </si>
  <si>
    <t>2025-05-12 13:29:00,212578884.358408,4129046.64766632,,30,,396.44,0.0367002508040912,6.39,20824</t>
  </si>
  <si>
    <t>2025-05-12 13:30:00,580,,582,,580,,578.5,,,582,,580,578,576,577,582.19</t>
  </si>
  <si>
    <t>2025-05-12 13:30:00,500,,508,,500,,504,,,,,508,500,508,503,507.32</t>
  </si>
  <si>
    <t>2025-05-12 13:30:00,5850,,5850,,,6000,5810,5840,,,,5850,5750,5820,6000,5834.25</t>
  </si>
  <si>
    <t>2025-05-12 13:30:00,20700,,20950,,20700,,20725,,,,,20950,20200,20950,20150,20832.25</t>
  </si>
  <si>
    <t>2025-05-12 13:30:00,8272049616.27842,27296033107.1406,4723.42817460317,9831,2165.62133333333,3639.41,-381.498445923438,2467.61,582.19</t>
  </si>
  <si>
    <t>2025-05-12 13:30:00,2053655022.30005,6265367663.39105,-770.561186578427,-388,300.389835713462,-1229.05,-177.452324604107,-561.75,507.32</t>
  </si>
  <si>
    <t>2025-05-12 13:30:00,102850325.410716,774008494.9152,,2132,,4727.15,-3.63405736531386,357.77,5834.25</t>
  </si>
  <si>
    <t>2025-05-12 13:30:00,213393406.566516,4285216.57457308,,-17,,-182.92,0.0191499056147109,-3.43,20832.25</t>
  </si>
  <si>
    <t>2025-05-12 13:31:00,580,,582,,580,,578.5,,,,,580,578,576,577,582.17</t>
  </si>
  <si>
    <t>2025-05-12 13:31:00,500,,508,,500,,504,,,,,508,500,508,503,507.28</t>
  </si>
  <si>
    <t>2025-05-12 13:31:00,5850,,5850,,,6000,5810,,,,,5850,5750,5820,6000,5834</t>
  </si>
  <si>
    <t>2025-05-12 13:31:00,20700,,20950,,20700,,20725,,,,,20950,20200,20950,20150,20830</t>
  </si>
  <si>
    <t>2025-05-12 13:31:00,8131768939.71643,27261018955.3321,-436.748015873015,2728,1506.06462301587,-80.8000000000002,-299.840853924211,227.44,582.17</t>
  </si>
  <si>
    <t>2025-05-12 13:31:00,2178622280.48257,6330067027.44548,649.633333333332,2086,720.517666666667,902.69,58.2781718414963,553.52,507.28</t>
  </si>
  <si>
    <t>2025-05-12 13:31:00,104917680.357292,769659759.882474,,748,,3758.5,17.4706346580426,140.01,5834</t>
  </si>
  <si>
    <t>2025-05-12 13:31:00,212897879.955969,4305808.8940001,,6,,41.39,0.00278147797063856,2.41,20830</t>
  </si>
  <si>
    <t>2025-05-12 13:32:00,580,,582,,580,,578.5,,,,,580,578,576,577,582.17</t>
  </si>
  <si>
    <t>2025-05-12 13:32:00,500,,508,,500,,504,,,,,508,500,508,503,507.21</t>
  </si>
  <si>
    <t>2025-05-12 13:32:00,5850,,5850,,,6000,5810,,,,,5850,5750,5820,6000,5834</t>
  </si>
  <si>
    <t>2025-05-12 13:32:00,20700,,20950,,20700,,20725,,,,,20950,20200,20950,20150,20827.75</t>
  </si>
  <si>
    <t>2025-05-12 13:32:00,8227935665.21067,26857394007.0161,-1040.26666666667,-838,-569.775666666667,-1825.48,-182.525299303842,-1078.23,582.17</t>
  </si>
  <si>
    <t>2025-05-12 13:32:00,2220235519.69842,6241338711.866,-16.7876623376622,2458,209.847461038961,615.68,-50.827324174293,440.13,507.21</t>
  </si>
  <si>
    <t>2025-05-12 13:32:00,105880464.190813,772172791.074127,,-250,,-265.57,2.90189680802441,-47.3,5834</t>
  </si>
  <si>
    <t>2025-05-12 13:32:00,214407098.604485,4161927.79750784,,3,,118.3,-0.0151264139361706,1.75,20827.75</t>
  </si>
  <si>
    <t>2025-05-12 13:33:00,580,,582,,580,,578.5,,,,,580,578,576,577,582.17</t>
  </si>
  <si>
    <t>2025-05-12 13:33:00,500,,508,,500,,504,,,,,508,500,508,503,507.21</t>
  </si>
  <si>
    <t>2025-05-12 13:33:00,5850,,5850,,,6000,5810,,,,,5850,5750,5820,6000,5833.75</t>
  </si>
  <si>
    <t>2025-05-12 13:33:00,20700,,20950,,20700,,20725,,,,,20950,20200,20950,20150,20826.25</t>
  </si>
  <si>
    <t>2025-05-12 13:33:00,8009630074.11514,27985693948.656,3521.93214285715,4515,5963.44621031747,5554.65,255.873275645145,2405.67,582.17</t>
  </si>
  <si>
    <t>2025-05-12 13:33:00,2193889539.91728,6640538998.99223,557.098571428572,946,1356.15285714286,1518.77,68.5831828959675,593.23,507.21</t>
  </si>
  <si>
    <t>2025-05-12 13:33:00,105193296.146348,796289625.068729,,969,,4908.45,0.951444963839693,332.58,5833.75</t>
  </si>
  <si>
    <t>2025-05-12 13:33:00,215708544.334981,4194679.61750508,,9,,426.23,-0.0200826966379652,5.74,20826.25</t>
  </si>
  <si>
    <t>2025-05-12 13:34:00,580,,582,,580,,578.5,,,,,580,578,576,577,582.11</t>
  </si>
  <si>
    <t>2025-05-12 13:34:00,500,,508,,500,,504,,,,,508,500,508,503,507.16</t>
  </si>
  <si>
    <t>2025-05-12 13:34:00,5850,,5850,,,6000,5810,,,,,5850,5750,5820,6000,5833.5</t>
  </si>
  <si>
    <t>2025-05-12 13:34:00,20700,,20950,,20700,,20725,,,,,20950,20200,20950,20150,20825</t>
  </si>
  <si>
    <t>2025-05-12 13:34:00,8429802348.23284,27016450591.4676,-1111.13928571429,-1424,-456.213321428569,-1040.59,-268.647795878524,-769.52,582.11</t>
  </si>
  <si>
    <t>2025-05-12 13:34:00,2129283938.82856,6197412332.0227,-612.681578947368,-529,-279.971684210526,-117.95,-4.31232074382075,-147.62,507.16</t>
  </si>
  <si>
    <t>2025-05-12 13:34:00,104098021.175408,790813830.980872,,-1287,,-770.77,1.11977984425157,-103.95,5833.5</t>
  </si>
  <si>
    <t>2025-05-12 13:34:00,219376517.722965,4154378.03400011,,-5,,-15.92,0.00894477217155742,-0.35,20825</t>
  </si>
  <si>
    <t>2025-05-12 13:35:00,580,,582,,580,,578.5,,,,,580,578,576,577,581.99</t>
  </si>
  <si>
    <t>2025-05-12 13:35:00,500,,508,,500,,504,,,,507,508,500,508,503,507.09</t>
  </si>
  <si>
    <t>2025-05-12 13:35:00,5850,,5850,,,6000,5810,,,,,5850,5750,5820,6000,5833.75</t>
  </si>
  <si>
    <t>2025-05-12 13:35:00,20700,,20950,,20700,,20725,,,,,20950,20200,20950,20150,20821.75</t>
  </si>
  <si>
    <t>2025-05-12 13:35:00,8641678590.16323,20352607038.7938,-519.061538461539,1502,132.502923076923,685.5,-128.496834155761,526.07,581.99</t>
  </si>
  <si>
    <t>2025-05-12 13:35:00,2281532551.17176,5134889829.75608,-2324.50269423559,-1447,-1518.96083646617,-1035.99,182.879190697048,-607.92,507.09</t>
  </si>
  <si>
    <t>2025-05-12 13:35:00,96624259.6877475,755296651.199765,,1072,,6327.78,1.83964214641121,331.47,5833.75</t>
  </si>
  <si>
    <t>2025-05-12 13:35:00,221876478.908975,4035974.48343321,,10,,31.75,0.0121236087976078,0.46,20821.75</t>
  </si>
  <si>
    <t>2025-05-12 13:36:00,580,,582,,580,,578.5,,,,,580,578,576,577,582.25</t>
  </si>
  <si>
    <t>2025-05-12 13:36:00,500,,508,,500,,504,,,,,508,500,508,503,507.24</t>
  </si>
  <si>
    <t>2025-05-12 13:36:00,5850,,5850,,,6000,5810,,,5830,,5850,5750,5820,6000,5835</t>
  </si>
  <si>
    <t>2025-05-12 13:36:00,20700,,20950,,20700,,20725,,,,,20950,20200,20950,20150,20829.25</t>
  </si>
  <si>
    <t>2025-05-12 13:36:00,7774893946.58666,34802910377.9188,213.073245614035,37,446.695614035089,183.7,-436.965807182409,-66.59,582.25</t>
  </si>
  <si>
    <t>2025-05-12 13:36:00,2055743012.50363,8072845338.03659,-143.90634920635,1061,5.45463492063422,226.82,-115.954297198256,175.24,507.24</t>
  </si>
  <si>
    <t>2025-05-12 13:36:00,102489542.068638,1011243941.36379,,-114,,-94.1299999999999,-4.60292209753081,-25.5,5835</t>
  </si>
  <si>
    <t>2025-05-12 13:36:00,202752887.534707,4506764.57767601,,15,,114.44,0.000850794150011869,2.27,20829.25</t>
  </si>
  <si>
    <t>2025-05-12 13:37:00,580,,582,,580,,578.5,,582,582,,580,578,576,575,582.34</t>
  </si>
  <si>
    <t>2025-05-12 13:37:00,500,,508,,500,,504,507,,,507,508,500,508,503,507.38</t>
  </si>
  <si>
    <t>2025-05-12 13:37:00,5850,,5850,,,6000,5810,,,,5830,5850,5750,5820,6000,5835.75</t>
  </si>
  <si>
    <t>2025-05-12 13:37:00,20700,,20950,,20700,,20725,,,,,20950,20200,20950,20150,20835.5</t>
  </si>
  <si>
    <t>2025-05-12 13:37:00,8011050206.56343,27593242614.2768,1359.56912955466,-1695,2847.77620840563,-3377.26,-973.311690940169,-1933.99,582.34</t>
  </si>
  <si>
    <t>2025-05-12 13:37:00,2118644726.40722,6245258724.98517,381.02541507024,675,1674.31892720306,803.85,336.242317867388,366.06,507.38</t>
  </si>
  <si>
    <t>2025-05-12 13:37:00,105173077.967184,857368099.092616,,-899,,-8275.58,-22.2276796495628,-842.62,5835.75</t>
  </si>
  <si>
    <t>2025-05-12 13:37:00,214850990.18969,4448893.04882451,,13,,-25.99,-0.0354168689399694,1.17,20835.5</t>
  </si>
  <si>
    <t>2025-05-12 13:38:00,580,,582,,580,,578.5,,,,,580,578,576,581,582.31</t>
  </si>
  <si>
    <t>2025-05-12 13:38:00,500,,508,,500,,504,,,,,508,500,508,503,507.36</t>
  </si>
  <si>
    <t>2025-05-12 13:38:00,5850,,5850,,,6000,5810,5840,,,5840,5850,5750,5820,6000,5835.5</t>
  </si>
  <si>
    <t>2025-05-12 13:38:00,20700,,20950,,20700,,20725,,,,,20950,20200,20950,20150,20833.75</t>
  </si>
  <si>
    <t>2025-05-12 13:38:00,8147322887.61623,27097353938.0508,-9119.96812770561,-7047,-6751.5001612554,-4902,-56.9514055033694,-2755.38,582.31</t>
  </si>
  <si>
    <t>2025-05-12 13:38:00,1998984089.99744,5354872354.99841,-4514.79798806479,-2135,-3722.94573350384,-1272.26,84.3579447388254,-845.22,507.36</t>
  </si>
  <si>
    <t>2025-05-12 13:38:00,100197288.358893,841302825.164373,,-1108,,-6136.11,9.28833777531617,-474.2,5835.5</t>
  </si>
  <si>
    <t>2025-05-12 13:38:00,216982797.828257,4395023.53391228,,4,,3.75999999999999,0.00808678055224219,0.18,20833.75</t>
  </si>
  <si>
    <t>2025-05-12 13:39:00,580,,582,,580,,578.5,,,,,580,578,576,581,582.275</t>
  </si>
  <si>
    <t>2025-05-12 13:39:00,500,,508,,500,,504,,,,,508,500,508,503,507.321</t>
  </si>
  <si>
    <t>2025-05-12 13:39:00,5850,,5850,,,6000,5810,,,,,5850,5750,5820,6000,5835.25</t>
  </si>
  <si>
    <t>2025-05-12 13:39:00,20700,,20950,,20700,,20725,,,,,20950,20200,20950,20150,20832.5</t>
  </si>
  <si>
    <t>2025-05-12 13:39:00,8094077089.87915,27303244532.9631,221.414141414141,248,-269.701262626262,-1152.09,190.936627342664,-793.16,582.275</t>
  </si>
  <si>
    <t>2025-05-12 13:39:00,2261141870.02048,6182313336.38675,270.511771561772,663,850.46184965035,1027.1,73.3355945603144,508.9,507.321</t>
  </si>
  <si>
    <t>2025-05-12 13:39:00,104140030.387925,839077679.066848,,-289,,181.84,-4.70998547505546,48.59,5835.25</t>
  </si>
  <si>
    <t>2025-05-12 13:39:00,214928965.647276,4386130.77408197,,5,,69.62,0.0179867091301692,1.66,20832.5</t>
  </si>
  <si>
    <t>2025-05-12 13:40:00,580,,582,,580,,578.5,,,,582,580,578,576,581,582.42</t>
  </si>
  <si>
    <t>2025-05-12 13:40:00,500,,508,,500,,504,,,507,,508,500,508,503,507.43</t>
  </si>
  <si>
    <t>2025-05-12 13:40:00,5850,,5850,,,6000,5810,5840,,5830,5840,5850,5750,5820,6000,5836.75</t>
  </si>
  <si>
    <t>2025-05-12 13:40:00,20700,,20950,,20700,,20725,,,,,20950,20200,20950,20150,20836</t>
  </si>
  <si>
    <t>2025-05-12 13:40:00,8436976765.02729,27912076086.2516,-3865.21645021645,-2098,-817.876462121209,-715.19,629.152844599649,-935.14,582.42</t>
  </si>
  <si>
    <t>2025-05-12 13:40:00,2075684021.25924,6094527493.96172,154.667777777778,1104,254.740421052631,513.49,-193.581348942163,391.65,507.43</t>
  </si>
  <si>
    <t>2025-05-12 13:40:00,104370751.310933,842065469.125288,,311,,4156.23,-0.970562352338668,310.41,5836.75</t>
  </si>
  <si>
    <t>2025-05-12 13:40:00,214923347.901254,4546288.1332977,,-9,,-489.9,0.0653308263411378,-8.72,20836</t>
  </si>
  <si>
    <t>2025-05-12 13:41:00,580,,582,,580,,578.5,,,,,580,578,576,581,582.44</t>
  </si>
  <si>
    <t>2025-05-12 13:41:00,500,,508,,500,,504,,,,,508,500,508,503,507.46</t>
  </si>
  <si>
    <t>2025-05-12 13:41:00,5850,,5850,,,6000,5810,,,,,5850,5750,5820,6000,5837</t>
  </si>
  <si>
    <t>2025-05-12 13:41:00,20700,,20950,,20700,,20725,,,,,20950,20200,20950,20150,20837.75</t>
  </si>
  <si>
    <t>2025-05-12 13:41:00,8267536387.03167,28267239653.52,-1780.99545454545,-2850,218.661646464651,-205.43,244.75165167653,-430.68,582.44</t>
  </si>
  <si>
    <t>2025-05-12 13:41:00,2043846693.83531,5979046895.48493,-1480.44643401984,-786,-1612.42485945843,-1315.05,43.3872971060914,-626.73,507.46</t>
  </si>
  <si>
    <t>2025-05-12 13:41:00,105008933.565102,849546176.198041,,578,,6017.98,20.1312614370997,373.36,5837</t>
  </si>
  <si>
    <t>2025-05-12 13:41:00,213769949.152172,4555440.77306505,,0,,-152.63,0.0172885430418469,-2.56,20837.75</t>
  </si>
  <si>
    <t>2025-05-12 13:42:00,580,,582,,580,,578.5,,,,,580,578,576,581,582.37</t>
  </si>
  <si>
    <t>2025-05-12 13:42:00,500,,508,,500,,504,,,,,508,500,508,503,507.35</t>
  </si>
  <si>
    <t>2025-05-12 13:42:00,5850,,5850,,,6000,5810,,,,5830,5850,5750,5820,6000,5836</t>
  </si>
  <si>
    <t>2025-05-12 13:42:00,20700,,20950,,20700,,20725,,,,,20950,20200,20950,20150,20833</t>
  </si>
  <si>
    <t>2025-05-12 13:42:00,8148049628.22583,27147836464.7458,-5167.91594611529,-7952,936.340531954892,-2440.35,-528.343739785657,-2415.13,582.37</t>
  </si>
  <si>
    <t>2025-05-12 13:42:00,2225937773.46631,6304083875.24073,-71.6114544265802,-819,268.227875850199,-1269.62,24.8507346885509,-659.65,507.35</t>
  </si>
  <si>
    <t>2025-05-12 13:42:00,105381459.261653,816203360.872305,,1300,,6080.1,19.180983347554,434.33,5836</t>
  </si>
  <si>
    <t>2025-05-12 13:42:00,212746454.306336,4369412.08813226,,58,,820.85,0.105670267164406,11.53,20833</t>
  </si>
  <si>
    <t>2025-05-12 13:43:00,580,,582,,580,,578.5,,,,,580,578,576,581,582.31</t>
  </si>
  <si>
    <t>2025-05-12 13:43:00,500,,508,,500,,504,,,,,508,500,508,503,507.3</t>
  </si>
  <si>
    <t>2025-05-12 13:43:00,5850,,5850,,,6000,5810,,,,5840,5850,5750,5820,6000,5835.5</t>
  </si>
  <si>
    <t>2025-05-12 13:43:00,20700,,20950,,20700,,20725,,,,,20950,20200,20950,20150,20831</t>
  </si>
  <si>
    <t>2025-05-12 13:43:00,8140683729.1176,27082331049.7506,869.40628342246,1737,680.717057868597,-111.96,-42.2653709925413,414.27,582.31</t>
  </si>
  <si>
    <t>2025-05-12 13:43:00,2072119751.36268,5951998994.26401,-46.6681901112936,-303,-105.349382320744,-366.1,-110.340883640774,-150.22,507.3</t>
  </si>
  <si>
    <t>2025-05-12 13:43:00,104591284.186144,830214420.695723,,-1004,,-9942.85,14.5406164020747,-648.06,5835.5</t>
  </si>
  <si>
    <t>2025-05-12 13:43:00,212504985.410301,4351429.98345621,,-50,,-819.11,0.102346403369532,-14.68,20831</t>
  </si>
  <si>
    <t>2025-05-12 13:44:00,580,,582,,580,,578.5,,,,,580,578,576,581,582.17</t>
  </si>
  <si>
    <t>2025-05-12 13:44:00,500,,508,,500,,504,,,,,508,500,508,503,507.16</t>
  </si>
  <si>
    <t>2025-05-12 13:44:00,5850,,5850,,,6000,5810,,,,,5850,5750,5820,6000,5834</t>
  </si>
  <si>
    <t>2025-05-12 13:44:00,20700,,20950,,20700,,20725,,,,,20950,20200,20950,20150,20825.5</t>
  </si>
  <si>
    <t>2025-05-12 13:44:00,8323332589.40871,26719057850.6514,1237.32589807853,-310,1713.31633458647,-372.63,-822.419763948204,-345.79,582.17</t>
  </si>
  <si>
    <t>2025-05-12 13:44:00,2218370792.65033,5990362206.81866,1294.4625,1399,1001.61925,1292.48,-30.3619676378764,706.66,507.16</t>
  </si>
  <si>
    <t>2025-05-12 13:44:00,106310039.642607,791952974.801141,,2049,,8291.59,8.83478773308796,603.6,5834</t>
  </si>
  <si>
    <t>2025-05-12 13:44:00,216642688.103108,4214056.87558468,,5,,105.05,-0.0738340305634218,0.89,20825.5</t>
  </si>
  <si>
    <t>2025-05-12 13:45:00,580,,582,,580,,578.5,,,,582,580,578,576,581,582.16</t>
  </si>
  <si>
    <t>2025-05-12 13:45:00,500,,508,,500,,504,,,,,508,500,508,503,507.17</t>
  </si>
  <si>
    <t>2025-05-12 13:45:00,5850,,5850,,,6000,5810,,,5830,5840,5850,5750,5820,6000,5834</t>
  </si>
  <si>
    <t>2025-05-12 13:45:00,20700,,20950,,20700,,20725,,,,,20950,20200,20950,20150,20825.25</t>
  </si>
  <si>
    <t>2025-05-12 13:45:00,8404853375.35454,26775983726.4033,-3582.89017094017,-3185,-1401.68965811966,-1368.43,688.878827126673,-836.89,582.16</t>
  </si>
  <si>
    <t>2025-05-12 13:45:00,2029980550.70798,6074965382.39221,-966.381609810068,-1696,-1087.13161263753,-1791.52,73.2599974743837,-908.37,507.17</t>
  </si>
  <si>
    <t>2025-05-12 13:45:00,106477133.960291,805345489.267552,,749,,916.25,11.9697995873264,108.64,5834</t>
  </si>
  <si>
    <t>2025-05-12 13:45:00,207343629.613086,4277266.02670906,,-27,,-10.61,-0.0132006546089388,-2.42,20825.25</t>
  </si>
  <si>
    <t>2025-05-12 13:46:00,580,,582,,580,,578.5,,,,,580,578,576,581,582.26</t>
  </si>
  <si>
    <t>2025-05-12 13:46:00,500,,508,,500,,504,,,,,508,500,508,503,507.23</t>
  </si>
  <si>
    <t>2025-05-12 13:46:00,5850,,5850,,,6000,5810,,,,,5850,5750,5820,6000,5835</t>
  </si>
  <si>
    <t>2025-05-12 13:46:00,20700,,20950,,20700,,20725,,,,,20950,20200,20950,20150,20828.25</t>
  </si>
  <si>
    <t>2025-05-12 13:46:00,8630631970.0351,27431555156.7603,3574.66130952381,-552,6671.78761904762,3040.14,288.18684447033,1733.59,582.26</t>
  </si>
  <si>
    <t>2025-05-12 13:46:00,2293983428.06467,6118334515.64263,1572.77065502766,1074,1116.75686162541,423.13,-7.1683366837424,352.15,507.23</t>
  </si>
  <si>
    <t>2025-05-12 13:46:00,106473386.14167,850160725.589977,,2315,,10819.18,13.5471670014685,779.36,5835</t>
  </si>
  <si>
    <t>2025-05-12 13:46:00,221472194.069547,4374180.39395908,,12,,-299.33,-0.00843669426518413,-2.61,20828.25</t>
  </si>
  <si>
    <t>2025-05-12 13:47:00,580,,582,,580,,578.5,,,,,580,578,576,581,582.152</t>
  </si>
  <si>
    <t>2025-05-12 13:47:00,500,,508,,500,,504,,,,,508,500,508,503,507.19</t>
  </si>
  <si>
    <t>2025-05-12 13:47:00,5850,,5850,,,6000,5810,,,,,5850,5750,5820,6000,5834</t>
  </si>
  <si>
    <t>2025-05-12 13:47:00,20700,,20950,,20700,,20750,,,,,20950,20200,20950,20150,20826.75</t>
  </si>
  <si>
    <t>2025-05-12 13:47:00,7703558186.51934,28382641702.3298,4196.41678234049,1400,4010.98274420026,2681.07,-432.943780272397,1261.08,582.152</t>
  </si>
  <si>
    <t>2025-05-12 13:47:00,2111745063.60501,6388383507.89158,717.038095238096,632,843.554285714287,614.96,-34.2070450332449,295.2,507.19</t>
  </si>
  <si>
    <t>2025-05-12 13:47:00,104971727.95853,827579460.090608,,295,,600.14,10.0822485737821,24.52,5834</t>
  </si>
  <si>
    <t>2025-05-12 13:47:00,199759176.699703,4266165.3927746,,32,,709.46,0.0826427484088796,12.68,20826.75</t>
  </si>
  <si>
    <t>2025-05-12 13:48:00,580,,582,,580,,578.5,,,,,580,578,576,581,582.16</t>
  </si>
  <si>
    <t>2025-05-12 13:48:00,500,,508,,500,,504,,,,,508,500,508,503,507.17</t>
  </si>
  <si>
    <t>2025-05-12 13:48:00,5850,,5850,,,6000,5810,,,,,5850,5750,5820,6000,5834</t>
  </si>
  <si>
    <t>2025-05-12 13:48:00,20700,,20950,,20700,,20750,,,,,20950,20200,20950,20150,20825.5</t>
  </si>
  <si>
    <t>2025-05-12 13:48:00,8513170685.51465,26338023020.5297,6670.00320512821,4694,2541.54925,2340.51,-86.264342217601,1315.25,582.16</t>
  </si>
  <si>
    <t>2025-05-12 13:48:00,2298673178.03268,5950469088.67472,414.500170940171,543,382.159551282051,429.17,-65.8982518750773,195.89,507.17</t>
  </si>
  <si>
    <t>2025-05-12 13:48:00,105145516.794244,800908269.969956,,875,,4975.41,9.74767500536146,367.07,5834</t>
  </si>
  <si>
    <t>2025-05-12 13:48:00,211533243.807912,4249821.94174581,,7,,206.88,0.00823151373267923,2.99,20825.5</t>
  </si>
  <si>
    <t>2025-05-12 13:49:00,580,,582,,580,,578.5,,,582,,580,578,576,575,581.94</t>
  </si>
  <si>
    <t>2025-05-12 13:49:00,500,,508,,500,,504,,507,,,508,500,508,503,506.99</t>
  </si>
  <si>
    <t>2025-05-12 13:49:00,5850,,5850,,,6000,5810,,5840,5830,5840,5850,5750,5820,6000,5831.5</t>
  </si>
  <si>
    <t>2025-05-12 13:49:00,20700,,20950,,20700,,20725,,,,,20950,20200,20950,20150,20817.5</t>
  </si>
  <si>
    <t>2025-05-12 13:49:00,8448539440.4623,25646654836.8812,133.039682539683,3454,15541.0680753968,18586.35,-825.638620478157,2957.12,581.94</t>
  </si>
  <si>
    <t>2025-05-12 13:49:00,2098363397.88846,5737702886.72513,-1489.57895624837,-2949,-1040.60275454153,-1987.91,-144.119627451219,-1264.35,506.99</t>
  </si>
  <si>
    <t>2025-05-12 13:49:00,105687954.88916,747399466.903672,,-532,,-3675.08,-0.120671919989,-296.52,5831.5</t>
  </si>
  <si>
    <t>2025-05-12 13:49:00,222472603.799309,4060552.8641384,,0,,-110.23,-0.0286396633173335,-2.64,20817.5</t>
  </si>
  <si>
    <t>2025-05-12 13:50:00,580,,582,,580,,578.5,,,582,,580,578,576,581,581.82</t>
  </si>
  <si>
    <t>2025-05-12 13:50:00,500,,508,,500,,504,,,,507,508,500,508,503,506.86</t>
  </si>
  <si>
    <t>2025-05-12 13:50:00,5850,,5850,,,6000,5810,,,5830,,5850,5750,5820,6000,5830.5</t>
  </si>
  <si>
    <t>2025-05-12 13:50:00,20700,,20950,,20700,,20725,,,,,20950,20200,20950,20150,20812.75</t>
  </si>
  <si>
    <t>2025-05-12 13:50:00,8619325810.67512,24330600496.2956,-4463.59580814786,-1004,-19306.6492460812,-19893.93,-866.22719530539,-1778.37,581.82</t>
  </si>
  <si>
    <t>2025-05-12 13:50:00,2198391868.74128,5845809570.23364,-1343.58264382077,-1529,-1340.31666763946,334.89,369.909565113231,-294.03,506.86</t>
  </si>
  <si>
    <t>2025-05-12 13:50:00,103297730.257612,705652106.246666,,2957,,15616.36,-16.2924890161309,1252.41,5830.5</t>
  </si>
  <si>
    <t>2025-05-12 13:50:00,225619297.529349,3992974.01131896,,-18,,355.37,0.0559106792278176,0.250000000000001,20812.75</t>
  </si>
  <si>
    <t>2025-05-12 13:51:00,580,,582,,580,,578.5,,,,,580,578,576,575,581.74</t>
  </si>
  <si>
    <t>2025-05-12 13:51:00,500,,508,,500,,504,,,,,508,500,508,503,506.78</t>
  </si>
  <si>
    <t>2025-05-12 13:51:00,5850,,5850,,,6000,5810,,,,,5850,5750,5820,6000,5829.75</t>
  </si>
  <si>
    <t>2025-05-12 13:51:00,20700,,20950,,20700,,20725,20825,,,,20950,20200,20950,20150,20808.25</t>
  </si>
  <si>
    <t>2025-05-12 13:51:00,8328830403.76372,23762388666.28,-829.480411255411,3443,-1180.15945851371,-335.71,-272.708819483245,42.1699999999999,581.74</t>
  </si>
  <si>
    <t>2025-05-12 13:51:00,2280461949.94726,5980546717.91981,123.572375933245,-739,305.845808300394,-78.7200000000001,-8.18758562919767,-381.45,506.78</t>
  </si>
  <si>
    <t>2025-05-12 13:51:00,104543371.739386,713100079.032078,,-598,,9589.66,3.29611869985105,59.37,5829.75</t>
  </si>
  <si>
    <t>2025-05-12 13:51:00,229390247.137519,3931547.71156114,,41,,931.2,0.113591582074677,15.09,20808.25</t>
  </si>
  <si>
    <t>2025-05-12 13:52:00,580,,582,,580,,578.5,,,,,580,578,576,575,581.571</t>
  </si>
  <si>
    <t>2025-05-12 13:52:00,500,,508,,500,,504,,,507,,508,500,508,503,506.63</t>
  </si>
  <si>
    <t>2025-05-12 13:52:00,5850,,5850,,,6000,5810,,,5830,,5850,5750,5820,6000,5828</t>
  </si>
  <si>
    <t>2025-05-12 13:52:00,20700,,20950,,20700,,20725,,,20825,,20950,20200,20950,20150,20803.25</t>
  </si>
  <si>
    <t>2025-05-12 13:52:00,8923766948.71684,22308575295.9327,1463.44274891775,6669,695.193094155846,3927.17,-674.290288246234,2660.69,581.571</t>
  </si>
  <si>
    <t>2025-05-12 13:52:00,2280844935.62897,5190821844.70224,-741.645378151266,75,-1198.45374303406,-352.96,160.947944526347,-170.91,506.63</t>
  </si>
  <si>
    <t>2025-05-12 13:52:00,105908550.9889,641834965.495921,,-84,,4107.27,-14.0849991190326,271.55,5828</t>
  </si>
  <si>
    <t>2025-05-12 13:52:00,237364713.949775,3680359.95167222,,85,,2489.72,-0.11948468489186,42.65,20803.25</t>
  </si>
  <si>
    <t>2025-05-12 13:53:00,580,,582,,580,,578.5,,,,582,580,578,576,581,581.7</t>
  </si>
  <si>
    <t>2025-05-12 13:53:00,500,,508,,500,,504,,507,,,508,500,508,503,506.72</t>
  </si>
  <si>
    <t>2025-05-12 13:53:00,5850,,5850,,,6000,5810,,,,,5850,5750,5820,6000,5829.25</t>
  </si>
  <si>
    <t>2025-05-12 13:53:00,20700,,20950,,20700,,20750,,,,,20950,20200,20950,20150,20807.75</t>
  </si>
  <si>
    <t>2025-05-12 13:53:00,8681023394.84685,23221957553.6765,-9531.82424242424,-4583,-6561.39088419913,-3687.54,831.897579479707,-2589.99,581.7</t>
  </si>
  <si>
    <t>2025-05-12 13:53:00,2058600111.56582,5241001469.35685,-2480.78032106782,-3590,-1156.33021843435,-2129.88,-199.748700755235,-1344.79,506.72</t>
  </si>
  <si>
    <t>2025-05-12 13:53:00,103164542.973042,657058271.644774,,-2094,,-7409.03,7.38039589880259,-542.85,5829.25</t>
  </si>
  <si>
    <t>2025-05-12 13:53:00,229841795.247261,3686574.93107829,,5,,940.11,-0.00665476258949044,2.36,20807.75</t>
  </si>
  <si>
    <t>2025-05-12 13:54:00,580,,582,,580,,578.5,,,,,580,578,576,575,581.62</t>
  </si>
  <si>
    <t>2025-05-12 13:54:00,500,,508,,500,,504,,507,,,508,500,508,503,506.63</t>
  </si>
  <si>
    <t>2025-05-12 13:54:00,5850,,5850,,,6000,5810,,,,,5850,5750,5840,6000,5828.5</t>
  </si>
  <si>
    <t>2025-05-12 13:54:00,20700,,20950,,20700,,20750,,,,,20950,20200,20950,20150,20803</t>
  </si>
  <si>
    <t>2025-05-12 13:54:00,8954671088.59672,20462415657.0256,-1348.21651667046,964,-1081.96214684438,436.39,-267.091809560668,435.67,581.62</t>
  </si>
  <si>
    <t>2025-05-12 13:54:00,2313568310.83129,4345498724.04403,-458.590909090909,-765,-254.399242424241,-852.26,-126.348953519899,-508.76,506.63</t>
  </si>
  <si>
    <t>2025-05-12 13:54:00,105803594.552222,634291828.81645,,126,,2982.84,-1.90301995328475,64.92,5828.5</t>
  </si>
  <si>
    <t>2025-05-12 13:54:00,239180148.591447,3626148.77203355,,5,,178.37,0.0576221473669713,2.49,20803</t>
  </si>
  <si>
    <t>2025-05-12 13:55:00,580,,582,,580,,578.5,,,,,580,578,576,575,581.62</t>
  </si>
  <si>
    <t>2025-05-12 13:55:00,500,,508,,500,,504,,,,,508,500,508,503,506.57</t>
  </si>
  <si>
    <t>2025-05-12 13:55:00,5850,,5850,,,6000,5810,,,,,5850,5750,5840,6000,5828.5</t>
  </si>
  <si>
    <t>2025-05-12 13:55:00,20700,,20950,,20700,,20750,,,,,20950,20200,20950,20150,20800</t>
  </si>
  <si>
    <t>2025-05-12 13:55:00,8627298336.87323,22901417000.7628,876.385858585876,674,908.021982323237,753.63,-197.856965103772,122.68,581.62</t>
  </si>
  <si>
    <t>2025-05-12 13:55:00,2240413112.09188,5292642284.7501,236.550632992738,-278,454.682054276133,773.35,-121.725057381083,250.2,506.57</t>
  </si>
  <si>
    <t>2025-05-12 13:55:00,106434223.615292,621875789.533611,,174,,893.46,4.53821342944052,27.6,5828.5</t>
  </si>
  <si>
    <t>2025-05-12 13:55:00,241979223.85663,3545021.12416093,,0,,424.99,-0.0481578441427243,1.76,20800</t>
  </si>
  <si>
    <t>2025-05-12 13:57:00,580,,582,,580,,578.5,,,,,580,578,576,575,581.73</t>
  </si>
  <si>
    <t>2025-05-12 13:57:00,500,,508,,500,,504,,,,,508,500,508,503,506.64</t>
  </si>
  <si>
    <t>2025-05-12 13:57:00,5850,,5850,,,6000,5810,,,5820,5830,5850,5750,5840,6000,5829.75</t>
  </si>
  <si>
    <t>2025-05-12 13:57:00,20700,,20950,,20700,,20750,,,,,20950,20200,20950,20150,20803.75</t>
  </si>
  <si>
    <t>2025-05-12 13:57:00,8919311444.94459,23926500559.0307,-739.536724386725,790,-716.765354978359,-68.9,-362.710519479836,101.58,581.73</t>
  </si>
  <si>
    <t>2025-05-12 13:57:00,2325408969.40246,5067141644.41504,-264.098284585784,1758,-881.696291477041,1337.37,-314.761777629124,1090.12,506.64</t>
  </si>
  <si>
    <t>2025-05-12 13:57:00,105847475.986411,664387751.720729,,1262,,1900.99,5.73544791252344,253.75,5829.75</t>
  </si>
  <si>
    <t>2025-05-12 13:57:00,235472366.252942,3637582.74056721,,-31,,-518.84,0.0108237335638368,-6.73,20803.75</t>
  </si>
  <si>
    <t>2025-05-12 13:58:00,580,,582,,580,,578.5,,,,,580,578,576,575,581.85</t>
  </si>
  <si>
    <t>2025-05-12 13:58:00,500,,508,,500,,504,,507,,,508,500,508,503,506.73</t>
  </si>
  <si>
    <t>2025-05-12 13:58:00,5850,,5850,,,6000,5810,,,,,5850,5750,5840,6000,5830.5</t>
  </si>
  <si>
    <t>2025-05-12 13:58:00,20700,,20950,,20700,,20750,,,,,20950,20200,20950,20150,20808.5</t>
  </si>
  <si>
    <t>2025-05-12 13:58:00,8233473675.29185,24673138303.3644,-2434.62079831933,-2973,-2236.45814192343,-2863.34,277.172899194765,-1828.81,581.85</t>
  </si>
  <si>
    <t>2025-05-12 13:58:00,2241853241.19826,5453543531.78203,-192.963530148902,-961,242.353983856701,-138.71,-38.2258325633215,-200.37,506.73</t>
  </si>
  <si>
    <t>2025-05-12 13:58:00,104585052.697434,702860081.219981,,-653,,-6865.33,-8.37713284164958,-423.67,5830.5</t>
  </si>
  <si>
    <t>2025-05-12 13:58:00,231754331.767745,3772301.30732087,,1,,100.41,0.0178008632199315,2.5,20808.5</t>
  </si>
  <si>
    <t>2025-05-12 13:59:00,580,,582,,580,,578.5,,,582,,580,578,576,575,581.605</t>
  </si>
  <si>
    <t>2025-05-12 13:59:00,500,,508,,500,,504,,,,,508,500,508,503,506.52</t>
  </si>
  <si>
    <t>2025-05-12 13:59:00,5850,,5850,,,6000,5810,,,5820,,5850,5750,5820,6000,5828.5</t>
  </si>
  <si>
    <t>2025-05-12 13:59:00,20700,,20950,,20700,,20750,,,,,20950,20200,20950,20150,20799.75</t>
  </si>
  <si>
    <t>2025-05-12 13:59:00,8702386952.19465,22928300799.0044,-427.981808688388,1782,2047.02978320802,3100.12,-544.739871913803,1311.16,581.605</t>
  </si>
  <si>
    <t>2025-05-12 13:59:00,2309190886.04764,5153677875.55332,819.607348468624,1893,1161.58465073892,1198.59,-48.7894044812679,533.16,506.52</t>
  </si>
  <si>
    <t>2025-05-12 13:59:00,112114091.705657,671808973.940035,,-385,,6834.18,-6.58084455174835,242.08,5828.5</t>
  </si>
  <si>
    <t>2025-05-12 13:59:00,219994256.125229,3492993.59778411,,-2,,-234.85,-0.00162867517370072,-0.54,20799.75</t>
  </si>
  <si>
    <t>2025-05-12 14:00:00,580,,582,,580,,578.5,,,,,580,578,576,575,581.54</t>
  </si>
  <si>
    <t>2025-05-12 14:00:00,500,,508,,500,,504,,,,,508,500,508,503,506.46</t>
  </si>
  <si>
    <t>2025-05-12 14:00:00,5850,,5850,,,6000,5810,,,,,5850,5750,5820,6000,5827.5</t>
  </si>
  <si>
    <t>2025-05-12 14:00:00,20700,,20950,,20700,,20750,,,,,20950,20200,20950,20150,20794.75</t>
  </si>
  <si>
    <t>2025-05-12 14:00:00,8897081024.97734,21777473004.9571,-314.882142857143,1129,-0.260138888886985,473.94,-463.74756353427,396.89,581.54</t>
  </si>
  <si>
    <t>2025-05-12 14:00:00,2259579192.41229,5077827611.14522,-900.497941176471,-1875,-725.309305882353,-1661.27,-14.6738523925496,-960.35,506.46</t>
  </si>
  <si>
    <t>2025-05-12 14:00:00,105869390.660585,596924362.757742,,-117,,103.52,-7.96874555180328,-4.87,5827.5</t>
  </si>
  <si>
    <t>2025-05-12 14:00:00,238459144.273861,3366097.89691955,,1,,47.77,-0.0253227241686763,1.02,20794.75</t>
  </si>
  <si>
    <t>2025-05-12 14:01:00,580,,580,,580,,578.5,,,,581,580,578,576,575,581.18</t>
  </si>
  <si>
    <t>2025-05-12 14:01:00,500,,508,,500,,504,,,506,,508,500,508,503,506.18</t>
  </si>
  <si>
    <t>2025-05-12 14:01:00,5850,,5850,,,6000,5810,5830,,,5830,5850,5750,5820,6000,5824.25</t>
  </si>
  <si>
    <t>2025-05-12 14:01:00,20700,,20950,,20700,,20750,,,,,20950,20200,20950,20150,20784.5</t>
  </si>
  <si>
    <t>2025-05-12 14:01:00,8930747843.47421,18562796741.9766,-2688.19920210509,7258,566.068524637121,5293.91,1055.82114858063,2501.5,581.18</t>
  </si>
  <si>
    <t>2025-05-12 14:01:00,2355191197.16486,4261655944.63898,1101.38313361357,636,1458.94641372315,2069.21,-10.9029865708473,1139.29,506.18</t>
  </si>
  <si>
    <t>2025-05-12 14:01:00,104539154.868985,544784125.741587,,-2804,,-11047.07,24.4689474042225,-910.46,5824.25</t>
  </si>
  <si>
    <t>2025-05-12 14:01:00,248186441.312641,3144162.46477283,,4,,372.9,-0.0327825179901581,5.22,20784.5</t>
  </si>
  <si>
    <t>2025-05-12 14:02:00,580,,582,,580,,578.5,,,,581,580,578,576,581,581.39</t>
  </si>
  <si>
    <t>2025-05-12 14:02:00,500,,508,,500,,504,,,,,508,500,508,503,506.385</t>
  </si>
  <si>
    <t>2025-05-12 14:02:00,5850,,5850,,,6000,5810,,,,5820,5850,5750,5820,6000,5826</t>
  </si>
  <si>
    <t>2025-05-12 14:02:00,20700,,20950,,20700,,20825,,,,,20950,20200,20950,20150,20794.25</t>
  </si>
  <si>
    <t>2025-05-12 14:02:00,8632198811.85368,20088590021.2762,-6979.52268043846,-8982,-3107.50605936557,-4619.33,807.128789650096,-3215.21,581.39</t>
  </si>
  <si>
    <t>2025-05-12 14:02:00,2265477354.57735,4314460164.81652,-1175.54078377762,-229,-443.26020050125,-32.6500000000001,5.98541477511785,-92.81,506.385</t>
  </si>
  <si>
    <t>2025-05-12 14:02:00,104793280.16562,581279626.38671,,-3414,,-14716.79,5.50193321026067,-1152.93,5826</t>
  </si>
  <si>
    <t>2025-05-12 14:02:00,236826577.824945,3243111.60220621,,45,,1857.37,-0.175173364568944,32.14,20794.25</t>
  </si>
  <si>
    <t>2025-05-12 14:03:00,580,,582,,580,,578.5,,,,,580,578,576,581,581.6</t>
  </si>
  <si>
    <t>2025-05-12 14:03:00,500,,508,,500,,504,,,,,508,500,508,503,506.52</t>
  </si>
  <si>
    <t>2025-05-12 14:03:00,5850,,5850,,,6000,5810,,,,,5850,5750,5820,6000,5828</t>
  </si>
  <si>
    <t>2025-05-12 14:03:00,20700,,20950,,20700,,20825,,,,,20950,20200,20950,20150,20800.25</t>
  </si>
  <si>
    <t>2025-05-12 14:03:00,8413746975.61234,23563080926.8987,-1433.3880952381,-285,-1289.83207142857,-1076.6,-83.4337798658695,-355.39,581.6</t>
  </si>
  <si>
    <t>2025-05-12 14:03:00,2135708113.03665,4811372481.40884,-1106.0350877193,-727,-1034.15122807017,-29.1899999999998,46.4261705272925,-295.08,506.52</t>
  </si>
  <si>
    <t>2025-05-12 14:03:00,105068655.614359,621399430.314542,,-1708,,-10398.09,-4.99900212072791,-635.15,5828</t>
  </si>
  <si>
    <t>2025-05-12 14:03:00,239977440.977204,3428257.60197892,,-28,,-558.09,-0.0519670032482846,-10.46,20800.25</t>
  </si>
  <si>
    <t>2025-05-12 14:04:00,580,,582,,580,,578.5,582,,,,580,578,576,575,581.86</t>
  </si>
  <si>
    <t>2025-05-12 14:04:00,500,,508,,500,,504,,507,,,508,500,508,503,506.75</t>
  </si>
  <si>
    <t>2025-05-12 14:04:00,5850,,5850,,,6000,5810,,5840,5830,,5850,5750,5820,6000,5830.75</t>
  </si>
  <si>
    <t>2025-05-12 14:04:00,20700,,20950,,20700,,20825,,,,,20950,20200,20950,20150,20808.5</t>
  </si>
  <si>
    <t>2025-05-12 14:04:00,8545662292.79669,24133276287.7768,610.033940242763,3826,-1489.43860014006,-2640.24,248.092397092027,-268.64,581.86</t>
  </si>
  <si>
    <t>2025-05-12 14:04:00,2068344913.52944,5028998652.23433,-2557.20449275362,-2465,-1459.30109855072,-3118.5,-12.9679821215031,-1892.54,506.75</t>
  </si>
  <si>
    <t>2025-05-12 14:04:00,102975480.124055,669970791.972945,,1410,,-1662.73,-1.7415590603589,349.94,5830.75</t>
  </si>
  <si>
    <t>2025-05-12 14:04:00,228525897.443794,3604035.2440132,,-9,,-194.47,-0.0158945532965674,-3.83,20808.5</t>
  </si>
  <si>
    <t>2025-05-12 14:05:00,580,,582,,580,,578.5,,,,,580,578,576,575,582.021</t>
  </si>
  <si>
    <t>2025-05-12 14:05:00,500,,508,,500,,504,507,,,,508,500,508,503,506.92</t>
  </si>
  <si>
    <t>2025-05-12 14:05:00,5850,,5850,,,6000,5810,,,,,5850,5750,5820,6000,5832.75</t>
  </si>
  <si>
    <t>2025-05-12 14:05:00,20700,,20950,,20700,,20825,,20800,,,20950,20200,20950,20150,20815.5</t>
  </si>
  <si>
    <t>2025-05-12 14:05:00,8288967345.37222,24766936998.8478,-637.5895021645,-893,-547.048893578639,-3370.76,-782.350331774826,-1300.31,582.021</t>
  </si>
  <si>
    <t>2025-05-12 14:05:00,2084643054.30832,5644695270.39935,1537.65918997098,3287,3165.33001206079,-65.3800000000008,-69.3617378639255,1054.32,506.92</t>
  </si>
  <si>
    <t>2025-05-12 14:05:00,100793985.802584,745323188.266983,,1164,,461.970000000001,22.4242430642065,251.63,5832.75</t>
  </si>
  <si>
    <t>2025-05-12 14:05:00,224457119.214393,3872402.30720899,,-37,,-1353.28,-0.0777797304186766,-20.89,20815.5</t>
  </si>
  <si>
    <t>2025-05-12 14:06:00,580,,582,,580,,578.5,,,,,580,578,576,575,581.99</t>
  </si>
  <si>
    <t>2025-05-12 14:06:00,500,,508,,500,,504,,507,,,508,500,508,503,506.94</t>
  </si>
  <si>
    <t>2025-05-12 14:06:00,5850,,5850,,,6000,5810,,,,,5850,5750,5820,6000,5832.25</t>
  </si>
  <si>
    <t>2025-05-12 14:06:00,20700,,20950,,20700,,20825,,,,,20950,20200,20950,20150,20815.75</t>
  </si>
  <si>
    <t>2025-05-12 14:06:00,8391032582.46062,24177564652.5334,-2669.66785714286,-1651,-1756.519,-3465.59,-635.901585652023,-1944.75,581.99</t>
  </si>
  <si>
    <t>2025-05-12 14:06:00,2167531689.96266,5571667323.50399,-1497.25998826881,-1743,-336.404825456679,-1325.1,-30.2660756747015,-961.95,506.94</t>
  </si>
  <si>
    <t>2025-05-12 14:06:00,103756713.218212,759275639.662955,,696,,-771.26,-6.33293095172318,-62.79,5832.25</t>
  </si>
  <si>
    <t>2025-05-12 14:06:00,224487266.670127,3861728.09329316,,-20,,-97.01,-0.015628377163914,-2.91,20815.75</t>
  </si>
  <si>
    <t>2025-05-12 14:07:00,580,,582,,580,,578.5,582,,582,,580,578,576,575,582.035</t>
  </si>
  <si>
    <t>2025-05-12 14:07:00,500,,508,,500,,504,,,,,508,500,508,503,507.01</t>
  </si>
  <si>
    <t>2025-05-12 14:07:00,5850,,5850,,,6000,5810,5830,,5830,,5850,5750,5820,6000,5832.5</t>
  </si>
  <si>
    <t>2025-05-12 14:07:00,20700,,20950,,20700,,20750,,,,,20950,20200,20950,20150,20819.5</t>
  </si>
  <si>
    <t>2025-05-12 14:07:00,8468536562.79863,25365946192.0691,5234.77505411256,4019,7484.6669949495,6870.04,-72.7665064691757,3759.74,582.035</t>
  </si>
  <si>
    <t>2025-05-12 14:07:00,2324515180.69049,5899371579.04782,3693.73106805475,3474,2004.93485251591,2064.55,-97.4444194032061,1241.32,507.01</t>
  </si>
  <si>
    <t>2025-05-12 14:07:00,105969129.631042,818696590.947932,,343,,11432.2,-23.4864531800438,441.88,5832.5</t>
  </si>
  <si>
    <t>2025-05-12 14:07:00,225465884.882358,4164140.56140342,,13,,391.68,0.00356814992131963,7.25,20819.5</t>
  </si>
  <si>
    <t>2025-05-12 14:08:00,580,,582,,580,,578.5,,,,,580,578,576,575,582.11</t>
  </si>
  <si>
    <t>2025-05-12 14:08:00,500,,508,,500,,504,,,,,508,500,508,503,507.11</t>
  </si>
  <si>
    <t>2025-05-12 14:08:00,5850,,5850,,,6000,5810,5840,,,,5850,5750,5820,6000,5833.25</t>
  </si>
  <si>
    <t>2025-05-12 14:08:00,20700,,20950,,20700,,20825,,,,,20950,20200,20950,20150,20822.25</t>
  </si>
  <si>
    <t>2025-05-12 14:08:00,8041339247.84876,26483085603.8061,899.823422191843,1581,1115.87301017696,1088.1,-414.997395331122,524.56,582.11</t>
  </si>
  <si>
    <t>2025-05-12 14:08:00,2180047134.75776,6292143301.7399,717.236796536797,627,181.67706926407,-152.29,63.6256361637869,26.5,507.11</t>
  </si>
  <si>
    <t>2025-05-12 14:08:00,104039076.720205,819675073.826768,,562,,528.84,5.18097870515442,120.92,5833.25</t>
  </si>
  <si>
    <t>2025-05-12 14:08:00,215099404.31118,4157972.14259708,,-10,,-84.46,-0.0109102237468104,-1.97,20822.25</t>
  </si>
  <si>
    <t>2025-05-12 14:09:00,580,,582,,580,,578.5,,,,,580,578,576,575,582.11</t>
  </si>
  <si>
    <t>2025-05-12 14:09:00,500,,508,,500,,504,,,,,508,500,508,503,507.11</t>
  </si>
  <si>
    <t>2025-05-12 14:09:00,5850,,5850,,,6000,5810,,,,,5850,5750,5820,6000,5833.5</t>
  </si>
  <si>
    <t>2025-05-12 14:09:00,20700,,20950,,20700,,20750,,,,,20950,20200,20950,20150,20822.25</t>
  </si>
  <si>
    <t>2025-05-12 14:09:00,8427087623.32307,25615742061.7327,767.115121136173,-225,2337.50921470342,461.74,174.268842842589,312.35,582.11</t>
  </si>
  <si>
    <t>2025-05-12 14:09:00,2139813872.06447,6249565111.76054,-90.4156701141963,-736,275.083710676586,-1512.33,-109.936797250355,-530.98,507.11</t>
  </si>
  <si>
    <t>2025-05-12 14:09:00,103268850.059746,832435570.105361,,85,,1299.08,2.4931159351595,88.2,5833.5</t>
  </si>
  <si>
    <t>2025-05-12 14:09:00,221457959.673848,4241504.78108607,,-14,,-75.18,-0.002161051890709,-1.44,20822.25</t>
  </si>
  <si>
    <t>2025-05-12 14:10:00,580,,582,,580,,578.5,,,,,580,578,576,575,582.03</t>
  </si>
  <si>
    <t>2025-05-12 14:10:00,500,,508,,500,,504,,,,,508,500,508,503,507.02</t>
  </si>
  <si>
    <t>2025-05-12 14:10:00,5850,,5850,,,6000,5810,,,,,5850,5750,5820,6000,5832.5</t>
  </si>
  <si>
    <t>2025-05-12 14:10:00,20700,,20950,,20700,,20750,,,,,20950,20200,20950,20150,20819.5</t>
  </si>
  <si>
    <t>2025-05-12 14:10:00,7885107836.44203,26278520615.2911,4778.9922910423,4903,5172.73520637697,5025.51,479.504591676998,2253.45,582.03</t>
  </si>
  <si>
    <t>2025-05-12 14:10:00,2154473128.86171,6250605201.89557,-831.735678366364,-1249,568.504142421162,-255.61,-185.401805386101,-325.19,507.02</t>
  </si>
  <si>
    <t>2025-05-12 14:10:00,106199685.760735,835469609.174659,,-1750,,-5727.29,-29.3263640020189,-550.85,5832.5</t>
  </si>
  <si>
    <t>2025-05-12 14:10:00,216026068.245324,4226543.27076991,,14,,504,0.0238490389332797,7.85,20819.5</t>
  </si>
  <si>
    <t>2025-05-12 14:11:00,580,,582,,580,,578.5,,,,,580,578,576,575,581.94</t>
  </si>
  <si>
    <t>2025-05-12 14:11:00,500,,508,,500,,504,,,,,508,500,508,503,506.87</t>
  </si>
  <si>
    <t>2025-05-12 14:11:00,5850,,5850,,,6000,5810,5840,,5830,,5850,5750,5820,6000,5831.75</t>
  </si>
  <si>
    <t>2025-05-12 14:11:00,20700,,20950,,20700,,20750,,,,,20950,20200,20950,20150,20813.25</t>
  </si>
  <si>
    <t>2025-05-12 14:11:00,8798445105.78862,23724729709.7255,3114.65883838384,1870,2756.87920959596,1939.66,-4.02943010477459,1218.52,581.94</t>
  </si>
  <si>
    <t>2025-05-12 14:11:00,2331028743.31877,5051928165.53029,1308.78923824714,2126,1759.75337897775,1662.84,-76.8323172498896,796.88,506.87</t>
  </si>
  <si>
    <t>2025-05-12 14:11:00,104444490.626342,815972182.620591,,1805,,13953.57,4.1997910326581,886.06,5831.75</t>
  </si>
  <si>
    <t>2025-05-12 14:11:00,223165098.240672,4046214.26796356,,35,,1243.56,0.100565672873761,18.08,20813.25</t>
  </si>
  <si>
    <t>2025-05-12 14:12:00,580,,582,,580,,578.5,,,,,580,578,576,575,581.921</t>
  </si>
  <si>
    <t>2025-05-12 14:12:00,500,,508,,500,,504,,,,,508,500,508,503,506.89</t>
  </si>
  <si>
    <t>2025-05-12 14:12:00,5850,,5850,,,6000,5810,,,5830,,5850,5750,5820,6000,5831.5</t>
  </si>
  <si>
    <t>2025-05-12 14:12:00,20700,,20950,,20700,,20750,,,,,20950,20200,20950,20150,20813.5</t>
  </si>
  <si>
    <t>2025-05-12 14:12:00,8529431154.27388,24189792748.0198,-1148.11665181224,-606,-47.0759160724901,1567.89,-602.815390320794,698.12,581.921</t>
  </si>
  <si>
    <t>2025-05-12 14:12:00,2190370082.38789,6211364778.34449,-83.8969799498745,-593,1412.83749974938,1594.72,-49.1524133710797,278.23,506.89</t>
  </si>
  <si>
    <t>2025-05-12 14:12:00,105487702.540535,781025593.447454,,780,,1771.69,-18.682761176993,187.75,5831.5</t>
  </si>
  <si>
    <t>2025-05-12 14:12:00,236953484.829817,4043803.92934932,,37,,-59.63,-0.00690350941165011,-1.46,20813.5</t>
  </si>
  <si>
    <t>2025-05-12 14:13:00,580,,582,,580,,578.5,,,,,580,578,576,575,581.8</t>
  </si>
  <si>
    <t>2025-05-12 14:13:00,500,,508,,500,,504,,,,,508,500,508,503,506.8</t>
  </si>
  <si>
    <t>2025-05-12 14:13:00,5850,,5850,,,6000,5810,,,5830,,5850,5750,5820,6000,5830</t>
  </si>
  <si>
    <t>2025-05-12 14:13:00,20700,,20950,,20700,,20750,,,,,20950,20200,20950,20150,20810</t>
  </si>
  <si>
    <t>2025-05-12 14:13:00,8804501055.52442,23273726862.0487,-1750.60286935287,9402,-1719.53910866911,-2702.44,-45.4332372563099,-1743.6,581.8</t>
  </si>
  <si>
    <t>2025-05-12 14:13:00,2217785101.63324,5373105603.87233,1129.08642409214,1842,125.611201866495,504.93,143.874170142796,459.95,506.8</t>
  </si>
  <si>
    <t>2025-05-12 14:13:00,107626934.314352,746375969.669386,,248,,188.57,-6.49863742840052,51.04,5830</t>
  </si>
  <si>
    <t>2025-05-12 14:13:00,232121196.389953,3915717.26479405,,-1,,103.19,0.00177251502803697,1.44,20810</t>
  </si>
  <si>
    <t>2025-05-12 14:14:00,580,,582,,580,,578.5,,,,,585,578,576,575,581.68</t>
  </si>
  <si>
    <t>2025-05-12 14:14:00,500,,508,,500,,504,,,,,508,500,508,503,506.7</t>
  </si>
  <si>
    <t>2025-05-12 14:14:00,5850,,5850,,,6000,5810,,,,5830,5850,5750,5820,6000,5829</t>
  </si>
  <si>
    <t>2025-05-12 14:14:00,20700,,20950,,20700,,20750,,,,,20950,20200,20950,20150,20806.25</t>
  </si>
  <si>
    <t>2025-05-12 14:14:00,8733292319.28459,22822603936.1097,-5181.20925957428,-5995,-595.068881791588,-1220.29,457.786081501757,-1424.33,581.68</t>
  </si>
  <si>
    <t>2025-05-12 14:14:00,2255879834.4897,5682812428.69522,848.889259914492,889,520.34213880289,538.45,92.9844676071655,368.13,506.7</t>
  </si>
  <si>
    <t>2025-05-12 14:14:00,107740084.569224,728735694.683359,,-1618,,-8097.88,12.003187605925,-706.45,5829</t>
  </si>
  <si>
    <t>2025-05-12 14:14:00,225045325.162067,3814472.45257366,,8,,56.32,-0.0119161657366563,1.56,20806.25</t>
  </si>
  <si>
    <t>2025-05-12 14:15:00,580,,582,,580,,578.5,,,,,585,578,576,581,581.625</t>
  </si>
  <si>
    <t>2025-05-12 14:15:00,500,,508,,500,,504,507,,,,508,500,508,503,506.565</t>
  </si>
  <si>
    <t>2025-05-12 14:15:00,5850,,5850,,,6000,5810,,,,,5850,5750,5820,6000,5828.5</t>
  </si>
  <si>
    <t>2025-05-12 14:15:00,20700,,20950,,20700,,20750,,,,,20950,20200,20950,20150,20799.25</t>
  </si>
  <si>
    <t>2025-05-12 14:15:00,8837617927.7967,22209389465.9611,-14716.1902464495,-16092,-751.228685045952,-1462.27,212.688302136779,-1522.99,581.625</t>
  </si>
  <si>
    <t>2025-05-12 14:15:00,2351533747.498,5717838624.25459,925.733331451157,794,866.204575719932,829.24,297.446228186412,378.17,506.565</t>
  </si>
  <si>
    <t>2025-05-12 14:15:00,108355343.602515,685773038.950715,,-707,,243.71,-12.120489231768,-118.77,5828.5</t>
  </si>
  <si>
    <t>2025-05-12 14:15:00,237727989.071647,3625093.7955208,,-10,,62.5,0.0188809607687259,1.42,20799.25</t>
  </si>
  <si>
    <t>2025-05-12 14:16:00,580,,582,,580,,578.5,,,,,585,578,576,581,581.84</t>
  </si>
  <si>
    <t>2025-05-12 14:16:00,500,,508,,500,,504,,,,,508,500,508,503,506.705</t>
  </si>
  <si>
    <t>2025-05-12 14:16:00,5850,,5850,,,6000,5810,,,,5830,5850,5750,5820,6000,5830.5</t>
  </si>
  <si>
    <t>2025-05-12 14:16:00,20700,,20950,,20700,,20750,,,,,20950,20200,20950,20150,20806.5</t>
  </si>
  <si>
    <t>2025-05-12 14:16:00,7842103064.11892,24651155436.8472,-8902.45458152958,-7107,-5863.28100360749,-6484.54,492.026210027681,-3463.39,581.84</t>
  </si>
  <si>
    <t>2025-05-12 14:16:00,2053838470.951,5770466960.90615,-1102.05570868797,-604,-1054.72653383773,-1114.04,-193.950749800153,-422.85,506.705</t>
  </si>
  <si>
    <t>2025-05-12 14:16:00,103226763.13671,745275202.538855,,-3737,,-20516.95,-20.8235392135048,-1690.23,5830.5</t>
  </si>
  <si>
    <t>2025-05-12 14:16:00,246088501.379302,3905792.80212708,,-124,,-485.64,-0.216289921563378,-14.55,20806.5</t>
  </si>
  <si>
    <t>2025-05-12 14:17:00,580,,582,,580,,578.5,,,,,585,578,576,581,581.98</t>
  </si>
  <si>
    <t>2025-05-12 14:17:00,500,,508,,500,,504,507,,,,508,500,508,503,506.83</t>
  </si>
  <si>
    <t>2025-05-12 14:17:00,5850,,5850,,,6000,5810,,,,5830,5850,5750,5820,6000,5832</t>
  </si>
  <si>
    <t>2025-05-12 14:17:00,20700,,20950,,20700,,20750,,,,,20950,20200,20950,20150,20811.5</t>
  </si>
  <si>
    <t>2025-05-12 14:17:00,7721218482.44383,25017473931.3158,-529.367975651799,-162,-166.534905516049,-1881.89,-638.250860864303,-1465.46,581.98</t>
  </si>
  <si>
    <t>2025-05-12 14:17:00,2062387093.64219,5863616850.59437,372.1,755,493.043666666666,-760.2,69.3539509693773,-59.55,506.83</t>
  </si>
  <si>
    <t>2025-05-12 14:17:00,104138903.543318,781143789.690977,,660,,-2603.1,12.4732189792654,46.24,5832</t>
  </si>
  <si>
    <t>2025-05-12 14:17:00,240058222.02557,4062350.79808904,,12,,48.9,-0.0159301615782046,1.2,20811.5</t>
  </si>
  <si>
    <t>2025-05-12 14:18:00,580,,582,,580,,578.5,,,,,585,578,576,581,582.04</t>
  </si>
  <si>
    <t>2025-05-12 14:18:00,500,,508,,500,,504,,,,,508,500,508,503,506.86</t>
  </si>
  <si>
    <t>2025-05-12 14:18:00,5850,,5850,,,6000,5810,,,,5830,5850,5750,5820,6000,5832.5</t>
  </si>
  <si>
    <t>2025-05-12 14:18:00,20700,,20950,,20700,,20750,,,,,20950,20200,20950,20150,20809</t>
  </si>
  <si>
    <t>2025-05-12 14:18:00,8851399350.84846,25893453147.2628,-11193.1829188436,-8484,2792.57996325323,2932.88,619.107404309566,1269.89,582.04</t>
  </si>
  <si>
    <t>2025-05-12 14:18:00,2269203710.61268,6133330302.45113,828.34309712027,734,972.478930924145,24.3999999999999,78.4802758366231,242.23,506.86</t>
  </si>
  <si>
    <t>2025-05-12 14:18:00,103381431.530429,822104673.54709,,1757,,1772.35,21.4880443114597,290.15,5832.5</t>
  </si>
  <si>
    <t>2025-05-12 14:18:00,240025258.981501,4034434.9067178,,5,,217.14,0.0341333127957008,4.17,20809</t>
  </si>
  <si>
    <t>2025-05-12 14:19:00,580,,582,,580,,578.5,,,,,585,578,576,581,582</t>
  </si>
  <si>
    <t>2025-05-12 14:19:00,500,,508,,500,,504,,,,,508,500,508,503,506.87</t>
  </si>
  <si>
    <t>2025-05-12 14:19:00,5850,,5850,,,6000,5810,,,,,5850,5750,5820,6000,5832</t>
  </si>
  <si>
    <t>2025-05-12 14:19:00,20700,,20950,,20700,,20750,,,,,20950,20200,20950,20150,20812.75</t>
  </si>
  <si>
    <t>2025-05-12 14:19:00,8860440130.17785,25099673968.306,24.2303196803183,5374,1162.02462537462,2729.56,-421.618031358644,2300.92,582</t>
  </si>
  <si>
    <t>2025-05-12 14:19:00,2294675756.63163,5983188413.21577,-959.215966386554,-543,1093.03774369749,1768.47,163.039156720778,182.35,506.87</t>
  </si>
  <si>
    <t>2025-05-12 14:19:00,105750618.535426,827148394.292536,,2143,,7215.02,9.25487128480983,585.77,5832</t>
  </si>
  <si>
    <t>2025-05-12 14:19:00,239548868.443285,4095040.91795926,,50,,65.1,-0.0779640525340895,2.1,20812.75</t>
  </si>
  <si>
    <t>2025-05-12 14:20:00,580,,582,,580,,578.5,,,,,585,578,576,581,581.95</t>
  </si>
  <si>
    <t>2025-05-12 14:20:00,500,,508,,500,,504,,,,,508,500,508,503,506.78</t>
  </si>
  <si>
    <t>2025-05-12 14:20:00,5850,,5850,,,6000,5810,,,,,5850,5750,5820,6000,5831.25</t>
  </si>
  <si>
    <t>2025-05-12 14:20:00,20700,,20950,,20700,,20750,,,,,20950,20200,20950,20150,20808.75</t>
  </si>
  <si>
    <t>2025-05-12 14:20:00,7896419083.40448,24607829457.5887,792.942093871041,2238,1230.29826418319,1777.62,-30.4137267621504,1179.23,581.95</t>
  </si>
  <si>
    <t>2025-05-12 14:20:00,2311761415.43395,6013582897.05963,1055.62831765935,439,3053.25013688611,3034.23,-222.360911972062,488.13,506.78</t>
  </si>
  <si>
    <t>2025-05-12 14:20:00,104416884.757879,777747849.145134,,459,,2911.94,-8.14468073239588,160.19,5831.25</t>
  </si>
  <si>
    <t>2025-05-12 14:20:00,225451247.825388,3865240.90067897,,28,,128.93,-0.0487501746738605,3.46,20808.75</t>
  </si>
  <si>
    <t>2025-05-12 14:21:00,580,,582,,580,,578.5,,,,,585,578,576,570,581.79</t>
  </si>
  <si>
    <t>2025-05-12 14:21:00,500,,508,,500,,504,,,,,508,500,508,503,506.61</t>
  </si>
  <si>
    <t>2025-05-12 14:21:00,5850,,5850,,,6000,5820,,,,,5850,5750,5820,6000,5829.75</t>
  </si>
  <si>
    <t>2025-05-12 14:21:00,20700,,20950,,20700,,20750,,,,,20950,20200,20950,20150,20803.5</t>
  </si>
  <si>
    <t>2025-05-12 14:21:00,8536458842.72132,23526572451.2258,-856.477514250461,242,935.926656326025,1268.38,-618.701606119019,484.04,581.79</t>
  </si>
  <si>
    <t>2025-05-12 14:21:00,2187373625.3937,5760781296.14552,320.759652569653,-311,2555.29387184313,2851.07,-58.2841782445117,159.46,506.61</t>
  </si>
  <si>
    <t>2025-05-12 14:21:00,105722161.840436,721571938.373476,,605,,16794.47,-32.1911757341303,864.32,5829.75</t>
  </si>
  <si>
    <t>2025-05-12 14:21:00,232494049.094253,3680301.16425911,,6,,23.57,0.0210652799563427,0.62,20803.5</t>
  </si>
  <si>
    <t>2025-05-12 14:22:00,580,,582,,580,,578.5,,,,,585,578,576,570,581.95</t>
  </si>
  <si>
    <t>2025-05-12 14:22:00,500,,508,,500,,504,,,,,508,500,508,503,506.757</t>
  </si>
  <si>
    <t>2025-05-12 14:22:00,5850,,5850,,,6000,5820,,,,,5850,5750,5820,6000,5831.5</t>
  </si>
  <si>
    <t>2025-05-12 14:22:00,20700,,20950,,20700,,20750,,,,,20950,20200,20950,20150,20808</t>
  </si>
  <si>
    <t>2025-05-12 14:22:00,8129143312.00845,26797340871.2289,-515.92005412178,-114,366.927907941306,-504.89,-245.426215861947,-109.5,581.95</t>
  </si>
  <si>
    <t>2025-05-12 14:22:00,2047451876.1916,5514888373.35086,-847.050724637686,-313,-933.934710144932,-644.13,-73.4045201656657,-434.63,506.757</t>
  </si>
  <si>
    <t>2025-05-12 14:22:00,101423424.165191,759479440.525427,,-176,,-687.11,-9.4394593074611,134.47,5831.5</t>
  </si>
  <si>
    <t>2025-05-12 14:22:00,235389302.115027,3887386.97838559,,-107,,-566.32,-0.22058282892818,-18.22,20808</t>
  </si>
  <si>
    <t>2025-05-12 14:23:00,580,,582,,580,,578.5,,,,,585,578,576,570,581.909</t>
  </si>
  <si>
    <t>2025-05-12 14:23:00,500,,508,,500,,504,,,,,508,500,508,503,506.64</t>
  </si>
  <si>
    <t>2025-05-12 14:23:00,5850,,5850,,,6000,5810,,,,,5850,5750,5820,6000,5831</t>
  </si>
  <si>
    <t>2025-05-12 14:23:00,20700,,20950,,20700,,20750,,,,,20950,20200,20950,20150,20803</t>
  </si>
  <si>
    <t>2025-05-12 14:23:00,7974131104.04591,27011124483.9985,1596.27453657454,3450,2884.91193040294,2230.5,162.335630453836,1117.89,581.909</t>
  </si>
  <si>
    <t>2025-05-12 14:23:00,2255878646.63329,6480191668.31578,1530.47890233952,858,2463.14515000591,1334.09,-36.27101221698,426.77,506.64</t>
  </si>
  <si>
    <t>2025-05-12 14:23:00,105036132.736101,790922886.398124,,-199,,1726.25,4.42610913587624,56.65,5831</t>
  </si>
  <si>
    <t>2025-05-12 14:23:00,235556869.080698,3773275.39851366,,12,,22.4,0.00084375008370771,0.73,20803</t>
  </si>
  <si>
    <t>2025-05-12 14:24:00,580,,582,,580,,580.5,,,,,585,578,576,570,581.81</t>
  </si>
  <si>
    <t>2025-05-12 14:24:00,500,,508,,500,,504,,,,,508,500,508,503,506.5</t>
  </si>
  <si>
    <t>2025-05-12 14:24:00,5850,,5850,,,6000,5820,,,,,5850,5750,5820,6000,5830</t>
  </si>
  <si>
    <t>2025-05-12 14:24:00,20700,,20950,,20700,,20750,,,,,20950,20200,20950,20150,20797.25</t>
  </si>
  <si>
    <t>2025-05-12 14:24:00,8460358369.48259,23068301616.9186,-6459.00499840286,-3377,-3507.39071423657,-1793.03,53.9220532351739,-1551.3,581.81</t>
  </si>
  <si>
    <t>2025-05-12 14:24:00,2198967056.19597,5260474916.3435,-1455.04774551757,-1605,-350.874389788692,-591.35,-11.7335582200824,-492.09,506.5</t>
  </si>
  <si>
    <t>2025-05-12 14:24:00,103766750.045589,720637717.242225,,-942,,1079.75,2.23546959572637,-76.43,5830</t>
  </si>
  <si>
    <t>2025-05-12 14:24:00,244584736.286263,3565758.80560942,,0,,-73.36,-0.0226392788746884,-1.03,20797.25</t>
  </si>
  <si>
    <t>2025-05-12 14:25:00,580,,582,,580,,578.5,,,,,585,578,576,570,581.66</t>
  </si>
  <si>
    <t>2025-05-12 14:25:00,500,,508,,500,,504,,,,,508,500,508,503,506.29</t>
  </si>
  <si>
    <t>2025-05-12 14:25:00,5850,,5850,,,6000,5820,,,,5830,5850,5750,5820,6000,5828.5</t>
  </si>
  <si>
    <t>2025-05-12 14:25:00,20700,,20950,,20700,,20750,,,,,20950,20200,20950,20150,20789.75</t>
  </si>
  <si>
    <t>2025-05-12 14:25:00,8765184894.74471,23352568567.5493,4907.28849902535,6973,1801.438208577,3546.89,2.82662636785881,2411.45,581.66</t>
  </si>
  <si>
    <t>2025-05-12 14:25:00,2386266459.74261,4923569251.67706,1771.24319719599,604,1438.28330610762,853.52,178.641822733817,532.23,506.29</t>
  </si>
  <si>
    <t>2025-05-12 14:25:00,106096010.097935,691488121.09438,,-163,,4416.75,-8.67876096156776,26.98,5828.5</t>
  </si>
  <si>
    <t>2025-05-12 14:25:00,238205180.209946,3448352.95657154,,5,,207.9,0.0232925528181683,4.83,20789.75</t>
  </si>
  <si>
    <t>2025-05-12 14:26:00,580,,582,,580,,580.5,,,,,585,578,576,570,581.65</t>
  </si>
  <si>
    <t>2025-05-12 14:26:00,500,,508,,500,,504,,,,506,508,500,508,503,506.247</t>
  </si>
  <si>
    <t>2025-05-12 14:26:00,5850,,5850,,,6000,5820,,,,,5850,5750,5820,6000,5828.5</t>
  </si>
  <si>
    <t>2025-05-12 14:26:00,20700,,20950,,20700,,20750,,,,,20950,20200,20950,20150,20787.75</t>
  </si>
  <si>
    <t>2025-05-12 14:26:00,8831135799.55313,21416944552.2235,-5593.67952479236,-1857,-2680.41960898569,-829.16,-891.743396223805,-538.09,581.65</t>
  </si>
  <si>
    <t>2025-05-12 14:26:00,2312118511.44927,4298614669.93225,-1902.58333333332,-4357,-1731.72081521739,-2674.83,-143.954020872855,-1916.13,506.247</t>
  </si>
  <si>
    <t>2025-05-12 14:26:00,106436421.871777,630824403.020165,,-1341,,-4498.1,-5.24422703018617,-438.54,5828.5</t>
  </si>
  <si>
    <t>2025-05-12 14:26:00,252445794.297465,3261878.00008727,,-8,,-58.56,0.032360201788739,-1.31,20787.75</t>
  </si>
  <si>
    <t>2025-05-12 14:27:00,580,,582,,580,,578.5,,,,,585,578,576,570,581.465</t>
  </si>
  <si>
    <t>2025-05-12 14:27:00,500,,508,,500,,504,,506,,,508,500,508,505,506.08</t>
  </si>
  <si>
    <t>2025-05-12 14:27:00,5850,,5850,,,6000,5820,,,,,5850,5750,5820,6000,5826.5</t>
  </si>
  <si>
    <t>2025-05-12 14:27:00,20700,,20950,,20700,,20750,,,,,20950,20200,20950,20150,20780.75</t>
  </si>
  <si>
    <t>2025-05-12 14:27:00,8625866177.44835,21074679076.3507,76.8741183652886,-1027,294.256587696616,461.03,-295.217550889407,410.91,581.465</t>
  </si>
  <si>
    <t>2025-05-12 14:27:00,2346733629.61788,4126911445.40334,-1355.86225742222,-1532,-2041.56557855113,-1748.5,-298.369546064444,-631.9,506.08</t>
  </si>
  <si>
    <t>2025-05-12 14:27:00,104365444.954324,583748833.738746,,-427,,-3948.13,24.9626836876433,-154.22,5826.5</t>
  </si>
  <si>
    <t>2025-05-12 14:27:00,272949630.694915,3153278.19802235,,-14,,-280.86,-0.0327199471049611,-5.34,20780.75</t>
  </si>
  <si>
    <t>2025-05-12 14:28:00,580,,582,,580,,578.5,,,,,585,578,576,570,581.63</t>
  </si>
  <si>
    <t>2025-05-12 14:28:00,500,,508,,500,,504,506,,506,,508,500,508,505,506.27</t>
  </si>
  <si>
    <t>2025-05-12 14:28:00,5850,,5850,,,6000,5820,,,5830,5820,5850,5750,5820,6000,5828.25</t>
  </si>
  <si>
    <t>2025-05-12 14:28:00,20700,,20950,,20700,,20750,,,,,20950,20200,20950,20150,20788.25</t>
  </si>
  <si>
    <t>2025-05-12 14:28:00,8352893754.56161,22918415502.0221,6273.11388932705,14880,3689.49596832992,4754.42,-945.583410482947,3945.23,581.63</t>
  </si>
  <si>
    <t>2025-05-12 14:28:00,2190351128.70474,4898294040.23455,2822.39773639388,2125,1858.06289504332,-289.74,131.721324561054,282.98,506.27</t>
  </si>
  <si>
    <t>2025-05-12 14:28:00,105330273.573553,645920315.742149,,1806,,2173.09,5.78349993409218,639.36,5828.25</t>
  </si>
  <si>
    <t>2025-05-12 14:28:00,247200026.601886,3237329.30136996,,-8,,117.98,-0.0318481284282766,2.53,20788.25</t>
  </si>
  <si>
    <t>2025-05-12 14:29:00,580,,582,,580,,578.5,,,,,585,578,576,570,581.45</t>
  </si>
  <si>
    <t>2025-05-12 14:29:00,500,,508,,500,,504,,,,,508,500,508,505,506.05</t>
  </si>
  <si>
    <t>2025-05-12 14:29:00,5850,,5850,,,6000,5820,,,5830,5820,5850,5750,5760,6000,5826.25</t>
  </si>
  <si>
    <t>2025-05-12 14:29:00,20700,,20950,,20700,,20750,,,,,20950,20200,20950,20150,20779</t>
  </si>
  <si>
    <t>2025-05-12 14:29:00,8506990198.61679,20324729902.2721,4339.81926406926,7727,3627.55484848485,3997.37,18.7334089661849,2334.08,581.45</t>
  </si>
  <si>
    <t>2025-05-12 14:29:00,2412760257.93884,4256078040.47775,1933.51388911675,2251,1864.79151904429,877,-392.88732513417,708.12,506.05</t>
  </si>
  <si>
    <t>2025-05-12 14:29:00,105835140.69618,609618656.450037,,372,,346.49,25.2439297381365,15.7,5826.25</t>
  </si>
  <si>
    <t>2025-05-12 14:29:00,255583506.575111,3049665.38247953,,28,,365.45,0.0394369449440432,8.22,20779</t>
  </si>
  <si>
    <t>2025-05-12 14:30:00,580,,582,,580,,580.5,,,,,585,578,580,570,581.43</t>
  </si>
  <si>
    <t>2025-05-12 14:30:00,500,,508,,500,,504,,,,,508,500,508,503,506.05</t>
  </si>
  <si>
    <t>2025-05-12 14:30:00,5850,,5850,,,6000,5820,,,,,5850,5750,5760,6000,5826.25</t>
  </si>
  <si>
    <t>2025-05-12 14:30:00,20700,,20950,,20700,,20750,,,,,20950,20200,20950,20150,20778.25</t>
  </si>
  <si>
    <t>2025-05-12 14:30:00,8849869881.46669,18763772002.9431,-1849.5586761278,96,489.204769642118,1387.54,-868.905974935631,427.04,581.43</t>
  </si>
  <si>
    <t>2025-05-12 14:30:00,2368328930.42295,4485712388.01749,-108.786499732152,180,365.742227844617,558.34,-262.000163236479,239.79,506.05</t>
  </si>
  <si>
    <t>2025-05-12 14:30:00,105211250.450303,571952139.373108,,-113,,728.72,-18.1942472500211,44.97,5826.25</t>
  </si>
  <si>
    <t>2025-05-12 14:30:00,260194218.853518,2985129.33352734,,12,,14.05,0.0151363454744236,0.77,20778.25</t>
  </si>
  <si>
    <t>2025-05-12 14:31:00,580,,582,,580,,578.5,,,,581,585,578,576,570,581.42</t>
  </si>
  <si>
    <t>2025-05-12 14:31:00,500,,508,,500,,504,,,,,508,500,508,503,506.07</t>
  </si>
  <si>
    <t>2025-05-12 14:31:00,5850,,5850,,,6000,5820,,,5820,,5850,5750,5820,6000,5826</t>
  </si>
  <si>
    <t>2025-05-12 14:31:00,20700,,20950,,20700,,20750,,,,,20950,20200,20950,20150,20779.75</t>
  </si>
  <si>
    <t>2025-05-12 14:31:00,8164256542.48339,21221918152.2647,7879.85744157801,-815,31763.4864436968,16198.79,2166.30142042286,4739.95,581.42</t>
  </si>
  <si>
    <t>2025-05-12 14:31:00,2378506687.38001,5508761816.37,4538.1913290288,-54,13373.2433585408,7490.81,305.616251986856,1992.84,506.07</t>
  </si>
  <si>
    <t>2025-05-12 14:31:00,104601417.829543,599545030.46678,,2217,,9843.39,-26.495677288747,881.19,5826</t>
  </si>
  <si>
    <t>2025-05-12 14:31:00,244194748.615347,3096943.40019354,,18,,512.06,0.0262421594363782,6.67,20779.75</t>
  </si>
  <si>
    <t>2025-05-12 14:32:00,580,,582,,580,,580.5,,,,,585,578,576,570,581.52</t>
  </si>
  <si>
    <t>2025-05-12 14:32:00,500,,508,,500,,504,,,,,508,500,508,503,506.161</t>
  </si>
  <si>
    <t>2025-05-12 14:32:00,5850,,5850,,,6000,5820,,,5820,,5850,5750,5820,6000,5827.25</t>
  </si>
  <si>
    <t>2025-05-12 14:32:00,20700,,20950,,20700,,20750,,,,,20950,20200,20950,20150,20783.75</t>
  </si>
  <si>
    <t>2025-05-12 14:32:00,9068697665.89477,20115057885.2604,-3461.15992063492,-3141,-3586.79773412698,-2785.51,240.595280038908,-1112.86,581.52</t>
  </si>
  <si>
    <t>2025-05-12 14:32:00,2287829556.64666,4540282127.58371,408.203620783876,350,135.879708579799,-695.12,18.4519284156211,-224.43,506.161</t>
  </si>
  <si>
    <t>2025-05-12 14:32:00,103199167.279735,624807853.620788,,1481,,5780.39,-14.7430921870058,607.97,5827.25</t>
  </si>
  <si>
    <t>2025-05-12 14:32:00,254814890.176564,3104949.02910273,,-20,,-292.84,0.0135738756506297,-6.17,20783.75</t>
  </si>
  <si>
    <t>2025-05-12 14:33:00,580,,582,,580,,580.5,,,,,585,578,576,570,581.7</t>
  </si>
  <si>
    <t>2025-05-12 14:33:00,500,,508,,500,,504,,,,,508,500,508,503,506.28</t>
  </si>
  <si>
    <t>2025-05-12 14:33:00,5850,,5850,,,6000,5820,,,,5830,5850,5750,5820,6000,5828.75</t>
  </si>
  <si>
    <t>2025-05-12 14:33:00,20700,,20950,,20700,,20750,,,,,20950,20200,20950,20150,20787.5</t>
  </si>
  <si>
    <t>2025-05-12 14:33:00,7829012349.12726,21346622867.1676,-6095.45075578017,-7206,-2961.85936163183,-3510.2,538.459471476856,-2781.42,581.7</t>
  </si>
  <si>
    <t>2025-05-12 14:33:00,2081487712.05032,5250821278.33092,-4627.73922454357,193,-2668.95927178618,-915.75,-626.17239574978,-654.26,506.28</t>
  </si>
  <si>
    <t>2025-05-12 14:33:00,103743549.301512,660218475.93943,,-461,,2548.75,22.7260659860483,-87.61,5828.75</t>
  </si>
  <si>
    <t>2025-05-12 14:33:00,265364344.25078,3314495.29473698,,-17,,-173.06,-0.00751479208374174,-3.84,20787.5</t>
  </si>
  <si>
    <t>2025-05-12 14:34:00,580,,582,,580,,580.5,,,,,585,578,576,570,581.64</t>
  </si>
  <si>
    <t>2025-05-12 14:34:00,500,,508,,500,,504,,,,,508,500,508,503,506.25</t>
  </si>
  <si>
    <t>2025-05-12 14:34:00,5850,,5850,,,6000,5820,,,5820,5830,5850,5750,5820,6000,5828</t>
  </si>
  <si>
    <t>2025-05-12 14:34:00,20700,,20950,,20700,,20750,,,,,20950,20200,20950,20150,20786.75</t>
  </si>
  <si>
    <t>2025-05-12 14:34:00,9024427217.92614,19844872108.4052,-974.307387172215,-94,-1521.67506027765,-1833.99,-187.238757840292,-1299.64,581.64</t>
  </si>
  <si>
    <t>2025-05-12 14:34:00,2362529812.98787,4484556506.7655,-1392.1979020979,1590,212.926664335663,874.74,-404.398307459895,261.9,506.25</t>
  </si>
  <si>
    <t>2025-05-12 14:34:00,107835645.848943,647922435.417942,,1980,,4940.55,11.536671368485,454.86,5828</t>
  </si>
  <si>
    <t>2025-05-12 14:34:00,256697924.721323,3336954.32672208,,9,,-42.08,0.0113449342619147,-0.79,20786.75</t>
  </si>
  <si>
    <t>2025-05-12 14:35:00,580,,582,,580,,580.5,,,,,585,578,576,570,581.63</t>
  </si>
  <si>
    <t>2025-05-12 14:35:00,500,,508,,500,,504,,,,,508,500,508,503,506.29</t>
  </si>
  <si>
    <t>2025-05-12 14:35:00,5850,,5850,,,6000,5820,,,,,5850,5750,5820,6000,5828.25</t>
  </si>
  <si>
    <t>2025-05-12 14:35:00,20700,,20950,,20700,,20750,,,,,20950,20200,20950,20150,20788.25</t>
  </si>
  <si>
    <t>2025-05-12 14:35:00,9135621098.72236,19805611204.1107,543.934432234432,4201,1696.28151098901,2114.38,-517.115479743659,1553.69,581.63</t>
  </si>
  <si>
    <t>2025-05-12 14:35:00,2162495607.37357,5125669513.85299,424.056858487284,-217,425.366392338243,241.91,-166.905503433674,-5.04000000000001,506.29</t>
  </si>
  <si>
    <t>2025-05-12 14:35:00,104660812.448608,658690049.679185,,205,,54.4700000000003,7.77299983810745,114.75,5828.25</t>
  </si>
  <si>
    <t>2025-05-12 14:35:00,273385987.147159,3438089.85748948,,-5,,-213.4,0.0103152733770517,-1.43,20788.25</t>
  </si>
  <si>
    <t>2025-05-12 14:36:00,580,,582,,580,,580.5,,,581,,585,578,576,570,581.35</t>
  </si>
  <si>
    <t>2025-05-12 14:36:00,500,,508,,500,,504,,,,,508,500,508,503,505.98</t>
  </si>
  <si>
    <t>2025-05-12 14:36:00,5850,,5850,,,6000,5820,,,,,5850,5750,5820,6000,5825.5</t>
  </si>
  <si>
    <t>2025-05-12 14:36:00,20700,,20950,,20700,,20750,,,,,20950,20200,20950,20150,20776</t>
  </si>
  <si>
    <t>2025-05-12 14:36:00,8898607649.86344,12276768953.2052,3890.28904647983,8883,5788.24017401459,8276.28,-427.32786916898,3460.71,581.35</t>
  </si>
  <si>
    <t>2025-05-12 14:36:00,2404904753.12204,2715581263.21541,-171.953717739164,535,1102.5995454992,954.34,-41.7935553078813,508.93,505.98</t>
  </si>
  <si>
    <t>2025-05-12 14:36:00,105232500.229705,534805395.777881,,-269,,2197.44,10.3583573800708,135.25,5825.5</t>
  </si>
  <si>
    <t>2025-05-12 14:36:00,247602920.478763,2763331.09106518,,3,,144.15,-0.0279012845555262,0.4,20776</t>
  </si>
  <si>
    <t>2025-05-12 14:37:00,580,,582,,580,,580.5,,,,,585,578,576,570,581.51</t>
  </si>
  <si>
    <t>2025-05-12 14:37:00,500,,508,,500,,504,,,,,508,500,508,503,506.07</t>
  </si>
  <si>
    <t>2025-05-12 14:37:00,5850,,5850,,,6000,5820,,,5820,,5850,5750,5820,6000,5827</t>
  </si>
  <si>
    <t>2025-05-12 14:37:00,20700,,20950,,20700,,20750,,,,,20950,20200,20950,20150,20779.75</t>
  </si>
  <si>
    <t>2025-05-12 14:37:00,8920119775.26656,19233997335.3361,-108.438644688645,2036,-2029.27074358975,-713.87,205.726695587108,-752.89,581.51</t>
  </si>
  <si>
    <t>2025-05-12 14:37:00,2180779666.81616,3977753200.02124,-1433.13196233591,-2036,33.5843100014004,-671.25,161.344334574265,-761.84,506.07</t>
  </si>
  <si>
    <t>2025-05-12 14:37:00,103527727.307762,562387882.495812,,1056,,-940.64,-8.30583340275281,45.16,5827</t>
  </si>
  <si>
    <t>2025-05-12 14:37:00,258000699.824183,3016709.06894088,,14,,-547.75,-0.0207437250199669,1.07,20779.75</t>
  </si>
  <si>
    <t>2025-05-12 14:38:00,580,,582,,580,,580.5,,,,,585,578,576,570,581.52</t>
  </si>
  <si>
    <t>2025-05-12 14:38:00,500,,508,,500,,504,,,,,508,500,508,503,506.16</t>
  </si>
  <si>
    <t>2025-05-12 14:38:00,5850,,5850,,,6000,5820,,,,,5850,5750,5820,6000,5827.25</t>
  </si>
  <si>
    <t>2025-05-12 14:38:00,20700,,20950,,20700,,20750,,,,,20950,20200,20950,20150,20783.75</t>
  </si>
  <si>
    <t>2025-05-12 14:38:00,8682335719.13276,19564749228.2508,-1412.09329004329,-1748,196.350046176039,85.3899999999999,-96.5304798486483,-557.67,581.52</t>
  </si>
  <si>
    <t>2025-05-12 14:38:00,2090702784.3172,4351540248.20716,-199.89881422925,-165,438.438961869332,535.49,-48.3336453142092,147.03,506.16</t>
  </si>
  <si>
    <t>2025-05-12 14:38:00,102868555.862902,553258443.780971,,-245,,-2642.62,-0.18077367151531,-70.97,5827.25</t>
  </si>
  <si>
    <t>2025-05-12 14:38:00,259763027.19212,3099162.6510757,,0,,-49.2,0.00324015380421893,-1.19,20783.75</t>
  </si>
  <si>
    <t>2025-05-12 14:39:00,580,,582,,580,,580.5,,,,581,585,578,576,570,581.28</t>
  </si>
  <si>
    <t>2025-05-12 14:39:00,500,,508,,500,,504,,,,,508,500,508,503,505.925</t>
  </si>
  <si>
    <t>2025-05-12 14:39:00,5850,,5850,,,6000,5820,,,,5830,5850,5750,5820,6000,5824.5</t>
  </si>
  <si>
    <t>2025-05-12 14:39:00,20700,,20950,,20700,,20750,,,,,20950,20200,20950,20150,20773.5</t>
  </si>
  <si>
    <t>2025-05-12 14:39:00,9034358808.15081,18045782041.6578,-7351.00379362988,-3994,-3672.1909205931,-1732.79,117.928083011425,-1946.62,581.28</t>
  </si>
  <si>
    <t>2025-05-12 14:39:00,2177688062.76654,4263188483.29358,-932.833033496779,491,1850.36021996591,2051.13,-194.553151991854,238.57,505.925</t>
  </si>
  <si>
    <t>2025-05-12 14:39:00,99236493.1482707,444545014.744069,,-2112,,-9680.46,-1.80651560841176,-925.55,5824.5</t>
  </si>
  <si>
    <t>2025-05-12 14:39:00,262632164.134786,2822851.58391819,,21,,117.17,0.0170226929834764,3.16,20773.5</t>
  </si>
  <si>
    <t>2025-05-12 14:40:00,580,,582,,580,,580.5,,,,,585,578,576,570,581.15</t>
  </si>
  <si>
    <t>2025-05-12 14:40:00,500,,508,,500,,504,,,,,508,500,508,503,505.77</t>
  </si>
  <si>
    <t>2025-05-12 14:40:00,5850,,5850,,,6000,5820,,,5820,5830,5850,5750,5820,6000,5823.5</t>
  </si>
  <si>
    <t>2025-05-12 14:40:00,20700,,20950,,20700,,20750,,,,,20950,20200,20950,20150,20767.5</t>
  </si>
  <si>
    <t>2025-05-12 14:40:00,9365214325.69749,13040281575.217,,2536,,4613.28,-130.601244633203,2095.22,581.15</t>
  </si>
  <si>
    <t>2025-05-12 14:40:00,2430266288.60198,3367697039.27839,1304.02285165199,-393,1920.02607510713,882.61,-272.537707792352,108.4,505.77</t>
  </si>
  <si>
    <t>2025-05-12 14:40:00,99634059.9494962,441033767.058022,,-1152,,1957.89,-11.3317270681883,-66.81,5823.5</t>
  </si>
  <si>
    <t>2025-05-12 14:40:00,269756011.362783,2672490.17472325,,35,,3988.85,0.0144778382209316,11.06,20767.5</t>
  </si>
  <si>
    <t>2025-05-12 14:41:00,580,,582,,580,,578.5,,,,581,585,578,576,570,581.11</t>
  </si>
  <si>
    <t>2025-05-12 14:41:00,500,,508,,500,,504,506,,,,508,500,508,503,505.77</t>
  </si>
  <si>
    <t>2025-05-12 14:41:00,5900,,5850,,,6000,5820,,,5830,5820,5850,5750,5820,6000,5823</t>
  </si>
  <si>
    <t>2025-05-12 14:41:00,20700,,20950,,20700,,20750,,,,,20950,20200,20950,20150,20768.25</t>
  </si>
  <si>
    <t>2025-05-12 14:41:00,8700636332.06979,23094481182.4428,-2720.94690640745,-8986,3357.78998648133,-4720.47,618.278319847867,-3055.51,581.11</t>
  </si>
  <si>
    <t>2025-05-12 14:41:00,2120107167.05279,3872238853.3744,-3518.33933413524,-4831,-2487.02702141058,-2447.49,515.795053806751,-2027.39,505.77</t>
  </si>
  <si>
    <t>2025-05-12 14:41:00,106039672.963547,443386854.151068,,-4278,,-10946.03,-33.3495741921314,-884.59,5823</t>
  </si>
  <si>
    <t>2025-05-12 14:41:00,260258147.674927,2704006.61913159,,-26,,-339.02,0.0137362239439882,-8.57,20768.25</t>
  </si>
  <si>
    <t>2025-05-12 14:42:00,580,,582,,580,,580.5,,,,581,585,578,576,581,580.995</t>
  </si>
  <si>
    <t>2025-05-12 14:42:00,500,,508,,500,,504,,,,,508,500,508,503,505.67</t>
  </si>
  <si>
    <t>2025-05-12 14:42:00,5850,,5850,,,6000,5820,,,5820,,5850,5750,5820,6000,5821.75</t>
  </si>
  <si>
    <t>2025-05-12 14:42:00,20700,,20950,,20700,,20750,,,,,20950,20200,20950,20150,20763.5</t>
  </si>
  <si>
    <t>2025-05-12 14:42:00,9648759464.8565,14903176774.4411,-955.538461538462,-3573,-286.478162393163,-596.15,-462.083415291741,-1296.83,580.995</t>
  </si>
  <si>
    <t>2025-05-12 14:42:00,2436344700.01758,2970061259.98195,1340.82437560815,1391,1315.99104441238,1474.19,128.828303257439,506.69,505.67</t>
  </si>
  <si>
    <t>2025-05-12 14:42:00,107971026.142457,477378043.854695,,3217,,14131.52,7.01331851421645,1208.24,5821.75</t>
  </si>
  <si>
    <t>2025-05-12 14:42:00,277742690.363881,2689750.17865276,,-6,,71.91,0.000585112523384064,2,20763.5</t>
  </si>
  <si>
    <t>2025-05-12 14:43:00,580,,582,,580,,580.5,,581,,,585,578,576,581,581.195</t>
  </si>
  <si>
    <t>2025-05-12 14:43:00,500,,508,,500,,504,,506,,,508,500,508,503,505.87</t>
  </si>
  <si>
    <t>2025-05-12 14:43:00,5850,,5850,,,6000,5820,5830,,5820,5830,5850,5750,5820,6000,5823.5</t>
  </si>
  <si>
    <t>2025-05-12 14:43:00,20700,,20950,,20700,,20750,,,,,20950,20200,20950,20150,20771.25</t>
  </si>
  <si>
    <t>2025-05-12 14:43:00,8377047857.42959,16706994098.5953,-4303.91277056277,-3004,1304.20745995671,623.65,-142.717892008725,-1055.03,581.195</t>
  </si>
  <si>
    <t>2025-05-12 14:43:00,2414378647.82117,3582621215.55567,4031.15575876618,2409,2181.53007807715,-519.91,-753.539875376036,520.71,505.87</t>
  </si>
  <si>
    <t>2025-05-12 14:43:00,105886831.888057,505568556.632264,,2196,,8640.82,-18.3067911514087,682.89,5823.5</t>
  </si>
  <si>
    <t>2025-05-12 14:43:00,253944773.792174,2792877.18139754,,22,,183.92,0.0419955019712434,4.35,20771.25</t>
  </si>
  <si>
    <t>2025-05-12 14:44:00,580,,582,,580,,580.5,,,,,585,578,576,581,581.16</t>
  </si>
  <si>
    <t>2025-05-12 14:44:00,500,,508,,500,,504,506,,506,,508,500,508,503,505.92</t>
  </si>
  <si>
    <t>2025-05-12 14:44:00,5850,,5850,,,6000,5820,,,,,5850,5750,5820,6000,5823.5</t>
  </si>
  <si>
    <t>2025-05-12 14:44:00,20700,,20950,,20700,,20750,,,,,20950,20200,20950,20150,20773.25</t>
  </si>
  <si>
    <t>2025-05-12 14:44:00,9413660561.16565,12146291959.9004,-3099.99015151515,-1825,732.999760101012,1081.92,-59.5033703690019,515.75,581.16</t>
  </si>
  <si>
    <t>2025-05-12 14:44:00,2399352287.60988,2394283189.81715,2834.65554277245,2494,1976.04683489916,1296.32,111.419346697956,972.51,505.92</t>
  </si>
  <si>
    <t>2025-05-12 14:44:00,103561945.855041,460063779.478901,,794,,2979.8,-4.17534461242306,299.2,5823.5</t>
  </si>
  <si>
    <t>2025-05-12 14:44:00,248749078.631901,2774006.46242182,,3,,151.61,0.0309190266262686,3.19,20773.25</t>
  </si>
  <si>
    <t>2025-05-12 14:45:00,580,,582,,580,,580.5,,,,,585,578,576,581,581.13</t>
  </si>
  <si>
    <t>2025-05-12 14:45:00,500,,508,,500,,504,,,,,508,500,508,503,505.93</t>
  </si>
  <si>
    <t>2025-05-12 14:45:00,5850,,5850,,,6000,5820,,,,5820,5850,5750,5820,6000,5823.25</t>
  </si>
  <si>
    <t>2025-05-12 14:45:00,20700,,20950,,20700,,20750,,,,,20950,20200,20950,20150,20773.75</t>
  </si>
  <si>
    <t>2025-05-12 14:45:00,8635583240.21713,15429448175.4264,-1549.26758870215,-675,-699.79676015406,-1237.48,-21.250803870043,-645.46,581.13</t>
  </si>
  <si>
    <t>2025-05-12 14:45:00,2161076768.05384,3954443152.19939,-1113.35064637115,-492,-167.757103255962,-333.74,-21.9685752534187,-375.9,505.93</t>
  </si>
  <si>
    <t>2025-05-12 14:45:00,105764608.741247,470130669.516767,,-1010,,7816.16,11.884260173355,-12.41,5823.25</t>
  </si>
  <si>
    <t>2025-05-12 14:45:00,242755789.107375,2814387.89863891,,2,,-133.4,0.0193477872571302,-3.14,20773.75</t>
  </si>
  <si>
    <t>2025-05-12 14:46:00,580,,582,,580,,578.5,,,,,585,578,576,581,581.02</t>
  </si>
  <si>
    <t>2025-05-12 14:46:00,500,,508,,500,,504,,,,,508,500,508,503,505.74</t>
  </si>
  <si>
    <t>2025-05-12 14:46:00,5900,,5850,,,6000,5820,,5830,5830,,5850,5750,5820,6000,5821.75</t>
  </si>
  <si>
    <t>2025-05-12 14:46:00,20700,,20950,,20700,,20750,,,,,20950,20200,20950,20150,20767.25</t>
  </si>
  <si>
    <t>2025-05-12 14:46:00,8401640024.10253,18519550795.7908,-4146.72875180375,-631,-1923.73988203463,-586.91,-286.807262605886,-495.43,581.02</t>
  </si>
  <si>
    <t>2025-05-12 14:46:00,2229911933.24885,3318463473.24446,-5174.46649571738,-3719,-1148.8030235768,-766.27,300.983413670874,-1097.46,505.74</t>
  </si>
  <si>
    <t>2025-05-12 14:46:00,103189622.766591,390981920.734971,,-155,,-5099.85,-8.39457785969612,-32.73,5821.75</t>
  </si>
  <si>
    <t>2025-05-12 14:46:00,251083805.622726,2522875.67428397,,21,,187.19,-0.0904180967819378,4.7,20767.25</t>
  </si>
  <si>
    <t>2025-05-12 14:47:00,580,,582,,580,,580.5,,,,,585,578,576,581,581.01</t>
  </si>
  <si>
    <t>2025-05-12 14:47:00,500,,508,,500,,505,,,,,508,500,508,503,505.78</t>
  </si>
  <si>
    <t>2025-05-12 14:47:00,5900,,5850,,,6000,5820,,5830,,5820,5850,5750,5820,6000,5822</t>
  </si>
  <si>
    <t>2025-05-12 14:47:00,20700,,20950,,20700,,20750,,,,,20950,20200,20950,20150,20769.25</t>
  </si>
  <si>
    <t>2025-05-12 14:47:00,9616736996.71893,10693744336.1845,1672.21684704184,4363,154.501673520922,115.26,-401.587748358329,1566.99,581.01</t>
  </si>
  <si>
    <t>2025-05-12 14:47:00,2409059609.91011,1447867934.39109,-1351.20205976819,-303,-1455.77981943863,-1441.34,-48.9724416902874,-625.89,505.78</t>
  </si>
  <si>
    <t>2025-05-12 14:47:00,101991204.008532,375835925.293186,,-1761,,-5368.76,-1.86654070512855,-437.38,5822</t>
  </si>
  <si>
    <t>2025-05-12 14:47:00,279381551.416656,2747200.75132215,,-26,,-130.53,-0.0547600768891254,-4.1,20769.25</t>
  </si>
  <si>
    <t>2025-05-12 14:48:00,580,,582,,580,,580.5,,,,,585,578,576,581,581.12</t>
  </si>
  <si>
    <t>2025-05-12 14:48:00,500,,508,,500,,504,,,,,508,500,508,503,505.96</t>
  </si>
  <si>
    <t>2025-05-12 14:48:00,5900,,5850,,,6000,5820,,,5820,,5850,5750,5820,6000,5823</t>
  </si>
  <si>
    <t>2025-05-12 14:48:00,20700,,20950,,20700,,20750,,,,,20950,20200,20950,20150,20776</t>
  </si>
  <si>
    <t>2025-05-12 14:48:00,8706953881.81737,16516398425.2997,-10872.0291467304,-6482,-6163.79203694837,-13412.86,-18.381987455749,-3122.53,581.12</t>
  </si>
  <si>
    <t>2025-05-12 14:48:00,2198369234.23944,3795490979.82484,-692.220833131821,-403,22.8283178571992,-195.1,-65.6290412767614,-112.51,505.96</t>
  </si>
  <si>
    <t>2025-05-12 14:48:00,96545715.1388323,510607879.719869,,2701,,3911.49,-9.16842737659709,680.42,5823</t>
  </si>
  <si>
    <t>2025-05-12 14:48:00,277200477.92681,2988096.23839445,,-15,,-136.35,0.0174954941271398,-3.97,20776</t>
  </si>
  <si>
    <t>2025-05-12 14:49:00,580,,580,,580,,578.5,,,,,585,578,576,581,581.26</t>
  </si>
  <si>
    <t>2025-05-12 14:49:00,500,,508,,500,,504,,,,,508,500,508,503,506.14</t>
  </si>
  <si>
    <t>2025-05-12 14:49:00,5850,,5850,,,6000,5820,,,5820,,5850,5750,5820,6000,5824.5</t>
  </si>
  <si>
    <t>2025-05-12 14:49:00,20700,,20950,,20700,,20750,,,,,20950,20200,20950,20150,20783.25</t>
  </si>
  <si>
    <t>2025-05-12 14:49:00,9041848507.15521,26759785902.8048,-2926.02947330447,-571,-2690.33386507936,-2461.74,201.374638564897,-1501.18,581.26</t>
  </si>
  <si>
    <t>2025-05-12 14:49:00,2179696581.17966,4431301965.8494,-1391.3312759597,-977,-767.554092476968,-1262.01,-155.760455053813,-545.59,506.14</t>
  </si>
  <si>
    <t>2025-05-12 14:49:00,97179950.589017,553962331.065504,,442,,-11311.94,-5.73406549329328,-106.6,5824.5</t>
  </si>
  <si>
    <t>2025-05-12 14:49:00,262408426.15562,3218473.0073949,,-18,,-307.58,0.00697488047287014,-8.95,20783.25</t>
  </si>
  <si>
    <t>2025-05-12 14:50:00,580,,582,,580,,578.5,,,,,585,578,576,581,581.67</t>
  </si>
  <si>
    <t>2025-05-12 14:50:00,500,,508,,500,,504,,,,,508,500,508,503,506.68</t>
  </si>
  <si>
    <t>2025-05-12 14:50:00,5850,,5850,,,6000,5820,,,,,5850,5750,5820,6000,5828.25</t>
  </si>
  <si>
    <t>2025-05-12 14:50:00,20700,,20950,,20700,,20750,,,,,20950,20200,20950,20150,20805</t>
  </si>
  <si>
    <t>2025-05-12 14:50:00,8306270691.20202,26940676202.0042,-11855.7429265179,-7663,-3227.90998457654,-3342.91,-152.9479980764,-2069.45,581.67</t>
  </si>
  <si>
    <t>2025-05-12 14:50:00,2088751503.11059,7231130201.21199,-1340.36710186574,1495,203.769702137026,-519.84,-471.421296019944,-103.14,506.68</t>
  </si>
  <si>
    <t>2025-05-12 14:50:00,100404512.345811,679377714.94316,,-2236,,-15749.02,-34.7287271640146,-1009.33,5828.25</t>
  </si>
  <si>
    <t>2025-05-12 14:50:00,222704990.921375,4405510.47449338,,-96,,-482.6,0.286982283752509,2.05,20805</t>
  </si>
  <si>
    <t>2025-05-12 14:51:00,580,,582,,580,,578.5,,,,,585,578,576,581,581.59</t>
  </si>
  <si>
    <t>2025-05-12 14:51:00,500,,507,,500,,504,507,,,,508,500,508,503,506.65</t>
  </si>
  <si>
    <t>2025-05-12 14:51:00,5850,,5850,,,6000,5820,5830,,5820,5830,5850,5750,5820,6000,5827.75</t>
  </si>
  <si>
    <t>2025-05-12 14:51:00,20700,,20950,,20700,,20750,,,,,20950,20200,20950,20150,20803.5</t>
  </si>
  <si>
    <t>2025-05-12 14:51:00,8465998441.36775,26287058758.2029,-683.12994056761,-1929,575.249840689245,-1499.92,-192.926726856691,-1657.2,581.59</t>
  </si>
  <si>
    <t>2025-05-12 14:51:00,2083233468.13599,6058003580.99499,2506.1765581227,2621,1352.81491692341,283.53,-131.001321143394,-64.0099999999999,506.65</t>
  </si>
  <si>
    <t>2025-05-12 14:51:00,105875429.049113,595448953.307584,,188,,-36.5599999999995,36.963789631037,-133.87,5827.75</t>
  </si>
  <si>
    <t>2025-05-12 14:51:00,226584132.629336,4119813.72860446,,-40,,-441.46,-0.0709540474485415,-13.77,20803.5</t>
  </si>
  <si>
    <t>2025-05-12 14:52:00,580,,582,,580,,578.5,,,,,585,578,576,581,581.9</t>
  </si>
  <si>
    <t>2025-05-12 14:52:00,500,,508,,500,,504,,,,,508,500,508,503,506.91</t>
  </si>
  <si>
    <t>2025-05-12 14:52:00,5850,,5850,,,6000,5820,5840,,,5830,5850,5750,5820,6000,5830.75</t>
  </si>
  <si>
    <t>2025-05-12 14:52:00,20700,,20950,,20700,,20750,,,,,20950,20200,20950,20150,20814.75</t>
  </si>
  <si>
    <t>2025-05-12 14:52:00,8087866882.48214,27544113423.9798,-1186.98972138972,2721,-2170.93585569987,-3058.67,-383.546992541479,-684.66,581.9</t>
  </si>
  <si>
    <t>2025-05-12 14:52:00,2049619843.69174,6454141213.51746,-2902.23047512874,-2278,270.739830832935,148.26,314.114056714842,302.33,506.91</t>
  </si>
  <si>
    <t>2025-05-12 14:52:00,107161493.656893,706450799.439576,,182,,-4623.92,55.0040041070642,-316.68,5830.75</t>
  </si>
  <si>
    <t>2025-05-12 14:52:00,199969841.627981,4961261.3082904,,-68,,-1450.72,-0.126159904069565,-22.12,20814.75</t>
  </si>
  <si>
    <t>2025-05-12 14:53:00,580,,582,,580,,580.5,,,,,585,578,576,581,581.91</t>
  </si>
  <si>
    <t>2025-05-12 14:53:00,500,,508,,500,,505,,,507,,508,500,508,503,506.91</t>
  </si>
  <si>
    <t>2025-05-12 14:53:00,5850,,5850,,,6000,5820,5830,5840,,,5850,5750,5820,6000,5830.75</t>
  </si>
  <si>
    <t>2025-05-12 14:53:00,20700,,20950,,20700,,20750,,,,,20950,20200,20950,20150,20813.5</t>
  </si>
  <si>
    <t>2025-05-12 14:53:00,9002542456.73567,28365033957.9834,4868.61694727409,5513,5712.07391303527,4650.92,590.312184988647,3328.35,581.91</t>
  </si>
  <si>
    <t>2025-05-12 14:53:00,2373183497.57138,6526715670.68776,-454.604961647044,484,1120.78090443283,-1616.92,122.321643727038,533.85,506.91</t>
  </si>
  <si>
    <t>2025-05-12 14:53:00,110472595.792461,710516677.134003,,-686,,4538.96,-26.3059063514771,103.1,5830.75</t>
  </si>
  <si>
    <t>2025-05-12 14:53:00,233555304.904142,4720069.47025389,,11,,106,0.0663168743728369,3.23,20813.5</t>
  </si>
  <si>
    <t>2025-05-12 14:54:00,580,,582,,580,,580.5,,,,,585,578,576,581,582.14</t>
  </si>
  <si>
    <t>2025-05-12 14:54:00,500,,508,,500,,504,,,,,508,500,508,503,507.21</t>
  </si>
  <si>
    <t>2025-05-12 14:54:00,5850,,5850,,,6000,5820,,5840,5830,,5850,5750,5820,6000,5833</t>
  </si>
  <si>
    <t>2025-05-12 14:54:00,20700,,20950,,20700,,20750,,,,,20950,20200,20950,20150,20825.75</t>
  </si>
  <si>
    <t>2025-05-12 14:54:00,7764149379.52816,33268159767.1225,-8027.08917702671,-1825,-2481.33442356256,-2562.77,643.546550575579,-834.67,582.14</t>
  </si>
  <si>
    <t>2025-05-12 14:54:00,2049115373.04545,9074976250.85568,-847.568322386427,-671,317.665380405033,-520.11,-54.0129372016902,-9.86000000000005,507.21</t>
  </si>
  <si>
    <t>2025-05-12 14:54:00,111679925.056431,1012090490.05179,,-426,,-8264.1,-76.160841195416,-817.09,5833</t>
  </si>
  <si>
    <t>2025-05-12 14:54:00,174646638.350853,5303271.63184237,,-23,,-309.73,-0.0640648644468225,-10.79,20825.75</t>
  </si>
  <si>
    <t>2025-05-12 14:55:00,580,,582,,580,,580.5,582,,,,585,578,576,581,581.78</t>
  </si>
  <si>
    <t>2025-05-12 14:55:00,500,,508,,500,,504,,507,,507,508,500,508,503,506.91</t>
  </si>
  <si>
    <t>2025-05-12 14:55:00,5850,,5840,,,6000,5820,,,5830,,5850,5750,5820,6000,5829.5</t>
  </si>
  <si>
    <t>2025-05-12 14:55:00,20700,,20950,,20700,,20750,,,,,20950,20200,20950,20150,20811.75</t>
  </si>
  <si>
    <t>2025-05-12 14:55:00,9456688269.88816,27439351146.7014,9812.63746528746,7750,2459.67357238807,520.33,419.645002697113,1581.71,581.78</t>
  </si>
  <si>
    <t>2025-05-12 14:55:00,2374881999.36299,6840635759.94475,1530.41608192349,1457,1326.45386102691,-1115.88,-130.57692500632,-259.6,506.91</t>
  </si>
  <si>
    <t>2025-05-12 14:55:00,109289351.660014,634386097.178443,,6576,,5208.68,-28.9086222873264,768.63,5829.5</t>
  </si>
  <si>
    <t>2025-05-12 14:55:00,229403641.988211,4661032.76350404,,-33,,615.86,-0.139591452516963,-7.46,20811.75</t>
  </si>
  <si>
    <t>2025-05-12 14:56:00,580,,582,,580,,578.5,,,,,585,578,576,581,581.95</t>
  </si>
  <si>
    <t>2025-05-12 14:56:00,500,,508,,500,,504,,,,,508,500,508,503,506.94</t>
  </si>
  <si>
    <t>2025-05-12 14:56:00,5850,,5840,,,6000,5830,,5840,5830,,5850,5750,5820,6000,5831.25</t>
  </si>
  <si>
    <t>2025-05-12 14:56:00,20700,,20950,,20700,,20750,,,,,20950,20200,20950,20150,20815.25</t>
  </si>
  <si>
    <t>2025-05-12 14:56:00,8161891101.31308,42672775280.7726,-8548.2190323402,294,-1221.17095560125,-483.26,330.382755529956,-1040.11,581.95</t>
  </si>
  <si>
    <t>2025-05-12 14:56:00,2074672671.64618,8843770714.71283,-32.7505392854628,-1906,475.944564202065,278.19,63.2952689189431,58.64,506.94</t>
  </si>
  <si>
    <t>2025-05-12 14:56:00,113033225.276705,742934265.837928,,392,,-6144.53,-230.543624137153,-74.82,5831.25</t>
  </si>
  <si>
    <t>2025-05-12 14:56:00,195973864.866493,5508297.11631017,,-12,,56.1,0.126316442786593,2.68,20815.25</t>
  </si>
  <si>
    <t>2025-05-12 14:57:00,580,,582,,580,,578.5,,,,,585,578,576,581,582.19</t>
  </si>
  <si>
    <t>2025-05-12 14:57:00,500,,508,,500,,504,,,,,508,500,508,503,507.176</t>
  </si>
  <si>
    <t>2025-05-12 14:57:00,5850,,5840,,,6000,5830,5840,,,5830,5850,5750,5820,6000,5833.5</t>
  </si>
  <si>
    <t>2025-05-12 14:57:00,20700,,20850,,20700,,20750,,,,,20950,20200,20950,20150,20824.25</t>
  </si>
  <si>
    <t>2025-05-12 14:57:00,7768584529.26121,40071102385.2918,-3224.16622608557,-137,-2452.84997298109,-6588.29,-847.635523171208,-1579.05,582.19</t>
  </si>
  <si>
    <t>2025-05-12 14:57:00,2063497553.68281,9971698784.77133,-427.562709990126,-1179,-403.313601783971,-1317.61,-4.37152334431905,-822.87,507.176</t>
  </si>
  <si>
    <t>2025-05-12 14:57:00,112437387.361257,907324756.679514,,1838,,-2176.7,152.617453513224,549.45,5833.5</t>
  </si>
  <si>
    <t>2025-05-12 14:57:00,229323063.150023,5815662.00014524,,-11,,-70.7,-0.0365360426574307,-3.52,20824.25</t>
  </si>
  <si>
    <t>2025-05-12 14:58:00,580,,582,,580,,580.5,,582,,,585,578,576,581,582.46</t>
  </si>
  <si>
    <t>2025-05-12 14:58:00,500,,508,,500,,505,,,,,508,500,508,503,507.41</t>
  </si>
  <si>
    <t>2025-05-12 14:58:00,5850,,5840,,,6000,5830,,5840,5830,,5850,5750,5820,6000,5836.5</t>
  </si>
  <si>
    <t>2025-05-12 14:58:00,20700,,20850,,20700,,20750,,,,,20950,20200,20950,20150,20834.25</t>
  </si>
  <si>
    <t>2025-05-12 14:58:00,7387940971.83982,40091173833.577,-6780.86904086448,-6591,673.723393777634,-5224.83,-277.873003107542,-1568.4,582.46</t>
  </si>
  <si>
    <t>2025-05-12 14:58:00,2054676507.03134,10534503614.1475,-229.667797875559,-154,1241.99294386474,-644.48,245.363167782061,415.36,507.41</t>
  </si>
  <si>
    <t>2025-05-12 14:58:00,116805346.965472,1216157911.47184,,-732,,-11624.98,-117.820541808061,-1556.82,5836.5</t>
  </si>
  <si>
    <t>2025-05-12 14:58:00,222700615.342479,6370209.08862838,,0,,-238.15,-0.0173964271039248,-4.53,20834.25</t>
  </si>
  <si>
    <t>2025-05-12 14:59:00,580,,582,,580,,580.5,,583,,,585,578,576,581,582.78</t>
  </si>
  <si>
    <t>2025-05-12 14:59:00,500,,508,,500,,505,508,,,,508,500,508,503,507.71</t>
  </si>
  <si>
    <t>2025-05-12 14:59:00,5850,,5850,,,6000,5830,,5840,,5840,5850,5750,5820,6000,5839.5</t>
  </si>
  <si>
    <t>2025-05-12 14:59:00,20700,,20950,,20700,,20825,,,,,20950,20200,20950,20150,20846.5</t>
  </si>
  <si>
    <t>2025-05-12 14:59:00,7226189267.939,51012072853.9723,-8404.37323181876,-2495,-2088.9424803087,-7362.41,-1388.69336127174,-2113.17,582.78</t>
  </si>
  <si>
    <t>2025-05-12 14:59:00,2025962706.37513,12225737957.5116,1200.02547706033,390,-195.391969538022,-2972.07,76.0124291666096,-695.81,507.71</t>
  </si>
  <si>
    <t>2025-05-12 14:59:00,119456179.593202,1428812017.13943,,-9421,,-27405.44,-14.2552298539454,-4009.53,5839.5</t>
  </si>
  <si>
    <t>2025-05-12 14:59:00,134035005.925465,5782801.83978545,,-18,,-827.45,-0.0430074308881784,-27.24,20846.5</t>
  </si>
  <si>
    <t>2025-05-12 15:00:00,580,,583,,580,,580.5,,583,,,585,578,576,581,583.14</t>
  </si>
  <si>
    <t>2025-05-12 15:00:00,500,,508,,500,,505,,,,,508,500,508,503,508.17</t>
  </si>
  <si>
    <t>2025-05-12 15:00:00,5850,,5840,,,6000,5820,5840,,,5840,5850,5750,5820,6000,5843.25</t>
  </si>
  <si>
    <t>2025-05-12 15:00:00,20700,,20950,,20700,,20750,,,,,20950,20200,20950,20150,20865.25</t>
  </si>
  <si>
    <t>2025-05-12 15:00:00,7428992583.23693,45950230673.2605,-11059.8241540926,-10000,-3317.62316831412,-10212.7,-2286.67175063942,-7433.75,583.14</t>
  </si>
  <si>
    <t>2025-05-12 15:00:00,2005743730.7482,12605110025.541,1441.16514550265,877,999.912752896378,282.26,-35.8100142247807,567.58,508.17</t>
  </si>
  <si>
    <t>2025-05-12 15:00:00,141319733.945226,3072401545.06248,,1972,,16095.06,223.722651295115,2085.45,5843.25</t>
  </si>
  <si>
    <t>2025-05-12 15:00:00,114443398.613992,8308875.84823315,,-7,,-487.85,-0.0754891663937075,-8.1,20865.25</t>
  </si>
  <si>
    <t>2025-05-12 15:01:00,580,,583,,580,,580.5,,583,,,585,578,576,581,583.4</t>
  </si>
  <si>
    <t>2025-05-12 15:01:00,500,,508,,500,,505,,508,,508,508,500,508,503,508.45</t>
  </si>
  <si>
    <t>2025-05-12 15:01:00,5850,,5850,,,6000,5820,,,,,5850,5750,5820,6000,5846.75</t>
  </si>
  <si>
    <t>2025-05-12 15:01:00,21000,,20950,,20700,,20750,,,,,20950,20200,20950,20150,20877.75</t>
  </si>
  <si>
    <t>2025-05-12 15:01:00,6690366995.4104,44011099180.0444,-2908.85925250679,-7989,1107.97768493828,-4940.19,-1346.08846155347,-4209.28,583.4</t>
  </si>
  <si>
    <t>2025-05-12 15:01:00,2126743799.93789,12892596449.6347,-1342.10882835893,-3226,403.78093219357,-3974.64,-649.692590846042,-2780.9,508.45</t>
  </si>
  <si>
    <t>2025-05-12 15:01:00,165146737.925618,4032299349.56374,,0,,0,0,0,5846.75</t>
  </si>
  <si>
    <t>2025-05-12 15:01:00,104408219.386068,9648173.822141,,0,,0,0,0,20877.75</t>
  </si>
  <si>
    <t>2025-05-12 15:02:00,580,,583,,580,,580.5,,,,,585,578,576,581,583.69</t>
  </si>
  <si>
    <t>2025-05-12 15:02:00,500,,508,,500,,504,,,,,508,500,508,503,508.6</t>
  </si>
  <si>
    <t>2025-05-12 15:02:00,5850,,5850,,,6000,5820,,,,,5850,5750,5820,6000,5849.75</t>
  </si>
  <si>
    <t>2025-05-12 15:02:00,21000,,20950,,20700,,20750,,,,,20950,20200,20950,20150,20884.25</t>
  </si>
  <si>
    <t>2025-05-12 15:02:00,7922450064.30512,43407411838.0523,505.305282720375,-868,767.389422237721,-1200.29,381.652487453294,-1044.73,583.69</t>
  </si>
  <si>
    <t>2025-05-12 15:02:00,2313636875.83804,13393900741.6255,-1765.76532987072,-1921,-137.830517755285,-841.62,-81.2680525787617,-448.24,508.6</t>
  </si>
  <si>
    <t>2025-05-12 15:02:00,153395952.347699,4270876730.37239,,0,,0,0,0,5849.75</t>
  </si>
  <si>
    <t>2025-05-12 15:02:00,99624229.5798541,10104131.9472146,,0,,0,0,0,20884.25</t>
  </si>
  <si>
    <t>2025-05-12 15:03:00,580,,583,,580,,580.5,,,,,585,578,576,581,583.34</t>
  </si>
  <si>
    <t>2025-05-12 15:03:00,500,,508,,500,,505,508,,,,508,500,508,503,508.14</t>
  </si>
  <si>
    <t>2025-05-12 15:03:00,5850,,5850,,,6000,5820,,,,,5850,5750,5820,6000,5846.25</t>
  </si>
  <si>
    <t>2025-05-12 15:03:00,20700,,20950,,20700,,20750,,,,,20950,20200,20950,20150,20865</t>
  </si>
  <si>
    <t>2025-05-12 15:03:00,6744984285.14191,51625836575.5129,2773.62921132789,3430,1812.90090418062,1772.05,827.522285692472,1471.78,583.34</t>
  </si>
  <si>
    <t>2025-05-12 15:03:00,2279919648.37432,15094328989.2716,1257.11778133127,365,1389.36081111876,500.76,56.6621613048832,584.93,508.14</t>
  </si>
  <si>
    <t>2025-05-12 15:03:00,149501460.411365,3925909428.16454,,0,,0,0,0,5846.25</t>
  </si>
  <si>
    <t>2025-05-12 15:03:00,112183306.208302,8298781.61128396,,0,,0,0,0,20865</t>
  </si>
  <si>
    <t>2025-05-12 15:04:00,580,,583,,580,,580.5,,,,,585,578,576,581,583.23</t>
  </si>
  <si>
    <t>2025-05-12 15:04:00,500,,508,,500,,504,,,,,508,500,508,503,508.01</t>
  </si>
  <si>
    <t>2025-05-12 15:04:00,5850,,5850,,,6000,5820,,,,,5850,5750,5820,6000,5844.5</t>
  </si>
  <si>
    <t>2025-05-12 15:04:00,20700,,20950,,20700,,20750,,,,,20950,20200,20950,20150,20860</t>
  </si>
  <si>
    <t>2025-05-12 15:04:00,6683202129.14072,49311730387.9616,201.352144322886,49,1728.07042743987,984.45,-776.652008133303,379.33,583.23</t>
  </si>
  <si>
    <t>2025-05-12 15:04:00,2350040455.35795,15681721061.8,696.862327669321,272,874.889787280807,721.44,-123.650872714606,129.78,508.01</t>
  </si>
  <si>
    <t>2025-05-12 15:04:00,145125138.353049,3480007482.6309,,0,,0,0,0,5844.5</t>
  </si>
  <si>
    <t>2025-05-12 15:04:00,115465175.57234,7604621.75327251,,0,,0,0,0,20860</t>
  </si>
  <si>
    <t>2025-05-12 15:05:00,580,,583,,580,,580.5,,,,,585,578,576,581,583.29</t>
  </si>
  <si>
    <t>2025-05-12 15:05:00,500,,508,,500,,504,,,,,508,500,508,503,508.1</t>
  </si>
  <si>
    <t>2025-05-12 15:05:00,5850,,5850,,,6000,5820,,,,,5850,5750,5820,6000,5845.5</t>
  </si>
  <si>
    <t>2025-05-12 15:05:00,20700,,20950,,20700,,20750,,,,,20950,20200,20950,20150,20864</t>
  </si>
  <si>
    <t>2025-05-12 15:05:00,6750209465.64965,50752669648.4213,-122.835092685093,397,64.1961763791779,-505.43,-199.370009445431,21.18,583.29</t>
  </si>
  <si>
    <t>2025-05-12 15:05:00,2245200637.6339,16444805123.9676,-479.12559125404,-1334,-523.518468877968,-1012.59,-158.098994498115,-376,508.1</t>
  </si>
  <si>
    <t>2025-05-12 15:05:00,147054704.667184,3762751174.32897,,0,,0,0,0,5845.5</t>
  </si>
  <si>
    <t>2025-05-12 15:05:00,111507566.884341,8173550.85671574,,0,,0,0,0,20864</t>
  </si>
  <si>
    <t>2025-05-12 15:06:00,580,,583,,580,,580.5,,,,,585,578,576,581,583.35</t>
  </si>
  <si>
    <t>2025-05-12 15:06:00,500,,508,,500,,505,,,,,508,500,508,503,508.11</t>
  </si>
  <si>
    <t>2025-05-12 15:06:00,5850,,5850,,,6000,5820,,,,,5850,5750,5820,6000,5845.75</t>
  </si>
  <si>
    <t>2025-05-12 15:06:00,20700,,20950,,20700,,20750,,,,,20950,20200,20950,20150,20864</t>
  </si>
  <si>
    <t>2025-05-12 15:06:00,6579947290.27946,49960879938.145,-1462.14743589744,-1642,51.6537820512826,-176.94,119.72903344283,-344.76,583.35</t>
  </si>
  <si>
    <t>2025-05-12 15:06:00,2319432232.96772,15389991573.6574,822.985968749446,1923,3019.76545897966,3392.04,-11.2394120376076,905.25,508.11</t>
  </si>
  <si>
    <t>2025-05-12 15:06:00,148473129.146401,3836629038.96285,,0,,0,0,0,5845.75</t>
  </si>
  <si>
    <t>2025-05-12 15:06:00,110406464.24012,8176975.27626055,,0,,0,0,0,20864</t>
  </si>
  <si>
    <t>2025-05-12 15:07:00,580,,583,,580,,580.5,,,,,585,578,576,581,583.16</t>
  </si>
  <si>
    <t>2025-05-12 15:07:00,500,,508,,500,,505,,,,,508,500,508,503,508</t>
  </si>
  <si>
    <t>2025-05-12 15:07:00,5850,,5850,,,6000,5820,,,,,5850,5750,5820,6000,5844</t>
  </si>
  <si>
    <t>2025-05-12 15:07:00,20700,,20950,,20700,,20825,,,,,20950,20200,20950,20150,20858.25</t>
  </si>
  <si>
    <t>2025-05-12 15:07:00,6814643728.40255,52276005295.018,375.188478549315,-84,1578.92661898525,1188.85,-47.0152522959559,235.66,583.16</t>
  </si>
  <si>
    <t>2025-05-12 15:07:00,2344853595.5719,16560548796.4249,124.683243133678,-344,153.537626431539,-140.49,-48.7189644247072,-104.45,508</t>
  </si>
  <si>
    <t>2025-05-12 15:07:00,143767674.322326,3348486043.83551,,0,,0,0,0,5844</t>
  </si>
  <si>
    <t>2025-05-12 15:07:00,114097522.007503,7327729.79254837,,0,,0,0,0,20858.25</t>
  </si>
  <si>
    <t>2025-05-12 15:08:00,580,,583,,580,,580.5,,,,,585,578,576,581,583.01</t>
  </si>
  <si>
    <t>2025-05-12 15:08:00,500,,508,,500,,504,,,,,508,500,508,503,507.85</t>
  </si>
  <si>
    <t>2025-05-12 15:08:00,5850,,5840,,,6000,5820,,,,,5850,5750,5820,6000,5842.75</t>
  </si>
  <si>
    <t>2025-05-12 15:08:00,20700,,20950,,20700,,20825,,,,,20950,20200,20950,20150,20852</t>
  </si>
  <si>
    <t>2025-05-12 15:08:00,8586015373.83111,56407421581.0962,-325.845965309202,-3981,1003.85445135746,-1124.72,-487.518611621893,-698.23,583.01</t>
  </si>
  <si>
    <t>2025-05-12 15:08:00,2354315532.00183,17786200237.4831,491.693706842882,447,342.915440443116,155.93,124.300826835668,271.81,507.85</t>
  </si>
  <si>
    <t>2025-05-12 15:08:00,145374233.722182,2975166922.40385,,0,,0,0,0,5842.75</t>
  </si>
  <si>
    <t>2025-05-12 15:08:00,118940752.915041,6372001.43748267,,0,,0,0,0,20852</t>
  </si>
  <si>
    <t>2025-05-12 15:09:00,580,,583,,580,,580.5,,,,,585,578,576,581,583.02</t>
  </si>
  <si>
    <t>2025-05-12 15:09:00,500,,508,,500,,504,,,,,508,500,508,503,507.83</t>
  </si>
  <si>
    <t>2025-05-12 15:09:00,5850,,5840,,,6000,5820,,,,,5850,5750,5820,6000,5843</t>
  </si>
  <si>
    <t>2025-05-12 15:09:00,20700,,20950,,20700,,20825,,,,,20950,20200,20950,20150,20850.5</t>
  </si>
  <si>
    <t>2025-05-12 15:09:00,7990572045.84395,53774641093.0313,-1190.82380363301,-2566,243.871842694344,-1459.76,-85.4316581316664,-433.47,583.02</t>
  </si>
  <si>
    <t>2025-05-12 15:09:00,2082243948.40016,18599236417.3613,334.437472521925,519,-35.3581444554608,758.2,-11.319192071616,175.61,507.83</t>
  </si>
  <si>
    <t>2025-05-12 15:09:00,145702008.343329,3052009801.69265,,0,,0,0,0,5843</t>
  </si>
  <si>
    <t>2025-05-12 15:09:00,119397749.053959,6129726.9610148,,0,,0,0,0,20850.5</t>
  </si>
  <si>
    <t>2025-05-12 15:10:00,580,,583,,580,,580.5,,,,,585,578,576,581,582.98</t>
  </si>
  <si>
    <t>2025-05-12 15:10:00,500,,508,,500,,505,,,,,508,500,508,503,507.72</t>
  </si>
  <si>
    <t>2025-05-12 15:10:00,5850,,5840,,,6000,5820,,,,,5850,5750,5820,6000,5842</t>
  </si>
  <si>
    <t>2025-05-12 15:10:00,20700,,20950,,20700,,20825,,,,,20950,20200,20950,20150,20846</t>
  </si>
  <si>
    <t>2025-05-12 15:10:00,6811125248.02019,55679879224.9672,580.14627039627,282,1006.83651515151,-994.73,-531.025244487439,-1285.11,582.98</t>
  </si>
  <si>
    <t>2025-05-12 15:10:00,2133185027.28878,19349278043.0165,,38,,107.46,-58.7877281852029,78.57,507.72</t>
  </si>
  <si>
    <t>2025-05-12 15:10:00,143245286.506178,2757464208.80033,,0,,0,0,0,5842</t>
  </si>
  <si>
    <t>2025-05-12 15:10:00,123050600.215738,5470587.23487016,,0,,0,0,0,20846</t>
  </si>
  <si>
    <t>2025-05-12 15:11:00,580,,583,,580,,580.5,,,,,585,578,576,581,583</t>
  </si>
  <si>
    <t>2025-05-12 15:11:00,500,,508,,500,,505,,,,,508,500,508,503,507.79</t>
  </si>
  <si>
    <t>2025-05-12 15:11:00,5850,,5840,,,6000,5820,,,,,5850,5750,5820,6000,5842.5</t>
  </si>
  <si>
    <t>2025-05-12 15:11:00,20700,,20950,,20700,,20825,,,,,20950,20200,20950,20150,20849</t>
  </si>
  <si>
    <t>2025-05-12 15:11:00,8804185281.86418,61221348459.1139,751.086944321588,-279,579.781190790703,-2589.05,-582.158144885848,-1419.21,583</t>
  </si>
  <si>
    <t>2025-05-12 15:11:00,2017339208.90777,17349138782.4835,-498.527313899868,-385,-137.254463932806,-275.67,165.581811742455,-343.77,507.79</t>
  </si>
  <si>
    <t>2025-05-12 15:11:00,140437431.541732,2906634218.9509,,0,,0,0,0,5842.5</t>
  </si>
  <si>
    <t>2025-05-12 15:11:00,118782738.645012,5857882.17699439,,0,,0,0,0,20849</t>
  </si>
  <si>
    <t>2025-05-12 08:30:00,580,,585,,580,,573.5,,,,,585,560,582,570,580.97</t>
  </si>
  <si>
    <t>2025-05-12 08:30:00,500,,510,,500,,503,,,,,489,503,490,489,506.3</t>
  </si>
  <si>
    <t>2025-05-12 08:30:00,5900,,5900,,,6000,5800,,,,,6000,5600,,6000,5821.25</t>
  </si>
  <si>
    <t>2025-05-12 08:30:00,20700,,21100,,20700,,,,,,,21100,21300,21100,20400,20791.25</t>
  </si>
  <si>
    <t>2025-05-12 08:30:00,7575284622.47913,186362006.902374,4894.7462044994,-2368,16059.5774810863,-31811.91,-241.829940062936,-3329.25,580.97</t>
  </si>
  <si>
    <t>2025-05-12 08:30:00,2015764082.17086,33432581.4633599,3273.99433742728,-751,27104.3468102251,-33292.41,-45.4200347697117,-1885.41,506.3</t>
  </si>
  <si>
    <t>2025-05-12 08:30:00,96900697.0361944,24865117.6778308,,568,,-29416.86,-1.86517365085842,-276.41,5821.25</t>
  </si>
  <si>
    <t>2025-05-12 08:30:00,172818720.984023,4369.0750248048,,8,,-930.8,0.00685982179138245,-1.53,20791.25</t>
  </si>
  <si>
    <t>2025-05-12 08:31:00,580,,585,,580,,580.5,,580,,580,585,560,582,580,580.105</t>
  </si>
  <si>
    <t>2025-05-12 08:31:00,500,,510,,500,,505,,,505,,489,503,506,489,505.1</t>
  </si>
  <si>
    <t>2025-05-12 08:31:00,5900,,5900,,,6000,5790,,,,,6000,5600,,6000,5812.5</t>
  </si>
  <si>
    <t>2025-05-12 08:31:00,20700,,20700,,20700,,20850,,,,,21300,20125,21300,21000,20740.25</t>
  </si>
  <si>
    <t>2025-05-12 08:31:00,7499055429.46073,335728677.012017,10149.9429183055,6527,74263.5887796271,50757.51,229.532805859645,4891.47,580.105</t>
  </si>
  <si>
    <t>2025-05-12 08:31:00,2099287397.83052,66147422.8837108,5398.77019043605,6452,29012.2253327651,24052.23,281.567139465691,3323.32,505.1</t>
  </si>
  <si>
    <t>2025-05-12 08:31:00,84720543.0251563,21741646.386542,,82,,67392.92,2.18249095986032,639.98,5812.5</t>
  </si>
  <si>
    <t>2025-05-12 08:31:00,167597891.68995,10339.375129211,,45,,3750.79,0.000359757302811291,9.71,20740.25</t>
  </si>
  <si>
    <t>2025-05-12 08:32:00,580,,585,,580,,579.5,580,,580,,585,560,581,585,579.6</t>
  </si>
  <si>
    <t>2025-05-12 08:32:00,500,,510,,500,,505,,,,505,510,498,506,489,504.75</t>
  </si>
  <si>
    <t>2025-05-12 08:32:00,5900,,5900,,,6000,5810,,,,,6000,5600,5760,6000,5807.75</t>
  </si>
  <si>
    <t>2025-05-12 08:32:00,20700,,20700,,20700,,20850,,,,,21300,20500,20125,21000,20726</t>
  </si>
  <si>
    <t>2025-05-12 08:32:00,7669017934.40634,340391664.459717,6055.49204362466,5231,29427.0112132819,-2886.27,-369.402636953234,676.329999999999,579.6</t>
  </si>
  <si>
    <t>2025-05-12 08:32:00,2119006728.51329,54943691.0259009,1405.51049846194,1785,9803.34796317779,-3524.35,-42.5787593572284,-134.12,504.75</t>
  </si>
  <si>
    <t>2025-05-12 08:32:00,85044504.6762396,20271435.1392398,,5951,,53413.42,-2.24700444036964,1058.02,5807.75</t>
  </si>
  <si>
    <t>2025-05-12 08:32:00,164832114.503759,16770.8395680708,,-33,,-1310,-0.0169856985411545,-8.52,20726</t>
  </si>
  <si>
    <t>2025-05-12 08:33:00,580,,585,,580,,578.5,580,,,,585,560,572,585,579.675</t>
  </si>
  <si>
    <t>2025-05-12 08:33:00,500,,508,,500,,504,505,,505,,510,504,505,500,504.8</t>
  </si>
  <si>
    <t>2025-05-12 08:33:00,5900,,5850,,,6000,5810,,,,,6000,5600,5760,6000,5808.75</t>
  </si>
  <si>
    <t>2025-05-12 08:33:00,20700,,21300,,20700,,20850,,,,,21300,20100,21300,21200,20728.75</t>
  </si>
  <si>
    <t>2025-05-12 08:33:00,7789287606.92638,489965138.513109,13785.3631522349,14906,76535.5669368773,58037.23,-588.944708553389,8035.83,579.675</t>
  </si>
  <si>
    <t>2025-05-12 08:33:00,2177858839.03291,121127702.279481,14734.3199493921,12649,36775.3988410107,32782.22,312.515647980546,5099.58,504.8</t>
  </si>
  <si>
    <t>2025-05-12 08:33:00,86535908.3249614,22051998.3357213,,2948,,64086.53,-7.00388309900428,624.72,5808.75</t>
  </si>
  <si>
    <t>2025-05-12 08:33:00,171350676.161651,52249.2293694839,,99,,533.92,0.0453182269487729,7.51,20728.75</t>
  </si>
  <si>
    <t>2025-05-12 08:34:00,580,,585,,580,,578.5,,,,,585,560,572,575,579.46</t>
  </si>
  <si>
    <t>2025-05-12 08:34:00,500,,508,,500,,504,,,,504,510,504,505,500,504.41</t>
  </si>
  <si>
    <t>2025-05-12 08:34:00,5900,,5850,,,6000,5810,,,,,6000,5600,5760,6000,5806.25</t>
  </si>
  <si>
    <t>2025-05-12 08:34:00,20700,,21300,,20700,,20725,,,,,21300,20100,21300,21200,20711.5</t>
  </si>
  <si>
    <t>2025-05-12 08:34:00,7795648784.48586,556163825.629392,6393.90875137933,420,20505.0800364994,7736.88,241.447356860049,802.71,579.46</t>
  </si>
  <si>
    <t>2025-05-12 08:34:00,2189332257.73042,116309620.931506,5.2694843973425,878,9282.51037588374,8705.76,-60.2015911601334,832.37,504.41</t>
  </si>
  <si>
    <t>2025-05-12 08:34:00,82257116.409268,22985060.4811364,,-5777,,24444.16,0.244463063473394,153.7,5806.25</t>
  </si>
  <si>
    <t>2025-05-12 08:34:00,167268432.996766,51563.0958803219,,76,,2693.09,0.028059076887603,12.47,20711.5</t>
  </si>
  <si>
    <t>2025-05-12 08:35:00,580,,585,,580,,578.5,,,,579,585,560,572,579,579.2</t>
  </si>
  <si>
    <t>2025-05-12 08:35:00,500,,508,,500,,504,,,,,510,504,508,500,504.21</t>
  </si>
  <si>
    <t>2025-05-12 08:35:00,5900,,5850,,,6000,5810,,,,,6000,5750,5760,6000,5803.5</t>
  </si>
  <si>
    <t>2025-05-12 08:35:00,20700,,21200,,20700,,20775,,,,,21300,20200,21300,20200,20704.25</t>
  </si>
  <si>
    <t>2025-05-12 08:35:00,7872637971.55633,508111951.944958,-2673.58722943726,193,19421.9511714951,31531.31,7.85639857255771,1277.52,579.2</t>
  </si>
  <si>
    <t>2025-05-12 08:35:00,2166631037.27449,107569632.351354,-13551.8227403688,-3006,-15087.3549082974,-22819.34,-18.0371706281057,-2309.53,504.21</t>
  </si>
  <si>
    <t>2025-05-12 08:35:00,83345276.686076,19328224.1004107,,-1610,,-22174.1,8.04116704591295,-583.85,5803.5</t>
  </si>
  <si>
    <t>2025-05-12 08:35:00,171211106.056443,41058.9285491571,,-123,,815.88,0.0659616905275365,-6.12,20704.25</t>
  </si>
  <si>
    <t>2025-05-12 08:36:00,580,,585,,580,,578.5,,,,,585,560,572,579,579.03</t>
  </si>
  <si>
    <t>2025-05-12 08:36:00,500,,508,,500,,504,,,,,510,504,505,500,504.04</t>
  </si>
  <si>
    <t>2025-05-12 08:36:00,5900,,5850,,,6000,5800,,,,,6000,5750,5770,6000,5802</t>
  </si>
  <si>
    <t>2025-05-12 08:36:00,20700,,21200,,20700,,20775,,,,,21300,20200,21300,21200,20696.5</t>
  </si>
  <si>
    <t>2025-05-12 08:36:00,7830046327.51097,566485940.202681,31706.7516117912,15883,70490.9976330597,32420.83,469.832682545872,5638.75,579.03</t>
  </si>
  <si>
    <t>2025-05-12 08:36:00,2200497283.35783,151392241.880735,17248.8704325177,8712,46831.9173500582,23671.17,-5.46459719590971,3793.11,504.04</t>
  </si>
  <si>
    <t>2025-05-12 08:36:00,83464695.2514189,21129418.3922846,,3188,,33367.3,-2.52085635693468,641.61,5802</t>
  </si>
  <si>
    <t>2025-05-12 08:36:00,173000764.471149,49618.6697435925,,95,,3177.15,0.000570701300708664,18.04,20696.5</t>
  </si>
  <si>
    <t>2025-05-12 08:37:00,580,,585,,580,,578.5,,,,,585,560,580,575,579.09</t>
  </si>
  <si>
    <t>2025-05-12 08:37:00,500,,,500,500,,504,,,504,,510,504,508,500,503.95</t>
  </si>
  <si>
    <t>2025-05-12 08:37:00,5900,,5900,,,6000,5800,,,,,6000,5750,5770,6000,5802.5</t>
  </si>
  <si>
    <t>2025-05-12 08:37:00,20700,,21200,,20700,,20775,,,,,21300,20100,21300,21200,20689</t>
  </si>
  <si>
    <t>2025-05-12 08:37:00,7808898119.21788,582153225.390996,13737.5297141263,5574,54653.3444965357,27523.11,232.823411448719,4134.02,579.09</t>
  </si>
  <si>
    <t>2025-05-12 08:37:00,2177311661.08429,110974351.129018,6430.40557306628,5086,20317.9303361485,11744.4,-124.970357510779,1716.43,503.95</t>
  </si>
  <si>
    <t>2025-05-12 08:37:00,82514370.4424084,23289810.3392391,,3027,,44381.29,11.415886589567,841.55,5802.5</t>
  </si>
  <si>
    <t>2025-05-12 08:37:00,172066359.072688,28739.6935755295,,191,,2384.26,-0.0333641677793005,11.03,20689</t>
  </si>
  <si>
    <t>2025-05-12 08:38:00,580,,585,,580,,578.5,,,,,585,560,578,579,579.11</t>
  </si>
  <si>
    <t>2025-05-12 08:38:00,500,,,500,500,,504,,,,,510,500,504,500,503.785</t>
  </si>
  <si>
    <t>2025-05-12 08:38:00,5900,,5900,,,6000,5800,,,,,6000,5750,5760,6000,5802.75</t>
  </si>
  <si>
    <t>2025-05-12 08:38:00,20700,,21200,,20700,,20775,,,,,21300,20100,21300,21200,20687.25</t>
  </si>
  <si>
    <t>2025-05-12 08:38:00,7807767661.7601,576363232.929116,-21900.5465600189,-13603,-29665.321938763,-23963.3,-138.762427224421,-5455.79,579.11</t>
  </si>
  <si>
    <t>2025-05-12 08:38:00,2200127064.89312,120505301.683169,-19800.8619551945,-13002,-32489.9425582146,-17029.64,-16.9083923917657,-3830.93,503.785</t>
  </si>
  <si>
    <t>2025-05-12 08:38:00,81364655.1792847,24725186.7522831,,-2512,,-14758.73,2.54477476333027,-385.64,5802.75</t>
  </si>
  <si>
    <t>2025-05-12 08:38:00,174262258.22699,32038.2218204751,,39,,1802.23,0.0380344479027998,9.94,20687.25</t>
  </si>
  <si>
    <t>2025-05-12 08:39:00,580,,585,,580,,578.5,,,,,585,560,578,585,579.09</t>
  </si>
  <si>
    <t>2025-05-12 08:39:00,500,,,500,500,,504,504,,,,510,500,504,500,503.69</t>
  </si>
  <si>
    <t>2025-05-12 08:39:00,5900,,5850,,,6000,5810,,,,,6000,5750,5760,6000,5802.25</t>
  </si>
  <si>
    <t>2025-05-12 08:39:00,20700,,21200,,20700,,20775,,,,,21200,20100,21300,20200,20687.25</t>
  </si>
  <si>
    <t>2025-05-12 08:39:00,7872702105.37422,612941934.261612,-9452.35419094791,-3238,-13237.4164903846,-5499.76,-341.831932255685,-1238.69,579.09</t>
  </si>
  <si>
    <t>2025-05-12 08:39:00,2238545802.24602,142085814.527647,-2009.1144496086,-532,-2591.51449909103,-2541.51,54.6650738581896,-133.71,503.69</t>
  </si>
  <si>
    <t>2025-05-12 08:39:00,80591863.5637249,24921769.6350138,,-1048,,-5198.52,-6.32272613563995,-232.71,5802.25</t>
  </si>
  <si>
    <t>2025-05-12 08:39:00,174061847.695754,36027.8659143878,,21,,-244.4,0.0188927599452709,-3.19,20687.25</t>
  </si>
  <si>
    <t>2025-05-12 08:40:00,580,,585,,580,,578.5,,,,,585,560,578,575,579.32</t>
  </si>
  <si>
    <t>2025-05-12 08:40:00,500,,508,,500,,504,,,,,510,490,504,500,503.95</t>
  </si>
  <si>
    <t>2025-05-12 08:40:00,5900,,5850,,,6000,5800,,,,,6000,5750,5760,6000,5804.75</t>
  </si>
  <si>
    <t>2025-05-12 08:40:00,20700,,21200,,20700,,20775,,,,,21200,20100,21300,20200,20693</t>
  </si>
  <si>
    <t>2025-05-12 08:40:00,7946377564.55229,776441264.522039,3160.2059107559,1769,6024.40318581414,-5667.47,43.5444305183605,-279.35,579.32</t>
  </si>
  <si>
    <t>2025-05-12 08:40:00,2208142876.85626,180526177.163213,-4990.85283504189,-7147,-4276.76547699778,-14413.17,-145.868083158019,-2356.8,503.95</t>
  </si>
  <si>
    <t>2025-05-12 08:40:00,81410312.0504425,28843183.1244446,,1172,,-10281.64,1.37823314850473,-70.55,5804.75</t>
  </si>
  <si>
    <t>2025-05-12 08:40:00,176355604.421569,43002.451370879,,-54,,-2072.45,0.0551349700743819,-15.44,20693</t>
  </si>
  <si>
    <t>2025-05-12 08:42:00,580,,585,,580,,578.5,,,,,585,560,578,585,578.99</t>
  </si>
  <si>
    <t>2025-05-12 08:42:00,500,,,500,500,,504,,,,,510,490,504,500,503.43</t>
  </si>
  <si>
    <t>2025-05-12 08:42:00,5900,,5850,,,6000,5800,,,,,6000,5750,5760,6000,5801.5</t>
  </si>
  <si>
    <t>2025-05-12 08:42:00,20700,,21200,,20700,,20725,,,,,21200,20150,21300,20150,20671</t>
  </si>
  <si>
    <t>2025-05-12 08:42:00,7846208648.95657,648179014.357588,10928.7343040946,8253,25743.2508991238,18979.55,-154.599282440632,3642.26,578.99</t>
  </si>
  <si>
    <t>2025-05-12 08:42:00,2216486789.6148,127208475.518278,8993.70422737267,5267,21036.4028613834,11094.77,88.3950469998119,1967.46,503.43</t>
  </si>
  <si>
    <t>2025-05-12 08:42:00,87294408.6135669,26074139.6583319,,1344,,25444.93,2.30341957586182,484.34,5801.5</t>
  </si>
  <si>
    <t>2025-05-12 08:42:00,172261375.458775,7973.87249043108,,-211,,1496.91,0.0983680353267301,6.16,20671</t>
  </si>
  <si>
    <t>2025-05-12 08:43:00,580,,580,,580,,578.5,,,579,,585,575,578,585,578.51</t>
  </si>
  <si>
    <t>2025-05-12 08:43:00,500,,,500,500,,504,,,,,510,490,504,500,502.99</t>
  </si>
  <si>
    <t>2025-05-12 08:43:00,5900,,5850,,,6000,5800,,,,,6000,5750,5760,6000,5797.25</t>
  </si>
  <si>
    <t>2025-05-12 08:43:00,20700,,,,20700,,20725,,,,,21200,20150,21300,20150,20651.25</t>
  </si>
  <si>
    <t>2025-05-12 08:43:00,7924699264.91559,669313997.304838,18517.2963344499,22646,33081.9501588666,40637.57,-242.801291497814,9443.47,578.51</t>
  </si>
  <si>
    <t>2025-05-12 08:43:00,2253545726.41267,119249045.240072,5147.47832783158,6403,10154.3902665197,6356.19,17.4600097023362,2082.62,502.99</t>
  </si>
  <si>
    <t>2025-05-12 08:43:00,82675944.5715511,24752692.3164607,,-3070,,58684.88,-3.50778246321444,857.06,5797.25</t>
  </si>
  <si>
    <t>2025-05-12 08:43:00,174783589.078716,-9774.98107076634,,60,,370.2,-0.0423218807428888,4.23,20651.25</t>
  </si>
  <si>
    <t>2025-05-12 08:44:00,580,,580,,580,,578.5,,,,,585,575,578,585,578.62</t>
  </si>
  <si>
    <t>2025-05-12 08:44:00,500,,,500,500,,504,,,503,,510,500,504,500,503.31</t>
  </si>
  <si>
    <t>2025-05-12 08:44:00,5900,,5850,,,6000,5800,,,,,6000,5750,5760,6000,5799.25</t>
  </si>
  <si>
    <t>2025-05-12 08:44:00,20700,,21200,,20700,,20725,,,,,21200,20150,21300,20150,20663.75</t>
  </si>
  <si>
    <t>2025-05-12 08:44:00,7967194338.59121,685839366.871427,7603.03078471236,10658,17136.003987454,16232.58,200.361493655594,3903.17,578.62</t>
  </si>
  <si>
    <t>2025-05-12 08:44:00,2258568201.59402,145516968.315056,13908.8328993256,7163,57530.2179070176,32261.64,153.749301687301,4037.93,503.31</t>
  </si>
  <si>
    <t>2025-05-12 08:44:00,82016977.7002114,27941295.1388125,,467,,-1092.76,0.102316719946234,16.51,5799.25</t>
  </si>
  <si>
    <t>2025-05-12 08:44:00,178689661.148092,14494.9848584843,,99,,-200.84,0.0393431501887355,4.03,20663.75</t>
  </si>
  <si>
    <t>2025-05-12 08:45:00,580,,580,,580,,578.5,,,,,585,560,578,585,579.06</t>
  </si>
  <si>
    <t>2025-05-12 08:45:00,500,,,500,500,,504,,,,,510,500,504,493,503.68</t>
  </si>
  <si>
    <t>2025-05-12 08:45:00,5900,,5850,,,6000,5800,,,,,6000,5750,5650,6000,5802.25</t>
  </si>
  <si>
    <t>2025-05-12 08:45:00,20700,,21200,,20700,,20725,,,,,21200,20150,21300,20150,20682.25</t>
  </si>
  <si>
    <t>2025-05-12 08:45:00,8002730112.06277,863673757.549311,2181.4832406482,1643,9641.66696882,3967.67,57.6859492820751,804.64,579.06</t>
  </si>
  <si>
    <t>2025-05-12 08:45:00,2265712109.20658,203639344.296006,1594.46756090315,-583,2211.50519991086,-13114.69,88.9928445988959,-1277.07,503.68</t>
  </si>
  <si>
    <t>2025-05-12 08:45:00,81216798.5916422,31407799.3798983,,-17,,-4036.62,1.79580070428121,-35.29,5802.25</t>
  </si>
  <si>
    <t>2025-05-12 08:45:00,180791870.961995,31103.9442581844,,-23,,-296.63,-0.00397234715302733,-2.11,20682.25</t>
  </si>
  <si>
    <t>2025-05-12 08:46:00,580,,580,,580,,578.5,579,,,,585,560,580,585,578.745</t>
  </si>
  <si>
    <t>2025-05-12 08:46:00,500,,,500,500,,504,,,,,510,500,504,493,503.63</t>
  </si>
  <si>
    <t>2025-05-12 08:46:00,5900,,5850,,,6000,5800,,,,,6000,5650,5650,6000,5800.25</t>
  </si>
  <si>
    <t>2025-05-12 08:46:00,20700,,21200,,20700,,20725,,,,,21200,20150,21300,20150,20679.5</t>
  </si>
  <si>
    <t>2025-05-12 08:46:00,8016779027.18816,810620430.636366,13745.6727716728,17834,30507.4065702076,31322.82,19.7057120270088,7047.52,578.745</t>
  </si>
  <si>
    <t>2025-05-12 08:46:00,2262594167.48584,224333167.630285,8249.67484128187,6674,16964.8285713543,12302.28,234.262038106252,2657.64,503.63</t>
  </si>
  <si>
    <t>2025-05-12 08:46:00,83967490.2270498,33425947.6466976,,2105,,45374.62,-0.377241294112616,893.66,5800.25</t>
  </si>
  <si>
    <t>2025-05-12 08:46:00,180025325.595771,39715.1060945843,,98,,2111.26,0.0223493124399754,15.29,20679.5</t>
  </si>
  <si>
    <t>2025-05-12 08:47:00,580,,580,,580,,578.5,,,,,585,560,580,585,578.51</t>
  </si>
  <si>
    <t>2025-05-12 08:47:00,500,,,500,490,,504,,,,,510,500,505,493,503.07</t>
  </si>
  <si>
    <t>2025-05-12 08:47:00,5900,,5850,,,6000,5800,,,,,6000,5750,5650,6000,5795.25</t>
  </si>
  <si>
    <t>2025-05-12 08:47:00,20700,,21200,,20700,,20725,,,,,21200,20150,21300,20150,20662.25</t>
  </si>
  <si>
    <t>2025-05-12 08:47:00,7996414235.28189,765902083.820181,-6876.78461538464,-8389,-5078.39219813522,-8623.83,-6.36096291412901,-2900.49,578.51</t>
  </si>
  <si>
    <t>2025-05-12 08:47:00,2277850625.03705,219043014.431872,7879.40845845761,4681,16464.7192702855,10678.17,68.7342751669734,2135.7,503.07</t>
  </si>
  <si>
    <t>2025-05-12 08:47:00,86474040.748381,28525662.3022008,,-695,,29500.51,-4.99433747355898,616.35,5795.25</t>
  </si>
  <si>
    <t>2025-05-12 08:47:00,175190302.75277,24426.9246087052,,46,,1454.48,0.0107692592802238,8.03,20662.25</t>
  </si>
  <si>
    <t>2025-05-12 08:48:00,580,,580,,580,,578.5,,,,,585,560,580,585,578.63</t>
  </si>
  <si>
    <t>2025-05-12 08:48:00,500,,,500,500,,504,,,,,510,500,504,496,503.23</t>
  </si>
  <si>
    <t>2025-05-12 08:48:00,5900,,5850,,,6000,5800,,,,,6000,5750,5650,6000,5798.25</t>
  </si>
  <si>
    <t>2025-05-12 08:48:00,20700,,21200,,20700,,20725,,,,,21200,20150,21300,20150,20667.25</t>
  </si>
  <si>
    <t>2025-05-12 08:48:00,8003014698.27548,739030150.998323,-7501.2176798692,-3442,-9037.39053830005,-5467.87,514.330820746824,-1422.42,578.63</t>
  </si>
  <si>
    <t>2025-05-12 08:48:00,2266586521.52071,203031738.866475,-4415.7850291951,-1867,-2375.92673710123,-495.93,156.536166514285,-263.19,503.23</t>
  </si>
  <si>
    <t>2025-05-12 08:48:00,82584667.0885167,32799288.9909711,,-793,,-5957.61,0.553916276350486,-192.76,5798.25</t>
  </si>
  <si>
    <t>2025-05-12 08:48:00,174647894.99166,23347.0639843322,,-61,,-997.76,0.0272024577857103,-3.95,20667.25</t>
  </si>
  <si>
    <t>2025-05-12 08:49:00,580,,580,,580,,578.5,,,,,585,560,580,585,578.91</t>
  </si>
  <si>
    <t>2025-05-12 08:49:00,500,,505,,500,,504,,,,,510,500,504,493,503.88</t>
  </si>
  <si>
    <t>2025-05-12 08:49:00,5900,,5850,,,6000,5800,,,,,6000,5750,5650,6000,5800.5</t>
  </si>
  <si>
    <t>2025-05-12 08:49:00,20700,,21200,,20700,,20725,,,,,21200,20150,21300,20150,20690.25</t>
  </si>
  <si>
    <t>2025-05-12 08:49:00,7990139221.9337,999580444.470564,24568.245,10123,46326.698820202,15659.56,7.53932845521137,3699.56,578.91</t>
  </si>
  <si>
    <t>2025-05-12 08:49:00,2235836803.85227,334984074.743046,5597.65489503326,2831,5503.60049441881,892.14,-121.866888518984,592.02,503.88</t>
  </si>
  <si>
    <t>2025-05-12 08:49:00,84960092.9669788,37507469.4926051,,1058,,12879.74,-0.808808199022753,321.19,5800.5</t>
  </si>
  <si>
    <t>2025-05-12 08:49:00,178891062.62914,44792.804772994,,34,,-497.15,0.0453055599757209,2.08,20690.25</t>
  </si>
  <si>
    <t>2025-05-12 08:50:00,580,,580,,580,,578.5,,,,,585,560,580,585,579.24</t>
  </si>
  <si>
    <t>2025-05-12 08:50:00,500,,505,,500,,504,,,,,510,500,505,496,504.22</t>
  </si>
  <si>
    <t>2025-05-12 08:50:00,5900,,5850,,,6000,5800,,,,,6000,5750,5650,6000,5804</t>
  </si>
  <si>
    <t>2025-05-12 08:50:00,20700,,21200,,20700,,20725,,,,,21200,20150,21300,20150,20704</t>
  </si>
  <si>
    <t>2025-05-12 08:50:00,8004845917.68157,1195456916.97871,4116.93392029926,1890,3474.07491816719,227.49,-5.43487174569522,296.37,579.24</t>
  </si>
  <si>
    <t>2025-05-12 08:50:00,2220312249.02572,409871857.462866,-565.658496909268,958,2335.4545911064,1999.3,474.023202893134,732.57,504.22</t>
  </si>
  <si>
    <t>2025-05-12 08:50:00,84420036.1054208,42339857.2798819,,-1840,,-48580.04,-1.47223402325986,-776.36,5804</t>
  </si>
  <si>
    <t>2025-05-12 08:50:00,181216755.149033,80334.8291536863,,-216,,-2114.42,-0.0832239650879683,-18.06,20704</t>
  </si>
  <si>
    <t>2025-05-12 08:51:00,580,,580,,580,,578.5,,,,,585,570,580,585,579.21</t>
  </si>
  <si>
    <t>2025-05-12 08:51:00,500,,505,,500,,503,504,,,,505,500,504,496,504.12</t>
  </si>
  <si>
    <t>2025-05-12 08:51:00,5900,,5850,,,6000,5800,,,,,6000,5750,5650,6000,5803.75</t>
  </si>
  <si>
    <t>2025-05-12 08:51:00,20700,,21200,,20700,,20675,,,,,21200,20150,21300,20150,20700</t>
  </si>
  <si>
    <t>2025-05-12 08:51:00,7998934111.8764,1283059642.45998,4967.3370962371,-979,10570.3172823843,-3667.76,55.8292652203407,-357.82,579.21</t>
  </si>
  <si>
    <t>2025-05-12 08:51:00,2221820690.14669,460077625.315728,-1373.61356093181,-2357,-2106.45236378256,-1712.92,42.649989639826,-402.28,504.12</t>
  </si>
  <si>
    <t>2025-05-12 08:51:00,83667643.3586915,42234641.1567429,,-2868,,-58631.47,-0.772768963881863,-927.02,5803.75</t>
  </si>
  <si>
    <t>2025-05-12 08:51:00,182138863.955538,82739.6298139235,,24,,1685.36,0.0330136736699134,8.48,20700</t>
  </si>
  <si>
    <t>2025-05-12 08:52:00,580,,580,,580,,578.5,,,,,585,560,580,585,579.41</t>
  </si>
  <si>
    <t>2025-05-12 08:52:00,500,,505,,500,,503,,,,,505,500,504,496,504.37</t>
  </si>
  <si>
    <t>2025-05-12 08:52:00,5900,,5850,,,6000,5800,,,,,6000,5750,5650,6000,5805.75</t>
  </si>
  <si>
    <t>2025-05-12 08:52:00,20700,,21200,,20700,,20675,,,,,21200,20150,21300,20150,20710.75</t>
  </si>
  <si>
    <t>2025-05-12 08:52:00,8011250438.06561,1552490679.52429,-3761.47529644268,-6264,-13176.0838025283,-22045.96,-52.0169176863337,-3466.86,579.41</t>
  </si>
  <si>
    <t>2025-05-12 08:52:00,2184286040.97526,523202301.372152,-4507.62227175562,-3699,-6623.16729208567,-5765.9,11.4439043696239,-1223.69,504.37</t>
  </si>
  <si>
    <t>2025-05-12 08:52:00,84596315.5444089,45719049.5412255,,-1360,,-17250.13,-1.28459958085652,-437.29,5805.75</t>
  </si>
  <si>
    <t>2025-05-12 08:52:00,176154773.254312,97563.3729748144,,-75,,-1880.28,-0.0171892086283771,-11.77,20710.75</t>
  </si>
  <si>
    <t>2025-05-12 08:53:00,580,,580,,580,,578.5,580,,,,585,575,580,585,579.88</t>
  </si>
  <si>
    <t>2025-05-12 08:53:00,500,,505,,500,,503,,505,,,505,500,504,503,504.87</t>
  </si>
  <si>
    <t>2025-05-12 08:53:00,5900,,5850,,,6000,5800,,5810,,,6000,5750,5650,6000,5810.5</t>
  </si>
  <si>
    <t>2025-05-12 08:53:00,20700,,21200,,20700,,20675,,,,,21200,20150,21300,20150,20732</t>
  </si>
  <si>
    <t>2025-05-12 08:53:00,7937467279.82598,1984573534.07479,-593.592226292273,4675,-2892.13194179907,5573.12,1087.68061096271,2365.54,579.88</t>
  </si>
  <si>
    <t>2025-05-12 08:53:00,2156670290.60958,735886483.404638,2202.59269011693,-1715,840.994299269947,-17134.73,-149.73552930898,-3032.56,504.87</t>
  </si>
  <si>
    <t>2025-05-12 08:53:00,85139668.2184218,56194927.1616575,,1610,,-31099.91,-1.47885116892167,-719.21,5810.5</t>
  </si>
  <si>
    <t>2025-05-12 08:53:00,181128349.253871,146928.849594927,,-59,,-2641.83,-0.0346317104617461,-14.52,20732</t>
  </si>
  <si>
    <t>2025-05-12 08:54:00,580,,580,,580,,578.5,580,,,,585,575,580,585,579.98</t>
  </si>
  <si>
    <t>2025-05-12 08:54:00,500,,505,,500,,503,,,,,505,500,504,503,505.048</t>
  </si>
  <si>
    <t>2025-05-12 08:54:00,5900,,5850,,,6000,5800,,,,,6000,5750,5650,6000,5812.5</t>
  </si>
  <si>
    <t>2025-05-12 08:54:00,20700,,21200,,20700,,20675,,,,,21200,20150,21300,20150,20734.75</t>
  </si>
  <si>
    <t>2025-05-12 08:54:00,7910379821.26703,2319748389.79365,4233.19628427132,-286,13307.3608416307,1208.29,306.496605997855,1002.65,579.98</t>
  </si>
  <si>
    <t>2025-05-12 08:54:00,2151398853.66919,823547424.084437,5282.15054883203,896,19359.5979175414,-2944.55,-238.861102706307,-580.75,505.048</t>
  </si>
  <si>
    <t>2025-05-12 08:54:00,84977084.8515732,62215483.3193739,,2607,,21587.52,3.03144508405294,467.82,5812.5</t>
  </si>
  <si>
    <t>2025-05-12 08:54:00,182000100.603539,156852.467151606,,34,,3537.65,-0.0212614359641496,15.46,20734.75</t>
  </si>
  <si>
    <t>2025-05-12 08:55:00,580,,580,,580,,578.5,,,579,,585,575,580,585,579.08</t>
  </si>
  <si>
    <t>2025-05-12 08:55:00,500,,505,,500,,503,,,,,505,500,504,503,503.93</t>
  </si>
  <si>
    <t>2025-05-12 08:55:00,5900,,5850,,,6000,5800,,,,,6000,5750,5650,6000,5802.5</t>
  </si>
  <si>
    <t>2025-05-12 08:55:00,20700,,21200,,20700,,20675,,,,,21200,20150,21300,20150,20692.25</t>
  </si>
  <si>
    <t>2025-05-12 08:55:00,7862688359.15224,1905967717.49513,10323.3778166278,-237,17194.4847733377,-323.979999999999,-510.230258542944,-357.59,579.08</t>
  </si>
  <si>
    <t>2025-05-12 08:55:00,2247159835.90328,613738920.163125,3970.00654252133,4279,13395.7742837629,9486.64,-316.08659747301,1881.53,503.93</t>
  </si>
  <si>
    <t>2025-05-12 08:55:00,85412969.4775361,45574646.6244008,,1587,,55751.68,-5.50085236230774,536.7,5802.5</t>
  </si>
  <si>
    <t>2025-05-12 08:55:00,186498243.106862,99564.5130329224,,37,,306.84,-0.0249106374608833,2.41,20692.25</t>
  </si>
  <si>
    <t>2025-05-12 08:56:00,580,,580,,580,,578.5,,,579,,585,575,580,585,578.97</t>
  </si>
  <si>
    <t>2025-05-12 08:56:00,500,,505,,500,,503,,,,504,505,500,505,495,503.9</t>
  </si>
  <si>
    <t>2025-05-12 08:56:00,5900,,5850,,,6000,5800,,,,,6000,5750,5760,6000,5801.25</t>
  </si>
  <si>
    <t>2025-05-12 08:56:00,20700,,21200,,20700,,20675,,,,,21200,20150,21300,20150,20691.75</t>
  </si>
  <si>
    <t>2025-05-12 08:56:00,7995214494.05261,2033889583.91709,19704.1462842713,10824,33239.7180761183,17797.53,14.7963081054255,4370.2,578.97</t>
  </si>
  <si>
    <t>2025-05-12 08:56:00,2260528042.69416,655931550.538232,10204.429074197,6592,14425.8610429962,7339.86,192.162157759279,2059.61,503.9</t>
  </si>
  <si>
    <t>2025-05-12 08:56:00,84632875.5130123,44759539.0861036,,1673,,17617.16,-5.09421115365662,470.89,5801.25</t>
  </si>
  <si>
    <t>2025-05-12 08:56:00,186206390.531162,105188.147858014,,50,,886.76,0.0221065815854079,5.85,20691.75</t>
  </si>
  <si>
    <t>2025-05-12 08:57:00,580,,580,,580,,578.5,,,,,585,575,580,585,579.07</t>
  </si>
  <si>
    <t>2025-05-12 08:57:00,500,,505,,500,,503,,,,,505,500,504,495,504.02</t>
  </si>
  <si>
    <t>2025-05-12 08:57:00,5900,,5850,,,6000,5800,,,,,6000,5750,5760,6000,5802.25</t>
  </si>
  <si>
    <t>2025-05-12 08:57:00,20700,,21200,,20700,,20675,,,,,21200,20150,21300,20150,20695.25</t>
  </si>
  <si>
    <t>2025-05-12 08:57:00,7975005731.0071,2120383897.98536,-3454.21271865391,-3688,-5055.75280851505,-6330.44,-51.9149524600376,-998.89,579.07</t>
  </si>
  <si>
    <t>2025-05-12 08:57:00,2209802634.9419,677565432.218686,-3143.87404694763,-3124,-3850.63828180084,-2986.81,-46.1144847356772,-598.78,504.02</t>
  </si>
  <si>
    <t>2025-05-12 08:57:00,82751244.5830912,46598020.7084911,,-534,,-8499.28,1.20341838204177,-172.61,5802.25</t>
  </si>
  <si>
    <t>2025-05-12 08:57:00,184815922.190936,111481.470072715,,-74,,-1869.74,-0.0121790877408383,-12.81,20695.25</t>
  </si>
  <si>
    <t>2025-05-12 08:58:00,580,,580,,580,,578.5,,,,,585,575,580,585,578.83</t>
  </si>
  <si>
    <t>2025-05-12 08:58:00,500,,505,,500,,503,,,,,505,500,505,495,503.96</t>
  </si>
  <si>
    <t>2025-05-12 08:58:00,5900,,5850,,,6000,5800,,,,,6000,5750,5760,6000,5800.25</t>
  </si>
  <si>
    <t>2025-05-12 08:58:00,20700,,21200,,20700,,20675,,,,,21200,20150,21300,20150,20693.25</t>
  </si>
  <si>
    <t>2025-05-12 08:58:00,7980721615.96503,1993530966.40395,1682.29646627877,-1823,7484.85670986844,2092.45,-167.855049691379,259.5,578.83</t>
  </si>
  <si>
    <t>2025-05-12 08:58:00,2182988621.23796,690339186.075223,3278.78879428965,3951,3270.16483935329,4798.33,124.493882198084,1234.09,503.96</t>
  </si>
  <si>
    <t>2025-05-12 08:58:00,85812138.374165,42726254.3563239,,1329,,16421.32,-4.70397150108025,376.15,5800.25</t>
  </si>
  <si>
    <t>2025-05-12 08:58:00,185528035.929895,106732.233034491,,10,,452.21,-0.0155332549297753,3.33,20693.25</t>
  </si>
  <si>
    <t>2025-05-12 08:59:00,580,,580,,580,,578.5,,,,,580,575,578,585,578.7</t>
  </si>
  <si>
    <t>2025-05-12 08:59:00,500,,505,,500,,503,,,,,505,500,505,495,503.75</t>
  </si>
  <si>
    <t>2025-05-12 08:59:00,5900,,5850,,,6000,5800,,,,,6000,5750,5760,6000,5798.75</t>
  </si>
  <si>
    <t>2025-05-12 08:59:00,20700,,21200,,20700,,20675,,,,,21200,20150,21300,20150,20685</t>
  </si>
  <si>
    <t>2025-05-12 08:59:00,8054217017.29378,1987208261.6471,-444.436717305749,-4754,974.152448557048,-4457.07,-441.483367229942,-1824.88,578.7</t>
  </si>
  <si>
    <t>2025-05-12 08:59:00,2269917097.09414,697844708.428146,-1432.94760380923,-1261,-3983.13665449839,-4531.16,2.9528922679988,-707.32,503.75</t>
  </si>
  <si>
    <t>2025-05-12 08:59:00,82880762.5057436,38172599.9313419,,-3512,,-21675.84,13.5917649410798,-642.76,5798.75</t>
  </si>
  <si>
    <t>2025-05-12 08:59:00,187630388.885876,93804.0594098563,,-38,,-694.46,0.0273389668800374,-5.39,20685</t>
  </si>
  <si>
    <t>2025-05-12 09:01:00,580,,580,,580,,578.5,,,,,580,575,580,585,578.75</t>
  </si>
  <si>
    <t>2025-05-12 09:01:00,500,,505,,500,,503,,,,,505,500,504,495,503.61</t>
  </si>
  <si>
    <t>2025-05-12 09:01:00,5900,,5850,,,6000,5800,,,,,6000,5750,5760,6000,5799.25</t>
  </si>
  <si>
    <t>2025-05-12 09:01:00,20700,,21200,,20700,,20650,,,,,21200,20150,21300,20150,20676.25</t>
  </si>
  <si>
    <t>2025-05-12 09:01:00,8014111899.14984,2734385794.86845,261282.174977321,51729,382020.823974152,73437.2,2440.76805322378,20089.63,578.75</t>
  </si>
  <si>
    <t>2025-05-12 09:01:00,2241685486.24438,586066547.194519,4291.45903359168,2592,9959.0477339051,5121.8,-129.25857900475,1158.71,503.61</t>
  </si>
  <si>
    <t>2025-05-12 09:01:00,84577073.3413182,38545844.3926814,,455,,-4391.34,-0.226331812868295,-57.85,5799.25</t>
  </si>
  <si>
    <t>2025-05-12 09:01:00,187932313.360664,67892.368713387,,1,,-170.31,0.013417368982113,-0.74,20676.25</t>
  </si>
  <si>
    <t>2025-05-12 09:01:00,580,,580,,580,,578.5,,,,,580,575,580,585,579.17</t>
  </si>
  <si>
    <t>2025-05-12 09:01:00,500,,505,,500,,503,,,,,505,500,506,495,503.74</t>
  </si>
  <si>
    <t>2025-05-12 09:01:00,5900,,5850,,,6000,5800,,,,,6000,5750,5760,6000,5803.25</t>
  </si>
  <si>
    <t>2025-05-12 09:01:00,20700,,21200,,20700,,20650,,,,,21200,20150,21300,20150,20685.75</t>
  </si>
  <si>
    <t>2025-05-12 09:01:00,8101383962.13697,3260805100.58423,2663.26176046177,6074,4577.18314474415,8586.27,327.926769704219,2738.95,579.17</t>
  </si>
  <si>
    <t>2025-05-12 09:01:00,2267845158.24348,675090678.499833,-2785.42807293532,-1916,-4483.15557929807,-4054.86,-13.9941179404552,-794.91,503.74</t>
  </si>
  <si>
    <t>2025-05-12 09:01:00,84358952.9388912,46775995.53472,,-1176,,-46614.03,0.418276599747707,-649.01,5803.25</t>
  </si>
  <si>
    <t>2025-05-12 09:01:00,188897387.427849,79598.9526787634,,-44,,-1979,0.0185016351307028,-10.63,20685.75</t>
  </si>
  <si>
    <t>2025-05-12 09:03:00,580,,580,,580,,578.5,,,,,580,575,580,570,579.255</t>
  </si>
  <si>
    <t>2025-05-12 09:03:00,500,,505,,500,,503,504,,,,505,500,504,495,504.049</t>
  </si>
  <si>
    <t>2025-05-12 09:03:00,5900,,5850,,,6000,5800,,,,,6000,5750,5760,6000,5803.75</t>
  </si>
  <si>
    <t>2025-05-12 09:03:00,20700,,21200,,20700,,20650,,,,,21200,20150,21300,20150,20696.75</t>
  </si>
  <si>
    <t>2025-05-12 09:03:00,8132090454.70645,3512909025.71531,2791.15038850038,4947,6890.65520945717,5386.67,204.022175383591,1155.99,579.255</t>
  </si>
  <si>
    <t>2025-05-12 09:03:00,2252787968.96779,818956400.886408,8799.56739133932,4035,14074.7979629174,5308.13,46.4992672050329,1365.92,504.049</t>
  </si>
  <si>
    <t>2025-05-12 09:03:00,85876390.6998143,49618006.4958596,,139,,6151.87,-2.99710600356026,87.55,5803.75</t>
  </si>
  <si>
    <t>2025-05-12 09:03:00,187195317.318363,103411.477963475,,-4,,705.42,0.00622834311968565,2.38,20696.75</t>
  </si>
  <si>
    <t>2025-05-12 09:04:00,580,,580,,580,,578.5,,,,,580,575,580,570,579.08</t>
  </si>
  <si>
    <t>2025-05-12 09:04:00,500,,505,,500,,503,,504,,,505,500,504,495,503.76</t>
  </si>
  <si>
    <t>2025-05-12 09:04:00,5900,,5850,,,6000,5800,,,,,6000,5750,5760,6000,5802.25</t>
  </si>
  <si>
    <t>2025-05-12 09:04:00,20700,,21200,,20700,,20650,,,,,21200,20150,21300,20150,20685.5</t>
  </si>
  <si>
    <t>2025-05-12 09:04:00,8068564786.59769,3511785845.8897,-3500.29145781755,-2467,-1196.57677195995,-1571.92,-387.986153777076,-428.09,579.08</t>
  </si>
  <si>
    <t>2025-05-12 09:04:00,2146348550.9067,752146793.767893,966.004871300917,3721,5498.79079330021,8530.1,-66.6923107853964,1880.24,503.76</t>
  </si>
  <si>
    <t>2025-05-12 09:04:00,86088245.513119,47791840.3902768,,194,,2069.98,0.367944384920126,61.03,5802.25</t>
  </si>
  <si>
    <t>2025-05-12 09:04:00,186758224.736877,89970.0159338836,,77,,1200.56,0.00828669852118535,8.65,20685.5</t>
  </si>
  <si>
    <t>2025-05-12 09:05:00,580,,580,,580,,578.5,,,,,580,575,580,570,579.23</t>
  </si>
  <si>
    <t>2025-05-12 09:05:00,500,,505,,500,,503,,,,,505,500,504,495,503.99</t>
  </si>
  <si>
    <t>2025-05-12 09:05:00,5900,,5850,,,6000,5800,,,,,6000,5750,5760,6000,5804.5</t>
  </si>
  <si>
    <t>2025-05-12 09:05:00,20700,,21200,,20700,,20650,,,,,21200,20150,21300,20150,20693</t>
  </si>
  <si>
    <t>2025-05-12 09:05:00,8174370764.81848,3492711410.95119,-950.983758724973,3175,-2796.83244106553,1617.09,-94.989409406809,917.12,579.23</t>
  </si>
  <si>
    <t>2025-05-12 09:05:00,2229813598.02099,804504333.289845,1795.44900021794,2076,2841.32517919799,2484.12,39.1226865454009,764.92,503.99</t>
  </si>
  <si>
    <t>2025-05-12 09:05:00,86414810.0850081,51022053.7900449,,545,,-2229.51,-1.24855991657978,27.31,5804.5</t>
  </si>
  <si>
    <t>2025-05-12 09:05:00,195265866.935334,103537.608155823,,-10,,-358.11,0.00233715354461551,-2.4,20693</t>
  </si>
  <si>
    <t>2025-05-12 09:06:00,580,,580,,580,,578.5,,580,,,580,575,580,570,579.6</t>
  </si>
  <si>
    <t>2025-05-12 09:06:00,500,,505,,500,,503,,504,,,505,500,506,495,504.42</t>
  </si>
  <si>
    <t>2025-05-12 09:06:00,5900,,5850,,,6000,5800,,,,,6000,5750,5760,6000,5807.75</t>
  </si>
  <si>
    <t>2025-05-12 09:06:00,20700,,20900,,20700,,20650,,,,,21200,20150,21300,20150,20712.75</t>
  </si>
  <si>
    <t>2025-05-12 09:06:00,8107610249.83722,3888081370.09063,219.730957452509,-30,-1758.91046311256,-5660.53,-448.129722995168,-1029.52,579.6</t>
  </si>
  <si>
    <t>2025-05-12 09:06:00,2236397775.79222,995740495.091573,-1013.76421328406,-3404,-1436.77282104397,-6978.63,-111.579285999303,-1630.54,504.42</t>
  </si>
  <si>
    <t>2025-05-12 09:06:00,84516055.6945843,58945675.4847606,,524,,6076.15,2.74224898549569,192.62,5807.75</t>
  </si>
  <si>
    <t>2025-05-12 09:06:00,194434856.485139,152776.117609987,,-103,,-2579.37,-0.0720697318577777,-20.79,20712.75</t>
  </si>
  <si>
    <t>2025-05-12 09:07:00,580,,580,,580,,578.5,,,,,580,575,580,585,579.32</t>
  </si>
  <si>
    <t>2025-05-12 09:07:00,500,,505,,500,,503,,,,,505,500,504,495,504.24</t>
  </si>
  <si>
    <t>2025-05-12 09:07:00,5900,,5850,,,6000,5800,,,,,6000,5750,5760,6000,5805</t>
  </si>
  <si>
    <t>2025-05-12 09:07:00,20700,,20900,,20700,,20650,,,,,21200,20150,21300,20150,20704.25</t>
  </si>
  <si>
    <t>2025-05-12 09:07:00,8160863409.16712,3683411382.91925,7387.10152347649,967,13225.0908897768,1142.03,-450.487402586771,186.1,579.32</t>
  </si>
  <si>
    <t>2025-05-12 09:07:00,2274240779.31108,924947840.141466,1999.93954963167,731,3226.77621155162,623.060000000001,17.1523584279868,258.57,504.24</t>
  </si>
  <si>
    <t>2025-05-12 09:07:00,84861137.8180826,54541907.0752229,,1040,,13740.74,4.61916660721081,395.5,5805</t>
  </si>
  <si>
    <t>2025-05-12 09:07:00,189673090.334516,148375.536665994,,7,,410.19,-0.0194712263000291,2.76,20704.25</t>
  </si>
  <si>
    <t>2025-05-12 09:08:00,580,,580,,580,,578.5,,,,,580,575,580,585,579.39</t>
  </si>
  <si>
    <t>2025-05-12 09:08:00,500,,505,,500,,503,,,,,505,500,506,495,504.47</t>
  </si>
  <si>
    <t>2025-05-12 09:08:00,5900,,5850,,,6000,5800,,,,,6000,5750,5760,6000,5806.25</t>
  </si>
  <si>
    <t>2025-05-12 09:08:00,20700,,20900,,20700,,20650,,,,,21200,20150,21300,20150,20711.75</t>
  </si>
  <si>
    <t>2025-05-12 09:08:00,8146698797.36184,3776118007.37388,2281.92134314959,3157,5459.27839010623,4097.07,-79.0698074778892,862.03,579.39</t>
  </si>
  <si>
    <t>2025-05-12 09:08:00,2187484810.00759,1025280857.55843,2655.68219803072,2236,3321.3252095535,2781.2,155.171361615661,716.68,504.47</t>
  </si>
  <si>
    <t>2025-05-12 09:08:00,86402327.6849916,57633682.3003855,,720,,6446.26,-1.203177963296,212.03,5806.25</t>
  </si>
  <si>
    <t>2025-05-12 09:08:00,197205616.875387,165236.494324659,,53,,1025.99,0.00100777489219835,8.25,20711.75</t>
  </si>
  <si>
    <t>2025-05-12 09:09:00,580,,580,,580,,578.5,,,,,580,575,580,570,579.085</t>
  </si>
  <si>
    <t>2025-05-12 09:09:00,500,,505,,500,,503,,,,,505,500,506,495,504.04</t>
  </si>
  <si>
    <t>2025-05-12 09:09:00,5900,,5850,,,6000,5800,,,,,6000,5750,5760,6000,5802.5</t>
  </si>
  <si>
    <t>2025-05-12 09:09:00,20700,,20900,,20700,,20650,,,,,21200,20150,21300,20150,20696</t>
  </si>
  <si>
    <t>2025-05-12 09:09:00,8143231485.82776,3298898225.36105,8451.77494912493,5827,19817.390500407,9858.33,-5.69446000101594,2394.73,579.085</t>
  </si>
  <si>
    <t>2025-05-12 09:09:00,2269030444.62016,808545437.226417,8792.69930237893,3366,15580.4632664631,5165.46,4.95209376154582,1278.53,504.04</t>
  </si>
  <si>
    <t>2025-05-12 09:09:00,89515117.9997227,49744881.3932315,,1241,,11713.35,0.473492989240951,302.89,5802.5</t>
  </si>
  <si>
    <t>2025-05-12 09:09:00,191404054.913537,131135.991160463,,121,,1854.95,0.0139480217556679,11.75,20696</t>
  </si>
  <si>
    <t>2025-05-12 09:10:00,580,,580,,580,,578.5,,,,,580,575,580,570,579.21</t>
  </si>
  <si>
    <t>2025-05-12 09:10:00,500,,505,,500,,503,,,504,,505,500,504,495,504.07</t>
  </si>
  <si>
    <t>2025-05-12 09:10:00,5900,,5850,,,6000,5800,,,,,6000,5750,5760,6000,5804</t>
  </si>
  <si>
    <t>2025-05-12 09:10:00,20700,,20900,,20700,,20650,,,,,21200,20150,21300,20150,20698</t>
  </si>
  <si>
    <t>2025-05-12 09:10:00,8141811311.36124,3916389038.99744,-3020.87528860029,-592,-5108.69001911977,-563.05,104.070629095013,44.77,579.21</t>
  </si>
  <si>
    <t>2025-05-12 09:10:00,2203292092.23097,959390290.491701,-1317.12918579029,-1700,-928.810036505482,-926.9,25.2940992665173,-370.29,504.07</t>
  </si>
  <si>
    <t>2025-05-12 09:10:00,87157402.1401137,52098361.9747218,,-2152,,-10909.97,-0.0220172221499005,-312.12,5804</t>
  </si>
  <si>
    <t>2025-05-12 09:10:00,194974012.497886,139444.39312052,,-8,,410.02,0.0136346727068566,2.43,20698</t>
  </si>
  <si>
    <t>2025-05-12 09:11:00,580,,580,,580,,578.5,,,,,580,575,580,570,579.38</t>
  </si>
  <si>
    <t>2025-05-12 09:11:00,500,,505,,500,,503,,,,,505,500,506,495,504.25</t>
  </si>
  <si>
    <t>2025-05-12 09:11:00,5900,,5850,,,6000,5800,,,,,6000,5750,5760,6000,5805.5</t>
  </si>
  <si>
    <t>2025-05-12 09:11:00,20700,,20900,,20700,,20650,,,,,21200,20150,21300,20150,20704.25</t>
  </si>
  <si>
    <t>2025-05-12 09:11:00,8095825795.41529,3488624816.95657,-970.611728549295,496,666.804483335937,-1428.16,-285.44982135466,-344.52,579.38</t>
  </si>
  <si>
    <t>2025-05-12 09:11:00,2252479619.16699,800423253.999201,-2511.5132518797,-3108,-2341.03651817043,-2875.61,-74.3144495966506,-870.98,504.25</t>
  </si>
  <si>
    <t>2025-05-12 09:11:00,88060883.7302645,54567759.1264606,,1135,,4576.82,-5.02074539190543,137.12,5805.5</t>
  </si>
  <si>
    <t>2025-05-12 09:11:00,193752883.762227,146279.759610524,,-6,,-1663.08,-0.0327850889228623,-4.29,20704.25</t>
  </si>
  <si>
    <t>2025-05-12 09:12:00,580,,580,,580,,578.5,,580,,,580,575,580,570,579.791</t>
  </si>
  <si>
    <t>2025-05-12 09:12:00,500,,505,,500,,503,,505,,,505,500,506,495,504.648</t>
  </si>
  <si>
    <t>2025-05-12 09:12:00,5900,,5850,,,6000,5800,,,,,6000,5750,5760,6000,5809.75</t>
  </si>
  <si>
    <t>2025-05-12 09:12:00,20700,,20900,,20700,,20650,,,,,21200,20150,21300,20150,20721.5</t>
  </si>
  <si>
    <t>2025-05-12 09:12:00,8199225598.32101,4526887275.23517,1223.57222777223,1269,3122.22789454987,-701.380000000001,-383.425206437094,-620.95,579.791</t>
  </si>
  <si>
    <t>2025-05-12 09:12:00,2200141615.5274,1100805067.8876,2887.05247778537,2261,4189.08554534062,2420.64,-269.247599281123,658.67,504.648</t>
  </si>
  <si>
    <t>2025-05-12 09:12:00,90089446.5101112,66202427.1302789,,-156,,-15396.82,5.10680729896843,-62.08,5809.75</t>
  </si>
  <si>
    <t>2025-05-12 09:12:00,195776078.880309,191284.124745259,,-3,,-668.34,0.0077054864659834,-1.17,20721.5</t>
  </si>
  <si>
    <t>2025-05-12 09:13:00,580,,580,,580,,578.5,,580,,,580,575,580,570,580.1</t>
  </si>
  <si>
    <t>2025-05-12 09:13:00,500,,505,,500,,503,,,,,505,500,506,495,504.89</t>
  </si>
  <si>
    <t>2025-05-12 09:13:00,5900,,5850,,,6000,5800,,,,,6000,5750,5760,6000,5812.75</t>
  </si>
  <si>
    <t>2025-05-12 09:13:00,20700,,20900,,20700,,20650,,,,,21200,20150,21300,20150,20732.25</t>
  </si>
  <si>
    <t>2025-05-12 09:13:00,8152221963.6427,4913113588.87073,7374.15225885233,1988,12287.8970838052,-3968.03,130.641488621523,-388.93,580.1</t>
  </si>
  <si>
    <t>2025-05-12 09:13:00,2240747513.74035,1193132504.97638,-101.750577423952,-458,1160.48932750995,-720.62,9.12241112487834,-96.2899999999999,504.89</t>
  </si>
  <si>
    <t>2025-05-12 09:13:00,86611229.8673141,74576433.9768067,,1496,,-1714.43,-3.55493556274939,144.17,5812.75</t>
  </si>
  <si>
    <t>2025-05-12 09:13:00,196631461.299081,219006.975156754,,-24,,-691.01,-0.00728429589901094,-5.39,20732.25</t>
  </si>
  <si>
    <t>2025-05-12 09:14:00,580,,580,,580,,578.5,580,,,,580,575,580,570,580.11</t>
  </si>
  <si>
    <t>2025-05-12 09:14:00,500,,505,,500,,503,505,,,,505,500,506,495,504.97</t>
  </si>
  <si>
    <t>2025-05-12 09:14:00,5900,,5850,,,6000,5800,,,,,6000,5750,5760,6000,5813</t>
  </si>
  <si>
    <t>2025-05-12 09:14:00,20700,,20900,,20700,,20650,,,,,21200,20150,21300,20150,20734.75</t>
  </si>
  <si>
    <t>2025-05-12 09:14:00,8149288317.98073,5110813472.22009,3672.930006105,4911,11663.098465812,13162,795.186240427064,3338.89,580.11</t>
  </si>
  <si>
    <t>2025-05-12 09:14:00,2265412327.78305,1292517316.63468,2177.798413196,3178,2877.38921862965,3586.54,25.5334273310443,1281.8,504.97</t>
  </si>
  <si>
    <t>2025-05-12 09:14:00,90021788.1568219,79345826.1213389,,-61,,9734.13,1.57530497414974,190.96,5813</t>
  </si>
  <si>
    <t>2025-05-12 09:14:00,199052546.935635,227505.084813831,,-22,,-208.96,0.0471749580667442,0.259999999999999,20734.75</t>
  </si>
  <si>
    <t>2025-05-12 09:15:00,580,,580,,580,,578.5,,,,,580,575,580,575,580.16</t>
  </si>
  <si>
    <t>2025-05-12 09:15:00,500,,505,,500,,503,505,,,,505,500,506,495,504.9</t>
  </si>
  <si>
    <t>2025-05-12 09:15:00,5900,,5850,,,6000,5800,,,,,6000,5750,5760,6000,5813.5</t>
  </si>
  <si>
    <t>2025-05-12 09:15:00,20700,,20900,,20700,,20650,,,,,21200,20150,21300,20150,20731</t>
  </si>
  <si>
    <t>2025-05-12 09:15:00,8190776624.35484,5225755089.83927,718.383333333334,-2287,5064.27990909091,-1230.52,-219.63343056497,-529.67,580.16</t>
  </si>
  <si>
    <t>2025-05-12 09:15:00,2223619478.93308,1251647334.99641,5459.81777358075,4322,11045.6668175782,6716.43,-82.8607139044798,1654.48,504.9</t>
  </si>
  <si>
    <t>2025-05-12 09:15:00,90976281.2653747,79120341.1411044,,331,,6643.44,-0.973121283767261,178.24,5813.5</t>
  </si>
  <si>
    <t>2025-05-12 09:15:00,199510949.290452,217529.534219834,,-1,,122.85,0.000752772520513562,1,20731</t>
  </si>
  <si>
    <t>2025-05-12 09:16:00,580,,580,,580,,578.5,,580,,,580,575,580,575,580.32</t>
  </si>
  <si>
    <t>2025-05-12 09:16:00,500,,505,,500,,503,505,,,,505,500,505,495,505.25</t>
  </si>
  <si>
    <t>2025-05-12 09:16:00,5900,,5850,,,6000,5800,,,,,6000,5750,5760,6000,5815</t>
  </si>
  <si>
    <t>2025-05-12 09:16:00,20700,,20900,,20700,,20650,,,,,21200,20150,21300,20150,20747</t>
  </si>
  <si>
    <t>2025-05-12 09:16:00,8113058140.93519,5732924190.50954,8053.70339105341,7819,13024.6762604618,7268.46,662.214203034094,1754.32,580.32</t>
  </si>
  <si>
    <t>2025-05-12 09:16:00,2144470135.16842,1432348434.17098,-870.449854527621,-557,826.288886182854,977.78,209.180019858272,235.91,505.25</t>
  </si>
  <si>
    <t>2025-05-12 09:16:00,91405408.3841686,87298740.8454138,,-765,,-10756.12,-3.34584748159784,-378.37,5815</t>
  </si>
  <si>
    <t>2025-05-12 09:16:00,193932356.169646,265259.044480552,,-17,,-659.68,-0.0136813088315246,-5.39,20747</t>
  </si>
  <si>
    <t>2025-05-12 09:17:00,580,,580,,580,,578.5,580,,,,580,575,580,575,580.17</t>
  </si>
  <si>
    <t>2025-05-12 09:17:00,500,,505,,500,,503,,,,,505,500,506,495,505.08</t>
  </si>
  <si>
    <t>2025-05-12 09:17:00,5900,,5850,,,6000,5800,,,,,6000,5750,5760,6000,5814</t>
  </si>
  <si>
    <t>2025-05-12 09:17:00,20700,,20900,,20700,,20650,,,,,21200,20150,21300,20150,20739.5</t>
  </si>
  <si>
    <t>2025-05-12 09:17:00,8062130566.89895,5541195560.80847,-2813.16495682493,-4428,-1218.71701329701,-6620.46,274.730578381761,-1301.69,580.17</t>
  </si>
  <si>
    <t>2025-05-12 09:17:00,2201503814.78386,1335842973.55933,,-1701,,-510.62,103.581303206833,-214.26,505.08</t>
  </si>
  <si>
    <t>2025-05-12 09:17:00,90557338.467415,84524709.3873128,,-1174,,-9158.09,5.14883413404849,-220.08,5814</t>
  </si>
  <si>
    <t>2025-05-12 09:17:00,194403332.661599,261477.555070042,,37,,1165.64,0.0453632949473096,8.76,20739.5</t>
  </si>
  <si>
    <t>2025-05-12 09:18:00,580,,580,,580,,578.5,,,,,580,575,580,575,580</t>
  </si>
  <si>
    <t>2025-05-12 09:18:00,500,,505,,500,,503,,,,,505,500,506,495,504.81</t>
  </si>
  <si>
    <t>2025-05-12 09:18:00,5900,,5850,,,6000,5800,,,,,6000,5750,5760,6000,5811.75</t>
  </si>
  <si>
    <t>2025-05-12 09:18:00,20700,,20900,,20700,,20650,,,,,21200,20150,21300,20150,20729.25</t>
  </si>
  <si>
    <t>2025-05-12 09:18:00,8229777582.97552,5431865466.18481,6650.64040404043,2306,14473.5731421357,4461.16,0.575361941557809,768.96,580</t>
  </si>
  <si>
    <t>2025-05-12 09:18:00,2255916443.75899,1190442096.60769,1723.72494836799,1578,3643.43039218485,2438.34,-19.2692033973768,485.61,504.81</t>
  </si>
  <si>
    <t>2025-05-12 09:18:00,90437894.0016857,80473704.3989879,,529,,10961.99,0.194740488877035,287.27,5811.75</t>
  </si>
  <si>
    <t>2025-05-12 09:18:00,200618530.452195,243819.223087649,,42,,1644.46,-0.00251550295665791,9.11,20729.25</t>
  </si>
  <si>
    <t>2025-05-12 09:19:00,580,,580,,580,,578.5,,,,,580,578,580,575,580.025</t>
  </si>
  <si>
    <t>2025-05-12 09:19:00,500,,505,,500,,503,505,,,,505,500,505,495,504.78</t>
  </si>
  <si>
    <t>2025-05-12 09:19:00,5900,,5850,,,6000,5800,,,,,6000,5750,5760,6000,5812</t>
  </si>
  <si>
    <t>2025-05-12 09:19:00,20700,,20900,,20700,,20650,,,,,21200,20150,21300,20150,20726.75</t>
  </si>
  <si>
    <t>2025-05-12 09:19:00,8131760205.36479,5689673392.19796,706.947558922558,4249,3658.33075084175,5604.75,183.549364342373,1374.31,580.025</t>
  </si>
  <si>
    <t>2025-05-12 09:19:00,2203136621.09149,1335793906.98772,9750.55111658872,4743,15445.2369044294,6396.66,-7.40768619333971,1835.74,504.78</t>
  </si>
  <si>
    <t>2025-05-12 09:19:00,90104431.3514019,82974187.6992789,,1350,,31027.24,4.20442194755656,475.09,5812</t>
  </si>
  <si>
    <t>2025-05-12 09:19:00,196773332.008931,251152.7375834,,17,,592.01,0.018242635161916,4.62,20726.75</t>
  </si>
  <si>
    <t>2025-05-12 09:20:00,580,,580,,580,,578.5,,,,,580,578,580,570,579.68</t>
  </si>
  <si>
    <t>2025-05-12 09:20:00,500,,505,,500,,503,,,,,505,500,506,495,504.42</t>
  </si>
  <si>
    <t>2025-05-12 09:20:00,5900,,5850,,,6000,5800,,,,,6000,5750,5760,6000,5810</t>
  </si>
  <si>
    <t>2025-05-12 09:20:00,20700,,20900,,20700,,20650,,,,,21200,20150,21300,20150,20710.75</t>
  </si>
  <si>
    <t>2025-05-12 09:20:00,8267403709.91144,5292296612.4195,1199.21403318903,467,3295.55901984126,2841.44,-249.996741336593,693.7,579.68</t>
  </si>
  <si>
    <t>2025-05-12 09:20:00,2253888173.34947,1119916410.11537,118.452296859849,144,338.90493491635,776.61,-45.3495155930241,89.7899999999999,504.42</t>
  </si>
  <si>
    <t>2025-05-12 09:20:00,90730525.6212605,76724071.626137,,-554,,-280.46,-4.87976437159288,-43.92,5810</t>
  </si>
  <si>
    <t>2025-05-12 09:20:00,199447771.678652,215770.497753506,,21,,657.41,0.0294246026776614,5.32,20710.75</t>
  </si>
  <si>
    <t>2025-05-12 09:21:00,580,,580,,580,,578.5,,,579,,580,578,580,570,579.27</t>
  </si>
  <si>
    <t>2025-05-12 09:21:00,500,,505,,500,,503,,,504,,505,500,505,495,504.23</t>
  </si>
  <si>
    <t>2025-05-12 09:21:00,5900,,5850,,,6000,5800,,,,,6000,5750,5760,6000,5805</t>
  </si>
  <si>
    <t>2025-05-12 09:21:00,20700,,20900,,20700,,20650,,,,,21200,20150,21300,20150,20699.75</t>
  </si>
  <si>
    <t>2025-05-12 09:21:00,8262970744.66624,4881027806.42097,10643.4184371184,11156,17330.3469030969,15324.81,-25.5831143418395,4101.37,579.27</t>
  </si>
  <si>
    <t>2025-05-12 09:21:00,2218391275.37657,1076681162.92889,1840.99991723963,5225,656.89703991598,7879.26,95.753990290826,2051.78,504.23</t>
  </si>
  <si>
    <t>2025-05-12 09:21:00,90709485.6972235,64542999.8319702,,1106,,11492.57,0.970610413253299,362.12,5805</t>
  </si>
  <si>
    <t>2025-05-12 09:21:00,208460186.962748,207585.226817396,,37,,1600.56,0.0325107087594146,12.23,20699.75</t>
  </si>
  <si>
    <t>2025-05-12 09:22:00,580,,580,,580,,578.5,,580,,,580,578,580,575,579.53</t>
  </si>
  <si>
    <t>2025-05-12 09:22:00,500,,505,,500,,503,,,504,,505,500,505,495,504.38</t>
  </si>
  <si>
    <t>2025-05-12 09:22:00,5900,,5850,,,6000,5800,,,,,6000,5750,5760,6000,5806.75</t>
  </si>
  <si>
    <t>2025-05-12 09:22:00,20700,,20900,,20700,,20650,,,,,21200,20150,21300,20150,20710.25</t>
  </si>
  <si>
    <t>2025-05-12 09:22:00,8286278241.23677,5053602805.75001,-21567.9765151515,-8317,-28666.7141396104,-12411,141.187122696807,-3887.9,579.53</t>
  </si>
  <si>
    <t>2025-05-12 09:22:00,2218858415.27077,1098242409.68445,-8112.47009881424,-7664,-6543.78851172597,-6249.65,-129.66954236377,-1758.58,504.38</t>
  </si>
  <si>
    <t>2025-05-12 09:22:00,88593689.6473618,68084110.3292563,,-1840,,6659.11,-1.53327397176125,-271.99,5806.75</t>
  </si>
  <si>
    <t>2025-05-12 09:22:00,198636347.595418,228616.736902344,,-17,,-51.44,-0.0263186821838508,-1.24,20710.25</t>
  </si>
  <si>
    <t>2025-05-12 09:24:00,580,,580,,580,,578.5,,,,,580,578,580,575,579.955</t>
  </si>
  <si>
    <t>2025-05-12 09:24:00,500,,505,,500,,503,505,,,,505,500,505,495,504.86</t>
  </si>
  <si>
    <t>2025-05-12 09:24:00,5900,,5850,,,6000,5800,,,,,6000,5750,5760,6000,5812</t>
  </si>
  <si>
    <t>2025-05-12 09:24:00,20700,,20800,,20700,,20650,,,,,21200,20150,21300,20150,20728</t>
  </si>
  <si>
    <t>2025-05-12 09:24:00,8176907472.65994,5967839326.77832,-7023.58195526692,-4325,-11058.1156117604,-9178.46,205.253532479461,-2275.47,579.955</t>
  </si>
  <si>
    <t>2025-05-12 09:24:00,2148651433.80613,1430351003.01537,-2152.17568659199,-1619,-1736.69893825095,-1939.24,-2.15492267497496,-507.57,504.86</t>
  </si>
  <si>
    <t>2025-05-12 09:24:00,90723607.0313471,84292830.7304487,,-403,,-1202.62,0.208834345325982,-17.58,5812</t>
  </si>
  <si>
    <t>2025-05-12 09:24:00,198579108.264453,315907.617467487,,-107,,-5098.17,-0.169651241643111,-41.66,20728</t>
  </si>
  <si>
    <t>2025-05-12 09:25:00,580,,580,,580,,578.5,,,,,580,578,580,575,579.45</t>
  </si>
  <si>
    <t>2025-05-12 09:25:00,500,,505,,500,,503,,,,,505,500,505,495,504.24</t>
  </si>
  <si>
    <t>2025-05-12 09:25:00,5900,,5850,,,6000,5800,,,,,6000,5750,5760,6000,5806.5</t>
  </si>
  <si>
    <t>2025-05-12 09:25:00,20700,,20800,,20700,,20650,,,,,21200,20150,21300,20150,20704.25</t>
  </si>
  <si>
    <t>2025-05-12 09:25:00,8337094888.16445,4968781168.86086,-1725.83419913421,-3914,-253.607707070764,-3144.24,55.1828633178227,-1673,579.45</t>
  </si>
  <si>
    <t>2025-05-12 09:25:00,2285826268.78162,1106595583.91832,1321.36384389854,320,3033.62947683479,1380.77,232.085871960063,262.18,504.24</t>
  </si>
  <si>
    <t>2025-05-12 09:25:00,89171951.4475915,68388038.7910198,,531,,9146.08,4.99682931227236,273.41,5806.5</t>
  </si>
  <si>
    <t>2025-05-12 09:25:00,202048326.534023,267097.160165744,,22,,958.28,0.0234010461019815,6.19,20704.25</t>
  </si>
  <si>
    <t>2025-05-12 09:26:00,580,,580,,580,,578.5,,,,579,580,578,580,575,579.16</t>
  </si>
  <si>
    <t>2025-05-12 09:26:00,500,,505,,500,,503,,,,,505,500,505,495,504</t>
  </si>
  <si>
    <t>2025-05-12 09:26:00,5900,,5850,,,6000,5800,,,,,6000,5750,5760,6000,5803.25</t>
  </si>
  <si>
    <t>2025-05-12 09:26:00,20700,,20800,,20700,,20650,,,,,21200,20150,21300,20150,20694.75</t>
  </si>
  <si>
    <t>2025-05-12 09:26:00,8318746606.66557,4387939964.47986,-2872.58185425684,-5158,-4348.33375829723,-6600.69,160.596825101617,-1952.74,579.16</t>
  </si>
  <si>
    <t>2025-05-12 09:26:00,2272111524.5337,935027235.068128,1289.258625731,154,1326.52102339182,828.42,238.539855275227,177.33,504</t>
  </si>
  <si>
    <t>2025-05-12 09:26:00,91877364.0536244,59275077.6626587,,-1057,,-4918.7,0.249201998577196,-201.83,5803.25</t>
  </si>
  <si>
    <t>2025-05-12 09:26:00,200159912.20129,237996.579856057,,-9,,-441.91,0.0112448237967344,-3.13,20694.75</t>
  </si>
  <si>
    <t>2025-05-12 09:27:00,580,,580,,580,,578.5,,,579,,580,578,580,575,578.76</t>
  </si>
  <si>
    <t>2025-05-12 09:27:00,500,,505,,500,,503,,,,,510,500,505,495,503.455</t>
  </si>
  <si>
    <t>2025-05-12 09:27:00,5900,,5850,,,6000,5800,,,,,6000,5750,5760,6000,5799.5</t>
  </si>
  <si>
    <t>2025-05-12 09:27:00,20700,,20800,,20700,,20650,,,,,21200,20150,21300,20150,20671.25</t>
  </si>
  <si>
    <t>2025-05-12 09:27:00,8352730675.54398,3898341377.63426,6749.09672344564,16402,3960.96627431145,19317.37,-426.940479173941,6535.16,578.76</t>
  </si>
  <si>
    <t>2025-05-12 09:27:00,2309642766.90927,827643584.416408,1411.35473466274,3125,-1836.23314124741,1564.02,28.2035092764877,804.65,503.455</t>
  </si>
  <si>
    <t>2025-05-12 09:27:00,87481289.6064916,48903327.8752856,,-2091,,-7841.47,-4.63652435441626,-283.17,5799.5</t>
  </si>
  <si>
    <t>2025-05-12 09:27:00,198761256.564719,172133.431147264,,4,,458.69,0.0359506221782425,0.13,20671.25</t>
  </si>
  <si>
    <t>2025-05-12 09:28:00,580,,580,,580,,578.5,,,578,,580,578,580,575,578.02</t>
  </si>
  <si>
    <t>2025-05-12 09:28:00,500,,505,,500,,503,,,,503,510,500,505,495,502.625</t>
  </si>
  <si>
    <t>2025-05-12 09:28:00,5850,,5850,,,6000,5800,,,,,6000,5750,5760,6000,5792</t>
  </si>
  <si>
    <t>2025-05-12 09:28:00,20700,,20800,,20700,,20700,,,,,21200,20150,21300,20150,20637.75</t>
  </si>
  <si>
    <t>2025-05-12 09:28:00,8273244008.91996,2889900436.59515,-7521.70848644116,3086,-21246.105149977,1178.63,-556.473924739598,225.47,578.02</t>
  </si>
  <si>
    <t>2025-05-12 09:28:00,2303640116.82038,379369922.031187,2311.20967146557,6432,-118.89700743275,6373.72,89.1177704636647,1482.53,502.625</t>
  </si>
  <si>
    <t>2025-05-12 09:28:00,85180886.2557938,25891300.7807648,,-318,,-6507,4.76838646328376,-263.23,5792</t>
  </si>
  <si>
    <t>2025-05-12 09:28:00,192650355.597642,86265.0993227079,,69,,843.14,-0.0529754099060251,7.56,20637.75</t>
  </si>
  <si>
    <t>2025-05-12 09:29:00,580,,580,,580,,578.5,,,578,,580,578,580,575,578.01</t>
  </si>
  <si>
    <t>2025-05-12 09:29:00,500,,505,,490,,503,,,502,,510,500,505,495,502.47</t>
  </si>
  <si>
    <t>2025-05-12 09:29:00,5900,,,5750,,6000,5800,,,,,6000,5750,5760,6000,5791.5</t>
  </si>
  <si>
    <t>2025-05-12 09:29:00,20700,,20800,,20700,,20700,,,,,21200,20150,21300,20150,20629.5</t>
  </si>
  <si>
    <t>2025-05-12 09:29:00,8325864233.36212,3001617412.73083,-14102.4917233839,-5680,-2455.77298990294,10750.38,-636.088208647834,1448.29,578.01</t>
  </si>
  <si>
    <t>2025-05-12 09:29:00,2283998429.1203,370924306.038105,434.191020644112,976,2876.1900482001,5239.4,39.9417711437399,1455.38,502.47</t>
  </si>
  <si>
    <t>2025-05-12 09:29:00,85521554.784737,19605528.6812162,,3318,,25524.03,-21.8396780649297,868.99,5791.5</t>
  </si>
  <si>
    <t>2025-05-12 09:29:00,190262924.208127,71781.9518631722,,56,,993.23,-0.000445365686403793,7.4,20629.5</t>
  </si>
  <si>
    <t>2025-05-12 09:30:00,580,,580,,580,,578.5,,,578,,580,578,578,571,577.69</t>
  </si>
  <si>
    <t>2025-05-12 09:30:00,500,,,500,490,,503,,,,,510,500,505,495,502.1</t>
  </si>
  <si>
    <t>2025-05-12 09:30:00,5850,,,5750,,6000,5800,,,,,6000,5750,5760,6000,5788.5</t>
  </si>
  <si>
    <t>2025-05-12 09:30:00,20700,,20800,,20700,,20700,,,,,21200,20150,21300,20150,20617.25</t>
  </si>
  <si>
    <t>2025-05-12 09:30:00,8252999997.89159,1797557149.55293,4119.04071484072,14901,4328.10512470863,20549.99,-1130.41359954631,6267.86,577.69</t>
  </si>
  <si>
    <t>2025-05-12 09:30:00,2305424063.175,-86662393.5975858,-5561.5259841625,-4696,-8614.71715767937,-4993.66,98.2017511020896,-1580.68,502.1</t>
  </si>
  <si>
    <t>2025-05-12 09:30:00,83514413.339075,10576583.6061027,,-1195,,-9517.62,-5.7556693580899,-237.66,5788.5</t>
  </si>
  <si>
    <t>2025-05-12 09:30:00,193452450.931321,33762.4398123558,,130,,1906.77,-0.0218017928113914,16.17,20617.25</t>
  </si>
  <si>
    <t>2025-05-12 09:31:00,580,,580,,580,,578.5,,,,,580,578,580,575,577.33</t>
  </si>
  <si>
    <t>2025-05-12 09:31:00,500,,,500,490,,503,,,,,510,500,505,495,501.83</t>
  </si>
  <si>
    <t>2025-05-12 09:31:00,5850,,,5750,,6000,5800,,,5790,,6000,5750,5760,6000,5785</t>
  </si>
  <si>
    <t>2025-05-12 09:31:00,20700,,,,20700,,20700,,,,,21200,20150,21300,20150,20605</t>
  </si>
  <si>
    <t>2025-05-12 09:31:00,8279911416.41599,987206339.018391,-27433.9256095549,-3526,-36314.6588209061,-6555.49,951.336619441215,-1955.45,577.33</t>
  </si>
  <si>
    <t>2025-05-12 09:31:00,2324776639.40661,-266264136.773346,-6588.37176898687,-1139,-9799.96183439525,327.889999999999,-351.777325604497,-81.69,501.83</t>
  </si>
  <si>
    <t>2025-05-12 09:31:00,81859018.0111724,-3965460.91275457,,1841,,20508.27,-2.7288498279326,447.3,5785</t>
  </si>
  <si>
    <t>2025-05-12 09:31:00,192942029.404102,-3788.28739587868,,-5,,-644.6,0.0195319571519401,-2.8,20605</t>
  </si>
  <si>
    <t>2025-05-12 09:32:00,580,,580,,580,,578.5,,,,,580,578,580,577,577.67</t>
  </si>
  <si>
    <t>2025-05-12 09:32:00,500,,,500,490,,503,,,,,510,500,505,495,502.08</t>
  </si>
  <si>
    <t>2025-05-12 09:32:00,5850,,,5750,,6000,5800,,,,,6000,5750,5770,6000,5787.75</t>
  </si>
  <si>
    <t>2025-05-12 09:32:00,20700,,20800,,20700,,20700,,,,,21200,20150,21300,20150,20615.5</t>
  </si>
  <si>
    <t>2025-05-12 09:32:00,8307834552.23358,1726562978.99484,-8129.23697691191,-2992,-23253.2043488455,-10904.78,403.226545339195,-1850.82,577.67</t>
  </si>
  <si>
    <t>2025-05-12 09:32:00,2350726539.42737,12947337.2999885,-2372.6422779373,1534,-9917.91410372085,-1531.38,-199.981292848851,42.6000000000001,502.08</t>
  </si>
  <si>
    <t>2025-05-12 09:32:00,79507813.9202596,4144473.38224467,,-3957,,-38225.91,0.911520519766414,-818.23,5787.75</t>
  </si>
  <si>
    <t>2025-05-12 09:32:00,189524617.071631,30951.8245440785,,-23,,-1174.72,0.0284944320208375,-7.59,20615.5</t>
  </si>
  <si>
    <t>2025-05-12 09:33:00,580,,580,,580,,578.5,,,,,580,578,580,577,577.9</t>
  </si>
  <si>
    <t>2025-05-12 09:33:00,500,,505,,490,,503,,,502,,510,500,505,495,502.35</t>
  </si>
  <si>
    <t>2025-05-12 09:33:00,5850,,,5750,,6000,5800,,,,,6000,5750,5770,6000,5790.75</t>
  </si>
  <si>
    <t>2025-05-12 09:33:00,20700,,20800,,20700,,20700,,,,,21200,20150,21300,20150,20625.5</t>
  </si>
  <si>
    <t>2025-05-12 09:33:00,8387224813.70312,2104457729.64888,1842.95474859998,9770,-8690.30328948215,6434.34,269.079769910388,2507.8,577.9</t>
  </si>
  <si>
    <t>2025-05-12 09:33:00,2314960565.98028,96979170.6709826,-6252.37958393892,-4842,-13018.1569489956,-7745.93,-228.480276515828,-1941.43,502.35</t>
  </si>
  <si>
    <t>2025-05-12 09:33:00,82948766.99461,15511353.6461297,,-1360,,-10012.3,4.31390618446333,-304.57,5790.75</t>
  </si>
  <si>
    <t>2025-05-12 09:33:00,194718234.362798,58908.7921992919,,-6,,-411.55,0.00266051118627413,-2.51,20625.5</t>
  </si>
  <si>
    <t>2025-05-12 09:34:00,580,,580,,580,,578.5,,,,,580,578,580,577,577.82</t>
  </si>
  <si>
    <t>2025-05-12 09:34:00,500,,,500,490,,503,,,,,510,500,505,495,502.26</t>
  </si>
  <si>
    <t>2025-05-12 09:34:00,5850,,,5750,,6000,5800,,,,,6000,5750,5770,6000,5790</t>
  </si>
  <si>
    <t>2025-05-12 09:34:00,20700,,20800,,20700,,20700,,,,,21200,20150,21300,20150,20622</t>
  </si>
  <si>
    <t>2025-05-12 09:34:00,8362148088.14122,1642985934.05004,-4112.31854847343,-1207,-2056.46695301763,-1493.1,-78.017683054353,-378.21,577.82</t>
  </si>
  <si>
    <t>2025-05-12 09:34:00,2325293328.20744,-135845502.270455,-3676.63357013937,-3283,-5174.57491929478,-2326.23,-120.485462315521,-930.19,502.26</t>
  </si>
  <si>
    <t>2025-05-12 09:34:00,84447245.4844107,12642752.6870599,,1233,,13301.59,-7.22279126635483,431.6,5790</t>
  </si>
  <si>
    <t>2025-05-12 09:34:00,196072607.00428,57165.1554604679,,-28,,-1548.17,-0.0365167724118607,-10.62,20622</t>
  </si>
  <si>
    <t>2025-05-12 09:35:00,580,,580,,580,,578.5,,,,,580,578,580,577,577.645</t>
  </si>
  <si>
    <t>2025-05-12 09:35:00,500,,,500,490,,503,,,,,510,500,505,495,502.08</t>
  </si>
  <si>
    <t>2025-05-12 09:35:00,5850,,,5750,,6000,5800,,,,,6000,5750,5770,6000,5788.5</t>
  </si>
  <si>
    <t>2025-05-12 09:35:00,20700,,20800,,20700,,20700,,,,,21200,20150,21300,20150,20615</t>
  </si>
  <si>
    <t>2025-05-12 09:35:00,8324725158.31337,1802322082.63407,-7738.37258297258,-2643,-9990.34458080807,-1411.8,409.785476277075,-721.55,577.645</t>
  </si>
  <si>
    <t>2025-05-12 09:35:00,2257741292.6236,-40963368.4660702,-2810.37888661047,-2232,-4181.73464395839,-2457.51,56.7207888561587,-745.2,502.08</t>
  </si>
  <si>
    <t>2025-05-12 09:35:00,83273116.123308,9547044.85573343,,-853,,5885.94,-1.67126151351711,-50.99,5788.5</t>
  </si>
  <si>
    <t>2025-05-12 09:35:00,197277009.882034,39914.1643129013,,15,,-26.7,0.00876785048619118,0.95,20615</t>
  </si>
  <si>
    <t>2025-05-12 09:36:00,580,,580,,580,,578.5,,,,,580,578,580,577,577.92</t>
  </si>
  <si>
    <t>2025-05-12 09:36:00,500,,,500,490,,503,,,,,510,500,504,495,502.37</t>
  </si>
  <si>
    <t>2025-05-12 09:36:00,5850,,,5750,,6000,5800,,,,,6000,5750,5770,6000,5791.75</t>
  </si>
  <si>
    <t>2025-05-12 09:36:00,20700,,20800,,20700,,20700,,,,,21200,20150,21300,20150,20623</t>
  </si>
  <si>
    <t>2025-05-12 09:36:00,8434080689.12474,1536295014.0169,3227.96893106895,6595,4226.56811505164,6817.91,225.194326834442,2229.8,577.92</t>
  </si>
  <si>
    <t>2025-05-12 09:36:00,2329539312.7606,-57627644.0008693,3057.6302340172,3620,4128.12538106218,4394.88,31.6811310765721,1332.7,502.37</t>
  </si>
  <si>
    <t>2025-05-12 09:36:00,86695714.7290537,15089564.6916273,,1331,,-7711.42,2.77679329917258,-42.27,5791.75</t>
  </si>
  <si>
    <t>2025-05-12 09:36:00,200577888.579551,46412.1725817405,,11,,-1613.84,0.0414236822643848,-9.69,20623</t>
  </si>
  <si>
    <t>2025-05-12 09:37:00,580,,580,,580,,578.5,,,,,580,578,580,577,577.94</t>
  </si>
  <si>
    <t>2025-05-12 09:37:00,500,,505,,490,,503,,,,,510,500,505,495,502.385</t>
  </si>
  <si>
    <t>2025-05-12 09:37:00,5850,,,5750,,6000,5800,,,,,6000,5750,5770,6000,5790.75</t>
  </si>
  <si>
    <t>2025-05-12 09:37:00,20700,,20800,,20700,,20700,,,,,21200,20150,21300,20150,20629</t>
  </si>
  <si>
    <t>2025-05-12 09:37:00,8350684616.34269,2308697933.76275,-420.792744148958,1256,-7202.33101225891,-343.51,438.501374326562,337.95,577.94</t>
  </si>
  <si>
    <t>2025-05-12 09:37:00,2282847683.74784,172590417.689338,-5859.17494742832,-3177,-11123.4580926167,-5647.65,42.6978731869329,-1283.49,502.385</t>
  </si>
  <si>
    <t>2025-05-12 09:37:00,82937304.150499,15404967.2093244,,-1003,,-5313.1,0.660658187579205,-155.45,5790.75</t>
  </si>
  <si>
    <t>2025-05-12 09:37:00,201001760.385653,77972.8154661703,,-72,,-22482.74,-0.0297705435204326,-43.39,20629</t>
  </si>
  <si>
    <t>2025-05-12 09:38:00,580,,580,,580,,578.5,,,,,580,578,580,577,577.66</t>
  </si>
  <si>
    <t>2025-05-12 09:38:00,500,,,500,490,,503,,,,,510,500,504,495,502.12</t>
  </si>
  <si>
    <t>2025-05-12 09:38:00,5850,,,5750,,6000,5800,,,,,6000,5750,5820,6000,5788.5</t>
  </si>
  <si>
    <t>2025-05-12 09:38:00,20700,,20800,,20700,,20700,,,,,21200,20150,21300,20150,20615.75</t>
  </si>
  <si>
    <t>2025-05-12 09:38:00,8440667066.21772,1431424516.28445,-3004.320995671,-2916,-2086.92100288601,-876.42,-152.655770048524,-620.27,577.66</t>
  </si>
  <si>
    <t>2025-05-12 09:38:00,2287494340.1752,-138062755.2067,-619.068674847047,-1491,-1654.01047968391,-2997.17,123.667385623186,-654.98,502.12</t>
  </si>
  <si>
    <t>2025-05-12 09:38:00,84391096.892791,18704024.8009867,,3300,,23212.24,24.8211463712825,901.45,5788.5</t>
  </si>
  <si>
    <t>2025-05-12 09:38:00,199151275.092633,40538.2205122966,,-30,,-70.3,-0.00203260515519699,-0.86,20615.75</t>
  </si>
  <si>
    <t>2025-05-12 09:39:00,580,,580,,580,,578.5,,,,,580,578,580,577,578.18</t>
  </si>
  <si>
    <t>2025-05-12 09:39:00,500,,,500,500,,503,,,,,510,500,505,495,502.72</t>
  </si>
  <si>
    <t>2025-05-12 09:39:00,5900,,5850,,,6000,5800,,,,,6000,5750,5820,6000,5794</t>
  </si>
  <si>
    <t>2025-05-12 09:39:00,20700,,20800,,20700,,20700,,,,,21200,20150,21300,20150,20640.5</t>
  </si>
  <si>
    <t>2025-05-12 09:39:00,8483467905.23408,2323215171.733,13553.975002775,8687,16355.1159931179,7549.96,-149.34155384786,2386.39,578.18</t>
  </si>
  <si>
    <t>2025-05-12 09:39:00,2327037028.19498,194882996.918262,5089.19877658573,4290,6498.95501995105,4990.83,33.757361697091,1398.9,502.72</t>
  </si>
  <si>
    <t>2025-05-12 09:39:00,85453788.2084815,38954144.1571597,,388,,7426.79,-3.10272641274978,280.83,5794</t>
  </si>
  <si>
    <t>2025-05-12 09:39:00,202916028.617295,117169.307825354,,-14,,-3855.04,0.0252719406901162,-6.56,20640.5</t>
  </si>
  <si>
    <t>2025-05-12 09:40:00,580,,580,,580,,578.5,,,,,580,578,580,577,578.6</t>
  </si>
  <si>
    <t>2025-05-12 09:40:00,500,,505,,500,,503,,503,,,505,500,505,495,503.24</t>
  </si>
  <si>
    <t>2025-05-12 09:40:00,5900,,5850,,,6000,5800,,,,,6000,5750,5820,6000,5797.75</t>
  </si>
  <si>
    <t>2025-05-12 09:40:00,20700,,20800,,20700,,20700,,,,,21200,20150,21300,20150,20663</t>
  </si>
  <si>
    <t>2025-05-12 09:40:00,8365632120.6461,3482047784.72348,14.9779615149589,3656,-4192.55548548737,-1209.85,-257.508131307298,140.16,578.6</t>
  </si>
  <si>
    <t>2025-05-12 09:40:00,2231406797.61111,650943080.487151,-3133.88608444698,-834,-4747.18058381961,-3246.29,7.51113528815681,-637.17,503.24</t>
  </si>
  <si>
    <t>2025-05-12 09:40:00,86440727.2549997,52090108.6396719,,-777,,-8974.5,-8.31659708401068,-276.36,5797.75</t>
  </si>
  <si>
    <t>2025-05-12 09:40:00,203454600.684738,197262.132327181,,-21,,-560.15,-0.0241024449052883,-4.82,20663</t>
  </si>
  <si>
    <t>2025-05-12 09:41:00,580,,580,,580,,578.5,,579,,,580,578,580,577,578.89</t>
  </si>
  <si>
    <t>2025-05-12 09:41:00,500,,505,,500,,503,,,,,505,500,505,495,503.43</t>
  </si>
  <si>
    <t>2025-05-12 09:41:00,5900,,5850,,,6000,5800,,,,,6000,5750,5820,6000,5800.75</t>
  </si>
  <si>
    <t>2025-05-12 09:41:00,20700,,20800,,20700,,20700,,,,,21200,20150,21300,20150,20672</t>
  </si>
  <si>
    <t>2025-05-12 09:41:00,8487743683.1997,3766475039.43134,20634.3313492065,4385,31052.7504126987,4517.37,958.751938340118,1527.99,578.89</t>
  </si>
  <si>
    <t>2025-05-12 09:41:00,2326227745.78634,686083334.066783,5885.38766233765,5566,8481.5432056277,5026.72,16.0095971144867,1703.38,503.43</t>
  </si>
  <si>
    <t>2025-05-12 09:41:00,87796223.9640757,67546098.9932994,,-907,,-23008.68,-8.93460085637524,-641.6,5800.75</t>
  </si>
  <si>
    <t>2025-05-12 09:41:00,207735579.517892,227639.459555144,,-6,,201.01,-0.0575274742669488,1.34,20672</t>
  </si>
  <si>
    <t>2025-05-12 09:42:00,580,,580,,580,,578.5,,,,,580,578,580,577,579.09</t>
  </si>
  <si>
    <t>2025-05-12 09:42:00,500,,505,,500,,503,,504,,,505,500,505,495,503.805</t>
  </si>
  <si>
    <t>2025-05-12 09:42:00,5900,,5850,,,6000,5800,,,,,6000,5750,5820,6000,5802.75</t>
  </si>
  <si>
    <t>2025-05-12 09:42:00,20700,,20800,,20700,,20700,,,,,21200,20150,21300,20150,20687</t>
  </si>
  <si>
    <t>2025-05-12 09:42:00,8461022258.5458,4749843067.9055,9731.60670995677,8596,13806.7461645023,7499.31,356.965592802453,3124.64,579.09</t>
  </si>
  <si>
    <t>2025-05-12 09:42:00,2314102910.53455,1053471925.10423,71.776617982756,-847,-1074.62330555477,-4499.32,6.17117965702997,-946.89,503.805</t>
  </si>
  <si>
    <t>2025-05-12 09:42:00,86934059.3181713,82934430.1717331,,-463,,120.4,-2.18359836898428,-20.56,5802.75</t>
  </si>
  <si>
    <t>2025-05-12 09:42:00,207463465.143279,264452.896726212,,-91,,-2137.65,0.0536385516069916,-18.18,20687</t>
  </si>
  <si>
    <t>2025-05-12 09:43:00,580,,580,,580,,578.5,,,,,580,578,580,577,579.031</t>
  </si>
  <si>
    <t>2025-05-12 09:43:00,500,,505,,500,,503,,504,,,505,500,505,495,503.74</t>
  </si>
  <si>
    <t>2025-05-12 09:43:00,5900,,5850,,,6000,5800,,,,,6000,5750,5820,6000,5802.25</t>
  </si>
  <si>
    <t>2025-05-12 09:43:00,20700,,20800,,20700,,20700,,,,,21200,20150,21300,20150,20683.5</t>
  </si>
  <si>
    <t>2025-05-12 09:43:00,8463633315.55326,4691117624.06233,1708.71255411258,3876,2591.78055411259,4634.14,17.9499243470859,1707.95,579.031</t>
  </si>
  <si>
    <t>2025-05-12 09:43:00,2294001972.35183,1033151286.91525,-2493.71608289513,-4630,-3690.18345747127,-6984.08,-157.50425961533,-1809.43,503.74</t>
  </si>
  <si>
    <t>2025-05-12 09:43:00,86524921.6396153,80554753.3742594,,-2133,,-20112.82,0.208029150441026,-631.35,5802.25</t>
  </si>
  <si>
    <t>2025-05-12 09:43:00,206819880.30887,258975.257766572,,-5,,-549.31,-0.00788093016000947,-3.89,20683.5</t>
  </si>
  <si>
    <t>2025-05-12 09:44:00,580,,580,,580,,578.5,,,,,580,575,580,577,579.26</t>
  </si>
  <si>
    <t>2025-05-12 09:44:00,500,,505,,500,,503,,,,,505,500,505,495,503.94</t>
  </si>
  <si>
    <t>2025-05-12 09:44:00,5900,,5850,,,6000,5800,,,,,6000,5750,5820,6000,5804.25</t>
  </si>
  <si>
    <t>2025-05-12 09:44:00,20700,,20800,,20700,,20700,,,,,21200,20150,21300,20150,20692.5</t>
  </si>
  <si>
    <t>2025-05-12 09:44:00,8399392483.25134,5264089944.86347,-960.250000000007,-3814,-2780.1250277778,-4452.83,125.269846052369,-1211.35,579.26</t>
  </si>
  <si>
    <t>2025-05-12 09:44:00,2181823820.90025,1220209789.53636,-2601.55720510429,-3858,-4023.36350202309,-4721.67,-17.966409262461,-1407.9,503.94</t>
  </si>
  <si>
    <t>2025-05-12 09:44:00,87995401.1791098,89752498.3209411,,-683,,-10515.15,0.318802927342314,-237.01,5804.25</t>
  </si>
  <si>
    <t>2025-05-12 09:44:00,208448257.878442,292005.950556775,,-22,,-1360.64,0.0126583530411216,-6.24,20692.5</t>
  </si>
  <si>
    <t>2025-05-12 09:45:00,580,,580,,580,,578.5,,,,,580,575,580,577,579.41</t>
  </si>
  <si>
    <t>2025-05-12 09:45:00,500,,505,,500,,503,,,,,505,500,505,495,504.05</t>
  </si>
  <si>
    <t>2025-05-12 09:45:00,5900,,5850,,,6000,5800,,,,,6000,5750,5820,6000,5806</t>
  </si>
  <si>
    <t>2025-05-12 09:45:00,20700,,20900,,20700,,20700,,,,,21200,20150,21300,20150,20696.5</t>
  </si>
  <si>
    <t>2025-05-12 09:45:00,8452548443.26507,5474753103.56704,-5302.12433867303,-6796,-8331.83703067111,-12930.51,-227.633264110913,-3483.8,579.41</t>
  </si>
  <si>
    <t>2025-05-12 09:45:00,2222007644.39662,1179431615.55873,-6409.91048042559,-3510,-8045.88166059633,-6350.11,115.586478088791,-1680.17,504.05</t>
  </si>
  <si>
    <t>2025-05-12 09:45:00,88457676.1353088,100024435.724531,,-1459,,-27473.08,-2.88748064058749,-548.64,5806</t>
  </si>
  <si>
    <t>2025-05-12 09:45:00,206804388.21264,306776.614389764,,-16,,-406.55,-0.0123054712330937,-3.88,20696.5</t>
  </si>
  <si>
    <t>2025-05-12 09:46:00,580,,580,,580,,578.5,580,,,,580,575,580,577,579.7</t>
  </si>
  <si>
    <t>2025-05-12 09:46:00,500,,505,,500,,503,,,,,505,500,505,495,504.303</t>
  </si>
  <si>
    <t>2025-05-12 09:46:00,5900,,5850,,,6000,5800,,,,,6000,5750,5820,6000,5808.75</t>
  </si>
  <si>
    <t>2025-05-12 09:46:00,20700,,20900,,20700,,20625,,,,,21200,20150,21300,20150,20707.5</t>
  </si>
  <si>
    <t>2025-05-12 09:46:00,8325767302.034,6397071701.27241,5992.42601010101,8311,7329.02510606059,7018.34,822.392001556574,2746.32,579.7</t>
  </si>
  <si>
    <t>2025-05-12 09:46:00,2298379453.68351,1551459118.24981,2856.14076511724,4019,-47.0659709506049,-73.0400000000001,329.780203266337,588.11,504.303</t>
  </si>
  <si>
    <t>2025-05-12 09:46:00,88377459.8446279,114996298.816916,,372,,-3633.43,2.05789014212562,-46.02,5808.75</t>
  </si>
  <si>
    <t>2025-05-12 09:46:00,208757337.20132,359177.031704284,,-90,,-3390.13,0.000254293241707987,-22.88,20707.5</t>
  </si>
  <si>
    <t>2025-05-12 09:48:00,580,,580,,580,,578.5,,,,,580,575,580,577,579.241</t>
  </si>
  <si>
    <t>2025-05-12 09:48:00,500,,505,,500,,503,,,,,505,500,505,495,503.915</t>
  </si>
  <si>
    <t>2025-05-12 09:48:00,5900,,5850,,,6000,5800,,,,,6000,5750,5820,6000,5804.25</t>
  </si>
  <si>
    <t>2025-05-12 09:48:00,20700,,20800,,20700,,20625,,,,,21200,20150,21300,20150,20691</t>
  </si>
  <si>
    <t>2025-05-12 09:48:00,8500261613.43136,5326521723.37178,11801.3121212121,10138,20443.4627575758,14926.23,190.037917995492,4403.96,579.241</t>
  </si>
  <si>
    <t>2025-05-12 09:48:00,2313701643.83282,1227371888.45585,3052.42357193808,1985,3579.19972035083,3905.73,-126.092758932159,946.23,503.915</t>
  </si>
  <si>
    <t>2025-05-12 09:48:00,93377197.1448516,98355850.5777994,,1375,,17041.48,0.467449555979987,517.86,5804.25</t>
  </si>
  <si>
    <t>2025-05-12 09:48:00,206472828.258575,293978.759067892,,35,,1065.08,0.0152831623257144,8.35,20691</t>
  </si>
  <si>
    <t>2025-05-12 09:49:00,580,,580,,580,,578.5,,,,,580,575,580,577,579.41</t>
  </si>
  <si>
    <t>2025-05-12 09:49:00,500,,505,,500,,503,,,,,505,500,505,495,503.89</t>
  </si>
  <si>
    <t>2025-05-12 09:49:00,5900,,5850,,,6000,5800,,,,,6000,5750,5820,6000,5806</t>
  </si>
  <si>
    <t>2025-05-12 09:49:00,20700,,20800,,20700,,20700,,,,,21200,20150,21300,20150,20691</t>
  </si>
  <si>
    <t>2025-05-12 09:49:00,8345922278.83114,5976446794.08203,-9576.83863636363,-2351,-14153.4576060606,-4775.06,-392.952174860876,-1483.55,579.41</t>
  </si>
  <si>
    <t>2025-05-12 09:49:00,2216516322.75395,1334644884.69327,-1420.97450758958,-72,-2856.28127705916,-1080.75,30.8128907038981,-349.1,503.89</t>
  </si>
  <si>
    <t>2025-05-12 09:49:00,92112155.0645893,107654095.765436,,487,,5168.32,-0.277383258109831,264.37,5806</t>
  </si>
  <si>
    <t>2025-05-12 09:49:00,206182988.370896,296426.893860444,,21,,627.76,-0.000986415010781484,5.39,20691</t>
  </si>
  <si>
    <t>2025-05-12 09:50:00,580,,580,,580,,578.5,580,,,,580,575,580,577,579.61</t>
  </si>
  <si>
    <t>2025-05-12 09:50:00,500,,505,,500,,503,,,,,505,500,505,495,503.92</t>
  </si>
  <si>
    <t>2025-05-12 09:50:00,5900,,5850,,,6000,5800,,,,,6000,5750,5820,6000,5807.75</t>
  </si>
  <si>
    <t>2025-05-12 09:50:00,20700,,20900,,20700,,20700,,,,,21200,20150,21300,20150,20693.75</t>
  </si>
  <si>
    <t>2025-05-12 09:50:00,8474469448.53058,6165828635.66337,-794.705387242635,827,-951.218466276036,-276.61,6.27913211727561,316.74,579.61</t>
  </si>
  <si>
    <t>2025-05-12 09:50:00,2303136824.30372,1167390294.10186,-2237.08688859034,-2019,-3037.01548402125,-2979.53,16.7106015810688,-850.51,503.92</t>
  </si>
  <si>
    <t>2025-05-12 09:50:00,89113964.9414875,113093933.57463,,-893,,-18790.1,-1.23844859128301,-454.46,5807.75</t>
  </si>
  <si>
    <t>2025-05-12 09:50:00,211119337.580199,314858.272627659,,12,,363.84,0.0124782677448305,3.28,20693.75</t>
  </si>
  <si>
    <t>2025-05-12 09:51:00,580,,580,,580,,578.5,,,,,580,575,580,577,579.571</t>
  </si>
  <si>
    <t>2025-05-12 09:51:00,500,,505,,500,,503,,,,,505,500,505,495,503.79</t>
  </si>
  <si>
    <t>2025-05-12 09:51:00,5900,,5850,,,6000,5800,,,,,6000,5750,5820,6000,5807.75</t>
  </si>
  <si>
    <t>2025-05-12 09:51:00,20700,,20800,,20700,,20625,,,,,21200,20150,21300,20150,20686</t>
  </si>
  <si>
    <t>2025-05-12 09:51:00,8442066091.17533,5932560562.71794,1775.74761904762,-923,5496.12417857143,-272.43,-215.638405055932,-563.55,579.571</t>
  </si>
  <si>
    <t>2025-05-12 09:51:00,2269868915.22411,1111156967.16065,7124.00894409937,2649,8734.07826956521,3159.01,9.8890481419538,949.35,503.79</t>
  </si>
  <si>
    <t>2025-05-12 09:51:00,90063468.4146053,110503740.501499,,444,,5457.44,-1.53854994768068,183.15,5807.75</t>
  </si>
  <si>
    <t>2025-05-12 09:51:00,211893817.284236,288524.249889532,,11,,198.9,0.000241820055969613,1.82,20686</t>
  </si>
  <si>
    <t>2025-05-12 09:52:00,580,,580,,580,,578.5,,,,,580,575,580,577,579.54</t>
  </si>
  <si>
    <t>2025-05-12 09:52:00,500,,505,,500,,503,,,,,505,500,505,495,503.75</t>
  </si>
  <si>
    <t>2025-05-12 09:52:00,5900,,5850,,,6000,5800,,,,,6000,5750,5820,6000,5807.25</t>
  </si>
  <si>
    <t>2025-05-12 09:52:00,20700,,20800,,20700,,20625,,,,,21200,20150,21300,20150,20683.75</t>
  </si>
  <si>
    <t>2025-05-12 09:52:00,8500256095.49998,5884994259.69062,2262.80018037518,684,3883.23702200576,-59.1699999999999,-224.598960275726,-104.71,579.54</t>
  </si>
  <si>
    <t>2025-05-12 09:52:00,2320426937.68608,1063667176.00332,2621.13315018316,2243,4067.7085750916,2292.96,80.0901044922367,720.09,503.75</t>
  </si>
  <si>
    <t>2025-05-12 09:52:00,89633838.1925796,110247754.462309,,1468,,11677.74,-0.578348863158687,421.26,5807.25</t>
  </si>
  <si>
    <t>2025-05-12 09:52:00,211927811.553533,295498.837357289,,-31,,-1924.25,-0.0643316241708429,-14.76,20683.75</t>
  </si>
  <si>
    <t>2025-05-12 09:53:00,580,,580,,580,,577.5,,,,,580,575,580,577,579.72</t>
  </si>
  <si>
    <t>2025-05-12 09:53:00,500,,505,,500,,503,,,,,505,500,505,495,503.99</t>
  </si>
  <si>
    <t>2025-05-12 09:53:00,5900,,5850,,,6000,5800,,,,,6000,5750,5820,6000,5808.5</t>
  </si>
  <si>
    <t>2025-05-12 09:53:00,20700,,20900,,20700,,20625,,,,,21200,20150,21300,20150,20691.75</t>
  </si>
  <si>
    <t>2025-05-12 09:53:00,8320362439.44689,7346273368.04486,10274.9408730159,11081,45772.5674484129,50358.3,439.739236313325,9760.78,579.72</t>
  </si>
  <si>
    <t>2025-05-12 09:53:00,2223696126.34729,1442167128.8743,125.086637047157,715,-224.507131465037,-335.65,-76.6540754409423,-2.44999999999997,503.99</t>
  </si>
  <si>
    <t>2025-05-12 09:53:00,89364269.7238087,118525751.549935,,476,,4689.65,2.51036500118533,200.18,5808.5</t>
  </si>
  <si>
    <t>2025-05-12 09:53:00,213714522.161278,331744.242404804,,10,,-164.35,-0.0112475650232828,-1.01,20691.75</t>
  </si>
  <si>
    <t>2025-05-12 09:54:00,580,,580,,580,,578.5,,580,,,580,575,580,577,580.13</t>
  </si>
  <si>
    <t>2025-05-12 09:54:00,500,,505,,500,,503,,,,,505,500,505,495,504.32</t>
  </si>
  <si>
    <t>2025-05-12 09:54:00,5900,,5850,,,6000,5800,5810,,,,6000,5750,5820,6000,5813</t>
  </si>
  <si>
    <t>2025-05-12 09:54:00,20700,,20900,,20700,,20625,,,,,21200,20150,21300,20150,20708.25</t>
  </si>
  <si>
    <t>2025-05-12 09:54:00,8375020990.01737,8021308305.64203,-17337.9508870215,-12691,-21789.2655770308,-15975.69,-137.019324928784,-4915.93,580.13</t>
  </si>
  <si>
    <t>2025-05-12 09:54:00,2293060285.14904,1564400081.74012,-1782.18702823663,-2514,-3467.58881197275,-3434.11,-45.2354111093679,-895.29,504.32</t>
  </si>
  <si>
    <t>2025-05-12 09:54:00,89788993.3966808,141602726.500838,,-3261,,-11603.93,2.98916702494199,-442.98,5813</t>
  </si>
  <si>
    <t>2025-05-12 09:54:00,203432550.477308,368239.011671069,,-45,,-656.33,-0.00453900144152907,-6.19,20708.25</t>
  </si>
  <si>
    <t>2025-05-12 09:55:00,580,,580,,580,,578.5,,580,,,580,575,580,577,580.03</t>
  </si>
  <si>
    <t>2025-05-12 09:55:00,500,,505,,500,,503,,,,,505,500,505,495,504.263</t>
  </si>
  <si>
    <t>2025-05-12 09:55:00,5900,,5850,,,6000,5800,,,,,6000,5750,5820,6000,5812</t>
  </si>
  <si>
    <t>2025-05-12 09:55:00,20700,,20900,,20700,,20625,,,,,21200,20150,21300,20150,20705.5</t>
  </si>
  <si>
    <t>2025-05-12 09:55:00,8467053949.598,7445245099.89345,6151.1276106934,4400,9720.87537593986,2369.71,-561.400597810033,890.54,580.03</t>
  </si>
  <si>
    <t>2025-05-12 09:55:00,2301713211.9341,1283959961.25409,704.152189420034,-239,1857.07397669454,-1656.87,-25.8912042182612,-459.29,504.263</t>
  </si>
  <si>
    <t>2025-05-12 09:55:00,91782523.8157259,139887471.932913,,657,,8683.42,-0.453948374424918,271.13,5812</t>
  </si>
  <si>
    <t>2025-05-12 09:55:00,210183648.842209,398642.124666498,,17,,-256.96,0.0167515448133718,-0.42,20705.5</t>
  </si>
  <si>
    <t>2025-05-12 09:56:00,580,,580,,580,,578.5,580,,,,580,575,580,577,579.64</t>
  </si>
  <si>
    <t>2025-05-12 09:56:00,500,,505,,500,,503,,,,,505,500,505,495,503.829</t>
  </si>
  <si>
    <t>2025-05-12 09:56:00,5900,,5850,,,6000,5800,,,,,6000,5750,5820,6000,5808.25</t>
  </si>
  <si>
    <t>2025-05-12 09:56:00,20700,,20800,,20700,,20625,,,,,21200,20150,21300,20150,20686</t>
  </si>
  <si>
    <t>2025-05-12 09:56:00,8432439095.094,7138886188.68529,405.659235209166,-4066,3523.19848196239,-2425.16,98.8655833582566,-1074.97,579.64</t>
  </si>
  <si>
    <t>2025-05-12 09:56:00,2278403400.94199,1169523912.08685,995.635212418298,1775,1484.21288807189,2463.1,-75.9479484700136,694.28,503.829</t>
  </si>
  <si>
    <t>2025-05-12 09:56:00,89734471.1386097,125926383.556972,,-1043,,3646.42,-0.244757264944513,-178.66,5808.25</t>
  </si>
  <si>
    <t>2025-05-12 09:56:00,208697907.259024,316809.845161164,,21,,696.55,0.00306487757388831,5.84,20686</t>
  </si>
  <si>
    <t>2025-05-12 09:57:00,580,,580,,580,,578.5,,,,,580,575,580,577,579.55</t>
  </si>
  <si>
    <t>2025-05-12 09:57:00,500,,505,,500,,503,,,,,505,500,505,495,503.84</t>
  </si>
  <si>
    <t>2025-05-12 09:57:00,5900,,5850,,,6000,5800,,,,,6000,5750,5820,6000,5807.25</t>
  </si>
  <si>
    <t>2025-05-12 09:57:00,20700,,20800,,20700,,20625,,,,,21200,20150,21300,20150,20687.25</t>
  </si>
  <si>
    <t>2025-05-12 09:57:00,8499211570.94373,6683470636.84861,-785.78006160504,-9283,5601.18427564105,-15271.83,-291.856996433929,-3944.64,579.55</t>
  </si>
  <si>
    <t>2025-05-12 09:57:00,2329397851.77143,1175494572.84623,3154.20962419223,3658,5306.83005113243,4155.94,6.25763674149871,1286.28,503.84</t>
  </si>
  <si>
    <t>2025-05-12 09:57:00,90000982.6253321,120465581.233654,,1384,,10714.7,-6.8084097454697,262.42,5807.25</t>
  </si>
  <si>
    <t>2025-05-12 09:57:00,208432736.309716,322156.483750192,,24,,331.55,-0.00259313661431328,4.01,20687.25</t>
  </si>
  <si>
    <t>2025-05-12 09:58:00,580,,580,,580,,578.5,,,,,580,575,580,577,579.41</t>
  </si>
  <si>
    <t>2025-05-12 09:58:00,500,,505,,500,,503,,,,,505,500,505,495,503.71</t>
  </si>
  <si>
    <t>2025-05-12 09:58:00,5900,,5850,,,6000,5800,,,,,6000,5750,5820,6000,5806</t>
  </si>
  <si>
    <t>2025-05-12 09:58:00,20700,,20800,,20700,,20625,,,,,21200,20150,21300,20150,20682.25</t>
  </si>
  <si>
    <t>2025-05-12 09:58:00,8563532714.43686,6583853155.18011,-4489.23968253968,-1201,-7368.23682142857,-3544.14,-341.095728845161,-874.26,579.41</t>
  </si>
  <si>
    <t>2025-05-12 09:58:00,2263985341.01293,969206492.730078,-2666.77124542124,-1987,-2751.94633333333,-1992.97,54.2599324847355,-628.75,503.71</t>
  </si>
  <si>
    <t>2025-05-12 09:58:00,89787702.9033525,113759589.775239,,1574,,5439.43,1.74259746858721,213.28,5806</t>
  </si>
  <si>
    <t>2025-05-12 09:58:00,216448927.741358,328779.278750351,,3,,702.2,0.0228118913929635,3.46,20682.25</t>
  </si>
  <si>
    <t>2025-05-12 09:59:00,580,,580,,580,,578.5,,,579,,580,575,580,577,579.09</t>
  </si>
  <si>
    <t>2025-05-12 09:59:00,500,,505,,500,,503,,,,503,505,500,505,495,503.35</t>
  </si>
  <si>
    <t>2025-05-12 09:59:00,5900,,5850,,,6000,5800,,,,5800,6000,5750,5820,6000,5801.75</t>
  </si>
  <si>
    <t>2025-05-12 09:59:00,20700,,20700,,20700,,20625,,,,,21200,20150,20700,20150,20668</t>
  </si>
  <si>
    <t>2025-05-12 09:59:00,8512794935.06837,5916466274.90328,4410.09463241438,1013,16686.0447773601,12216.58,-212.730509897847,2514.79,579.09</t>
  </si>
  <si>
    <t>2025-05-12 09:59:00,2245596313.12918,736713895.268152,776.261341418317,-329,1931.35586902634,1157.19,82.2938064559733,85.0100000000001,503.35</t>
  </si>
  <si>
    <t>2025-05-12 09:59:00,88349873.8390771,89089755.9683564,,1431,,8872.97,4.09715396924694,266.39,5801.75</t>
  </si>
  <si>
    <t>2025-05-12 09:59:00,213639455.369217,506918.164112374,,553,,59360.83,0.929610594050749,283.46,20668</t>
  </si>
  <si>
    <t>2025-05-12 10:00:00,580,,580,,580,,578.5,,,,579,580,578,580,577,579.31</t>
  </si>
  <si>
    <t>2025-05-12 10:00:00,500,,505,,500,,503,,,503,,505,500,505,495,503.46</t>
  </si>
  <si>
    <t>2025-05-12 10:00:00,5900,,5850,,,6000,5800,,,,,6000,5750,5820,6000,5805.25</t>
  </si>
  <si>
    <t>2025-05-12 10:00:00,20700,,20700,,20700,,20625,,,,,21200,20150,20700,20150,20677.25</t>
  </si>
  <si>
    <t>2025-05-12 10:00:00,8569809363.04069,6292518328.52908,-7826.26750879839,-3750,-9786.21516943187,-8248.3,181.485414380505,-2534.12,579.31</t>
  </si>
  <si>
    <t>2025-05-12 10:00:00,2368254199.63205,904942727.081789,4085.08267195767,2945,5376.89769841269,3957.02,-54.8795768366059,1246.36,503.46</t>
  </si>
  <si>
    <t>2025-05-12 10:00:00,91829344.3920836,107512988.453772,,1851,,11666.22,-0.257086044324244,487.6,5805.25</t>
  </si>
  <si>
    <t>2025-05-12 10:00:00,216415168.291723,546157.313513566,,6,,-82.61,0.00924560161766435,-0.55,20677.25</t>
  </si>
  <si>
    <t>2025-05-12 10:01:00,580,,580,,580,,578.5,,,,579,580,578,580,577,579.29</t>
  </si>
  <si>
    <t>2025-05-12 10:01:00,500,,505,,500,,503,,,,,505,500,505,495,503.69</t>
  </si>
  <si>
    <t>2025-05-12 10:01:00,5900,,5850,,,6000,5800,,,,,6000,5750,5820,6000,5805</t>
  </si>
  <si>
    <t>2025-05-12 10:01:00,20700,,20700,,20700,,20625,,,,,21200,20150,20700,20150,20681</t>
  </si>
  <si>
    <t>2025-05-12 10:01:00,8632946320.94897,5697979151.70686,170.542712842713,1588,-1226.21161327561,39.3700000000003,452.010023091362,261.12,579.29</t>
  </si>
  <si>
    <t>2025-05-12 10:01:00,2336786133.8519,936610977.093534,-2007.67354497355,-2046,-4558.07914021164,-3288.46,-33.3544495088098,-886.6,503.69</t>
  </si>
  <si>
    <t>2025-05-12 10:01:00,88291127.4045754,101645339.478878,,-378,,-2332.55,5.66204641196103,-76.07,5805</t>
  </si>
  <si>
    <t>2025-05-12 10:01:00,218085882.556717,560056.477574184,,-17,,-344.47,-0.0110968573167959,-3.27,20681</t>
  </si>
  <si>
    <t>2025-05-12 10:02:00,580,,580,,580,,578.5,,,,,580,578,580,577,579.36</t>
  </si>
  <si>
    <t>2025-05-12 10:02:00,500,,505,,500,,503,504,,,,505,500,506,495,503.79</t>
  </si>
  <si>
    <t>2025-05-12 10:02:00,5900,,5850,,,6000,5800,,,,,6000,5750,5820,6000,5805.5</t>
  </si>
  <si>
    <t>2025-05-12 10:02:00,20700,,20700,,20700,,20625,,,,,21200,20150,20700,20150,20685.25</t>
  </si>
  <si>
    <t>2025-05-12 10:02:00,8622953592.2137,6141614076.47476,-9296.53785103785,-8720,-10684.5913095238,-10885.83,271.825266608207,-3511.29,579.36</t>
  </si>
  <si>
    <t>2025-05-12 10:02:00,2243201268.22608,1050519595.51599,-3997.23771326004,-3089,-3703.43044552989,-3330.59,146.102990069521,-1083.06,503.79</t>
  </si>
  <si>
    <t>2025-05-12 10:02:00,90896855.6123939,104901541.765017,,-768,,-3144.36,1.70112934528336,-98.99,5805.5</t>
  </si>
  <si>
    <t>2025-05-12 10:02:00,210933201.104304,553330.688316099,,-11,,-257.57,0.021144170179833,-2.07,20685.25</t>
  </si>
  <si>
    <t>2025-05-12 10:03:00,580,,580,,580,,578.5,,580,,,580,578,580,577,579.56</t>
  </si>
  <si>
    <t>2025-05-12 10:03:00,500,,505,,500,,503,,,,,505,500,506,503,503.92</t>
  </si>
  <si>
    <t>2025-05-12 10:03:00,5900,,5850,,,6000,5800,,,,,6000,5750,5820,6000,5807.75</t>
  </si>
  <si>
    <t>2025-05-12 10:03:00,20700,,20700,,20700,,20625,,,,,21200,20150,20700,20150,20691.5</t>
  </si>
  <si>
    <t>2025-05-12 10:03:00,8512144532.71206,6672421213.18186,-2042.20357142857,-3013,-4524.30074603175,-6354.25,-266.44463857935,-1897.31,579.56</t>
  </si>
  <si>
    <t>2025-05-12 10:03:00,2322303202.47029,1203184623.71001,-1613.62631812631,-2390,-1565.74628149627,-2936,16.8568029345543,-924.71,503.92</t>
  </si>
  <si>
    <t>2025-05-12 10:03:00,88344105.9947079,119314660.913082,,1067,,15652.4,1.81685168900431,463.41,5807.75</t>
  </si>
  <si>
    <t>2025-05-12 10:03:00,211907582.221236,595377.382819922,,-7,,-222.97,-0.00334871582110688,-1.91,20691.5</t>
  </si>
  <si>
    <t>2025-05-12 10:04:00,580,,580,,580,,578.5,580,,,,580,578,580,577,579.56,579.56</t>
  </si>
  <si>
    <t>2025-05-12 10:04:00,500,,505,,500,,503,,,,,505,500,506,503,503.87,503.87</t>
  </si>
  <si>
    <t>2025-05-12 10:04:00,5900,,5850,,,6000,5800,,,,,6000,5750,5820,6000,5807.75,5807.75</t>
  </si>
  <si>
    <t>2025-05-12 10:04:00,20700,,20700,,20700,,20625,,,,,21200,20150,20700,20150,20688.75</t>
  </si>
  <si>
    <t>2025-05-12 10:04:00,8620765266.79398,6322931082.7662,8640.6810966811,6608,9372.87528138528,5339.38,170.546854088685,2073.44,579.56</t>
  </si>
  <si>
    <t>2025-05-12 10:04:00,2349676546.87356,1041802326.83945,908.292344140721,1696,979.765792792212,1171.73,-116.631721949255,468.57,503.87</t>
  </si>
  <si>
    <t>2025-05-12 10:04:00,89303861.6949774,119281292.388229,,-564,,8004.35,-3.46930673331672,274.9,5807.75</t>
  </si>
  <si>
    <t>2025-05-12 10:04:00,212746365.219764,576025.811756237,,0,,-102,0.00470217591366553,-0.67,20688.75</t>
  </si>
  <si>
    <t>2025-05-12 15:12:00,580,,583,,580,,580.5,,,583,,585,578,576,581,582.88</t>
  </si>
  <si>
    <t>2025-05-12 15:12:00,500,,508,,500,,504,,,,,508,500,508,503,507.64</t>
  </si>
  <si>
    <t>2025-05-12 15:12:00,5840,,5840,,,6000,5830,,,,,5850,5750,5820,6000,5841</t>
  </si>
  <si>
    <t>2025-05-12 15:12:00,20700,,20950,,20700,,20825,,,,,20950,20200,20950,20150,20843</t>
  </si>
  <si>
    <t>2025-05-12 15:12:00,7592275150.84736,61499721760.726,-231.205586080586,2863,290.45958333333,801.98,-1530.35367881909,997.61,582.88</t>
  </si>
  <si>
    <t>2025-05-12 15:12:00,2294489181.68617,19461720949.1827,5.59203703703704,-227,20.4365314814815,7.87,-18.8789769504016,-5.47,507.64</t>
  </si>
  <si>
    <t>2025-05-12 15:12:00,137788063.586981,2478019435.41241,,0,,0,0,0,5841</t>
  </si>
  <si>
    <t>2025-05-12 15:12:00,124642822.306406,5033285.53553971,,0,,0,0,0,20843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</si>
</sst>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"/>
    <numFmt numFmtId="166" formatCode="[$-F400]h:mm:ss\ AM/PM"/>
    <numFmt numFmtId="167" formatCode="0.E+00"/>
    <numFmt numFmtId="168" formatCode="d/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2" fillId="0" borderId="0" xfId="0" applyFont="1"/>
    <xf numFmtId="1" fontId="2" fillId="2" borderId="7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/>
    </xf>
    <xf numFmtId="0" fontId="2" fillId="0" borderId="6" xfId="0" applyFont="1" applyBorder="1"/>
    <xf numFmtId="0" fontId="2" fillId="0" borderId="8" xfId="0" applyFont="1" applyBorder="1"/>
    <xf numFmtId="1" fontId="2" fillId="0" borderId="6" xfId="0" applyNumberFormat="1" applyFont="1" applyBorder="1"/>
    <xf numFmtId="1" fontId="2" fillId="0" borderId="0" xfId="0" applyNumberFormat="1" applyFont="1"/>
    <xf numFmtId="0" fontId="2" fillId="0" borderId="3" xfId="0" applyFont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0" fontId="2" fillId="0" borderId="3" xfId="0" applyFont="1" applyBorder="1"/>
    <xf numFmtId="0" fontId="2" fillId="0" borderId="2" xfId="0" applyFont="1" applyBorder="1"/>
    <xf numFmtId="164" fontId="2" fillId="2" borderId="12" xfId="0" applyNumberFormat="1" applyFont="1" applyFill="1" applyBorder="1" applyAlignment="1">
      <alignment horizontal="center" vertical="center"/>
    </xf>
    <xf numFmtId="0" fontId="2" fillId="0" borderId="9" xfId="0" applyFont="1" applyBorder="1"/>
    <xf numFmtId="0" fontId="2" fillId="0" borderId="10" xfId="0" applyFont="1" applyBorder="1"/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4" xfId="0" applyFont="1" applyBorder="1"/>
    <xf numFmtId="0" fontId="4" fillId="2" borderId="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1" xfId="0" quotePrefix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/>
    <xf numFmtId="0" fontId="2" fillId="0" borderId="1" xfId="0" applyFont="1" applyBorder="1"/>
    <xf numFmtId="0" fontId="2" fillId="0" borderId="11" xfId="0" applyFont="1" applyBorder="1"/>
    <xf numFmtId="1" fontId="2" fillId="0" borderId="0" xfId="0" applyNumberFormat="1" applyFont="1" applyBorder="1"/>
    <xf numFmtId="0" fontId="7" fillId="0" borderId="3" xfId="0" applyFont="1" applyBorder="1" applyAlignment="1">
      <alignment horizontal="center" vertical="center"/>
    </xf>
    <xf numFmtId="164" fontId="7" fillId="2" borderId="5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/>
    <xf numFmtId="1" fontId="6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center"/>
    </xf>
    <xf numFmtId="16" fontId="4" fillId="0" borderId="0" xfId="0" applyNumberFormat="1" applyFont="1" applyFill="1" applyBorder="1" applyAlignment="1">
      <alignment horizontal="center" vertical="center"/>
    </xf>
    <xf numFmtId="16" fontId="6" fillId="0" borderId="0" xfId="0" applyNumberFormat="1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/>
    <xf numFmtId="1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2" fontId="4" fillId="2" borderId="7" xfId="0" applyNumberFormat="1" applyFont="1" applyFill="1" applyBorder="1"/>
    <xf numFmtId="9" fontId="2" fillId="0" borderId="0" xfId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2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6" fontId="6" fillId="0" borderId="0" xfId="0" applyNumberFormat="1" applyFont="1" applyFill="1" applyBorder="1"/>
    <xf numFmtId="22" fontId="6" fillId="0" borderId="0" xfId="0" applyNumberFormat="1" applyFont="1" applyFill="1" applyBorder="1"/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/>
    </xf>
    <xf numFmtId="167" fontId="6" fillId="0" borderId="0" xfId="0" applyNumberFormat="1" applyFont="1" applyFill="1" applyBorder="1"/>
    <xf numFmtId="1" fontId="6" fillId="0" borderId="0" xfId="0" applyNumberFormat="1" applyFont="1" applyFill="1" applyBorder="1"/>
    <xf numFmtId="1" fontId="6" fillId="0" borderId="0" xfId="0" quotePrefix="1" applyNumberFormat="1" applyFont="1" applyFill="1" applyBorder="1" applyAlignment="1"/>
    <xf numFmtId="0" fontId="6" fillId="0" borderId="0" xfId="0" quotePrefix="1" applyFont="1" applyFill="1" applyBorder="1" applyAlignment="1"/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7" xfId="0" applyFont="1" applyBorder="1"/>
    <xf numFmtId="0" fontId="2" fillId="0" borderId="12" xfId="0" applyFont="1" applyBorder="1"/>
    <xf numFmtId="0" fontId="2" fillId="0" borderId="15" xfId="0" applyFont="1" applyBorder="1"/>
    <xf numFmtId="0" fontId="2" fillId="0" borderId="7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Border="1"/>
    <xf numFmtId="9" fontId="2" fillId="0" borderId="0" xfId="1" applyFont="1" applyBorder="1"/>
    <xf numFmtId="1" fontId="6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/>
    <xf numFmtId="2" fontId="6" fillId="0" borderId="0" xfId="0" applyNumberFormat="1" applyFont="1" applyFill="1" applyBorder="1"/>
    <xf numFmtId="0" fontId="4" fillId="3" borderId="1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2" fillId="0" borderId="4" xfId="0" applyFont="1" applyBorder="1"/>
    <xf numFmtId="1" fontId="2" fillId="0" borderId="2" xfId="0" applyNumberFormat="1" applyFont="1" applyBorder="1"/>
    <xf numFmtId="2" fontId="6" fillId="0" borderId="0" xfId="0" applyNumberFormat="1" applyFont="1" applyFill="1" applyBorder="1" applyAlignment="1">
      <alignment horizontal="left" vertical="center"/>
    </xf>
    <xf numFmtId="21" fontId="6" fillId="0" borderId="0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2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1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VOLUME</stp>
        <stp>.NDXC20700</stp>
        <tr r="K164" s="2"/>
      </tp>
      <tp t="s">
        <v>N/A</v>
        <stp/>
        <stp>VOLUME</stp>
        <stp>.NDXC20725</stp>
        <tr r="K163" s="2"/>
      </tp>
      <tp t="s">
        <v>N/A</v>
        <stp/>
        <stp>VOLUME</stp>
        <stp>.NDXC20750</stp>
        <tr r="K162" s="2"/>
      </tp>
      <tp t="s">
        <v>N/A</v>
        <stp/>
        <stp>VOLUME</stp>
        <stp>.NDXC20775</stp>
        <tr r="K161" s="2"/>
      </tp>
      <tp t="s">
        <v>N/A</v>
        <stp/>
        <stp>VOLUME</stp>
        <stp>.SPXWC5780</stp>
        <tr r="E110" s="2"/>
        <tr r="G110" s="2"/>
        <tr r="C110" s="2"/>
        <tr r="F110" s="2"/>
        <tr r="D110" s="2"/>
        <tr r="B110" s="2"/>
      </tp>
      <tp t="s">
        <v>N/A</v>
        <stp/>
        <stp>VOLUME</stp>
        <stp>.SPXWP5780</stp>
        <tr r="E110" s="2"/>
        <tr r="G110" s="2"/>
        <tr r="C110" s="2"/>
        <tr r="F110" s="2"/>
        <tr r="D110" s="2"/>
        <tr r="B110" s="2"/>
      </tp>
      <tp t="s">
        <v>N/A</v>
        <stp/>
        <stp>VOLUME</stp>
        <stp>.SPXWC5790</stp>
        <tr r="C109" s="2"/>
        <tr r="D109" s="2"/>
        <tr r="G109" s="2"/>
        <tr r="B109" s="2"/>
        <tr r="F109" s="2"/>
        <tr r="E109" s="2"/>
      </tp>
      <tp t="s">
        <v>N/A</v>
        <stp/>
        <stp>VOLUME</stp>
        <stp>.SPXWP5790</stp>
        <tr r="C109" s="2"/>
        <tr r="D109" s="2"/>
        <tr r="G109" s="2"/>
        <tr r="B109" s="2"/>
        <tr r="F109" s="2"/>
        <tr r="E109" s="2"/>
      </tp>
      <tp t="s">
        <v>N/A</v>
        <stp/>
        <stp>VOLUME</stp>
        <stp>.SPXWC5740</stp>
        <tr r="G114" s="2"/>
        <tr r="E114" s="2"/>
        <tr r="F114" s="2"/>
        <tr r="C114" s="2"/>
        <tr r="B114" s="2"/>
        <tr r="D114" s="2"/>
      </tp>
      <tp t="s">
        <v>N/A</v>
        <stp/>
        <stp>VOLUME</stp>
        <stp>.SPXWP5740</stp>
        <tr r="G114" s="2"/>
        <tr r="E114" s="2"/>
        <tr r="F114" s="2"/>
        <tr r="C114" s="2"/>
        <tr r="B114" s="2"/>
        <tr r="D114" s="2"/>
      </tp>
      <tp t="s">
        <v>N/A</v>
        <stp/>
        <stp>VOLUME</stp>
        <stp>.SPXWC5750</stp>
        <tr r="B113" s="2"/>
        <tr r="E113" s="2"/>
        <tr r="F113" s="2"/>
        <tr r="G113" s="2"/>
        <tr r="D113" s="2"/>
        <tr r="C113" s="2"/>
      </tp>
      <tp t="s">
        <v>N/A</v>
        <stp/>
        <stp>VOLUME</stp>
        <stp>.SPXWP5750</stp>
        <tr r="B113" s="2"/>
        <tr r="E113" s="2"/>
        <tr r="F113" s="2"/>
        <tr r="G113" s="2"/>
        <tr r="D113" s="2"/>
        <tr r="C113" s="2"/>
      </tp>
      <tp t="s">
        <v>N/A</v>
        <stp/>
        <stp>VOLUME</stp>
        <stp>.NDXP20725</stp>
        <tr r="K163" s="2"/>
      </tp>
      <tp t="s">
        <v>N/A</v>
        <stp/>
        <stp>VOLUME</stp>
        <stp>.SPXWC5760</stp>
        <tr r="B112" s="2"/>
        <tr r="C112" s="2"/>
        <tr r="G112" s="2"/>
        <tr r="F112" s="2"/>
        <tr r="E112" s="2"/>
        <tr r="D112" s="2"/>
      </tp>
      <tp t="s">
        <v>N/A</v>
        <stp/>
        <stp>VOLUME</stp>
        <stp>.SPXWP5760</stp>
        <tr r="B112" s="2"/>
        <tr r="C112" s="2"/>
        <tr r="G112" s="2"/>
        <tr r="F112" s="2"/>
        <tr r="E112" s="2"/>
        <tr r="D112" s="2"/>
      </tp>
      <tp t="s">
        <v>N/A</v>
        <stp/>
        <stp>VOLUME</stp>
        <stp>.SPXWC5770</stp>
        <tr r="G111" s="2"/>
        <tr r="C111" s="2"/>
        <tr r="D111" s="2"/>
        <tr r="F111" s="2"/>
        <tr r="B111" s="2"/>
        <tr r="E111" s="2"/>
      </tp>
      <tp t="s">
        <v>N/A</v>
        <stp/>
        <stp>VOLUME</stp>
        <stp>.SPXWP5770</stp>
        <tr r="G111" s="2"/>
        <tr r="C111" s="2"/>
        <tr r="D111" s="2"/>
        <tr r="F111" s="2"/>
        <tr r="B111" s="2"/>
        <tr r="E111" s="2"/>
      </tp>
      <tp t="s">
        <v>N/A</v>
        <stp/>
        <stp>VOLUME</stp>
        <stp>.NDXP20700</stp>
        <tr r="K164" s="2"/>
      </tp>
      <tp t="s">
        <v>N/A</v>
        <stp/>
        <stp>VOLUME</stp>
        <stp>.SPXWC5700</stp>
        <tr r="B118" s="2"/>
        <tr r="F118" s="2"/>
        <tr r="G118" s="2"/>
        <tr r="D118" s="2"/>
        <tr r="C118" s="2"/>
        <tr r="E118" s="2"/>
      </tp>
      <tp t="s">
        <v>N/A</v>
        <stp/>
        <stp>VOLUME</stp>
        <stp>.SPXWP5700</stp>
        <tr r="B118" s="2"/>
        <tr r="F118" s="2"/>
        <tr r="G118" s="2"/>
        <tr r="D118" s="2"/>
        <tr r="C118" s="2"/>
        <tr r="E118" s="2"/>
      </tp>
      <tp t="s">
        <v>N/A</v>
        <stp/>
        <stp>VOLUME</stp>
        <stp>.NDXP20775</stp>
        <tr r="K161" s="2"/>
      </tp>
      <tp t="s">
        <v>N/A</v>
        <stp/>
        <stp>VOLUME</stp>
        <stp>.SPXWC5710</stp>
        <tr r="E117" s="2"/>
        <tr r="F117" s="2"/>
        <tr r="B117" s="2"/>
        <tr r="C117" s="2"/>
        <tr r="G117" s="2"/>
        <tr r="D117" s="2"/>
      </tp>
      <tp t="s">
        <v>N/A</v>
        <stp/>
        <stp>VOLUME</stp>
        <stp>.SPXWP5710</stp>
        <tr r="E117" s="2"/>
        <tr r="F117" s="2"/>
        <tr r="B117" s="2"/>
        <tr r="C117" s="2"/>
        <tr r="G117" s="2"/>
        <tr r="D117" s="2"/>
      </tp>
      <tp t="s">
        <v>N/A</v>
        <stp/>
        <stp>VOLUME</stp>
        <stp>.SPXWC5720</stp>
        <tr r="F116" s="2"/>
        <tr r="E116" s="2"/>
        <tr r="D116" s="2"/>
        <tr r="C116" s="2"/>
        <tr r="G116" s="2"/>
        <tr r="B116" s="2"/>
      </tp>
      <tp t="s">
        <v>N/A</v>
        <stp/>
        <stp>VOLUME</stp>
        <stp>.SPXWP5720</stp>
        <tr r="F116" s="2"/>
        <tr r="E116" s="2"/>
        <tr r="D116" s="2"/>
        <tr r="C116" s="2"/>
        <tr r="G116" s="2"/>
        <tr r="B116" s="2"/>
      </tp>
      <tp t="s">
        <v>N/A</v>
        <stp/>
        <stp>VOLUME</stp>
        <stp>.NDXP20750</stp>
        <tr r="K162" s="2"/>
      </tp>
      <tp t="s">
        <v>N/A</v>
        <stp/>
        <stp>VOLUME</stp>
        <stp>.SPXWC5730</stp>
        <tr r="G115" s="2"/>
        <tr r="E115" s="2"/>
        <tr r="D115" s="2"/>
        <tr r="B115" s="2"/>
        <tr r="F115" s="2"/>
        <tr r="C115" s="2"/>
      </tp>
      <tp t="s">
        <v>N/A</v>
        <stp/>
        <stp>VOLUME</stp>
        <stp>.SPXWP5730</stp>
        <tr r="G115" s="2"/>
        <tr r="E115" s="2"/>
        <tr r="D115" s="2"/>
        <tr r="B115" s="2"/>
        <tr r="F115" s="2"/>
        <tr r="C115" s="2"/>
      </tp>
      <tp>
        <v>10.45</v>
        <stp/>
        <stp>LAST</stp>
        <stp>.SPY250512P592</stp>
        <tr r="DB4" s="1"/>
        <tr r="DB4" s="1"/>
      </tp>
      <tp>
        <v>0.01</v>
        <stp/>
        <stp>LAST</stp>
        <stp>.SPY250512C592</stp>
        <tr r="DA4" s="1"/>
        <tr r="DA4" s="1"/>
      </tp>
      <tp>
        <v>6.76</v>
        <stp/>
        <stp>LAST</stp>
        <stp>.SPY250512P590</stp>
        <tr r="DB6" s="1"/>
        <tr r="DB6" s="1"/>
      </tp>
      <tp>
        <v>0.01</v>
        <stp/>
        <stp>LAST</stp>
        <stp>.SPY250512C590</stp>
        <tr r="DA6" s="1"/>
        <tr r="DA6" s="1"/>
      </tp>
      <tp>
        <v>9.5500000000000007</v>
        <stp/>
        <stp>LAST</stp>
        <stp>.SPY250512P591</stp>
        <tr r="DB5" s="1"/>
        <tr r="DB5" s="1"/>
      </tp>
      <tp>
        <v>0.01</v>
        <stp/>
        <stp>LAST</stp>
        <stp>.SPY250512C591</stp>
        <tr r="DA5" s="1"/>
        <tr r="DA5" s="1"/>
      </tp>
      <tp>
        <v>7.05</v>
        <stp/>
        <stp>LAST</stp>
        <stp>.SPY250512P588</stp>
        <tr r="DB8" s="1"/>
        <tr r="DB8" s="1"/>
      </tp>
      <tp>
        <v>0.01</v>
        <stp/>
        <stp>LAST</stp>
        <stp>.SPY250512C588</stp>
        <tr r="DA8" s="1"/>
        <tr r="DA8" s="1"/>
      </tp>
      <tp>
        <v>5.6</v>
        <stp/>
        <stp>LAST</stp>
        <stp>.SPY250512P589</stp>
        <tr r="DB7" s="1"/>
        <tr r="DB7" s="1"/>
      </tp>
      <tp>
        <v>0.01</v>
        <stp/>
        <stp>LAST</stp>
        <stp>.SPY250512C589</stp>
        <tr r="DA7" s="1"/>
        <tr r="DA7" s="1"/>
      </tp>
      <tp>
        <v>3.05</v>
        <stp/>
        <stp>LAST</stp>
        <stp>.SPY250512P586</stp>
        <tr r="DB10" s="1"/>
        <tr r="DB10" s="1"/>
      </tp>
      <tp>
        <v>0.01</v>
        <stp/>
        <stp>LAST</stp>
        <stp>.SPY250512C586</stp>
        <tr r="DA10" s="1"/>
        <tr r="DA10" s="1"/>
      </tp>
      <tp>
        <v>4.07</v>
        <stp/>
        <stp>LAST</stp>
        <stp>.SPY250512P587</stp>
        <tr r="DB9" s="1"/>
        <tr r="DB9" s="1"/>
      </tp>
      <tp>
        <v>0.01</v>
        <stp/>
        <stp>LAST</stp>
        <stp>.SPY250512C587</stp>
        <tr r="DA9" s="1"/>
        <tr r="DA9" s="1"/>
      </tp>
      <tp>
        <v>1.22</v>
        <stp/>
        <stp>LAST</stp>
        <stp>.SPY250512P584</stp>
        <tr r="DB12" s="1"/>
        <tr r="DB12" s="1"/>
      </tp>
      <tp>
        <v>0.01</v>
        <stp/>
        <stp>LAST</stp>
        <stp>.SPY250512C584</stp>
        <tr r="DA12" s="1"/>
        <tr r="DA12" s="1"/>
      </tp>
      <tp>
        <v>2.23</v>
        <stp/>
        <stp>LAST</stp>
        <stp>.SPY250512P585</stp>
        <tr r="DB11" s="1"/>
        <tr r="DB11" s="1"/>
      </tp>
      <tp>
        <v>0.01</v>
        <stp/>
        <stp>LAST</stp>
        <stp>.SPY250512C585</stp>
        <tr r="DA11" s="1"/>
        <tr r="DA11" s="1"/>
      </tp>
      <tp>
        <v>0.03</v>
        <stp/>
        <stp>LAST</stp>
        <stp>.SPY250512P582</stp>
        <tr r="DB14" s="1"/>
        <tr r="DB14" s="1"/>
      </tp>
      <tp>
        <v>0.75</v>
        <stp/>
        <stp>LAST</stp>
        <stp>.SPY250512C582</stp>
        <tr r="DA14" s="1"/>
        <tr r="DA14" s="1"/>
      </tp>
      <tp>
        <v>0.28000000000000003</v>
        <stp/>
        <stp>LAST</stp>
        <stp>.SPY250512P583</stp>
        <tr r="DB13" s="1"/>
        <tr r="DB13" s="1"/>
      </tp>
      <tp>
        <v>0.09</v>
        <stp/>
        <stp>LAST</stp>
        <stp>.SPY250512C583</stp>
        <tr r="DA13" s="1"/>
        <tr r="DA13" s="1"/>
      </tp>
      <tp>
        <v>0.01</v>
        <stp/>
        <stp>LAST</stp>
        <stp>.SPY250512P580</stp>
        <tr r="DB16" s="1"/>
        <tr r="DB16" s="1"/>
      </tp>
      <tp>
        <v>2.75</v>
        <stp/>
        <stp>LAST</stp>
        <stp>.SPY250512C580</stp>
        <tr r="DA16" s="1"/>
        <tr r="DA16" s="1"/>
      </tp>
      <tp>
        <v>0.01</v>
        <stp/>
        <stp>LAST</stp>
        <stp>.SPY250512P581</stp>
        <tr r="DB15" s="1"/>
        <tr r="DB15" s="1"/>
      </tp>
      <tp>
        <v>1.7</v>
        <stp/>
        <stp>LAST</stp>
        <stp>.SPY250512C581</stp>
        <tr r="DA15" s="1"/>
        <tr r="DA15" s="1"/>
      </tp>
      <tp>
        <v>0.01</v>
        <stp/>
        <stp>LAST</stp>
        <stp>.SPY250512P578</stp>
        <tr r="DB18" s="1"/>
        <tr r="DB18" s="1"/>
      </tp>
      <tp>
        <v>4.8600000000000003</v>
        <stp/>
        <stp>LAST</stp>
        <stp>.SPY250512C578</stp>
        <tr r="DA18" s="1"/>
        <tr r="DA18" s="1"/>
      </tp>
      <tp>
        <v>0.01</v>
        <stp/>
        <stp>LAST</stp>
        <stp>.SPY250512P579</stp>
        <tr r="DB17" s="1"/>
        <tr r="DB17" s="1"/>
      </tp>
      <tp>
        <v>3.93</v>
        <stp/>
        <stp>LAST</stp>
        <stp>.SPY250512C579</stp>
        <tr r="DA17" s="1"/>
        <tr r="DA17" s="1"/>
      </tp>
      <tp>
        <v>0.01</v>
        <stp/>
        <stp>LAST</stp>
        <stp>.SPY250512P576</stp>
        <tr r="DB20" s="1"/>
        <tr r="DB20" s="1"/>
      </tp>
      <tp>
        <v>7.03</v>
        <stp/>
        <stp>LAST</stp>
        <stp>.SPY250512C576</stp>
        <tr r="DA20" s="1"/>
        <tr r="DA20" s="1"/>
      </tp>
      <tp>
        <v>0.01</v>
        <stp/>
        <stp>LAST</stp>
        <stp>.SPY250512P577</stp>
        <tr r="DB19" s="1"/>
        <tr r="DB19" s="1"/>
      </tp>
      <tp>
        <v>5.86</v>
        <stp/>
        <stp>LAST</stp>
        <stp>.SPY250512C577</stp>
        <tr r="DA19" s="1"/>
        <tr r="DA19" s="1"/>
      </tp>
      <tp>
        <v>0.02</v>
        <stp/>
        <stp>LAST</stp>
        <stp>.SPY250512P574</stp>
        <tr r="DB22" s="1"/>
        <tr r="DB22" s="1"/>
      </tp>
      <tp>
        <v>8.9700000000000006</v>
        <stp/>
        <stp>LAST</stp>
        <stp>.SPY250512C574</stp>
        <tr r="DA22" s="1"/>
        <tr r="DA22" s="1"/>
      </tp>
      <tp>
        <v>0.01</v>
        <stp/>
        <stp>LAST</stp>
        <stp>.SPY250512P575</stp>
        <tr r="DB21" s="1"/>
        <tr r="DB21" s="1"/>
      </tp>
      <tp>
        <v>7.89</v>
        <stp/>
        <stp>LAST</stp>
        <stp>.SPY250512C575</stp>
        <tr r="DA21" s="1"/>
        <tr r="DA21" s="1"/>
      </tp>
      <tp>
        <v>0.01</v>
        <stp/>
        <stp>LAST</stp>
        <stp>.SPY250512P572</stp>
        <tr r="DB24" s="1"/>
        <tr r="DB24" s="1"/>
      </tp>
      <tp>
        <v>11.01</v>
        <stp/>
        <stp>LAST</stp>
        <stp>.SPY250512C572</stp>
        <tr r="DA24" s="1"/>
        <tr r="DA24" s="1"/>
      </tp>
      <tp>
        <v>0.01</v>
        <stp/>
        <stp>LAST</stp>
        <stp>.SPY250512P573</stp>
        <tr r="DB23" s="1"/>
        <tr r="DB23" s="1"/>
      </tp>
      <tp>
        <v>9.99</v>
        <stp/>
        <stp>LAST</stp>
        <stp>.SPY250512C573</stp>
        <tr r="DA23" s="1"/>
        <tr r="DA23" s="1"/>
      </tp>
      <tp>
        <v>0.01</v>
        <stp/>
        <stp>LAST</stp>
        <stp>.SPY250512P570</stp>
        <tr r="DB26" s="1"/>
        <tr r="DB26" s="1"/>
      </tp>
      <tp>
        <v>12.8</v>
        <stp/>
        <stp>LAST</stp>
        <stp>.SPY250512C570</stp>
        <tr r="DA26" s="1"/>
        <tr r="DA26" s="1"/>
      </tp>
      <tp>
        <v>0.01</v>
        <stp/>
        <stp>LAST</stp>
        <stp>.SPY250512P571</stp>
        <tr r="DB25" s="1"/>
        <tr r="DB25" s="1"/>
      </tp>
      <tp>
        <v>11.94</v>
        <stp/>
        <stp>LAST</stp>
        <stp>.SPY250512C571</stp>
        <tr r="DA25" s="1"/>
        <tr r="DA25" s="1"/>
      </tp>
      <tp>
        <v>0.01</v>
        <stp/>
        <stp>LAST</stp>
        <stp>.SPY250512P568</stp>
        <tr r="DB28" s="1"/>
        <tr r="DB28" s="1"/>
      </tp>
      <tp>
        <v>15.29</v>
        <stp/>
        <stp>LAST</stp>
        <stp>.SPY250512C568</stp>
        <tr r="DA28" s="1"/>
        <tr r="DA28" s="1"/>
      </tp>
      <tp>
        <v>0.01</v>
        <stp/>
        <stp>LAST</stp>
        <stp>.SPY250512P569</stp>
        <tr r="DB27" s="1"/>
        <tr r="DB27" s="1"/>
      </tp>
      <tp>
        <v>13.93</v>
        <stp/>
        <stp>LAST</stp>
        <stp>.SPY250512C569</stp>
        <tr r="DA27" s="1"/>
        <tr r="DA27" s="1"/>
      </tp>
      <tp>
        <v>0.01</v>
        <stp/>
        <stp>LAST</stp>
        <stp>.SPY250512P566</stp>
        <tr r="DB30" s="1"/>
        <tr r="DB30" s="1"/>
      </tp>
      <tp>
        <v>16.95</v>
        <stp/>
        <stp>LAST</stp>
        <stp>.SPY250512C566</stp>
        <tr r="DA30" s="1"/>
        <tr r="DA30" s="1"/>
      </tp>
      <tp>
        <v>0.01</v>
        <stp/>
        <stp>LAST</stp>
        <stp>.SPY250512P567</stp>
        <tr r="DB29" s="1"/>
        <tr r="DB29" s="1"/>
      </tp>
      <tp>
        <v>16.07</v>
        <stp/>
        <stp>LAST</stp>
        <stp>.SPY250512C567</stp>
        <tr r="DA29" s="1"/>
        <tr r="DA29" s="1"/>
      </tp>
      <tp>
        <v>0.01</v>
        <stp/>
        <stp>LAST</stp>
        <stp>.SPY250512P564</stp>
        <tr r="DB32" s="1"/>
        <tr r="DB32" s="1"/>
      </tp>
      <tp>
        <v>19.25</v>
        <stp/>
        <stp>LAST</stp>
        <stp>.SPY250512C564</stp>
        <tr r="DA32" s="1"/>
        <tr r="DA32" s="1"/>
      </tp>
      <tp>
        <v>0.01</v>
        <stp/>
        <stp>LAST</stp>
        <stp>.SPY250512P565</stp>
        <tr r="DB31" s="1"/>
        <tr r="DB31" s="1"/>
      </tp>
      <tp>
        <v>17.899999999999999</v>
        <stp/>
        <stp>LAST</stp>
        <stp>.SPY250512C565</stp>
        <tr r="DA31" s="1"/>
        <tr r="DA31" s="1"/>
      </tp>
      <tp>
        <v>0.01</v>
        <stp/>
        <stp>LAST</stp>
        <stp>.SPY250512P562</stp>
        <tr r="DB34" s="1"/>
        <tr r="DB34" s="1"/>
      </tp>
      <tp>
        <v>20.92</v>
        <stp/>
        <stp>LAST</stp>
        <stp>.SPY250512C562</stp>
        <tr r="DA34" s="1"/>
        <tr r="DA34" s="1"/>
      </tp>
      <tp>
        <v>0.01</v>
        <stp/>
        <stp>LAST</stp>
        <stp>.SPY250512P563</stp>
        <tr r="DB33" s="1"/>
        <tr r="DB33" s="1"/>
      </tp>
      <tp>
        <v>20.28</v>
        <stp/>
        <stp>LAST</stp>
        <stp>.SPY250512C563</stp>
        <tr r="DA33" s="1"/>
        <tr r="DA33" s="1"/>
      </tp>
      <tp>
        <v>0.01</v>
        <stp/>
        <stp>LAST</stp>
        <stp>.SPY250512P560</stp>
        <tr r="DB36" s="1"/>
        <tr r="DB36" s="1"/>
      </tp>
      <tp>
        <v>23.3</v>
        <stp/>
        <stp>LAST</stp>
        <stp>.SPY250512C560</stp>
        <tr r="DA36" s="1"/>
        <tr r="DA36" s="1"/>
      </tp>
      <tp>
        <v>0.01</v>
        <stp/>
        <stp>LAST</stp>
        <stp>.SPY250512P561</stp>
        <tr r="DB35" s="1"/>
        <tr r="DB35" s="1"/>
      </tp>
      <tp>
        <v>20.87</v>
        <stp/>
        <stp>LAST</stp>
        <stp>.SPY250512C561</stp>
        <tr r="DA35" s="1"/>
        <tr r="DA35" s="1"/>
      </tp>
      <tp>
        <v>0.01</v>
        <stp/>
        <stp>LAST</stp>
        <stp>.SPY250512P558</stp>
        <tr r="DB38" s="1"/>
        <tr r="DB38" s="1"/>
      </tp>
      <tp>
        <v>25.29</v>
        <stp/>
        <stp>LAST</stp>
        <stp>.SPY250512C558</stp>
        <tr r="DA38" s="1"/>
        <tr r="DA38" s="1"/>
      </tp>
      <tp>
        <v>0.01</v>
        <stp/>
        <stp>LAST</stp>
        <stp>.SPY250512P559</stp>
        <tr r="DB37" s="1"/>
        <tr r="DB37" s="1"/>
      </tp>
      <tp>
        <v>23.24</v>
        <stp/>
        <stp>LAST</stp>
        <stp>.SPY250512C559</stp>
        <tr r="DA37" s="1"/>
        <tr r="DA37" s="1"/>
      </tp>
      <tp t="s">
        <v>N/A</v>
        <stp/>
        <stp>VOLUME</stp>
        <stp>.NDXC20600</stp>
        <tr r="K168" s="2"/>
      </tp>
      <tp t="s">
        <v>N/A</v>
        <stp/>
        <stp>VOLUME</stp>
        <stp>.NDXC20625</stp>
        <tr r="K167" s="2"/>
      </tp>
      <tp t="s">
        <v>N/A</v>
        <stp/>
        <stp>VOLUME</stp>
        <stp>.NDXC20650</stp>
        <tr r="K166" s="2"/>
      </tp>
      <tp t="s">
        <v>N/A</v>
        <stp/>
        <stp>VOLUME</stp>
        <stp>.NDXC20675</stp>
        <tr r="K165" s="2"/>
      </tp>
      <tp t="s">
        <v>N/A</v>
        <stp/>
        <stp>VOLUME</stp>
        <stp>.SPXWC5680</stp>
        <tr r="B120" s="2"/>
        <tr r="C120" s="2"/>
        <tr r="D120" s="2"/>
        <tr r="F120" s="2"/>
        <tr r="E120" s="2"/>
        <tr r="G120" s="2"/>
      </tp>
      <tp t="s">
        <v>N/A</v>
        <stp/>
        <stp>VOLUME</stp>
        <stp>.SPXWP5680</stp>
        <tr r="B120" s="2"/>
        <tr r="C120" s="2"/>
        <tr r="D120" s="2"/>
        <tr r="F120" s="2"/>
        <tr r="E120" s="2"/>
        <tr r="G120" s="2"/>
      </tp>
      <tp t="s">
        <v>N/A</v>
        <stp/>
        <stp>VOLUME</stp>
        <stp>.SPXWC5690</stp>
        <tr r="E119" s="2"/>
        <tr r="C119" s="2"/>
        <tr r="B119" s="2"/>
        <tr r="G119" s="2"/>
        <tr r="F119" s="2"/>
        <tr r="D119" s="2"/>
      </tp>
      <tp t="s">
        <v>N/A</v>
        <stp/>
        <stp>VOLUME</stp>
        <stp>.SPXWP5690</stp>
        <tr r="E119" s="2"/>
        <tr r="C119" s="2"/>
        <tr r="B119" s="2"/>
        <tr r="G119" s="2"/>
        <tr r="F119" s="2"/>
        <tr r="D119" s="2"/>
      </tp>
      <tp t="s">
        <v>N/A</v>
        <stp/>
        <stp>VOLUME</stp>
        <stp>.SPXWC5640</stp>
        <tr r="C124" s="2"/>
        <tr r="E124" s="2"/>
        <tr r="F124" s="2"/>
        <tr r="G124" s="2"/>
        <tr r="B124" s="2"/>
        <tr r="D124" s="2"/>
      </tp>
      <tp t="s">
        <v>N/A</v>
        <stp/>
        <stp>VOLUME</stp>
        <stp>.SPXWP5640</stp>
        <tr r="C124" s="2"/>
        <tr r="E124" s="2"/>
        <tr r="F124" s="2"/>
        <tr r="G124" s="2"/>
        <tr r="B124" s="2"/>
        <tr r="D124" s="2"/>
      </tp>
      <tp t="s">
        <v>N/A</v>
        <stp/>
        <stp>VOLUME</stp>
        <stp>.SPXWC5650</stp>
        <tr r="B123" s="2"/>
        <tr r="E123" s="2"/>
        <tr r="F123" s="2"/>
        <tr r="D123" s="2"/>
        <tr r="C123" s="2"/>
        <tr r="G123" s="2"/>
      </tp>
      <tp t="s">
        <v>N/A</v>
        <stp/>
        <stp>VOLUME</stp>
        <stp>.SPXWP5650</stp>
        <tr r="B123" s="2"/>
        <tr r="E123" s="2"/>
        <tr r="F123" s="2"/>
        <tr r="D123" s="2"/>
        <tr r="C123" s="2"/>
        <tr r="G123" s="2"/>
      </tp>
      <tp t="s">
        <v>N/A</v>
        <stp/>
        <stp>VOLUME</stp>
        <stp>.NDXP20625</stp>
        <tr r="K167" s="2"/>
      </tp>
      <tp t="s">
        <v>N/A</v>
        <stp/>
        <stp>VOLUME</stp>
        <stp>.SPXWC5660</stp>
        <tr r="D122" s="2"/>
        <tr r="E122" s="2"/>
        <tr r="C122" s="2"/>
        <tr r="F122" s="2"/>
        <tr r="B122" s="2"/>
        <tr r="G122" s="2"/>
      </tp>
      <tp t="s">
        <v>N/A</v>
        <stp/>
        <stp>VOLUME</stp>
        <stp>.SPXWP5660</stp>
        <tr r="D122" s="2"/>
        <tr r="E122" s="2"/>
        <tr r="C122" s="2"/>
        <tr r="F122" s="2"/>
        <tr r="B122" s="2"/>
        <tr r="G122" s="2"/>
      </tp>
      <tp t="s">
        <v>N/A</v>
        <stp/>
        <stp>VOLUME</stp>
        <stp>.SPXWC5670</stp>
        <tr r="C121" s="2"/>
        <tr r="F121" s="2"/>
        <tr r="D121" s="2"/>
        <tr r="E121" s="2"/>
        <tr r="B121" s="2"/>
        <tr r="G121" s="2"/>
      </tp>
      <tp t="s">
        <v>N/A</v>
        <stp/>
        <stp>VOLUME</stp>
        <stp>.SPXWP5670</stp>
        <tr r="C121" s="2"/>
        <tr r="F121" s="2"/>
        <tr r="D121" s="2"/>
        <tr r="E121" s="2"/>
        <tr r="B121" s="2"/>
        <tr r="G121" s="2"/>
      </tp>
      <tp t="s">
        <v>N/A</v>
        <stp/>
        <stp>VOLUME</stp>
        <stp>.NDXP20600</stp>
        <tr r="K168" s="2"/>
      </tp>
      <tp t="s">
        <v>N/A</v>
        <stp/>
        <stp>VOLUME</stp>
        <stp>.SPXWC5600</stp>
        <tr r="B128" s="2"/>
        <tr r="F128" s="2"/>
        <tr r="D128" s="2"/>
        <tr r="C128" s="2"/>
        <tr r="G128" s="2"/>
        <tr r="E128" s="2"/>
      </tp>
      <tp t="s">
        <v>N/A</v>
        <stp/>
        <stp>VOLUME</stp>
        <stp>.SPXWP5600</stp>
        <tr r="B128" s="2"/>
        <tr r="F128" s="2"/>
        <tr r="D128" s="2"/>
        <tr r="C128" s="2"/>
        <tr r="G128" s="2"/>
        <tr r="E128" s="2"/>
      </tp>
      <tp t="s">
        <v>N/A</v>
        <stp/>
        <stp>VOLUME</stp>
        <stp>.NDXP20675</stp>
        <tr r="K165" s="2"/>
      </tp>
      <tp t="s">
        <v>N/A</v>
        <stp/>
        <stp>VOLUME</stp>
        <stp>.SPXWC5610</stp>
        <tr r="D127" s="2"/>
        <tr r="B127" s="2"/>
        <tr r="F127" s="2"/>
        <tr r="G127" s="2"/>
        <tr r="E127" s="2"/>
        <tr r="C127" s="2"/>
      </tp>
      <tp t="s">
        <v>N/A</v>
        <stp/>
        <stp>VOLUME</stp>
        <stp>.SPXWP5610</stp>
        <tr r="D127" s="2"/>
        <tr r="B127" s="2"/>
        <tr r="F127" s="2"/>
        <tr r="G127" s="2"/>
        <tr r="E127" s="2"/>
        <tr r="C127" s="2"/>
      </tp>
      <tp t="s">
        <v>N/A</v>
        <stp/>
        <stp>VOLUME</stp>
        <stp>.SPXWC5620</stp>
        <tr r="D126" s="2"/>
        <tr r="B126" s="2"/>
        <tr r="E126" s="2"/>
        <tr r="C126" s="2"/>
        <tr r="F126" s="2"/>
        <tr r="G126" s="2"/>
      </tp>
      <tp t="s">
        <v>N/A</v>
        <stp/>
        <stp>VOLUME</stp>
        <stp>.SPXWP5620</stp>
        <tr r="D126" s="2"/>
        <tr r="B126" s="2"/>
        <tr r="E126" s="2"/>
        <tr r="C126" s="2"/>
        <tr r="F126" s="2"/>
        <tr r="G126" s="2"/>
      </tp>
      <tp t="s">
        <v>N/A</v>
        <stp/>
        <stp>VOLUME</stp>
        <stp>.NDXP20650</stp>
        <tr r="K166" s="2"/>
      </tp>
      <tp t="s">
        <v>N/A</v>
        <stp/>
        <stp>VOLUME</stp>
        <stp>.SPXWC5630</stp>
        <tr r="C125" s="2"/>
        <tr r="B125" s="2"/>
        <tr r="E125" s="2"/>
        <tr r="D125" s="2"/>
        <tr r="F125" s="2"/>
        <tr r="G125" s="2"/>
      </tp>
      <tp t="s">
        <v>N/A</v>
        <stp/>
        <stp>VOLUME</stp>
        <stp>.SPXWP5630</stp>
        <tr r="C125" s="2"/>
        <tr r="B125" s="2"/>
        <tr r="E125" s="2"/>
        <tr r="D125" s="2"/>
        <tr r="F125" s="2"/>
        <tr r="G125" s="2"/>
      </tp>
      <tp t="s">
        <v>N/A</v>
        <stp/>
        <stp>VOLUME</stp>
        <stp>.NDXC20500</stp>
        <tr r="K172" s="2"/>
      </tp>
      <tp t="s">
        <v>N/A</v>
        <stp/>
        <stp>VOLUME</stp>
        <stp>.NDXC20525</stp>
        <tr r="K171" s="2"/>
      </tp>
      <tp t="s">
        <v>N/A</v>
        <stp/>
        <stp>VOLUME</stp>
        <stp>.NDXC20550</stp>
        <tr r="K170" s="2"/>
      </tp>
      <tp t="s">
        <v>N/A</v>
        <stp/>
        <stp>VOLUME</stp>
        <stp>.NDXC20575</stp>
        <tr r="K169" s="2"/>
      </tp>
      <tp t="s">
        <v>N/A</v>
        <stp/>
        <stp>VOLUME</stp>
        <stp>.SPXWC5580</stp>
        <tr r="G130" s="2"/>
        <tr r="B130" s="2"/>
        <tr r="D130" s="2"/>
        <tr r="E130" s="2"/>
        <tr r="F130" s="2"/>
        <tr r="C130" s="2"/>
      </tp>
      <tp t="s">
        <v>N/A</v>
        <stp/>
        <stp>VOLUME</stp>
        <stp>.SPXWP5580</stp>
        <tr r="G130" s="2"/>
        <tr r="B130" s="2"/>
        <tr r="D130" s="2"/>
        <tr r="E130" s="2"/>
        <tr r="F130" s="2"/>
        <tr r="C130" s="2"/>
      </tp>
      <tp t="s">
        <v>N/A</v>
        <stp/>
        <stp>VOLUME</stp>
        <stp>.SPXWC5590</stp>
        <tr r="E129" s="2"/>
        <tr r="D129" s="2"/>
        <tr r="F129" s="2"/>
        <tr r="B129" s="2"/>
        <tr r="C129" s="2"/>
        <tr r="G129" s="2"/>
      </tp>
      <tp t="s">
        <v>N/A</v>
        <stp/>
        <stp>VOLUME</stp>
        <stp>.SPXWP5590</stp>
        <tr r="E129" s="2"/>
        <tr r="D129" s="2"/>
        <tr r="F129" s="2"/>
        <tr r="B129" s="2"/>
        <tr r="C129" s="2"/>
        <tr r="G129" s="2"/>
      </tp>
      <tp t="s">
        <v>N/A</v>
        <stp/>
        <stp>VOLUME</stp>
        <stp>.NDXP20525</stp>
        <tr r="K171" s="2"/>
      </tp>
      <tp t="s">
        <v>N/A</v>
        <stp/>
        <stp>VOLUME</stp>
        <stp>.SPXWC5570</stp>
        <tr r="E131" s="2"/>
        <tr r="C131" s="2"/>
        <tr r="F131" s="2"/>
        <tr r="B131" s="2"/>
        <tr r="D131" s="2"/>
        <tr r="G131" s="2"/>
      </tp>
      <tp t="s">
        <v>N/A</v>
        <stp/>
        <stp>VOLUME</stp>
        <stp>.SPXWP5570</stp>
        <tr r="E131" s="2"/>
        <tr r="C131" s="2"/>
        <tr r="F131" s="2"/>
        <tr r="B131" s="2"/>
        <tr r="D131" s="2"/>
        <tr r="G131" s="2"/>
      </tp>
      <tp t="s">
        <v>N/A</v>
        <stp/>
        <stp>VOLUME</stp>
        <stp>.NDXP20500</stp>
        <tr r="K172" s="2"/>
      </tp>
      <tp t="s">
        <v>N/A</v>
        <stp/>
        <stp>VOLUME</stp>
        <stp>.NDXP20575</stp>
        <tr r="K169" s="2"/>
      </tp>
      <tp t="s">
        <v>N/A</v>
        <stp/>
        <stp>VOLUME</stp>
        <stp>.NDXP20550</stp>
        <tr r="K170" s="2"/>
      </tp>
      <tp t="s">
        <v>N/A</v>
        <stp/>
        <stp>VOLUME</stp>
        <stp>.NDXC20400</stp>
        <tr r="K176" s="2"/>
      </tp>
      <tp t="s">
        <v>N/A</v>
        <stp/>
        <stp>VOLUME</stp>
        <stp>.NDXC20425</stp>
        <tr r="K175" s="2"/>
      </tp>
      <tp t="s">
        <v>N/A</v>
        <stp/>
        <stp>VOLUME</stp>
        <stp>.NDXC20450</stp>
        <tr r="K174" s="2"/>
      </tp>
      <tp t="s">
        <v>N/A</v>
        <stp/>
        <stp>VOLUME</stp>
        <stp>.NDXC20475</stp>
        <tr r="K173" s="2"/>
      </tp>
      <tp t="s">
        <v>N/A</v>
        <stp/>
        <stp>VOLUME</stp>
        <stp>.NDXP20425</stp>
        <tr r="K175" s="2"/>
      </tp>
      <tp t="s">
        <v>N/A</v>
        <stp/>
        <stp>VOLUME</stp>
        <stp>.NDXP20400</stp>
        <tr r="K176" s="2"/>
      </tp>
      <tp t="s">
        <v>N/A</v>
        <stp/>
        <stp>VOLUME</stp>
        <stp>.NDXP20475</stp>
        <tr r="K173" s="2"/>
      </tp>
      <tp t="s">
        <v>N/A</v>
        <stp/>
        <stp>VOLUME</stp>
        <stp>.NDXP20450</stp>
        <tr r="K174" s="2"/>
      </tp>
      <tp t="s">
        <v>N/A</v>
        <stp/>
        <stp>VOLUME</stp>
        <stp>.NDXC21300</stp>
        <tr r="K140" s="2"/>
      </tp>
      <tp t="s">
        <v>N/A</v>
        <stp/>
        <stp>VOLUME</stp>
        <stp>.NDXC20300</stp>
        <tr r="K180" s="2"/>
      </tp>
      <tp t="s">
        <v>N/A</v>
        <stp/>
        <stp>VOLUME</stp>
        <stp>.NDXC21325</stp>
        <tr r="K139" s="2"/>
      </tp>
      <tp t="s">
        <v>N/A</v>
        <stp/>
        <stp>VOLUME</stp>
        <stp>.NDXC20325</stp>
        <tr r="K179" s="2"/>
      </tp>
      <tp t="s">
        <v>N/A</v>
        <stp/>
        <stp>VOLUME</stp>
        <stp>.NDXC21350</stp>
        <tr r="K138" s="2"/>
      </tp>
      <tp t="s">
        <v>N/A</v>
        <stp/>
        <stp>VOLUME</stp>
        <stp>.NDXC20350</stp>
        <tr r="K178" s="2"/>
      </tp>
      <tp t="s">
        <v>N/A</v>
        <stp/>
        <stp>VOLUME</stp>
        <stp>.NDXC20375</stp>
        <tr r="K177" s="2"/>
      </tp>
      <tp t="s">
        <v>N/A</v>
        <stp/>
        <stp>VOLUME</stp>
        <stp>.NDXP21325</stp>
        <tr r="K139" s="2"/>
      </tp>
      <tp t="s">
        <v>N/A</v>
        <stp/>
        <stp>VOLUME</stp>
        <stp>.NDXP20325</stp>
        <tr r="K179" s="2"/>
      </tp>
      <tp t="s">
        <v>N/A</v>
        <stp/>
        <stp>VOLUME</stp>
        <stp>.NDXP21300</stp>
        <tr r="K140" s="2"/>
      </tp>
      <tp t="s">
        <v>N/A</v>
        <stp/>
        <stp>VOLUME</stp>
        <stp>.NDXP20300</stp>
        <tr r="K180" s="2"/>
      </tp>
      <tp t="s">
        <v>N/A</v>
        <stp/>
        <stp>VOLUME</stp>
        <stp>.NDXP20375</stp>
        <tr r="K177" s="2"/>
      </tp>
      <tp t="s">
        <v>N/A</v>
        <stp/>
        <stp>VOLUME</stp>
        <stp>.NDXP21350</stp>
        <tr r="K138" s="2"/>
      </tp>
      <tp t="s">
        <v>N/A</v>
        <stp/>
        <stp>VOLUME</stp>
        <stp>.NDXP20350</stp>
        <tr r="K178" s="2"/>
      </tp>
      <tp t="s">
        <v>N/A</v>
        <stp/>
        <stp>VOLUME</stp>
        <stp>.NDXC21200</stp>
        <tr r="K144" s="2"/>
      </tp>
      <tp t="s">
        <v>N/A</v>
        <stp/>
        <stp>VOLUME</stp>
        <stp>.NDXC20200</stp>
        <tr r="K184" s="2"/>
      </tp>
      <tp t="s">
        <v>N/A</v>
        <stp/>
        <stp>VOLUME</stp>
        <stp>.NDXC21225</stp>
        <tr r="K143" s="2"/>
      </tp>
      <tp t="s">
        <v>N/A</v>
        <stp/>
        <stp>VOLUME</stp>
        <stp>.NDXC20225</stp>
        <tr r="K183" s="2"/>
      </tp>
      <tp t="s">
        <v>N/A</v>
        <stp/>
        <stp>VOLUME</stp>
        <stp>.NDXC21250</stp>
        <tr r="K142" s="2"/>
      </tp>
      <tp t="s">
        <v>N/A</v>
        <stp/>
        <stp>VOLUME</stp>
        <stp>.NDXC20250</stp>
        <tr r="K182" s="2"/>
      </tp>
      <tp t="s">
        <v>N/A</v>
        <stp/>
        <stp>VOLUME</stp>
        <stp>.NDXC21275</stp>
        <tr r="K141" s="2"/>
      </tp>
      <tp t="s">
        <v>N/A</v>
        <stp/>
        <stp>VOLUME</stp>
        <stp>.NDXC20275</stp>
        <tr r="K181" s="2"/>
      </tp>
      <tp t="s">
        <v>N/A</v>
        <stp/>
        <stp>VOLUME</stp>
        <stp>.NDXP21225</stp>
        <tr r="K143" s="2"/>
      </tp>
      <tp t="s">
        <v>N/A</v>
        <stp/>
        <stp>VOLUME</stp>
        <stp>.NDXP20225</stp>
        <tr r="K183" s="2"/>
      </tp>
      <tp t="s">
        <v>N/A</v>
        <stp/>
        <stp>VOLUME</stp>
        <stp>.NDXP21200</stp>
        <tr r="K144" s="2"/>
      </tp>
      <tp t="s">
        <v>N/A</v>
        <stp/>
        <stp>VOLUME</stp>
        <stp>.NDXP20200</stp>
        <tr r="K184" s="2"/>
      </tp>
      <tp t="s">
        <v>N/A</v>
        <stp/>
        <stp>VOLUME</stp>
        <stp>.NDXP21275</stp>
        <tr r="K141" s="2"/>
      </tp>
      <tp t="s">
        <v>N/A</v>
        <stp/>
        <stp>VOLUME</stp>
        <stp>.NDXP20275</stp>
        <tr r="K181" s="2"/>
      </tp>
      <tp t="s">
        <v>N/A</v>
        <stp/>
        <stp>VOLUME</stp>
        <stp>.NDXP21250</stp>
        <tr r="K142" s="2"/>
      </tp>
      <tp t="s">
        <v>N/A</v>
        <stp/>
        <stp>VOLUME</stp>
        <stp>.NDXP20250</stp>
        <tr r="K182" s="2"/>
      </tp>
      <tp>
        <v>582.95000000000005</v>
        <stp/>
        <stp>MARK</stp>
        <stp>SPY</stp>
        <tr r="G84" s="1"/>
        <tr r="A3" s="1"/>
      </tp>
      <tp>
        <v>5844.19</v>
        <stp/>
        <stp>MARK</stp>
        <stp>SPX</stp>
        <tr r="E82" s="1"/>
      </tp>
      <tp>
        <v>-0.53</v>
        <stp/>
        <stp>DELTA</stp>
        <stp>.SPY250512P583</stp>
        <tr r="CE13" s="1"/>
        <tr r="CE13" s="1"/>
      </tp>
      <tp>
        <v>-0.64</v>
        <stp/>
        <stp>DELTA</stp>
        <stp>.SPY250516P587</stp>
        <tr r="CG9" s="1"/>
        <tr r="CG9" s="1"/>
      </tp>
      <tp>
        <v>0.43</v>
        <stp/>
        <stp>DELTA</stp>
        <stp>.SPY250512C583</stp>
        <tr r="CD13" s="1"/>
        <tr r="CD13" s="1"/>
      </tp>
      <tp>
        <v>0.36</v>
        <stp/>
        <stp>DELTA</stp>
        <stp>.SPY250516C587</stp>
        <tr r="CF9" s="1"/>
        <tr r="CF9" s="1"/>
      </tp>
      <tp>
        <v>-0.1</v>
        <stp/>
        <stp>DELTA</stp>
        <stp>.SPY250512P582</stp>
        <tr r="CE14" s="1"/>
        <tr r="CE14" s="1"/>
      </tp>
      <tp>
        <v>-0.6</v>
        <stp/>
        <stp>DELTA</stp>
        <stp>.SPY250516P586</stp>
        <tr r="CG10" s="1"/>
        <tr r="CG10" s="1"/>
      </tp>
      <tp>
        <v>1</v>
        <stp/>
        <stp>DELTA</stp>
        <stp>.SPY250512C582</stp>
        <tr r="CD14" s="1"/>
        <tr r="CD14" s="1"/>
      </tp>
      <tp>
        <v>0.4</v>
        <stp/>
        <stp>DELTA</stp>
        <stp>.SPY250516C586</stp>
        <tr r="CF10" s="1"/>
        <tr r="CF10" s="1"/>
      </tp>
      <tp>
        <v>-0.03</v>
        <stp/>
        <stp>DELTA</stp>
        <stp>.SPY250512P581</stp>
        <tr r="CE15" s="1"/>
        <tr r="CE15" s="1"/>
      </tp>
      <tp>
        <v>-0.56000000000000005</v>
        <stp/>
        <stp>DELTA</stp>
        <stp>.SPY250516P585</stp>
        <tr r="CG11" s="1"/>
        <tr r="CG11" s="1"/>
      </tp>
      <tp>
        <v>0.84</v>
        <stp/>
        <stp>DELTA</stp>
        <stp>.SPY250512C581</stp>
        <tr r="CD15" s="1"/>
        <tr r="CD15" s="1"/>
      </tp>
      <tp>
        <v>0.44</v>
        <stp/>
        <stp>DELTA</stp>
        <stp>.SPY250516C585</stp>
        <tr r="CF11" s="1"/>
        <tr r="CF11" s="1"/>
      </tp>
      <tp>
        <v>-0.03</v>
        <stp/>
        <stp>DELTA</stp>
        <stp>.SPY250512P580</stp>
        <tr r="CE16" s="1"/>
        <tr r="CE16" s="1"/>
      </tp>
      <tp>
        <v>-0.53</v>
        <stp/>
        <stp>DELTA</stp>
        <stp>.SPY250516P584</stp>
        <tr r="CG12" s="1"/>
        <tr r="CG12" s="1"/>
      </tp>
      <tp>
        <v>1</v>
        <stp/>
        <stp>DELTA</stp>
        <stp>.SPY250512C580</stp>
        <tr r="CD16" s="1"/>
        <tr r="CD16" s="1"/>
      </tp>
      <tp>
        <v>0.47</v>
        <stp/>
        <stp>DELTA</stp>
        <stp>.SPY250516C584</stp>
        <tr r="CF12" s="1"/>
        <tr r="CF12" s="1"/>
      </tp>
      <tp>
        <v>-0.89</v>
        <stp/>
        <stp>DELTA</stp>
        <stp>.SPY250512P587</stp>
        <tr r="CE9" s="1"/>
        <tr r="CE9" s="1"/>
      </tp>
      <tp>
        <v>-0.49</v>
        <stp/>
        <stp>DELTA</stp>
        <stp>.SPY250516P583</stp>
        <tr r="CG13" s="1"/>
        <tr r="CG13" s="1"/>
      </tp>
      <tp>
        <v>0.01</v>
        <stp/>
        <stp>DELTA</stp>
        <stp>.SPY250512C587</stp>
        <tr r="CD9" s="1"/>
        <tr r="CD9" s="1"/>
      </tp>
      <tp>
        <v>0.51</v>
        <stp/>
        <stp>DELTA</stp>
        <stp>.SPY250516C583</stp>
        <tr r="CF13" s="1"/>
        <tr r="CF13" s="1"/>
      </tp>
      <tp>
        <v>-0.88</v>
        <stp/>
        <stp>DELTA</stp>
        <stp>.SPY250512P586</stp>
        <tr r="CE10" s="1"/>
        <tr r="CE10" s="1"/>
      </tp>
      <tp>
        <v>-0.46</v>
        <stp/>
        <stp>DELTA</stp>
        <stp>.SPY250516P582</stp>
        <tr r="CG14" s="1"/>
        <tr r="CG14" s="1"/>
      </tp>
      <tp>
        <v>0.01</v>
        <stp/>
        <stp>DELTA</stp>
        <stp>.SPY250512C586</stp>
        <tr r="CD10" s="1"/>
        <tr r="CD10" s="1"/>
      </tp>
      <tp>
        <v>0.55000000000000004</v>
        <stp/>
        <stp>DELTA</stp>
        <stp>.SPY250516C582</stp>
        <tr r="CF14" s="1"/>
        <tr r="CF14" s="1"/>
      </tp>
      <tp>
        <v>-1</v>
        <stp/>
        <stp>DELTA</stp>
        <stp>.SPY250512P585</stp>
        <tr r="CE11" s="1"/>
        <tr r="CE11" s="1"/>
      </tp>
      <tp>
        <v>-0.42</v>
        <stp/>
        <stp>DELTA</stp>
        <stp>.SPY250516P581</stp>
        <tr r="CG15" s="1"/>
        <tr r="CG15" s="1"/>
      </tp>
      <tp>
        <v>0.02</v>
        <stp/>
        <stp>DELTA</stp>
        <stp>.SPY250512C585</stp>
        <tr r="CD11" s="1"/>
        <tr r="CD11" s="1"/>
      </tp>
      <tp>
        <v>0.57999999999999996</v>
        <stp/>
        <stp>DELTA</stp>
        <stp>.SPY250516C581</stp>
        <tr r="CF15" s="1"/>
        <tr r="CF15" s="1"/>
      </tp>
      <tp>
        <v>-1</v>
        <stp/>
        <stp>DELTA</stp>
        <stp>.SPY250512P584</stp>
        <tr r="CE12" s="1"/>
        <tr r="CE12" s="1"/>
      </tp>
      <tp>
        <v>-0.39</v>
        <stp/>
        <stp>DELTA</stp>
        <stp>.SPY250516P580</stp>
        <tr r="CG16" s="1"/>
        <tr r="CG16" s="1"/>
      </tp>
      <tp>
        <v>0.02</v>
        <stp/>
        <stp>DELTA</stp>
        <stp>.SPY250512C584</stp>
        <tr r="CD12" s="1"/>
        <tr r="CD12" s="1"/>
      </tp>
      <tp>
        <v>0.61</v>
        <stp/>
        <stp>DELTA</stp>
        <stp>.SPY250516C580</stp>
        <tr r="CF16" s="1"/>
        <tr r="CF16" s="1"/>
      </tp>
      <tp>
        <v>-0.91</v>
        <stp/>
        <stp>DELTA</stp>
        <stp>.SPY250512P589</stp>
        <tr r="CE7" s="1"/>
        <tr r="CE7" s="1"/>
      </tp>
      <tp>
        <v>0.01</v>
        <stp/>
        <stp>DELTA</stp>
        <stp>.SPY250512C589</stp>
        <tr r="CD7" s="1"/>
        <tr r="CD7" s="1"/>
      </tp>
      <tp>
        <v>-0.9</v>
        <stp/>
        <stp>DELTA</stp>
        <stp>.SPY250512P588</stp>
        <tr r="CE8" s="1"/>
        <tr r="CE8" s="1"/>
      </tp>
      <tp>
        <v>0.01</v>
        <stp/>
        <stp>DELTA</stp>
        <stp>.SPY250512C588</stp>
        <tr r="CD8" s="1"/>
        <tr r="CD8" s="1"/>
      </tp>
      <tp>
        <v>-0.71</v>
        <stp/>
        <stp>DELTA</stp>
        <stp>.SPY250516P589</stp>
        <tr r="CG7" s="1"/>
        <tr r="CG7" s="1"/>
      </tp>
      <tp>
        <v>0.28999999999999998</v>
        <stp/>
        <stp>DELTA</stp>
        <stp>.SPY250516C589</stp>
        <tr r="CF7" s="1"/>
        <tr r="CF7" s="1"/>
      </tp>
      <tp>
        <v>-0.68</v>
        <stp/>
        <stp>DELTA</stp>
        <stp>.SPY250516P588</stp>
        <tr r="CG8" s="1"/>
        <tr r="CG8" s="1"/>
      </tp>
      <tp>
        <v>0.33</v>
        <stp/>
        <stp>DELTA</stp>
        <stp>.SPY250516C588</stp>
        <tr r="CF8" s="1"/>
        <tr r="CF8" s="1"/>
      </tp>
      <tp>
        <v>-0.93</v>
        <stp/>
        <stp>DELTA</stp>
        <stp>.SPY250512P592</stp>
        <tr r="CE4" s="1"/>
        <tr r="CE4" s="1"/>
      </tp>
      <tp>
        <v>0</v>
        <stp/>
        <stp>DELTA</stp>
        <stp>.SPY250512C592</stp>
        <tr r="CD4" s="1"/>
        <tr r="CD4" s="1"/>
      </tp>
      <tp>
        <v>-0.92</v>
        <stp/>
        <stp>DELTA</stp>
        <stp>.SPY250512P591</stp>
        <tr r="CE5" s="1"/>
        <tr r="CE5" s="1"/>
      </tp>
      <tp>
        <v>0.01</v>
        <stp/>
        <stp>DELTA</stp>
        <stp>.SPY250512C591</stp>
        <tr r="CD5" s="1"/>
        <tr r="CD5" s="1"/>
      </tp>
      <tp>
        <v>-0.92</v>
        <stp/>
        <stp>DELTA</stp>
        <stp>.SPY250512P590</stp>
        <tr r="CE6" s="1"/>
        <tr r="CE6" s="1"/>
      </tp>
      <tp>
        <v>0.01</v>
        <stp/>
        <stp>DELTA</stp>
        <stp>.SPY250512C590</stp>
        <tr r="CD6" s="1"/>
        <tr r="CD6" s="1"/>
      </tp>
      <tp>
        <v>-0.79</v>
        <stp/>
        <stp>DELTA</stp>
        <stp>.SPY250516P592</stp>
        <tr r="CG4" s="1"/>
        <tr r="CG4" s="1"/>
      </tp>
      <tp>
        <v>0.2</v>
        <stp/>
        <stp>DELTA</stp>
        <stp>.SPY250516C592</stp>
        <tr r="CF4" s="1"/>
        <tr r="CF4" s="1"/>
      </tp>
      <tp>
        <v>-0.77</v>
        <stp/>
        <stp>DELTA</stp>
        <stp>.SPY250516P591</stp>
        <tr r="CG5" s="1"/>
        <tr r="CG5" s="1"/>
      </tp>
      <tp>
        <v>0.23</v>
        <stp/>
        <stp>DELTA</stp>
        <stp>.SPY250516C591</stp>
        <tr r="CF5" s="1"/>
        <tr r="CF5" s="1"/>
      </tp>
      <tp>
        <v>-0.72</v>
        <stp/>
        <stp>DELTA</stp>
        <stp>.SPY250516P590</stp>
        <tr r="CG6" s="1"/>
        <tr r="CG6" s="1"/>
      </tp>
      <tp>
        <v>0.26</v>
        <stp/>
        <stp>DELTA</stp>
        <stp>.SPY250516C590</stp>
        <tr r="CF6" s="1"/>
        <tr r="CF6" s="1"/>
      </tp>
      <tp>
        <v>0</v>
        <stp/>
        <stp>DELTA</stp>
        <stp>.SPY250512P559</stp>
        <tr r="CE37" s="1"/>
        <tr r="CE37" s="1"/>
      </tp>
      <tp>
        <v>1</v>
        <stp/>
        <stp>DELTA</stp>
        <stp>.SPY250512C559</stp>
        <tr r="CD37" s="1"/>
        <tr r="CD37" s="1"/>
      </tp>
      <tp>
        <v>0</v>
        <stp/>
        <stp>DELTA</stp>
        <stp>.SPY250512P558</stp>
        <tr r="CE38" s="1"/>
        <tr r="CE38" s="1"/>
      </tp>
      <tp>
        <v>0.97</v>
        <stp/>
        <stp>DELTA</stp>
        <stp>.SPY250512C558</stp>
        <tr r="CD38" s="1"/>
        <tr r="CD38" s="1"/>
      </tp>
      <tp>
        <v>-0.05</v>
        <stp/>
        <stp>DELTA</stp>
        <stp>.SPY250516P559</stp>
        <tr r="CG37" s="1"/>
        <tr r="CG37" s="1"/>
      </tp>
      <tp>
        <v>0.96</v>
        <stp/>
        <stp>DELTA</stp>
        <stp>.SPY250516C559</stp>
        <tr r="CF37" s="1"/>
        <tr r="CF37" s="1"/>
      </tp>
      <tp>
        <v>-0.04</v>
        <stp/>
        <stp>DELTA</stp>
        <stp>.SPY250516P558</stp>
        <tr r="CG38" s="1"/>
        <tr r="CG38" s="1"/>
      </tp>
      <tp>
        <v>0.96</v>
        <stp/>
        <stp>DELTA</stp>
        <stp>.SPY250516C558</stp>
        <tr r="CF38" s="1"/>
        <tr r="CF38" s="1"/>
      </tp>
      <tp>
        <v>0</v>
        <stp/>
        <stp>DELTA</stp>
        <stp>.SPY250512P563</stp>
        <tr r="CE33" s="1"/>
        <tr r="CE33" s="1"/>
      </tp>
      <tp>
        <v>-0.11</v>
        <stp/>
        <stp>DELTA</stp>
        <stp>.SPY250516P567</stp>
        <tr r="CG29" s="1"/>
        <tr r="CG29" s="1"/>
      </tp>
      <tp>
        <v>1</v>
        <stp/>
        <stp>DELTA</stp>
        <stp>.SPY250512C563</stp>
        <tr r="CD33" s="1"/>
        <tr r="CD33" s="1"/>
      </tp>
      <tp>
        <v>0.89</v>
        <stp/>
        <stp>DELTA</stp>
        <stp>.SPY250516C567</stp>
        <tr r="CF29" s="1"/>
        <tr r="CF29" s="1"/>
      </tp>
      <tp>
        <v>0</v>
        <stp/>
        <stp>DELTA</stp>
        <stp>.SPY250512P562</stp>
        <tr r="CE34" s="1"/>
        <tr r="CE34" s="1"/>
      </tp>
      <tp>
        <v>-0.1</v>
        <stp/>
        <stp>DELTA</stp>
        <stp>.SPY250516P566</stp>
        <tr r="CG30" s="1"/>
        <tr r="CG30" s="1"/>
      </tp>
      <tp>
        <v>1</v>
        <stp/>
        <stp>DELTA</stp>
        <stp>.SPY250512C562</stp>
        <tr r="CD34" s="1"/>
        <tr r="CD34" s="1"/>
      </tp>
      <tp>
        <v>0.91</v>
        <stp/>
        <stp>DELTA</stp>
        <stp>.SPY250516C566</stp>
        <tr r="CF30" s="1"/>
        <tr r="CF30" s="1"/>
      </tp>
      <tp>
        <v>0</v>
        <stp/>
        <stp>DELTA</stp>
        <stp>.SPY250512P561</stp>
        <tr r="CE35" s="1"/>
        <tr r="CE35" s="1"/>
      </tp>
      <tp>
        <v>-0.09</v>
        <stp/>
        <stp>DELTA</stp>
        <stp>.SPY250516P565</stp>
        <tr r="CG31" s="1"/>
        <tr r="CG31" s="1"/>
      </tp>
      <tp>
        <v>1</v>
        <stp/>
        <stp>DELTA</stp>
        <stp>.SPY250512C561</stp>
        <tr r="CD35" s="1"/>
        <tr r="CD35" s="1"/>
      </tp>
      <tp>
        <v>0.92</v>
        <stp/>
        <stp>DELTA</stp>
        <stp>.SPY250516C565</stp>
        <tr r="CF31" s="1"/>
        <tr r="CF31" s="1"/>
      </tp>
      <tp>
        <v>0</v>
        <stp/>
        <stp>DELTA</stp>
        <stp>.SPY250512P560</stp>
        <tr r="CE36" s="1"/>
        <tr r="CE36" s="1"/>
      </tp>
      <tp>
        <v>-0.08</v>
        <stp/>
        <stp>DELTA</stp>
        <stp>.SPY250516P564</stp>
        <tr r="CG32" s="1"/>
        <tr r="CG32" s="1"/>
      </tp>
      <tp>
        <v>1</v>
        <stp/>
        <stp>DELTA</stp>
        <stp>.SPY250512C560</stp>
        <tr r="CD36" s="1"/>
        <tr r="CD36" s="1"/>
      </tp>
      <tp>
        <v>0.93</v>
        <stp/>
        <stp>DELTA</stp>
        <stp>.SPY250516C564</stp>
        <tr r="CF32" s="1"/>
        <tr r="CF32" s="1"/>
      </tp>
      <tp>
        <v>0</v>
        <stp/>
        <stp>DELTA</stp>
        <stp>.SPY250512P567</stp>
        <tr r="CE29" s="1"/>
        <tr r="CE29" s="1"/>
      </tp>
      <tp>
        <v>-7.0000000000000007E-2</v>
        <stp/>
        <stp>DELTA</stp>
        <stp>.SPY250516P563</stp>
        <tr r="CG33" s="1"/>
        <tr r="CG33" s="1"/>
      </tp>
      <tp>
        <v>1</v>
        <stp/>
        <stp>DELTA</stp>
        <stp>.SPY250512C567</stp>
        <tr r="CD29" s="1"/>
        <tr r="CD29" s="1"/>
      </tp>
      <tp>
        <v>0.93</v>
        <stp/>
        <stp>DELTA</stp>
        <stp>.SPY250516C563</stp>
        <tr r="CF33" s="1"/>
        <tr r="CF33" s="1"/>
      </tp>
      <tp>
        <v>0</v>
        <stp/>
        <stp>DELTA</stp>
        <stp>.SPY250512P566</stp>
        <tr r="CE30" s="1"/>
        <tr r="CE30" s="1"/>
      </tp>
      <tp>
        <v>-0.06</v>
        <stp/>
        <stp>DELTA</stp>
        <stp>.SPY250516P562</stp>
        <tr r="CG34" s="1"/>
        <tr r="CG34" s="1"/>
      </tp>
      <tp>
        <v>1</v>
        <stp/>
        <stp>DELTA</stp>
        <stp>.SPY250512C566</stp>
        <tr r="CD30" s="1"/>
        <tr r="CD30" s="1"/>
      </tp>
      <tp>
        <v>0.94</v>
        <stp/>
        <stp>DELTA</stp>
        <stp>.SPY250516C562</stp>
        <tr r="CF34" s="1"/>
        <tr r="CF34" s="1"/>
      </tp>
      <tp>
        <v>0</v>
        <stp/>
        <stp>DELTA</stp>
        <stp>.SPY250512P565</stp>
        <tr r="CE31" s="1"/>
        <tr r="CE31" s="1"/>
      </tp>
      <tp>
        <v>-0.06</v>
        <stp/>
        <stp>DELTA</stp>
        <stp>.SPY250516P561</stp>
        <tr r="CG35" s="1"/>
        <tr r="CG35" s="1"/>
      </tp>
      <tp>
        <v>1</v>
        <stp/>
        <stp>DELTA</stp>
        <stp>.SPY250512C565</stp>
        <tr r="CD31" s="1"/>
        <tr r="CD31" s="1"/>
      </tp>
      <tp>
        <v>0.95</v>
        <stp/>
        <stp>DELTA</stp>
        <stp>.SPY250516C561</stp>
        <tr r="CF35" s="1"/>
        <tr r="CF35" s="1"/>
      </tp>
      <tp>
        <v>0</v>
        <stp/>
        <stp>DELTA</stp>
        <stp>.SPY250512P564</stp>
        <tr r="CE32" s="1"/>
        <tr r="CE32" s="1"/>
      </tp>
      <tp>
        <v>-0.05</v>
        <stp/>
        <stp>DELTA</stp>
        <stp>.SPY250516P560</stp>
        <tr r="CG36" s="1"/>
        <tr r="CG36" s="1"/>
      </tp>
      <tp>
        <v>1</v>
        <stp/>
        <stp>DELTA</stp>
        <stp>.SPY250512C564</stp>
        <tr r="CD32" s="1"/>
        <tr r="CD32" s="1"/>
      </tp>
      <tp>
        <v>0.95</v>
        <stp/>
        <stp>DELTA</stp>
        <stp>.SPY250516C560</stp>
        <tr r="CF36" s="1"/>
        <tr r="CF36" s="1"/>
      </tp>
      <tp>
        <v>0</v>
        <stp/>
        <stp>DELTA</stp>
        <stp>.SPY250512P569</stp>
        <tr r="CE27" s="1"/>
        <tr r="CE27" s="1"/>
      </tp>
      <tp>
        <v>1</v>
        <stp/>
        <stp>DELTA</stp>
        <stp>.SPY250512C569</stp>
        <tr r="CD27" s="1"/>
        <tr r="CD27" s="1"/>
      </tp>
      <tp>
        <v>0</v>
        <stp/>
        <stp>DELTA</stp>
        <stp>.SPY250512P568</stp>
        <tr r="CE28" s="1"/>
        <tr r="CE28" s="1"/>
      </tp>
      <tp>
        <v>1</v>
        <stp/>
        <stp>DELTA</stp>
        <stp>.SPY250512C568</stp>
        <tr r="CD28" s="1"/>
        <tr r="CD28" s="1"/>
      </tp>
      <tp>
        <v>-0.13</v>
        <stp/>
        <stp>DELTA</stp>
        <stp>.SPY250516P569</stp>
        <tr r="CG27" s="1"/>
        <tr r="CG27" s="1"/>
      </tp>
      <tp>
        <v>0.88</v>
        <stp/>
        <stp>DELTA</stp>
        <stp>.SPY250516C569</stp>
        <tr r="CF27" s="1"/>
        <tr r="CF27" s="1"/>
      </tp>
      <tp>
        <v>-0.12</v>
        <stp/>
        <stp>DELTA</stp>
        <stp>.SPY250516P568</stp>
        <tr r="CG28" s="1"/>
        <tr r="CG28" s="1"/>
      </tp>
      <tp>
        <v>0.88</v>
        <stp/>
        <stp>DELTA</stp>
        <stp>.SPY250516C568</stp>
        <tr r="CF28" s="1"/>
        <tr r="CF28" s="1"/>
      </tp>
      <tp>
        <v>0</v>
        <stp/>
        <stp>DELTA</stp>
        <stp>.SPY250512P573</stp>
        <tr r="CE23" s="1"/>
        <tr r="CE23" s="1"/>
      </tp>
      <tp>
        <v>-0.3</v>
        <stp/>
        <stp>DELTA</stp>
        <stp>.SPY250516P577</stp>
        <tr r="CG19" s="1"/>
        <tr r="CG19" s="1"/>
      </tp>
      <tp>
        <v>1</v>
        <stp/>
        <stp>DELTA</stp>
        <stp>.SPY250512C573</stp>
        <tr r="CD23" s="1"/>
        <tr r="CD23" s="1"/>
      </tp>
      <tp>
        <v>0.71</v>
        <stp/>
        <stp>DELTA</stp>
        <stp>.SPY250516C577</stp>
        <tr r="CF19" s="1"/>
        <tr r="CF19" s="1"/>
      </tp>
      <tp>
        <v>0</v>
        <stp/>
        <stp>DELTA</stp>
        <stp>.SPY250512P572</stp>
        <tr r="CE24" s="1"/>
        <tr r="CE24" s="1"/>
      </tp>
      <tp>
        <v>-0.27</v>
        <stp/>
        <stp>DELTA</stp>
        <stp>.SPY250516P576</stp>
        <tr r="CG20" s="1"/>
        <tr r="CG20" s="1"/>
      </tp>
      <tp>
        <v>1</v>
        <stp/>
        <stp>DELTA</stp>
        <stp>.SPY250512C572</stp>
        <tr r="CD24" s="1"/>
        <tr r="CD24" s="1"/>
      </tp>
      <tp>
        <v>0.73</v>
        <stp/>
        <stp>DELTA</stp>
        <stp>.SPY250516C576</stp>
        <tr r="CF20" s="1"/>
        <tr r="CF20" s="1"/>
      </tp>
      <tp>
        <v>0</v>
        <stp/>
        <stp>DELTA</stp>
        <stp>.SPY250512P571</stp>
        <tr r="CE25" s="1"/>
        <tr r="CE25" s="1"/>
      </tp>
      <tp>
        <v>-0.25</v>
        <stp/>
        <stp>DELTA</stp>
        <stp>.SPY250516P575</stp>
        <tr r="CG21" s="1"/>
        <tr r="CG21" s="1"/>
      </tp>
      <tp>
        <v>1</v>
        <stp/>
        <stp>DELTA</stp>
        <stp>.SPY250512C571</stp>
        <tr r="CD25" s="1"/>
        <tr r="CD25" s="1"/>
      </tp>
      <tp>
        <v>0.76</v>
        <stp/>
        <stp>DELTA</stp>
        <stp>.SPY250516C575</stp>
        <tr r="CF21" s="1"/>
        <tr r="CF21" s="1"/>
      </tp>
      <tp>
        <v>0</v>
        <stp/>
        <stp>DELTA</stp>
        <stp>.SPY250512P570</stp>
        <tr r="CE26" s="1"/>
        <tr r="CE26" s="1"/>
      </tp>
      <tp>
        <v>-0.22</v>
        <stp/>
        <stp>DELTA</stp>
        <stp>.SPY250516P574</stp>
        <tr r="CG22" s="1"/>
        <tr r="CG22" s="1"/>
      </tp>
      <tp>
        <v>1</v>
        <stp/>
        <stp>DELTA</stp>
        <stp>.SPY250512C570</stp>
        <tr r="CD26" s="1"/>
        <tr r="CD26" s="1"/>
      </tp>
      <tp>
        <v>0.78</v>
        <stp/>
        <stp>DELTA</stp>
        <stp>.SPY250516C574</stp>
        <tr r="CF22" s="1"/>
        <tr r="CF22" s="1"/>
      </tp>
      <tp>
        <v>-0.01</v>
        <stp/>
        <stp>DELTA</stp>
        <stp>.SPY250512P577</stp>
        <tr r="CE19" s="1"/>
        <tr r="CE19" s="1"/>
      </tp>
      <tp>
        <v>-0.2</v>
        <stp/>
        <stp>DELTA</stp>
        <stp>.SPY250516P573</stp>
        <tr r="CG23" s="1"/>
        <tr r="CG23" s="1"/>
      </tp>
      <tp>
        <v>1</v>
        <stp/>
        <stp>DELTA</stp>
        <stp>.SPY250512C577</stp>
        <tr r="CD19" s="1"/>
        <tr r="CD19" s="1"/>
      </tp>
      <tp>
        <v>0.8</v>
        <stp/>
        <stp>DELTA</stp>
        <stp>.SPY250516C573</stp>
        <tr r="CF23" s="1"/>
        <tr r="CF23" s="1"/>
      </tp>
      <tp>
        <v>-0.01</v>
        <stp/>
        <stp>DELTA</stp>
        <stp>.SPY250512P576</stp>
        <tr r="CE20" s="1"/>
        <tr r="CE20" s="1"/>
      </tp>
      <tp>
        <v>-0.18</v>
        <stp/>
        <stp>DELTA</stp>
        <stp>.SPY250516P572</stp>
        <tr r="CG24" s="1"/>
        <tr r="CG24" s="1"/>
      </tp>
      <tp>
        <v>1</v>
        <stp/>
        <stp>DELTA</stp>
        <stp>.SPY250512C576</stp>
        <tr r="CD20" s="1"/>
        <tr r="CD20" s="1"/>
      </tp>
      <tp>
        <v>0.82</v>
        <stp/>
        <stp>DELTA</stp>
        <stp>.SPY250516C572</stp>
        <tr r="CF24" s="1"/>
        <tr r="CF24" s="1"/>
      </tp>
      <tp>
        <v>-0.01</v>
        <stp/>
        <stp>DELTA</stp>
        <stp>.SPY250512P575</stp>
        <tr r="CE21" s="1"/>
        <tr r="CE21" s="1"/>
      </tp>
      <tp>
        <v>-0.16</v>
        <stp/>
        <stp>DELTA</stp>
        <stp>.SPY250516P571</stp>
        <tr r="CG25" s="1"/>
        <tr r="CG25" s="1"/>
      </tp>
      <tp>
        <v>1</v>
        <stp/>
        <stp>DELTA</stp>
        <stp>.SPY250512C575</stp>
        <tr r="CD21" s="1"/>
        <tr r="CD21" s="1"/>
      </tp>
      <tp>
        <v>0.84</v>
        <stp/>
        <stp>DELTA</stp>
        <stp>.SPY250516C571</stp>
        <tr r="CF25" s="1"/>
        <tr r="CF25" s="1"/>
      </tp>
      <tp>
        <v>0</v>
        <stp/>
        <stp>DELTA</stp>
        <stp>.SPY250512P574</stp>
        <tr r="CE22" s="1"/>
        <tr r="CE22" s="1"/>
      </tp>
      <tp>
        <v>-0.15</v>
        <stp/>
        <stp>DELTA</stp>
        <stp>.SPY250516P570</stp>
        <tr r="CG26" s="1"/>
        <tr r="CG26" s="1"/>
      </tp>
      <tp>
        <v>1</v>
        <stp/>
        <stp>DELTA</stp>
        <stp>.SPY250512C574</stp>
        <tr r="CD22" s="1"/>
        <tr r="CD22" s="1"/>
      </tp>
      <tp>
        <v>0.86</v>
        <stp/>
        <stp>DELTA</stp>
        <stp>.SPY250516C570</stp>
        <tr r="CF26" s="1"/>
        <tr r="CF26" s="1"/>
      </tp>
      <tp>
        <v>-0.01</v>
        <stp/>
        <stp>DELTA</stp>
        <stp>.SPY250512P579</stp>
        <tr r="CE17" s="1"/>
        <tr r="CE17" s="1"/>
      </tp>
      <tp>
        <v>1</v>
        <stp/>
        <stp>DELTA</stp>
        <stp>.SPY250512C579</stp>
        <tr r="CD17" s="1"/>
        <tr r="CD17" s="1"/>
      </tp>
      <tp>
        <v>-0.02</v>
        <stp/>
        <stp>DELTA</stp>
        <stp>.SPY250512P578</stp>
        <tr r="CE18" s="1"/>
        <tr r="CE18" s="1"/>
      </tp>
      <tp>
        <v>1</v>
        <stp/>
        <stp>DELTA</stp>
        <stp>.SPY250512C578</stp>
        <tr r="CD18" s="1"/>
        <tr r="CD18" s="1"/>
      </tp>
      <tp>
        <v>-0.36</v>
        <stp/>
        <stp>DELTA</stp>
        <stp>.SPY250516P579</stp>
        <tr r="CG17" s="1"/>
        <tr r="CG17" s="1"/>
      </tp>
      <tp>
        <v>0.65</v>
        <stp/>
        <stp>DELTA</stp>
        <stp>.SPY250516C579</stp>
        <tr r="CF17" s="1"/>
        <tr r="CF17" s="1"/>
      </tp>
      <tp>
        <v>-0.33</v>
        <stp/>
        <stp>DELTA</stp>
        <stp>.SPY250516P578</stp>
        <tr r="CG18" s="1"/>
        <tr r="CG18" s="1"/>
      </tp>
      <tp>
        <v>0.68</v>
        <stp/>
        <stp>DELTA</stp>
        <stp>.SPY250516C578</stp>
        <tr r="CF18" s="1"/>
        <tr r="CF18" s="1"/>
      </tp>
      <tp t="s">
        <v>N/A</v>
        <stp/>
        <stp>VOLUME</stp>
        <stp>.NDXC21100</stp>
        <tr r="K148" s="2"/>
      </tp>
      <tp t="s">
        <v>N/A</v>
        <stp/>
        <stp>VOLUME</stp>
        <stp>.NDXC20100</stp>
        <tr r="K188" s="2"/>
      </tp>
      <tp t="s">
        <v>N/A</v>
        <stp/>
        <stp>VOLUME</stp>
        <stp>.NDXC21125</stp>
        <tr r="K147" s="2"/>
      </tp>
      <tp t="s">
        <v>N/A</v>
        <stp/>
        <stp>VOLUME</stp>
        <stp>.NDXC20125</stp>
        <tr r="K187" s="2"/>
      </tp>
      <tp t="s">
        <v>N/A</v>
        <stp/>
        <stp>VOLUME</stp>
        <stp>.NDXC21150</stp>
        <tr r="K146" s="2"/>
      </tp>
      <tp t="s">
        <v>N/A</v>
        <stp/>
        <stp>VOLUME</stp>
        <stp>.NDXC20150</stp>
        <tr r="K186" s="2"/>
      </tp>
      <tp t="s">
        <v>N/A</v>
        <stp/>
        <stp>VOLUME</stp>
        <stp>.NDXC21175</stp>
        <tr r="K145" s="2"/>
      </tp>
      <tp t="s">
        <v>N/A</v>
        <stp/>
        <stp>VOLUME</stp>
        <stp>.NDXC20175</stp>
        <tr r="K185" s="2"/>
      </tp>
      <tp t="s">
        <v>N/A</v>
        <stp/>
        <stp>VOLUME</stp>
        <stp>.NDXP21125</stp>
        <tr r="K147" s="2"/>
      </tp>
      <tp t="s">
        <v>N/A</v>
        <stp/>
        <stp>VOLUME</stp>
        <stp>.NDXP20125</stp>
        <tr r="K187" s="2"/>
      </tp>
      <tp t="s">
        <v>N/A</v>
        <stp/>
        <stp>VOLUME</stp>
        <stp>.NDXP21100</stp>
        <tr r="K148" s="2"/>
      </tp>
      <tp t="s">
        <v>N/A</v>
        <stp/>
        <stp>VOLUME</stp>
        <stp>.NDXP20100</stp>
        <tr r="K188" s="2"/>
      </tp>
      <tp t="s">
        <v>N/A</v>
        <stp/>
        <stp>VOLUME</stp>
        <stp>.NDXP21175</stp>
        <tr r="K145" s="2"/>
      </tp>
      <tp t="s">
        <v>N/A</v>
        <stp/>
        <stp>VOLUME</stp>
        <stp>.NDXP20175</stp>
        <tr r="K185" s="2"/>
      </tp>
      <tp t="s">
        <v>N/A</v>
        <stp/>
        <stp>VOLUME</stp>
        <stp>.NDXP21150</stp>
        <tr r="K146" s="2"/>
      </tp>
      <tp t="s">
        <v>N/A</v>
        <stp/>
        <stp>VOLUME</stp>
        <stp>.NDXP20150</stp>
        <tr r="K186" s="2"/>
      </tp>
      <tp>
        <v>-0.57999999999999996</v>
        <stp/>
        <stp>DELTA</stp>
        <stp>.SPY250620P591</stp>
        <tr r="CI5" s="1"/>
        <tr r="CI5" s="1"/>
      </tp>
      <tp>
        <v>0.42</v>
        <stp/>
        <stp>DELTA</stp>
        <stp>.SPY250620C591</stp>
        <tr r="CH5" s="1"/>
        <tr r="CH5" s="1"/>
      </tp>
      <tp>
        <v>-0.56999999999999995</v>
        <stp/>
        <stp>DELTA</stp>
        <stp>.SPY250620P590</stp>
        <tr r="CI6" s="1"/>
        <tr r="CI6" s="1"/>
      </tp>
      <tp>
        <v>0.44</v>
        <stp/>
        <stp>DELTA</stp>
        <stp>.SPY250620C590</stp>
        <tr r="CH6" s="1"/>
        <tr r="CH6" s="1"/>
      </tp>
      <tp>
        <v>-0.6</v>
        <stp/>
        <stp>DELTA</stp>
        <stp>.SPY250620P592</stp>
        <tr r="CI4" s="1"/>
        <tr r="CI4" s="1"/>
      </tp>
      <tp>
        <v>0.41</v>
        <stp/>
        <stp>DELTA</stp>
        <stp>.SPY250620C592</stp>
        <tr r="CH4" s="1"/>
        <tr r="CH4" s="1"/>
      </tp>
      <tp>
        <v>-0.44</v>
        <stp/>
        <stp>DELTA</stp>
        <stp>.SPY250620P581</stp>
        <tr r="CI15" s="1"/>
        <tr r="CI15" s="1"/>
      </tp>
      <tp>
        <v>0.56000000000000005</v>
        <stp/>
        <stp>DELTA</stp>
        <stp>.SPY250620C581</stp>
        <tr r="CH15" s="1"/>
        <tr r="CH15" s="1"/>
      </tp>
      <tp>
        <v>-0.43</v>
        <stp/>
        <stp>DELTA</stp>
        <stp>.SPY250620P580</stp>
        <tr r="CI16" s="1"/>
        <tr r="CI16" s="1"/>
      </tp>
      <tp>
        <v>0.57999999999999996</v>
        <stp/>
        <stp>DELTA</stp>
        <stp>.SPY250620C580</stp>
        <tr r="CH16" s="1"/>
        <tr r="CH16" s="1"/>
      </tp>
      <tp>
        <v>-0.47</v>
        <stp/>
        <stp>DELTA</stp>
        <stp>.SPY250620P583</stp>
        <tr r="CI13" s="1"/>
        <tr r="CI13" s="1"/>
      </tp>
      <tp>
        <v>0.54</v>
        <stp/>
        <stp>DELTA</stp>
        <stp>.SPY250620C583</stp>
        <tr r="CH13" s="1"/>
        <tr r="CH13" s="1"/>
      </tp>
      <tp>
        <v>-0.45</v>
        <stp/>
        <stp>DELTA</stp>
        <stp>.SPY250620P582</stp>
        <tr r="CI14" s="1"/>
        <tr r="CI14" s="1"/>
      </tp>
      <tp>
        <v>0.55000000000000004</v>
        <stp/>
        <stp>DELTA</stp>
        <stp>.SPY250620C582</stp>
        <tr r="CH14" s="1"/>
        <tr r="CH14" s="1"/>
      </tp>
      <tp>
        <v>-0.5</v>
        <stp/>
        <stp>DELTA</stp>
        <stp>.SPY250620P585</stp>
        <tr r="CI11" s="1"/>
        <tr r="CI11" s="1"/>
      </tp>
      <tp>
        <v>0.51</v>
        <stp/>
        <stp>DELTA</stp>
        <stp>.SPY250620C585</stp>
        <tr r="CH11" s="1"/>
        <tr r="CH11" s="1"/>
      </tp>
      <tp>
        <v>-0.48</v>
        <stp/>
        <stp>DELTA</stp>
        <stp>.SPY250620P584</stp>
        <tr r="CI12" s="1"/>
        <tr r="CI12" s="1"/>
      </tp>
      <tp>
        <v>0.52</v>
        <stp/>
        <stp>DELTA</stp>
        <stp>.SPY250620C584</stp>
        <tr r="CH12" s="1"/>
        <tr r="CH12" s="1"/>
      </tp>
      <tp>
        <v>-0.52</v>
        <stp/>
        <stp>DELTA</stp>
        <stp>.SPY250620P587</stp>
        <tr r="CI9" s="1"/>
        <tr r="CI9" s="1"/>
      </tp>
      <tp>
        <v>0.48</v>
        <stp/>
        <stp>DELTA</stp>
        <stp>.SPY250620C587</stp>
        <tr r="CH9" s="1"/>
        <tr r="CH9" s="1"/>
      </tp>
      <tp>
        <v>-0.51</v>
        <stp/>
        <stp>DELTA</stp>
        <stp>.SPY250620P586</stp>
        <tr r="CI10" s="1"/>
        <tr r="CI10" s="1"/>
      </tp>
      <tp>
        <v>0.5</v>
        <stp/>
        <stp>DELTA</stp>
        <stp>.SPY250620C586</stp>
        <tr r="CH10" s="1"/>
        <tr r="CH10" s="1"/>
      </tp>
      <tp>
        <v>-0.55000000000000004</v>
        <stp/>
        <stp>DELTA</stp>
        <stp>.SPY250620P589</stp>
        <tr r="CI7" s="1"/>
        <tr r="CI7" s="1"/>
      </tp>
      <tp>
        <v>0.45</v>
        <stp/>
        <stp>DELTA</stp>
        <stp>.SPY250620C589</stp>
        <tr r="CH7" s="1"/>
        <tr r="CH7" s="1"/>
      </tp>
      <tp>
        <v>-0.54</v>
        <stp/>
        <stp>DELTA</stp>
        <stp>.SPY250620P588</stp>
        <tr r="CI8" s="1"/>
        <tr r="CI8" s="1"/>
      </tp>
      <tp>
        <v>0.47</v>
        <stp/>
        <stp>DELTA</stp>
        <stp>.SPY250620C588</stp>
        <tr r="CH8" s="1"/>
        <tr r="CH8" s="1"/>
      </tp>
      <tp>
        <v>-0.33</v>
        <stp/>
        <stp>DELTA</stp>
        <stp>.SPY250620P571</stp>
        <tr r="CI25" s="1"/>
        <tr r="CI25" s="1"/>
      </tp>
      <tp>
        <v>0.67</v>
        <stp/>
        <stp>DELTA</stp>
        <stp>.SPY250620C571</stp>
        <tr r="CH25" s="1"/>
        <tr r="CH25" s="1"/>
      </tp>
      <tp>
        <v>-0.32</v>
        <stp/>
        <stp>DELTA</stp>
        <stp>.SPY250620P570</stp>
        <tr r="CI26" s="1"/>
        <tr r="CI26" s="1"/>
      </tp>
      <tp>
        <v>0.68</v>
        <stp/>
        <stp>DELTA</stp>
        <stp>.SPY250620C570</stp>
        <tr r="CH26" s="1"/>
        <tr r="CH26" s="1"/>
      </tp>
      <tp>
        <v>-0.35</v>
        <stp/>
        <stp>DELTA</stp>
        <stp>.SPY250620P573</stp>
        <tr r="CI23" s="1"/>
        <tr r="CI23" s="1"/>
      </tp>
      <tp>
        <v>0.66</v>
        <stp/>
        <stp>DELTA</stp>
        <stp>.SPY250620C573</stp>
        <tr r="CH23" s="1"/>
        <tr r="CH23" s="1"/>
      </tp>
      <tp>
        <v>-0.34</v>
        <stp/>
        <stp>DELTA</stp>
        <stp>.SPY250620P572</stp>
        <tr r="CI24" s="1"/>
        <tr r="CI24" s="1"/>
      </tp>
      <tp>
        <v>0.67</v>
        <stp/>
        <stp>DELTA</stp>
        <stp>.SPY250620C572</stp>
        <tr r="CH24" s="1"/>
        <tr r="CH24" s="1"/>
      </tp>
      <tp>
        <v>-0.37</v>
        <stp/>
        <stp>DELTA</stp>
        <stp>.SPY250620P575</stp>
        <tr r="CI21" s="1"/>
        <tr r="CI21" s="1"/>
      </tp>
      <tp>
        <v>0.63</v>
        <stp/>
        <stp>DELTA</stp>
        <stp>.SPY250620C575</stp>
        <tr r="CH21" s="1"/>
        <tr r="CH21" s="1"/>
      </tp>
      <tp>
        <v>-0.36</v>
        <stp/>
        <stp>DELTA</stp>
        <stp>.SPY250620P574</stp>
        <tr r="CI22" s="1"/>
        <tr r="CI22" s="1"/>
      </tp>
      <tp>
        <v>0.64</v>
        <stp/>
        <stp>DELTA</stp>
        <stp>.SPY250620C574</stp>
        <tr r="CH22" s="1"/>
        <tr r="CH22" s="1"/>
      </tp>
      <tp>
        <v>-0.39</v>
        <stp/>
        <stp>DELTA</stp>
        <stp>.SPY250620P577</stp>
        <tr r="CI19" s="1"/>
        <tr r="CI19" s="1"/>
      </tp>
      <tp>
        <v>0.61</v>
        <stp/>
        <stp>DELTA</stp>
        <stp>.SPY250620C577</stp>
        <tr r="CH19" s="1"/>
        <tr r="CH19" s="1"/>
      </tp>
      <tp>
        <v>-0.38</v>
        <stp/>
        <stp>DELTA</stp>
        <stp>.SPY250620P576</stp>
        <tr r="CI20" s="1"/>
        <tr r="CI20" s="1"/>
      </tp>
      <tp>
        <v>0.62</v>
        <stp/>
        <stp>DELTA</stp>
        <stp>.SPY250620C576</stp>
        <tr r="CH20" s="1"/>
        <tr r="CH20" s="1"/>
      </tp>
      <tp>
        <v>-0.42</v>
        <stp/>
        <stp>DELTA</stp>
        <stp>.SPY250620P579</stp>
        <tr r="CI17" s="1"/>
        <tr r="CI17" s="1"/>
      </tp>
      <tp>
        <v>0.59</v>
        <stp/>
        <stp>DELTA</stp>
        <stp>.SPY250620C579</stp>
        <tr r="CH17" s="1"/>
        <tr r="CH17" s="1"/>
      </tp>
      <tp>
        <v>-0.4</v>
        <stp/>
        <stp>DELTA</stp>
        <stp>.SPY250620P578</stp>
        <tr r="CI18" s="1"/>
        <tr r="CI18" s="1"/>
      </tp>
      <tp>
        <v>0.6</v>
        <stp/>
        <stp>DELTA</stp>
        <stp>.SPY250620C578</stp>
        <tr r="CH18" s="1"/>
        <tr r="CH18" s="1"/>
      </tp>
      <tp>
        <v>-0.24</v>
        <stp/>
        <stp>DELTA</stp>
        <stp>.SPY250620P561</stp>
        <tr r="CI35" s="1"/>
        <tr r="CI35" s="1"/>
      </tp>
      <tp>
        <v>0.76</v>
        <stp/>
        <stp>DELTA</stp>
        <stp>.SPY250620C561</stp>
        <tr r="CH35" s="1"/>
        <tr r="CH35" s="1"/>
      </tp>
      <tp>
        <v>-0.23</v>
        <stp/>
        <stp>DELTA</stp>
        <stp>.SPY250620P560</stp>
        <tr r="CI36" s="1"/>
        <tr r="CI36" s="1"/>
      </tp>
      <tp>
        <v>0.77</v>
        <stp/>
        <stp>DELTA</stp>
        <stp>.SPY250620C560</stp>
        <tr r="CH36" s="1"/>
        <tr r="CH36" s="1"/>
      </tp>
      <tp>
        <v>-0.26</v>
        <stp/>
        <stp>DELTA</stp>
        <stp>.SPY250620P563</stp>
        <tr r="CI33" s="1"/>
        <tr r="CI33" s="1"/>
      </tp>
      <tp>
        <v>0.74</v>
        <stp/>
        <stp>DELTA</stp>
        <stp>.SPY250620C563</stp>
        <tr r="CH33" s="1"/>
        <tr r="CH33" s="1"/>
      </tp>
      <tp>
        <v>-0.25</v>
        <stp/>
        <stp>DELTA</stp>
        <stp>.SPY250620P562</stp>
        <tr r="CI34" s="1"/>
        <tr r="CI34" s="1"/>
      </tp>
      <tp>
        <v>0.75</v>
        <stp/>
        <stp>DELTA</stp>
        <stp>.SPY250620C562</stp>
        <tr r="CH34" s="1"/>
        <tr r="CH34" s="1"/>
      </tp>
      <tp>
        <v>-0.27</v>
        <stp/>
        <stp>DELTA</stp>
        <stp>.SPY250620P565</stp>
        <tr r="CI31" s="1"/>
        <tr r="CI31" s="1"/>
      </tp>
      <tp>
        <v>0.73</v>
        <stp/>
        <stp>DELTA</stp>
        <stp>.SPY250620C565</stp>
        <tr r="CH31" s="1"/>
        <tr r="CH31" s="1"/>
      </tp>
      <tp>
        <v>-0.26</v>
        <stp/>
        <stp>DELTA</stp>
        <stp>.SPY250620P564</stp>
        <tr r="CI32" s="1"/>
        <tr r="CI32" s="1"/>
      </tp>
      <tp>
        <v>0.74</v>
        <stp/>
        <stp>DELTA</stp>
        <stp>.SPY250620C564</stp>
        <tr r="CH32" s="1"/>
        <tr r="CH32" s="1"/>
      </tp>
      <tp>
        <v>-0.28999999999999998</v>
        <stp/>
        <stp>DELTA</stp>
        <stp>.SPY250620P567</stp>
        <tr r="CI29" s="1"/>
        <tr r="CI29" s="1"/>
      </tp>
      <tp>
        <v>0.71</v>
        <stp/>
        <stp>DELTA</stp>
        <stp>.SPY250620C567</stp>
        <tr r="CH29" s="1"/>
        <tr r="CH29" s="1"/>
      </tp>
      <tp>
        <v>-0.28000000000000003</v>
        <stp/>
        <stp>DELTA</stp>
        <stp>.SPY250620P566</stp>
        <tr r="CI30" s="1"/>
        <tr r="CI30" s="1"/>
      </tp>
      <tp>
        <v>0.72</v>
        <stp/>
        <stp>DELTA</stp>
        <stp>.SPY250620C566</stp>
        <tr r="CH30" s="1"/>
        <tr r="CH30" s="1"/>
      </tp>
      <tp>
        <v>-0.31</v>
        <stp/>
        <stp>DELTA</stp>
        <stp>.SPY250620P569</stp>
        <tr r="CI27" s="1"/>
        <tr r="CI27" s="1"/>
      </tp>
      <tp>
        <v>0.69</v>
        <stp/>
        <stp>DELTA</stp>
        <stp>.SPY250620C569</stp>
        <tr r="CH27" s="1"/>
        <tr r="CH27" s="1"/>
      </tp>
      <tp>
        <v>-0.3</v>
        <stp/>
        <stp>DELTA</stp>
        <stp>.SPY250620P568</stp>
        <tr r="CI28" s="1"/>
        <tr r="CI28" s="1"/>
      </tp>
      <tp>
        <v>0.7</v>
        <stp/>
        <stp>DELTA</stp>
        <stp>.SPY250620C568</stp>
        <tr r="CH28" s="1"/>
        <tr r="CH28" s="1"/>
      </tp>
      <tp>
        <v>-0.23</v>
        <stp/>
        <stp>DELTA</stp>
        <stp>.SPY250620P559</stp>
        <tr r="CI37" s="1"/>
        <tr r="CI37" s="1"/>
      </tp>
      <tp>
        <v>0.77</v>
        <stp/>
        <stp>DELTA</stp>
        <stp>.SPY250620C559</stp>
        <tr r="CH37" s="1"/>
        <tr r="CH37" s="1"/>
      </tp>
      <tp>
        <v>-0.22</v>
        <stp/>
        <stp>DELTA</stp>
        <stp>.SPY250620P558</stp>
        <tr r="CI38" s="1"/>
        <tr r="CI38" s="1"/>
      </tp>
      <tp>
        <v>0.78</v>
        <stp/>
        <stp>DELTA</stp>
        <stp>.SPY250620C558</stp>
        <tr r="CH38" s="1"/>
        <tr r="CH38" s="1"/>
      </tp>
      <tp t="s">
        <v>N/A</v>
        <stp/>
        <stp>VOLUME</stp>
        <stp>.NDXC21000</stp>
        <tr r="K152" s="2"/>
      </tp>
      <tp t="s">
        <v>N/A</v>
        <stp/>
        <stp>VOLUME</stp>
        <stp>.NDXC21025</stp>
        <tr r="K151" s="2"/>
      </tp>
      <tp t="s">
        <v>N/A</v>
        <stp/>
        <stp>VOLUME</stp>
        <stp>.NDXC21050</stp>
        <tr r="K150" s="2"/>
      </tp>
      <tp t="s">
        <v>N/A</v>
        <stp/>
        <stp>VOLUME</stp>
        <stp>.NDXC20050</stp>
        <tr r="K190" s="2"/>
      </tp>
      <tp t="s">
        <v>N/A</v>
        <stp/>
        <stp>VOLUME</stp>
        <stp>.NDXC21075</stp>
        <tr r="K149" s="2"/>
      </tp>
      <tp t="s">
        <v>N/A</v>
        <stp/>
        <stp>VOLUME</stp>
        <stp>.NDXC20075</stp>
        <tr r="K189" s="2"/>
      </tp>
      <tp t="s">
        <v>N/A</v>
        <stp/>
        <stp>VOLUME</stp>
        <stp>.NDXP21025</stp>
        <tr r="K151" s="2"/>
      </tp>
      <tp t="s">
        <v>N/A</v>
        <stp/>
        <stp>VOLUME</stp>
        <stp>.NDXP21000</stp>
        <tr r="K152" s="2"/>
      </tp>
      <tp t="s">
        <v>N/A</v>
        <stp/>
        <stp>VOLUME</stp>
        <stp>.SPXWC6000</stp>
        <tr r="G88" s="2"/>
        <tr r="F88" s="2"/>
        <tr r="C88" s="2"/>
        <tr r="D88" s="2"/>
        <tr r="E88" s="2"/>
        <tr r="B88" s="2"/>
      </tp>
      <tp t="s">
        <v>N/A</v>
        <stp/>
        <stp>VOLUME</stp>
        <stp>.SPXWP6000</stp>
        <tr r="G88" s="2"/>
        <tr r="F88" s="2"/>
        <tr r="C88" s="2"/>
        <tr r="D88" s="2"/>
        <tr r="E88" s="2"/>
        <tr r="B88" s="2"/>
      </tp>
      <tp t="s">
        <v>N/A</v>
        <stp/>
        <stp>VOLUME</stp>
        <stp>.NDXP21075</stp>
        <tr r="K149" s="2"/>
      </tp>
      <tp t="s">
        <v>N/A</v>
        <stp/>
        <stp>VOLUME</stp>
        <stp>.NDXP20075</stp>
        <tr r="K189" s="2"/>
      </tp>
      <tp t="s">
        <v>N/A</v>
        <stp/>
        <stp>VOLUME</stp>
        <stp>.SPXWC6010</stp>
        <tr r="B87" s="2"/>
        <tr r="D87" s="2"/>
        <tr r="G87" s="2"/>
        <tr r="E87" s="2"/>
        <tr r="C87" s="2"/>
        <tr r="F87" s="2"/>
      </tp>
      <tp t="s">
        <v>N/A</v>
        <stp/>
        <stp>VOLUME</stp>
        <stp>.SPXWP6010</stp>
        <tr r="B87" s="2"/>
        <tr r="D87" s="2"/>
        <tr r="G87" s="2"/>
        <tr r="E87" s="2"/>
        <tr r="C87" s="2"/>
        <tr r="F87" s="2"/>
      </tp>
      <tp t="s">
        <v>N/A</v>
        <stp/>
        <stp>VOLUME</stp>
        <stp>.SPXWC6020</stp>
        <tr r="G86" s="2"/>
        <tr r="F86" s="2"/>
        <tr r="E86" s="2"/>
        <tr r="D86" s="2"/>
        <tr r="C86" s="2"/>
        <tr r="B86" s="2"/>
      </tp>
      <tp t="s">
        <v>N/A</v>
        <stp/>
        <stp>VOLUME</stp>
        <stp>.SPXWP6020</stp>
        <tr r="G86" s="2"/>
        <tr r="F86" s="2"/>
        <tr r="E86" s="2"/>
        <tr r="D86" s="2"/>
        <tr r="C86" s="2"/>
        <tr r="B86" s="2"/>
      </tp>
      <tp t="s">
        <v>N/A</v>
        <stp/>
        <stp>VOLUME</stp>
        <stp>.NDXP21050</stp>
        <tr r="K150" s="2"/>
      </tp>
      <tp t="s">
        <v>N/A</v>
        <stp/>
        <stp>VOLUME</stp>
        <stp>.NDXP20050</stp>
        <tr r="K190" s="2"/>
      </tp>
      <tp>
        <v>507.66</v>
        <stp/>
        <stp>MARK</stp>
        <stp>QQQ</stp>
        <tr r="G136" s="1"/>
        <tr r="A44" s="1"/>
      </tp>
      <tp>
        <v>12.17</v>
        <stp/>
        <stp>LAST</stp>
        <stp>.QQQ250512P520</stp>
        <tr r="DB47" s="1"/>
        <tr r="DB47" s="1"/>
      </tp>
      <tp>
        <v>0.01</v>
        <stp/>
        <stp>LAST</stp>
        <stp>.QQQ250512C520</stp>
        <tr r="DA47" s="1"/>
        <tr r="DA47" s="1"/>
      </tp>
      <tp>
        <v>15.21</v>
        <stp/>
        <stp>LAST</stp>
        <stp>.QQQ250512P521</stp>
        <tr r="DB46" s="1"/>
        <tr r="DB46" s="1"/>
      </tp>
      <tp>
        <v>0.01</v>
        <stp/>
        <stp>LAST</stp>
        <stp>.QQQ250512C521</stp>
        <tr r="DA46" s="1"/>
        <tr r="DA46" s="1"/>
      </tp>
      <tp>
        <v>18.77</v>
        <stp/>
        <stp>LAST</stp>
        <stp>.QQQ250512P522</stp>
        <tr r="DB45" s="1"/>
        <tr r="DB45" s="1"/>
      </tp>
      <tp>
        <v>0.01</v>
        <stp/>
        <stp>LAST</stp>
        <stp>.QQQ250512C522</stp>
        <tr r="DA45" s="1"/>
        <tr r="DA45" s="1"/>
      </tp>
      <tp>
        <v>14.23</v>
        <stp/>
        <stp>LAST</stp>
        <stp>.QQQ250512P518</stp>
        <tr r="DB49" s="1"/>
        <tr r="DB49" s="1"/>
      </tp>
      <tp>
        <v>0.01</v>
        <stp/>
        <stp>LAST</stp>
        <stp>.QQQ250512C518</stp>
        <tr r="DA49" s="1"/>
        <tr r="DA49" s="1"/>
      </tp>
      <tp>
        <v>15.23</v>
        <stp/>
        <stp>LAST</stp>
        <stp>.QQQ250512P519</stp>
        <tr r="DB48" s="1"/>
        <tr r="DB48" s="1"/>
      </tp>
      <tp>
        <v>0.01</v>
        <stp/>
        <stp>LAST</stp>
        <stp>.QQQ250512C519</stp>
        <tr r="DA48" s="1"/>
        <tr r="DA48" s="1"/>
      </tp>
      <tp>
        <v>5.75</v>
        <stp/>
        <stp>LAST</stp>
        <stp>.QQQ250512P514</stp>
        <tr r="DB53" s="1"/>
        <tr r="DB53" s="1"/>
      </tp>
      <tp>
        <v>0.01</v>
        <stp/>
        <stp>LAST</stp>
        <stp>.QQQ250512C514</stp>
        <tr r="DA53" s="1"/>
        <tr r="DA53" s="1"/>
      </tp>
      <tp>
        <v>8.9</v>
        <stp/>
        <stp>LAST</stp>
        <stp>.QQQ250512P515</stp>
        <tr r="DB52" s="1"/>
        <tr r="DB52" s="1"/>
      </tp>
      <tp>
        <v>0.01</v>
        <stp/>
        <stp>LAST</stp>
        <stp>.QQQ250512C515</stp>
        <tr r="DA52" s="1"/>
        <tr r="DA52" s="1"/>
      </tp>
      <tp>
        <v>7.93</v>
        <stp/>
        <stp>LAST</stp>
        <stp>.QQQ250512P516</stp>
        <tr r="DB51" s="1"/>
        <tr r="DB51" s="1"/>
      </tp>
      <tp>
        <v>0.01</v>
        <stp/>
        <stp>LAST</stp>
        <stp>.QQQ250512C516</stp>
        <tr r="DA51" s="1"/>
        <tr r="DA51" s="1"/>
      </tp>
      <tp>
        <v>10.85</v>
        <stp/>
        <stp>LAST</stp>
        <stp>.QQQ250512P517</stp>
        <tr r="DB50" s="1"/>
        <tr r="DB50" s="1"/>
      </tp>
      <tp>
        <v>0.01</v>
        <stp/>
        <stp>LAST</stp>
        <stp>.QQQ250512C517</stp>
        <tr r="DA50" s="1"/>
        <tr r="DA50" s="1"/>
      </tp>
      <tp>
        <v>2.3199999999999998</v>
        <stp/>
        <stp>LAST</stp>
        <stp>.QQQ250512P510</stp>
        <tr r="DB57" s="1"/>
        <tr r="DB57" s="1"/>
      </tp>
      <tp>
        <v>0.01</v>
        <stp/>
        <stp>LAST</stp>
        <stp>.QQQ250512C510</stp>
        <tr r="DA57" s="1"/>
        <tr r="DA57" s="1"/>
      </tp>
      <tp>
        <v>3.56</v>
        <stp/>
        <stp>LAST</stp>
        <stp>.QQQ250512P511</stp>
        <tr r="DB56" s="1"/>
        <tr r="DB56" s="1"/>
      </tp>
      <tp>
        <v>0.01</v>
        <stp/>
        <stp>LAST</stp>
        <stp>.QQQ250512C511</stp>
        <tr r="DA56" s="1"/>
        <tr r="DA56" s="1"/>
      </tp>
      <tp>
        <v>4.22</v>
        <stp/>
        <stp>LAST</stp>
        <stp>.QQQ250512P512</stp>
        <tr r="DB55" s="1"/>
        <tr r="DB55" s="1"/>
      </tp>
      <tp>
        <v>0.01</v>
        <stp/>
        <stp>LAST</stp>
        <stp>.QQQ250512C512</stp>
        <tr r="DA55" s="1"/>
        <tr r="DA55" s="1"/>
      </tp>
      <tp>
        <v>6.95</v>
        <stp/>
        <stp>LAST</stp>
        <stp>.QQQ250512P513</stp>
        <tr r="DB54" s="1"/>
        <tr r="DB54" s="1"/>
      </tp>
      <tp>
        <v>0.01</v>
        <stp/>
        <stp>LAST</stp>
        <stp>.QQQ250512C513</stp>
        <tr r="DA54" s="1"/>
        <tr r="DA54" s="1"/>
      </tp>
      <tp>
        <v>0.48</v>
        <stp/>
        <stp>LAST</stp>
        <stp>.QQQ250512P508</stp>
        <tr r="DB59" s="1"/>
        <tr r="DB59" s="1"/>
      </tp>
      <tp>
        <v>0.1</v>
        <stp/>
        <stp>LAST</stp>
        <stp>.QQQ250512C508</stp>
        <tr r="DA59" s="1"/>
        <tr r="DA59" s="1"/>
      </tp>
      <tp>
        <v>1.32</v>
        <stp/>
        <stp>LAST</stp>
        <stp>.QQQ250512P509</stp>
        <tr r="DB58" s="1"/>
        <tr r="DB58" s="1"/>
      </tp>
      <tp>
        <v>0.01</v>
        <stp/>
        <stp>LAST</stp>
        <stp>.QQQ250512C509</stp>
        <tr r="DA58" s="1"/>
        <tr r="DA58" s="1"/>
      </tp>
      <tp>
        <v>0.01</v>
        <stp/>
        <stp>LAST</stp>
        <stp>.QQQ250512P504</stp>
        <tr r="DB63" s="1"/>
        <tr r="DB63" s="1"/>
      </tp>
      <tp>
        <v>3.75</v>
        <stp/>
        <stp>LAST</stp>
        <stp>.QQQ250512C504</stp>
        <tr r="DA63" s="1"/>
        <tr r="DA63" s="1"/>
      </tp>
      <tp>
        <v>0.01</v>
        <stp/>
        <stp>LAST</stp>
        <stp>.QQQ250512P505</stp>
        <tr r="DB62" s="1"/>
        <tr r="DB62" s="1"/>
      </tp>
      <tp>
        <v>2.5499999999999998</v>
        <stp/>
        <stp>LAST</stp>
        <stp>.QQQ250512C505</stp>
        <tr r="DA62" s="1"/>
        <tr r="DA62" s="1"/>
      </tp>
      <tp>
        <v>0.01</v>
        <stp/>
        <stp>LAST</stp>
        <stp>.QQQ250512P506</stp>
        <tr r="DB61" s="1"/>
        <tr r="DB61" s="1"/>
      </tp>
      <tp>
        <v>1.56</v>
        <stp/>
        <stp>LAST</stp>
        <stp>.QQQ250512C506</stp>
        <tr r="DA61" s="1"/>
        <tr r="DA61" s="1"/>
      </tp>
      <tp>
        <v>0.06</v>
        <stp/>
        <stp>LAST</stp>
        <stp>.QQQ250512P507</stp>
        <tr r="DB60" s="1"/>
        <tr r="DB60" s="1"/>
      </tp>
      <tp>
        <v>0.62</v>
        <stp/>
        <stp>LAST</stp>
        <stp>.QQQ250512C507</stp>
        <tr r="DA60" s="1"/>
        <tr r="DA60" s="1"/>
      </tp>
      <tp>
        <v>0.01</v>
        <stp/>
        <stp>LAST</stp>
        <stp>.QQQ250512P500</stp>
        <tr r="DB67" s="1"/>
        <tr r="DB67" s="1"/>
      </tp>
      <tp>
        <v>7.56</v>
        <stp/>
        <stp>LAST</stp>
        <stp>.QQQ250512C500</stp>
        <tr r="DA67" s="1"/>
        <tr r="DA67" s="1"/>
      </tp>
      <tp>
        <v>0.01</v>
        <stp/>
        <stp>LAST</stp>
        <stp>.QQQ250512P501</stp>
        <tr r="DB66" s="1"/>
        <tr r="DB66" s="1"/>
      </tp>
      <tp>
        <v>6.5</v>
        <stp/>
        <stp>LAST</stp>
        <stp>.QQQ250512C501</stp>
        <tr r="DA66" s="1"/>
        <tr r="DA66" s="1"/>
      </tp>
      <tp>
        <v>0.01</v>
        <stp/>
        <stp>LAST</stp>
        <stp>.QQQ250512P502</stp>
        <tr r="DB65" s="1"/>
        <tr r="DB65" s="1"/>
      </tp>
      <tp>
        <v>5.75</v>
        <stp/>
        <stp>LAST</stp>
        <stp>.QQQ250512C502</stp>
        <tr r="DA65" s="1"/>
        <tr r="DA65" s="1"/>
      </tp>
      <tp>
        <v>0.01</v>
        <stp/>
        <stp>LAST</stp>
        <stp>.QQQ250512P503</stp>
        <tr r="DB64" s="1"/>
        <tr r="DB64" s="1"/>
      </tp>
      <tp>
        <v>4.7</v>
        <stp/>
        <stp>LAST</stp>
        <stp>.QQQ250512C503</stp>
        <tr r="DA64" s="1"/>
        <tr r="DA64" s="1"/>
      </tp>
      <tp>
        <v>0.01</v>
        <stp/>
        <stp>LAST</stp>
        <stp>.QQQ250512P498</stp>
        <tr r="DB69" s="1"/>
        <tr r="DB69" s="1"/>
      </tp>
      <tp>
        <v>9.77</v>
        <stp/>
        <stp>LAST</stp>
        <stp>.QQQ250512C498</stp>
        <tr r="DA69" s="1"/>
        <tr r="DA69" s="1"/>
      </tp>
      <tp>
        <v>0.01</v>
        <stp/>
        <stp>LAST</stp>
        <stp>.QQQ250512P499</stp>
        <tr r="DB68" s="1"/>
        <tr r="DB68" s="1"/>
      </tp>
      <tp>
        <v>8.8699999999999992</v>
        <stp/>
        <stp>LAST</stp>
        <stp>.QQQ250512C499</stp>
        <tr r="DA68" s="1"/>
        <tr r="DA68" s="1"/>
      </tp>
      <tp>
        <v>0.01</v>
        <stp/>
        <stp>LAST</stp>
        <stp>.QQQ250512P494</stp>
        <tr r="DB73" s="1"/>
        <tr r="DB73" s="1"/>
      </tp>
      <tp>
        <v>13.73</v>
        <stp/>
        <stp>LAST</stp>
        <stp>.QQQ250512C494</stp>
        <tr r="DA73" s="1"/>
        <tr r="DA73" s="1"/>
      </tp>
      <tp>
        <v>0.01</v>
        <stp/>
        <stp>LAST</stp>
        <stp>.QQQ250512P495</stp>
        <tr r="DB72" s="1"/>
        <tr r="DB72" s="1"/>
      </tp>
      <tp>
        <v>12.7</v>
        <stp/>
        <stp>LAST</stp>
        <stp>.QQQ250512C495</stp>
        <tr r="DA72" s="1"/>
        <tr r="DA72" s="1"/>
      </tp>
      <tp>
        <v>0.01</v>
        <stp/>
        <stp>LAST</stp>
        <stp>.QQQ250512P496</stp>
        <tr r="DB71" s="1"/>
        <tr r="DB71" s="1"/>
      </tp>
      <tp>
        <v>12.14</v>
        <stp/>
        <stp>LAST</stp>
        <stp>.QQQ250512C496</stp>
        <tr r="DA71" s="1"/>
        <tr r="DA71" s="1"/>
      </tp>
      <tp>
        <v>0.01</v>
        <stp/>
        <stp>LAST</stp>
        <stp>.QQQ250512P497</stp>
        <tr r="DB70" s="1"/>
        <tr r="DB70" s="1"/>
      </tp>
      <tp>
        <v>10.76</v>
        <stp/>
        <stp>LAST</stp>
        <stp>.QQQ250512C497</stp>
        <tr r="DA70" s="1"/>
        <tr r="DA70" s="1"/>
      </tp>
      <tp>
        <v>0.01</v>
        <stp/>
        <stp>LAST</stp>
        <stp>.QQQ250512P490</stp>
        <tr r="DB77" s="1"/>
        <tr r="DB77" s="1"/>
      </tp>
      <tp>
        <v>17.690000000000001</v>
        <stp/>
        <stp>LAST</stp>
        <stp>.QQQ250512C490</stp>
        <tr r="DA77" s="1"/>
        <tr r="DA77" s="1"/>
      </tp>
      <tp>
        <v>0.01</v>
        <stp/>
        <stp>LAST</stp>
        <stp>.QQQ250512P491</stp>
        <tr r="DB76" s="1"/>
        <tr r="DB76" s="1"/>
      </tp>
      <tp>
        <v>16.850000000000001</v>
        <stp/>
        <stp>LAST</stp>
        <stp>.QQQ250512C491</stp>
        <tr r="DA76" s="1"/>
        <tr r="DA76" s="1"/>
      </tp>
      <tp>
        <v>0.01</v>
        <stp/>
        <stp>LAST</stp>
        <stp>.QQQ250512P492</stp>
        <tr r="DB75" s="1"/>
        <tr r="DB75" s="1"/>
      </tp>
      <tp>
        <v>15.7</v>
        <stp/>
        <stp>LAST</stp>
        <stp>.QQQ250512C492</stp>
        <tr r="DA75" s="1"/>
        <tr r="DA75" s="1"/>
      </tp>
      <tp>
        <v>0.01</v>
        <stp/>
        <stp>LAST</stp>
        <stp>.QQQ250512P493</stp>
        <tr r="DB74" s="1"/>
        <tr r="DB74" s="1"/>
      </tp>
      <tp>
        <v>14.69</v>
        <stp/>
        <stp>LAST</stp>
        <stp>.QQQ250512C493</stp>
        <tr r="DA74" s="1"/>
        <tr r="DA74" s="1"/>
      </tp>
      <tp>
        <v>0.01</v>
        <stp/>
        <stp>LAST</stp>
        <stp>.QQQ250512P488</stp>
        <tr r="DB79" s="1"/>
        <tr r="DB79" s="1"/>
      </tp>
      <tp>
        <v>19.899999999999999</v>
        <stp/>
        <stp>LAST</stp>
        <stp>.QQQ250512C488</stp>
        <tr r="DA79" s="1"/>
        <tr r="DA79" s="1"/>
      </tp>
      <tp>
        <v>0.01</v>
        <stp/>
        <stp>LAST</stp>
        <stp>.QQQ250512P489</stp>
        <tr r="DB78" s="1"/>
        <tr r="DB78" s="1"/>
      </tp>
      <tp>
        <v>18.690000000000001</v>
        <stp/>
        <stp>LAST</stp>
        <stp>.QQQ250512C489</stp>
        <tr r="DA78" s="1"/>
        <tr r="DA78" s="1"/>
      </tp>
      <tp>
        <v>0</v>
        <stp/>
        <stp>DELTA</stp>
        <stp>.QQQ250512P489</stp>
        <tr r="CE78" s="1"/>
        <tr r="CE78" s="1"/>
      </tp>
      <tp>
        <v>1</v>
        <stp/>
        <stp>DELTA</stp>
        <stp>.QQQ250512C489</stp>
        <tr r="CD78" s="1"/>
        <tr r="CD78" s="1"/>
      </tp>
      <tp>
        <v>0</v>
        <stp/>
        <stp>DELTA</stp>
        <stp>.QQQ250512P488</stp>
        <tr r="CE79" s="1"/>
        <tr r="CE79" s="1"/>
      </tp>
      <tp>
        <v>1</v>
        <stp/>
        <stp>DELTA</stp>
        <stp>.QQQ250512C488</stp>
        <tr r="CD79" s="1"/>
        <tr r="CD79" s="1"/>
      </tp>
      <tp>
        <v>-0.09</v>
        <stp/>
        <stp>DELTA</stp>
        <stp>.QQQ250516P489</stp>
        <tr r="CG78" s="1"/>
        <tr r="CG78" s="1"/>
      </tp>
      <tp>
        <v>0.9</v>
        <stp/>
        <stp>DELTA</stp>
        <stp>.QQQ250516C489</stp>
        <tr r="CF78" s="1"/>
        <tr r="CF78" s="1"/>
      </tp>
      <tp>
        <v>-0.08</v>
        <stp/>
        <stp>DELTA</stp>
        <stp>.QQQ250516P488</stp>
        <tr r="CG79" s="1"/>
        <tr r="CG79" s="1"/>
      </tp>
      <tp>
        <v>0.89</v>
        <stp/>
        <stp>DELTA</stp>
        <stp>.QQQ250516C488</stp>
        <tr r="CF79" s="1"/>
        <tr r="CF79" s="1"/>
      </tp>
      <tp>
        <v>0</v>
        <stp/>
        <stp>DELTA</stp>
        <stp>.QQQ250512P491</stp>
        <tr r="CE76" s="1"/>
        <tr r="CE76" s="1"/>
      </tp>
      <tp>
        <v>-0.16</v>
        <stp/>
        <stp>DELTA</stp>
        <stp>.QQQ250516P495</stp>
        <tr r="CG72" s="1"/>
        <tr r="CG72" s="1"/>
      </tp>
      <tp>
        <v>1</v>
        <stp/>
        <stp>DELTA</stp>
        <stp>.QQQ250512C491</stp>
        <tr r="CD76" s="1"/>
        <tr r="CD76" s="1"/>
      </tp>
      <tp>
        <v>0.83</v>
        <stp/>
        <stp>DELTA</stp>
        <stp>.QQQ250516C495</stp>
        <tr r="CF72" s="1"/>
        <tr r="CF72" s="1"/>
      </tp>
      <tp>
        <v>0</v>
        <stp/>
        <stp>DELTA</stp>
        <stp>.QQQ250512P490</stp>
        <tr r="CE77" s="1"/>
        <tr r="CE77" s="1"/>
      </tp>
      <tp>
        <v>-0.15</v>
        <stp/>
        <stp>DELTA</stp>
        <stp>.QQQ250516P494</stp>
        <tr r="CG73" s="1"/>
        <tr r="CG73" s="1"/>
      </tp>
      <tp>
        <v>1</v>
        <stp/>
        <stp>DELTA</stp>
        <stp>.QQQ250512C490</stp>
        <tr r="CD77" s="1"/>
        <tr r="CD77" s="1"/>
      </tp>
      <tp>
        <v>0.84</v>
        <stp/>
        <stp>DELTA</stp>
        <stp>.QQQ250516C494</stp>
        <tr r="CF73" s="1"/>
        <tr r="CF73" s="1"/>
      </tp>
      <tp>
        <v>0</v>
        <stp/>
        <stp>DELTA</stp>
        <stp>.QQQ250512P493</stp>
        <tr r="CE74" s="1"/>
        <tr r="CE74" s="1"/>
      </tp>
      <tp>
        <v>-0.2</v>
        <stp/>
        <stp>DELTA</stp>
        <stp>.QQQ250516P497</stp>
        <tr r="CG70" s="1"/>
        <tr r="CG70" s="1"/>
      </tp>
      <tp>
        <v>1</v>
        <stp/>
        <stp>DELTA</stp>
        <stp>.QQQ250512C493</stp>
        <tr r="CD74" s="1"/>
        <tr r="CD74" s="1"/>
      </tp>
      <tp>
        <v>0.85</v>
        <stp/>
        <stp>DELTA</stp>
        <stp>.QQQ250516C497</stp>
        <tr r="CF70" s="1"/>
        <tr r="CF70" s="1"/>
      </tp>
      <tp>
        <v>0</v>
        <stp/>
        <stp>DELTA</stp>
        <stp>.QQQ250512P492</stp>
        <tr r="CE75" s="1"/>
        <tr r="CE75" s="1"/>
      </tp>
      <tp>
        <v>-0.18</v>
        <stp/>
        <stp>DELTA</stp>
        <stp>.QQQ250516P496</stp>
        <tr r="CG71" s="1"/>
        <tr r="CG71" s="1"/>
      </tp>
      <tp>
        <v>1</v>
        <stp/>
        <stp>DELTA</stp>
        <stp>.QQQ250512C492</stp>
        <tr r="CD75" s="1"/>
        <tr r="CD75" s="1"/>
      </tp>
      <tp>
        <v>0.81</v>
        <stp/>
        <stp>DELTA</stp>
        <stp>.QQQ250516C496</stp>
        <tr r="CF71" s="1"/>
        <tr r="CF71" s="1"/>
      </tp>
      <tp>
        <v>0</v>
        <stp/>
        <stp>DELTA</stp>
        <stp>.QQQ250512P495</stp>
        <tr r="CE72" s="1"/>
        <tr r="CE72" s="1"/>
      </tp>
      <tp>
        <v>-0.11</v>
        <stp/>
        <stp>DELTA</stp>
        <stp>.QQQ250516P491</stp>
        <tr r="CG76" s="1"/>
        <tr r="CG76" s="1"/>
      </tp>
      <tp>
        <v>1</v>
        <stp/>
        <stp>DELTA</stp>
        <stp>.QQQ250512C495</stp>
        <tr r="CD72" s="1"/>
        <tr r="CD72" s="1"/>
      </tp>
      <tp>
        <v>0.9</v>
        <stp/>
        <stp>DELTA</stp>
        <stp>.QQQ250516C491</stp>
        <tr r="CF76" s="1"/>
        <tr r="CF76" s="1"/>
      </tp>
      <tp>
        <v>0</v>
        <stp/>
        <stp>DELTA</stp>
        <stp>.QQQ250512P494</stp>
        <tr r="CE73" s="1"/>
        <tr r="CE73" s="1"/>
      </tp>
      <tp>
        <v>-0.1</v>
        <stp/>
        <stp>DELTA</stp>
        <stp>.QQQ250516P490</stp>
        <tr r="CG77" s="1"/>
        <tr r="CG77" s="1"/>
      </tp>
      <tp>
        <v>1</v>
        <stp/>
        <stp>DELTA</stp>
        <stp>.QQQ250512C494</stp>
        <tr r="CD73" s="1"/>
        <tr r="CD73" s="1"/>
      </tp>
      <tp>
        <v>0.92</v>
        <stp/>
        <stp>DELTA</stp>
        <stp>.QQQ250516C490</stp>
        <tr r="CF77" s="1"/>
        <tr r="CF77" s="1"/>
      </tp>
      <tp>
        <v>0</v>
        <stp/>
        <stp>DELTA</stp>
        <stp>.QQQ250512P497</stp>
        <tr r="CE70" s="1"/>
        <tr r="CE70" s="1"/>
      </tp>
      <tp>
        <v>-0.13</v>
        <stp/>
        <stp>DELTA</stp>
        <stp>.QQQ250516P493</stp>
        <tr r="CG74" s="1"/>
        <tr r="CG74" s="1"/>
      </tp>
      <tp>
        <v>1</v>
        <stp/>
        <stp>DELTA</stp>
        <stp>.QQQ250512C497</stp>
        <tr r="CD70" s="1"/>
        <tr r="CD70" s="1"/>
      </tp>
      <tp>
        <v>0.87</v>
        <stp/>
        <stp>DELTA</stp>
        <stp>.QQQ250516C493</stp>
        <tr r="CF74" s="1"/>
        <tr r="CF74" s="1"/>
      </tp>
      <tp>
        <v>0</v>
        <stp/>
        <stp>DELTA</stp>
        <stp>.QQQ250512P496</stp>
        <tr r="CE71" s="1"/>
        <tr r="CE71" s="1"/>
      </tp>
      <tp>
        <v>-0.12</v>
        <stp/>
        <stp>DELTA</stp>
        <stp>.QQQ250516P492</stp>
        <tr r="CG75" s="1"/>
        <tr r="CG75" s="1"/>
      </tp>
      <tp>
        <v>1</v>
        <stp/>
        <stp>DELTA</stp>
        <stp>.QQQ250512C496</stp>
        <tr r="CD71" s="1"/>
        <tr r="CD71" s="1"/>
      </tp>
      <tp>
        <v>0.88</v>
        <stp/>
        <stp>DELTA</stp>
        <stp>.QQQ250516C492</stp>
        <tr r="CF75" s="1"/>
        <tr r="CF75" s="1"/>
      </tp>
      <tp>
        <v>0</v>
        <stp/>
        <stp>DELTA</stp>
        <stp>.QQQ250512P499</stp>
        <tr r="CE68" s="1"/>
        <tr r="CE68" s="1"/>
      </tp>
      <tp>
        <v>1</v>
        <stp/>
        <stp>DELTA</stp>
        <stp>.QQQ250512C499</stp>
        <tr r="CD68" s="1"/>
        <tr r="CD68" s="1"/>
      </tp>
      <tp>
        <v>0</v>
        <stp/>
        <stp>DELTA</stp>
        <stp>.QQQ250512P498</stp>
        <tr r="CE69" s="1"/>
        <tr r="CE69" s="1"/>
      </tp>
      <tp>
        <v>1</v>
        <stp/>
        <stp>DELTA</stp>
        <stp>.QQQ250512C498</stp>
        <tr r="CD69" s="1"/>
        <tr r="CD69" s="1"/>
      </tp>
      <tp>
        <v>-0.24</v>
        <stp/>
        <stp>DELTA</stp>
        <stp>.QQQ250516P499</stp>
        <tr r="CG68" s="1"/>
        <tr r="CG68" s="1"/>
      </tp>
      <tp>
        <v>0.77</v>
        <stp/>
        <stp>DELTA</stp>
        <stp>.QQQ250516C499</stp>
        <tr r="CF68" s="1"/>
        <tr r="CF68" s="1"/>
      </tp>
      <tp>
        <v>-0.22</v>
        <stp/>
        <stp>DELTA</stp>
        <stp>.QQQ250516P498</stp>
        <tr r="CG69" s="1"/>
        <tr r="CG69" s="1"/>
      </tp>
      <tp>
        <v>0.77</v>
        <stp/>
        <stp>DELTA</stp>
        <stp>.QQQ250516C498</stp>
        <tr r="CF69" s="1"/>
        <tr r="CF69" s="1"/>
      </tp>
      <tp>
        <v>-0.01</v>
        <stp/>
        <stp>DELTA</stp>
        <stp>.QQQ250512P501</stp>
        <tr r="CE66" s="1"/>
        <tr r="CE66" s="1"/>
      </tp>
      <tp>
        <v>-0.4</v>
        <stp/>
        <stp>DELTA</stp>
        <stp>.QQQ250516P505</stp>
        <tr r="CG62" s="1"/>
        <tr r="CG62" s="1"/>
      </tp>
      <tp>
        <v>1</v>
        <stp/>
        <stp>DELTA</stp>
        <stp>.QQQ250512C501</stp>
        <tr r="CD66" s="1"/>
        <tr r="CD66" s="1"/>
      </tp>
      <tp>
        <v>0.6</v>
        <stp/>
        <stp>DELTA</stp>
        <stp>.QQQ250516C505</stp>
        <tr r="CF62" s="1"/>
        <tr r="CF62" s="1"/>
      </tp>
      <tp>
        <v>-0.01</v>
        <stp/>
        <stp>DELTA</stp>
        <stp>.QQQ250512P500</stp>
        <tr r="CE67" s="1"/>
        <tr r="CE67" s="1"/>
      </tp>
      <tp>
        <v>-0.37</v>
        <stp/>
        <stp>DELTA</stp>
        <stp>.QQQ250516P504</stp>
        <tr r="CG63" s="1"/>
        <tr r="CG63" s="1"/>
      </tp>
      <tp>
        <v>1</v>
        <stp/>
        <stp>DELTA</stp>
        <stp>.QQQ250512C500</stp>
        <tr r="CD67" s="1"/>
        <tr r="CD67" s="1"/>
      </tp>
      <tp>
        <v>0.63</v>
        <stp/>
        <stp>DELTA</stp>
        <stp>.QQQ250516C504</stp>
        <tr r="CF63" s="1"/>
        <tr r="CF63" s="1"/>
      </tp>
      <tp>
        <v>-0.02</v>
        <stp/>
        <stp>DELTA</stp>
        <stp>.QQQ250512P503</stp>
        <tr r="CE64" s="1"/>
        <tr r="CE64" s="1"/>
      </tp>
      <tp>
        <v>-0.47</v>
        <stp/>
        <stp>DELTA</stp>
        <stp>.QQQ250516P507</stp>
        <tr r="CG60" s="1"/>
        <tr r="CG60" s="1"/>
      </tp>
      <tp>
        <v>0.76</v>
        <stp/>
        <stp>DELTA</stp>
        <stp>.QQQ250512C503</stp>
        <tr r="CD64" s="1"/>
        <tr r="CD64" s="1"/>
      </tp>
      <tp>
        <v>0.53</v>
        <stp/>
        <stp>DELTA</stp>
        <stp>.QQQ250516C507</stp>
        <tr r="CF60" s="1"/>
        <tr r="CF60" s="1"/>
      </tp>
      <tp>
        <v>-0.01</v>
        <stp/>
        <stp>DELTA</stp>
        <stp>.QQQ250512P502</stp>
        <tr r="CE65" s="1"/>
        <tr r="CE65" s="1"/>
      </tp>
      <tp>
        <v>-0.44</v>
        <stp/>
        <stp>DELTA</stp>
        <stp>.QQQ250516P506</stp>
        <tr r="CG61" s="1"/>
        <tr r="CG61" s="1"/>
      </tp>
      <tp>
        <v>1</v>
        <stp/>
        <stp>DELTA</stp>
        <stp>.QQQ250512C502</stp>
        <tr r="CD65" s="1"/>
        <tr r="CD65" s="1"/>
      </tp>
      <tp>
        <v>0.56999999999999995</v>
        <stp/>
        <stp>DELTA</stp>
        <stp>.QQQ250516C506</stp>
        <tr r="CF61" s="1"/>
        <tr r="CF61" s="1"/>
      </tp>
      <tp>
        <v>-0.03</v>
        <stp/>
        <stp>DELTA</stp>
        <stp>.QQQ250512P505</stp>
        <tr r="CE62" s="1"/>
        <tr r="CE62" s="1"/>
      </tp>
      <tp>
        <v>-0.28999999999999998</v>
        <stp/>
        <stp>DELTA</stp>
        <stp>.QQQ250516P501</stp>
        <tr r="CG66" s="1"/>
        <tr r="CG66" s="1"/>
      </tp>
      <tp>
        <v>1</v>
        <stp/>
        <stp>DELTA</stp>
        <stp>.QQQ250512C505</stp>
        <tr r="CD62" s="1"/>
        <tr r="CD62" s="1"/>
      </tp>
      <tp>
        <v>0.71</v>
        <stp/>
        <stp>DELTA</stp>
        <stp>.QQQ250516C501</stp>
        <tr r="CF66" s="1"/>
        <tr r="CF66" s="1"/>
      </tp>
      <tp>
        <v>-0.01</v>
        <stp/>
        <stp>DELTA</stp>
        <stp>.QQQ250512P504</stp>
        <tr r="CE63" s="1"/>
        <tr r="CE63" s="1"/>
      </tp>
      <tp>
        <v>-0.27</v>
        <stp/>
        <stp>DELTA</stp>
        <stp>.QQQ250516P500</stp>
        <tr r="CG67" s="1"/>
        <tr r="CG67" s="1"/>
      </tp>
      <tp>
        <v>0.79</v>
        <stp/>
        <stp>DELTA</stp>
        <stp>.QQQ250512C504</stp>
        <tr r="CD63" s="1"/>
        <tr r="CD63" s="1"/>
      </tp>
      <tp>
        <v>0.73</v>
        <stp/>
        <stp>DELTA</stp>
        <stp>.QQQ250516C500</stp>
        <tr r="CF67" s="1"/>
        <tr r="CF67" s="1"/>
      </tp>
      <tp>
        <v>-0.17</v>
        <stp/>
        <stp>DELTA</stp>
        <stp>.QQQ250512P507</stp>
        <tr r="CE60" s="1"/>
        <tr r="CE60" s="1"/>
      </tp>
      <tp>
        <v>-0.35</v>
        <stp/>
        <stp>DELTA</stp>
        <stp>.QQQ250516P503</stp>
        <tr r="CG64" s="1"/>
        <tr r="CG64" s="1"/>
      </tp>
      <tp>
        <v>1</v>
        <stp/>
        <stp>DELTA</stp>
        <stp>.QQQ250512C507</stp>
        <tr r="CD60" s="1"/>
        <tr r="CD60" s="1"/>
      </tp>
      <tp>
        <v>0.66</v>
        <stp/>
        <stp>DELTA</stp>
        <stp>.QQQ250516C503</stp>
        <tr r="CF64" s="1"/>
        <tr r="CF64" s="1"/>
      </tp>
      <tp>
        <v>-0.04</v>
        <stp/>
        <stp>DELTA</stp>
        <stp>.QQQ250512P506</stp>
        <tr r="CE61" s="1"/>
        <tr r="CE61" s="1"/>
      </tp>
      <tp>
        <v>-0.32</v>
        <stp/>
        <stp>DELTA</stp>
        <stp>.QQQ250516P502</stp>
        <tr r="CG65" s="1"/>
        <tr r="CG65" s="1"/>
      </tp>
      <tp>
        <v>1</v>
        <stp/>
        <stp>DELTA</stp>
        <stp>.QQQ250512C506</stp>
        <tr r="CD61" s="1"/>
        <tr r="CD61" s="1"/>
      </tp>
      <tp>
        <v>0.68</v>
        <stp/>
        <stp>DELTA</stp>
        <stp>.QQQ250516C502</stp>
        <tr r="CF65" s="1"/>
        <tr r="CF65" s="1"/>
      </tp>
      <tp>
        <v>-0.85</v>
        <stp/>
        <stp>DELTA</stp>
        <stp>.QQQ250512P509</stp>
        <tr r="CE58" s="1"/>
        <tr r="CE58" s="1"/>
      </tp>
      <tp>
        <v>0.02</v>
        <stp/>
        <stp>DELTA</stp>
        <stp>.QQQ250512C509</stp>
        <tr r="CD58" s="1"/>
        <tr r="CD58" s="1"/>
      </tp>
      <tp>
        <v>-0.65</v>
        <stp/>
        <stp>DELTA</stp>
        <stp>.QQQ250512P508</stp>
        <tr r="CE59" s="1"/>
        <tr r="CE59" s="1"/>
      </tp>
      <tp>
        <v>0.25</v>
        <stp/>
        <stp>DELTA</stp>
        <stp>.QQQ250512C508</stp>
        <tr r="CD59" s="1"/>
        <tr r="CD59" s="1"/>
      </tp>
      <tp>
        <v>-0.53</v>
        <stp/>
        <stp>DELTA</stp>
        <stp>.QQQ250516P509</stp>
        <tr r="CG58" s="1"/>
        <tr r="CG58" s="1"/>
      </tp>
      <tp>
        <v>0.47</v>
        <stp/>
        <stp>DELTA</stp>
        <stp>.QQQ250516C509</stp>
        <tr r="CF58" s="1"/>
        <tr r="CF58" s="1"/>
      </tp>
      <tp>
        <v>-0.5</v>
        <stp/>
        <stp>DELTA</stp>
        <stp>.QQQ250516P508</stp>
        <tr r="CG59" s="1"/>
        <tr r="CG59" s="1"/>
      </tp>
      <tp>
        <v>0.5</v>
        <stp/>
        <stp>DELTA</stp>
        <stp>.QQQ250516C508</stp>
        <tr r="CF59" s="1"/>
        <tr r="CF59" s="1"/>
      </tp>
      <tp>
        <v>-0.9</v>
        <stp/>
        <stp>DELTA</stp>
        <stp>.QQQ250512P511</stp>
        <tr r="CE56" s="1"/>
        <tr r="CE56" s="1"/>
      </tp>
      <tp>
        <v>-0.75</v>
        <stp/>
        <stp>DELTA</stp>
        <stp>.QQQ250516P515</stp>
        <tr r="CG52" s="1"/>
        <tr r="CG52" s="1"/>
      </tp>
      <tp>
        <v>0.01</v>
        <stp/>
        <stp>DELTA</stp>
        <stp>.QQQ250512C511</stp>
        <tr r="CD56" s="1"/>
        <tr r="CD56" s="1"/>
      </tp>
      <tp>
        <v>0.28000000000000003</v>
        <stp/>
        <stp>DELTA</stp>
        <stp>.QQQ250516C515</stp>
        <tr r="CF52" s="1"/>
        <tr r="CF52" s="1"/>
      </tp>
      <tp>
        <v>-0.88</v>
        <stp/>
        <stp>DELTA</stp>
        <stp>.QQQ250512P510</stp>
        <tr r="CE57" s="1"/>
        <tr r="CE57" s="1"/>
      </tp>
      <tp>
        <v>-0.69</v>
        <stp/>
        <stp>DELTA</stp>
        <stp>.QQQ250516P514</stp>
        <tr r="CG53" s="1"/>
        <tr r="CG53" s="1"/>
      </tp>
      <tp>
        <v>0.01</v>
        <stp/>
        <stp>DELTA</stp>
        <stp>.QQQ250512C510</stp>
        <tr r="CD57" s="1"/>
        <tr r="CD57" s="1"/>
      </tp>
      <tp>
        <v>0.31</v>
        <stp/>
        <stp>DELTA</stp>
        <stp>.QQQ250516C514</stp>
        <tr r="CF53" s="1"/>
        <tr r="CF53" s="1"/>
      </tp>
      <tp>
        <v>-0.92</v>
        <stp/>
        <stp>DELTA</stp>
        <stp>.QQQ250512P513</stp>
        <tr r="CE54" s="1"/>
        <tr r="CE54" s="1"/>
      </tp>
      <tp>
        <v>-0.8</v>
        <stp/>
        <stp>DELTA</stp>
        <stp>.QQQ250516P517</stp>
        <tr r="CG50" s="1"/>
        <tr r="CG50" s="1"/>
      </tp>
      <tp>
        <v>0.01</v>
        <stp/>
        <stp>DELTA</stp>
        <stp>.QQQ250512C513</stp>
        <tr r="CD54" s="1"/>
        <tr r="CD54" s="1"/>
      </tp>
      <tp>
        <v>0.23</v>
        <stp/>
        <stp>DELTA</stp>
        <stp>.QQQ250516C517</stp>
        <tr r="CF50" s="1"/>
        <tr r="CF50" s="1"/>
      </tp>
      <tp>
        <v>-0.91</v>
        <stp/>
        <stp>DELTA</stp>
        <stp>.QQQ250512P512</stp>
        <tr r="CE55" s="1"/>
        <tr r="CE55" s="1"/>
      </tp>
      <tp>
        <v>-0.78</v>
        <stp/>
        <stp>DELTA</stp>
        <stp>.QQQ250516P516</stp>
        <tr r="CG51" s="1"/>
        <tr r="CG51" s="1"/>
      </tp>
      <tp>
        <v>0.01</v>
        <stp/>
        <stp>DELTA</stp>
        <stp>.QQQ250512C512</stp>
        <tr r="CD55" s="1"/>
        <tr r="CD55" s="1"/>
      </tp>
      <tp>
        <v>0.25</v>
        <stp/>
        <stp>DELTA</stp>
        <stp>.QQQ250516C516</stp>
        <tr r="CF51" s="1"/>
        <tr r="CF51" s="1"/>
      </tp>
      <tp>
        <v>-0.93</v>
        <stp/>
        <stp>DELTA</stp>
        <stp>.QQQ250512P515</stp>
        <tr r="CE52" s="1"/>
        <tr r="CE52" s="1"/>
      </tp>
      <tp>
        <v>-0.6</v>
        <stp/>
        <stp>DELTA</stp>
        <stp>.QQQ250516P511</stp>
        <tr r="CG56" s="1"/>
        <tr r="CG56" s="1"/>
      </tp>
      <tp>
        <v>0.01</v>
        <stp/>
        <stp>DELTA</stp>
        <stp>.QQQ250512C515</stp>
        <tr r="CD52" s="1"/>
        <tr r="CD52" s="1"/>
      </tp>
      <tp>
        <v>0.4</v>
        <stp/>
        <stp>DELTA</stp>
        <stp>.QQQ250516C511</stp>
        <tr r="CF56" s="1"/>
        <tr r="CF56" s="1"/>
      </tp>
      <tp>
        <v>-0.93</v>
        <stp/>
        <stp>DELTA</stp>
        <stp>.QQQ250512P514</stp>
        <tr r="CE53" s="1"/>
        <tr r="CE53" s="1"/>
      </tp>
      <tp>
        <v>-0.56999999999999995</v>
        <stp/>
        <stp>DELTA</stp>
        <stp>.QQQ250516P510</stp>
        <tr r="CG57" s="1"/>
        <tr r="CG57" s="1"/>
      </tp>
      <tp>
        <v>0.01</v>
        <stp/>
        <stp>DELTA</stp>
        <stp>.QQQ250512C514</stp>
        <tr r="CD53" s="1"/>
        <tr r="CD53" s="1"/>
      </tp>
      <tp>
        <v>0.44</v>
        <stp/>
        <stp>DELTA</stp>
        <stp>.QQQ250516C510</stp>
        <tr r="CF57" s="1"/>
        <tr r="CF57" s="1"/>
      </tp>
      <tp>
        <v>-0.94</v>
        <stp/>
        <stp>DELTA</stp>
        <stp>.QQQ250512P517</stp>
        <tr r="CE50" s="1"/>
        <tr r="CE50" s="1"/>
      </tp>
      <tp>
        <v>-0.66</v>
        <stp/>
        <stp>DELTA</stp>
        <stp>.QQQ250516P513</stp>
        <tr r="CG54" s="1"/>
        <tr r="CG54" s="1"/>
      </tp>
      <tp>
        <v>0</v>
        <stp/>
        <stp>DELTA</stp>
        <stp>.QQQ250512C517</stp>
        <tr r="CD50" s="1"/>
        <tr r="CD50" s="1"/>
      </tp>
      <tp>
        <v>0.34</v>
        <stp/>
        <stp>DELTA</stp>
        <stp>.QQQ250516C513</stp>
        <tr r="CF54" s="1"/>
        <tr r="CF54" s="1"/>
      </tp>
      <tp>
        <v>-0.93</v>
        <stp/>
        <stp>DELTA</stp>
        <stp>.QQQ250512P516</stp>
        <tr r="CE51" s="1"/>
        <tr r="CE51" s="1"/>
      </tp>
      <tp>
        <v>-0.63</v>
        <stp/>
        <stp>DELTA</stp>
        <stp>.QQQ250516P512</stp>
        <tr r="CG55" s="1"/>
        <tr r="CG55" s="1"/>
      </tp>
      <tp>
        <v>0</v>
        <stp/>
        <stp>DELTA</stp>
        <stp>.QQQ250512C516</stp>
        <tr r="CD51" s="1"/>
        <tr r="CD51" s="1"/>
      </tp>
      <tp>
        <v>0.37</v>
        <stp/>
        <stp>DELTA</stp>
        <stp>.QQQ250516C512</stp>
        <tr r="CF55" s="1"/>
        <tr r="CF55" s="1"/>
      </tp>
      <tp>
        <v>-0.94</v>
        <stp/>
        <stp>DELTA</stp>
        <stp>.QQQ250512P519</stp>
        <tr r="CE48" s="1"/>
        <tr r="CE48" s="1"/>
      </tp>
      <tp>
        <v>0</v>
        <stp/>
        <stp>DELTA</stp>
        <stp>.QQQ250512C519</stp>
        <tr r="CD48" s="1"/>
        <tr r="CD48" s="1"/>
      </tp>
      <tp>
        <v>-0.94</v>
        <stp/>
        <stp>DELTA</stp>
        <stp>.QQQ250512P518</stp>
        <tr r="CE49" s="1"/>
        <tr r="CE49" s="1"/>
      </tp>
      <tp>
        <v>0</v>
        <stp/>
        <stp>DELTA</stp>
        <stp>.QQQ250512C518</stp>
        <tr r="CD49" s="1"/>
        <tr r="CD49" s="1"/>
      </tp>
      <tp>
        <v>-0.86</v>
        <stp/>
        <stp>DELTA</stp>
        <stp>.QQQ250516P519</stp>
        <tr r="CG48" s="1"/>
        <tr r="CG48" s="1"/>
      </tp>
      <tp>
        <v>0.18</v>
        <stp/>
        <stp>DELTA</stp>
        <stp>.QQQ250516C519</stp>
        <tr r="CF48" s="1"/>
        <tr r="CF48" s="1"/>
      </tp>
      <tp>
        <v>-0.83</v>
        <stp/>
        <stp>DELTA</stp>
        <stp>.QQQ250516P518</stp>
        <tr r="CG49" s="1"/>
        <tr r="CG49" s="1"/>
      </tp>
      <tp>
        <v>0.2</v>
        <stp/>
        <stp>DELTA</stp>
        <stp>.QQQ250516C518</stp>
        <tr r="CF49" s="1"/>
        <tr r="CF49" s="1"/>
      </tp>
      <tp>
        <v>-0.94</v>
        <stp/>
        <stp>DELTA</stp>
        <stp>.QQQ250512P521</stp>
        <tr r="CE46" s="1"/>
        <tr r="CE46" s="1"/>
      </tp>
      <tp>
        <v>0</v>
        <stp/>
        <stp>DELTA</stp>
        <stp>.QQQ250512C521</stp>
        <tr r="CD46" s="1"/>
        <tr r="CD46" s="1"/>
      </tp>
      <tp>
        <v>-0.94</v>
        <stp/>
        <stp>DELTA</stp>
        <stp>.QQQ250512P520</stp>
        <tr r="CE47" s="1"/>
        <tr r="CE47" s="1"/>
      </tp>
      <tp>
        <v>0</v>
        <stp/>
        <stp>DELTA</stp>
        <stp>.QQQ250512C520</stp>
        <tr r="CD47" s="1"/>
        <tr r="CD47" s="1"/>
      </tp>
      <tp>
        <v>-0.94</v>
        <stp/>
        <stp>DELTA</stp>
        <stp>.QQQ250512P522</stp>
        <tr r="CE45" s="1"/>
        <tr r="CE45" s="1"/>
      </tp>
      <tp>
        <v>0</v>
        <stp/>
        <stp>DELTA</stp>
        <stp>.QQQ250512C522</stp>
        <tr r="CD45" s="1"/>
        <tr r="CD45" s="1"/>
      </tp>
      <tp>
        <v>-0.91</v>
        <stp/>
        <stp>DELTA</stp>
        <stp>.QQQ250516P521</stp>
        <tr r="CG46" s="1"/>
        <tr r="CG46" s="1"/>
      </tp>
      <tp>
        <v>0.14000000000000001</v>
        <stp/>
        <stp>DELTA</stp>
        <stp>.QQQ250516C521</stp>
        <tr r="CF46" s="1"/>
        <tr r="CF46" s="1"/>
      </tp>
      <tp>
        <v>-0.88</v>
        <stp/>
        <stp>DELTA</stp>
        <stp>.QQQ250516P520</stp>
        <tr r="CG47" s="1"/>
        <tr r="CG47" s="1"/>
      </tp>
      <tp>
        <v>0.16</v>
        <stp/>
        <stp>DELTA</stp>
        <stp>.QQQ250516C520</stp>
        <tr r="CF47" s="1"/>
        <tr r="CF47" s="1"/>
      </tp>
      <tp>
        <v>-0.93</v>
        <stp/>
        <stp>DELTA</stp>
        <stp>.QQQ250516P522</stp>
        <tr r="CG45" s="1"/>
        <tr r="CG45" s="1"/>
      </tp>
      <tp>
        <v>0.12</v>
        <stp/>
        <stp>DELTA</stp>
        <stp>.QQQ250516C522</stp>
        <tr r="CF45" s="1"/>
        <tr r="CF45" s="1"/>
      </tp>
      <tp t="s">
        <v>N/A</v>
        <stp/>
        <stp>VOLUME</stp>
        <stp>.NDXC20900</stp>
        <tr r="K156" s="2"/>
      </tp>
      <tp t="s">
        <v>N/A</v>
        <stp/>
        <stp>VOLUME</stp>
        <stp>.NDXC20925</stp>
        <tr r="K155" s="2"/>
      </tp>
      <tp t="s">
        <v>N/A</v>
        <stp/>
        <stp>VOLUME</stp>
        <stp>.NDXC20950</stp>
        <tr r="K154" s="2"/>
      </tp>
      <tp t="s">
        <v>N/A</v>
        <stp/>
        <stp>VOLUME</stp>
        <stp>.NDXC20975</stp>
        <tr r="K153" s="2"/>
      </tp>
      <tp t="s">
        <v>N/A</v>
        <stp/>
        <stp>VOLUME</stp>
        <stp>.SPXWC5980</stp>
        <tr r="B90" s="2"/>
        <tr r="D90" s="2"/>
        <tr r="E90" s="2"/>
        <tr r="C90" s="2"/>
        <tr r="G90" s="2"/>
        <tr r="F90" s="2"/>
      </tp>
      <tp t="s">
        <v>N/A</v>
        <stp/>
        <stp>VOLUME</stp>
        <stp>.SPXWP5980</stp>
        <tr r="B90" s="2"/>
        <tr r="D90" s="2"/>
        <tr r="E90" s="2"/>
        <tr r="C90" s="2"/>
        <tr r="G90" s="2"/>
        <tr r="F90" s="2"/>
      </tp>
      <tp t="s">
        <v>N/A</v>
        <stp/>
        <stp>VOLUME</stp>
        <stp>.SPXWC5990</stp>
        <tr r="B89" s="2"/>
        <tr r="E89" s="2"/>
        <tr r="C89" s="2"/>
        <tr r="F89" s="2"/>
        <tr r="G89" s="2"/>
        <tr r="D89" s="2"/>
      </tp>
      <tp t="s">
        <v>N/A</v>
        <stp/>
        <stp>VOLUME</stp>
        <stp>.SPXWP5990</stp>
        <tr r="B89" s="2"/>
        <tr r="E89" s="2"/>
        <tr r="C89" s="2"/>
        <tr r="F89" s="2"/>
        <tr r="G89" s="2"/>
        <tr r="D89" s="2"/>
      </tp>
      <tp t="s">
        <v>N/A</v>
        <stp/>
        <stp>VOLUME</stp>
        <stp>.SPXWC5940</stp>
        <tr r="F94" s="2"/>
        <tr r="E94" s="2"/>
        <tr r="D94" s="2"/>
        <tr r="C94" s="2"/>
        <tr r="G94" s="2"/>
        <tr r="B94" s="2"/>
      </tp>
      <tp t="s">
        <v>N/A</v>
        <stp/>
        <stp>VOLUME</stp>
        <stp>.SPXWP5940</stp>
        <tr r="F94" s="2"/>
        <tr r="E94" s="2"/>
        <tr r="D94" s="2"/>
        <tr r="C94" s="2"/>
        <tr r="G94" s="2"/>
        <tr r="B94" s="2"/>
      </tp>
      <tp t="s">
        <v>N/A</v>
        <stp/>
        <stp>VOLUME</stp>
        <stp>.SPXWC5950</stp>
        <tr r="E93" s="2"/>
        <tr r="D93" s="2"/>
        <tr r="F93" s="2"/>
        <tr r="B93" s="2"/>
        <tr r="G93" s="2"/>
        <tr r="C93" s="2"/>
      </tp>
      <tp t="s">
        <v>N/A</v>
        <stp/>
        <stp>VOLUME</stp>
        <stp>.SPXWP5950</stp>
        <tr r="E93" s="2"/>
        <tr r="D93" s="2"/>
        <tr r="F93" s="2"/>
        <tr r="B93" s="2"/>
        <tr r="G93" s="2"/>
        <tr r="C93" s="2"/>
      </tp>
      <tp t="s">
        <v>N/A</v>
        <stp/>
        <stp>VOLUME</stp>
        <stp>.NDXP20925</stp>
        <tr r="K155" s="2"/>
      </tp>
      <tp t="s">
        <v>N/A</v>
        <stp/>
        <stp>VOLUME</stp>
        <stp>.SPXWC5960</stp>
        <tr r="C92" s="2"/>
        <tr r="G92" s="2"/>
        <tr r="D92" s="2"/>
        <tr r="E92" s="2"/>
        <tr r="F92" s="2"/>
        <tr r="B92" s="2"/>
      </tp>
      <tp t="s">
        <v>N/A</v>
        <stp/>
        <stp>VOLUME</stp>
        <stp>.SPXWP5960</stp>
        <tr r="C92" s="2"/>
        <tr r="G92" s="2"/>
        <tr r="D92" s="2"/>
        <tr r="E92" s="2"/>
        <tr r="F92" s="2"/>
        <tr r="B92" s="2"/>
      </tp>
      <tp t="s">
        <v>N/A</v>
        <stp/>
        <stp>VOLUME</stp>
        <stp>.SPXWC5970</stp>
        <tr r="G91" s="2"/>
        <tr r="D91" s="2"/>
        <tr r="E91" s="2"/>
        <tr r="F91" s="2"/>
        <tr r="B91" s="2"/>
        <tr r="C91" s="2"/>
      </tp>
      <tp t="s">
        <v>N/A</v>
        <stp/>
        <stp>VOLUME</stp>
        <stp>.SPXWP5970</stp>
        <tr r="G91" s="2"/>
        <tr r="D91" s="2"/>
        <tr r="E91" s="2"/>
        <tr r="F91" s="2"/>
        <tr r="B91" s="2"/>
        <tr r="C91" s="2"/>
      </tp>
      <tp t="s">
        <v>N/A</v>
        <stp/>
        <stp>VOLUME</stp>
        <stp>.NDXP20900</stp>
        <tr r="K156" s="2"/>
      </tp>
      <tp t="s">
        <v>N/A</v>
        <stp/>
        <stp>VOLUME</stp>
        <stp>.SPXWC5900</stp>
        <tr r="D98" s="2"/>
        <tr r="E98" s="2"/>
        <tr r="G98" s="2"/>
        <tr r="C98" s="2"/>
        <tr r="B98" s="2"/>
        <tr r="F98" s="2"/>
      </tp>
      <tp t="s">
        <v>N/A</v>
        <stp/>
        <stp>VOLUME</stp>
        <stp>.SPXWP5900</stp>
        <tr r="D98" s="2"/>
        <tr r="E98" s="2"/>
        <tr r="G98" s="2"/>
        <tr r="C98" s="2"/>
        <tr r="B98" s="2"/>
        <tr r="F98" s="2"/>
      </tp>
      <tp t="s">
        <v>N/A</v>
        <stp/>
        <stp>VOLUME</stp>
        <stp>.NDXP20975</stp>
        <tr r="K153" s="2"/>
      </tp>
      <tp t="s">
        <v>N/A</v>
        <stp/>
        <stp>VOLUME</stp>
        <stp>.SPXWC5910</stp>
        <tr r="B97" s="2"/>
        <tr r="C97" s="2"/>
        <tr r="F97" s="2"/>
        <tr r="G97" s="2"/>
        <tr r="D97" s="2"/>
        <tr r="E97" s="2"/>
      </tp>
      <tp t="s">
        <v>N/A</v>
        <stp/>
        <stp>VOLUME</stp>
        <stp>.SPXWP5910</stp>
        <tr r="B97" s="2"/>
        <tr r="C97" s="2"/>
        <tr r="F97" s="2"/>
        <tr r="G97" s="2"/>
        <tr r="D97" s="2"/>
        <tr r="E97" s="2"/>
      </tp>
      <tp t="s">
        <v>N/A</v>
        <stp/>
        <stp>VOLUME</stp>
        <stp>.SPXWC5920</stp>
        <tr r="D96" s="2"/>
        <tr r="E96" s="2"/>
        <tr r="B96" s="2"/>
        <tr r="C96" s="2"/>
        <tr r="G96" s="2"/>
        <tr r="F96" s="2"/>
      </tp>
      <tp t="s">
        <v>N/A</v>
        <stp/>
        <stp>VOLUME</stp>
        <stp>.SPXWP5920</stp>
        <tr r="D96" s="2"/>
        <tr r="E96" s="2"/>
        <tr r="B96" s="2"/>
        <tr r="C96" s="2"/>
        <tr r="G96" s="2"/>
        <tr r="F96" s="2"/>
      </tp>
      <tp t="s">
        <v>N/A</v>
        <stp/>
        <stp>VOLUME</stp>
        <stp>.NDXP20950</stp>
        <tr r="K154" s="2"/>
      </tp>
      <tp t="s">
        <v>N/A</v>
        <stp/>
        <stp>VOLUME</stp>
        <stp>.SPXWC5930</stp>
        <tr r="F95" s="2"/>
        <tr r="B95" s="2"/>
        <tr r="G95" s="2"/>
        <tr r="D95" s="2"/>
        <tr r="C95" s="2"/>
        <tr r="E95" s="2"/>
      </tp>
      <tp t="s">
        <v>N/A</v>
        <stp/>
        <stp>VOLUME</stp>
        <stp>.SPXWP5930</stp>
        <tr r="F95" s="2"/>
        <tr r="B95" s="2"/>
        <tr r="G95" s="2"/>
        <tr r="D95" s="2"/>
        <tr r="C95" s="2"/>
        <tr r="E95" s="2"/>
      </tp>
      <tp t="s">
        <v>N/A</v>
        <stp/>
        <stp>DELTA</stp>
        <stp>.QQQ250620P522</stp>
        <tr r="CI45" s="1"/>
      </tp>
      <tp t="s">
        <v>N/A</v>
        <stp/>
        <stp>DELTA</stp>
        <stp>.QQQ250620C522</stp>
        <tr r="CH45" s="1"/>
      </tp>
      <tp t="s">
        <v>N/A</v>
        <stp/>
        <stp>DELTA</stp>
        <stp>.QQQ250620P521</stp>
        <tr r="CI46" s="1"/>
      </tp>
      <tp t="s">
        <v>N/A</v>
        <stp/>
        <stp>DELTA</stp>
        <stp>.QQQ250620C521</stp>
        <tr r="CH46" s="1"/>
      </tp>
      <tp>
        <v>-0.64</v>
        <stp/>
        <stp>DELTA</stp>
        <stp>.QQQ250620P520</stp>
        <tr r="CI47" s="1"/>
        <tr r="CI47" s="1"/>
      </tp>
      <tp>
        <v>0.38</v>
        <stp/>
        <stp>DELTA</stp>
        <stp>.QQQ250620C520</stp>
        <tr r="CH47" s="1"/>
        <tr r="CH47" s="1"/>
      </tp>
      <tp t="s">
        <v>N/A</v>
        <stp/>
        <stp>DELTA</stp>
        <stp>.QQQ250620P513</stp>
        <tr r="CI54" s="1"/>
      </tp>
      <tp t="s">
        <v>N/A</v>
        <stp/>
        <stp>DELTA</stp>
        <stp>.QQQ250620C513</stp>
        <tr r="CH54" s="1"/>
      </tp>
      <tp t="s">
        <v>N/A</v>
        <stp/>
        <stp>DELTA</stp>
        <stp>.QQQ250620P512</stp>
        <tr r="CI55" s="1"/>
      </tp>
      <tp t="s">
        <v>N/A</v>
        <stp/>
        <stp>DELTA</stp>
        <stp>.QQQ250620C512</stp>
        <tr r="CH55" s="1"/>
      </tp>
      <tp t="s">
        <v>N/A</v>
        <stp/>
        <stp>DELTA</stp>
        <stp>.QQQ250620P511</stp>
        <tr r="CI56" s="1"/>
      </tp>
      <tp t="s">
        <v>N/A</v>
        <stp/>
        <stp>DELTA</stp>
        <stp>.QQQ250620C511</stp>
        <tr r="CH56" s="1"/>
      </tp>
      <tp>
        <v>-0.5</v>
        <stp/>
        <stp>DELTA</stp>
        <stp>.QQQ250620P510</stp>
        <tr r="CI57" s="1"/>
        <tr r="CI57" s="1"/>
      </tp>
      <tp>
        <v>0.51</v>
        <stp/>
        <stp>DELTA</stp>
        <stp>.QQQ250620C510</stp>
        <tr r="CH57" s="1"/>
        <tr r="CH57" s="1"/>
      </tp>
      <tp t="s">
        <v>N/A</v>
        <stp/>
        <stp>DELTA</stp>
        <stp>.QQQ250620P517</stp>
        <tr r="CI50" s="1"/>
      </tp>
      <tp t="s">
        <v>N/A</v>
        <stp/>
        <stp>DELTA</stp>
        <stp>.QQQ250620C517</stp>
        <tr r="CH50" s="1"/>
      </tp>
      <tp t="s">
        <v>N/A</v>
        <stp/>
        <stp>DELTA</stp>
        <stp>.QQQ250620P516</stp>
        <tr r="CI51" s="1"/>
      </tp>
      <tp t="s">
        <v>N/A</v>
        <stp/>
        <stp>DELTA</stp>
        <stp>.QQQ250620C516</stp>
        <tr r="CH51" s="1"/>
      </tp>
      <tp>
        <v>-0.56000000000000005</v>
        <stp/>
        <stp>DELTA</stp>
        <stp>.QQQ250620P515</stp>
        <tr r="CI52" s="1"/>
        <tr r="CI52" s="1"/>
      </tp>
      <tp>
        <v>0.45</v>
        <stp/>
        <stp>DELTA</stp>
        <stp>.QQQ250620C515</stp>
        <tr r="CH52" s="1"/>
        <tr r="CH52" s="1"/>
      </tp>
      <tp t="s">
        <v>N/A</v>
        <stp/>
        <stp>DELTA</stp>
        <stp>.QQQ250620P514</stp>
        <tr r="CI53" s="1"/>
      </tp>
      <tp t="s">
        <v>N/A</v>
        <stp/>
        <stp>DELTA</stp>
        <stp>.QQQ250620C514</stp>
        <tr r="CH53" s="1"/>
      </tp>
      <tp t="s">
        <v>N/A</v>
        <stp/>
        <stp>DELTA</stp>
        <stp>.QQQ250620P519</stp>
        <tr r="CI48" s="1"/>
      </tp>
      <tp t="s">
        <v>N/A</v>
        <stp/>
        <stp>DELTA</stp>
        <stp>.QQQ250620C519</stp>
        <tr r="CH48" s="1"/>
      </tp>
      <tp t="s">
        <v>N/A</v>
        <stp/>
        <stp>DELTA</stp>
        <stp>.QQQ250620P518</stp>
        <tr r="CI49" s="1"/>
      </tp>
      <tp t="s">
        <v>N/A</v>
        <stp/>
        <stp>DELTA</stp>
        <stp>.QQQ250620C518</stp>
        <tr r="CH49" s="1"/>
      </tp>
      <tp t="s">
        <v>N/A</v>
        <stp/>
        <stp>DELTA</stp>
        <stp>.QQQ250620P503</stp>
        <tr r="CI64" s="1"/>
      </tp>
      <tp t="s">
        <v>N/A</v>
        <stp/>
        <stp>DELTA</stp>
        <stp>.QQQ250620C503</stp>
        <tr r="CH64" s="1"/>
      </tp>
      <tp t="s">
        <v>N/A</v>
        <stp/>
        <stp>DELTA</stp>
        <stp>.QQQ250620P502</stp>
        <tr r="CI65" s="1"/>
      </tp>
      <tp t="s">
        <v>N/A</v>
        <stp/>
        <stp>DELTA</stp>
        <stp>.QQQ250620C502</stp>
        <tr r="CH65" s="1"/>
      </tp>
      <tp t="s">
        <v>N/A</v>
        <stp/>
        <stp>DELTA</stp>
        <stp>.QQQ250620P501</stp>
        <tr r="CI66" s="1"/>
      </tp>
      <tp t="s">
        <v>N/A</v>
        <stp/>
        <stp>DELTA</stp>
        <stp>.QQQ250620C501</stp>
        <tr r="CH66" s="1"/>
      </tp>
      <tp>
        <v>-0.38</v>
        <stp/>
        <stp>DELTA</stp>
        <stp>.QQQ250620P500</stp>
        <tr r="CI67" s="1"/>
        <tr r="CI67" s="1"/>
      </tp>
      <tp>
        <v>0.62</v>
        <stp/>
        <stp>DELTA</stp>
        <stp>.QQQ250620C500</stp>
        <tr r="CH67" s="1"/>
        <tr r="CH67" s="1"/>
      </tp>
      <tp t="s">
        <v>N/A</v>
        <stp/>
        <stp>DELTA</stp>
        <stp>.QQQ250620P507</stp>
        <tr r="CI60" s="1"/>
      </tp>
      <tp t="s">
        <v>N/A</v>
        <stp/>
        <stp>DELTA</stp>
        <stp>.QQQ250620C507</stp>
        <tr r="CH60" s="1"/>
      </tp>
      <tp t="s">
        <v>N/A</v>
        <stp/>
        <stp>DELTA</stp>
        <stp>.QQQ250620P506</stp>
        <tr r="CI61" s="1"/>
      </tp>
      <tp t="s">
        <v>N/A</v>
        <stp/>
        <stp>DELTA</stp>
        <stp>.QQQ250620C506</stp>
        <tr r="CH61" s="1"/>
      </tp>
      <tp>
        <v>-0.43</v>
        <stp/>
        <stp>DELTA</stp>
        <stp>.QQQ250620P505</stp>
        <tr r="CI62" s="1"/>
        <tr r="CI62" s="1"/>
      </tp>
      <tp>
        <v>0.56999999999999995</v>
        <stp/>
        <stp>DELTA</stp>
        <stp>.QQQ250620C505</stp>
        <tr r="CH62" s="1"/>
        <tr r="CH62" s="1"/>
      </tp>
      <tp t="s">
        <v>N/A</v>
        <stp/>
        <stp>DELTA</stp>
        <stp>.QQQ250620P504</stp>
        <tr r="CI63" s="1"/>
      </tp>
      <tp t="s">
        <v>N/A</v>
        <stp/>
        <stp>DELTA</stp>
        <stp>.QQQ250620C504</stp>
        <tr r="CH63" s="1"/>
      </tp>
      <tp t="s">
        <v>N/A</v>
        <stp/>
        <stp>DELTA</stp>
        <stp>.QQQ250620P509</stp>
        <tr r="CI58" s="1"/>
      </tp>
      <tp t="s">
        <v>N/A</v>
        <stp/>
        <stp>DELTA</stp>
        <stp>.QQQ250620C509</stp>
        <tr r="CH58" s="1"/>
      </tp>
      <tp t="s">
        <v>N/A</v>
        <stp/>
        <stp>DELTA</stp>
        <stp>.QQQ250620P508</stp>
        <tr r="CI59" s="1"/>
      </tp>
      <tp t="s">
        <v>N/A</v>
        <stp/>
        <stp>DELTA</stp>
        <stp>.QQQ250620C508</stp>
        <tr r="CH59" s="1"/>
      </tp>
      <tp t="s">
        <v>N/A</v>
        <stp/>
        <stp>VOLUME</stp>
        <stp>.NDXC20800</stp>
        <tr r="K160" s="2"/>
      </tp>
      <tp t="s">
        <v>N/A</v>
        <stp/>
        <stp>VOLUME</stp>
        <stp>.NDXC20825</stp>
        <tr r="K159" s="2"/>
      </tp>
      <tp t="s">
        <v>N/A</v>
        <stp/>
        <stp>VOLUME</stp>
        <stp>.NDXC20850</stp>
        <tr r="K158" s="2"/>
      </tp>
      <tp t="s">
        <v>N/A</v>
        <stp/>
        <stp>VOLUME</stp>
        <stp>.NDXC20875</stp>
        <tr r="K157" s="2"/>
      </tp>
      <tp t="s">
        <v>N/A</v>
        <stp/>
        <stp>VOLUME</stp>
        <stp>.SPXWC5880</stp>
        <tr r="G100" s="2"/>
        <tr r="F100" s="2"/>
        <tr r="C100" s="2"/>
        <tr r="B100" s="2"/>
        <tr r="D100" s="2"/>
        <tr r="E100" s="2"/>
      </tp>
      <tp t="s">
        <v>N/A</v>
        <stp/>
        <stp>VOLUME</stp>
        <stp>.SPXWP5880</stp>
        <tr r="G100" s="2"/>
        <tr r="F100" s="2"/>
        <tr r="C100" s="2"/>
        <tr r="B100" s="2"/>
        <tr r="D100" s="2"/>
        <tr r="E100" s="2"/>
      </tp>
      <tp t="s">
        <v>N/A</v>
        <stp/>
        <stp>VOLUME</stp>
        <stp>.SPXWC5890</stp>
        <tr r="C99" s="2"/>
        <tr r="D99" s="2"/>
        <tr r="B99" s="2"/>
        <tr r="G99" s="2"/>
        <tr r="E99" s="2"/>
        <tr r="F99" s="2"/>
      </tp>
      <tp t="s">
        <v>N/A</v>
        <stp/>
        <stp>VOLUME</stp>
        <stp>.SPXWP5890</stp>
        <tr r="C99" s="2"/>
        <tr r="D99" s="2"/>
        <tr r="B99" s="2"/>
        <tr r="G99" s="2"/>
        <tr r="E99" s="2"/>
        <tr r="F99" s="2"/>
      </tp>
      <tp t="s">
        <v>N/A</v>
        <stp/>
        <stp>VOLUME</stp>
        <stp>.SPXWC5840</stp>
        <tr r="C104" s="2"/>
        <tr r="G104" s="2"/>
        <tr r="D104" s="2"/>
        <tr r="E104" s="2"/>
        <tr r="B104" s="2"/>
        <tr r="F104" s="2"/>
      </tp>
      <tp t="s">
        <v>N/A</v>
        <stp/>
        <stp>VOLUME</stp>
        <stp>.SPXWP5840</stp>
        <tr r="C104" s="2"/>
        <tr r="G104" s="2"/>
        <tr r="D104" s="2"/>
        <tr r="E104" s="2"/>
        <tr r="B104" s="2"/>
        <tr r="F104" s="2"/>
      </tp>
      <tp t="s">
        <v>N/A</v>
        <stp/>
        <stp>VOLUME</stp>
        <stp>.SPXWC5850</stp>
        <tr r="E103" s="2"/>
        <tr r="D103" s="2"/>
        <tr r="G103" s="2"/>
        <tr r="C103" s="2"/>
        <tr r="F103" s="2"/>
        <tr r="B103" s="2"/>
      </tp>
      <tp t="s">
        <v>N/A</v>
        <stp/>
        <stp>VOLUME</stp>
        <stp>.SPXWP5850</stp>
        <tr r="E103" s="2"/>
        <tr r="D103" s="2"/>
        <tr r="G103" s="2"/>
        <tr r="C103" s="2"/>
        <tr r="F103" s="2"/>
        <tr r="B103" s="2"/>
      </tp>
      <tp t="s">
        <v>N/A</v>
        <stp/>
        <stp>VOLUME</stp>
        <stp>.NDXP20825</stp>
        <tr r="K159" s="2"/>
      </tp>
      <tp t="s">
        <v>N/A</v>
        <stp/>
        <stp>VOLUME</stp>
        <stp>.SPXWC5860</stp>
        <tr r="D102" s="2"/>
        <tr r="E102" s="2"/>
        <tr r="G102" s="2"/>
        <tr r="C102" s="2"/>
        <tr r="B102" s="2"/>
        <tr r="F102" s="2"/>
      </tp>
      <tp t="s">
        <v>N/A</v>
        <stp/>
        <stp>VOLUME</stp>
        <stp>.SPXWP5860</stp>
        <tr r="D102" s="2"/>
        <tr r="E102" s="2"/>
        <tr r="G102" s="2"/>
        <tr r="C102" s="2"/>
        <tr r="B102" s="2"/>
        <tr r="F102" s="2"/>
      </tp>
      <tp t="s">
        <v>N/A</v>
        <stp/>
        <stp>VOLUME</stp>
        <stp>.SPXWC5870</stp>
        <tr r="E101" s="2"/>
        <tr r="F101" s="2"/>
        <tr r="G101" s="2"/>
        <tr r="D101" s="2"/>
        <tr r="C101" s="2"/>
        <tr r="B101" s="2"/>
      </tp>
      <tp t="s">
        <v>N/A</v>
        <stp/>
        <stp>VOLUME</stp>
        <stp>.SPXWP5870</stp>
        <tr r="E101" s="2"/>
        <tr r="F101" s="2"/>
        <tr r="G101" s="2"/>
        <tr r="D101" s="2"/>
        <tr r="C101" s="2"/>
        <tr r="B101" s="2"/>
      </tp>
      <tp t="s">
        <v>N/A</v>
        <stp/>
        <stp>VOLUME</stp>
        <stp>.NDXP20800</stp>
        <tr r="K160" s="2"/>
      </tp>
      <tp t="s">
        <v>N/A</v>
        <stp/>
        <stp>VOLUME</stp>
        <stp>.SPXWC5800</stp>
        <tr r="C108" s="2"/>
        <tr r="G108" s="2"/>
        <tr r="E108" s="2"/>
        <tr r="D108" s="2"/>
        <tr r="B108" s="2"/>
        <tr r="F108" s="2"/>
      </tp>
      <tp t="s">
        <v>N/A</v>
        <stp/>
        <stp>VOLUME</stp>
        <stp>.SPXWP5800</stp>
        <tr r="C108" s="2"/>
        <tr r="G108" s="2"/>
        <tr r="E108" s="2"/>
        <tr r="D108" s="2"/>
        <tr r="B108" s="2"/>
        <tr r="F108" s="2"/>
      </tp>
      <tp t="s">
        <v>N/A</v>
        <stp/>
        <stp>VOLUME</stp>
        <stp>.NDXP20875</stp>
        <tr r="K157" s="2"/>
      </tp>
      <tp t="s">
        <v>N/A</v>
        <stp/>
        <stp>VOLUME</stp>
        <stp>.SPXWC5810</stp>
        <tr r="E107" s="2"/>
        <tr r="C107" s="2"/>
        <tr r="D107" s="2"/>
        <tr r="G107" s="2"/>
        <tr r="F107" s="2"/>
        <tr r="B107" s="2"/>
      </tp>
      <tp t="s">
        <v>N/A</v>
        <stp/>
        <stp>VOLUME</stp>
        <stp>.SPXWP5810</stp>
        <tr r="E107" s="2"/>
        <tr r="C107" s="2"/>
        <tr r="D107" s="2"/>
        <tr r="G107" s="2"/>
        <tr r="F107" s="2"/>
        <tr r="B107" s="2"/>
      </tp>
      <tp t="s">
        <v>N/A</v>
        <stp/>
        <stp>VOLUME</stp>
        <stp>.SPXWC5820</stp>
        <tr r="C106" s="2"/>
        <tr r="D106" s="2"/>
        <tr r="F106" s="2"/>
        <tr r="B106" s="2"/>
        <tr r="E106" s="2"/>
        <tr r="G106" s="2"/>
      </tp>
      <tp t="s">
        <v>N/A</v>
        <stp/>
        <stp>VOLUME</stp>
        <stp>.SPXWP5820</stp>
        <tr r="C106" s="2"/>
        <tr r="D106" s="2"/>
        <tr r="F106" s="2"/>
        <tr r="B106" s="2"/>
        <tr r="E106" s="2"/>
        <tr r="G106" s="2"/>
      </tp>
      <tp t="s">
        <v>N/A</v>
        <stp/>
        <stp>VOLUME</stp>
        <stp>.NDXP20850</stp>
        <tr r="K158" s="2"/>
      </tp>
      <tp t="s">
        <v>N/A</v>
        <stp/>
        <stp>VOLUME</stp>
        <stp>.SPXWC5830</stp>
        <tr r="G105" s="2"/>
        <tr r="C105" s="2"/>
        <tr r="E105" s="2"/>
        <tr r="F105" s="2"/>
        <tr r="D105" s="2"/>
        <tr r="B105" s="2"/>
      </tp>
      <tp t="s">
        <v>N/A</v>
        <stp/>
        <stp>VOLUME</stp>
        <stp>.SPXWP5830</stp>
        <tr r="G105" s="2"/>
        <tr r="C105" s="2"/>
        <tr r="E105" s="2"/>
        <tr r="F105" s="2"/>
        <tr r="D105" s="2"/>
        <tr r="B105" s="2"/>
      </tp>
      <tp t="s">
        <v>N/A</v>
        <stp/>
        <stp>DELTA</stp>
        <stp>.QQQ250620P493</stp>
        <tr r="CI74" s="1"/>
      </tp>
      <tp t="s">
        <v>N/A</v>
        <stp/>
        <stp>DELTA</stp>
        <stp>.QQQ250620C493</stp>
        <tr r="CH74" s="1"/>
      </tp>
      <tp t="s">
        <v>N/A</v>
        <stp/>
        <stp>DELTA</stp>
        <stp>.QQQ250620P492</stp>
        <tr r="CI75" s="1"/>
      </tp>
      <tp t="s">
        <v>N/A</v>
        <stp/>
        <stp>DELTA</stp>
        <stp>.QQQ250620C492</stp>
        <tr r="CH75" s="1"/>
      </tp>
      <tp t="s">
        <v>N/A</v>
        <stp/>
        <stp>DELTA</stp>
        <stp>.QQQ250620P491</stp>
        <tr r="CI76" s="1"/>
      </tp>
      <tp t="s">
        <v>N/A</v>
        <stp/>
        <stp>DELTA</stp>
        <stp>.QQQ250620C491</stp>
        <tr r="CH76" s="1"/>
      </tp>
      <tp>
        <v>-0.28000000000000003</v>
        <stp/>
        <stp>DELTA</stp>
        <stp>.QQQ250620P490</stp>
        <tr r="CI77" s="1"/>
        <tr r="CI77" s="1"/>
      </tp>
      <tp>
        <v>0.72</v>
        <stp/>
        <stp>DELTA</stp>
        <stp>.QQQ250620C490</stp>
        <tr r="CH77" s="1"/>
        <tr r="CH77" s="1"/>
      </tp>
      <tp t="s">
        <v>N/A</v>
        <stp/>
        <stp>DELTA</stp>
        <stp>.QQQ250620P497</stp>
        <tr r="CI70" s="1"/>
      </tp>
      <tp t="s">
        <v>N/A</v>
        <stp/>
        <stp>DELTA</stp>
        <stp>.QQQ250620C497</stp>
        <tr r="CH70" s="1"/>
      </tp>
      <tp t="s">
        <v>N/A</v>
        <stp/>
        <stp>DELTA</stp>
        <stp>.QQQ250620P496</stp>
        <tr r="CI71" s="1"/>
      </tp>
      <tp t="s">
        <v>N/A</v>
        <stp/>
        <stp>DELTA</stp>
        <stp>.QQQ250620C496</stp>
        <tr r="CH71" s="1"/>
      </tp>
      <tp>
        <v>-0.33</v>
        <stp/>
        <stp>DELTA</stp>
        <stp>.QQQ250620P495</stp>
        <tr r="CI72" s="1"/>
        <tr r="CI72" s="1"/>
      </tp>
      <tp>
        <v>0.67</v>
        <stp/>
        <stp>DELTA</stp>
        <stp>.QQQ250620C495</stp>
        <tr r="CH72" s="1"/>
        <tr r="CH72" s="1"/>
      </tp>
      <tp t="s">
        <v>N/A</v>
        <stp/>
        <stp>DELTA</stp>
        <stp>.QQQ250620P494</stp>
        <tr r="CI73" s="1"/>
      </tp>
      <tp t="s">
        <v>N/A</v>
        <stp/>
        <stp>DELTA</stp>
        <stp>.QQQ250620C494</stp>
        <tr r="CH73" s="1"/>
      </tp>
      <tp t="s">
        <v>N/A</v>
        <stp/>
        <stp>DELTA</stp>
        <stp>.QQQ250620P499</stp>
        <tr r="CI68" s="1"/>
      </tp>
      <tp t="s">
        <v>N/A</v>
        <stp/>
        <stp>DELTA</stp>
        <stp>.QQQ250620C499</stp>
        <tr r="CH68" s="1"/>
      </tp>
      <tp t="s">
        <v>N/A</v>
        <stp/>
        <stp>DELTA</stp>
        <stp>.QQQ250620P498</stp>
        <tr r="CI69" s="1"/>
      </tp>
      <tp t="s">
        <v>N/A</v>
        <stp/>
        <stp>DELTA</stp>
        <stp>.QQQ250620C498</stp>
        <tr r="CH69" s="1"/>
      </tp>
      <tp t="s">
        <v>N/A</v>
        <stp/>
        <stp>DELTA</stp>
        <stp>.QQQ250620P489</stp>
        <tr r="CI78" s="1"/>
      </tp>
      <tp t="s">
        <v>N/A</v>
        <stp/>
        <stp>DELTA</stp>
        <stp>.QQQ250620C489</stp>
        <tr r="CH78" s="1"/>
      </tp>
      <tp t="s">
        <v>N/A</v>
        <stp/>
        <stp>DELTA</stp>
        <stp>.QQQ250620P488</stp>
        <tr r="CI79" s="1"/>
      </tp>
      <tp t="s">
        <v>N/A</v>
        <stp/>
        <stp>DELTA</stp>
        <stp>.QQQ250620C488</stp>
        <tr r="CH79" s="1"/>
      </tp>
      <tp t="s">
        <v>N/A</v>
        <stp/>
        <stp>ASK</stp>
        <stp>.NDXP250512C21175</stp>
        <tr r="DC144" s="1"/>
      </tp>
      <tp>
        <v>728</v>
        <stp/>
        <stp>ASK</stp>
        <stp>.NDXP250512C20175</stp>
        <tr r="DC184" s="1"/>
        <tr r="DC184" s="1"/>
      </tp>
      <tp>
        <v>0.05</v>
        <stp/>
        <stp>ASK</stp>
        <stp>.NDXP250512C21150</stp>
        <tr r="DC145" s="1"/>
        <tr r="DC145" s="1"/>
      </tp>
      <tp>
        <v>754</v>
        <stp/>
        <stp>ASK</stp>
        <stp>.NDXP250512C20150</stp>
        <tr r="DC185" s="1"/>
        <tr r="DC185" s="1"/>
      </tp>
      <tp t="s">
        <v>N/A</v>
        <stp/>
        <stp>ASK</stp>
        <stp>.NDXP250512C21125</stp>
        <tr r="DC146" s="1"/>
      </tp>
      <tp>
        <v>778</v>
        <stp/>
        <stp>ASK</stp>
        <stp>.NDXP250512C20125</stp>
        <tr r="DC186" s="1"/>
        <tr r="DC186" s="1"/>
      </tp>
      <tp>
        <v>19.8</v>
        <stp/>
        <stp>ASK</stp>
        <stp>.NDXP250512C21100</stp>
        <tr r="DC147" s="1"/>
        <tr r="DC147" s="1"/>
      </tp>
      <tp>
        <v>804</v>
        <stp/>
        <stp>ASK</stp>
        <stp>.NDXP250512C20100</stp>
        <tr r="DC187" s="1"/>
        <tr r="DC187" s="1"/>
      </tp>
      <tp>
        <v>312.5</v>
        <stp/>
        <stp>ASK</stp>
        <stp>.NDXP250512P21150</stp>
        <tr r="DD145" s="1"/>
        <tr r="DD145" s="1"/>
      </tp>
      <tp>
        <v>20</v>
        <stp/>
        <stp>ASK</stp>
        <stp>.NDXP250512P20150</stp>
        <tr r="DD185" s="1"/>
        <tr r="DD185" s="1"/>
      </tp>
      <tp t="s">
        <v>N/A</v>
        <stp/>
        <stp>ASK</stp>
        <stp>.NDXP250512P21175</stp>
        <tr r="DD144" s="1"/>
      </tp>
      <tp>
        <v>20</v>
        <stp/>
        <stp>ASK</stp>
        <stp>.NDXP250512P20175</stp>
        <tr r="DD184" s="1"/>
        <tr r="DD184" s="1"/>
      </tp>
      <tp>
        <v>262.7</v>
        <stp/>
        <stp>ASK</stp>
        <stp>.NDXP250512P21100</stp>
        <tr r="DD147" s="1"/>
        <tr r="DD147" s="1"/>
      </tp>
      <tp>
        <v>20</v>
        <stp/>
        <stp>ASK</stp>
        <stp>.NDXP250512P20100</stp>
        <tr r="DD187" s="1"/>
        <tr r="DD187" s="1"/>
      </tp>
      <tp t="s">
        <v>N/A</v>
        <stp/>
        <stp>ASK</stp>
        <stp>.NDXP250512P21125</stp>
        <tr r="DD146" s="1"/>
      </tp>
      <tp>
        <v>20</v>
        <stp/>
        <stp>ASK</stp>
        <stp>.NDXP250512P20125</stp>
        <tr r="DD186" s="1"/>
        <tr r="DD186" s="1"/>
      </tp>
      <tp>
        <v>230233</v>
        <stp/>
        <stp>OPEN_INT</stp>
        <stp>.SPX250620C6000</stp>
        <tr r="AW87" s="1"/>
        <tr r="AW87" s="1"/>
      </tp>
      <tp>
        <v>218074</v>
        <stp/>
        <stp>OPEN_INT</stp>
        <stp>.SPX250620P6000</stp>
        <tr r="AX87" s="1"/>
        <tr r="AX87" s="1"/>
      </tp>
      <tp>
        <v>358</v>
        <stp/>
        <stp>OPEN_INT</stp>
        <stp>.SPX250620C6010</stp>
        <tr r="AW86" s="1"/>
        <tr r="AW86" s="1"/>
      </tp>
      <tp>
        <v>199</v>
        <stp/>
        <stp>OPEN_INT</stp>
        <stp>.SPX250620P6010</stp>
        <tr r="AX86" s="1"/>
        <tr r="AX86" s="1"/>
      </tp>
      <tp>
        <v>375</v>
        <stp/>
        <stp>OPEN_INT</stp>
        <stp>.SPX250620C6020</stp>
        <tr r="AW85" s="1"/>
        <tr r="AW85" s="1"/>
      </tp>
      <tp>
        <v>422</v>
        <stp/>
        <stp>OPEN_INT</stp>
        <stp>.SPX250620P6020</stp>
        <tr r="AX85" s="1"/>
        <tr r="AX85" s="1"/>
      </tp>
      <tp t="s">
        <v>N/A</v>
        <stp/>
        <stp>ASK</stp>
        <stp>.NDXP250512C21075</stp>
        <tr r="DC148" s="1"/>
      </tp>
      <tp>
        <v>828</v>
        <stp/>
        <stp>ASK</stp>
        <stp>.NDXP250512C20075</stp>
        <tr r="DC188" s="1"/>
        <tr r="DC188" s="1"/>
      </tp>
      <tp>
        <v>19.8</v>
        <stp/>
        <stp>ASK</stp>
        <stp>.NDXP250512C21050</stp>
        <tr r="DC149" s="1"/>
        <tr r="DC149" s="1"/>
      </tp>
      <tp>
        <v>854</v>
        <stp/>
        <stp>ASK</stp>
        <stp>.NDXP250512C20050</stp>
        <tr r="DC189" s="1"/>
        <tr r="DC189" s="1"/>
      </tp>
      <tp t="s">
        <v>N/A</v>
        <stp/>
        <stp>ASK</stp>
        <stp>.NDXP250512C21025</stp>
        <tr r="DC150" s="1"/>
      </tp>
      <tp>
        <v>0.05</v>
        <stp/>
        <stp>ASK</stp>
        <stp>.NDXP250512C21000</stp>
        <tr r="DC151" s="1"/>
        <tr r="DC151" s="1"/>
      </tp>
      <tp>
        <v>195.9</v>
        <stp/>
        <stp>ASK</stp>
        <stp>.NDXP250512P21050</stp>
        <tr r="DD149" s="1"/>
        <tr r="DD149" s="1"/>
      </tp>
      <tp>
        <v>20</v>
        <stp/>
        <stp>ASK</stp>
        <stp>.NDXP250512P20050</stp>
        <tr r="DD189" s="1"/>
        <tr r="DD189" s="1"/>
      </tp>
      <tp t="s">
        <v>N/A</v>
        <stp/>
        <stp>ASK</stp>
        <stp>.NDXP250512P21075</stp>
        <tr r="DD148" s="1"/>
      </tp>
      <tp>
        <v>20</v>
        <stp/>
        <stp>ASK</stp>
        <stp>.NDXP250512P20075</stp>
        <tr r="DD188" s="1"/>
        <tr r="DD188" s="1"/>
      </tp>
      <tp>
        <v>145.4</v>
        <stp/>
        <stp>ASK</stp>
        <stp>.NDXP250512P21000</stp>
        <tr r="DD151" s="1"/>
        <tr r="DD151" s="1"/>
      </tp>
      <tp t="s">
        <v>N/A</v>
        <stp/>
        <stp>ASK</stp>
        <stp>.NDXP250512P21025</stp>
        <tr r="DD150" s="1"/>
      </tp>
      <tp t="s">
        <v>17.82%</v>
        <stp/>
        <stp>IMPL_VOL</stp>
        <stp>.SPX250516P6020</stp>
        <tr r="EO85" s="1"/>
      </tp>
      <tp t="s">
        <v>17.21%</v>
        <stp/>
        <stp>IMPL_VOL</stp>
        <stp>.SPX250516C6020</stp>
        <tr r="EN85" s="1"/>
      </tp>
      <tp t="s">
        <v>17.08%</v>
        <stp/>
        <stp>IMPL_VOL</stp>
        <stp>.SPX250516P6000</stp>
        <tr r="EO87" s="1"/>
      </tp>
      <tp t="s">
        <v>16.87%</v>
        <stp/>
        <stp>IMPL_VOL</stp>
        <stp>.SPX250516C6000</stp>
        <tr r="EN87" s="1"/>
      </tp>
      <tp t="s">
        <v>18.45%</v>
        <stp/>
        <stp>IMPL_VOL</stp>
        <stp>.SPX250516P6010</stp>
        <tr r="EO86" s="1"/>
      </tp>
      <tp t="s">
        <v>17.02%</v>
        <stp/>
        <stp>IMPL_VOL</stp>
        <stp>.SPX250516C6010</stp>
        <tr r="EN86" s="1"/>
      </tp>
      <tp>
        <v>528</v>
        <stp/>
        <stp>ASK</stp>
        <stp>.NDXP250512C20375</stp>
        <tr r="DC176" s="1"/>
        <tr r="DC176" s="1"/>
      </tp>
      <tp t="s">
        <v>N/A</v>
        <stp/>
        <stp>ASK</stp>
        <stp>.NDXP250512C21350</stp>
        <tr r="DC137" s="1"/>
      </tp>
      <tp>
        <v>554</v>
        <stp/>
        <stp>ASK</stp>
        <stp>.NDXP250512C20350</stp>
        <tr r="DC177" s="1"/>
        <tr r="DC177" s="1"/>
      </tp>
      <tp t="s">
        <v>N/A</v>
        <stp/>
        <stp>ASK</stp>
        <stp>.NDXP250512C21325</stp>
        <tr r="DC138" s="1"/>
      </tp>
      <tp>
        <v>578</v>
        <stp/>
        <stp>ASK</stp>
        <stp>.NDXP250512C20325</stp>
        <tr r="DC178" s="1"/>
        <tr r="DC178" s="1"/>
      </tp>
      <tp>
        <v>19.8</v>
        <stp/>
        <stp>ASK</stp>
        <stp>.NDXP250512C21300</stp>
        <tr r="DC139" s="1"/>
        <tr r="DC139" s="1"/>
      </tp>
      <tp>
        <v>604</v>
        <stp/>
        <stp>ASK</stp>
        <stp>.NDXP250512C20300</stp>
        <tr r="DC179" s="1"/>
        <tr r="DC179" s="1"/>
      </tp>
      <tp t="s">
        <v>N/A</v>
        <stp/>
        <stp>ASK</stp>
        <stp>.NDXP250512P21350</stp>
        <tr r="DD137" s="1"/>
      </tp>
      <tp>
        <v>20</v>
        <stp/>
        <stp>ASK</stp>
        <stp>.NDXP250512P20350</stp>
        <tr r="DD177" s="1"/>
        <tr r="DD177" s="1"/>
      </tp>
      <tp>
        <v>20</v>
        <stp/>
        <stp>ASK</stp>
        <stp>.NDXP250512P20375</stp>
        <tr r="DD176" s="1"/>
        <tr r="DD176" s="1"/>
      </tp>
      <tp>
        <v>461.9</v>
        <stp/>
        <stp>ASK</stp>
        <stp>.NDXP250512P21300</stp>
        <tr r="DD139" s="1"/>
        <tr r="DD139" s="1"/>
      </tp>
      <tp>
        <v>2</v>
        <stp/>
        <stp>ASK</stp>
        <stp>.NDXP250512P20300</stp>
        <tr r="DD179" s="1"/>
        <tr r="DD179" s="1"/>
      </tp>
      <tp t="s">
        <v>N/A</v>
        <stp/>
        <stp>ASK</stp>
        <stp>.NDXP250512P21325</stp>
        <tr r="DD138" s="1"/>
      </tp>
      <tp>
        <v>20</v>
        <stp/>
        <stp>ASK</stp>
        <stp>.NDXP250512P20325</stp>
        <tr r="DD178" s="1"/>
        <tr r="DD178" s="1"/>
      </tp>
      <tp t="s">
        <v>N/A</v>
        <stp/>
        <stp>VOLUME</stp>
        <stp>.NDXPP20975</stp>
        <tr r="B153" s="2"/>
        <tr r="C153" s="2"/>
        <tr r="D153" s="2"/>
        <tr r="G153" s="2"/>
        <tr r="F153" s="2"/>
        <tr r="E153" s="2"/>
      </tp>
      <tp t="s">
        <v>N/A</v>
        <stp/>
        <stp>VOLUME</stp>
        <stp>.NDXPP20950</stp>
        <tr r="D154" s="2"/>
        <tr r="E154" s="2"/>
        <tr r="F154" s="2"/>
        <tr r="G154" s="2"/>
        <tr r="B154" s="2"/>
        <tr r="C154" s="2"/>
      </tp>
      <tp t="s">
        <v>N/A</v>
        <stp/>
        <stp>VOLUME</stp>
        <stp>.NDXPP20925</stp>
        <tr r="C155" s="2"/>
        <tr r="F155" s="2"/>
        <tr r="E155" s="2"/>
        <tr r="B155" s="2"/>
        <tr r="G155" s="2"/>
        <tr r="D155" s="2"/>
      </tp>
      <tp t="s">
        <v>N/A</v>
        <stp/>
        <stp>VOLUME</stp>
        <stp>.NDXPP20900</stp>
        <tr r="G156" s="2"/>
        <tr r="E156" s="2"/>
        <tr r="F156" s="2"/>
        <tr r="D156" s="2"/>
        <tr r="C156" s="2"/>
        <tr r="B156" s="2"/>
      </tp>
      <tp>
        <v>0.05</v>
        <stp/>
        <stp>LAST</stp>
        <stp>.SPXW250512P5810</stp>
        <tr r="DB106" s="1"/>
        <tr r="DB106" s="1"/>
      </tp>
      <tp>
        <v>35.9</v>
        <stp/>
        <stp>LAST</stp>
        <stp>.SPXW250512C5810</stp>
        <tr r="DA106" s="1"/>
        <tr r="DA106" s="1"/>
      </tp>
      <tp>
        <v>0.05</v>
        <stp/>
        <stp>LAST</stp>
        <stp>.SPXW250512P5800</stp>
        <tr r="DB107" s="1"/>
        <tr r="DB107" s="1"/>
      </tp>
      <tp>
        <v>44.8</v>
        <stp/>
        <stp>LAST</stp>
        <stp>.SPXW250512C5800</stp>
        <tr r="DA107" s="1"/>
        <tr r="DA107" s="1"/>
      </tp>
      <tp>
        <v>0.06</v>
        <stp/>
        <stp>LAST</stp>
        <stp>.SPXW250512P5830</stp>
        <tr r="DB104" s="1"/>
        <tr r="DB104" s="1"/>
      </tp>
      <tp>
        <v>15.5</v>
        <stp/>
        <stp>LAST</stp>
        <stp>.SPXW250512C5830</stp>
        <tr r="DA104" s="1"/>
        <tr r="DA104" s="1"/>
      </tp>
      <tp>
        <v>0.05</v>
        <stp/>
        <stp>LAST</stp>
        <stp>.SPXW250512P5820</stp>
        <tr r="DB105" s="1"/>
        <tr r="DB105" s="1"/>
      </tp>
      <tp>
        <v>24.6</v>
        <stp/>
        <stp>LAST</stp>
        <stp>.SPXW250512C5820</stp>
        <tr r="DA105" s="1"/>
        <tr r="DA105" s="1"/>
      </tp>
      <tp>
        <v>5.3</v>
        <stp/>
        <stp>LAST</stp>
        <stp>.SPXW250512P5850</stp>
        <tr r="DB102" s="1"/>
        <tr r="DB102" s="1"/>
      </tp>
      <tp>
        <v>0.05</v>
        <stp/>
        <stp>LAST</stp>
        <stp>.SPXW250512C5850</stp>
        <tr r="DA102" s="1"/>
        <tr r="DA102" s="1"/>
      </tp>
      <tp>
        <v>0.05</v>
        <stp/>
        <stp>LAST</stp>
        <stp>.SPXW250512P5840</stp>
        <tr r="DB103" s="1"/>
        <tr r="DB103" s="1"/>
      </tp>
      <tp>
        <v>4.5999999999999996</v>
        <stp/>
        <stp>LAST</stp>
        <stp>.SPXW250512C5840</stp>
        <tr r="DA103" s="1"/>
        <tr r="DA103" s="1"/>
      </tp>
      <tp>
        <v>25.1</v>
        <stp/>
        <stp>LAST</stp>
        <stp>.SPXW250512P5870</stp>
        <tr r="DB100" s="1"/>
        <tr r="DB100" s="1"/>
      </tp>
      <tp>
        <v>0.03</v>
        <stp/>
        <stp>LAST</stp>
        <stp>.SPXW250512C5870</stp>
        <tr r="DA100" s="1"/>
        <tr r="DA100" s="1"/>
      </tp>
      <tp>
        <v>15.1</v>
        <stp/>
        <stp>LAST</stp>
        <stp>.SPXW250512P5860</stp>
        <tr r="DB101" s="1"/>
        <tr r="DB101" s="1"/>
      </tp>
      <tp>
        <v>0.05</v>
        <stp/>
        <stp>LAST</stp>
        <stp>.SPXW250512C5860</stp>
        <tr r="DA101" s="1"/>
        <tr r="DA101" s="1"/>
      </tp>
      <tp>
        <v>61.5</v>
        <stp/>
        <stp>LAST</stp>
        <stp>.SPXW250512P5890</stp>
        <tr r="DB98" s="1"/>
        <tr r="DB98" s="1"/>
      </tp>
      <tp t="s">
        <v>N/A</v>
        <stp/>
        <stp>VOLUME</stp>
        <stp>.NDXPC20950</stp>
        <tr r="D154" s="2"/>
        <tr r="E154" s="2"/>
        <tr r="F154" s="2"/>
        <tr r="G154" s="2"/>
        <tr r="B154" s="2"/>
        <tr r="C154" s="2"/>
      </tp>
      <tp>
        <v>0.03</v>
        <stp/>
        <stp>LAST</stp>
        <stp>.SPXW250512C5890</stp>
        <tr r="DA98" s="1"/>
        <tr r="DA98" s="1"/>
      </tp>
      <tp>
        <v>43.2</v>
        <stp/>
        <stp>LAST</stp>
        <stp>.SPXW250512P5880</stp>
        <tr r="DB99" s="1"/>
        <tr r="DB99" s="1"/>
      </tp>
      <tp>
        <v>0.03</v>
        <stp/>
        <stp>LAST</stp>
        <stp>.SPXW250512C5880</stp>
        <tr r="DA99" s="1"/>
        <tr r="DA99" s="1"/>
      </tp>
      <tp t="s">
        <v>N/A</v>
        <stp/>
        <stp>VOLUME</stp>
        <stp>.NDXPC20975</stp>
        <tr r="B153" s="2"/>
        <tr r="C153" s="2"/>
        <tr r="D153" s="2"/>
        <tr r="G153" s="2"/>
        <tr r="F153" s="2"/>
        <tr r="E153" s="2"/>
      </tp>
      <tp t="s">
        <v>N/A</v>
        <stp/>
        <stp>VOLUME</stp>
        <stp>.NDXPC20900</stp>
        <tr r="G156" s="2"/>
        <tr r="E156" s="2"/>
        <tr r="F156" s="2"/>
        <tr r="D156" s="2"/>
        <tr r="C156" s="2"/>
        <tr r="B156" s="2"/>
      </tp>
      <tp t="s">
        <v>N/A</v>
        <stp/>
        <stp>VOLUME</stp>
        <stp>.NDXPC20925</stp>
        <tr r="C155" s="2"/>
        <tr r="F155" s="2"/>
        <tr r="E155" s="2"/>
        <tr r="B155" s="2"/>
        <tr r="G155" s="2"/>
        <tr r="D155" s="2"/>
      </tp>
      <tp t="s">
        <v>14.36%</v>
        <stp/>
        <stp>IMPL_VOL</stp>
        <stp>.SPX250620P6000</stp>
        <tr r="EQ87" s="1"/>
      </tp>
      <tp t="s">
        <v>13.37%</v>
        <stp/>
        <stp>IMPL_VOL</stp>
        <stp>.SPX250620C6000</stp>
        <tr r="EP87" s="1"/>
      </tp>
      <tp t="s">
        <v>14.32%</v>
        <stp/>
        <stp>IMPL_VOL</stp>
        <stp>.SPX250620P6010</stp>
        <tr r="EQ86" s="1"/>
      </tp>
      <tp t="s">
        <v>13.29%</v>
        <stp/>
        <stp>IMPL_VOL</stp>
        <stp>.SPX250620C6010</stp>
        <tr r="EP86" s="1"/>
      </tp>
      <tp t="s">
        <v>14.24%</v>
        <stp/>
        <stp>IMPL_VOL</stp>
        <stp>.SPX250620P6020</stp>
        <tr r="EQ85" s="1"/>
      </tp>
      <tp t="s">
        <v>13.22%</v>
        <stp/>
        <stp>IMPL_VOL</stp>
        <stp>.SPX250620C6020</stp>
        <tr r="EP85" s="1"/>
      </tp>
      <tp t="s">
        <v>N/A</v>
        <stp/>
        <stp>ASK</stp>
        <stp>.NDXP250512C21275</stp>
        <tr r="DC140" s="1"/>
      </tp>
      <tp>
        <v>628</v>
        <stp/>
        <stp>ASK</stp>
        <stp>.NDXP250512C20275</stp>
        <tr r="DC180" s="1"/>
        <tr r="DC180" s="1"/>
      </tp>
      <tp>
        <v>19.8</v>
        <stp/>
        <stp>ASK</stp>
        <stp>.NDXP250512C21250</stp>
        <tr r="DC141" s="1"/>
        <tr r="DC141" s="1"/>
      </tp>
      <tp>
        <v>654</v>
        <stp/>
        <stp>ASK</stp>
        <stp>.NDXP250512C20250</stp>
        <tr r="DC181" s="1"/>
        <tr r="DC181" s="1"/>
      </tp>
      <tp t="s">
        <v>N/A</v>
        <stp/>
        <stp>ASK</stp>
        <stp>.NDXP250512C21225</stp>
        <tr r="DC142" s="1"/>
      </tp>
      <tp>
        <v>678</v>
        <stp/>
        <stp>ASK</stp>
        <stp>.NDXP250512C20225</stp>
        <tr r="DC182" s="1"/>
        <tr r="DC182" s="1"/>
      </tp>
      <tp>
        <v>0.3</v>
        <stp/>
        <stp>ASK</stp>
        <stp>.NDXP250512C21200</stp>
        <tr r="DC143" s="1"/>
        <tr r="DC143" s="1"/>
      </tp>
      <tp>
        <v>704</v>
        <stp/>
        <stp>ASK</stp>
        <stp>.NDXP250512C20200</stp>
        <tr r="DC183" s="1"/>
        <tr r="DC183" s="1"/>
      </tp>
      <tp>
        <v>413.7</v>
        <stp/>
        <stp>ASK</stp>
        <stp>.NDXP250512P21250</stp>
        <tr r="DD141" s="1"/>
        <tr r="DD141" s="1"/>
      </tp>
      <tp>
        <v>20</v>
        <stp/>
        <stp>ASK</stp>
        <stp>.NDXP250512P20250</stp>
        <tr r="DD181" s="1"/>
        <tr r="DD181" s="1"/>
      </tp>
      <tp t="s">
        <v>N/A</v>
        <stp/>
        <stp>ASK</stp>
        <stp>.NDXP250512P21275</stp>
        <tr r="DD140" s="1"/>
      </tp>
      <tp>
        <v>20</v>
        <stp/>
        <stp>ASK</stp>
        <stp>.NDXP250512P20275</stp>
        <tr r="DD180" s="1"/>
        <tr r="DD180" s="1"/>
      </tp>
      <tp>
        <v>362.7</v>
        <stp/>
        <stp>ASK</stp>
        <stp>.NDXP250512P21200</stp>
        <tr r="DD143" s="1"/>
        <tr r="DD143" s="1"/>
      </tp>
      <tp>
        <v>0.25</v>
        <stp/>
        <stp>ASK</stp>
        <stp>.NDXP250512P20200</stp>
        <tr r="DD183" s="1"/>
        <tr r="DD183" s="1"/>
      </tp>
      <tp t="s">
        <v>N/A</v>
        <stp/>
        <stp>ASK</stp>
        <stp>.NDXP250512P21225</stp>
        <tr r="DD142" s="1"/>
      </tp>
      <tp>
        <v>20</v>
        <stp/>
        <stp>ASK</stp>
        <stp>.NDXP250512P20225</stp>
        <tr r="DD182" s="1"/>
        <tr r="DD182" s="1"/>
      </tp>
      <tp t="s">
        <v>N/A</v>
        <stp/>
        <stp>VOLUME</stp>
        <stp>.NDXPP20875</stp>
        <tr r="E157" s="2"/>
        <tr r="C157" s="2"/>
        <tr r="D157" s="2"/>
        <tr r="G157" s="2"/>
        <tr r="B157" s="2"/>
        <tr r="F157" s="2"/>
      </tp>
      <tp t="s">
        <v>N/A</v>
        <stp/>
        <stp>VOLUME</stp>
        <stp>.NDXPP20850</stp>
        <tr r="G158" s="2"/>
        <tr r="C158" s="2"/>
        <tr r="B158" s="2"/>
        <tr r="E158" s="2"/>
        <tr r="F158" s="2"/>
        <tr r="D158" s="2"/>
      </tp>
      <tp t="s">
        <v>N/A</v>
        <stp/>
        <stp>VOLUME</stp>
        <stp>.NDXPP20825</stp>
        <tr r="D159" s="2"/>
        <tr r="B159" s="2"/>
        <tr r="E159" s="2"/>
        <tr r="G159" s="2"/>
        <tr r="F159" s="2"/>
        <tr r="C159" s="2"/>
      </tp>
      <tp t="s">
        <v>N/A</v>
        <stp/>
        <stp>VOLUME</stp>
        <stp>.NDXPP20800</stp>
        <tr r="E160" s="2"/>
        <tr r="G160" s="2"/>
        <tr r="B160" s="2"/>
        <tr r="C160" s="2"/>
        <tr r="D160" s="2"/>
        <tr r="F160" s="2"/>
      </tp>
      <tp t="s">
        <v>N/A</v>
        <stp/>
        <stp>LAST</stp>
        <stp>.SPXW250512P5910</stp>
        <tr r="DB96" s="1"/>
      </tp>
      <tp t="s">
        <v>N/A</v>
        <stp/>
        <stp>LAST</stp>
        <stp>.SPXW250512C5910</stp>
        <tr r="DA96" s="1"/>
      </tp>
      <tp>
        <v>59.5</v>
        <stp/>
        <stp>LAST</stp>
        <stp>.SPXW250512P5900</stp>
        <tr r="DB97" s="1"/>
        <tr r="DB97" s="1"/>
      </tp>
      <tp>
        <v>0.03</v>
        <stp/>
        <stp>LAST</stp>
        <stp>.SPXW250512C5900</stp>
        <tr r="DA97" s="1"/>
        <tr r="DA97" s="1"/>
      </tp>
      <tp t="s">
        <v>N/A</v>
        <stp/>
        <stp>LAST</stp>
        <stp>.SPXW250512P5930</stp>
        <tr r="DB94" s="1"/>
      </tp>
      <tp t="s">
        <v>N/A</v>
        <stp/>
        <stp>LAST</stp>
        <stp>.SPXW250512C5930</stp>
        <tr r="DA94" s="1"/>
      </tp>
      <tp t="s">
        <v>N/A</v>
        <stp/>
        <stp>LAST</stp>
        <stp>.SPXW250512P5920</stp>
        <tr r="DB95" s="1"/>
      </tp>
      <tp t="s">
        <v>N/A</v>
        <stp/>
        <stp>LAST</stp>
        <stp>.SPXW250512C5920</stp>
        <tr r="DA95" s="1"/>
      </tp>
      <tp>
        <v>114</v>
        <stp/>
        <stp>LAST</stp>
        <stp>.SPXW250512P5950</stp>
        <tr r="DB92" s="1"/>
        <tr r="DB92" s="1"/>
      </tp>
      <tp>
        <v>0.02</v>
        <stp/>
        <stp>LAST</stp>
        <stp>.SPXW250512C5950</stp>
        <tr r="DA92" s="1"/>
        <tr r="DA92" s="1"/>
      </tp>
      <tp t="s">
        <v>N/A</v>
        <stp/>
        <stp>LAST</stp>
        <stp>.SPXW250512P5940</stp>
        <tr r="DB93" s="1"/>
      </tp>
      <tp t="s">
        <v>N/A</v>
        <stp/>
        <stp>LAST</stp>
        <stp>.SPXW250512C5940</stp>
        <tr r="DA93" s="1"/>
      </tp>
      <tp t="s">
        <v>N/A</v>
        <stp/>
        <stp>LAST</stp>
        <stp>.SPXW250512P5970</stp>
        <tr r="DB90" s="1"/>
      </tp>
      <tp t="s">
        <v>N/A</v>
        <stp/>
        <stp>LAST</stp>
        <stp>.SPXW250512C5970</stp>
        <tr r="DA90" s="1"/>
      </tp>
      <tp t="s">
        <v>N/A</v>
        <stp/>
        <stp>LAST</stp>
        <stp>.SPXW250512P5960</stp>
        <tr r="DB91" s="1"/>
      </tp>
      <tp t="s">
        <v>N/A</v>
        <stp/>
        <stp>LAST</stp>
        <stp>.SPXW250512C5960</stp>
        <tr r="DA91" s="1"/>
      </tp>
      <tp t="s">
        <v>N/A</v>
        <stp/>
        <stp>LAST</stp>
        <stp>.SPXW250512P5990</stp>
        <tr r="DB88" s="1"/>
      </tp>
      <tp t="s">
        <v>N/A</v>
        <stp/>
        <stp>VOLUME</stp>
        <stp>.NDXPC20850</stp>
        <tr r="G158" s="2"/>
        <tr r="C158" s="2"/>
        <tr r="B158" s="2"/>
        <tr r="E158" s="2"/>
        <tr r="F158" s="2"/>
        <tr r="D158" s="2"/>
      </tp>
      <tp t="s">
        <v>N/A</v>
        <stp/>
        <stp>LAST</stp>
        <stp>.SPXW250512C5990</stp>
        <tr r="DA88" s="1"/>
      </tp>
      <tp t="s">
        <v>N/A</v>
        <stp/>
        <stp>LAST</stp>
        <stp>.SPXW250512P5980</stp>
        <tr r="DB89" s="1"/>
      </tp>
      <tp t="s">
        <v>N/A</v>
        <stp/>
        <stp>LAST</stp>
        <stp>.SPXW250512C5980</stp>
        <tr r="DA89" s="1"/>
      </tp>
      <tp t="s">
        <v>N/A</v>
        <stp/>
        <stp>VOLUME</stp>
        <stp>.NDXPC20875</stp>
        <tr r="E157" s="2"/>
        <tr r="C157" s="2"/>
        <tr r="D157" s="2"/>
        <tr r="G157" s="2"/>
        <tr r="B157" s="2"/>
        <tr r="F157" s="2"/>
      </tp>
      <tp t="s">
        <v>N/A</v>
        <stp/>
        <stp>VOLUME</stp>
        <stp>.NDXPC20800</stp>
        <tr r="E160" s="2"/>
        <tr r="G160" s="2"/>
        <tr r="B160" s="2"/>
        <tr r="C160" s="2"/>
        <tr r="D160" s="2"/>
        <tr r="F160" s="2"/>
      </tp>
      <tp t="s">
        <v>N/A</v>
        <stp/>
        <stp>VOLUME</stp>
        <stp>.NDXPC20825</stp>
        <tr r="D159" s="2"/>
        <tr r="B159" s="2"/>
        <tr r="E159" s="2"/>
        <tr r="G159" s="2"/>
        <tr r="F159" s="2"/>
        <tr r="C159" s="2"/>
      </tp>
      <tp>
        <v>639</v>
        <stp/>
        <stp>OPEN_INT</stp>
        <stp>.SPX250516C6020</stp>
        <tr r="AU85" s="1"/>
        <tr r="AU85" s="1"/>
      </tp>
      <tp>
        <v>348</v>
        <stp/>
        <stp>OPEN_INT</stp>
        <stp>.SPX250516P6020</stp>
        <tr r="AV85" s="1"/>
        <tr r="AV85" s="1"/>
      </tp>
      <tp>
        <v>78973</v>
        <stp/>
        <stp>OPEN_INT</stp>
        <stp>.SPX250516C6000</stp>
        <tr r="AU87" s="1"/>
        <tr r="AU87" s="1"/>
      </tp>
      <tp>
        <v>64649</v>
        <stp/>
        <stp>OPEN_INT</stp>
        <stp>.SPX250516P6000</stp>
        <tr r="AV87" s="1"/>
        <tr r="AV87" s="1"/>
      </tp>
      <tp>
        <v>338</v>
        <stp/>
        <stp>OPEN_INT</stp>
        <stp>.SPX250516C6010</stp>
        <tr r="AU86" s="1"/>
        <tr r="AU86" s="1"/>
      </tp>
      <tp>
        <v>428</v>
        <stp/>
        <stp>OPEN_INT</stp>
        <stp>.SPX250516P6010</stp>
        <tr r="AV86" s="1"/>
        <tr r="AV86" s="1"/>
      </tp>
      <tp>
        <v>312.39999999999998</v>
        <stp/>
        <stp>ASK</stp>
        <stp>.NDXP250512C20575</stp>
        <tr r="DC168" s="1"/>
        <tr r="DC168" s="1"/>
      </tp>
      <tp>
        <v>337.4</v>
        <stp/>
        <stp>ASK</stp>
        <stp>.NDXP250512C20550</stp>
        <tr r="DC169" s="1"/>
        <tr r="DC169" s="1"/>
      </tp>
      <tp>
        <v>362.4</v>
        <stp/>
        <stp>ASK</stp>
        <stp>.NDXP250512C20525</stp>
        <tr r="DC170" s="1"/>
        <tr r="DC170" s="1"/>
      </tp>
      <tp>
        <v>387.4</v>
        <stp/>
        <stp>ASK</stp>
        <stp>.NDXP250512C20500</stp>
        <tr r="DC171" s="1"/>
        <tr r="DC171" s="1"/>
      </tp>
      <tp>
        <v>19.8</v>
        <stp/>
        <stp>ASK</stp>
        <stp>.NDXP250512P20550</stp>
        <tr r="DD169" s="1"/>
        <tr r="DD169" s="1"/>
      </tp>
      <tp>
        <v>19.8</v>
        <stp/>
        <stp>ASK</stp>
        <stp>.NDXP250512P20575</stp>
        <tr r="DD168" s="1"/>
        <tr r="DD168" s="1"/>
      </tp>
      <tp>
        <v>0.75</v>
        <stp/>
        <stp>ASK</stp>
        <stp>.NDXP250512P20500</stp>
        <tr r="DD171" s="1"/>
        <tr r="DD171" s="1"/>
      </tp>
      <tp>
        <v>19.8</v>
        <stp/>
        <stp>ASK</stp>
        <stp>.NDXP250512P20525</stp>
        <tr r="DD170" s="1"/>
        <tr r="DD170" s="1"/>
      </tp>
      <tp>
        <v>346</v>
        <stp/>
        <stp>OPEN_INT</stp>
        <stp>.SPX250516C5720</stp>
        <tr r="AU115" s="1"/>
        <tr r="AU115" s="1"/>
      </tp>
      <tp>
        <v>579</v>
        <stp/>
        <stp>OPEN_INT</stp>
        <stp>.SPX250516P5720</stp>
        <tr r="AV115" s="1"/>
        <tr r="AV115" s="1"/>
      </tp>
      <tp>
        <v>1064</v>
        <stp/>
        <stp>OPEN_INT</stp>
        <stp>.SPX250516C5730</stp>
        <tr r="AU114" s="1"/>
        <tr r="AU114" s="1"/>
      </tp>
      <tp>
        <v>316</v>
        <stp/>
        <stp>OPEN_INT</stp>
        <stp>.SPX250516P5730</stp>
        <tr r="AV114" s="1"/>
        <tr r="AV114" s="1"/>
      </tp>
      <tp>
        <v>15268</v>
        <stp/>
        <stp>OPEN_INT</stp>
        <stp>.SPX250516C5700</stp>
        <tr r="AU117" s="1"/>
        <tr r="AU117" s="1"/>
      </tp>
      <tp>
        <v>20949</v>
        <stp/>
        <stp>OPEN_INT</stp>
        <stp>.SPX250516P5700</stp>
        <tr r="AV117" s="1"/>
        <tr r="AV117" s="1"/>
      </tp>
      <tp>
        <v>2229</v>
        <stp/>
        <stp>OPEN_INT</stp>
        <stp>.SPX250516C5710</stp>
        <tr r="AU116" s="1"/>
        <tr r="AU116" s="1"/>
      </tp>
      <tp>
        <v>2241</v>
        <stp/>
        <stp>OPEN_INT</stp>
        <stp>.SPX250516P5710</stp>
        <tr r="AV116" s="1"/>
        <tr r="AV116" s="1"/>
      </tp>
      <tp>
        <v>1351</v>
        <stp/>
        <stp>OPEN_INT</stp>
        <stp>.SPX250516C5760</stp>
        <tr r="AU111" s="1"/>
        <tr r="AU111" s="1"/>
      </tp>
      <tp>
        <v>1624</v>
        <stp/>
        <stp>OPEN_INT</stp>
        <stp>.SPX250516P5760</stp>
        <tr r="AV111" s="1"/>
        <tr r="AV111" s="1"/>
      </tp>
      <tp>
        <v>428</v>
        <stp/>
        <stp>OPEN_INT</stp>
        <stp>.SPX250516C5770</stp>
        <tr r="AU110" s="1"/>
        <tr r="AU110" s="1"/>
      </tp>
      <tp>
        <v>580</v>
        <stp/>
        <stp>OPEN_INT</stp>
        <stp>.SPX250516P5770</stp>
        <tr r="AV110" s="1"/>
        <tr r="AV110" s="1"/>
      </tp>
      <tp>
        <v>1406</v>
        <stp/>
        <stp>OPEN_INT</stp>
        <stp>.SPX250516C5740</stp>
        <tr r="AU113" s="1"/>
        <tr r="AU113" s="1"/>
      </tp>
      <tp>
        <v>338</v>
        <stp/>
        <stp>OPEN_INT</stp>
        <stp>.SPX250516P5740</stp>
        <tr r="AV113" s="1"/>
        <tr r="AV113" s="1"/>
      </tp>
      <tp>
        <v>10818</v>
        <stp/>
        <stp>OPEN_INT</stp>
        <stp>.SPX250516C5750</stp>
        <tr r="AU112" s="1"/>
        <tr r="AU112" s="1"/>
      </tp>
      <tp>
        <v>8839</v>
        <stp/>
        <stp>OPEN_INT</stp>
        <stp>.SPX250516P5750</stp>
        <tr r="AV112" s="1"/>
        <tr r="AV112" s="1"/>
      </tp>
      <tp>
        <v>1314</v>
        <stp/>
        <stp>OPEN_INT</stp>
        <stp>.SPX250516C5780</stp>
        <tr r="AU109" s="1"/>
        <tr r="AU109" s="1"/>
      </tp>
      <tp>
        <v>1612</v>
        <stp/>
        <stp>OPEN_INT</stp>
        <stp>.SPX250516P5780</stp>
        <tr r="AV109" s="1"/>
        <tr r="AV109" s="1"/>
      </tp>
      <tp>
        <v>1922</v>
        <stp/>
        <stp>OPEN_INT</stp>
        <stp>.SPX250516C5790</stp>
        <tr r="AU108" s="1"/>
        <tr r="AU108" s="1"/>
      </tp>
      <tp>
        <v>1474</v>
        <stp/>
        <stp>OPEN_INT</stp>
        <stp>.SPX250516P5790</stp>
        <tr r="AV108" s="1"/>
        <tr r="AV108" s="1"/>
      </tp>
      <tp t="s">
        <v>19.31%</v>
        <stp/>
        <stp>IMPL_VOL</stp>
        <stp>.SPX250620P5600</stp>
        <tr r="EQ127" s="1"/>
      </tp>
      <tp t="s">
        <v>17.96%</v>
        <stp/>
        <stp>IMPL_VOL</stp>
        <stp>.SPX250620C5600</stp>
        <tr r="EP127" s="1"/>
      </tp>
      <tp t="s">
        <v>19.14%</v>
        <stp/>
        <stp>IMPL_VOL</stp>
        <stp>.SPX250620P5610</stp>
        <tr r="EQ126" s="1"/>
      </tp>
      <tp t="s">
        <v>25.01%</v>
        <stp/>
        <stp>IMPL_VOL</stp>
        <stp>.SPX250516P5570</stp>
        <tr r="EO130" s="1"/>
      </tp>
      <tp t="s">
        <v>17.80%</v>
        <stp/>
        <stp>IMPL_VOL</stp>
        <stp>.SPX250620C5610</stp>
        <tr r="EP126" s="1"/>
      </tp>
      <tp t="s">
        <v>25.56%</v>
        <stp/>
        <stp>IMPL_VOL</stp>
        <stp>.SPX250516C5570</stp>
        <tr r="EN130" s="1"/>
      </tp>
      <tp t="s">
        <v>19.00%</v>
        <stp/>
        <stp>IMPL_VOL</stp>
        <stp>.SPX250620P5620</stp>
        <tr r="EQ125" s="1"/>
      </tp>
      <tp t="s">
        <v>17.68%</v>
        <stp/>
        <stp>IMPL_VOL</stp>
        <stp>.SPX250620C5620</stp>
        <tr r="EP125" s="1"/>
      </tp>
      <tp t="s">
        <v>18.86%</v>
        <stp/>
        <stp>IMPL_VOL</stp>
        <stp>.SPX250620P5630</stp>
        <tr r="EQ124" s="1"/>
      </tp>
      <tp t="s">
        <v>17.57%</v>
        <stp/>
        <stp>IMPL_VOL</stp>
        <stp>.SPX250620C5630</stp>
        <tr r="EP124" s="1"/>
      </tp>
      <tp t="s">
        <v>18.71%</v>
        <stp/>
        <stp>IMPL_VOL</stp>
        <stp>.SPX250620P5640</stp>
        <tr r="EQ123" s="1"/>
      </tp>
      <tp t="s">
        <v>17.45%</v>
        <stp/>
        <stp>IMPL_VOL</stp>
        <stp>.SPX250620C5640</stp>
        <tr r="EP123" s="1"/>
      </tp>
      <tp t="s">
        <v>18.57%</v>
        <stp/>
        <stp>IMPL_VOL</stp>
        <stp>.SPX250620P5650</stp>
        <tr r="EQ122" s="1"/>
      </tp>
      <tp t="s">
        <v>17.36%</v>
        <stp/>
        <stp>IMPL_VOL</stp>
        <stp>.SPX250620C5650</stp>
        <tr r="EP122" s="1"/>
      </tp>
      <tp t="s">
        <v>18.43%</v>
        <stp/>
        <stp>IMPL_VOL</stp>
        <stp>.SPX250620P5660</stp>
        <tr r="EQ121" s="1"/>
      </tp>
      <tp t="s">
        <v>17.23%</v>
        <stp/>
        <stp>IMPL_VOL</stp>
        <stp>.SPX250620C5660</stp>
        <tr r="EP121" s="1"/>
      </tp>
      <tp t="s">
        <v>18.28%</v>
        <stp/>
        <stp>IMPL_VOL</stp>
        <stp>.SPX250620P5670</stp>
        <tr r="EQ120" s="1"/>
      </tp>
      <tp t="s">
        <v>17.09%</v>
        <stp/>
        <stp>IMPL_VOL</stp>
        <stp>.SPX250620C5670</stp>
        <tr r="EP120" s="1"/>
      </tp>
      <tp t="s">
        <v>18.14%</v>
        <stp/>
        <stp>IMPL_VOL</stp>
        <stp>.SPX250620P5680</stp>
        <tr r="EQ119" s="1"/>
      </tp>
      <tp t="s">
        <v>16.95%</v>
        <stp/>
        <stp>IMPL_VOL</stp>
        <stp>.SPX250620C5680</stp>
        <tr r="EP119" s="1"/>
      </tp>
      <tp t="s">
        <v>18.00%</v>
        <stp/>
        <stp>IMPL_VOL</stp>
        <stp>.SPX250620P5690</stp>
        <tr r="EQ118" s="1"/>
      </tp>
      <tp t="s">
        <v>16.84%</v>
        <stp/>
        <stp>IMPL_VOL</stp>
        <stp>.SPX250620C5690</stp>
        <tr r="EP118" s="1"/>
      </tp>
      <tp t="s">
        <v>24.63%</v>
        <stp/>
        <stp>IMPL_VOL</stp>
        <stp>.SPX250516P5580</stp>
        <tr r="EO129" s="1"/>
      </tp>
      <tp t="s">
        <v>--</v>
        <stp/>
        <stp>IMPL_VOL</stp>
        <stp>.SPX250516C5580</stp>
        <tr r="EN129" s="1"/>
      </tp>
      <tp t="s">
        <v>24.26%</v>
        <stp/>
        <stp>IMPL_VOL</stp>
        <stp>.SPX250516P5590</stp>
        <tr r="EO128" s="1"/>
      </tp>
      <tp t="s">
        <v>--</v>
        <stp/>
        <stp>IMPL_VOL</stp>
        <stp>.SPX250516C5590</stp>
        <tr r="EN128" s="1"/>
      </tp>
      <tp>
        <v>412.5</v>
        <stp/>
        <stp>ASK</stp>
        <stp>.NDXP250512C20475</stp>
        <tr r="DC172" s="1"/>
        <tr r="DC172" s="1"/>
      </tp>
      <tp>
        <v>437.5</v>
        <stp/>
        <stp>ASK</stp>
        <stp>.NDXP250512C20450</stp>
        <tr r="DC173" s="1"/>
        <tr r="DC173" s="1"/>
      </tp>
      <tp>
        <v>462.5</v>
        <stp/>
        <stp>ASK</stp>
        <stp>.NDXP250512C20425</stp>
        <tr r="DC174" s="1"/>
        <tr r="DC174" s="1"/>
      </tp>
      <tp>
        <v>501.3</v>
        <stp/>
        <stp>ASK</stp>
        <stp>.NDXP250512C20400</stp>
        <tr r="DC175" s="1"/>
        <tr r="DC175" s="1"/>
      </tp>
      <tp>
        <v>19.8</v>
        <stp/>
        <stp>ASK</stp>
        <stp>.NDXP250512P20450</stp>
        <tr r="DD173" s="1"/>
        <tr r="DD173" s="1"/>
      </tp>
      <tp>
        <v>19.8</v>
        <stp/>
        <stp>ASK</stp>
        <stp>.NDXP250512P20475</stp>
        <tr r="DD172" s="1"/>
        <tr r="DD172" s="1"/>
      </tp>
      <tp>
        <v>10</v>
        <stp/>
        <stp>ASK</stp>
        <stp>.NDXP250512P20400</stp>
        <tr r="DD175" s="1"/>
        <tr r="DD175" s="1"/>
      </tp>
      <tp>
        <v>19.8</v>
        <stp/>
        <stp>ASK</stp>
        <stp>.NDXP250512P20425</stp>
        <tr r="DD174" s="1"/>
        <tr r="DD174" s="1"/>
      </tp>
      <tp>
        <v>1205</v>
        <stp/>
        <stp>OPEN_INT</stp>
        <stp>.SPX250516C5620</stp>
        <tr r="AU125" s="1"/>
        <tr r="AU125" s="1"/>
      </tp>
      <tp>
        <v>869</v>
        <stp/>
        <stp>OPEN_INT</stp>
        <stp>.SPX250516P5620</stp>
        <tr r="AV125" s="1"/>
        <tr r="AV125" s="1"/>
      </tp>
      <tp>
        <v>783</v>
        <stp/>
        <stp>OPEN_INT</stp>
        <stp>.SPX250516C5630</stp>
        <tr r="AU124" s="1"/>
        <tr r="AU124" s="1"/>
      </tp>
      <tp>
        <v>1238</v>
        <stp/>
        <stp>OPEN_INT</stp>
        <stp>.SPX250516P5630</stp>
        <tr r="AV124" s="1"/>
        <tr r="AV124" s="1"/>
      </tp>
      <tp>
        <v>23686</v>
        <stp/>
        <stp>OPEN_INT</stp>
        <stp>.SPX250516C5600</stp>
        <tr r="AU127" s="1"/>
        <tr r="AU127" s="1"/>
      </tp>
      <tp>
        <v>21347</v>
        <stp/>
        <stp>OPEN_INT</stp>
        <stp>.SPX250516P5600</stp>
        <tr r="AV127" s="1"/>
        <tr r="AV127" s="1"/>
      </tp>
      <tp>
        <v>529</v>
        <stp/>
        <stp>OPEN_INT</stp>
        <stp>.SPX250516C5610</stp>
        <tr r="AU126" s="1"/>
        <tr r="AU126" s="1"/>
      </tp>
      <tp>
        <v>3646</v>
        <stp/>
        <stp>OPEN_INT</stp>
        <stp>.SPX250620C5570</stp>
        <tr r="AW130" s="1"/>
        <tr r="AW130" s="1"/>
      </tp>
      <tp>
        <v>620</v>
        <stp/>
        <stp>OPEN_INT</stp>
        <stp>.SPX250516P5610</stp>
        <tr r="AV126" s="1"/>
        <tr r="AV126" s="1"/>
      </tp>
      <tp>
        <v>3806</v>
        <stp/>
        <stp>OPEN_INT</stp>
        <stp>.SPX250620P5570</stp>
        <tr r="AX130" s="1"/>
        <tr r="AX130" s="1"/>
      </tp>
      <tp>
        <v>2058</v>
        <stp/>
        <stp>OPEN_INT</stp>
        <stp>.SPX250516C5660</stp>
        <tr r="AU121" s="1"/>
        <tr r="AU121" s="1"/>
      </tp>
      <tp>
        <v>1953</v>
        <stp/>
        <stp>OPEN_INT</stp>
        <stp>.SPX250516P5660</stp>
        <tr r="AV121" s="1"/>
        <tr r="AV121" s="1"/>
      </tp>
      <tp>
        <v>818</v>
        <stp/>
        <stp>OPEN_INT</stp>
        <stp>.SPX250516C5670</stp>
        <tr r="AU120" s="1"/>
        <tr r="AU120" s="1"/>
      </tp>
      <tp>
        <v>2071</v>
        <stp/>
        <stp>OPEN_INT</stp>
        <stp>.SPX250516P5670</stp>
        <tr r="AV120" s="1"/>
        <tr r="AV120" s="1"/>
      </tp>
      <tp>
        <v>1317</v>
        <stp/>
        <stp>OPEN_INT</stp>
        <stp>.SPX250516C5640</stp>
        <tr r="AU123" s="1"/>
        <tr r="AU123" s="1"/>
      </tp>
      <tp>
        <v>2053</v>
        <stp/>
        <stp>OPEN_INT</stp>
        <stp>.SPX250516P5640</stp>
        <tr r="AV123" s="1"/>
        <tr r="AV123" s="1"/>
      </tp>
      <tp>
        <v>17114</v>
        <stp/>
        <stp>OPEN_INT</stp>
        <stp>.SPX250516C5650</stp>
        <tr r="AU122" s="1"/>
        <tr r="AU122" s="1"/>
      </tp>
      <tp>
        <v>17283</v>
        <stp/>
        <stp>OPEN_INT</stp>
        <stp>.SPX250516P5650</stp>
        <tr r="AV122" s="1"/>
        <tr r="AV122" s="1"/>
      </tp>
      <tp>
        <v>538</v>
        <stp/>
        <stp>OPEN_INT</stp>
        <stp>.SPX250516C5680</stp>
        <tr r="AU119" s="1"/>
        <tr r="AU119" s="1"/>
      </tp>
      <tp>
        <v>864</v>
        <stp/>
        <stp>OPEN_INT</stp>
        <stp>.SPX250516P5680</stp>
        <tr r="AV119" s="1"/>
        <tr r="AV119" s="1"/>
      </tp>
      <tp>
        <v>1581</v>
        <stp/>
        <stp>OPEN_INT</stp>
        <stp>.SPX250516C5690</stp>
        <tr r="AU118" s="1"/>
        <tr r="AU118" s="1"/>
      </tp>
      <tp>
        <v>1888</v>
        <stp/>
        <stp>OPEN_INT</stp>
        <stp>.SPX250516P5690</stp>
        <tr r="AV118" s="1"/>
        <tr r="AV118" s="1"/>
      </tp>
      <tp>
        <v>4274</v>
        <stp/>
        <stp>OPEN_INT</stp>
        <stp>.SPX250620C5580</stp>
        <tr r="AW129" s="1"/>
        <tr r="AW129" s="1"/>
      </tp>
      <tp>
        <v>3100</v>
        <stp/>
        <stp>OPEN_INT</stp>
        <stp>.SPX250620P5580</stp>
        <tr r="AX129" s="1"/>
        <tr r="AX129" s="1"/>
      </tp>
      <tp>
        <v>3173</v>
        <stp/>
        <stp>OPEN_INT</stp>
        <stp>.SPX250620C5590</stp>
        <tr r="AW128" s="1"/>
        <tr r="AW128" s="1"/>
      </tp>
      <tp>
        <v>2982</v>
        <stp/>
        <stp>OPEN_INT</stp>
        <stp>.SPX250620P5590</stp>
        <tr r="AX128" s="1"/>
        <tr r="AX128" s="1"/>
      </tp>
      <tp t="s">
        <v>17.86%</v>
        <stp/>
        <stp>IMPL_VOL</stp>
        <stp>.SPX250620P5700</stp>
        <tr r="EQ117" s="1"/>
      </tp>
      <tp t="s">
        <v>16.82%</v>
        <stp/>
        <stp>IMPL_VOL</stp>
        <stp>.SPX250620C5700</stp>
        <tr r="EP117" s="1"/>
      </tp>
      <tp t="s">
        <v>17.69%</v>
        <stp/>
        <stp>IMPL_VOL</stp>
        <stp>.SPX250620P5710</stp>
        <tr r="EQ116" s="1"/>
      </tp>
      <tp t="s">
        <v>16.69%</v>
        <stp/>
        <stp>IMPL_VOL</stp>
        <stp>.SPX250620C5710</stp>
        <tr r="EP116" s="1"/>
      </tp>
      <tp t="s">
        <v>17.56%</v>
        <stp/>
        <stp>IMPL_VOL</stp>
        <stp>.SPX250620P5720</stp>
        <tr r="EQ115" s="1"/>
      </tp>
      <tp t="s">
        <v>16.56%</v>
        <stp/>
        <stp>IMPL_VOL</stp>
        <stp>.SPX250620C5720</stp>
        <tr r="EP115" s="1"/>
      </tp>
      <tp t="s">
        <v>17.43%</v>
        <stp/>
        <stp>IMPL_VOL</stp>
        <stp>.SPX250620P5730</stp>
        <tr r="EQ114" s="1"/>
      </tp>
      <tp t="s">
        <v>16.43%</v>
        <stp/>
        <stp>IMPL_VOL</stp>
        <stp>.SPX250620C5730</stp>
        <tr r="EP114" s="1"/>
      </tp>
      <tp t="s">
        <v>17.28%</v>
        <stp/>
        <stp>IMPL_VOL</stp>
        <stp>.SPX250620P5740</stp>
        <tr r="EQ113" s="1"/>
      </tp>
      <tp t="s">
        <v>16.31%</v>
        <stp/>
        <stp>IMPL_VOL</stp>
        <stp>.SPX250620C5740</stp>
        <tr r="EP113" s="1"/>
      </tp>
      <tp t="s">
        <v>17.13%</v>
        <stp/>
        <stp>IMPL_VOL</stp>
        <stp>.SPX250620P5750</stp>
        <tr r="EQ112" s="1"/>
      </tp>
      <tp t="s">
        <v>16.17%</v>
        <stp/>
        <stp>IMPL_VOL</stp>
        <stp>.SPX250620C5750</stp>
        <tr r="EP112" s="1"/>
      </tp>
      <tp t="s">
        <v>17.00%</v>
        <stp/>
        <stp>IMPL_VOL</stp>
        <stp>.SPX250620P5760</stp>
        <tr r="EQ111" s="1"/>
      </tp>
      <tp t="s">
        <v>16.04%</v>
        <stp/>
        <stp>IMPL_VOL</stp>
        <stp>.SPX250620C5760</stp>
        <tr r="EP111" s="1"/>
      </tp>
      <tp t="s">
        <v>16.86%</v>
        <stp/>
        <stp>IMPL_VOL</stp>
        <stp>.SPX250620P5770</stp>
        <tr r="EQ110" s="1"/>
      </tp>
      <tp t="s">
        <v>15.90%</v>
        <stp/>
        <stp>IMPL_VOL</stp>
        <stp>.SPX250620C5770</stp>
        <tr r="EP110" s="1"/>
      </tp>
      <tp t="s">
        <v>16.71%</v>
        <stp/>
        <stp>IMPL_VOL</stp>
        <stp>.SPX250620P5780</stp>
        <tr r="EQ109" s="1"/>
      </tp>
      <tp t="s">
        <v>15.78%</v>
        <stp/>
        <stp>IMPL_VOL</stp>
        <stp>.SPX250620C5780</stp>
        <tr r="EP109" s="1"/>
      </tp>
      <tp t="s">
        <v>16.57%</v>
        <stp/>
        <stp>IMPL_VOL</stp>
        <stp>.SPX250620P5790</stp>
        <tr r="EQ108" s="1"/>
      </tp>
      <tp t="s">
        <v>15.65%</v>
        <stp/>
        <stp>IMPL_VOL</stp>
        <stp>.SPX250620C5790</stp>
        <tr r="EP108" s="1"/>
      </tp>
      <tp>
        <v>0</v>
        <stp/>
        <stp>BID</stp>
        <stp>.NDXP250512C20875</stp>
        <tr r="DE156" s="1"/>
        <tr r="DE156" s="1"/>
      </tp>
      <tp>
        <v>98</v>
        <stp/>
        <stp>ASK</stp>
        <stp>.NDXP250512C20775</stp>
        <tr r="DC160" s="1"/>
        <tr r="DC160" s="1"/>
      </tp>
      <tp>
        <v>14.8</v>
        <stp/>
        <stp>BID</stp>
        <stp>.NDXP250512C20850</stp>
        <tr r="DE157" s="1"/>
        <tr r="DE157" s="1"/>
      </tp>
      <tp>
        <v>124</v>
        <stp/>
        <stp>ASK</stp>
        <stp>.NDXP250512C20750</stp>
        <tr r="DC161" s="1"/>
        <tr r="DC161" s="1"/>
      </tp>
      <tp>
        <v>32.1</v>
        <stp/>
        <stp>BID</stp>
        <stp>.NDXP250512C20825</stp>
        <tr r="DE158" s="1"/>
        <tr r="DE158" s="1"/>
      </tp>
      <tp>
        <v>148</v>
        <stp/>
        <stp>ASK</stp>
        <stp>.NDXP250512C20725</stp>
        <tr r="DC162" s="1"/>
        <tr r="DC162" s="1"/>
      </tp>
      <tp>
        <v>56.5</v>
        <stp/>
        <stp>BID</stp>
        <stp>.NDXP250512C20800</stp>
        <tr r="DE159" s="1"/>
        <tr r="DE159" s="1"/>
      </tp>
      <tp>
        <v>174</v>
        <stp/>
        <stp>ASK</stp>
        <stp>.NDXP250512C20700</stp>
        <tr r="DC163" s="1"/>
        <tr r="DC163" s="1"/>
      </tp>
      <tp>
        <v>0.1</v>
        <stp/>
        <stp>BID</stp>
        <stp>.NDXP250512P20850</stp>
        <tr r="DF157" s="1"/>
        <tr r="DF157" s="1"/>
      </tp>
      <tp>
        <v>0.4</v>
        <stp/>
        <stp>ASK</stp>
        <stp>.NDXP250512P20750</stp>
        <tr r="DD161" s="1"/>
        <tr r="DD161" s="1"/>
      </tp>
      <tp>
        <v>6</v>
        <stp/>
        <stp>BID</stp>
        <stp>.NDXP250512P20875</stp>
        <tr r="DF156" s="1"/>
        <tr r="DF156" s="1"/>
      </tp>
      <tp>
        <v>20</v>
        <stp/>
        <stp>ASK</stp>
        <stp>.NDXP250512P20775</stp>
        <tr r="DD160" s="1"/>
        <tr r="DD160" s="1"/>
      </tp>
      <tp>
        <v>0.05</v>
        <stp/>
        <stp>BID</stp>
        <stp>.NDXP250512P20800</stp>
        <tr r="DF159" s="1"/>
        <tr r="DF159" s="1"/>
      </tp>
      <tp>
        <v>0.35</v>
        <stp/>
        <stp>ASK</stp>
        <stp>.NDXP250512P20700</stp>
        <tr r="DD163" s="1"/>
        <tr r="DD163" s="1"/>
      </tp>
      <tp>
        <v>0.05</v>
        <stp/>
        <stp>BID</stp>
        <stp>.NDXP250512P20825</stp>
        <tr r="DF158" s="1"/>
        <tr r="DF158" s="1"/>
      </tp>
      <tp>
        <v>14.6</v>
        <stp/>
        <stp>ASK</stp>
        <stp>.NDXP250512P20725</stp>
        <tr r="DD162" s="1"/>
        <tr r="DD162" s="1"/>
      </tp>
      <tp>
        <v>4786</v>
        <stp/>
        <stp>OPEN_INT</stp>
        <stp>.SPX250620C5640</stp>
        <tr r="AW123" s="1"/>
        <tr r="AW123" s="1"/>
      </tp>
      <tp>
        <v>4708</v>
        <stp/>
        <stp>OPEN_INT</stp>
        <stp>.SPX250620P5640</stp>
        <tr r="AX123" s="1"/>
        <tr r="AX123" s="1"/>
      </tp>
      <tp>
        <v>70033</v>
        <stp/>
        <stp>OPEN_INT</stp>
        <stp>.SPX250620C5650</stp>
        <tr r="AW122" s="1"/>
        <tr r="AW122" s="1"/>
      </tp>
      <tp>
        <v>68614</v>
        <stp/>
        <stp>OPEN_INT</stp>
        <stp>.SPX250620P5650</stp>
        <tr r="AX122" s="1"/>
        <tr r="AX122" s="1"/>
      </tp>
      <tp>
        <v>4772</v>
        <stp/>
        <stp>OPEN_INT</stp>
        <stp>.SPX250620C5660</stp>
        <tr r="AW121" s="1"/>
        <tr r="AW121" s="1"/>
      </tp>
      <tp>
        <v>4739</v>
        <stp/>
        <stp>OPEN_INT</stp>
        <stp>.SPX250620P5660</stp>
        <tr r="AX121" s="1"/>
        <tr r="AX121" s="1"/>
      </tp>
      <tp>
        <v>8736</v>
        <stp/>
        <stp>OPEN_INT</stp>
        <stp>.SPX250620C5670</stp>
        <tr r="AW120" s="1"/>
        <tr r="AW120" s="1"/>
      </tp>
      <tp>
        <v>8578</v>
        <stp/>
        <stp>OPEN_INT</stp>
        <stp>.SPX250620P5670</stp>
        <tr r="AX120" s="1"/>
        <tr r="AX120" s="1"/>
      </tp>
      <tp>
        <v>31075</v>
        <stp/>
        <stp>OPEN_INT</stp>
        <stp>.SPX250620C5600</stp>
        <tr r="AW127" s="1"/>
        <tr r="AW127" s="1"/>
      </tp>
      <tp>
        <v>38454</v>
        <stp/>
        <stp>OPEN_INT</stp>
        <stp>.SPX250620P5600</stp>
        <tr r="AX127" s="1"/>
        <tr r="AX127" s="1"/>
      </tp>
      <tp>
        <v>249</v>
        <stp/>
        <stp>OPEN_INT</stp>
        <stp>.SPX250516C5570</stp>
        <tr r="AU130" s="1"/>
        <tr r="AU130" s="1"/>
      </tp>
      <tp>
        <v>1503</v>
        <stp/>
        <stp>OPEN_INT</stp>
        <stp>.SPX250620C5610</stp>
        <tr r="AW126" s="1"/>
        <tr r="AW126" s="1"/>
      </tp>
      <tp>
        <v>1262</v>
        <stp/>
        <stp>OPEN_INT</stp>
        <stp>.SPX250516P5570</stp>
        <tr r="AV130" s="1"/>
        <tr r="AV130" s="1"/>
      </tp>
      <tp>
        <v>1765</v>
        <stp/>
        <stp>OPEN_INT</stp>
        <stp>.SPX250620P5610</stp>
        <tr r="AX126" s="1"/>
        <tr r="AX126" s="1"/>
      </tp>
      <tp>
        <v>3751</v>
        <stp/>
        <stp>OPEN_INT</stp>
        <stp>.SPX250620C5620</stp>
        <tr r="AW125" s="1"/>
        <tr r="AW125" s="1"/>
      </tp>
      <tp>
        <v>4272</v>
        <stp/>
        <stp>OPEN_INT</stp>
        <stp>.SPX250620P5620</stp>
        <tr r="AX125" s="1"/>
        <tr r="AX125" s="1"/>
      </tp>
      <tp>
        <v>5517</v>
        <stp/>
        <stp>OPEN_INT</stp>
        <stp>.SPX250620C5630</stp>
        <tr r="AW124" s="1"/>
        <tr r="AW124" s="1"/>
      </tp>
      <tp>
        <v>5641</v>
        <stp/>
        <stp>OPEN_INT</stp>
        <stp>.SPX250620P5630</stp>
        <tr r="AX124" s="1"/>
        <tr r="AX124" s="1"/>
      </tp>
      <tp>
        <v>535</v>
        <stp/>
        <stp>OPEN_INT</stp>
        <stp>.SPX250516C5580</stp>
        <tr r="AU129" s="1"/>
        <tr r="AU129" s="1"/>
      </tp>
      <tp>
        <v>939</v>
        <stp/>
        <stp>OPEN_INT</stp>
        <stp>.SPX250516P5580</stp>
        <tr r="AV129" s="1"/>
        <tr r="AV129" s="1"/>
      </tp>
      <tp>
        <v>434</v>
        <stp/>
        <stp>OPEN_INT</stp>
        <stp>.SPX250516C5590</stp>
        <tr r="AU128" s="1"/>
        <tr r="AU128" s="1"/>
      </tp>
      <tp>
        <v>1533</v>
        <stp/>
        <stp>OPEN_INT</stp>
        <stp>.SPX250516P5590</stp>
        <tr r="AV128" s="1"/>
        <tr r="AV128" s="1"/>
      </tp>
      <tp>
        <v>5397</v>
        <stp/>
        <stp>OPEN_INT</stp>
        <stp>.SPX250620C5680</stp>
        <tr r="AW119" s="1"/>
        <tr r="AW119" s="1"/>
      </tp>
      <tp>
        <v>5717</v>
        <stp/>
        <stp>OPEN_INT</stp>
        <stp>.SPX250620P5680</stp>
        <tr r="AX119" s="1"/>
        <tr r="AX119" s="1"/>
      </tp>
      <tp>
        <v>7328</v>
        <stp/>
        <stp>OPEN_INT</stp>
        <stp>.SPX250620C5690</stp>
        <tr r="AW118" s="1"/>
        <tr r="AW118" s="1"/>
      </tp>
      <tp>
        <v>7462</v>
        <stp/>
        <stp>OPEN_INT</stp>
        <stp>.SPX250620P5690</stp>
        <tr r="AX118" s="1"/>
        <tr r="AX118" s="1"/>
      </tp>
      <tp t="s">
        <v>19.42%</v>
        <stp/>
        <stp>IMPL_VOL</stp>
        <stp>.SPX250516P5760</stp>
        <tr r="EO111" s="1"/>
      </tp>
      <tp t="s">
        <v>18.79%</v>
        <stp/>
        <stp>IMPL_VOL</stp>
        <stp>.SPX250516C5760</stp>
        <tr r="EN111" s="1"/>
      </tp>
      <tp t="s">
        <v>19.18%</v>
        <stp/>
        <stp>IMPL_VOL</stp>
        <stp>.SPX250516P5770</stp>
        <tr r="EO110" s="1"/>
      </tp>
      <tp t="s">
        <v>18.37%</v>
        <stp/>
        <stp>IMPL_VOL</stp>
        <stp>.SPX250516C5770</stp>
        <tr r="EN110" s="1"/>
      </tp>
      <tp t="s">
        <v>19.88%</v>
        <stp/>
        <stp>IMPL_VOL</stp>
        <stp>.SPX250516P5740</stp>
        <tr r="EO113" s="1"/>
      </tp>
      <tp t="s">
        <v>18.86%</v>
        <stp/>
        <stp>IMPL_VOL</stp>
        <stp>.SPX250516C5740</stp>
        <tr r="EN113" s="1"/>
      </tp>
      <tp t="s">
        <v>19.65%</v>
        <stp/>
        <stp>IMPL_VOL</stp>
        <stp>.SPX250516P5750</stp>
        <tr r="EO112" s="1"/>
      </tp>
      <tp t="s">
        <v>19.11%</v>
        <stp/>
        <stp>IMPL_VOL</stp>
        <stp>.SPX250516C5750</stp>
        <tr r="EN112" s="1"/>
      </tp>
      <tp t="s">
        <v>20.41%</v>
        <stp/>
        <stp>IMPL_VOL</stp>
        <stp>.SPX250516P5720</stp>
        <tr r="EO115" s="1"/>
      </tp>
      <tp t="s">
        <v>19.95%</v>
        <stp/>
        <stp>IMPL_VOL</stp>
        <stp>.SPX250516C5720</stp>
        <tr r="EN115" s="1"/>
      </tp>
      <tp t="s">
        <v>20.13%</v>
        <stp/>
        <stp>IMPL_VOL</stp>
        <stp>.SPX250516P5730</stp>
        <tr r="EO114" s="1"/>
      </tp>
      <tp t="s">
        <v>19.37%</v>
        <stp/>
        <stp>IMPL_VOL</stp>
        <stp>.SPX250516C5730</stp>
        <tr r="EN114" s="1"/>
      </tp>
      <tp t="s">
        <v>20.91%</v>
        <stp/>
        <stp>IMPL_VOL</stp>
        <stp>.SPX250516P5700</stp>
        <tr r="EO117" s="1"/>
      </tp>
      <tp t="s">
        <v>20.09%</v>
        <stp/>
        <stp>IMPL_VOL</stp>
        <stp>.SPX250516C5700</stp>
        <tr r="EN117" s="1"/>
      </tp>
      <tp t="s">
        <v>20.63%</v>
        <stp/>
        <stp>IMPL_VOL</stp>
        <stp>.SPX250516P5710</stp>
        <tr r="EO116" s="1"/>
      </tp>
      <tp t="s">
        <v>19.70%</v>
        <stp/>
        <stp>IMPL_VOL</stp>
        <stp>.SPX250516C5710</stp>
        <tr r="EN116" s="1"/>
      </tp>
      <tp t="s">
        <v>18.98%</v>
        <stp/>
        <stp>IMPL_VOL</stp>
        <stp>.SPX250516P5780</stp>
        <tr r="EO109" s="1"/>
      </tp>
      <tp t="s">
        <v>18.32%</v>
        <stp/>
        <stp>IMPL_VOL</stp>
        <stp>.SPX250516C5780</stp>
        <tr r="EN109" s="1"/>
      </tp>
      <tp t="s">
        <v>18.77%</v>
        <stp/>
        <stp>IMPL_VOL</stp>
        <stp>.SPX250516P5790</stp>
        <tr r="EO108" s="1"/>
      </tp>
      <tp t="s">
        <v>18.34%</v>
        <stp/>
        <stp>IMPL_VOL</stp>
        <stp>.SPX250516C5790</stp>
        <tr r="EN108" s="1"/>
      </tp>
      <tp>
        <v>0</v>
        <stp/>
        <stp>BID</stp>
        <stp>.NDXP250512C20975</stp>
        <tr r="DE152" s="1"/>
        <tr r="DE152" s="1"/>
      </tp>
      <tp>
        <v>198</v>
        <stp/>
        <stp>ASK</stp>
        <stp>.NDXP250512C20675</stp>
        <tr r="DC164" s="1"/>
        <tr r="DC164" s="1"/>
      </tp>
      <tp>
        <v>0</v>
        <stp/>
        <stp>BID</stp>
        <stp>.NDXP250512C20950</stp>
        <tr r="DE153" s="1"/>
        <tr r="DE153" s="1"/>
      </tp>
      <tp>
        <v>227.1</v>
        <stp/>
        <stp>ASK</stp>
        <stp>.NDXP250512C20650</stp>
        <tr r="DC165" s="1"/>
        <tr r="DC165" s="1"/>
      </tp>
      <tp>
        <v>0</v>
        <stp/>
        <stp>BID</stp>
        <stp>.NDXP250512C20925</stp>
        <tr r="DE154" s="1"/>
        <tr r="DE154" s="1"/>
      </tp>
      <tp>
        <v>264</v>
        <stp/>
        <stp>ASK</stp>
        <stp>.NDXP250512C20625</stp>
        <tr r="DC166" s="1"/>
        <tr r="DC166" s="1"/>
      </tp>
      <tp>
        <v>0</v>
        <stp/>
        <stp>BID</stp>
        <stp>.NDXP250512C20900</stp>
        <tr r="DE155" s="1"/>
        <tr r="DE155" s="1"/>
      </tp>
      <tp>
        <v>288</v>
        <stp/>
        <stp>ASK</stp>
        <stp>.NDXP250512C20600</stp>
        <tr r="DC167" s="1"/>
        <tr r="DC167" s="1"/>
      </tp>
      <tp>
        <v>76</v>
        <stp/>
        <stp>BID</stp>
        <stp>.NDXP250512P20950</stp>
        <tr r="DF153" s="1"/>
        <tr r="DF153" s="1"/>
      </tp>
      <tp>
        <v>0.2</v>
        <stp/>
        <stp>ASK</stp>
        <stp>.NDXP250512P20650</stp>
        <tr r="DD165" s="1"/>
        <tr r="DD165" s="1"/>
      </tp>
      <tp>
        <v>102</v>
        <stp/>
        <stp>BID</stp>
        <stp>.NDXP250512P20975</stp>
        <tr r="DF152" s="1"/>
        <tr r="DF152" s="1"/>
      </tp>
      <tp>
        <v>2</v>
        <stp/>
        <stp>ASK</stp>
        <stp>.NDXP250512P20675</stp>
        <tr r="DD164" s="1"/>
        <tr r="DD164" s="1"/>
      </tp>
      <tp>
        <v>28.2</v>
        <stp/>
        <stp>BID</stp>
        <stp>.NDXP250512P20900</stp>
        <tr r="DF155" s="1"/>
        <tr r="DF155" s="1"/>
      </tp>
      <tp>
        <v>19.8</v>
        <stp/>
        <stp>ASK</stp>
        <stp>.NDXP250512P20600</stp>
        <tr r="DD167" s="1"/>
        <tr r="DD167" s="1"/>
      </tp>
      <tp>
        <v>52</v>
        <stp/>
        <stp>BID</stp>
        <stp>.NDXP250512P20925</stp>
        <tr r="DF154" s="1"/>
        <tr r="DF154" s="1"/>
      </tp>
      <tp>
        <v>19.8</v>
        <stp/>
        <stp>ASK</stp>
        <stp>.NDXP250512P20625</stp>
        <tr r="DD166" s="1"/>
        <tr r="DD166" s="1"/>
      </tp>
      <tp>
        <v>2411</v>
        <stp/>
        <stp>OPEN_INT</stp>
        <stp>.SPX250620C5740</stp>
        <tr r="AW113" s="1"/>
        <tr r="AW113" s="1"/>
      </tp>
      <tp>
        <v>3388</v>
        <stp/>
        <stp>OPEN_INT</stp>
        <stp>.SPX250620P5740</stp>
        <tr r="AX113" s="1"/>
        <tr r="AX113" s="1"/>
      </tp>
      <tp>
        <v>25907</v>
        <stp/>
        <stp>OPEN_INT</stp>
        <stp>.SPX250620C5750</stp>
        <tr r="AW112" s="1"/>
        <tr r="AW112" s="1"/>
      </tp>
      <tp>
        <v>28721</v>
        <stp/>
        <stp>OPEN_INT</stp>
        <stp>.SPX250620P5750</stp>
        <tr r="AX112" s="1"/>
        <tr r="AX112" s="1"/>
      </tp>
      <tp>
        <v>3513</v>
        <stp/>
        <stp>OPEN_INT</stp>
        <stp>.SPX250620C5760</stp>
        <tr r="AW111" s="1"/>
        <tr r="AW111" s="1"/>
      </tp>
      <tp>
        <v>3486</v>
        <stp/>
        <stp>OPEN_INT</stp>
        <stp>.SPX250620P5760</stp>
        <tr r="AX111" s="1"/>
        <tr r="AX111" s="1"/>
      </tp>
      <tp>
        <v>2068</v>
        <stp/>
        <stp>OPEN_INT</stp>
        <stp>.SPX250620C5770</stp>
        <tr r="AW110" s="1"/>
        <tr r="AW110" s="1"/>
      </tp>
      <tp>
        <v>2183</v>
        <stp/>
        <stp>OPEN_INT</stp>
        <stp>.SPX250620P5770</stp>
        <tr r="AX110" s="1"/>
        <tr r="AX110" s="1"/>
      </tp>
      <tp>
        <v>81474</v>
        <stp/>
        <stp>OPEN_INT</stp>
        <stp>.SPX250620C5700</stp>
        <tr r="AW117" s="1"/>
        <tr r="AW117" s="1"/>
      </tp>
      <tp>
        <v>75801</v>
        <stp/>
        <stp>OPEN_INT</stp>
        <stp>.SPX250620P5700</stp>
        <tr r="AX117" s="1"/>
        <tr r="AX117" s="1"/>
      </tp>
      <tp>
        <v>6442</v>
        <stp/>
        <stp>OPEN_INT</stp>
        <stp>.SPX250620C5710</stp>
        <tr r="AW116" s="1"/>
        <tr r="AW116" s="1"/>
      </tp>
      <tp>
        <v>6433</v>
        <stp/>
        <stp>OPEN_INT</stp>
        <stp>.SPX250620P5710</stp>
        <tr r="AX116" s="1"/>
        <tr r="AX116" s="1"/>
      </tp>
      <tp>
        <v>6140</v>
        <stp/>
        <stp>OPEN_INT</stp>
        <stp>.SPX250620C5720</stp>
        <tr r="AW115" s="1"/>
        <tr r="AW115" s="1"/>
      </tp>
      <tp>
        <v>6016</v>
        <stp/>
        <stp>OPEN_INT</stp>
        <stp>.SPX250620P5720</stp>
        <tr r="AX115" s="1"/>
        <tr r="AX115" s="1"/>
      </tp>
      <tp>
        <v>5020</v>
        <stp/>
        <stp>OPEN_INT</stp>
        <stp>.SPX250620C5730</stp>
        <tr r="AW114" s="1"/>
        <tr r="AW114" s="1"/>
      </tp>
      <tp>
        <v>4650</v>
        <stp/>
        <stp>OPEN_INT</stp>
        <stp>.SPX250620P5730</stp>
        <tr r="AX114" s="1"/>
        <tr r="AX114" s="1"/>
      </tp>
      <tp>
        <v>1879</v>
        <stp/>
        <stp>OPEN_INT</stp>
        <stp>.SPX250620C5780</stp>
        <tr r="AW109" s="1"/>
        <tr r="AW109" s="1"/>
      </tp>
      <tp>
        <v>1812</v>
        <stp/>
        <stp>OPEN_INT</stp>
        <stp>.SPX250620P5780</stp>
        <tr r="AX109" s="1"/>
        <tr r="AX109" s="1"/>
      </tp>
      <tp>
        <v>904</v>
        <stp/>
        <stp>OPEN_INT</stp>
        <stp>.SPX250620C5790</stp>
        <tr r="AW108" s="1"/>
        <tr r="AW108" s="1"/>
      </tp>
      <tp>
        <v>865</v>
        <stp/>
        <stp>OPEN_INT</stp>
        <stp>.SPX250620P5790</stp>
        <tr r="AX108" s="1"/>
        <tr r="AX108" s="1"/>
      </tp>
      <tp t="s">
        <v>21.98%</v>
        <stp/>
        <stp>IMPL_VOL</stp>
        <stp>.SPX250516P5660</stp>
        <tr r="EO121" s="1"/>
      </tp>
      <tp t="s">
        <v>20.73%</v>
        <stp/>
        <stp>IMPL_VOL</stp>
        <stp>.SPX250516C5660</stp>
        <tr r="EN121" s="1"/>
      </tp>
      <tp t="s">
        <v>21.71%</v>
        <stp/>
        <stp>IMPL_VOL</stp>
        <stp>.SPX250516P5670</stp>
        <tr r="EO120" s="1"/>
      </tp>
      <tp t="s">
        <v>20.44%</v>
        <stp/>
        <stp>IMPL_VOL</stp>
        <stp>.SPX250516C5670</stp>
        <tr r="EN120" s="1"/>
      </tp>
      <tp t="s">
        <v>22.62%</v>
        <stp/>
        <stp>IMPL_VOL</stp>
        <stp>.SPX250516P5640</stp>
        <tr r="EO123" s="1"/>
      </tp>
      <tp t="s">
        <v>19.70%</v>
        <stp/>
        <stp>IMPL_VOL</stp>
        <stp>.SPX250516C5640</stp>
        <tr r="EN123" s="1"/>
      </tp>
      <tp t="s">
        <v>22.30%</v>
        <stp/>
        <stp>IMPL_VOL</stp>
        <stp>.SPX250516P5650</stp>
        <tr r="EO122" s="1"/>
      </tp>
      <tp t="s">
        <v>19.98%</v>
        <stp/>
        <stp>IMPL_VOL</stp>
        <stp>.SPX250516C5650</stp>
        <tr r="EN122" s="1"/>
      </tp>
      <tp t="s">
        <v>23.23%</v>
        <stp/>
        <stp>IMPL_VOL</stp>
        <stp>.SPX250516P5620</stp>
        <tr r="EO125" s="1"/>
      </tp>
      <tp t="s">
        <v>19.69%</v>
        <stp/>
        <stp>IMPL_VOL</stp>
        <stp>.SPX250516C5620</stp>
        <tr r="EN125" s="1"/>
      </tp>
      <tp t="s">
        <v>22.90%</v>
        <stp/>
        <stp>IMPL_VOL</stp>
        <stp>.SPX250516P5630</stp>
        <tr r="EO124" s="1"/>
      </tp>
      <tp t="s">
        <v>23.23%</v>
        <stp/>
        <stp>IMPL_VOL</stp>
        <stp>.SPX250516C5630</stp>
        <tr r="EN124" s="1"/>
      </tp>
      <tp t="s">
        <v>23.90%</v>
        <stp/>
        <stp>IMPL_VOL</stp>
        <stp>.SPX250516P5600</stp>
        <tr r="EO127" s="1"/>
      </tp>
      <tp t="s">
        <v>20.10%</v>
        <stp/>
        <stp>IMPL_VOL</stp>
        <stp>.SPX250516C5600</stp>
        <tr r="EN127" s="1"/>
      </tp>
      <tp t="s">
        <v>19.71%</v>
        <stp/>
        <stp>IMPL_VOL</stp>
        <stp>.SPX250620P5570</stp>
        <tr r="EQ130" s="1"/>
      </tp>
      <tp t="s">
        <v>23.60%</v>
        <stp/>
        <stp>IMPL_VOL</stp>
        <stp>.SPX250516P5610</stp>
        <tr r="EO126" s="1"/>
      </tp>
      <tp t="s">
        <v>18.26%</v>
        <stp/>
        <stp>IMPL_VOL</stp>
        <stp>.SPX250620C5570</stp>
        <tr r="EP130" s="1"/>
      </tp>
      <tp t="s">
        <v>18.94%</v>
        <stp/>
        <stp>IMPL_VOL</stp>
        <stp>.SPX250516C5610</stp>
        <tr r="EN126" s="1"/>
      </tp>
      <tp t="s">
        <v>19.57%</v>
        <stp/>
        <stp>IMPL_VOL</stp>
        <stp>.SPX250620P5580</stp>
        <tr r="EQ129" s="1"/>
      </tp>
      <tp t="s">
        <v>18.16%</v>
        <stp/>
        <stp>IMPL_VOL</stp>
        <stp>.SPX250620C5580</stp>
        <tr r="EP129" s="1"/>
      </tp>
      <tp t="s">
        <v>19.43%</v>
        <stp/>
        <stp>IMPL_VOL</stp>
        <stp>.SPX250620P5590</stp>
        <tr r="EQ128" s="1"/>
      </tp>
      <tp t="s">
        <v>18.09%</v>
        <stp/>
        <stp>IMPL_VOL</stp>
        <stp>.SPX250620C5590</stp>
        <tr r="EP128" s="1"/>
      </tp>
      <tp t="s">
        <v>21.47%</v>
        <stp/>
        <stp>IMPL_VOL</stp>
        <stp>.SPX250516P5680</stp>
        <tr r="EO119" s="1"/>
      </tp>
      <tp t="s">
        <v>20.49%</v>
        <stp/>
        <stp>IMPL_VOL</stp>
        <stp>.SPX250516C5680</stp>
        <tr r="EN119" s="1"/>
      </tp>
      <tp t="s">
        <v>21.19%</v>
        <stp/>
        <stp>IMPL_VOL</stp>
        <stp>.SPX250516P5690</stp>
        <tr r="EO118" s="1"/>
      </tp>
      <tp t="s">
        <v>19.70%</v>
        <stp/>
        <stp>IMPL_VOL</stp>
        <stp>.SPX250516C5690</stp>
        <tr r="EN118" s="1"/>
      </tp>
      <tp>
        <v>179.3</v>
        <stp/>
        <stp>BID</stp>
        <stp>.NDXP250512C20675</stp>
        <tr r="DE164" s="1"/>
        <tr r="DE164" s="1"/>
      </tp>
      <tp>
        <v>19.8</v>
        <stp/>
        <stp>ASK</stp>
        <stp>.NDXP250512C20975</stp>
        <tr r="DC152" s="1"/>
        <tr r="DC152" s="1"/>
      </tp>
      <tp>
        <v>207.1</v>
        <stp/>
        <stp>BID</stp>
        <stp>.NDXP250512C20650</stp>
        <tr r="DE165" s="1"/>
        <tr r="DE165" s="1"/>
      </tp>
      <tp>
        <v>0.4</v>
        <stp/>
        <stp>ASK</stp>
        <stp>.NDXP250512C20950</stp>
        <tr r="DC153" s="1"/>
        <tr r="DC153" s="1"/>
      </tp>
      <tp>
        <v>215.9</v>
        <stp/>
        <stp>BID</stp>
        <stp>.NDXP250512C20625</stp>
        <tr r="DE166" s="1"/>
        <tr r="DE166" s="1"/>
      </tp>
      <tp>
        <v>5.7</v>
        <stp/>
        <stp>ASK</stp>
        <stp>.NDXP250512C20925</stp>
        <tr r="DC154" s="1"/>
        <tr r="DC154" s="1"/>
      </tp>
      <tp>
        <v>240.1</v>
        <stp/>
        <stp>BID</stp>
        <stp>.NDXP250512C20600</stp>
        <tr r="DE167" s="1"/>
        <tr r="DE167" s="1"/>
      </tp>
      <tp>
        <v>2</v>
        <stp/>
        <stp>ASK</stp>
        <stp>.NDXP250512C20900</stp>
        <tr r="DC155" s="1"/>
        <tr r="DC155" s="1"/>
      </tp>
      <tp>
        <v>0</v>
        <stp/>
        <stp>BID</stp>
        <stp>.NDXP250512P20650</stp>
        <tr r="DF165" s="1"/>
        <tr r="DF165" s="1"/>
      </tp>
      <tp>
        <v>93.4</v>
        <stp/>
        <stp>ASK</stp>
        <stp>.NDXP250512P20950</stp>
        <tr r="DD153" s="1"/>
        <tr r="DD153" s="1"/>
      </tp>
      <tp>
        <v>0</v>
        <stp/>
        <stp>BID</stp>
        <stp>.NDXP250512P20675</stp>
        <tr r="DF164" s="1"/>
        <tr r="DF164" s="1"/>
      </tp>
      <tp>
        <v>121.2</v>
        <stp/>
        <stp>ASK</stp>
        <stp>.NDXP250512P20975</stp>
        <tr r="DD152" s="1"/>
        <tr r="DD152" s="1"/>
      </tp>
      <tp>
        <v>0.1</v>
        <stp/>
        <stp>BID</stp>
        <stp>.NDXP250512P20600</stp>
        <tr r="DF167" s="1"/>
        <tr r="DF167" s="1"/>
      </tp>
      <tp>
        <v>44.2</v>
        <stp/>
        <stp>ASK</stp>
        <stp>.NDXP250512P20900</stp>
        <tr r="DD155" s="1"/>
        <tr r="DD155" s="1"/>
      </tp>
      <tp>
        <v>0</v>
        <stp/>
        <stp>BID</stp>
        <stp>.NDXP250512P20625</stp>
        <tr r="DF166" s="1"/>
        <tr r="DF166" s="1"/>
      </tp>
      <tp>
        <v>68</v>
        <stp/>
        <stp>ASK</stp>
        <stp>.NDXP250512P20925</stp>
        <tr r="DD154" s="1"/>
        <tr r="DD154" s="1"/>
      </tp>
      <tp t="s">
        <v>N/A</v>
        <stp/>
        <stp>VOLUME</stp>
        <stp>.NDXPP20375</stp>
        <tr r="G177" s="2"/>
        <tr r="E177" s="2"/>
        <tr r="D177" s="2"/>
        <tr r="C177" s="2"/>
        <tr r="B177" s="2"/>
        <tr r="F177" s="2"/>
      </tp>
      <tp t="s">
        <v>N/A</v>
        <stp/>
        <stp>VOLUME</stp>
        <stp>.NDXPP20350</stp>
        <tr r="D178" s="2"/>
        <tr r="G178" s="2"/>
        <tr r="F178" s="2"/>
        <tr r="E178" s="2"/>
        <tr r="B178" s="2"/>
        <tr r="C178" s="2"/>
      </tp>
      <tp t="s">
        <v>N/A</v>
        <stp/>
        <stp>VOLUME</stp>
        <stp>.NDXPP21350</stp>
        <tr r="G138" s="2"/>
        <tr r="F138" s="2"/>
        <tr r="E138" s="2"/>
        <tr r="D138" s="2"/>
        <tr r="C138" s="2"/>
        <tr r="B138" s="2"/>
      </tp>
      <tp t="s">
        <v>N/A</v>
        <stp/>
        <stp>VOLUME</stp>
        <stp>.NDXPP20325</stp>
        <tr r="E179" s="2"/>
        <tr r="B179" s="2"/>
        <tr r="G179" s="2"/>
        <tr r="F179" s="2"/>
        <tr r="D179" s="2"/>
        <tr r="C179" s="2"/>
      </tp>
      <tp t="s">
        <v>N/A</v>
        <stp/>
        <stp>VOLUME</stp>
        <stp>.NDXPP21325</stp>
        <tr r="G139" s="2"/>
        <tr r="F139" s="2"/>
        <tr r="E139" s="2"/>
        <tr r="D139" s="2"/>
        <tr r="C139" s="2"/>
        <tr r="B139" s="2"/>
      </tp>
      <tp t="s">
        <v>N/A</v>
        <stp/>
        <stp>VOLUME</stp>
        <stp>.NDXPP20300</stp>
        <tr r="B180" s="2"/>
        <tr r="D180" s="2"/>
        <tr r="E180" s="2"/>
        <tr r="G180" s="2"/>
        <tr r="F180" s="2"/>
        <tr r="C180" s="2"/>
      </tp>
      <tp t="s">
        <v>N/A</v>
        <stp/>
        <stp>VOLUME</stp>
        <stp>.NDXPP21300</stp>
        <tr r="G140" s="2"/>
        <tr r="F140" s="2"/>
        <tr r="E140" s="2"/>
        <tr r="D140" s="2"/>
        <tr r="C140" s="2"/>
        <tr r="B140" s="2"/>
      </tp>
      <tp t="s">
        <v>N/A</v>
        <stp/>
        <stp>VOLUME</stp>
        <stp>.NDXPC20350</stp>
        <tr r="D178" s="2"/>
        <tr r="G178" s="2"/>
        <tr r="F178" s="2"/>
        <tr r="E178" s="2"/>
        <tr r="B178" s="2"/>
        <tr r="C178" s="2"/>
      </tp>
      <tp t="s">
        <v>N/A</v>
        <stp/>
        <stp>VOLUME</stp>
        <stp>.NDXPC21350</stp>
        <tr r="G138" s="2"/>
        <tr r="F138" s="2"/>
        <tr r="E138" s="2"/>
        <tr r="D138" s="2"/>
        <tr r="C138" s="2"/>
        <tr r="B138" s="2"/>
      </tp>
      <tp t="s">
        <v>N/A</v>
        <stp/>
        <stp>VOLUME</stp>
        <stp>.NDXPC20375</stp>
        <tr r="G177" s="2"/>
        <tr r="E177" s="2"/>
        <tr r="D177" s="2"/>
        <tr r="C177" s="2"/>
        <tr r="B177" s="2"/>
        <tr r="F177" s="2"/>
      </tp>
      <tp t="s">
        <v>N/A</v>
        <stp/>
        <stp>VOLUME</stp>
        <stp>.NDXPC20300</stp>
        <tr r="B180" s="2"/>
        <tr r="D180" s="2"/>
        <tr r="E180" s="2"/>
        <tr r="G180" s="2"/>
        <tr r="F180" s="2"/>
        <tr r="C180" s="2"/>
      </tp>
      <tp t="s">
        <v>N/A</v>
        <stp/>
        <stp>VOLUME</stp>
        <stp>.NDXPC21300</stp>
        <tr r="G140" s="2"/>
        <tr r="F140" s="2"/>
        <tr r="E140" s="2"/>
        <tr r="D140" s="2"/>
        <tr r="C140" s="2"/>
        <tr r="B140" s="2"/>
      </tp>
      <tp>
        <v>20868.149000000001</v>
        <stp/>
        <stp>MARK</stp>
        <stp>NDX</stp>
        <tr r="E134" s="1"/>
      </tp>
      <tp t="s">
        <v>N/A</v>
        <stp/>
        <stp>VOLUME</stp>
        <stp>.NDXPC20325</stp>
        <tr r="E179" s="2"/>
        <tr r="B179" s="2"/>
        <tr r="G179" s="2"/>
        <tr r="F179" s="2"/>
        <tr r="D179" s="2"/>
        <tr r="C179" s="2"/>
      </tp>
      <tp t="s">
        <v>N/A</v>
        <stp/>
        <stp>VOLUME</stp>
        <stp>.NDXPC21325</stp>
        <tr r="G139" s="2"/>
        <tr r="F139" s="2"/>
        <tr r="E139" s="2"/>
        <tr r="D139" s="2"/>
        <tr r="C139" s="2"/>
        <tr r="B139" s="2"/>
      </tp>
      <tp>
        <v>198</v>
        <stp/>
        <stp>OPEN_INT</stp>
        <stp>.SPX250620C5840</stp>
        <tr r="AW103" s="1"/>
        <tr r="AW103" s="1"/>
      </tp>
      <tp>
        <v>811</v>
        <stp/>
        <stp>OPEN_INT</stp>
        <stp>.SPX250620P5840</stp>
        <tr r="AX103" s="1"/>
        <tr r="AX103" s="1"/>
      </tp>
      <tp>
        <v>22103</v>
        <stp/>
        <stp>OPEN_INT</stp>
        <stp>.SPX250620C5850</stp>
        <tr r="AW102" s="1"/>
        <tr r="AW102" s="1"/>
      </tp>
      <tp>
        <v>15179</v>
        <stp/>
        <stp>OPEN_INT</stp>
        <stp>.SPX250620P5850</stp>
        <tr r="AX102" s="1"/>
        <tr r="AX102" s="1"/>
      </tp>
      <tp>
        <v>402</v>
        <stp/>
        <stp>OPEN_INT</stp>
        <stp>.SPX250620C5860</stp>
        <tr r="AW101" s="1"/>
        <tr r="AW101" s="1"/>
      </tp>
      <tp>
        <v>358</v>
        <stp/>
        <stp>OPEN_INT</stp>
        <stp>.SPX250620P5860</stp>
        <tr r="AX101" s="1"/>
        <tr r="AX101" s="1"/>
      </tp>
      <tp>
        <v>355</v>
        <stp/>
        <stp>OPEN_INT</stp>
        <stp>.SPX250620C5870</stp>
        <tr r="AW100" s="1"/>
        <tr r="AW100" s="1"/>
      </tp>
      <tp>
        <v>1663</v>
        <stp/>
        <stp>OPEN_INT</stp>
        <stp>.SPX250620P5870</stp>
        <tr r="AX100" s="1"/>
        <tr r="AX100" s="1"/>
      </tp>
      <tp>
        <v>43025</v>
        <stp/>
        <stp>OPEN_INT</stp>
        <stp>.SPX250620C5800</stp>
        <tr r="AW107" s="1"/>
        <tr r="AW107" s="1"/>
      </tp>
      <tp>
        <v>36960</v>
        <stp/>
        <stp>OPEN_INT</stp>
        <stp>.SPX250620P5800</stp>
        <tr r="AX107" s="1"/>
        <tr r="AX107" s="1"/>
      </tp>
      <tp>
        <v>5969</v>
        <stp/>
        <stp>OPEN_INT</stp>
        <stp>.SPX250620C5810</stp>
        <tr r="AW106" s="1"/>
        <tr r="AW106" s="1"/>
      </tp>
      <tp>
        <v>4091</v>
        <stp/>
        <stp>OPEN_INT</stp>
        <stp>.SPX250620P5810</stp>
        <tr r="AX106" s="1"/>
        <tr r="AX106" s="1"/>
      </tp>
      <tp>
        <v>3474</v>
        <stp/>
        <stp>OPEN_INT</stp>
        <stp>.SPX250620C5820</stp>
        <tr r="AW105" s="1"/>
        <tr r="AW105" s="1"/>
      </tp>
      <tp>
        <v>3307</v>
        <stp/>
        <stp>OPEN_INT</stp>
        <stp>.SPX250620P5820</stp>
        <tr r="AX105" s="1"/>
        <tr r="AX105" s="1"/>
      </tp>
      <tp>
        <v>2609</v>
        <stp/>
        <stp>OPEN_INT</stp>
        <stp>.SPX250620C5830</stp>
        <tr r="AW104" s="1"/>
        <tr r="AW104" s="1"/>
      </tp>
      <tp>
        <v>2502</v>
        <stp/>
        <stp>OPEN_INT</stp>
        <stp>.SPX250620P5830</stp>
        <tr r="AX104" s="1"/>
        <tr r="AX104" s="1"/>
      </tp>
      <tp>
        <v>615</v>
        <stp/>
        <stp>OPEN_INT</stp>
        <stp>.SPX250620C5880</stp>
        <tr r="AW99" s="1"/>
        <tr r="AW99" s="1"/>
      </tp>
      <tp>
        <v>461</v>
        <stp/>
        <stp>OPEN_INT</stp>
        <stp>.SPX250620P5880</stp>
        <tr r="AX99" s="1"/>
        <tr r="AX99" s="1"/>
      </tp>
      <tp>
        <v>294</v>
        <stp/>
        <stp>OPEN_INT</stp>
        <stp>.SPX250620C5890</stp>
        <tr r="AW98" s="1"/>
        <tr r="AW98" s="1"/>
      </tp>
      <tp>
        <v>375</v>
        <stp/>
        <stp>OPEN_INT</stp>
        <stp>.SPX250620P5890</stp>
        <tr r="AX98" s="1"/>
        <tr r="AX98" s="1"/>
      </tp>
      <tp t="s">
        <v>16.65%</v>
        <stp/>
        <stp>IMPL_VOL</stp>
        <stp>.SPX250516P5960</stp>
        <tr r="EO91" s="1"/>
      </tp>
      <tp t="s">
        <v>16.51%</v>
        <stp/>
        <stp>IMPL_VOL</stp>
        <stp>.SPX250516C5960</stp>
        <tr r="EN91" s="1"/>
      </tp>
      <tp t="s">
        <v>17.49%</v>
        <stp/>
        <stp>IMPL_VOL</stp>
        <stp>.SPX250516P5970</stp>
        <tr r="EO90" s="1"/>
      </tp>
      <tp t="s">
        <v>16.59%</v>
        <stp/>
        <stp>IMPL_VOL</stp>
        <stp>.SPX250516C5970</stp>
        <tr r="EN90" s="1"/>
      </tp>
      <tp t="s">
        <v>17.10%</v>
        <stp/>
        <stp>IMPL_VOL</stp>
        <stp>.SPX250516P5940</stp>
        <tr r="EO93" s="1"/>
      </tp>
      <tp t="s">
        <v>16.50%</v>
        <stp/>
        <stp>IMPL_VOL</stp>
        <stp>.SPX250516C5940</stp>
        <tr r="EN93" s="1"/>
      </tp>
      <tp t="s">
        <v>17.24%</v>
        <stp/>
        <stp>IMPL_VOL</stp>
        <stp>.SPX250516P5950</stp>
        <tr r="EO92" s="1"/>
      </tp>
      <tp t="s">
        <v>16.48%</v>
        <stp/>
        <stp>IMPL_VOL</stp>
        <stp>.SPX250516C5950</stp>
        <tr r="EN92" s="1"/>
      </tp>
      <tp t="s">
        <v>17.18%</v>
        <stp/>
        <stp>IMPL_VOL</stp>
        <stp>.SPX250516P5920</stp>
        <tr r="EO95" s="1"/>
      </tp>
      <tp t="s">
        <v>16.57%</v>
        <stp/>
        <stp>IMPL_VOL</stp>
        <stp>.SPX250516C5920</stp>
        <tr r="EN95" s="1"/>
      </tp>
      <tp t="s">
        <v>17.18%</v>
        <stp/>
        <stp>IMPL_VOL</stp>
        <stp>.SPX250516P5930</stp>
        <tr r="EO94" s="1"/>
      </tp>
      <tp t="s">
        <v>16.55%</v>
        <stp/>
        <stp>IMPL_VOL</stp>
        <stp>.SPX250516C5930</stp>
        <tr r="EN94" s="1"/>
      </tp>
      <tp t="s">
        <v>16.86%</v>
        <stp/>
        <stp>IMPL_VOL</stp>
        <stp>.SPX250516P5900</stp>
        <tr r="EO97" s="1"/>
      </tp>
      <tp t="s">
        <v>16.69%</v>
        <stp/>
        <stp>IMPL_VOL</stp>
        <stp>.SPX250516C5900</stp>
        <tr r="EN97" s="1"/>
      </tp>
      <tp t="s">
        <v>17.23%</v>
        <stp/>
        <stp>IMPL_VOL</stp>
        <stp>.SPX250516P5910</stp>
        <tr r="EO96" s="1"/>
      </tp>
      <tp t="s">
        <v>16.59%</v>
        <stp/>
        <stp>IMPL_VOL</stp>
        <stp>.SPX250516C5910</stp>
        <tr r="EN96" s="1"/>
      </tp>
      <tp t="s">
        <v>16.84%</v>
        <stp/>
        <stp>IMPL_VOL</stp>
        <stp>.SPX250516P5980</stp>
        <tr r="EO89" s="1"/>
      </tp>
      <tp t="s">
        <v>16.60%</v>
        <stp/>
        <stp>IMPL_VOL</stp>
        <stp>.SPX250516C5980</stp>
        <tr r="EN89" s="1"/>
      </tp>
      <tp t="s">
        <v>17.76%</v>
        <stp/>
        <stp>IMPL_VOL</stp>
        <stp>.SPX250516P5990</stp>
        <tr r="EO88" s="1"/>
      </tp>
      <tp t="s">
        <v>16.72%</v>
        <stp/>
        <stp>IMPL_VOL</stp>
        <stp>.SPX250516C5990</stp>
        <tr r="EN88" s="1"/>
      </tp>
      <tp>
        <v>79</v>
        <stp/>
        <stp>BID</stp>
        <stp>.NDXP250512C20775</stp>
        <tr r="DE160" s="1"/>
        <tr r="DE160" s="1"/>
      </tp>
      <tp>
        <v>4.2</v>
        <stp/>
        <stp>ASK</stp>
        <stp>.NDXP250512C20875</stp>
        <tr r="DC156" s="1"/>
        <tr r="DC156" s="1"/>
      </tp>
      <tp>
        <v>104.3</v>
        <stp/>
        <stp>BID</stp>
        <stp>.NDXP250512C20750</stp>
        <tr r="DE161" s="1"/>
        <tr r="DE161" s="1"/>
      </tp>
      <tp>
        <v>17.600000000000001</v>
        <stp/>
        <stp>ASK</stp>
        <stp>.NDXP250512C20850</stp>
        <tr r="DC157" s="1"/>
        <tr r="DC157" s="1"/>
      </tp>
      <tp>
        <v>129.30000000000001</v>
        <stp/>
        <stp>BID</stp>
        <stp>.NDXP250512C20725</stp>
        <tr r="DE162" s="1"/>
        <tr r="DE162" s="1"/>
      </tp>
      <tp>
        <v>45</v>
        <stp/>
        <stp>ASK</stp>
        <stp>.NDXP250512C20825</stp>
        <tr r="DC158" s="1"/>
        <tr r="DC158" s="1"/>
      </tp>
      <tp>
        <v>154.80000000000001</v>
        <stp/>
        <stp>BID</stp>
        <stp>.NDXP250512C20700</stp>
        <tr r="DE163" s="1"/>
        <tr r="DE163" s="1"/>
      </tp>
      <tp>
        <v>74</v>
        <stp/>
        <stp>ASK</stp>
        <stp>.NDXP250512C20800</stp>
        <tr r="DC159" s="1"/>
        <tr r="DC159" s="1"/>
      </tp>
      <tp>
        <v>0</v>
        <stp/>
        <stp>BID</stp>
        <stp>.NDXP250512P20750</stp>
        <tr r="DF161" s="1"/>
        <tr r="DF161" s="1"/>
      </tp>
      <tp>
        <v>1</v>
        <stp/>
        <stp>ASK</stp>
        <stp>.NDXP250512P20850</stp>
        <tr r="DD157" s="1"/>
        <tr r="DD157" s="1"/>
      </tp>
      <tp>
        <v>0</v>
        <stp/>
        <stp>BID</stp>
        <stp>.NDXP250512P20775</stp>
        <tr r="DF160" s="1"/>
        <tr r="DF160" s="1"/>
      </tp>
      <tp>
        <v>21.2</v>
        <stp/>
        <stp>ASK</stp>
        <stp>.NDXP250512P20875</stp>
        <tr r="DD156" s="1"/>
        <tr r="DD156" s="1"/>
      </tp>
      <tp>
        <v>0</v>
        <stp/>
        <stp>BID</stp>
        <stp>.NDXP250512P20700</stp>
        <tr r="DF163" s="1"/>
        <tr r="DF163" s="1"/>
      </tp>
      <tp>
        <v>20</v>
        <stp/>
        <stp>ASK</stp>
        <stp>.NDXP250512P20800</stp>
        <tr r="DD159" s="1"/>
        <tr r="DD159" s="1"/>
      </tp>
      <tp>
        <v>0</v>
        <stp/>
        <stp>BID</stp>
        <stp>.NDXP250512P20725</stp>
        <tr r="DF162" s="1"/>
        <tr r="DF162" s="1"/>
      </tp>
      <tp>
        <v>1</v>
        <stp/>
        <stp>ASK</stp>
        <stp>.NDXP250512P20825</stp>
        <tr r="DD158" s="1"/>
        <tr r="DD158" s="1"/>
      </tp>
      <tp t="s">
        <v>N/A</v>
        <stp/>
        <stp>VOLUME</stp>
        <stp>.NDXPP20275</stp>
        <tr r="F181" s="2"/>
        <tr r="D181" s="2"/>
        <tr r="C181" s="2"/>
        <tr r="E181" s="2"/>
        <tr r="B181" s="2"/>
        <tr r="G181" s="2"/>
      </tp>
      <tp t="s">
        <v>N/A</v>
        <stp/>
        <stp>VOLUME</stp>
        <stp>.NDXPP21275</stp>
        <tr r="G141" s="2"/>
        <tr r="F141" s="2"/>
        <tr r="E141" s="2"/>
        <tr r="D141" s="2"/>
        <tr r="C141" s="2"/>
        <tr r="B141" s="2"/>
      </tp>
      <tp t="s">
        <v>N/A</v>
        <stp/>
        <stp>VOLUME</stp>
        <stp>.NDXPP20250</stp>
        <tr r="D182" s="2"/>
        <tr r="C182" s="2"/>
        <tr r="E182" s="2"/>
        <tr r="B182" s="2"/>
        <tr r="G182" s="2"/>
        <tr r="F182" s="2"/>
      </tp>
      <tp t="s">
        <v>N/A</v>
        <stp/>
        <stp>VOLUME</stp>
        <stp>.NDXPP21250</stp>
        <tr r="G142" s="2"/>
        <tr r="F142" s="2"/>
        <tr r="E142" s="2"/>
        <tr r="D142" s="2"/>
        <tr r="C142" s="2"/>
        <tr r="B142" s="2"/>
      </tp>
      <tp t="s">
        <v>N/A</v>
        <stp/>
        <stp>VOLUME</stp>
        <stp>.NDXPP20225</stp>
        <tr r="B183" s="2"/>
        <tr r="C183" s="2"/>
        <tr r="F183" s="2"/>
        <tr r="G183" s="2"/>
        <tr r="D183" s="2"/>
        <tr r="E183" s="2"/>
      </tp>
      <tp t="s">
        <v>N/A</v>
        <stp/>
        <stp>VOLUME</stp>
        <stp>.NDXPP21225</stp>
        <tr r="G143" s="2"/>
        <tr r="F143" s="2"/>
        <tr r="E143" s="2"/>
        <tr r="C143" s="2"/>
        <tr r="B143" s="2"/>
        <tr r="D143" s="2"/>
      </tp>
      <tp t="s">
        <v>N/A</v>
        <stp/>
        <stp>VOLUME</stp>
        <stp>.NDXPP20200</stp>
        <tr r="D184" s="2"/>
        <tr r="E184" s="2"/>
        <tr r="B184" s="2"/>
        <tr r="G184" s="2"/>
        <tr r="F184" s="2"/>
        <tr r="C184" s="2"/>
      </tp>
      <tp t="s">
        <v>N/A</v>
        <stp/>
        <stp>VOLUME</stp>
        <stp>.NDXPP21200</stp>
        <tr r="G144" s="2"/>
        <tr r="F144" s="2"/>
        <tr r="B144" s="2"/>
        <tr r="E144" s="2"/>
        <tr r="C144" s="2"/>
        <tr r="D144" s="2"/>
      </tp>
      <tp t="s">
        <v>N/A</v>
        <stp/>
        <stp>VOLUME</stp>
        <stp>.NDXPC20250</stp>
        <tr r="D182" s="2"/>
        <tr r="C182" s="2"/>
        <tr r="E182" s="2"/>
        <tr r="B182" s="2"/>
        <tr r="G182" s="2"/>
        <tr r="F182" s="2"/>
      </tp>
      <tp t="s">
        <v>N/A</v>
        <stp/>
        <stp>VOLUME</stp>
        <stp>.NDXPC21250</stp>
        <tr r="G142" s="2"/>
        <tr r="F142" s="2"/>
        <tr r="E142" s="2"/>
        <tr r="D142" s="2"/>
        <tr r="C142" s="2"/>
        <tr r="B142" s="2"/>
      </tp>
      <tp t="s">
        <v>N/A</v>
        <stp/>
        <stp>VOLUME</stp>
        <stp>.NDXPC20275</stp>
        <tr r="F181" s="2"/>
        <tr r="D181" s="2"/>
        <tr r="C181" s="2"/>
        <tr r="E181" s="2"/>
        <tr r="B181" s="2"/>
        <tr r="G181" s="2"/>
      </tp>
      <tp t="s">
        <v>N/A</v>
        <stp/>
        <stp>VOLUME</stp>
        <stp>.NDXPC21275</stp>
        <tr r="G141" s="2"/>
        <tr r="F141" s="2"/>
        <tr r="E141" s="2"/>
        <tr r="D141" s="2"/>
        <tr r="C141" s="2"/>
        <tr r="B141" s="2"/>
      </tp>
      <tp t="s">
        <v>N/A</v>
        <stp/>
        <stp>VOLUME</stp>
        <stp>.NDXPC20200</stp>
        <tr r="D184" s="2"/>
        <tr r="E184" s="2"/>
        <tr r="B184" s="2"/>
        <tr r="G184" s="2"/>
        <tr r="F184" s="2"/>
        <tr r="C184" s="2"/>
      </tp>
      <tp t="s">
        <v>N/A</v>
        <stp/>
        <stp>VOLUME</stp>
        <stp>.NDXPC21200</stp>
        <tr r="G144" s="2"/>
        <tr r="F144" s="2"/>
        <tr r="B144" s="2"/>
        <tr r="E144" s="2"/>
        <tr r="C144" s="2"/>
        <tr r="D144" s="2"/>
      </tp>
      <tp t="s">
        <v>N/A</v>
        <stp/>
        <stp>VOLUME</stp>
        <stp>.NDXPC20225</stp>
        <tr r="B183" s="2"/>
        <tr r="C183" s="2"/>
        <tr r="F183" s="2"/>
        <tr r="G183" s="2"/>
        <tr r="D183" s="2"/>
        <tr r="E183" s="2"/>
      </tp>
      <tp t="s">
        <v>N/A</v>
        <stp/>
        <stp>VOLUME</stp>
        <stp>.NDXPC21225</stp>
        <tr r="G143" s="2"/>
        <tr r="F143" s="2"/>
        <tr r="E143" s="2"/>
        <tr r="C143" s="2"/>
        <tr r="B143" s="2"/>
        <tr r="D143" s="2"/>
      </tp>
      <tp>
        <v>570</v>
        <stp/>
        <stp>OPEN_INT</stp>
        <stp>.SPX250620C5940</stp>
        <tr r="AW93" s="1"/>
        <tr r="AW93" s="1"/>
      </tp>
      <tp>
        <v>968</v>
        <stp/>
        <stp>OPEN_INT</stp>
        <stp>.SPX250620P5940</stp>
        <tr r="AX93" s="1"/>
        <tr r="AX93" s="1"/>
      </tp>
      <tp>
        <v>12190</v>
        <stp/>
        <stp>OPEN_INT</stp>
        <stp>.SPX250620C5950</stp>
        <tr r="AW92" s="1"/>
        <tr r="AW92" s="1"/>
      </tp>
      <tp>
        <v>7226</v>
        <stp/>
        <stp>OPEN_INT</stp>
        <stp>.SPX250620P5950</stp>
        <tr r="AX92" s="1"/>
        <tr r="AX92" s="1"/>
      </tp>
      <tp>
        <v>402</v>
        <stp/>
        <stp>OPEN_INT</stp>
        <stp>.SPX250620C5960</stp>
        <tr r="AW91" s="1"/>
        <tr r="AW91" s="1"/>
      </tp>
      <tp>
        <v>240</v>
        <stp/>
        <stp>OPEN_INT</stp>
        <stp>.SPX250620P5960</stp>
        <tr r="AX91" s="1"/>
        <tr r="AX91" s="1"/>
      </tp>
      <tp>
        <v>375</v>
        <stp/>
        <stp>OPEN_INT</stp>
        <stp>.SPX250620C5970</stp>
        <tr r="AW90" s="1"/>
        <tr r="AW90" s="1"/>
      </tp>
      <tp>
        <v>117</v>
        <stp/>
        <stp>OPEN_INT</stp>
        <stp>.SPX250620P5970</stp>
        <tr r="AX90" s="1"/>
        <tr r="AX90" s="1"/>
      </tp>
      <tp>
        <v>28923</v>
        <stp/>
        <stp>OPEN_INT</stp>
        <stp>.SPX250620C5900</stp>
        <tr r="AW97" s="1"/>
        <tr r="AW97" s="1"/>
      </tp>
      <tp>
        <v>17004</v>
        <stp/>
        <stp>OPEN_INT</stp>
        <stp>.SPX250620P5900</stp>
        <tr r="AX97" s="1"/>
        <tr r="AX97" s="1"/>
      </tp>
      <tp>
        <v>741</v>
        <stp/>
        <stp>OPEN_INT</stp>
        <stp>.SPX250620C5910</stp>
        <tr r="AW96" s="1"/>
        <tr r="AW96" s="1"/>
      </tp>
      <tp>
        <v>293</v>
        <stp/>
        <stp>OPEN_INT</stp>
        <stp>.SPX250620P5910</stp>
        <tr r="AX96" s="1"/>
        <tr r="AX96" s="1"/>
      </tp>
      <tp>
        <v>301</v>
        <stp/>
        <stp>OPEN_INT</stp>
        <stp>.SPX250620C5920</stp>
        <tr r="AW95" s="1"/>
        <tr r="AW95" s="1"/>
      </tp>
      <tp>
        <v>318</v>
        <stp/>
        <stp>OPEN_INT</stp>
        <stp>.SPX250620P5920</stp>
        <tr r="AX95" s="1"/>
        <tr r="AX95" s="1"/>
      </tp>
      <tp>
        <v>359</v>
        <stp/>
        <stp>OPEN_INT</stp>
        <stp>.SPX250620C5930</stp>
        <tr r="AW94" s="1"/>
        <tr r="AW94" s="1"/>
      </tp>
      <tp>
        <v>430</v>
        <stp/>
        <stp>OPEN_INT</stp>
        <stp>.SPX250620P5930</stp>
        <tr r="AX94" s="1"/>
        <tr r="AX94" s="1"/>
      </tp>
      <tp>
        <v>437</v>
        <stp/>
        <stp>OPEN_INT</stp>
        <stp>.SPX250620C5980</stp>
        <tr r="AW89" s="1"/>
        <tr r="AW89" s="1"/>
      </tp>
      <tp>
        <v>194</v>
        <stp/>
        <stp>OPEN_INT</stp>
        <stp>.SPX250620P5980</stp>
        <tr r="AX89" s="1"/>
        <tr r="AX89" s="1"/>
      </tp>
      <tp>
        <v>482</v>
        <stp/>
        <stp>OPEN_INT</stp>
        <stp>.SPX250620C5990</stp>
        <tr r="AW88" s="1"/>
        <tr r="AW88" s="1"/>
      </tp>
      <tp>
        <v>155</v>
        <stp/>
        <stp>OPEN_INT</stp>
        <stp>.SPX250620P5990</stp>
        <tr r="AX88" s="1"/>
        <tr r="AX88" s="1"/>
      </tp>
      <tp t="s">
        <v>17.45%</v>
        <stp/>
        <stp>IMPL_VOL</stp>
        <stp>.SPX250516P5860</stp>
        <tr r="EO101" s="1"/>
      </tp>
      <tp t="s">
        <v>17.23%</v>
        <stp/>
        <stp>IMPL_VOL</stp>
        <stp>.SPX250516C5860</stp>
        <tr r="EN101" s="1"/>
      </tp>
      <tp t="s">
        <v>17.29%</v>
        <stp/>
        <stp>IMPL_VOL</stp>
        <stp>.SPX250516P5870</stp>
        <tr r="EO100" s="1"/>
      </tp>
      <tp t="s">
        <v>17.08%</v>
        <stp/>
        <stp>IMPL_VOL</stp>
        <stp>.SPX250516C5870</stp>
        <tr r="EN100" s="1"/>
      </tp>
      <tp t="s">
        <v>17.80%</v>
        <stp/>
        <stp>IMPL_VOL</stp>
        <stp>.SPX250516P5840</stp>
        <tr r="EO103" s="1"/>
      </tp>
      <tp t="s">
        <v>17.58%</v>
        <stp/>
        <stp>IMPL_VOL</stp>
        <stp>.SPX250516C5840</stp>
        <tr r="EN103" s="1"/>
      </tp>
      <tp t="s">
        <v>17.62%</v>
        <stp/>
        <stp>IMPL_VOL</stp>
        <stp>.SPX250516P5850</stp>
        <tr r="EO102" s="1"/>
      </tp>
      <tp t="s">
        <v>17.40%</v>
        <stp/>
        <stp>IMPL_VOL</stp>
        <stp>.SPX250516C5850</stp>
        <tr r="EN102" s="1"/>
      </tp>
      <tp t="s">
        <v>18.17%</v>
        <stp/>
        <stp>IMPL_VOL</stp>
        <stp>.SPX250516P5820</stp>
        <tr r="EO105" s="1"/>
      </tp>
      <tp t="s">
        <v>17.90%</v>
        <stp/>
        <stp>IMPL_VOL</stp>
        <stp>.SPX250516C5820</stp>
        <tr r="EN105" s="1"/>
      </tp>
      <tp t="s">
        <v>17.96%</v>
        <stp/>
        <stp>IMPL_VOL</stp>
        <stp>.SPX250516P5830</stp>
        <tr r="EO104" s="1"/>
      </tp>
      <tp t="s">
        <v>17.76%</v>
        <stp/>
        <stp>IMPL_VOL</stp>
        <stp>.SPX250516C5830</stp>
        <tr r="EN104" s="1"/>
      </tp>
      <tp t="s">
        <v>18.53%</v>
        <stp/>
        <stp>IMPL_VOL</stp>
        <stp>.SPX250516P5800</stp>
        <tr r="EO107" s="1"/>
      </tp>
      <tp t="s">
        <v>18.27%</v>
        <stp/>
        <stp>IMPL_VOL</stp>
        <stp>.SPX250516C5800</stp>
        <tr r="EN107" s="1"/>
      </tp>
      <tp t="s">
        <v>18.33%</v>
        <stp/>
        <stp>IMPL_VOL</stp>
        <stp>.SPX250516P5810</stp>
        <tr r="EO106" s="1"/>
      </tp>
      <tp t="s">
        <v>18.10%</v>
        <stp/>
        <stp>IMPL_VOL</stp>
        <stp>.SPX250516C5810</stp>
        <tr r="EN106" s="1"/>
      </tp>
      <tp t="s">
        <v>17.15%</v>
        <stp/>
        <stp>IMPL_VOL</stp>
        <stp>.SPX250516P5880</stp>
        <tr r="EO99" s="1"/>
      </tp>
      <tp t="s">
        <v>16.91%</v>
        <stp/>
        <stp>IMPL_VOL</stp>
        <stp>.SPX250516C5880</stp>
        <tr r="EN99" s="1"/>
      </tp>
      <tp t="s">
        <v>17.01%</v>
        <stp/>
        <stp>IMPL_VOL</stp>
        <stp>.SPX250516P5890</stp>
        <tr r="EO98" s="1"/>
      </tp>
      <tp t="s">
        <v>16.79%</v>
        <stp/>
        <stp>IMPL_VOL</stp>
        <stp>.SPX250516C5890</stp>
        <tr r="EN98" s="1"/>
      </tp>
      <tp>
        <v>362.5</v>
        <stp/>
        <stp>BID</stp>
        <stp>.NDXP250512C20475</stp>
        <tr r="DE172" s="1"/>
        <tr r="DE172" s="1"/>
      </tp>
      <tp>
        <v>387.5</v>
        <stp/>
        <stp>BID</stp>
        <stp>.NDXP250512C20450</stp>
        <tr r="DE173" s="1"/>
        <tr r="DE173" s="1"/>
      </tp>
      <tp>
        <v>412.5</v>
        <stp/>
        <stp>BID</stp>
        <stp>.NDXP250512C20425</stp>
        <tr r="DE174" s="1"/>
        <tr r="DE174" s="1"/>
      </tp>
      <tp>
        <v>421.3</v>
        <stp/>
        <stp>BID</stp>
        <stp>.NDXP250512C20400</stp>
        <tr r="DE175" s="1"/>
        <tr r="DE175" s="1"/>
      </tp>
      <tp>
        <v>0</v>
        <stp/>
        <stp>BID</stp>
        <stp>.NDXP250512P20450</stp>
        <tr r="DF173" s="1"/>
        <tr r="DF173" s="1"/>
      </tp>
      <tp>
        <v>0</v>
        <stp/>
        <stp>BID</stp>
        <stp>.NDXP250512P20475</stp>
        <tr r="DF172" s="1"/>
        <tr r="DF172" s="1"/>
      </tp>
      <tp>
        <v>0</v>
        <stp/>
        <stp>BID</stp>
        <stp>.NDXP250512P20400</stp>
        <tr r="DF175" s="1"/>
        <tr r="DF175" s="1"/>
      </tp>
      <tp>
        <v>0</v>
        <stp/>
        <stp>BID</stp>
        <stp>.NDXP250512P20425</stp>
        <tr r="DF174" s="1"/>
        <tr r="DF174" s="1"/>
      </tp>
      <tp t="s">
        <v>N/A</v>
        <stp/>
        <stp>VOLUME</stp>
        <stp>.NDXPP20175</stp>
        <tr r="D185" s="2"/>
        <tr r="B185" s="2"/>
        <tr r="C185" s="2"/>
        <tr r="F185" s="2"/>
        <tr r="G185" s="2"/>
        <tr r="E185" s="2"/>
      </tp>
      <tp t="s">
        <v>N/A</v>
        <stp/>
        <stp>VOLUME</stp>
        <stp>.NDXPP21175</stp>
        <tr r="G145" s="2"/>
        <tr r="D145" s="2"/>
        <tr r="C145" s="2"/>
        <tr r="F145" s="2"/>
        <tr r="E145" s="2"/>
        <tr r="B145" s="2"/>
      </tp>
      <tp t="s">
        <v>N/A</v>
        <stp/>
        <stp>VOLUME</stp>
        <stp>.NDXPP20150</stp>
        <tr r="E186" s="2"/>
        <tr r="D186" s="2"/>
        <tr r="C186" s="2"/>
        <tr r="B186" s="2"/>
        <tr r="F186" s="2"/>
        <tr r="G186" s="2"/>
      </tp>
      <tp t="s">
        <v>N/A</v>
        <stp/>
        <stp>VOLUME</stp>
        <stp>.NDXPP21150</stp>
        <tr r="E146" s="2"/>
        <tr r="G146" s="2"/>
        <tr r="D146" s="2"/>
        <tr r="B146" s="2"/>
        <tr r="C146" s="2"/>
        <tr r="F146" s="2"/>
      </tp>
      <tp t="s">
        <v>N/A</v>
        <stp/>
        <stp>VOLUME</stp>
        <stp>.NDXPP20125</stp>
        <tr r="G187" s="2"/>
        <tr r="B187" s="2"/>
        <tr r="C187" s="2"/>
        <tr r="D187" s="2"/>
        <tr r="E187" s="2"/>
        <tr r="F187" s="2"/>
      </tp>
      <tp t="s">
        <v>N/A</v>
        <stp/>
        <stp>VOLUME</stp>
        <stp>.NDXPP21125</stp>
        <tr r="B147" s="2"/>
        <tr r="F147" s="2"/>
        <tr r="G147" s="2"/>
        <tr r="C147" s="2"/>
        <tr r="D147" s="2"/>
        <tr r="E147" s="2"/>
      </tp>
      <tp t="s">
        <v>N/A</v>
        <stp/>
        <stp>VOLUME</stp>
        <stp>.NDXPP20100</stp>
        <tr r="E188" s="2"/>
        <tr r="C188" s="2"/>
        <tr r="B188" s="2"/>
        <tr r="D188" s="2"/>
        <tr r="F188" s="2"/>
        <tr r="G188" s="2"/>
      </tp>
      <tp t="s">
        <v>N/A</v>
        <stp/>
        <stp>VOLUME</stp>
        <stp>.NDXPP21100</stp>
        <tr r="B148" s="2"/>
        <tr r="C148" s="2"/>
        <tr r="D148" s="2"/>
        <tr r="F148" s="2"/>
        <tr r="G148" s="2"/>
        <tr r="E148" s="2"/>
      </tp>
      <tp t="s">
        <v>N/A</v>
        <stp/>
        <stp>LAST</stp>
        <stp>.SPXW250512P6010</stp>
        <tr r="DB86" s="1"/>
      </tp>
      <tp t="s">
        <v>N/A</v>
        <stp/>
        <stp>LAST</stp>
        <stp>.SPXW250512C6010</stp>
        <tr r="DA86" s="1"/>
      </tp>
      <tp>
        <v>170.2</v>
        <stp/>
        <stp>LAST</stp>
        <stp>.SPXW250512P6000</stp>
        <tr r="DB87" s="1"/>
        <tr r="DB87" s="1"/>
      </tp>
      <tp>
        <v>0.05</v>
        <stp/>
        <stp>LAST</stp>
        <stp>.SPXW250512C6000</stp>
        <tr r="DA87" s="1"/>
        <tr r="DA87" s="1"/>
      </tp>
      <tp t="s">
        <v>N/A</v>
        <stp/>
        <stp>LAST</stp>
        <stp>.SPXW250512P6020</stp>
        <tr r="DB85" s="1"/>
      </tp>
      <tp t="s">
        <v>N/A</v>
        <stp/>
        <stp>LAST</stp>
        <stp>.SPXW250512C6020</stp>
        <tr r="DA85" s="1"/>
      </tp>
      <tp t="s">
        <v>N/A</v>
        <stp/>
        <stp>VOLUME</stp>
        <stp>.NDXPC20150</stp>
        <tr r="E186" s="2"/>
        <tr r="D186" s="2"/>
        <tr r="C186" s="2"/>
        <tr r="B186" s="2"/>
        <tr r="F186" s="2"/>
        <tr r="G186" s="2"/>
      </tp>
      <tp t="s">
        <v>N/A</v>
        <stp/>
        <stp>VOLUME</stp>
        <stp>.NDXPC21150</stp>
        <tr r="E146" s="2"/>
        <tr r="G146" s="2"/>
        <tr r="D146" s="2"/>
        <tr r="B146" s="2"/>
        <tr r="C146" s="2"/>
        <tr r="F146" s="2"/>
      </tp>
      <tp t="s">
        <v>N/A</v>
        <stp/>
        <stp>VOLUME</stp>
        <stp>.NDXPC20175</stp>
        <tr r="D185" s="2"/>
        <tr r="B185" s="2"/>
        <tr r="C185" s="2"/>
        <tr r="F185" s="2"/>
        <tr r="G185" s="2"/>
        <tr r="E185" s="2"/>
      </tp>
      <tp t="s">
        <v>N/A</v>
        <stp/>
        <stp>VOLUME</stp>
        <stp>.NDXPC21175</stp>
        <tr r="G145" s="2"/>
        <tr r="D145" s="2"/>
        <tr r="C145" s="2"/>
        <tr r="F145" s="2"/>
        <tr r="E145" s="2"/>
        <tr r="B145" s="2"/>
      </tp>
      <tp t="s">
        <v>N/A</v>
        <stp/>
        <stp>VOLUME</stp>
        <stp>.NDXPC20100</stp>
        <tr r="E188" s="2"/>
        <tr r="C188" s="2"/>
        <tr r="B188" s="2"/>
        <tr r="D188" s="2"/>
        <tr r="F188" s="2"/>
        <tr r="G188" s="2"/>
      </tp>
      <tp t="s">
        <v>N/A</v>
        <stp/>
        <stp>VOLUME</stp>
        <stp>.NDXPC21100</stp>
        <tr r="B148" s="2"/>
        <tr r="C148" s="2"/>
        <tr r="D148" s="2"/>
        <tr r="F148" s="2"/>
        <tr r="G148" s="2"/>
        <tr r="E148" s="2"/>
      </tp>
      <tp t="s">
        <v>N/A</v>
        <stp/>
        <stp>VOLUME</stp>
        <stp>.NDXPC20125</stp>
        <tr r="G187" s="2"/>
        <tr r="B187" s="2"/>
        <tr r="C187" s="2"/>
        <tr r="D187" s="2"/>
        <tr r="E187" s="2"/>
        <tr r="F187" s="2"/>
      </tp>
      <tp t="s">
        <v>N/A</v>
        <stp/>
        <stp>VOLUME</stp>
        <stp>.NDXPC21125</stp>
        <tr r="B147" s="2"/>
        <tr r="F147" s="2"/>
        <tr r="G147" s="2"/>
        <tr r="C147" s="2"/>
        <tr r="D147" s="2"/>
        <tr r="E147" s="2"/>
      </tp>
      <tp>
        <v>395</v>
        <stp/>
        <stp>OPEN_INT</stp>
        <stp>.SPX250516C5920</stp>
        <tr r="AU95" s="1"/>
        <tr r="AU95" s="1"/>
      </tp>
      <tp>
        <v>181</v>
        <stp/>
        <stp>OPEN_INT</stp>
        <stp>.SPX250516P5920</stp>
        <tr r="AV95" s="1"/>
        <tr r="AV95" s="1"/>
      </tp>
      <tp>
        <v>400</v>
        <stp/>
        <stp>OPEN_INT</stp>
        <stp>.SPX250516C5930</stp>
        <tr r="AU94" s="1"/>
        <tr r="AU94" s="1"/>
      </tp>
      <tp>
        <v>141</v>
        <stp/>
        <stp>OPEN_INT</stp>
        <stp>.SPX250516P5930</stp>
        <tr r="AV94" s="1"/>
        <tr r="AV94" s="1"/>
      </tp>
      <tp>
        <v>19869</v>
        <stp/>
        <stp>OPEN_INT</stp>
        <stp>.SPX250516C5900</stp>
        <tr r="AU97" s="1"/>
        <tr r="AU97" s="1"/>
      </tp>
      <tp>
        <v>5461</v>
        <stp/>
        <stp>OPEN_INT</stp>
        <stp>.SPX250516P5900</stp>
        <tr r="AV97" s="1"/>
        <tr r="AV97" s="1"/>
      </tp>
      <tp>
        <v>837</v>
        <stp/>
        <stp>OPEN_INT</stp>
        <stp>.SPX250516C5910</stp>
        <tr r="AU96" s="1"/>
        <tr r="AU96" s="1"/>
      </tp>
      <tp>
        <v>141</v>
        <stp/>
        <stp>OPEN_INT</stp>
        <stp>.SPX250516P5910</stp>
        <tr r="AV96" s="1"/>
        <tr r="AV96" s="1"/>
      </tp>
      <tp>
        <v>302</v>
        <stp/>
        <stp>OPEN_INT</stp>
        <stp>.SPX250516C5960</stp>
        <tr r="AU91" s="1"/>
        <tr r="AU91" s="1"/>
      </tp>
      <tp>
        <v>220</v>
        <stp/>
        <stp>OPEN_INT</stp>
        <stp>.SPX250516P5960</stp>
        <tr r="AV91" s="1"/>
        <tr r="AV91" s="1"/>
      </tp>
      <tp>
        <v>415</v>
        <stp/>
        <stp>OPEN_INT</stp>
        <stp>.SPX250516C5970</stp>
        <tr r="AU90" s="1"/>
        <tr r="AU90" s="1"/>
      </tp>
      <tp>
        <v>387</v>
        <stp/>
        <stp>OPEN_INT</stp>
        <stp>.SPX250516P5970</stp>
        <tr r="AV90" s="1"/>
        <tr r="AV90" s="1"/>
      </tp>
      <tp>
        <v>498</v>
        <stp/>
        <stp>OPEN_INT</stp>
        <stp>.SPX250516C5940</stp>
        <tr r="AU93" s="1"/>
        <tr r="AU93" s="1"/>
      </tp>
      <tp>
        <v>157</v>
        <stp/>
        <stp>OPEN_INT</stp>
        <stp>.SPX250516P5940</stp>
        <tr r="AV93" s="1"/>
        <tr r="AV93" s="1"/>
      </tp>
      <tp>
        <v>9245</v>
        <stp/>
        <stp>OPEN_INT</stp>
        <stp>.SPX250516C5950</stp>
        <tr r="AU92" s="1"/>
        <tr r="AU92" s="1"/>
      </tp>
      <tp>
        <v>3377</v>
        <stp/>
        <stp>OPEN_INT</stp>
        <stp>.SPX250516P5950</stp>
        <tr r="AV92" s="1"/>
        <tr r="AV92" s="1"/>
      </tp>
      <tp>
        <v>435</v>
        <stp/>
        <stp>OPEN_INT</stp>
        <stp>.SPX250516C5980</stp>
        <tr r="AU89" s="1"/>
        <tr r="AU89" s="1"/>
      </tp>
      <tp>
        <v>333</v>
        <stp/>
        <stp>OPEN_INT</stp>
        <stp>.SPX250516P5980</stp>
        <tr r="AV89" s="1"/>
        <tr r="AV89" s="1"/>
      </tp>
      <tp>
        <v>315</v>
        <stp/>
        <stp>OPEN_INT</stp>
        <stp>.SPX250516C5990</stp>
        <tr r="AU88" s="1"/>
        <tr r="AU88" s="1"/>
      </tp>
      <tp>
        <v>346</v>
        <stp/>
        <stp>OPEN_INT</stp>
        <stp>.SPX250516P5990</stp>
        <tr r="AV88" s="1"/>
        <tr r="AV88" s="1"/>
      </tp>
      <tp t="s">
        <v>16.44%</v>
        <stp/>
        <stp>IMPL_VOL</stp>
        <stp>.SPX250620P5800</stp>
        <tr r="EQ107" s="1"/>
      </tp>
      <tp t="s">
        <v>15.52%</v>
        <stp/>
        <stp>IMPL_VOL</stp>
        <stp>.SPX250620C5800</stp>
        <tr r="EP107" s="1"/>
      </tp>
      <tp t="s">
        <v>16.30%</v>
        <stp/>
        <stp>IMPL_VOL</stp>
        <stp>.SPX250620P5810</stp>
        <tr r="EQ106" s="1"/>
      </tp>
      <tp t="s">
        <v>15.39%</v>
        <stp/>
        <stp>IMPL_VOL</stp>
        <stp>.SPX250620C5810</stp>
        <tr r="EP106" s="1"/>
      </tp>
      <tp t="s">
        <v>16.16%</v>
        <stp/>
        <stp>IMPL_VOL</stp>
        <stp>.SPX250620P5820</stp>
        <tr r="EQ105" s="1"/>
      </tp>
      <tp t="s">
        <v>15.26%</v>
        <stp/>
        <stp>IMPL_VOL</stp>
        <stp>.SPX250620C5820</stp>
        <tr r="EP105" s="1"/>
      </tp>
      <tp t="s">
        <v>16.03%</v>
        <stp/>
        <stp>IMPL_VOL</stp>
        <stp>.SPX250620P5830</stp>
        <tr r="EQ104" s="1"/>
      </tp>
      <tp t="s">
        <v>15.14%</v>
        <stp/>
        <stp>IMPL_VOL</stp>
        <stp>.SPX250620C5830</stp>
        <tr r="EP104" s="1"/>
      </tp>
      <tp t="s">
        <v>15.90%</v>
        <stp/>
        <stp>IMPL_VOL</stp>
        <stp>.SPX250620P5840</stp>
        <tr r="EQ103" s="1"/>
      </tp>
      <tp t="s">
        <v>15.02%</v>
        <stp/>
        <stp>IMPL_VOL</stp>
        <stp>.SPX250620C5840</stp>
        <tr r="EP103" s="1"/>
      </tp>
      <tp t="s">
        <v>15.77%</v>
        <stp/>
        <stp>IMPL_VOL</stp>
        <stp>.SPX250620P5850</stp>
        <tr r="EQ102" s="1"/>
      </tp>
      <tp t="s">
        <v>14.91%</v>
        <stp/>
        <stp>IMPL_VOL</stp>
        <stp>.SPX250620C5850</stp>
        <tr r="EP102" s="1"/>
      </tp>
      <tp t="s">
        <v>15.64%</v>
        <stp/>
        <stp>IMPL_VOL</stp>
        <stp>.SPX250620P5860</stp>
        <tr r="EQ101" s="1"/>
      </tp>
      <tp t="s">
        <v>14.78%</v>
        <stp/>
        <stp>IMPL_VOL</stp>
        <stp>.SPX250620C5860</stp>
        <tr r="EP101" s="1"/>
      </tp>
      <tp t="s">
        <v>15.52%</v>
        <stp/>
        <stp>IMPL_VOL</stp>
        <stp>.SPX250620P5870</stp>
        <tr r="EQ100" s="1"/>
      </tp>
      <tp t="s">
        <v>14.67%</v>
        <stp/>
        <stp>IMPL_VOL</stp>
        <stp>.SPX250620C5870</stp>
        <tr r="EP100" s="1"/>
      </tp>
      <tp t="s">
        <v>15.40%</v>
        <stp/>
        <stp>IMPL_VOL</stp>
        <stp>.SPX250620P5880</stp>
        <tr r="EQ99" s="1"/>
      </tp>
      <tp t="s">
        <v>14.55%</v>
        <stp/>
        <stp>IMPL_VOL</stp>
        <stp>.SPX250620C5880</stp>
        <tr r="EP99" s="1"/>
      </tp>
      <tp t="s">
        <v>15.28%</v>
        <stp/>
        <stp>IMPL_VOL</stp>
        <stp>.SPX250620P5890</stp>
        <tr r="EQ98" s="1"/>
      </tp>
      <tp t="s">
        <v>14.43%</v>
        <stp/>
        <stp>IMPL_VOL</stp>
        <stp>.SPX250620C5890</stp>
        <tr r="EP98" s="1"/>
      </tp>
      <tp>
        <v>262.39999999999998</v>
        <stp/>
        <stp>BID</stp>
        <stp>.NDXP250512C20575</stp>
        <tr r="DE168" s="1"/>
        <tr r="DE168" s="1"/>
      </tp>
      <tp>
        <v>287.39999999999998</v>
        <stp/>
        <stp>BID</stp>
        <stp>.NDXP250512C20550</stp>
        <tr r="DE169" s="1"/>
        <tr r="DE169" s="1"/>
      </tp>
      <tp>
        <v>314</v>
        <stp/>
        <stp>BID</stp>
        <stp>.NDXP250512C20525</stp>
        <tr r="DE170" s="1"/>
        <tr r="DE170" s="1"/>
      </tp>
      <tp>
        <v>337.4</v>
        <stp/>
        <stp>BID</stp>
        <stp>.NDXP250512C20500</stp>
        <tr r="DE171" s="1"/>
        <tr r="DE171" s="1"/>
      </tp>
      <tp>
        <v>0</v>
        <stp/>
        <stp>BID</stp>
        <stp>.NDXP250512P20550</stp>
        <tr r="DF169" s="1"/>
        <tr r="DF169" s="1"/>
      </tp>
      <tp>
        <v>0</v>
        <stp/>
        <stp>BID</stp>
        <stp>.NDXP250512P20575</stp>
        <tr r="DF168" s="1"/>
        <tr r="DF168" s="1"/>
      </tp>
      <tp>
        <v>0</v>
        <stp/>
        <stp>BID</stp>
        <stp>.NDXP250512P20500</stp>
        <tr r="DF171" s="1"/>
        <tr r="DF171" s="1"/>
      </tp>
      <tp>
        <v>0</v>
        <stp/>
        <stp>BID</stp>
        <stp>.NDXP250512P20525</stp>
        <tr r="DF170" s="1"/>
        <tr r="DF170" s="1"/>
      </tp>
      <tp t="s">
        <v>N/A</v>
        <stp/>
        <stp>VOLUME</stp>
        <stp>.NDXPP20075</stp>
        <tr r="E189" s="2"/>
        <tr r="F189" s="2"/>
        <tr r="G189" s="2"/>
        <tr r="D189" s="2"/>
        <tr r="C189" s="2"/>
        <tr r="B189" s="2"/>
      </tp>
      <tp t="s">
        <v>N/A</v>
        <stp/>
        <stp>VOLUME</stp>
        <stp>.NDXPP21075</stp>
        <tr r="F149" s="2"/>
        <tr r="G149" s="2"/>
        <tr r="E149" s="2"/>
        <tr r="D149" s="2"/>
        <tr r="B149" s="2"/>
        <tr r="C149" s="2"/>
      </tp>
      <tp t="s">
        <v>N/A</v>
        <stp/>
        <stp>VOLUME</stp>
        <stp>.NDXPP20050</stp>
        <tr r="E190" s="2"/>
        <tr r="F190" s="2"/>
        <tr r="G190" s="2"/>
        <tr r="C190" s="2"/>
        <tr r="D190" s="2"/>
        <tr r="B190" s="2"/>
      </tp>
      <tp t="s">
        <v>N/A</v>
        <stp/>
        <stp>VOLUME</stp>
        <stp>.NDXPP21050</stp>
        <tr r="G150" s="2"/>
        <tr r="E150" s="2"/>
        <tr r="F150" s="2"/>
        <tr r="B150" s="2"/>
        <tr r="D150" s="2"/>
        <tr r="C150" s="2"/>
      </tp>
      <tp t="s">
        <v>N/A</v>
        <stp/>
        <stp>VOLUME</stp>
        <stp>.NDXPP21025</stp>
        <tr r="G151" s="2"/>
        <tr r="B151" s="2"/>
        <tr r="E151" s="2"/>
        <tr r="D151" s="2"/>
        <tr r="C151" s="2"/>
        <tr r="F151" s="2"/>
      </tp>
      <tp t="s">
        <v>N/A</v>
        <stp/>
        <stp>VOLUME</stp>
        <stp>.NDXPP21000</stp>
        <tr r="D152" s="2"/>
        <tr r="E152" s="2"/>
        <tr r="F152" s="2"/>
        <tr r="G152" s="2"/>
        <tr r="C152" s="2"/>
        <tr r="B152" s="2"/>
      </tp>
      <tp t="s">
        <v>N/A</v>
        <stp/>
        <stp>VOLUME</stp>
        <stp>.NDXPC20050</stp>
        <tr r="E190" s="2"/>
        <tr r="F190" s="2"/>
        <tr r="G190" s="2"/>
        <tr r="C190" s="2"/>
        <tr r="D190" s="2"/>
        <tr r="B190" s="2"/>
      </tp>
      <tp t="s">
        <v>N/A</v>
        <stp/>
        <stp>VOLUME</stp>
        <stp>.NDXPC21050</stp>
        <tr r="G150" s="2"/>
        <tr r="E150" s="2"/>
        <tr r="F150" s="2"/>
        <tr r="B150" s="2"/>
        <tr r="D150" s="2"/>
        <tr r="C150" s="2"/>
      </tp>
      <tp t="s">
        <v>N/A</v>
        <stp/>
        <stp>VOLUME</stp>
        <stp>.NDXPC20075</stp>
        <tr r="E189" s="2"/>
        <tr r="F189" s="2"/>
        <tr r="G189" s="2"/>
        <tr r="D189" s="2"/>
        <tr r="C189" s="2"/>
        <tr r="B189" s="2"/>
      </tp>
      <tp t="s">
        <v>N/A</v>
        <stp/>
        <stp>VOLUME</stp>
        <stp>.NDXPC21075</stp>
        <tr r="F149" s="2"/>
        <tr r="G149" s="2"/>
        <tr r="E149" s="2"/>
        <tr r="D149" s="2"/>
        <tr r="B149" s="2"/>
        <tr r="C149" s="2"/>
      </tp>
      <tp t="s">
        <v>N/A</v>
        <stp/>
        <stp>VOLUME</stp>
        <stp>.NDXPC21000</stp>
        <tr r="D152" s="2"/>
        <tr r="E152" s="2"/>
        <tr r="F152" s="2"/>
        <tr r="G152" s="2"/>
        <tr r="C152" s="2"/>
        <tr r="B152" s="2"/>
      </tp>
      <tp t="s">
        <v>N/A</v>
        <stp/>
        <stp>VOLUME</stp>
        <stp>.NDXPC21025</stp>
        <tr r="G151" s="2"/>
        <tr r="B151" s="2"/>
        <tr r="E151" s="2"/>
        <tr r="D151" s="2"/>
        <tr r="C151" s="2"/>
        <tr r="F151" s="2"/>
      </tp>
      <tp>
        <v>1421</v>
        <stp/>
        <stp>OPEN_INT</stp>
        <stp>.SPX250516C5820</stp>
        <tr r="AU105" s="1"/>
        <tr r="AU105" s="1"/>
      </tp>
      <tp>
        <v>910</v>
        <stp/>
        <stp>OPEN_INT</stp>
        <stp>.SPX250516P5820</stp>
        <tr r="AV105" s="1"/>
        <tr r="AV105" s="1"/>
      </tp>
      <tp>
        <v>1508</v>
        <stp/>
        <stp>OPEN_INT</stp>
        <stp>.SPX250516C5830</stp>
        <tr r="AU104" s="1"/>
        <tr r="AU104" s="1"/>
      </tp>
      <tp>
        <v>864</v>
        <stp/>
        <stp>OPEN_INT</stp>
        <stp>.SPX250516P5830</stp>
        <tr r="AV104" s="1"/>
        <tr r="AV104" s="1"/>
      </tp>
      <tp>
        <v>20098</v>
        <stp/>
        <stp>OPEN_INT</stp>
        <stp>.SPX250516C5800</stp>
        <tr r="AU107" s="1"/>
        <tr r="AU107" s="1"/>
      </tp>
      <tp>
        <v>23869</v>
        <stp/>
        <stp>OPEN_INT</stp>
        <stp>.SPX250516P5800</stp>
        <tr r="AV107" s="1"/>
        <tr r="AV107" s="1"/>
      </tp>
      <tp>
        <v>984</v>
        <stp/>
        <stp>OPEN_INT</stp>
        <stp>.SPX250516C5810</stp>
        <tr r="AU106" s="1"/>
        <tr r="AU106" s="1"/>
      </tp>
      <tp>
        <v>425</v>
        <stp/>
        <stp>OPEN_INT</stp>
        <stp>.SPX250516P5810</stp>
        <tr r="AV106" s="1"/>
        <tr r="AV106" s="1"/>
      </tp>
      <tp>
        <v>273</v>
        <stp/>
        <stp>OPEN_INT</stp>
        <stp>.SPX250516C5860</stp>
        <tr r="AU101" s="1"/>
        <tr r="AU101" s="1"/>
      </tp>
      <tp>
        <v>598</v>
        <stp/>
        <stp>OPEN_INT</stp>
        <stp>.SPX250516P5860</stp>
        <tr r="AV101" s="1"/>
        <tr r="AV101" s="1"/>
      </tp>
      <tp>
        <v>466</v>
        <stp/>
        <stp>OPEN_INT</stp>
        <stp>.SPX250516C5870</stp>
        <tr r="AU100" s="1"/>
        <tr r="AU100" s="1"/>
      </tp>
      <tp>
        <v>613</v>
        <stp/>
        <stp>OPEN_INT</stp>
        <stp>.SPX250516P5870</stp>
        <tr r="AV100" s="1"/>
        <tr r="AV100" s="1"/>
      </tp>
      <tp>
        <v>362</v>
        <stp/>
        <stp>OPEN_INT</stp>
        <stp>.SPX250516C5840</stp>
        <tr r="AU103" s="1"/>
        <tr r="AU103" s="1"/>
      </tp>
      <tp>
        <v>251</v>
        <stp/>
        <stp>OPEN_INT</stp>
        <stp>.SPX250516P5840</stp>
        <tr r="AV103" s="1"/>
        <tr r="AV103" s="1"/>
      </tp>
      <tp>
        <v>15275</v>
        <stp/>
        <stp>OPEN_INT</stp>
        <stp>.SPX250516C5850</stp>
        <tr r="AU102" s="1"/>
        <tr r="AU102" s="1"/>
      </tp>
      <tp>
        <v>3773</v>
        <stp/>
        <stp>OPEN_INT</stp>
        <stp>.SPX250516P5850</stp>
        <tr r="AV102" s="1"/>
        <tr r="AV102" s="1"/>
      </tp>
      <tp>
        <v>815</v>
        <stp/>
        <stp>OPEN_INT</stp>
        <stp>.SPX250516C5880</stp>
        <tr r="AU99" s="1"/>
        <tr r="AU99" s="1"/>
      </tp>
      <tp>
        <v>507</v>
        <stp/>
        <stp>OPEN_INT</stp>
        <stp>.SPX250516P5880</stp>
        <tr r="AV99" s="1"/>
        <tr r="AV99" s="1"/>
      </tp>
      <tp>
        <v>337</v>
        <stp/>
        <stp>OPEN_INT</stp>
        <stp>.SPX250516C5890</stp>
        <tr r="AU98" s="1"/>
        <tr r="AU98" s="1"/>
      </tp>
      <tp>
        <v>220</v>
        <stp/>
        <stp>OPEN_INT</stp>
        <stp>.SPX250516P5890</stp>
        <tr r="AV98" s="1"/>
        <tr r="AV98" s="1"/>
      </tp>
      <tp t="s">
        <v>15.18%</v>
        <stp/>
        <stp>IMPL_VOL</stp>
        <stp>.SPX250620P5900</stp>
        <tr r="EQ97" s="1"/>
      </tp>
      <tp t="s">
        <v>14.31%</v>
        <stp/>
        <stp>IMPL_VOL</stp>
        <stp>.SPX250620C5900</stp>
        <tr r="EP97" s="1"/>
      </tp>
      <tp t="s">
        <v>15.07%</v>
        <stp/>
        <stp>IMPL_VOL</stp>
        <stp>.SPX250620P5910</stp>
        <tr r="EQ96" s="1"/>
      </tp>
      <tp t="s">
        <v>14.21%</v>
        <stp/>
        <stp>IMPL_VOL</stp>
        <stp>.SPX250620C5910</stp>
        <tr r="EP96" s="1"/>
      </tp>
      <tp t="s">
        <v>14.97%</v>
        <stp/>
        <stp>IMPL_VOL</stp>
        <stp>.SPX250620P5920</stp>
        <tr r="EQ95" s="1"/>
      </tp>
      <tp t="s">
        <v>14.10%</v>
        <stp/>
        <stp>IMPL_VOL</stp>
        <stp>.SPX250620C5920</stp>
        <tr r="EP95" s="1"/>
      </tp>
      <tp t="s">
        <v>14.88%</v>
        <stp/>
        <stp>IMPL_VOL</stp>
        <stp>.SPX250620P5930</stp>
        <tr r="EQ94" s="1"/>
      </tp>
      <tp t="s">
        <v>14.00%</v>
        <stp/>
        <stp>IMPL_VOL</stp>
        <stp>.SPX250620C5930</stp>
        <tr r="EP94" s="1"/>
      </tp>
      <tp t="s">
        <v>14.79%</v>
        <stp/>
        <stp>IMPL_VOL</stp>
        <stp>.SPX250620P5940</stp>
        <tr r="EQ93" s="1"/>
      </tp>
      <tp t="s">
        <v>13.89%</v>
        <stp/>
        <stp>IMPL_VOL</stp>
        <stp>.SPX250620C5940</stp>
        <tr r="EP93" s="1"/>
      </tp>
      <tp t="s">
        <v>14.71%</v>
        <stp/>
        <stp>IMPL_VOL</stp>
        <stp>.SPX250620P5950</stp>
        <tr r="EQ92" s="1"/>
      </tp>
      <tp t="s">
        <v>13.79%</v>
        <stp/>
        <stp>IMPL_VOL</stp>
        <stp>.SPX250620C5950</stp>
        <tr r="EP92" s="1"/>
      </tp>
      <tp t="s">
        <v>14.62%</v>
        <stp/>
        <stp>IMPL_VOL</stp>
        <stp>.SPX250620P5960</stp>
        <tr r="EQ91" s="1"/>
      </tp>
      <tp t="s">
        <v>13.71%</v>
        <stp/>
        <stp>IMPL_VOL</stp>
        <stp>.SPX250620C5960</stp>
        <tr r="EP91" s="1"/>
      </tp>
      <tp t="s">
        <v>14.54%</v>
        <stp/>
        <stp>IMPL_VOL</stp>
        <stp>.SPX250620P5970</stp>
        <tr r="EQ90" s="1"/>
      </tp>
      <tp t="s">
        <v>13.62%</v>
        <stp/>
        <stp>IMPL_VOL</stp>
        <stp>.SPX250620C5970</stp>
        <tr r="EP90" s="1"/>
      </tp>
      <tp t="s">
        <v>14.47%</v>
        <stp/>
        <stp>IMPL_VOL</stp>
        <stp>.SPX250620P5980</stp>
        <tr r="EQ89" s="1"/>
      </tp>
      <tp t="s">
        <v>13.53%</v>
        <stp/>
        <stp>IMPL_VOL</stp>
        <stp>.SPX250620C5980</stp>
        <tr r="EP89" s="1"/>
      </tp>
      <tp t="s">
        <v>14.43%</v>
        <stp/>
        <stp>IMPL_VOL</stp>
        <stp>.SPX250620P5990</stp>
        <tr r="EQ88" s="1"/>
      </tp>
      <tp t="s">
        <v>13.44%</v>
        <stp/>
        <stp>IMPL_VOL</stp>
        <stp>.SPX250620C5990</stp>
        <tr r="EP88" s="1"/>
      </tp>
      <tp t="s">
        <v>N/A</v>
        <stp/>
        <stp>BID</stp>
        <stp>.NDXP250512C21275</stp>
        <tr r="DE140" s="1"/>
      </tp>
      <tp>
        <v>548</v>
        <stp/>
        <stp>BID</stp>
        <stp>.NDXP250512C20275</stp>
        <tr r="DE180" s="1"/>
        <tr r="DE180" s="1"/>
      </tp>
      <tp>
        <v>0</v>
        <stp/>
        <stp>BID</stp>
        <stp>.NDXP250512C21250</stp>
        <tr r="DE141" s="1"/>
        <tr r="DE141" s="1"/>
      </tp>
      <tp>
        <v>574</v>
        <stp/>
        <stp>BID</stp>
        <stp>.NDXP250512C20250</stp>
        <tr r="DE181" s="1"/>
        <tr r="DE181" s="1"/>
      </tp>
      <tp t="s">
        <v>N/A</v>
        <stp/>
        <stp>BID</stp>
        <stp>.NDXP250512C21225</stp>
        <tr r="DE142" s="1"/>
      </tp>
      <tp>
        <v>598</v>
        <stp/>
        <stp>BID</stp>
        <stp>.NDXP250512C20225</stp>
        <tr r="DE182" s="1"/>
        <tr r="DE182" s="1"/>
      </tp>
      <tp>
        <v>0</v>
        <stp/>
        <stp>BID</stp>
        <stp>.NDXP250512C21200</stp>
        <tr r="DE143" s="1"/>
        <tr r="DE143" s="1"/>
      </tp>
      <tp>
        <v>624</v>
        <stp/>
        <stp>BID</stp>
        <stp>.NDXP250512C20200</stp>
        <tr r="DE183" s="1"/>
        <tr r="DE183" s="1"/>
      </tp>
      <tp>
        <v>363.7</v>
        <stp/>
        <stp>BID</stp>
        <stp>.NDXP250512P21250</stp>
        <tr r="DF141" s="1"/>
        <tr r="DF141" s="1"/>
      </tp>
      <tp>
        <v>0</v>
        <stp/>
        <stp>BID</stp>
        <stp>.NDXP250512P20250</stp>
        <tr r="DF181" s="1"/>
        <tr r="DF181" s="1"/>
      </tp>
      <tp t="s">
        <v>N/A</v>
        <stp/>
        <stp>BID</stp>
        <stp>.NDXP250512P21275</stp>
        <tr r="DF140" s="1"/>
      </tp>
      <tp>
        <v>0</v>
        <stp/>
        <stp>BID</stp>
        <stp>.NDXP250512P20275</stp>
        <tr r="DF180" s="1"/>
        <tr r="DF180" s="1"/>
      </tp>
      <tp>
        <v>312.7</v>
        <stp/>
        <stp>BID</stp>
        <stp>.NDXP250512P21200</stp>
        <tr r="DF143" s="1"/>
        <tr r="DF143" s="1"/>
      </tp>
      <tp>
        <v>0</v>
        <stp/>
        <stp>BID</stp>
        <stp>.NDXP250512P20200</stp>
        <tr r="DF183" s="1"/>
        <tr r="DF183" s="1"/>
      </tp>
      <tp t="s">
        <v>N/A</v>
        <stp/>
        <stp>BID</stp>
        <stp>.NDXP250512P21225</stp>
        <tr r="DF142" s="1"/>
      </tp>
      <tp>
        <v>0</v>
        <stp/>
        <stp>BID</stp>
        <stp>.NDXP250512P20225</stp>
        <tr r="DF182" s="1"/>
        <tr r="DF182" s="1"/>
      </tp>
      <tp t="s">
        <v>N/A</v>
        <stp/>
        <stp>VOLUME</stp>
        <stp>.NDXPP20775</stp>
        <tr r="F161" s="2"/>
        <tr r="G161" s="2"/>
        <tr r="E161" s="2"/>
        <tr r="B161" s="2"/>
        <tr r="C161" s="2"/>
        <tr r="D161" s="2"/>
      </tp>
      <tp t="s">
        <v>N/A</v>
        <stp/>
        <stp>VOLUME</stp>
        <stp>.NDXPP20750</stp>
        <tr r="C162" s="2"/>
        <tr r="D162" s="2"/>
        <tr r="E162" s="2"/>
        <tr r="F162" s="2"/>
        <tr r="G162" s="2"/>
        <tr r="B162" s="2"/>
      </tp>
      <tp t="s">
        <v>N/A</v>
        <stp/>
        <stp>VOLUME</stp>
        <stp>.NDXPP20725</stp>
        <tr r="G163" s="2"/>
        <tr r="F163" s="2"/>
        <tr r="B163" s="2"/>
        <tr r="D163" s="2"/>
        <tr r="C163" s="2"/>
        <tr r="E163" s="2"/>
      </tp>
      <tp t="s">
        <v>N/A</v>
        <stp/>
        <stp>VOLUME</stp>
        <stp>.NDXPP20700</stp>
        <tr r="F164" s="2"/>
        <tr r="C164" s="2"/>
        <tr r="G164" s="2"/>
        <tr r="B164" s="2"/>
        <tr r="D164" s="2"/>
        <tr r="E164" s="2"/>
      </tp>
      <tp>
        <v>0.05</v>
        <stp/>
        <stp>LAST</stp>
        <stp>.SPXW250512P5610</stp>
        <tr r="DB126" s="1"/>
        <tr r="DB126" s="1"/>
      </tp>
      <tp>
        <v>219.2</v>
        <stp/>
        <stp>LAST</stp>
        <stp>.SPXW250512C5610</stp>
        <tr r="DA126" s="1"/>
        <tr r="DA126" s="1"/>
      </tp>
      <tp>
        <v>0.03</v>
        <stp/>
        <stp>LAST</stp>
        <stp>.SPXW250512P5600</stp>
        <tr r="DB127" s="1"/>
        <tr r="DB127" s="1"/>
      </tp>
      <tp>
        <v>226.9</v>
        <stp/>
        <stp>LAST</stp>
        <stp>.SPXW250512C5600</stp>
        <tr r="DA127" s="1"/>
        <tr r="DA127" s="1"/>
      </tp>
      <tp>
        <v>0.05</v>
        <stp/>
        <stp>LAST</stp>
        <stp>.SPXW250512P5630</stp>
        <tr r="DB124" s="1"/>
        <tr r="DB124" s="1"/>
      </tp>
      <tp>
        <v>197.9</v>
        <stp/>
        <stp>LAST</stp>
        <stp>.SPXW250512C5630</stp>
        <tr r="DA124" s="1"/>
        <tr r="DA124" s="1"/>
      </tp>
      <tp>
        <v>0.05</v>
        <stp/>
        <stp>LAST</stp>
        <stp>.SPXW250512P5620</stp>
        <tr r="DB125" s="1"/>
        <tr r="DB125" s="1"/>
      </tp>
      <tp>
        <v>215.7</v>
        <stp/>
        <stp>LAST</stp>
        <stp>.SPXW250512C5620</stp>
        <tr r="DA125" s="1"/>
        <tr r="DA125" s="1"/>
      </tp>
      <tp>
        <v>0.03</v>
        <stp/>
        <stp>LAST</stp>
        <stp>.SPXW250512P5650</stp>
        <tr r="DB122" s="1"/>
        <tr r="DB122" s="1"/>
      </tp>
      <tp>
        <v>177.98</v>
        <stp/>
        <stp>LAST</stp>
        <stp>.SPXW250512C5650</stp>
        <tr r="DA122" s="1"/>
        <tr r="DA122" s="1"/>
      </tp>
      <tp>
        <v>0.05</v>
        <stp/>
        <stp>LAST</stp>
        <stp>.SPXW250512P5640</stp>
        <tr r="DB123" s="1"/>
        <tr r="DB123" s="1"/>
      </tp>
      <tp>
        <v>193.93</v>
        <stp/>
        <stp>LAST</stp>
        <stp>.SPXW250512C5640</stp>
        <tr r="DA123" s="1"/>
        <tr r="DA123" s="1"/>
      </tp>
      <tp>
        <v>0.03</v>
        <stp/>
        <stp>LAST</stp>
        <stp>.SPXW250512P5670</stp>
        <tr r="DB120" s="1"/>
        <tr r="DB120" s="1"/>
      </tp>
      <tp>
        <v>165.24</v>
        <stp/>
        <stp>LAST</stp>
        <stp>.SPXW250512C5670</stp>
        <tr r="DA120" s="1"/>
        <tr r="DA120" s="1"/>
      </tp>
      <tp>
        <v>0.05</v>
        <stp/>
        <stp>LAST</stp>
        <stp>.SPXW250512P5660</stp>
        <tr r="DB121" s="1"/>
        <tr r="DB121" s="1"/>
      </tp>
      <tp>
        <v>171.88</v>
        <stp/>
        <stp>LAST</stp>
        <stp>.SPXW250512C5660</stp>
        <tr r="DA121" s="1"/>
        <tr r="DA121" s="1"/>
      </tp>
      <tp>
        <v>0.05</v>
        <stp/>
        <stp>LAST</stp>
        <stp>.SPXW250512P5690</stp>
        <tr r="DB118" s="1"/>
        <tr r="DB118" s="1"/>
      </tp>
      <tp t="s">
        <v>N/A</v>
        <stp/>
        <stp>VOLUME</stp>
        <stp>.NDXPC20750</stp>
        <tr r="C162" s="2"/>
        <tr r="D162" s="2"/>
        <tr r="E162" s="2"/>
        <tr r="F162" s="2"/>
        <tr r="G162" s="2"/>
        <tr r="B162" s="2"/>
      </tp>
      <tp>
        <v>147.72999999999999</v>
        <stp/>
        <stp>LAST</stp>
        <stp>.SPXW250512C5690</stp>
        <tr r="DA118" s="1"/>
        <tr r="DA118" s="1"/>
      </tp>
      <tp>
        <v>0.05</v>
        <stp/>
        <stp>LAST</stp>
        <stp>.SPXW250512P5680</stp>
        <tr r="DB119" s="1"/>
        <tr r="DB119" s="1"/>
      </tp>
      <tp>
        <v>164.1</v>
        <stp/>
        <stp>LAST</stp>
        <stp>.SPXW250512C5680</stp>
        <tr r="DA119" s="1"/>
        <tr r="DA119" s="1"/>
      </tp>
      <tp t="s">
        <v>N/A</v>
        <stp/>
        <stp>VOLUME</stp>
        <stp>.NDXPC20775</stp>
        <tr r="F161" s="2"/>
        <tr r="G161" s="2"/>
        <tr r="E161" s="2"/>
        <tr r="B161" s="2"/>
        <tr r="C161" s="2"/>
        <tr r="D161" s="2"/>
      </tp>
      <tp t="s">
        <v>N/A</v>
        <stp/>
        <stp>VOLUME</stp>
        <stp>.NDXPC20700</stp>
        <tr r="F164" s="2"/>
        <tr r="C164" s="2"/>
        <tr r="G164" s="2"/>
        <tr r="B164" s="2"/>
        <tr r="D164" s="2"/>
        <tr r="E164" s="2"/>
      </tp>
      <tp t="s">
        <v>N/A</v>
        <stp/>
        <stp>VOLUME</stp>
        <stp>.NDXPC20725</stp>
        <tr r="G163" s="2"/>
        <tr r="F163" s="2"/>
        <tr r="B163" s="2"/>
        <tr r="D163" s="2"/>
        <tr r="C163" s="2"/>
        <tr r="E163" s="2"/>
      </tp>
      <tp>
        <v>448</v>
        <stp/>
        <stp>BID</stp>
        <stp>.NDXP250512C20375</stp>
        <tr r="DE176" s="1"/>
        <tr r="DE176" s="1"/>
      </tp>
      <tp t="s">
        <v>N/A</v>
        <stp/>
        <stp>BID</stp>
        <stp>.NDXP250512C21350</stp>
        <tr r="DE137" s="1"/>
      </tp>
      <tp>
        <v>474</v>
        <stp/>
        <stp>BID</stp>
        <stp>.NDXP250512C20350</stp>
        <tr r="DE177" s="1"/>
        <tr r="DE177" s="1"/>
      </tp>
      <tp t="s">
        <v>N/A</v>
        <stp/>
        <stp>BID</stp>
        <stp>.NDXP250512C21325</stp>
        <tr r="DE138" s="1"/>
      </tp>
      <tp>
        <v>498</v>
        <stp/>
        <stp>BID</stp>
        <stp>.NDXP250512C20325</stp>
        <tr r="DE178" s="1"/>
        <tr r="DE178" s="1"/>
      </tp>
      <tp>
        <v>0</v>
        <stp/>
        <stp>BID</stp>
        <stp>.NDXP250512C21300</stp>
        <tr r="DE139" s="1"/>
        <tr r="DE139" s="1"/>
      </tp>
      <tp>
        <v>524</v>
        <stp/>
        <stp>BID</stp>
        <stp>.NDXP250512C20300</stp>
        <tr r="DE179" s="1"/>
        <tr r="DE179" s="1"/>
      </tp>
      <tp t="s">
        <v>N/A</v>
        <stp/>
        <stp>BID</stp>
        <stp>.NDXP250512P21350</stp>
        <tr r="DF137" s="1"/>
      </tp>
      <tp>
        <v>0</v>
        <stp/>
        <stp>BID</stp>
        <stp>.NDXP250512P20350</stp>
        <tr r="DF177" s="1"/>
        <tr r="DF177" s="1"/>
      </tp>
      <tp>
        <v>0</v>
        <stp/>
        <stp>BID</stp>
        <stp>.NDXP250512P20375</stp>
        <tr r="DF176" s="1"/>
        <tr r="DF176" s="1"/>
      </tp>
      <tp>
        <v>411.9</v>
        <stp/>
        <stp>BID</stp>
        <stp>.NDXP250512P21300</stp>
        <tr r="DF139" s="1"/>
        <tr r="DF139" s="1"/>
      </tp>
      <tp>
        <v>0</v>
        <stp/>
        <stp>BID</stp>
        <stp>.NDXP250512P20300</stp>
        <tr r="DF179" s="1"/>
        <tr r="DF179" s="1"/>
      </tp>
      <tp t="s">
        <v>N/A</v>
        <stp/>
        <stp>BID</stp>
        <stp>.NDXP250512P21325</stp>
        <tr r="DF138" s="1"/>
      </tp>
      <tp>
        <v>0</v>
        <stp/>
        <stp>BID</stp>
        <stp>.NDXP250512P20325</stp>
        <tr r="DF178" s="1"/>
        <tr r="DF178" s="1"/>
      </tp>
      <tp t="s">
        <v>N/A</v>
        <stp/>
        <stp>VOLUME</stp>
        <stp>.NDXPP20675</stp>
        <tr r="E165" s="2"/>
        <tr r="F165" s="2"/>
        <tr r="C165" s="2"/>
        <tr r="G165" s="2"/>
        <tr r="B165" s="2"/>
        <tr r="D165" s="2"/>
      </tp>
      <tp t="s">
        <v>N/A</v>
        <stp/>
        <stp>VOLUME</stp>
        <stp>.NDXPP20650</stp>
        <tr r="B166" s="2"/>
        <tr r="E166" s="2"/>
        <tr r="F166" s="2"/>
        <tr r="C166" s="2"/>
        <tr r="D166" s="2"/>
        <tr r="G166" s="2"/>
      </tp>
      <tp t="s">
        <v>N/A</v>
        <stp/>
        <stp>VOLUME</stp>
        <stp>.NDXPP20625</stp>
        <tr r="B167" s="2"/>
        <tr r="G167" s="2"/>
        <tr r="D167" s="2"/>
        <tr r="F167" s="2"/>
        <tr r="E167" s="2"/>
        <tr r="C167" s="2"/>
      </tp>
      <tp t="s">
        <v>N/A</v>
        <stp/>
        <stp>VOLUME</stp>
        <stp>.NDXPP20600</stp>
        <tr r="F168" s="2"/>
        <tr r="D168" s="2"/>
        <tr r="C168" s="2"/>
        <tr r="B168" s="2"/>
        <tr r="G168" s="2"/>
        <tr r="E168" s="2"/>
      </tp>
      <tp>
        <v>0.05</v>
        <stp/>
        <stp>LAST</stp>
        <stp>.SPXW250512P5710</stp>
        <tr r="DB116" s="1"/>
        <tr r="DB116" s="1"/>
      </tp>
      <tp>
        <v>125.72</v>
        <stp/>
        <stp>LAST</stp>
        <stp>.SPXW250512C5710</stp>
        <tr r="DA116" s="1"/>
        <tr r="DA116" s="1"/>
      </tp>
      <tp>
        <v>0.03</v>
        <stp/>
        <stp>LAST</stp>
        <stp>.SPXW250512P5700</stp>
        <tr r="DB117" s="1"/>
        <tr r="DB117" s="1"/>
      </tp>
      <tp>
        <v>141.30000000000001</v>
        <stp/>
        <stp>LAST</stp>
        <stp>.SPXW250512C5700</stp>
        <tr r="DA117" s="1"/>
        <tr r="DA117" s="1"/>
      </tp>
      <tp>
        <v>0.05</v>
        <stp/>
        <stp>LAST</stp>
        <stp>.SPXW250512P5730</stp>
        <tr r="DB114" s="1"/>
        <tr r="DB114" s="1"/>
      </tp>
      <tp>
        <v>114.8</v>
        <stp/>
        <stp>LAST</stp>
        <stp>.SPXW250512C5730</stp>
        <tr r="DA114" s="1"/>
        <tr r="DA114" s="1"/>
      </tp>
      <tp>
        <v>0.03</v>
        <stp/>
        <stp>LAST</stp>
        <stp>.SPXW250512P5720</stp>
        <tr r="DB115" s="1"/>
        <tr r="DB115" s="1"/>
      </tp>
      <tp>
        <v>109.44</v>
        <stp/>
        <stp>LAST</stp>
        <stp>.SPXW250512C5720</stp>
        <tr r="DA115" s="1"/>
        <tr r="DA115" s="1"/>
      </tp>
      <tp>
        <v>0.03</v>
        <stp/>
        <stp>LAST</stp>
        <stp>.SPXW250512P5750</stp>
        <tr r="DB112" s="1"/>
        <tr r="DB112" s="1"/>
      </tp>
      <tp>
        <v>88.74</v>
        <stp/>
        <stp>LAST</stp>
        <stp>.SPXW250512C5750</stp>
        <tr r="DA112" s="1"/>
        <tr r="DA112" s="1"/>
      </tp>
      <tp>
        <v>0.03</v>
        <stp/>
        <stp>LAST</stp>
        <stp>.SPXW250512P5740</stp>
        <tr r="DB113" s="1"/>
        <tr r="DB113" s="1"/>
      </tp>
      <tp>
        <v>93.53</v>
        <stp/>
        <stp>LAST</stp>
        <stp>.SPXW250512C5740</stp>
        <tr r="DA113" s="1"/>
        <tr r="DA113" s="1"/>
      </tp>
      <tp>
        <v>0.03</v>
        <stp/>
        <stp>LAST</stp>
        <stp>.SPXW250512P5770</stp>
        <tr r="DB110" s="1"/>
        <tr r="DB110" s="1"/>
      </tp>
      <tp>
        <v>76.78</v>
        <stp/>
        <stp>LAST</stp>
        <stp>.SPXW250512C5770</stp>
        <tr r="DA110" s="1"/>
        <tr r="DA110" s="1"/>
      </tp>
      <tp>
        <v>0.03</v>
        <stp/>
        <stp>LAST</stp>
        <stp>.SPXW250512P5760</stp>
        <tr r="DB111" s="1"/>
        <tr r="DB111" s="1"/>
      </tp>
      <tp>
        <v>77.599999999999994</v>
        <stp/>
        <stp>LAST</stp>
        <stp>.SPXW250512C5760</stp>
        <tr r="DA111" s="1"/>
        <tr r="DA111" s="1"/>
      </tp>
      <tp>
        <v>0.03</v>
        <stp/>
        <stp>LAST</stp>
        <stp>.SPXW250512P5790</stp>
        <tr r="DB108" s="1"/>
        <tr r="DB108" s="1"/>
      </tp>
      <tp t="s">
        <v>N/A</v>
        <stp/>
        <stp>VOLUME</stp>
        <stp>.NDXPC20650</stp>
        <tr r="B166" s="2"/>
        <tr r="E166" s="2"/>
        <tr r="F166" s="2"/>
        <tr r="C166" s="2"/>
        <tr r="D166" s="2"/>
        <tr r="G166" s="2"/>
      </tp>
      <tp>
        <v>56.8</v>
        <stp/>
        <stp>LAST</stp>
        <stp>.SPXW250512C5790</stp>
        <tr r="DA108" s="1"/>
        <tr r="DA108" s="1"/>
      </tp>
      <tp>
        <v>0.03</v>
        <stp/>
        <stp>LAST</stp>
        <stp>.SPXW250512P5780</stp>
        <tr r="DB109" s="1"/>
        <tr r="DB109" s="1"/>
      </tp>
      <tp>
        <v>66.73</v>
        <stp/>
        <stp>LAST</stp>
        <stp>.SPXW250512C5780</stp>
        <tr r="DA109" s="1"/>
        <tr r="DA109" s="1"/>
      </tp>
      <tp t="s">
        <v>N/A</v>
        <stp/>
        <stp>VOLUME</stp>
        <stp>.NDXPC20675</stp>
        <tr r="E165" s="2"/>
        <tr r="F165" s="2"/>
        <tr r="C165" s="2"/>
        <tr r="G165" s="2"/>
        <tr r="B165" s="2"/>
        <tr r="D165" s="2"/>
      </tp>
      <tp t="s">
        <v>N/A</v>
        <stp/>
        <stp>VOLUME</stp>
        <stp>.NDXPC20600</stp>
        <tr r="F168" s="2"/>
        <tr r="D168" s="2"/>
        <tr r="C168" s="2"/>
        <tr r="B168" s="2"/>
        <tr r="G168" s="2"/>
        <tr r="E168" s="2"/>
      </tp>
      <tp t="s">
        <v>N/A</v>
        <stp/>
        <stp>VOLUME</stp>
        <stp>.NDXPC20625</stp>
        <tr r="B167" s="2"/>
        <tr r="G167" s="2"/>
        <tr r="D167" s="2"/>
        <tr r="F167" s="2"/>
        <tr r="E167" s="2"/>
        <tr r="C167" s="2"/>
      </tp>
      <tp t="s">
        <v>N/A</v>
        <stp/>
        <stp>BID</stp>
        <stp>.NDXP250512C21075</stp>
        <tr r="DE148" s="1"/>
      </tp>
      <tp>
        <v>748</v>
        <stp/>
        <stp>BID</stp>
        <stp>.NDXP250512C20075</stp>
        <tr r="DE188" s="1"/>
        <tr r="DE188" s="1"/>
      </tp>
      <tp>
        <v>0</v>
        <stp/>
        <stp>BID</stp>
        <stp>.NDXP250512C21050</stp>
        <tr r="DE149" s="1"/>
        <tr r="DE149" s="1"/>
      </tp>
      <tp>
        <v>774</v>
        <stp/>
        <stp>BID</stp>
        <stp>.NDXP250512C20050</stp>
        <tr r="DE189" s="1"/>
        <tr r="DE189" s="1"/>
      </tp>
      <tp t="s">
        <v>N/A</v>
        <stp/>
        <stp>BID</stp>
        <stp>.NDXP250512C21025</stp>
        <tr r="DE150" s="1"/>
      </tp>
      <tp>
        <v>0</v>
        <stp/>
        <stp>BID</stp>
        <stp>.NDXP250512C21000</stp>
        <tr r="DE151" s="1"/>
        <tr r="DE151" s="1"/>
      </tp>
      <tp>
        <v>176</v>
        <stp/>
        <stp>BID</stp>
        <stp>.NDXP250512P21050</stp>
        <tr r="DF149" s="1"/>
        <tr r="DF149" s="1"/>
      </tp>
      <tp>
        <v>0</v>
        <stp/>
        <stp>BID</stp>
        <stp>.NDXP250512P20050</stp>
        <tr r="DF189" s="1"/>
        <tr r="DF189" s="1"/>
      </tp>
      <tp t="s">
        <v>N/A</v>
        <stp/>
        <stp>BID</stp>
        <stp>.NDXP250512P21075</stp>
        <tr r="DF148" s="1"/>
      </tp>
      <tp>
        <v>0</v>
        <stp/>
        <stp>BID</stp>
        <stp>.NDXP250512P20075</stp>
        <tr r="DF188" s="1"/>
        <tr r="DF188" s="1"/>
      </tp>
      <tp>
        <v>126.3</v>
        <stp/>
        <stp>BID</stp>
        <stp>.NDXP250512P21000</stp>
        <tr r="DF151" s="1"/>
        <tr r="DF151" s="1"/>
      </tp>
      <tp t="s">
        <v>N/A</v>
        <stp/>
        <stp>BID</stp>
        <stp>.NDXP250512P21025</stp>
        <tr r="DF150" s="1"/>
      </tp>
      <tp t="s">
        <v>N/A</v>
        <stp/>
        <stp>VOLUME</stp>
        <stp>.NDXPP20575</stp>
        <tr r="C169" s="2"/>
        <tr r="D169" s="2"/>
        <tr r="G169" s="2"/>
        <tr r="E169" s="2"/>
        <tr r="B169" s="2"/>
        <tr r="F169" s="2"/>
      </tp>
      <tp t="s">
        <v>N/A</v>
        <stp/>
        <stp>VOLUME</stp>
        <stp>.NDXPP20550</stp>
        <tr r="C170" s="2"/>
        <tr r="D170" s="2"/>
        <tr r="G170" s="2"/>
        <tr r="F170" s="2"/>
        <tr r="E170" s="2"/>
        <tr r="B170" s="2"/>
      </tp>
      <tp t="s">
        <v>N/A</v>
        <stp/>
        <stp>VOLUME</stp>
        <stp>.NDXPP20525</stp>
        <tr r="G171" s="2"/>
        <tr r="F171" s="2"/>
        <tr r="B171" s="2"/>
        <tr r="E171" s="2"/>
        <tr r="C171" s="2"/>
        <tr r="D171" s="2"/>
      </tp>
      <tp t="s">
        <v>N/A</v>
        <stp/>
        <stp>VOLUME</stp>
        <stp>.NDXPP20500</stp>
        <tr r="C172" s="2"/>
        <tr r="E172" s="2"/>
        <tr r="F172" s="2"/>
        <tr r="D172" s="2"/>
        <tr r="B172" s="2"/>
        <tr r="G172" s="2"/>
      </tp>
      <tp t="s">
        <v>N/A</v>
        <stp/>
        <stp>VOLUME</stp>
        <stp>.NDXPC20550</stp>
        <tr r="C170" s="2"/>
        <tr r="D170" s="2"/>
        <tr r="G170" s="2"/>
        <tr r="F170" s="2"/>
        <tr r="E170" s="2"/>
        <tr r="B170" s="2"/>
      </tp>
      <tp t="s">
        <v>N/A</v>
        <stp/>
        <stp>VOLUME</stp>
        <stp>.NDXPC20575</stp>
        <tr r="C169" s="2"/>
        <tr r="D169" s="2"/>
        <tr r="G169" s="2"/>
        <tr r="E169" s="2"/>
        <tr r="B169" s="2"/>
        <tr r="F169" s="2"/>
      </tp>
      <tp t="s">
        <v>N/A</v>
        <stp/>
        <stp>VOLUME</stp>
        <stp>.NDXPC20500</stp>
        <tr r="C172" s="2"/>
        <tr r="E172" s="2"/>
        <tr r="F172" s="2"/>
        <tr r="D172" s="2"/>
        <tr r="B172" s="2"/>
        <tr r="G172" s="2"/>
      </tp>
      <tp t="s">
        <v>N/A</v>
        <stp/>
        <stp>VOLUME</stp>
        <stp>.NDXPC20525</stp>
        <tr r="G171" s="2"/>
        <tr r="F171" s="2"/>
        <tr r="B171" s="2"/>
        <tr r="E171" s="2"/>
        <tr r="C171" s="2"/>
        <tr r="D171" s="2"/>
      </tp>
      <tp t="s">
        <v>N/A</v>
        <stp/>
        <stp>BID</stp>
        <stp>.NDXP250512C21175</stp>
        <tr r="DE144" s="1"/>
      </tp>
      <tp>
        <v>648</v>
        <stp/>
        <stp>BID</stp>
        <stp>.NDXP250512C20175</stp>
        <tr r="DE184" s="1"/>
        <tr r="DE184" s="1"/>
      </tp>
      <tp>
        <v>0</v>
        <stp/>
        <stp>BID</stp>
        <stp>.NDXP250512C21150</stp>
        <tr r="DE145" s="1"/>
        <tr r="DE145" s="1"/>
      </tp>
      <tp>
        <v>674</v>
        <stp/>
        <stp>BID</stp>
        <stp>.NDXP250512C20150</stp>
        <tr r="DE185" s="1"/>
        <tr r="DE185" s="1"/>
      </tp>
      <tp t="s">
        <v>N/A</v>
        <stp/>
        <stp>BID</stp>
        <stp>.NDXP250512C21125</stp>
        <tr r="DE146" s="1"/>
      </tp>
      <tp>
        <v>698</v>
        <stp/>
        <stp>BID</stp>
        <stp>.NDXP250512C20125</stp>
        <tr r="DE186" s="1"/>
        <tr r="DE186" s="1"/>
      </tp>
      <tp>
        <v>0</v>
        <stp/>
        <stp>BID</stp>
        <stp>.NDXP250512C21100</stp>
        <tr r="DE147" s="1"/>
        <tr r="DE147" s="1"/>
      </tp>
      <tp>
        <v>724</v>
        <stp/>
        <stp>BID</stp>
        <stp>.NDXP250512C20100</stp>
        <tr r="DE187" s="1"/>
        <tr r="DE187" s="1"/>
      </tp>
      <tp>
        <v>262.60000000000002</v>
        <stp/>
        <stp>BID</stp>
        <stp>.NDXP250512P21150</stp>
        <tr r="DF145" s="1"/>
        <tr r="DF145" s="1"/>
      </tp>
      <tp>
        <v>0</v>
        <stp/>
        <stp>BID</stp>
        <stp>.NDXP250512P20150</stp>
        <tr r="DF185" s="1"/>
        <tr r="DF185" s="1"/>
      </tp>
      <tp t="s">
        <v>N/A</v>
        <stp/>
        <stp>BID</stp>
        <stp>.NDXP250512P21175</stp>
        <tr r="DF144" s="1"/>
      </tp>
      <tp>
        <v>0</v>
        <stp/>
        <stp>BID</stp>
        <stp>.NDXP250512P20175</stp>
        <tr r="DF184" s="1"/>
        <tr r="DF184" s="1"/>
      </tp>
      <tp>
        <v>212.7</v>
        <stp/>
        <stp>BID</stp>
        <stp>.NDXP250512P21100</stp>
        <tr r="DF147" s="1"/>
        <tr r="DF147" s="1"/>
      </tp>
      <tp>
        <v>0</v>
        <stp/>
        <stp>BID</stp>
        <stp>.NDXP250512P20100</stp>
        <tr r="DF187" s="1"/>
        <tr r="DF187" s="1"/>
      </tp>
      <tp t="s">
        <v>N/A</v>
        <stp/>
        <stp>BID</stp>
        <stp>.NDXP250512P21125</stp>
        <tr r="DF146" s="1"/>
      </tp>
      <tp>
        <v>0</v>
        <stp/>
        <stp>BID</stp>
        <stp>.NDXP250512P20125</stp>
        <tr r="DF186" s="1"/>
        <tr r="DF186" s="1"/>
      </tp>
      <tp t="s">
        <v>N/A</v>
        <stp/>
        <stp>VOLUME</stp>
        <stp>.NDXPP20475</stp>
        <tr r="E173" s="2"/>
        <tr r="B173" s="2"/>
        <tr r="C173" s="2"/>
        <tr r="D173" s="2"/>
        <tr r="F173" s="2"/>
        <tr r="G173" s="2"/>
      </tp>
      <tp t="s">
        <v>N/A</v>
        <stp/>
        <stp>VOLUME</stp>
        <stp>.NDXPP20450</stp>
        <tr r="G174" s="2"/>
        <tr r="F174" s="2"/>
        <tr r="E174" s="2"/>
        <tr r="D174" s="2"/>
        <tr r="B174" s="2"/>
        <tr r="C174" s="2"/>
      </tp>
      <tp t="s">
        <v>N/A</v>
        <stp/>
        <stp>VOLUME</stp>
        <stp>.NDXPP20425</stp>
        <tr r="F175" s="2"/>
        <tr r="D175" s="2"/>
        <tr r="B175" s="2"/>
        <tr r="E175" s="2"/>
        <tr r="C175" s="2"/>
        <tr r="G175" s="2"/>
      </tp>
      <tp t="s">
        <v>N/A</v>
        <stp/>
        <stp>VOLUME</stp>
        <stp>.NDXPP20400</stp>
        <tr r="B176" s="2"/>
        <tr r="G176" s="2"/>
        <tr r="C176" s="2"/>
        <tr r="D176" s="2"/>
        <tr r="E176" s="2"/>
        <tr r="F176" s="2"/>
      </tp>
      <tp>
        <v>0.05</v>
        <stp/>
        <stp>LAST</stp>
        <stp>.SPXW250512P5570</stp>
        <tr r="DB130" s="1"/>
        <tr r="DB130" s="1"/>
      </tp>
      <tp>
        <v>262.89999999999998</v>
        <stp/>
        <stp>LAST</stp>
        <stp>.SPXW250512C5570</stp>
        <tr r="DA130" s="1"/>
        <tr r="DA130" s="1"/>
      </tp>
      <tp>
        <v>0.05</v>
        <stp/>
        <stp>LAST</stp>
        <stp>.SPXW250512P5590</stp>
        <tr r="DB128" s="1"/>
        <tr r="DB128" s="1"/>
      </tp>
      <tp t="s">
        <v>N/A</v>
        <stp/>
        <stp>VOLUME</stp>
        <stp>.NDXPC20450</stp>
        <tr r="G174" s="2"/>
        <tr r="F174" s="2"/>
        <tr r="E174" s="2"/>
        <tr r="D174" s="2"/>
        <tr r="B174" s="2"/>
        <tr r="C174" s="2"/>
      </tp>
      <tp>
        <v>242.68</v>
        <stp/>
        <stp>LAST</stp>
        <stp>.SPXW250512C5590</stp>
        <tr r="DA128" s="1"/>
        <tr r="DA128" s="1"/>
      </tp>
      <tp>
        <v>0.05</v>
        <stp/>
        <stp>LAST</stp>
        <stp>.SPXW250512P5580</stp>
        <tr r="DB129" s="1"/>
        <tr r="DB129" s="1"/>
      </tp>
      <tp>
        <v>245.9</v>
        <stp/>
        <stp>LAST</stp>
        <stp>.SPXW250512C5580</stp>
        <tr r="DA129" s="1"/>
        <tr r="DA129" s="1"/>
      </tp>
      <tp t="s">
        <v>N/A</v>
        <stp/>
        <stp>VOLUME</stp>
        <stp>.NDXPC20475</stp>
        <tr r="E173" s="2"/>
        <tr r="B173" s="2"/>
        <tr r="C173" s="2"/>
        <tr r="D173" s="2"/>
        <tr r="F173" s="2"/>
        <tr r="G173" s="2"/>
      </tp>
      <tp t="s">
        <v>N/A</v>
        <stp/>
        <stp>VOLUME</stp>
        <stp>.NDXPC20400</stp>
        <tr r="B176" s="2"/>
        <tr r="G176" s="2"/>
        <tr r="C176" s="2"/>
        <tr r="D176" s="2"/>
        <tr r="E176" s="2"/>
        <tr r="F176" s="2"/>
      </tp>
      <tp t="s">
        <v>N/A</v>
        <stp/>
        <stp>VOLUME</stp>
        <stp>.NDXPC20425</stp>
        <tr r="F175" s="2"/>
        <tr r="D175" s="2"/>
        <tr r="B175" s="2"/>
        <tr r="E175" s="2"/>
        <tr r="C175" s="2"/>
        <tr r="G175" s="2"/>
      </tp>
      <tp>
        <v>0.05</v>
        <stp/>
        <stp>LAST</stp>
        <stp>.NDXP250512P20575</stp>
        <tr r="DB168" s="1"/>
        <tr r="DB168" s="1"/>
      </tp>
      <tp>
        <v>0.11</v>
        <stp/>
        <stp>LAST</stp>
        <stp>.NDXP250512P20550</stp>
        <tr r="DB169" s="1"/>
        <tr r="DB169" s="1"/>
      </tp>
      <tp>
        <v>0.25</v>
        <stp/>
        <stp>LAST</stp>
        <stp>.NDXP250512P20525</stp>
        <tr r="DB170" s="1"/>
        <tr r="DB170" s="1"/>
      </tp>
      <tp>
        <v>0.05</v>
        <stp/>
        <stp>LAST</stp>
        <stp>.NDXP250512P20500</stp>
        <tr r="DB171" s="1"/>
        <tr r="DB171" s="1"/>
      </tp>
      <tp>
        <v>261.10000000000002</v>
        <stp/>
        <stp>LAST</stp>
        <stp>.NDXP250512C20550</stp>
        <tr r="DA169" s="1"/>
        <tr r="DA169" s="1"/>
      </tp>
      <tp>
        <v>130.13999999999999</v>
        <stp/>
        <stp>LAST</stp>
        <stp>.NDXP250512C20575</stp>
        <tr r="DA168" s="1"/>
        <tr r="DA168" s="1"/>
      </tp>
      <tp>
        <v>352.25</v>
        <stp/>
        <stp>LAST</stp>
        <stp>.NDXP250512C20500</stp>
        <tr r="DA171" s="1"/>
        <tr r="DA171" s="1"/>
      </tp>
      <tp>
        <v>236.42</v>
        <stp/>
        <stp>LAST</stp>
        <stp>.NDXP250512C20525</stp>
        <tr r="DA170" s="1"/>
        <tr r="DA170" s="1"/>
      </tp>
      <tp>
        <v>283.2</v>
        <stp/>
        <stp>ASK</stp>
        <stp>.SPXW250512C5570</stp>
        <tr r="DC130" s="1"/>
        <tr r="DC130" s="1"/>
      </tp>
      <tp>
        <v>0.05</v>
        <stp/>
        <stp>ASK</stp>
        <stp>.SPXW250512P5570</stp>
        <tr r="DD130" s="1"/>
        <tr r="DD130" s="1"/>
      </tp>
      <tp>
        <v>262.8</v>
        <stp/>
        <stp>ASK</stp>
        <stp>.SPXW250512C5590</stp>
        <tr r="DC128" s="1"/>
        <tr r="DC128" s="1"/>
      </tp>
      <tp>
        <v>0.05</v>
        <stp/>
        <stp>ASK</stp>
        <stp>.SPXW250512P5590</stp>
        <tr r="DD128" s="1"/>
        <tr r="DD128" s="1"/>
      </tp>
      <tp>
        <v>273.2</v>
        <stp/>
        <stp>ASK</stp>
        <stp>.SPXW250512C5580</stp>
        <tr r="DC129" s="1"/>
        <tr r="DC129" s="1"/>
      </tp>
      <tp>
        <v>0.05</v>
        <stp/>
        <stp>ASK</stp>
        <stp>.SPXW250512P5580</stp>
        <tr r="DD129" s="1"/>
        <tr r="DD129" s="1"/>
      </tp>
      <tp>
        <v>0.2</v>
        <stp/>
        <stp>LAST</stp>
        <stp>.NDXP250512P20475</stp>
        <tr r="DB172" s="1"/>
        <tr r="DB172" s="1"/>
      </tp>
      <tp>
        <v>0.05</v>
        <stp/>
        <stp>LAST</stp>
        <stp>.NDXP250512P20450</stp>
        <tr r="DB173" s="1"/>
        <tr r="DB173" s="1"/>
      </tp>
      <tp>
        <v>0.55000000000000004</v>
        <stp/>
        <stp>LAST</stp>
        <stp>.NDXP250512P20425</stp>
        <tr r="DB174" s="1"/>
        <tr r="DB174" s="1"/>
      </tp>
      <tp>
        <v>0.05</v>
        <stp/>
        <stp>LAST</stp>
        <stp>.NDXP250512P20400</stp>
        <tr r="DB175" s="1"/>
        <tr r="DB175" s="1"/>
      </tp>
      <tp>
        <v>370.3</v>
        <stp/>
        <stp>LAST</stp>
        <stp>.NDXP250512C20450</stp>
        <tr r="DA173" s="1"/>
        <tr r="DA173" s="1"/>
      </tp>
      <tp>
        <v>245.34</v>
        <stp/>
        <stp>LAST</stp>
        <stp>.NDXP250512C20475</stp>
        <tr r="DA172" s="1"/>
        <tr r="DA172" s="1"/>
      </tp>
      <tp>
        <v>394.2</v>
        <stp/>
        <stp>LAST</stp>
        <stp>.NDXP250512C20400</stp>
        <tr r="DA175" s="1"/>
        <tr r="DA175" s="1"/>
      </tp>
      <tp>
        <v>39.15</v>
        <stp/>
        <stp>LAST</stp>
        <stp>.NDXP250512C20425</stp>
        <tr r="DA174" s="1"/>
        <tr r="DA174" s="1"/>
      </tp>
      <tp>
        <v>196.6</v>
        <stp/>
        <stp>ASK</stp>
        <stp>.SPXW250512C5650</stp>
        <tr r="DC122" s="1"/>
        <tr r="DC122" s="1"/>
      </tp>
      <tp>
        <v>0.05</v>
        <stp/>
        <stp>ASK</stp>
        <stp>.SPXW250512P5650</stp>
        <tr r="DD122" s="1"/>
        <tr r="DD122" s="1"/>
      </tp>
      <tp>
        <v>212.2</v>
        <stp/>
        <stp>ASK</stp>
        <stp>.SPXW250512C5640</stp>
        <tr r="DC123" s="1"/>
        <tr r="DC123" s="1"/>
      </tp>
      <tp>
        <v>0.05</v>
        <stp/>
        <stp>ASK</stp>
        <stp>.SPXW250512P5640</stp>
        <tr r="DD123" s="1"/>
        <tr r="DD123" s="1"/>
      </tp>
      <tp>
        <v>176.6</v>
        <stp/>
        <stp>ASK</stp>
        <stp>.SPXW250512C5670</stp>
        <tr r="DC120" s="1"/>
        <tr r="DC120" s="1"/>
      </tp>
      <tp>
        <v>0.05</v>
        <stp/>
        <stp>ASK</stp>
        <stp>.SPXW250512P5670</stp>
        <tr r="DD120" s="1"/>
        <tr r="DD120" s="1"/>
      </tp>
      <tp>
        <v>186.7</v>
        <stp/>
        <stp>ASK</stp>
        <stp>.SPXW250512C5660</stp>
        <tr r="DC121" s="1"/>
        <tr r="DC121" s="1"/>
      </tp>
      <tp>
        <v>0.05</v>
        <stp/>
        <stp>ASK</stp>
        <stp>.SPXW250512P5660</stp>
        <tr r="DD121" s="1"/>
        <tr r="DD121" s="1"/>
      </tp>
      <tp>
        <v>242.8</v>
        <stp/>
        <stp>ASK</stp>
        <stp>.SPXW250512C5610</stp>
        <tr r="DC126" s="1"/>
        <tr r="DC126" s="1"/>
      </tp>
      <tp>
        <v>0.05</v>
        <stp/>
        <stp>ASK</stp>
        <stp>.SPXW250512P5610</stp>
        <tr r="DD126" s="1"/>
        <tr r="DD126" s="1"/>
      </tp>
      <tp>
        <v>253.2</v>
        <stp/>
        <stp>ASK</stp>
        <stp>.SPXW250512C5600</stp>
        <tr r="DC127" s="1"/>
        <tr r="DC127" s="1"/>
      </tp>
      <tp>
        <v>0.05</v>
        <stp/>
        <stp>ASK</stp>
        <stp>.SPXW250512P5600</stp>
        <tr r="DD127" s="1"/>
        <tr r="DD127" s="1"/>
      </tp>
      <tp>
        <v>222.2</v>
        <stp/>
        <stp>ASK</stp>
        <stp>.SPXW250512C5630</stp>
        <tr r="DC124" s="1"/>
        <tr r="DC124" s="1"/>
      </tp>
      <tp>
        <v>0.05</v>
        <stp/>
        <stp>ASK</stp>
        <stp>.SPXW250512P5630</stp>
        <tr r="DD124" s="1"/>
        <tr r="DD124" s="1"/>
      </tp>
      <tp>
        <v>235.4</v>
        <stp/>
        <stp>ASK</stp>
        <stp>.SPXW250512C5620</stp>
        <tr r="DC125" s="1"/>
        <tr r="DC125" s="1"/>
      </tp>
      <tp>
        <v>0.05</v>
        <stp/>
        <stp>ASK</stp>
        <stp>.SPXW250512P5620</stp>
        <tr r="DD125" s="1"/>
        <tr r="DD125" s="1"/>
      </tp>
      <tp>
        <v>-0.45</v>
        <stp/>
        <stp>DELTA</stp>
        <stp>.NDX250516P20825</stp>
        <tr r="CG158" s="1"/>
        <tr r="CG158" s="1"/>
      </tp>
      <tp>
        <v>-0.43</v>
        <stp/>
        <stp>DELTA</stp>
        <stp>.NDX250516P20800</stp>
        <tr r="CG159" s="1"/>
        <tr r="CG159" s="1"/>
      </tp>
      <tp>
        <v>156.69999999999999</v>
        <stp/>
        <stp>ASK</stp>
        <stp>.SPXW250512C5690</stp>
        <tr r="DC118" s="1"/>
        <tr r="DC118" s="1"/>
      </tp>
      <tp>
        <v>0.05</v>
        <stp/>
        <stp>ASK</stp>
        <stp>.SPXW250512P5690</stp>
        <tr r="DD118" s="1"/>
        <tr r="DD118" s="1"/>
      </tp>
      <tp>
        <v>166.7</v>
        <stp/>
        <stp>ASK</stp>
        <stp>.SPXW250512C5680</stp>
        <tr r="DC119" s="1"/>
        <tr r="DC119" s="1"/>
      </tp>
      <tp>
        <v>0.05</v>
        <stp/>
        <stp>ASK</stp>
        <stp>.SPXW250512P5680</stp>
        <tr r="DD119" s="1"/>
        <tr r="DD119" s="1"/>
      </tp>
      <tp>
        <v>-0.49</v>
        <stp/>
        <stp>DELTA</stp>
        <stp>.NDX250516P20875</stp>
        <tr r="CG156" s="1"/>
        <tr r="CG156" s="1"/>
      </tp>
      <tp>
        <v>-0.47</v>
        <stp/>
        <stp>DELTA</stp>
        <stp>.NDX250516P20850</stp>
        <tr r="CG157" s="1"/>
        <tr r="CG157" s="1"/>
      </tp>
      <tp>
        <v>0.56999999999999995</v>
        <stp/>
        <stp>DELTA</stp>
        <stp>.NDX250516C20800</stp>
        <tr r="CF159" s="1"/>
        <tr r="CF159" s="1"/>
      </tp>
      <tp>
        <v>0.55000000000000004</v>
        <stp/>
        <stp>DELTA</stp>
        <stp>.NDX250516C20825</stp>
        <tr r="CF158" s="1"/>
        <tr r="CF158" s="1"/>
      </tp>
      <tp>
        <v>0.53</v>
        <stp/>
        <stp>DELTA</stp>
        <stp>.NDX250516C20850</stp>
        <tr r="CF157" s="1"/>
        <tr r="CF157" s="1"/>
      </tp>
      <tp>
        <v>0.51</v>
        <stp/>
        <stp>DELTA</stp>
        <stp>.NDX250516C20875</stp>
        <tr r="CF156" s="1"/>
        <tr r="CF156" s="1"/>
      </tp>
      <tp>
        <v>0.57999999999999996</v>
        <stp/>
        <stp>LAST</stp>
        <stp>.NDXP250512P20775</stp>
        <tr r="DB160" s="1"/>
        <tr r="DB160" s="1"/>
      </tp>
      <tp>
        <v>0.2</v>
        <stp/>
        <stp>LAST</stp>
        <stp>.NDXP250512P20750</stp>
        <tr r="DB161" s="1"/>
        <tr r="DB161" s="1"/>
      </tp>
      <tp>
        <v>0.95</v>
        <stp/>
        <stp>LAST</stp>
        <stp>.NDXP250512P20725</stp>
        <tr r="DB162" s="1"/>
        <tr r="DB162" s="1"/>
      </tp>
      <tp>
        <v>0.26</v>
        <stp/>
        <stp>LAST</stp>
        <stp>.NDXP250512P20700</stp>
        <tr r="DB163" s="1"/>
        <tr r="DB163" s="1"/>
      </tp>
      <tp>
        <v>71.900000000000006</v>
        <stp/>
        <stp>LAST</stp>
        <stp>.NDXP250512C20750</stp>
        <tr r="DA161" s="1"/>
        <tr r="DA161" s="1"/>
      </tp>
      <tp>
        <v>48.6</v>
        <stp/>
        <stp>LAST</stp>
        <stp>.NDXP250512C20775</stp>
        <tr r="DA160" s="1"/>
        <tr r="DA160" s="1"/>
      </tp>
      <tp>
        <v>140</v>
        <stp/>
        <stp>LAST</stp>
        <stp>.NDXP250512C20700</stp>
        <tr r="DA163" s="1"/>
        <tr r="DA163" s="1"/>
      </tp>
      <tp>
        <v>105</v>
        <stp/>
        <stp>LAST</stp>
        <stp>.NDXP250512C20725</stp>
        <tr r="DA162" s="1"/>
        <tr r="DA162" s="1"/>
      </tp>
      <tp>
        <v>97.2</v>
        <stp/>
        <stp>ASK</stp>
        <stp>.SPXW250512C5750</stp>
        <tr r="DC112" s="1"/>
        <tr r="DC112" s="1"/>
      </tp>
      <tp>
        <v>0.05</v>
        <stp/>
        <stp>ASK</stp>
        <stp>.SPXW250512P5750</stp>
        <tr r="DD112" s="1"/>
        <tr r="DD112" s="1"/>
      </tp>
      <tp>
        <v>107.2</v>
        <stp/>
        <stp>ASK</stp>
        <stp>.SPXW250512C5740</stp>
        <tr r="DC113" s="1"/>
        <tr r="DC113" s="1"/>
      </tp>
      <tp>
        <v>0.05</v>
        <stp/>
        <stp>ASK</stp>
        <stp>.SPXW250512P5740</stp>
        <tr r="DD113" s="1"/>
        <tr r="DD113" s="1"/>
      </tp>
      <tp>
        <v>77.2</v>
        <stp/>
        <stp>ASK</stp>
        <stp>.SPXW250512C5770</stp>
        <tr r="DC110" s="1"/>
        <tr r="DC110" s="1"/>
      </tp>
      <tp>
        <v>0.05</v>
        <stp/>
        <stp>ASK</stp>
        <stp>.SPXW250512P5770</stp>
        <tr r="DD110" s="1"/>
        <tr r="DD110" s="1"/>
      </tp>
      <tp>
        <v>86.6</v>
        <stp/>
        <stp>ASK</stp>
        <stp>.SPXW250512C5760</stp>
        <tr r="DC111" s="1"/>
        <tr r="DC111" s="1"/>
      </tp>
      <tp>
        <v>0.05</v>
        <stp/>
        <stp>ASK</stp>
        <stp>.SPXW250512P5760</stp>
        <tr r="DD111" s="1"/>
        <tr r="DD111" s="1"/>
      </tp>
      <tp>
        <v>136.69999999999999</v>
        <stp/>
        <stp>ASK</stp>
        <stp>.SPXW250512C5710</stp>
        <tr r="DC116" s="1"/>
        <tr r="DC116" s="1"/>
      </tp>
      <tp>
        <v>0.05</v>
        <stp/>
        <stp>ASK</stp>
        <stp>.SPXW250512P5710</stp>
        <tr r="DD116" s="1"/>
        <tr r="DD116" s="1"/>
      </tp>
      <tp>
        <v>146.69999999999999</v>
        <stp/>
        <stp>ASK</stp>
        <stp>.SPXW250512C5700</stp>
        <tr r="DC117" s="1"/>
        <tr r="DC117" s="1"/>
      </tp>
      <tp>
        <v>0.05</v>
        <stp/>
        <stp>ASK</stp>
        <stp>.SPXW250512P5700</stp>
        <tr r="DD117" s="1"/>
        <tr r="DD117" s="1"/>
      </tp>
      <tp>
        <v>117.2</v>
        <stp/>
        <stp>ASK</stp>
        <stp>.SPXW250512C5730</stp>
        <tr r="DC114" s="1"/>
        <tr r="DC114" s="1"/>
      </tp>
      <tp>
        <v>0.05</v>
        <stp/>
        <stp>ASK</stp>
        <stp>.SPXW250512P5730</stp>
        <tr r="DD114" s="1"/>
        <tr r="DD114" s="1"/>
      </tp>
      <tp>
        <v>126.6</v>
        <stp/>
        <stp>ASK</stp>
        <stp>.SPXW250512C5720</stp>
        <tr r="DC115" s="1"/>
        <tr r="DC115" s="1"/>
      </tp>
      <tp>
        <v>0.05</v>
        <stp/>
        <stp>ASK</stp>
        <stp>.SPXW250512P5720</stp>
        <tr r="DD115" s="1"/>
        <tr r="DD115" s="1"/>
      </tp>
      <tp>
        <v>-0.53</v>
        <stp/>
        <stp>DELTA</stp>
        <stp>.NDX250516P20925</stp>
        <tr r="CG154" s="1"/>
        <tr r="CG154" s="1"/>
      </tp>
      <tp>
        <v>-0.51</v>
        <stp/>
        <stp>DELTA</stp>
        <stp>.NDX250516P20900</stp>
        <tr r="CG155" s="1"/>
        <tr r="CG155" s="1"/>
      </tp>
      <tp>
        <v>56.6</v>
        <stp/>
        <stp>ASK</stp>
        <stp>.SPXW250512C5790</stp>
        <tr r="DC108" s="1"/>
        <tr r="DC108" s="1"/>
      </tp>
      <tp>
        <v>0.05</v>
        <stp/>
        <stp>ASK</stp>
        <stp>.SPXW250512P5790</stp>
        <tr r="DD108" s="1"/>
        <tr r="DD108" s="1"/>
      </tp>
      <tp>
        <v>67.2</v>
        <stp/>
        <stp>ASK</stp>
        <stp>.SPXW250512C5780</stp>
        <tr r="DC109" s="1"/>
        <tr r="DC109" s="1"/>
      </tp>
      <tp>
        <v>0.05</v>
        <stp/>
        <stp>ASK</stp>
        <stp>.SPXW250512P5780</stp>
        <tr r="DD109" s="1"/>
        <tr r="DD109" s="1"/>
      </tp>
      <tp>
        <v>-0.57999999999999996</v>
        <stp/>
        <stp>DELTA</stp>
        <stp>.NDX250516P20975</stp>
        <tr r="CG152" s="1"/>
        <tr r="CG152" s="1"/>
      </tp>
      <tp>
        <v>-0.56000000000000005</v>
        <stp/>
        <stp>DELTA</stp>
        <stp>.NDX250516P20950</stp>
        <tr r="CG153" s="1"/>
        <tr r="CG153" s="1"/>
      </tp>
      <tp>
        <v>0.48</v>
        <stp/>
        <stp>DELTA</stp>
        <stp>.NDX250516C20900</stp>
        <tr r="CF155" s="1"/>
        <tr r="CF155" s="1"/>
      </tp>
      <tp>
        <v>0.46</v>
        <stp/>
        <stp>DELTA</stp>
        <stp>.NDX250516C20925</stp>
        <tr r="CF154" s="1"/>
        <tr r="CF154" s="1"/>
      </tp>
      <tp>
        <v>0.44</v>
        <stp/>
        <stp>DELTA</stp>
        <stp>.NDX250516C20950</stp>
        <tr r="CF153" s="1"/>
        <tr r="CF153" s="1"/>
      </tp>
      <tp>
        <v>0.42</v>
        <stp/>
        <stp>DELTA</stp>
        <stp>.NDX250516C20975</stp>
        <tr r="CF152" s="1"/>
        <tr r="CF152" s="1"/>
      </tp>
      <tp>
        <v>0.21</v>
        <stp/>
        <stp>LAST</stp>
        <stp>.NDXP250512P20675</stp>
        <tr r="DB164" s="1"/>
        <tr r="DB164" s="1"/>
      </tp>
      <tp>
        <v>0.05</v>
        <stp/>
        <stp>LAST</stp>
        <stp>.NDXP250512P20650</stp>
        <tr r="DB165" s="1"/>
        <tr r="DB165" s="1"/>
      </tp>
      <tp>
        <v>0.2</v>
        <stp/>
        <stp>LAST</stp>
        <stp>.NDXP250512P20625</stp>
        <tr r="DB166" s="1"/>
        <tr r="DB166" s="1"/>
      </tp>
      <tp>
        <v>0.1</v>
        <stp/>
        <stp>LAST</stp>
        <stp>.NDXP250512P20600</stp>
        <tr r="DB167" s="1"/>
        <tr r="DB167" s="1"/>
      </tp>
      <tp>
        <v>200</v>
        <stp/>
        <stp>LAST</stp>
        <stp>.NDXP250512C20650</stp>
        <tr r="DA165" s="1"/>
        <tr r="DA165" s="1"/>
      </tp>
      <tp>
        <v>125</v>
        <stp/>
        <stp>LAST</stp>
        <stp>.NDXP250512C20675</stp>
        <tr r="DA164" s="1"/>
        <tr r="DA164" s="1"/>
      </tp>
      <tp>
        <v>246.16</v>
        <stp/>
        <stp>LAST</stp>
        <stp>.NDXP250512C20600</stp>
        <tr r="DA167" s="1"/>
        <tr r="DA167" s="1"/>
      </tp>
      <tp>
        <v>178.45</v>
        <stp/>
        <stp>LAST</stp>
        <stp>.NDXP250512C20625</stp>
        <tr r="DA166" s="1"/>
        <tr r="DA166" s="1"/>
      </tp>
      <tp t="s">
        <v>N/A</v>
        <stp/>
        <stp>ASK</stp>
        <stp>.SPXW250512C6010</stp>
        <tr r="DC86" s="1"/>
      </tp>
      <tp t="s">
        <v>N/A</v>
        <stp/>
        <stp>ASK</stp>
        <stp>.SPXW250512P6010</stp>
        <tr r="DD86" s="1"/>
      </tp>
      <tp>
        <v>0.05</v>
        <stp/>
        <stp>ASK</stp>
        <stp>.SPXW250512C6000</stp>
        <tr r="DC87" s="1"/>
        <tr r="DC87" s="1"/>
      </tp>
      <tp>
        <v>157.9</v>
        <stp/>
        <stp>ASK</stp>
        <stp>.SPXW250512P6000</stp>
        <tr r="DD87" s="1"/>
        <tr r="DD87" s="1"/>
      </tp>
      <tp t="s">
        <v>N/A</v>
        <stp/>
        <stp>ASK</stp>
        <stp>.SPXW250512C6020</stp>
        <tr r="DC85" s="1"/>
      </tp>
      <tp t="s">
        <v>N/A</v>
        <stp/>
        <stp>ASK</stp>
        <stp>.SPXW250512P6020</stp>
        <tr r="DD85" s="1"/>
      </tp>
      <tp>
        <v>-0.45</v>
        <stp/>
        <stp>DELTA</stp>
        <stp>.NDX250620P20825</stp>
        <tr r="CI158" s="1"/>
        <tr r="CI158" s="1"/>
      </tp>
      <tp>
        <v>-0.44</v>
        <stp/>
        <stp>DELTA</stp>
        <stp>.NDX250620P20800</stp>
        <tr r="CI159" s="1"/>
        <tr r="CI159" s="1"/>
      </tp>
      <tp>
        <v>-0.46</v>
        <stp/>
        <stp>DELTA</stp>
        <stp>.NDX250620P20875</stp>
        <tr r="CI156" s="1"/>
        <tr r="CI156" s="1"/>
      </tp>
      <tp>
        <v>-0.45</v>
        <stp/>
        <stp>DELTA</stp>
        <stp>.NDX250620P20850</stp>
        <tr r="CI157" s="1"/>
        <tr r="CI157" s="1"/>
      </tp>
      <tp>
        <v>0.56000000000000005</v>
        <stp/>
        <stp>DELTA</stp>
        <stp>.NDX250620C20800</stp>
        <tr r="CH159" s="1"/>
        <tr r="CH159" s="1"/>
      </tp>
      <tp>
        <v>0.56000000000000005</v>
        <stp/>
        <stp>DELTA</stp>
        <stp>.NDX250620C20825</stp>
        <tr r="CH158" s="1"/>
        <tr r="CH158" s="1"/>
      </tp>
      <tp>
        <v>0.55000000000000004</v>
        <stp/>
        <stp>DELTA</stp>
        <stp>.NDX250620C20850</stp>
        <tr r="CH157" s="1"/>
        <tr r="CH157" s="1"/>
      </tp>
      <tp>
        <v>0.54</v>
        <stp/>
        <stp>DELTA</stp>
        <stp>.NDX250620C20875</stp>
        <tr r="CH156" s="1"/>
        <tr r="CH156" s="1"/>
      </tp>
      <tp t="s">
        <v>N/A</v>
        <stp/>
        <stp>LAST</stp>
        <stp>.NDXP250512P21175</stp>
        <tr r="DB144" s="1"/>
      </tp>
      <tp>
        <v>0.6</v>
        <stp/>
        <stp>LAST</stp>
        <stp>.NDXP250512P20175</stp>
        <tr r="DB184" s="1"/>
        <tr r="DB184" s="1"/>
      </tp>
      <tp>
        <v>0</v>
        <stp/>
        <stp>LAST</stp>
        <stp>.NDXP250512P21150</stp>
        <tr r="DB145" s="1"/>
        <tr r="DB145" s="1"/>
      </tp>
      <tp>
        <v>0.2</v>
        <stp/>
        <stp>LAST</stp>
        <stp>.NDXP250512P20150</stp>
        <tr r="DB185" s="1"/>
        <tr r="DB185" s="1"/>
      </tp>
      <tp t="s">
        <v>N/A</v>
        <stp/>
        <stp>LAST</stp>
        <stp>.NDXP250512P21125</stp>
        <tr r="DB146" s="1"/>
      </tp>
      <tp>
        <v>0.05</v>
        <stp/>
        <stp>LAST</stp>
        <stp>.NDXP250512P20125</stp>
        <tr r="DB186" s="1"/>
        <tr r="DB186" s="1"/>
      </tp>
      <tp>
        <v>0</v>
        <stp/>
        <stp>LAST</stp>
        <stp>.NDXP250512P21100</stp>
        <tr r="DB147" s="1"/>
        <tr r="DB147" s="1"/>
      </tp>
      <tp>
        <v>0.05</v>
        <stp/>
        <stp>LAST</stp>
        <stp>.NDXP250512P20100</stp>
        <tr r="DB187" s="1"/>
        <tr r="DB187" s="1"/>
      </tp>
      <tp>
        <v>0.28000000000000003</v>
        <stp/>
        <stp>LAST</stp>
        <stp>.NDXP250512C21150</stp>
        <tr r="DA145" s="1"/>
        <tr r="DA145" s="1"/>
      </tp>
      <tp>
        <v>560</v>
        <stp/>
        <stp>LAST</stp>
        <stp>.NDXP250512C20150</stp>
        <tr r="DA185" s="1"/>
        <tr r="DA185" s="1"/>
      </tp>
      <tp t="s">
        <v>N/A</v>
        <stp/>
        <stp>LAST</stp>
        <stp>.NDXP250512C21175</stp>
        <tr r="DA144" s="1"/>
      </tp>
      <tp>
        <v>521.38</v>
        <stp/>
        <stp>LAST</stp>
        <stp>.NDXP250512C20175</stp>
        <tr r="DA184" s="1"/>
        <tr r="DA184" s="1"/>
      </tp>
      <tp>
        <v>0.05</v>
        <stp/>
        <stp>LAST</stp>
        <stp>.NDXP250512C21100</stp>
        <tr r="DA147" s="1"/>
        <tr r="DA147" s="1"/>
      </tp>
      <tp>
        <v>689.44</v>
        <stp/>
        <stp>LAST</stp>
        <stp>.NDXP250512C20100</stp>
        <tr r="DA187" s="1"/>
        <tr r="DA187" s="1"/>
      </tp>
      <tp t="s">
        <v>N/A</v>
        <stp/>
        <stp>LAST</stp>
        <stp>.NDXP250512C21125</stp>
        <tr r="DA146" s="1"/>
      </tp>
      <tp>
        <v>708.01</v>
        <stp/>
        <stp>LAST</stp>
        <stp>.NDXP250512C20125</stp>
        <tr r="DA186" s="1"/>
        <tr r="DA186" s="1"/>
      </tp>
      <tp>
        <v>-0.47</v>
        <stp/>
        <stp>DELTA</stp>
        <stp>.NDX250620P20925</stp>
        <tr r="CI154" s="1"/>
        <tr r="CI154" s="1"/>
      </tp>
      <tp>
        <v>-0.47</v>
        <stp/>
        <stp>DELTA</stp>
        <stp>.NDX250620P20900</stp>
        <tr r="CI155" s="1"/>
        <tr r="CI155" s="1"/>
      </tp>
      <tp>
        <v>-0.49</v>
        <stp/>
        <stp>DELTA</stp>
        <stp>.NDX250620P20975</stp>
        <tr r="CI152" s="1"/>
        <tr r="CI152" s="1"/>
      </tp>
      <tp>
        <v>-0.48</v>
        <stp/>
        <stp>DELTA</stp>
        <stp>.NDX250620P20950</stp>
        <tr r="CI153" s="1"/>
        <tr r="CI153" s="1"/>
      </tp>
      <tp>
        <v>0.53</v>
        <stp/>
        <stp>DELTA</stp>
        <stp>.NDX250620C20900</stp>
        <tr r="CH155" s="1"/>
        <tr r="CH155" s="1"/>
      </tp>
      <tp>
        <v>0.53</v>
        <stp/>
        <stp>DELTA</stp>
        <stp>.NDX250620C20925</stp>
        <tr r="CH154" s="1"/>
        <tr r="CH154" s="1"/>
      </tp>
      <tp>
        <v>0.52</v>
        <stp/>
        <stp>DELTA</stp>
        <stp>.NDX250620C20950</stp>
        <tr r="CH153" s="1"/>
        <tr r="CH153" s="1"/>
      </tp>
      <tp>
        <v>0.51</v>
        <stp/>
        <stp>DELTA</stp>
        <stp>.NDX250620C20975</stp>
        <tr r="CH152" s="1"/>
        <tr r="CH152" s="1"/>
      </tp>
      <tp t="s">
        <v>N/A</v>
        <stp/>
        <stp>LAST</stp>
        <stp>.NDXP250512P21075</stp>
        <tr r="DB148" s="1"/>
      </tp>
      <tp>
        <v>0.1</v>
        <stp/>
        <stp>LAST</stp>
        <stp>.NDXP250512P20075</stp>
        <tr r="DB188" s="1"/>
        <tr r="DB188" s="1"/>
      </tp>
      <tp>
        <v>0</v>
        <stp/>
        <stp>LAST</stp>
        <stp>.NDXP250512P21050</stp>
        <tr r="DB149" s="1"/>
        <tr r="DB149" s="1"/>
      </tp>
      <tp>
        <v>0.05</v>
        <stp/>
        <stp>LAST</stp>
        <stp>.NDXP250512P20050</stp>
        <tr r="DB189" s="1"/>
        <tr r="DB189" s="1"/>
      </tp>
      <tp t="s">
        <v>N/A</v>
        <stp/>
        <stp>LAST</stp>
        <stp>.NDXP250512P21025</stp>
        <tr r="DB150" s="1"/>
      </tp>
      <tp>
        <v>150.80000000000001</v>
        <stp/>
        <stp>LAST</stp>
        <stp>.NDXP250512P21000</stp>
        <tr r="DB151" s="1"/>
        <tr r="DB151" s="1"/>
      </tp>
      <tp>
        <v>0.12</v>
        <stp/>
        <stp>LAST</stp>
        <stp>.NDXP250512C21050</stp>
        <tr r="DA149" s="1"/>
        <tr r="DA149" s="1"/>
      </tp>
      <tp>
        <v>653.94000000000005</v>
        <stp/>
        <stp>LAST</stp>
        <stp>.NDXP250512C20050</stp>
        <tr r="DA189" s="1"/>
        <tr r="DA189" s="1"/>
      </tp>
      <tp t="s">
        <v>N/A</v>
        <stp/>
        <stp>LAST</stp>
        <stp>.NDXP250512C21075</stp>
        <tr r="DA148" s="1"/>
      </tp>
      <tp>
        <v>146.30000000000001</v>
        <stp/>
        <stp>LAST</stp>
        <stp>.NDXP250512C20075</stp>
        <tr r="DA188" s="1"/>
        <tr r="DA188" s="1"/>
      </tp>
      <tp>
        <v>0.05</v>
        <stp/>
        <stp>LAST</stp>
        <stp>.NDXP250512C21000</stp>
        <tr r="DA151" s="1"/>
        <tr r="DA151" s="1"/>
      </tp>
      <tp t="s">
        <v>N/A</v>
        <stp/>
        <stp>LAST</stp>
        <stp>.NDXP250512C21025</stp>
        <tr r="DA150" s="1"/>
      </tp>
      <tp>
        <v>0.2</v>
        <stp/>
        <stp>LAST</stp>
        <stp>.NDXP250512P20375</stp>
        <tr r="DB176" s="1"/>
        <tr r="DB176" s="1"/>
      </tp>
      <tp t="s">
        <v>N/A</v>
        <stp/>
        <stp>LAST</stp>
        <stp>.NDXP250512P21350</stp>
        <tr r="DB137" s="1"/>
      </tp>
      <tp>
        <v>0.2</v>
        <stp/>
        <stp>LAST</stp>
        <stp>.NDXP250512P20350</stp>
        <tr r="DB177" s="1"/>
        <tr r="DB177" s="1"/>
      </tp>
      <tp t="s">
        <v>N/A</v>
        <stp/>
        <stp>LAST</stp>
        <stp>.NDXP250512P21325</stp>
        <tr r="DB138" s="1"/>
      </tp>
      <tp>
        <v>0.25</v>
        <stp/>
        <stp>LAST</stp>
        <stp>.NDXP250512P20325</stp>
        <tr r="DB178" s="1"/>
        <tr r="DB178" s="1"/>
      </tp>
      <tp>
        <v>0</v>
        <stp/>
        <stp>LAST</stp>
        <stp>.NDXP250512P21300</stp>
        <tr r="DB139" s="1"/>
        <tr r="DB139" s="1"/>
      </tp>
      <tp>
        <v>0.05</v>
        <stp/>
        <stp>LAST</stp>
        <stp>.NDXP250512P20300</stp>
        <tr r="DB179" s="1"/>
        <tr r="DB179" s="1"/>
      </tp>
      <tp t="s">
        <v>N/A</v>
        <stp/>
        <stp>LAST</stp>
        <stp>.NDXP250512C21350</stp>
        <tr r="DA137" s="1"/>
      </tp>
      <tp>
        <v>496.45</v>
        <stp/>
        <stp>LAST</stp>
        <stp>.NDXP250512C20350</stp>
        <tr r="DA177" s="1"/>
        <tr r="DA177" s="1"/>
      </tp>
      <tp>
        <v>329.43</v>
        <stp/>
        <stp>LAST</stp>
        <stp>.NDXP250512C20375</stp>
        <tr r="DA176" s="1"/>
        <tr r="DA176" s="1"/>
      </tp>
      <tp>
        <v>0.1</v>
        <stp/>
        <stp>LAST</stp>
        <stp>.NDXP250512C21300</stp>
        <tr r="DA139" s="1"/>
        <tr r="DA139" s="1"/>
      </tp>
      <tp>
        <v>520.80999999999995</v>
        <stp/>
        <stp>LAST</stp>
        <stp>.NDXP250512C20300</stp>
        <tr r="DA179" s="1"/>
        <tr r="DA179" s="1"/>
      </tp>
      <tp t="s">
        <v>N/A</v>
        <stp/>
        <stp>LAST</stp>
        <stp>.NDXP250512C21325</stp>
        <tr r="DA138" s="1"/>
      </tp>
      <tp>
        <v>425.22</v>
        <stp/>
        <stp>LAST</stp>
        <stp>.NDXP250512C20325</stp>
        <tr r="DA178" s="1"/>
        <tr r="DA178" s="1"/>
      </tp>
      <tp t="s">
        <v>N/A</v>
        <stp/>
        <stp>LAST</stp>
        <stp>.NDXP250512P21275</stp>
        <tr r="DB140" s="1"/>
      </tp>
      <tp>
        <v>0.2</v>
        <stp/>
        <stp>LAST</stp>
        <stp>.NDXP250512P20275</stp>
        <tr r="DB180" s="1"/>
        <tr r="DB180" s="1"/>
      </tp>
      <tp>
        <v>0</v>
        <stp/>
        <stp>LAST</stp>
        <stp>.NDXP250512P21250</stp>
        <tr r="DB141" s="1"/>
        <tr r="DB141" s="1"/>
      </tp>
      <tp>
        <v>0.1</v>
        <stp/>
        <stp>LAST</stp>
        <stp>.NDXP250512P20250</stp>
        <tr r="DB181" s="1"/>
        <tr r="DB181" s="1"/>
      </tp>
      <tp t="s">
        <v>N/A</v>
        <stp/>
        <stp>LAST</stp>
        <stp>.NDXP250512P21225</stp>
        <tr r="DB142" s="1"/>
      </tp>
      <tp>
        <v>0.3</v>
        <stp/>
        <stp>LAST</stp>
        <stp>.NDXP250512P20225</stp>
        <tr r="DB182" s="1"/>
        <tr r="DB182" s="1"/>
      </tp>
      <tp>
        <v>0</v>
        <stp/>
        <stp>LAST</stp>
        <stp>.NDXP250512P21200</stp>
        <tr r="DB143" s="1"/>
        <tr r="DB143" s="1"/>
      </tp>
      <tp>
        <v>0.05</v>
        <stp/>
        <stp>LAST</stp>
        <stp>.NDXP250512P20200</stp>
        <tr r="DB183" s="1"/>
        <tr r="DB183" s="1"/>
      </tp>
      <tp>
        <v>0.2</v>
        <stp/>
        <stp>LAST</stp>
        <stp>.NDXP250512C21250</stp>
        <tr r="DA141" s="1"/>
        <tr r="DA141" s="1"/>
      </tp>
      <tp>
        <v>588.76</v>
        <stp/>
        <stp>LAST</stp>
        <stp>.NDXP250512C20250</stp>
        <tr r="DA181" s="1"/>
        <tr r="DA181" s="1"/>
      </tp>
      <tp t="s">
        <v>N/A</v>
        <stp/>
        <stp>LAST</stp>
        <stp>.NDXP250512C21275</stp>
        <tr r="DA140" s="1"/>
      </tp>
      <tp>
        <v>63.36</v>
        <stp/>
        <stp>LAST</stp>
        <stp>.NDXP250512C20275</stp>
        <tr r="DA180" s="1"/>
        <tr r="DA180" s="1"/>
      </tp>
      <tp>
        <v>0.15</v>
        <stp/>
        <stp>LAST</stp>
        <stp>.NDXP250512C21200</stp>
        <tr r="DA143" s="1"/>
        <tr r="DA143" s="1"/>
      </tp>
      <tp>
        <v>620.99</v>
        <stp/>
        <stp>LAST</stp>
        <stp>.NDXP250512C20200</stp>
        <tr r="DA183" s="1"/>
        <tr r="DA183" s="1"/>
      </tp>
      <tp t="s">
        <v>N/A</v>
        <stp/>
        <stp>LAST</stp>
        <stp>.NDXP250512C21225</stp>
        <tr r="DA142" s="1"/>
      </tp>
      <tp>
        <v>568.58000000000004</v>
        <stp/>
        <stp>LAST</stp>
        <stp>.NDXP250512C20225</stp>
        <tr r="DA182" s="1"/>
        <tr r="DA182" s="1"/>
      </tp>
      <tp>
        <v>-0.1</v>
        <stp/>
        <stp>DELTA</stp>
        <stp>.NDX250516P20225</stp>
        <tr r="CG182" s="1"/>
        <tr r="CG182" s="1"/>
      </tp>
      <tp>
        <v>-0.76</v>
        <stp/>
        <stp>DELTA</stp>
        <stp>.NDX250516P21225</stp>
        <tr r="CG142" s="1"/>
        <tr r="CG142" s="1"/>
      </tp>
      <tp>
        <v>-0.34</v>
        <stp/>
        <stp>DELTA</stp>
        <stp>.NDX250620P20425</stp>
        <tr r="CI174" s="1"/>
        <tr r="CI174" s="1"/>
      </tp>
      <tp>
        <v>-0.1</v>
        <stp/>
        <stp>DELTA</stp>
        <stp>.NDX250516P20200</stp>
        <tr r="CG183" s="1"/>
        <tr r="CG183" s="1"/>
      </tp>
      <tp>
        <v>-0.74</v>
        <stp/>
        <stp>DELTA</stp>
        <stp>.NDX250516P21200</stp>
        <tr r="CG143" s="1"/>
        <tr r="CG143" s="1"/>
      </tp>
      <tp>
        <v>-0.33</v>
        <stp/>
        <stp>DELTA</stp>
        <stp>.NDX250620P20400</stp>
        <tr r="CI175" s="1"/>
        <tr r="CI175" s="1"/>
      </tp>
      <tp>
        <v>-0.12</v>
        <stp/>
        <stp>DELTA</stp>
        <stp>.NDX250516P20275</stp>
        <tr r="CG180" s="1"/>
        <tr r="CG180" s="1"/>
      </tp>
      <tp>
        <v>-0.8</v>
        <stp/>
        <stp>DELTA</stp>
        <stp>.NDX250516P21275</stp>
        <tr r="CG140" s="1"/>
        <tr r="CG140" s="1"/>
      </tp>
      <tp>
        <v>-0.35</v>
        <stp/>
        <stp>DELTA</stp>
        <stp>.NDX250620P20475</stp>
        <tr r="CI172" s="1"/>
        <tr r="CI172" s="1"/>
      </tp>
      <tp>
        <v>-0.11</v>
        <stp/>
        <stp>DELTA</stp>
        <stp>.NDX250516P20250</stp>
        <tr r="CG181" s="1"/>
        <tr r="CG181" s="1"/>
      </tp>
      <tp>
        <v>-0.77</v>
        <stp/>
        <stp>DELTA</stp>
        <stp>.NDX250516P21250</stp>
        <tr r="CG141" s="1"/>
        <tr r="CG141" s="1"/>
      </tp>
      <tp>
        <v>-0.35</v>
        <stp/>
        <stp>DELTA</stp>
        <stp>.NDX250620P20450</stp>
        <tr r="CI173" s="1"/>
        <tr r="CI173" s="1"/>
      </tp>
      <tp>
        <v>0.93</v>
        <stp/>
        <stp>DELTA</stp>
        <stp>.NDX250516C20200</stp>
        <tr r="CF183" s="1"/>
        <tr r="CF183" s="1"/>
      </tp>
      <tp>
        <v>0.23</v>
        <stp/>
        <stp>DELTA</stp>
        <stp>.NDX250516C21200</stp>
        <tr r="CF143" s="1"/>
        <tr r="CF143" s="1"/>
      </tp>
      <tp>
        <v>0.67</v>
        <stp/>
        <stp>DELTA</stp>
        <stp>.NDX250620C20400</stp>
        <tr r="CH175" s="1"/>
        <tr r="CH175" s="1"/>
      </tp>
      <tp>
        <v>0.92</v>
        <stp/>
        <stp>DELTA</stp>
        <stp>.NDX250516C20225</stp>
        <tr r="CF182" s="1"/>
        <tr r="CF182" s="1"/>
      </tp>
      <tp>
        <v>0.22</v>
        <stp/>
        <stp>DELTA</stp>
        <stp>.NDX250516C21225</stp>
        <tr r="CF142" s="1"/>
        <tr r="CF142" s="1"/>
      </tp>
      <tp>
        <v>0.67</v>
        <stp/>
        <stp>DELTA</stp>
        <stp>.NDX250620C20425</stp>
        <tr r="CH174" s="1"/>
        <tr r="CH174" s="1"/>
      </tp>
      <tp>
        <v>0.91</v>
        <stp/>
        <stp>DELTA</stp>
        <stp>.NDX250516C20250</stp>
        <tr r="CF181" s="1"/>
        <tr r="CF181" s="1"/>
      </tp>
      <tp>
        <v>0.2</v>
        <stp/>
        <stp>DELTA</stp>
        <stp>.NDX250516C21250</stp>
        <tr r="CF141" s="1"/>
        <tr r="CF141" s="1"/>
      </tp>
      <tp>
        <v>0.66</v>
        <stp/>
        <stp>DELTA</stp>
        <stp>.NDX250620C20450</stp>
        <tr r="CH173" s="1"/>
        <tr r="CH173" s="1"/>
      </tp>
      <tp>
        <v>0.9</v>
        <stp/>
        <stp>DELTA</stp>
        <stp>.NDX250516C20275</stp>
        <tr r="CF180" s="1"/>
        <tr r="CF180" s="1"/>
      </tp>
      <tp>
        <v>0.19</v>
        <stp/>
        <stp>DELTA</stp>
        <stp>.NDX250516C21275</stp>
        <tr r="CF140" s="1"/>
        <tr r="CF140" s="1"/>
      </tp>
      <tp>
        <v>0.65</v>
        <stp/>
        <stp>DELTA</stp>
        <stp>.NDX250620C20475</stp>
        <tr r="CH172" s="1"/>
        <tr r="CH172" s="1"/>
      </tp>
      <tp>
        <v>-0.14000000000000001</v>
        <stp/>
        <stp>DELTA</stp>
        <stp>.NDX250516P20325</stp>
        <tr r="CG178" s="1"/>
        <tr r="CG178" s="1"/>
      </tp>
      <tp>
        <v>-0.82</v>
        <stp/>
        <stp>DELTA</stp>
        <stp>.NDX250516P21325</stp>
        <tr r="CG138" s="1"/>
        <tr r="CG138" s="1"/>
      </tp>
      <tp>
        <v>-0.36</v>
        <stp/>
        <stp>DELTA</stp>
        <stp>.NDX250620P20525</stp>
        <tr r="CI170" s="1"/>
        <tr r="CI170" s="1"/>
      </tp>
      <tp>
        <v>-0.13</v>
        <stp/>
        <stp>DELTA</stp>
        <stp>.NDX250516P20300</stp>
        <tr r="CG179" s="1"/>
        <tr r="CG179" s="1"/>
      </tp>
      <tp>
        <v>-0.81</v>
        <stp/>
        <stp>DELTA</stp>
        <stp>.NDX250516P21300</stp>
        <tr r="CG139" s="1"/>
        <tr r="CG139" s="1"/>
      </tp>
      <tp>
        <v>-0.36</v>
        <stp/>
        <stp>DELTA</stp>
        <stp>.NDX250620P20500</stp>
        <tr r="CI171" s="1"/>
        <tr r="CI171" s="1"/>
      </tp>
      <tp>
        <v>-0.16</v>
        <stp/>
        <stp>DELTA</stp>
        <stp>.NDX250516P20375</stp>
        <tr r="CG176" s="1"/>
        <tr r="CG176" s="1"/>
      </tp>
      <tp>
        <v>-0.38</v>
        <stp/>
        <stp>DELTA</stp>
        <stp>.NDX250620P20575</stp>
        <tr r="CI168" s="1"/>
        <tr r="CI168" s="1"/>
      </tp>
      <tp>
        <v>-0.15</v>
        <stp/>
        <stp>DELTA</stp>
        <stp>.NDX250516P20350</stp>
        <tr r="CG177" s="1"/>
        <tr r="CG177" s="1"/>
      </tp>
      <tp>
        <v>-0.83</v>
        <stp/>
        <stp>DELTA</stp>
        <stp>.NDX250516P21350</stp>
        <tr r="CG137" s="1"/>
        <tr r="CG137" s="1"/>
      </tp>
      <tp>
        <v>-0.37</v>
        <stp/>
        <stp>DELTA</stp>
        <stp>.NDX250620P20550</stp>
        <tr r="CI169" s="1"/>
        <tr r="CI169" s="1"/>
      </tp>
      <tp>
        <v>0.89</v>
        <stp/>
        <stp>DELTA</stp>
        <stp>.NDX250516C20300</stp>
        <tr r="CF179" s="1"/>
        <tr r="CF179" s="1"/>
      </tp>
      <tp>
        <v>0.17</v>
        <stp/>
        <stp>DELTA</stp>
        <stp>.NDX250516C21300</stp>
        <tr r="CF139" s="1"/>
        <tr r="CF139" s="1"/>
      </tp>
      <tp>
        <v>0.65</v>
        <stp/>
        <stp>DELTA</stp>
        <stp>.NDX250620C20500</stp>
        <tr r="CH171" s="1"/>
        <tr r="CH171" s="1"/>
      </tp>
      <tp>
        <v>0.89</v>
        <stp/>
        <stp>DELTA</stp>
        <stp>.NDX250516C20325</stp>
        <tr r="CF178" s="1"/>
        <tr r="CF178" s="1"/>
      </tp>
      <tp>
        <v>0.16</v>
        <stp/>
        <stp>DELTA</stp>
        <stp>.NDX250516C21325</stp>
        <tr r="CF138" s="1"/>
        <tr r="CF138" s="1"/>
      </tp>
      <tp>
        <v>0.64</v>
        <stp/>
        <stp>DELTA</stp>
        <stp>.NDX250620C20525</stp>
        <tr r="CH170" s="1"/>
        <tr r="CH170" s="1"/>
      </tp>
      <tp>
        <v>0.88</v>
        <stp/>
        <stp>DELTA</stp>
        <stp>.NDX250516C20350</stp>
        <tr r="CF177" s="1"/>
        <tr r="CF177" s="1"/>
      </tp>
      <tp>
        <v>0.15</v>
        <stp/>
        <stp>DELTA</stp>
        <stp>.NDX250516C21350</stp>
        <tr r="CF137" s="1"/>
        <tr r="CF137" s="1"/>
      </tp>
      <tp>
        <v>0.64</v>
        <stp/>
        <stp>DELTA</stp>
        <stp>.NDX250620C20550</stp>
        <tr r="CH169" s="1"/>
        <tr r="CH169" s="1"/>
      </tp>
      <tp>
        <v>0.87</v>
        <stp/>
        <stp>DELTA</stp>
        <stp>.NDX250516C20375</stp>
        <tr r="CF176" s="1"/>
        <tr r="CF176" s="1"/>
      </tp>
      <tp>
        <v>0.63</v>
        <stp/>
        <stp>DELTA</stp>
        <stp>.NDX250620C20575</stp>
        <tr r="CH168" s="1"/>
        <tr r="CH168" s="1"/>
      </tp>
      <tp>
        <v>-0.62</v>
        <stp/>
        <stp>DELTA</stp>
        <stp>.NDX250516P21025</stp>
        <tr r="CG150" s="1"/>
        <tr r="CG150" s="1"/>
      </tp>
      <tp>
        <v>-0.39</v>
        <stp/>
        <stp>DELTA</stp>
        <stp>.NDX250620P20625</stp>
        <tr r="CI166" s="1"/>
        <tr r="CI166" s="1"/>
      </tp>
      <tp>
        <v>-0.6</v>
        <stp/>
        <stp>DELTA</stp>
        <stp>.NDX250516P21000</stp>
        <tr r="CG151" s="1"/>
        <tr r="CG151" s="1"/>
      </tp>
      <tp>
        <v>-0.38</v>
        <stp/>
        <stp>DELTA</stp>
        <stp>.NDX250620P20600</stp>
        <tr r="CI167" s="1"/>
        <tr r="CI167" s="1"/>
      </tp>
      <tp>
        <v>-7.0000000000000007E-2</v>
        <stp/>
        <stp>DELTA</stp>
        <stp>.NDX250516P20075</stp>
        <tr r="CG188" s="1"/>
        <tr r="CG188" s="1"/>
      </tp>
      <tp>
        <v>-0.65</v>
        <stp/>
        <stp>DELTA</stp>
        <stp>.NDX250516P21075</stp>
        <tr r="CG148" s="1"/>
        <tr r="CG148" s="1"/>
      </tp>
      <tp>
        <v>-0.4</v>
        <stp/>
        <stp>DELTA</stp>
        <stp>.NDX250620P20675</stp>
        <tr r="CI164" s="1"/>
        <tr r="CI164" s="1"/>
      </tp>
      <tp>
        <v>-0.06</v>
        <stp/>
        <stp>DELTA</stp>
        <stp>.NDX250516P20050</stp>
        <tr r="CG189" s="1"/>
        <tr r="CG189" s="1"/>
      </tp>
      <tp>
        <v>-0.63</v>
        <stp/>
        <stp>DELTA</stp>
        <stp>.NDX250516P21050</stp>
        <tr r="CG149" s="1"/>
        <tr r="CG149" s="1"/>
      </tp>
      <tp>
        <v>-0.4</v>
        <stp/>
        <stp>DELTA</stp>
        <stp>.NDX250620P20650</stp>
        <tr r="CI165" s="1"/>
        <tr r="CI165" s="1"/>
      </tp>
      <tp>
        <v>0.39</v>
        <stp/>
        <stp>DELTA</stp>
        <stp>.NDX250516C21000</stp>
        <tr r="CF151" s="1"/>
        <tr r="CF151" s="1"/>
      </tp>
      <tp>
        <v>0.62</v>
        <stp/>
        <stp>DELTA</stp>
        <stp>.NDX250620C20600</stp>
        <tr r="CH167" s="1"/>
        <tr r="CH167" s="1"/>
      </tp>
      <tp>
        <v>0.37</v>
        <stp/>
        <stp>DELTA</stp>
        <stp>.NDX250516C21025</stp>
        <tr r="CF150" s="1"/>
        <tr r="CF150" s="1"/>
      </tp>
      <tp>
        <v>0.61</v>
        <stp/>
        <stp>DELTA</stp>
        <stp>.NDX250620C20625</stp>
        <tr r="CH166" s="1"/>
        <tr r="CH166" s="1"/>
      </tp>
      <tp>
        <v>0.97</v>
        <stp/>
        <stp>DELTA</stp>
        <stp>.NDX250516C20050</stp>
        <tr r="CF189" s="1"/>
        <tr r="CF189" s="1"/>
      </tp>
      <tp>
        <v>0.35</v>
        <stp/>
        <stp>DELTA</stp>
        <stp>.NDX250516C21050</stp>
        <tr r="CF149" s="1"/>
        <tr r="CF149" s="1"/>
      </tp>
      <tp>
        <v>0.61</v>
        <stp/>
        <stp>DELTA</stp>
        <stp>.NDX250620C20650</stp>
        <tr r="CH165" s="1"/>
        <tr r="CH165" s="1"/>
      </tp>
      <tp>
        <v>0.97</v>
        <stp/>
        <stp>DELTA</stp>
        <stp>.NDX250516C20075</stp>
        <tr r="CF188" s="1"/>
        <tr r="CF188" s="1"/>
      </tp>
      <tp>
        <v>0.33</v>
        <stp/>
        <stp>DELTA</stp>
        <stp>.NDX250516C21075</stp>
        <tr r="CF148" s="1"/>
        <tr r="CF148" s="1"/>
      </tp>
      <tp>
        <v>0.6</v>
        <stp/>
        <stp>DELTA</stp>
        <stp>.NDX250620C20675</stp>
        <tr r="CH164" s="1"/>
        <tr r="CH164" s="1"/>
      </tp>
      <tp>
        <v>-0.08</v>
        <stp/>
        <stp>DELTA</stp>
        <stp>.NDX250516P20125</stp>
        <tr r="CG186" s="1"/>
        <tr r="CG186" s="1"/>
      </tp>
      <tp>
        <v>-0.69</v>
        <stp/>
        <stp>DELTA</stp>
        <stp>.NDX250516P21125</stp>
        <tr r="CG146" s="1"/>
        <tr r="CG146" s="1"/>
      </tp>
      <tp>
        <v>-0.42</v>
        <stp/>
        <stp>DELTA</stp>
        <stp>.NDX250620P20725</stp>
        <tr r="CI162" s="1"/>
        <tr r="CI162" s="1"/>
      </tp>
      <tp>
        <v>-7.0000000000000007E-2</v>
        <stp/>
        <stp>DELTA</stp>
        <stp>.NDX250516P20100</stp>
        <tr r="CG187" s="1"/>
        <tr r="CG187" s="1"/>
      </tp>
      <tp>
        <v>-0.67</v>
        <stp/>
        <stp>DELTA</stp>
        <stp>.NDX250516P21100</stp>
        <tr r="CG147" s="1"/>
        <tr r="CG147" s="1"/>
      </tp>
      <tp>
        <v>-0.41</v>
        <stp/>
        <stp>DELTA</stp>
        <stp>.NDX250620P20700</stp>
        <tr r="CI163" s="1"/>
        <tr r="CI163" s="1"/>
      </tp>
      <tp>
        <v>-0.09</v>
        <stp/>
        <stp>DELTA</stp>
        <stp>.NDX250516P20175</stp>
        <tr r="CG184" s="1"/>
        <tr r="CG184" s="1"/>
      </tp>
      <tp>
        <v>-0.73</v>
        <stp/>
        <stp>DELTA</stp>
        <stp>.NDX250516P21175</stp>
        <tr r="CG144" s="1"/>
        <tr r="CG144" s="1"/>
      </tp>
      <tp>
        <v>-0.43</v>
        <stp/>
        <stp>DELTA</stp>
        <stp>.NDX250620P20775</stp>
        <tr r="CI160" s="1"/>
        <tr r="CI160" s="1"/>
      </tp>
      <tp>
        <v>-0.08</v>
        <stp/>
        <stp>DELTA</stp>
        <stp>.NDX250516P20150</stp>
        <tr r="CG185" s="1"/>
        <tr r="CG185" s="1"/>
      </tp>
      <tp>
        <v>-0.71</v>
        <stp/>
        <stp>DELTA</stp>
        <stp>.NDX250516P21150</stp>
        <tr r="CG145" s="1"/>
        <tr r="CG145" s="1"/>
      </tp>
      <tp>
        <v>-0.42</v>
        <stp/>
        <stp>DELTA</stp>
        <stp>.NDX250620P20750</stp>
        <tr r="CI161" s="1"/>
        <tr r="CI161" s="1"/>
      </tp>
      <tp>
        <v>0.96</v>
        <stp/>
        <stp>DELTA</stp>
        <stp>.NDX250516C20100</stp>
        <tr r="CF187" s="1"/>
        <tr r="CF187" s="1"/>
      </tp>
      <tp>
        <v>0.31</v>
        <stp/>
        <stp>DELTA</stp>
        <stp>.NDX250516C21100</stp>
        <tr r="CF147" s="1"/>
        <tr r="CF147" s="1"/>
      </tp>
      <tp>
        <v>0.59</v>
        <stp/>
        <stp>DELTA</stp>
        <stp>.NDX250620C20700</stp>
        <tr r="CH163" s="1"/>
        <tr r="CH163" s="1"/>
      </tp>
      <tp>
        <v>0.95</v>
        <stp/>
        <stp>DELTA</stp>
        <stp>.NDX250516C20125</stp>
        <tr r="CF186" s="1"/>
        <tr r="CF186" s="1"/>
      </tp>
      <tp>
        <v>0.28999999999999998</v>
        <stp/>
        <stp>DELTA</stp>
        <stp>.NDX250516C21125</stp>
        <tr r="CF146" s="1"/>
        <tr r="CF146" s="1"/>
      </tp>
      <tp>
        <v>0.59</v>
        <stp/>
        <stp>DELTA</stp>
        <stp>.NDX250620C20725</stp>
        <tr r="CH162" s="1"/>
        <tr r="CH162" s="1"/>
      </tp>
      <tp>
        <v>0.94</v>
        <stp/>
        <stp>DELTA</stp>
        <stp>.NDX250516C20150</stp>
        <tr r="CF185" s="1"/>
        <tr r="CF185" s="1"/>
      </tp>
      <tp>
        <v>0.27</v>
        <stp/>
        <stp>DELTA</stp>
        <stp>.NDX250516C21150</stp>
        <tr r="CF145" s="1"/>
        <tr r="CF145" s="1"/>
      </tp>
      <tp>
        <v>0.57999999999999996</v>
        <stp/>
        <stp>DELTA</stp>
        <stp>.NDX250620C20750</stp>
        <tr r="CH161" s="1"/>
        <tr r="CH161" s="1"/>
      </tp>
      <tp>
        <v>0.94</v>
        <stp/>
        <stp>DELTA</stp>
        <stp>.NDX250516C20175</stp>
        <tr r="CF184" s="1"/>
        <tr r="CF184" s="1"/>
      </tp>
      <tp>
        <v>0.25</v>
        <stp/>
        <stp>DELTA</stp>
        <stp>.NDX250516C21175</stp>
        <tr r="CF144" s="1"/>
        <tr r="CF144" s="1"/>
      </tp>
      <tp>
        <v>0.56999999999999995</v>
        <stp/>
        <stp>DELTA</stp>
        <stp>.NDX250620C20775</stp>
        <tr r="CH160" s="1"/>
        <tr r="CH160" s="1"/>
      </tp>
      <tp>
        <v>0.05</v>
        <stp/>
        <stp>ASK</stp>
        <stp>.SPXW250512C5850</stp>
        <tr r="DC102" s="1"/>
        <tr r="DC102" s="1"/>
      </tp>
      <tp>
        <v>6.3</v>
        <stp/>
        <stp>ASK</stp>
        <stp>.SPXW250512P5850</stp>
        <tr r="DD102" s="1"/>
        <tr r="DD102" s="1"/>
      </tp>
      <tp>
        <v>4.7</v>
        <stp/>
        <stp>ASK</stp>
        <stp>.SPXW250512C5840</stp>
        <tr r="DC103" s="1"/>
        <tr r="DC103" s="1"/>
      </tp>
      <tp>
        <v>0.05</v>
        <stp/>
        <stp>ASK</stp>
        <stp>.SPXW250512P5840</stp>
        <tr r="DD103" s="1"/>
        <tr r="DD103" s="1"/>
      </tp>
      <tp>
        <v>0.05</v>
        <stp/>
        <stp>ASK</stp>
        <stp>.SPXW250512C5870</stp>
        <tr r="DC100" s="1"/>
        <tr r="DC100" s="1"/>
      </tp>
      <tp>
        <v>27.9</v>
        <stp/>
        <stp>ASK</stp>
        <stp>.SPXW250512P5870</stp>
        <tr r="DD100" s="1"/>
        <tr r="DD100" s="1"/>
      </tp>
      <tp>
        <v>0.05</v>
        <stp/>
        <stp>ASK</stp>
        <stp>.SPXW250512C5860</stp>
        <tr r="DC101" s="1"/>
        <tr r="DC101" s="1"/>
      </tp>
      <tp>
        <v>16.7</v>
        <stp/>
        <stp>ASK</stp>
        <stp>.SPXW250512P5860</stp>
        <tr r="DD101" s="1"/>
        <tr r="DD101" s="1"/>
      </tp>
      <tp>
        <v>36.6</v>
        <stp/>
        <stp>ASK</stp>
        <stp>.SPXW250512C5810</stp>
        <tr r="DC106" s="1"/>
        <tr r="DC106" s="1"/>
      </tp>
      <tp>
        <v>0.05</v>
        <stp/>
        <stp>ASK</stp>
        <stp>.SPXW250512P5810</stp>
        <tr r="DD106" s="1"/>
        <tr r="DD106" s="1"/>
      </tp>
      <tp>
        <v>46.6</v>
        <stp/>
        <stp>ASK</stp>
        <stp>.SPXW250512C5800</stp>
        <tr r="DC107" s="1"/>
        <tr r="DC107" s="1"/>
      </tp>
      <tp>
        <v>0.05</v>
        <stp/>
        <stp>ASK</stp>
        <stp>.SPXW250512P5800</stp>
        <tr r="DD107" s="1"/>
        <tr r="DD107" s="1"/>
      </tp>
      <tp>
        <v>15.6</v>
        <stp/>
        <stp>ASK</stp>
        <stp>.SPXW250512C5830</stp>
        <tr r="DC104" s="1"/>
        <tr r="DC104" s="1"/>
      </tp>
      <tp>
        <v>0.05</v>
        <stp/>
        <stp>ASK</stp>
        <stp>.SPXW250512P5830</stp>
        <tr r="DD104" s="1"/>
        <tr r="DD104" s="1"/>
      </tp>
      <tp>
        <v>26.7</v>
        <stp/>
        <stp>ASK</stp>
        <stp>.SPXW250512C5820</stp>
        <tr r="DC105" s="1"/>
        <tr r="DC105" s="1"/>
      </tp>
      <tp>
        <v>0.05</v>
        <stp/>
        <stp>ASK</stp>
        <stp>.SPXW250512P5820</stp>
        <tr r="DD105" s="1"/>
        <tr r="DD105" s="1"/>
      </tp>
      <tp>
        <v>-0.3</v>
        <stp/>
        <stp>DELTA</stp>
        <stp>.NDX250516P20625</stp>
        <tr r="CG166" s="1"/>
        <tr r="CG166" s="1"/>
      </tp>
      <tp>
        <v>-0.5</v>
        <stp/>
        <stp>DELTA</stp>
        <stp>.NDX250620P21025</stp>
        <tr r="CI150" s="1"/>
        <tr r="CI150" s="1"/>
      </tp>
      <tp>
        <v>-0.28000000000000003</v>
        <stp/>
        <stp>DELTA</stp>
        <stp>.NDX250516P20600</stp>
        <tr r="CG167" s="1"/>
        <tr r="CG167" s="1"/>
      </tp>
      <tp>
        <v>-0.5</v>
        <stp/>
        <stp>DELTA</stp>
        <stp>.NDX250620P21000</stp>
        <tr r="CI151" s="1"/>
        <tr r="CI151" s="1"/>
      </tp>
      <tp>
        <v>0.05</v>
        <stp/>
        <stp>ASK</stp>
        <stp>.SPXW250512C5890</stp>
        <tr r="DC98" s="1"/>
        <tr r="DC98" s="1"/>
      </tp>
      <tp>
        <v>47.9</v>
        <stp/>
        <stp>ASK</stp>
        <stp>.SPXW250512P5890</stp>
        <tr r="DD98" s="1"/>
        <tr r="DD98" s="1"/>
      </tp>
      <tp>
        <v>0.05</v>
        <stp/>
        <stp>ASK</stp>
        <stp>.SPXW250512C5880</stp>
        <tr r="DC99" s="1"/>
        <tr r="DC99" s="1"/>
      </tp>
      <tp>
        <v>37.9</v>
        <stp/>
        <stp>ASK</stp>
        <stp>.SPXW250512P5880</stp>
        <tr r="DD99" s="1"/>
        <tr r="DD99" s="1"/>
      </tp>
      <tp>
        <v>-0.34</v>
        <stp/>
        <stp>DELTA</stp>
        <stp>.NDX250516P20675</stp>
        <tr r="CG164" s="1"/>
        <tr r="CG164" s="1"/>
      </tp>
      <tp>
        <v>-0.52</v>
        <stp/>
        <stp>DELTA</stp>
        <stp>.NDX250620P21075</stp>
        <tr r="CI148" s="1"/>
        <tr r="CI148" s="1"/>
      </tp>
      <tp>
        <v>-0.26</v>
        <stp/>
        <stp>DELTA</stp>
        <stp>.NDX250620P20075</stp>
        <tr r="CI188" s="1"/>
        <tr r="CI188" s="1"/>
      </tp>
      <tp>
        <v>-0.32</v>
        <stp/>
        <stp>DELTA</stp>
        <stp>.NDX250516P20650</stp>
        <tr r="CG165" s="1"/>
        <tr r="CG165" s="1"/>
      </tp>
      <tp>
        <v>-0.51</v>
        <stp/>
        <stp>DELTA</stp>
        <stp>.NDX250620P21050</stp>
        <tr r="CI149" s="1"/>
        <tr r="CI149" s="1"/>
      </tp>
      <tp>
        <v>-0.26</v>
        <stp/>
        <stp>DELTA</stp>
        <stp>.NDX250620P20050</stp>
        <tr r="CI189" s="1"/>
        <tr r="CI189" s="1"/>
      </tp>
      <tp>
        <v>0.74</v>
        <stp/>
        <stp>DELTA</stp>
        <stp>.NDX250516C20600</stp>
        <tr r="CF167" s="1"/>
        <tr r="CF167" s="1"/>
      </tp>
      <tp>
        <v>0.5</v>
        <stp/>
        <stp>DELTA</stp>
        <stp>.NDX250620C21000</stp>
        <tr r="CH151" s="1"/>
        <tr r="CH151" s="1"/>
      </tp>
      <tp>
        <v>0.72</v>
        <stp/>
        <stp>DELTA</stp>
        <stp>.NDX250516C20625</stp>
        <tr r="CF166" s="1"/>
        <tr r="CF166" s="1"/>
      </tp>
      <tp>
        <v>0.49</v>
        <stp/>
        <stp>DELTA</stp>
        <stp>.NDX250620C21025</stp>
        <tr r="CH150" s="1"/>
        <tr r="CH150" s="1"/>
      </tp>
      <tp>
        <v>0.7</v>
        <stp/>
        <stp>DELTA</stp>
        <stp>.NDX250516C20650</stp>
        <tr r="CF165" s="1"/>
        <tr r="CF165" s="1"/>
      </tp>
      <tp>
        <v>0.49</v>
        <stp/>
        <stp>DELTA</stp>
        <stp>.NDX250620C21050</stp>
        <tr r="CH149" s="1"/>
        <tr r="CH149" s="1"/>
      </tp>
      <tp>
        <v>0.75</v>
        <stp/>
        <stp>DELTA</stp>
        <stp>.NDX250620C20050</stp>
        <tr r="CH189" s="1"/>
        <tr r="CH189" s="1"/>
      </tp>
      <tp>
        <v>0.68</v>
        <stp/>
        <stp>DELTA</stp>
        <stp>.NDX250516C20675</stp>
        <tr r="CF164" s="1"/>
        <tr r="CF164" s="1"/>
      </tp>
      <tp>
        <v>0.48</v>
        <stp/>
        <stp>DELTA</stp>
        <stp>.NDX250620C21075</stp>
        <tr r="CH148" s="1"/>
        <tr r="CH148" s="1"/>
      </tp>
      <tp>
        <v>0.74</v>
        <stp/>
        <stp>DELTA</stp>
        <stp>.NDX250620C20075</stp>
        <tr r="CH188" s="1"/>
        <tr r="CH188" s="1"/>
      </tp>
      <tp>
        <v>0</v>
        <stp/>
        <stp>LAST</stp>
        <stp>.NDXP250512P20975</stp>
        <tr r="DB152" s="1"/>
        <tr r="DB152" s="1"/>
      </tp>
      <tp>
        <v>133.19999999999999</v>
        <stp/>
        <stp>LAST</stp>
        <stp>.NDXP250512P20950</stp>
        <tr r="DB153" s="1"/>
        <tr r="DB153" s="1"/>
      </tp>
      <tp>
        <v>109.52</v>
        <stp/>
        <stp>LAST</stp>
        <stp>.NDXP250512P20925</stp>
        <tr r="DB154" s="1"/>
        <tr r="DB154" s="1"/>
      </tp>
      <tp>
        <v>100.6</v>
        <stp/>
        <stp>LAST</stp>
        <stp>.NDXP250512P20900</stp>
        <tr r="DB155" s="1"/>
        <tr r="DB155" s="1"/>
      </tp>
      <tp>
        <v>0.21</v>
        <stp/>
        <stp>LAST</stp>
        <stp>.NDXP250512C20950</stp>
        <tr r="DA153" s="1"/>
        <tr r="DA153" s="1"/>
      </tp>
      <tp>
        <v>0.52</v>
        <stp/>
        <stp>LAST</stp>
        <stp>.NDXP250512C20975</stp>
        <tr r="DA152" s="1"/>
        <tr r="DA152" s="1"/>
      </tp>
      <tp>
        <v>0.05</v>
        <stp/>
        <stp>LAST</stp>
        <stp>.NDXP250512C20900</stp>
        <tr r="DA155" s="1"/>
        <tr r="DA155" s="1"/>
      </tp>
      <tp>
        <v>0.81</v>
        <stp/>
        <stp>LAST</stp>
        <stp>.NDXP250512C20925</stp>
        <tr r="DA154" s="1"/>
        <tr r="DA154" s="1"/>
      </tp>
      <tp>
        <v>0.05</v>
        <stp/>
        <stp>ASK</stp>
        <stp>.SPXW250512C5950</stp>
        <tr r="DC92" s="1"/>
        <tr r="DC92" s="1"/>
      </tp>
      <tp>
        <v>107.9</v>
        <stp/>
        <stp>ASK</stp>
        <stp>.SPXW250512P5950</stp>
        <tr r="DD92" s="1"/>
        <tr r="DD92" s="1"/>
      </tp>
      <tp t="s">
        <v>N/A</v>
        <stp/>
        <stp>ASK</stp>
        <stp>.SPXW250512C5940</stp>
        <tr r="DC93" s="1"/>
      </tp>
      <tp t="s">
        <v>N/A</v>
        <stp/>
        <stp>ASK</stp>
        <stp>.SPXW250512P5940</stp>
        <tr r="DD93" s="1"/>
      </tp>
      <tp t="s">
        <v>N/A</v>
        <stp/>
        <stp>ASK</stp>
        <stp>.SPXW250512C5970</stp>
        <tr r="DC90" s="1"/>
      </tp>
      <tp t="s">
        <v>N/A</v>
        <stp/>
        <stp>ASK</stp>
        <stp>.SPXW250512P5970</stp>
        <tr r="DD90" s="1"/>
      </tp>
      <tp t="s">
        <v>N/A</v>
        <stp/>
        <stp>ASK</stp>
        <stp>.SPXW250512C5960</stp>
        <tr r="DC91" s="1"/>
      </tp>
      <tp t="s">
        <v>N/A</v>
        <stp/>
        <stp>ASK</stp>
        <stp>.SPXW250512P5960</stp>
        <tr r="DD91" s="1"/>
      </tp>
      <tp t="s">
        <v>N/A</v>
        <stp/>
        <stp>ASK</stp>
        <stp>.SPXW250512C5910</stp>
        <tr r="DC96" s="1"/>
      </tp>
      <tp t="s">
        <v>N/A</v>
        <stp/>
        <stp>ASK</stp>
        <stp>.SPXW250512P5910</stp>
        <tr r="DD96" s="1"/>
      </tp>
      <tp>
        <v>0.05</v>
        <stp/>
        <stp>ASK</stp>
        <stp>.SPXW250512C5900</stp>
        <tr r="DC97" s="1"/>
        <tr r="DC97" s="1"/>
      </tp>
      <tp>
        <v>57.9</v>
        <stp/>
        <stp>ASK</stp>
        <stp>.SPXW250512P5900</stp>
        <tr r="DD97" s="1"/>
        <tr r="DD97" s="1"/>
      </tp>
      <tp t="s">
        <v>N/A</v>
        <stp/>
        <stp>ASK</stp>
        <stp>.SPXW250512C5930</stp>
        <tr r="DC94" s="1"/>
      </tp>
      <tp t="s">
        <v>N/A</v>
        <stp/>
        <stp>ASK</stp>
        <stp>.SPXW250512P5930</stp>
        <tr r="DD94" s="1"/>
      </tp>
      <tp t="s">
        <v>N/A</v>
        <stp/>
        <stp>ASK</stp>
        <stp>.SPXW250512C5920</stp>
        <tr r="DC95" s="1"/>
      </tp>
      <tp t="s">
        <v>N/A</v>
        <stp/>
        <stp>ASK</stp>
        <stp>.SPXW250512P5920</stp>
        <tr r="DD95" s="1"/>
      </tp>
      <tp>
        <v>-0.37</v>
        <stp/>
        <stp>DELTA</stp>
        <stp>.NDX250516P20725</stp>
        <tr r="CG162" s="1"/>
        <tr r="CG162" s="1"/>
      </tp>
      <tp>
        <v>-0.53</v>
        <stp/>
        <stp>DELTA</stp>
        <stp>.NDX250620P21125</stp>
        <tr r="CI146" s="1"/>
        <tr r="CI146" s="1"/>
      </tp>
      <tp>
        <v>-0.27</v>
        <stp/>
        <stp>DELTA</stp>
        <stp>.NDX250620P20125</stp>
        <tr r="CI186" s="1"/>
        <tr r="CI186" s="1"/>
      </tp>
      <tp>
        <v>-0.35</v>
        <stp/>
        <stp>DELTA</stp>
        <stp>.NDX250516P20700</stp>
        <tr r="CG163" s="1"/>
        <tr r="CG163" s="1"/>
      </tp>
      <tp>
        <v>-0.53</v>
        <stp/>
        <stp>DELTA</stp>
        <stp>.NDX250620P21100</stp>
        <tr r="CI147" s="1"/>
        <tr r="CI147" s="1"/>
      </tp>
      <tp>
        <v>-0.27</v>
        <stp/>
        <stp>DELTA</stp>
        <stp>.NDX250620P20100</stp>
        <tr r="CI187" s="1"/>
        <tr r="CI187" s="1"/>
      </tp>
      <tp t="s">
        <v>N/A</v>
        <stp/>
        <stp>ASK</stp>
        <stp>.SPXW250512C5990</stp>
        <tr r="DC88" s="1"/>
      </tp>
      <tp t="s">
        <v>N/A</v>
        <stp/>
        <stp>ASK</stp>
        <stp>.SPXW250512P5990</stp>
        <tr r="DD88" s="1"/>
      </tp>
      <tp t="s">
        <v>N/A</v>
        <stp/>
        <stp>ASK</stp>
        <stp>.SPXW250512C5980</stp>
        <tr r="DC89" s="1"/>
      </tp>
      <tp t="s">
        <v>N/A</v>
        <stp/>
        <stp>ASK</stp>
        <stp>.SPXW250512P5980</stp>
        <tr r="DD89" s="1"/>
      </tp>
      <tp>
        <v>-0.41</v>
        <stp/>
        <stp>DELTA</stp>
        <stp>.NDX250516P20775</stp>
        <tr r="CG160" s="1"/>
        <tr r="CG160" s="1"/>
      </tp>
      <tp>
        <v>-0.55000000000000004</v>
        <stp/>
        <stp>DELTA</stp>
        <stp>.NDX250620P21175</stp>
        <tr r="CI144" s="1"/>
        <tr r="CI144" s="1"/>
      </tp>
      <tp>
        <v>-0.28000000000000003</v>
        <stp/>
        <stp>DELTA</stp>
        <stp>.NDX250620P20175</stp>
        <tr r="CI184" s="1"/>
        <tr r="CI184" s="1"/>
      </tp>
      <tp>
        <v>-0.39</v>
        <stp/>
        <stp>DELTA</stp>
        <stp>.NDX250516P20750</stp>
        <tr r="CG161" s="1"/>
        <tr r="CG161" s="1"/>
      </tp>
      <tp>
        <v>-0.54</v>
        <stp/>
        <stp>DELTA</stp>
        <stp>.NDX250620P21150</stp>
        <tr r="CI145" s="1"/>
        <tr r="CI145" s="1"/>
      </tp>
      <tp>
        <v>-0.28000000000000003</v>
        <stp/>
        <stp>DELTA</stp>
        <stp>.NDX250620P20150</stp>
        <tr r="CI185" s="1"/>
        <tr r="CI185" s="1"/>
      </tp>
      <tp>
        <v>0.66</v>
        <stp/>
        <stp>DELTA</stp>
        <stp>.NDX250516C20700</stp>
        <tr r="CF163" s="1"/>
        <tr r="CF163" s="1"/>
      </tp>
      <tp>
        <v>0.47</v>
        <stp/>
        <stp>DELTA</stp>
        <stp>.NDX250620C21100</stp>
        <tr r="CH147" s="1"/>
        <tr r="CH147" s="1"/>
      </tp>
      <tp>
        <v>0.74</v>
        <stp/>
        <stp>DELTA</stp>
        <stp>.NDX250620C20100</stp>
        <tr r="CH187" s="1"/>
        <tr r="CH187" s="1"/>
      </tp>
      <tp>
        <v>0.64</v>
        <stp/>
        <stp>DELTA</stp>
        <stp>.NDX250516C20725</stp>
        <tr r="CF162" s="1"/>
        <tr r="CF162" s="1"/>
      </tp>
      <tp>
        <v>0.46</v>
        <stp/>
        <stp>DELTA</stp>
        <stp>.NDX250620C21125</stp>
        <tr r="CH146" s="1"/>
        <tr r="CH146" s="1"/>
      </tp>
      <tp>
        <v>0.73</v>
        <stp/>
        <stp>DELTA</stp>
        <stp>.NDX250620C20125</stp>
        <tr r="CH186" s="1"/>
        <tr r="CH186" s="1"/>
      </tp>
      <tp>
        <v>0.62</v>
        <stp/>
        <stp>DELTA</stp>
        <stp>.NDX250516C20750</stp>
        <tr r="CF161" s="1"/>
        <tr r="CF161" s="1"/>
      </tp>
      <tp>
        <v>0.45</v>
        <stp/>
        <stp>DELTA</stp>
        <stp>.NDX250620C21150</stp>
        <tr r="CH145" s="1"/>
        <tr r="CH145" s="1"/>
      </tp>
      <tp>
        <v>0.73</v>
        <stp/>
        <stp>DELTA</stp>
        <stp>.NDX250620C20150</stp>
        <tr r="CH185" s="1"/>
        <tr r="CH185" s="1"/>
      </tp>
      <tp>
        <v>0.6</v>
        <stp/>
        <stp>DELTA</stp>
        <stp>.NDX250516C20775</stp>
        <tr r="CF160" s="1"/>
        <tr r="CF160" s="1"/>
      </tp>
      <tp>
        <v>0.45</v>
        <stp/>
        <stp>DELTA</stp>
        <stp>.NDX250620C21175</stp>
        <tr r="CH144" s="1"/>
        <tr r="CH144" s="1"/>
      </tp>
      <tp>
        <v>0.72</v>
        <stp/>
        <stp>DELTA</stp>
        <stp>.NDX250620C20175</stp>
        <tr r="CH184" s="1"/>
        <tr r="CH184" s="1"/>
      </tp>
      <tp>
        <v>49.62</v>
        <stp/>
        <stp>LAST</stp>
        <stp>.NDXP250512P20875</stp>
        <tr r="DB156" s="1"/>
        <tr r="DB156" s="1"/>
      </tp>
      <tp>
        <v>0.5</v>
        <stp/>
        <stp>LAST</stp>
        <stp>.NDXP250512P20850</stp>
        <tr r="DB157" s="1"/>
        <tr r="DB157" s="1"/>
      </tp>
      <tp>
        <v>0.3</v>
        <stp/>
        <stp>LAST</stp>
        <stp>.NDXP250512P20825</stp>
        <tr r="DB158" s="1"/>
        <tr r="DB158" s="1"/>
      </tp>
      <tp>
        <v>0.05</v>
        <stp/>
        <stp>LAST</stp>
        <stp>.NDXP250512P20800</stp>
        <tr r="DB159" s="1"/>
        <tr r="DB159" s="1"/>
      </tp>
      <tp>
        <v>12.4</v>
        <stp/>
        <stp>LAST</stp>
        <stp>.NDXP250512C20850</stp>
        <tr r="DA157" s="1"/>
        <tr r="DA157" s="1"/>
      </tp>
      <tp>
        <v>1.6</v>
        <stp/>
        <stp>LAST</stp>
        <stp>.NDXP250512C20875</stp>
        <tr r="DA156" s="1"/>
        <tr r="DA156" s="1"/>
      </tp>
      <tp>
        <v>60</v>
        <stp/>
        <stp>LAST</stp>
        <stp>.NDXP250512C20800</stp>
        <tr r="DA159" s="1"/>
        <tr r="DA159" s="1"/>
      </tp>
      <tp>
        <v>33.549999999999997</v>
        <stp/>
        <stp>LAST</stp>
        <stp>.NDXP250512C20825</stp>
        <tr r="DA158" s="1"/>
        <tr r="DA158" s="1"/>
      </tp>
      <tp>
        <v>-0.18</v>
        <stp/>
        <stp>DELTA</stp>
        <stp>.NDX250516P20425</stp>
        <tr r="CG174" s="1"/>
        <tr r="CG174" s="1"/>
      </tp>
      <tp>
        <v>-0.56999999999999995</v>
        <stp/>
        <stp>DELTA</stp>
        <stp>.NDX250620P21225</stp>
        <tr r="CI142" s="1"/>
        <tr r="CI142" s="1"/>
      </tp>
      <tp>
        <v>-0.28999999999999998</v>
        <stp/>
        <stp>DELTA</stp>
        <stp>.NDX250620P20225</stp>
        <tr r="CI182" s="1"/>
        <tr r="CI182" s="1"/>
      </tp>
      <tp>
        <v>-0.17</v>
        <stp/>
        <stp>DELTA</stp>
        <stp>.NDX250516P20400</stp>
        <tr r="CG175" s="1"/>
        <tr r="CG175" s="1"/>
      </tp>
      <tp>
        <v>-0.56000000000000005</v>
        <stp/>
        <stp>DELTA</stp>
        <stp>.NDX250620P21200</stp>
        <tr r="CI143" s="1"/>
        <tr r="CI143" s="1"/>
      </tp>
      <tp>
        <v>-0.28999999999999998</v>
        <stp/>
        <stp>DELTA</stp>
        <stp>.NDX250620P20200</stp>
        <tr r="CI183" s="1"/>
        <tr r="CI183" s="1"/>
      </tp>
      <tp>
        <v>-0.21</v>
        <stp/>
        <stp>DELTA</stp>
        <stp>.NDX250516P20475</stp>
        <tr r="CG172" s="1"/>
        <tr r="CG172" s="1"/>
      </tp>
      <tp>
        <v>-0.57999999999999996</v>
        <stp/>
        <stp>DELTA</stp>
        <stp>.NDX250620P21275</stp>
        <tr r="CI140" s="1"/>
        <tr r="CI140" s="1"/>
      </tp>
      <tp>
        <v>-0.3</v>
        <stp/>
        <stp>DELTA</stp>
        <stp>.NDX250620P20275</stp>
        <tr r="CI180" s="1"/>
        <tr r="CI180" s="1"/>
      </tp>
      <tp>
        <v>-0.2</v>
        <stp/>
        <stp>DELTA</stp>
        <stp>.NDX250516P20450</stp>
        <tr r="CG173" s="1"/>
        <tr r="CG173" s="1"/>
      </tp>
      <tp>
        <v>-0.56999999999999995</v>
        <stp/>
        <stp>DELTA</stp>
        <stp>.NDX250620P21250</stp>
        <tr r="CI141" s="1"/>
        <tr r="CI141" s="1"/>
      </tp>
      <tp>
        <v>-0.3</v>
        <stp/>
        <stp>DELTA</stp>
        <stp>.NDX250620P20250</stp>
        <tr r="CI181" s="1"/>
        <tr r="CI181" s="1"/>
      </tp>
      <tp>
        <v>0.85</v>
        <stp/>
        <stp>DELTA</stp>
        <stp>.NDX250516C20400</stp>
        <tr r="CF175" s="1"/>
        <tr r="CF175" s="1"/>
      </tp>
      <tp>
        <v>0.44</v>
        <stp/>
        <stp>DELTA</stp>
        <stp>.NDX250620C21200</stp>
        <tr r="CH143" s="1"/>
        <tr r="CH143" s="1"/>
      </tp>
      <tp>
        <v>0.72</v>
        <stp/>
        <stp>DELTA</stp>
        <stp>.NDX250620C20200</stp>
        <tr r="CH183" s="1"/>
        <tr r="CH183" s="1"/>
      </tp>
      <tp>
        <v>0.84</v>
        <stp/>
        <stp>DELTA</stp>
        <stp>.NDX250516C20425</stp>
        <tr r="CF174" s="1"/>
        <tr r="CF174" s="1"/>
      </tp>
      <tp>
        <v>0.43</v>
        <stp/>
        <stp>DELTA</stp>
        <stp>.NDX250620C21225</stp>
        <tr r="CH142" s="1"/>
        <tr r="CH142" s="1"/>
      </tp>
      <tp>
        <v>0.71</v>
        <stp/>
        <stp>DELTA</stp>
        <stp>.NDX250620C20225</stp>
        <tr r="CH182" s="1"/>
        <tr r="CH182" s="1"/>
      </tp>
      <tp>
        <v>0.82</v>
        <stp/>
        <stp>DELTA</stp>
        <stp>.NDX250516C20450</stp>
        <tr r="CF173" s="1"/>
        <tr r="CF173" s="1"/>
      </tp>
      <tp>
        <v>0.42</v>
        <stp/>
        <stp>DELTA</stp>
        <stp>.NDX250620C21250</stp>
        <tr r="CH141" s="1"/>
        <tr r="CH141" s="1"/>
      </tp>
      <tp>
        <v>0.71</v>
        <stp/>
        <stp>DELTA</stp>
        <stp>.NDX250620C20250</stp>
        <tr r="CH181" s="1"/>
        <tr r="CH181" s="1"/>
      </tp>
      <tp>
        <v>0.82</v>
        <stp/>
        <stp>DELTA</stp>
        <stp>.NDX250516C20475</stp>
        <tr r="CF172" s="1"/>
        <tr r="CF172" s="1"/>
      </tp>
      <tp>
        <v>0.41</v>
        <stp/>
        <stp>DELTA</stp>
        <stp>.NDX250620C21275</stp>
        <tr r="CH140" s="1"/>
        <tr r="CH140" s="1"/>
      </tp>
      <tp>
        <v>0.7</v>
        <stp/>
        <stp>DELTA</stp>
        <stp>.NDX250620C20275</stp>
        <tr r="CH180" s="1"/>
        <tr r="CH180" s="1"/>
      </tp>
      <tp>
        <v>-0.24</v>
        <stp/>
        <stp>DELTA</stp>
        <stp>.NDX250516P20525</stp>
        <tr r="CG170" s="1"/>
        <tr r="CG170" s="1"/>
      </tp>
      <tp>
        <v>-0.6</v>
        <stp/>
        <stp>DELTA</stp>
        <stp>.NDX250620P21325</stp>
        <tr r="CI138" s="1"/>
        <tr r="CI138" s="1"/>
      </tp>
      <tp>
        <v>-0.32</v>
        <stp/>
        <stp>DELTA</stp>
        <stp>.NDX250620P20325</stp>
        <tr r="CI178" s="1"/>
        <tr r="CI178" s="1"/>
      </tp>
      <tp>
        <v>-0.22</v>
        <stp/>
        <stp>DELTA</stp>
        <stp>.NDX250516P20500</stp>
        <tr r="CG171" s="1"/>
        <tr r="CG171" s="1"/>
      </tp>
      <tp>
        <v>-0.59</v>
        <stp/>
        <stp>DELTA</stp>
        <stp>.NDX250620P21300</stp>
        <tr r="CI139" s="1"/>
        <tr r="CI139" s="1"/>
      </tp>
      <tp>
        <v>-0.31</v>
        <stp/>
        <stp>DELTA</stp>
        <stp>.NDX250620P20300</stp>
        <tr r="CI179" s="1"/>
        <tr r="CI179" s="1"/>
      </tp>
      <tp>
        <v>-0.27</v>
        <stp/>
        <stp>DELTA</stp>
        <stp>.NDX250516P20575</stp>
        <tr r="CG168" s="1"/>
        <tr r="CG168" s="1"/>
      </tp>
      <tp>
        <v>-0.33</v>
        <stp/>
        <stp>DELTA</stp>
        <stp>.NDX250620P20375</stp>
        <tr r="CI176" s="1"/>
        <tr r="CI176" s="1"/>
      </tp>
      <tp>
        <v>-0.25</v>
        <stp/>
        <stp>DELTA</stp>
        <stp>.NDX250516P20550</stp>
        <tr r="CG169" s="1"/>
        <tr r="CG169" s="1"/>
      </tp>
      <tp>
        <v>-0.6</v>
        <stp/>
        <stp>DELTA</stp>
        <stp>.NDX250620P21350</stp>
        <tr r="CI137" s="1"/>
        <tr r="CI137" s="1"/>
      </tp>
      <tp>
        <v>-0.32</v>
        <stp/>
        <stp>DELTA</stp>
        <stp>.NDX250620P20350</stp>
        <tr r="CI177" s="1"/>
        <tr r="CI177" s="1"/>
      </tp>
      <tp>
        <v>0.8</v>
        <stp/>
        <stp>DELTA</stp>
        <stp>.NDX250516C20500</stp>
        <tr r="CF171" s="1"/>
        <tr r="CF171" s="1"/>
      </tp>
      <tp>
        <v>0.41</v>
        <stp/>
        <stp>DELTA</stp>
        <stp>.NDX250620C21300</stp>
        <tr r="CH139" s="1"/>
        <tr r="CH139" s="1"/>
      </tp>
      <tp>
        <v>0.7</v>
        <stp/>
        <stp>DELTA</stp>
        <stp>.NDX250620C20300</stp>
        <tr r="CH179" s="1"/>
        <tr r="CH179" s="1"/>
      </tp>
      <tp>
        <v>0.79</v>
        <stp/>
        <stp>DELTA</stp>
        <stp>.NDX250516C20525</stp>
        <tr r="CF170" s="1"/>
        <tr r="CF170" s="1"/>
      </tp>
      <tp>
        <v>0.4</v>
        <stp/>
        <stp>DELTA</stp>
        <stp>.NDX250620C21325</stp>
        <tr r="CH138" s="1"/>
        <tr r="CH138" s="1"/>
      </tp>
      <tp>
        <v>0.69</v>
        <stp/>
        <stp>DELTA</stp>
        <stp>.NDX250620C20325</stp>
        <tr r="CH178" s="1"/>
        <tr r="CH178" s="1"/>
      </tp>
      <tp>
        <v>0.77</v>
        <stp/>
        <stp>DELTA</stp>
        <stp>.NDX250516C20550</stp>
        <tr r="CF169" s="1"/>
        <tr r="CF169" s="1"/>
      </tp>
      <tp>
        <v>0.39</v>
        <stp/>
        <stp>DELTA</stp>
        <stp>.NDX250620C21350</stp>
        <tr r="CH137" s="1"/>
        <tr r="CH137" s="1"/>
      </tp>
      <tp>
        <v>0.69</v>
        <stp/>
        <stp>DELTA</stp>
        <stp>.NDX250620C20350</stp>
        <tr r="CH177" s="1"/>
        <tr r="CH177" s="1"/>
      </tp>
      <tp>
        <v>0.76</v>
        <stp/>
        <stp>DELTA</stp>
        <stp>.NDX250516C20575</stp>
        <tr r="CF168" s="1"/>
        <tr r="CF168" s="1"/>
      </tp>
      <tp>
        <v>0.68</v>
        <stp/>
        <stp>DELTA</stp>
        <stp>.NDX250620C20375</stp>
        <tr r="CH176" s="1"/>
        <tr r="CH176" s="1"/>
      </tp>
      <tp t="s">
        <v>N/A</v>
        <stp/>
        <stp>VOLUME</stp>
        <stp>.SPY250718P588</stp>
        <tr r="M9" s="2"/>
      </tp>
      <tp t="s">
        <v>N/A</v>
        <stp/>
        <stp>VOLUME</stp>
        <stp>.SPY250718C588</stp>
        <tr r="M9" s="2"/>
      </tp>
      <tp t="s">
        <v>N/A</v>
        <stp/>
        <stp>VOLUME</stp>
        <stp>.SPY250718P589</stp>
        <tr r="M8" s="2"/>
      </tp>
      <tp t="s">
        <v>N/A</v>
        <stp/>
        <stp>VOLUME</stp>
        <stp>.SPY250718C589</stp>
        <tr r="M8" s="2"/>
      </tp>
      <tp t="s">
        <v>N/A</v>
        <stp/>
        <stp>VOLUME</stp>
        <stp>.SPY250718P586</stp>
        <tr r="M11" s="2"/>
      </tp>
      <tp t="s">
        <v>N/A</v>
        <stp/>
        <stp>VOLUME</stp>
        <stp>.SPY250718C586</stp>
        <tr r="M11" s="2"/>
      </tp>
      <tp t="s">
        <v>N/A</v>
        <stp/>
        <stp>VOLUME</stp>
        <stp>.SPY250718P587</stp>
        <tr r="M10" s="2"/>
      </tp>
      <tp t="s">
        <v>N/A</v>
        <stp/>
        <stp>VOLUME</stp>
        <stp>.SPY250718C587</stp>
        <tr r="M10" s="2"/>
      </tp>
      <tp t="s">
        <v>N/A</v>
        <stp/>
        <stp>VOLUME</stp>
        <stp>.SPY250718P584</stp>
        <tr r="M13" s="2"/>
      </tp>
      <tp t="s">
        <v>N/A</v>
        <stp/>
        <stp>VOLUME</stp>
        <stp>.SPY250718C584</stp>
        <tr r="M13" s="2"/>
      </tp>
      <tp>
        <v>710</v>
        <stp/>
        <stp>VOLUME</stp>
        <stp>.SPY250718P585</stp>
        <tr r="M12" s="2"/>
        <tr r="M12" s="2"/>
      </tp>
      <tp>
        <v>1612</v>
        <stp/>
        <stp>VOLUME</stp>
        <stp>.SPY250718C585</stp>
        <tr r="M12" s="2"/>
        <tr r="M12" s="2"/>
      </tp>
      <tp t="s">
        <v>N/A</v>
        <stp/>
        <stp>VOLUME</stp>
        <stp>.SPY250718P582</stp>
        <tr r="M15" s="2"/>
      </tp>
      <tp t="s">
        <v>N/A</v>
        <stp/>
        <stp>VOLUME</stp>
        <stp>.SPY250718C582</stp>
        <tr r="M15" s="2"/>
      </tp>
      <tp t="s">
        <v>N/A</v>
        <stp/>
        <stp>VOLUME</stp>
        <stp>.SPY250718P583</stp>
        <tr r="M14" s="2"/>
      </tp>
      <tp t="s">
        <v>N/A</v>
        <stp/>
        <stp>VOLUME</stp>
        <stp>.SPY250718C583</stp>
        <tr r="M14" s="2"/>
      </tp>
      <tp>
        <v>4322</v>
        <stp/>
        <stp>VOLUME</stp>
        <stp>.SPY250718P580</stp>
        <tr r="M17" s="2"/>
        <tr r="M17" s="2"/>
      </tp>
      <tp>
        <v>1802</v>
        <stp/>
        <stp>VOLUME</stp>
        <stp>.SPY250718C580</stp>
        <tr r="M17" s="2"/>
        <tr r="M17" s="2"/>
      </tp>
      <tp t="s">
        <v>N/A</v>
        <stp/>
        <stp>VOLUME</stp>
        <stp>.SPY250718P581</stp>
        <tr r="M16" s="2"/>
      </tp>
      <tp t="s">
        <v>N/A</v>
        <stp/>
        <stp>VOLUME</stp>
        <stp>.SPY250718C581</stp>
        <tr r="M16" s="2"/>
      </tp>
      <tp t="s">
        <v>N/A</v>
        <stp/>
        <stp>VOLUME</stp>
        <stp>.SPY250718P592</stp>
        <tr r="M5" s="2"/>
      </tp>
      <tp t="s">
        <v>N/A</v>
        <stp/>
        <stp>VOLUME</stp>
        <stp>.SPY250718C592</stp>
        <tr r="M5" s="2"/>
      </tp>
      <tp>
        <v>442</v>
        <stp/>
        <stp>VOLUME</stp>
        <stp>.SPY250718P590</stp>
        <tr r="M7" s="2"/>
        <tr r="M7" s="2"/>
      </tp>
      <tp>
        <v>10057</v>
        <stp/>
        <stp>VOLUME</stp>
        <stp>.SPY250718C590</stp>
        <tr r="M7" s="2"/>
        <tr r="M7" s="2"/>
      </tp>
      <tp t="s">
        <v>N/A</v>
        <stp/>
        <stp>VOLUME</stp>
        <stp>.SPY250718P591</stp>
        <tr r="M6" s="2"/>
      </tp>
      <tp t="s">
        <v>N/A</v>
        <stp/>
        <stp>VOLUME</stp>
        <stp>.SPY250718C591</stp>
        <tr r="M6" s="2"/>
      </tp>
      <tp>
        <v>20</v>
        <stp/>
        <stp>VOLUME</stp>
        <stp>.SPY250731P587</stp>
        <tr r="N10" s="2"/>
        <tr r="N10" s="2"/>
      </tp>
      <tp>
        <v>7</v>
        <stp/>
        <stp>VOLUME</stp>
        <stp>.SPY250731C587</stp>
        <tr r="N10" s="2"/>
        <tr r="N10" s="2"/>
      </tp>
      <tp>
        <v>24</v>
        <stp/>
        <stp>VOLUME</stp>
        <stp>.SPY250731P586</stp>
        <tr r="N11" s="2"/>
        <tr r="N11" s="2"/>
      </tp>
      <tp>
        <v>18</v>
        <stp/>
        <stp>VOLUME</stp>
        <stp>.SPY250731C586</stp>
        <tr r="N11" s="2"/>
        <tr r="N11" s="2"/>
      </tp>
      <tp>
        <v>35</v>
        <stp/>
        <stp>VOLUME</stp>
        <stp>.SPY250731P585</stp>
        <tr r="N12" s="2"/>
        <tr r="N12" s="2"/>
      </tp>
      <tp>
        <v>400</v>
        <stp/>
        <stp>VOLUME</stp>
        <stp>.SPY250731C585</stp>
        <tr r="N12" s="2"/>
        <tr r="N12" s="2"/>
      </tp>
      <tp>
        <v>23</v>
        <stp/>
        <stp>VOLUME</stp>
        <stp>.SPY250731P584</stp>
        <tr r="N13" s="2"/>
        <tr r="N13" s="2"/>
      </tp>
      <tp>
        <v>38</v>
        <stp/>
        <stp>VOLUME</stp>
        <stp>.SPY250731C584</stp>
        <tr r="N13" s="2"/>
        <tr r="N13" s="2"/>
      </tp>
      <tp>
        <v>21</v>
        <stp/>
        <stp>VOLUME</stp>
        <stp>.SPY250731P583</stp>
        <tr r="N14" s="2"/>
        <tr r="N14" s="2"/>
      </tp>
      <tp>
        <v>86</v>
        <stp/>
        <stp>VOLUME</stp>
        <stp>.SPY250731C583</stp>
        <tr r="N14" s="2"/>
        <tr r="N14" s="2"/>
      </tp>
      <tp>
        <v>62</v>
        <stp/>
        <stp>VOLUME</stp>
        <stp>.SPY250731P582</stp>
        <tr r="N15" s="2"/>
        <tr r="N15" s="2"/>
      </tp>
      <tp>
        <v>41</v>
        <stp/>
        <stp>VOLUME</stp>
        <stp>.SPY250731C582</stp>
        <tr r="N15" s="2"/>
        <tr r="N15" s="2"/>
      </tp>
      <tp>
        <v>45</v>
        <stp/>
        <stp>VOLUME</stp>
        <stp>.SPY250731P581</stp>
        <tr r="N16" s="2"/>
        <tr r="N16" s="2"/>
      </tp>
      <tp>
        <v>21</v>
        <stp/>
        <stp>VOLUME</stp>
        <stp>.SPY250731C581</stp>
        <tr r="N16" s="2"/>
        <tr r="N16" s="2"/>
      </tp>
      <tp>
        <v>742</v>
        <stp/>
        <stp>VOLUME</stp>
        <stp>.SPY250731P580</stp>
        <tr r="N17" s="2"/>
        <tr r="N17" s="2"/>
      </tp>
      <tp>
        <v>477</v>
        <stp/>
        <stp>VOLUME</stp>
        <stp>.SPY250731C580</stp>
        <tr r="N17" s="2"/>
        <tr r="N17" s="2"/>
      </tp>
      <tp>
        <v>3</v>
        <stp/>
        <stp>VOLUME</stp>
        <stp>.SPY250731P589</stp>
        <tr r="N8" s="2"/>
        <tr r="N8" s="2"/>
      </tp>
      <tp>
        <v>13</v>
        <stp/>
        <stp>VOLUME</stp>
        <stp>.SPY250731C589</stp>
        <tr r="N8" s="2"/>
        <tr r="N8" s="2"/>
      </tp>
      <tp t="s">
        <v>N/A</v>
        <stp/>
        <stp>VOLUME</stp>
        <stp>.SPY250731P588</stp>
        <tr r="N9" s="2"/>
      </tp>
      <tp>
        <v>3</v>
        <stp/>
        <stp>VOLUME</stp>
        <stp>.SPY250731C588</stp>
        <tr r="N9" s="2"/>
        <tr r="N9" s="2"/>
      </tp>
      <tp t="s">
        <v>N/A</v>
        <stp/>
        <stp>VOLUME</stp>
        <stp>.SPY250731P592</stp>
        <tr r="N5" s="2"/>
      </tp>
      <tp>
        <v>8</v>
        <stp/>
        <stp>VOLUME</stp>
        <stp>.SPY250731C592</stp>
        <tr r="N5" s="2"/>
        <tr r="N5" s="2"/>
      </tp>
      <tp t="s">
        <v>N/A</v>
        <stp/>
        <stp>VOLUME</stp>
        <stp>.SPY250731P591</stp>
        <tr r="N6" s="2"/>
      </tp>
      <tp>
        <v>11</v>
        <stp/>
        <stp>VOLUME</stp>
        <stp>.SPY250731C591</stp>
        <tr r="N6" s="2"/>
        <tr r="N6" s="2"/>
      </tp>
      <tp>
        <v>10</v>
        <stp/>
        <stp>VOLUME</stp>
        <stp>.SPY250731P590</stp>
        <tr r="N7" s="2"/>
        <tr r="N7" s="2"/>
      </tp>
      <tp>
        <v>268</v>
        <stp/>
        <stp>VOLUME</stp>
        <stp>.SPY250731C590</stp>
        <tr r="N7" s="2"/>
        <tr r="N7" s="2"/>
      </tp>
      <tp>
        <v>14</v>
        <stp/>
        <stp>VOLUME</stp>
        <stp>.SPY250731P567</stp>
        <tr r="N30" s="2"/>
        <tr r="N30" s="2"/>
      </tp>
      <tp>
        <v>7</v>
        <stp/>
        <stp>VOLUME</stp>
        <stp>.SPY250731C567</stp>
        <tr r="N30" s="2"/>
        <tr r="N30" s="2"/>
      </tp>
      <tp>
        <v>10</v>
        <stp/>
        <stp>VOLUME</stp>
        <stp>.SPY250731P566</stp>
        <tr r="N31" s="2"/>
        <tr r="N31" s="2"/>
      </tp>
      <tp>
        <v>22</v>
        <stp/>
        <stp>VOLUME</stp>
        <stp>.SPY250731C566</stp>
        <tr r="N31" s="2"/>
        <tr r="N31" s="2"/>
      </tp>
      <tp>
        <v>88</v>
        <stp/>
        <stp>VOLUME</stp>
        <stp>.SPY250731P565</stp>
        <tr r="N32" s="2"/>
        <tr r="N32" s="2"/>
      </tp>
      <tp>
        <v>145</v>
        <stp/>
        <stp>VOLUME</stp>
        <stp>.SPY250731C565</stp>
        <tr r="N32" s="2"/>
        <tr r="N32" s="2"/>
      </tp>
      <tp>
        <v>55</v>
        <stp/>
        <stp>VOLUME</stp>
        <stp>.SPY250731P564</stp>
        <tr r="N33" s="2"/>
        <tr r="N33" s="2"/>
      </tp>
      <tp>
        <v>105</v>
        <stp/>
        <stp>VOLUME</stp>
        <stp>.SPY250731C564</stp>
        <tr r="N33" s="2"/>
        <tr r="N33" s="2"/>
      </tp>
      <tp>
        <v>29</v>
        <stp/>
        <stp>VOLUME</stp>
        <stp>.SPY250731P563</stp>
        <tr r="N34" s="2"/>
        <tr r="N34" s="2"/>
      </tp>
      <tp>
        <v>7</v>
        <stp/>
        <stp>VOLUME</stp>
        <stp>.SPY250731C563</stp>
        <tr r="N34" s="2"/>
        <tr r="N34" s="2"/>
      </tp>
      <tp>
        <v>41</v>
        <stp/>
        <stp>VOLUME</stp>
        <stp>.SPY250731P562</stp>
        <tr r="N35" s="2"/>
        <tr r="N35" s="2"/>
      </tp>
      <tp>
        <v>12</v>
        <stp/>
        <stp>VOLUME</stp>
        <stp>.SPY250731C562</stp>
        <tr r="N35" s="2"/>
        <tr r="N35" s="2"/>
      </tp>
      <tp>
        <v>69</v>
        <stp/>
        <stp>VOLUME</stp>
        <stp>.SPY250731P561</stp>
        <tr r="N36" s="2"/>
        <tr r="N36" s="2"/>
      </tp>
      <tp>
        <v>8</v>
        <stp/>
        <stp>VOLUME</stp>
        <stp>.SPY250731C561</stp>
        <tr r="N36" s="2"/>
        <tr r="N36" s="2"/>
      </tp>
      <tp>
        <v>335</v>
        <stp/>
        <stp>VOLUME</stp>
        <stp>.SPY250731P560</stp>
        <tr r="N37" s="2"/>
        <tr r="N37" s="2"/>
      </tp>
      <tp>
        <v>216</v>
        <stp/>
        <stp>VOLUME</stp>
        <stp>.SPY250731C560</stp>
        <tr r="N37" s="2"/>
        <tr r="N37" s="2"/>
      </tp>
      <tp>
        <v>87</v>
        <stp/>
        <stp>VOLUME</stp>
        <stp>.SPY250731P569</stp>
        <tr r="N28" s="2"/>
        <tr r="N28" s="2"/>
      </tp>
      <tp>
        <v>24</v>
        <stp/>
        <stp>VOLUME</stp>
        <stp>.SPY250731C569</stp>
        <tr r="N28" s="2"/>
        <tr r="N28" s="2"/>
      </tp>
      <tp>
        <v>36</v>
        <stp/>
        <stp>VOLUME</stp>
        <stp>.SPY250731P568</stp>
        <tr r="N29" s="2"/>
        <tr r="N29" s="2"/>
      </tp>
      <tp>
        <v>21</v>
        <stp/>
        <stp>VOLUME</stp>
        <stp>.SPY250731C568</stp>
        <tr r="N29" s="2"/>
        <tr r="N29" s="2"/>
      </tp>
      <tp>
        <v>26</v>
        <stp/>
        <stp>VOLUME</stp>
        <stp>.SPY250731P577</stp>
        <tr r="N20" s="2"/>
        <tr r="N20" s="2"/>
      </tp>
      <tp>
        <v>10</v>
        <stp/>
        <stp>VOLUME</stp>
        <stp>.SPY250731C577</stp>
        <tr r="N20" s="2"/>
        <tr r="N20" s="2"/>
      </tp>
      <tp>
        <v>24</v>
        <stp/>
        <stp>VOLUME</stp>
        <stp>.SPY250731P576</stp>
        <tr r="N21" s="2"/>
        <tr r="N21" s="2"/>
      </tp>
      <tp>
        <v>26</v>
        <stp/>
        <stp>VOLUME</stp>
        <stp>.SPY250731C576</stp>
        <tr r="N21" s="2"/>
        <tr r="N21" s="2"/>
      </tp>
      <tp>
        <v>244</v>
        <stp/>
        <stp>VOLUME</stp>
        <stp>.SPY250731P575</stp>
        <tr r="N22" s="2"/>
        <tr r="N22" s="2"/>
      </tp>
      <tp>
        <v>410</v>
        <stp/>
        <stp>VOLUME</stp>
        <stp>.SPY250731C575</stp>
        <tr r="N22" s="2"/>
        <tr r="N22" s="2"/>
      </tp>
      <tp>
        <v>19</v>
        <stp/>
        <stp>VOLUME</stp>
        <stp>.SPY250731P574</stp>
        <tr r="N23" s="2"/>
        <tr r="N23" s="2"/>
      </tp>
      <tp>
        <v>13</v>
        <stp/>
        <stp>VOLUME</stp>
        <stp>.SPY250731C574</stp>
        <tr r="N23" s="2"/>
        <tr r="N23" s="2"/>
      </tp>
      <tp>
        <v>50</v>
        <stp/>
        <stp>VOLUME</stp>
        <stp>.SPY250731P573</stp>
        <tr r="N24" s="2"/>
        <tr r="N24" s="2"/>
      </tp>
      <tp>
        <v>12</v>
        <stp/>
        <stp>VOLUME</stp>
        <stp>.SPY250731C573</stp>
        <tr r="N24" s="2"/>
        <tr r="N24" s="2"/>
      </tp>
      <tp>
        <v>30</v>
        <stp/>
        <stp>VOLUME</stp>
        <stp>.SPY250731P572</stp>
        <tr r="N25" s="2"/>
        <tr r="N25" s="2"/>
      </tp>
      <tp>
        <v>11</v>
        <stp/>
        <stp>VOLUME</stp>
        <stp>.SPY250731C572</stp>
        <tr r="N25" s="2"/>
        <tr r="N25" s="2"/>
      </tp>
      <tp t="s">
        <v>N/A</v>
        <stp/>
        <stp>VOLUME</stp>
        <stp>.SPY250718P558</stp>
        <tr r="M39" s="2"/>
      </tp>
      <tp>
        <v>12</v>
        <stp/>
        <stp>VOLUME</stp>
        <stp>.SPY250731P571</stp>
        <tr r="N26" s="2"/>
        <tr r="N26" s="2"/>
      </tp>
      <tp t="s">
        <v>N/A</v>
        <stp/>
        <stp>VOLUME</stp>
        <stp>.SPY250718C558</stp>
        <tr r="M39" s="2"/>
      </tp>
      <tp>
        <v>14</v>
        <stp/>
        <stp>VOLUME</stp>
        <stp>.SPY250731C571</stp>
        <tr r="N26" s="2"/>
        <tr r="N26" s="2"/>
      </tp>
      <tp t="s">
        <v>N/A</v>
        <stp/>
        <stp>VOLUME</stp>
        <stp>.SPY250718P559</stp>
        <tr r="M38" s="2"/>
      </tp>
      <tp>
        <v>229</v>
        <stp/>
        <stp>VOLUME</stp>
        <stp>.SPY250731P570</stp>
        <tr r="N27" s="2"/>
        <tr r="N27" s="2"/>
      </tp>
      <tp t="s">
        <v>N/A</v>
        <stp/>
        <stp>VOLUME</stp>
        <stp>.SPY250718C559</stp>
        <tr r="M38" s="2"/>
      </tp>
      <tp>
        <v>313</v>
        <stp/>
        <stp>VOLUME</stp>
        <stp>.SPY250731C570</stp>
        <tr r="N27" s="2"/>
        <tr r="N27" s="2"/>
      </tp>
      <tp>
        <v>447</v>
        <stp/>
        <stp>VOLUME</stp>
        <stp>.SPY250731P579</stp>
        <tr r="N18" s="2"/>
        <tr r="N18" s="2"/>
      </tp>
      <tp>
        <v>883</v>
        <stp/>
        <stp>VOLUME</stp>
        <stp>.SPY250731C579</stp>
        <tr r="N18" s="2"/>
        <tr r="N18" s="2"/>
      </tp>
      <tp>
        <v>26</v>
        <stp/>
        <stp>VOLUME</stp>
        <stp>.SPY250731P578</stp>
        <tr r="N19" s="2"/>
        <tr r="N19" s="2"/>
      </tp>
      <tp>
        <v>46</v>
        <stp/>
        <stp>VOLUME</stp>
        <stp>.SPY250731C578</stp>
        <tr r="N19" s="2"/>
        <tr r="N19" s="2"/>
      </tp>
      <tp t="s">
        <v>N/A</v>
        <stp/>
        <stp>VOLUME</stp>
        <stp>.SPY250718P568</stp>
        <tr r="M29" s="2"/>
      </tp>
      <tp t="s">
        <v>N/A</v>
        <stp/>
        <stp>VOLUME</stp>
        <stp>.SPY250718C568</stp>
        <tr r="M29" s="2"/>
      </tp>
      <tp t="s">
        <v>N/A</v>
        <stp/>
        <stp>VOLUME</stp>
        <stp>.SPY250718P569</stp>
        <tr r="M28" s="2"/>
      </tp>
      <tp t="s">
        <v>N/A</v>
        <stp/>
        <stp>VOLUME</stp>
        <stp>.SPY250718C569</stp>
        <tr r="M28" s="2"/>
      </tp>
      <tp t="s">
        <v>N/A</v>
        <stp/>
        <stp>VOLUME</stp>
        <stp>.SPY250718P566</stp>
        <tr r="M31" s="2"/>
      </tp>
      <tp t="s">
        <v>N/A</v>
        <stp/>
        <stp>VOLUME</stp>
        <stp>.SPY250718C566</stp>
        <tr r="M31" s="2"/>
      </tp>
      <tp t="s">
        <v>N/A</v>
        <stp/>
        <stp>VOLUME</stp>
        <stp>.SPY250718P567</stp>
        <tr r="M30" s="2"/>
      </tp>
      <tp t="s">
        <v>N/A</v>
        <stp/>
        <stp>VOLUME</stp>
        <stp>.SPY250718C567</stp>
        <tr r="M30" s="2"/>
      </tp>
      <tp t="s">
        <v>N/A</v>
        <stp/>
        <stp>VOLUME</stp>
        <stp>.SPY250718P564</stp>
        <tr r="M33" s="2"/>
      </tp>
      <tp t="s">
        <v>N/A</v>
        <stp/>
        <stp>VOLUME</stp>
        <stp>.SPY250718C564</stp>
        <tr r="M33" s="2"/>
      </tp>
      <tp>
        <v>814</v>
        <stp/>
        <stp>VOLUME</stp>
        <stp>.SPY250718P565</stp>
        <tr r="M32" s="2"/>
        <tr r="M32" s="2"/>
      </tp>
      <tp>
        <v>502</v>
        <stp/>
        <stp>VOLUME</stp>
        <stp>.SPY250718C565</stp>
        <tr r="M32" s="2"/>
        <tr r="M32" s="2"/>
      </tp>
      <tp t="s">
        <v>N/A</v>
        <stp/>
        <stp>VOLUME</stp>
        <stp>.SPY250718P562</stp>
        <tr r="M35" s="2"/>
      </tp>
      <tp t="s">
        <v>N/A</v>
        <stp/>
        <stp>VOLUME</stp>
        <stp>.SPY250718C562</stp>
        <tr r="M35" s="2"/>
      </tp>
      <tp t="s">
        <v>N/A</v>
        <stp/>
        <stp>VOLUME</stp>
        <stp>.SPY250718P563</stp>
        <tr r="M34" s="2"/>
      </tp>
      <tp t="s">
        <v>N/A</v>
        <stp/>
        <stp>VOLUME</stp>
        <stp>.SPY250718C563</stp>
        <tr r="M34" s="2"/>
      </tp>
      <tp>
        <v>7411</v>
        <stp/>
        <stp>VOLUME</stp>
        <stp>.SPY250718P560</stp>
        <tr r="M37" s="2"/>
        <tr r="M37" s="2"/>
      </tp>
      <tp>
        <v>431</v>
        <stp/>
        <stp>VOLUME</stp>
        <stp>.SPY250718C560</stp>
        <tr r="M37" s="2"/>
        <tr r="M37" s="2"/>
      </tp>
      <tp t="s">
        <v>N/A</v>
        <stp/>
        <stp>VOLUME</stp>
        <stp>.SPY250718P561</stp>
        <tr r="M36" s="2"/>
      </tp>
      <tp t="s">
        <v>N/A</v>
        <stp/>
        <stp>VOLUME</stp>
        <stp>.SPY250718C561</stp>
        <tr r="M36" s="2"/>
      </tp>
      <tp t="s">
        <v>N/A</v>
        <stp/>
        <stp>VOLUME</stp>
        <stp>.SPY250718P578</stp>
        <tr r="M19" s="2"/>
      </tp>
      <tp t="s">
        <v>N/A</v>
        <stp/>
        <stp>VOLUME</stp>
        <stp>.SPY250718C578</stp>
        <tr r="M19" s="2"/>
      </tp>
      <tp t="s">
        <v>N/A</v>
        <stp/>
        <stp>VOLUME</stp>
        <stp>.SPY250718P579</stp>
        <tr r="M18" s="2"/>
      </tp>
      <tp t="s">
        <v>N/A</v>
        <stp/>
        <stp>VOLUME</stp>
        <stp>.SPY250718C579</stp>
        <tr r="M18" s="2"/>
      </tp>
      <tp t="s">
        <v>N/A</v>
        <stp/>
        <stp>VOLUME</stp>
        <stp>.SPY250718P576</stp>
        <tr r="M21" s="2"/>
      </tp>
      <tp t="s">
        <v>N/A</v>
        <stp/>
        <stp>VOLUME</stp>
        <stp>.SPY250718C576</stp>
        <tr r="M21" s="2"/>
      </tp>
      <tp t="s">
        <v>N/A</v>
        <stp/>
        <stp>VOLUME</stp>
        <stp>.SPY250718P577</stp>
        <tr r="M20" s="2"/>
      </tp>
      <tp t="s">
        <v>N/A</v>
        <stp/>
        <stp>VOLUME</stp>
        <stp>.SPY250718C577</stp>
        <tr r="M20" s="2"/>
      </tp>
      <tp t="s">
        <v>N/A</v>
        <stp/>
        <stp>VOLUME</stp>
        <stp>.SPY250718P574</stp>
        <tr r="M23" s="2"/>
      </tp>
      <tp t="s">
        <v>N/A</v>
        <stp/>
        <stp>VOLUME</stp>
        <stp>.SPY250718C574</stp>
        <tr r="M23" s="2"/>
      </tp>
      <tp>
        <v>14415</v>
        <stp/>
        <stp>VOLUME</stp>
        <stp>.SPY250718P575</stp>
        <tr r="M22" s="2"/>
        <tr r="M22" s="2"/>
      </tp>
      <tp>
        <v>1577</v>
        <stp/>
        <stp>VOLUME</stp>
        <stp>.SPY250718C575</stp>
        <tr r="M22" s="2"/>
        <tr r="M22" s="2"/>
      </tp>
      <tp t="s">
        <v>N/A</v>
        <stp/>
        <stp>VOLUME</stp>
        <stp>.SPY250718P572</stp>
        <tr r="M25" s="2"/>
      </tp>
      <tp t="s">
        <v>N/A</v>
        <stp/>
        <stp>VOLUME</stp>
        <stp>.SPY250718C572</stp>
        <tr r="M25" s="2"/>
      </tp>
      <tp t="s">
        <v>N/A</v>
        <stp/>
        <stp>VOLUME</stp>
        <stp>.SPY250718P573</stp>
        <tr r="M24" s="2"/>
      </tp>
      <tp t="s">
        <v>N/A</v>
        <stp/>
        <stp>VOLUME</stp>
        <stp>.SPY250718C573</stp>
        <tr r="M24" s="2"/>
      </tp>
      <tp>
        <v>3016</v>
        <stp/>
        <stp>VOLUME</stp>
        <stp>.SPY250718P570</stp>
        <tr r="M27" s="2"/>
        <tr r="M27" s="2"/>
      </tp>
      <tp>
        <v>14</v>
        <stp/>
        <stp>VOLUME</stp>
        <stp>.SPY250731P559</stp>
        <tr r="N38" s="2"/>
        <tr r="N38" s="2"/>
      </tp>
      <tp>
        <v>1715</v>
        <stp/>
        <stp>VOLUME</stp>
        <stp>.SPY250718C570</stp>
        <tr r="M27" s="2"/>
        <tr r="M27" s="2"/>
      </tp>
      <tp>
        <v>2</v>
        <stp/>
        <stp>VOLUME</stp>
        <stp>.SPY250731C559</stp>
        <tr r="N38" s="2"/>
        <tr r="N38" s="2"/>
      </tp>
      <tp t="s">
        <v>N/A</v>
        <stp/>
        <stp>VOLUME</stp>
        <stp>.SPY250718P571</stp>
        <tr r="M26" s="2"/>
      </tp>
      <tp>
        <v>57</v>
        <stp/>
        <stp>VOLUME</stp>
        <stp>.SPY250731P558</stp>
        <tr r="N39" s="2"/>
        <tr r="N39" s="2"/>
      </tp>
      <tp t="s">
        <v>N/A</v>
        <stp/>
        <stp>VOLUME</stp>
        <stp>.SPY250718C571</stp>
        <tr r="M26" s="2"/>
      </tp>
      <tp t="s">
        <v>N/A</v>
        <stp/>
        <stp>VOLUME</stp>
        <stp>.SPY250731C558</stp>
        <tr r="N39" s="2"/>
      </tp>
      <tp>
        <v>0</v>
        <stp/>
        <stp>DELTA</stp>
        <stp>.SPXW250512P5790</stp>
        <tr r="CE108" s="1"/>
        <tr r="CE108" s="1"/>
      </tp>
      <tp>
        <v>0.98</v>
        <stp/>
        <stp>DELTA</stp>
        <stp>.SPXW250512C5790</stp>
        <tr r="CD108" s="1"/>
        <tr r="CD108" s="1"/>
      </tp>
      <tp>
        <v>0</v>
        <stp/>
        <stp>DELTA</stp>
        <stp>.SPXW250512P5780</stp>
        <tr r="CE109" s="1"/>
        <tr r="CE109" s="1"/>
      </tp>
      <tp>
        <v>0.97</v>
        <stp/>
        <stp>DELTA</stp>
        <stp>.SPXW250512C5780</stp>
        <tr r="CD109" s="1"/>
        <tr r="CD109" s="1"/>
      </tp>
      <tp>
        <v>0</v>
        <stp/>
        <stp>DELTA</stp>
        <stp>.SPXW250512P5710</stp>
        <tr r="CE116" s="1"/>
        <tr r="CE116" s="1"/>
      </tp>
      <tp>
        <v>0.99</v>
        <stp/>
        <stp>DELTA</stp>
        <stp>.SPXW250512C5710</stp>
        <tr r="CD116" s="1"/>
        <tr r="CD116" s="1"/>
      </tp>
      <tp>
        <v>0</v>
        <stp/>
        <stp>DELTA</stp>
        <stp>.SPXW250512P5700</stp>
        <tr r="CE117" s="1"/>
        <tr r="CE117" s="1"/>
      </tp>
      <tp>
        <v>0.99</v>
        <stp/>
        <stp>DELTA</stp>
        <stp>.SPXW250512C5700</stp>
        <tr r="CD117" s="1"/>
        <tr r="CD117" s="1"/>
      </tp>
      <tp>
        <v>0</v>
        <stp/>
        <stp>DELTA</stp>
        <stp>.SPXW250512P5730</stp>
        <tr r="CE114" s="1"/>
        <tr r="CE114" s="1"/>
      </tp>
      <tp>
        <v>0.98</v>
        <stp/>
        <stp>DELTA</stp>
        <stp>.SPXW250512C5730</stp>
        <tr r="CD114" s="1"/>
        <tr r="CD114" s="1"/>
      </tp>
      <tp>
        <v>0</v>
        <stp/>
        <stp>DELTA</stp>
        <stp>.SPXW250512P5720</stp>
        <tr r="CE115" s="1"/>
        <tr r="CE115" s="1"/>
      </tp>
      <tp>
        <v>0.99</v>
        <stp/>
        <stp>DELTA</stp>
        <stp>.SPXW250512C5720</stp>
        <tr r="CD115" s="1"/>
        <tr r="CD115" s="1"/>
      </tp>
      <tp>
        <v>0</v>
        <stp/>
        <stp>DELTA</stp>
        <stp>.SPXW250512P5750</stp>
        <tr r="CE112" s="1"/>
        <tr r="CE112" s="1"/>
      </tp>
      <tp>
        <v>0.98</v>
        <stp/>
        <stp>DELTA</stp>
        <stp>.SPXW250512C5750</stp>
        <tr r="CD112" s="1"/>
        <tr r="CD112" s="1"/>
      </tp>
      <tp>
        <v>0</v>
        <stp/>
        <stp>DELTA</stp>
        <stp>.SPXW250512P5740</stp>
        <tr r="CE113" s="1"/>
        <tr r="CE113" s="1"/>
      </tp>
      <tp>
        <v>0.98</v>
        <stp/>
        <stp>DELTA</stp>
        <stp>.SPXW250512C5740</stp>
        <tr r="CD113" s="1"/>
        <tr r="CD113" s="1"/>
      </tp>
      <tp>
        <v>0</v>
        <stp/>
        <stp>DELTA</stp>
        <stp>.SPXW250512P5770</stp>
        <tr r="CE110" s="1"/>
        <tr r="CE110" s="1"/>
      </tp>
      <tp>
        <v>0.97</v>
        <stp/>
        <stp>DELTA</stp>
        <stp>.SPXW250512C5770</stp>
        <tr r="CD110" s="1"/>
        <tr r="CD110" s="1"/>
      </tp>
      <tp>
        <v>0</v>
        <stp/>
        <stp>DELTA</stp>
        <stp>.SPXW250512P5760</stp>
        <tr r="CE111" s="1"/>
        <tr r="CE111" s="1"/>
      </tp>
      <tp>
        <v>0.99</v>
        <stp/>
        <stp>DELTA</stp>
        <stp>.SPXW250512C5760</stp>
        <tr r="CD111" s="1"/>
        <tr r="CD111" s="1"/>
      </tp>
      <tp>
        <v>341</v>
        <stp/>
        <stp>VOLUME</stp>
        <stp>.SPY250606P590</stp>
        <tr r="J7" s="2"/>
        <tr r="J7" s="2"/>
      </tp>
      <tp>
        <v>1245</v>
        <stp/>
        <stp>VOLUME</stp>
        <stp>.SPY250606C590</stp>
        <tr r="J7" s="2"/>
        <tr r="J7" s="2"/>
      </tp>
      <tp t="s">
        <v>N/A</v>
        <stp/>
        <stp>VOLUME</stp>
        <stp>.SPY250606P591</stp>
        <tr r="J6" s="2"/>
      </tp>
      <tp t="s">
        <v>N/A</v>
        <stp/>
        <stp>VOLUME</stp>
        <stp>.SPY250606C591</stp>
        <tr r="J6" s="2"/>
      </tp>
      <tp t="s">
        <v>N/A</v>
        <stp/>
        <stp>VOLUME</stp>
        <stp>.SPY250606P592</stp>
        <tr r="J5" s="2"/>
      </tp>
      <tp t="s">
        <v>N/A</v>
        <stp/>
        <stp>VOLUME</stp>
        <stp>.SPY250606C592</stp>
        <tr r="J5" s="2"/>
      </tp>
      <tp>
        <v>13089</v>
        <stp/>
        <stp>VOLUME</stp>
        <stp>.SPY250606P580</stp>
        <tr r="J17" s="2"/>
        <tr r="J17" s="2"/>
      </tp>
      <tp>
        <v>13672</v>
        <stp/>
        <stp>VOLUME</stp>
        <stp>.SPY250606C580</stp>
        <tr r="J17" s="2"/>
        <tr r="J17" s="2"/>
      </tp>
      <tp>
        <v>503</v>
        <stp/>
        <stp>VOLUME</stp>
        <stp>.SPY250606P581</stp>
        <tr r="J16" s="2"/>
        <tr r="J16" s="2"/>
      </tp>
      <tp>
        <v>568</v>
        <stp/>
        <stp>VOLUME</stp>
        <stp>.SPY250606C581</stp>
        <tr r="J16" s="2"/>
        <tr r="J16" s="2"/>
      </tp>
      <tp>
        <v>217</v>
        <stp/>
        <stp>VOLUME</stp>
        <stp>.SPY250606P582</stp>
        <tr r="J15" s="2"/>
        <tr r="J15" s="2"/>
      </tp>
      <tp>
        <v>1100</v>
        <stp/>
        <stp>VOLUME</stp>
        <stp>.SPY250606C582</stp>
        <tr r="J15" s="2"/>
        <tr r="J15" s="2"/>
      </tp>
      <tp>
        <v>75</v>
        <stp/>
        <stp>VOLUME</stp>
        <stp>.SPY250606P583</stp>
        <tr r="J14" s="2"/>
        <tr r="J14" s="2"/>
      </tp>
      <tp>
        <v>241</v>
        <stp/>
        <stp>VOLUME</stp>
        <stp>.SPY250606C583</stp>
        <tr r="J14" s="2"/>
        <tr r="J14" s="2"/>
      </tp>
      <tp>
        <v>286</v>
        <stp/>
        <stp>VOLUME</stp>
        <stp>.SPY250606P584</stp>
        <tr r="J13" s="2"/>
        <tr r="J13" s="2"/>
      </tp>
      <tp>
        <v>130</v>
        <stp/>
        <stp>VOLUME</stp>
        <stp>.SPY250606C584</stp>
        <tr r="J13" s="2"/>
        <tr r="J13" s="2"/>
      </tp>
      <tp>
        <v>76</v>
        <stp/>
        <stp>VOLUME</stp>
        <stp>.SPY250606P585</stp>
        <tr r="J12" s="2"/>
        <tr r="J12" s="2"/>
      </tp>
      <tp>
        <v>911</v>
        <stp/>
        <stp>VOLUME</stp>
        <stp>.SPY250606C585</stp>
        <tr r="J12" s="2"/>
        <tr r="J12" s="2"/>
      </tp>
      <tp>
        <v>5</v>
        <stp/>
        <stp>VOLUME</stp>
        <stp>.SPY250606P586</stp>
        <tr r="J11" s="2"/>
        <tr r="J11" s="2"/>
      </tp>
      <tp>
        <v>504</v>
        <stp/>
        <stp>VOLUME</stp>
        <stp>.SPY250606C586</stp>
        <tr r="J11" s="2"/>
        <tr r="J11" s="2"/>
      </tp>
      <tp>
        <v>20</v>
        <stp/>
        <stp>VOLUME</stp>
        <stp>.SPY250606P587</stp>
        <tr r="J10" s="2"/>
        <tr r="J10" s="2"/>
      </tp>
      <tp>
        <v>409</v>
        <stp/>
        <stp>VOLUME</stp>
        <stp>.SPY250606C587</stp>
        <tr r="J10" s="2"/>
        <tr r="J10" s="2"/>
      </tp>
      <tp>
        <v>7</v>
        <stp/>
        <stp>VOLUME</stp>
        <stp>.SPY250606P588</stp>
        <tr r="J9" s="2"/>
        <tr r="J9" s="2"/>
      </tp>
      <tp>
        <v>490</v>
        <stp/>
        <stp>VOLUME</stp>
        <stp>.SPY250606C588</stp>
        <tr r="J9" s="2"/>
        <tr r="J9" s="2"/>
      </tp>
      <tp>
        <v>2</v>
        <stp/>
        <stp>VOLUME</stp>
        <stp>.SPY250606P589</stp>
        <tr r="J8" s="2"/>
        <tr r="J8" s="2"/>
      </tp>
      <tp>
        <v>242</v>
        <stp/>
        <stp>VOLUME</stp>
        <stp>.SPY250606C589</stp>
        <tr r="J8" s="2"/>
        <tr r="J8" s="2"/>
      </tp>
      <tp>
        <v>10</v>
        <stp/>
        <stp>VOLUME</stp>
        <stp>.SPY250630P586</stp>
        <tr r="L11" s="2"/>
        <tr r="L11" s="2"/>
      </tp>
      <tp>
        <v>38</v>
        <stp/>
        <stp>VOLUME</stp>
        <stp>.SPY250630C586</stp>
        <tr r="L11" s="2"/>
        <tr r="L11" s="2"/>
      </tp>
      <tp>
        <v>2</v>
        <stp/>
        <stp>VOLUME</stp>
        <stp>.SPY250630P587</stp>
        <tr r="L10" s="2"/>
        <tr r="L10" s="2"/>
      </tp>
      <tp>
        <v>104</v>
        <stp/>
        <stp>VOLUME</stp>
        <stp>.SPY250630C587</stp>
        <tr r="L10" s="2"/>
        <tr r="L10" s="2"/>
      </tp>
      <tp>
        <v>20</v>
        <stp/>
        <stp>VOLUME</stp>
        <stp>.SPY250630P584</stp>
        <tr r="L13" s="2"/>
        <tr r="L13" s="2"/>
      </tp>
      <tp>
        <v>138</v>
        <stp/>
        <stp>VOLUME</stp>
        <stp>.SPY250630C584</stp>
        <tr r="L13" s="2"/>
        <tr r="L13" s="2"/>
      </tp>
      <tp>
        <v>357</v>
        <stp/>
        <stp>VOLUME</stp>
        <stp>.SPY250630P585</stp>
        <tr r="L12" s="2"/>
        <tr r="L12" s="2"/>
      </tp>
      <tp>
        <v>3028</v>
        <stp/>
        <stp>VOLUME</stp>
        <stp>.SPY250630C585</stp>
        <tr r="L12" s="2"/>
        <tr r="L12" s="2"/>
      </tp>
      <tp>
        <v>3</v>
        <stp/>
        <stp>VOLUME</stp>
        <stp>.SPY250620P592</stp>
        <tr r="BF4" s="1"/>
        <tr r="BF4" s="1"/>
      </tp>
      <tp>
        <v>274</v>
        <stp/>
        <stp>VOLUME</stp>
        <stp>.SPY250630P582</stp>
        <tr r="L15" s="2"/>
        <tr r="L15" s="2"/>
      </tp>
      <tp>
        <v>946</v>
        <stp/>
        <stp>VOLUME</stp>
        <stp>.SPY250620C592</stp>
        <tr r="BE4" s="1"/>
        <tr r="BE4" s="1"/>
      </tp>
      <tp>
        <v>141</v>
        <stp/>
        <stp>VOLUME</stp>
        <stp>.SPY250630C582</stp>
        <tr r="L15" s="2"/>
        <tr r="L15" s="2"/>
      </tp>
      <tp>
        <v>66</v>
        <stp/>
        <stp>VOLUME</stp>
        <stp>.SPY250630P583</stp>
        <tr r="L14" s="2"/>
        <tr r="L14" s="2"/>
      </tp>
      <tp>
        <v>60</v>
        <stp/>
        <stp>VOLUME</stp>
        <stp>.SPY250630C583</stp>
        <tr r="L14" s="2"/>
        <tr r="L14" s="2"/>
      </tp>
      <tp>
        <v>2734</v>
        <stp/>
        <stp>VOLUME</stp>
        <stp>.SPY250620P590</stp>
        <tr r="BF6" s="1"/>
        <tr r="BF6" s="1"/>
      </tp>
      <tp>
        <v>2123</v>
        <stp/>
        <stp>VOLUME</stp>
        <stp>.SPY250630P580</stp>
        <tr r="L17" s="2"/>
        <tr r="L17" s="2"/>
      </tp>
      <tp>
        <v>16111</v>
        <stp/>
        <stp>VOLUME</stp>
        <stp>.SPY250620C590</stp>
        <tr r="BE6" s="1"/>
        <tr r="BE6" s="1"/>
      </tp>
      <tp>
        <v>2043</v>
        <stp/>
        <stp>VOLUME</stp>
        <stp>.SPY250630C580</stp>
        <tr r="L17" s="2"/>
        <tr r="L17" s="2"/>
      </tp>
      <tp>
        <v>502</v>
        <stp/>
        <stp>VOLUME</stp>
        <stp>.SPY250620P591</stp>
        <tr r="BF5" s="1"/>
        <tr r="BF5" s="1"/>
      </tp>
      <tp>
        <v>518</v>
        <stp/>
        <stp>VOLUME</stp>
        <stp>.SPY250630P581</stp>
        <tr r="L16" s="2"/>
        <tr r="L16" s="2"/>
      </tp>
      <tp>
        <v>519</v>
        <stp/>
        <stp>VOLUME</stp>
        <stp>.SPY250620C591</stp>
        <tr r="BE5" s="1"/>
        <tr r="BE5" s="1"/>
      </tp>
      <tp>
        <v>277</v>
        <stp/>
        <stp>VOLUME</stp>
        <stp>.SPY250630C581</stp>
        <tr r="L16" s="2"/>
        <tr r="L16" s="2"/>
      </tp>
      <tp>
        <v>4</v>
        <stp/>
        <stp>VOLUME</stp>
        <stp>.SPY250630P588</stp>
        <tr r="L9" s="2"/>
        <tr r="L9" s="2"/>
      </tp>
      <tp>
        <v>19</v>
        <stp/>
        <stp>VOLUME</stp>
        <stp>.SPY250630C588</stp>
        <tr r="L9" s="2"/>
        <tr r="L9" s="2"/>
      </tp>
      <tp>
        <v>4</v>
        <stp/>
        <stp>VOLUME</stp>
        <stp>.SPY250630P589</stp>
        <tr r="L8" s="2"/>
        <tr r="L8" s="2"/>
      </tp>
      <tp>
        <v>356</v>
        <stp/>
        <stp>VOLUME</stp>
        <stp>.SPY250630C589</stp>
        <tr r="L8" s="2"/>
        <tr r="L8" s="2"/>
      </tp>
      <tp>
        <v>180</v>
        <stp/>
        <stp>VOLUME</stp>
        <stp>.SPY250620P586</stp>
        <tr r="BF10" s="1"/>
        <tr r="BF10" s="1"/>
      </tp>
      <tp>
        <v>830</v>
        <stp/>
        <stp>VOLUME</stp>
        <stp>.SPY250620C586</stp>
        <tr r="BE10" s="1"/>
        <tr r="BE10" s="1"/>
      </tp>
      <tp>
        <v>857</v>
        <stp/>
        <stp>VOLUME</stp>
        <stp>.SPY250620P587</stp>
        <tr r="BF9" s="1"/>
        <tr r="BF9" s="1"/>
      </tp>
      <tp>
        <v>366</v>
        <stp/>
        <stp>VOLUME</stp>
        <stp>.SPY250620C587</stp>
        <tr r="BE9" s="1"/>
        <tr r="BE9" s="1"/>
      </tp>
      <tp>
        <v>324</v>
        <stp/>
        <stp>VOLUME</stp>
        <stp>.SPY250620P584</stp>
        <tr r="BF12" s="1"/>
        <tr r="BF12" s="1"/>
      </tp>
      <tp>
        <v>270</v>
        <stp/>
        <stp>VOLUME</stp>
        <stp>.SPY250620C584</stp>
        <tr r="BE12" s="1"/>
        <tr r="BE12" s="1"/>
      </tp>
      <tp>
        <v>1977</v>
        <stp/>
        <stp>VOLUME</stp>
        <stp>.SPY250620P585</stp>
        <tr r="BF11" s="1"/>
        <tr r="BF11" s="1"/>
      </tp>
      <tp>
        <v>8815</v>
        <stp/>
        <stp>VOLUME</stp>
        <stp>.SPY250620C585</stp>
        <tr r="BE11" s="1"/>
        <tr r="BE11" s="1"/>
      </tp>
      <tp>
        <v>879</v>
        <stp/>
        <stp>VOLUME</stp>
        <stp>.SPY250620P582</stp>
        <tr r="BF14" s="1"/>
        <tr r="BF14" s="1"/>
      </tp>
      <tp>
        <v>20</v>
        <stp/>
        <stp>VOLUME</stp>
        <stp>.SPY250630P592</stp>
        <tr r="L5" s="2"/>
        <tr r="L5" s="2"/>
      </tp>
      <tp>
        <v>964</v>
        <stp/>
        <stp>VOLUME</stp>
        <stp>.SPY250620C582</stp>
        <tr r="BE14" s="1"/>
        <tr r="BE14" s="1"/>
      </tp>
      <tp>
        <v>34</v>
        <stp/>
        <stp>VOLUME</stp>
        <stp>.SPY250630C592</stp>
        <tr r="L5" s="2"/>
        <tr r="L5" s="2"/>
      </tp>
      <tp>
        <v>968</v>
        <stp/>
        <stp>VOLUME</stp>
        <stp>.SPY250620P583</stp>
        <tr r="BF13" s="1"/>
        <tr r="BF13" s="1"/>
      </tp>
      <tp>
        <v>1219</v>
        <stp/>
        <stp>VOLUME</stp>
        <stp>.SPY250620C583</stp>
        <tr r="BE13" s="1"/>
        <tr r="BE13" s="1"/>
      </tp>
      <tp>
        <v>7823</v>
        <stp/>
        <stp>VOLUME</stp>
        <stp>.SPY250620P580</stp>
        <tr r="BF16" s="1"/>
        <tr r="BF16" s="1"/>
      </tp>
      <tp>
        <v>56</v>
        <stp/>
        <stp>VOLUME</stp>
        <stp>.SPY250630P590</stp>
        <tr r="L7" s="2"/>
        <tr r="L7" s="2"/>
      </tp>
      <tp>
        <v>41958</v>
        <stp/>
        <stp>VOLUME</stp>
        <stp>.SPY250620C580</stp>
        <tr r="BE16" s="1"/>
        <tr r="BE16" s="1"/>
      </tp>
      <tp>
        <v>1137</v>
        <stp/>
        <stp>VOLUME</stp>
        <stp>.SPY250630C590</stp>
        <tr r="L7" s="2"/>
        <tr r="L7" s="2"/>
      </tp>
      <tp>
        <v>1407</v>
        <stp/>
        <stp>VOLUME</stp>
        <stp>.SPY250620P581</stp>
        <tr r="BF15" s="1"/>
        <tr r="BF15" s="1"/>
      </tp>
      <tp>
        <v>3</v>
        <stp/>
        <stp>VOLUME</stp>
        <stp>.SPY250630P591</stp>
        <tr r="L6" s="2"/>
        <tr r="L6" s="2"/>
      </tp>
      <tp>
        <v>1096</v>
        <stp/>
        <stp>VOLUME</stp>
        <stp>.SPY250620C581</stp>
        <tr r="BE15" s="1"/>
        <tr r="BE15" s="1"/>
      </tp>
      <tp>
        <v>819</v>
        <stp/>
        <stp>VOLUME</stp>
        <stp>.SPY250630C591</stp>
        <tr r="L6" s="2"/>
        <tr r="L6" s="2"/>
      </tp>
      <tp>
        <v>147</v>
        <stp/>
        <stp>VOLUME</stp>
        <stp>.SPY250620P588</stp>
        <tr r="BF8" s="1"/>
        <tr r="BF8" s="1"/>
      </tp>
      <tp>
        <v>1398</v>
        <stp/>
        <stp>VOLUME</stp>
        <stp>.SPY250620C588</stp>
        <tr r="BE8" s="1"/>
        <tr r="BE8" s="1"/>
      </tp>
      <tp>
        <v>536</v>
        <stp/>
        <stp>VOLUME</stp>
        <stp>.SPY250620P589</stp>
        <tr r="BF7" s="1"/>
        <tr r="BF7" s="1"/>
      </tp>
      <tp>
        <v>534</v>
        <stp/>
        <stp>VOLUME</stp>
        <stp>.SPY250620C589</stp>
        <tr r="BE7" s="1"/>
        <tr r="BE7" s="1"/>
      </tp>
      <tp>
        <v>1171</v>
        <stp/>
        <stp>VOLUME</stp>
        <stp>.SPY250620P576</stp>
        <tr r="BF20" s="1"/>
        <tr r="BF20" s="1"/>
      </tp>
      <tp>
        <v>21</v>
        <stp/>
        <stp>VOLUME</stp>
        <stp>.SPY250630P566</stp>
        <tr r="L31" s="2"/>
        <tr r="L31" s="2"/>
      </tp>
      <tp>
        <v>60</v>
        <stp/>
        <stp>VOLUME</stp>
        <stp>.SPY250620C576</stp>
        <tr r="BE20" s="1"/>
        <tr r="BE20" s="1"/>
      </tp>
      <tp>
        <v>75</v>
        <stp/>
        <stp>VOLUME</stp>
        <stp>.SPY250630C566</stp>
        <tr r="L31" s="2"/>
        <tr r="L31" s="2"/>
      </tp>
      <tp>
        <v>737</v>
        <stp/>
        <stp>VOLUME</stp>
        <stp>.SPY250620P577</stp>
        <tr r="BF19" s="1"/>
        <tr r="BF19" s="1"/>
      </tp>
      <tp>
        <v>103</v>
        <stp/>
        <stp>VOLUME</stp>
        <stp>.SPY250630P567</stp>
        <tr r="L30" s="2"/>
        <tr r="L30" s="2"/>
      </tp>
      <tp>
        <v>278</v>
        <stp/>
        <stp>VOLUME</stp>
        <stp>.SPY250620C577</stp>
        <tr r="BE19" s="1"/>
        <tr r="BE19" s="1"/>
      </tp>
      <tp>
        <v>61</v>
        <stp/>
        <stp>VOLUME</stp>
        <stp>.SPY250630C567</stp>
        <tr r="L30" s="2"/>
        <tr r="L30" s="2"/>
      </tp>
      <tp>
        <v>432</v>
        <stp/>
        <stp>VOLUME</stp>
        <stp>.SPY250620P574</stp>
        <tr r="BF22" s="1"/>
        <tr r="BF22" s="1"/>
      </tp>
      <tp>
        <v>150</v>
        <stp/>
        <stp>VOLUME</stp>
        <stp>.SPY250630P564</stp>
        <tr r="L33" s="2"/>
        <tr r="L33" s="2"/>
      </tp>
      <tp>
        <v>132</v>
        <stp/>
        <stp>VOLUME</stp>
        <stp>.SPY250620C574</stp>
        <tr r="BE22" s="1"/>
        <tr r="BE22" s="1"/>
      </tp>
      <tp>
        <v>26</v>
        <stp/>
        <stp>VOLUME</stp>
        <stp>.SPY250630C564</stp>
        <tr r="L33" s="2"/>
        <tr r="L33" s="2"/>
      </tp>
      <tp>
        <v>6727</v>
        <stp/>
        <stp>VOLUME</stp>
        <stp>.SPY250620P575</stp>
        <tr r="BF21" s="1"/>
        <tr r="BF21" s="1"/>
      </tp>
      <tp>
        <v>601</v>
        <stp/>
        <stp>VOLUME</stp>
        <stp>.SPY250630P565</stp>
        <tr r="L32" s="2"/>
        <tr r="L32" s="2"/>
      </tp>
      <tp>
        <v>4568</v>
        <stp/>
        <stp>VOLUME</stp>
        <stp>.SPY250620C575</stp>
        <tr r="BE21" s="1"/>
        <tr r="BE21" s="1"/>
      </tp>
      <tp>
        <v>162</v>
        <stp/>
        <stp>VOLUME</stp>
        <stp>.SPY250630C565</stp>
        <tr r="L32" s="2"/>
        <tr r="L32" s="2"/>
      </tp>
      <tp>
        <v>966</v>
        <stp/>
        <stp>VOLUME</stp>
        <stp>.SPY250620P572</stp>
        <tr r="BF24" s="1"/>
        <tr r="BF24" s="1"/>
      </tp>
      <tp>
        <v>172</v>
        <stp/>
        <stp>VOLUME</stp>
        <stp>.SPY250630P562</stp>
        <tr r="L35" s="2"/>
        <tr r="L35" s="2"/>
      </tp>
      <tp>
        <v>68</v>
        <stp/>
        <stp>VOLUME</stp>
        <stp>.SPY250620C572</stp>
        <tr r="BE24" s="1"/>
        <tr r="BE24" s="1"/>
      </tp>
      <tp>
        <v>21</v>
        <stp/>
        <stp>VOLUME</stp>
        <stp>.SPY250630C562</stp>
        <tr r="L35" s="2"/>
        <tr r="L35" s="2"/>
      </tp>
      <tp>
        <v>616</v>
        <stp/>
        <stp>VOLUME</stp>
        <stp>.SPY250620P573</stp>
        <tr r="BF23" s="1"/>
        <tr r="BF23" s="1"/>
      </tp>
      <tp>
        <v>104</v>
        <stp/>
        <stp>VOLUME</stp>
        <stp>.SPY250630P563</stp>
        <tr r="L34" s="2"/>
        <tr r="L34" s="2"/>
      </tp>
      <tp>
        <v>168</v>
        <stp/>
        <stp>VOLUME</stp>
        <stp>.SPY250620C573</stp>
        <tr r="BE23" s="1"/>
        <tr r="BE23" s="1"/>
      </tp>
      <tp>
        <v>54</v>
        <stp/>
        <stp>VOLUME</stp>
        <stp>.SPY250630C563</stp>
        <tr r="L34" s="2"/>
        <tr r="L34" s="2"/>
      </tp>
      <tp>
        <v>8698</v>
        <stp/>
        <stp>VOLUME</stp>
        <stp>.SPY250620P570</stp>
        <tr r="BF26" s="1"/>
        <tr r="BF26" s="1"/>
      </tp>
      <tp>
        <v>631</v>
        <stp/>
        <stp>VOLUME</stp>
        <stp>.SPY250630P560</stp>
        <tr r="L37" s="2"/>
        <tr r="L37" s="2"/>
      </tp>
      <tp>
        <v>9993</v>
        <stp/>
        <stp>VOLUME</stp>
        <stp>.SPY250620C570</stp>
        <tr r="BE26" s="1"/>
        <tr r="BE26" s="1"/>
      </tp>
      <tp>
        <v>165</v>
        <stp/>
        <stp>VOLUME</stp>
        <stp>.SPY250630C560</stp>
        <tr r="L37" s="2"/>
        <tr r="L37" s="2"/>
      </tp>
      <tp>
        <v>952</v>
        <stp/>
        <stp>VOLUME</stp>
        <stp>.SPY250620P571</stp>
        <tr r="BF25" s="1"/>
        <tr r="BF25" s="1"/>
      </tp>
      <tp>
        <v>99</v>
        <stp/>
        <stp>VOLUME</stp>
        <stp>.SPY250630P561</stp>
        <tr r="L36" s="2"/>
        <tr r="L36" s="2"/>
      </tp>
      <tp>
        <v>28</v>
        <stp/>
        <stp>VOLUME</stp>
        <stp>.SPY250620C571</stp>
        <tr r="BE25" s="1"/>
        <tr r="BE25" s="1"/>
      </tp>
      <tp>
        <v>32</v>
        <stp/>
        <stp>VOLUME</stp>
        <stp>.SPY250630C561</stp>
        <tr r="L36" s="2"/>
        <tr r="L36" s="2"/>
      </tp>
      <tp>
        <v>75</v>
        <stp/>
        <stp>VOLUME</stp>
        <stp>.SPY250606P558</stp>
        <tr r="J39" s="2"/>
        <tr r="J39" s="2"/>
      </tp>
      <tp>
        <v>12</v>
        <stp/>
        <stp>VOLUME</stp>
        <stp>.SPY250606C558</stp>
        <tr r="J39" s="2"/>
        <tr r="J39" s="2"/>
      </tp>
      <tp>
        <v>266</v>
        <stp/>
        <stp>VOLUME</stp>
        <stp>.SPY250606P559</stp>
        <tr r="J38" s="2"/>
        <tr r="J38" s="2"/>
      </tp>
      <tp>
        <v>29</v>
        <stp/>
        <stp>VOLUME</stp>
        <stp>.SPY250606C559</stp>
        <tr r="J38" s="2"/>
        <tr r="J38" s="2"/>
      </tp>
      <tp>
        <v>1582</v>
        <stp/>
        <stp>VOLUME</stp>
        <stp>.SPY250620P578</stp>
        <tr r="BF18" s="1"/>
        <tr r="BF18" s="1"/>
      </tp>
      <tp>
        <v>58</v>
        <stp/>
        <stp>VOLUME</stp>
        <stp>.SPY250630P568</stp>
        <tr r="L29" s="2"/>
        <tr r="L29" s="2"/>
      </tp>
      <tp>
        <v>458</v>
        <stp/>
        <stp>VOLUME</stp>
        <stp>.SPY250620C578</stp>
        <tr r="BE18" s="1"/>
        <tr r="BE18" s="1"/>
      </tp>
      <tp>
        <v>24</v>
        <stp/>
        <stp>VOLUME</stp>
        <stp>.SPY250630C568</stp>
        <tr r="L29" s="2"/>
        <tr r="L29" s="2"/>
      </tp>
      <tp>
        <v>941</v>
        <stp/>
        <stp>VOLUME</stp>
        <stp>.SPY250620P579</stp>
        <tr r="BF17" s="1"/>
        <tr r="BF17" s="1"/>
      </tp>
      <tp>
        <v>69</v>
        <stp/>
        <stp>VOLUME</stp>
        <stp>.SPY250630P569</stp>
        <tr r="L28" s="2"/>
        <tr r="L28" s="2"/>
      </tp>
      <tp>
        <v>415</v>
        <stp/>
        <stp>VOLUME</stp>
        <stp>.SPY250620C579</stp>
        <tr r="BE17" s="1"/>
        <tr r="BE17" s="1"/>
      </tp>
      <tp>
        <v>26</v>
        <stp/>
        <stp>VOLUME</stp>
        <stp>.SPY250630C569</stp>
        <tr r="L28" s="2"/>
        <tr r="L28" s="2"/>
      </tp>
      <tp>
        <v>957</v>
        <stp/>
        <stp>VOLUME</stp>
        <stp>.SPY250620P566</stp>
        <tr r="BF30" s="1"/>
        <tr r="BF30" s="1"/>
      </tp>
      <tp>
        <v>27</v>
        <stp/>
        <stp>VOLUME</stp>
        <stp>.SPY250630P576</stp>
        <tr r="L21" s="2"/>
        <tr r="L21" s="2"/>
      </tp>
      <tp>
        <v>127</v>
        <stp/>
        <stp>VOLUME</stp>
        <stp>.SPY250620C566</stp>
        <tr r="BE30" s="1"/>
        <tr r="BE30" s="1"/>
      </tp>
      <tp>
        <v>22</v>
        <stp/>
        <stp>VOLUME</stp>
        <stp>.SPY250630C576</stp>
        <tr r="L21" s="2"/>
        <tr r="L21" s="2"/>
      </tp>
      <tp>
        <v>874</v>
        <stp/>
        <stp>VOLUME</stp>
        <stp>.SPY250620P567</stp>
        <tr r="BF29" s="1"/>
        <tr r="BF29" s="1"/>
      </tp>
      <tp>
        <v>65</v>
        <stp/>
        <stp>VOLUME</stp>
        <stp>.SPY250630P577</stp>
        <tr r="L20" s="2"/>
        <tr r="L20" s="2"/>
      </tp>
      <tp>
        <v>86</v>
        <stp/>
        <stp>VOLUME</stp>
        <stp>.SPY250620C567</stp>
        <tr r="BE29" s="1"/>
        <tr r="BE29" s="1"/>
      </tp>
      <tp>
        <v>79</v>
        <stp/>
        <stp>VOLUME</stp>
        <stp>.SPY250630C577</stp>
        <tr r="L20" s="2"/>
        <tr r="L20" s="2"/>
      </tp>
      <tp>
        <v>816</v>
        <stp/>
        <stp>VOLUME</stp>
        <stp>.SPY250620P564</stp>
        <tr r="BF32" s="1"/>
        <tr r="BF32" s="1"/>
      </tp>
      <tp>
        <v>70</v>
        <stp/>
        <stp>VOLUME</stp>
        <stp>.SPY250630P574</stp>
        <tr r="L23" s="2"/>
        <tr r="L23" s="2"/>
      </tp>
      <tp>
        <v>177</v>
        <stp/>
        <stp>VOLUME</stp>
        <stp>.SPY250620C564</stp>
        <tr r="BE32" s="1"/>
        <tr r="BE32" s="1"/>
      </tp>
      <tp>
        <v>30</v>
        <stp/>
        <stp>VOLUME</stp>
        <stp>.SPY250630C574</stp>
        <tr r="L23" s="2"/>
        <tr r="L23" s="2"/>
      </tp>
      <tp>
        <v>7224</v>
        <stp/>
        <stp>VOLUME</stp>
        <stp>.SPY250620P565</stp>
        <tr r="BF31" s="1"/>
        <tr r="BF31" s="1"/>
      </tp>
      <tp>
        <v>1274</v>
        <stp/>
        <stp>VOLUME</stp>
        <stp>.SPY250630P575</stp>
        <tr r="L22" s="2"/>
        <tr r="L22" s="2"/>
      </tp>
      <tp>
        <v>5914</v>
        <stp/>
        <stp>VOLUME</stp>
        <stp>.SPY250620C565</stp>
        <tr r="BE31" s="1"/>
        <tr r="BE31" s="1"/>
      </tp>
      <tp>
        <v>221</v>
        <stp/>
        <stp>VOLUME</stp>
        <stp>.SPY250630C575</stp>
        <tr r="L22" s="2"/>
        <tr r="L22" s="2"/>
      </tp>
      <tp>
        <v>715</v>
        <stp/>
        <stp>VOLUME</stp>
        <stp>.SPY250620P562</stp>
        <tr r="BF34" s="1"/>
        <tr r="BF34" s="1"/>
      </tp>
      <tp>
        <v>42</v>
        <stp/>
        <stp>VOLUME</stp>
        <stp>.SPY250630P572</stp>
        <tr r="L25" s="2"/>
        <tr r="L25" s="2"/>
      </tp>
      <tp>
        <v>69</v>
        <stp/>
        <stp>VOLUME</stp>
        <stp>.SPY250620C562</stp>
        <tr r="BE34" s="1"/>
        <tr r="BE34" s="1"/>
      </tp>
      <tp>
        <v>33</v>
        <stp/>
        <stp>VOLUME</stp>
        <stp>.SPY250630C572</stp>
        <tr r="L25" s="2"/>
        <tr r="L25" s="2"/>
      </tp>
      <tp>
        <v>1012</v>
        <stp/>
        <stp>VOLUME</stp>
        <stp>.SPY250620P563</stp>
        <tr r="BF33" s="1"/>
        <tr r="BF33" s="1"/>
      </tp>
      <tp>
        <v>25</v>
        <stp/>
        <stp>VOLUME</stp>
        <stp>.SPY250630P573</stp>
        <tr r="L24" s="2"/>
        <tr r="L24" s="2"/>
      </tp>
      <tp>
        <v>88</v>
        <stp/>
        <stp>VOLUME</stp>
        <stp>.SPY250620C563</stp>
        <tr r="BE33" s="1"/>
        <tr r="BE33" s="1"/>
      </tp>
      <tp>
        <v>2</v>
        <stp/>
        <stp>VOLUME</stp>
        <stp>.SPY250630C573</stp>
        <tr r="L24" s="2"/>
        <tr r="L24" s="2"/>
      </tp>
      <tp>
        <v>22404</v>
        <stp/>
        <stp>VOLUME</stp>
        <stp>.SPY250620P560</stp>
        <tr r="BF36" s="1"/>
        <tr r="BF36" s="1"/>
      </tp>
      <tp>
        <v>1553</v>
        <stp/>
        <stp>VOLUME</stp>
        <stp>.SPY250630P570</stp>
        <tr r="L27" s="2"/>
        <tr r="L27" s="2"/>
      </tp>
      <tp>
        <v>1664</v>
        <stp/>
        <stp>VOLUME</stp>
        <stp>.SPY250620C560</stp>
        <tr r="BE36" s="1"/>
        <tr r="BE36" s="1"/>
      </tp>
      <tp>
        <v>1348</v>
        <stp/>
        <stp>VOLUME</stp>
        <stp>.SPY250630C570</stp>
        <tr r="L27" s="2"/>
        <tr r="L27" s="2"/>
      </tp>
      <tp>
        <v>2097</v>
        <stp/>
        <stp>VOLUME</stp>
        <stp>.SPY250620P561</stp>
        <tr r="BF35" s="1"/>
        <tr r="BF35" s="1"/>
      </tp>
      <tp>
        <v>14</v>
        <stp/>
        <stp>VOLUME</stp>
        <stp>.SPY250630P571</stp>
        <tr r="L26" s="2"/>
        <tr r="L26" s="2"/>
      </tp>
      <tp>
        <v>120</v>
        <stp/>
        <stp>VOLUME</stp>
        <stp>.SPY250620C561</stp>
        <tr r="BE35" s="1"/>
        <tr r="BE35" s="1"/>
      </tp>
      <tp>
        <v>17</v>
        <stp/>
        <stp>VOLUME</stp>
        <stp>.SPY250630C571</stp>
        <tr r="L26" s="2"/>
        <tr r="L26" s="2"/>
      </tp>
      <tp>
        <v>853</v>
        <stp/>
        <stp>VOLUME</stp>
        <stp>.SPY250620P568</stp>
        <tr r="BF28" s="1"/>
        <tr r="BF28" s="1"/>
      </tp>
      <tp>
        <v>113</v>
        <stp/>
        <stp>VOLUME</stp>
        <stp>.SPY250630P578</stp>
        <tr r="L19" s="2"/>
        <tr r="L19" s="2"/>
      </tp>
      <tp>
        <v>493</v>
        <stp/>
        <stp>VOLUME</stp>
        <stp>.SPY250620C568</stp>
        <tr r="BE28" s="1"/>
        <tr r="BE28" s="1"/>
      </tp>
      <tp>
        <v>108</v>
        <stp/>
        <stp>VOLUME</stp>
        <stp>.SPY250630C578</stp>
        <tr r="L19" s="2"/>
        <tr r="L19" s="2"/>
      </tp>
      <tp>
        <v>805</v>
        <stp/>
        <stp>VOLUME</stp>
        <stp>.SPY250620P569</stp>
        <tr r="BF27" s="1"/>
        <tr r="BF27" s="1"/>
      </tp>
      <tp>
        <v>512</v>
        <stp/>
        <stp>VOLUME</stp>
        <stp>.SPY250630P579</stp>
        <tr r="L18" s="2"/>
        <tr r="L18" s="2"/>
      </tp>
      <tp>
        <v>196</v>
        <stp/>
        <stp>VOLUME</stp>
        <stp>.SPY250620C569</stp>
        <tr r="BE27" s="1"/>
        <tr r="BE27" s="1"/>
      </tp>
      <tp>
        <v>157</v>
        <stp/>
        <stp>VOLUME</stp>
        <stp>.SPY250630C579</stp>
        <tr r="L18" s="2"/>
        <tr r="L18" s="2"/>
      </tp>
      <tp>
        <v>745</v>
        <stp/>
        <stp>VOLUME</stp>
        <stp>.SPY250606P570</stp>
        <tr r="J27" s="2"/>
        <tr r="J27" s="2"/>
      </tp>
      <tp>
        <v>461</v>
        <stp/>
        <stp>VOLUME</stp>
        <stp>.SPY250606C570</stp>
        <tr r="J27" s="2"/>
        <tr r="J27" s="2"/>
      </tp>
      <tp>
        <v>83</v>
        <stp/>
        <stp>VOLUME</stp>
        <stp>.SPY250606P571</stp>
        <tr r="J26" s="2"/>
        <tr r="J26" s="2"/>
      </tp>
      <tp>
        <v>89</v>
        <stp/>
        <stp>VOLUME</stp>
        <stp>.SPY250606C571</stp>
        <tr r="J26" s="2"/>
        <tr r="J26" s="2"/>
      </tp>
      <tp>
        <v>174</v>
        <stp/>
        <stp>VOLUME</stp>
        <stp>.SPY250606P572</stp>
        <tr r="J25" s="2"/>
        <tr r="J25" s="2"/>
      </tp>
      <tp>
        <v>162</v>
        <stp/>
        <stp>VOLUME</stp>
        <stp>.SPY250606C572</stp>
        <tr r="J25" s="2"/>
        <tr r="J25" s="2"/>
      </tp>
      <tp>
        <v>130</v>
        <stp/>
        <stp>VOLUME</stp>
        <stp>.SPY250606P573</stp>
        <tr r="J24" s="2"/>
        <tr r="J24" s="2"/>
      </tp>
      <tp>
        <v>127</v>
        <stp/>
        <stp>VOLUME</stp>
        <stp>.SPY250606C573</stp>
        <tr r="J24" s="2"/>
        <tr r="J24" s="2"/>
      </tp>
      <tp>
        <v>141</v>
        <stp/>
        <stp>VOLUME</stp>
        <stp>.SPY250606P574</stp>
        <tr r="J23" s="2"/>
        <tr r="J23" s="2"/>
      </tp>
      <tp>
        <v>64</v>
        <stp/>
        <stp>VOLUME</stp>
        <stp>.SPY250606C574</stp>
        <tr r="J23" s="2"/>
        <tr r="J23" s="2"/>
      </tp>
      <tp>
        <v>428</v>
        <stp/>
        <stp>VOLUME</stp>
        <stp>.SPY250606P575</stp>
        <tr r="J22" s="2"/>
        <tr r="J22" s="2"/>
      </tp>
      <tp>
        <v>442</v>
        <stp/>
        <stp>VOLUME</stp>
        <stp>.SPY250606C575</stp>
        <tr r="J22" s="2"/>
        <tr r="J22" s="2"/>
      </tp>
      <tp>
        <v>358</v>
        <stp/>
        <stp>VOLUME</stp>
        <stp>.SPY250606P576</stp>
        <tr r="J21" s="2"/>
        <tr r="J21" s="2"/>
      </tp>
      <tp>
        <v>67</v>
        <stp/>
        <stp>VOLUME</stp>
        <stp>.SPY250606C576</stp>
        <tr r="J21" s="2"/>
        <tr r="J21" s="2"/>
      </tp>
      <tp>
        <v>479</v>
        <stp/>
        <stp>VOLUME</stp>
        <stp>.SPY250606P577</stp>
        <tr r="J20" s="2"/>
        <tr r="J20" s="2"/>
      </tp>
      <tp>
        <v>43</v>
        <stp/>
        <stp>VOLUME</stp>
        <stp>.SPY250606C577</stp>
        <tr r="J20" s="2"/>
        <tr r="J20" s="2"/>
      </tp>
      <tp>
        <v>1429</v>
        <stp/>
        <stp>VOLUME</stp>
        <stp>.SPY250606P578</stp>
        <tr r="J19" s="2"/>
        <tr r="J19" s="2"/>
      </tp>
      <tp>
        <v>358</v>
        <stp/>
        <stp>VOLUME</stp>
        <stp>.SPY250606C578</stp>
        <tr r="J19" s="2"/>
        <tr r="J19" s="2"/>
      </tp>
      <tp>
        <v>595</v>
        <stp/>
        <stp>VOLUME</stp>
        <stp>.SPY250606P579</stp>
        <tr r="J18" s="2"/>
        <tr r="J18" s="2"/>
      </tp>
      <tp>
        <v>711</v>
        <stp/>
        <stp>VOLUME</stp>
        <stp>.SPY250606C579</stp>
        <tr r="J18" s="2"/>
        <tr r="J18" s="2"/>
      </tp>
      <tp>
        <v>1636</v>
        <stp/>
        <stp>VOLUME</stp>
        <stp>.SPY250620P558</stp>
        <tr r="BF38" s="1"/>
        <tr r="BF38" s="1"/>
      </tp>
      <tp>
        <v>34</v>
        <stp/>
        <stp>VOLUME</stp>
        <stp>.SPY250620C558</stp>
        <tr r="BE38" s="1"/>
        <tr r="BE38" s="1"/>
      </tp>
      <tp>
        <v>589</v>
        <stp/>
        <stp>VOLUME</stp>
        <stp>.SPY250620P559</stp>
        <tr r="BF37" s="1"/>
        <tr r="BF37" s="1"/>
      </tp>
      <tp>
        <v>17</v>
        <stp/>
        <stp>VOLUME</stp>
        <stp>.SPY250620C559</stp>
        <tr r="BE37" s="1"/>
        <tr r="BE37" s="1"/>
      </tp>
      <tp>
        <v>2205</v>
        <stp/>
        <stp>VOLUME</stp>
        <stp>.SPY250606P560</stp>
        <tr r="J37" s="2"/>
        <tr r="J37" s="2"/>
      </tp>
      <tp>
        <v>355</v>
        <stp/>
        <stp>VOLUME</stp>
        <stp>.SPY250606C560</stp>
        <tr r="J37" s="2"/>
        <tr r="J37" s="2"/>
      </tp>
      <tp>
        <v>731</v>
        <stp/>
        <stp>VOLUME</stp>
        <stp>.SPY250606P561</stp>
        <tr r="J36" s="2"/>
        <tr r="J36" s="2"/>
      </tp>
      <tp>
        <v>125</v>
        <stp/>
        <stp>VOLUME</stp>
        <stp>.SPY250606C561</stp>
        <tr r="J36" s="2"/>
        <tr r="J36" s="2"/>
      </tp>
      <tp>
        <v>122</v>
        <stp/>
        <stp>VOLUME</stp>
        <stp>.SPY250606P562</stp>
        <tr r="J35" s="2"/>
        <tr r="J35" s="2"/>
      </tp>
      <tp>
        <v>51</v>
        <stp/>
        <stp>VOLUME</stp>
        <stp>.SPY250606C562</stp>
        <tr r="J35" s="2"/>
        <tr r="J35" s="2"/>
      </tp>
      <tp>
        <v>81</v>
        <stp/>
        <stp>VOLUME</stp>
        <stp>.SPY250606P563</stp>
        <tr r="J34" s="2"/>
        <tr r="J34" s="2"/>
      </tp>
      <tp>
        <v>137</v>
        <stp/>
        <stp>VOLUME</stp>
        <stp>.SPY250606C563</stp>
        <tr r="J34" s="2"/>
        <tr r="J34" s="2"/>
      </tp>
      <tp>
        <v>412</v>
        <stp/>
        <stp>VOLUME</stp>
        <stp>.SPY250606P564</stp>
        <tr r="J33" s="2"/>
        <tr r="J33" s="2"/>
      </tp>
      <tp>
        <v>130</v>
        <stp/>
        <stp>VOLUME</stp>
        <stp>.SPY250606C564</stp>
        <tr r="J33" s="2"/>
        <tr r="J33" s="2"/>
      </tp>
      <tp>
        <v>469</v>
        <stp/>
        <stp>VOLUME</stp>
        <stp>.SPY250606P565</stp>
        <tr r="J32" s="2"/>
        <tr r="J32" s="2"/>
      </tp>
      <tp>
        <v>683</v>
        <stp/>
        <stp>VOLUME</stp>
        <stp>.SPY250606C565</stp>
        <tr r="J32" s="2"/>
        <tr r="J32" s="2"/>
      </tp>
      <tp>
        <v>172</v>
        <stp/>
        <stp>VOLUME</stp>
        <stp>.SPY250606P566</stp>
        <tr r="J31" s="2"/>
        <tr r="J31" s="2"/>
      </tp>
      <tp>
        <v>153</v>
        <stp/>
        <stp>VOLUME</stp>
        <stp>.SPY250606C566</stp>
        <tr r="J31" s="2"/>
        <tr r="J31" s="2"/>
      </tp>
      <tp>
        <v>170</v>
        <stp/>
        <stp>VOLUME</stp>
        <stp>.SPY250606P567</stp>
        <tr r="J30" s="2"/>
        <tr r="J30" s="2"/>
      </tp>
      <tp>
        <v>161</v>
        <stp/>
        <stp>VOLUME</stp>
        <stp>.SPY250606C567</stp>
        <tr r="J30" s="2"/>
        <tr r="J30" s="2"/>
      </tp>
      <tp>
        <v>162</v>
        <stp/>
        <stp>VOLUME</stp>
        <stp>.SPY250606P568</stp>
        <tr r="J29" s="2"/>
        <tr r="J29" s="2"/>
      </tp>
      <tp>
        <v>377</v>
        <stp/>
        <stp>VOLUME</stp>
        <stp>.SPY250606C568</stp>
        <tr r="J29" s="2"/>
        <tr r="J29" s="2"/>
      </tp>
      <tp>
        <v>73</v>
        <stp/>
        <stp>VOLUME</stp>
        <stp>.SPY250606P569</stp>
        <tr r="J28" s="2"/>
        <tr r="J28" s="2"/>
      </tp>
      <tp>
        <v>66</v>
        <stp/>
        <stp>VOLUME</stp>
        <stp>.SPY250606C569</stp>
        <tr r="J28" s="2"/>
        <tr r="J28" s="2"/>
      </tp>
      <tp>
        <v>29</v>
        <stp/>
        <stp>VOLUME</stp>
        <stp>.SPY250630P558</stp>
        <tr r="L39" s="2"/>
        <tr r="L39" s="2"/>
      </tp>
      <tp>
        <v>70</v>
        <stp/>
        <stp>VOLUME</stp>
        <stp>.SPY250630C558</stp>
        <tr r="L39" s="2"/>
        <tr r="L39" s="2"/>
      </tp>
      <tp>
        <v>101</v>
        <stp/>
        <stp>VOLUME</stp>
        <stp>.SPY250630P559</stp>
        <tr r="L38" s="2"/>
        <tr r="L38" s="2"/>
      </tp>
      <tp>
        <v>22</v>
        <stp/>
        <stp>VOLUME</stp>
        <stp>.SPY250630C559</stp>
        <tr r="L38" s="2"/>
        <tr r="L38" s="2"/>
      </tp>
      <tp>
        <v>0</v>
        <stp/>
        <stp>DELTA</stp>
        <stp>.SPXW250512P5690</stp>
        <tr r="CE118" s="1"/>
        <tr r="CE118" s="1"/>
      </tp>
      <tp>
        <v>0.99</v>
        <stp/>
        <stp>DELTA</stp>
        <stp>.SPXW250512C5690</stp>
        <tr r="CD118" s="1"/>
        <tr r="CD118" s="1"/>
      </tp>
      <tp>
        <v>0</v>
        <stp/>
        <stp>DELTA</stp>
        <stp>.SPXW250512P5680</stp>
        <tr r="CE119" s="1"/>
        <tr r="CE119" s="1"/>
      </tp>
      <tp>
        <v>0.99</v>
        <stp/>
        <stp>DELTA</stp>
        <stp>.SPXW250512C5680</stp>
        <tr r="CD119" s="1"/>
        <tr r="CD119" s="1"/>
      </tp>
      <tp>
        <v>0</v>
        <stp/>
        <stp>DELTA</stp>
        <stp>.SPXW250512P5610</stp>
        <tr r="CE126" s="1"/>
        <tr r="CE126" s="1"/>
      </tp>
      <tp>
        <v>1</v>
        <stp/>
        <stp>DELTA</stp>
        <stp>.SPXW250512C5610</stp>
        <tr r="CD126" s="1"/>
        <tr r="CD126" s="1"/>
      </tp>
      <tp>
        <v>0</v>
        <stp/>
        <stp>DELTA</stp>
        <stp>.SPXW250512P5600</stp>
        <tr r="CE127" s="1"/>
        <tr r="CE127" s="1"/>
      </tp>
      <tp>
        <v>1</v>
        <stp/>
        <stp>DELTA</stp>
        <stp>.SPXW250512C5600</stp>
        <tr r="CD127" s="1"/>
        <tr r="CD127" s="1"/>
      </tp>
      <tp>
        <v>0</v>
        <stp/>
        <stp>DELTA</stp>
        <stp>.SPXW250512P5630</stp>
        <tr r="CE124" s="1"/>
        <tr r="CE124" s="1"/>
      </tp>
      <tp>
        <v>0.96</v>
        <stp/>
        <stp>DELTA</stp>
        <stp>.SPXW250512C5630</stp>
        <tr r="CD124" s="1"/>
        <tr r="CD124" s="1"/>
      </tp>
      <tp>
        <v>0</v>
        <stp/>
        <stp>DELTA</stp>
        <stp>.SPXW250512P5620</stp>
        <tr r="CE125" s="1"/>
        <tr r="CE125" s="1"/>
      </tp>
      <tp>
        <v>0.97</v>
        <stp/>
        <stp>DELTA</stp>
        <stp>.SPXW250512C5620</stp>
        <tr r="CD125" s="1"/>
        <tr r="CD125" s="1"/>
      </tp>
      <tp>
        <v>0</v>
        <stp/>
        <stp>DELTA</stp>
        <stp>.SPXW250512P5650</stp>
        <tr r="CE122" s="1"/>
        <tr r="CE122" s="1"/>
      </tp>
      <tp>
        <v>0.99</v>
        <stp/>
        <stp>DELTA</stp>
        <stp>.SPXW250512C5650</stp>
        <tr r="CD122" s="1"/>
        <tr r="CD122" s="1"/>
      </tp>
      <tp>
        <v>0</v>
        <stp/>
        <stp>DELTA</stp>
        <stp>.SPXW250512P5640</stp>
        <tr r="CE123" s="1"/>
        <tr r="CE123" s="1"/>
      </tp>
      <tp>
        <v>0.96</v>
        <stp/>
        <stp>DELTA</stp>
        <stp>.SPXW250512C5640</stp>
        <tr r="CD123" s="1"/>
        <tr r="CD123" s="1"/>
      </tp>
      <tp>
        <v>0</v>
        <stp/>
        <stp>DELTA</stp>
        <stp>.SPXW250512P5670</stp>
        <tr r="CE120" s="1"/>
        <tr r="CE120" s="1"/>
      </tp>
      <tp>
        <v>0.99</v>
        <stp/>
        <stp>DELTA</stp>
        <stp>.SPXW250512C5670</stp>
        <tr r="CD120" s="1"/>
        <tr r="CD120" s="1"/>
      </tp>
      <tp>
        <v>0</v>
        <stp/>
        <stp>DELTA</stp>
        <stp>.SPXW250512P5660</stp>
        <tr r="CE121" s="1"/>
        <tr r="CE121" s="1"/>
      </tp>
      <tp>
        <v>0.99</v>
        <stp/>
        <stp>DELTA</stp>
        <stp>.SPXW250512C5660</stp>
        <tr r="CD121" s="1"/>
        <tr r="CD121" s="1"/>
      </tp>
      <tp>
        <v>13258</v>
        <stp/>
        <stp>VOLUME</stp>
        <stp>.SPY250512P584</stp>
        <tr r="BB12" s="1"/>
        <tr r="BB12" s="1"/>
      </tp>
      <tp>
        <v>36909</v>
        <stp/>
        <stp>VOLUME</stp>
        <stp>.SPY250516P580</stp>
        <tr r="BD16" s="1"/>
        <tr r="BD16" s="1"/>
      </tp>
      <tp>
        <v>150387</v>
        <stp/>
        <stp>VOLUME</stp>
        <stp>.SPY250512C584</stp>
        <tr r="BA12" s="1"/>
        <tr r="BA12" s="1"/>
      </tp>
      <tp>
        <v>38825</v>
        <stp/>
        <stp>VOLUME</stp>
        <stp>.SPY250516C580</stp>
        <tr r="BC16" s="1"/>
        <tr r="BC16" s="1"/>
      </tp>
      <tp>
        <v>6009</v>
        <stp/>
        <stp>VOLUME</stp>
        <stp>.SPY250512P585</stp>
        <tr r="BB11" s="1"/>
        <tr r="BB11" s="1"/>
      </tp>
      <tp>
        <v>7973</v>
        <stp/>
        <stp>VOLUME</stp>
        <stp>.SPY250516P581</stp>
        <tr r="BD15" s="1"/>
        <tr r="BD15" s="1"/>
      </tp>
      <tp>
        <v>206054</v>
        <stp/>
        <stp>VOLUME</stp>
        <stp>.SPY250512C585</stp>
        <tr r="BA11" s="1"/>
        <tr r="BA11" s="1"/>
      </tp>
      <tp>
        <v>12030</v>
        <stp/>
        <stp>VOLUME</stp>
        <stp>.SPY250516C581</stp>
        <tr r="BC15" s="1"/>
        <tr r="BC15" s="1"/>
      </tp>
      <tp>
        <v>1426</v>
        <stp/>
        <stp>VOLUME</stp>
        <stp>.SPY250512P586</stp>
        <tr r="BB10" s="1"/>
        <tr r="BB10" s="1"/>
      </tp>
      <tp>
        <v>6727</v>
        <stp/>
        <stp>VOLUME</stp>
        <stp>.SPY250516P582</stp>
        <tr r="BD14" s="1"/>
        <tr r="BD14" s="1"/>
      </tp>
      <tp>
        <v>61329</v>
        <stp/>
        <stp>VOLUME</stp>
        <stp>.SPY250512C586</stp>
        <tr r="BA10" s="1"/>
        <tr r="BA10" s="1"/>
      </tp>
      <tp>
        <v>13922</v>
        <stp/>
        <stp>VOLUME</stp>
        <stp>.SPY250516C582</stp>
        <tr r="BC14" s="1"/>
        <tr r="BC14" s="1"/>
      </tp>
      <tp>
        <v>718</v>
        <stp/>
        <stp>VOLUME</stp>
        <stp>.SPY250512P587</stp>
        <tr r="BB9" s="1"/>
        <tr r="BB9" s="1"/>
      </tp>
      <tp>
        <v>2324</v>
        <stp/>
        <stp>VOLUME</stp>
        <stp>.SPY250516P583</stp>
        <tr r="BD13" s="1"/>
        <tr r="BD13" s="1"/>
      </tp>
      <tp>
        <v>41674</v>
        <stp/>
        <stp>VOLUME</stp>
        <stp>.SPY250512C587</stp>
        <tr r="BA9" s="1"/>
        <tr r="BA9" s="1"/>
      </tp>
      <tp>
        <v>10572</v>
        <stp/>
        <stp>VOLUME</stp>
        <stp>.SPY250516C583</stp>
        <tr r="BC13" s="1"/>
        <tr r="BC13" s="1"/>
      </tp>
      <tp>
        <v>349411</v>
        <stp/>
        <stp>VOLUME</stp>
        <stp>.SPY250512P580</stp>
        <tr r="BB16" s="1"/>
        <tr r="BB16" s="1"/>
      </tp>
      <tp>
        <v>2288</v>
        <stp/>
        <stp>VOLUME</stp>
        <stp>.SPY250516P584</stp>
        <tr r="BD12" s="1"/>
        <tr r="BD12" s="1"/>
      </tp>
      <tp>
        <v>512240</v>
        <stp/>
        <stp>VOLUME</stp>
        <stp>.SPY250512C580</stp>
        <tr r="BA16" s="1"/>
        <tr r="BA16" s="1"/>
      </tp>
      <tp>
        <v>7822</v>
        <stp/>
        <stp>VOLUME</stp>
        <stp>.SPY250516C584</stp>
        <tr r="BC12" s="1"/>
        <tr r="BC12" s="1"/>
      </tp>
      <tp>
        <v>353033</v>
        <stp/>
        <stp>VOLUME</stp>
        <stp>.SPY250512P581</stp>
        <tr r="BB15" s="1"/>
        <tr r="BB15" s="1"/>
      </tp>
      <tp>
        <v>2489</v>
        <stp/>
        <stp>VOLUME</stp>
        <stp>.SPY250516P585</stp>
        <tr r="BD11" s="1"/>
        <tr r="BD11" s="1"/>
      </tp>
      <tp>
        <v>309719</v>
        <stp/>
        <stp>VOLUME</stp>
        <stp>.SPY250512C581</stp>
        <tr r="BA15" s="1"/>
        <tr r="BA15" s="1"/>
      </tp>
      <tp>
        <v>37238</v>
        <stp/>
        <stp>VOLUME</stp>
        <stp>.SPY250516C585</stp>
        <tr r="BC11" s="1"/>
        <tr r="BC11" s="1"/>
      </tp>
      <tp>
        <v>206704</v>
        <stp/>
        <stp>VOLUME</stp>
        <stp>.SPY250512P582</stp>
        <tr r="BB14" s="1"/>
        <tr r="BB14" s="1"/>
      </tp>
      <tp>
        <v>457</v>
        <stp/>
        <stp>VOLUME</stp>
        <stp>.SPY250516P586</stp>
        <tr r="BD10" s="1"/>
        <tr r="BD10" s="1"/>
      </tp>
      <tp>
        <v>426589</v>
        <stp/>
        <stp>VOLUME</stp>
        <stp>.SPY250512C582</stp>
        <tr r="BA14" s="1"/>
        <tr r="BA14" s="1"/>
      </tp>
      <tp>
        <v>6922</v>
        <stp/>
        <stp>VOLUME</stp>
        <stp>.SPY250516C586</stp>
        <tr r="BC10" s="1"/>
        <tr r="BC10" s="1"/>
      </tp>
      <tp>
        <v>46546</v>
        <stp/>
        <stp>VOLUME</stp>
        <stp>.SPY250512P583</stp>
        <tr r="BB13" s="1"/>
        <tr r="BB13" s="1"/>
      </tp>
      <tp>
        <v>481</v>
        <stp/>
        <stp>VOLUME</stp>
        <stp>.SPY250516P587</stp>
        <tr r="BD9" s="1"/>
        <tr r="BD9" s="1"/>
      </tp>
      <tp>
        <v>248708</v>
        <stp/>
        <stp>VOLUME</stp>
        <stp>.SPY250512C583</stp>
        <tr r="BA13" s="1"/>
        <tr r="BA13" s="1"/>
      </tp>
      <tp>
        <v>5977</v>
        <stp/>
        <stp>VOLUME</stp>
        <stp>.SPY250516C587</stp>
        <tr r="BC9" s="1"/>
        <tr r="BC9" s="1"/>
      </tp>
      <tp>
        <v>347</v>
        <stp/>
        <stp>VOLUME</stp>
        <stp>.SPY250516P588</stp>
        <tr r="BD8" s="1"/>
        <tr r="BD8" s="1"/>
      </tp>
      <tp>
        <v>4966</v>
        <stp/>
        <stp>VOLUME</stp>
        <stp>.SPY250516C588</stp>
        <tr r="BC8" s="1"/>
        <tr r="BC8" s="1"/>
      </tp>
      <tp>
        <v>161</v>
        <stp/>
        <stp>VOLUME</stp>
        <stp>.SPY250516P589</stp>
        <tr r="BD7" s="1"/>
        <tr r="BD7" s="1"/>
      </tp>
      <tp>
        <v>7100</v>
        <stp/>
        <stp>VOLUME</stp>
        <stp>.SPY250516C589</stp>
        <tr r="BC7" s="1"/>
        <tr r="BC7" s="1"/>
      </tp>
      <tp>
        <v>1760</v>
        <stp/>
        <stp>VOLUME</stp>
        <stp>.SPY250512P588</stp>
        <tr r="BB8" s="1"/>
        <tr r="BB8" s="1"/>
      </tp>
      <tp>
        <v>13256</v>
        <stp/>
        <stp>VOLUME</stp>
        <stp>.SPY250512C588</stp>
        <tr r="BA8" s="1"/>
        <tr r="BA8" s="1"/>
      </tp>
      <tp>
        <v>316</v>
        <stp/>
        <stp>VOLUME</stp>
        <stp>.SPY250512P589</stp>
        <tr r="BB7" s="1"/>
        <tr r="BB7" s="1"/>
      </tp>
      <tp>
        <v>12093</v>
        <stp/>
        <stp>VOLUME</stp>
        <stp>.SPY250512C589</stp>
        <tr r="BA7" s="1"/>
        <tr r="BA7" s="1"/>
      </tp>
      <tp>
        <v>1848</v>
        <stp/>
        <stp>VOLUME</stp>
        <stp>.SPY250516P590</stp>
        <tr r="BD6" s="1"/>
        <tr r="BD6" s="1"/>
      </tp>
      <tp>
        <v>49274</v>
        <stp/>
        <stp>VOLUME</stp>
        <stp>.SPY250516C590</stp>
        <tr r="BC6" s="1"/>
        <tr r="BC6" s="1"/>
      </tp>
      <tp>
        <v>296</v>
        <stp/>
        <stp>VOLUME</stp>
        <stp>.SPY250516P591</stp>
        <tr r="BD5" s="1"/>
        <tr r="BD5" s="1"/>
      </tp>
      <tp>
        <v>8984</v>
        <stp/>
        <stp>VOLUME</stp>
        <stp>.SPY250516C591</stp>
        <tr r="BC5" s="1"/>
        <tr r="BC5" s="1"/>
      </tp>
      <tp>
        <v>113</v>
        <stp/>
        <stp>VOLUME</stp>
        <stp>.SPY250516P592</stp>
        <tr r="BD4" s="1"/>
        <tr r="BD4" s="1"/>
      </tp>
      <tp>
        <v>6169</v>
        <stp/>
        <stp>VOLUME</stp>
        <stp>.SPY250516C592</stp>
        <tr r="BC4" s="1"/>
        <tr r="BC4" s="1"/>
      </tp>
      <tp>
        <v>1305</v>
        <stp/>
        <stp>VOLUME</stp>
        <stp>.SPY250512P590</stp>
        <tr r="BB6" s="1"/>
        <tr r="BB6" s="1"/>
      </tp>
      <tp>
        <v>36390</v>
        <stp/>
        <stp>VOLUME</stp>
        <stp>.SPY250512C590</stp>
        <tr r="BA6" s="1"/>
        <tr r="BA6" s="1"/>
      </tp>
      <tp>
        <v>145</v>
        <stp/>
        <stp>VOLUME</stp>
        <stp>.SPY250512P591</stp>
        <tr r="BB5" s="1"/>
        <tr r="BB5" s="1"/>
      </tp>
      <tp>
        <v>8589</v>
        <stp/>
        <stp>VOLUME</stp>
        <stp>.SPY250512C591</stp>
        <tr r="BA5" s="1"/>
        <tr r="BA5" s="1"/>
      </tp>
      <tp>
        <v>74</v>
        <stp/>
        <stp>VOLUME</stp>
        <stp>.SPY250512P592</stp>
        <tr r="BB4" s="1"/>
        <tr r="BB4" s="1"/>
      </tp>
      <tp>
        <v>7422</v>
        <stp/>
        <stp>VOLUME</stp>
        <stp>.SPY250512C592</stp>
        <tr r="BA4" s="1"/>
        <tr r="BA4" s="1"/>
      </tp>
      <tp>
        <v>326</v>
        <stp/>
        <stp>VOLUME</stp>
        <stp>.SPY250530P586</stp>
        <tr r="I11" s="2"/>
        <tr r="I11" s="2"/>
      </tp>
      <tp>
        <v>677</v>
        <stp/>
        <stp>VOLUME</stp>
        <stp>.SPY250530C586</stp>
        <tr r="I11" s="2"/>
        <tr r="I11" s="2"/>
      </tp>
      <tp>
        <v>7</v>
        <stp/>
        <stp>VOLUME</stp>
        <stp>.SPY250530P587</stp>
        <tr r="I10" s="2"/>
        <tr r="I10" s="2"/>
      </tp>
      <tp>
        <v>515</v>
        <stp/>
        <stp>VOLUME</stp>
        <stp>.SPY250530C587</stp>
        <tr r="I10" s="2"/>
        <tr r="I10" s="2"/>
      </tp>
      <tp>
        <v>465</v>
        <stp/>
        <stp>VOLUME</stp>
        <stp>.SPY250530P584</stp>
        <tr r="I13" s="2"/>
        <tr r="I13" s="2"/>
      </tp>
      <tp>
        <v>1161</v>
        <stp/>
        <stp>VOLUME</stp>
        <stp>.SPY250530C584</stp>
        <tr r="I13" s="2"/>
        <tr r="I13" s="2"/>
      </tp>
      <tp>
        <v>385</v>
        <stp/>
        <stp>VOLUME</stp>
        <stp>.SPY250530P585</stp>
        <tr r="I12" s="2"/>
        <tr r="I12" s="2"/>
      </tp>
      <tp>
        <v>3593</v>
        <stp/>
        <stp>VOLUME</stp>
        <stp>.SPY250530C585</stp>
        <tr r="I12" s="2"/>
        <tr r="I12" s="2"/>
      </tp>
      <tp t="s">
        <v>N/A</v>
        <stp/>
        <stp>VOLUME</stp>
        <stp>.SPY250523P591</stp>
        <tr r="H6" s="2"/>
      </tp>
      <tp>
        <v>545</v>
        <stp/>
        <stp>VOLUME</stp>
        <stp>.SPY250530P582</stp>
        <tr r="I15" s="2"/>
        <tr r="I15" s="2"/>
      </tp>
      <tp t="s">
        <v>N/A</v>
        <stp/>
        <stp>VOLUME</stp>
        <stp>.SPY250523C591</stp>
        <tr r="H6" s="2"/>
      </tp>
      <tp>
        <v>2051</v>
        <stp/>
        <stp>VOLUME</stp>
        <stp>.SPY250530C582</stp>
        <tr r="I15" s="2"/>
        <tr r="I15" s="2"/>
      </tp>
      <tp>
        <v>152</v>
        <stp/>
        <stp>VOLUME</stp>
        <stp>.SPY250523P590</stp>
        <tr r="H7" s="2"/>
        <tr r="H7" s="2"/>
      </tp>
      <tp>
        <v>477</v>
        <stp/>
        <stp>VOLUME</stp>
        <stp>.SPY250530P583</stp>
        <tr r="I14" s="2"/>
        <tr r="I14" s="2"/>
      </tp>
      <tp>
        <v>5711</v>
        <stp/>
        <stp>VOLUME</stp>
        <stp>.SPY250523C590</stp>
        <tr r="H7" s="2"/>
        <tr r="H7" s="2"/>
      </tp>
      <tp>
        <v>1077</v>
        <stp/>
        <stp>VOLUME</stp>
        <stp>.SPY250530C583</stp>
        <tr r="I14" s="2"/>
        <tr r="I14" s="2"/>
      </tp>
      <tp>
        <v>5141</v>
        <stp/>
        <stp>VOLUME</stp>
        <stp>.SPY250530P580</stp>
        <tr r="I17" s="2"/>
        <tr r="I17" s="2"/>
      </tp>
      <tp>
        <v>5676</v>
        <stp/>
        <stp>VOLUME</stp>
        <stp>.SPY250530C580</stp>
        <tr r="I17" s="2"/>
        <tr r="I17" s="2"/>
      </tp>
      <tp t="s">
        <v>N/A</v>
        <stp/>
        <stp>VOLUME</stp>
        <stp>.SPY250523P592</stp>
        <tr r="H5" s="2"/>
      </tp>
      <tp>
        <v>578</v>
        <stp/>
        <stp>VOLUME</stp>
        <stp>.SPY250530P581</stp>
        <tr r="I16" s="2"/>
        <tr r="I16" s="2"/>
      </tp>
      <tp t="s">
        <v>N/A</v>
        <stp/>
        <stp>VOLUME</stp>
        <stp>.SPY250523C592</stp>
        <tr r="H5" s="2"/>
      </tp>
      <tp>
        <v>1734</v>
        <stp/>
        <stp>VOLUME</stp>
        <stp>.SPY250530C581</stp>
        <tr r="I16" s="2"/>
        <tr r="I16" s="2"/>
      </tp>
      <tp>
        <v>5</v>
        <stp/>
        <stp>VOLUME</stp>
        <stp>.SPY250530P588</stp>
        <tr r="I9" s="2"/>
        <tr r="I9" s="2"/>
      </tp>
      <tp>
        <v>626</v>
        <stp/>
        <stp>VOLUME</stp>
        <stp>.SPY250530C588</stp>
        <tr r="I9" s="2"/>
        <tr r="I9" s="2"/>
      </tp>
      <tp>
        <v>2</v>
        <stp/>
        <stp>VOLUME</stp>
        <stp>.SPY250530P589</stp>
        <tr r="I8" s="2"/>
        <tr r="I8" s="2"/>
      </tp>
      <tp>
        <v>393</v>
        <stp/>
        <stp>VOLUME</stp>
        <stp>.SPY250530C589</stp>
        <tr r="I8" s="2"/>
        <tr r="I8" s="2"/>
      </tp>
      <tp>
        <v>714</v>
        <stp/>
        <stp>VOLUME</stp>
        <stp>.SPY250523P585</stp>
        <tr r="H12" s="2"/>
        <tr r="H12" s="2"/>
      </tp>
      <tp>
        <v>28668</v>
        <stp/>
        <stp>VOLUME</stp>
        <stp>.SPY250523C585</stp>
        <tr r="H12" s="2"/>
        <tr r="H12" s="2"/>
      </tp>
      <tp>
        <v>86</v>
        <stp/>
        <stp>VOLUME</stp>
        <stp>.SPY250523P584</stp>
        <tr r="H13" s="2"/>
        <tr r="H13" s="2"/>
      </tp>
      <tp>
        <v>1442</v>
        <stp/>
        <stp>VOLUME</stp>
        <stp>.SPY250523C584</stp>
        <tr r="H13" s="2"/>
        <tr r="H13" s="2"/>
      </tp>
      <tp>
        <v>236</v>
        <stp/>
        <stp>VOLUME</stp>
        <stp>.SPY250523P587</stp>
        <tr r="H10" s="2"/>
        <tr r="H10" s="2"/>
      </tp>
      <tp>
        <v>537</v>
        <stp/>
        <stp>VOLUME</stp>
        <stp>.SPY250523C587</stp>
        <tr r="H10" s="2"/>
        <tr r="H10" s="2"/>
      </tp>
      <tp>
        <v>162</v>
        <stp/>
        <stp>VOLUME</stp>
        <stp>.SPY250523P586</stp>
        <tr r="H11" s="2"/>
        <tr r="H11" s="2"/>
      </tp>
      <tp>
        <v>516</v>
        <stp/>
        <stp>VOLUME</stp>
        <stp>.SPY250523C586</stp>
        <tr r="H11" s="2"/>
        <tr r="H11" s="2"/>
      </tp>
      <tp>
        <v>2235</v>
        <stp/>
        <stp>VOLUME</stp>
        <stp>.SPY250523P581</stp>
        <tr r="H16" s="2"/>
        <tr r="H16" s="2"/>
      </tp>
      <tp>
        <v>29</v>
        <stp/>
        <stp>VOLUME</stp>
        <stp>.SPY250530P592</stp>
        <tr r="I5" s="2"/>
        <tr r="I5" s="2"/>
      </tp>
      <tp>
        <v>1174</v>
        <stp/>
        <stp>VOLUME</stp>
        <stp>.SPY250523C581</stp>
        <tr r="H16" s="2"/>
        <tr r="H16" s="2"/>
      </tp>
      <tp>
        <v>333</v>
        <stp/>
        <stp>VOLUME</stp>
        <stp>.SPY250530C592</stp>
        <tr r="I5" s="2"/>
        <tr r="I5" s="2"/>
      </tp>
      <tp>
        <v>12106</v>
        <stp/>
        <stp>VOLUME</stp>
        <stp>.SPY250523P580</stp>
        <tr r="H17" s="2"/>
        <tr r="H17" s="2"/>
      </tp>
      <tp>
        <v>7416</v>
        <stp/>
        <stp>VOLUME</stp>
        <stp>.SPY250523C580</stp>
        <tr r="H17" s="2"/>
        <tr r="H17" s="2"/>
      </tp>
      <tp>
        <v>1485</v>
        <stp/>
        <stp>VOLUME</stp>
        <stp>.SPY250523P583</stp>
        <tr r="H14" s="2"/>
        <tr r="H14" s="2"/>
      </tp>
      <tp>
        <v>170</v>
        <stp/>
        <stp>VOLUME</stp>
        <stp>.SPY250530P590</stp>
        <tr r="I7" s="2"/>
        <tr r="I7" s="2"/>
      </tp>
      <tp>
        <v>867</v>
        <stp/>
        <stp>VOLUME</stp>
        <stp>.SPY250523C583</stp>
        <tr r="H14" s="2"/>
        <tr r="H14" s="2"/>
      </tp>
      <tp>
        <v>6909</v>
        <stp/>
        <stp>VOLUME</stp>
        <stp>.SPY250530C590</stp>
        <tr r="I7" s="2"/>
        <tr r="I7" s="2"/>
      </tp>
      <tp>
        <v>575</v>
        <stp/>
        <stp>VOLUME</stp>
        <stp>.SPY250523P582</stp>
        <tr r="H15" s="2"/>
        <tr r="H15" s="2"/>
      </tp>
      <tp>
        <v>7</v>
        <stp/>
        <stp>VOLUME</stp>
        <stp>.SPY250530P591</stp>
        <tr r="I6" s="2"/>
        <tr r="I6" s="2"/>
      </tp>
      <tp>
        <v>1022</v>
        <stp/>
        <stp>VOLUME</stp>
        <stp>.SPY250523C582</stp>
        <tr r="H15" s="2"/>
        <tr r="H15" s="2"/>
      </tp>
      <tp>
        <v>3362</v>
        <stp/>
        <stp>VOLUME</stp>
        <stp>.SPY250530C591</stp>
        <tr r="I6" s="2"/>
        <tr r="I6" s="2"/>
      </tp>
      <tp>
        <v>65</v>
        <stp/>
        <stp>VOLUME</stp>
        <stp>.SPY250523P589</stp>
        <tr r="H8" s="2"/>
        <tr r="H8" s="2"/>
      </tp>
      <tp>
        <v>965</v>
        <stp/>
        <stp>VOLUME</stp>
        <stp>.SPY250523C589</stp>
        <tr r="H8" s="2"/>
        <tr r="H8" s="2"/>
      </tp>
      <tp>
        <v>157</v>
        <stp/>
        <stp>VOLUME</stp>
        <stp>.SPY250523P588</stp>
        <tr r="H9" s="2"/>
        <tr r="H9" s="2"/>
      </tp>
      <tp>
        <v>506</v>
        <stp/>
        <stp>VOLUME</stp>
        <stp>.SPY250523C588</stp>
        <tr r="H9" s="2"/>
        <tr r="H9" s="2"/>
      </tp>
      <tp>
        <v>11396</v>
        <stp/>
        <stp>VOLUME</stp>
        <stp>.SPY250523P575</stp>
        <tr r="H22" s="2"/>
        <tr r="H22" s="2"/>
      </tp>
      <tp>
        <v>474</v>
        <stp/>
        <stp>VOLUME</stp>
        <stp>.SPY250530P566</stp>
        <tr r="I31" s="2"/>
        <tr r="I31" s="2"/>
      </tp>
      <tp>
        <v>1914</v>
        <stp/>
        <stp>VOLUME</stp>
        <stp>.SPY250523C575</stp>
        <tr r="H22" s="2"/>
        <tr r="H22" s="2"/>
      </tp>
      <tp>
        <v>194</v>
        <stp/>
        <stp>VOLUME</stp>
        <stp>.SPY250530C566</stp>
        <tr r="I31" s="2"/>
        <tr r="I31" s="2"/>
      </tp>
      <tp>
        <v>495</v>
        <stp/>
        <stp>VOLUME</stp>
        <stp>.SPY250523P574</stp>
        <tr r="H23" s="2"/>
        <tr r="H23" s="2"/>
      </tp>
      <tp>
        <v>732</v>
        <stp/>
        <stp>VOLUME</stp>
        <stp>.SPY250530P567</stp>
        <tr r="I30" s="2"/>
        <tr r="I30" s="2"/>
      </tp>
      <tp>
        <v>137</v>
        <stp/>
        <stp>VOLUME</stp>
        <stp>.SPY250523C574</stp>
        <tr r="H23" s="2"/>
        <tr r="H23" s="2"/>
      </tp>
      <tp>
        <v>280</v>
        <stp/>
        <stp>VOLUME</stp>
        <stp>.SPY250530C567</stp>
        <tr r="I30" s="2"/>
        <tr r="I30" s="2"/>
      </tp>
      <tp>
        <v>916</v>
        <stp/>
        <stp>VOLUME</stp>
        <stp>.SPY250523P577</stp>
        <tr r="H20" s="2"/>
        <tr r="H20" s="2"/>
      </tp>
      <tp>
        <v>548</v>
        <stp/>
        <stp>VOLUME</stp>
        <stp>.SPY250530P564</stp>
        <tr r="I33" s="2"/>
        <tr r="I33" s="2"/>
      </tp>
      <tp>
        <v>354</v>
        <stp/>
        <stp>VOLUME</stp>
        <stp>.SPY250523C577</stp>
        <tr r="H20" s="2"/>
        <tr r="H20" s="2"/>
      </tp>
      <tp>
        <v>198</v>
        <stp/>
        <stp>VOLUME</stp>
        <stp>.SPY250530C564</stp>
        <tr r="I33" s="2"/>
        <tr r="I33" s="2"/>
      </tp>
      <tp>
        <v>534</v>
        <stp/>
        <stp>VOLUME</stp>
        <stp>.SPY250523P576</stp>
        <tr r="H21" s="2"/>
        <tr r="H21" s="2"/>
      </tp>
      <tp>
        <v>8738</v>
        <stp/>
        <stp>VOLUME</stp>
        <stp>.SPY250530P565</stp>
        <tr r="I32" s="2"/>
        <tr r="I32" s="2"/>
      </tp>
      <tp>
        <v>423</v>
        <stp/>
        <stp>VOLUME</stp>
        <stp>.SPY250523C576</stp>
        <tr r="H21" s="2"/>
        <tr r="H21" s="2"/>
      </tp>
      <tp>
        <v>855</v>
        <stp/>
        <stp>VOLUME</stp>
        <stp>.SPY250530C565</stp>
        <tr r="I32" s="2"/>
        <tr r="I32" s="2"/>
      </tp>
      <tp>
        <v>443</v>
        <stp/>
        <stp>VOLUME</stp>
        <stp>.SPY250523P571</stp>
        <tr r="H26" s="2"/>
        <tr r="H26" s="2"/>
      </tp>
      <tp>
        <v>1164</v>
        <stp/>
        <stp>VOLUME</stp>
        <stp>.SPY250530P562</stp>
        <tr r="I35" s="2"/>
        <tr r="I35" s="2"/>
      </tp>
      <tp>
        <v>283</v>
        <stp/>
        <stp>VOLUME</stp>
        <stp>.SPY250523C571</stp>
        <tr r="H26" s="2"/>
        <tr r="H26" s="2"/>
      </tp>
      <tp>
        <v>167</v>
        <stp/>
        <stp>VOLUME</stp>
        <stp>.SPY250530C562</stp>
        <tr r="I35" s="2"/>
        <tr r="I35" s="2"/>
      </tp>
      <tp>
        <v>6051</v>
        <stp/>
        <stp>VOLUME</stp>
        <stp>.SPY250523P570</stp>
        <tr r="H27" s="2"/>
        <tr r="H27" s="2"/>
      </tp>
      <tp>
        <v>765</v>
        <stp/>
        <stp>VOLUME</stp>
        <stp>.SPY250530P563</stp>
        <tr r="I34" s="2"/>
        <tr r="I34" s="2"/>
      </tp>
      <tp>
        <v>1794</v>
        <stp/>
        <stp>VOLUME</stp>
        <stp>.SPY250523C570</stp>
        <tr r="H27" s="2"/>
        <tr r="H27" s="2"/>
      </tp>
      <tp>
        <v>197</v>
        <stp/>
        <stp>VOLUME</stp>
        <stp>.SPY250530C563</stp>
        <tr r="I34" s="2"/>
        <tr r="I34" s="2"/>
      </tp>
      <tp>
        <v>1096</v>
        <stp/>
        <stp>VOLUME</stp>
        <stp>.SPY250523P573</stp>
        <tr r="H24" s="2"/>
        <tr r="H24" s="2"/>
      </tp>
      <tp>
        <v>6244</v>
        <stp/>
        <stp>VOLUME</stp>
        <stp>.SPY250530P560</stp>
        <tr r="I37" s="2"/>
        <tr r="I37" s="2"/>
      </tp>
      <tp>
        <v>148</v>
        <stp/>
        <stp>VOLUME</stp>
        <stp>.SPY250523C573</stp>
        <tr r="H24" s="2"/>
        <tr r="H24" s="2"/>
      </tp>
      <tp>
        <v>1440</v>
        <stp/>
        <stp>VOLUME</stp>
        <stp>.SPY250530C560</stp>
        <tr r="I37" s="2"/>
        <tr r="I37" s="2"/>
      </tp>
      <tp>
        <v>247</v>
        <stp/>
        <stp>VOLUME</stp>
        <stp>.SPY250523P572</stp>
        <tr r="H25" s="2"/>
        <tr r="H25" s="2"/>
      </tp>
      <tp>
        <v>781</v>
        <stp/>
        <stp>VOLUME</stp>
        <stp>.SPY250530P561</stp>
        <tr r="I36" s="2"/>
        <tr r="I36" s="2"/>
      </tp>
      <tp>
        <v>241</v>
        <stp/>
        <stp>VOLUME</stp>
        <stp>.SPY250523C572</stp>
        <tr r="H25" s="2"/>
        <tr r="H25" s="2"/>
      </tp>
      <tp>
        <v>80</v>
        <stp/>
        <stp>VOLUME</stp>
        <stp>.SPY250530C561</stp>
        <tr r="I36" s="2"/>
        <tr r="I36" s="2"/>
      </tp>
      <tp>
        <v>6221</v>
        <stp/>
        <stp>VOLUME</stp>
        <stp>.SPY250523P579</stp>
        <tr r="H18" s="2"/>
        <tr r="H18" s="2"/>
      </tp>
      <tp>
        <v>1513</v>
        <stp/>
        <stp>VOLUME</stp>
        <stp>.SPY250523C579</stp>
        <tr r="H18" s="2"/>
        <tr r="H18" s="2"/>
      </tp>
      <tp>
        <v>1589</v>
        <stp/>
        <stp>VOLUME</stp>
        <stp>.SPY250523P578</stp>
        <tr r="H19" s="2"/>
        <tr r="H19" s="2"/>
      </tp>
      <tp>
        <v>659</v>
        <stp/>
        <stp>VOLUME</stp>
        <stp>.SPY250523C578</stp>
        <tr r="H19" s="2"/>
        <tr r="H19" s="2"/>
      </tp>
      <tp>
        <v>748</v>
        <stp/>
        <stp>VOLUME</stp>
        <stp>.SPY250530P568</stp>
        <tr r="I29" s="2"/>
        <tr r="I29" s="2"/>
      </tp>
      <tp>
        <v>465</v>
        <stp/>
        <stp>VOLUME</stp>
        <stp>.SPY250530C568</stp>
        <tr r="I29" s="2"/>
        <tr r="I29" s="2"/>
      </tp>
      <tp>
        <v>366</v>
        <stp/>
        <stp>VOLUME</stp>
        <stp>.SPY250530P569</stp>
        <tr r="I28" s="2"/>
        <tr r="I28" s="2"/>
      </tp>
      <tp>
        <v>136</v>
        <stp/>
        <stp>VOLUME</stp>
        <stp>.SPY250530C569</stp>
        <tr r="I28" s="2"/>
        <tr r="I28" s="2"/>
      </tp>
      <tp>
        <v>3242</v>
        <stp/>
        <stp>VOLUME</stp>
        <stp>.SPY250523P565</stp>
        <tr r="H32" s="2"/>
        <tr r="H32" s="2"/>
      </tp>
      <tp>
        <v>591</v>
        <stp/>
        <stp>VOLUME</stp>
        <stp>.SPY250530P576</stp>
        <tr r="I21" s="2"/>
        <tr r="I21" s="2"/>
      </tp>
      <tp>
        <v>1350</v>
        <stp/>
        <stp>VOLUME</stp>
        <stp>.SPY250523C565</stp>
        <tr r="H32" s="2"/>
        <tr r="H32" s="2"/>
      </tp>
      <tp>
        <v>274</v>
        <stp/>
        <stp>VOLUME</stp>
        <stp>.SPY250530C576</stp>
        <tr r="I21" s="2"/>
        <tr r="I21" s="2"/>
      </tp>
      <tp>
        <v>673</v>
        <stp/>
        <stp>VOLUME</stp>
        <stp>.SPY250523P564</stp>
        <tr r="H33" s="2"/>
        <tr r="H33" s="2"/>
      </tp>
      <tp>
        <v>589</v>
        <stp/>
        <stp>VOLUME</stp>
        <stp>.SPY250530P577</stp>
        <tr r="I20" s="2"/>
        <tr r="I20" s="2"/>
      </tp>
      <tp>
        <v>204</v>
        <stp/>
        <stp>VOLUME</stp>
        <stp>.SPY250523C564</stp>
        <tr r="H33" s="2"/>
        <tr r="H33" s="2"/>
      </tp>
      <tp>
        <v>475</v>
        <stp/>
        <stp>VOLUME</stp>
        <stp>.SPY250530C577</stp>
        <tr r="I20" s="2"/>
        <tr r="I20" s="2"/>
      </tp>
      <tp>
        <v>262</v>
        <stp/>
        <stp>VOLUME</stp>
        <stp>.SPY250523P567</stp>
        <tr r="H30" s="2"/>
        <tr r="H30" s="2"/>
      </tp>
      <tp>
        <v>423</v>
        <stp/>
        <stp>VOLUME</stp>
        <stp>.SPY250530P574</stp>
        <tr r="I23" s="2"/>
        <tr r="I23" s="2"/>
      </tp>
      <tp>
        <v>265</v>
        <stp/>
        <stp>VOLUME</stp>
        <stp>.SPY250523C567</stp>
        <tr r="H30" s="2"/>
        <tr r="H30" s="2"/>
      </tp>
      <tp>
        <v>382</v>
        <stp/>
        <stp>VOLUME</stp>
        <stp>.SPY250530C574</stp>
        <tr r="I23" s="2"/>
        <tr r="I23" s="2"/>
      </tp>
      <tp>
        <v>468</v>
        <stp/>
        <stp>VOLUME</stp>
        <stp>.SPY250523P566</stp>
        <tr r="H31" s="2"/>
        <tr r="H31" s="2"/>
      </tp>
      <tp>
        <v>8599</v>
        <stp/>
        <stp>VOLUME</stp>
        <stp>.SPY250530P575</stp>
        <tr r="I22" s="2"/>
        <tr r="I22" s="2"/>
      </tp>
      <tp>
        <v>221</v>
        <stp/>
        <stp>VOLUME</stp>
        <stp>.SPY250523C566</stp>
        <tr r="H31" s="2"/>
        <tr r="H31" s="2"/>
      </tp>
      <tp>
        <v>2972</v>
        <stp/>
        <stp>VOLUME</stp>
        <stp>.SPY250530C575</stp>
        <tr r="I22" s="2"/>
        <tr r="I22" s="2"/>
      </tp>
      <tp>
        <v>2253</v>
        <stp/>
        <stp>VOLUME</stp>
        <stp>.SPY250523P561</stp>
        <tr r="H36" s="2"/>
        <tr r="H36" s="2"/>
      </tp>
      <tp>
        <v>890</v>
        <stp/>
        <stp>VOLUME</stp>
        <stp>.SPY250530P572</stp>
        <tr r="I25" s="2"/>
        <tr r="I25" s="2"/>
      </tp>
      <tp>
        <v>223</v>
        <stp/>
        <stp>VOLUME</stp>
        <stp>.SPY250523C561</stp>
        <tr r="H36" s="2"/>
        <tr r="H36" s="2"/>
      </tp>
      <tp>
        <v>95</v>
        <stp/>
        <stp>VOLUME</stp>
        <stp>.SPY250530C572</stp>
        <tr r="I25" s="2"/>
        <tr r="I25" s="2"/>
      </tp>
      <tp>
        <v>4221</v>
        <stp/>
        <stp>VOLUME</stp>
        <stp>.SPY250523P560</stp>
        <tr r="H37" s="2"/>
        <tr r="H37" s="2"/>
      </tp>
      <tp>
        <v>2051</v>
        <stp/>
        <stp>VOLUME</stp>
        <stp>.SPY250530P573</stp>
        <tr r="I24" s="2"/>
        <tr r="I24" s="2"/>
      </tp>
      <tp>
        <v>506</v>
        <stp/>
        <stp>VOLUME</stp>
        <stp>.SPY250523C560</stp>
        <tr r="H37" s="2"/>
        <tr r="H37" s="2"/>
      </tp>
      <tp>
        <v>166</v>
        <stp/>
        <stp>VOLUME</stp>
        <stp>.SPY250530C573</stp>
        <tr r="I24" s="2"/>
        <tr r="I24" s="2"/>
      </tp>
      <tp>
        <v>1046</v>
        <stp/>
        <stp>VOLUME</stp>
        <stp>.SPY250523P563</stp>
        <tr r="H34" s="2"/>
        <tr r="H34" s="2"/>
      </tp>
      <tp>
        <v>10651</v>
        <stp/>
        <stp>VOLUME</stp>
        <stp>.SPY250530P570</stp>
        <tr r="I27" s="2"/>
        <tr r="I27" s="2"/>
      </tp>
      <tp>
        <v>296</v>
        <stp/>
        <stp>VOLUME</stp>
        <stp>.SPY250523C563</stp>
        <tr r="H34" s="2"/>
        <tr r="H34" s="2"/>
      </tp>
      <tp>
        <v>2137</v>
        <stp/>
        <stp>VOLUME</stp>
        <stp>.SPY250530C570</stp>
        <tr r="I27" s="2"/>
        <tr r="I27" s="2"/>
      </tp>
      <tp>
        <v>241</v>
        <stp/>
        <stp>VOLUME</stp>
        <stp>.SPY250523P562</stp>
        <tr r="H35" s="2"/>
        <tr r="H35" s="2"/>
      </tp>
      <tp>
        <v>492</v>
        <stp/>
        <stp>VOLUME</stp>
        <stp>.SPY250530P571</stp>
        <tr r="I26" s="2"/>
        <tr r="I26" s="2"/>
      </tp>
      <tp>
        <v>350</v>
        <stp/>
        <stp>VOLUME</stp>
        <stp>.SPY250523C562</stp>
        <tr r="H35" s="2"/>
        <tr r="H35" s="2"/>
      </tp>
      <tp>
        <v>127</v>
        <stp/>
        <stp>VOLUME</stp>
        <stp>.SPY250530C571</stp>
        <tr r="I26" s="2"/>
        <tr r="I26" s="2"/>
      </tp>
      <tp>
        <v>1574</v>
        <stp/>
        <stp>VOLUME</stp>
        <stp>.SPY250516P558</stp>
        <tr r="BD38" s="1"/>
        <tr r="BD38" s="1"/>
      </tp>
      <tp>
        <v>982</v>
        <stp/>
        <stp>VOLUME</stp>
        <stp>.SPY250516C558</stp>
        <tr r="BC38" s="1"/>
        <tr r="BC38" s="1"/>
      </tp>
      <tp>
        <v>1400</v>
        <stp/>
        <stp>VOLUME</stp>
        <stp>.SPY250516P559</stp>
        <tr r="BD37" s="1"/>
        <tr r="BD37" s="1"/>
      </tp>
      <tp>
        <v>165</v>
        <stp/>
        <stp>VOLUME</stp>
        <stp>.SPY250516C559</stp>
        <tr r="BC37" s="1"/>
        <tr r="BC37" s="1"/>
      </tp>
      <tp>
        <v>5945</v>
        <stp/>
        <stp>VOLUME</stp>
        <stp>.SPY250512P558</stp>
        <tr r="BB38" s="1"/>
        <tr r="BB38" s="1"/>
      </tp>
      <tp>
        <v>452</v>
        <stp/>
        <stp>VOLUME</stp>
        <stp>.SPY250523P569</stp>
        <tr r="H28" s="2"/>
        <tr r="H28" s="2"/>
      </tp>
      <tp>
        <v>158</v>
        <stp/>
        <stp>VOLUME</stp>
        <stp>.SPY250512C558</stp>
        <tr r="BA38" s="1"/>
        <tr r="BA38" s="1"/>
      </tp>
      <tp>
        <v>81</v>
        <stp/>
        <stp>VOLUME</stp>
        <stp>.SPY250523C569</stp>
        <tr r="H28" s="2"/>
        <tr r="H28" s="2"/>
      </tp>
      <tp>
        <v>4373</v>
        <stp/>
        <stp>VOLUME</stp>
        <stp>.SPY250512P559</stp>
        <tr r="BB37" s="1"/>
        <tr r="BB37" s="1"/>
      </tp>
      <tp>
        <v>307</v>
        <stp/>
        <stp>VOLUME</stp>
        <stp>.SPY250523P568</stp>
        <tr r="H29" s="2"/>
        <tr r="H29" s="2"/>
      </tp>
      <tp>
        <v>142</v>
        <stp/>
        <stp>VOLUME</stp>
        <stp>.SPY250512C559</stp>
        <tr r="BA37" s="1"/>
        <tr r="BA37" s="1"/>
      </tp>
      <tp>
        <v>655</v>
        <stp/>
        <stp>VOLUME</stp>
        <stp>.SPY250523C568</stp>
        <tr r="H29" s="2"/>
        <tr r="H29" s="2"/>
      </tp>
      <tp>
        <v>1702</v>
        <stp/>
        <stp>VOLUME</stp>
        <stp>.SPY250530P578</stp>
        <tr r="I19" s="2"/>
        <tr r="I19" s="2"/>
      </tp>
      <tp>
        <v>2089</v>
        <stp/>
        <stp>VOLUME</stp>
        <stp>.SPY250530C578</stp>
        <tr r="I19" s="2"/>
        <tr r="I19" s="2"/>
      </tp>
      <tp>
        <v>2098</v>
        <stp/>
        <stp>VOLUME</stp>
        <stp>.SPY250530P579</stp>
        <tr r="I18" s="2"/>
        <tr r="I18" s="2"/>
      </tp>
      <tp>
        <v>2426</v>
        <stp/>
        <stp>VOLUME</stp>
        <stp>.SPY250530C579</stp>
        <tr r="I18" s="2"/>
        <tr r="I18" s="2"/>
      </tp>
      <tp>
        <v>10133</v>
        <stp/>
        <stp>VOLUME</stp>
        <stp>.SPY250512P564</stp>
        <tr r="BB32" s="1"/>
        <tr r="BB32" s="1"/>
      </tp>
      <tp>
        <v>28336</v>
        <stp/>
        <stp>VOLUME</stp>
        <stp>.SPY250516P560</stp>
        <tr r="BD36" s="1"/>
        <tr r="BD36" s="1"/>
      </tp>
      <tp>
        <v>2673</v>
        <stp/>
        <stp>VOLUME</stp>
        <stp>.SPY250512C564</stp>
        <tr r="BA32" s="1"/>
        <tr r="BA32" s="1"/>
      </tp>
      <tp>
        <v>3233</v>
        <stp/>
        <stp>VOLUME</stp>
        <stp>.SPY250516C560</stp>
        <tr r="BC36" s="1"/>
        <tr r="BC36" s="1"/>
      </tp>
      <tp>
        <v>25083</v>
        <stp/>
        <stp>VOLUME</stp>
        <stp>.SPY250512P565</stp>
        <tr r="BB31" s="1"/>
        <tr r="BB31" s="1"/>
      </tp>
      <tp>
        <v>4252</v>
        <stp/>
        <stp>VOLUME</stp>
        <stp>.SPY250516P561</stp>
        <tr r="BD35" s="1"/>
        <tr r="BD35" s="1"/>
      </tp>
      <tp>
        <v>7314</v>
        <stp/>
        <stp>VOLUME</stp>
        <stp>.SPY250512C565</stp>
        <tr r="BA31" s="1"/>
        <tr r="BA31" s="1"/>
      </tp>
      <tp>
        <v>1076</v>
        <stp/>
        <stp>VOLUME</stp>
        <stp>.SPY250516C561</stp>
        <tr r="BC35" s="1"/>
        <tr r="BC35" s="1"/>
      </tp>
      <tp>
        <v>13723</v>
        <stp/>
        <stp>VOLUME</stp>
        <stp>.SPY250512P566</stp>
        <tr r="BB30" s="1"/>
        <tr r="BB30" s="1"/>
      </tp>
      <tp>
        <v>19878</v>
        <stp/>
        <stp>VOLUME</stp>
        <stp>.SPY250516P562</stp>
        <tr r="BD34" s="1"/>
        <tr r="BD34" s="1"/>
      </tp>
      <tp>
        <v>4871</v>
        <stp/>
        <stp>VOLUME</stp>
        <stp>.SPY250512C566</stp>
        <tr r="BA30" s="1"/>
        <tr r="BA30" s="1"/>
      </tp>
      <tp>
        <v>698</v>
        <stp/>
        <stp>VOLUME</stp>
        <stp>.SPY250516C562</stp>
        <tr r="BC34" s="1"/>
        <tr r="BC34" s="1"/>
      </tp>
      <tp>
        <v>11376</v>
        <stp/>
        <stp>VOLUME</stp>
        <stp>.SPY250512P567</stp>
        <tr r="BB29" s="1"/>
        <tr r="BB29" s="1"/>
      </tp>
      <tp>
        <v>5636</v>
        <stp/>
        <stp>VOLUME</stp>
        <stp>.SPY250516P563</stp>
        <tr r="BD33" s="1"/>
        <tr r="BD33" s="1"/>
      </tp>
      <tp>
        <v>4939</v>
        <stp/>
        <stp>VOLUME</stp>
        <stp>.SPY250512C567</stp>
        <tr r="BA29" s="1"/>
        <tr r="BA29" s="1"/>
      </tp>
      <tp>
        <v>550</v>
        <stp/>
        <stp>VOLUME</stp>
        <stp>.SPY250516C563</stp>
        <tr r="BC33" s="1"/>
        <tr r="BC33" s="1"/>
      </tp>
      <tp>
        <v>9147</v>
        <stp/>
        <stp>VOLUME</stp>
        <stp>.SPY250512P560</stp>
        <tr r="BB36" s="1"/>
        <tr r="BB36" s="1"/>
      </tp>
      <tp>
        <v>4446</v>
        <stp/>
        <stp>VOLUME</stp>
        <stp>.SPY250516P564</stp>
        <tr r="BD32" s="1"/>
        <tr r="BD32" s="1"/>
      </tp>
      <tp>
        <v>1401</v>
        <stp/>
        <stp>VOLUME</stp>
        <stp>.SPY250512C560</stp>
        <tr r="BA36" s="1"/>
        <tr r="BA36" s="1"/>
      </tp>
      <tp>
        <v>1313</v>
        <stp/>
        <stp>VOLUME</stp>
        <stp>.SPY250516C564</stp>
        <tr r="BC32" s="1"/>
        <tr r="BC32" s="1"/>
      </tp>
      <tp>
        <v>2849</v>
        <stp/>
        <stp>VOLUME</stp>
        <stp>.SPY250512P561</stp>
        <tr r="BB35" s="1"/>
        <tr r="BB35" s="1"/>
      </tp>
      <tp>
        <v>15002</v>
        <stp/>
        <stp>VOLUME</stp>
        <stp>.SPY250516P565</stp>
        <tr r="BD31" s="1"/>
        <tr r="BD31" s="1"/>
      </tp>
      <tp>
        <v>1526</v>
        <stp/>
        <stp>VOLUME</stp>
        <stp>.SPY250512C561</stp>
        <tr r="BA35" s="1"/>
        <tr r="BA35" s="1"/>
      </tp>
      <tp>
        <v>4689</v>
        <stp/>
        <stp>VOLUME</stp>
        <stp>.SPY250516C565</stp>
        <tr r="BC31" s="1"/>
        <tr r="BC31" s="1"/>
      </tp>
      <tp>
        <v>5739</v>
        <stp/>
        <stp>VOLUME</stp>
        <stp>.SPY250512P562</stp>
        <tr r="BB34" s="1"/>
        <tr r="BB34" s="1"/>
      </tp>
      <tp>
        <v>3553</v>
        <stp/>
        <stp>VOLUME</stp>
        <stp>.SPY250516P566</stp>
        <tr r="BD30" s="1"/>
        <tr r="BD30" s="1"/>
      </tp>
      <tp>
        <v>1328</v>
        <stp/>
        <stp>VOLUME</stp>
        <stp>.SPY250512C562</stp>
        <tr r="BA34" s="1"/>
        <tr r="BA34" s="1"/>
      </tp>
      <tp>
        <v>2015</v>
        <stp/>
        <stp>VOLUME</stp>
        <stp>.SPY250516C566</stp>
        <tr r="BC30" s="1"/>
        <tr r="BC30" s="1"/>
      </tp>
      <tp>
        <v>3582</v>
        <stp/>
        <stp>VOLUME</stp>
        <stp>.SPY250512P563</stp>
        <tr r="BB33" s="1"/>
        <tr r="BB33" s="1"/>
      </tp>
      <tp>
        <v>3114</v>
        <stp/>
        <stp>VOLUME</stp>
        <stp>.SPY250516P567</stp>
        <tr r="BD29" s="1"/>
        <tr r="BD29" s="1"/>
      </tp>
      <tp>
        <v>769</v>
        <stp/>
        <stp>VOLUME</stp>
        <stp>.SPY250512C563</stp>
        <tr r="BA33" s="1"/>
        <tr r="BA33" s="1"/>
      </tp>
      <tp>
        <v>2865</v>
        <stp/>
        <stp>VOLUME</stp>
        <stp>.SPY250516C567</stp>
        <tr r="BC29" s="1"/>
        <tr r="BC29" s="1"/>
      </tp>
      <tp>
        <v>4065</v>
        <stp/>
        <stp>VOLUME</stp>
        <stp>.SPY250516P568</stp>
        <tr r="BD28" s="1"/>
        <tr r="BD28" s="1"/>
      </tp>
      <tp>
        <v>1920</v>
        <stp/>
        <stp>VOLUME</stp>
        <stp>.SPY250516C568</stp>
        <tr r="BC28" s="1"/>
        <tr r="BC28" s="1"/>
      </tp>
      <tp>
        <v>4545</v>
        <stp/>
        <stp>VOLUME</stp>
        <stp>.SPY250516P569</stp>
        <tr r="BD27" s="1"/>
        <tr r="BD27" s="1"/>
      </tp>
      <tp>
        <v>2951</v>
        <stp/>
        <stp>VOLUME</stp>
        <stp>.SPY250516C569</stp>
        <tr r="BC27" s="1"/>
        <tr r="BC27" s="1"/>
      </tp>
      <tp>
        <v>16531</v>
        <stp/>
        <stp>VOLUME</stp>
        <stp>.SPY250512P568</stp>
        <tr r="BB28" s="1"/>
        <tr r="BB28" s="1"/>
      </tp>
      <tp>
        <v>259</v>
        <stp/>
        <stp>VOLUME</stp>
        <stp>.SPY250523P559</stp>
        <tr r="H38" s="2"/>
        <tr r="H38" s="2"/>
      </tp>
      <tp>
        <v>5056</v>
        <stp/>
        <stp>VOLUME</stp>
        <stp>.SPY250512C568</stp>
        <tr r="BA28" s="1"/>
        <tr r="BA28" s="1"/>
      </tp>
      <tp>
        <v>56</v>
        <stp/>
        <stp>VOLUME</stp>
        <stp>.SPY250523C559</stp>
        <tr r="H38" s="2"/>
        <tr r="H38" s="2"/>
      </tp>
      <tp>
        <v>19420</v>
        <stp/>
        <stp>VOLUME</stp>
        <stp>.SPY250512P569</stp>
        <tr r="BB27" s="1"/>
        <tr r="BB27" s="1"/>
      </tp>
      <tp>
        <v>1508</v>
        <stp/>
        <stp>VOLUME</stp>
        <stp>.SPY250523P558</stp>
        <tr r="H39" s="2"/>
        <tr r="H39" s="2"/>
      </tp>
      <tp>
        <v>2827</v>
        <stp/>
        <stp>VOLUME</stp>
        <stp>.SPY250512C569</stp>
        <tr r="BA27" s="1"/>
        <tr r="BA27" s="1"/>
      </tp>
      <tp>
        <v>92</v>
        <stp/>
        <stp>VOLUME</stp>
        <stp>.SPY250523C558</stp>
        <tr r="H39" s="2"/>
        <tr r="H39" s="2"/>
      </tp>
      <tp>
        <v>71138</v>
        <stp/>
        <stp>VOLUME</stp>
        <stp>.SPY250512P574</stp>
        <tr r="BB22" s="1"/>
        <tr r="BB22" s="1"/>
      </tp>
      <tp>
        <v>69910</v>
        <stp/>
        <stp>VOLUME</stp>
        <stp>.SPY250516P570</stp>
        <tr r="BD26" s="1"/>
        <tr r="BD26" s="1"/>
      </tp>
      <tp>
        <v>16280</v>
        <stp/>
        <stp>VOLUME</stp>
        <stp>.SPY250512C574</stp>
        <tr r="BA22" s="1"/>
        <tr r="BA22" s="1"/>
      </tp>
      <tp>
        <v>10543</v>
        <stp/>
        <stp>VOLUME</stp>
        <stp>.SPY250516C570</stp>
        <tr r="BC26" s="1"/>
        <tr r="BC26" s="1"/>
      </tp>
      <tp>
        <v>189183</v>
        <stp/>
        <stp>VOLUME</stp>
        <stp>.SPY250512P575</stp>
        <tr r="BB21" s="1"/>
        <tr r="BB21" s="1"/>
      </tp>
      <tp>
        <v>5350</v>
        <stp/>
        <stp>VOLUME</stp>
        <stp>.SPY250516P571</stp>
        <tr r="BD25" s="1"/>
        <tr r="BD25" s="1"/>
      </tp>
      <tp>
        <v>22510</v>
        <stp/>
        <stp>VOLUME</stp>
        <stp>.SPY250512C575</stp>
        <tr r="BA21" s="1"/>
        <tr r="BA21" s="1"/>
      </tp>
      <tp>
        <v>1063</v>
        <stp/>
        <stp>VOLUME</stp>
        <stp>.SPY250516C571</stp>
        <tr r="BC25" s="1"/>
        <tr r="BC25" s="1"/>
      </tp>
      <tp>
        <v>164123</v>
        <stp/>
        <stp>VOLUME</stp>
        <stp>.SPY250512P576</stp>
        <tr r="BB20" s="1"/>
        <tr r="BB20" s="1"/>
      </tp>
      <tp>
        <v>6752</v>
        <stp/>
        <stp>VOLUME</stp>
        <stp>.SPY250516P572</stp>
        <tr r="BD24" s="1"/>
        <tr r="BD24" s="1"/>
      </tp>
      <tp>
        <v>67201</v>
        <stp/>
        <stp>VOLUME</stp>
        <stp>.SPY250512C576</stp>
        <tr r="BA20" s="1"/>
        <tr r="BA20" s="1"/>
      </tp>
      <tp>
        <v>1400</v>
        <stp/>
        <stp>VOLUME</stp>
        <stp>.SPY250516C572</stp>
        <tr r="BC24" s="1"/>
        <tr r="BC24" s="1"/>
      </tp>
      <tp>
        <v>199824</v>
        <stp/>
        <stp>VOLUME</stp>
        <stp>.SPY250512P577</stp>
        <tr r="BB19" s="1"/>
        <tr r="BB19" s="1"/>
      </tp>
      <tp>
        <v>6375</v>
        <stp/>
        <stp>VOLUME</stp>
        <stp>.SPY250516P573</stp>
        <tr r="BD23" s="1"/>
        <tr r="BD23" s="1"/>
      </tp>
      <tp>
        <v>34010</v>
        <stp/>
        <stp>VOLUME</stp>
        <stp>.SPY250512C577</stp>
        <tr r="BA19" s="1"/>
        <tr r="BA19" s="1"/>
      </tp>
      <tp>
        <v>2633</v>
        <stp/>
        <stp>VOLUME</stp>
        <stp>.SPY250516C573</stp>
        <tr r="BC23" s="1"/>
        <tr r="BC23" s="1"/>
      </tp>
      <tp>
        <v>82006</v>
        <stp/>
        <stp>VOLUME</stp>
        <stp>.SPY250512P570</stp>
        <tr r="BB26" s="1"/>
        <tr r="BB26" s="1"/>
      </tp>
      <tp>
        <v>4096</v>
        <stp/>
        <stp>VOLUME</stp>
        <stp>.SPY250516P574</stp>
        <tr r="BD22" s="1"/>
        <tr r="BD22" s="1"/>
      </tp>
      <tp>
        <v>15200</v>
        <stp/>
        <stp>VOLUME</stp>
        <stp>.SPY250512C570</stp>
        <tr r="BA26" s="1"/>
        <tr r="BA26" s="1"/>
      </tp>
      <tp>
        <v>1200</v>
        <stp/>
        <stp>VOLUME</stp>
        <stp>.SPY250516C574</stp>
        <tr r="BC22" s="1"/>
        <tr r="BC22" s="1"/>
      </tp>
      <tp>
        <v>42161</v>
        <stp/>
        <stp>VOLUME</stp>
        <stp>.SPY250512P571</stp>
        <tr r="BB25" s="1"/>
        <tr r="BB25" s="1"/>
      </tp>
      <tp>
        <v>22442</v>
        <stp/>
        <stp>VOLUME</stp>
        <stp>.SPY250516P575</stp>
        <tr r="BD21" s="1"/>
        <tr r="BD21" s="1"/>
      </tp>
      <tp>
        <v>3075</v>
        <stp/>
        <stp>VOLUME</stp>
        <stp>.SPY250512C571</stp>
        <tr r="BA25" s="1"/>
        <tr r="BA25" s="1"/>
      </tp>
      <tp>
        <v>25969</v>
        <stp/>
        <stp>VOLUME</stp>
        <stp>.SPY250516C575</stp>
        <tr r="BC21" s="1"/>
        <tr r="BC21" s="1"/>
      </tp>
      <tp>
        <v>37265</v>
        <stp/>
        <stp>VOLUME</stp>
        <stp>.SPY250512P572</stp>
        <tr r="BB24" s="1"/>
        <tr r="BB24" s="1"/>
      </tp>
      <tp>
        <v>5416</v>
        <stp/>
        <stp>VOLUME</stp>
        <stp>.SPY250516P576</stp>
        <tr r="BD20" s="1"/>
        <tr r="BD20" s="1"/>
      </tp>
      <tp>
        <v>7767</v>
        <stp/>
        <stp>VOLUME</stp>
        <stp>.SPY250512C572</stp>
        <tr r="BA24" s="1"/>
        <tr r="BA24" s="1"/>
      </tp>
      <tp>
        <v>2475</v>
        <stp/>
        <stp>VOLUME</stp>
        <stp>.SPY250516C576</stp>
        <tr r="BC20" s="1"/>
        <tr r="BC20" s="1"/>
      </tp>
      <tp>
        <v>64046</v>
        <stp/>
        <stp>VOLUME</stp>
        <stp>.SPY250512P573</stp>
        <tr r="BB23" s="1"/>
        <tr r="BB23" s="1"/>
      </tp>
      <tp>
        <v>13413</v>
        <stp/>
        <stp>VOLUME</stp>
        <stp>.SPY250516P577</stp>
        <tr r="BD19" s="1"/>
        <tr r="BD19" s="1"/>
      </tp>
      <tp>
        <v>8675</v>
        <stp/>
        <stp>VOLUME</stp>
        <stp>.SPY250512C573</stp>
        <tr r="BA23" s="1"/>
        <tr r="BA23" s="1"/>
      </tp>
      <tp>
        <v>1782</v>
        <stp/>
        <stp>VOLUME</stp>
        <stp>.SPY250516C577</stp>
        <tr r="BC19" s="1"/>
        <tr r="BC19" s="1"/>
      </tp>
      <tp>
        <v>10265</v>
        <stp/>
        <stp>VOLUME</stp>
        <stp>.SPY250516P578</stp>
        <tr r="BD18" s="1"/>
        <tr r="BD18" s="1"/>
      </tp>
      <tp>
        <v>5973</v>
        <stp/>
        <stp>VOLUME</stp>
        <stp>.SPY250516C578</stp>
        <tr r="BC18" s="1"/>
        <tr r="BC18" s="1"/>
      </tp>
      <tp>
        <v>11989</v>
        <stp/>
        <stp>VOLUME</stp>
        <stp>.SPY250516P579</stp>
        <tr r="BD17" s="1"/>
        <tr r="BD17" s="1"/>
      </tp>
      <tp>
        <v>8681</v>
        <stp/>
        <stp>VOLUME</stp>
        <stp>.SPY250516C579</stp>
        <tr r="BC17" s="1"/>
        <tr r="BC17" s="1"/>
      </tp>
      <tp>
        <v>343022</v>
        <stp/>
        <stp>VOLUME</stp>
        <stp>.SPY250512P578</stp>
        <tr r="BB18" s="1"/>
        <tr r="BB18" s="1"/>
      </tp>
      <tp>
        <v>93947</v>
        <stp/>
        <stp>VOLUME</stp>
        <stp>.SPY250512C578</stp>
        <tr r="BA18" s="1"/>
        <tr r="BA18" s="1"/>
      </tp>
      <tp>
        <v>356286</v>
        <stp/>
        <stp>VOLUME</stp>
        <stp>.SPY250512P579</stp>
        <tr r="BB17" s="1"/>
        <tr r="BB17" s="1"/>
      </tp>
      <tp>
        <v>242869</v>
        <stp/>
        <stp>VOLUME</stp>
        <stp>.SPY250512C579</stp>
        <tr r="BA17" s="1"/>
        <tr r="BA17" s="1"/>
      </tp>
      <tp>
        <v>247</v>
        <stp/>
        <stp>VOLUME</stp>
        <stp>.SPY250530P558</stp>
        <tr r="I39" s="2"/>
        <tr r="I39" s="2"/>
      </tp>
      <tp>
        <v>16</v>
        <stp/>
        <stp>VOLUME</stp>
        <stp>.SPY250530C558</stp>
        <tr r="I39" s="2"/>
        <tr r="I39" s="2"/>
      </tp>
      <tp>
        <v>2206</v>
        <stp/>
        <stp>VOLUME</stp>
        <stp>.SPY250530P559</stp>
        <tr r="I38" s="2"/>
        <tr r="I38" s="2"/>
      </tp>
      <tp>
        <v>348</v>
        <stp/>
        <stp>VOLUME</stp>
        <stp>.SPY250530C559</stp>
        <tr r="I38" s="2"/>
        <tr r="I38" s="2"/>
      </tp>
      <tp>
        <v>0</v>
        <stp/>
        <stp>DELTA</stp>
        <stp>.SPXW250512P5590</stp>
        <tr r="CE128" s="1"/>
        <tr r="CE128" s="1"/>
      </tp>
      <tp>
        <v>1</v>
        <stp/>
        <stp>DELTA</stp>
        <stp>.SPXW250512C5590</stp>
        <tr r="CD128" s="1"/>
        <tr r="CD128" s="1"/>
      </tp>
      <tp>
        <v>0</v>
        <stp/>
        <stp>DELTA</stp>
        <stp>.SPXW250512P5580</stp>
        <tr r="CE129" s="1"/>
        <tr r="CE129" s="1"/>
      </tp>
      <tp>
        <v>1</v>
        <stp/>
        <stp>DELTA</stp>
        <stp>.SPXW250512C5580</stp>
        <tr r="CD129" s="1"/>
        <tr r="CD129" s="1"/>
      </tp>
      <tp>
        <v>0</v>
        <stp/>
        <stp>DELTA</stp>
        <stp>.SPXW250512P5570</stp>
        <tr r="CE130" s="1"/>
        <tr r="CE130" s="1"/>
      </tp>
      <tp>
        <v>1</v>
        <stp/>
        <stp>DELTA</stp>
        <stp>.SPXW250512C5570</stp>
        <tr r="CD130" s="1"/>
        <tr r="CD130" s="1"/>
      </tp>
      <tp t="s">
        <v>N/A</v>
        <stp/>
        <stp>VOLUME</stp>
        <stp>.SPY251219P589</stp>
        <tr r="W8" s="2"/>
      </tp>
      <tp t="s">
        <v>N/A</v>
        <stp/>
        <stp>VOLUME</stp>
        <stp>.SPY251219C589</stp>
        <tr r="W8" s="2"/>
      </tp>
      <tp t="s">
        <v>N/A</v>
        <stp/>
        <stp>VOLUME</stp>
        <stp>.SPY251219P588</stp>
        <tr r="W9" s="2"/>
      </tp>
      <tp t="s">
        <v>N/A</v>
        <stp/>
        <stp>VOLUME</stp>
        <stp>.SPY251219C588</stp>
        <tr r="W9" s="2"/>
      </tp>
      <tp t="s">
        <v>N/A</v>
        <stp/>
        <stp>VOLUME</stp>
        <stp>.SPY251219P587</stp>
        <tr r="W10" s="2"/>
      </tp>
      <tp t="s">
        <v>N/A</v>
        <stp/>
        <stp>VOLUME</stp>
        <stp>.SPY251219C587</stp>
        <tr r="W10" s="2"/>
      </tp>
      <tp t="s">
        <v>N/A</v>
        <stp/>
        <stp>VOLUME</stp>
        <stp>.SPY251219P586</stp>
        <tr r="W11" s="2"/>
      </tp>
      <tp t="s">
        <v>N/A</v>
        <stp/>
        <stp>VOLUME</stp>
        <stp>.SPY251219C586</stp>
        <tr r="W11" s="2"/>
      </tp>
      <tp>
        <v>209</v>
        <stp/>
        <stp>VOLUME</stp>
        <stp>.SPY251219P585</stp>
        <tr r="W12" s="2"/>
        <tr r="W12" s="2"/>
      </tp>
      <tp>
        <v>80</v>
        <stp/>
        <stp>VOLUME</stp>
        <stp>.SPY251219C585</stp>
        <tr r="W12" s="2"/>
        <tr r="W12" s="2"/>
      </tp>
      <tp t="s">
        <v>N/A</v>
        <stp/>
        <stp>VOLUME</stp>
        <stp>.SPY251219P584</stp>
        <tr r="W13" s="2"/>
      </tp>
      <tp t="s">
        <v>N/A</v>
        <stp/>
        <stp>VOLUME</stp>
        <stp>.SPY251219C584</stp>
        <tr r="W13" s="2"/>
      </tp>
      <tp t="s">
        <v>N/A</v>
        <stp/>
        <stp>VOLUME</stp>
        <stp>.SPY251219P583</stp>
        <tr r="W14" s="2"/>
      </tp>
      <tp t="s">
        <v>N/A</v>
        <stp/>
        <stp>VOLUME</stp>
        <stp>.SPY251219C583</stp>
        <tr r="W14" s="2"/>
      </tp>
      <tp t="s">
        <v>N/A</v>
        <stp/>
        <stp>VOLUME</stp>
        <stp>.SPY251219P582</stp>
        <tr r="W15" s="2"/>
      </tp>
      <tp t="s">
        <v>N/A</v>
        <stp/>
        <stp>VOLUME</stp>
        <stp>.SPY251219C582</stp>
        <tr r="W15" s="2"/>
      </tp>
      <tp t="s">
        <v>N/A</v>
        <stp/>
        <stp>VOLUME</stp>
        <stp>.SPY251219P581</stp>
        <tr r="W16" s="2"/>
      </tp>
      <tp t="s">
        <v>N/A</v>
        <stp/>
        <stp>VOLUME</stp>
        <stp>.SPY251219C581</stp>
        <tr r="W16" s="2"/>
      </tp>
      <tp>
        <v>1293</v>
        <stp/>
        <stp>VOLUME</stp>
        <stp>.SPY251219P580</stp>
        <tr r="W17" s="2"/>
        <tr r="W17" s="2"/>
      </tp>
      <tp>
        <v>468</v>
        <stp/>
        <stp>VOLUME</stp>
        <stp>.SPY251219C580</stp>
        <tr r="W17" s="2"/>
        <tr r="W17" s="2"/>
      </tp>
      <tp t="s">
        <v>N/A</v>
        <stp/>
        <stp>VOLUME</stp>
        <stp>.SPY251219P592</stp>
        <tr r="W5" s="2"/>
      </tp>
      <tp t="s">
        <v>N/A</v>
        <stp/>
        <stp>VOLUME</stp>
        <stp>.SPY251219C592</stp>
        <tr r="W5" s="2"/>
      </tp>
      <tp t="s">
        <v>N/A</v>
        <stp/>
        <stp>VOLUME</stp>
        <stp>.SPY251219P591</stp>
        <tr r="W6" s="2"/>
      </tp>
      <tp t="s">
        <v>N/A</v>
        <stp/>
        <stp>VOLUME</stp>
        <stp>.SPY251219C591</stp>
        <tr r="W6" s="2"/>
      </tp>
      <tp>
        <v>77</v>
        <stp/>
        <stp>VOLUME</stp>
        <stp>.SPY251219P590</stp>
        <tr r="W7" s="2"/>
        <tr r="W7" s="2"/>
      </tp>
      <tp>
        <v>200</v>
        <stp/>
        <stp>VOLUME</stp>
        <stp>.SPY251219C590</stp>
        <tr r="W7" s="2"/>
        <tr r="W7" s="2"/>
      </tp>
      <tp t="s">
        <v>N/A</v>
        <stp/>
        <stp>VOLUME</stp>
        <stp>.SPY251231P587</stp>
        <tr r="X10" s="2"/>
      </tp>
      <tp>
        <v>2</v>
        <stp/>
        <stp>VOLUME</stp>
        <stp>.SPY251231C587</stp>
        <tr r="X10" s="2"/>
        <tr r="X10" s="2"/>
      </tp>
      <tp>
        <v>1</v>
        <stp/>
        <stp>VOLUME</stp>
        <stp>.SPY251231P586</stp>
        <tr r="X11" s="2"/>
        <tr r="X11" s="2"/>
      </tp>
      <tp>
        <v>1</v>
        <stp/>
        <stp>VOLUME</stp>
        <stp>.SPY251231C586</stp>
        <tr r="X11" s="2"/>
        <tr r="X11" s="2"/>
      </tp>
      <tp>
        <v>27</v>
        <stp/>
        <stp>VOLUME</stp>
        <stp>.SPY251231P585</stp>
        <tr r="X12" s="2"/>
        <tr r="X12" s="2"/>
      </tp>
      <tp>
        <v>99</v>
        <stp/>
        <stp>VOLUME</stp>
        <stp>.SPY251231C585</stp>
        <tr r="X12" s="2"/>
        <tr r="X12" s="2"/>
      </tp>
      <tp t="s">
        <v>N/A</v>
        <stp/>
        <stp>VOLUME</stp>
        <stp>.SPY251231P584</stp>
        <tr r="X13" s="2"/>
      </tp>
      <tp>
        <v>1</v>
        <stp/>
        <stp>VOLUME</stp>
        <stp>.SPY251231C584</stp>
        <tr r="X13" s="2"/>
        <tr r="X13" s="2"/>
      </tp>
      <tp>
        <v>5</v>
        <stp/>
        <stp>VOLUME</stp>
        <stp>.SPY251231P583</stp>
        <tr r="X14" s="2"/>
        <tr r="X14" s="2"/>
      </tp>
      <tp>
        <v>24</v>
        <stp/>
        <stp>VOLUME</stp>
        <stp>.SPY251231C583</stp>
        <tr r="X14" s="2"/>
        <tr r="X14" s="2"/>
      </tp>
      <tp>
        <v>2</v>
        <stp/>
        <stp>VOLUME</stp>
        <stp>.SPY251231P582</stp>
        <tr r="X15" s="2"/>
        <tr r="X15" s="2"/>
      </tp>
      <tp>
        <v>7</v>
        <stp/>
        <stp>VOLUME</stp>
        <stp>.SPY251231C582</stp>
        <tr r="X15" s="2"/>
        <tr r="X15" s="2"/>
      </tp>
      <tp>
        <v>9</v>
        <stp/>
        <stp>VOLUME</stp>
        <stp>.SPY251231P581</stp>
        <tr r="X16" s="2"/>
        <tr r="X16" s="2"/>
      </tp>
      <tp>
        <v>2</v>
        <stp/>
        <stp>VOLUME</stp>
        <stp>.SPY251231C581</stp>
        <tr r="X16" s="2"/>
        <tr r="X16" s="2"/>
      </tp>
      <tp>
        <v>93</v>
        <stp/>
        <stp>VOLUME</stp>
        <stp>.SPY251231P580</stp>
        <tr r="X17" s="2"/>
        <tr r="X17" s="2"/>
      </tp>
      <tp>
        <v>56</v>
        <stp/>
        <stp>VOLUME</stp>
        <stp>.SPY251231C580</stp>
        <tr r="X17" s="2"/>
        <tr r="X17" s="2"/>
      </tp>
      <tp t="s">
        <v>N/A</v>
        <stp/>
        <stp>VOLUME</stp>
        <stp>.SPY251231P589</stp>
        <tr r="X8" s="2"/>
      </tp>
      <tp>
        <v>1</v>
        <stp/>
        <stp>VOLUME</stp>
        <stp>.SPY251231C589</stp>
        <tr r="X8" s="2"/>
        <tr r="X8" s="2"/>
      </tp>
      <tp t="s">
        <v>N/A</v>
        <stp/>
        <stp>VOLUME</stp>
        <stp>.SPY251231P588</stp>
        <tr r="X9" s="2"/>
      </tp>
      <tp>
        <v>2</v>
        <stp/>
        <stp>VOLUME</stp>
        <stp>.SPY251231C588</stp>
        <tr r="X9" s="2"/>
        <tr r="X9" s="2"/>
      </tp>
      <tp t="s">
        <v>N/A</v>
        <stp/>
        <stp>VOLUME</stp>
        <stp>.SPY251231P592</stp>
        <tr r="X5" s="2"/>
      </tp>
      <tp>
        <v>1</v>
        <stp/>
        <stp>VOLUME</stp>
        <stp>.SPY251231C592</stp>
        <tr r="X5" s="2"/>
        <tr r="X5" s="2"/>
      </tp>
      <tp t="s">
        <v>N/A</v>
        <stp/>
        <stp>VOLUME</stp>
        <stp>.SPY251231P591</stp>
        <tr r="X6" s="2"/>
      </tp>
      <tp>
        <v>59</v>
        <stp/>
        <stp>VOLUME</stp>
        <stp>.SPY251231C591</stp>
        <tr r="X6" s="2"/>
        <tr r="X6" s="2"/>
      </tp>
      <tp>
        <v>4</v>
        <stp/>
        <stp>VOLUME</stp>
        <stp>.SPY251231P590</stp>
        <tr r="X7" s="2"/>
        <tr r="X7" s="2"/>
      </tp>
      <tp>
        <v>153</v>
        <stp/>
        <stp>VOLUME</stp>
        <stp>.SPY251231C590</stp>
        <tr r="X7" s="2"/>
        <tr r="X7" s="2"/>
      </tp>
      <tp>
        <v>10</v>
        <stp/>
        <stp>VOLUME</stp>
        <stp>.SPY251231P567</stp>
        <tr r="X30" s="2"/>
        <tr r="X30" s="2"/>
      </tp>
      <tp>
        <v>2</v>
        <stp/>
        <stp>VOLUME</stp>
        <stp>.SPY251231C567</stp>
        <tr r="X30" s="2"/>
        <tr r="X30" s="2"/>
      </tp>
      <tp>
        <v>1</v>
        <stp/>
        <stp>VOLUME</stp>
        <stp>.SPY251231P566</stp>
        <tr r="X31" s="2"/>
        <tr r="X31" s="2"/>
      </tp>
      <tp>
        <v>12</v>
        <stp/>
        <stp>VOLUME</stp>
        <stp>.SPY251231C566</stp>
        <tr r="X31" s="2"/>
        <tr r="X31" s="2"/>
      </tp>
      <tp>
        <v>29</v>
        <stp/>
        <stp>VOLUME</stp>
        <stp>.SPY251231P565</stp>
        <tr r="X32" s="2"/>
        <tr r="X32" s="2"/>
      </tp>
      <tp>
        <v>52</v>
        <stp/>
        <stp>VOLUME</stp>
        <stp>.SPY251231C565</stp>
        <tr r="X32" s="2"/>
        <tr r="X32" s="2"/>
      </tp>
      <tp>
        <v>13</v>
        <stp/>
        <stp>VOLUME</stp>
        <stp>.SPY251231P564</stp>
        <tr r="X33" s="2"/>
        <tr r="X33" s="2"/>
      </tp>
      <tp>
        <v>7</v>
        <stp/>
        <stp>VOLUME</stp>
        <stp>.SPY251231C564</stp>
        <tr r="X33" s="2"/>
        <tr r="X33" s="2"/>
      </tp>
      <tp t="s">
        <v>N/A</v>
        <stp/>
        <stp>VOLUME</stp>
        <stp>.SPY251231P563</stp>
        <tr r="X34" s="2"/>
      </tp>
      <tp>
        <v>1</v>
        <stp/>
        <stp>VOLUME</stp>
        <stp>.SPY251231C563</stp>
        <tr r="X34" s="2"/>
        <tr r="X34" s="2"/>
      </tp>
      <tp>
        <v>18</v>
        <stp/>
        <stp>VOLUME</stp>
        <stp>.SPY251231P562</stp>
        <tr r="X35" s="2"/>
        <tr r="X35" s="2"/>
      </tp>
      <tp t="s">
        <v>N/A</v>
        <stp/>
        <stp>VOLUME</stp>
        <stp>.SPY251231C562</stp>
        <tr r="X35" s="2"/>
      </tp>
      <tp>
        <v>1</v>
        <stp/>
        <stp>VOLUME</stp>
        <stp>.SPY251231P561</stp>
        <tr r="X36" s="2"/>
        <tr r="X36" s="2"/>
      </tp>
      <tp t="s">
        <v>N/A</v>
        <stp/>
        <stp>VOLUME</stp>
        <stp>.SPY251231C561</stp>
        <tr r="X36" s="2"/>
      </tp>
      <tp>
        <v>53</v>
        <stp/>
        <stp>VOLUME</stp>
        <stp>.SPY251231P560</stp>
        <tr r="X37" s="2"/>
        <tr r="X37" s="2"/>
      </tp>
      <tp>
        <v>31</v>
        <stp/>
        <stp>VOLUME</stp>
        <stp>.SPY251231C560</stp>
        <tr r="X37" s="2"/>
        <tr r="X37" s="2"/>
      </tp>
      <tp>
        <v>45</v>
        <stp/>
        <stp>VOLUME</stp>
        <stp>.SPY251231P569</stp>
        <tr r="X28" s="2"/>
        <tr r="X28" s="2"/>
      </tp>
      <tp t="s">
        <v>N/A</v>
        <stp/>
        <stp>VOLUME</stp>
        <stp>.SPY251231C569</stp>
        <tr r="X28" s="2"/>
      </tp>
      <tp>
        <v>2</v>
        <stp/>
        <stp>VOLUME</stp>
        <stp>.SPY251231P568</stp>
        <tr r="X29" s="2"/>
        <tr r="X29" s="2"/>
      </tp>
      <tp>
        <v>2</v>
        <stp/>
        <stp>VOLUME</stp>
        <stp>.SPY251231C568</stp>
        <tr r="X29" s="2"/>
        <tr r="X29" s="2"/>
      </tp>
      <tp>
        <v>1</v>
        <stp/>
        <stp>VOLUME</stp>
        <stp>.SPY251231P577</stp>
        <tr r="X20" s="2"/>
        <tr r="X20" s="2"/>
      </tp>
      <tp>
        <v>7</v>
        <stp/>
        <stp>VOLUME</stp>
        <stp>.SPY251231C577</stp>
        <tr r="X20" s="2"/>
        <tr r="X20" s="2"/>
      </tp>
      <tp t="s">
        <v>N/A</v>
        <stp/>
        <stp>VOLUME</stp>
        <stp>.SPY251231P576</stp>
        <tr r="X21" s="2"/>
      </tp>
      <tp t="s">
        <v>N/A</v>
        <stp/>
        <stp>VOLUME</stp>
        <stp>.SPY251231C576</stp>
        <tr r="X21" s="2"/>
      </tp>
      <tp>
        <v>36</v>
        <stp/>
        <stp>VOLUME</stp>
        <stp>.SPY251231P575</stp>
        <tr r="X22" s="2"/>
        <tr r="X22" s="2"/>
      </tp>
      <tp>
        <v>28</v>
        <stp/>
        <stp>VOLUME</stp>
        <stp>.SPY251231C575</stp>
        <tr r="X22" s="2"/>
        <tr r="X22" s="2"/>
      </tp>
      <tp t="s">
        <v>N/A</v>
        <stp/>
        <stp>VOLUME</stp>
        <stp>.SPY251231P574</stp>
        <tr r="X23" s="2"/>
      </tp>
      <tp>
        <v>1</v>
        <stp/>
        <stp>VOLUME</stp>
        <stp>.SPY251231C574</stp>
        <tr r="X23" s="2"/>
        <tr r="X23" s="2"/>
      </tp>
      <tp>
        <v>9</v>
        <stp/>
        <stp>VOLUME</stp>
        <stp>.SPY251231P573</stp>
        <tr r="X24" s="2"/>
        <tr r="X24" s="2"/>
      </tp>
      <tp>
        <v>8</v>
        <stp/>
        <stp>VOLUME</stp>
        <stp>.SPY251231C573</stp>
        <tr r="X24" s="2"/>
        <tr r="X24" s="2"/>
      </tp>
      <tp t="s">
        <v>N/A</v>
        <stp/>
        <stp>VOLUME</stp>
        <stp>.SPY251231P572</stp>
        <tr r="X25" s="2"/>
      </tp>
      <tp t="s">
        <v>N/A</v>
        <stp/>
        <stp>VOLUME</stp>
        <stp>.SPY251231C572</stp>
        <tr r="X25" s="2"/>
      </tp>
      <tp t="s">
        <v>N/A</v>
        <stp/>
        <stp>VOLUME</stp>
        <stp>.SPY251219P559</stp>
        <tr r="W38" s="2"/>
      </tp>
      <tp>
        <v>3</v>
        <stp/>
        <stp>VOLUME</stp>
        <stp>.SPY251231P571</stp>
        <tr r="X26" s="2"/>
        <tr r="X26" s="2"/>
      </tp>
      <tp t="s">
        <v>N/A</v>
        <stp/>
        <stp>VOLUME</stp>
        <stp>.SPY251219C559</stp>
        <tr r="W38" s="2"/>
      </tp>
      <tp>
        <v>1</v>
        <stp/>
        <stp>VOLUME</stp>
        <stp>.SPY251231C571</stp>
        <tr r="X26" s="2"/>
        <tr r="X26" s="2"/>
      </tp>
      <tp t="s">
        <v>N/A</v>
        <stp/>
        <stp>VOLUME</stp>
        <stp>.SPY251219P558</stp>
        <tr r="W39" s="2"/>
      </tp>
      <tp>
        <v>16</v>
        <stp/>
        <stp>VOLUME</stp>
        <stp>.SPY251231P570</stp>
        <tr r="X27" s="2"/>
        <tr r="X27" s="2"/>
      </tp>
      <tp t="s">
        <v>N/A</v>
        <stp/>
        <stp>VOLUME</stp>
        <stp>.SPY251219C558</stp>
        <tr r="W39" s="2"/>
      </tp>
      <tp>
        <v>62</v>
        <stp/>
        <stp>VOLUME</stp>
        <stp>.SPY251231C570</stp>
        <tr r="X27" s="2"/>
        <tr r="X27" s="2"/>
      </tp>
      <tp>
        <v>2</v>
        <stp/>
        <stp>VOLUME</stp>
        <stp>.SPY251231P579</stp>
        <tr r="X18" s="2"/>
        <tr r="X18" s="2"/>
      </tp>
      <tp>
        <v>104</v>
        <stp/>
        <stp>VOLUME</stp>
        <stp>.SPY251231C579</stp>
        <tr r="X18" s="2"/>
        <tr r="X18" s="2"/>
      </tp>
      <tp>
        <v>105</v>
        <stp/>
        <stp>VOLUME</stp>
        <stp>.SPY251231P578</stp>
        <tr r="X19" s="2"/>
        <tr r="X19" s="2"/>
      </tp>
      <tp>
        <v>11</v>
        <stp/>
        <stp>VOLUME</stp>
        <stp>.SPY251231C578</stp>
        <tr r="X19" s="2"/>
        <tr r="X19" s="2"/>
      </tp>
      <tp t="s">
        <v>N/A</v>
        <stp/>
        <stp>VOLUME</stp>
        <stp>.SPY251219P569</stp>
        <tr r="W28" s="2"/>
      </tp>
      <tp t="s">
        <v>N/A</v>
        <stp/>
        <stp>VOLUME</stp>
        <stp>.SPY251219C569</stp>
        <tr r="W28" s="2"/>
      </tp>
      <tp t="s">
        <v>N/A</v>
        <stp/>
        <stp>VOLUME</stp>
        <stp>.SPY251219P568</stp>
        <tr r="W29" s="2"/>
      </tp>
      <tp t="s">
        <v>N/A</v>
        <stp/>
        <stp>VOLUME</stp>
        <stp>.SPY251219C568</stp>
        <tr r="W29" s="2"/>
      </tp>
      <tp t="s">
        <v>N/A</v>
        <stp/>
        <stp>VOLUME</stp>
        <stp>.SPY251219P567</stp>
        <tr r="W30" s="2"/>
      </tp>
      <tp t="s">
        <v>N/A</v>
        <stp/>
        <stp>VOLUME</stp>
        <stp>.SPY251219C567</stp>
        <tr r="W30" s="2"/>
      </tp>
      <tp t="s">
        <v>N/A</v>
        <stp/>
        <stp>VOLUME</stp>
        <stp>.SPY251219P566</stp>
        <tr r="W31" s="2"/>
      </tp>
      <tp t="s">
        <v>N/A</v>
        <stp/>
        <stp>VOLUME</stp>
        <stp>.SPY251219C566</stp>
        <tr r="W31" s="2"/>
      </tp>
      <tp>
        <v>136</v>
        <stp/>
        <stp>VOLUME</stp>
        <stp>.SPY251219P565</stp>
        <tr r="W32" s="2"/>
        <tr r="W32" s="2"/>
      </tp>
      <tp>
        <v>30</v>
        <stp/>
        <stp>VOLUME</stp>
        <stp>.SPY251219C565</stp>
        <tr r="W32" s="2"/>
        <tr r="W32" s="2"/>
      </tp>
      <tp t="s">
        <v>N/A</v>
        <stp/>
        <stp>VOLUME</stp>
        <stp>.SPY251219P564</stp>
        <tr r="W33" s="2"/>
      </tp>
      <tp t="s">
        <v>N/A</v>
        <stp/>
        <stp>VOLUME</stp>
        <stp>.SPY251219C564</stp>
        <tr r="W33" s="2"/>
      </tp>
      <tp t="s">
        <v>N/A</v>
        <stp/>
        <stp>VOLUME</stp>
        <stp>.SPY251219P563</stp>
        <tr r="W34" s="2"/>
      </tp>
      <tp t="s">
        <v>N/A</v>
        <stp/>
        <stp>VOLUME</stp>
        <stp>.SPY251219C563</stp>
        <tr r="W34" s="2"/>
      </tp>
      <tp t="s">
        <v>N/A</v>
        <stp/>
        <stp>VOLUME</stp>
        <stp>.SPY251219P562</stp>
        <tr r="W35" s="2"/>
      </tp>
      <tp t="s">
        <v>N/A</v>
        <stp/>
        <stp>VOLUME</stp>
        <stp>.SPY251219C562</stp>
        <tr r="W35" s="2"/>
      </tp>
      <tp t="s">
        <v>N/A</v>
        <stp/>
        <stp>VOLUME</stp>
        <stp>.SPY251219P561</stp>
        <tr r="W36" s="2"/>
      </tp>
      <tp t="s">
        <v>N/A</v>
        <stp/>
        <stp>VOLUME</stp>
        <stp>.SPY251219C561</stp>
        <tr r="W36" s="2"/>
      </tp>
      <tp>
        <v>440</v>
        <stp/>
        <stp>VOLUME</stp>
        <stp>.SPY251219P560</stp>
        <tr r="W37" s="2"/>
        <tr r="W37" s="2"/>
      </tp>
      <tp>
        <v>57</v>
        <stp/>
        <stp>VOLUME</stp>
        <stp>.SPY251219C560</stp>
        <tr r="W37" s="2"/>
        <tr r="W37" s="2"/>
      </tp>
      <tp t="s">
        <v>N/A</v>
        <stp/>
        <stp>VOLUME</stp>
        <stp>.SPY251219P579</stp>
        <tr r="W18" s="2"/>
      </tp>
      <tp t="s">
        <v>N/A</v>
        <stp/>
        <stp>VOLUME</stp>
        <stp>.SPY251219C579</stp>
        <tr r="W18" s="2"/>
      </tp>
      <tp t="s">
        <v>N/A</v>
        <stp/>
        <stp>VOLUME</stp>
        <stp>.SPY251219P578</stp>
        <tr r="W19" s="2"/>
      </tp>
      <tp t="s">
        <v>N/A</v>
        <stp/>
        <stp>VOLUME</stp>
        <stp>.SPY251219C578</stp>
        <tr r="W19" s="2"/>
      </tp>
      <tp t="s">
        <v>N/A</v>
        <stp/>
        <stp>VOLUME</stp>
        <stp>.SPY251219P577</stp>
        <tr r="W20" s="2"/>
      </tp>
      <tp t="s">
        <v>N/A</v>
        <stp/>
        <stp>VOLUME</stp>
        <stp>.SPY251219C577</stp>
        <tr r="W20" s="2"/>
      </tp>
      <tp t="s">
        <v>N/A</v>
        <stp/>
        <stp>VOLUME</stp>
        <stp>.SPY251219P576</stp>
        <tr r="W21" s="2"/>
      </tp>
      <tp t="s">
        <v>N/A</v>
        <stp/>
        <stp>VOLUME</stp>
        <stp>.SPY251219C576</stp>
        <tr r="W21" s="2"/>
      </tp>
      <tp>
        <v>261</v>
        <stp/>
        <stp>VOLUME</stp>
        <stp>.SPY251219P575</stp>
        <tr r="W22" s="2"/>
        <tr r="W22" s="2"/>
      </tp>
      <tp>
        <v>78</v>
        <stp/>
        <stp>VOLUME</stp>
        <stp>.SPY251219C575</stp>
        <tr r="W22" s="2"/>
        <tr r="W22" s="2"/>
      </tp>
      <tp t="s">
        <v>N/A</v>
        <stp/>
        <stp>VOLUME</stp>
        <stp>.SPY251219P574</stp>
        <tr r="W23" s="2"/>
      </tp>
      <tp t="s">
        <v>N/A</v>
        <stp/>
        <stp>VOLUME</stp>
        <stp>.SPY251219C574</stp>
        <tr r="W23" s="2"/>
      </tp>
      <tp t="s">
        <v>N/A</v>
        <stp/>
        <stp>VOLUME</stp>
        <stp>.SPY251219P573</stp>
        <tr r="W24" s="2"/>
      </tp>
      <tp t="s">
        <v>N/A</v>
        <stp/>
        <stp>VOLUME</stp>
        <stp>.SPY251219C573</stp>
        <tr r="W24" s="2"/>
      </tp>
      <tp t="s">
        <v>N/A</v>
        <stp/>
        <stp>VOLUME</stp>
        <stp>.SPY251219P572</stp>
        <tr r="W25" s="2"/>
      </tp>
      <tp t="s">
        <v>N/A</v>
        <stp/>
        <stp>VOLUME</stp>
        <stp>.SPY251219C572</stp>
        <tr r="W25" s="2"/>
      </tp>
      <tp t="s">
        <v>N/A</v>
        <stp/>
        <stp>VOLUME</stp>
        <stp>.SPY251219P571</stp>
        <tr r="W26" s="2"/>
      </tp>
      <tp>
        <v>6</v>
        <stp/>
        <stp>VOLUME</stp>
        <stp>.SPY251231P559</stp>
        <tr r="X38" s="2"/>
        <tr r="X38" s="2"/>
      </tp>
      <tp t="s">
        <v>N/A</v>
        <stp/>
        <stp>VOLUME</stp>
        <stp>.SPY251219C571</stp>
        <tr r="W26" s="2"/>
      </tp>
      <tp t="s">
        <v>N/A</v>
        <stp/>
        <stp>VOLUME</stp>
        <stp>.SPY251231C559</stp>
        <tr r="X38" s="2"/>
      </tp>
      <tp>
        <v>380</v>
        <stp/>
        <stp>VOLUME</stp>
        <stp>.SPY251219P570</stp>
        <tr r="W27" s="2"/>
        <tr r="W27" s="2"/>
      </tp>
      <tp t="s">
        <v>N/A</v>
        <stp/>
        <stp>VOLUME</stp>
        <stp>.SPY251231P558</stp>
        <tr r="X39" s="2"/>
      </tp>
      <tp>
        <v>147</v>
        <stp/>
        <stp>VOLUME</stp>
        <stp>.SPY251219C570</stp>
        <tr r="W27" s="2"/>
        <tr r="W27" s="2"/>
      </tp>
      <tp>
        <v>12</v>
        <stp/>
        <stp>VOLUME</stp>
        <stp>.SPY251231C558</stp>
        <tr r="X39" s="2"/>
        <tr r="X39" s="2"/>
      </tp>
      <tp>
        <v>0</v>
        <stp/>
        <stp>BID</stp>
        <stp>.SPXW250512C5880</stp>
        <tr r="DE99" s="1"/>
        <tr r="DE99" s="1"/>
      </tp>
      <tp>
        <v>32.1</v>
        <stp/>
        <stp>BID</stp>
        <stp>.SPXW250512P5880</stp>
        <tr r="DF99" s="1"/>
        <tr r="DF99" s="1"/>
      </tp>
      <tp>
        <v>0</v>
        <stp/>
        <stp>BID</stp>
        <stp>.SPXW250512C5890</stp>
        <tr r="DE98" s="1"/>
        <tr r="DE98" s="1"/>
      </tp>
      <tp>
        <v>42.8</v>
        <stp/>
        <stp>BID</stp>
        <stp>.SPXW250512P5890</stp>
        <tr r="DF98" s="1"/>
        <tr r="DF98" s="1"/>
      </tp>
      <tp>
        <v>23.5</v>
        <stp/>
        <stp>BID</stp>
        <stp>.SPXW250512C5820</stp>
        <tr r="DE105" s="1"/>
        <tr r="DE105" s="1"/>
      </tp>
      <tp>
        <v>0</v>
        <stp/>
        <stp>BID</stp>
        <stp>.SPXW250512P5820</stp>
        <tr r="DF105" s="1"/>
        <tr r="DF105" s="1"/>
      </tp>
      <tp>
        <v>14.1</v>
        <stp/>
        <stp>BID</stp>
        <stp>.SPXW250512C5830</stp>
        <tr r="DE104" s="1"/>
        <tr r="DE104" s="1"/>
      </tp>
      <tp>
        <v>0</v>
        <stp/>
        <stp>BID</stp>
        <stp>.SPXW250512P5830</stp>
        <tr r="DF104" s="1"/>
        <tr r="DF104" s="1"/>
      </tp>
      <tp>
        <v>42.1</v>
        <stp/>
        <stp>BID</stp>
        <stp>.SPXW250512C5800</stp>
        <tr r="DE107" s="1"/>
        <tr r="DE107" s="1"/>
      </tp>
      <tp>
        <v>0</v>
        <stp/>
        <stp>BID</stp>
        <stp>.SPXW250512P5800</stp>
        <tr r="DF107" s="1"/>
        <tr r="DF107" s="1"/>
      </tp>
      <tp>
        <v>32.1</v>
        <stp/>
        <stp>BID</stp>
        <stp>.SPXW250512C5810</stp>
        <tr r="DE106" s="1"/>
        <tr r="DE106" s="1"/>
      </tp>
      <tp>
        <v>0</v>
        <stp/>
        <stp>BID</stp>
        <stp>.SPXW250512P5810</stp>
        <tr r="DF106" s="1"/>
        <tr r="DF106" s="1"/>
      </tp>
      <tp>
        <v>0</v>
        <stp/>
        <stp>BID</stp>
        <stp>.SPXW250512C5860</stp>
        <tr r="DE101" s="1"/>
        <tr r="DE101" s="1"/>
      </tp>
      <tp>
        <v>14.1</v>
        <stp/>
        <stp>BID</stp>
        <stp>.SPXW250512P5860</stp>
        <tr r="DF101" s="1"/>
        <tr r="DF101" s="1"/>
      </tp>
      <tp>
        <v>0</v>
        <stp/>
        <stp>BID</stp>
        <stp>.SPXW250512C5870</stp>
        <tr r="DE100" s="1"/>
        <tr r="DE100" s="1"/>
      </tp>
      <tp>
        <v>24.1</v>
        <stp/>
        <stp>BID</stp>
        <stp>.SPXW250512P5870</stp>
        <tr r="DF100" s="1"/>
        <tr r="DF100" s="1"/>
      </tp>
      <tp>
        <v>3.9</v>
        <stp/>
        <stp>BID</stp>
        <stp>.SPXW250512C5840</stp>
        <tr r="DE103" s="1"/>
        <tr r="DE103" s="1"/>
      </tp>
      <tp>
        <v>0</v>
        <stp/>
        <stp>BID</stp>
        <stp>.SPXW250512P5840</stp>
        <tr r="DF103" s="1"/>
        <tr r="DF103" s="1"/>
      </tp>
      <tp>
        <v>0</v>
        <stp/>
        <stp>BID</stp>
        <stp>.SPXW250512C5850</stp>
        <tr r="DE102" s="1"/>
        <tr r="DE102" s="1"/>
      </tp>
      <tp>
        <v>4.8</v>
        <stp/>
        <stp>BID</stp>
        <stp>.SPXW250512P5850</stp>
        <tr r="DF102" s="1"/>
        <tr r="DF102" s="1"/>
      </tp>
      <tp t="s">
        <v>N/A</v>
        <stp/>
        <stp>VOLUME</stp>
        <stp>.QQQ250815P489</stp>
        <tr r="O79" s="2"/>
      </tp>
      <tp t="s">
        <v>N/A</v>
        <stp/>
        <stp>VOLUME</stp>
        <stp>.QQQ250815C489</stp>
        <tr r="O79" s="2"/>
      </tp>
      <tp t="s">
        <v>N/A</v>
        <stp/>
        <stp>VOLUME</stp>
        <stp>.QQQ250815P488</stp>
        <tr r="O80" s="2"/>
      </tp>
      <tp t="s">
        <v>N/A</v>
        <stp/>
        <stp>VOLUME</stp>
        <stp>.QQQ250815C488</stp>
        <tr r="O80" s="2"/>
      </tp>
      <tp t="s">
        <v>N/A</v>
        <stp/>
        <stp>VOLUME</stp>
        <stp>.QQQ250815P491</stp>
        <tr r="O77" s="2"/>
      </tp>
      <tp t="s">
        <v>N/A</v>
        <stp/>
        <stp>VOLUME</stp>
        <stp>.QQQ250815C491</stp>
        <tr r="O77" s="2"/>
      </tp>
      <tp>
        <v>3208</v>
        <stp/>
        <stp>VOLUME</stp>
        <stp>.QQQ250815P490</stp>
        <tr r="O78" s="2"/>
        <tr r="O78" s="2"/>
      </tp>
      <tp>
        <v>159</v>
        <stp/>
        <stp>VOLUME</stp>
        <stp>.QQQ250815C490</stp>
        <tr r="O78" s="2"/>
        <tr r="O78" s="2"/>
      </tp>
      <tp t="s">
        <v>N/A</v>
        <stp/>
        <stp>VOLUME</stp>
        <stp>.QQQ250815P493</stp>
        <tr r="O75" s="2"/>
      </tp>
      <tp t="s">
        <v>N/A</v>
        <stp/>
        <stp>VOLUME</stp>
        <stp>.QQQ250815C493</stp>
        <tr r="O75" s="2"/>
      </tp>
      <tp t="s">
        <v>N/A</v>
        <stp/>
        <stp>VOLUME</stp>
        <stp>.QQQ250815P492</stp>
        <tr r="O76" s="2"/>
      </tp>
      <tp t="s">
        <v>N/A</v>
        <stp/>
        <stp>VOLUME</stp>
        <stp>.QQQ250815C492</stp>
        <tr r="O76" s="2"/>
      </tp>
      <tp>
        <v>61</v>
        <stp/>
        <stp>VOLUME</stp>
        <stp>.QQQ250815P495</stp>
        <tr r="O73" s="2"/>
        <tr r="O73" s="2"/>
      </tp>
      <tp>
        <v>236</v>
        <stp/>
        <stp>VOLUME</stp>
        <stp>.QQQ250815C495</stp>
        <tr r="O73" s="2"/>
        <tr r="O73" s="2"/>
      </tp>
      <tp t="s">
        <v>N/A</v>
        <stp/>
        <stp>VOLUME</stp>
        <stp>.QQQ250815P494</stp>
        <tr r="O74" s="2"/>
      </tp>
      <tp t="s">
        <v>N/A</v>
        <stp/>
        <stp>VOLUME</stp>
        <stp>.QQQ250815C494</stp>
        <tr r="O74" s="2"/>
      </tp>
      <tp t="s">
        <v>N/A</v>
        <stp/>
        <stp>VOLUME</stp>
        <stp>.QQQ250815P497</stp>
        <tr r="O71" s="2"/>
      </tp>
      <tp t="s">
        <v>N/A</v>
        <stp/>
        <stp>VOLUME</stp>
        <stp>.QQQ250815C497</stp>
        <tr r="O71" s="2"/>
      </tp>
      <tp t="s">
        <v>N/A</v>
        <stp/>
        <stp>VOLUME</stp>
        <stp>.QQQ250815P496</stp>
        <tr r="O72" s="2"/>
      </tp>
      <tp t="s">
        <v>N/A</v>
        <stp/>
        <stp>VOLUME</stp>
        <stp>.QQQ250815C496</stp>
        <tr r="O72" s="2"/>
      </tp>
      <tp t="s">
        <v>N/A</v>
        <stp/>
        <stp>VOLUME</stp>
        <stp>.QQQ250815P499</stp>
        <tr r="O69" s="2"/>
      </tp>
      <tp t="s">
        <v>N/A</v>
        <stp/>
        <stp>VOLUME</stp>
        <stp>.QQQ250815C499</stp>
        <tr r="O69" s="2"/>
      </tp>
      <tp t="s">
        <v>N/A</v>
        <stp/>
        <stp>VOLUME</stp>
        <stp>.QQQ250815P498</stp>
        <tr r="O70" s="2"/>
      </tp>
      <tp t="s">
        <v>N/A</v>
        <stp/>
        <stp>VOLUME</stp>
        <stp>.QQQ250815C498</stp>
        <tr r="O70" s="2"/>
      </tp>
      <tp t="s">
        <v>N/A</v>
        <stp/>
        <stp>VOLUME</stp>
        <stp>.QQQ250829P499</stp>
        <tr r="P69" s="2"/>
      </tp>
      <tp t="s">
        <v>N/A</v>
        <stp/>
        <stp>VOLUME</stp>
        <stp>.QQQ250829C499</stp>
        <tr r="P69" s="2"/>
      </tp>
      <tp t="s">
        <v>N/A</v>
        <stp/>
        <stp>VOLUME</stp>
        <stp>.QQQ250829P498</stp>
        <tr r="P70" s="2"/>
      </tp>
      <tp t="s">
        <v>N/A</v>
        <stp/>
        <stp>VOLUME</stp>
        <stp>.SPY251121P592</stp>
        <tr r="U5" s="2"/>
      </tp>
      <tp t="s">
        <v>N/A</v>
        <stp/>
        <stp>VOLUME</stp>
        <stp>.QQQ250829C498</stp>
        <tr r="P70" s="2"/>
      </tp>
      <tp t="s">
        <v>N/A</v>
        <stp/>
        <stp>VOLUME</stp>
        <stp>.SPY251121C592</stp>
        <tr r="U5" s="2"/>
      </tp>
      <tp t="s">
        <v>N/A</v>
        <stp/>
        <stp>VOLUME</stp>
        <stp>.SPY251121P591</stp>
        <tr r="U6" s="2"/>
      </tp>
      <tp t="s">
        <v>N/A</v>
        <stp/>
        <stp>VOLUME</stp>
        <stp>.SPY251121C591</stp>
        <tr r="U6" s="2"/>
      </tp>
      <tp t="s">
        <v>N/A</v>
        <stp/>
        <stp>VOLUME</stp>
        <stp>.SPY251121P590</stp>
        <tr r="U7" s="2"/>
      </tp>
      <tp t="s">
        <v>N/A</v>
        <stp/>
        <stp>VOLUME</stp>
        <stp>.SPY251121C590</stp>
        <tr r="U7" s="2"/>
      </tp>
      <tp>
        <v>19</v>
        <stp/>
        <stp>VOLUME</stp>
        <stp>.QQQ250829P495</stp>
        <tr r="P73" s="2"/>
        <tr r="P73" s="2"/>
      </tp>
      <tp>
        <v>48</v>
        <stp/>
        <stp>VOLUME</stp>
        <stp>.QQQ250829C495</stp>
        <tr r="P73" s="2"/>
        <tr r="P73" s="2"/>
      </tp>
      <tp t="s">
        <v>N/A</v>
        <stp/>
        <stp>VOLUME</stp>
        <stp>.QQQ250829P494</stp>
        <tr r="P74" s="2"/>
      </tp>
      <tp t="s">
        <v>N/A</v>
        <stp/>
        <stp>VOLUME</stp>
        <stp>.QQQ250829C494</stp>
        <tr r="P74" s="2"/>
      </tp>
      <tp t="s">
        <v>N/A</v>
        <stp/>
        <stp>VOLUME</stp>
        <stp>.QQQ250829P497</stp>
        <tr r="P71" s="2"/>
      </tp>
      <tp t="s">
        <v>N/A</v>
        <stp/>
        <stp>VOLUME</stp>
        <stp>.QQQ250829C497</stp>
        <tr r="P71" s="2"/>
      </tp>
      <tp t="s">
        <v>N/A</v>
        <stp/>
        <stp>VOLUME</stp>
        <stp>.QQQ250829P496</stp>
        <tr r="P72" s="2"/>
      </tp>
      <tp t="s">
        <v>N/A</v>
        <stp/>
        <stp>VOLUME</stp>
        <stp>.QQQ250829C496</stp>
        <tr r="P72" s="2"/>
      </tp>
      <tp t="s">
        <v>N/A</v>
        <stp/>
        <stp>VOLUME</stp>
        <stp>.QQQ250829P491</stp>
        <tr r="P77" s="2"/>
      </tp>
      <tp t="s">
        <v>N/A</v>
        <stp/>
        <stp>VOLUME</stp>
        <stp>.SPY251128P592</stp>
        <tr r="V5" s="2"/>
      </tp>
      <tp t="s">
        <v>N/A</v>
        <stp/>
        <stp>VOLUME</stp>
        <stp>.QQQ250829C491</stp>
        <tr r="P77" s="2"/>
      </tp>
      <tp t="s">
        <v>N/A</v>
        <stp/>
        <stp>VOLUME</stp>
        <stp>.SPY251128C592</stp>
        <tr r="V5" s="2"/>
      </tp>
      <tp>
        <v>82</v>
        <stp/>
        <stp>VOLUME</stp>
        <stp>.QQQ250829P490</stp>
        <tr r="P78" s="2"/>
        <tr r="P78" s="2"/>
      </tp>
      <tp>
        <v>32</v>
        <stp/>
        <stp>VOLUME</stp>
        <stp>.QQQ250829C490</stp>
        <tr r="P78" s="2"/>
        <tr r="P78" s="2"/>
      </tp>
      <tp t="s">
        <v>N/A</v>
        <stp/>
        <stp>VOLUME</stp>
        <stp>.QQQ250829P493</stp>
        <tr r="P75" s="2"/>
      </tp>
      <tp t="s">
        <v>N/A</v>
        <stp/>
        <stp>VOLUME</stp>
        <stp>.SPY251128P590</stp>
        <tr r="V7" s="2"/>
      </tp>
      <tp t="s">
        <v>N/A</v>
        <stp/>
        <stp>VOLUME</stp>
        <stp>.QQQ250829C493</stp>
        <tr r="P75" s="2"/>
      </tp>
      <tp t="s">
        <v>N/A</v>
        <stp/>
        <stp>VOLUME</stp>
        <stp>.SPY251128C590</stp>
        <tr r="V7" s="2"/>
      </tp>
      <tp t="s">
        <v>N/A</v>
        <stp/>
        <stp>VOLUME</stp>
        <stp>.QQQ250829P492</stp>
        <tr r="P76" s="2"/>
      </tp>
      <tp t="s">
        <v>N/A</v>
        <stp/>
        <stp>VOLUME</stp>
        <stp>.SPY251128P591</stp>
        <tr r="V6" s="2"/>
      </tp>
      <tp t="s">
        <v>N/A</v>
        <stp/>
        <stp>VOLUME</stp>
        <stp>.QQQ250829C492</stp>
        <tr r="P76" s="2"/>
      </tp>
      <tp t="s">
        <v>N/A</v>
        <stp/>
        <stp>VOLUME</stp>
        <stp>.SPY251128C591</stp>
        <tr r="V6" s="2"/>
      </tp>
      <tp t="s">
        <v>N/A</v>
        <stp/>
        <stp>VOLUME</stp>
        <stp>.SPY251121P587</stp>
        <tr r="U10" s="2"/>
      </tp>
      <tp t="s">
        <v>N/A</v>
        <stp/>
        <stp>VOLUME</stp>
        <stp>.SPY251121C587</stp>
        <tr r="U10" s="2"/>
      </tp>
      <tp t="s">
        <v>N/A</v>
        <stp/>
        <stp>VOLUME</stp>
        <stp>.SPY251121P586</stp>
        <tr r="U11" s="2"/>
      </tp>
      <tp t="s">
        <v>N/A</v>
        <stp/>
        <stp>VOLUME</stp>
        <stp>.SPY251121C586</stp>
        <tr r="U11" s="2"/>
      </tp>
      <tp t="s">
        <v>N/A</v>
        <stp/>
        <stp>VOLUME</stp>
        <stp>.SPY251121P585</stp>
        <tr r="U12" s="2"/>
      </tp>
      <tp t="s">
        <v>N/A</v>
        <stp/>
        <stp>VOLUME</stp>
        <stp>.SPY251121C585</stp>
        <tr r="U12" s="2"/>
      </tp>
      <tp t="s">
        <v>N/A</v>
        <stp/>
        <stp>VOLUME</stp>
        <stp>.SPY251121P584</stp>
        <tr r="U13" s="2"/>
      </tp>
      <tp t="s">
        <v>N/A</v>
        <stp/>
        <stp>VOLUME</stp>
        <stp>.SPY251121C584</stp>
        <tr r="U13" s="2"/>
      </tp>
      <tp t="s">
        <v>N/A</v>
        <stp/>
        <stp>VOLUME</stp>
        <stp>.QQQ250829P489</stp>
        <tr r="P79" s="2"/>
      </tp>
      <tp t="s">
        <v>N/A</v>
        <stp/>
        <stp>VOLUME</stp>
        <stp>.SPY251121P583</stp>
        <tr r="U14" s="2"/>
      </tp>
      <tp t="s">
        <v>N/A</v>
        <stp/>
        <stp>VOLUME</stp>
        <stp>.QQQ250829C489</stp>
        <tr r="P79" s="2"/>
      </tp>
      <tp t="s">
        <v>N/A</v>
        <stp/>
        <stp>VOLUME</stp>
        <stp>.SPY251121C583</stp>
        <tr r="U14" s="2"/>
      </tp>
      <tp t="s">
        <v>N/A</v>
        <stp/>
        <stp>VOLUME</stp>
        <stp>.QQQ250829P488</stp>
        <tr r="P80" s="2"/>
      </tp>
      <tp t="s">
        <v>N/A</v>
        <stp/>
        <stp>VOLUME</stp>
        <stp>.SPY251121P582</stp>
        <tr r="U15" s="2"/>
      </tp>
      <tp t="s">
        <v>N/A</v>
        <stp/>
        <stp>VOLUME</stp>
        <stp>.QQQ250829C488</stp>
        <tr r="P80" s="2"/>
      </tp>
      <tp t="s">
        <v>N/A</v>
        <stp/>
        <stp>VOLUME</stp>
        <stp>.SPY251121C582</stp>
        <tr r="U15" s="2"/>
      </tp>
      <tp t="s">
        <v>N/A</v>
        <stp/>
        <stp>VOLUME</stp>
        <stp>.SPY251121P581</stp>
        <tr r="U16" s="2"/>
      </tp>
      <tp t="s">
        <v>N/A</v>
        <stp/>
        <stp>VOLUME</stp>
        <stp>.SPY251128P588</stp>
        <tr r="V9" s="2"/>
      </tp>
      <tp t="s">
        <v>N/A</v>
        <stp/>
        <stp>VOLUME</stp>
        <stp>.SPY251121C581</stp>
        <tr r="U16" s="2"/>
      </tp>
      <tp t="s">
        <v>N/A</v>
        <stp/>
        <stp>VOLUME</stp>
        <stp>.SPY251128C588</stp>
        <tr r="V9" s="2"/>
      </tp>
      <tp t="s">
        <v>N/A</v>
        <stp/>
        <stp>VOLUME</stp>
        <stp>.SPY251121P580</stp>
        <tr r="U17" s="2"/>
      </tp>
      <tp t="s">
        <v>N/A</v>
        <stp/>
        <stp>VOLUME</stp>
        <stp>.SPY251128P589</stp>
        <tr r="V8" s="2"/>
      </tp>
      <tp t="s">
        <v>N/A</v>
        <stp/>
        <stp>VOLUME</stp>
        <stp>.SPY251121C580</stp>
        <tr r="U17" s="2"/>
      </tp>
      <tp t="s">
        <v>N/A</v>
        <stp/>
        <stp>VOLUME</stp>
        <stp>.SPY251128C589</stp>
        <tr r="V8" s="2"/>
      </tp>
      <tp t="s">
        <v>N/A</v>
        <stp/>
        <stp>VOLUME</stp>
        <stp>.SPY251128P586</stp>
        <tr r="V11" s="2"/>
      </tp>
      <tp t="s">
        <v>N/A</v>
        <stp/>
        <stp>VOLUME</stp>
        <stp>.SPY251128C586</stp>
        <tr r="V11" s="2"/>
      </tp>
      <tp t="s">
        <v>N/A</v>
        <stp/>
        <stp>VOLUME</stp>
        <stp>.SPY251128P587</stp>
        <tr r="V10" s="2"/>
      </tp>
      <tp t="s">
        <v>N/A</v>
        <stp/>
        <stp>VOLUME</stp>
        <stp>.SPY251128C587</stp>
        <tr r="V10" s="2"/>
      </tp>
      <tp t="s">
        <v>N/A</v>
        <stp/>
        <stp>VOLUME</stp>
        <stp>.SPY251128P584</stp>
        <tr r="V13" s="2"/>
      </tp>
      <tp t="s">
        <v>N/A</v>
        <stp/>
        <stp>VOLUME</stp>
        <stp>.SPY251128C584</stp>
        <tr r="V13" s="2"/>
      </tp>
      <tp t="s">
        <v>N/A</v>
        <stp/>
        <stp>VOLUME</stp>
        <stp>.SPY251128P585</stp>
        <tr r="V12" s="2"/>
      </tp>
      <tp t="s">
        <v>N/A</v>
        <stp/>
        <stp>VOLUME</stp>
        <stp>.SPY251128C585</stp>
        <tr r="V12" s="2"/>
      </tp>
      <tp t="s">
        <v>N/A</v>
        <stp/>
        <stp>VOLUME</stp>
        <stp>.SPY251128P582</stp>
        <tr r="V15" s="2"/>
      </tp>
      <tp t="s">
        <v>N/A</v>
        <stp/>
        <stp>VOLUME</stp>
        <stp>.SPY251128C582</stp>
        <tr r="V15" s="2"/>
      </tp>
      <tp t="s">
        <v>N/A</v>
        <stp/>
        <stp>VOLUME</stp>
        <stp>.SPY251128P583</stp>
        <tr r="V14" s="2"/>
      </tp>
      <tp t="s">
        <v>N/A</v>
        <stp/>
        <stp>VOLUME</stp>
        <stp>.SPY251128C583</stp>
        <tr r="V14" s="2"/>
      </tp>
      <tp t="s">
        <v>N/A</v>
        <stp/>
        <stp>VOLUME</stp>
        <stp>.SPY251121P589</stp>
        <tr r="U8" s="2"/>
      </tp>
      <tp t="s">
        <v>N/A</v>
        <stp/>
        <stp>VOLUME</stp>
        <stp>.SPY251128P580</stp>
        <tr r="V17" s="2"/>
      </tp>
      <tp t="s">
        <v>N/A</v>
        <stp/>
        <stp>VOLUME</stp>
        <stp>.SPY251121C589</stp>
        <tr r="U8" s="2"/>
      </tp>
      <tp t="s">
        <v>N/A</v>
        <stp/>
        <stp>VOLUME</stp>
        <stp>.SPY251128C580</stp>
        <tr r="V17" s="2"/>
      </tp>
      <tp t="s">
        <v>N/A</v>
        <stp/>
        <stp>VOLUME</stp>
        <stp>.SPY251121P588</stp>
        <tr r="U9" s="2"/>
      </tp>
      <tp t="s">
        <v>N/A</v>
        <stp/>
        <stp>VOLUME</stp>
        <stp>.SPY251128P581</stp>
        <tr r="V16" s="2"/>
      </tp>
      <tp t="s">
        <v>N/A</v>
        <stp/>
        <stp>VOLUME</stp>
        <stp>.SPY251121C588</stp>
        <tr r="U9" s="2"/>
      </tp>
      <tp t="s">
        <v>N/A</v>
        <stp/>
        <stp>VOLUME</stp>
        <stp>.SPY251128C581</stp>
        <tr r="V16" s="2"/>
      </tp>
      <tp t="s">
        <v>N/A</v>
        <stp/>
        <stp>VOLUME</stp>
        <stp>.QQQ250919P509</stp>
        <tr r="Q59" s="2"/>
      </tp>
      <tp>
        <v>34</v>
        <stp/>
        <stp>VOLUME</stp>
        <stp>.QQQ250930P520</stp>
        <tr r="R48" s="2"/>
        <tr r="R48" s="2"/>
      </tp>
      <tp t="s">
        <v>N/A</v>
        <stp/>
        <stp>VOLUME</stp>
        <stp>.QQQ250919C509</stp>
        <tr r="Q59" s="2"/>
      </tp>
      <tp>
        <v>44</v>
        <stp/>
        <stp>VOLUME</stp>
        <stp>.QQQ250930C520</stp>
        <tr r="R48" s="2"/>
        <tr r="R48" s="2"/>
      </tp>
      <tp t="s">
        <v>N/A</v>
        <stp/>
        <stp>VOLUME</stp>
        <stp>.QQQ250919P508</stp>
        <tr r="Q60" s="2"/>
      </tp>
      <tp t="s">
        <v>N/A</v>
        <stp/>
        <stp>VOLUME</stp>
        <stp>.QQQ250930P521</stp>
        <tr r="R47" s="2"/>
      </tp>
      <tp t="s">
        <v>N/A</v>
        <stp/>
        <stp>VOLUME</stp>
        <stp>.QQQ250919C508</stp>
        <tr r="Q60" s="2"/>
      </tp>
      <tp>
        <v>1</v>
        <stp/>
        <stp>VOLUME</stp>
        <stp>.QQQ250930C521</stp>
        <tr r="R47" s="2"/>
        <tr r="R47" s="2"/>
      </tp>
      <tp>
        <v>1</v>
        <stp/>
        <stp>VOLUME</stp>
        <stp>.QQQ250930P522</stp>
        <tr r="R46" s="2"/>
        <tr r="R46" s="2"/>
      </tp>
      <tp t="s">
        <v>N/A</v>
        <stp/>
        <stp>VOLUME</stp>
        <stp>.QQQ250930C522</stp>
        <tr r="R46" s="2"/>
      </tp>
      <tp>
        <v>243</v>
        <stp/>
        <stp>VOLUME</stp>
        <stp>.QQQ250919P505</stp>
        <tr r="Q63" s="2"/>
        <tr r="Q63" s="2"/>
      </tp>
      <tp>
        <v>134</v>
        <stp/>
        <stp>VOLUME</stp>
        <stp>.QQQ250919C505</stp>
        <tr r="Q63" s="2"/>
        <tr r="Q63" s="2"/>
      </tp>
      <tp t="s">
        <v>N/A</v>
        <stp/>
        <stp>VOLUME</stp>
        <stp>.QQQ250919P504</stp>
        <tr r="Q64" s="2"/>
      </tp>
      <tp t="s">
        <v>N/A</v>
        <stp/>
        <stp>VOLUME</stp>
        <stp>.QQQ250919C504</stp>
        <tr r="Q64" s="2"/>
      </tp>
      <tp t="s">
        <v>N/A</v>
        <stp/>
        <stp>VOLUME</stp>
        <stp>.QQQ250919P507</stp>
        <tr r="Q61" s="2"/>
      </tp>
      <tp t="s">
        <v>N/A</v>
        <stp/>
        <stp>VOLUME</stp>
        <stp>.QQQ250919C507</stp>
        <tr r="Q61" s="2"/>
      </tp>
      <tp t="s">
        <v>N/A</v>
        <stp/>
        <stp>VOLUME</stp>
        <stp>.QQQ250919P506</stp>
        <tr r="Q62" s="2"/>
      </tp>
      <tp t="s">
        <v>N/A</v>
        <stp/>
        <stp>VOLUME</stp>
        <stp>.QQQ250919C506</stp>
        <tr r="Q62" s="2"/>
      </tp>
      <tp t="s">
        <v>N/A</v>
        <stp/>
        <stp>VOLUME</stp>
        <stp>.QQQ250919P501</stp>
        <tr r="Q67" s="2"/>
      </tp>
      <tp t="s">
        <v>N/A</v>
        <stp/>
        <stp>VOLUME</stp>
        <stp>.QQQ250919C501</stp>
        <tr r="Q67" s="2"/>
      </tp>
      <tp>
        <v>967</v>
        <stp/>
        <stp>VOLUME</stp>
        <stp>.QQQ250919P500</stp>
        <tr r="Q68" s="2"/>
        <tr r="Q68" s="2"/>
      </tp>
      <tp>
        <v>762</v>
        <stp/>
        <stp>VOLUME</stp>
        <stp>.QQQ250919C500</stp>
        <tr r="Q68" s="2"/>
        <tr r="Q68" s="2"/>
      </tp>
      <tp t="s">
        <v>N/A</v>
        <stp/>
        <stp>VOLUME</stp>
        <stp>.QQQ250919P503</stp>
        <tr r="Q65" s="2"/>
      </tp>
      <tp t="s">
        <v>N/A</v>
        <stp/>
        <stp>VOLUME</stp>
        <stp>.QQQ250919C503</stp>
        <tr r="Q65" s="2"/>
      </tp>
      <tp t="s">
        <v>N/A</v>
        <stp/>
        <stp>VOLUME</stp>
        <stp>.QQQ250919P502</stp>
        <tr r="Q66" s="2"/>
      </tp>
      <tp t="s">
        <v>N/A</v>
        <stp/>
        <stp>VOLUME</stp>
        <stp>.QQQ250919C502</stp>
        <tr r="Q66" s="2"/>
      </tp>
      <tp t="s">
        <v>N/A</v>
        <stp/>
        <stp>VOLUME</stp>
        <stp>.QQQ250919P519</stp>
        <tr r="Q49" s="2"/>
      </tp>
      <tp t="s">
        <v>N/A</v>
        <stp/>
        <stp>VOLUME</stp>
        <stp>.QQQ250919C519</stp>
        <tr r="Q49" s="2"/>
      </tp>
      <tp t="s">
        <v>N/A</v>
        <stp/>
        <stp>VOLUME</stp>
        <stp>.QQQ250919P518</stp>
        <tr r="Q50" s="2"/>
      </tp>
      <tp t="s">
        <v>N/A</v>
        <stp/>
        <stp>VOLUME</stp>
        <stp>.QQQ250919C518</stp>
        <tr r="Q50" s="2"/>
      </tp>
      <tp>
        <v>100</v>
        <stp/>
        <stp>VOLUME</stp>
        <stp>.QQQ250919P515</stp>
        <tr r="Q53" s="2"/>
        <tr r="Q53" s="2"/>
      </tp>
      <tp>
        <v>599</v>
        <stp/>
        <stp>VOLUME</stp>
        <stp>.QQQ250919C515</stp>
        <tr r="Q53" s="2"/>
        <tr r="Q53" s="2"/>
      </tp>
      <tp t="s">
        <v>N/A</v>
        <stp/>
        <stp>VOLUME</stp>
        <stp>.QQQ250919P514</stp>
        <tr r="Q54" s="2"/>
      </tp>
      <tp t="s">
        <v>N/A</v>
        <stp/>
        <stp>VOLUME</stp>
        <stp>.QQQ250919C514</stp>
        <tr r="Q54" s="2"/>
      </tp>
      <tp t="s">
        <v>N/A</v>
        <stp/>
        <stp>VOLUME</stp>
        <stp>.QQQ250919P517</stp>
        <tr r="Q51" s="2"/>
      </tp>
      <tp t="s">
        <v>N/A</v>
        <stp/>
        <stp>VOLUME</stp>
        <stp>.QQQ250919C517</stp>
        <tr r="Q51" s="2"/>
      </tp>
      <tp t="s">
        <v>N/A</v>
        <stp/>
        <stp>VOLUME</stp>
        <stp>.QQQ250919P516</stp>
        <tr r="Q52" s="2"/>
      </tp>
      <tp t="s">
        <v>N/A</v>
        <stp/>
        <stp>VOLUME</stp>
        <stp>.QQQ250919C516</stp>
        <tr r="Q52" s="2"/>
      </tp>
      <tp t="s">
        <v>N/A</v>
        <stp/>
        <stp>VOLUME</stp>
        <stp>.QQQ250919P511</stp>
        <tr r="Q57" s="2"/>
      </tp>
      <tp t="s">
        <v>N/A</v>
        <stp/>
        <stp>VOLUME</stp>
        <stp>.QQQ250919C511</stp>
        <tr r="Q57" s="2"/>
      </tp>
      <tp>
        <v>3966</v>
        <stp/>
        <stp>VOLUME</stp>
        <stp>.QQQ250919P510</stp>
        <tr r="Q58" s="2"/>
        <tr r="Q58" s="2"/>
      </tp>
      <tp>
        <v>473</v>
        <stp/>
        <stp>VOLUME</stp>
        <stp>.QQQ250919C510</stp>
        <tr r="Q58" s="2"/>
        <tr r="Q58" s="2"/>
      </tp>
      <tp t="s">
        <v>N/A</v>
        <stp/>
        <stp>VOLUME</stp>
        <stp>.QQQ250919P513</stp>
        <tr r="Q55" s="2"/>
      </tp>
      <tp t="s">
        <v>N/A</v>
        <stp/>
        <stp>VOLUME</stp>
        <stp>.QQQ250919C513</stp>
        <tr r="Q55" s="2"/>
      </tp>
      <tp t="s">
        <v>N/A</v>
        <stp/>
        <stp>VOLUME</stp>
        <stp>.QQQ250919P512</stp>
        <tr r="Q56" s="2"/>
      </tp>
      <tp t="s">
        <v>N/A</v>
        <stp/>
        <stp>VOLUME</stp>
        <stp>.QQQ250919C512</stp>
        <tr r="Q56" s="2"/>
      </tp>
      <tp>
        <v>40</v>
        <stp/>
        <stp>VOLUME</stp>
        <stp>.QQQ250930P504</stp>
        <tr r="R64" s="2"/>
        <tr r="R64" s="2"/>
      </tp>
      <tp>
        <v>24</v>
        <stp/>
        <stp>VOLUME</stp>
        <stp>.QQQ250930C504</stp>
        <tr r="R64" s="2"/>
        <tr r="R64" s="2"/>
      </tp>
      <tp>
        <v>179</v>
        <stp/>
        <stp>VOLUME</stp>
        <stp>.QQQ250930P505</stp>
        <tr r="R63" s="2"/>
        <tr r="R63" s="2"/>
      </tp>
      <tp>
        <v>55</v>
        <stp/>
        <stp>VOLUME</stp>
        <stp>.QQQ250930C505</stp>
        <tr r="R63" s="2"/>
        <tr r="R63" s="2"/>
      </tp>
      <tp>
        <v>14</v>
        <stp/>
        <stp>VOLUME</stp>
        <stp>.QQQ250930P506</stp>
        <tr r="R62" s="2"/>
        <tr r="R62" s="2"/>
      </tp>
      <tp>
        <v>25</v>
        <stp/>
        <stp>VOLUME</stp>
        <stp>.QQQ250930C506</stp>
        <tr r="R62" s="2"/>
        <tr r="R62" s="2"/>
      </tp>
      <tp>
        <v>36</v>
        <stp/>
        <stp>VOLUME</stp>
        <stp>.QQQ250930P507</stp>
        <tr r="R61" s="2"/>
        <tr r="R61" s="2"/>
      </tp>
      <tp>
        <v>12</v>
        <stp/>
        <stp>VOLUME</stp>
        <stp>.QQQ250930C507</stp>
        <tr r="R61" s="2"/>
        <tr r="R61" s="2"/>
      </tp>
      <tp>
        <v>331</v>
        <stp/>
        <stp>VOLUME</stp>
        <stp>.QQQ250930P500</stp>
        <tr r="R68" s="2"/>
        <tr r="R68" s="2"/>
      </tp>
      <tp>
        <v>209</v>
        <stp/>
        <stp>VOLUME</stp>
        <stp>.QQQ250930C500</stp>
        <tr r="R68" s="2"/>
        <tr r="R68" s="2"/>
      </tp>
      <tp t="s">
        <v>N/A</v>
        <stp/>
        <stp>VOLUME</stp>
        <stp>.QQQ250930P501</stp>
        <tr r="R67" s="2"/>
      </tp>
      <tp>
        <v>3</v>
        <stp/>
        <stp>VOLUME</stp>
        <stp>.QQQ250930C501</stp>
        <tr r="R67" s="2"/>
        <tr r="R67" s="2"/>
      </tp>
      <tp>
        <v>2</v>
        <stp/>
        <stp>VOLUME</stp>
        <stp>.QQQ250930P502</stp>
        <tr r="R66" s="2"/>
        <tr r="R66" s="2"/>
      </tp>
      <tp>
        <v>2</v>
        <stp/>
        <stp>VOLUME</stp>
        <stp>.QQQ250930C502</stp>
        <tr r="R66" s="2"/>
        <tr r="R66" s="2"/>
      </tp>
      <tp>
        <v>13</v>
        <stp/>
        <stp>VOLUME</stp>
        <stp>.QQQ250930P503</stp>
        <tr r="R65" s="2"/>
        <tr r="R65" s="2"/>
      </tp>
      <tp>
        <v>141</v>
        <stp/>
        <stp>VOLUME</stp>
        <stp>.QQQ250930C503</stp>
        <tr r="R65" s="2"/>
        <tr r="R65" s="2"/>
      </tp>
      <tp t="s">
        <v>N/A</v>
        <stp/>
        <stp>VOLUME</stp>
        <stp>.QQQ250919P521</stp>
        <tr r="Q47" s="2"/>
      </tp>
      <tp>
        <v>5</v>
        <stp/>
        <stp>VOLUME</stp>
        <stp>.QQQ250930P508</stp>
        <tr r="R60" s="2"/>
        <tr r="R60" s="2"/>
      </tp>
      <tp t="s">
        <v>N/A</v>
        <stp/>
        <stp>VOLUME</stp>
        <stp>.QQQ250919C521</stp>
        <tr r="Q47" s="2"/>
      </tp>
      <tp>
        <v>4</v>
        <stp/>
        <stp>VOLUME</stp>
        <stp>.QQQ250930C508</stp>
        <tr r="R60" s="2"/>
        <tr r="R60" s="2"/>
      </tp>
      <tp>
        <v>238</v>
        <stp/>
        <stp>VOLUME</stp>
        <stp>.QQQ250919P520</stp>
        <tr r="Q48" s="2"/>
        <tr r="Q48" s="2"/>
      </tp>
      <tp t="s">
        <v>N/A</v>
        <stp/>
        <stp>VOLUME</stp>
        <stp>.QQQ250930P509</stp>
        <tr r="R59" s="2"/>
      </tp>
      <tp>
        <v>481</v>
        <stp/>
        <stp>VOLUME</stp>
        <stp>.QQQ250919C520</stp>
        <tr r="Q48" s="2"/>
        <tr r="Q48" s="2"/>
      </tp>
      <tp t="s">
        <v>N/A</v>
        <stp/>
        <stp>VOLUME</stp>
        <stp>.QQQ250930C509</stp>
        <tr r="R59" s="2"/>
      </tp>
      <tp t="s">
        <v>N/A</v>
        <stp/>
        <stp>VOLUME</stp>
        <stp>.QQQ250919P522</stp>
        <tr r="Q46" s="2"/>
      </tp>
      <tp t="s">
        <v>N/A</v>
        <stp/>
        <stp>VOLUME</stp>
        <stp>.QQQ250919C522</stp>
        <tr r="Q46" s="2"/>
      </tp>
      <tp t="s">
        <v>N/A</v>
        <stp/>
        <stp>VOLUME</stp>
        <stp>.QQQ250930P514</stp>
        <tr r="R54" s="2"/>
      </tp>
      <tp>
        <v>3</v>
        <stp/>
        <stp>VOLUME</stp>
        <stp>.QQQ250930C514</stp>
        <tr r="R54" s="2"/>
        <tr r="R54" s="2"/>
      </tp>
      <tp>
        <v>6</v>
        <stp/>
        <stp>VOLUME</stp>
        <stp>.QQQ250930P515</stp>
        <tr r="R53" s="2"/>
        <tr r="R53" s="2"/>
      </tp>
      <tp>
        <v>60</v>
        <stp/>
        <stp>VOLUME</stp>
        <stp>.QQQ250930C515</stp>
        <tr r="R53" s="2"/>
        <tr r="R53" s="2"/>
      </tp>
      <tp>
        <v>6</v>
        <stp/>
        <stp>VOLUME</stp>
        <stp>.QQQ250930P516</stp>
        <tr r="R52" s="2"/>
        <tr r="R52" s="2"/>
      </tp>
      <tp>
        <v>35</v>
        <stp/>
        <stp>VOLUME</stp>
        <stp>.QQQ250930C516</stp>
        <tr r="R52" s="2"/>
        <tr r="R52" s="2"/>
      </tp>
      <tp t="s">
        <v>N/A</v>
        <stp/>
        <stp>VOLUME</stp>
        <stp>.QQQ250930P517</stp>
        <tr r="R51" s="2"/>
      </tp>
      <tp>
        <v>2</v>
        <stp/>
        <stp>VOLUME</stp>
        <stp>.QQQ250930C517</stp>
        <tr r="R51" s="2"/>
        <tr r="R51" s="2"/>
      </tp>
      <tp>
        <v>54</v>
        <stp/>
        <stp>VOLUME</stp>
        <stp>.QQQ250930P510</stp>
        <tr r="R58" s="2"/>
        <tr r="R58" s="2"/>
      </tp>
      <tp>
        <v>37</v>
        <stp/>
        <stp>VOLUME</stp>
        <stp>.QQQ250930C510</stp>
        <tr r="R58" s="2"/>
        <tr r="R58" s="2"/>
      </tp>
      <tp>
        <v>92</v>
        <stp/>
        <stp>VOLUME</stp>
        <stp>.QQQ250930P511</stp>
        <tr r="R57" s="2"/>
        <tr r="R57" s="2"/>
      </tp>
      <tp>
        <v>17</v>
        <stp/>
        <stp>VOLUME</stp>
        <stp>.QQQ250930C511</stp>
        <tr r="R57" s="2"/>
        <tr r="R57" s="2"/>
      </tp>
      <tp t="s">
        <v>N/A</v>
        <stp/>
        <stp>VOLUME</stp>
        <stp>.QQQ250930P512</stp>
        <tr r="R56" s="2"/>
      </tp>
      <tp>
        <v>110</v>
        <stp/>
        <stp>VOLUME</stp>
        <stp>.QQQ250930C512</stp>
        <tr r="R56" s="2"/>
        <tr r="R56" s="2"/>
      </tp>
      <tp>
        <v>4</v>
        <stp/>
        <stp>VOLUME</stp>
        <stp>.QQQ250930P513</stp>
        <tr r="R55" s="2"/>
        <tr r="R55" s="2"/>
      </tp>
      <tp>
        <v>14</v>
        <stp/>
        <stp>VOLUME</stp>
        <stp>.QQQ250930C513</stp>
        <tr r="R55" s="2"/>
        <tr r="R55" s="2"/>
      </tp>
      <tp t="s">
        <v>N/A</v>
        <stp/>
        <stp>VOLUME</stp>
        <stp>.QQQ250930P518</stp>
        <tr r="R50" s="2"/>
      </tp>
      <tp t="s">
        <v>N/A</v>
        <stp/>
        <stp>VOLUME</stp>
        <stp>.QQQ250930C518</stp>
        <tr r="R50" s="2"/>
      </tp>
      <tp t="s">
        <v>N/A</v>
        <stp/>
        <stp>VOLUME</stp>
        <stp>.QQQ250930P519</stp>
        <tr r="R49" s="2"/>
      </tp>
      <tp t="s">
        <v>N/A</v>
        <stp/>
        <stp>VOLUME</stp>
        <stp>.QQQ250930C519</stp>
        <tr r="R49" s="2"/>
      </tp>
      <tp t="s">
        <v>N/A</v>
        <stp/>
        <stp>VOLUME</stp>
        <stp>.SPY251121P577</stp>
        <tr r="U20" s="2"/>
      </tp>
      <tp t="s">
        <v>N/A</v>
        <stp/>
        <stp>VOLUME</stp>
        <stp>.SPY251121C577</stp>
        <tr r="U20" s="2"/>
      </tp>
      <tp t="s">
        <v>N/A</v>
        <stp/>
        <stp>VOLUME</stp>
        <stp>.SPY251121P576</stp>
        <tr r="U21" s="2"/>
      </tp>
      <tp t="s">
        <v>N/A</v>
        <stp/>
        <stp>VOLUME</stp>
        <stp>.SPY251121C576</stp>
        <tr r="U21" s="2"/>
      </tp>
      <tp t="s">
        <v>N/A</v>
        <stp/>
        <stp>VOLUME</stp>
        <stp>.SPY251121P575</stp>
        <tr r="U22" s="2"/>
      </tp>
      <tp t="s">
        <v>N/A</v>
        <stp/>
        <stp>VOLUME</stp>
        <stp>.SPY251121C575</stp>
        <tr r="U22" s="2"/>
      </tp>
      <tp t="s">
        <v>N/A</v>
        <stp/>
        <stp>VOLUME</stp>
        <stp>.SPY251121P574</stp>
        <tr r="U23" s="2"/>
      </tp>
      <tp t="s">
        <v>N/A</v>
        <stp/>
        <stp>VOLUME</stp>
        <stp>.SPY251121C574</stp>
        <tr r="U23" s="2"/>
      </tp>
      <tp t="s">
        <v>N/A</v>
        <stp/>
        <stp>VOLUME</stp>
        <stp>.SPY251121P573</stp>
        <tr r="U24" s="2"/>
      </tp>
      <tp t="s">
        <v>N/A</v>
        <stp/>
        <stp>VOLUME</stp>
        <stp>.SPY251121C573</stp>
        <tr r="U24" s="2"/>
      </tp>
      <tp t="s">
        <v>N/A</v>
        <stp/>
        <stp>VOLUME</stp>
        <stp>.SPY251121P572</stp>
        <tr r="U25" s="2"/>
      </tp>
      <tp t="s">
        <v>N/A</v>
        <stp/>
        <stp>VOLUME</stp>
        <stp>.SPY251121C572</stp>
        <tr r="U25" s="2"/>
      </tp>
      <tp t="s">
        <v>N/A</v>
        <stp/>
        <stp>VOLUME</stp>
        <stp>.SPY251121P571</stp>
        <tr r="U26" s="2"/>
      </tp>
      <tp t="s">
        <v>N/A</v>
        <stp/>
        <stp>VOLUME</stp>
        <stp>.SPY251128P578</stp>
        <tr r="V19" s="2"/>
      </tp>
      <tp t="s">
        <v>N/A</v>
        <stp/>
        <stp>VOLUME</stp>
        <stp>.SPY251121C571</stp>
        <tr r="U26" s="2"/>
      </tp>
      <tp t="s">
        <v>N/A</v>
        <stp/>
        <stp>VOLUME</stp>
        <stp>.SPY251128C578</stp>
        <tr r="V19" s="2"/>
      </tp>
      <tp t="s">
        <v>N/A</v>
        <stp/>
        <stp>VOLUME</stp>
        <stp>.SPY251121P570</stp>
        <tr r="U27" s="2"/>
      </tp>
      <tp t="s">
        <v>N/A</v>
        <stp/>
        <stp>VOLUME</stp>
        <stp>.SPY251128P579</stp>
        <tr r="V18" s="2"/>
      </tp>
      <tp t="s">
        <v>N/A</v>
        <stp/>
        <stp>VOLUME</stp>
        <stp>.SPY251121C570</stp>
        <tr r="U27" s="2"/>
      </tp>
      <tp t="s">
        <v>N/A</v>
        <stp/>
        <stp>VOLUME</stp>
        <stp>.SPY251128C579</stp>
        <tr r="V18" s="2"/>
      </tp>
      <tp t="s">
        <v>N/A</v>
        <stp/>
        <stp>VOLUME</stp>
        <stp>.SPY251128P576</stp>
        <tr r="V21" s="2"/>
      </tp>
      <tp t="s">
        <v>N/A</v>
        <stp/>
        <stp>VOLUME</stp>
        <stp>.SPY251128C576</stp>
        <tr r="V21" s="2"/>
      </tp>
      <tp t="s">
        <v>N/A</v>
        <stp/>
        <stp>VOLUME</stp>
        <stp>.SPY251128P577</stp>
        <tr r="V20" s="2"/>
      </tp>
      <tp t="s">
        <v>N/A</v>
        <stp/>
        <stp>VOLUME</stp>
        <stp>.SPY251128C577</stp>
        <tr r="V20" s="2"/>
      </tp>
      <tp t="s">
        <v>N/A</v>
        <stp/>
        <stp>VOLUME</stp>
        <stp>.SPY251128P574</stp>
        <tr r="V23" s="2"/>
      </tp>
      <tp t="s">
        <v>N/A</v>
        <stp/>
        <stp>VOLUME</stp>
        <stp>.SPY251128C574</stp>
        <tr r="V23" s="2"/>
      </tp>
      <tp t="s">
        <v>N/A</v>
        <stp/>
        <stp>VOLUME</stp>
        <stp>.SPY251128P575</stp>
        <tr r="V22" s="2"/>
      </tp>
      <tp t="s">
        <v>N/A</v>
        <stp/>
        <stp>VOLUME</stp>
        <stp>.SPY251128C575</stp>
        <tr r="V22" s="2"/>
      </tp>
      <tp t="s">
        <v>N/A</v>
        <stp/>
        <stp>VOLUME</stp>
        <stp>.SPY251128P572</stp>
        <tr r="V25" s="2"/>
      </tp>
      <tp t="s">
        <v>N/A</v>
        <stp/>
        <stp>VOLUME</stp>
        <stp>.SPY251128C572</stp>
        <tr r="V25" s="2"/>
      </tp>
      <tp t="s">
        <v>N/A</v>
        <stp/>
        <stp>VOLUME</stp>
        <stp>.SPY251128P573</stp>
        <tr r="V24" s="2"/>
      </tp>
      <tp t="s">
        <v>N/A</v>
        <stp/>
        <stp>VOLUME</stp>
        <stp>.SPY251128C573</stp>
        <tr r="V24" s="2"/>
      </tp>
      <tp t="s">
        <v>N/A</v>
        <stp/>
        <stp>VOLUME</stp>
        <stp>.SPY251121P579</stp>
        <tr r="U18" s="2"/>
      </tp>
      <tp t="s">
        <v>N/A</v>
        <stp/>
        <stp>VOLUME</stp>
        <stp>.SPY251128P570</stp>
        <tr r="V27" s="2"/>
      </tp>
      <tp t="s">
        <v>N/A</v>
        <stp/>
        <stp>VOLUME</stp>
        <stp>.SPY251121C579</stp>
        <tr r="U18" s="2"/>
      </tp>
      <tp t="s">
        <v>N/A</v>
        <stp/>
        <stp>VOLUME</stp>
        <stp>.SPY251128C570</stp>
        <tr r="V27" s="2"/>
      </tp>
      <tp t="s">
        <v>N/A</v>
        <stp/>
        <stp>VOLUME</stp>
        <stp>.SPY251121P578</stp>
        <tr r="U19" s="2"/>
      </tp>
      <tp t="s">
        <v>N/A</v>
        <stp/>
        <stp>VOLUME</stp>
        <stp>.SPY251128P571</stp>
        <tr r="V26" s="2"/>
      </tp>
      <tp t="s">
        <v>N/A</v>
        <stp/>
        <stp>VOLUME</stp>
        <stp>.SPY251121C578</stp>
        <tr r="U19" s="2"/>
      </tp>
      <tp t="s">
        <v>N/A</v>
        <stp/>
        <stp>VOLUME</stp>
        <stp>.SPY251128C571</stp>
        <tr r="V26" s="2"/>
      </tp>
      <tp t="s">
        <v>N/A</v>
        <stp/>
        <stp>VOLUME</stp>
        <stp>.SPY251121P567</stp>
        <tr r="U30" s="2"/>
      </tp>
      <tp t="s">
        <v>N/A</v>
        <stp/>
        <stp>VOLUME</stp>
        <stp>.SPY251121C567</stp>
        <tr r="U30" s="2"/>
      </tp>
      <tp t="s">
        <v>N/A</v>
        <stp/>
        <stp>VOLUME</stp>
        <stp>.SPY251121P566</stp>
        <tr r="U31" s="2"/>
      </tp>
      <tp t="s">
        <v>N/A</v>
        <stp/>
        <stp>VOLUME</stp>
        <stp>.SPY251121C566</stp>
        <tr r="U31" s="2"/>
      </tp>
      <tp t="s">
        <v>N/A</v>
        <stp/>
        <stp>VOLUME</stp>
        <stp>.SPY251121P565</stp>
        <tr r="U32" s="2"/>
      </tp>
      <tp t="s">
        <v>N/A</v>
        <stp/>
        <stp>VOLUME</stp>
        <stp>.SPY251121C565</stp>
        <tr r="U32" s="2"/>
      </tp>
      <tp t="s">
        <v>N/A</v>
        <stp/>
        <stp>VOLUME</stp>
        <stp>.SPY251121P564</stp>
        <tr r="U33" s="2"/>
      </tp>
      <tp t="s">
        <v>N/A</v>
        <stp/>
        <stp>VOLUME</stp>
        <stp>.SPY251121C564</stp>
        <tr r="U33" s="2"/>
      </tp>
      <tp t="s">
        <v>N/A</v>
        <stp/>
        <stp>VOLUME</stp>
        <stp>.SPY251121P563</stp>
        <tr r="U34" s="2"/>
      </tp>
      <tp t="s">
        <v>N/A</v>
        <stp/>
        <stp>VOLUME</stp>
        <stp>.SPY251121C563</stp>
        <tr r="U34" s="2"/>
      </tp>
      <tp t="s">
        <v>N/A</v>
        <stp/>
        <stp>VOLUME</stp>
        <stp>.SPY251121P562</stp>
        <tr r="U35" s="2"/>
      </tp>
      <tp t="s">
        <v>N/A</v>
        <stp/>
        <stp>VOLUME</stp>
        <stp>.SPY251121C562</stp>
        <tr r="U35" s="2"/>
      </tp>
      <tp t="s">
        <v>N/A</v>
        <stp/>
        <stp>VOLUME</stp>
        <stp>.SPY251121P561</stp>
        <tr r="U36" s="2"/>
      </tp>
      <tp t="s">
        <v>N/A</v>
        <stp/>
        <stp>VOLUME</stp>
        <stp>.SPY251128P568</stp>
        <tr r="V29" s="2"/>
      </tp>
      <tp t="s">
        <v>N/A</v>
        <stp/>
        <stp>VOLUME</stp>
        <stp>.SPY251121C561</stp>
        <tr r="U36" s="2"/>
      </tp>
      <tp t="s">
        <v>N/A</v>
        <stp/>
        <stp>VOLUME</stp>
        <stp>.SPY251128C568</stp>
        <tr r="V29" s="2"/>
      </tp>
      <tp t="s">
        <v>N/A</v>
        <stp/>
        <stp>VOLUME</stp>
        <stp>.SPY251121P560</stp>
        <tr r="U37" s="2"/>
      </tp>
      <tp t="s">
        <v>N/A</v>
        <stp/>
        <stp>VOLUME</stp>
        <stp>.SPY251128P569</stp>
        <tr r="V28" s="2"/>
      </tp>
      <tp t="s">
        <v>N/A</v>
        <stp/>
        <stp>VOLUME</stp>
        <stp>.SPY251121C560</stp>
        <tr r="U37" s="2"/>
      </tp>
      <tp t="s">
        <v>N/A</v>
        <stp/>
        <stp>VOLUME</stp>
        <stp>.SPY251128C569</stp>
        <tr r="V28" s="2"/>
      </tp>
      <tp t="s">
        <v>N/A</v>
        <stp/>
        <stp>VOLUME</stp>
        <stp>.SPY251128P566</stp>
        <tr r="V31" s="2"/>
      </tp>
      <tp t="s">
        <v>N/A</v>
        <stp/>
        <stp>VOLUME</stp>
        <stp>.SPY251128C566</stp>
        <tr r="V31" s="2"/>
      </tp>
      <tp t="s">
        <v>N/A</v>
        <stp/>
        <stp>VOLUME</stp>
        <stp>.SPY251128P567</stp>
        <tr r="V30" s="2"/>
      </tp>
      <tp t="s">
        <v>N/A</v>
        <stp/>
        <stp>VOLUME</stp>
        <stp>.SPY251128C567</stp>
        <tr r="V30" s="2"/>
      </tp>
      <tp t="s">
        <v>N/A</v>
        <stp/>
        <stp>VOLUME</stp>
        <stp>.SPY251128P564</stp>
        <tr r="V33" s="2"/>
      </tp>
      <tp t="s">
        <v>N/A</v>
        <stp/>
        <stp>VOLUME</stp>
        <stp>.SPY251128C564</stp>
        <tr r="V33" s="2"/>
      </tp>
      <tp t="s">
        <v>N/A</v>
        <stp/>
        <stp>VOLUME</stp>
        <stp>.SPY251128P565</stp>
        <tr r="V32" s="2"/>
      </tp>
      <tp t="s">
        <v>N/A</v>
        <stp/>
        <stp>VOLUME</stp>
        <stp>.SPY251128C565</stp>
        <tr r="V32" s="2"/>
      </tp>
      <tp t="s">
        <v>N/A</v>
        <stp/>
        <stp>VOLUME</stp>
        <stp>.SPY251128P562</stp>
        <tr r="V35" s="2"/>
      </tp>
      <tp t="s">
        <v>N/A</v>
        <stp/>
        <stp>VOLUME</stp>
        <stp>.SPY251128C562</stp>
        <tr r="V35" s="2"/>
      </tp>
      <tp t="s">
        <v>N/A</v>
        <stp/>
        <stp>VOLUME</stp>
        <stp>.SPY251128P563</stp>
        <tr r="V34" s="2"/>
      </tp>
      <tp t="s">
        <v>N/A</v>
        <stp/>
        <stp>VOLUME</stp>
        <stp>.SPY251128C563</stp>
        <tr r="V34" s="2"/>
      </tp>
      <tp t="s">
        <v>N/A</v>
        <stp/>
        <stp>VOLUME</stp>
        <stp>.SPY251121P569</stp>
        <tr r="U28" s="2"/>
      </tp>
      <tp t="s">
        <v>N/A</v>
        <stp/>
        <stp>VOLUME</stp>
        <stp>.SPY251128P560</stp>
        <tr r="V37" s="2"/>
      </tp>
      <tp t="s">
        <v>N/A</v>
        <stp/>
        <stp>VOLUME</stp>
        <stp>.SPY251121C569</stp>
        <tr r="U28" s="2"/>
      </tp>
      <tp t="s">
        <v>N/A</v>
        <stp/>
        <stp>VOLUME</stp>
        <stp>.SPY251128C560</stp>
        <tr r="V37" s="2"/>
      </tp>
      <tp t="s">
        <v>N/A</v>
        <stp/>
        <stp>VOLUME</stp>
        <stp>.SPY251121P568</stp>
        <tr r="U29" s="2"/>
      </tp>
      <tp t="s">
        <v>N/A</v>
        <stp/>
        <stp>VOLUME</stp>
        <stp>.SPY251128P561</stp>
        <tr r="V36" s="2"/>
      </tp>
      <tp t="s">
        <v>N/A</v>
        <stp/>
        <stp>VOLUME</stp>
        <stp>.SPY251121C568</stp>
        <tr r="U29" s="2"/>
      </tp>
      <tp t="s">
        <v>N/A</v>
        <stp/>
        <stp>VOLUME</stp>
        <stp>.SPY251128C561</stp>
        <tr r="V36" s="2"/>
      </tp>
      <tp t="s">
        <v>N/A</v>
        <stp/>
        <stp>VOLUME</stp>
        <stp>.SPY251128P558</stp>
        <tr r="V39" s="2"/>
      </tp>
      <tp t="s">
        <v>N/A</v>
        <stp/>
        <stp>VOLUME</stp>
        <stp>.SPY251128C558</stp>
        <tr r="V39" s="2"/>
      </tp>
      <tp t="s">
        <v>N/A</v>
        <stp/>
        <stp>VOLUME</stp>
        <stp>.SPY251128P559</stp>
        <tr r="V38" s="2"/>
      </tp>
      <tp t="s">
        <v>N/A</v>
        <stp/>
        <stp>VOLUME</stp>
        <stp>.SPY251128C559</stp>
        <tr r="V38" s="2"/>
      </tp>
      <tp t="s">
        <v>N/A</v>
        <stp/>
        <stp>VOLUME</stp>
        <stp>.SPY251121P559</stp>
        <tr r="U38" s="2"/>
      </tp>
      <tp t="s">
        <v>N/A</v>
        <stp/>
        <stp>VOLUME</stp>
        <stp>.SPY251121C559</stp>
        <tr r="U38" s="2"/>
      </tp>
      <tp t="s">
        <v>N/A</v>
        <stp/>
        <stp>VOLUME</stp>
        <stp>.SPY251121P558</stp>
        <tr r="U39" s="2"/>
      </tp>
      <tp t="s">
        <v>N/A</v>
        <stp/>
        <stp>VOLUME</stp>
        <stp>.SPY251121C558</stp>
        <tr r="U39" s="2"/>
      </tp>
      <tp t="s">
        <v>N/A</v>
        <stp/>
        <stp>BID</stp>
        <stp>.SPXW250512C5980</stp>
        <tr r="DE89" s="1"/>
      </tp>
      <tp t="s">
        <v>N/A</v>
        <stp/>
        <stp>BID</stp>
        <stp>.SPXW250512P5980</stp>
        <tr r="DF89" s="1"/>
      </tp>
      <tp t="s">
        <v>N/A</v>
        <stp/>
        <stp>BID</stp>
        <stp>.SPXW250512C5990</stp>
        <tr r="DE88" s="1"/>
      </tp>
      <tp t="s">
        <v>N/A</v>
        <stp/>
        <stp>BID</stp>
        <stp>.SPXW250512P5990</stp>
        <tr r="DF88" s="1"/>
      </tp>
      <tp t="s">
        <v>N/A</v>
        <stp/>
        <stp>BID</stp>
        <stp>.SPXW250512C5920</stp>
        <tr r="DE95" s="1"/>
      </tp>
      <tp t="s">
        <v>N/A</v>
        <stp/>
        <stp>BID</stp>
        <stp>.SPXW250512P5920</stp>
        <tr r="DF95" s="1"/>
      </tp>
      <tp t="s">
        <v>N/A</v>
        <stp/>
        <stp>BID</stp>
        <stp>.SPXW250512C5930</stp>
        <tr r="DE94" s="1"/>
      </tp>
      <tp t="s">
        <v>N/A</v>
        <stp/>
        <stp>BID</stp>
        <stp>.SPXW250512P5930</stp>
        <tr r="DF94" s="1"/>
      </tp>
      <tp>
        <v>0</v>
        <stp/>
        <stp>BID</stp>
        <stp>.SPXW250512C5900</stp>
        <tr r="DE97" s="1"/>
        <tr r="DE97" s="1"/>
      </tp>
      <tp>
        <v>53.3</v>
        <stp/>
        <stp>BID</stp>
        <stp>.SPXW250512P5900</stp>
        <tr r="DF97" s="1"/>
        <tr r="DF97" s="1"/>
      </tp>
      <tp t="s">
        <v>N/A</v>
        <stp/>
        <stp>BID</stp>
        <stp>.SPXW250512C5910</stp>
        <tr r="DE96" s="1"/>
      </tp>
      <tp t="s">
        <v>N/A</v>
        <stp/>
        <stp>BID</stp>
        <stp>.SPXW250512P5910</stp>
        <tr r="DF96" s="1"/>
      </tp>
      <tp t="s">
        <v>N/A</v>
        <stp/>
        <stp>BID</stp>
        <stp>.SPXW250512C5960</stp>
        <tr r="DE91" s="1"/>
      </tp>
      <tp t="s">
        <v>N/A</v>
        <stp/>
        <stp>BID</stp>
        <stp>.SPXW250512P5960</stp>
        <tr r="DF91" s="1"/>
      </tp>
      <tp t="s">
        <v>N/A</v>
        <stp/>
        <stp>BID</stp>
        <stp>.SPXW250512C5970</stp>
        <tr r="DE90" s="1"/>
      </tp>
      <tp t="s">
        <v>N/A</v>
        <stp/>
        <stp>BID</stp>
        <stp>.SPXW250512P5970</stp>
        <tr r="DF90" s="1"/>
      </tp>
      <tp t="s">
        <v>N/A</v>
        <stp/>
        <stp>BID</stp>
        <stp>.SPXW250512C5940</stp>
        <tr r="DE93" s="1"/>
      </tp>
      <tp t="s">
        <v>N/A</v>
        <stp/>
        <stp>BID</stp>
        <stp>.SPXW250512P5940</stp>
        <tr r="DF93" s="1"/>
      </tp>
      <tp>
        <v>0</v>
        <stp/>
        <stp>BID</stp>
        <stp>.SPXW250512C5950</stp>
        <tr r="DE92" s="1"/>
        <tr r="DE92" s="1"/>
      </tp>
      <tp>
        <v>102.8</v>
        <stp/>
        <stp>BID</stp>
        <stp>.SPXW250512P5950</stp>
        <tr r="DF92" s="1"/>
        <tr r="DF92" s="1"/>
      </tp>
      <tp t="s">
        <v>N/A</v>
        <stp/>
        <stp>VOLUME</stp>
        <stp>.SPY251017P581</stp>
        <tr r="S16" s="2"/>
      </tp>
      <tp t="s">
        <v>N/A</v>
        <stp/>
        <stp>VOLUME</stp>
        <stp>.SPY251017C581</stp>
        <tr r="S16" s="2"/>
      </tp>
      <tp t="s">
        <v>N/A</v>
        <stp/>
        <stp>VOLUME</stp>
        <stp>.SPY251017P580</stp>
        <tr r="S17" s="2"/>
      </tp>
      <tp t="s">
        <v>N/A</v>
        <stp/>
        <stp>VOLUME</stp>
        <stp>.SPY251017C580</stp>
        <tr r="S17" s="2"/>
      </tp>
      <tp t="s">
        <v>N/A</v>
        <stp/>
        <stp>VOLUME</stp>
        <stp>.SPY251017P583</stp>
        <tr r="S14" s="2"/>
      </tp>
      <tp t="s">
        <v>N/A</v>
        <stp/>
        <stp>VOLUME</stp>
        <stp>.SPY251017C583</stp>
        <tr r="S14" s="2"/>
      </tp>
      <tp t="s">
        <v>N/A</v>
        <stp/>
        <stp>VOLUME</stp>
        <stp>.SPY251017P582</stp>
        <tr r="S15" s="2"/>
      </tp>
      <tp t="s">
        <v>N/A</v>
        <stp/>
        <stp>VOLUME</stp>
        <stp>.SPY251017C582</stp>
        <tr r="S15" s="2"/>
      </tp>
      <tp t="s">
        <v>N/A</v>
        <stp/>
        <stp>VOLUME</stp>
        <stp>.QQQ250919P489</stp>
        <tr r="Q79" s="2"/>
      </tp>
      <tp t="s">
        <v>N/A</v>
        <stp/>
        <stp>VOLUME</stp>
        <stp>.SPY251017P585</stp>
        <tr r="S12" s="2"/>
      </tp>
      <tp t="s">
        <v>N/A</v>
        <stp/>
        <stp>VOLUME</stp>
        <stp>.QQQ250919C489</stp>
        <tr r="Q79" s="2"/>
      </tp>
      <tp t="s">
        <v>N/A</v>
        <stp/>
        <stp>VOLUME</stp>
        <stp>.SPY251017C585</stp>
        <tr r="S12" s="2"/>
      </tp>
      <tp t="s">
        <v>N/A</v>
        <stp/>
        <stp>VOLUME</stp>
        <stp>.QQQ250919P488</stp>
        <tr r="Q80" s="2"/>
      </tp>
      <tp t="s">
        <v>N/A</v>
        <stp/>
        <stp>VOLUME</stp>
        <stp>.SPY251017P584</stp>
        <tr r="S13" s="2"/>
      </tp>
      <tp t="s">
        <v>N/A</v>
        <stp/>
        <stp>VOLUME</stp>
        <stp>.QQQ250919C488</stp>
        <tr r="Q80" s="2"/>
      </tp>
      <tp t="s">
        <v>N/A</v>
        <stp/>
        <stp>VOLUME</stp>
        <stp>.SPY251017C584</stp>
        <tr r="S13" s="2"/>
      </tp>
      <tp t="s">
        <v>N/A</v>
        <stp/>
        <stp>VOLUME</stp>
        <stp>.SPY251017P587</stp>
        <tr r="S10" s="2"/>
      </tp>
      <tp t="s">
        <v>N/A</v>
        <stp/>
        <stp>VOLUME</stp>
        <stp>.SPY251017C587</stp>
        <tr r="S10" s="2"/>
      </tp>
      <tp t="s">
        <v>N/A</v>
        <stp/>
        <stp>VOLUME</stp>
        <stp>.SPY251017P586</stp>
        <tr r="S11" s="2"/>
      </tp>
      <tp t="s">
        <v>N/A</v>
        <stp/>
        <stp>VOLUME</stp>
        <stp>.SPY251017C586</stp>
        <tr r="S11" s="2"/>
      </tp>
      <tp t="s">
        <v>N/A</v>
        <stp/>
        <stp>VOLUME</stp>
        <stp>.SPY251017P589</stp>
        <tr r="S8" s="2"/>
      </tp>
      <tp t="s">
        <v>N/A</v>
        <stp/>
        <stp>VOLUME</stp>
        <stp>.SPY251017C589</stp>
        <tr r="S8" s="2"/>
      </tp>
      <tp t="s">
        <v>N/A</v>
        <stp/>
        <stp>VOLUME</stp>
        <stp>.SPY251017P588</stp>
        <tr r="S9" s="2"/>
      </tp>
      <tp t="s">
        <v>N/A</v>
        <stp/>
        <stp>VOLUME</stp>
        <stp>.SPY251017C588</stp>
        <tr r="S9" s="2"/>
      </tp>
      <tp t="s">
        <v>N/A</v>
        <stp/>
        <stp>VOLUME</stp>
        <stp>.SPY251017P591</stp>
        <tr r="S6" s="2"/>
      </tp>
      <tp t="s">
        <v>N/A</v>
        <stp/>
        <stp>VOLUME</stp>
        <stp>.SPY251017C591</stp>
        <tr r="S6" s="2"/>
      </tp>
      <tp t="s">
        <v>N/A</v>
        <stp/>
        <stp>VOLUME</stp>
        <stp>.SPY251017P590</stp>
        <tr r="S7" s="2"/>
      </tp>
      <tp t="s">
        <v>N/A</v>
        <stp/>
        <stp>VOLUME</stp>
        <stp>.SPY251017C590</stp>
        <tr r="S7" s="2"/>
      </tp>
      <tp t="s">
        <v>N/A</v>
        <stp/>
        <stp>VOLUME</stp>
        <stp>.SPY251017P592</stp>
        <tr r="S5" s="2"/>
      </tp>
      <tp t="s">
        <v>N/A</v>
        <stp/>
        <stp>VOLUME</stp>
        <stp>.SPY251017C592</stp>
        <tr r="S5" s="2"/>
      </tp>
      <tp t="s">
        <v>N/A</v>
        <stp/>
        <stp>VOLUME</stp>
        <stp>.QQQ250919P499</stp>
        <tr r="Q69" s="2"/>
      </tp>
      <tp t="s">
        <v>N/A</v>
        <stp/>
        <stp>VOLUME</stp>
        <stp>.QQQ250919C499</stp>
        <tr r="Q69" s="2"/>
      </tp>
      <tp t="s">
        <v>N/A</v>
        <stp/>
        <stp>VOLUME</stp>
        <stp>.QQQ250919P498</stp>
        <tr r="Q70" s="2"/>
      </tp>
      <tp t="s">
        <v>N/A</v>
        <stp/>
        <stp>VOLUME</stp>
        <stp>.QQQ250919C498</stp>
        <tr r="Q70" s="2"/>
      </tp>
      <tp>
        <v>1597</v>
        <stp/>
        <stp>VOLUME</stp>
        <stp>.QQQ250919P495</stp>
        <tr r="Q73" s="2"/>
        <tr r="Q73" s="2"/>
      </tp>
      <tp>
        <v>108</v>
        <stp/>
        <stp>VOLUME</stp>
        <stp>.QQQ250919C495</stp>
        <tr r="Q73" s="2"/>
        <tr r="Q73" s="2"/>
      </tp>
      <tp t="s">
        <v>N/A</v>
        <stp/>
        <stp>VOLUME</stp>
        <stp>.QQQ250919P494</stp>
        <tr r="Q74" s="2"/>
      </tp>
      <tp t="s">
        <v>N/A</v>
        <stp/>
        <stp>VOLUME</stp>
        <stp>.QQQ250919C494</stp>
        <tr r="Q74" s="2"/>
      </tp>
      <tp t="s">
        <v>N/A</v>
        <stp/>
        <stp>VOLUME</stp>
        <stp>.QQQ250919P497</stp>
        <tr r="Q71" s="2"/>
      </tp>
      <tp t="s">
        <v>N/A</v>
        <stp/>
        <stp>VOLUME</stp>
        <stp>.QQQ250919C497</stp>
        <tr r="Q71" s="2"/>
      </tp>
      <tp t="s">
        <v>N/A</v>
        <stp/>
        <stp>VOLUME</stp>
        <stp>.QQQ250919P496</stp>
        <tr r="Q72" s="2"/>
      </tp>
      <tp t="s">
        <v>N/A</v>
        <stp/>
        <stp>VOLUME</stp>
        <stp>.QQQ250919C496</stp>
        <tr r="Q72" s="2"/>
      </tp>
      <tp t="s">
        <v>N/A</v>
        <stp/>
        <stp>VOLUME</stp>
        <stp>.QQQ250919P491</stp>
        <tr r="Q77" s="2"/>
      </tp>
      <tp t="s">
        <v>N/A</v>
        <stp/>
        <stp>VOLUME</stp>
        <stp>.QQQ250919C491</stp>
        <tr r="Q77" s="2"/>
      </tp>
      <tp>
        <v>1598</v>
        <stp/>
        <stp>VOLUME</stp>
        <stp>.QQQ250919P490</stp>
        <tr r="Q78" s="2"/>
        <tr r="Q78" s="2"/>
      </tp>
      <tp>
        <v>106</v>
        <stp/>
        <stp>VOLUME</stp>
        <stp>.QQQ250919C490</stp>
        <tr r="Q78" s="2"/>
        <tr r="Q78" s="2"/>
      </tp>
      <tp t="s">
        <v>N/A</v>
        <stp/>
        <stp>VOLUME</stp>
        <stp>.QQQ250919P493</stp>
        <tr r="Q75" s="2"/>
      </tp>
      <tp t="s">
        <v>N/A</v>
        <stp/>
        <stp>VOLUME</stp>
        <stp>.QQQ250919C493</stp>
        <tr r="Q75" s="2"/>
      </tp>
      <tp t="s">
        <v>N/A</v>
        <stp/>
        <stp>VOLUME</stp>
        <stp>.QQQ250919P492</stp>
        <tr r="Q76" s="2"/>
      </tp>
      <tp t="s">
        <v>N/A</v>
        <stp/>
        <stp>VOLUME</stp>
        <stp>.QQQ250919C492</stp>
        <tr r="Q76" s="2"/>
      </tp>
      <tp t="s">
        <v>N/A</v>
        <stp/>
        <stp>VOLUME</stp>
        <stp>.SPY251031P587</stp>
        <tr r="T10" s="2"/>
      </tp>
      <tp t="s">
        <v>N/A</v>
        <stp/>
        <stp>VOLUME</stp>
        <stp>.SPY251031C587</stp>
        <tr r="T10" s="2"/>
      </tp>
      <tp t="s">
        <v>N/A</v>
        <stp/>
        <stp>VOLUME</stp>
        <stp>.SPY251031P586</stp>
        <tr r="T11" s="2"/>
      </tp>
      <tp t="s">
        <v>N/A</v>
        <stp/>
        <stp>VOLUME</stp>
        <stp>.SPY251031C586</stp>
        <tr r="T11" s="2"/>
      </tp>
      <tp>
        <v>91</v>
        <stp/>
        <stp>VOLUME</stp>
        <stp>.SPY251031P585</stp>
        <tr r="T12" s="2"/>
        <tr r="T12" s="2"/>
      </tp>
      <tp>
        <v>93</v>
        <stp/>
        <stp>VOLUME</stp>
        <stp>.SPY251031C585</stp>
        <tr r="T12" s="2"/>
        <tr r="T12" s="2"/>
      </tp>
      <tp t="s">
        <v>N/A</v>
        <stp/>
        <stp>VOLUME</stp>
        <stp>.SPY251031P584</stp>
        <tr r="T13" s="2"/>
      </tp>
      <tp t="s">
        <v>N/A</v>
        <stp/>
        <stp>VOLUME</stp>
        <stp>.SPY251031C584</stp>
        <tr r="T13" s="2"/>
      </tp>
      <tp t="s">
        <v>N/A</v>
        <stp/>
        <stp>VOLUME</stp>
        <stp>.SPY251031P583</stp>
        <tr r="T14" s="2"/>
      </tp>
      <tp t="s">
        <v>N/A</v>
        <stp/>
        <stp>VOLUME</stp>
        <stp>.SPY251031C583</stp>
        <tr r="T14" s="2"/>
      </tp>
      <tp t="s">
        <v>N/A</v>
        <stp/>
        <stp>VOLUME</stp>
        <stp>.SPY251031P582</stp>
        <tr r="T15" s="2"/>
      </tp>
      <tp t="s">
        <v>N/A</v>
        <stp/>
        <stp>VOLUME</stp>
        <stp>.SPY251031C582</stp>
        <tr r="T15" s="2"/>
      </tp>
      <tp t="s">
        <v>N/A</v>
        <stp/>
        <stp>VOLUME</stp>
        <stp>.SPY251031P581</stp>
        <tr r="T16" s="2"/>
      </tp>
      <tp t="s">
        <v>N/A</v>
        <stp/>
        <stp>VOLUME</stp>
        <stp>.SPY251031C581</stp>
        <tr r="T16" s="2"/>
      </tp>
      <tp>
        <v>290</v>
        <stp/>
        <stp>VOLUME</stp>
        <stp>.SPY251031P580</stp>
        <tr r="T17" s="2"/>
        <tr r="T17" s="2"/>
      </tp>
      <tp>
        <v>88</v>
        <stp/>
        <stp>VOLUME</stp>
        <stp>.SPY251031C580</stp>
        <tr r="T17" s="2"/>
        <tr r="T17" s="2"/>
      </tp>
      <tp>
        <v>2</v>
        <stp/>
        <stp>VOLUME</stp>
        <stp>.QQQ250930P488</stp>
        <tr r="R80" s="2"/>
        <tr r="R80" s="2"/>
      </tp>
      <tp>
        <v>18</v>
        <stp/>
        <stp>VOLUME</stp>
        <stp>.QQQ250930C488</stp>
        <tr r="R80" s="2"/>
        <tr r="R80" s="2"/>
      </tp>
      <tp>
        <v>1</v>
        <stp/>
        <stp>VOLUME</stp>
        <stp>.QQQ250930P489</stp>
        <tr r="R79" s="2"/>
        <tr r="R79" s="2"/>
      </tp>
      <tp>
        <v>1</v>
        <stp/>
        <stp>VOLUME</stp>
        <stp>.QQQ250930C489</stp>
        <tr r="R79" s="2"/>
        <tr r="R79" s="2"/>
      </tp>
      <tp t="s">
        <v>N/A</v>
        <stp/>
        <stp>VOLUME</stp>
        <stp>.SPY251031P589</stp>
        <tr r="T8" s="2"/>
      </tp>
      <tp t="s">
        <v>N/A</v>
        <stp/>
        <stp>VOLUME</stp>
        <stp>.SPY251031C589</stp>
        <tr r="T8" s="2"/>
      </tp>
      <tp t="s">
        <v>N/A</v>
        <stp/>
        <stp>VOLUME</stp>
        <stp>.SPY251031P588</stp>
        <tr r="T9" s="2"/>
      </tp>
      <tp t="s">
        <v>N/A</v>
        <stp/>
        <stp>VOLUME</stp>
        <stp>.SPY251031C588</stp>
        <tr r="T9" s="2"/>
      </tp>
      <tp t="s">
        <v>N/A</v>
        <stp/>
        <stp>VOLUME</stp>
        <stp>.QQQ250930P494</stp>
        <tr r="R74" s="2"/>
      </tp>
      <tp>
        <v>1</v>
        <stp/>
        <stp>VOLUME</stp>
        <stp>.QQQ250930C494</stp>
        <tr r="R74" s="2"/>
        <tr r="R74" s="2"/>
      </tp>
      <tp>
        <v>8</v>
        <stp/>
        <stp>VOLUME</stp>
        <stp>.QQQ250930P495</stp>
        <tr r="R73" s="2"/>
        <tr r="R73" s="2"/>
      </tp>
      <tp>
        <v>11</v>
        <stp/>
        <stp>VOLUME</stp>
        <stp>.QQQ250930C495</stp>
        <tr r="R73" s="2"/>
        <tr r="R73" s="2"/>
      </tp>
      <tp t="s">
        <v>N/A</v>
        <stp/>
        <stp>VOLUME</stp>
        <stp>.QQQ250930P496</stp>
        <tr r="R72" s="2"/>
      </tp>
      <tp>
        <v>3</v>
        <stp/>
        <stp>VOLUME</stp>
        <stp>.QQQ250930C496</stp>
        <tr r="R72" s="2"/>
        <tr r="R72" s="2"/>
      </tp>
      <tp t="s">
        <v>N/A</v>
        <stp/>
        <stp>VOLUME</stp>
        <stp>.QQQ250930P497</stp>
        <tr r="R71" s="2"/>
      </tp>
      <tp>
        <v>2</v>
        <stp/>
        <stp>VOLUME</stp>
        <stp>.QQQ250930C497</stp>
        <tr r="R71" s="2"/>
        <tr r="R71" s="2"/>
      </tp>
      <tp>
        <v>182</v>
        <stp/>
        <stp>VOLUME</stp>
        <stp>.QQQ250930P490</stp>
        <tr r="R78" s="2"/>
        <tr r="R78" s="2"/>
      </tp>
      <tp>
        <v>18</v>
        <stp/>
        <stp>VOLUME</stp>
        <stp>.QQQ250930C490</stp>
        <tr r="R78" s="2"/>
        <tr r="R78" s="2"/>
      </tp>
      <tp t="s">
        <v>N/A</v>
        <stp/>
        <stp>VOLUME</stp>
        <stp>.QQQ250930P491</stp>
        <tr r="R77" s="2"/>
      </tp>
      <tp t="s">
        <v>N/A</v>
        <stp/>
        <stp>VOLUME</stp>
        <stp>.SPY251031P592</stp>
        <tr r="T5" s="2"/>
      </tp>
      <tp>
        <v>2</v>
        <stp/>
        <stp>VOLUME</stp>
        <stp>.QQQ250930C491</stp>
        <tr r="R77" s="2"/>
        <tr r="R77" s="2"/>
      </tp>
      <tp t="s">
        <v>N/A</v>
        <stp/>
        <stp>VOLUME</stp>
        <stp>.SPY251031C592</stp>
        <tr r="T5" s="2"/>
      </tp>
      <tp>
        <v>20</v>
        <stp/>
        <stp>VOLUME</stp>
        <stp>.QQQ250930P492</stp>
        <tr r="R76" s="2"/>
        <tr r="R76" s="2"/>
      </tp>
      <tp t="s">
        <v>N/A</v>
        <stp/>
        <stp>VOLUME</stp>
        <stp>.SPY251031P591</stp>
        <tr r="T6" s="2"/>
      </tp>
      <tp>
        <v>9</v>
        <stp/>
        <stp>VOLUME</stp>
        <stp>.QQQ250930C492</stp>
        <tr r="R76" s="2"/>
        <tr r="R76" s="2"/>
      </tp>
      <tp t="s">
        <v>N/A</v>
        <stp/>
        <stp>VOLUME</stp>
        <stp>.SPY251031C591</stp>
        <tr r="T6" s="2"/>
      </tp>
      <tp>
        <v>1</v>
        <stp/>
        <stp>VOLUME</stp>
        <stp>.QQQ250930P493</stp>
        <tr r="R75" s="2"/>
        <tr r="R75" s="2"/>
      </tp>
      <tp>
        <v>20</v>
        <stp/>
        <stp>VOLUME</stp>
        <stp>.SPY251031P590</stp>
        <tr r="T7" s="2"/>
        <tr r="T7" s="2"/>
      </tp>
      <tp>
        <v>201</v>
        <stp/>
        <stp>VOLUME</stp>
        <stp>.QQQ250930C493</stp>
        <tr r="R75" s="2"/>
        <tr r="R75" s="2"/>
      </tp>
      <tp>
        <v>69</v>
        <stp/>
        <stp>VOLUME</stp>
        <stp>.SPY251031C590</stp>
        <tr r="T7" s="2"/>
        <tr r="T7" s="2"/>
      </tp>
      <tp>
        <v>1</v>
        <stp/>
        <stp>VOLUME</stp>
        <stp>.QQQ250930P498</stp>
        <tr r="R70" s="2"/>
        <tr r="R70" s="2"/>
      </tp>
      <tp>
        <v>17</v>
        <stp/>
        <stp>VOLUME</stp>
        <stp>.QQQ250930C498</stp>
        <tr r="R70" s="2"/>
        <tr r="R70" s="2"/>
      </tp>
      <tp>
        <v>4</v>
        <stp/>
        <stp>VOLUME</stp>
        <stp>.QQQ250930P499</stp>
        <tr r="R69" s="2"/>
        <tr r="R69" s="2"/>
      </tp>
      <tp>
        <v>7</v>
        <stp/>
        <stp>VOLUME</stp>
        <stp>.QQQ250930C499</stp>
        <tr r="R69" s="2"/>
        <tr r="R69" s="2"/>
      </tp>
      <tp t="s">
        <v>N/A</v>
        <stp/>
        <stp>VOLUME</stp>
        <stp>.QQQ250815P501</stp>
        <tr r="O67" s="2"/>
      </tp>
      <tp t="s">
        <v>N/A</v>
        <stp/>
        <stp>VOLUME</stp>
        <stp>.QQQ250815C501</stp>
        <tr r="O67" s="2"/>
      </tp>
      <tp>
        <v>546</v>
        <stp/>
        <stp>VOLUME</stp>
        <stp>.QQQ250815P500</stp>
        <tr r="O68" s="2"/>
        <tr r="O68" s="2"/>
      </tp>
      <tp>
        <v>791</v>
        <stp/>
        <stp>VOLUME</stp>
        <stp>.QQQ250815C500</stp>
        <tr r="O68" s="2"/>
        <tr r="O68" s="2"/>
      </tp>
      <tp t="s">
        <v>N/A</v>
        <stp/>
        <stp>VOLUME</stp>
        <stp>.QQQ250815P503</stp>
        <tr r="O65" s="2"/>
      </tp>
      <tp t="s">
        <v>N/A</v>
        <stp/>
        <stp>VOLUME</stp>
        <stp>.QQQ250815C503</stp>
        <tr r="O65" s="2"/>
      </tp>
      <tp t="s">
        <v>N/A</v>
        <stp/>
        <stp>VOLUME</stp>
        <stp>.QQQ250815P502</stp>
        <tr r="O66" s="2"/>
      </tp>
      <tp t="s">
        <v>N/A</v>
        <stp/>
        <stp>VOLUME</stp>
        <stp>.QQQ250815C502</stp>
        <tr r="O66" s="2"/>
      </tp>
      <tp>
        <v>429</v>
        <stp/>
        <stp>VOLUME</stp>
        <stp>.QQQ250815P505</stp>
        <tr r="O63" s="2"/>
        <tr r="O63" s="2"/>
      </tp>
      <tp>
        <v>2043</v>
        <stp/>
        <stp>VOLUME</stp>
        <stp>.QQQ250815C505</stp>
        <tr r="O63" s="2"/>
        <tr r="O63" s="2"/>
      </tp>
      <tp t="s">
        <v>N/A</v>
        <stp/>
        <stp>VOLUME</stp>
        <stp>.QQQ250815P504</stp>
        <tr r="O64" s="2"/>
      </tp>
      <tp t="s">
        <v>N/A</v>
        <stp/>
        <stp>VOLUME</stp>
        <stp>.QQQ250815C504</stp>
        <tr r="O64" s="2"/>
      </tp>
      <tp t="s">
        <v>N/A</v>
        <stp/>
        <stp>VOLUME</stp>
        <stp>.QQQ250815P507</stp>
        <tr r="O61" s="2"/>
      </tp>
      <tp t="s">
        <v>N/A</v>
        <stp/>
        <stp>VOLUME</stp>
        <stp>.QQQ250815C507</stp>
        <tr r="O61" s="2"/>
      </tp>
      <tp t="s">
        <v>N/A</v>
        <stp/>
        <stp>VOLUME</stp>
        <stp>.QQQ250815P506</stp>
        <tr r="O62" s="2"/>
      </tp>
      <tp t="s">
        <v>N/A</v>
        <stp/>
        <stp>VOLUME</stp>
        <stp>.QQQ250815C506</stp>
        <tr r="O62" s="2"/>
      </tp>
      <tp t="s">
        <v>N/A</v>
        <stp/>
        <stp>VOLUME</stp>
        <stp>.QQQ250815P509</stp>
        <tr r="O59" s="2"/>
      </tp>
      <tp t="s">
        <v>N/A</v>
        <stp/>
        <stp>VOLUME</stp>
        <stp>.QQQ250815C509</stp>
        <tr r="O59" s="2"/>
      </tp>
      <tp t="s">
        <v>N/A</v>
        <stp/>
        <stp>VOLUME</stp>
        <stp>.QQQ250815P508</stp>
        <tr r="O60" s="2"/>
      </tp>
      <tp t="s">
        <v>N/A</v>
        <stp/>
        <stp>VOLUME</stp>
        <stp>.QQQ250815C508</stp>
        <tr r="O60" s="2"/>
      </tp>
      <tp t="s">
        <v>N/A</v>
        <stp/>
        <stp>VOLUME</stp>
        <stp>.QQQ250815P511</stp>
        <tr r="O57" s="2"/>
      </tp>
      <tp t="s">
        <v>N/A</v>
        <stp/>
        <stp>VOLUME</stp>
        <stp>.QQQ250815C511</stp>
        <tr r="O57" s="2"/>
      </tp>
      <tp>
        <v>138</v>
        <stp/>
        <stp>VOLUME</stp>
        <stp>.QQQ250815P510</stp>
        <tr r="O58" s="2"/>
        <tr r="O58" s="2"/>
      </tp>
      <tp>
        <v>180</v>
        <stp/>
        <stp>VOLUME</stp>
        <stp>.QQQ250815C510</stp>
        <tr r="O58" s="2"/>
        <tr r="O58" s="2"/>
      </tp>
      <tp t="s">
        <v>N/A</v>
        <stp/>
        <stp>VOLUME</stp>
        <stp>.QQQ250815P513</stp>
        <tr r="O55" s="2"/>
      </tp>
      <tp t="s">
        <v>N/A</v>
        <stp/>
        <stp>VOLUME</stp>
        <stp>.QQQ250815C513</stp>
        <tr r="O55" s="2"/>
      </tp>
      <tp t="s">
        <v>N/A</v>
        <stp/>
        <stp>VOLUME</stp>
        <stp>.QQQ250815P512</stp>
        <tr r="O56" s="2"/>
      </tp>
      <tp t="s">
        <v>N/A</v>
        <stp/>
        <stp>VOLUME</stp>
        <stp>.QQQ250815C512</stp>
        <tr r="O56" s="2"/>
      </tp>
      <tp>
        <v>52</v>
        <stp/>
        <stp>VOLUME</stp>
        <stp>.QQQ250815P515</stp>
        <tr r="O53" s="2"/>
        <tr r="O53" s="2"/>
      </tp>
      <tp>
        <v>166</v>
        <stp/>
        <stp>VOLUME</stp>
        <stp>.QQQ250815C515</stp>
        <tr r="O53" s="2"/>
        <tr r="O53" s="2"/>
      </tp>
      <tp t="s">
        <v>N/A</v>
        <stp/>
        <stp>VOLUME</stp>
        <stp>.QQQ250815P514</stp>
        <tr r="O54" s="2"/>
      </tp>
      <tp t="s">
        <v>N/A</v>
        <stp/>
        <stp>VOLUME</stp>
        <stp>.QQQ250815C514</stp>
        <tr r="O54" s="2"/>
      </tp>
      <tp t="s">
        <v>N/A</v>
        <stp/>
        <stp>VOLUME</stp>
        <stp>.QQQ250815P517</stp>
        <tr r="O51" s="2"/>
      </tp>
      <tp t="s">
        <v>N/A</v>
        <stp/>
        <stp>VOLUME</stp>
        <stp>.QQQ250815C517</stp>
        <tr r="O51" s="2"/>
      </tp>
      <tp t="s">
        <v>N/A</v>
        <stp/>
        <stp>VOLUME</stp>
        <stp>.QQQ250815P516</stp>
        <tr r="O52" s="2"/>
      </tp>
      <tp t="s">
        <v>N/A</v>
        <stp/>
        <stp>VOLUME</stp>
        <stp>.QQQ250815C516</stp>
        <tr r="O52" s="2"/>
      </tp>
      <tp t="s">
        <v>N/A</v>
        <stp/>
        <stp>VOLUME</stp>
        <stp>.QQQ250815P519</stp>
        <tr r="O49" s="2"/>
      </tp>
      <tp t="s">
        <v>N/A</v>
        <stp/>
        <stp>VOLUME</stp>
        <stp>.QQQ250815C519</stp>
        <tr r="O49" s="2"/>
      </tp>
      <tp t="s">
        <v>N/A</v>
        <stp/>
        <stp>VOLUME</stp>
        <stp>.QQQ250815P518</stp>
        <tr r="O50" s="2"/>
      </tp>
      <tp t="s">
        <v>N/A</v>
        <stp/>
        <stp>VOLUME</stp>
        <stp>.QQQ250815C518</stp>
        <tr r="O50" s="2"/>
      </tp>
      <tp t="s">
        <v>N/A</v>
        <stp/>
        <stp>VOLUME</stp>
        <stp>.QQQ250829P521</stp>
        <tr r="P47" s="2"/>
      </tp>
      <tp t="s">
        <v>N/A</v>
        <stp/>
        <stp>VOLUME</stp>
        <stp>.QQQ250829C521</stp>
        <tr r="P47" s="2"/>
      </tp>
      <tp>
        <v>32</v>
        <stp/>
        <stp>VOLUME</stp>
        <stp>.QQQ250829P520</stp>
        <tr r="P48" s="2"/>
        <tr r="P48" s="2"/>
      </tp>
      <tp>
        <v>47</v>
        <stp/>
        <stp>VOLUME</stp>
        <stp>.QQQ250829C520</stp>
        <tr r="P48" s="2"/>
        <tr r="P48" s="2"/>
      </tp>
      <tp t="s">
        <v>N/A</v>
        <stp/>
        <stp>VOLUME</stp>
        <stp>.QQQ250829P522</stp>
        <tr r="P46" s="2"/>
      </tp>
      <tp t="s">
        <v>N/A</v>
        <stp/>
        <stp>VOLUME</stp>
        <stp>.QQQ250829C522</stp>
        <tr r="P46" s="2"/>
      </tp>
      <tp t="s">
        <v>N/A</v>
        <stp/>
        <stp>VOLUME</stp>
        <stp>.QQQ250815P521</stp>
        <tr r="O47" s="2"/>
      </tp>
      <tp t="s">
        <v>N/A</v>
        <stp/>
        <stp>VOLUME</stp>
        <stp>.QQQ250815C521</stp>
        <tr r="O47" s="2"/>
      </tp>
      <tp>
        <v>34</v>
        <stp/>
        <stp>VOLUME</stp>
        <stp>.QQQ250815P520</stp>
        <tr r="O48" s="2"/>
        <tr r="O48" s="2"/>
      </tp>
      <tp>
        <v>793</v>
        <stp/>
        <stp>VOLUME</stp>
        <stp>.QQQ250815C520</stp>
        <tr r="O48" s="2"/>
        <tr r="O48" s="2"/>
      </tp>
      <tp t="s">
        <v>N/A</v>
        <stp/>
        <stp>VOLUME</stp>
        <stp>.QQQ250815P522</stp>
        <tr r="O46" s="2"/>
      </tp>
      <tp t="s">
        <v>N/A</v>
        <stp/>
        <stp>VOLUME</stp>
        <stp>.QQQ250815C522</stp>
        <tr r="O46" s="2"/>
      </tp>
      <tp t="s">
        <v>N/A</v>
        <stp/>
        <stp>VOLUME</stp>
        <stp>.QQQ250829P519</stp>
        <tr r="P49" s="2"/>
      </tp>
      <tp t="s">
        <v>N/A</v>
        <stp/>
        <stp>VOLUME</stp>
        <stp>.QQQ250829C519</stp>
        <tr r="P49" s="2"/>
      </tp>
      <tp t="s">
        <v>N/A</v>
        <stp/>
        <stp>VOLUME</stp>
        <stp>.QQQ250829P518</stp>
        <tr r="P50" s="2"/>
      </tp>
      <tp t="s">
        <v>N/A</v>
        <stp/>
        <stp>VOLUME</stp>
        <stp>.QQQ250829C518</stp>
        <tr r="P50" s="2"/>
      </tp>
      <tp>
        <v>274</v>
        <stp/>
        <stp>VOLUME</stp>
        <stp>.QQQ250829P515</stp>
        <tr r="P53" s="2"/>
        <tr r="P53" s="2"/>
      </tp>
      <tp>
        <v>568</v>
        <stp/>
        <stp>VOLUME</stp>
        <stp>.QQQ250829C515</stp>
        <tr r="P53" s="2"/>
        <tr r="P53" s="2"/>
      </tp>
      <tp t="s">
        <v>N/A</v>
        <stp/>
        <stp>VOLUME</stp>
        <stp>.QQQ250829P514</stp>
        <tr r="P54" s="2"/>
      </tp>
      <tp t="s">
        <v>N/A</v>
        <stp/>
        <stp>VOLUME</stp>
        <stp>.QQQ250829C514</stp>
        <tr r="P54" s="2"/>
      </tp>
      <tp t="s">
        <v>N/A</v>
        <stp/>
        <stp>VOLUME</stp>
        <stp>.QQQ250829P517</stp>
        <tr r="P51" s="2"/>
      </tp>
      <tp t="s">
        <v>N/A</v>
        <stp/>
        <stp>VOLUME</stp>
        <stp>.QQQ250829C517</stp>
        <tr r="P51" s="2"/>
      </tp>
      <tp t="s">
        <v>N/A</v>
        <stp/>
        <stp>VOLUME</stp>
        <stp>.QQQ250829P516</stp>
        <tr r="P52" s="2"/>
      </tp>
      <tp t="s">
        <v>N/A</v>
        <stp/>
        <stp>VOLUME</stp>
        <stp>.QQQ250829C516</stp>
        <tr r="P52" s="2"/>
      </tp>
      <tp t="s">
        <v>N/A</v>
        <stp/>
        <stp>VOLUME</stp>
        <stp>.QQQ250829P511</stp>
        <tr r="P57" s="2"/>
      </tp>
      <tp t="s">
        <v>N/A</v>
        <stp/>
        <stp>VOLUME</stp>
        <stp>.QQQ250829C511</stp>
        <tr r="P57" s="2"/>
      </tp>
      <tp>
        <v>3</v>
        <stp/>
        <stp>VOLUME</stp>
        <stp>.QQQ250829P510</stp>
        <tr r="P58" s="2"/>
        <tr r="P58" s="2"/>
      </tp>
      <tp>
        <v>26</v>
        <stp/>
        <stp>VOLUME</stp>
        <stp>.QQQ250829C510</stp>
        <tr r="P58" s="2"/>
        <tr r="P58" s="2"/>
      </tp>
      <tp t="s">
        <v>N/A</v>
        <stp/>
        <stp>VOLUME</stp>
        <stp>.QQQ250829P513</stp>
        <tr r="P55" s="2"/>
      </tp>
      <tp t="s">
        <v>N/A</v>
        <stp/>
        <stp>VOLUME</stp>
        <stp>.QQQ250829C513</stp>
        <tr r="P55" s="2"/>
      </tp>
      <tp t="s">
        <v>N/A</v>
        <stp/>
        <stp>VOLUME</stp>
        <stp>.QQQ250829P512</stp>
        <tr r="P56" s="2"/>
      </tp>
      <tp t="s">
        <v>N/A</v>
        <stp/>
        <stp>VOLUME</stp>
        <stp>.QQQ250829C512</stp>
        <tr r="P56" s="2"/>
      </tp>
      <tp t="s">
        <v>N/A</v>
        <stp/>
        <stp>VOLUME</stp>
        <stp>.QQQ250829P509</stp>
        <tr r="P59" s="2"/>
      </tp>
      <tp t="s">
        <v>N/A</v>
        <stp/>
        <stp>VOLUME</stp>
        <stp>.QQQ250829C509</stp>
        <tr r="P59" s="2"/>
      </tp>
      <tp t="s">
        <v>N/A</v>
        <stp/>
        <stp>VOLUME</stp>
        <stp>.QQQ250829P508</stp>
        <tr r="P60" s="2"/>
      </tp>
      <tp t="s">
        <v>N/A</v>
        <stp/>
        <stp>VOLUME</stp>
        <stp>.QQQ250829C508</stp>
        <tr r="P60" s="2"/>
      </tp>
      <tp>
        <v>20</v>
        <stp/>
        <stp>VOLUME</stp>
        <stp>.QQQ250829P505</stp>
        <tr r="P63" s="2"/>
        <tr r="P63" s="2"/>
      </tp>
      <tp>
        <v>75</v>
        <stp/>
        <stp>VOLUME</stp>
        <stp>.QQQ250829C505</stp>
        <tr r="P63" s="2"/>
        <tr r="P63" s="2"/>
      </tp>
      <tp t="s">
        <v>N/A</v>
        <stp/>
        <stp>VOLUME</stp>
        <stp>.QQQ250829P504</stp>
        <tr r="P64" s="2"/>
      </tp>
      <tp t="s">
        <v>N/A</v>
        <stp/>
        <stp>VOLUME</stp>
        <stp>.QQQ250829C504</stp>
        <tr r="P64" s="2"/>
      </tp>
      <tp t="s">
        <v>N/A</v>
        <stp/>
        <stp>VOLUME</stp>
        <stp>.QQQ250829P507</stp>
        <tr r="P61" s="2"/>
      </tp>
      <tp t="s">
        <v>N/A</v>
        <stp/>
        <stp>VOLUME</stp>
        <stp>.QQQ250829C507</stp>
        <tr r="P61" s="2"/>
      </tp>
      <tp t="s">
        <v>N/A</v>
        <stp/>
        <stp>VOLUME</stp>
        <stp>.QQQ250829P506</stp>
        <tr r="P62" s="2"/>
      </tp>
      <tp t="s">
        <v>N/A</v>
        <stp/>
        <stp>VOLUME</stp>
        <stp>.QQQ250829C506</stp>
        <tr r="P62" s="2"/>
      </tp>
      <tp t="s">
        <v>N/A</v>
        <stp/>
        <stp>VOLUME</stp>
        <stp>.QQQ250829P501</stp>
        <tr r="P67" s="2"/>
      </tp>
      <tp t="s">
        <v>N/A</v>
        <stp/>
        <stp>VOLUME</stp>
        <stp>.QQQ250829C501</stp>
        <tr r="P67" s="2"/>
      </tp>
      <tp>
        <v>44</v>
        <stp/>
        <stp>VOLUME</stp>
        <stp>.QQQ250829P500</stp>
        <tr r="P68" s="2"/>
        <tr r="P68" s="2"/>
      </tp>
      <tp>
        <v>85</v>
        <stp/>
        <stp>VOLUME</stp>
        <stp>.QQQ250829C500</stp>
        <tr r="P68" s="2"/>
        <tr r="P68" s="2"/>
      </tp>
      <tp t="s">
        <v>N/A</v>
        <stp/>
        <stp>VOLUME</stp>
        <stp>.QQQ250829P503</stp>
        <tr r="P65" s="2"/>
      </tp>
      <tp t="s">
        <v>N/A</v>
        <stp/>
        <stp>VOLUME</stp>
        <stp>.QQQ250829C503</stp>
        <tr r="P65" s="2"/>
      </tp>
      <tp t="s">
        <v>N/A</v>
        <stp/>
        <stp>VOLUME</stp>
        <stp>.QQQ250829P502</stp>
        <tr r="P66" s="2"/>
      </tp>
      <tp t="s">
        <v>N/A</v>
        <stp/>
        <stp>VOLUME</stp>
        <stp>.QQQ250829C502</stp>
        <tr r="P66" s="2"/>
      </tp>
      <tp>
        <v>6</v>
        <stp/>
        <stp>VOLUME</stp>
        <stp>.SPY251031P567</stp>
        <tr r="T30" s="2"/>
        <tr r="T30" s="2"/>
      </tp>
      <tp>
        <v>3</v>
        <stp/>
        <stp>VOLUME</stp>
        <stp>.SPY251031C567</stp>
        <tr r="T30" s="2"/>
        <tr r="T30" s="2"/>
      </tp>
      <tp t="s">
        <v>N/A</v>
        <stp/>
        <stp>VOLUME</stp>
        <stp>.SPY251031P566</stp>
        <tr r="T31" s="2"/>
      </tp>
      <tp>
        <v>1</v>
        <stp/>
        <stp>VOLUME</stp>
        <stp>.SPY251031C566</stp>
        <tr r="T31" s="2"/>
        <tr r="T31" s="2"/>
      </tp>
      <tp>
        <v>288</v>
        <stp/>
        <stp>VOLUME</stp>
        <stp>.SPY251031P565</stp>
        <tr r="T32" s="2"/>
        <tr r="T32" s="2"/>
      </tp>
      <tp>
        <v>52</v>
        <stp/>
        <stp>VOLUME</stp>
        <stp>.SPY251031C565</stp>
        <tr r="T32" s="2"/>
        <tr r="T32" s="2"/>
      </tp>
      <tp>
        <v>3</v>
        <stp/>
        <stp>VOLUME</stp>
        <stp>.SPY251031P564</stp>
        <tr r="T33" s="2"/>
        <tr r="T33" s="2"/>
      </tp>
      <tp>
        <v>17</v>
        <stp/>
        <stp>VOLUME</stp>
        <stp>.SPY251031C564</stp>
        <tr r="T33" s="2"/>
        <tr r="T33" s="2"/>
      </tp>
      <tp>
        <v>7</v>
        <stp/>
        <stp>VOLUME</stp>
        <stp>.SPY251031P563</stp>
        <tr r="T34" s="2"/>
        <tr r="T34" s="2"/>
      </tp>
      <tp>
        <v>1</v>
        <stp/>
        <stp>VOLUME</stp>
        <stp>.SPY251031C563</stp>
        <tr r="T34" s="2"/>
        <tr r="T34" s="2"/>
      </tp>
      <tp t="s">
        <v>N/A</v>
        <stp/>
        <stp>VOLUME</stp>
        <stp>.SPY251031P562</stp>
        <tr r="T35" s="2"/>
      </tp>
      <tp>
        <v>1</v>
        <stp/>
        <stp>VOLUME</stp>
        <stp>.SPY251031C562</stp>
        <tr r="T35" s="2"/>
        <tr r="T35" s="2"/>
      </tp>
      <tp t="s">
        <v>N/A</v>
        <stp/>
        <stp>VOLUME</stp>
        <stp>.SPY251031P561</stp>
        <tr r="T36" s="2"/>
      </tp>
      <tp t="s">
        <v>N/A</v>
        <stp/>
        <stp>VOLUME</stp>
        <stp>.SPY251031C561</stp>
        <tr r="T36" s="2"/>
      </tp>
      <tp>
        <v>253</v>
        <stp/>
        <stp>VOLUME</stp>
        <stp>.SPY251031P560</stp>
        <tr r="T37" s="2"/>
        <tr r="T37" s="2"/>
      </tp>
      <tp>
        <v>16</v>
        <stp/>
        <stp>VOLUME</stp>
        <stp>.SPY251031C560</stp>
        <tr r="T37" s="2"/>
        <tr r="T37" s="2"/>
      </tp>
      <tp>
        <v>2</v>
        <stp/>
        <stp>VOLUME</stp>
        <stp>.SPY251031P569</stp>
        <tr r="T28" s="2"/>
        <tr r="T28" s="2"/>
      </tp>
      <tp>
        <v>4</v>
        <stp/>
        <stp>VOLUME</stp>
        <stp>.SPY251031C569</stp>
        <tr r="T28" s="2"/>
        <tr r="T28" s="2"/>
      </tp>
      <tp>
        <v>10</v>
        <stp/>
        <stp>VOLUME</stp>
        <stp>.SPY251031P568</stp>
        <tr r="T29" s="2"/>
        <tr r="T29" s="2"/>
      </tp>
      <tp>
        <v>1</v>
        <stp/>
        <stp>VOLUME</stp>
        <stp>.SPY251031C568</stp>
        <tr r="T29" s="2"/>
        <tr r="T29" s="2"/>
      </tp>
      <tp t="s">
        <v>N/A</v>
        <stp/>
        <stp>VOLUME</stp>
        <stp>.SPY251031P577</stp>
        <tr r="T20" s="2"/>
      </tp>
      <tp t="s">
        <v>N/A</v>
        <stp/>
        <stp>VOLUME</stp>
        <stp>.SPY251031C577</stp>
        <tr r="T20" s="2"/>
      </tp>
      <tp t="s">
        <v>N/A</v>
        <stp/>
        <stp>VOLUME</stp>
        <stp>.SPY251031P576</stp>
        <tr r="T21" s="2"/>
      </tp>
      <tp t="s">
        <v>N/A</v>
        <stp/>
        <stp>VOLUME</stp>
        <stp>.SPY251031C576</stp>
        <tr r="T21" s="2"/>
      </tp>
      <tp>
        <v>139</v>
        <stp/>
        <stp>VOLUME</stp>
        <stp>.SPY251031P575</stp>
        <tr r="T22" s="2"/>
        <tr r="T22" s="2"/>
      </tp>
      <tp>
        <v>19</v>
        <stp/>
        <stp>VOLUME</stp>
        <stp>.SPY251031C575</stp>
        <tr r="T22" s="2"/>
        <tr r="T22" s="2"/>
      </tp>
      <tp t="s">
        <v>N/A</v>
        <stp/>
        <stp>VOLUME</stp>
        <stp>.SPY251031P574</stp>
        <tr r="T23" s="2"/>
      </tp>
      <tp t="s">
        <v>N/A</v>
        <stp/>
        <stp>VOLUME</stp>
        <stp>.SPY251031C574</stp>
        <tr r="T23" s="2"/>
      </tp>
      <tp t="s">
        <v>N/A</v>
        <stp/>
        <stp>VOLUME</stp>
        <stp>.SPY251031P573</stp>
        <tr r="T24" s="2"/>
      </tp>
      <tp t="s">
        <v>N/A</v>
        <stp/>
        <stp>VOLUME</stp>
        <stp>.SPY251031C573</stp>
        <tr r="T24" s="2"/>
      </tp>
      <tp>
        <v>31</v>
        <stp/>
        <stp>VOLUME</stp>
        <stp>.SPY251031P572</stp>
        <tr r="T25" s="2"/>
        <tr r="T25" s="2"/>
      </tp>
      <tp t="s">
        <v>N/A</v>
        <stp/>
        <stp>VOLUME</stp>
        <stp>.SPY251031C572</stp>
        <tr r="T25" s="2"/>
      </tp>
      <tp>
        <v>3</v>
        <stp/>
        <stp>VOLUME</stp>
        <stp>.SPY251031P571</stp>
        <tr r="T26" s="2"/>
        <tr r="T26" s="2"/>
      </tp>
      <tp>
        <v>1</v>
        <stp/>
        <stp>VOLUME</stp>
        <stp>.SPY251031C571</stp>
        <tr r="T26" s="2"/>
        <tr r="T26" s="2"/>
      </tp>
      <tp>
        <v>182</v>
        <stp/>
        <stp>VOLUME</stp>
        <stp>.SPY251031P570</stp>
        <tr r="T27" s="2"/>
        <tr r="T27" s="2"/>
      </tp>
      <tp>
        <v>61</v>
        <stp/>
        <stp>VOLUME</stp>
        <stp>.SPY251031C570</stp>
        <tr r="T27" s="2"/>
        <tr r="T27" s="2"/>
      </tp>
      <tp t="s">
        <v>N/A</v>
        <stp/>
        <stp>VOLUME</stp>
        <stp>.SPY251017P559</stp>
        <tr r="S38" s="2"/>
      </tp>
      <tp t="s">
        <v>N/A</v>
        <stp/>
        <stp>VOLUME</stp>
        <stp>.SPY251017C559</stp>
        <tr r="S38" s="2"/>
      </tp>
      <tp t="s">
        <v>N/A</v>
        <stp/>
        <stp>VOLUME</stp>
        <stp>.SPY251017P558</stp>
        <tr r="S39" s="2"/>
      </tp>
      <tp t="s">
        <v>N/A</v>
        <stp/>
        <stp>VOLUME</stp>
        <stp>.SPY251017C558</stp>
        <tr r="S39" s="2"/>
      </tp>
      <tp t="s">
        <v>N/A</v>
        <stp/>
        <stp>VOLUME</stp>
        <stp>.SPY251031P579</stp>
        <tr r="T18" s="2"/>
      </tp>
      <tp t="s">
        <v>N/A</v>
        <stp/>
        <stp>VOLUME</stp>
        <stp>.SPY251031C579</stp>
        <tr r="T18" s="2"/>
      </tp>
      <tp t="s">
        <v>N/A</v>
        <stp/>
        <stp>VOLUME</stp>
        <stp>.SPY251031P578</stp>
        <tr r="T19" s="2"/>
      </tp>
      <tp t="s">
        <v>N/A</v>
        <stp/>
        <stp>VOLUME</stp>
        <stp>.SPY251031C578</stp>
        <tr r="T19" s="2"/>
      </tp>
      <tp t="s">
        <v>N/A</v>
        <stp/>
        <stp>VOLUME</stp>
        <stp>.SPY251017P561</stp>
        <tr r="S36" s="2"/>
      </tp>
      <tp t="s">
        <v>N/A</v>
        <stp/>
        <stp>VOLUME</stp>
        <stp>.SPY251017C561</stp>
        <tr r="S36" s="2"/>
      </tp>
      <tp t="s">
        <v>N/A</v>
        <stp/>
        <stp>VOLUME</stp>
        <stp>.SPY251017P560</stp>
        <tr r="S37" s="2"/>
      </tp>
      <tp t="s">
        <v>N/A</v>
        <stp/>
        <stp>VOLUME</stp>
        <stp>.SPY251017C560</stp>
        <tr r="S37" s="2"/>
      </tp>
      <tp t="s">
        <v>N/A</v>
        <stp/>
        <stp>VOLUME</stp>
        <stp>.SPY251017P563</stp>
        <tr r="S34" s="2"/>
      </tp>
      <tp t="s">
        <v>N/A</v>
        <stp/>
        <stp>VOLUME</stp>
        <stp>.SPY251017C563</stp>
        <tr r="S34" s="2"/>
      </tp>
      <tp t="s">
        <v>N/A</v>
        <stp/>
        <stp>VOLUME</stp>
        <stp>.SPY251017P562</stp>
        <tr r="S35" s="2"/>
      </tp>
      <tp t="s">
        <v>N/A</v>
        <stp/>
        <stp>VOLUME</stp>
        <stp>.SPY251017C562</stp>
        <tr r="S35" s="2"/>
      </tp>
      <tp t="s">
        <v>N/A</v>
        <stp/>
        <stp>VOLUME</stp>
        <stp>.SPY251017P565</stp>
        <tr r="S32" s="2"/>
      </tp>
      <tp t="s">
        <v>N/A</v>
        <stp/>
        <stp>VOLUME</stp>
        <stp>.SPY251017C565</stp>
        <tr r="S32" s="2"/>
      </tp>
      <tp t="s">
        <v>N/A</v>
        <stp/>
        <stp>VOLUME</stp>
        <stp>.SPY251017P564</stp>
        <tr r="S33" s="2"/>
      </tp>
      <tp t="s">
        <v>N/A</v>
        <stp/>
        <stp>VOLUME</stp>
        <stp>.SPY251017C564</stp>
        <tr r="S33" s="2"/>
      </tp>
      <tp t="s">
        <v>N/A</v>
        <stp/>
        <stp>VOLUME</stp>
        <stp>.SPY251017P567</stp>
        <tr r="S30" s="2"/>
      </tp>
      <tp t="s">
        <v>N/A</v>
        <stp/>
        <stp>VOLUME</stp>
        <stp>.SPY251017C567</stp>
        <tr r="S30" s="2"/>
      </tp>
      <tp t="s">
        <v>N/A</v>
        <stp/>
        <stp>VOLUME</stp>
        <stp>.SPY251017P566</stp>
        <tr r="S31" s="2"/>
      </tp>
      <tp t="s">
        <v>N/A</v>
        <stp/>
        <stp>VOLUME</stp>
        <stp>.SPY251017C566</stp>
        <tr r="S31" s="2"/>
      </tp>
      <tp t="s">
        <v>N/A</v>
        <stp/>
        <stp>VOLUME</stp>
        <stp>.SPY251017P569</stp>
        <tr r="S28" s="2"/>
      </tp>
      <tp t="s">
        <v>N/A</v>
        <stp/>
        <stp>VOLUME</stp>
        <stp>.SPY251017C569</stp>
        <tr r="S28" s="2"/>
      </tp>
      <tp t="s">
        <v>N/A</v>
        <stp/>
        <stp>VOLUME</stp>
        <stp>.SPY251017P568</stp>
        <tr r="S29" s="2"/>
      </tp>
      <tp t="s">
        <v>N/A</v>
        <stp/>
        <stp>VOLUME</stp>
        <stp>.SPY251017C568</stp>
        <tr r="S29" s="2"/>
      </tp>
      <tp t="s">
        <v>N/A</v>
        <stp/>
        <stp>VOLUME</stp>
        <stp>.SPY251017P571</stp>
        <tr r="S26" s="2"/>
      </tp>
      <tp t="s">
        <v>N/A</v>
        <stp/>
        <stp>VOLUME</stp>
        <stp>.SPY251017C571</stp>
        <tr r="S26" s="2"/>
      </tp>
      <tp t="s">
        <v>N/A</v>
        <stp/>
        <stp>VOLUME</stp>
        <stp>.SPY251017P570</stp>
        <tr r="S27" s="2"/>
      </tp>
      <tp t="s">
        <v>N/A</v>
        <stp/>
        <stp>VOLUME</stp>
        <stp>.SPY251017C570</stp>
        <tr r="S27" s="2"/>
      </tp>
      <tp t="s">
        <v>N/A</v>
        <stp/>
        <stp>VOLUME</stp>
        <stp>.SPY251017P573</stp>
        <tr r="S24" s="2"/>
      </tp>
      <tp t="s">
        <v>N/A</v>
        <stp/>
        <stp>VOLUME</stp>
        <stp>.SPY251017C573</stp>
        <tr r="S24" s="2"/>
      </tp>
      <tp t="s">
        <v>N/A</v>
        <stp/>
        <stp>VOLUME</stp>
        <stp>.SPY251017P572</stp>
        <tr r="S25" s="2"/>
      </tp>
      <tp t="s">
        <v>N/A</v>
        <stp/>
        <stp>VOLUME</stp>
        <stp>.SPY251017C572</stp>
        <tr r="S25" s="2"/>
      </tp>
      <tp t="s">
        <v>N/A</v>
        <stp/>
        <stp>VOLUME</stp>
        <stp>.SPY251017P575</stp>
        <tr r="S22" s="2"/>
      </tp>
      <tp t="s">
        <v>N/A</v>
        <stp/>
        <stp>VOLUME</stp>
        <stp>.SPY251017C575</stp>
        <tr r="S22" s="2"/>
      </tp>
      <tp t="s">
        <v>N/A</v>
        <stp/>
        <stp>VOLUME</stp>
        <stp>.SPY251017P574</stp>
        <tr r="S23" s="2"/>
      </tp>
      <tp t="s">
        <v>N/A</v>
        <stp/>
        <stp>VOLUME</stp>
        <stp>.SPY251017C574</stp>
        <tr r="S23" s="2"/>
      </tp>
      <tp t="s">
        <v>N/A</v>
        <stp/>
        <stp>VOLUME</stp>
        <stp>.SPY251017P577</stp>
        <tr r="S20" s="2"/>
      </tp>
      <tp t="s">
        <v>N/A</v>
        <stp/>
        <stp>VOLUME</stp>
        <stp>.SPY251017C577</stp>
        <tr r="S20" s="2"/>
      </tp>
      <tp t="s">
        <v>N/A</v>
        <stp/>
        <stp>VOLUME</stp>
        <stp>.SPY251017P576</stp>
        <tr r="S21" s="2"/>
      </tp>
      <tp t="s">
        <v>N/A</v>
        <stp/>
        <stp>VOLUME</stp>
        <stp>.SPY251017C576</stp>
        <tr r="S21" s="2"/>
      </tp>
      <tp t="s">
        <v>N/A</v>
        <stp/>
        <stp>VOLUME</stp>
        <stp>.SPY251017P579</stp>
        <tr r="S18" s="2"/>
      </tp>
      <tp t="s">
        <v>N/A</v>
        <stp/>
        <stp>VOLUME</stp>
        <stp>.SPY251017C579</stp>
        <tr r="S18" s="2"/>
      </tp>
      <tp t="s">
        <v>N/A</v>
        <stp/>
        <stp>VOLUME</stp>
        <stp>.SPY251017P578</stp>
        <tr r="S19" s="2"/>
      </tp>
      <tp t="s">
        <v>N/A</v>
        <stp/>
        <stp>VOLUME</stp>
        <stp>.SPY251017C578</stp>
        <tr r="S19" s="2"/>
      </tp>
      <tp>
        <v>1</v>
        <stp/>
        <stp>VOLUME</stp>
        <stp>.SPY251031P559</stp>
        <tr r="T38" s="2"/>
        <tr r="T38" s="2"/>
      </tp>
      <tp>
        <v>4</v>
        <stp/>
        <stp>VOLUME</stp>
        <stp>.SPY251031C559</stp>
        <tr r="T38" s="2"/>
        <tr r="T38" s="2"/>
      </tp>
      <tp>
        <v>2</v>
        <stp/>
        <stp>VOLUME</stp>
        <stp>.SPY251031P558</stp>
        <tr r="T39" s="2"/>
        <tr r="T39" s="2"/>
      </tp>
      <tp>
        <v>3</v>
        <stp/>
        <stp>VOLUME</stp>
        <stp>.SPY251031C558</stp>
        <tr r="T39" s="2"/>
        <tr r="T39" s="2"/>
      </tp>
      <tp t="s">
        <v>N/A</v>
        <stp/>
        <stp>DELTA</stp>
        <stp>.SPXW250512P6010</stp>
        <tr r="CE86" s="1"/>
      </tp>
      <tp t="s">
        <v>N/A</v>
        <stp/>
        <stp>DELTA</stp>
        <stp>.SPXW250512C6010</stp>
        <tr r="CD86" s="1"/>
      </tp>
      <tp>
        <v>-1</v>
        <stp/>
        <stp>DELTA</stp>
        <stp>.SPXW250512P6000</stp>
        <tr r="CE87" s="1"/>
        <tr r="CE87" s="1"/>
      </tp>
      <tp>
        <v>0</v>
        <stp/>
        <stp>DELTA</stp>
        <stp>.SPXW250512C6000</stp>
        <tr r="CD87" s="1"/>
        <tr r="CD87" s="1"/>
      </tp>
      <tp t="s">
        <v>N/A</v>
        <stp/>
        <stp>DELTA</stp>
        <stp>.SPXW250512P6020</stp>
        <tr r="CE85" s="1"/>
      </tp>
      <tp t="s">
        <v>N/A</v>
        <stp/>
        <stp>DELTA</stp>
        <stp>.SPXW250512C6020</stp>
        <tr r="CD85" s="1"/>
      </tp>
      <tp>
        <v>162.1</v>
        <stp/>
        <stp>BID</stp>
        <stp>.SPXW250512C5680</stp>
        <tr r="DE119" s="1"/>
        <tr r="DE119" s="1"/>
      </tp>
      <tp>
        <v>0</v>
        <stp/>
        <stp>BID</stp>
        <stp>.SPXW250512P5680</stp>
        <tr r="DF119" s="1"/>
        <tr r="DF119" s="1"/>
      </tp>
      <tp>
        <v>152.1</v>
        <stp/>
        <stp>BID</stp>
        <stp>.SPXW250512C5690</stp>
        <tr r="DE118" s="1"/>
        <tr r="DE118" s="1"/>
      </tp>
      <tp>
        <v>0</v>
        <stp/>
        <stp>BID</stp>
        <stp>.SPXW250512P5690</stp>
        <tr r="DF118" s="1"/>
        <tr r="DF118" s="1"/>
      </tp>
      <tp>
        <v>216.4</v>
        <stp/>
        <stp>BID</stp>
        <stp>.SPXW250512C5620</stp>
        <tr r="DE125" s="1"/>
        <tr r="DE125" s="1"/>
      </tp>
      <tp>
        <v>0</v>
        <stp/>
        <stp>BID</stp>
        <stp>.SPXW250512P5620</stp>
        <tr r="DF125" s="1"/>
        <tr r="DF125" s="1"/>
      </tp>
      <tp>
        <v>210</v>
        <stp/>
        <stp>BID</stp>
        <stp>.SPXW250512C5630</stp>
        <tr r="DE124" s="1"/>
        <tr r="DE124" s="1"/>
      </tp>
      <tp>
        <v>0</v>
        <stp/>
        <stp>BID</stp>
        <stp>.SPXW250512P5630</stp>
        <tr r="DF124" s="1"/>
        <tr r="DF124" s="1"/>
      </tp>
      <tp>
        <v>235.1</v>
        <stp/>
        <stp>BID</stp>
        <stp>.SPXW250512C5600</stp>
        <tr r="DE127" s="1"/>
        <tr r="DE127" s="1"/>
      </tp>
      <tp>
        <v>0</v>
        <stp/>
        <stp>BID</stp>
        <stp>.SPXW250512P5600</stp>
        <tr r="DF127" s="1"/>
        <tr r="DF127" s="1"/>
      </tp>
      <tp>
        <v>225.1</v>
        <stp/>
        <stp>BID</stp>
        <stp>.SPXW250512C5610</stp>
        <tr r="DE126" s="1"/>
        <tr r="DE126" s="1"/>
      </tp>
      <tp>
        <v>0</v>
        <stp/>
        <stp>BID</stp>
        <stp>.SPXW250512P5610</stp>
        <tr r="DF126" s="1"/>
        <tr r="DF126" s="1"/>
      </tp>
      <tp>
        <v>182.1</v>
        <stp/>
        <stp>BID</stp>
        <stp>.SPXW250512C5660</stp>
        <tr r="DE121" s="1"/>
        <tr r="DE121" s="1"/>
      </tp>
      <tp>
        <v>0</v>
        <stp/>
        <stp>BID</stp>
        <stp>.SPXW250512P5660</stp>
        <tr r="DF121" s="1"/>
        <tr r="DF121" s="1"/>
      </tp>
      <tp>
        <v>172.1</v>
        <stp/>
        <stp>BID</stp>
        <stp>.SPXW250512C5670</stp>
        <tr r="DE120" s="1"/>
        <tr r="DE120" s="1"/>
      </tp>
      <tp>
        <v>0</v>
        <stp/>
        <stp>BID</stp>
        <stp>.SPXW250512P5670</stp>
        <tr r="DF120" s="1"/>
        <tr r="DF120" s="1"/>
      </tp>
      <tp>
        <v>200</v>
        <stp/>
        <stp>BID</stp>
        <stp>.SPXW250512C5640</stp>
        <tr r="DE123" s="1"/>
        <tr r="DE123" s="1"/>
      </tp>
      <tp>
        <v>0</v>
        <stp/>
        <stp>BID</stp>
        <stp>.SPXW250512P5640</stp>
        <tr r="DF123" s="1"/>
        <tr r="DF123" s="1"/>
      </tp>
      <tp>
        <v>192.1</v>
        <stp/>
        <stp>BID</stp>
        <stp>.SPXW250512C5650</stp>
        <tr r="DE122" s="1"/>
        <tr r="DE122" s="1"/>
      </tp>
      <tp>
        <v>0</v>
        <stp/>
        <stp>BID</stp>
        <stp>.SPXW250512P5650</stp>
        <tr r="DF122" s="1"/>
        <tr r="DF122" s="1"/>
      </tp>
      <tp>
        <v>70</v>
        <stp/>
        <stp>VOLUME</stp>
        <stp>.QQQ250606P492</stp>
        <tr r="J76" s="2"/>
        <tr r="J76" s="2"/>
      </tp>
      <tp>
        <v>18</v>
        <stp/>
        <stp>VOLUME</stp>
        <stp>.QQQ250606C492</stp>
        <tr r="J76" s="2"/>
        <tr r="J76" s="2"/>
      </tp>
      <tp>
        <v>14</v>
        <stp/>
        <stp>VOLUME</stp>
        <stp>.QQQ250606P493</stp>
        <tr r="J75" s="2"/>
        <tr r="J75" s="2"/>
      </tp>
      <tp>
        <v>17</v>
        <stp/>
        <stp>VOLUME</stp>
        <stp>.QQQ250606C493</stp>
        <tr r="J75" s="2"/>
        <tr r="J75" s="2"/>
      </tp>
      <tp>
        <v>1472</v>
        <stp/>
        <stp>VOLUME</stp>
        <stp>.QQQ250606P490</stp>
        <tr r="J78" s="2"/>
        <tr r="J78" s="2"/>
      </tp>
      <tp>
        <v>556</v>
        <stp/>
        <stp>VOLUME</stp>
        <stp>.QQQ250606C490</stp>
        <tr r="J78" s="2"/>
        <tr r="J78" s="2"/>
      </tp>
      <tp>
        <v>60</v>
        <stp/>
        <stp>VOLUME</stp>
        <stp>.QQQ250606P491</stp>
        <tr r="J77" s="2"/>
        <tr r="J77" s="2"/>
      </tp>
      <tp>
        <v>39</v>
        <stp/>
        <stp>VOLUME</stp>
        <stp>.QQQ250606C491</stp>
        <tr r="J77" s="2"/>
        <tr r="J77" s="2"/>
      </tp>
      <tp>
        <v>53</v>
        <stp/>
        <stp>VOLUME</stp>
        <stp>.QQQ250606P496</stp>
        <tr r="J72" s="2"/>
        <tr r="J72" s="2"/>
      </tp>
      <tp>
        <v>141</v>
        <stp/>
        <stp>VOLUME</stp>
        <stp>.QQQ250606C496</stp>
        <tr r="J72" s="2"/>
        <tr r="J72" s="2"/>
      </tp>
      <tp>
        <v>94</v>
        <stp/>
        <stp>VOLUME</stp>
        <stp>.QQQ250606P497</stp>
        <tr r="J71" s="2"/>
        <tr r="J71" s="2"/>
      </tp>
      <tp>
        <v>20</v>
        <stp/>
        <stp>VOLUME</stp>
        <stp>.QQQ250606C497</stp>
        <tr r="J71" s="2"/>
        <tr r="J71" s="2"/>
      </tp>
      <tp>
        <v>12</v>
        <stp/>
        <stp>VOLUME</stp>
        <stp>.QQQ250606P494</stp>
        <tr r="J74" s="2"/>
        <tr r="J74" s="2"/>
      </tp>
      <tp>
        <v>85</v>
        <stp/>
        <stp>VOLUME</stp>
        <stp>.QQQ250606C494</stp>
        <tr r="J74" s="2"/>
        <tr r="J74" s="2"/>
      </tp>
      <tp>
        <v>91</v>
        <stp/>
        <stp>VOLUME</stp>
        <stp>.QQQ250606P495</stp>
        <tr r="J73" s="2"/>
        <tr r="J73" s="2"/>
      </tp>
      <tp>
        <v>227</v>
        <stp/>
        <stp>VOLUME</stp>
        <stp>.QQQ250606C495</stp>
        <tr r="J73" s="2"/>
        <tr r="J73" s="2"/>
      </tp>
      <tp>
        <v>150</v>
        <stp/>
        <stp>VOLUME</stp>
        <stp>.QQQ250606P498</stp>
        <tr r="J70" s="2"/>
        <tr r="J70" s="2"/>
      </tp>
      <tp>
        <v>19</v>
        <stp/>
        <stp>VOLUME</stp>
        <stp>.QQQ250606C498</stp>
        <tr r="J70" s="2"/>
        <tr r="J70" s="2"/>
      </tp>
      <tp>
        <v>578</v>
        <stp/>
        <stp>VOLUME</stp>
        <stp>.QQQ250606P499</stp>
        <tr r="J69" s="2"/>
        <tr r="J69" s="2"/>
      </tp>
      <tp>
        <v>8</v>
        <stp/>
        <stp>VOLUME</stp>
        <stp>.QQQ250606C499</stp>
        <tr r="J69" s="2"/>
        <tr r="J69" s="2"/>
      </tp>
      <tp>
        <v>76</v>
        <stp/>
        <stp>VOLUME</stp>
        <stp>.QQQ250606P488</stp>
        <tr r="J80" s="2"/>
        <tr r="J80" s="2"/>
      </tp>
      <tp>
        <v>30</v>
        <stp/>
        <stp>VOLUME</stp>
        <stp>.QQQ250606C488</stp>
        <tr r="J80" s="2"/>
        <tr r="J80" s="2"/>
      </tp>
      <tp>
        <v>94</v>
        <stp/>
        <stp>VOLUME</stp>
        <stp>.QQQ250606P489</stp>
        <tr r="J79" s="2"/>
        <tr r="J79" s="2"/>
      </tp>
      <tp>
        <v>40</v>
        <stp/>
        <stp>VOLUME</stp>
        <stp>.QQQ250606C489</stp>
        <tr r="J79" s="2"/>
        <tr r="J79" s="2"/>
      </tp>
      <tp t="s">
        <v>N/A</v>
        <stp/>
        <stp>VOLUME</stp>
        <stp>.QQQ250620P494</stp>
        <tr r="BF73" s="1"/>
      </tp>
      <tp t="s">
        <v>N/A</v>
        <stp/>
        <stp>VOLUME</stp>
        <stp>.QQQ250620C494</stp>
        <tr r="BE73" s="1"/>
      </tp>
      <tp>
        <v>1201</v>
        <stp/>
        <stp>VOLUME</stp>
        <stp>.QQQ250620P495</stp>
        <tr r="BF72" s="1"/>
        <tr r="BF72" s="1"/>
      </tp>
      <tp>
        <v>1308</v>
        <stp/>
        <stp>VOLUME</stp>
        <stp>.QQQ250620C495</stp>
        <tr r="BE72" s="1"/>
        <tr r="BE72" s="1"/>
      </tp>
      <tp t="s">
        <v>N/A</v>
        <stp/>
        <stp>VOLUME</stp>
        <stp>.QQQ250620P496</stp>
        <tr r="BF71" s="1"/>
      </tp>
      <tp t="s">
        <v>N/A</v>
        <stp/>
        <stp>VOLUME</stp>
        <stp>.QQQ250620C496</stp>
        <tr r="BE71" s="1"/>
      </tp>
      <tp t="s">
        <v>N/A</v>
        <stp/>
        <stp>VOLUME</stp>
        <stp>.QQQ250620P497</stp>
        <tr r="BF70" s="1"/>
      </tp>
      <tp t="s">
        <v>N/A</v>
        <stp/>
        <stp>VOLUME</stp>
        <stp>.QQQ250620C497</stp>
        <tr r="BE70" s="1"/>
      </tp>
      <tp>
        <v>9244</v>
        <stp/>
        <stp>VOLUME</stp>
        <stp>.QQQ250620P490</stp>
        <tr r="BF77" s="1"/>
        <tr r="BF77" s="1"/>
      </tp>
      <tp>
        <v>6621</v>
        <stp/>
        <stp>VOLUME</stp>
        <stp>.QQQ250620C490</stp>
        <tr r="BE77" s="1"/>
        <tr r="BE77" s="1"/>
      </tp>
      <tp t="s">
        <v>N/A</v>
        <stp/>
        <stp>VOLUME</stp>
        <stp>.QQQ250620P491</stp>
        <tr r="BF76" s="1"/>
      </tp>
      <tp t="s">
        <v>N/A</v>
        <stp/>
        <stp>VOLUME</stp>
        <stp>.QQQ250620C491</stp>
        <tr r="BE76" s="1"/>
      </tp>
      <tp t="s">
        <v>N/A</v>
        <stp/>
        <stp>VOLUME</stp>
        <stp>.QQQ250620P492</stp>
        <tr r="BF75" s="1"/>
      </tp>
      <tp t="s">
        <v>N/A</v>
        <stp/>
        <stp>VOLUME</stp>
        <stp>.QQQ250620C492</stp>
        <tr r="BE75" s="1"/>
      </tp>
      <tp t="s">
        <v>N/A</v>
        <stp/>
        <stp>VOLUME</stp>
        <stp>.QQQ250620P493</stp>
        <tr r="BF74" s="1"/>
      </tp>
      <tp t="s">
        <v>N/A</v>
        <stp/>
        <stp>VOLUME</stp>
        <stp>.QQQ250620C493</stp>
        <tr r="BE74" s="1"/>
      </tp>
      <tp t="s">
        <v>N/A</v>
        <stp/>
        <stp>VOLUME</stp>
        <stp>.QQQ250620P498</stp>
        <tr r="BF69" s="1"/>
      </tp>
      <tp>
        <v>36</v>
        <stp/>
        <stp>VOLUME</stp>
        <stp>.QQQ250630P488</stp>
        <tr r="L80" s="2"/>
        <tr r="L80" s="2"/>
      </tp>
      <tp t="s">
        <v>N/A</v>
        <stp/>
        <stp>VOLUME</stp>
        <stp>.QQQ250620C498</stp>
        <tr r="BE69" s="1"/>
      </tp>
      <tp>
        <v>33</v>
        <stp/>
        <stp>VOLUME</stp>
        <stp>.QQQ250630C488</stp>
        <tr r="L80" s="2"/>
        <tr r="L80" s="2"/>
      </tp>
      <tp t="s">
        <v>N/A</v>
        <stp/>
        <stp>VOLUME</stp>
        <stp>.QQQ250620P499</stp>
        <tr r="BF68" s="1"/>
      </tp>
      <tp>
        <v>53</v>
        <stp/>
        <stp>VOLUME</stp>
        <stp>.QQQ250630P489</stp>
        <tr r="L79" s="2"/>
        <tr r="L79" s="2"/>
      </tp>
      <tp t="s">
        <v>N/A</v>
        <stp/>
        <stp>VOLUME</stp>
        <stp>.QQQ250620C499</stp>
        <tr r="BE68" s="1"/>
      </tp>
      <tp>
        <v>168</v>
        <stp/>
        <stp>VOLUME</stp>
        <stp>.QQQ250630C489</stp>
        <tr r="L79" s="2"/>
        <tr r="L79" s="2"/>
      </tp>
      <tp>
        <v>29</v>
        <stp/>
        <stp>VOLUME</stp>
        <stp>.QQQ250630P494</stp>
        <tr r="L74" s="2"/>
        <tr r="L74" s="2"/>
      </tp>
      <tp>
        <v>23</v>
        <stp/>
        <stp>VOLUME</stp>
        <stp>.QQQ250630C494</stp>
        <tr r="L74" s="2"/>
        <tr r="L74" s="2"/>
      </tp>
      <tp>
        <v>686</v>
        <stp/>
        <stp>VOLUME</stp>
        <stp>.QQQ250630P495</stp>
        <tr r="L73" s="2"/>
        <tr r="L73" s="2"/>
      </tp>
      <tp>
        <v>94</v>
        <stp/>
        <stp>VOLUME</stp>
        <stp>.QQQ250630C495</stp>
        <tr r="L73" s="2"/>
        <tr r="L73" s="2"/>
      </tp>
      <tp>
        <v>125</v>
        <stp/>
        <stp>VOLUME</stp>
        <stp>.QQQ250630P496</stp>
        <tr r="L72" s="2"/>
        <tr r="L72" s="2"/>
      </tp>
      <tp>
        <v>19</v>
        <stp/>
        <stp>VOLUME</stp>
        <stp>.QQQ250630C496</stp>
        <tr r="L72" s="2"/>
        <tr r="L72" s="2"/>
      </tp>
      <tp>
        <v>22</v>
        <stp/>
        <stp>VOLUME</stp>
        <stp>.QQQ250630P497</stp>
        <tr r="L71" s="2"/>
        <tr r="L71" s="2"/>
      </tp>
      <tp>
        <v>5</v>
        <stp/>
        <stp>VOLUME</stp>
        <stp>.QQQ250630C497</stp>
        <tr r="L71" s="2"/>
        <tr r="L71" s="2"/>
      </tp>
      <tp>
        <v>325</v>
        <stp/>
        <stp>VOLUME</stp>
        <stp>.QQQ250630P490</stp>
        <tr r="L78" s="2"/>
        <tr r="L78" s="2"/>
      </tp>
      <tp>
        <v>170</v>
        <stp/>
        <stp>VOLUME</stp>
        <stp>.QQQ250630C490</stp>
        <tr r="L78" s="2"/>
        <tr r="L78" s="2"/>
      </tp>
      <tp>
        <v>269</v>
        <stp/>
        <stp>VOLUME</stp>
        <stp>.QQQ250630P491</stp>
        <tr r="L77" s="2"/>
        <tr r="L77" s="2"/>
      </tp>
      <tp>
        <v>32</v>
        <stp/>
        <stp>VOLUME</stp>
        <stp>.QQQ250630C491</stp>
        <tr r="L77" s="2"/>
        <tr r="L77" s="2"/>
      </tp>
      <tp>
        <v>180</v>
        <stp/>
        <stp>VOLUME</stp>
        <stp>.QQQ250630P492</stp>
        <tr r="L76" s="2"/>
        <tr r="L76" s="2"/>
      </tp>
      <tp>
        <v>11</v>
        <stp/>
        <stp>VOLUME</stp>
        <stp>.QQQ250630C492</stp>
        <tr r="L76" s="2"/>
        <tr r="L76" s="2"/>
      </tp>
      <tp>
        <v>204</v>
        <stp/>
        <stp>VOLUME</stp>
        <stp>.QQQ250630P493</stp>
        <tr r="L75" s="2"/>
        <tr r="L75" s="2"/>
      </tp>
      <tp>
        <v>25</v>
        <stp/>
        <stp>VOLUME</stp>
        <stp>.QQQ250630C493</stp>
        <tr r="L75" s="2"/>
        <tr r="L75" s="2"/>
      </tp>
      <tp t="s">
        <v>N/A</v>
        <stp/>
        <stp>VOLUME</stp>
        <stp>.QQQ250620P488</stp>
        <tr r="BF79" s="1"/>
      </tp>
      <tp>
        <v>10</v>
        <stp/>
        <stp>VOLUME</stp>
        <stp>.QQQ250630P498</stp>
        <tr r="L70" s="2"/>
        <tr r="L70" s="2"/>
      </tp>
      <tp t="s">
        <v>N/A</v>
        <stp/>
        <stp>VOLUME</stp>
        <stp>.QQQ250620C488</stp>
        <tr r="BE79" s="1"/>
      </tp>
      <tp>
        <v>7</v>
        <stp/>
        <stp>VOLUME</stp>
        <stp>.QQQ250630C498</stp>
        <tr r="L70" s="2"/>
        <tr r="L70" s="2"/>
      </tp>
      <tp t="s">
        <v>N/A</v>
        <stp/>
        <stp>VOLUME</stp>
        <stp>.QQQ250620P489</stp>
        <tr r="BF78" s="1"/>
      </tp>
      <tp>
        <v>10</v>
        <stp/>
        <stp>VOLUME</stp>
        <stp>.QQQ250630P499</stp>
        <tr r="L69" s="2"/>
        <tr r="L69" s="2"/>
      </tp>
      <tp t="s">
        <v>N/A</v>
        <stp/>
        <stp>VOLUME</stp>
        <stp>.QQQ250620C489</stp>
        <tr r="BE78" s="1"/>
      </tp>
      <tp>
        <v>12</v>
        <stp/>
        <stp>VOLUME</stp>
        <stp>.QQQ250630C499</stp>
        <tr r="L69" s="2"/>
        <tr r="L69" s="2"/>
      </tp>
      <tp t="s">
        <v>N/A</v>
        <stp/>
        <stp>VOLUME</stp>
        <stp>.QQQ250718P508</stp>
        <tr r="M60" s="2"/>
      </tp>
      <tp t="s">
        <v>N/A</v>
        <stp/>
        <stp>VOLUME</stp>
        <stp>.QQQ250731P521</stp>
        <tr r="N47" s="2"/>
      </tp>
      <tp t="s">
        <v>N/A</v>
        <stp/>
        <stp>VOLUME</stp>
        <stp>.QQQ250718C508</stp>
        <tr r="M60" s="2"/>
      </tp>
      <tp t="s">
        <v>N/A</v>
        <stp/>
        <stp>VOLUME</stp>
        <stp>.QQQ250731C521</stp>
        <tr r="N47" s="2"/>
      </tp>
      <tp t="s">
        <v>N/A</v>
        <stp/>
        <stp>VOLUME</stp>
        <stp>.QQQ250718P509</stp>
        <tr r="M59" s="2"/>
      </tp>
      <tp>
        <v>4</v>
        <stp/>
        <stp>VOLUME</stp>
        <stp>.QQQ250731P520</stp>
        <tr r="N48" s="2"/>
        <tr r="N48" s="2"/>
      </tp>
      <tp t="s">
        <v>N/A</v>
        <stp/>
        <stp>VOLUME</stp>
        <stp>.QQQ250718C509</stp>
        <tr r="M59" s="2"/>
      </tp>
      <tp>
        <v>219</v>
        <stp/>
        <stp>VOLUME</stp>
        <stp>.QQQ250731C520</stp>
        <tr r="N48" s="2"/>
        <tr r="N48" s="2"/>
      </tp>
      <tp t="s">
        <v>N/A</v>
        <stp/>
        <stp>VOLUME</stp>
        <stp>.QQQ250731P522</stp>
        <tr r="N46" s="2"/>
      </tp>
      <tp t="s">
        <v>N/A</v>
        <stp/>
        <stp>VOLUME</stp>
        <stp>.QQQ250731C522</stp>
        <tr r="N46" s="2"/>
      </tp>
      <tp t="s">
        <v>N/A</v>
        <stp/>
        <stp>VOLUME</stp>
        <stp>.QQQ250718P504</stp>
        <tr r="M64" s="2"/>
      </tp>
      <tp t="s">
        <v>N/A</v>
        <stp/>
        <stp>VOLUME</stp>
        <stp>.QQQ250718C504</stp>
        <tr r="M64" s="2"/>
      </tp>
      <tp>
        <v>3192</v>
        <stp/>
        <stp>VOLUME</stp>
        <stp>.QQQ250718P505</stp>
        <tr r="M63" s="2"/>
        <tr r="M63" s="2"/>
      </tp>
      <tp>
        <v>711</v>
        <stp/>
        <stp>VOLUME</stp>
        <stp>.QQQ250718C505</stp>
        <tr r="M63" s="2"/>
        <tr r="M63" s="2"/>
      </tp>
      <tp t="s">
        <v>N/A</v>
        <stp/>
        <stp>VOLUME</stp>
        <stp>.QQQ250718P506</stp>
        <tr r="M62" s="2"/>
      </tp>
      <tp t="s">
        <v>N/A</v>
        <stp/>
        <stp>VOLUME</stp>
        <stp>.QQQ250718C506</stp>
        <tr r="M62" s="2"/>
      </tp>
      <tp t="s">
        <v>N/A</v>
        <stp/>
        <stp>VOLUME</stp>
        <stp>.QQQ250718P507</stp>
        <tr r="M61" s="2"/>
      </tp>
      <tp t="s">
        <v>N/A</v>
        <stp/>
        <stp>VOLUME</stp>
        <stp>.QQQ250718C507</stp>
        <tr r="M61" s="2"/>
      </tp>
      <tp>
        <v>14427</v>
        <stp/>
        <stp>VOLUME</stp>
        <stp>.QQQ250718P500</stp>
        <tr r="M68" s="2"/>
        <tr r="M68" s="2"/>
      </tp>
      <tp>
        <v>1178</v>
        <stp/>
        <stp>VOLUME</stp>
        <stp>.QQQ250718C500</stp>
        <tr r="M68" s="2"/>
        <tr r="M68" s="2"/>
      </tp>
      <tp t="s">
        <v>N/A</v>
        <stp/>
        <stp>VOLUME</stp>
        <stp>.QQQ250718P501</stp>
        <tr r="M67" s="2"/>
      </tp>
      <tp t="s">
        <v>N/A</v>
        <stp/>
        <stp>VOLUME</stp>
        <stp>.QQQ250718C501</stp>
        <tr r="M67" s="2"/>
      </tp>
      <tp t="s">
        <v>N/A</v>
        <stp/>
        <stp>VOLUME</stp>
        <stp>.QQQ250718P502</stp>
        <tr r="M66" s="2"/>
      </tp>
      <tp t="s">
        <v>N/A</v>
        <stp/>
        <stp>VOLUME</stp>
        <stp>.QQQ250718C502</stp>
        <tr r="M66" s="2"/>
      </tp>
      <tp t="s">
        <v>N/A</v>
        <stp/>
        <stp>VOLUME</stp>
        <stp>.QQQ250718P503</stp>
        <tr r="M65" s="2"/>
      </tp>
      <tp t="s">
        <v>N/A</v>
        <stp/>
        <stp>VOLUME</stp>
        <stp>.QQQ250718C503</stp>
        <tr r="M65" s="2"/>
      </tp>
      <tp t="s">
        <v>N/A</v>
        <stp/>
        <stp>VOLUME</stp>
        <stp>.QQQ250718P518</stp>
        <tr r="M50" s="2"/>
      </tp>
      <tp t="s">
        <v>N/A</v>
        <stp/>
        <stp>VOLUME</stp>
        <stp>.QQQ250718C518</stp>
        <tr r="M50" s="2"/>
      </tp>
      <tp t="s">
        <v>N/A</v>
        <stp/>
        <stp>VOLUME</stp>
        <stp>.QQQ250718P519</stp>
        <tr r="M49" s="2"/>
      </tp>
      <tp t="s">
        <v>N/A</v>
        <stp/>
        <stp>VOLUME</stp>
        <stp>.QQQ250718C519</stp>
        <tr r="M49" s="2"/>
      </tp>
      <tp t="s">
        <v>N/A</v>
        <stp/>
        <stp>VOLUME</stp>
        <stp>.QQQ250718P514</stp>
        <tr r="M54" s="2"/>
      </tp>
      <tp t="s">
        <v>N/A</v>
        <stp/>
        <stp>VOLUME</stp>
        <stp>.QQQ250718C514</stp>
        <tr r="M54" s="2"/>
      </tp>
      <tp>
        <v>1634</v>
        <stp/>
        <stp>VOLUME</stp>
        <stp>.QQQ250718P515</stp>
        <tr r="M53" s="2"/>
        <tr r="M53" s="2"/>
      </tp>
      <tp>
        <v>1008</v>
        <stp/>
        <stp>VOLUME</stp>
        <stp>.QQQ250718C515</stp>
        <tr r="M53" s="2"/>
        <tr r="M53" s="2"/>
      </tp>
      <tp t="s">
        <v>N/A</v>
        <stp/>
        <stp>VOLUME</stp>
        <stp>.QQQ250718P516</stp>
        <tr r="M52" s="2"/>
      </tp>
      <tp t="s">
        <v>N/A</v>
        <stp/>
        <stp>VOLUME</stp>
        <stp>.QQQ250718C516</stp>
        <tr r="M52" s="2"/>
      </tp>
      <tp t="s">
        <v>N/A</v>
        <stp/>
        <stp>VOLUME</stp>
        <stp>.QQQ250718P517</stp>
        <tr r="M51" s="2"/>
      </tp>
      <tp t="s">
        <v>N/A</v>
        <stp/>
        <stp>VOLUME</stp>
        <stp>.QQQ250718C517</stp>
        <tr r="M51" s="2"/>
      </tp>
      <tp>
        <v>328</v>
        <stp/>
        <stp>VOLUME</stp>
        <stp>.QQQ250718P510</stp>
        <tr r="M58" s="2"/>
        <tr r="M58" s="2"/>
      </tp>
      <tp>
        <v>2169</v>
        <stp/>
        <stp>VOLUME</stp>
        <stp>.QQQ250718C510</stp>
        <tr r="M58" s="2"/>
        <tr r="M58" s="2"/>
      </tp>
      <tp t="s">
        <v>N/A</v>
        <stp/>
        <stp>VOLUME</stp>
        <stp>.QQQ250718P511</stp>
        <tr r="M57" s="2"/>
      </tp>
      <tp t="s">
        <v>N/A</v>
        <stp/>
        <stp>VOLUME</stp>
        <stp>.QQQ250718C511</stp>
        <tr r="M57" s="2"/>
      </tp>
      <tp t="s">
        <v>N/A</v>
        <stp/>
        <stp>VOLUME</stp>
        <stp>.QQQ250718P512</stp>
        <tr r="M56" s="2"/>
      </tp>
      <tp t="s">
        <v>N/A</v>
        <stp/>
        <stp>VOLUME</stp>
        <stp>.QQQ250718C512</stp>
        <tr r="M56" s="2"/>
      </tp>
      <tp t="s">
        <v>N/A</v>
        <stp/>
        <stp>VOLUME</stp>
        <stp>.QQQ250718P513</stp>
        <tr r="M55" s="2"/>
      </tp>
      <tp t="s">
        <v>N/A</v>
        <stp/>
        <stp>VOLUME</stp>
        <stp>.QQQ250718C513</stp>
        <tr r="M55" s="2"/>
      </tp>
      <tp>
        <v>632</v>
        <stp/>
        <stp>VOLUME</stp>
        <stp>.QQQ250731P505</stp>
        <tr r="N63" s="2"/>
        <tr r="N63" s="2"/>
      </tp>
      <tp>
        <v>124</v>
        <stp/>
        <stp>VOLUME</stp>
        <stp>.QQQ250731C505</stp>
        <tr r="N63" s="2"/>
        <tr r="N63" s="2"/>
      </tp>
      <tp>
        <v>29</v>
        <stp/>
        <stp>VOLUME</stp>
        <stp>.QQQ250731P504</stp>
        <tr r="N64" s="2"/>
        <tr r="N64" s="2"/>
      </tp>
      <tp>
        <v>43</v>
        <stp/>
        <stp>VOLUME</stp>
        <stp>.QQQ250731C504</stp>
        <tr r="N64" s="2"/>
        <tr r="N64" s="2"/>
      </tp>
      <tp t="s">
        <v>N/A</v>
        <stp/>
        <stp>VOLUME</stp>
        <stp>.QQQ250731P507</stp>
        <tr r="N61" s="2"/>
      </tp>
      <tp t="s">
        <v>N/A</v>
        <stp/>
        <stp>VOLUME</stp>
        <stp>.QQQ250731C507</stp>
        <tr r="N61" s="2"/>
      </tp>
      <tp t="s">
        <v>N/A</v>
        <stp/>
        <stp>VOLUME</stp>
        <stp>.QQQ250731P506</stp>
        <tr r="N62" s="2"/>
      </tp>
      <tp t="s">
        <v>N/A</v>
        <stp/>
        <stp>VOLUME</stp>
        <stp>.QQQ250731C506</stp>
        <tr r="N62" s="2"/>
      </tp>
      <tp>
        <v>2</v>
        <stp/>
        <stp>VOLUME</stp>
        <stp>.QQQ250731P501</stp>
        <tr r="N67" s="2"/>
        <tr r="N67" s="2"/>
      </tp>
      <tp t="s">
        <v>N/A</v>
        <stp/>
        <stp>VOLUME</stp>
        <stp>.QQQ250731C501</stp>
        <tr r="N67" s="2"/>
      </tp>
      <tp>
        <v>414</v>
        <stp/>
        <stp>VOLUME</stp>
        <stp>.QQQ250731P500</stp>
        <tr r="N68" s="2"/>
        <tr r="N68" s="2"/>
      </tp>
      <tp>
        <v>545</v>
        <stp/>
        <stp>VOLUME</stp>
        <stp>.QQQ250731C500</stp>
        <tr r="N68" s="2"/>
        <tr r="N68" s="2"/>
      </tp>
      <tp>
        <v>40</v>
        <stp/>
        <stp>VOLUME</stp>
        <stp>.QQQ250731P503</stp>
        <tr r="N65" s="2"/>
        <tr r="N65" s="2"/>
      </tp>
      <tp>
        <v>58</v>
        <stp/>
        <stp>VOLUME</stp>
        <stp>.QQQ250731C503</stp>
        <tr r="N65" s="2"/>
        <tr r="N65" s="2"/>
      </tp>
      <tp t="s">
        <v>N/A</v>
        <stp/>
        <stp>VOLUME</stp>
        <stp>.QQQ250731P502</stp>
        <tr r="N66" s="2"/>
      </tp>
      <tp>
        <v>12</v>
        <stp/>
        <stp>VOLUME</stp>
        <stp>.QQQ250731C502</stp>
        <tr r="N66" s="2"/>
        <tr r="N66" s="2"/>
      </tp>
      <tp>
        <v>500</v>
        <stp/>
        <stp>VOLUME</stp>
        <stp>.QQQ250718P520</stp>
        <tr r="M48" s="2"/>
        <tr r="M48" s="2"/>
      </tp>
      <tp t="s">
        <v>N/A</v>
        <stp/>
        <stp>VOLUME</stp>
        <stp>.QQQ250731P509</stp>
        <tr r="N59" s="2"/>
      </tp>
      <tp>
        <v>2893</v>
        <stp/>
        <stp>VOLUME</stp>
        <stp>.QQQ250718C520</stp>
        <tr r="M48" s="2"/>
        <tr r="M48" s="2"/>
      </tp>
      <tp t="s">
        <v>N/A</v>
        <stp/>
        <stp>VOLUME</stp>
        <stp>.QQQ250731C509</stp>
        <tr r="N59" s="2"/>
      </tp>
      <tp t="s">
        <v>N/A</v>
        <stp/>
        <stp>VOLUME</stp>
        <stp>.QQQ250718P521</stp>
        <tr r="M47" s="2"/>
      </tp>
      <tp t="s">
        <v>N/A</v>
        <stp/>
        <stp>VOLUME</stp>
        <stp>.QQQ250731P508</stp>
        <tr r="N60" s="2"/>
      </tp>
      <tp t="s">
        <v>N/A</v>
        <stp/>
        <stp>VOLUME</stp>
        <stp>.QQQ250718C521</stp>
        <tr r="M47" s="2"/>
      </tp>
      <tp t="s">
        <v>N/A</v>
        <stp/>
        <stp>VOLUME</stp>
        <stp>.QQQ250731C508</stp>
        <tr r="N60" s="2"/>
      </tp>
      <tp t="s">
        <v>N/A</v>
        <stp/>
        <stp>VOLUME</stp>
        <stp>.QQQ250718P522</stp>
        <tr r="M46" s="2"/>
      </tp>
      <tp t="s">
        <v>N/A</v>
        <stp/>
        <stp>VOLUME</stp>
        <stp>.QQQ250718C522</stp>
        <tr r="M46" s="2"/>
      </tp>
      <tp>
        <v>22</v>
        <stp/>
        <stp>VOLUME</stp>
        <stp>.QQQ250731P515</stp>
        <tr r="N53" s="2"/>
        <tr r="N53" s="2"/>
      </tp>
      <tp>
        <v>125</v>
        <stp/>
        <stp>VOLUME</stp>
        <stp>.QQQ250731C515</stp>
        <tr r="N53" s="2"/>
        <tr r="N53" s="2"/>
      </tp>
      <tp t="s">
        <v>N/A</v>
        <stp/>
        <stp>VOLUME</stp>
        <stp>.QQQ250731P514</stp>
        <tr r="N54" s="2"/>
      </tp>
      <tp t="s">
        <v>N/A</v>
        <stp/>
        <stp>VOLUME</stp>
        <stp>.QQQ250731C514</stp>
        <tr r="N54" s="2"/>
      </tp>
      <tp t="s">
        <v>N/A</v>
        <stp/>
        <stp>VOLUME</stp>
        <stp>.QQQ250731P517</stp>
        <tr r="N51" s="2"/>
      </tp>
      <tp t="s">
        <v>N/A</v>
        <stp/>
        <stp>VOLUME</stp>
        <stp>.QQQ250731C517</stp>
        <tr r="N51" s="2"/>
      </tp>
      <tp t="s">
        <v>N/A</v>
        <stp/>
        <stp>VOLUME</stp>
        <stp>.QQQ250731P516</stp>
        <tr r="N52" s="2"/>
      </tp>
      <tp t="s">
        <v>N/A</v>
        <stp/>
        <stp>VOLUME</stp>
        <stp>.QQQ250731C516</stp>
        <tr r="N52" s="2"/>
      </tp>
      <tp t="s">
        <v>N/A</v>
        <stp/>
        <stp>VOLUME</stp>
        <stp>.QQQ250731P511</stp>
        <tr r="N57" s="2"/>
      </tp>
      <tp t="s">
        <v>N/A</v>
        <stp/>
        <stp>VOLUME</stp>
        <stp>.QQQ250731C511</stp>
        <tr r="N57" s="2"/>
      </tp>
      <tp>
        <v>32</v>
        <stp/>
        <stp>VOLUME</stp>
        <stp>.QQQ250731P510</stp>
        <tr r="N58" s="2"/>
        <tr r="N58" s="2"/>
      </tp>
      <tp>
        <v>190</v>
        <stp/>
        <stp>VOLUME</stp>
        <stp>.QQQ250731C510</stp>
        <tr r="N58" s="2"/>
        <tr r="N58" s="2"/>
      </tp>
      <tp t="s">
        <v>N/A</v>
        <stp/>
        <stp>VOLUME</stp>
        <stp>.QQQ250731P513</stp>
        <tr r="N55" s="2"/>
      </tp>
      <tp t="s">
        <v>N/A</v>
        <stp/>
        <stp>VOLUME</stp>
        <stp>.QQQ250731C513</stp>
        <tr r="N55" s="2"/>
      </tp>
      <tp t="s">
        <v>N/A</v>
        <stp/>
        <stp>VOLUME</stp>
        <stp>.QQQ250731P512</stp>
        <tr r="N56" s="2"/>
      </tp>
      <tp t="s">
        <v>N/A</v>
        <stp/>
        <stp>VOLUME</stp>
        <stp>.QQQ250731C512</stp>
        <tr r="N56" s="2"/>
      </tp>
      <tp t="s">
        <v>N/A</v>
        <stp/>
        <stp>VOLUME</stp>
        <stp>.QQQ250731P519</stp>
        <tr r="N49" s="2"/>
      </tp>
      <tp t="s">
        <v>N/A</v>
        <stp/>
        <stp>VOLUME</stp>
        <stp>.QQQ250731C519</stp>
        <tr r="N49" s="2"/>
      </tp>
      <tp t="s">
        <v>N/A</v>
        <stp/>
        <stp>VOLUME</stp>
        <stp>.QQQ250731P518</stp>
        <tr r="N50" s="2"/>
      </tp>
      <tp t="s">
        <v>N/A</v>
        <stp/>
        <stp>VOLUME</stp>
        <stp>.QQQ250731C518</stp>
        <tr r="N50" s="2"/>
      </tp>
      <tp>
        <v>62.1</v>
        <stp/>
        <stp>BID</stp>
        <stp>.SPXW250512C5780</stp>
        <tr r="DE109" s="1"/>
        <tr r="DE109" s="1"/>
      </tp>
      <tp>
        <v>0</v>
        <stp/>
        <stp>BID</stp>
        <stp>.SPXW250512P5780</stp>
        <tr r="DF109" s="1"/>
        <tr r="DF109" s="1"/>
      </tp>
      <tp>
        <v>52.1</v>
        <stp/>
        <stp>BID</stp>
        <stp>.SPXW250512C5790</stp>
        <tr r="DE108" s="1"/>
        <tr r="DE108" s="1"/>
      </tp>
      <tp>
        <v>0</v>
        <stp/>
        <stp>BID</stp>
        <stp>.SPXW250512P5790</stp>
        <tr r="DF108" s="1"/>
        <tr r="DF108" s="1"/>
      </tp>
      <tp>
        <v>122.1</v>
        <stp/>
        <stp>BID</stp>
        <stp>.SPXW250512C5720</stp>
        <tr r="DE115" s="1"/>
        <tr r="DE115" s="1"/>
      </tp>
      <tp>
        <v>0</v>
        <stp/>
        <stp>BID</stp>
        <stp>.SPXW250512P5720</stp>
        <tr r="DF115" s="1"/>
        <tr r="DF115" s="1"/>
      </tp>
      <tp>
        <v>112.1</v>
        <stp/>
        <stp>BID</stp>
        <stp>.SPXW250512C5730</stp>
        <tr r="DE114" s="1"/>
        <tr r="DE114" s="1"/>
      </tp>
      <tp>
        <v>0</v>
        <stp/>
        <stp>BID</stp>
        <stp>.SPXW250512P5730</stp>
        <tr r="DF114" s="1"/>
        <tr r="DF114" s="1"/>
      </tp>
      <tp>
        <v>142.1</v>
        <stp/>
        <stp>BID</stp>
        <stp>.SPXW250512C5700</stp>
        <tr r="DE117" s="1"/>
        <tr r="DE117" s="1"/>
      </tp>
      <tp>
        <v>0</v>
        <stp/>
        <stp>BID</stp>
        <stp>.SPXW250512P5700</stp>
        <tr r="DF117" s="1"/>
        <tr r="DF117" s="1"/>
      </tp>
      <tp>
        <v>132.1</v>
        <stp/>
        <stp>BID</stp>
        <stp>.SPXW250512C5710</stp>
        <tr r="DE116" s="1"/>
        <tr r="DE116" s="1"/>
      </tp>
      <tp>
        <v>0</v>
        <stp/>
        <stp>BID</stp>
        <stp>.SPXW250512P5710</stp>
        <tr r="DF116" s="1"/>
        <tr r="DF116" s="1"/>
      </tp>
      <tp>
        <v>82.1</v>
        <stp/>
        <stp>BID</stp>
        <stp>.SPXW250512C5760</stp>
        <tr r="DE111" s="1"/>
        <tr r="DE111" s="1"/>
      </tp>
      <tp>
        <v>0</v>
        <stp/>
        <stp>BID</stp>
        <stp>.SPXW250512P5760</stp>
        <tr r="DF111" s="1"/>
        <tr r="DF111" s="1"/>
      </tp>
      <tp>
        <v>72.099999999999994</v>
        <stp/>
        <stp>BID</stp>
        <stp>.SPXW250512C5770</stp>
        <tr r="DE110" s="1"/>
        <tr r="DE110" s="1"/>
      </tp>
      <tp>
        <v>0</v>
        <stp/>
        <stp>BID</stp>
        <stp>.SPXW250512P5770</stp>
        <tr r="DF110" s="1"/>
        <tr r="DF110" s="1"/>
      </tp>
      <tp>
        <v>102.1</v>
        <stp/>
        <stp>BID</stp>
        <stp>.SPXW250512C5740</stp>
        <tr r="DE113" s="1"/>
        <tr r="DE113" s="1"/>
      </tp>
      <tp>
        <v>0</v>
        <stp/>
        <stp>BID</stp>
        <stp>.SPXW250512P5740</stp>
        <tr r="DF113" s="1"/>
        <tr r="DF113" s="1"/>
      </tp>
      <tp>
        <v>92.1</v>
        <stp/>
        <stp>BID</stp>
        <stp>.SPXW250512C5750</stp>
        <tr r="DE112" s="1"/>
        <tr r="DE112" s="1"/>
      </tp>
      <tp>
        <v>0</v>
        <stp/>
        <stp>BID</stp>
        <stp>.SPXW250512P5750</stp>
        <tr r="DF112" s="1"/>
        <tr r="DF112" s="1"/>
      </tp>
      <tp t="s">
        <v>N/A</v>
        <stp/>
        <stp>VOLUME</stp>
        <stp>.QQQ250718P488</stp>
        <tr r="M80" s="2"/>
      </tp>
      <tp t="s">
        <v>N/A</v>
        <stp/>
        <stp>VOLUME</stp>
        <stp>.QQQ250718C488</stp>
        <tr r="M80" s="2"/>
      </tp>
      <tp t="s">
        <v>N/A</v>
        <stp/>
        <stp>VOLUME</stp>
        <stp>.QQQ250718P489</stp>
        <tr r="M79" s="2"/>
      </tp>
      <tp t="s">
        <v>N/A</v>
        <stp/>
        <stp>VOLUME</stp>
        <stp>.QQQ250718C489</stp>
        <tr r="M79" s="2"/>
      </tp>
      <tp t="s">
        <v>N/A</v>
        <stp/>
        <stp>VOLUME</stp>
        <stp>.QQQ250718P498</stp>
        <tr r="M70" s="2"/>
      </tp>
      <tp t="s">
        <v>N/A</v>
        <stp/>
        <stp>VOLUME</stp>
        <stp>.QQQ250718C498</stp>
        <tr r="M70" s="2"/>
      </tp>
      <tp t="s">
        <v>N/A</v>
        <stp/>
        <stp>VOLUME</stp>
        <stp>.QQQ250718P499</stp>
        <tr r="M69" s="2"/>
      </tp>
      <tp t="s">
        <v>N/A</v>
        <stp/>
        <stp>VOLUME</stp>
        <stp>.QQQ250718C499</stp>
        <tr r="M69" s="2"/>
      </tp>
      <tp t="s">
        <v>N/A</v>
        <stp/>
        <stp>VOLUME</stp>
        <stp>.QQQ250718P494</stp>
        <tr r="M74" s="2"/>
      </tp>
      <tp t="s">
        <v>N/A</v>
        <stp/>
        <stp>VOLUME</stp>
        <stp>.QQQ250718C494</stp>
        <tr r="M74" s="2"/>
      </tp>
      <tp>
        <v>665</v>
        <stp/>
        <stp>VOLUME</stp>
        <stp>.QQQ250718P495</stp>
        <tr r="M73" s="2"/>
        <tr r="M73" s="2"/>
      </tp>
      <tp>
        <v>529</v>
        <stp/>
        <stp>VOLUME</stp>
        <stp>.QQQ250718C495</stp>
        <tr r="M73" s="2"/>
        <tr r="M73" s="2"/>
      </tp>
      <tp t="s">
        <v>N/A</v>
        <stp/>
        <stp>VOLUME</stp>
        <stp>.QQQ250718P496</stp>
        <tr r="M72" s="2"/>
      </tp>
      <tp t="s">
        <v>N/A</v>
        <stp/>
        <stp>VOLUME</stp>
        <stp>.QQQ250718C496</stp>
        <tr r="M72" s="2"/>
      </tp>
      <tp t="s">
        <v>N/A</v>
        <stp/>
        <stp>VOLUME</stp>
        <stp>.QQQ250718P497</stp>
        <tr r="M71" s="2"/>
      </tp>
      <tp t="s">
        <v>N/A</v>
        <stp/>
        <stp>VOLUME</stp>
        <stp>.QQQ250718C497</stp>
        <tr r="M71" s="2"/>
      </tp>
      <tp>
        <v>768</v>
        <stp/>
        <stp>VOLUME</stp>
        <stp>.QQQ250718P490</stp>
        <tr r="M78" s="2"/>
        <tr r="M78" s="2"/>
      </tp>
      <tp>
        <v>215</v>
        <stp/>
        <stp>VOLUME</stp>
        <stp>.QQQ250718C490</stp>
        <tr r="M78" s="2"/>
        <tr r="M78" s="2"/>
      </tp>
      <tp t="s">
        <v>N/A</v>
        <stp/>
        <stp>VOLUME</stp>
        <stp>.QQQ250718P491</stp>
        <tr r="M77" s="2"/>
      </tp>
      <tp t="s">
        <v>N/A</v>
        <stp/>
        <stp>VOLUME</stp>
        <stp>.QQQ250718C491</stp>
        <tr r="M77" s="2"/>
      </tp>
      <tp t="s">
        <v>N/A</v>
        <stp/>
        <stp>VOLUME</stp>
        <stp>.QQQ250718P492</stp>
        <tr r="M76" s="2"/>
      </tp>
      <tp t="s">
        <v>N/A</v>
        <stp/>
        <stp>VOLUME</stp>
        <stp>.QQQ250718C492</stp>
        <tr r="M76" s="2"/>
      </tp>
      <tp t="s">
        <v>N/A</v>
        <stp/>
        <stp>VOLUME</stp>
        <stp>.QQQ250718P493</stp>
        <tr r="M75" s="2"/>
      </tp>
      <tp t="s">
        <v>N/A</v>
        <stp/>
        <stp>VOLUME</stp>
        <stp>.QQQ250718C493</stp>
        <tr r="M75" s="2"/>
      </tp>
      <tp>
        <v>5</v>
        <stp/>
        <stp>VOLUME</stp>
        <stp>.QQQ250731P489</stp>
        <tr r="N79" s="2"/>
        <tr r="N79" s="2"/>
      </tp>
      <tp>
        <v>4</v>
        <stp/>
        <stp>VOLUME</stp>
        <stp>.QQQ250731C489</stp>
        <tr r="N79" s="2"/>
        <tr r="N79" s="2"/>
      </tp>
      <tp>
        <v>8</v>
        <stp/>
        <stp>VOLUME</stp>
        <stp>.QQQ250731P488</stp>
        <tr r="N80" s="2"/>
        <tr r="N80" s="2"/>
      </tp>
      <tp>
        <v>5</v>
        <stp/>
        <stp>VOLUME</stp>
        <stp>.QQQ250731C488</stp>
        <tr r="N80" s="2"/>
        <tr r="N80" s="2"/>
      </tp>
      <tp>
        <v>65</v>
        <stp/>
        <stp>VOLUME</stp>
        <stp>.QQQ250731P495</stp>
        <tr r="N73" s="2"/>
        <tr r="N73" s="2"/>
      </tp>
      <tp>
        <v>42</v>
        <stp/>
        <stp>VOLUME</stp>
        <stp>.QQQ250731C495</stp>
        <tr r="N73" s="2"/>
        <tr r="N73" s="2"/>
      </tp>
      <tp>
        <v>9</v>
        <stp/>
        <stp>VOLUME</stp>
        <stp>.QQQ250731P494</stp>
        <tr r="N74" s="2"/>
        <tr r="N74" s="2"/>
      </tp>
      <tp>
        <v>5</v>
        <stp/>
        <stp>VOLUME</stp>
        <stp>.QQQ250731C494</stp>
        <tr r="N74" s="2"/>
        <tr r="N74" s="2"/>
      </tp>
      <tp>
        <v>1</v>
        <stp/>
        <stp>VOLUME</stp>
        <stp>.QQQ250731P497</stp>
        <tr r="N71" s="2"/>
        <tr r="N71" s="2"/>
      </tp>
      <tp t="s">
        <v>N/A</v>
        <stp/>
        <stp>VOLUME</stp>
        <stp>.QQQ250731C497</stp>
        <tr r="N71" s="2"/>
      </tp>
      <tp>
        <v>1</v>
        <stp/>
        <stp>VOLUME</stp>
        <stp>.QQQ250731P496</stp>
        <tr r="N72" s="2"/>
        <tr r="N72" s="2"/>
      </tp>
      <tp>
        <v>1</v>
        <stp/>
        <stp>VOLUME</stp>
        <stp>.QQQ250731C496</stp>
        <tr r="N72" s="2"/>
        <tr r="N72" s="2"/>
      </tp>
      <tp>
        <v>367</v>
        <stp/>
        <stp>VOLUME</stp>
        <stp>.QQQ250731P491</stp>
        <tr r="N77" s="2"/>
        <tr r="N77" s="2"/>
      </tp>
      <tp>
        <v>7</v>
        <stp/>
        <stp>VOLUME</stp>
        <stp>.QQQ250731C491</stp>
        <tr r="N77" s="2"/>
        <tr r="N77" s="2"/>
      </tp>
      <tp>
        <v>150</v>
        <stp/>
        <stp>VOLUME</stp>
        <stp>.QQQ250731P490</stp>
        <tr r="N78" s="2"/>
        <tr r="N78" s="2"/>
      </tp>
      <tp>
        <v>318</v>
        <stp/>
        <stp>VOLUME</stp>
        <stp>.QQQ250731C490</stp>
        <tr r="N78" s="2"/>
        <tr r="N78" s="2"/>
      </tp>
      <tp t="s">
        <v>N/A</v>
        <stp/>
        <stp>VOLUME</stp>
        <stp>.QQQ250731P493</stp>
        <tr r="N75" s="2"/>
      </tp>
      <tp t="s">
        <v>N/A</v>
        <stp/>
        <stp>VOLUME</stp>
        <stp>.QQQ250731C493</stp>
        <tr r="N75" s="2"/>
      </tp>
      <tp t="s">
        <v>N/A</v>
        <stp/>
        <stp>VOLUME</stp>
        <stp>.QQQ250731P492</stp>
        <tr r="N76" s="2"/>
      </tp>
      <tp>
        <v>38</v>
        <stp/>
        <stp>VOLUME</stp>
        <stp>.QQQ250731C492</stp>
        <tr r="N76" s="2"/>
        <tr r="N76" s="2"/>
      </tp>
      <tp t="s">
        <v>N/A</v>
        <stp/>
        <stp>VOLUME</stp>
        <stp>.QQQ250731P499</stp>
        <tr r="N69" s="2"/>
      </tp>
      <tp t="s">
        <v>N/A</v>
        <stp/>
        <stp>VOLUME</stp>
        <stp>.QQQ250731C499</stp>
        <tr r="N69" s="2"/>
      </tp>
      <tp>
        <v>1</v>
        <stp/>
        <stp>VOLUME</stp>
        <stp>.QQQ250731P498</stp>
        <tr r="N70" s="2"/>
        <tr r="N70" s="2"/>
      </tp>
      <tp>
        <v>4</v>
        <stp/>
        <stp>VOLUME</stp>
        <stp>.QQQ250731C498</stp>
        <tr r="N70" s="2"/>
        <tr r="N70" s="2"/>
      </tp>
      <tp t="s">
        <v>N/A</v>
        <stp/>
        <stp>VOLUME</stp>
        <stp>.QQQ250606P512</stp>
        <tr r="J56" s="2"/>
      </tp>
      <tp t="s">
        <v>N/A</v>
        <stp/>
        <stp>VOLUME</stp>
        <stp>.QQQ250606C512</stp>
        <tr r="J56" s="2"/>
      </tp>
      <tp t="s">
        <v>N/A</v>
        <stp/>
        <stp>VOLUME</stp>
        <stp>.QQQ250606P513</stp>
        <tr r="J55" s="2"/>
      </tp>
      <tp t="s">
        <v>N/A</v>
        <stp/>
        <stp>VOLUME</stp>
        <stp>.QQQ250606C513</stp>
        <tr r="J55" s="2"/>
      </tp>
      <tp>
        <v>83</v>
        <stp/>
        <stp>VOLUME</stp>
        <stp>.QQQ250606P510</stp>
        <tr r="J58" s="2"/>
        <tr r="J58" s="2"/>
      </tp>
      <tp>
        <v>5107</v>
        <stp/>
        <stp>VOLUME</stp>
        <stp>.QQQ250606C510</stp>
        <tr r="J58" s="2"/>
        <tr r="J58" s="2"/>
      </tp>
      <tp t="s">
        <v>N/A</v>
        <stp/>
        <stp>VOLUME</stp>
        <stp>.QQQ250606P511</stp>
        <tr r="J57" s="2"/>
      </tp>
      <tp t="s">
        <v>N/A</v>
        <stp/>
        <stp>VOLUME</stp>
        <stp>.QQQ250606C511</stp>
        <tr r="J57" s="2"/>
      </tp>
      <tp t="s">
        <v>N/A</v>
        <stp/>
        <stp>VOLUME</stp>
        <stp>.QQQ250606P516</stp>
        <tr r="J52" s="2"/>
      </tp>
      <tp>
        <v>134</v>
        <stp/>
        <stp>VOLUME</stp>
        <stp>.QQQ250630P520</stp>
        <tr r="L48" s="2"/>
        <tr r="L48" s="2"/>
      </tp>
      <tp t="s">
        <v>N/A</v>
        <stp/>
        <stp>VOLUME</stp>
        <stp>.QQQ250606C516</stp>
        <tr r="J52" s="2"/>
      </tp>
      <tp>
        <v>631</v>
        <stp/>
        <stp>VOLUME</stp>
        <stp>.QQQ250630C520</stp>
        <tr r="L48" s="2"/>
        <tr r="L48" s="2"/>
      </tp>
      <tp t="s">
        <v>N/A</v>
        <stp/>
        <stp>VOLUME</stp>
        <stp>.QQQ250606P517</stp>
        <tr r="J51" s="2"/>
      </tp>
      <tp>
        <v>3</v>
        <stp/>
        <stp>VOLUME</stp>
        <stp>.QQQ250630P521</stp>
        <tr r="L47" s="2"/>
        <tr r="L47" s="2"/>
      </tp>
      <tp t="s">
        <v>N/A</v>
        <stp/>
        <stp>VOLUME</stp>
        <stp>.QQQ250606C517</stp>
        <tr r="J51" s="2"/>
      </tp>
      <tp>
        <v>26</v>
        <stp/>
        <stp>VOLUME</stp>
        <stp>.QQQ250630C521</stp>
        <tr r="L47" s="2"/>
        <tr r="L47" s="2"/>
      </tp>
      <tp t="s">
        <v>N/A</v>
        <stp/>
        <stp>VOLUME</stp>
        <stp>.QQQ250606P514</stp>
        <tr r="J54" s="2"/>
      </tp>
      <tp>
        <v>2</v>
        <stp/>
        <stp>VOLUME</stp>
        <stp>.QQQ250630P522</stp>
        <tr r="L46" s="2"/>
        <tr r="L46" s="2"/>
      </tp>
      <tp t="s">
        <v>N/A</v>
        <stp/>
        <stp>VOLUME</stp>
        <stp>.QQQ250606C514</stp>
        <tr r="J54" s="2"/>
      </tp>
      <tp>
        <v>8</v>
        <stp/>
        <stp>VOLUME</stp>
        <stp>.QQQ250630C522</stp>
        <tr r="L46" s="2"/>
        <tr r="L46" s="2"/>
      </tp>
      <tp>
        <v>22</v>
        <stp/>
        <stp>VOLUME</stp>
        <stp>.QQQ250606P515</stp>
        <tr r="J53" s="2"/>
        <tr r="J53" s="2"/>
      </tp>
      <tp>
        <v>855</v>
        <stp/>
        <stp>VOLUME</stp>
        <stp>.QQQ250606C515</stp>
        <tr r="J53" s="2"/>
        <tr r="J53" s="2"/>
      </tp>
      <tp t="s">
        <v>N/A</v>
        <stp/>
        <stp>VOLUME</stp>
        <stp>.QQQ250606P518</stp>
        <tr r="J50" s="2"/>
      </tp>
      <tp t="s">
        <v>N/A</v>
        <stp/>
        <stp>VOLUME</stp>
        <stp>.QQQ250606C518</stp>
        <tr r="J50" s="2"/>
      </tp>
      <tp t="s">
        <v>N/A</v>
        <stp/>
        <stp>VOLUME</stp>
        <stp>.QQQ250606P519</stp>
        <tr r="J49" s="2"/>
      </tp>
      <tp t="s">
        <v>N/A</v>
        <stp/>
        <stp>VOLUME</stp>
        <stp>.QQQ250606C519</stp>
        <tr r="J49" s="2"/>
      </tp>
      <tp t="s">
        <v>N/A</v>
        <stp/>
        <stp>VOLUME</stp>
        <stp>.QQQ250606P502</stp>
        <tr r="J66" s="2"/>
      </tp>
      <tp t="s">
        <v>N/A</v>
        <stp/>
        <stp>VOLUME</stp>
        <stp>.QQQ250606C502</stp>
        <tr r="J66" s="2"/>
      </tp>
      <tp t="s">
        <v>N/A</v>
        <stp/>
        <stp>VOLUME</stp>
        <stp>.QQQ250606P503</stp>
        <tr r="J65" s="2"/>
      </tp>
      <tp t="s">
        <v>N/A</v>
        <stp/>
        <stp>VOLUME</stp>
        <stp>.QQQ250606C503</stp>
        <tr r="J65" s="2"/>
      </tp>
      <tp>
        <v>1552</v>
        <stp/>
        <stp>VOLUME</stp>
        <stp>.QQQ250606P500</stp>
        <tr r="J68" s="2"/>
        <tr r="J68" s="2"/>
      </tp>
      <tp>
        <v>799</v>
        <stp/>
        <stp>VOLUME</stp>
        <stp>.QQQ250606C500</stp>
        <tr r="J68" s="2"/>
        <tr r="J68" s="2"/>
      </tp>
      <tp t="s">
        <v>N/A</v>
        <stp/>
        <stp>VOLUME</stp>
        <stp>.QQQ250606P501</stp>
        <tr r="J67" s="2"/>
      </tp>
      <tp t="s">
        <v>N/A</v>
        <stp/>
        <stp>VOLUME</stp>
        <stp>.QQQ250606C501</stp>
        <tr r="J67" s="2"/>
      </tp>
      <tp t="s">
        <v>N/A</v>
        <stp/>
        <stp>VOLUME</stp>
        <stp>.QQQ250606P506</stp>
        <tr r="J62" s="2"/>
      </tp>
      <tp>
        <v>184</v>
        <stp/>
        <stp>VOLUME</stp>
        <stp>.QQQ250620P520</stp>
        <tr r="BF47" s="1"/>
        <tr r="BF47" s="1"/>
      </tp>
      <tp t="s">
        <v>N/A</v>
        <stp/>
        <stp>VOLUME</stp>
        <stp>.QQQ250606C506</stp>
        <tr r="J62" s="2"/>
      </tp>
      <tp>
        <v>12389</v>
        <stp/>
        <stp>VOLUME</stp>
        <stp>.QQQ250620C520</stp>
        <tr r="BE47" s="1"/>
        <tr r="BE47" s="1"/>
      </tp>
      <tp t="s">
        <v>N/A</v>
        <stp/>
        <stp>VOLUME</stp>
        <stp>.QQQ250606P507</stp>
        <tr r="J61" s="2"/>
      </tp>
      <tp t="s">
        <v>N/A</v>
        <stp/>
        <stp>VOLUME</stp>
        <stp>.QQQ250620P521</stp>
        <tr r="BF46" s="1"/>
      </tp>
      <tp t="s">
        <v>N/A</v>
        <stp/>
        <stp>VOLUME</stp>
        <stp>.QQQ250606C507</stp>
        <tr r="J61" s="2"/>
      </tp>
      <tp t="s">
        <v>N/A</v>
        <stp/>
        <stp>VOLUME</stp>
        <stp>.QQQ250620C521</stp>
        <tr r="BE46" s="1"/>
      </tp>
      <tp t="s">
        <v>N/A</v>
        <stp/>
        <stp>VOLUME</stp>
        <stp>.QQQ250606P504</stp>
        <tr r="J64" s="2"/>
      </tp>
      <tp t="s">
        <v>N/A</v>
        <stp/>
        <stp>VOLUME</stp>
        <stp>.QQQ250620P522</stp>
        <tr r="BF45" s="1"/>
      </tp>
      <tp t="s">
        <v>N/A</v>
        <stp/>
        <stp>VOLUME</stp>
        <stp>.QQQ250606C504</stp>
        <tr r="J64" s="2"/>
      </tp>
      <tp t="s">
        <v>N/A</v>
        <stp/>
        <stp>VOLUME</stp>
        <stp>.QQQ250620C522</stp>
        <tr r="BE45" s="1"/>
      </tp>
      <tp>
        <v>747</v>
        <stp/>
        <stp>VOLUME</stp>
        <stp>.QQQ250606P505</stp>
        <tr r="J63" s="2"/>
        <tr r="J63" s="2"/>
      </tp>
      <tp>
        <v>826</v>
        <stp/>
        <stp>VOLUME</stp>
        <stp>.QQQ250606C505</stp>
        <tr r="J63" s="2"/>
        <tr r="J63" s="2"/>
      </tp>
      <tp t="s">
        <v>N/A</v>
        <stp/>
        <stp>VOLUME</stp>
        <stp>.QQQ250606P508</stp>
        <tr r="J60" s="2"/>
      </tp>
      <tp t="s">
        <v>N/A</v>
        <stp/>
        <stp>VOLUME</stp>
        <stp>.QQQ250606C508</stp>
        <tr r="J60" s="2"/>
      </tp>
      <tp t="s">
        <v>N/A</v>
        <stp/>
        <stp>VOLUME</stp>
        <stp>.QQQ250606P509</stp>
        <tr r="J59" s="2"/>
      </tp>
      <tp t="s">
        <v>N/A</v>
        <stp/>
        <stp>VOLUME</stp>
        <stp>.QQQ250606C509</stp>
        <tr r="J59" s="2"/>
      </tp>
      <tp t="s">
        <v>N/A</v>
        <stp/>
        <stp>VOLUME</stp>
        <stp>.QQQ250620P514</stp>
        <tr r="BF53" s="1"/>
      </tp>
      <tp>
        <v>73</v>
        <stp/>
        <stp>VOLUME</stp>
        <stp>.QQQ250630P504</stp>
        <tr r="L64" s="2"/>
        <tr r="L64" s="2"/>
      </tp>
      <tp t="s">
        <v>N/A</v>
        <stp/>
        <stp>VOLUME</stp>
        <stp>.QQQ250620C514</stp>
        <tr r="BE53" s="1"/>
      </tp>
      <tp>
        <v>63</v>
        <stp/>
        <stp>VOLUME</stp>
        <stp>.QQQ250630C504</stp>
        <tr r="L64" s="2"/>
        <tr r="L64" s="2"/>
      </tp>
      <tp>
        <v>33</v>
        <stp/>
        <stp>VOLUME</stp>
        <stp>.QQQ250620P515</stp>
        <tr r="BF52" s="1"/>
        <tr r="BF52" s="1"/>
      </tp>
      <tp>
        <v>418</v>
        <stp/>
        <stp>VOLUME</stp>
        <stp>.QQQ250630P505</stp>
        <tr r="L63" s="2"/>
        <tr r="L63" s="2"/>
      </tp>
      <tp>
        <v>2806</v>
        <stp/>
        <stp>VOLUME</stp>
        <stp>.QQQ250620C515</stp>
        <tr r="BE52" s="1"/>
        <tr r="BE52" s="1"/>
      </tp>
      <tp>
        <v>177</v>
        <stp/>
        <stp>VOLUME</stp>
        <stp>.QQQ250630C505</stp>
        <tr r="L63" s="2"/>
        <tr r="L63" s="2"/>
      </tp>
      <tp t="s">
        <v>N/A</v>
        <stp/>
        <stp>VOLUME</stp>
        <stp>.QQQ250620P516</stp>
        <tr r="BF51" s="1"/>
      </tp>
      <tp>
        <v>98</v>
        <stp/>
        <stp>VOLUME</stp>
        <stp>.QQQ250630P506</stp>
        <tr r="L62" s="2"/>
        <tr r="L62" s="2"/>
      </tp>
      <tp t="s">
        <v>N/A</v>
        <stp/>
        <stp>VOLUME</stp>
        <stp>.QQQ250620C516</stp>
        <tr r="BE51" s="1"/>
      </tp>
      <tp>
        <v>30</v>
        <stp/>
        <stp>VOLUME</stp>
        <stp>.QQQ250630C506</stp>
        <tr r="L62" s="2"/>
        <tr r="L62" s="2"/>
      </tp>
      <tp t="s">
        <v>N/A</v>
        <stp/>
        <stp>VOLUME</stp>
        <stp>.QQQ250620P517</stp>
        <tr r="BF50" s="1"/>
      </tp>
      <tp>
        <v>131</v>
        <stp/>
        <stp>VOLUME</stp>
        <stp>.QQQ250630P507</stp>
        <tr r="L61" s="2"/>
        <tr r="L61" s="2"/>
      </tp>
      <tp t="s">
        <v>N/A</v>
        <stp/>
        <stp>VOLUME</stp>
        <stp>.QQQ250620C517</stp>
        <tr r="BE50" s="1"/>
      </tp>
      <tp>
        <v>254</v>
        <stp/>
        <stp>VOLUME</stp>
        <stp>.QQQ250630C507</stp>
        <tr r="L61" s="2"/>
        <tr r="L61" s="2"/>
      </tp>
      <tp>
        <v>2337</v>
        <stp/>
        <stp>VOLUME</stp>
        <stp>.QQQ250620P510</stp>
        <tr r="BF57" s="1"/>
        <tr r="BF57" s="1"/>
      </tp>
      <tp>
        <v>1086</v>
        <stp/>
        <stp>VOLUME</stp>
        <stp>.QQQ250630P500</stp>
        <tr r="L68" s="2"/>
        <tr r="L68" s="2"/>
      </tp>
      <tp>
        <v>16090</v>
        <stp/>
        <stp>VOLUME</stp>
        <stp>.QQQ250620C510</stp>
        <tr r="BE57" s="1"/>
        <tr r="BE57" s="1"/>
      </tp>
      <tp>
        <v>918</v>
        <stp/>
        <stp>VOLUME</stp>
        <stp>.QQQ250630C500</stp>
        <tr r="L68" s="2"/>
        <tr r="L68" s="2"/>
      </tp>
      <tp t="s">
        <v>N/A</v>
        <stp/>
        <stp>VOLUME</stp>
        <stp>.QQQ250620P511</stp>
        <tr r="BF56" s="1"/>
      </tp>
      <tp>
        <v>7</v>
        <stp/>
        <stp>VOLUME</stp>
        <stp>.QQQ250630P501</stp>
        <tr r="L67" s="2"/>
        <tr r="L67" s="2"/>
      </tp>
      <tp t="s">
        <v>N/A</v>
        <stp/>
        <stp>VOLUME</stp>
        <stp>.QQQ250620C511</stp>
        <tr r="BE56" s="1"/>
      </tp>
      <tp>
        <v>48</v>
        <stp/>
        <stp>VOLUME</stp>
        <stp>.QQQ250630C501</stp>
        <tr r="L67" s="2"/>
        <tr r="L67" s="2"/>
      </tp>
      <tp t="s">
        <v>N/A</v>
        <stp/>
        <stp>VOLUME</stp>
        <stp>.QQQ250620P512</stp>
        <tr r="BF55" s="1"/>
      </tp>
      <tp>
        <v>31</v>
        <stp/>
        <stp>VOLUME</stp>
        <stp>.QQQ250630P502</stp>
        <tr r="L66" s="2"/>
        <tr r="L66" s="2"/>
      </tp>
      <tp t="s">
        <v>N/A</v>
        <stp/>
        <stp>VOLUME</stp>
        <stp>.QQQ250620C512</stp>
        <tr r="BE55" s="1"/>
      </tp>
      <tp>
        <v>21</v>
        <stp/>
        <stp>VOLUME</stp>
        <stp>.QQQ250630C502</stp>
        <tr r="L66" s="2"/>
        <tr r="L66" s="2"/>
      </tp>
      <tp t="s">
        <v>N/A</v>
        <stp/>
        <stp>VOLUME</stp>
        <stp>.QQQ250620P513</stp>
        <tr r="BF54" s="1"/>
      </tp>
      <tp>
        <v>92</v>
        <stp/>
        <stp>VOLUME</stp>
        <stp>.QQQ250630P503</stp>
        <tr r="L65" s="2"/>
        <tr r="L65" s="2"/>
      </tp>
      <tp t="s">
        <v>N/A</v>
        <stp/>
        <stp>VOLUME</stp>
        <stp>.QQQ250620C513</stp>
        <tr r="BE54" s="1"/>
      </tp>
      <tp>
        <v>131</v>
        <stp/>
        <stp>VOLUME</stp>
        <stp>.QQQ250630C503</stp>
        <tr r="L65" s="2"/>
        <tr r="L65" s="2"/>
      </tp>
      <tp t="s">
        <v>N/A</v>
        <stp/>
        <stp>VOLUME</stp>
        <stp>.QQQ250620P518</stp>
        <tr r="BF49" s="1"/>
      </tp>
      <tp>
        <v>46</v>
        <stp/>
        <stp>VOLUME</stp>
        <stp>.QQQ250630P508</stp>
        <tr r="L60" s="2"/>
        <tr r="L60" s="2"/>
      </tp>
      <tp t="s">
        <v>N/A</v>
        <stp/>
        <stp>VOLUME</stp>
        <stp>.QQQ250620C518</stp>
        <tr r="BE49" s="1"/>
      </tp>
      <tp>
        <v>36</v>
        <stp/>
        <stp>VOLUME</stp>
        <stp>.QQQ250630C508</stp>
        <tr r="L60" s="2"/>
        <tr r="L60" s="2"/>
      </tp>
      <tp t="s">
        <v>N/A</v>
        <stp/>
        <stp>VOLUME</stp>
        <stp>.QQQ250620P519</stp>
        <tr r="BF48" s="1"/>
      </tp>
      <tp>
        <v>6</v>
        <stp/>
        <stp>VOLUME</stp>
        <stp>.QQQ250630P509</stp>
        <tr r="L59" s="2"/>
        <tr r="L59" s="2"/>
      </tp>
      <tp t="s">
        <v>N/A</v>
        <stp/>
        <stp>VOLUME</stp>
        <stp>.QQQ250620C519</stp>
        <tr r="BE48" s="1"/>
      </tp>
      <tp>
        <v>23</v>
        <stp/>
        <stp>VOLUME</stp>
        <stp>.QQQ250630C509</stp>
        <tr r="L59" s="2"/>
        <tr r="L59" s="2"/>
      </tp>
      <tp t="s">
        <v>N/A</v>
        <stp/>
        <stp>VOLUME</stp>
        <stp>.QQQ250606P522</stp>
        <tr r="J46" s="2"/>
      </tp>
      <tp t="s">
        <v>N/A</v>
        <stp/>
        <stp>VOLUME</stp>
        <stp>.QQQ250620P504</stp>
        <tr r="BF63" s="1"/>
      </tp>
      <tp t="s">
        <v>N/A</v>
        <stp/>
        <stp>VOLUME</stp>
        <stp>.QQQ250630P514</stp>
        <tr r="L54" s="2"/>
      </tp>
      <tp t="s">
        <v>N/A</v>
        <stp/>
        <stp>VOLUME</stp>
        <stp>.QQQ250606C522</stp>
        <tr r="J46" s="2"/>
      </tp>
      <tp t="s">
        <v>N/A</v>
        <stp/>
        <stp>VOLUME</stp>
        <stp>.QQQ250620C504</stp>
        <tr r="BE63" s="1"/>
      </tp>
      <tp>
        <v>521</v>
        <stp/>
        <stp>VOLUME</stp>
        <stp>.QQQ250630C514</stp>
        <tr r="L54" s="2"/>
        <tr r="L54" s="2"/>
      </tp>
      <tp>
        <v>1338</v>
        <stp/>
        <stp>VOLUME</stp>
        <stp>.QQQ250620P505</stp>
        <tr r="BF62" s="1"/>
        <tr r="BF62" s="1"/>
      </tp>
      <tp>
        <v>2</v>
        <stp/>
        <stp>VOLUME</stp>
        <stp>.QQQ250630P515</stp>
        <tr r="L53" s="2"/>
        <tr r="L53" s="2"/>
      </tp>
      <tp>
        <v>2195</v>
        <stp/>
        <stp>VOLUME</stp>
        <stp>.QQQ250620C505</stp>
        <tr r="BE62" s="1"/>
        <tr r="BE62" s="1"/>
      </tp>
      <tp>
        <v>4212</v>
        <stp/>
        <stp>VOLUME</stp>
        <stp>.QQQ250630C515</stp>
        <tr r="L53" s="2"/>
        <tr r="L53" s="2"/>
      </tp>
      <tp>
        <v>94</v>
        <stp/>
        <stp>VOLUME</stp>
        <stp>.QQQ250606P520</stp>
        <tr r="J48" s="2"/>
        <tr r="J48" s="2"/>
      </tp>
      <tp t="s">
        <v>N/A</v>
        <stp/>
        <stp>VOLUME</stp>
        <stp>.QQQ250620P506</stp>
        <tr r="BF61" s="1"/>
      </tp>
      <tp t="s">
        <v>N/A</v>
        <stp/>
        <stp>VOLUME</stp>
        <stp>.QQQ250630P516</stp>
        <tr r="L52" s="2"/>
      </tp>
      <tp>
        <v>888</v>
        <stp/>
        <stp>VOLUME</stp>
        <stp>.QQQ250606C520</stp>
        <tr r="J48" s="2"/>
        <tr r="J48" s="2"/>
      </tp>
      <tp t="s">
        <v>N/A</v>
        <stp/>
        <stp>VOLUME</stp>
        <stp>.QQQ250620C506</stp>
        <tr r="BE61" s="1"/>
      </tp>
      <tp>
        <v>16</v>
        <stp/>
        <stp>VOLUME</stp>
        <stp>.QQQ250630C516</stp>
        <tr r="L52" s="2"/>
        <tr r="L52" s="2"/>
      </tp>
      <tp t="s">
        <v>N/A</v>
        <stp/>
        <stp>VOLUME</stp>
        <stp>.QQQ250606P521</stp>
        <tr r="J47" s="2"/>
      </tp>
      <tp t="s">
        <v>N/A</v>
        <stp/>
        <stp>VOLUME</stp>
        <stp>.QQQ250620P507</stp>
        <tr r="BF60" s="1"/>
      </tp>
      <tp t="s">
        <v>N/A</v>
        <stp/>
        <stp>VOLUME</stp>
        <stp>.QQQ250630P517</stp>
        <tr r="L51" s="2"/>
      </tp>
      <tp t="s">
        <v>N/A</v>
        <stp/>
        <stp>VOLUME</stp>
        <stp>.QQQ250606C521</stp>
        <tr r="J47" s="2"/>
      </tp>
      <tp t="s">
        <v>N/A</v>
        <stp/>
        <stp>VOLUME</stp>
        <stp>.QQQ250620C507</stp>
        <tr r="BE60" s="1"/>
      </tp>
      <tp>
        <v>76</v>
        <stp/>
        <stp>VOLUME</stp>
        <stp>.QQQ250630C517</stp>
        <tr r="L51" s="2"/>
        <tr r="L51" s="2"/>
      </tp>
      <tp>
        <v>9808</v>
        <stp/>
        <stp>VOLUME</stp>
        <stp>.QQQ250620P500</stp>
        <tr r="BF67" s="1"/>
        <tr r="BF67" s="1"/>
      </tp>
      <tp>
        <v>68</v>
        <stp/>
        <stp>VOLUME</stp>
        <stp>.QQQ250630P510</stp>
        <tr r="L58" s="2"/>
        <tr r="L58" s="2"/>
      </tp>
      <tp>
        <v>4472</v>
        <stp/>
        <stp>VOLUME</stp>
        <stp>.QQQ250620C500</stp>
        <tr r="BE67" s="1"/>
        <tr r="BE67" s="1"/>
      </tp>
      <tp>
        <v>254</v>
        <stp/>
        <stp>VOLUME</stp>
        <stp>.QQQ250630C510</stp>
        <tr r="L58" s="2"/>
        <tr r="L58" s="2"/>
      </tp>
      <tp t="s">
        <v>N/A</v>
        <stp/>
        <stp>VOLUME</stp>
        <stp>.QQQ250620P501</stp>
        <tr r="BF66" s="1"/>
      </tp>
      <tp>
        <v>2</v>
        <stp/>
        <stp>VOLUME</stp>
        <stp>.QQQ250630P511</stp>
        <tr r="L57" s="2"/>
        <tr r="L57" s="2"/>
      </tp>
      <tp t="s">
        <v>N/A</v>
        <stp/>
        <stp>VOLUME</stp>
        <stp>.QQQ250620C501</stp>
        <tr r="BE66" s="1"/>
      </tp>
      <tp>
        <v>54</v>
        <stp/>
        <stp>VOLUME</stp>
        <stp>.QQQ250630C511</stp>
        <tr r="L57" s="2"/>
        <tr r="L57" s="2"/>
      </tp>
      <tp t="s">
        <v>N/A</v>
        <stp/>
        <stp>VOLUME</stp>
        <stp>.QQQ250620P502</stp>
        <tr r="BF65" s="1"/>
      </tp>
      <tp t="s">
        <v>N/A</v>
        <stp/>
        <stp>VOLUME</stp>
        <stp>.QQQ250630P512</stp>
        <tr r="L56" s="2"/>
      </tp>
      <tp t="s">
        <v>N/A</v>
        <stp/>
        <stp>VOLUME</stp>
        <stp>.QQQ250620C502</stp>
        <tr r="BE65" s="1"/>
      </tp>
      <tp>
        <v>50</v>
        <stp/>
        <stp>VOLUME</stp>
        <stp>.QQQ250630C512</stp>
        <tr r="L56" s="2"/>
        <tr r="L56" s="2"/>
      </tp>
      <tp t="s">
        <v>N/A</v>
        <stp/>
        <stp>VOLUME</stp>
        <stp>.QQQ250620P503</stp>
        <tr r="BF64" s="1"/>
      </tp>
      <tp t="s">
        <v>N/A</v>
        <stp/>
        <stp>VOLUME</stp>
        <stp>.QQQ250630P513</stp>
        <tr r="L55" s="2"/>
      </tp>
      <tp t="s">
        <v>N/A</v>
        <stp/>
        <stp>VOLUME</stp>
        <stp>.QQQ250620C503</stp>
        <tr r="BE64" s="1"/>
      </tp>
      <tp>
        <v>30</v>
        <stp/>
        <stp>VOLUME</stp>
        <stp>.QQQ250630C513</stp>
        <tr r="L55" s="2"/>
        <tr r="L55" s="2"/>
      </tp>
      <tp t="s">
        <v>N/A</v>
        <stp/>
        <stp>VOLUME</stp>
        <stp>.QQQ250620P508</stp>
        <tr r="BF59" s="1"/>
      </tp>
      <tp>
        <v>5</v>
        <stp/>
        <stp>VOLUME</stp>
        <stp>.QQQ250630P518</stp>
        <tr r="L50" s="2"/>
        <tr r="L50" s="2"/>
      </tp>
      <tp t="s">
        <v>N/A</v>
        <stp/>
        <stp>VOLUME</stp>
        <stp>.QQQ250620C508</stp>
        <tr r="BE59" s="1"/>
      </tp>
      <tp>
        <v>38</v>
        <stp/>
        <stp>VOLUME</stp>
        <stp>.QQQ250630C518</stp>
        <tr r="L50" s="2"/>
        <tr r="L50" s="2"/>
      </tp>
      <tp t="s">
        <v>N/A</v>
        <stp/>
        <stp>VOLUME</stp>
        <stp>.QQQ250620P509</stp>
        <tr r="BF58" s="1"/>
      </tp>
      <tp>
        <v>2</v>
        <stp/>
        <stp>VOLUME</stp>
        <stp>.QQQ250630P519</stp>
        <tr r="L49" s="2"/>
        <tr r="L49" s="2"/>
      </tp>
      <tp t="s">
        <v>N/A</v>
        <stp/>
        <stp>VOLUME</stp>
        <stp>.QQQ250620C509</stp>
        <tr r="BE58" s="1"/>
      </tp>
      <tp>
        <v>58</v>
        <stp/>
        <stp>VOLUME</stp>
        <stp>.QQQ250630C519</stp>
        <tr r="L49" s="2"/>
        <tr r="L49" s="2"/>
      </tp>
      <tp>
        <v>100655</v>
        <stp/>
        <stp>VOLUME</stp>
        <stp>.QQQ250512P506</stp>
        <tr r="BB61" s="1"/>
        <tr r="BB61" s="1"/>
      </tp>
      <tp>
        <v>3893</v>
        <stp/>
        <stp>VOLUME</stp>
        <stp>.QQQ250516P502</stp>
        <tr r="BD65" s="1"/>
        <tr r="BD65" s="1"/>
      </tp>
      <tp>
        <v>132325</v>
        <stp/>
        <stp>VOLUME</stp>
        <stp>.QQQ250512C506</stp>
        <tr r="BA61" s="1"/>
        <tr r="BA61" s="1"/>
      </tp>
      <tp>
        <v>2234</v>
        <stp/>
        <stp>VOLUME</stp>
        <stp>.QQQ250516C502</stp>
        <tr r="BC65" s="1"/>
        <tr r="BC65" s="1"/>
      </tp>
      <tp>
        <v>80266</v>
        <stp/>
        <stp>VOLUME</stp>
        <stp>.QQQ250512P507</stp>
        <tr r="BB60" s="1"/>
        <tr r="BB60" s="1"/>
      </tp>
      <tp>
        <v>7323</v>
        <stp/>
        <stp>VOLUME</stp>
        <stp>.QQQ250516P503</stp>
        <tr r="BD64" s="1"/>
        <tr r="BD64" s="1"/>
      </tp>
      <tp>
        <v>163159</v>
        <stp/>
        <stp>VOLUME</stp>
        <stp>.QQQ250512C507</stp>
        <tr r="BA60" s="1"/>
        <tr r="BA60" s="1"/>
      </tp>
      <tp>
        <v>3319</v>
        <stp/>
        <stp>VOLUME</stp>
        <stp>.QQQ250516C503</stp>
        <tr r="BC64" s="1"/>
        <tr r="BC64" s="1"/>
      </tp>
      <tp>
        <v>134459</v>
        <stp/>
        <stp>VOLUME</stp>
        <stp>.QQQ250512P504</stp>
        <tr r="BB63" s="1"/>
        <tr r="BB63" s="1"/>
      </tp>
      <tp>
        <v>46524</v>
        <stp/>
        <stp>VOLUME</stp>
        <stp>.QQQ250516P500</stp>
        <tr r="BD67" s="1"/>
        <tr r="BD67" s="1"/>
      </tp>
      <tp>
        <v>106832</v>
        <stp/>
        <stp>VOLUME</stp>
        <stp>.QQQ250512C504</stp>
        <tr r="BA63" s="1"/>
        <tr r="BA63" s="1"/>
      </tp>
      <tp>
        <v>11968</v>
        <stp/>
        <stp>VOLUME</stp>
        <stp>.QQQ250516C500</stp>
        <tr r="BC67" s="1"/>
        <tr r="BC67" s="1"/>
      </tp>
      <tp>
        <v>165759</v>
        <stp/>
        <stp>VOLUME</stp>
        <stp>.QQQ250512P505</stp>
        <tr r="BB62" s="1"/>
        <tr r="BB62" s="1"/>
      </tp>
      <tp>
        <v>2461</v>
        <stp/>
        <stp>VOLUME</stp>
        <stp>.QQQ250516P501</stp>
        <tr r="BD66" s="1"/>
        <tr r="BD66" s="1"/>
      </tp>
      <tp>
        <v>173146</v>
        <stp/>
        <stp>VOLUME</stp>
        <stp>.QQQ250512C505</stp>
        <tr r="BA62" s="1"/>
        <tr r="BA62" s="1"/>
      </tp>
      <tp>
        <v>1523</v>
        <stp/>
        <stp>VOLUME</stp>
        <stp>.QQQ250516C501</stp>
        <tr r="BC66" s="1"/>
        <tr r="BC66" s="1"/>
      </tp>
      <tp>
        <v>84660</v>
        <stp/>
        <stp>VOLUME</stp>
        <stp>.QQQ250512P502</stp>
        <tr r="BB65" s="1"/>
        <tr r="BB65" s="1"/>
      </tp>
      <tp>
        <v>4215</v>
        <stp/>
        <stp>VOLUME</stp>
        <stp>.QQQ250516P506</stp>
        <tr r="BD61" s="1"/>
        <tr r="BD61" s="1"/>
      </tp>
      <tp>
        <v>16</v>
        <stp/>
        <stp>VOLUME</stp>
        <stp>.QQQ250530P520</stp>
        <tr r="I48" s="2"/>
        <tr r="I48" s="2"/>
      </tp>
      <tp>
        <v>19523</v>
        <stp/>
        <stp>VOLUME</stp>
        <stp>.QQQ250512C502</stp>
        <tr r="BA65" s="1"/>
        <tr r="BA65" s="1"/>
      </tp>
      <tp>
        <v>3987</v>
        <stp/>
        <stp>VOLUME</stp>
        <stp>.QQQ250516C506</stp>
        <tr r="BC61" s="1"/>
        <tr r="BC61" s="1"/>
      </tp>
      <tp>
        <v>9608</v>
        <stp/>
        <stp>VOLUME</stp>
        <stp>.QQQ250530C520</stp>
        <tr r="I48" s="2"/>
        <tr r="I48" s="2"/>
      </tp>
      <tp>
        <v>135084</v>
        <stp/>
        <stp>VOLUME</stp>
        <stp>.QQQ250512P503</stp>
        <tr r="BB64" s="1"/>
        <tr r="BB64" s="1"/>
      </tp>
      <tp>
        <v>4569</v>
        <stp/>
        <stp>VOLUME</stp>
        <stp>.QQQ250516P507</stp>
        <tr r="BD60" s="1"/>
        <tr r="BD60" s="1"/>
      </tp>
      <tp t="s">
        <v>N/A</v>
        <stp/>
        <stp>VOLUME</stp>
        <stp>.QQQ250530P521</stp>
        <tr r="I47" s="2"/>
      </tp>
      <tp>
        <v>53597</v>
        <stp/>
        <stp>VOLUME</stp>
        <stp>.QQQ250512C503</stp>
        <tr r="BA64" s="1"/>
        <tr r="BA64" s="1"/>
      </tp>
      <tp>
        <v>6505</v>
        <stp/>
        <stp>VOLUME</stp>
        <stp>.QQQ250516C507</stp>
        <tr r="BC60" s="1"/>
        <tr r="BC60" s="1"/>
      </tp>
      <tp>
        <v>503</v>
        <stp/>
        <stp>VOLUME</stp>
        <stp>.QQQ250530C521</stp>
        <tr r="I47" s="2"/>
        <tr r="I47" s="2"/>
      </tp>
      <tp>
        <v>120668</v>
        <stp/>
        <stp>VOLUME</stp>
        <stp>.QQQ250512P500</stp>
        <tr r="BB67" s="1"/>
        <tr r="BB67" s="1"/>
      </tp>
      <tp>
        <v>6851</v>
        <stp/>
        <stp>VOLUME</stp>
        <stp>.QQQ250516P504</stp>
        <tr r="BD63" s="1"/>
        <tr r="BD63" s="1"/>
      </tp>
      <tp>
        <v>28</v>
        <stp/>
        <stp>VOLUME</stp>
        <stp>.QQQ250530P522</stp>
        <tr r="I46" s="2"/>
        <tr r="I46" s="2"/>
      </tp>
      <tp>
        <v>14551</v>
        <stp/>
        <stp>VOLUME</stp>
        <stp>.QQQ250512C500</stp>
        <tr r="BA67" s="1"/>
        <tr r="BA67" s="1"/>
      </tp>
      <tp>
        <v>12360</v>
        <stp/>
        <stp>VOLUME</stp>
        <stp>.QQQ250516C504</stp>
        <tr r="BC63" s="1"/>
        <tr r="BC63" s="1"/>
      </tp>
      <tp>
        <v>392</v>
        <stp/>
        <stp>VOLUME</stp>
        <stp>.QQQ250530C522</stp>
        <tr r="I46" s="2"/>
        <tr r="I46" s="2"/>
      </tp>
      <tp>
        <v>51484</v>
        <stp/>
        <stp>VOLUME</stp>
        <stp>.QQQ250512P501</stp>
        <tr r="BB66" s="1"/>
        <tr r="BB66" s="1"/>
      </tp>
      <tp>
        <v>14586</v>
        <stp/>
        <stp>VOLUME</stp>
        <stp>.QQQ250516P505</stp>
        <tr r="BD62" s="1"/>
        <tr r="BD62" s="1"/>
      </tp>
      <tp>
        <v>5777</v>
        <stp/>
        <stp>VOLUME</stp>
        <stp>.QQQ250512C501</stp>
        <tr r="BA66" s="1"/>
        <tr r="BA66" s="1"/>
      </tp>
      <tp>
        <v>14506</v>
        <stp/>
        <stp>VOLUME</stp>
        <stp>.QQQ250516C505</stp>
        <tr r="BC62" s="1"/>
        <tr r="BC62" s="1"/>
      </tp>
      <tp>
        <v>1800</v>
        <stp/>
        <stp>VOLUME</stp>
        <stp>.QQQ250516P508</stp>
        <tr r="BD59" s="1"/>
        <tr r="BD59" s="1"/>
      </tp>
      <tp>
        <v>5196</v>
        <stp/>
        <stp>VOLUME</stp>
        <stp>.QQQ250516C508</stp>
        <tr r="BC59" s="1"/>
        <tr r="BC59" s="1"/>
      </tp>
      <tp>
        <v>538</v>
        <stp/>
        <stp>VOLUME</stp>
        <stp>.QQQ250516P509</stp>
        <tr r="BD58" s="1"/>
        <tr r="BD58" s="1"/>
      </tp>
      <tp>
        <v>2069</v>
        <stp/>
        <stp>VOLUME</stp>
        <stp>.QQQ250516C509</stp>
        <tr r="BC58" s="1"/>
        <tr r="BC58" s="1"/>
      </tp>
      <tp>
        <v>26599</v>
        <stp/>
        <stp>VOLUME</stp>
        <stp>.QQQ250512P508</stp>
        <tr r="BB59" s="1"/>
        <tr r="BB59" s="1"/>
      </tp>
      <tp>
        <v>140133</v>
        <stp/>
        <stp>VOLUME</stp>
        <stp>.QQQ250512C508</stp>
        <tr r="BA59" s="1"/>
        <tr r="BA59" s="1"/>
      </tp>
      <tp>
        <v>8510</v>
        <stp/>
        <stp>VOLUME</stp>
        <stp>.QQQ250512P509</stp>
        <tr r="BB58" s="1"/>
        <tr r="BB58" s="1"/>
      </tp>
      <tp>
        <v>52721</v>
        <stp/>
        <stp>VOLUME</stp>
        <stp>.QQQ250512C509</stp>
        <tr r="BA58" s="1"/>
        <tr r="BA58" s="1"/>
      </tp>
      <tp>
        <v>143</v>
        <stp/>
        <stp>VOLUME</stp>
        <stp>.QQQ250512P516</stp>
        <tr r="BB51" s="1"/>
        <tr r="BB51" s="1"/>
      </tp>
      <tp>
        <v>142</v>
        <stp/>
        <stp>VOLUME</stp>
        <stp>.QQQ250516P512</stp>
        <tr r="BD55" s="1"/>
        <tr r="BD55" s="1"/>
      </tp>
      <tp>
        <v>3714</v>
        <stp/>
        <stp>VOLUME</stp>
        <stp>.QQQ250512C516</stp>
        <tr r="BA51" s="1"/>
        <tr r="BA51" s="1"/>
      </tp>
      <tp>
        <v>3186</v>
        <stp/>
        <stp>VOLUME</stp>
        <stp>.QQQ250516C512</stp>
        <tr r="BC55" s="1"/>
        <tr r="BC55" s="1"/>
      </tp>
      <tp>
        <v>185</v>
        <stp/>
        <stp>VOLUME</stp>
        <stp>.QQQ250512P517</stp>
        <tr r="BB50" s="1"/>
        <tr r="BB50" s="1"/>
      </tp>
      <tp>
        <v>335</v>
        <stp/>
        <stp>VOLUME</stp>
        <stp>.QQQ250516P513</stp>
        <tr r="BD54" s="1"/>
        <tr r="BD54" s="1"/>
      </tp>
      <tp>
        <v>4375</v>
        <stp/>
        <stp>VOLUME</stp>
        <stp>.QQQ250512C517</stp>
        <tr r="BA50" s="1"/>
        <tr r="BA50" s="1"/>
      </tp>
      <tp>
        <v>3333</v>
        <stp/>
        <stp>VOLUME</stp>
        <stp>.QQQ250516C513</stp>
        <tr r="BC54" s="1"/>
        <tr r="BC54" s="1"/>
      </tp>
      <tp>
        <v>146</v>
        <stp/>
        <stp>VOLUME</stp>
        <stp>.QQQ250512P514</stp>
        <tr r="BB53" s="1"/>
        <tr r="BB53" s="1"/>
      </tp>
      <tp>
        <v>3727</v>
        <stp/>
        <stp>VOLUME</stp>
        <stp>.QQQ250516P510</stp>
        <tr r="BD57" s="1"/>
        <tr r="BD57" s="1"/>
      </tp>
      <tp>
        <v>5085</v>
        <stp/>
        <stp>VOLUME</stp>
        <stp>.QQQ250512C514</stp>
        <tr r="BA53" s="1"/>
        <tr r="BA53" s="1"/>
      </tp>
      <tp>
        <v>19044</v>
        <stp/>
        <stp>VOLUME</stp>
        <stp>.QQQ250516C510</stp>
        <tr r="BC57" s="1"/>
        <tr r="BC57" s="1"/>
      </tp>
      <tp>
        <v>283</v>
        <stp/>
        <stp>VOLUME</stp>
        <stp>.QQQ250512P515</stp>
        <tr r="BB52" s="1"/>
        <tr r="BB52" s="1"/>
      </tp>
      <tp>
        <v>526</v>
        <stp/>
        <stp>VOLUME</stp>
        <stp>.QQQ250516P511</stp>
        <tr r="BD56" s="1"/>
        <tr r="BD56" s="1"/>
      </tp>
      <tp>
        <v>9848</v>
        <stp/>
        <stp>VOLUME</stp>
        <stp>.QQQ250512C515</stp>
        <tr r="BA52" s="1"/>
        <tr r="BA52" s="1"/>
      </tp>
      <tp>
        <v>2520</v>
        <stp/>
        <stp>VOLUME</stp>
        <stp>.QQQ250516C511</stp>
        <tr r="BC56" s="1"/>
        <tr r="BC56" s="1"/>
      </tp>
      <tp>
        <v>435</v>
        <stp/>
        <stp>VOLUME</stp>
        <stp>.QQQ250512P512</stp>
        <tr r="BB55" s="1"/>
        <tr r="BB55" s="1"/>
      </tp>
      <tp>
        <v>78</v>
        <stp/>
        <stp>VOLUME</stp>
        <stp>.QQQ250516P516</stp>
        <tr r="BD51" s="1"/>
        <tr r="BD51" s="1"/>
      </tp>
      <tp>
        <v>19735</v>
        <stp/>
        <stp>VOLUME</stp>
        <stp>.QQQ250512C512</stp>
        <tr r="BA55" s="1"/>
        <tr r="BA55" s="1"/>
      </tp>
      <tp>
        <v>3199</v>
        <stp/>
        <stp>VOLUME</stp>
        <stp>.QQQ250516C516</stp>
        <tr r="BC51" s="1"/>
        <tr r="BC51" s="1"/>
      </tp>
      <tp>
        <v>325</v>
        <stp/>
        <stp>VOLUME</stp>
        <stp>.QQQ250512P513</stp>
        <tr r="BB54" s="1"/>
        <tr r="BB54" s="1"/>
      </tp>
      <tp>
        <v>87</v>
        <stp/>
        <stp>VOLUME</stp>
        <stp>.QQQ250516P517</stp>
        <tr r="BD50" s="1"/>
        <tr r="BD50" s="1"/>
      </tp>
      <tp t="s">
        <v>N/A</v>
        <stp/>
        <stp>VOLUME</stp>
        <stp>.QQQ250523P522</stp>
        <tr r="H46" s="2"/>
      </tp>
      <tp>
        <v>10344</v>
        <stp/>
        <stp>VOLUME</stp>
        <stp>.QQQ250512C513</stp>
        <tr r="BA54" s="1"/>
        <tr r="BA54" s="1"/>
      </tp>
      <tp>
        <v>2460</v>
        <stp/>
        <stp>VOLUME</stp>
        <stp>.QQQ250516C517</stp>
        <tr r="BC50" s="1"/>
        <tr r="BC50" s="1"/>
      </tp>
      <tp t="s">
        <v>N/A</v>
        <stp/>
        <stp>VOLUME</stp>
        <stp>.QQQ250523C522</stp>
        <tr r="H46" s="2"/>
      </tp>
      <tp>
        <v>4939</v>
        <stp/>
        <stp>VOLUME</stp>
        <stp>.QQQ250512P510</stp>
        <tr r="BB57" s="1"/>
        <tr r="BB57" s="1"/>
      </tp>
      <tp>
        <v>111</v>
        <stp/>
        <stp>VOLUME</stp>
        <stp>.QQQ250516P514</stp>
        <tr r="BD53" s="1"/>
        <tr r="BD53" s="1"/>
      </tp>
      <tp t="s">
        <v>N/A</v>
        <stp/>
        <stp>VOLUME</stp>
        <stp>.QQQ250523P521</stp>
        <tr r="H47" s="2"/>
      </tp>
      <tp>
        <v>67741</v>
        <stp/>
        <stp>VOLUME</stp>
        <stp>.QQQ250512C510</stp>
        <tr r="BA57" s="1"/>
        <tr r="BA57" s="1"/>
      </tp>
      <tp>
        <v>2630</v>
        <stp/>
        <stp>VOLUME</stp>
        <stp>.QQQ250516C514</stp>
        <tr r="BC53" s="1"/>
        <tr r="BC53" s="1"/>
      </tp>
      <tp t="s">
        <v>N/A</v>
        <stp/>
        <stp>VOLUME</stp>
        <stp>.QQQ250523C521</stp>
        <tr r="H47" s="2"/>
      </tp>
      <tp>
        <v>1179</v>
        <stp/>
        <stp>VOLUME</stp>
        <stp>.QQQ250512P511</stp>
        <tr r="BB56" s="1"/>
        <tr r="BB56" s="1"/>
      </tp>
      <tp>
        <v>485</v>
        <stp/>
        <stp>VOLUME</stp>
        <stp>.QQQ250516P515</stp>
        <tr r="BD52" s="1"/>
        <tr r="BD52" s="1"/>
      </tp>
      <tp>
        <v>10</v>
        <stp/>
        <stp>VOLUME</stp>
        <stp>.QQQ250523P520</stp>
        <tr r="H48" s="2"/>
        <tr r="H48" s="2"/>
      </tp>
      <tp>
        <v>16049</v>
        <stp/>
        <stp>VOLUME</stp>
        <stp>.QQQ250512C511</stp>
        <tr r="BA56" s="1"/>
        <tr r="BA56" s="1"/>
      </tp>
      <tp>
        <v>14620</v>
        <stp/>
        <stp>VOLUME</stp>
        <stp>.QQQ250516C515</stp>
        <tr r="BC52" s="1"/>
        <tr r="BC52" s="1"/>
      </tp>
      <tp>
        <v>3065</v>
        <stp/>
        <stp>VOLUME</stp>
        <stp>.QQQ250523C520</stp>
        <tr r="H48" s="2"/>
        <tr r="H48" s="2"/>
      </tp>
      <tp>
        <v>144</v>
        <stp/>
        <stp>VOLUME</stp>
        <stp>.QQQ250516P518</stp>
        <tr r="BD49" s="1"/>
        <tr r="BD49" s="1"/>
      </tp>
      <tp>
        <v>1877</v>
        <stp/>
        <stp>VOLUME</stp>
        <stp>.QQQ250516C518</stp>
        <tr r="BC49" s="1"/>
        <tr r="BC49" s="1"/>
      </tp>
      <tp>
        <v>36</v>
        <stp/>
        <stp>VOLUME</stp>
        <stp>.QQQ250516P519</stp>
        <tr r="BD48" s="1"/>
        <tr r="BD48" s="1"/>
      </tp>
      <tp>
        <v>1234</v>
        <stp/>
        <stp>VOLUME</stp>
        <stp>.QQQ250516C519</stp>
        <tr r="BC48" s="1"/>
        <tr r="BC48" s="1"/>
      </tp>
      <tp>
        <v>38</v>
        <stp/>
        <stp>VOLUME</stp>
        <stp>.QQQ250512P518</stp>
        <tr r="BB49" s="1"/>
        <tr r="BB49" s="1"/>
      </tp>
      <tp>
        <v>2632</v>
        <stp/>
        <stp>VOLUME</stp>
        <stp>.QQQ250512C518</stp>
        <tr r="BA49" s="1"/>
        <tr r="BA49" s="1"/>
      </tp>
      <tp>
        <v>16</v>
        <stp/>
        <stp>VOLUME</stp>
        <stp>.QQQ250512P519</stp>
        <tr r="BB48" s="1"/>
        <tr r="BB48" s="1"/>
      </tp>
      <tp>
        <v>2577</v>
        <stp/>
        <stp>VOLUME</stp>
        <stp>.QQQ250512C519</stp>
        <tr r="BA48" s="1"/>
        <tr r="BA48" s="1"/>
      </tp>
      <tp>
        <v>13</v>
        <stp/>
        <stp>VOLUME</stp>
        <stp>.QQQ250516P522</stp>
        <tr r="BD45" s="1"/>
        <tr r="BD45" s="1"/>
      </tp>
      <tp>
        <v>1</v>
        <stp/>
        <stp>VOLUME</stp>
        <stp>.QQQ250523P517</stp>
        <tr r="H51" s="2"/>
        <tr r="H51" s="2"/>
      </tp>
      <tp>
        <v>2368</v>
        <stp/>
        <stp>VOLUME</stp>
        <stp>.QQQ250530P504</stp>
        <tr r="I64" s="2"/>
        <tr r="I64" s="2"/>
      </tp>
      <tp>
        <v>1026</v>
        <stp/>
        <stp>VOLUME</stp>
        <stp>.QQQ250516C522</stp>
        <tr r="BC45" s="1"/>
        <tr r="BC45" s="1"/>
      </tp>
      <tp>
        <v>345</v>
        <stp/>
        <stp>VOLUME</stp>
        <stp>.QQQ250523C517</stp>
        <tr r="H51" s="2"/>
        <tr r="H51" s="2"/>
      </tp>
      <tp>
        <v>423</v>
        <stp/>
        <stp>VOLUME</stp>
        <stp>.QQQ250530C504</stp>
        <tr r="I64" s="2"/>
        <tr r="I64" s="2"/>
      </tp>
      <tp>
        <v>4</v>
        <stp/>
        <stp>VOLUME</stp>
        <stp>.QQQ250523P516</stp>
        <tr r="H52" s="2"/>
        <tr r="H52" s="2"/>
      </tp>
      <tp>
        <v>1492</v>
        <stp/>
        <stp>VOLUME</stp>
        <stp>.QQQ250530P505</stp>
        <tr r="I63" s="2"/>
        <tr r="I63" s="2"/>
      </tp>
      <tp>
        <v>200</v>
        <stp/>
        <stp>VOLUME</stp>
        <stp>.QQQ250523C516</stp>
        <tr r="H52" s="2"/>
        <tr r="H52" s="2"/>
      </tp>
      <tp>
        <v>1701</v>
        <stp/>
        <stp>VOLUME</stp>
        <stp>.QQQ250530C505</stp>
        <tr r="I63" s="2"/>
        <tr r="I63" s="2"/>
      </tp>
      <tp>
        <v>649</v>
        <stp/>
        <stp>VOLUME</stp>
        <stp>.QQQ250516P520</stp>
        <tr r="BD47" s="1"/>
        <tr r="BD47" s="1"/>
      </tp>
      <tp>
        <v>27</v>
        <stp/>
        <stp>VOLUME</stp>
        <stp>.QQQ250523P515</stp>
        <tr r="H53" s="2"/>
        <tr r="H53" s="2"/>
      </tp>
      <tp>
        <v>1009</v>
        <stp/>
        <stp>VOLUME</stp>
        <stp>.QQQ250530P506</stp>
        <tr r="I62" s="2"/>
        <tr r="I62" s="2"/>
      </tp>
      <tp>
        <v>12062</v>
        <stp/>
        <stp>VOLUME</stp>
        <stp>.QQQ250516C520</stp>
        <tr r="BC47" s="1"/>
        <tr r="BC47" s="1"/>
      </tp>
      <tp>
        <v>2913</v>
        <stp/>
        <stp>VOLUME</stp>
        <stp>.QQQ250523C515</stp>
        <tr r="H53" s="2"/>
        <tr r="H53" s="2"/>
      </tp>
      <tp>
        <v>971</v>
        <stp/>
        <stp>VOLUME</stp>
        <stp>.QQQ250530C506</stp>
        <tr r="I62" s="2"/>
        <tr r="I62" s="2"/>
      </tp>
      <tp>
        <v>98</v>
        <stp/>
        <stp>VOLUME</stp>
        <stp>.QQQ250516P521</stp>
        <tr r="BD46" s="1"/>
        <tr r="BD46" s="1"/>
      </tp>
      <tp>
        <v>20</v>
        <stp/>
        <stp>VOLUME</stp>
        <stp>.QQQ250523P514</stp>
        <tr r="H54" s="2"/>
        <tr r="H54" s="2"/>
      </tp>
      <tp>
        <v>1195</v>
        <stp/>
        <stp>VOLUME</stp>
        <stp>.QQQ250530P507</stp>
        <tr r="I61" s="2"/>
        <tr r="I61" s="2"/>
      </tp>
      <tp>
        <v>991</v>
        <stp/>
        <stp>VOLUME</stp>
        <stp>.QQQ250516C521</stp>
        <tr r="BC46" s="1"/>
        <tr r="BC46" s="1"/>
      </tp>
      <tp>
        <v>180</v>
        <stp/>
        <stp>VOLUME</stp>
        <stp>.QQQ250523C514</stp>
        <tr r="H54" s="2"/>
        <tr r="H54" s="2"/>
      </tp>
      <tp>
        <v>678</v>
        <stp/>
        <stp>VOLUME</stp>
        <stp>.QQQ250530C507</stp>
        <tr r="I61" s="2"/>
        <tr r="I61" s="2"/>
      </tp>
      <tp>
        <v>2</v>
        <stp/>
        <stp>VOLUME</stp>
        <stp>.QQQ250512P522</stp>
        <tr r="BB45" s="1"/>
        <tr r="BB45" s="1"/>
      </tp>
      <tp>
        <v>76</v>
        <stp/>
        <stp>VOLUME</stp>
        <stp>.QQQ250523P513</stp>
        <tr r="H55" s="2"/>
        <tr r="H55" s="2"/>
      </tp>
      <tp>
        <v>17133</v>
        <stp/>
        <stp>VOLUME</stp>
        <stp>.QQQ250530P500</stp>
        <tr r="I68" s="2"/>
        <tr r="I68" s="2"/>
      </tp>
      <tp>
        <v>2760</v>
        <stp/>
        <stp>VOLUME</stp>
        <stp>.QQQ250512C522</stp>
        <tr r="BA45" s="1"/>
        <tr r="BA45" s="1"/>
      </tp>
      <tp>
        <v>324</v>
        <stp/>
        <stp>VOLUME</stp>
        <stp>.QQQ250523C513</stp>
        <tr r="H55" s="2"/>
        <tr r="H55" s="2"/>
      </tp>
      <tp>
        <v>3735</v>
        <stp/>
        <stp>VOLUME</stp>
        <stp>.QQQ250530C500</stp>
        <tr r="I68" s="2"/>
        <tr r="I68" s="2"/>
      </tp>
      <tp>
        <v>10</v>
        <stp/>
        <stp>VOLUME</stp>
        <stp>.QQQ250523P512</stp>
        <tr r="H56" s="2"/>
        <tr r="H56" s="2"/>
      </tp>
      <tp>
        <v>205</v>
        <stp/>
        <stp>VOLUME</stp>
        <stp>.QQQ250530P501</stp>
        <tr r="I67" s="2"/>
        <tr r="I67" s="2"/>
      </tp>
      <tp>
        <v>156</v>
        <stp/>
        <stp>VOLUME</stp>
        <stp>.QQQ250523C512</stp>
        <tr r="H56" s="2"/>
        <tr r="H56" s="2"/>
      </tp>
      <tp>
        <v>740</v>
        <stp/>
        <stp>VOLUME</stp>
        <stp>.QQQ250530C501</stp>
        <tr r="I67" s="2"/>
        <tr r="I67" s="2"/>
      </tp>
      <tp>
        <v>565</v>
        <stp/>
        <stp>VOLUME</stp>
        <stp>.QQQ250512P520</stp>
        <tr r="BB47" s="1"/>
        <tr r="BB47" s="1"/>
      </tp>
      <tp>
        <v>2</v>
        <stp/>
        <stp>VOLUME</stp>
        <stp>.QQQ250523P511</stp>
        <tr r="H57" s="2"/>
        <tr r="H57" s="2"/>
      </tp>
      <tp>
        <v>432</v>
        <stp/>
        <stp>VOLUME</stp>
        <stp>.QQQ250530P502</stp>
        <tr r="I66" s="2"/>
        <tr r="I66" s="2"/>
      </tp>
      <tp>
        <v>5448</v>
        <stp/>
        <stp>VOLUME</stp>
        <stp>.QQQ250512C520</stp>
        <tr r="BA47" s="1"/>
        <tr r="BA47" s="1"/>
      </tp>
      <tp>
        <v>1189</v>
        <stp/>
        <stp>VOLUME</stp>
        <stp>.QQQ250523C511</stp>
        <tr r="H57" s="2"/>
        <tr r="H57" s="2"/>
      </tp>
      <tp>
        <v>271</v>
        <stp/>
        <stp>VOLUME</stp>
        <stp>.QQQ250530C502</stp>
        <tr r="I66" s="2"/>
        <tr r="I66" s="2"/>
      </tp>
      <tp>
        <v>34</v>
        <stp/>
        <stp>VOLUME</stp>
        <stp>.QQQ250512P521</stp>
        <tr r="BB46" s="1"/>
        <tr r="BB46" s="1"/>
      </tp>
      <tp>
        <v>522</v>
        <stp/>
        <stp>VOLUME</stp>
        <stp>.QQQ250523P510</stp>
        <tr r="H58" s="2"/>
        <tr r="H58" s="2"/>
      </tp>
      <tp>
        <v>646</v>
        <stp/>
        <stp>VOLUME</stp>
        <stp>.QQQ250530P503</stp>
        <tr r="I65" s="2"/>
        <tr r="I65" s="2"/>
      </tp>
      <tp>
        <v>3837</v>
        <stp/>
        <stp>VOLUME</stp>
        <stp>.QQQ250512C521</stp>
        <tr r="BA46" s="1"/>
        <tr r="BA46" s="1"/>
      </tp>
      <tp>
        <v>2922</v>
        <stp/>
        <stp>VOLUME</stp>
        <stp>.QQQ250523C510</stp>
        <tr r="H58" s="2"/>
        <tr r="H58" s="2"/>
      </tp>
      <tp>
        <v>506</v>
        <stp/>
        <stp>VOLUME</stp>
        <stp>.QQQ250530C503</stp>
        <tr r="I65" s="2"/>
        <tr r="I65" s="2"/>
      </tp>
      <tp>
        <v>122</v>
        <stp/>
        <stp>VOLUME</stp>
        <stp>.QQQ250530P508</stp>
        <tr r="I60" s="2"/>
        <tr r="I60" s="2"/>
      </tp>
      <tp>
        <v>1644</v>
        <stp/>
        <stp>VOLUME</stp>
        <stp>.QQQ250530C508</stp>
        <tr r="I60" s="2"/>
        <tr r="I60" s="2"/>
      </tp>
      <tp>
        <v>5</v>
        <stp/>
        <stp>VOLUME</stp>
        <stp>.QQQ250530P509</stp>
        <tr r="I59" s="2"/>
        <tr r="I59" s="2"/>
      </tp>
      <tp>
        <v>133</v>
        <stp/>
        <stp>VOLUME</stp>
        <stp>.QQQ250530C509</stp>
        <tr r="I59" s="2"/>
        <tr r="I59" s="2"/>
      </tp>
      <tp t="s">
        <v>N/A</v>
        <stp/>
        <stp>VOLUME</stp>
        <stp>.QQQ250523P519</stp>
        <tr r="H49" s="2"/>
      </tp>
      <tp>
        <v>802</v>
        <stp/>
        <stp>VOLUME</stp>
        <stp>.QQQ250523C519</stp>
        <tr r="H49" s="2"/>
        <tr r="H49" s="2"/>
      </tp>
      <tp>
        <v>5</v>
        <stp/>
        <stp>VOLUME</stp>
        <stp>.QQQ250523P518</stp>
        <tr r="H50" s="2"/>
        <tr r="H50" s="2"/>
      </tp>
      <tp>
        <v>191</v>
        <stp/>
        <stp>VOLUME</stp>
        <stp>.QQQ250523C518</stp>
        <tr r="H50" s="2"/>
        <tr r="H50" s="2"/>
      </tp>
      <tp>
        <v>300</v>
        <stp/>
        <stp>VOLUME</stp>
        <stp>.QQQ250523P507</stp>
        <tr r="H61" s="2"/>
        <tr r="H61" s="2"/>
      </tp>
      <tp>
        <v>35</v>
        <stp/>
        <stp>VOLUME</stp>
        <stp>.QQQ250530P514</stp>
        <tr r="I54" s="2"/>
        <tr r="I54" s="2"/>
      </tp>
      <tp>
        <v>1045</v>
        <stp/>
        <stp>VOLUME</stp>
        <stp>.QQQ250523C507</stp>
        <tr r="H61" s="2"/>
        <tr r="H61" s="2"/>
      </tp>
      <tp>
        <v>169</v>
        <stp/>
        <stp>VOLUME</stp>
        <stp>.QQQ250530C514</stp>
        <tr r="I54" s="2"/>
        <tr r="I54" s="2"/>
      </tp>
      <tp>
        <v>287</v>
        <stp/>
        <stp>VOLUME</stp>
        <stp>.QQQ250523P506</stp>
        <tr r="H62" s="2"/>
        <tr r="H62" s="2"/>
      </tp>
      <tp>
        <v>131</v>
        <stp/>
        <stp>VOLUME</stp>
        <stp>.QQQ250530P515</stp>
        <tr r="I53" s="2"/>
        <tr r="I53" s="2"/>
      </tp>
      <tp>
        <v>603</v>
        <stp/>
        <stp>VOLUME</stp>
        <stp>.QQQ250523C506</stp>
        <tr r="H62" s="2"/>
        <tr r="H62" s="2"/>
      </tp>
      <tp>
        <v>4377</v>
        <stp/>
        <stp>VOLUME</stp>
        <stp>.QQQ250530C515</stp>
        <tr r="I53" s="2"/>
        <tr r="I53" s="2"/>
      </tp>
      <tp>
        <v>864</v>
        <stp/>
        <stp>VOLUME</stp>
        <stp>.QQQ250523P505</stp>
        <tr r="H63" s="2"/>
        <tr r="H63" s="2"/>
      </tp>
      <tp>
        <v>7</v>
        <stp/>
        <stp>VOLUME</stp>
        <stp>.QQQ250530P516</stp>
        <tr r="I52" s="2"/>
        <tr r="I52" s="2"/>
      </tp>
      <tp>
        <v>3076</v>
        <stp/>
        <stp>VOLUME</stp>
        <stp>.QQQ250523C505</stp>
        <tr r="H63" s="2"/>
        <tr r="H63" s="2"/>
      </tp>
      <tp>
        <v>132</v>
        <stp/>
        <stp>VOLUME</stp>
        <stp>.QQQ250530C516</stp>
        <tr r="I52" s="2"/>
        <tr r="I52" s="2"/>
      </tp>
      <tp>
        <v>828</v>
        <stp/>
        <stp>VOLUME</stp>
        <stp>.QQQ250523P504</stp>
        <tr r="H64" s="2"/>
        <tr r="H64" s="2"/>
      </tp>
      <tp>
        <v>2</v>
        <stp/>
        <stp>VOLUME</stp>
        <stp>.QQQ250530P517</stp>
        <tr r="I51" s="2"/>
        <tr r="I51" s="2"/>
      </tp>
      <tp>
        <v>668</v>
        <stp/>
        <stp>VOLUME</stp>
        <stp>.QQQ250523C504</stp>
        <tr r="H64" s="2"/>
        <tr r="H64" s="2"/>
      </tp>
      <tp>
        <v>122</v>
        <stp/>
        <stp>VOLUME</stp>
        <stp>.QQQ250530C517</stp>
        <tr r="I51" s="2"/>
        <tr r="I51" s="2"/>
      </tp>
      <tp>
        <v>495</v>
        <stp/>
        <stp>VOLUME</stp>
        <stp>.QQQ250523P503</stp>
        <tr r="H65" s="2"/>
        <tr r="H65" s="2"/>
      </tp>
      <tp>
        <v>425</v>
        <stp/>
        <stp>VOLUME</stp>
        <stp>.QQQ250530P510</stp>
        <tr r="I58" s="2"/>
        <tr r="I58" s="2"/>
      </tp>
      <tp>
        <v>96</v>
        <stp/>
        <stp>VOLUME</stp>
        <stp>.QQQ250523C503</stp>
        <tr r="H65" s="2"/>
        <tr r="H65" s="2"/>
      </tp>
      <tp>
        <v>1684</v>
        <stp/>
        <stp>VOLUME</stp>
        <stp>.QQQ250530C510</stp>
        <tr r="I58" s="2"/>
        <tr r="I58" s="2"/>
      </tp>
      <tp>
        <v>241</v>
        <stp/>
        <stp>VOLUME</stp>
        <stp>.QQQ250523P502</stp>
        <tr r="H66" s="2"/>
        <tr r="H66" s="2"/>
      </tp>
      <tp>
        <v>44</v>
        <stp/>
        <stp>VOLUME</stp>
        <stp>.QQQ250530P511</stp>
        <tr r="I57" s="2"/>
        <tr r="I57" s="2"/>
      </tp>
      <tp>
        <v>900</v>
        <stp/>
        <stp>VOLUME</stp>
        <stp>.QQQ250523C502</stp>
        <tr r="H66" s="2"/>
        <tr r="H66" s="2"/>
      </tp>
      <tp>
        <v>426</v>
        <stp/>
        <stp>VOLUME</stp>
        <stp>.QQQ250530C511</stp>
        <tr r="I57" s="2"/>
        <tr r="I57" s="2"/>
      </tp>
      <tp>
        <v>126</v>
        <stp/>
        <stp>VOLUME</stp>
        <stp>.QQQ250523P501</stp>
        <tr r="H67" s="2"/>
        <tr r="H67" s="2"/>
      </tp>
      <tp>
        <v>65</v>
        <stp/>
        <stp>VOLUME</stp>
        <stp>.QQQ250530P512</stp>
        <tr r="I56" s="2"/>
        <tr r="I56" s="2"/>
      </tp>
      <tp>
        <v>62</v>
        <stp/>
        <stp>VOLUME</stp>
        <stp>.QQQ250523C501</stp>
        <tr r="H67" s="2"/>
        <tr r="H67" s="2"/>
      </tp>
      <tp>
        <v>313</v>
        <stp/>
        <stp>VOLUME</stp>
        <stp>.QQQ250530C512</stp>
        <tr r="I56" s="2"/>
        <tr r="I56" s="2"/>
      </tp>
      <tp>
        <v>6899</v>
        <stp/>
        <stp>VOLUME</stp>
        <stp>.QQQ250523P500</stp>
        <tr r="H68" s="2"/>
        <tr r="H68" s="2"/>
      </tp>
      <tp>
        <v>1</v>
        <stp/>
        <stp>VOLUME</stp>
        <stp>.QQQ250530P513</stp>
        <tr r="I55" s="2"/>
        <tr r="I55" s="2"/>
      </tp>
      <tp>
        <v>2259</v>
        <stp/>
        <stp>VOLUME</stp>
        <stp>.QQQ250523C500</stp>
        <tr r="H68" s="2"/>
        <tr r="H68" s="2"/>
      </tp>
      <tp>
        <v>154</v>
        <stp/>
        <stp>VOLUME</stp>
        <stp>.QQQ250530C513</stp>
        <tr r="I55" s="2"/>
        <tr r="I55" s="2"/>
      </tp>
      <tp>
        <v>102</v>
        <stp/>
        <stp>VOLUME</stp>
        <stp>.QQQ250530P518</stp>
        <tr r="I50" s="2"/>
        <tr r="I50" s="2"/>
      </tp>
      <tp>
        <v>128</v>
        <stp/>
        <stp>VOLUME</stp>
        <stp>.QQQ250530C518</stp>
        <tr r="I50" s="2"/>
        <tr r="I50" s="2"/>
      </tp>
      <tp>
        <v>21</v>
        <stp/>
        <stp>VOLUME</stp>
        <stp>.QQQ250530P519</stp>
        <tr r="I49" s="2"/>
        <tr r="I49" s="2"/>
      </tp>
      <tp>
        <v>143</v>
        <stp/>
        <stp>VOLUME</stp>
        <stp>.QQQ250530C519</stp>
        <tr r="I49" s="2"/>
        <tr r="I49" s="2"/>
      </tp>
      <tp>
        <v>39</v>
        <stp/>
        <stp>VOLUME</stp>
        <stp>.QQQ250523P509</stp>
        <tr r="H59" s="2"/>
        <tr r="H59" s="2"/>
      </tp>
      <tp>
        <v>253</v>
        <stp/>
        <stp>VOLUME</stp>
        <stp>.QQQ250523C509</stp>
        <tr r="H59" s="2"/>
        <tr r="H59" s="2"/>
      </tp>
      <tp>
        <v>108</v>
        <stp/>
        <stp>VOLUME</stp>
        <stp>.QQQ250523P508</stp>
        <tr r="H60" s="2"/>
        <tr r="H60" s="2"/>
      </tp>
      <tp>
        <v>605</v>
        <stp/>
        <stp>VOLUME</stp>
        <stp>.QQQ250523C508</stp>
        <tr r="H60" s="2"/>
        <tr r="H60" s="2"/>
      </tp>
      <tp>
        <v>255.1</v>
        <stp/>
        <stp>BID</stp>
        <stp>.SPXW250512C5580</stp>
        <tr r="DE129" s="1"/>
        <tr r="DE129" s="1"/>
      </tp>
      <tp>
        <v>0</v>
        <stp/>
        <stp>BID</stp>
        <stp>.SPXW250512P5580</stp>
        <tr r="DF129" s="1"/>
        <tr r="DF129" s="1"/>
      </tp>
      <tp>
        <v>245.1</v>
        <stp/>
        <stp>BID</stp>
        <stp>.SPXW250512C5590</stp>
        <tr r="DE128" s="1"/>
        <tr r="DE128" s="1"/>
      </tp>
      <tp>
        <v>0</v>
        <stp/>
        <stp>BID</stp>
        <stp>.SPXW250512P5590</stp>
        <tr r="DF128" s="1"/>
        <tr r="DF128" s="1"/>
      </tp>
      <tp>
        <v>265.10000000000002</v>
        <stp/>
        <stp>BID</stp>
        <stp>.SPXW250512C5570</stp>
        <tr r="DE130" s="1"/>
        <tr r="DE130" s="1"/>
      </tp>
      <tp>
        <v>0</v>
        <stp/>
        <stp>BID</stp>
        <stp>.SPXW250512P5570</stp>
        <tr r="DF130" s="1"/>
        <tr r="DF130" s="1"/>
      </tp>
      <tp>
        <v>1796</v>
        <stp/>
        <stp>VOLUME</stp>
        <stp>.QQQ250516P488</stp>
        <tr r="BD79" s="1"/>
        <tr r="BD79" s="1"/>
      </tp>
      <tp>
        <v>517</v>
        <stp/>
        <stp>VOLUME</stp>
        <stp>.QQQ250516C488</stp>
        <tr r="BC79" s="1"/>
        <tr r="BC79" s="1"/>
      </tp>
      <tp>
        <v>2373</v>
        <stp/>
        <stp>VOLUME</stp>
        <stp>.QQQ250516P489</stp>
        <tr r="BD78" s="1"/>
        <tr r="BD78" s="1"/>
      </tp>
      <tp>
        <v>453</v>
        <stp/>
        <stp>VOLUME</stp>
        <stp>.QQQ250516C489</stp>
        <tr r="BC78" s="1"/>
        <tr r="BC78" s="1"/>
      </tp>
      <tp>
        <v>5604</v>
        <stp/>
        <stp>VOLUME</stp>
        <stp>.QQQ250512P488</stp>
        <tr r="BB79" s="1"/>
        <tr r="BB79" s="1"/>
      </tp>
      <tp>
        <v>2719</v>
        <stp/>
        <stp>VOLUME</stp>
        <stp>.QQQ250512C488</stp>
        <tr r="BA79" s="1"/>
        <tr r="BA79" s="1"/>
      </tp>
      <tp>
        <v>2577</v>
        <stp/>
        <stp>VOLUME</stp>
        <stp>.QQQ250512P489</stp>
        <tr r="BB78" s="1"/>
        <tr r="BB78" s="1"/>
      </tp>
      <tp>
        <v>5533</v>
        <stp/>
        <stp>VOLUME</stp>
        <stp>.QQQ250512C489</stp>
        <tr r="BA78" s="1"/>
        <tr r="BA78" s="1"/>
      </tp>
      <tp>
        <v>21025</v>
        <stp/>
        <stp>VOLUME</stp>
        <stp>.QQQ250512P496</stp>
        <tr r="BB71" s="1"/>
        <tr r="BB71" s="1"/>
      </tp>
      <tp>
        <v>4974</v>
        <stp/>
        <stp>VOLUME</stp>
        <stp>.QQQ250516P492</stp>
        <tr r="BD75" s="1"/>
        <tr r="BD75" s="1"/>
      </tp>
      <tp>
        <v>2109</v>
        <stp/>
        <stp>VOLUME</stp>
        <stp>.QQQ250512C496</stp>
        <tr r="BA71" s="1"/>
        <tr r="BA71" s="1"/>
      </tp>
      <tp>
        <v>905</v>
        <stp/>
        <stp>VOLUME</stp>
        <stp>.QQQ250516C492</stp>
        <tr r="BC75" s="1"/>
        <tr r="BC75" s="1"/>
      </tp>
      <tp>
        <v>36987</v>
        <stp/>
        <stp>VOLUME</stp>
        <stp>.QQQ250512P497</stp>
        <tr r="BB70" s="1"/>
        <tr r="BB70" s="1"/>
      </tp>
      <tp>
        <v>3422</v>
        <stp/>
        <stp>VOLUME</stp>
        <stp>.QQQ250516P493</stp>
        <tr r="BD74" s="1"/>
        <tr r="BD74" s="1"/>
      </tp>
      <tp>
        <v>3530</v>
        <stp/>
        <stp>VOLUME</stp>
        <stp>.QQQ250512C497</stp>
        <tr r="BA70" s="1"/>
        <tr r="BA70" s="1"/>
      </tp>
      <tp>
        <v>554</v>
        <stp/>
        <stp>VOLUME</stp>
        <stp>.QQQ250516C493</stp>
        <tr r="BC74" s="1"/>
        <tr r="BC74" s="1"/>
      </tp>
      <tp>
        <v>17776</v>
        <stp/>
        <stp>VOLUME</stp>
        <stp>.QQQ250512P494</stp>
        <tr r="BB73" s="1"/>
        <tr r="BB73" s="1"/>
      </tp>
      <tp>
        <v>24459</v>
        <stp/>
        <stp>VOLUME</stp>
        <stp>.QQQ250516P490</stp>
        <tr r="BD77" s="1"/>
        <tr r="BD77" s="1"/>
      </tp>
      <tp>
        <v>2276</v>
        <stp/>
        <stp>VOLUME</stp>
        <stp>.QQQ250512C494</stp>
        <tr r="BA73" s="1"/>
        <tr r="BA73" s="1"/>
      </tp>
      <tp>
        <v>9904</v>
        <stp/>
        <stp>VOLUME</stp>
        <stp>.QQQ250516C490</stp>
        <tr r="BC77" s="1"/>
        <tr r="BC77" s="1"/>
      </tp>
      <tp>
        <v>19302</v>
        <stp/>
        <stp>VOLUME</stp>
        <stp>.QQQ250512P495</stp>
        <tr r="BB72" s="1"/>
        <tr r="BB72" s="1"/>
      </tp>
      <tp>
        <v>1854</v>
        <stp/>
        <stp>VOLUME</stp>
        <stp>.QQQ250516P491</stp>
        <tr r="BD76" s="1"/>
        <tr r="BD76" s="1"/>
      </tp>
      <tp>
        <v>5580</v>
        <stp/>
        <stp>VOLUME</stp>
        <stp>.QQQ250512C495</stp>
        <tr r="BA72" s="1"/>
        <tr r="BA72" s="1"/>
      </tp>
      <tp>
        <v>666</v>
        <stp/>
        <stp>VOLUME</stp>
        <stp>.QQQ250516C491</stp>
        <tr r="BC76" s="1"/>
        <tr r="BC76" s="1"/>
      </tp>
      <tp>
        <v>4874</v>
        <stp/>
        <stp>VOLUME</stp>
        <stp>.QQQ250512P492</stp>
        <tr r="BB75" s="1"/>
        <tr r="BB75" s="1"/>
      </tp>
      <tp>
        <v>2503</v>
        <stp/>
        <stp>VOLUME</stp>
        <stp>.QQQ250516P496</stp>
        <tr r="BD71" s="1"/>
        <tr r="BD71" s="1"/>
      </tp>
      <tp>
        <v>2133</v>
        <stp/>
        <stp>VOLUME</stp>
        <stp>.QQQ250512C492</stp>
        <tr r="BA75" s="1"/>
        <tr r="BA75" s="1"/>
      </tp>
      <tp>
        <v>986</v>
        <stp/>
        <stp>VOLUME</stp>
        <stp>.QQQ250516C496</stp>
        <tr r="BC71" s="1"/>
        <tr r="BC71" s="1"/>
      </tp>
      <tp>
        <v>10947</v>
        <stp/>
        <stp>VOLUME</stp>
        <stp>.QQQ250512P493</stp>
        <tr r="BB74" s="1"/>
        <tr r="BB74" s="1"/>
      </tp>
      <tp>
        <v>1857</v>
        <stp/>
        <stp>VOLUME</stp>
        <stp>.QQQ250516P497</stp>
        <tr r="BD70" s="1"/>
        <tr r="BD70" s="1"/>
      </tp>
      <tp>
        <v>2416</v>
        <stp/>
        <stp>VOLUME</stp>
        <stp>.QQQ250512C493</stp>
        <tr r="BA74" s="1"/>
        <tr r="BA74" s="1"/>
      </tp>
      <tp>
        <v>1029</v>
        <stp/>
        <stp>VOLUME</stp>
        <stp>.QQQ250516C497</stp>
        <tr r="BC70" s="1"/>
        <tr r="BC70" s="1"/>
      </tp>
      <tp>
        <v>11881</v>
        <stp/>
        <stp>VOLUME</stp>
        <stp>.QQQ250512P490</stp>
        <tr r="BB77" s="1"/>
        <tr r="BB77" s="1"/>
      </tp>
      <tp>
        <v>2782</v>
        <stp/>
        <stp>VOLUME</stp>
        <stp>.QQQ250516P494</stp>
        <tr r="BD73" s="1"/>
        <tr r="BD73" s="1"/>
      </tp>
      <tp>
        <v>3491</v>
        <stp/>
        <stp>VOLUME</stp>
        <stp>.QQQ250512C490</stp>
        <tr r="BA77" s="1"/>
        <tr r="BA77" s="1"/>
      </tp>
      <tp>
        <v>819</v>
        <stp/>
        <stp>VOLUME</stp>
        <stp>.QQQ250516C494</stp>
        <tr r="BC73" s="1"/>
        <tr r="BC73" s="1"/>
      </tp>
      <tp>
        <v>3800</v>
        <stp/>
        <stp>VOLUME</stp>
        <stp>.QQQ250512P491</stp>
        <tr r="BB76" s="1"/>
        <tr r="BB76" s="1"/>
      </tp>
      <tp>
        <v>17253</v>
        <stp/>
        <stp>VOLUME</stp>
        <stp>.QQQ250516P495</stp>
        <tr r="BD72" s="1"/>
        <tr r="BD72" s="1"/>
      </tp>
      <tp>
        <v>1863</v>
        <stp/>
        <stp>VOLUME</stp>
        <stp>.QQQ250512C491</stp>
        <tr r="BA76" s="1"/>
        <tr r="BA76" s="1"/>
      </tp>
      <tp>
        <v>2989</v>
        <stp/>
        <stp>VOLUME</stp>
        <stp>.QQQ250516C495</stp>
        <tr r="BC72" s="1"/>
        <tr r="BC72" s="1"/>
      </tp>
      <tp>
        <v>4251</v>
        <stp/>
        <stp>VOLUME</stp>
        <stp>.QQQ250516P498</stp>
        <tr r="BD69" s="1"/>
        <tr r="BD69" s="1"/>
      </tp>
      <tp>
        <v>831</v>
        <stp/>
        <stp>VOLUME</stp>
        <stp>.QQQ250516C498</stp>
        <tr r="BC69" s="1"/>
        <tr r="BC69" s="1"/>
      </tp>
      <tp>
        <v>3734</v>
        <stp/>
        <stp>VOLUME</stp>
        <stp>.QQQ250516P499</stp>
        <tr r="BD68" s="1"/>
        <tr r="BD68" s="1"/>
      </tp>
      <tp>
        <v>741</v>
        <stp/>
        <stp>VOLUME</stp>
        <stp>.QQQ250516C499</stp>
        <tr r="BC68" s="1"/>
        <tr r="BC68" s="1"/>
      </tp>
      <tp>
        <v>39446</v>
        <stp/>
        <stp>VOLUME</stp>
        <stp>.QQQ250512P498</stp>
        <tr r="BB69" s="1"/>
        <tr r="BB69" s="1"/>
      </tp>
      <tp>
        <v>3578</v>
        <stp/>
        <stp>VOLUME</stp>
        <stp>.QQQ250512C498</stp>
        <tr r="BA69" s="1"/>
        <tr r="BA69" s="1"/>
      </tp>
      <tp>
        <v>34778</v>
        <stp/>
        <stp>VOLUME</stp>
        <stp>.QQQ250512P499</stp>
        <tr r="BB68" s="1"/>
        <tr r="BB68" s="1"/>
      </tp>
      <tp>
        <v>7533</v>
        <stp/>
        <stp>VOLUME</stp>
        <stp>.QQQ250512C499</stp>
        <tr r="BA68" s="1"/>
        <tr r="BA68" s="1"/>
      </tp>
      <tp>
        <v>122</v>
        <stp/>
        <stp>VOLUME</stp>
        <stp>.QQQ250523P497</stp>
        <tr r="H71" s="2"/>
        <tr r="H71" s="2"/>
      </tp>
      <tp>
        <v>81</v>
        <stp/>
        <stp>VOLUME</stp>
        <stp>.QQQ250523C497</stp>
        <tr r="H71" s="2"/>
        <tr r="H71" s="2"/>
      </tp>
      <tp>
        <v>171</v>
        <stp/>
        <stp>VOLUME</stp>
        <stp>.QQQ250523P496</stp>
        <tr r="H72" s="2"/>
        <tr r="H72" s="2"/>
      </tp>
      <tp>
        <v>40</v>
        <stp/>
        <stp>VOLUME</stp>
        <stp>.QQQ250523C496</stp>
        <tr r="H72" s="2"/>
        <tr r="H72" s="2"/>
      </tp>
      <tp>
        <v>735</v>
        <stp/>
        <stp>VOLUME</stp>
        <stp>.QQQ250523P495</stp>
        <tr r="H73" s="2"/>
        <tr r="H73" s="2"/>
      </tp>
      <tp>
        <v>779</v>
        <stp/>
        <stp>VOLUME</stp>
        <stp>.QQQ250523C495</stp>
        <tr r="H73" s="2"/>
        <tr r="H73" s="2"/>
      </tp>
      <tp>
        <v>184</v>
        <stp/>
        <stp>VOLUME</stp>
        <stp>.QQQ250523P494</stp>
        <tr r="H74" s="2"/>
        <tr r="H74" s="2"/>
      </tp>
      <tp>
        <v>374</v>
        <stp/>
        <stp>VOLUME</stp>
        <stp>.QQQ250523C494</stp>
        <tr r="H74" s="2"/>
        <tr r="H74" s="2"/>
      </tp>
      <tp>
        <v>85</v>
        <stp/>
        <stp>VOLUME</stp>
        <stp>.QQQ250523P493</stp>
        <tr r="H75" s="2"/>
        <tr r="H75" s="2"/>
      </tp>
      <tp>
        <v>685</v>
        <stp/>
        <stp>VOLUME</stp>
        <stp>.QQQ250523C493</stp>
        <tr r="H75" s="2"/>
        <tr r="H75" s="2"/>
      </tp>
      <tp>
        <v>142</v>
        <stp/>
        <stp>VOLUME</stp>
        <stp>.QQQ250523P492</stp>
        <tr r="H76" s="2"/>
        <tr r="H76" s="2"/>
      </tp>
      <tp>
        <v>205</v>
        <stp/>
        <stp>VOLUME</stp>
        <stp>.QQQ250523C492</stp>
        <tr r="H76" s="2"/>
        <tr r="H76" s="2"/>
      </tp>
      <tp>
        <v>490</v>
        <stp/>
        <stp>VOLUME</stp>
        <stp>.QQQ250523P491</stp>
        <tr r="H77" s="2"/>
        <tr r="H77" s="2"/>
      </tp>
      <tp>
        <v>742</v>
        <stp/>
        <stp>VOLUME</stp>
        <stp>.QQQ250523C491</stp>
        <tr r="H77" s="2"/>
        <tr r="H77" s="2"/>
      </tp>
      <tp>
        <v>2988</v>
        <stp/>
        <stp>VOLUME</stp>
        <stp>.QQQ250523P490</stp>
        <tr r="H78" s="2"/>
        <tr r="H78" s="2"/>
      </tp>
      <tp>
        <v>1433</v>
        <stp/>
        <stp>VOLUME</stp>
        <stp>.QQQ250523C490</stp>
        <tr r="H78" s="2"/>
        <tr r="H78" s="2"/>
      </tp>
      <tp>
        <v>299</v>
        <stp/>
        <stp>VOLUME</stp>
        <stp>.QQQ250530P488</stp>
        <tr r="I80" s="2"/>
        <tr r="I80" s="2"/>
      </tp>
      <tp>
        <v>176</v>
        <stp/>
        <stp>VOLUME</stp>
        <stp>.QQQ250530C488</stp>
        <tr r="I80" s="2"/>
        <tr r="I80" s="2"/>
      </tp>
      <tp>
        <v>230</v>
        <stp/>
        <stp>VOLUME</stp>
        <stp>.QQQ250530P489</stp>
        <tr r="I79" s="2"/>
        <tr r="I79" s="2"/>
      </tp>
      <tp>
        <v>72</v>
        <stp/>
        <stp>VOLUME</stp>
        <stp>.QQQ250530C489</stp>
        <tr r="I79" s="2"/>
        <tr r="I79" s="2"/>
      </tp>
      <tp>
        <v>102</v>
        <stp/>
        <stp>VOLUME</stp>
        <stp>.QQQ250523P499</stp>
        <tr r="H69" s="2"/>
        <tr r="H69" s="2"/>
      </tp>
      <tp>
        <v>23</v>
        <stp/>
        <stp>VOLUME</stp>
        <stp>.QQQ250523C499</stp>
        <tr r="H69" s="2"/>
        <tr r="H69" s="2"/>
      </tp>
      <tp>
        <v>169</v>
        <stp/>
        <stp>VOLUME</stp>
        <stp>.QQQ250523P498</stp>
        <tr r="H70" s="2"/>
        <tr r="H70" s="2"/>
      </tp>
      <tp>
        <v>79</v>
        <stp/>
        <stp>VOLUME</stp>
        <stp>.QQQ250523C498</stp>
        <tr r="H70" s="2"/>
        <tr r="H70" s="2"/>
      </tp>
      <tp>
        <v>319</v>
        <stp/>
        <stp>VOLUME</stp>
        <stp>.QQQ250530P494</stp>
        <tr r="I74" s="2"/>
        <tr r="I74" s="2"/>
      </tp>
      <tp>
        <v>138</v>
        <stp/>
        <stp>VOLUME</stp>
        <stp>.QQQ250530C494</stp>
        <tr r="I74" s="2"/>
        <tr r="I74" s="2"/>
      </tp>
      <tp>
        <v>5179</v>
        <stp/>
        <stp>VOLUME</stp>
        <stp>.QQQ250530P495</stp>
        <tr r="I73" s="2"/>
        <tr r="I73" s="2"/>
      </tp>
      <tp>
        <v>605</v>
        <stp/>
        <stp>VOLUME</stp>
        <stp>.QQQ250530C495</stp>
        <tr r="I73" s="2"/>
        <tr r="I73" s="2"/>
      </tp>
      <tp>
        <v>74</v>
        <stp/>
        <stp>VOLUME</stp>
        <stp>.QQQ250530P496</stp>
        <tr r="I72" s="2"/>
        <tr r="I72" s="2"/>
      </tp>
      <tp>
        <v>547</v>
        <stp/>
        <stp>VOLUME</stp>
        <stp>.QQQ250530C496</stp>
        <tr r="I72" s="2"/>
        <tr r="I72" s="2"/>
      </tp>
      <tp>
        <v>195</v>
        <stp/>
        <stp>VOLUME</stp>
        <stp>.QQQ250530P497</stp>
        <tr r="I71" s="2"/>
        <tr r="I71" s="2"/>
      </tp>
      <tp>
        <v>65</v>
        <stp/>
        <stp>VOLUME</stp>
        <stp>.QQQ250530C497</stp>
        <tr r="I71" s="2"/>
        <tr r="I71" s="2"/>
      </tp>
      <tp>
        <v>14811</v>
        <stp/>
        <stp>VOLUME</stp>
        <stp>.QQQ250530P490</stp>
        <tr r="I78" s="2"/>
        <tr r="I78" s="2"/>
      </tp>
      <tp>
        <v>1094</v>
        <stp/>
        <stp>VOLUME</stp>
        <stp>.QQQ250530C490</stp>
        <tr r="I78" s="2"/>
        <tr r="I78" s="2"/>
      </tp>
      <tp>
        <v>363</v>
        <stp/>
        <stp>VOLUME</stp>
        <stp>.QQQ250530P491</stp>
        <tr r="I77" s="2"/>
        <tr r="I77" s="2"/>
      </tp>
      <tp>
        <v>150</v>
        <stp/>
        <stp>VOLUME</stp>
        <stp>.QQQ250530C491</stp>
        <tr r="I77" s="2"/>
        <tr r="I77" s="2"/>
      </tp>
      <tp>
        <v>1163</v>
        <stp/>
        <stp>VOLUME</stp>
        <stp>.QQQ250530P492</stp>
        <tr r="I76" s="2"/>
        <tr r="I76" s="2"/>
      </tp>
      <tp>
        <v>126</v>
        <stp/>
        <stp>VOLUME</stp>
        <stp>.QQQ250530C492</stp>
        <tr r="I76" s="2"/>
        <tr r="I76" s="2"/>
      </tp>
      <tp>
        <v>1805</v>
        <stp/>
        <stp>VOLUME</stp>
        <stp>.QQQ250530P493</stp>
        <tr r="I75" s="2"/>
        <tr r="I75" s="2"/>
      </tp>
      <tp>
        <v>257</v>
        <stp/>
        <stp>VOLUME</stp>
        <stp>.QQQ250530C493</stp>
        <tr r="I75" s="2"/>
        <tr r="I75" s="2"/>
      </tp>
      <tp>
        <v>78</v>
        <stp/>
        <stp>VOLUME</stp>
        <stp>.QQQ250530P498</stp>
        <tr r="I70" s="2"/>
        <tr r="I70" s="2"/>
      </tp>
      <tp>
        <v>60</v>
        <stp/>
        <stp>VOLUME</stp>
        <stp>.QQQ250530C498</stp>
        <tr r="I70" s="2"/>
        <tr r="I70" s="2"/>
      </tp>
      <tp>
        <v>87</v>
        <stp/>
        <stp>VOLUME</stp>
        <stp>.QQQ250530P499</stp>
        <tr r="I69" s="2"/>
        <tr r="I69" s="2"/>
      </tp>
      <tp>
        <v>113</v>
        <stp/>
        <stp>VOLUME</stp>
        <stp>.QQQ250530C499</stp>
        <tr r="I69" s="2"/>
        <tr r="I69" s="2"/>
      </tp>
      <tp>
        <v>194</v>
        <stp/>
        <stp>VOLUME</stp>
        <stp>.QQQ250523P489</stp>
        <tr r="H79" s="2"/>
        <tr r="H79" s="2"/>
      </tp>
      <tp>
        <v>83</v>
        <stp/>
        <stp>VOLUME</stp>
        <stp>.QQQ250523C489</stp>
        <tr r="H79" s="2"/>
        <tr r="H79" s="2"/>
      </tp>
      <tp>
        <v>239</v>
        <stp/>
        <stp>VOLUME</stp>
        <stp>.QQQ250523P488</stp>
        <tr r="H80" s="2"/>
        <tr r="H80" s="2"/>
      </tp>
      <tp>
        <v>428</v>
        <stp/>
        <stp>VOLUME</stp>
        <stp>.QQQ250523C488</stp>
        <tr r="H80" s="2"/>
        <tr r="H80" s="2"/>
      </tp>
      <tp t="s">
        <v>N/A</v>
        <stp/>
        <stp>VOLUME</stp>
        <stp>.QQQ251219P489</stp>
        <tr r="W79" s="2"/>
      </tp>
      <tp t="s">
        <v>N/A</v>
        <stp/>
        <stp>VOLUME</stp>
        <stp>.QQQ251219C489</stp>
        <tr r="W79" s="2"/>
      </tp>
      <tp t="s">
        <v>N/A</v>
        <stp/>
        <stp>VOLUME</stp>
        <stp>.QQQ251219P488</stp>
        <tr r="W80" s="2"/>
      </tp>
      <tp t="s">
        <v>N/A</v>
        <stp/>
        <stp>VOLUME</stp>
        <stp>.QQQ251219C488</stp>
        <tr r="W80" s="2"/>
      </tp>
      <tp t="s">
        <v>N/A</v>
        <stp/>
        <stp>VOLUME</stp>
        <stp>.QQQ251219P499</stp>
        <tr r="W69" s="2"/>
      </tp>
      <tp t="s">
        <v>N/A</v>
        <stp/>
        <stp>VOLUME</stp>
        <stp>.QQQ251219C499</stp>
        <tr r="W69" s="2"/>
      </tp>
      <tp t="s">
        <v>N/A</v>
        <stp/>
        <stp>VOLUME</stp>
        <stp>.QQQ251219P498</stp>
        <tr r="W70" s="2"/>
      </tp>
      <tp t="s">
        <v>N/A</v>
        <stp/>
        <stp>VOLUME</stp>
        <stp>.QQQ251219C498</stp>
        <tr r="W70" s="2"/>
      </tp>
      <tp t="s">
        <v>N/A</v>
        <stp/>
        <stp>VOLUME</stp>
        <stp>.QQQ251219P495</stp>
        <tr r="W73" s="2"/>
      </tp>
      <tp t="s">
        <v>N/A</v>
        <stp/>
        <stp>VOLUME</stp>
        <stp>.QQQ251219C495</stp>
        <tr r="W73" s="2"/>
      </tp>
      <tp t="s">
        <v>N/A</v>
        <stp/>
        <stp>VOLUME</stp>
        <stp>.QQQ251219P494</stp>
        <tr r="W74" s="2"/>
      </tp>
      <tp t="s">
        <v>N/A</v>
        <stp/>
        <stp>VOLUME</stp>
        <stp>.QQQ251219C494</stp>
        <tr r="W74" s="2"/>
      </tp>
      <tp t="s">
        <v>N/A</v>
        <stp/>
        <stp>VOLUME</stp>
        <stp>.QQQ251219P497</stp>
        <tr r="W71" s="2"/>
      </tp>
      <tp t="s">
        <v>N/A</v>
        <stp/>
        <stp>VOLUME</stp>
        <stp>.QQQ251219C497</stp>
        <tr r="W71" s="2"/>
      </tp>
      <tp t="s">
        <v>N/A</v>
        <stp/>
        <stp>VOLUME</stp>
        <stp>.QQQ251219P496</stp>
        <tr r="W72" s="2"/>
      </tp>
      <tp t="s">
        <v>N/A</v>
        <stp/>
        <stp>VOLUME</stp>
        <stp>.QQQ251219C496</stp>
        <tr r="W72" s="2"/>
      </tp>
      <tp t="s">
        <v>N/A</v>
        <stp/>
        <stp>VOLUME</stp>
        <stp>.QQQ251219P491</stp>
        <tr r="W77" s="2"/>
      </tp>
      <tp t="s">
        <v>N/A</v>
        <stp/>
        <stp>VOLUME</stp>
        <stp>.QQQ251219C491</stp>
        <tr r="W77" s="2"/>
      </tp>
      <tp>
        <v>54</v>
        <stp/>
        <stp>VOLUME</stp>
        <stp>.QQQ251219P490</stp>
        <tr r="W78" s="2"/>
        <tr r="W78" s="2"/>
      </tp>
      <tp>
        <v>37</v>
        <stp/>
        <stp>VOLUME</stp>
        <stp>.QQQ251219C490</stp>
        <tr r="W78" s="2"/>
        <tr r="W78" s="2"/>
      </tp>
      <tp t="s">
        <v>N/A</v>
        <stp/>
        <stp>VOLUME</stp>
        <stp>.QQQ251219P493</stp>
        <tr r="W75" s="2"/>
      </tp>
      <tp t="s">
        <v>N/A</v>
        <stp/>
        <stp>VOLUME</stp>
        <stp>.QQQ251219C493</stp>
        <tr r="W75" s="2"/>
      </tp>
      <tp t="s">
        <v>N/A</v>
        <stp/>
        <stp>VOLUME</stp>
        <stp>.QQQ251219P492</stp>
        <tr r="W76" s="2"/>
      </tp>
      <tp t="s">
        <v>N/A</v>
        <stp/>
        <stp>VOLUME</stp>
        <stp>.QQQ251219C492</stp>
        <tr r="W76" s="2"/>
      </tp>
      <tp>
        <v>1</v>
        <stp/>
        <stp>VOLUME</stp>
        <stp>.QQQ251231P489</stp>
        <tr r="X79" s="2"/>
        <tr r="X79" s="2"/>
      </tp>
      <tp>
        <v>10</v>
        <stp/>
        <stp>VOLUME</stp>
        <stp>.QQQ251231C489</stp>
        <tr r="X79" s="2"/>
        <tr r="X79" s="2"/>
      </tp>
      <tp>
        <v>41</v>
        <stp/>
        <stp>VOLUME</stp>
        <stp>.QQQ251231P488</stp>
        <tr r="X80" s="2"/>
        <tr r="X80" s="2"/>
      </tp>
      <tp>
        <v>2</v>
        <stp/>
        <stp>VOLUME</stp>
        <stp>.QQQ251231C488</stp>
        <tr r="X80" s="2"/>
        <tr r="X80" s="2"/>
      </tp>
      <tp>
        <v>3</v>
        <stp/>
        <stp>VOLUME</stp>
        <stp>.QQQ251231P495</stp>
        <tr r="X73" s="2"/>
        <tr r="X73" s="2"/>
      </tp>
      <tp>
        <v>7</v>
        <stp/>
        <stp>VOLUME</stp>
        <stp>.QQQ251231C495</stp>
        <tr r="X73" s="2"/>
        <tr r="X73" s="2"/>
      </tp>
      <tp t="s">
        <v>N/A</v>
        <stp/>
        <stp>VOLUME</stp>
        <stp>.QQQ251231P494</stp>
        <tr r="X74" s="2"/>
      </tp>
      <tp t="s">
        <v>N/A</v>
        <stp/>
        <stp>VOLUME</stp>
        <stp>.QQQ251231C494</stp>
        <tr r="X74" s="2"/>
      </tp>
      <tp t="s">
        <v>N/A</v>
        <stp/>
        <stp>VOLUME</stp>
        <stp>.QQQ251231P497</stp>
        <tr r="X71" s="2"/>
      </tp>
      <tp>
        <v>1</v>
        <stp/>
        <stp>VOLUME</stp>
        <stp>.QQQ251231C497</stp>
        <tr r="X71" s="2"/>
        <tr r="X71" s="2"/>
      </tp>
      <tp t="s">
        <v>N/A</v>
        <stp/>
        <stp>VOLUME</stp>
        <stp>.QQQ251231P496</stp>
        <tr r="X72" s="2"/>
      </tp>
      <tp t="s">
        <v>N/A</v>
        <stp/>
        <stp>VOLUME</stp>
        <stp>.QQQ251231C496</stp>
        <tr r="X72" s="2"/>
      </tp>
      <tp>
        <v>3</v>
        <stp/>
        <stp>VOLUME</stp>
        <stp>.QQQ251231P491</stp>
        <tr r="X77" s="2"/>
        <tr r="X77" s="2"/>
      </tp>
      <tp t="s">
        <v>N/A</v>
        <stp/>
        <stp>VOLUME</stp>
        <stp>.QQQ251231C491</stp>
        <tr r="X77" s="2"/>
      </tp>
      <tp>
        <v>6</v>
        <stp/>
        <stp>VOLUME</stp>
        <stp>.QQQ251231P490</stp>
        <tr r="X78" s="2"/>
        <tr r="X78" s="2"/>
      </tp>
      <tp>
        <v>59</v>
        <stp/>
        <stp>VOLUME</stp>
        <stp>.QQQ251231C490</stp>
        <tr r="X78" s="2"/>
        <tr r="X78" s="2"/>
      </tp>
      <tp>
        <v>2</v>
        <stp/>
        <stp>VOLUME</stp>
        <stp>.QQQ251231P493</stp>
        <tr r="X75" s="2"/>
        <tr r="X75" s="2"/>
      </tp>
      <tp>
        <v>10</v>
        <stp/>
        <stp>VOLUME</stp>
        <stp>.QQQ251231C493</stp>
        <tr r="X75" s="2"/>
        <tr r="X75" s="2"/>
      </tp>
      <tp t="s">
        <v>N/A</v>
        <stp/>
        <stp>VOLUME</stp>
        <stp>.QQQ251231P492</stp>
        <tr r="X76" s="2"/>
      </tp>
      <tp t="s">
        <v>N/A</v>
        <stp/>
        <stp>VOLUME</stp>
        <stp>.QQQ251231C492</stp>
        <tr r="X76" s="2"/>
      </tp>
      <tp t="s">
        <v>N/A</v>
        <stp/>
        <stp>VOLUME</stp>
        <stp>.QQQ251231P499</stp>
        <tr r="X69" s="2"/>
      </tp>
      <tp>
        <v>2</v>
        <stp/>
        <stp>VOLUME</stp>
        <stp>.QQQ251231C499</stp>
        <tr r="X69" s="2"/>
        <tr r="X69" s="2"/>
      </tp>
      <tp>
        <v>1</v>
        <stp/>
        <stp>VOLUME</stp>
        <stp>.QQQ251231P498</stp>
        <tr r="X70" s="2"/>
        <tr r="X70" s="2"/>
      </tp>
      <tp t="s">
        <v>N/A</v>
        <stp/>
        <stp>VOLUME</stp>
        <stp>.QQQ251231C498</stp>
        <tr r="X70" s="2"/>
      </tp>
      <tp t="s">
        <v>N/A</v>
        <stp/>
        <stp>VOLUME</stp>
        <stp>.QQQ251219P509</stp>
        <tr r="W59" s="2"/>
      </tp>
      <tp t="s">
        <v>N/A</v>
        <stp/>
        <stp>VOLUME</stp>
        <stp>.QQQ251231P521</stp>
        <tr r="X47" s="2"/>
      </tp>
      <tp t="s">
        <v>N/A</v>
        <stp/>
        <stp>VOLUME</stp>
        <stp>.QQQ251219C509</stp>
        <tr r="W59" s="2"/>
      </tp>
      <tp>
        <v>1</v>
        <stp/>
        <stp>VOLUME</stp>
        <stp>.QQQ251231C521</stp>
        <tr r="X47" s="2"/>
        <tr r="X47" s="2"/>
      </tp>
      <tp t="s">
        <v>N/A</v>
        <stp/>
        <stp>VOLUME</stp>
        <stp>.QQQ251219P508</stp>
        <tr r="W60" s="2"/>
      </tp>
      <tp>
        <v>4</v>
        <stp/>
        <stp>VOLUME</stp>
        <stp>.QQQ251231P520</stp>
        <tr r="X48" s="2"/>
        <tr r="X48" s="2"/>
      </tp>
      <tp t="s">
        <v>N/A</v>
        <stp/>
        <stp>VOLUME</stp>
        <stp>.QQQ251219C508</stp>
        <tr r="W60" s="2"/>
      </tp>
      <tp>
        <v>27</v>
        <stp/>
        <stp>VOLUME</stp>
        <stp>.QQQ251231C520</stp>
        <tr r="X48" s="2"/>
        <tr r="X48" s="2"/>
      </tp>
      <tp t="s">
        <v>N/A</v>
        <stp/>
        <stp>VOLUME</stp>
        <stp>.QQQ251231P522</stp>
        <tr r="X46" s="2"/>
      </tp>
      <tp>
        <v>7</v>
        <stp/>
        <stp>VOLUME</stp>
        <stp>.QQQ251231C522</stp>
        <tr r="X46" s="2"/>
        <tr r="X46" s="2"/>
      </tp>
      <tp t="s">
        <v>N/A</v>
        <stp/>
        <stp>VOLUME</stp>
        <stp>.QQQ251219P505</stp>
        <tr r="W63" s="2"/>
      </tp>
      <tp t="s">
        <v>N/A</v>
        <stp/>
        <stp>VOLUME</stp>
        <stp>.QQQ251219C505</stp>
        <tr r="W63" s="2"/>
      </tp>
      <tp t="s">
        <v>N/A</v>
        <stp/>
        <stp>VOLUME</stp>
        <stp>.QQQ251219P504</stp>
        <tr r="W64" s="2"/>
      </tp>
      <tp t="s">
        <v>N/A</v>
        <stp/>
        <stp>VOLUME</stp>
        <stp>.QQQ251219C504</stp>
        <tr r="W64" s="2"/>
      </tp>
      <tp t="s">
        <v>N/A</v>
        <stp/>
        <stp>VOLUME</stp>
        <stp>.QQQ251219P507</stp>
        <tr r="W61" s="2"/>
      </tp>
      <tp t="s">
        <v>N/A</v>
        <stp/>
        <stp>VOLUME</stp>
        <stp>.QQQ251219C507</stp>
        <tr r="W61" s="2"/>
      </tp>
      <tp t="s">
        <v>N/A</v>
        <stp/>
        <stp>VOLUME</stp>
        <stp>.QQQ251219P506</stp>
        <tr r="W62" s="2"/>
      </tp>
      <tp t="s">
        <v>N/A</v>
        <stp/>
        <stp>VOLUME</stp>
        <stp>.QQQ251219C506</stp>
        <tr r="W62" s="2"/>
      </tp>
      <tp t="s">
        <v>N/A</v>
        <stp/>
        <stp>VOLUME</stp>
        <stp>.QQQ251219P501</stp>
        <tr r="W67" s="2"/>
      </tp>
      <tp t="s">
        <v>N/A</v>
        <stp/>
        <stp>VOLUME</stp>
        <stp>.QQQ251219C501</stp>
        <tr r="W67" s="2"/>
      </tp>
      <tp>
        <v>127</v>
        <stp/>
        <stp>VOLUME</stp>
        <stp>.QQQ251219P500</stp>
        <tr r="W68" s="2"/>
        <tr r="W68" s="2"/>
      </tp>
      <tp>
        <v>220</v>
        <stp/>
        <stp>VOLUME</stp>
        <stp>.QQQ251219C500</stp>
        <tr r="W68" s="2"/>
        <tr r="W68" s="2"/>
      </tp>
      <tp t="s">
        <v>N/A</v>
        <stp/>
        <stp>VOLUME</stp>
        <stp>.QQQ251219P503</stp>
        <tr r="W65" s="2"/>
      </tp>
      <tp t="s">
        <v>N/A</v>
        <stp/>
        <stp>VOLUME</stp>
        <stp>.QQQ251219C503</stp>
        <tr r="W65" s="2"/>
      </tp>
      <tp t="s">
        <v>N/A</v>
        <stp/>
        <stp>VOLUME</stp>
        <stp>.QQQ251219P502</stp>
        <tr r="W66" s="2"/>
      </tp>
      <tp t="s">
        <v>N/A</v>
        <stp/>
        <stp>VOLUME</stp>
        <stp>.QQQ251219C502</stp>
        <tr r="W66" s="2"/>
      </tp>
      <tp t="s">
        <v>N/A</v>
        <stp/>
        <stp>VOLUME</stp>
        <stp>.QQQ251219P519</stp>
        <tr r="W49" s="2"/>
      </tp>
      <tp t="s">
        <v>N/A</v>
        <stp/>
        <stp>VOLUME</stp>
        <stp>.QQQ251219C519</stp>
        <tr r="W49" s="2"/>
      </tp>
      <tp t="s">
        <v>N/A</v>
        <stp/>
        <stp>VOLUME</stp>
        <stp>.QQQ251219P518</stp>
        <tr r="W50" s="2"/>
      </tp>
      <tp t="s">
        <v>N/A</v>
        <stp/>
        <stp>VOLUME</stp>
        <stp>.QQQ251219C518</stp>
        <tr r="W50" s="2"/>
      </tp>
      <tp>
        <v>5</v>
        <stp/>
        <stp>VOLUME</stp>
        <stp>.QQQ251219P515</stp>
        <tr r="W53" s="2"/>
        <tr r="W53" s="2"/>
      </tp>
      <tp>
        <v>13</v>
        <stp/>
        <stp>VOLUME</stp>
        <stp>.QQQ251219C515</stp>
        <tr r="W53" s="2"/>
        <tr r="W53" s="2"/>
      </tp>
      <tp t="s">
        <v>N/A</v>
        <stp/>
        <stp>VOLUME</stp>
        <stp>.QQQ251219P514</stp>
        <tr r="W54" s="2"/>
      </tp>
      <tp t="s">
        <v>N/A</v>
        <stp/>
        <stp>VOLUME</stp>
        <stp>.QQQ251219C514</stp>
        <tr r="W54" s="2"/>
      </tp>
      <tp t="s">
        <v>N/A</v>
        <stp/>
        <stp>VOLUME</stp>
        <stp>.QQQ251219P517</stp>
        <tr r="W51" s="2"/>
      </tp>
      <tp t="s">
        <v>N/A</v>
        <stp/>
        <stp>VOLUME</stp>
        <stp>.QQQ251219C517</stp>
        <tr r="W51" s="2"/>
      </tp>
      <tp t="s">
        <v>N/A</v>
        <stp/>
        <stp>VOLUME</stp>
        <stp>.QQQ251219P516</stp>
        <tr r="W52" s="2"/>
      </tp>
      <tp t="s">
        <v>N/A</v>
        <stp/>
        <stp>VOLUME</stp>
        <stp>.QQQ251219C516</stp>
        <tr r="W52" s="2"/>
      </tp>
      <tp t="s">
        <v>N/A</v>
        <stp/>
        <stp>VOLUME</stp>
        <stp>.QQQ251219P511</stp>
        <tr r="W57" s="2"/>
      </tp>
      <tp t="s">
        <v>N/A</v>
        <stp/>
        <stp>VOLUME</stp>
        <stp>.QQQ251219C511</stp>
        <tr r="W57" s="2"/>
      </tp>
      <tp>
        <v>36</v>
        <stp/>
        <stp>VOLUME</stp>
        <stp>.QQQ251219P510</stp>
        <tr r="W58" s="2"/>
        <tr r="W58" s="2"/>
      </tp>
      <tp>
        <v>297</v>
        <stp/>
        <stp>VOLUME</stp>
        <stp>.QQQ251219C510</stp>
        <tr r="W58" s="2"/>
        <tr r="W58" s="2"/>
      </tp>
      <tp t="s">
        <v>N/A</v>
        <stp/>
        <stp>VOLUME</stp>
        <stp>.QQQ251219P513</stp>
        <tr r="W55" s="2"/>
      </tp>
      <tp t="s">
        <v>N/A</v>
        <stp/>
        <stp>VOLUME</stp>
        <stp>.QQQ251219C513</stp>
        <tr r="W55" s="2"/>
      </tp>
      <tp t="s">
        <v>N/A</v>
        <stp/>
        <stp>VOLUME</stp>
        <stp>.QQQ251219P512</stp>
        <tr r="W56" s="2"/>
      </tp>
      <tp t="s">
        <v>N/A</v>
        <stp/>
        <stp>VOLUME</stp>
        <stp>.QQQ251219C512</stp>
        <tr r="W56" s="2"/>
      </tp>
      <tp>
        <v>3</v>
        <stp/>
        <stp>VOLUME</stp>
        <stp>.QQQ251231P505</stp>
        <tr r="X63" s="2"/>
        <tr r="X63" s="2"/>
      </tp>
      <tp>
        <v>8</v>
        <stp/>
        <stp>VOLUME</stp>
        <stp>.QQQ251231C505</stp>
        <tr r="X63" s="2"/>
        <tr r="X63" s="2"/>
      </tp>
      <tp>
        <v>1</v>
        <stp/>
        <stp>VOLUME</stp>
        <stp>.QQQ251231P504</stp>
        <tr r="X64" s="2"/>
        <tr r="X64" s="2"/>
      </tp>
      <tp>
        <v>11</v>
        <stp/>
        <stp>VOLUME</stp>
        <stp>.QQQ251231C504</stp>
        <tr r="X64" s="2"/>
        <tr r="X64" s="2"/>
      </tp>
      <tp t="s">
        <v>N/A</v>
        <stp/>
        <stp>VOLUME</stp>
        <stp>.QQQ251231P507</stp>
        <tr r="X61" s="2"/>
      </tp>
      <tp>
        <v>5</v>
        <stp/>
        <stp>VOLUME</stp>
        <stp>.QQQ251231C507</stp>
        <tr r="X61" s="2"/>
        <tr r="X61" s="2"/>
      </tp>
      <tp>
        <v>4</v>
        <stp/>
        <stp>VOLUME</stp>
        <stp>.QQQ251231P506</stp>
        <tr r="X62" s="2"/>
        <tr r="X62" s="2"/>
      </tp>
      <tp>
        <v>2</v>
        <stp/>
        <stp>VOLUME</stp>
        <stp>.QQQ251231C506</stp>
        <tr r="X62" s="2"/>
        <tr r="X62" s="2"/>
      </tp>
      <tp t="s">
        <v>N/A</v>
        <stp/>
        <stp>VOLUME</stp>
        <stp>.QQQ251231P501</stp>
        <tr r="X67" s="2"/>
      </tp>
      <tp t="s">
        <v>N/A</v>
        <stp/>
        <stp>VOLUME</stp>
        <stp>.QQQ251231C501</stp>
        <tr r="X67" s="2"/>
      </tp>
      <tp>
        <v>165</v>
        <stp/>
        <stp>VOLUME</stp>
        <stp>.QQQ251231P500</stp>
        <tr r="X68" s="2"/>
        <tr r="X68" s="2"/>
      </tp>
      <tp>
        <v>294</v>
        <stp/>
        <stp>VOLUME</stp>
        <stp>.QQQ251231C500</stp>
        <tr r="X68" s="2"/>
        <tr r="X68" s="2"/>
      </tp>
      <tp>
        <v>17</v>
        <stp/>
        <stp>VOLUME</stp>
        <stp>.QQQ251231P503</stp>
        <tr r="X65" s="2"/>
        <tr r="X65" s="2"/>
      </tp>
      <tp>
        <v>18</v>
        <stp/>
        <stp>VOLUME</stp>
        <stp>.QQQ251231C503</stp>
        <tr r="X65" s="2"/>
        <tr r="X65" s="2"/>
      </tp>
      <tp>
        <v>1</v>
        <stp/>
        <stp>VOLUME</stp>
        <stp>.QQQ251231P502</stp>
        <tr r="X66" s="2"/>
        <tr r="X66" s="2"/>
      </tp>
      <tp t="s">
        <v>N/A</v>
        <stp/>
        <stp>VOLUME</stp>
        <stp>.QQQ251231C502</stp>
        <tr r="X66" s="2"/>
      </tp>
      <tp t="s">
        <v>N/A</v>
        <stp/>
        <stp>VOLUME</stp>
        <stp>.QQQ251219P521</stp>
        <tr r="W47" s="2"/>
      </tp>
      <tp t="s">
        <v>N/A</v>
        <stp/>
        <stp>VOLUME</stp>
        <stp>.QQQ251231P509</stp>
        <tr r="X59" s="2"/>
      </tp>
      <tp t="s">
        <v>N/A</v>
        <stp/>
        <stp>VOLUME</stp>
        <stp>.QQQ251219C521</stp>
        <tr r="W47" s="2"/>
      </tp>
      <tp>
        <v>2</v>
        <stp/>
        <stp>VOLUME</stp>
        <stp>.QQQ251231C509</stp>
        <tr r="X59" s="2"/>
        <tr r="X59" s="2"/>
      </tp>
      <tp>
        <v>2</v>
        <stp/>
        <stp>VOLUME</stp>
        <stp>.QQQ251219P520</stp>
        <tr r="W48" s="2"/>
        <tr r="W48" s="2"/>
      </tp>
      <tp t="s">
        <v>N/A</v>
        <stp/>
        <stp>VOLUME</stp>
        <stp>.QQQ251231P508</stp>
        <tr r="X60" s="2"/>
      </tp>
      <tp>
        <v>1028</v>
        <stp/>
        <stp>VOLUME</stp>
        <stp>.QQQ251219C520</stp>
        <tr r="W48" s="2"/>
        <tr r="W48" s="2"/>
      </tp>
      <tp>
        <v>3</v>
        <stp/>
        <stp>VOLUME</stp>
        <stp>.QQQ251231C508</stp>
        <tr r="X60" s="2"/>
        <tr r="X60" s="2"/>
      </tp>
      <tp t="s">
        <v>N/A</v>
        <stp/>
        <stp>VOLUME</stp>
        <stp>.QQQ251219P522</stp>
        <tr r="W46" s="2"/>
      </tp>
      <tp t="s">
        <v>N/A</v>
        <stp/>
        <stp>VOLUME</stp>
        <stp>.QQQ251219C522</stp>
        <tr r="W46" s="2"/>
      </tp>
      <tp>
        <v>2</v>
        <stp/>
        <stp>VOLUME</stp>
        <stp>.QQQ251231P515</stp>
        <tr r="X53" s="2"/>
        <tr r="X53" s="2"/>
      </tp>
      <tp>
        <v>68</v>
        <stp/>
        <stp>VOLUME</stp>
        <stp>.QQQ251231C515</stp>
        <tr r="X53" s="2"/>
        <tr r="X53" s="2"/>
      </tp>
      <tp>
        <v>3</v>
        <stp/>
        <stp>VOLUME</stp>
        <stp>.QQQ251231P514</stp>
        <tr r="X54" s="2"/>
        <tr r="X54" s="2"/>
      </tp>
      <tp>
        <v>10</v>
        <stp/>
        <stp>VOLUME</stp>
        <stp>.QQQ251231C514</stp>
        <tr r="X54" s="2"/>
        <tr r="X54" s="2"/>
      </tp>
      <tp t="s">
        <v>N/A</v>
        <stp/>
        <stp>VOLUME</stp>
        <stp>.QQQ251231P517</stp>
        <tr r="X51" s="2"/>
      </tp>
      <tp t="s">
        <v>N/A</v>
        <stp/>
        <stp>VOLUME</stp>
        <stp>.QQQ251231C517</stp>
        <tr r="X51" s="2"/>
      </tp>
      <tp t="s">
        <v>N/A</v>
        <stp/>
        <stp>VOLUME</stp>
        <stp>.QQQ251231P516</stp>
        <tr r="X52" s="2"/>
      </tp>
      <tp>
        <v>2</v>
        <stp/>
        <stp>VOLUME</stp>
        <stp>.QQQ251231C516</stp>
        <tr r="X52" s="2"/>
        <tr r="X52" s="2"/>
      </tp>
      <tp t="s">
        <v>N/A</v>
        <stp/>
        <stp>VOLUME</stp>
        <stp>.QQQ251231P511</stp>
        <tr r="X57" s="2"/>
      </tp>
      <tp>
        <v>1</v>
        <stp/>
        <stp>VOLUME</stp>
        <stp>.QQQ251231C511</stp>
        <tr r="X57" s="2"/>
        <tr r="X57" s="2"/>
      </tp>
      <tp>
        <v>7</v>
        <stp/>
        <stp>VOLUME</stp>
        <stp>.QQQ251231P510</stp>
        <tr r="X58" s="2"/>
        <tr r="X58" s="2"/>
      </tp>
      <tp>
        <v>176</v>
        <stp/>
        <stp>VOLUME</stp>
        <stp>.QQQ251231C510</stp>
        <tr r="X58" s="2"/>
        <tr r="X58" s="2"/>
      </tp>
      <tp>
        <v>1</v>
        <stp/>
        <stp>VOLUME</stp>
        <stp>.QQQ251231P513</stp>
        <tr r="X55" s="2"/>
        <tr r="X55" s="2"/>
      </tp>
      <tp t="s">
        <v>N/A</v>
        <stp/>
        <stp>VOLUME</stp>
        <stp>.QQQ251231C513</stp>
        <tr r="X55" s="2"/>
      </tp>
      <tp t="s">
        <v>N/A</v>
        <stp/>
        <stp>VOLUME</stp>
        <stp>.QQQ251231P512</stp>
        <tr r="X56" s="2"/>
      </tp>
      <tp t="s">
        <v>N/A</v>
        <stp/>
        <stp>VOLUME</stp>
        <stp>.QQQ251231C512</stp>
        <tr r="X56" s="2"/>
      </tp>
      <tp t="s">
        <v>N/A</v>
        <stp/>
        <stp>VOLUME</stp>
        <stp>.QQQ251231P519</stp>
        <tr r="X49" s="2"/>
      </tp>
      <tp t="s">
        <v>N/A</v>
        <stp/>
        <stp>VOLUME</stp>
        <stp>.QQQ251231C519</stp>
        <tr r="X49" s="2"/>
      </tp>
      <tp t="s">
        <v>N/A</v>
        <stp/>
        <stp>VOLUME</stp>
        <stp>.QQQ251231P518</stp>
        <tr r="X50" s="2"/>
      </tp>
      <tp>
        <v>2</v>
        <stp/>
        <stp>VOLUME</stp>
        <stp>.QQQ251231C518</stp>
        <tr r="X50" s="2"/>
        <tr r="X50" s="2"/>
      </tp>
      <tp t="s">
        <v>N/A</v>
        <stp/>
        <stp>BID</stp>
        <stp>.SPXW250512C6020</stp>
        <tr r="DE85" s="1"/>
      </tp>
      <tp t="s">
        <v>N/A</v>
        <stp/>
        <stp>BID</stp>
        <stp>.SPXW250512P6020</stp>
        <tr r="DF85" s="1"/>
      </tp>
      <tp>
        <v>0</v>
        <stp/>
        <stp>BID</stp>
        <stp>.SPXW250512C6000</stp>
        <tr r="DE87" s="1"/>
        <tr r="DE87" s="1"/>
      </tp>
      <tp>
        <v>153.30000000000001</v>
        <stp/>
        <stp>BID</stp>
        <stp>.SPXW250512P6000</stp>
        <tr r="DF87" s="1"/>
        <tr r="DF87" s="1"/>
      </tp>
      <tp t="s">
        <v>N/A</v>
        <stp/>
        <stp>BID</stp>
        <stp>.SPXW250512C6010</stp>
        <tr r="DE86" s="1"/>
      </tp>
      <tp t="s">
        <v>N/A</v>
        <stp/>
        <stp>BID</stp>
        <stp>.SPXW250512P6010</stp>
        <tr r="DF86" s="1"/>
      </tp>
      <tp t="s">
        <v>N/A</v>
        <stp/>
        <stp>VOLUME</stp>
        <stp>.SPY250919P589</stp>
        <tr r="Q8" s="2"/>
      </tp>
      <tp t="s">
        <v>N/A</v>
        <stp/>
        <stp>VOLUME</stp>
        <stp>.SPY250919C589</stp>
        <tr r="Q8" s="2"/>
      </tp>
      <tp t="s">
        <v>N/A</v>
        <stp/>
        <stp>VOLUME</stp>
        <stp>.SPY250919P588</stp>
        <tr r="Q9" s="2"/>
      </tp>
      <tp t="s">
        <v>N/A</v>
        <stp/>
        <stp>VOLUME</stp>
        <stp>.SPY250919C588</stp>
        <tr r="Q9" s="2"/>
      </tp>
      <tp t="s">
        <v>N/A</v>
        <stp/>
        <stp>VOLUME</stp>
        <stp>.SPY250919P587</stp>
        <tr r="Q10" s="2"/>
      </tp>
      <tp t="s">
        <v>N/A</v>
        <stp/>
        <stp>VOLUME</stp>
        <stp>.SPY250919C587</stp>
        <tr r="Q10" s="2"/>
      </tp>
      <tp t="s">
        <v>N/A</v>
        <stp/>
        <stp>VOLUME</stp>
        <stp>.SPY250919P586</stp>
        <tr r="Q11" s="2"/>
      </tp>
      <tp t="s">
        <v>N/A</v>
        <stp/>
        <stp>VOLUME</stp>
        <stp>.SPY250919C586</stp>
        <tr r="Q11" s="2"/>
      </tp>
      <tp t="s">
        <v>N/A</v>
        <stp/>
        <stp>VOLUME</stp>
        <stp>.QQQ251017P489</stp>
        <tr r="S79" s="2"/>
      </tp>
      <tp>
        <v>196</v>
        <stp/>
        <stp>VOLUME</stp>
        <stp>.SPY250919P585</stp>
        <tr r="Q12" s="2"/>
        <tr r="Q12" s="2"/>
      </tp>
      <tp t="s">
        <v>N/A</v>
        <stp/>
        <stp>VOLUME</stp>
        <stp>.QQQ251017C489</stp>
        <tr r="S79" s="2"/>
      </tp>
      <tp>
        <v>5340</v>
        <stp/>
        <stp>VOLUME</stp>
        <stp>.SPY250919C585</stp>
        <tr r="Q12" s="2"/>
        <tr r="Q12" s="2"/>
      </tp>
      <tp t="s">
        <v>N/A</v>
        <stp/>
        <stp>VOLUME</stp>
        <stp>.QQQ251017P488</stp>
        <tr r="S80" s="2"/>
      </tp>
      <tp t="s">
        <v>N/A</v>
        <stp/>
        <stp>VOLUME</stp>
        <stp>.SPY250919P584</stp>
        <tr r="Q13" s="2"/>
      </tp>
      <tp t="s">
        <v>N/A</v>
        <stp/>
        <stp>VOLUME</stp>
        <stp>.QQQ251017C488</stp>
        <tr r="S80" s="2"/>
      </tp>
      <tp t="s">
        <v>N/A</v>
        <stp/>
        <stp>VOLUME</stp>
        <stp>.SPY250919C584</stp>
        <tr r="Q13" s="2"/>
      </tp>
      <tp t="s">
        <v>N/A</v>
        <stp/>
        <stp>VOLUME</stp>
        <stp>.SPY250919P583</stp>
        <tr r="Q14" s="2"/>
      </tp>
      <tp t="s">
        <v>N/A</v>
        <stp/>
        <stp>VOLUME</stp>
        <stp>.SPY250919C583</stp>
        <tr r="Q14" s="2"/>
      </tp>
      <tp t="s">
        <v>N/A</v>
        <stp/>
        <stp>VOLUME</stp>
        <stp>.SPY250919P582</stp>
        <tr r="Q15" s="2"/>
      </tp>
      <tp t="s">
        <v>N/A</v>
        <stp/>
        <stp>VOLUME</stp>
        <stp>.SPY250919C582</stp>
        <tr r="Q15" s="2"/>
      </tp>
      <tp t="s">
        <v>N/A</v>
        <stp/>
        <stp>VOLUME</stp>
        <stp>.SPY250919P581</stp>
        <tr r="Q16" s="2"/>
      </tp>
      <tp t="s">
        <v>N/A</v>
        <stp/>
        <stp>VOLUME</stp>
        <stp>.SPY250919C581</stp>
        <tr r="Q16" s="2"/>
      </tp>
      <tp>
        <v>1496</v>
        <stp/>
        <stp>VOLUME</stp>
        <stp>.SPY250919P580</stp>
        <tr r="Q17" s="2"/>
        <tr r="Q17" s="2"/>
      </tp>
      <tp>
        <v>738</v>
        <stp/>
        <stp>VOLUME</stp>
        <stp>.SPY250919C580</stp>
        <tr r="Q17" s="2"/>
        <tr r="Q17" s="2"/>
      </tp>
      <tp t="s">
        <v>N/A</v>
        <stp/>
        <stp>VOLUME</stp>
        <stp>.QQQ251017P493</stp>
        <tr r="S75" s="2"/>
      </tp>
      <tp t="s">
        <v>N/A</v>
        <stp/>
        <stp>VOLUME</stp>
        <stp>.QQQ251017C493</stp>
        <tr r="S75" s="2"/>
      </tp>
      <tp t="s">
        <v>N/A</v>
        <stp/>
        <stp>VOLUME</stp>
        <stp>.QQQ251017P492</stp>
        <tr r="S76" s="2"/>
      </tp>
      <tp t="s">
        <v>N/A</v>
        <stp/>
        <stp>VOLUME</stp>
        <stp>.QQQ251017C492</stp>
        <tr r="S76" s="2"/>
      </tp>
      <tp t="s">
        <v>N/A</v>
        <stp/>
        <stp>VOLUME</stp>
        <stp>.QQQ251017P491</stp>
        <tr r="S77" s="2"/>
      </tp>
      <tp t="s">
        <v>N/A</v>
        <stp/>
        <stp>VOLUME</stp>
        <stp>.QQQ251017C491</stp>
        <tr r="S77" s="2"/>
      </tp>
      <tp t="s">
        <v>N/A</v>
        <stp/>
        <stp>VOLUME</stp>
        <stp>.QQQ251017P490</stp>
        <tr r="S78" s="2"/>
      </tp>
      <tp t="s">
        <v>N/A</v>
        <stp/>
        <stp>VOLUME</stp>
        <stp>.QQQ251017C490</stp>
        <tr r="S78" s="2"/>
      </tp>
      <tp t="s">
        <v>N/A</v>
        <stp/>
        <stp>VOLUME</stp>
        <stp>.QQQ251017P497</stp>
        <tr r="S71" s="2"/>
      </tp>
      <tp t="s">
        <v>N/A</v>
        <stp/>
        <stp>VOLUME</stp>
        <stp>.QQQ251017C497</stp>
        <tr r="S71" s="2"/>
      </tp>
      <tp t="s">
        <v>N/A</v>
        <stp/>
        <stp>VOLUME</stp>
        <stp>.QQQ251017P496</stp>
        <tr r="S72" s="2"/>
      </tp>
      <tp t="s">
        <v>N/A</v>
        <stp/>
        <stp>VOLUME</stp>
        <stp>.QQQ251017C496</stp>
        <tr r="S72" s="2"/>
      </tp>
      <tp t="s">
        <v>N/A</v>
        <stp/>
        <stp>VOLUME</stp>
        <stp>.QQQ251017P495</stp>
        <tr r="S73" s="2"/>
      </tp>
      <tp t="s">
        <v>N/A</v>
        <stp/>
        <stp>VOLUME</stp>
        <stp>.QQQ251017C495</stp>
        <tr r="S73" s="2"/>
      </tp>
      <tp t="s">
        <v>N/A</v>
        <stp/>
        <stp>VOLUME</stp>
        <stp>.QQQ251017P494</stp>
        <tr r="S74" s="2"/>
      </tp>
      <tp t="s">
        <v>N/A</v>
        <stp/>
        <stp>VOLUME</stp>
        <stp>.QQQ251017C494</stp>
        <tr r="S74" s="2"/>
      </tp>
      <tp t="s">
        <v>N/A</v>
        <stp/>
        <stp>VOLUME</stp>
        <stp>.QQQ251017P499</stp>
        <tr r="S69" s="2"/>
      </tp>
      <tp t="s">
        <v>N/A</v>
        <stp/>
        <stp>VOLUME</stp>
        <stp>.QQQ251017C499</stp>
        <tr r="S69" s="2"/>
      </tp>
      <tp t="s">
        <v>N/A</v>
        <stp/>
        <stp>VOLUME</stp>
        <stp>.QQQ251017P498</stp>
        <tr r="S70" s="2"/>
      </tp>
      <tp t="s">
        <v>N/A</v>
        <stp/>
        <stp>VOLUME</stp>
        <stp>.QQQ251017C498</stp>
        <tr r="S70" s="2"/>
      </tp>
      <tp t="s">
        <v>N/A</v>
        <stp/>
        <stp>VOLUME</stp>
        <stp>.SPY250919P592</stp>
        <tr r="Q5" s="2"/>
      </tp>
      <tp t="s">
        <v>N/A</v>
        <stp/>
        <stp>VOLUME</stp>
        <stp>.SPY250919C592</stp>
        <tr r="Q5" s="2"/>
      </tp>
      <tp t="s">
        <v>N/A</v>
        <stp/>
        <stp>VOLUME</stp>
        <stp>.SPY250919P591</stp>
        <tr r="Q6" s="2"/>
      </tp>
      <tp t="s">
        <v>N/A</v>
        <stp/>
        <stp>VOLUME</stp>
        <stp>.SPY250919C591</stp>
        <tr r="Q6" s="2"/>
      </tp>
      <tp>
        <v>353</v>
        <stp/>
        <stp>VOLUME</stp>
        <stp>.SPY250919P590</stp>
        <tr r="Q7" s="2"/>
        <tr r="Q7" s="2"/>
      </tp>
      <tp>
        <v>1267</v>
        <stp/>
        <stp>VOLUME</stp>
        <stp>.SPY250919C590</stp>
        <tr r="Q7" s="2"/>
        <tr r="Q7" s="2"/>
      </tp>
      <tp t="s">
        <v>N/A</v>
        <stp/>
        <stp>VOLUME</stp>
        <stp>.SPY250930P586</stp>
        <tr r="R11" s="2"/>
      </tp>
      <tp>
        <v>16</v>
        <stp/>
        <stp>VOLUME</stp>
        <stp>.SPY250930C586</stp>
        <tr r="R11" s="2"/>
        <tr r="R11" s="2"/>
      </tp>
      <tp>
        <v>40</v>
        <stp/>
        <stp>VOLUME</stp>
        <stp>.SPY250930P587</stp>
        <tr r="R10" s="2"/>
        <tr r="R10" s="2"/>
      </tp>
      <tp>
        <v>197</v>
        <stp/>
        <stp>VOLUME</stp>
        <stp>.SPY250930C587</stp>
        <tr r="R10" s="2"/>
        <tr r="R10" s="2"/>
      </tp>
      <tp t="s">
        <v>N/A</v>
        <stp/>
        <stp>VOLUME</stp>
        <stp>.SPY250930P584</stp>
        <tr r="R13" s="2"/>
      </tp>
      <tp>
        <v>9</v>
        <stp/>
        <stp>VOLUME</stp>
        <stp>.SPY250930C584</stp>
        <tr r="R13" s="2"/>
        <tr r="R13" s="2"/>
      </tp>
      <tp>
        <v>23</v>
        <stp/>
        <stp>VOLUME</stp>
        <stp>.SPY250930P585</stp>
        <tr r="R12" s="2"/>
        <tr r="R12" s="2"/>
      </tp>
      <tp>
        <v>1343</v>
        <stp/>
        <stp>VOLUME</stp>
        <stp>.SPY250930C585</stp>
        <tr r="R12" s="2"/>
        <tr r="R12" s="2"/>
      </tp>
      <tp>
        <v>5</v>
        <stp/>
        <stp>VOLUME</stp>
        <stp>.SPY250930P582</stp>
        <tr r="R15" s="2"/>
        <tr r="R15" s="2"/>
      </tp>
      <tp>
        <v>72</v>
        <stp/>
        <stp>VOLUME</stp>
        <stp>.SPY250930C582</stp>
        <tr r="R15" s="2"/>
        <tr r="R15" s="2"/>
      </tp>
      <tp>
        <v>23</v>
        <stp/>
        <stp>VOLUME</stp>
        <stp>.SPY250930P583</stp>
        <tr r="R14" s="2"/>
        <tr r="R14" s="2"/>
      </tp>
      <tp>
        <v>605</v>
        <stp/>
        <stp>VOLUME</stp>
        <stp>.SPY250930C583</stp>
        <tr r="R14" s="2"/>
        <tr r="R14" s="2"/>
      </tp>
      <tp>
        <v>296</v>
        <stp/>
        <stp>VOLUME</stp>
        <stp>.SPY250930P580</stp>
        <tr r="R17" s="2"/>
        <tr r="R17" s="2"/>
      </tp>
      <tp>
        <v>275</v>
        <stp/>
        <stp>VOLUME</stp>
        <stp>.SPY250930C580</stp>
        <tr r="R17" s="2"/>
        <tr r="R17" s="2"/>
      </tp>
      <tp>
        <v>12</v>
        <stp/>
        <stp>VOLUME</stp>
        <stp>.SPY250930P581</stp>
        <tr r="R16" s="2"/>
        <tr r="R16" s="2"/>
      </tp>
      <tp>
        <v>39</v>
        <stp/>
        <stp>VOLUME</stp>
        <stp>.SPY250930C581</stp>
        <tr r="R16" s="2"/>
        <tr r="R16" s="2"/>
      </tp>
      <tp t="s">
        <v>N/A</v>
        <stp/>
        <stp>VOLUME</stp>
        <stp>.QQQ251031P489</stp>
        <tr r="T79" s="2"/>
      </tp>
      <tp t="s">
        <v>N/A</v>
        <stp/>
        <stp>VOLUME</stp>
        <stp>.QQQ251031C489</stp>
        <tr r="T79" s="2"/>
      </tp>
      <tp t="s">
        <v>N/A</v>
        <stp/>
        <stp>VOLUME</stp>
        <stp>.QQQ251031P488</stp>
        <tr r="T80" s="2"/>
      </tp>
      <tp t="s">
        <v>N/A</v>
        <stp/>
        <stp>VOLUME</stp>
        <stp>.QQQ251031C488</stp>
        <tr r="T80" s="2"/>
      </tp>
      <tp t="s">
        <v>N/A</v>
        <stp/>
        <stp>VOLUME</stp>
        <stp>.SPY250930P588</stp>
        <tr r="R9" s="2"/>
      </tp>
      <tp>
        <v>41</v>
        <stp/>
        <stp>VOLUME</stp>
        <stp>.SPY250930C588</stp>
        <tr r="R9" s="2"/>
        <tr r="R9" s="2"/>
      </tp>
      <tp>
        <v>59</v>
        <stp/>
        <stp>VOLUME</stp>
        <stp>.SPY250930P589</stp>
        <tr r="R8" s="2"/>
        <tr r="R8" s="2"/>
      </tp>
      <tp t="s">
        <v>N/A</v>
        <stp/>
        <stp>VOLUME</stp>
        <stp>.SPY250930C589</stp>
        <tr r="R8" s="2"/>
      </tp>
      <tp t="s">
        <v>N/A</v>
        <stp/>
        <stp>VOLUME</stp>
        <stp>.QQQ251031P495</stp>
        <tr r="T73" s="2"/>
      </tp>
      <tp t="s">
        <v>N/A</v>
        <stp/>
        <stp>VOLUME</stp>
        <stp>.QQQ251031C495</stp>
        <tr r="T73" s="2"/>
      </tp>
      <tp t="s">
        <v>N/A</v>
        <stp/>
        <stp>VOLUME</stp>
        <stp>.QQQ251031P494</stp>
        <tr r="T74" s="2"/>
      </tp>
      <tp t="s">
        <v>N/A</v>
        <stp/>
        <stp>VOLUME</stp>
        <stp>.QQQ251031C494</stp>
        <tr r="T74" s="2"/>
      </tp>
      <tp t="s">
        <v>N/A</v>
        <stp/>
        <stp>VOLUME</stp>
        <stp>.QQQ251031P497</stp>
        <tr r="T71" s="2"/>
      </tp>
      <tp t="s">
        <v>N/A</v>
        <stp/>
        <stp>VOLUME</stp>
        <stp>.QQQ251031C497</stp>
        <tr r="T71" s="2"/>
      </tp>
      <tp t="s">
        <v>N/A</v>
        <stp/>
        <stp>VOLUME</stp>
        <stp>.QQQ251031P496</stp>
        <tr r="T72" s="2"/>
      </tp>
      <tp t="s">
        <v>N/A</v>
        <stp/>
        <stp>VOLUME</stp>
        <stp>.QQQ251031C496</stp>
        <tr r="T72" s="2"/>
      </tp>
      <tp t="s">
        <v>N/A</v>
        <stp/>
        <stp>VOLUME</stp>
        <stp>.QQQ251031P491</stp>
        <tr r="T77" s="2"/>
      </tp>
      <tp t="s">
        <v>N/A</v>
        <stp/>
        <stp>VOLUME</stp>
        <stp>.SPY250930P592</stp>
        <tr r="R5" s="2"/>
      </tp>
      <tp t="s">
        <v>N/A</v>
        <stp/>
        <stp>VOLUME</stp>
        <stp>.QQQ251031C491</stp>
        <tr r="T77" s="2"/>
      </tp>
      <tp>
        <v>111</v>
        <stp/>
        <stp>VOLUME</stp>
        <stp>.SPY250930C592</stp>
        <tr r="R5" s="2"/>
        <tr r="R5" s="2"/>
      </tp>
      <tp t="s">
        <v>N/A</v>
        <stp/>
        <stp>VOLUME</stp>
        <stp>.QQQ251031P490</stp>
        <tr r="T78" s="2"/>
      </tp>
      <tp t="s">
        <v>N/A</v>
        <stp/>
        <stp>VOLUME</stp>
        <stp>.QQQ251031C490</stp>
        <tr r="T78" s="2"/>
      </tp>
      <tp t="s">
        <v>N/A</v>
        <stp/>
        <stp>VOLUME</stp>
        <stp>.QQQ251031P493</stp>
        <tr r="T75" s="2"/>
      </tp>
      <tp>
        <v>25</v>
        <stp/>
        <stp>VOLUME</stp>
        <stp>.SPY250930P590</stp>
        <tr r="R7" s="2"/>
        <tr r="R7" s="2"/>
      </tp>
      <tp t="s">
        <v>N/A</v>
        <stp/>
        <stp>VOLUME</stp>
        <stp>.QQQ251031C493</stp>
        <tr r="T75" s="2"/>
      </tp>
      <tp>
        <v>66</v>
        <stp/>
        <stp>VOLUME</stp>
        <stp>.SPY250930C590</stp>
        <tr r="R7" s="2"/>
        <tr r="R7" s="2"/>
      </tp>
      <tp t="s">
        <v>N/A</v>
        <stp/>
        <stp>VOLUME</stp>
        <stp>.QQQ251031P492</stp>
        <tr r="T76" s="2"/>
      </tp>
      <tp>
        <v>1</v>
        <stp/>
        <stp>VOLUME</stp>
        <stp>.SPY250930P591</stp>
        <tr r="R6" s="2"/>
        <tr r="R6" s="2"/>
      </tp>
      <tp t="s">
        <v>N/A</v>
        <stp/>
        <stp>VOLUME</stp>
        <stp>.QQQ251031C492</stp>
        <tr r="T76" s="2"/>
      </tp>
      <tp>
        <v>16</v>
        <stp/>
        <stp>VOLUME</stp>
        <stp>.SPY250930C591</stp>
        <tr r="R6" s="2"/>
        <tr r="R6" s="2"/>
      </tp>
      <tp t="s">
        <v>N/A</v>
        <stp/>
        <stp>VOLUME</stp>
        <stp>.QQQ251031P499</stp>
        <tr r="T69" s="2"/>
      </tp>
      <tp t="s">
        <v>N/A</v>
        <stp/>
        <stp>VOLUME</stp>
        <stp>.QQQ251031C499</stp>
        <tr r="T69" s="2"/>
      </tp>
      <tp t="s">
        <v>N/A</v>
        <stp/>
        <stp>VOLUME</stp>
        <stp>.QQQ251031P498</stp>
        <tr r="T70" s="2"/>
      </tp>
      <tp t="s">
        <v>N/A</v>
        <stp/>
        <stp>VOLUME</stp>
        <stp>.QQQ251031C498</stp>
        <tr r="T70" s="2"/>
      </tp>
      <tp t="s">
        <v>N/A</v>
        <stp/>
        <stp>VOLUME</stp>
        <stp>.QQQ251121P521</stp>
        <tr r="U47" s="2"/>
      </tp>
      <tp t="s">
        <v>N/A</v>
        <stp/>
        <stp>VOLUME</stp>
        <stp>.QQQ251121C521</stp>
        <tr r="U47" s="2"/>
      </tp>
      <tp>
        <v>11</v>
        <stp/>
        <stp>VOLUME</stp>
        <stp>.QQQ251121P520</stp>
        <tr r="U48" s="2"/>
        <tr r="U48" s="2"/>
      </tp>
      <tp>
        <v>184</v>
        <stp/>
        <stp>VOLUME</stp>
        <stp>.QQQ251121C520</stp>
        <tr r="U48" s="2"/>
        <tr r="U48" s="2"/>
      </tp>
      <tp t="s">
        <v>N/A</v>
        <stp/>
        <stp>VOLUME</stp>
        <stp>.QQQ251121P522</stp>
        <tr r="U46" s="2"/>
      </tp>
      <tp t="s">
        <v>N/A</v>
        <stp/>
        <stp>VOLUME</stp>
        <stp>.QQQ251121C522</stp>
        <tr r="U46" s="2"/>
      </tp>
      <tp t="s">
        <v>N/A</v>
        <stp/>
        <stp>VOLUME</stp>
        <stp>.QQQ251128P520</stp>
        <tr r="V48" s="2"/>
      </tp>
      <tp t="s">
        <v>N/A</v>
        <stp/>
        <stp>VOLUME</stp>
        <stp>.QQQ251128C520</stp>
        <tr r="V48" s="2"/>
      </tp>
      <tp t="s">
        <v>N/A</v>
        <stp/>
        <stp>VOLUME</stp>
        <stp>.QQQ251128P521</stp>
        <tr r="V47" s="2"/>
      </tp>
      <tp t="s">
        <v>N/A</v>
        <stp/>
        <stp>VOLUME</stp>
        <stp>.QQQ251128C521</stp>
        <tr r="V47" s="2"/>
      </tp>
      <tp t="s">
        <v>N/A</v>
        <stp/>
        <stp>VOLUME</stp>
        <stp>.QQQ251128P522</stp>
        <tr r="V46" s="2"/>
      </tp>
      <tp t="s">
        <v>N/A</v>
        <stp/>
        <stp>VOLUME</stp>
        <stp>.QQQ251128C522</stp>
        <tr r="V46" s="2"/>
      </tp>
      <tp>
        <v>2</v>
        <stp/>
        <stp>VOLUME</stp>
        <stp>.QQQ251121P515</stp>
        <tr r="U53" s="2"/>
        <tr r="U53" s="2"/>
      </tp>
      <tp>
        <v>35</v>
        <stp/>
        <stp>VOLUME</stp>
        <stp>.QQQ251121C515</stp>
        <tr r="U53" s="2"/>
        <tr r="U53" s="2"/>
      </tp>
      <tp t="s">
        <v>N/A</v>
        <stp/>
        <stp>VOLUME</stp>
        <stp>.QQQ251121P514</stp>
        <tr r="U54" s="2"/>
      </tp>
      <tp t="s">
        <v>N/A</v>
        <stp/>
        <stp>VOLUME</stp>
        <stp>.QQQ251121C514</stp>
        <tr r="U54" s="2"/>
      </tp>
      <tp t="s">
        <v>N/A</v>
        <stp/>
        <stp>VOLUME</stp>
        <stp>.QQQ251121P517</stp>
        <tr r="U51" s="2"/>
      </tp>
      <tp t="s">
        <v>N/A</v>
        <stp/>
        <stp>VOLUME</stp>
        <stp>.QQQ251121C517</stp>
        <tr r="U51" s="2"/>
      </tp>
      <tp t="s">
        <v>N/A</v>
        <stp/>
        <stp>VOLUME</stp>
        <stp>.QQQ251121P516</stp>
        <tr r="U52" s="2"/>
      </tp>
      <tp t="s">
        <v>N/A</v>
        <stp/>
        <stp>VOLUME</stp>
        <stp>.QQQ251121C516</stp>
        <tr r="U52" s="2"/>
      </tp>
      <tp t="s">
        <v>N/A</v>
        <stp/>
        <stp>VOLUME</stp>
        <stp>.QQQ251121P511</stp>
        <tr r="U57" s="2"/>
      </tp>
      <tp t="s">
        <v>N/A</v>
        <stp/>
        <stp>VOLUME</stp>
        <stp>.QQQ251128P518</stp>
        <tr r="V50" s="2"/>
      </tp>
      <tp t="s">
        <v>N/A</v>
        <stp/>
        <stp>VOLUME</stp>
        <stp>.QQQ251121C511</stp>
        <tr r="U57" s="2"/>
      </tp>
      <tp t="s">
        <v>N/A</v>
        <stp/>
        <stp>VOLUME</stp>
        <stp>.QQQ251128C518</stp>
        <tr r="V50" s="2"/>
      </tp>
      <tp>
        <v>277</v>
        <stp/>
        <stp>VOLUME</stp>
        <stp>.QQQ251121P510</stp>
        <tr r="U58" s="2"/>
        <tr r="U58" s="2"/>
      </tp>
      <tp t="s">
        <v>N/A</v>
        <stp/>
        <stp>VOLUME</stp>
        <stp>.QQQ251128P519</stp>
        <tr r="V49" s="2"/>
      </tp>
      <tp>
        <v>44</v>
        <stp/>
        <stp>VOLUME</stp>
        <stp>.QQQ251121C510</stp>
        <tr r="U58" s="2"/>
        <tr r="U58" s="2"/>
      </tp>
      <tp t="s">
        <v>N/A</v>
        <stp/>
        <stp>VOLUME</stp>
        <stp>.QQQ251128C519</stp>
        <tr r="V49" s="2"/>
      </tp>
      <tp t="s">
        <v>N/A</v>
        <stp/>
        <stp>VOLUME</stp>
        <stp>.QQQ251121P513</stp>
        <tr r="U55" s="2"/>
      </tp>
      <tp t="s">
        <v>N/A</v>
        <stp/>
        <stp>VOLUME</stp>
        <stp>.QQQ251121C513</stp>
        <tr r="U55" s="2"/>
      </tp>
      <tp t="s">
        <v>N/A</v>
        <stp/>
        <stp>VOLUME</stp>
        <stp>.QQQ251121P512</stp>
        <tr r="U56" s="2"/>
      </tp>
      <tp t="s">
        <v>N/A</v>
        <stp/>
        <stp>VOLUME</stp>
        <stp>.QQQ251121C512</stp>
        <tr r="U56" s="2"/>
      </tp>
      <tp t="s">
        <v>N/A</v>
        <stp/>
        <stp>VOLUME</stp>
        <stp>.QQQ251128P514</stp>
        <tr r="V54" s="2"/>
      </tp>
      <tp t="s">
        <v>N/A</v>
        <stp/>
        <stp>VOLUME</stp>
        <stp>.QQQ251128C514</stp>
        <tr r="V54" s="2"/>
      </tp>
      <tp t="s">
        <v>N/A</v>
        <stp/>
        <stp>VOLUME</stp>
        <stp>.QQQ251128P515</stp>
        <tr r="V53" s="2"/>
      </tp>
      <tp t="s">
        <v>N/A</v>
        <stp/>
        <stp>VOLUME</stp>
        <stp>.QQQ251128C515</stp>
        <tr r="V53" s="2"/>
      </tp>
      <tp t="s">
        <v>N/A</v>
        <stp/>
        <stp>VOLUME</stp>
        <stp>.QQQ251128P516</stp>
        <tr r="V52" s="2"/>
      </tp>
      <tp t="s">
        <v>N/A</v>
        <stp/>
        <stp>VOLUME</stp>
        <stp>.QQQ251128C516</stp>
        <tr r="V52" s="2"/>
      </tp>
      <tp t="s">
        <v>N/A</v>
        <stp/>
        <stp>VOLUME</stp>
        <stp>.QQQ251128P517</stp>
        <tr r="V51" s="2"/>
      </tp>
      <tp t="s">
        <v>N/A</v>
        <stp/>
        <stp>VOLUME</stp>
        <stp>.QQQ251128C517</stp>
        <tr r="V51" s="2"/>
      </tp>
      <tp t="s">
        <v>N/A</v>
        <stp/>
        <stp>VOLUME</stp>
        <stp>.QQQ251121P519</stp>
        <tr r="U49" s="2"/>
      </tp>
      <tp t="s">
        <v>N/A</v>
        <stp/>
        <stp>VOLUME</stp>
        <stp>.QQQ251128P510</stp>
        <tr r="V58" s="2"/>
      </tp>
      <tp t="s">
        <v>N/A</v>
        <stp/>
        <stp>VOLUME</stp>
        <stp>.QQQ251121C519</stp>
        <tr r="U49" s="2"/>
      </tp>
      <tp t="s">
        <v>N/A</v>
        <stp/>
        <stp>VOLUME</stp>
        <stp>.QQQ251128C510</stp>
        <tr r="V58" s="2"/>
      </tp>
      <tp t="s">
        <v>N/A</v>
        <stp/>
        <stp>VOLUME</stp>
        <stp>.QQQ251121P518</stp>
        <tr r="U50" s="2"/>
      </tp>
      <tp t="s">
        <v>N/A</v>
        <stp/>
        <stp>VOLUME</stp>
        <stp>.QQQ251128P511</stp>
        <tr r="V57" s="2"/>
      </tp>
      <tp t="s">
        <v>N/A</v>
        <stp/>
        <stp>VOLUME</stp>
        <stp>.QQQ251121C518</stp>
        <tr r="U50" s="2"/>
      </tp>
      <tp t="s">
        <v>N/A</v>
        <stp/>
        <stp>VOLUME</stp>
        <stp>.QQQ251128C511</stp>
        <tr r="V57" s="2"/>
      </tp>
      <tp t="s">
        <v>N/A</v>
        <stp/>
        <stp>VOLUME</stp>
        <stp>.QQQ251128P512</stp>
        <tr r="V56" s="2"/>
      </tp>
      <tp t="s">
        <v>N/A</v>
        <stp/>
        <stp>VOLUME</stp>
        <stp>.QQQ251128C512</stp>
        <tr r="V56" s="2"/>
      </tp>
      <tp t="s">
        <v>N/A</v>
        <stp/>
        <stp>VOLUME</stp>
        <stp>.QQQ251128P513</stp>
        <tr r="V55" s="2"/>
      </tp>
      <tp t="s">
        <v>N/A</v>
        <stp/>
        <stp>VOLUME</stp>
        <stp>.QQQ251128C513</stp>
        <tr r="V55" s="2"/>
      </tp>
      <tp>
        <v>33</v>
        <stp/>
        <stp>VOLUME</stp>
        <stp>.QQQ251121P505</stp>
        <tr r="U63" s="2"/>
        <tr r="U63" s="2"/>
      </tp>
      <tp>
        <v>315</v>
        <stp/>
        <stp>VOLUME</stp>
        <stp>.QQQ251121C505</stp>
        <tr r="U63" s="2"/>
        <tr r="U63" s="2"/>
      </tp>
      <tp t="s">
        <v>N/A</v>
        <stp/>
        <stp>VOLUME</stp>
        <stp>.QQQ251121P504</stp>
        <tr r="U64" s="2"/>
      </tp>
      <tp t="s">
        <v>N/A</v>
        <stp/>
        <stp>VOLUME</stp>
        <stp>.QQQ251121C504</stp>
        <tr r="U64" s="2"/>
      </tp>
      <tp t="s">
        <v>N/A</v>
        <stp/>
        <stp>VOLUME</stp>
        <stp>.QQQ251121P507</stp>
        <tr r="U61" s="2"/>
      </tp>
      <tp t="s">
        <v>N/A</v>
        <stp/>
        <stp>VOLUME</stp>
        <stp>.QQQ251121C507</stp>
        <tr r="U61" s="2"/>
      </tp>
      <tp t="s">
        <v>N/A</v>
        <stp/>
        <stp>VOLUME</stp>
        <stp>.QQQ251121P506</stp>
        <tr r="U62" s="2"/>
      </tp>
      <tp t="s">
        <v>N/A</v>
        <stp/>
        <stp>VOLUME</stp>
        <stp>.QQQ251121C506</stp>
        <tr r="U62" s="2"/>
      </tp>
      <tp t="s">
        <v>N/A</v>
        <stp/>
        <stp>VOLUME</stp>
        <stp>.QQQ251121P501</stp>
        <tr r="U67" s="2"/>
      </tp>
      <tp t="s">
        <v>N/A</v>
        <stp/>
        <stp>VOLUME</stp>
        <stp>.QQQ251128P508</stp>
        <tr r="V60" s="2"/>
      </tp>
      <tp t="s">
        <v>N/A</v>
        <stp/>
        <stp>VOLUME</stp>
        <stp>.QQQ251121C501</stp>
        <tr r="U67" s="2"/>
      </tp>
      <tp t="s">
        <v>N/A</v>
        <stp/>
        <stp>VOLUME</stp>
        <stp>.QQQ251128C508</stp>
        <tr r="V60" s="2"/>
      </tp>
      <tp>
        <v>173</v>
        <stp/>
        <stp>VOLUME</stp>
        <stp>.QQQ251121P500</stp>
        <tr r="U68" s="2"/>
        <tr r="U68" s="2"/>
      </tp>
      <tp t="s">
        <v>N/A</v>
        <stp/>
        <stp>VOLUME</stp>
        <stp>.QQQ251128P509</stp>
        <tr r="V59" s="2"/>
      </tp>
      <tp>
        <v>93</v>
        <stp/>
        <stp>VOLUME</stp>
        <stp>.QQQ251121C500</stp>
        <tr r="U68" s="2"/>
        <tr r="U68" s="2"/>
      </tp>
      <tp t="s">
        <v>N/A</v>
        <stp/>
        <stp>VOLUME</stp>
        <stp>.QQQ251128C509</stp>
        <tr r="V59" s="2"/>
      </tp>
      <tp t="s">
        <v>N/A</v>
        <stp/>
        <stp>VOLUME</stp>
        <stp>.QQQ251121P503</stp>
        <tr r="U65" s="2"/>
      </tp>
      <tp t="s">
        <v>N/A</v>
        <stp/>
        <stp>VOLUME</stp>
        <stp>.QQQ251121C503</stp>
        <tr r="U65" s="2"/>
      </tp>
      <tp t="s">
        <v>N/A</v>
        <stp/>
        <stp>VOLUME</stp>
        <stp>.QQQ251121P502</stp>
        <tr r="U66" s="2"/>
      </tp>
      <tp t="s">
        <v>N/A</v>
        <stp/>
        <stp>VOLUME</stp>
        <stp>.QQQ251121C502</stp>
        <tr r="U66" s="2"/>
      </tp>
      <tp t="s">
        <v>N/A</v>
        <stp/>
        <stp>VOLUME</stp>
        <stp>.QQQ251128P504</stp>
        <tr r="V64" s="2"/>
      </tp>
      <tp t="s">
        <v>N/A</v>
        <stp/>
        <stp>VOLUME</stp>
        <stp>.QQQ251128C504</stp>
        <tr r="V64" s="2"/>
      </tp>
      <tp t="s">
        <v>N/A</v>
        <stp/>
        <stp>VOLUME</stp>
        <stp>.QQQ251128P505</stp>
        <tr r="V63" s="2"/>
      </tp>
      <tp t="s">
        <v>N/A</v>
        <stp/>
        <stp>VOLUME</stp>
        <stp>.QQQ251128C505</stp>
        <tr r="V63" s="2"/>
      </tp>
      <tp t="s">
        <v>N/A</v>
        <stp/>
        <stp>VOLUME</stp>
        <stp>.QQQ251128P506</stp>
        <tr r="V62" s="2"/>
      </tp>
      <tp t="s">
        <v>N/A</v>
        <stp/>
        <stp>VOLUME</stp>
        <stp>.QQQ251128C506</stp>
        <tr r="V62" s="2"/>
      </tp>
      <tp t="s">
        <v>N/A</v>
        <stp/>
        <stp>VOLUME</stp>
        <stp>.QQQ251128P507</stp>
        <tr r="V61" s="2"/>
      </tp>
      <tp t="s">
        <v>N/A</v>
        <stp/>
        <stp>VOLUME</stp>
        <stp>.QQQ251128C507</stp>
        <tr r="V61" s="2"/>
      </tp>
      <tp t="s">
        <v>N/A</v>
        <stp/>
        <stp>VOLUME</stp>
        <stp>.QQQ251121P509</stp>
        <tr r="U59" s="2"/>
      </tp>
      <tp t="s">
        <v>N/A</v>
        <stp/>
        <stp>VOLUME</stp>
        <stp>.QQQ251128P500</stp>
        <tr r="V68" s="2"/>
      </tp>
      <tp t="s">
        <v>N/A</v>
        <stp/>
        <stp>VOLUME</stp>
        <stp>.QQQ251121C509</stp>
        <tr r="U59" s="2"/>
      </tp>
      <tp t="s">
        <v>N/A</v>
        <stp/>
        <stp>VOLUME</stp>
        <stp>.QQQ251128C500</stp>
        <tr r="V68" s="2"/>
      </tp>
      <tp t="s">
        <v>N/A</v>
        <stp/>
        <stp>VOLUME</stp>
        <stp>.QQQ251121P508</stp>
        <tr r="U60" s="2"/>
      </tp>
      <tp t="s">
        <v>N/A</v>
        <stp/>
        <stp>VOLUME</stp>
        <stp>.QQQ251128P501</stp>
        <tr r="V67" s="2"/>
      </tp>
      <tp t="s">
        <v>N/A</v>
        <stp/>
        <stp>VOLUME</stp>
        <stp>.QQQ251121C508</stp>
        <tr r="U60" s="2"/>
      </tp>
      <tp t="s">
        <v>N/A</v>
        <stp/>
        <stp>VOLUME</stp>
        <stp>.QQQ251128C501</stp>
        <tr r="V67" s="2"/>
      </tp>
      <tp t="s">
        <v>N/A</v>
        <stp/>
        <stp>VOLUME</stp>
        <stp>.QQQ251128P502</stp>
        <tr r="V66" s="2"/>
      </tp>
      <tp t="s">
        <v>N/A</v>
        <stp/>
        <stp>VOLUME</stp>
        <stp>.QQQ251128C502</stp>
        <tr r="V66" s="2"/>
      </tp>
      <tp t="s">
        <v>N/A</v>
        <stp/>
        <stp>VOLUME</stp>
        <stp>.QQQ251128P503</stp>
        <tr r="V65" s="2"/>
      </tp>
      <tp t="s">
        <v>N/A</v>
        <stp/>
        <stp>VOLUME</stp>
        <stp>.QQQ251128C503</stp>
        <tr r="V65" s="2"/>
      </tp>
      <tp>
        <v>5</v>
        <stp/>
        <stp>VOLUME</stp>
        <stp>.SPY250930P566</stp>
        <tr r="R31" s="2"/>
        <tr r="R31" s="2"/>
      </tp>
      <tp>
        <v>4</v>
        <stp/>
        <stp>VOLUME</stp>
        <stp>.SPY250930C566</stp>
        <tr r="R31" s="2"/>
        <tr r="R31" s="2"/>
      </tp>
      <tp>
        <v>12</v>
        <stp/>
        <stp>VOLUME</stp>
        <stp>.SPY250930P567</stp>
        <tr r="R30" s="2"/>
        <tr r="R30" s="2"/>
      </tp>
      <tp>
        <v>4</v>
        <stp/>
        <stp>VOLUME</stp>
        <stp>.SPY250930C567</stp>
        <tr r="R30" s="2"/>
        <tr r="R30" s="2"/>
      </tp>
      <tp>
        <v>113</v>
        <stp/>
        <stp>VOLUME</stp>
        <stp>.SPY250930P564</stp>
        <tr r="R33" s="2"/>
        <tr r="R33" s="2"/>
      </tp>
      <tp>
        <v>15</v>
        <stp/>
        <stp>VOLUME</stp>
        <stp>.SPY250930C564</stp>
        <tr r="R33" s="2"/>
        <tr r="R33" s="2"/>
      </tp>
      <tp>
        <v>650</v>
        <stp/>
        <stp>VOLUME</stp>
        <stp>.SPY250930P565</stp>
        <tr r="R32" s="2"/>
        <tr r="R32" s="2"/>
      </tp>
      <tp>
        <v>1325</v>
        <stp/>
        <stp>VOLUME</stp>
        <stp>.SPY250930C565</stp>
        <tr r="R32" s="2"/>
        <tr r="R32" s="2"/>
      </tp>
      <tp>
        <v>1</v>
        <stp/>
        <stp>VOLUME</stp>
        <stp>.SPY250930P562</stp>
        <tr r="R35" s="2"/>
        <tr r="R35" s="2"/>
      </tp>
      <tp>
        <v>4</v>
        <stp/>
        <stp>VOLUME</stp>
        <stp>.SPY250930C562</stp>
        <tr r="R35" s="2"/>
        <tr r="R35" s="2"/>
      </tp>
      <tp>
        <v>9</v>
        <stp/>
        <stp>VOLUME</stp>
        <stp>.SPY250930P563</stp>
        <tr r="R34" s="2"/>
        <tr r="R34" s="2"/>
      </tp>
      <tp>
        <v>4</v>
        <stp/>
        <stp>VOLUME</stp>
        <stp>.SPY250930C563</stp>
        <tr r="R34" s="2"/>
        <tr r="R34" s="2"/>
      </tp>
      <tp>
        <v>183</v>
        <stp/>
        <stp>VOLUME</stp>
        <stp>.SPY250930P560</stp>
        <tr r="R37" s="2"/>
        <tr r="R37" s="2"/>
      </tp>
      <tp>
        <v>61</v>
        <stp/>
        <stp>VOLUME</stp>
        <stp>.SPY250930C560</stp>
        <tr r="R37" s="2"/>
        <tr r="R37" s="2"/>
      </tp>
      <tp>
        <v>159</v>
        <stp/>
        <stp>VOLUME</stp>
        <stp>.SPY250930P561</stp>
        <tr r="R36" s="2"/>
        <tr r="R36" s="2"/>
      </tp>
      <tp>
        <v>4</v>
        <stp/>
        <stp>VOLUME</stp>
        <stp>.SPY250930C561</stp>
        <tr r="R36" s="2"/>
        <tr r="R36" s="2"/>
      </tp>
      <tp>
        <v>145</v>
        <stp/>
        <stp>VOLUME</stp>
        <stp>.SPY250930P568</stp>
        <tr r="R29" s="2"/>
        <tr r="R29" s="2"/>
      </tp>
      <tp>
        <v>11</v>
        <stp/>
        <stp>VOLUME</stp>
        <stp>.SPY250930C568</stp>
        <tr r="R29" s="2"/>
        <tr r="R29" s="2"/>
      </tp>
      <tp>
        <v>4</v>
        <stp/>
        <stp>VOLUME</stp>
        <stp>.SPY250930P569</stp>
        <tr r="R28" s="2"/>
        <tr r="R28" s="2"/>
      </tp>
      <tp>
        <v>11</v>
        <stp/>
        <stp>VOLUME</stp>
        <stp>.SPY250930C569</stp>
        <tr r="R28" s="2"/>
        <tr r="R28" s="2"/>
      </tp>
      <tp t="s">
        <v>N/A</v>
        <stp/>
        <stp>VOLUME</stp>
        <stp>.SPY250930P576</stp>
        <tr r="R21" s="2"/>
      </tp>
      <tp>
        <v>2</v>
        <stp/>
        <stp>VOLUME</stp>
        <stp>.SPY250930C576</stp>
        <tr r="R21" s="2"/>
        <tr r="R21" s="2"/>
      </tp>
      <tp>
        <v>3</v>
        <stp/>
        <stp>VOLUME</stp>
        <stp>.SPY250930P577</stp>
        <tr r="R20" s="2"/>
        <tr r="R20" s="2"/>
      </tp>
      <tp>
        <v>7</v>
        <stp/>
        <stp>VOLUME</stp>
        <stp>.SPY250930C577</stp>
        <tr r="R20" s="2"/>
        <tr r="R20" s="2"/>
      </tp>
      <tp>
        <v>22</v>
        <stp/>
        <stp>VOLUME</stp>
        <stp>.SPY250930P574</stp>
        <tr r="R23" s="2"/>
        <tr r="R23" s="2"/>
      </tp>
      <tp t="s">
        <v>N/A</v>
        <stp/>
        <stp>VOLUME</stp>
        <stp>.SPY250930C574</stp>
        <tr r="R23" s="2"/>
      </tp>
      <tp>
        <v>669</v>
        <stp/>
        <stp>VOLUME</stp>
        <stp>.SPY250930P575</stp>
        <tr r="R22" s="2"/>
        <tr r="R22" s="2"/>
      </tp>
      <tp>
        <v>32</v>
        <stp/>
        <stp>VOLUME</stp>
        <stp>.SPY250930C575</stp>
        <tr r="R22" s="2"/>
        <tr r="R22" s="2"/>
      </tp>
      <tp>
        <v>4</v>
        <stp/>
        <stp>VOLUME</stp>
        <stp>.SPY250930P572</stp>
        <tr r="R25" s="2"/>
        <tr r="R25" s="2"/>
      </tp>
      <tp>
        <v>11</v>
        <stp/>
        <stp>VOLUME</stp>
        <stp>.SPY250930C572</stp>
        <tr r="R25" s="2"/>
        <tr r="R25" s="2"/>
      </tp>
      <tp>
        <v>2</v>
        <stp/>
        <stp>VOLUME</stp>
        <stp>.SPY250930P573</stp>
        <tr r="R24" s="2"/>
        <tr r="R24" s="2"/>
      </tp>
      <tp>
        <v>11</v>
        <stp/>
        <stp>VOLUME</stp>
        <stp>.SPY250930C573</stp>
        <tr r="R24" s="2"/>
        <tr r="R24" s="2"/>
      </tp>
      <tp t="s">
        <v>N/A</v>
        <stp/>
        <stp>VOLUME</stp>
        <stp>.SPY250919P559</stp>
        <tr r="Q38" s="2"/>
      </tp>
      <tp>
        <v>198</v>
        <stp/>
        <stp>VOLUME</stp>
        <stp>.SPY250930P570</stp>
        <tr r="R27" s="2"/>
        <tr r="R27" s="2"/>
      </tp>
      <tp t="s">
        <v>N/A</v>
        <stp/>
        <stp>VOLUME</stp>
        <stp>.SPY250919C559</stp>
        <tr r="Q38" s="2"/>
      </tp>
      <tp>
        <v>46</v>
        <stp/>
        <stp>VOLUME</stp>
        <stp>.SPY250930C570</stp>
        <tr r="R27" s="2"/>
        <tr r="R27" s="2"/>
      </tp>
      <tp t="s">
        <v>N/A</v>
        <stp/>
        <stp>VOLUME</stp>
        <stp>.SPY250919P558</stp>
        <tr r="Q39" s="2"/>
      </tp>
      <tp>
        <v>4</v>
        <stp/>
        <stp>VOLUME</stp>
        <stp>.SPY250930P571</stp>
        <tr r="R26" s="2"/>
        <tr r="R26" s="2"/>
      </tp>
      <tp t="s">
        <v>N/A</v>
        <stp/>
        <stp>VOLUME</stp>
        <stp>.SPY250919C558</stp>
        <tr r="Q39" s="2"/>
      </tp>
      <tp>
        <v>2</v>
        <stp/>
        <stp>VOLUME</stp>
        <stp>.SPY250930C571</stp>
        <tr r="R26" s="2"/>
        <tr r="R26" s="2"/>
      </tp>
      <tp>
        <v>8</v>
        <stp/>
        <stp>VOLUME</stp>
        <stp>.SPY250930P578</stp>
        <tr r="R19" s="2"/>
        <tr r="R19" s="2"/>
      </tp>
      <tp>
        <v>5</v>
        <stp/>
        <stp>VOLUME</stp>
        <stp>.SPY250930C578</stp>
        <tr r="R19" s="2"/>
        <tr r="R19" s="2"/>
      </tp>
      <tp>
        <v>85</v>
        <stp/>
        <stp>VOLUME</stp>
        <stp>.SPY250930P579</stp>
        <tr r="R18" s="2"/>
        <tr r="R18" s="2"/>
      </tp>
      <tp>
        <v>48</v>
        <stp/>
        <stp>VOLUME</stp>
        <stp>.SPY250930C579</stp>
        <tr r="R18" s="2"/>
        <tr r="R18" s="2"/>
      </tp>
      <tp t="s">
        <v>N/A</v>
        <stp/>
        <stp>VOLUME</stp>
        <stp>.SPY250919P569</stp>
        <tr r="Q28" s="2"/>
      </tp>
      <tp t="s">
        <v>N/A</v>
        <stp/>
        <stp>VOLUME</stp>
        <stp>.SPY250919C569</stp>
        <tr r="Q28" s="2"/>
      </tp>
      <tp t="s">
        <v>N/A</v>
        <stp/>
        <stp>VOLUME</stp>
        <stp>.SPY250919P568</stp>
        <tr r="Q29" s="2"/>
      </tp>
      <tp t="s">
        <v>N/A</v>
        <stp/>
        <stp>VOLUME</stp>
        <stp>.SPY250919C568</stp>
        <tr r="Q29" s="2"/>
      </tp>
      <tp t="s">
        <v>N/A</v>
        <stp/>
        <stp>VOLUME</stp>
        <stp>.SPY250919P567</stp>
        <tr r="Q30" s="2"/>
      </tp>
      <tp t="s">
        <v>N/A</v>
        <stp/>
        <stp>VOLUME</stp>
        <stp>.SPY250919C567</stp>
        <tr r="Q30" s="2"/>
      </tp>
      <tp t="s">
        <v>N/A</v>
        <stp/>
        <stp>VOLUME</stp>
        <stp>.SPY250919P566</stp>
        <tr r="Q31" s="2"/>
      </tp>
      <tp t="s">
        <v>N/A</v>
        <stp/>
        <stp>VOLUME</stp>
        <stp>.SPY250919C566</stp>
        <tr r="Q31" s="2"/>
      </tp>
      <tp>
        <v>5571</v>
        <stp/>
        <stp>VOLUME</stp>
        <stp>.SPY250919P565</stp>
        <tr r="Q32" s="2"/>
        <tr r="Q32" s="2"/>
      </tp>
      <tp>
        <v>143</v>
        <stp/>
        <stp>VOLUME</stp>
        <stp>.SPY250919C565</stp>
        <tr r="Q32" s="2"/>
        <tr r="Q32" s="2"/>
      </tp>
      <tp t="s">
        <v>N/A</v>
        <stp/>
        <stp>VOLUME</stp>
        <stp>.SPY250919P564</stp>
        <tr r="Q33" s="2"/>
      </tp>
      <tp t="s">
        <v>N/A</v>
        <stp/>
        <stp>VOLUME</stp>
        <stp>.SPY250919C564</stp>
        <tr r="Q33" s="2"/>
      </tp>
      <tp t="s">
        <v>N/A</v>
        <stp/>
        <stp>VOLUME</stp>
        <stp>.SPY250919P563</stp>
        <tr r="Q34" s="2"/>
      </tp>
      <tp t="s">
        <v>N/A</v>
        <stp/>
        <stp>VOLUME</stp>
        <stp>.SPY250919C563</stp>
        <tr r="Q34" s="2"/>
      </tp>
      <tp t="s">
        <v>N/A</v>
        <stp/>
        <stp>VOLUME</stp>
        <stp>.SPY250919P562</stp>
        <tr r="Q35" s="2"/>
      </tp>
      <tp t="s">
        <v>N/A</v>
        <stp/>
        <stp>VOLUME</stp>
        <stp>.SPY250919C562</stp>
        <tr r="Q35" s="2"/>
      </tp>
      <tp t="s">
        <v>N/A</v>
        <stp/>
        <stp>VOLUME</stp>
        <stp>.SPY250919P561</stp>
        <tr r="Q36" s="2"/>
      </tp>
      <tp t="s">
        <v>N/A</v>
        <stp/>
        <stp>VOLUME</stp>
        <stp>.SPY250919C561</stp>
        <tr r="Q36" s="2"/>
      </tp>
      <tp>
        <v>1655</v>
        <stp/>
        <stp>VOLUME</stp>
        <stp>.SPY250919P560</stp>
        <tr r="Q37" s="2"/>
        <tr r="Q37" s="2"/>
      </tp>
      <tp>
        <v>199</v>
        <stp/>
        <stp>VOLUME</stp>
        <stp>.SPY250919C560</stp>
        <tr r="Q37" s="2"/>
        <tr r="Q37" s="2"/>
      </tp>
      <tp t="s">
        <v>N/A</v>
        <stp/>
        <stp>VOLUME</stp>
        <stp>.SPY250919P579</stp>
        <tr r="Q18" s="2"/>
      </tp>
      <tp t="s">
        <v>N/A</v>
        <stp/>
        <stp>VOLUME</stp>
        <stp>.SPY250919C579</stp>
        <tr r="Q18" s="2"/>
      </tp>
      <tp t="s">
        <v>N/A</v>
        <stp/>
        <stp>VOLUME</stp>
        <stp>.SPY250919P578</stp>
        <tr r="Q19" s="2"/>
      </tp>
      <tp t="s">
        <v>N/A</v>
        <stp/>
        <stp>VOLUME</stp>
        <stp>.SPY250919C578</stp>
        <tr r="Q19" s="2"/>
      </tp>
      <tp t="s">
        <v>N/A</v>
        <stp/>
        <stp>VOLUME</stp>
        <stp>.SPY250919P577</stp>
        <tr r="Q20" s="2"/>
      </tp>
      <tp t="s">
        <v>N/A</v>
        <stp/>
        <stp>VOLUME</stp>
        <stp>.SPY250919C577</stp>
        <tr r="Q20" s="2"/>
      </tp>
      <tp t="s">
        <v>N/A</v>
        <stp/>
        <stp>VOLUME</stp>
        <stp>.SPY250919P576</stp>
        <tr r="Q21" s="2"/>
      </tp>
      <tp t="s">
        <v>N/A</v>
        <stp/>
        <stp>VOLUME</stp>
        <stp>.SPY250919C576</stp>
        <tr r="Q21" s="2"/>
      </tp>
      <tp>
        <v>3159</v>
        <stp/>
        <stp>VOLUME</stp>
        <stp>.SPY250919P575</stp>
        <tr r="Q22" s="2"/>
        <tr r="Q22" s="2"/>
      </tp>
      <tp>
        <v>314</v>
        <stp/>
        <stp>VOLUME</stp>
        <stp>.SPY250919C575</stp>
        <tr r="Q22" s="2"/>
        <tr r="Q22" s="2"/>
      </tp>
      <tp t="s">
        <v>N/A</v>
        <stp/>
        <stp>VOLUME</stp>
        <stp>.SPY250919P574</stp>
        <tr r="Q23" s="2"/>
      </tp>
      <tp t="s">
        <v>N/A</v>
        <stp/>
        <stp>VOLUME</stp>
        <stp>.SPY250919C574</stp>
        <tr r="Q23" s="2"/>
      </tp>
      <tp t="s">
        <v>N/A</v>
        <stp/>
        <stp>VOLUME</stp>
        <stp>.SPY250919P573</stp>
        <tr r="Q24" s="2"/>
      </tp>
      <tp t="s">
        <v>N/A</v>
        <stp/>
        <stp>VOLUME</stp>
        <stp>.SPY250919C573</stp>
        <tr r="Q24" s="2"/>
      </tp>
      <tp t="s">
        <v>N/A</v>
        <stp/>
        <stp>VOLUME</stp>
        <stp>.SPY250919P572</stp>
        <tr r="Q25" s="2"/>
      </tp>
      <tp t="s">
        <v>N/A</v>
        <stp/>
        <stp>VOLUME</stp>
        <stp>.SPY250919C572</stp>
        <tr r="Q25" s="2"/>
      </tp>
      <tp t="s">
        <v>N/A</v>
        <stp/>
        <stp>VOLUME</stp>
        <stp>.SPY250919P571</stp>
        <tr r="Q26" s="2"/>
      </tp>
      <tp>
        <v>1</v>
        <stp/>
        <stp>VOLUME</stp>
        <stp>.SPY250930P558</stp>
        <tr r="R39" s="2"/>
        <tr r="R39" s="2"/>
      </tp>
      <tp t="s">
        <v>N/A</v>
        <stp/>
        <stp>VOLUME</stp>
        <stp>.SPY250919C571</stp>
        <tr r="Q26" s="2"/>
      </tp>
      <tp>
        <v>2</v>
        <stp/>
        <stp>VOLUME</stp>
        <stp>.SPY250930C558</stp>
        <tr r="R39" s="2"/>
        <tr r="R39" s="2"/>
      </tp>
      <tp>
        <v>606</v>
        <stp/>
        <stp>VOLUME</stp>
        <stp>.SPY250919P570</stp>
        <tr r="Q27" s="2"/>
        <tr r="Q27" s="2"/>
      </tp>
      <tp>
        <v>5</v>
        <stp/>
        <stp>VOLUME</stp>
        <stp>.SPY250930P559</stp>
        <tr r="R38" s="2"/>
        <tr r="R38" s="2"/>
      </tp>
      <tp>
        <v>239</v>
        <stp/>
        <stp>VOLUME</stp>
        <stp>.SPY250919C570</stp>
        <tr r="Q27" s="2"/>
        <tr r="Q27" s="2"/>
      </tp>
      <tp>
        <v>3</v>
        <stp/>
        <stp>VOLUME</stp>
        <stp>.SPY250930C559</stp>
        <tr r="R38" s="2"/>
        <tr r="R38" s="2"/>
      </tp>
      <tp t="s">
        <v>N/A</v>
        <stp/>
        <stp>DELTA</stp>
        <stp>.SPXW250512P5990</stp>
        <tr r="CE88" s="1"/>
      </tp>
      <tp t="s">
        <v>N/A</v>
        <stp/>
        <stp>DELTA</stp>
        <stp>.SPXW250512C5990</stp>
        <tr r="CD88" s="1"/>
      </tp>
      <tp t="s">
        <v>N/A</v>
        <stp/>
        <stp>DELTA</stp>
        <stp>.SPXW250512P5980</stp>
        <tr r="CE89" s="1"/>
      </tp>
      <tp t="s">
        <v>N/A</v>
        <stp/>
        <stp>DELTA</stp>
        <stp>.SPXW250512C5980</stp>
        <tr r="CD89" s="1"/>
      </tp>
      <tp t="s">
        <v>N/A</v>
        <stp/>
        <stp>DELTA</stp>
        <stp>.SPXW250512P5910</stp>
        <tr r="CE96" s="1"/>
      </tp>
      <tp t="s">
        <v>N/A</v>
        <stp/>
        <stp>DELTA</stp>
        <stp>.SPXW250512C5910</stp>
        <tr r="CD96" s="1"/>
      </tp>
      <tp>
        <v>-1</v>
        <stp/>
        <stp>DELTA</stp>
        <stp>.SPXW250512P5900</stp>
        <tr r="CE97" s="1"/>
        <tr r="CE97" s="1"/>
      </tp>
      <tp>
        <v>0</v>
        <stp/>
        <stp>DELTA</stp>
        <stp>.SPXW250512C5900</stp>
        <tr r="CD97" s="1"/>
        <tr r="CD97" s="1"/>
      </tp>
      <tp t="s">
        <v>N/A</v>
        <stp/>
        <stp>DELTA</stp>
        <stp>.SPXW250512P5930</stp>
        <tr r="CE94" s="1"/>
      </tp>
      <tp t="s">
        <v>N/A</v>
        <stp/>
        <stp>DELTA</stp>
        <stp>.SPXW250512C5930</stp>
        <tr r="CD94" s="1"/>
      </tp>
      <tp t="s">
        <v>N/A</v>
        <stp/>
        <stp>DELTA</stp>
        <stp>.SPXW250512P5920</stp>
        <tr r="CE95" s="1"/>
      </tp>
      <tp t="s">
        <v>N/A</v>
        <stp/>
        <stp>DELTA</stp>
        <stp>.SPXW250512C5920</stp>
        <tr r="CD95" s="1"/>
      </tp>
      <tp>
        <v>-1</v>
        <stp/>
        <stp>DELTA</stp>
        <stp>.SPXW250512P5950</stp>
        <tr r="CE92" s="1"/>
        <tr r="CE92" s="1"/>
      </tp>
      <tp>
        <v>0</v>
        <stp/>
        <stp>DELTA</stp>
        <stp>.SPXW250512C5950</stp>
        <tr r="CD92" s="1"/>
        <tr r="CD92" s="1"/>
      </tp>
      <tp t="s">
        <v>N/A</v>
        <stp/>
        <stp>DELTA</stp>
        <stp>.SPXW250512P5940</stp>
        <tr r="CE93" s="1"/>
      </tp>
      <tp t="s">
        <v>N/A</v>
        <stp/>
        <stp>DELTA</stp>
        <stp>.SPXW250512C5940</stp>
        <tr r="CD93" s="1"/>
      </tp>
      <tp t="s">
        <v>N/A</v>
        <stp/>
        <stp>DELTA</stp>
        <stp>.SPXW250512P5970</stp>
        <tr r="CE90" s="1"/>
      </tp>
      <tp t="s">
        <v>N/A</v>
        <stp/>
        <stp>DELTA</stp>
        <stp>.SPXW250512C5970</stp>
        <tr r="CD90" s="1"/>
      </tp>
      <tp t="s">
        <v>N/A</v>
        <stp/>
        <stp>DELTA</stp>
        <stp>.SPXW250512P5960</stp>
        <tr r="CE91" s="1"/>
      </tp>
      <tp t="s">
        <v>N/A</v>
        <stp/>
        <stp>DELTA</stp>
        <stp>.SPXW250512C5960</stp>
        <tr r="CD91" s="1"/>
      </tp>
      <tp t="s">
        <v>N/A</v>
        <stp/>
        <stp>VOLUME</stp>
        <stp>.SPY250815P583</stp>
        <tr r="O14" s="2"/>
      </tp>
      <tp t="s">
        <v>N/A</v>
        <stp/>
        <stp>VOLUME</stp>
        <stp>.SPY250815C583</stp>
        <tr r="O14" s="2"/>
      </tp>
      <tp t="s">
        <v>N/A</v>
        <stp/>
        <stp>VOLUME</stp>
        <stp>.SPY250815P582</stp>
        <tr r="O15" s="2"/>
      </tp>
      <tp t="s">
        <v>N/A</v>
        <stp/>
        <stp>VOLUME</stp>
        <stp>.SPY250815C582</stp>
        <tr r="O15" s="2"/>
      </tp>
      <tp t="s">
        <v>N/A</v>
        <stp/>
        <stp>VOLUME</stp>
        <stp>.SPY250815P581</stp>
        <tr r="O16" s="2"/>
      </tp>
      <tp t="s">
        <v>N/A</v>
        <stp/>
        <stp>VOLUME</stp>
        <stp>.SPY250815C581</stp>
        <tr r="O16" s="2"/>
      </tp>
      <tp>
        <v>857</v>
        <stp/>
        <stp>VOLUME</stp>
        <stp>.SPY250815P580</stp>
        <tr r="O17" s="2"/>
        <tr r="O17" s="2"/>
      </tp>
      <tp>
        <v>2302</v>
        <stp/>
        <stp>VOLUME</stp>
        <stp>.SPY250815C580</stp>
        <tr r="O17" s="2"/>
        <tr r="O17" s="2"/>
      </tp>
      <tp t="s">
        <v>N/A</v>
        <stp/>
        <stp>VOLUME</stp>
        <stp>.SPY250815P587</stp>
        <tr r="O10" s="2"/>
      </tp>
      <tp t="s">
        <v>N/A</v>
        <stp/>
        <stp>VOLUME</stp>
        <stp>.SPY250815C587</stp>
        <tr r="O10" s="2"/>
      </tp>
      <tp t="s">
        <v>N/A</v>
        <stp/>
        <stp>VOLUME</stp>
        <stp>.SPY250815P586</stp>
        <tr r="O11" s="2"/>
      </tp>
      <tp t="s">
        <v>N/A</v>
        <stp/>
        <stp>VOLUME</stp>
        <stp>.SPY250815C586</stp>
        <tr r="O11" s="2"/>
      </tp>
      <tp>
        <v>617</v>
        <stp/>
        <stp>VOLUME</stp>
        <stp>.SPY250815P585</stp>
        <tr r="O12" s="2"/>
        <tr r="O12" s="2"/>
      </tp>
      <tp>
        <v>278</v>
        <stp/>
        <stp>VOLUME</stp>
        <stp>.SPY250815C585</stp>
        <tr r="O12" s="2"/>
        <tr r="O12" s="2"/>
      </tp>
      <tp t="s">
        <v>N/A</v>
        <stp/>
        <stp>VOLUME</stp>
        <stp>.SPY250815P584</stp>
        <tr r="O13" s="2"/>
      </tp>
      <tp t="s">
        <v>N/A</v>
        <stp/>
        <stp>VOLUME</stp>
        <stp>.SPY250815C584</stp>
        <tr r="O13" s="2"/>
      </tp>
      <tp t="s">
        <v>N/A</v>
        <stp/>
        <stp>VOLUME</stp>
        <stp>.SPY250815P589</stp>
        <tr r="O8" s="2"/>
      </tp>
      <tp t="s">
        <v>N/A</v>
        <stp/>
        <stp>VOLUME</stp>
        <stp>.SPY250815C589</stp>
        <tr r="O8" s="2"/>
      </tp>
      <tp t="s">
        <v>N/A</v>
        <stp/>
        <stp>VOLUME</stp>
        <stp>.SPY250815P588</stp>
        <tr r="O9" s="2"/>
      </tp>
      <tp t="s">
        <v>N/A</v>
        <stp/>
        <stp>VOLUME</stp>
        <stp>.SPY250815C588</stp>
        <tr r="O9" s="2"/>
      </tp>
      <tp t="s">
        <v>N/A</v>
        <stp/>
        <stp>VOLUME</stp>
        <stp>.SPY250815P592</stp>
        <tr r="O5" s="2"/>
      </tp>
      <tp t="s">
        <v>N/A</v>
        <stp/>
        <stp>VOLUME</stp>
        <stp>.SPY250815C592</stp>
        <tr r="O5" s="2"/>
      </tp>
      <tp t="s">
        <v>N/A</v>
        <stp/>
        <stp>VOLUME</stp>
        <stp>.SPY250815P591</stp>
        <tr r="O6" s="2"/>
      </tp>
      <tp t="s">
        <v>N/A</v>
        <stp/>
        <stp>VOLUME</stp>
        <stp>.SPY250815C591</stp>
        <tr r="O6" s="2"/>
      </tp>
      <tp>
        <v>439</v>
        <stp/>
        <stp>VOLUME</stp>
        <stp>.SPY250815P590</stp>
        <tr r="O7" s="2"/>
        <tr r="O7" s="2"/>
      </tp>
      <tp>
        <v>429</v>
        <stp/>
        <stp>VOLUME</stp>
        <stp>.SPY250815C590</stp>
        <tr r="O7" s="2"/>
        <tr r="O7" s="2"/>
      </tp>
      <tp>
        <v>28</v>
        <stp/>
        <stp>VOLUME</stp>
        <stp>.QQQ251121P495</stp>
        <tr r="U73" s="2"/>
        <tr r="U73" s="2"/>
      </tp>
      <tp>
        <v>57</v>
        <stp/>
        <stp>VOLUME</stp>
        <stp>.QQQ251121C495</stp>
        <tr r="U73" s="2"/>
        <tr r="U73" s="2"/>
      </tp>
      <tp t="s">
        <v>N/A</v>
        <stp/>
        <stp>VOLUME</stp>
        <stp>.QQQ251121P494</stp>
        <tr r="U74" s="2"/>
      </tp>
      <tp t="s">
        <v>N/A</v>
        <stp/>
        <stp>VOLUME</stp>
        <stp>.QQQ251121C494</stp>
        <tr r="U74" s="2"/>
      </tp>
      <tp t="s">
        <v>N/A</v>
        <stp/>
        <stp>VOLUME</stp>
        <stp>.QQQ251121P497</stp>
        <tr r="U71" s="2"/>
      </tp>
      <tp t="s">
        <v>N/A</v>
        <stp/>
        <stp>VOLUME</stp>
        <stp>.QQQ251121C497</stp>
        <tr r="U71" s="2"/>
      </tp>
      <tp t="s">
        <v>N/A</v>
        <stp/>
        <stp>VOLUME</stp>
        <stp>.QQQ251121P496</stp>
        <tr r="U72" s="2"/>
      </tp>
      <tp t="s">
        <v>N/A</v>
        <stp/>
        <stp>VOLUME</stp>
        <stp>.QQQ251121C496</stp>
        <tr r="U72" s="2"/>
      </tp>
      <tp t="s">
        <v>N/A</v>
        <stp/>
        <stp>VOLUME</stp>
        <stp>.QQQ251121P491</stp>
        <tr r="U77" s="2"/>
      </tp>
      <tp t="s">
        <v>N/A</v>
        <stp/>
        <stp>VOLUME</stp>
        <stp>.QQQ251128P498</stp>
        <tr r="V70" s="2"/>
      </tp>
      <tp t="s">
        <v>N/A</v>
        <stp/>
        <stp>VOLUME</stp>
        <stp>.QQQ251121C491</stp>
        <tr r="U77" s="2"/>
      </tp>
      <tp t="s">
        <v>N/A</v>
        <stp/>
        <stp>VOLUME</stp>
        <stp>.QQQ251128C498</stp>
        <tr r="V70" s="2"/>
      </tp>
      <tp>
        <v>36</v>
        <stp/>
        <stp>VOLUME</stp>
        <stp>.QQQ251121P490</stp>
        <tr r="U78" s="2"/>
        <tr r="U78" s="2"/>
      </tp>
      <tp t="s">
        <v>N/A</v>
        <stp/>
        <stp>VOLUME</stp>
        <stp>.QQQ251128P499</stp>
        <tr r="V69" s="2"/>
      </tp>
      <tp>
        <v>42</v>
        <stp/>
        <stp>VOLUME</stp>
        <stp>.QQQ251121C490</stp>
        <tr r="U78" s="2"/>
        <tr r="U78" s="2"/>
      </tp>
      <tp t="s">
        <v>N/A</v>
        <stp/>
        <stp>VOLUME</stp>
        <stp>.QQQ251128C499</stp>
        <tr r="V69" s="2"/>
      </tp>
      <tp t="s">
        <v>N/A</v>
        <stp/>
        <stp>VOLUME</stp>
        <stp>.QQQ251121P493</stp>
        <tr r="U75" s="2"/>
      </tp>
      <tp t="s">
        <v>N/A</v>
        <stp/>
        <stp>VOLUME</stp>
        <stp>.QQQ251121C493</stp>
        <tr r="U75" s="2"/>
      </tp>
      <tp t="s">
        <v>N/A</v>
        <stp/>
        <stp>VOLUME</stp>
        <stp>.QQQ251121P492</stp>
        <tr r="U76" s="2"/>
      </tp>
      <tp t="s">
        <v>N/A</v>
        <stp/>
        <stp>VOLUME</stp>
        <stp>.QQQ251121C492</stp>
        <tr r="U76" s="2"/>
      </tp>
      <tp t="s">
        <v>N/A</v>
        <stp/>
        <stp>VOLUME</stp>
        <stp>.QQQ251128P494</stp>
        <tr r="V74" s="2"/>
      </tp>
      <tp t="s">
        <v>N/A</v>
        <stp/>
        <stp>VOLUME</stp>
        <stp>.QQQ251128C494</stp>
        <tr r="V74" s="2"/>
      </tp>
      <tp t="s">
        <v>N/A</v>
        <stp/>
        <stp>VOLUME</stp>
        <stp>.QQQ251128P495</stp>
        <tr r="V73" s="2"/>
      </tp>
      <tp t="s">
        <v>N/A</v>
        <stp/>
        <stp>VOLUME</stp>
        <stp>.QQQ251128C495</stp>
        <tr r="V73" s="2"/>
      </tp>
      <tp t="s">
        <v>N/A</v>
        <stp/>
        <stp>VOLUME</stp>
        <stp>.QQQ251128P496</stp>
        <tr r="V72" s="2"/>
      </tp>
      <tp t="s">
        <v>N/A</v>
        <stp/>
        <stp>VOLUME</stp>
        <stp>.QQQ251128C496</stp>
        <tr r="V72" s="2"/>
      </tp>
      <tp t="s">
        <v>N/A</v>
        <stp/>
        <stp>VOLUME</stp>
        <stp>.QQQ251128P497</stp>
        <tr r="V71" s="2"/>
      </tp>
      <tp t="s">
        <v>N/A</v>
        <stp/>
        <stp>VOLUME</stp>
        <stp>.QQQ251128C497</stp>
        <tr r="V71" s="2"/>
      </tp>
      <tp t="s">
        <v>N/A</v>
        <stp/>
        <stp>VOLUME</stp>
        <stp>.QQQ251121P499</stp>
        <tr r="U69" s="2"/>
      </tp>
      <tp t="s">
        <v>N/A</v>
        <stp/>
        <stp>VOLUME</stp>
        <stp>.QQQ251128P490</stp>
        <tr r="V78" s="2"/>
      </tp>
      <tp t="s">
        <v>N/A</v>
        <stp/>
        <stp>VOLUME</stp>
        <stp>.QQQ251121C499</stp>
        <tr r="U69" s="2"/>
      </tp>
      <tp t="s">
        <v>N/A</v>
        <stp/>
        <stp>VOLUME</stp>
        <stp>.QQQ251128C490</stp>
        <tr r="V78" s="2"/>
      </tp>
      <tp t="s">
        <v>N/A</v>
        <stp/>
        <stp>VOLUME</stp>
        <stp>.QQQ251121P498</stp>
        <tr r="U70" s="2"/>
      </tp>
      <tp t="s">
        <v>N/A</v>
        <stp/>
        <stp>VOLUME</stp>
        <stp>.QQQ251128P491</stp>
        <tr r="V77" s="2"/>
      </tp>
      <tp>
        <v>6</v>
        <stp/>
        <stp>VOLUME</stp>
        <stp>.SPY250829P592</stp>
        <tr r="P5" s="2"/>
        <tr r="P5" s="2"/>
      </tp>
      <tp t="s">
        <v>N/A</v>
        <stp/>
        <stp>VOLUME</stp>
        <stp>.QQQ251121C498</stp>
        <tr r="U70" s="2"/>
      </tp>
      <tp t="s">
        <v>N/A</v>
        <stp/>
        <stp>VOLUME</stp>
        <stp>.QQQ251128C491</stp>
        <tr r="V77" s="2"/>
      </tp>
      <tp>
        <v>24</v>
        <stp/>
        <stp>VOLUME</stp>
        <stp>.SPY250829C592</stp>
        <tr r="P5" s="2"/>
        <tr r="P5" s="2"/>
      </tp>
      <tp t="s">
        <v>N/A</v>
        <stp/>
        <stp>VOLUME</stp>
        <stp>.QQQ251128P492</stp>
        <tr r="V76" s="2"/>
      </tp>
      <tp>
        <v>1</v>
        <stp/>
        <stp>VOLUME</stp>
        <stp>.SPY250829P591</stp>
        <tr r="P6" s="2"/>
        <tr r="P6" s="2"/>
      </tp>
      <tp t="s">
        <v>N/A</v>
        <stp/>
        <stp>VOLUME</stp>
        <stp>.QQQ251128C492</stp>
        <tr r="V76" s="2"/>
      </tp>
      <tp>
        <v>25</v>
        <stp/>
        <stp>VOLUME</stp>
        <stp>.SPY250829C591</stp>
        <tr r="P6" s="2"/>
        <tr r="P6" s="2"/>
      </tp>
      <tp t="s">
        <v>N/A</v>
        <stp/>
        <stp>VOLUME</stp>
        <stp>.QQQ251128P493</stp>
        <tr r="V75" s="2"/>
      </tp>
      <tp>
        <v>51</v>
        <stp/>
        <stp>VOLUME</stp>
        <stp>.SPY250829P590</stp>
        <tr r="P7" s="2"/>
        <tr r="P7" s="2"/>
      </tp>
      <tp t="s">
        <v>N/A</v>
        <stp/>
        <stp>VOLUME</stp>
        <stp>.QQQ251128C493</stp>
        <tr r="V75" s="2"/>
      </tp>
      <tp>
        <v>74</v>
        <stp/>
        <stp>VOLUME</stp>
        <stp>.SPY250829C590</stp>
        <tr r="P7" s="2"/>
        <tr r="P7" s="2"/>
      </tp>
      <tp t="s">
        <v>N/A</v>
        <stp/>
        <stp>VOLUME</stp>
        <stp>.QQQ251128P488</stp>
        <tr r="V80" s="2"/>
      </tp>
      <tp t="s">
        <v>N/A</v>
        <stp/>
        <stp>VOLUME</stp>
        <stp>.QQQ251128C488</stp>
        <tr r="V80" s="2"/>
      </tp>
      <tp t="s">
        <v>N/A</v>
        <stp/>
        <stp>VOLUME</stp>
        <stp>.QQQ251128P489</stp>
        <tr r="V79" s="2"/>
      </tp>
      <tp t="s">
        <v>N/A</v>
        <stp/>
        <stp>VOLUME</stp>
        <stp>.QQQ251128C489</stp>
        <tr r="V79" s="2"/>
      </tp>
      <tp>
        <v>1</v>
        <stp/>
        <stp>VOLUME</stp>
        <stp>.SPY250829P589</stp>
        <tr r="P8" s="2"/>
        <tr r="P8" s="2"/>
      </tp>
      <tp>
        <v>6</v>
        <stp/>
        <stp>VOLUME</stp>
        <stp>.SPY250829C589</stp>
        <tr r="P8" s="2"/>
        <tr r="P8" s="2"/>
      </tp>
      <tp>
        <v>3</v>
        <stp/>
        <stp>VOLUME</stp>
        <stp>.SPY250829P588</stp>
        <tr r="P9" s="2"/>
        <tr r="P9" s="2"/>
      </tp>
      <tp>
        <v>72</v>
        <stp/>
        <stp>VOLUME</stp>
        <stp>.SPY250829C588</stp>
        <tr r="P9" s="2"/>
        <tr r="P9" s="2"/>
      </tp>
      <tp>
        <v>10</v>
        <stp/>
        <stp>VOLUME</stp>
        <stp>.SPY250829P587</stp>
        <tr r="P10" s="2"/>
        <tr r="P10" s="2"/>
      </tp>
      <tp>
        <v>4</v>
        <stp/>
        <stp>VOLUME</stp>
        <stp>.SPY250829C587</stp>
        <tr r="P10" s="2"/>
        <tr r="P10" s="2"/>
      </tp>
      <tp t="s">
        <v>N/A</v>
        <stp/>
        <stp>VOLUME</stp>
        <stp>.SPY250829P586</stp>
        <tr r="P11" s="2"/>
      </tp>
      <tp>
        <v>6</v>
        <stp/>
        <stp>VOLUME</stp>
        <stp>.SPY250829C586</stp>
        <tr r="P11" s="2"/>
        <tr r="P11" s="2"/>
      </tp>
      <tp>
        <v>83</v>
        <stp/>
        <stp>VOLUME</stp>
        <stp>.SPY250829P585</stp>
        <tr r="P12" s="2"/>
        <tr r="P12" s="2"/>
      </tp>
      <tp>
        <v>159</v>
        <stp/>
        <stp>VOLUME</stp>
        <stp>.SPY250829C585</stp>
        <tr r="P12" s="2"/>
        <tr r="P12" s="2"/>
      </tp>
      <tp t="s">
        <v>N/A</v>
        <stp/>
        <stp>VOLUME</stp>
        <stp>.SPY250829P584</stp>
        <tr r="P13" s="2"/>
      </tp>
      <tp>
        <v>8</v>
        <stp/>
        <stp>VOLUME</stp>
        <stp>.SPY250829C584</stp>
        <tr r="P13" s="2"/>
        <tr r="P13" s="2"/>
      </tp>
      <tp t="s">
        <v>N/A</v>
        <stp/>
        <stp>VOLUME</stp>
        <stp>.QQQ251121P489</stp>
        <tr r="U79" s="2"/>
      </tp>
      <tp>
        <v>11</v>
        <stp/>
        <stp>VOLUME</stp>
        <stp>.SPY250829P583</stp>
        <tr r="P14" s="2"/>
        <tr r="P14" s="2"/>
      </tp>
      <tp t="s">
        <v>N/A</v>
        <stp/>
        <stp>VOLUME</stp>
        <stp>.QQQ251121C489</stp>
        <tr r="U79" s="2"/>
      </tp>
      <tp>
        <v>8</v>
        <stp/>
        <stp>VOLUME</stp>
        <stp>.SPY250829C583</stp>
        <tr r="P14" s="2"/>
        <tr r="P14" s="2"/>
      </tp>
      <tp t="s">
        <v>N/A</v>
        <stp/>
        <stp>VOLUME</stp>
        <stp>.QQQ251121P488</stp>
        <tr r="U80" s="2"/>
      </tp>
      <tp>
        <v>82</v>
        <stp/>
        <stp>VOLUME</stp>
        <stp>.SPY250829P582</stp>
        <tr r="P15" s="2"/>
        <tr r="P15" s="2"/>
      </tp>
      <tp t="s">
        <v>N/A</v>
        <stp/>
        <stp>VOLUME</stp>
        <stp>.QQQ251121C488</stp>
        <tr r="U80" s="2"/>
      </tp>
      <tp>
        <v>13</v>
        <stp/>
        <stp>VOLUME</stp>
        <stp>.SPY250829C582</stp>
        <tr r="P15" s="2"/>
        <tr r="P15" s="2"/>
      </tp>
      <tp>
        <v>37</v>
        <stp/>
        <stp>VOLUME</stp>
        <stp>.SPY250829P581</stp>
        <tr r="P16" s="2"/>
        <tr r="P16" s="2"/>
      </tp>
      <tp>
        <v>8</v>
        <stp/>
        <stp>VOLUME</stp>
        <stp>.SPY250829C581</stp>
        <tr r="P16" s="2"/>
        <tr r="P16" s="2"/>
      </tp>
      <tp>
        <v>133</v>
        <stp/>
        <stp>VOLUME</stp>
        <stp>.SPY250829P580</stp>
        <tr r="P17" s="2"/>
        <tr r="P17" s="2"/>
      </tp>
      <tp>
        <v>141</v>
        <stp/>
        <stp>VOLUME</stp>
        <stp>.SPY250829C580</stp>
        <tr r="P17" s="2"/>
        <tr r="P17" s="2"/>
      </tp>
      <tp t="s">
        <v>N/A</v>
        <stp/>
        <stp>VOLUME</stp>
        <stp>.QQQ251017P503</stp>
        <tr r="S65" s="2"/>
      </tp>
      <tp t="s">
        <v>N/A</v>
        <stp/>
        <stp>VOLUME</stp>
        <stp>.QQQ251017C503</stp>
        <tr r="S65" s="2"/>
      </tp>
      <tp t="s">
        <v>N/A</v>
        <stp/>
        <stp>VOLUME</stp>
        <stp>.QQQ251017P502</stp>
        <tr r="S66" s="2"/>
      </tp>
      <tp t="s">
        <v>N/A</v>
        <stp/>
        <stp>VOLUME</stp>
        <stp>.QQQ251017C502</stp>
        <tr r="S66" s="2"/>
      </tp>
      <tp t="s">
        <v>N/A</v>
        <stp/>
        <stp>VOLUME</stp>
        <stp>.QQQ251017P501</stp>
        <tr r="S67" s="2"/>
      </tp>
      <tp t="s">
        <v>N/A</v>
        <stp/>
        <stp>VOLUME</stp>
        <stp>.QQQ251017C501</stp>
        <tr r="S67" s="2"/>
      </tp>
      <tp t="s">
        <v>N/A</v>
        <stp/>
        <stp>VOLUME</stp>
        <stp>.QQQ251017P500</stp>
        <tr r="S68" s="2"/>
      </tp>
      <tp t="s">
        <v>N/A</v>
        <stp/>
        <stp>VOLUME</stp>
        <stp>.QQQ251017C500</stp>
        <tr r="S68" s="2"/>
      </tp>
      <tp t="s">
        <v>N/A</v>
        <stp/>
        <stp>VOLUME</stp>
        <stp>.QQQ251017P507</stp>
        <tr r="S61" s="2"/>
      </tp>
      <tp t="s">
        <v>N/A</v>
        <stp/>
        <stp>VOLUME</stp>
        <stp>.QQQ251031P521</stp>
        <tr r="T47" s="2"/>
      </tp>
      <tp t="s">
        <v>N/A</v>
        <stp/>
        <stp>VOLUME</stp>
        <stp>.QQQ251017C507</stp>
        <tr r="S61" s="2"/>
      </tp>
      <tp t="s">
        <v>N/A</v>
        <stp/>
        <stp>VOLUME</stp>
        <stp>.QQQ251031C521</stp>
        <tr r="T47" s="2"/>
      </tp>
      <tp t="s">
        <v>N/A</v>
        <stp/>
        <stp>VOLUME</stp>
        <stp>.QQQ251017P506</stp>
        <tr r="S62" s="2"/>
      </tp>
      <tp t="s">
        <v>N/A</v>
        <stp/>
        <stp>VOLUME</stp>
        <stp>.QQQ251031P520</stp>
        <tr r="T48" s="2"/>
      </tp>
      <tp t="s">
        <v>N/A</v>
        <stp/>
        <stp>VOLUME</stp>
        <stp>.QQQ251017C506</stp>
        <tr r="S62" s="2"/>
      </tp>
      <tp t="s">
        <v>N/A</v>
        <stp/>
        <stp>VOLUME</stp>
        <stp>.QQQ251031C520</stp>
        <tr r="T48" s="2"/>
      </tp>
      <tp t="s">
        <v>N/A</v>
        <stp/>
        <stp>VOLUME</stp>
        <stp>.QQQ251017P505</stp>
        <tr r="S63" s="2"/>
      </tp>
      <tp t="s">
        <v>N/A</v>
        <stp/>
        <stp>VOLUME</stp>
        <stp>.QQQ251017C505</stp>
        <tr r="S63" s="2"/>
      </tp>
      <tp t="s">
        <v>N/A</v>
        <stp/>
        <stp>VOLUME</stp>
        <stp>.QQQ251017P504</stp>
        <tr r="S64" s="2"/>
      </tp>
      <tp t="s">
        <v>N/A</v>
        <stp/>
        <stp>VOLUME</stp>
        <stp>.QQQ251031P522</stp>
        <tr r="T46" s="2"/>
      </tp>
      <tp t="s">
        <v>N/A</v>
        <stp/>
        <stp>VOLUME</stp>
        <stp>.QQQ251017C504</stp>
        <tr r="S64" s="2"/>
      </tp>
      <tp t="s">
        <v>N/A</v>
        <stp/>
        <stp>VOLUME</stp>
        <stp>.QQQ251031C522</stp>
        <tr r="T46" s="2"/>
      </tp>
      <tp t="s">
        <v>N/A</v>
        <stp/>
        <stp>VOLUME</stp>
        <stp>.QQQ251017P509</stp>
        <tr r="S59" s="2"/>
      </tp>
      <tp t="s">
        <v>N/A</v>
        <stp/>
        <stp>VOLUME</stp>
        <stp>.QQQ251017C509</stp>
        <tr r="S59" s="2"/>
      </tp>
      <tp t="s">
        <v>N/A</v>
        <stp/>
        <stp>VOLUME</stp>
        <stp>.QQQ251017P508</stp>
        <tr r="S60" s="2"/>
      </tp>
      <tp t="s">
        <v>N/A</v>
        <stp/>
        <stp>VOLUME</stp>
        <stp>.QQQ251017C508</stp>
        <tr r="S60" s="2"/>
      </tp>
      <tp t="s">
        <v>N/A</v>
        <stp/>
        <stp>VOLUME</stp>
        <stp>.QQQ251017P513</stp>
        <tr r="S55" s="2"/>
      </tp>
      <tp t="s">
        <v>N/A</v>
        <stp/>
        <stp>VOLUME</stp>
        <stp>.QQQ251017C513</stp>
        <tr r="S55" s="2"/>
      </tp>
      <tp t="s">
        <v>N/A</v>
        <stp/>
        <stp>VOLUME</stp>
        <stp>.QQQ251017P512</stp>
        <tr r="S56" s="2"/>
      </tp>
      <tp t="s">
        <v>N/A</v>
        <stp/>
        <stp>VOLUME</stp>
        <stp>.QQQ251017C512</stp>
        <tr r="S56" s="2"/>
      </tp>
      <tp t="s">
        <v>N/A</v>
        <stp/>
        <stp>VOLUME</stp>
        <stp>.QQQ251017P511</stp>
        <tr r="S57" s="2"/>
      </tp>
      <tp t="s">
        <v>N/A</v>
        <stp/>
        <stp>VOLUME</stp>
        <stp>.QQQ251017C511</stp>
        <tr r="S57" s="2"/>
      </tp>
      <tp t="s">
        <v>N/A</v>
        <stp/>
        <stp>VOLUME</stp>
        <stp>.QQQ251017P510</stp>
        <tr r="S58" s="2"/>
      </tp>
      <tp t="s">
        <v>N/A</v>
        <stp/>
        <stp>VOLUME</stp>
        <stp>.QQQ251017C510</stp>
        <tr r="S58" s="2"/>
      </tp>
      <tp t="s">
        <v>N/A</v>
        <stp/>
        <stp>VOLUME</stp>
        <stp>.QQQ251017P517</stp>
        <tr r="S51" s="2"/>
      </tp>
      <tp t="s">
        <v>N/A</v>
        <stp/>
        <stp>VOLUME</stp>
        <stp>.QQQ251017C517</stp>
        <tr r="S51" s="2"/>
      </tp>
      <tp t="s">
        <v>N/A</v>
        <stp/>
        <stp>VOLUME</stp>
        <stp>.QQQ251017P516</stp>
        <tr r="S52" s="2"/>
      </tp>
      <tp t="s">
        <v>N/A</v>
        <stp/>
        <stp>VOLUME</stp>
        <stp>.QQQ251017C516</stp>
        <tr r="S52" s="2"/>
      </tp>
      <tp t="s">
        <v>N/A</v>
        <stp/>
        <stp>VOLUME</stp>
        <stp>.QQQ251017P515</stp>
        <tr r="S53" s="2"/>
      </tp>
      <tp t="s">
        <v>N/A</v>
        <stp/>
        <stp>VOLUME</stp>
        <stp>.QQQ251017C515</stp>
        <tr r="S53" s="2"/>
      </tp>
      <tp t="s">
        <v>N/A</v>
        <stp/>
        <stp>VOLUME</stp>
        <stp>.QQQ251017P514</stp>
        <tr r="S54" s="2"/>
      </tp>
      <tp t="s">
        <v>N/A</v>
        <stp/>
        <stp>VOLUME</stp>
        <stp>.QQQ251017C514</stp>
        <tr r="S54" s="2"/>
      </tp>
      <tp t="s">
        <v>N/A</v>
        <stp/>
        <stp>VOLUME</stp>
        <stp>.QQQ251017P519</stp>
        <tr r="S49" s="2"/>
      </tp>
      <tp t="s">
        <v>N/A</v>
        <stp/>
        <stp>VOLUME</stp>
        <stp>.QQQ251017C519</stp>
        <tr r="S49" s="2"/>
      </tp>
      <tp t="s">
        <v>N/A</v>
        <stp/>
        <stp>VOLUME</stp>
        <stp>.QQQ251017P518</stp>
        <tr r="S50" s="2"/>
      </tp>
      <tp t="s">
        <v>N/A</v>
        <stp/>
        <stp>VOLUME</stp>
        <stp>.QQQ251017C518</stp>
        <tr r="S50" s="2"/>
      </tp>
      <tp t="s">
        <v>N/A</v>
        <stp/>
        <stp>VOLUME</stp>
        <stp>.QQQ251031P505</stp>
        <tr r="T63" s="2"/>
      </tp>
      <tp t="s">
        <v>N/A</v>
        <stp/>
        <stp>VOLUME</stp>
        <stp>.QQQ251031C505</stp>
        <tr r="T63" s="2"/>
      </tp>
      <tp t="s">
        <v>N/A</v>
        <stp/>
        <stp>VOLUME</stp>
        <stp>.QQQ251017P522</stp>
        <tr r="S46" s="2"/>
      </tp>
      <tp t="s">
        <v>N/A</v>
        <stp/>
        <stp>VOLUME</stp>
        <stp>.QQQ251031P504</stp>
        <tr r="T64" s="2"/>
      </tp>
      <tp t="s">
        <v>N/A</v>
        <stp/>
        <stp>VOLUME</stp>
        <stp>.QQQ251017C522</stp>
        <tr r="S46" s="2"/>
      </tp>
      <tp t="s">
        <v>N/A</v>
        <stp/>
        <stp>VOLUME</stp>
        <stp>.QQQ251031C504</stp>
        <tr r="T64" s="2"/>
      </tp>
      <tp t="s">
        <v>N/A</v>
        <stp/>
        <stp>VOLUME</stp>
        <stp>.QQQ251017P521</stp>
        <tr r="S47" s="2"/>
      </tp>
      <tp t="s">
        <v>N/A</v>
        <stp/>
        <stp>VOLUME</stp>
        <stp>.QQQ251031P507</stp>
        <tr r="T61" s="2"/>
      </tp>
      <tp t="s">
        <v>N/A</v>
        <stp/>
        <stp>VOLUME</stp>
        <stp>.QQQ251017C521</stp>
        <tr r="S47" s="2"/>
      </tp>
      <tp t="s">
        <v>N/A</v>
        <stp/>
        <stp>VOLUME</stp>
        <stp>.QQQ251031C507</stp>
        <tr r="T61" s="2"/>
      </tp>
      <tp t="s">
        <v>N/A</v>
        <stp/>
        <stp>VOLUME</stp>
        <stp>.QQQ251017P520</stp>
        <tr r="S48" s="2"/>
      </tp>
      <tp t="s">
        <v>N/A</v>
        <stp/>
        <stp>VOLUME</stp>
        <stp>.QQQ251031P506</stp>
        <tr r="T62" s="2"/>
      </tp>
      <tp t="s">
        <v>N/A</v>
        <stp/>
        <stp>VOLUME</stp>
        <stp>.QQQ251017C520</stp>
        <tr r="S48" s="2"/>
      </tp>
      <tp t="s">
        <v>N/A</v>
        <stp/>
        <stp>VOLUME</stp>
        <stp>.QQQ251031C506</stp>
        <tr r="T62" s="2"/>
      </tp>
      <tp t="s">
        <v>N/A</v>
        <stp/>
        <stp>VOLUME</stp>
        <stp>.QQQ251031P501</stp>
        <tr r="T67" s="2"/>
      </tp>
      <tp t="s">
        <v>N/A</v>
        <stp/>
        <stp>VOLUME</stp>
        <stp>.QQQ251031C501</stp>
        <tr r="T67" s="2"/>
      </tp>
      <tp t="s">
        <v>N/A</v>
        <stp/>
        <stp>VOLUME</stp>
        <stp>.QQQ251031P500</stp>
        <tr r="T68" s="2"/>
      </tp>
      <tp t="s">
        <v>N/A</v>
        <stp/>
        <stp>VOLUME</stp>
        <stp>.QQQ251031C500</stp>
        <tr r="T68" s="2"/>
      </tp>
      <tp t="s">
        <v>N/A</v>
        <stp/>
        <stp>VOLUME</stp>
        <stp>.QQQ251031P503</stp>
        <tr r="T65" s="2"/>
      </tp>
      <tp t="s">
        <v>N/A</v>
        <stp/>
        <stp>VOLUME</stp>
        <stp>.QQQ251031C503</stp>
        <tr r="T65" s="2"/>
      </tp>
      <tp t="s">
        <v>N/A</v>
        <stp/>
        <stp>VOLUME</stp>
        <stp>.QQQ251031P502</stp>
        <tr r="T66" s="2"/>
      </tp>
      <tp t="s">
        <v>N/A</v>
        <stp/>
        <stp>VOLUME</stp>
        <stp>.QQQ251031C502</stp>
        <tr r="T66" s="2"/>
      </tp>
      <tp t="s">
        <v>N/A</v>
        <stp/>
        <stp>VOLUME</stp>
        <stp>.QQQ251031P509</stp>
        <tr r="T59" s="2"/>
      </tp>
      <tp t="s">
        <v>N/A</v>
        <stp/>
        <stp>VOLUME</stp>
        <stp>.QQQ251031C509</stp>
        <tr r="T59" s="2"/>
      </tp>
      <tp t="s">
        <v>N/A</v>
        <stp/>
        <stp>VOLUME</stp>
        <stp>.QQQ251031P508</stp>
        <tr r="T60" s="2"/>
      </tp>
      <tp t="s">
        <v>N/A</v>
        <stp/>
        <stp>VOLUME</stp>
        <stp>.QQQ251031C508</stp>
        <tr r="T60" s="2"/>
      </tp>
      <tp t="s">
        <v>N/A</v>
        <stp/>
        <stp>VOLUME</stp>
        <stp>.QQQ251031P515</stp>
        <tr r="T53" s="2"/>
      </tp>
      <tp t="s">
        <v>N/A</v>
        <stp/>
        <stp>VOLUME</stp>
        <stp>.QQQ251031C515</stp>
        <tr r="T53" s="2"/>
      </tp>
      <tp t="s">
        <v>N/A</v>
        <stp/>
        <stp>VOLUME</stp>
        <stp>.QQQ251031P514</stp>
        <tr r="T54" s="2"/>
      </tp>
      <tp t="s">
        <v>N/A</v>
        <stp/>
        <stp>VOLUME</stp>
        <stp>.QQQ251031C514</stp>
        <tr r="T54" s="2"/>
      </tp>
      <tp t="s">
        <v>N/A</v>
        <stp/>
        <stp>VOLUME</stp>
        <stp>.QQQ251031P517</stp>
        <tr r="T51" s="2"/>
      </tp>
      <tp t="s">
        <v>N/A</v>
        <stp/>
        <stp>VOLUME</stp>
        <stp>.QQQ251031C517</stp>
        <tr r="T51" s="2"/>
      </tp>
      <tp t="s">
        <v>N/A</v>
        <stp/>
        <stp>VOLUME</stp>
        <stp>.QQQ251031P516</stp>
        <tr r="T52" s="2"/>
      </tp>
      <tp t="s">
        <v>N/A</v>
        <stp/>
        <stp>VOLUME</stp>
        <stp>.QQQ251031C516</stp>
        <tr r="T52" s="2"/>
      </tp>
      <tp t="s">
        <v>N/A</v>
        <stp/>
        <stp>VOLUME</stp>
        <stp>.QQQ251031P511</stp>
        <tr r="T57" s="2"/>
      </tp>
      <tp t="s">
        <v>N/A</v>
        <stp/>
        <stp>VOLUME</stp>
        <stp>.QQQ251031C511</stp>
        <tr r="T57" s="2"/>
      </tp>
      <tp t="s">
        <v>N/A</v>
        <stp/>
        <stp>VOLUME</stp>
        <stp>.QQQ251031P510</stp>
        <tr r="T58" s="2"/>
      </tp>
      <tp t="s">
        <v>N/A</v>
        <stp/>
        <stp>VOLUME</stp>
        <stp>.QQQ251031C510</stp>
        <tr r="T58" s="2"/>
      </tp>
      <tp t="s">
        <v>N/A</v>
        <stp/>
        <stp>VOLUME</stp>
        <stp>.QQQ251031P513</stp>
        <tr r="T55" s="2"/>
      </tp>
      <tp t="s">
        <v>N/A</v>
        <stp/>
        <stp>VOLUME</stp>
        <stp>.QQQ251031C513</stp>
        <tr r="T55" s="2"/>
      </tp>
      <tp t="s">
        <v>N/A</v>
        <stp/>
        <stp>VOLUME</stp>
        <stp>.QQQ251031P512</stp>
        <tr r="T56" s="2"/>
      </tp>
      <tp t="s">
        <v>N/A</v>
        <stp/>
        <stp>VOLUME</stp>
        <stp>.QQQ251031C512</stp>
        <tr r="T56" s="2"/>
      </tp>
      <tp t="s">
        <v>N/A</v>
        <stp/>
        <stp>VOLUME</stp>
        <stp>.QQQ251031P519</stp>
        <tr r="T49" s="2"/>
      </tp>
      <tp t="s">
        <v>N/A</v>
        <stp/>
        <stp>VOLUME</stp>
        <stp>.QQQ251031C519</stp>
        <tr r="T49" s="2"/>
      </tp>
      <tp t="s">
        <v>N/A</v>
        <stp/>
        <stp>VOLUME</stp>
        <stp>.QQQ251031P518</stp>
        <tr r="T50" s="2"/>
      </tp>
      <tp t="s">
        <v>N/A</v>
        <stp/>
        <stp>VOLUME</stp>
        <stp>.QQQ251031C518</stp>
        <tr r="T50" s="2"/>
      </tp>
      <tp>
        <v>21</v>
        <stp/>
        <stp>VOLUME</stp>
        <stp>.SPY250829P579</stp>
        <tr r="P18" s="2"/>
        <tr r="P18" s="2"/>
      </tp>
      <tp>
        <v>9</v>
        <stp/>
        <stp>VOLUME</stp>
        <stp>.SPY250829C579</stp>
        <tr r="P18" s="2"/>
        <tr r="P18" s="2"/>
      </tp>
      <tp>
        <v>75</v>
        <stp/>
        <stp>VOLUME</stp>
        <stp>.SPY250829P578</stp>
        <tr r="P19" s="2"/>
        <tr r="P19" s="2"/>
      </tp>
      <tp>
        <v>7</v>
        <stp/>
        <stp>VOLUME</stp>
        <stp>.SPY250829C578</stp>
        <tr r="P19" s="2"/>
        <tr r="P19" s="2"/>
      </tp>
      <tp>
        <v>16</v>
        <stp/>
        <stp>VOLUME</stp>
        <stp>.SPY250829P577</stp>
        <tr r="P20" s="2"/>
        <tr r="P20" s="2"/>
      </tp>
      <tp>
        <v>5</v>
        <stp/>
        <stp>VOLUME</stp>
        <stp>.SPY250829C577</stp>
        <tr r="P20" s="2"/>
        <tr r="P20" s="2"/>
      </tp>
      <tp>
        <v>5</v>
        <stp/>
        <stp>VOLUME</stp>
        <stp>.SPY250829P576</stp>
        <tr r="P21" s="2"/>
        <tr r="P21" s="2"/>
      </tp>
      <tp>
        <v>33</v>
        <stp/>
        <stp>VOLUME</stp>
        <stp>.SPY250829C576</stp>
        <tr r="P21" s="2"/>
        <tr r="P21" s="2"/>
      </tp>
      <tp>
        <v>29</v>
        <stp/>
        <stp>VOLUME</stp>
        <stp>.SPY250829P575</stp>
        <tr r="P22" s="2"/>
        <tr r="P22" s="2"/>
      </tp>
      <tp>
        <v>71</v>
        <stp/>
        <stp>VOLUME</stp>
        <stp>.SPY250829C575</stp>
        <tr r="P22" s="2"/>
        <tr r="P22" s="2"/>
      </tp>
      <tp>
        <v>1</v>
        <stp/>
        <stp>VOLUME</stp>
        <stp>.SPY250829P574</stp>
        <tr r="P23" s="2"/>
        <tr r="P23" s="2"/>
      </tp>
      <tp>
        <v>3</v>
        <stp/>
        <stp>VOLUME</stp>
        <stp>.SPY250829C574</stp>
        <tr r="P23" s="2"/>
        <tr r="P23" s="2"/>
      </tp>
      <tp>
        <v>4</v>
        <stp/>
        <stp>VOLUME</stp>
        <stp>.SPY250829P573</stp>
        <tr r="P24" s="2"/>
        <tr r="P24" s="2"/>
      </tp>
      <tp>
        <v>1</v>
        <stp/>
        <stp>VOLUME</stp>
        <stp>.SPY250829C573</stp>
        <tr r="P24" s="2"/>
        <tr r="P24" s="2"/>
      </tp>
      <tp t="s">
        <v>N/A</v>
        <stp/>
        <stp>VOLUME</stp>
        <stp>.SPY250829P572</stp>
        <tr r="P25" s="2"/>
      </tp>
      <tp>
        <v>1</v>
        <stp/>
        <stp>VOLUME</stp>
        <stp>.SPY250829C572</stp>
        <tr r="P25" s="2"/>
        <tr r="P25" s="2"/>
      </tp>
      <tp>
        <v>3</v>
        <stp/>
        <stp>VOLUME</stp>
        <stp>.SPY250829P571</stp>
        <tr r="P26" s="2"/>
        <tr r="P26" s="2"/>
      </tp>
      <tp>
        <v>8</v>
        <stp/>
        <stp>VOLUME</stp>
        <stp>.SPY250829C571</stp>
        <tr r="P26" s="2"/>
        <tr r="P26" s="2"/>
      </tp>
      <tp>
        <v>459</v>
        <stp/>
        <stp>VOLUME</stp>
        <stp>.SPY250829P570</stp>
        <tr r="P27" s="2"/>
        <tr r="P27" s="2"/>
      </tp>
      <tp>
        <v>25</v>
        <stp/>
        <stp>VOLUME</stp>
        <stp>.SPY250829C570</stp>
        <tr r="P27" s="2"/>
        <tr r="P27" s="2"/>
      </tp>
      <tp>
        <v>11</v>
        <stp/>
        <stp>VOLUME</stp>
        <stp>.SPY250829P569</stp>
        <tr r="P28" s="2"/>
        <tr r="P28" s="2"/>
      </tp>
      <tp>
        <v>10</v>
        <stp/>
        <stp>VOLUME</stp>
        <stp>.SPY250829C569</stp>
        <tr r="P28" s="2"/>
        <tr r="P28" s="2"/>
      </tp>
      <tp>
        <v>32</v>
        <stp/>
        <stp>VOLUME</stp>
        <stp>.SPY250829P568</stp>
        <tr r="P29" s="2"/>
        <tr r="P29" s="2"/>
      </tp>
      <tp>
        <v>11</v>
        <stp/>
        <stp>VOLUME</stp>
        <stp>.SPY250829C568</stp>
        <tr r="P29" s="2"/>
        <tr r="P29" s="2"/>
      </tp>
      <tp>
        <v>16</v>
        <stp/>
        <stp>VOLUME</stp>
        <stp>.SPY250829P567</stp>
        <tr r="P30" s="2"/>
        <tr r="P30" s="2"/>
      </tp>
      <tp>
        <v>16</v>
        <stp/>
        <stp>VOLUME</stp>
        <stp>.SPY250829C567</stp>
        <tr r="P30" s="2"/>
        <tr r="P30" s="2"/>
      </tp>
      <tp>
        <v>13</v>
        <stp/>
        <stp>VOLUME</stp>
        <stp>.SPY250829P566</stp>
        <tr r="P31" s="2"/>
        <tr r="P31" s="2"/>
      </tp>
      <tp>
        <v>9</v>
        <stp/>
        <stp>VOLUME</stp>
        <stp>.SPY250829C566</stp>
        <tr r="P31" s="2"/>
        <tr r="P31" s="2"/>
      </tp>
      <tp>
        <v>30</v>
        <stp/>
        <stp>VOLUME</stp>
        <stp>.SPY250815P559</stp>
        <tr r="O38" s="2"/>
        <tr r="O38" s="2"/>
      </tp>
      <tp>
        <v>100</v>
        <stp/>
        <stp>VOLUME</stp>
        <stp>.SPY250829P565</stp>
        <tr r="P32" s="2"/>
        <tr r="P32" s="2"/>
      </tp>
      <tp>
        <v>11</v>
        <stp/>
        <stp>VOLUME</stp>
        <stp>.SPY250815C559</stp>
        <tr r="O38" s="2"/>
        <tr r="O38" s="2"/>
      </tp>
      <tp>
        <v>38</v>
        <stp/>
        <stp>VOLUME</stp>
        <stp>.SPY250829C565</stp>
        <tr r="P32" s="2"/>
        <tr r="P32" s="2"/>
      </tp>
      <tp>
        <v>7</v>
        <stp/>
        <stp>VOLUME</stp>
        <stp>.SPY250815P558</stp>
        <tr r="O39" s="2"/>
        <tr r="O39" s="2"/>
      </tp>
      <tp>
        <v>22</v>
        <stp/>
        <stp>VOLUME</stp>
        <stp>.SPY250829P564</stp>
        <tr r="P33" s="2"/>
        <tr r="P33" s="2"/>
      </tp>
      <tp>
        <v>1</v>
        <stp/>
        <stp>VOLUME</stp>
        <stp>.SPY250815C558</stp>
        <tr r="O39" s="2"/>
        <tr r="O39" s="2"/>
      </tp>
      <tp>
        <v>55</v>
        <stp/>
        <stp>VOLUME</stp>
        <stp>.SPY250829C564</stp>
        <tr r="P33" s="2"/>
        <tr r="P33" s="2"/>
      </tp>
      <tp>
        <v>19</v>
        <stp/>
        <stp>VOLUME</stp>
        <stp>.SPY250829P563</stp>
        <tr r="P34" s="2"/>
        <tr r="P34" s="2"/>
      </tp>
      <tp>
        <v>6</v>
        <stp/>
        <stp>VOLUME</stp>
        <stp>.SPY250829C563</stp>
        <tr r="P34" s="2"/>
        <tr r="P34" s="2"/>
      </tp>
      <tp t="s">
        <v>N/A</v>
        <stp/>
        <stp>VOLUME</stp>
        <stp>.SPY250829P562</stp>
        <tr r="P35" s="2"/>
      </tp>
      <tp>
        <v>1</v>
        <stp/>
        <stp>VOLUME</stp>
        <stp>.SPY250829C562</stp>
        <tr r="P35" s="2"/>
        <tr r="P35" s="2"/>
      </tp>
      <tp t="s">
        <v>N/A</v>
        <stp/>
        <stp>VOLUME</stp>
        <stp>.SPY250829P561</stp>
        <tr r="P36" s="2"/>
      </tp>
      <tp t="s">
        <v>N/A</v>
        <stp/>
        <stp>VOLUME</stp>
        <stp>.SPY250829C561</stp>
        <tr r="P36" s="2"/>
      </tp>
      <tp>
        <v>43</v>
        <stp/>
        <stp>VOLUME</stp>
        <stp>.SPY250829P560</stp>
        <tr r="P37" s="2"/>
        <tr r="P37" s="2"/>
      </tp>
      <tp>
        <v>13</v>
        <stp/>
        <stp>VOLUME</stp>
        <stp>.SPY250829C560</stp>
        <tr r="P37" s="2"/>
        <tr r="P37" s="2"/>
      </tp>
      <tp>
        <v>11</v>
        <stp/>
        <stp>VOLUME</stp>
        <stp>.SPY250815P563</stp>
        <tr r="O34" s="2"/>
        <tr r="O34" s="2"/>
      </tp>
      <tp>
        <v>17</v>
        <stp/>
        <stp>VOLUME</stp>
        <stp>.SPY250815C563</stp>
        <tr r="O34" s="2"/>
        <tr r="O34" s="2"/>
      </tp>
      <tp>
        <v>20</v>
        <stp/>
        <stp>VOLUME</stp>
        <stp>.SPY250815P562</stp>
        <tr r="O35" s="2"/>
        <tr r="O35" s="2"/>
      </tp>
      <tp>
        <v>9</v>
        <stp/>
        <stp>VOLUME</stp>
        <stp>.SPY250815C562</stp>
        <tr r="O35" s="2"/>
        <tr r="O35" s="2"/>
      </tp>
      <tp>
        <v>9</v>
        <stp/>
        <stp>VOLUME</stp>
        <stp>.SPY250815P561</stp>
        <tr r="O36" s="2"/>
        <tr r="O36" s="2"/>
      </tp>
      <tp t="s">
        <v>N/A</v>
        <stp/>
        <stp>VOLUME</stp>
        <stp>.SPY250815C561</stp>
        <tr r="O36" s="2"/>
      </tp>
      <tp>
        <v>7358</v>
        <stp/>
        <stp>VOLUME</stp>
        <stp>.SPY250815P560</stp>
        <tr r="O37" s="2"/>
        <tr r="O37" s="2"/>
      </tp>
      <tp>
        <v>310</v>
        <stp/>
        <stp>VOLUME</stp>
        <stp>.SPY250815C560</stp>
        <tr r="O37" s="2"/>
        <tr r="O37" s="2"/>
      </tp>
      <tp>
        <v>53</v>
        <stp/>
        <stp>VOLUME</stp>
        <stp>.SPY250815P567</stp>
        <tr r="O30" s="2"/>
        <tr r="O30" s="2"/>
      </tp>
      <tp>
        <v>10</v>
        <stp/>
        <stp>VOLUME</stp>
        <stp>.SPY250815C567</stp>
        <tr r="O30" s="2"/>
        <tr r="O30" s="2"/>
      </tp>
      <tp>
        <v>2597</v>
        <stp/>
        <stp>VOLUME</stp>
        <stp>.SPY250815P566</stp>
        <tr r="O31" s="2"/>
        <tr r="O31" s="2"/>
      </tp>
      <tp>
        <v>42</v>
        <stp/>
        <stp>VOLUME</stp>
        <stp>.SPY250815C566</stp>
        <tr r="O31" s="2"/>
        <tr r="O31" s="2"/>
      </tp>
      <tp>
        <v>157</v>
        <stp/>
        <stp>VOLUME</stp>
        <stp>.SPY250815P565</stp>
        <tr r="O32" s="2"/>
        <tr r="O32" s="2"/>
      </tp>
      <tp>
        <v>1</v>
        <stp/>
        <stp>VOLUME</stp>
        <stp>.SPY250829P559</stp>
        <tr r="P38" s="2"/>
        <tr r="P38" s="2"/>
      </tp>
      <tp>
        <v>156</v>
        <stp/>
        <stp>VOLUME</stp>
        <stp>.SPY250815C565</stp>
        <tr r="O32" s="2"/>
        <tr r="O32" s="2"/>
      </tp>
      <tp t="s">
        <v>N/A</v>
        <stp/>
        <stp>VOLUME</stp>
        <stp>.SPY250829C559</stp>
        <tr r="P38" s="2"/>
      </tp>
      <tp>
        <v>46</v>
        <stp/>
        <stp>VOLUME</stp>
        <stp>.SPY250815P564</stp>
        <tr r="O33" s="2"/>
        <tr r="O33" s="2"/>
      </tp>
      <tp>
        <v>6</v>
        <stp/>
        <stp>VOLUME</stp>
        <stp>.SPY250829P558</stp>
        <tr r="P39" s="2"/>
        <tr r="P39" s="2"/>
      </tp>
      <tp>
        <v>9</v>
        <stp/>
        <stp>VOLUME</stp>
        <stp>.SPY250815C564</stp>
        <tr r="O33" s="2"/>
        <tr r="O33" s="2"/>
      </tp>
      <tp>
        <v>5</v>
        <stp/>
        <stp>VOLUME</stp>
        <stp>.SPY250829C558</stp>
        <tr r="P39" s="2"/>
        <tr r="P39" s="2"/>
      </tp>
      <tp>
        <v>40</v>
        <stp/>
        <stp>VOLUME</stp>
        <stp>.SPY250815P569</stp>
        <tr r="O28" s="2"/>
        <tr r="O28" s="2"/>
      </tp>
      <tp>
        <v>16</v>
        <stp/>
        <stp>VOLUME</stp>
        <stp>.SPY250815C569</stp>
        <tr r="O28" s="2"/>
        <tr r="O28" s="2"/>
      </tp>
      <tp>
        <v>103</v>
        <stp/>
        <stp>VOLUME</stp>
        <stp>.SPY250815P568</stp>
        <tr r="O29" s="2"/>
        <tr r="O29" s="2"/>
      </tp>
      <tp>
        <v>22</v>
        <stp/>
        <stp>VOLUME</stp>
        <stp>.SPY250815C568</stp>
        <tr r="O29" s="2"/>
        <tr r="O29" s="2"/>
      </tp>
      <tp>
        <v>8</v>
        <stp/>
        <stp>VOLUME</stp>
        <stp>.SPY250815P573</stp>
        <tr r="O24" s="2"/>
        <tr r="O24" s="2"/>
      </tp>
      <tp>
        <v>9</v>
        <stp/>
        <stp>VOLUME</stp>
        <stp>.SPY250815C573</stp>
        <tr r="O24" s="2"/>
        <tr r="O24" s="2"/>
      </tp>
      <tp>
        <v>143</v>
        <stp/>
        <stp>VOLUME</stp>
        <stp>.SPY250815P572</stp>
        <tr r="O25" s="2"/>
        <tr r="O25" s="2"/>
      </tp>
      <tp>
        <v>26</v>
        <stp/>
        <stp>VOLUME</stp>
        <stp>.SPY250815C572</stp>
        <tr r="O25" s="2"/>
        <tr r="O25" s="2"/>
      </tp>
      <tp>
        <v>9</v>
        <stp/>
        <stp>VOLUME</stp>
        <stp>.SPY250815P571</stp>
        <tr r="O26" s="2"/>
        <tr r="O26" s="2"/>
      </tp>
      <tp>
        <v>23</v>
        <stp/>
        <stp>VOLUME</stp>
        <stp>.SPY250815C571</stp>
        <tr r="O26" s="2"/>
        <tr r="O26" s="2"/>
      </tp>
      <tp>
        <v>1203</v>
        <stp/>
        <stp>VOLUME</stp>
        <stp>.SPY250815P570</stp>
        <tr r="O27" s="2"/>
        <tr r="O27" s="2"/>
      </tp>
      <tp>
        <v>136</v>
        <stp/>
        <stp>VOLUME</stp>
        <stp>.SPY250815C570</stp>
        <tr r="O27" s="2"/>
        <tr r="O27" s="2"/>
      </tp>
      <tp>
        <v>101</v>
        <stp/>
        <stp>VOLUME</stp>
        <stp>.SPY250815P577</stp>
        <tr r="O20" s="2"/>
        <tr r="O20" s="2"/>
      </tp>
      <tp>
        <v>7</v>
        <stp/>
        <stp>VOLUME</stp>
        <stp>.SPY250815C577</stp>
        <tr r="O20" s="2"/>
        <tr r="O20" s="2"/>
      </tp>
      <tp>
        <v>114</v>
        <stp/>
        <stp>VOLUME</stp>
        <stp>.SPY250815P576</stp>
        <tr r="O21" s="2"/>
        <tr r="O21" s="2"/>
      </tp>
      <tp>
        <v>31</v>
        <stp/>
        <stp>VOLUME</stp>
        <stp>.SPY250815C576</stp>
        <tr r="O21" s="2"/>
        <tr r="O21" s="2"/>
      </tp>
      <tp>
        <v>6259</v>
        <stp/>
        <stp>VOLUME</stp>
        <stp>.SPY250815P575</stp>
        <tr r="O22" s="2"/>
        <tr r="O22" s="2"/>
      </tp>
      <tp>
        <v>196</v>
        <stp/>
        <stp>VOLUME</stp>
        <stp>.SPY250815C575</stp>
        <tr r="O22" s="2"/>
        <tr r="O22" s="2"/>
      </tp>
      <tp>
        <v>1</v>
        <stp/>
        <stp>VOLUME</stp>
        <stp>.SPY250815P574</stp>
        <tr r="O23" s="2"/>
        <tr r="O23" s="2"/>
      </tp>
      <tp>
        <v>20</v>
        <stp/>
        <stp>VOLUME</stp>
        <stp>.SPY250815C574</stp>
        <tr r="O23" s="2"/>
        <tr r="O23" s="2"/>
      </tp>
      <tp>
        <v>189</v>
        <stp/>
        <stp>VOLUME</stp>
        <stp>.SPY250815P579</stp>
        <tr r="O18" s="2"/>
        <tr r="O18" s="2"/>
      </tp>
      <tp>
        <v>216</v>
        <stp/>
        <stp>VOLUME</stp>
        <stp>.SPY250815C579</stp>
        <tr r="O18" s="2"/>
        <tr r="O18" s="2"/>
      </tp>
      <tp>
        <v>111</v>
        <stp/>
        <stp>VOLUME</stp>
        <stp>.SPY250815P578</stp>
        <tr r="O19" s="2"/>
        <tr r="O19" s="2"/>
      </tp>
      <tp>
        <v>236</v>
        <stp/>
        <stp>VOLUME</stp>
        <stp>.SPY250815C578</stp>
        <tr r="O19" s="2"/>
        <tr r="O19" s="2"/>
      </tp>
      <tp>
        <v>-1</v>
        <stp/>
        <stp>DELTA</stp>
        <stp>.SPXW250512P5890</stp>
        <tr r="CE98" s="1"/>
        <tr r="CE98" s="1"/>
      </tp>
      <tp>
        <v>0</v>
        <stp/>
        <stp>DELTA</stp>
        <stp>.SPXW250512C5890</stp>
        <tr r="CD98" s="1"/>
        <tr r="CD98" s="1"/>
      </tp>
      <tp>
        <v>-1</v>
        <stp/>
        <stp>DELTA</stp>
        <stp>.SPXW250512P5880</stp>
        <tr r="CE99" s="1"/>
        <tr r="CE99" s="1"/>
      </tp>
      <tp>
        <v>0.01</v>
        <stp/>
        <stp>DELTA</stp>
        <stp>.SPXW250512C5880</stp>
        <tr r="CD99" s="1"/>
        <tr r="CD99" s="1"/>
      </tp>
      <tp>
        <v>-0.01</v>
        <stp/>
        <stp>DELTA</stp>
        <stp>.SPXW250512P5810</stp>
        <tr r="CE106" s="1"/>
        <tr r="CE106" s="1"/>
      </tp>
      <tp>
        <v>0.98</v>
        <stp/>
        <stp>DELTA</stp>
        <stp>.SPXW250512C5810</stp>
        <tr r="CD106" s="1"/>
        <tr r="CD106" s="1"/>
      </tp>
      <tp>
        <v>0</v>
        <stp/>
        <stp>DELTA</stp>
        <stp>.SPXW250512P5800</stp>
        <tr r="CE107" s="1"/>
        <tr r="CE107" s="1"/>
      </tp>
      <tp>
        <v>0.98</v>
        <stp/>
        <stp>DELTA</stp>
        <stp>.SPXW250512C5800</stp>
        <tr r="CD107" s="1"/>
        <tr r="CD107" s="1"/>
      </tp>
      <tp>
        <v>-0.01</v>
        <stp/>
        <stp>DELTA</stp>
        <stp>.SPXW250512P5830</stp>
        <tr r="CE104" s="1"/>
        <tr r="CE104" s="1"/>
      </tp>
      <tp>
        <v>0.89</v>
        <stp/>
        <stp>DELTA</stp>
        <stp>.SPXW250512C5830</stp>
        <tr r="CD104" s="1"/>
        <tr r="CD104" s="1"/>
      </tp>
      <tp>
        <v>-0.01</v>
        <stp/>
        <stp>DELTA</stp>
        <stp>.SPXW250512P5820</stp>
        <tr r="CE105" s="1"/>
        <tr r="CE105" s="1"/>
      </tp>
      <tp>
        <v>0.9</v>
        <stp/>
        <stp>DELTA</stp>
        <stp>.SPXW250512C5820</stp>
        <tr r="CD105" s="1"/>
        <tr r="CD105" s="1"/>
      </tp>
      <tp>
        <v>-1</v>
        <stp/>
        <stp>DELTA</stp>
        <stp>.SPXW250512P5850</stp>
        <tr r="CE102" s="1"/>
        <tr r="CE102" s="1"/>
      </tp>
      <tp>
        <v>0.02</v>
        <stp/>
        <stp>DELTA</stp>
        <stp>.SPXW250512C5850</stp>
        <tr r="CD102" s="1"/>
        <tr r="CD102" s="1"/>
      </tp>
      <tp>
        <v>-0.03</v>
        <stp/>
        <stp>DELTA</stp>
        <stp>.SPXW250512P5840</stp>
        <tr r="CE103" s="1"/>
        <tr r="CE103" s="1"/>
      </tp>
      <tp>
        <v>0.93</v>
        <stp/>
        <stp>DELTA</stp>
        <stp>.SPXW250512C5840</stp>
        <tr r="CD103" s="1"/>
        <tr r="CD103" s="1"/>
      </tp>
      <tp>
        <v>-0.96</v>
        <stp/>
        <stp>DELTA</stp>
        <stp>.SPXW250512P5870</stp>
        <tr r="CE100" s="1"/>
        <tr r="CE100" s="1"/>
      </tp>
      <tp>
        <v>0.01</v>
        <stp/>
        <stp>DELTA</stp>
        <stp>.SPXW250512C5870</stp>
        <tr r="CD100" s="1"/>
        <tr r="CD100" s="1"/>
      </tp>
      <tp>
        <v>-1</v>
        <stp/>
        <stp>DELTA</stp>
        <stp>.SPXW250512P5860</stp>
        <tr r="CE101" s="1"/>
        <tr r="CE101" s="1"/>
      </tp>
      <tp>
        <v>0.01</v>
        <stp/>
        <stp>DELTA</stp>
        <stp>.SPXW250512C5860</stp>
        <tr r="CD101" s="1"/>
        <tr r="CD101" s="1"/>
      </tp>
      <tp>
        <v>15285</v>
        <stp/>
        <stp>VOLUME</stp>
        <stp>.SPX250516C5800</stp>
        <tr r="BC107" s="1"/>
        <tr r="BC107" s="1"/>
      </tp>
      <tp>
        <v>6</v>
        <stp/>
        <stp>VOLUME</stp>
        <stp>.SPX250815C5830</stp>
        <tr r="O105" s="2"/>
        <tr r="O105" s="2"/>
      </tp>
      <tp t="s">
        <v>N/A</v>
        <stp/>
        <stp>VOLUME</stp>
        <stp>.SPX251017C5810</stp>
        <tr r="S107" s="2"/>
      </tp>
      <tp t="s">
        <v>N/A</v>
        <stp/>
        <stp>VOLUME</stp>
        <stp>.SPX251017P5810</stp>
        <tr r="S107" s="2"/>
      </tp>
      <tp>
        <v>13647</v>
        <stp/>
        <stp>VOLUME</stp>
        <stp>.SPX250516P5800</stp>
        <tr r="BD107" s="1"/>
        <tr r="BD107" s="1"/>
      </tp>
      <tp>
        <v>3</v>
        <stp/>
        <stp>VOLUME</stp>
        <stp>.SPX250815P5830</stp>
        <tr r="O105" s="2"/>
        <tr r="O105" s="2"/>
      </tp>
      <tp>
        <v>849</v>
        <stp/>
        <stp>VOLUME</stp>
        <stp>.SPX250516C5810</stp>
        <tr r="BC106" s="1"/>
        <tr r="BC106" s="1"/>
      </tp>
      <tp t="s">
        <v>N/A</v>
        <stp/>
        <stp>VOLUME</stp>
        <stp>.SPX250815C5820</stp>
        <tr r="O106" s="2"/>
      </tp>
      <tp>
        <v>149</v>
        <stp/>
        <stp>VOLUME</stp>
        <stp>.SPX251017C5800</stp>
        <tr r="S108" s="2"/>
        <tr r="S108" s="2"/>
      </tp>
      <tp>
        <v>619</v>
        <stp/>
        <stp>VOLUME</stp>
        <stp>.SPX251017P5800</stp>
        <tr r="S108" s="2"/>
        <tr r="S108" s="2"/>
      </tp>
      <tp>
        <v>873</v>
        <stp/>
        <stp>VOLUME</stp>
        <stp>.SPX250516P5810</stp>
        <tr r="BD106" s="1"/>
        <tr r="BD106" s="1"/>
      </tp>
      <tp t="s">
        <v>N/A</v>
        <stp/>
        <stp>VOLUME</stp>
        <stp>.SPX250815P5820</stp>
        <tr r="O106" s="2"/>
      </tp>
      <tp>
        <v>866</v>
        <stp/>
        <stp>VOLUME</stp>
        <stp>.SPX250516C5820</stp>
        <tr r="BC105" s="1"/>
        <tr r="BC105" s="1"/>
      </tp>
      <tp t="s">
        <v>N/A</v>
        <stp/>
        <stp>VOLUME</stp>
        <stp>.SPX250815C5810</stp>
        <tr r="O107" s="2"/>
      </tp>
      <tp t="s">
        <v>N/A</v>
        <stp/>
        <stp>VOLUME</stp>
        <stp>.SPX251017C5830</stp>
        <tr r="S105" s="2"/>
      </tp>
      <tp t="s">
        <v>N/A</v>
        <stp/>
        <stp>VOLUME</stp>
        <stp>.SPX251017P5830</stp>
        <tr r="S105" s="2"/>
      </tp>
      <tp>
        <v>303</v>
        <stp/>
        <stp>VOLUME</stp>
        <stp>.SPX250516P5820</stp>
        <tr r="BD105" s="1"/>
        <tr r="BD105" s="1"/>
      </tp>
      <tp>
        <v>3</v>
        <stp/>
        <stp>VOLUME</stp>
        <stp>.SPX250815P5810</stp>
        <tr r="O107" s="2"/>
        <tr r="O107" s="2"/>
      </tp>
      <tp>
        <v>406</v>
        <stp/>
        <stp>VOLUME</stp>
        <stp>.SPX250516C5830</stp>
        <tr r="BC104" s="1"/>
        <tr r="BC104" s="1"/>
      </tp>
      <tp>
        <v>265</v>
        <stp/>
        <stp>VOLUME</stp>
        <stp>.SPX250815C5800</stp>
        <tr r="O108" s="2"/>
        <tr r="O108" s="2"/>
      </tp>
      <tp t="s">
        <v>N/A</v>
        <stp/>
        <stp>VOLUME</stp>
        <stp>.SPX251017C5820</stp>
        <tr r="S106" s="2"/>
      </tp>
      <tp t="s">
        <v>N/A</v>
        <stp/>
        <stp>VOLUME</stp>
        <stp>.SPX251017P5820</stp>
        <tr r="S106" s="2"/>
      </tp>
      <tp>
        <v>156</v>
        <stp/>
        <stp>VOLUME</stp>
        <stp>.SPX250516P5830</stp>
        <tr r="BD104" s="1"/>
        <tr r="BD104" s="1"/>
      </tp>
      <tp>
        <v>198</v>
        <stp/>
        <stp>VOLUME</stp>
        <stp>.SPX250815P5800</stp>
        <tr r="O108" s="2"/>
        <tr r="O108" s="2"/>
      </tp>
      <tp>
        <v>245</v>
        <stp/>
        <stp>VOLUME</stp>
        <stp>.SPX250516C5840</stp>
        <tr r="BC103" s="1"/>
        <tr r="BC103" s="1"/>
      </tp>
      <tp t="s">
        <v>N/A</v>
        <stp/>
        <stp>VOLUME</stp>
        <stp>.SPX250815C5870</stp>
        <tr r="O101" s="2"/>
      </tp>
      <tp>
        <v>108</v>
        <stp/>
        <stp>VOLUME</stp>
        <stp>.SPX251017C5850</stp>
        <tr r="S103" s="2"/>
        <tr r="S103" s="2"/>
      </tp>
      <tp>
        <v>43</v>
        <stp/>
        <stp>VOLUME</stp>
        <stp>.SPX251017P5850</stp>
        <tr r="S103" s="2"/>
        <tr r="S103" s="2"/>
      </tp>
      <tp>
        <v>53</v>
        <stp/>
        <stp>VOLUME</stp>
        <stp>.SPX250516P5840</stp>
        <tr r="BD103" s="1"/>
        <tr r="BD103" s="1"/>
      </tp>
      <tp t="s">
        <v>N/A</v>
        <stp/>
        <stp>VOLUME</stp>
        <stp>.SPX250815P5870</stp>
        <tr r="O101" s="2"/>
      </tp>
      <tp>
        <v>5357</v>
        <stp/>
        <stp>VOLUME</stp>
        <stp>.SPX250516C5850</stp>
        <tr r="BC102" s="1"/>
        <tr r="BC102" s="1"/>
      </tp>
      <tp t="s">
        <v>N/A</v>
        <stp/>
        <stp>VOLUME</stp>
        <stp>.SPX250815C5860</stp>
        <tr r="O102" s="2"/>
      </tp>
      <tp t="s">
        <v>N/A</v>
        <stp/>
        <stp>VOLUME</stp>
        <stp>.SPX251017C5840</stp>
        <tr r="S104" s="2"/>
      </tp>
      <tp t="s">
        <v>N/A</v>
        <stp/>
        <stp>VOLUME</stp>
        <stp>.SPX251017P5840</stp>
        <tr r="S104" s="2"/>
      </tp>
      <tp>
        <v>4111</v>
        <stp/>
        <stp>VOLUME</stp>
        <stp>.SPX250516P5850</stp>
        <tr r="BD102" s="1"/>
        <tr r="BD102" s="1"/>
      </tp>
      <tp t="s">
        <v>N/A</v>
        <stp/>
        <stp>VOLUME</stp>
        <stp>.SPX250815P5860</stp>
        <tr r="O102" s="2"/>
      </tp>
      <tp>
        <v>192</v>
        <stp/>
        <stp>VOLUME</stp>
        <stp>.SPX250718C5880</stp>
        <tr r="M100" s="2"/>
        <tr r="M100" s="2"/>
      </tp>
      <tp>
        <v>682</v>
        <stp/>
        <stp>VOLUME</stp>
        <stp>.SPX250516C5860</stp>
        <tr r="BC101" s="1"/>
        <tr r="BC101" s="1"/>
      </tp>
      <tp>
        <v>24</v>
        <stp/>
        <stp>VOLUME</stp>
        <stp>.SPX250919C5890</stp>
        <tr r="Q99" s="2"/>
        <tr r="Q99" s="2"/>
      </tp>
      <tp>
        <v>83</v>
        <stp/>
        <stp>VOLUME</stp>
        <stp>.SPX250815C5850</stp>
        <tr r="O103" s="2"/>
        <tr r="O103" s="2"/>
      </tp>
      <tp t="s">
        <v>N/A</v>
        <stp/>
        <stp>VOLUME</stp>
        <stp>.SPX251219C5890</stp>
        <tr r="W99" s="2"/>
      </tp>
      <tp t="s">
        <v>N/A</v>
        <stp/>
        <stp>VOLUME</stp>
        <stp>.SPX251017C5870</stp>
        <tr r="S101" s="2"/>
      </tp>
      <tp t="s">
        <v>N/A</v>
        <stp/>
        <stp>VOLUME</stp>
        <stp>.SPX251219P5890</stp>
        <tr r="W99" s="2"/>
      </tp>
      <tp t="s">
        <v>N/A</v>
        <stp/>
        <stp>VOLUME</stp>
        <stp>.SPX251017P5870</stp>
        <tr r="S101" s="2"/>
      </tp>
      <tp>
        <v>212</v>
        <stp/>
        <stp>VOLUME</stp>
        <stp>.SPX250718P5880</stp>
        <tr r="M100" s="2"/>
        <tr r="M100" s="2"/>
      </tp>
      <tp>
        <v>57</v>
        <stp/>
        <stp>VOLUME</stp>
        <stp>.SPX250516P5860</stp>
        <tr r="BD101" s="1"/>
        <tr r="BD101" s="1"/>
      </tp>
      <tp>
        <v>4</v>
        <stp/>
        <stp>VOLUME</stp>
        <stp>.SPX250919P5890</stp>
        <tr r="Q99" s="2"/>
        <tr r="Q99" s="2"/>
      </tp>
      <tp>
        <v>9</v>
        <stp/>
        <stp>VOLUME</stp>
        <stp>.SPX250815P5850</stp>
        <tr r="O103" s="2"/>
        <tr r="O103" s="2"/>
      </tp>
      <tp>
        <v>24</v>
        <stp/>
        <stp>VOLUME</stp>
        <stp>.SPX250718C5890</stp>
        <tr r="M99" s="2"/>
        <tr r="M99" s="2"/>
      </tp>
      <tp>
        <v>136</v>
        <stp/>
        <stp>VOLUME</stp>
        <stp>.SPX250516C5870</stp>
        <tr r="BC100" s="1"/>
        <tr r="BC100" s="1"/>
      </tp>
      <tp>
        <v>20</v>
        <stp/>
        <stp>VOLUME</stp>
        <stp>.SPX250919C5880</stp>
        <tr r="Q100" s="2"/>
        <tr r="Q100" s="2"/>
      </tp>
      <tp t="s">
        <v>N/A</v>
        <stp/>
        <stp>VOLUME</stp>
        <stp>.SPX250815C5840</stp>
        <tr r="O104" s="2"/>
      </tp>
      <tp t="s">
        <v>N/A</v>
        <stp/>
        <stp>VOLUME</stp>
        <stp>.SPX251219C5880</stp>
        <tr r="W100" s="2"/>
      </tp>
      <tp t="s">
        <v>N/A</v>
        <stp/>
        <stp>VOLUME</stp>
        <stp>.SPX251017C5860</stp>
        <tr r="S102" s="2"/>
      </tp>
      <tp t="s">
        <v>N/A</v>
        <stp/>
        <stp>VOLUME</stp>
        <stp>.SPX251219P5880</stp>
        <tr r="W100" s="2"/>
      </tp>
      <tp t="s">
        <v>N/A</v>
        <stp/>
        <stp>VOLUME</stp>
        <stp>.SPX251017P5860</stp>
        <tr r="S102" s="2"/>
      </tp>
      <tp>
        <v>99</v>
        <stp/>
        <stp>VOLUME</stp>
        <stp>.SPX250718P5890</stp>
        <tr r="M99" s="2"/>
        <tr r="M99" s="2"/>
      </tp>
      <tp>
        <v>2</v>
        <stp/>
        <stp>VOLUME</stp>
        <stp>.SPX250516P5870</stp>
        <tr r="BD100" s="1"/>
        <tr r="BD100" s="1"/>
      </tp>
      <tp t="s">
        <v>N/A</v>
        <stp/>
        <stp>VOLUME</stp>
        <stp>.SPX250919P5880</stp>
        <tr r="Q100" s="2"/>
      </tp>
      <tp t="s">
        <v>N/A</v>
        <stp/>
        <stp>VOLUME</stp>
        <stp>.SPX250815P5840</stp>
        <tr r="O104" s="2"/>
      </tp>
      <tp>
        <v>329</v>
        <stp/>
        <stp>VOLUME</stp>
        <stp>.SPX250718C5860</stp>
        <tr r="M102" s="2"/>
        <tr r="M102" s="2"/>
      </tp>
      <tp>
        <v>569</v>
        <stp/>
        <stp>VOLUME</stp>
        <stp>.SPX250516C5880</stp>
        <tr r="BC99" s="1"/>
        <tr r="BC99" s="1"/>
      </tp>
      <tp t="s">
        <v>N/A</v>
        <stp/>
        <stp>VOLUME</stp>
        <stp>.SPX250919C5870</stp>
        <tr r="Q101" s="2"/>
      </tp>
      <tp t="s">
        <v>N/A</v>
        <stp/>
        <stp>VOLUME</stp>
        <stp>.SPX251219C5870</stp>
        <tr r="W101" s="2"/>
      </tp>
      <tp t="s">
        <v>N/A</v>
        <stp/>
        <stp>VOLUME</stp>
        <stp>.SPX251017C5890</stp>
        <tr r="S99" s="2"/>
      </tp>
      <tp t="s">
        <v>N/A</v>
        <stp/>
        <stp>VOLUME</stp>
        <stp>.SPX251219P5870</stp>
        <tr r="W101" s="2"/>
      </tp>
      <tp t="s">
        <v>N/A</v>
        <stp/>
        <stp>VOLUME</stp>
        <stp>.SPX251017P5890</stp>
        <tr r="S99" s="2"/>
      </tp>
      <tp>
        <v>405</v>
        <stp/>
        <stp>VOLUME</stp>
        <stp>.SPX250718P5860</stp>
        <tr r="M102" s="2"/>
        <tr r="M102" s="2"/>
      </tp>
      <tp>
        <v>10</v>
        <stp/>
        <stp>VOLUME</stp>
        <stp>.SPX250516P5880</stp>
        <tr r="BD99" s="1"/>
        <tr r="BD99" s="1"/>
      </tp>
      <tp t="s">
        <v>N/A</v>
        <stp/>
        <stp>VOLUME</stp>
        <stp>.SPX250919P5870</stp>
        <tr r="Q101" s="2"/>
      </tp>
      <tp>
        <v>81</v>
        <stp/>
        <stp>VOLUME</stp>
        <stp>.SPX250718C5870</stp>
        <tr r="M101" s="2"/>
        <tr r="M101" s="2"/>
      </tp>
      <tp>
        <v>213</v>
        <stp/>
        <stp>VOLUME</stp>
        <stp>.SPX250516C5890</stp>
        <tr r="BC98" s="1"/>
        <tr r="BC98" s="1"/>
      </tp>
      <tp>
        <v>7</v>
        <stp/>
        <stp>VOLUME</stp>
        <stp>.SPX250919C5860</stp>
        <tr r="Q102" s="2"/>
        <tr r="Q102" s="2"/>
      </tp>
      <tp t="s">
        <v>N/A</v>
        <stp/>
        <stp>VOLUME</stp>
        <stp>.SPX251219C5860</stp>
        <tr r="W102" s="2"/>
      </tp>
      <tp t="s">
        <v>N/A</v>
        <stp/>
        <stp>VOLUME</stp>
        <stp>.SPX251017C5880</stp>
        <tr r="S100" s="2"/>
      </tp>
      <tp t="s">
        <v>N/A</v>
        <stp/>
        <stp>VOLUME</stp>
        <stp>.SPX251219P5860</stp>
        <tr r="W102" s="2"/>
      </tp>
      <tp t="s">
        <v>N/A</v>
        <stp/>
        <stp>VOLUME</stp>
        <stp>.SPX251017P5880</stp>
        <tr r="S100" s="2"/>
      </tp>
      <tp>
        <v>225</v>
        <stp/>
        <stp>VOLUME</stp>
        <stp>.SPX250718P5870</stp>
        <tr r="M101" s="2"/>
        <tr r="M101" s="2"/>
      </tp>
      <tp>
        <v>9</v>
        <stp/>
        <stp>VOLUME</stp>
        <stp>.SPX250516P5890</stp>
        <tr r="BD98" s="1"/>
        <tr r="BD98" s="1"/>
      </tp>
      <tp>
        <v>2</v>
        <stp/>
        <stp>VOLUME</stp>
        <stp>.SPX250919P5860</stp>
        <tr r="Q102" s="2"/>
        <tr r="Q102" s="2"/>
      </tp>
      <tp>
        <v>191</v>
        <stp/>
        <stp>VOLUME</stp>
        <stp>.SPX250718C5840</stp>
        <tr r="M104" s="2"/>
        <tr r="M104" s="2"/>
      </tp>
      <tp>
        <v>619</v>
        <stp/>
        <stp>VOLUME</stp>
        <stp>.SPX250919C5850</stp>
        <tr r="Q103" s="2"/>
        <tr r="Q103" s="2"/>
      </tp>
      <tp>
        <v>68</v>
        <stp/>
        <stp>VOLUME</stp>
        <stp>.SPX250815C5890</stp>
        <tr r="O99" s="2"/>
        <tr r="O99" s="2"/>
      </tp>
      <tp>
        <v>201</v>
        <stp/>
        <stp>VOLUME</stp>
        <stp>.SPX251219C5850</stp>
        <tr r="W103" s="2"/>
        <tr r="W103" s="2"/>
      </tp>
      <tp>
        <v>284</v>
        <stp/>
        <stp>VOLUME</stp>
        <stp>.SPX251219P5850</stp>
        <tr r="W103" s="2"/>
        <tr r="W103" s="2"/>
      </tp>
      <tp>
        <v>183</v>
        <stp/>
        <stp>VOLUME</stp>
        <stp>.SPX250718P5840</stp>
        <tr r="M104" s="2"/>
        <tr r="M104" s="2"/>
      </tp>
      <tp>
        <v>488</v>
        <stp/>
        <stp>VOLUME</stp>
        <stp>.SPX250919P5850</stp>
        <tr r="Q103" s="2"/>
        <tr r="Q103" s="2"/>
      </tp>
      <tp t="s">
        <v>N/A</v>
        <stp/>
        <stp>VOLUME</stp>
        <stp>.SPX250815P5890</stp>
        <tr r="O99" s="2"/>
      </tp>
      <tp>
        <v>678</v>
        <stp/>
        <stp>VOLUME</stp>
        <stp>.SPX250718C5850</stp>
        <tr r="M103" s="2"/>
        <tr r="M103" s="2"/>
      </tp>
      <tp t="s">
        <v>N/A</v>
        <stp/>
        <stp>VOLUME</stp>
        <stp>.SPX250919C5840</stp>
        <tr r="Q104" s="2"/>
      </tp>
      <tp>
        <v>53</v>
        <stp/>
        <stp>VOLUME</stp>
        <stp>.SPX250815C5880</stp>
        <tr r="O100" s="2"/>
        <tr r="O100" s="2"/>
      </tp>
      <tp t="s">
        <v>N/A</v>
        <stp/>
        <stp>VOLUME</stp>
        <stp>.SPX251219C5840</stp>
        <tr r="W104" s="2"/>
      </tp>
      <tp t="s">
        <v>N/A</v>
        <stp/>
        <stp>VOLUME</stp>
        <stp>.SPX251219P5840</stp>
        <tr r="W104" s="2"/>
      </tp>
      <tp>
        <v>1263</v>
        <stp/>
        <stp>VOLUME</stp>
        <stp>.SPX250718P5850</stp>
        <tr r="M103" s="2"/>
        <tr r="M103" s="2"/>
      </tp>
      <tp>
        <v>96</v>
        <stp/>
        <stp>VOLUME</stp>
        <stp>.SPX250919P5840</stp>
        <tr r="Q104" s="2"/>
        <tr r="Q104" s="2"/>
      </tp>
      <tp>
        <v>63</v>
        <stp/>
        <stp>VOLUME</stp>
        <stp>.SPX250815P5880</stp>
        <tr r="O100" s="2"/>
        <tr r="O100" s="2"/>
      </tp>
      <tp>
        <v>89</v>
        <stp/>
        <stp>VOLUME</stp>
        <stp>.SPX250718C5820</stp>
        <tr r="M106" s="2"/>
        <tr r="M106" s="2"/>
      </tp>
      <tp>
        <v>2</v>
        <stp/>
        <stp>VOLUME</stp>
        <stp>.SPX250919C5830</stp>
        <tr r="Q105" s="2"/>
        <tr r="Q105" s="2"/>
      </tp>
      <tp t="s">
        <v>N/A</v>
        <stp/>
        <stp>VOLUME</stp>
        <stp>.SPX251219C5830</stp>
        <tr r="W105" s="2"/>
      </tp>
      <tp t="s">
        <v>N/A</v>
        <stp/>
        <stp>VOLUME</stp>
        <stp>.SPX251219P5830</stp>
        <tr r="W105" s="2"/>
      </tp>
      <tp>
        <v>101</v>
        <stp/>
        <stp>VOLUME</stp>
        <stp>.SPX250718P5820</stp>
        <tr r="M106" s="2"/>
        <tr r="M106" s="2"/>
      </tp>
      <tp>
        <v>1</v>
        <stp/>
        <stp>VOLUME</stp>
        <stp>.SPX250919P5830</stp>
        <tr r="Q105" s="2"/>
        <tr r="Q105" s="2"/>
      </tp>
      <tp>
        <v>14</v>
        <stp/>
        <stp>VOLUME</stp>
        <stp>.SPX250718C5830</stp>
        <tr r="M105" s="2"/>
        <tr r="M105" s="2"/>
      </tp>
      <tp>
        <v>2</v>
        <stp/>
        <stp>VOLUME</stp>
        <stp>.SPX250919C5820</stp>
        <tr r="Q106" s="2"/>
        <tr r="Q106" s="2"/>
      </tp>
      <tp t="s">
        <v>N/A</v>
        <stp/>
        <stp>VOLUME</stp>
        <stp>.SPX251219C5820</stp>
        <tr r="W106" s="2"/>
      </tp>
      <tp t="s">
        <v>N/A</v>
        <stp/>
        <stp>VOLUME</stp>
        <stp>.SPX251219P5820</stp>
        <tr r="W106" s="2"/>
      </tp>
      <tp>
        <v>49</v>
        <stp/>
        <stp>VOLUME</stp>
        <stp>.SPX250718P5830</stp>
        <tr r="M105" s="2"/>
        <tr r="M105" s="2"/>
      </tp>
      <tp>
        <v>3</v>
        <stp/>
        <stp>VOLUME</stp>
        <stp>.SPX250919P5820</stp>
        <tr r="Q106" s="2"/>
        <tr r="Q106" s="2"/>
      </tp>
      <tp>
        <v>2188</v>
        <stp/>
        <stp>VOLUME</stp>
        <stp>.SPX250718C5800</stp>
        <tr r="M108" s="2"/>
        <tr r="M108" s="2"/>
      </tp>
      <tp>
        <v>450</v>
        <stp/>
        <stp>VOLUME</stp>
        <stp>.SPX250919C5810</stp>
        <tr r="Q107" s="2"/>
        <tr r="Q107" s="2"/>
      </tp>
      <tp t="s">
        <v>N/A</v>
        <stp/>
        <stp>VOLUME</stp>
        <stp>.SPX251219C5810</stp>
        <tr r="W107" s="2"/>
      </tp>
      <tp t="s">
        <v>N/A</v>
        <stp/>
        <stp>VOLUME</stp>
        <stp>.SPX251219P5810</stp>
        <tr r="W107" s="2"/>
      </tp>
      <tp>
        <v>2568</v>
        <stp/>
        <stp>VOLUME</stp>
        <stp>.SPX250718P5800</stp>
        <tr r="M108" s="2"/>
        <tr r="M108" s="2"/>
      </tp>
      <tp>
        <v>462</v>
        <stp/>
        <stp>VOLUME</stp>
        <stp>.SPX250919P5810</stp>
        <tr r="Q107" s="2"/>
        <tr r="Q107" s="2"/>
      </tp>
      <tp>
        <v>17</v>
        <stp/>
        <stp>VOLUME</stp>
        <stp>.SPX250718C5810</stp>
        <tr r="M107" s="2"/>
        <tr r="M107" s="2"/>
      </tp>
      <tp>
        <v>2038</v>
        <stp/>
        <stp>VOLUME</stp>
        <stp>.SPX250919C5800</stp>
        <tr r="Q108" s="2"/>
        <tr r="Q108" s="2"/>
      </tp>
      <tp>
        <v>1472</v>
        <stp/>
        <stp>VOLUME</stp>
        <stp>.SPX251219C5800</stp>
        <tr r="W108" s="2"/>
        <tr r="W108" s="2"/>
      </tp>
      <tp>
        <v>1819</v>
        <stp/>
        <stp>VOLUME</stp>
        <stp>.SPX251219P5800</stp>
        <tr r="W108" s="2"/>
        <tr r="W108" s="2"/>
      </tp>
      <tp>
        <v>48</v>
        <stp/>
        <stp>VOLUME</stp>
        <stp>.SPX250718P5810</stp>
        <tr r="M107" s="2"/>
        <tr r="M107" s="2"/>
      </tp>
      <tp>
        <v>2596</v>
        <stp/>
        <stp>VOLUME</stp>
        <stp>.SPX250919P5800</stp>
        <tr r="Q108" s="2"/>
        <tr r="Q108" s="2"/>
      </tp>
      <tp>
        <v>7198</v>
        <stp/>
        <stp>VOLUME</stp>
        <stp>.SPX250516C5900</stp>
        <tr r="BC97" s="1"/>
        <tr r="BC97" s="1"/>
      </tp>
      <tp t="s">
        <v>N/A</v>
        <stp/>
        <stp>VOLUME</stp>
        <stp>.SPX250815C5930</stp>
        <tr r="O95" s="2"/>
      </tp>
      <tp t="s">
        <v>N/A</v>
        <stp/>
        <stp>VOLUME</stp>
        <stp>.SPX251017C5910</stp>
        <tr r="S97" s="2"/>
      </tp>
      <tp t="s">
        <v>N/A</v>
        <stp/>
        <stp>VOLUME</stp>
        <stp>.SPX251017P5910</stp>
        <tr r="S97" s="2"/>
      </tp>
      <tp>
        <v>703</v>
        <stp/>
        <stp>VOLUME</stp>
        <stp>.SPX250516P5900</stp>
        <tr r="BD97" s="1"/>
        <tr r="BD97" s="1"/>
      </tp>
      <tp t="s">
        <v>N/A</v>
        <stp/>
        <stp>VOLUME</stp>
        <stp>.SPX250815P5930</stp>
        <tr r="O95" s="2"/>
      </tp>
      <tp>
        <v>207</v>
        <stp/>
        <stp>VOLUME</stp>
        <stp>.SPX250516C5910</stp>
        <tr r="BC96" s="1"/>
        <tr r="BC96" s="1"/>
      </tp>
      <tp>
        <v>3</v>
        <stp/>
        <stp>VOLUME</stp>
        <stp>.SPX250815C5920</stp>
        <tr r="O96" s="2"/>
        <tr r="O96" s="2"/>
      </tp>
      <tp>
        <v>87</v>
        <stp/>
        <stp>VOLUME</stp>
        <stp>.SPX251017C5900</stp>
        <tr r="S98" s="2"/>
        <tr r="S98" s="2"/>
      </tp>
      <tp>
        <v>96</v>
        <stp/>
        <stp>VOLUME</stp>
        <stp>.SPX251017P5900</stp>
        <tr r="S98" s="2"/>
        <tr r="S98" s="2"/>
      </tp>
      <tp>
        <v>9</v>
        <stp/>
        <stp>VOLUME</stp>
        <stp>.SPX250516P5910</stp>
        <tr r="BD96" s="1"/>
        <tr r="BD96" s="1"/>
      </tp>
      <tp>
        <v>3</v>
        <stp/>
        <stp>VOLUME</stp>
        <stp>.SPX250815P5920</stp>
        <tr r="O96" s="2"/>
        <tr r="O96" s="2"/>
      </tp>
      <tp>
        <v>73</v>
        <stp/>
        <stp>VOLUME</stp>
        <stp>.SPX250516C5920</stp>
        <tr r="BC95" s="1"/>
        <tr r="BC95" s="1"/>
      </tp>
      <tp t="s">
        <v>N/A</v>
        <stp/>
        <stp>VOLUME</stp>
        <stp>.SPX250815C5910</stp>
        <tr r="O97" s="2"/>
      </tp>
      <tp t="s">
        <v>N/A</v>
        <stp/>
        <stp>VOLUME</stp>
        <stp>.SPX251017C5930</stp>
        <tr r="S95" s="2"/>
      </tp>
      <tp t="s">
        <v>N/A</v>
        <stp/>
        <stp>VOLUME</stp>
        <stp>.SPX251017P5930</stp>
        <tr r="S95" s="2"/>
      </tp>
      <tp t="s">
        <v>N/A</v>
        <stp/>
        <stp>VOLUME</stp>
        <stp>.SPX250516P5920</stp>
        <tr r="BD95" s="1"/>
      </tp>
      <tp>
        <v>1</v>
        <stp/>
        <stp>VOLUME</stp>
        <stp>.SPX250815P5910</stp>
        <tr r="O97" s="2"/>
        <tr r="O97" s="2"/>
      </tp>
      <tp>
        <v>268</v>
        <stp/>
        <stp>VOLUME</stp>
        <stp>.SPX250516C5930</stp>
        <tr r="BC94" s="1"/>
        <tr r="BC94" s="1"/>
      </tp>
      <tp>
        <v>454</v>
        <stp/>
        <stp>VOLUME</stp>
        <stp>.SPX250815C5900</stp>
        <tr r="O98" s="2"/>
        <tr r="O98" s="2"/>
      </tp>
      <tp t="s">
        <v>N/A</v>
        <stp/>
        <stp>VOLUME</stp>
        <stp>.SPX251017C5920</stp>
        <tr r="S96" s="2"/>
      </tp>
      <tp t="s">
        <v>N/A</v>
        <stp/>
        <stp>VOLUME</stp>
        <stp>.SPX251017P5920</stp>
        <tr r="S96" s="2"/>
      </tp>
      <tp t="s">
        <v>N/A</v>
        <stp/>
        <stp>VOLUME</stp>
        <stp>.SPX250516P5930</stp>
        <tr r="BD94" s="1"/>
      </tp>
      <tp>
        <v>13</v>
        <stp/>
        <stp>VOLUME</stp>
        <stp>.SPX250815P5900</stp>
        <tr r="O98" s="2"/>
        <tr r="O98" s="2"/>
      </tp>
      <tp>
        <v>29</v>
        <stp/>
        <stp>VOLUME</stp>
        <stp>.SPX250516C5940</stp>
        <tr r="BC93" s="1"/>
        <tr r="BC93" s="1"/>
      </tp>
      <tp>
        <v>1</v>
        <stp/>
        <stp>VOLUME</stp>
        <stp>.SPX250815C5970</stp>
        <tr r="O91" s="2"/>
        <tr r="O91" s="2"/>
      </tp>
      <tp>
        <v>43</v>
        <stp/>
        <stp>VOLUME</stp>
        <stp>.SPX251017C5950</stp>
        <tr r="S93" s="2"/>
        <tr r="S93" s="2"/>
      </tp>
      <tp>
        <v>15</v>
        <stp/>
        <stp>VOLUME</stp>
        <stp>.SPX251017P5950</stp>
        <tr r="S93" s="2"/>
        <tr r="S93" s="2"/>
      </tp>
      <tp>
        <v>4</v>
        <stp/>
        <stp>VOLUME</stp>
        <stp>.SPX250516P5940</stp>
        <tr r="BD93" s="1"/>
        <tr r="BD93" s="1"/>
      </tp>
      <tp t="s">
        <v>N/A</v>
        <stp/>
        <stp>VOLUME</stp>
        <stp>.SPX250815P5970</stp>
        <tr r="O91" s="2"/>
      </tp>
      <tp>
        <v>6434</v>
        <stp/>
        <stp>VOLUME</stp>
        <stp>.SPX250516C5950</stp>
        <tr r="BC92" s="1"/>
        <tr r="BC92" s="1"/>
      </tp>
      <tp t="s">
        <v>N/A</v>
        <stp/>
        <stp>VOLUME</stp>
        <stp>.SPX250815C5960</stp>
        <tr r="O92" s="2"/>
      </tp>
      <tp t="s">
        <v>N/A</v>
        <stp/>
        <stp>VOLUME</stp>
        <stp>.SPX251017C5940</stp>
        <tr r="S94" s="2"/>
      </tp>
      <tp t="s">
        <v>N/A</v>
        <stp/>
        <stp>VOLUME</stp>
        <stp>.SPX251017P5940</stp>
        <tr r="S94" s="2"/>
      </tp>
      <tp>
        <v>4</v>
        <stp/>
        <stp>VOLUME</stp>
        <stp>.SPX250516P5950</stp>
        <tr r="BD92" s="1"/>
        <tr r="BD92" s="1"/>
      </tp>
      <tp t="s">
        <v>N/A</v>
        <stp/>
        <stp>VOLUME</stp>
        <stp>.SPX250815P5960</stp>
        <tr r="O92" s="2"/>
      </tp>
      <tp>
        <v>120</v>
        <stp/>
        <stp>VOLUME</stp>
        <stp>.SPX250718C5980</stp>
        <tr r="M90" s="2"/>
        <tr r="M90" s="2"/>
      </tp>
      <tp>
        <v>399</v>
        <stp/>
        <stp>VOLUME</stp>
        <stp>.SPX250516C5960</stp>
        <tr r="BC91" s="1"/>
        <tr r="BC91" s="1"/>
      </tp>
      <tp t="s">
        <v>N/A</v>
        <stp/>
        <stp>VOLUME</stp>
        <stp>.SPX250919C5990</stp>
        <tr r="Q89" s="2"/>
      </tp>
      <tp>
        <v>552</v>
        <stp/>
        <stp>VOLUME</stp>
        <stp>.SPX250815C5950</stp>
        <tr r="O93" s="2"/>
        <tr r="O93" s="2"/>
      </tp>
      <tp t="s">
        <v>N/A</v>
        <stp/>
        <stp>VOLUME</stp>
        <stp>.SPX251219C5990</stp>
        <tr r="W89" s="2"/>
      </tp>
      <tp t="s">
        <v>N/A</v>
        <stp/>
        <stp>VOLUME</stp>
        <stp>.SPX251017C5970</stp>
        <tr r="S91" s="2"/>
      </tp>
      <tp t="s">
        <v>N/A</v>
        <stp/>
        <stp>VOLUME</stp>
        <stp>.SPX251219P5990</stp>
        <tr r="W89" s="2"/>
      </tp>
      <tp t="s">
        <v>N/A</v>
        <stp/>
        <stp>VOLUME</stp>
        <stp>.SPX251017P5970</stp>
        <tr r="S91" s="2"/>
      </tp>
      <tp t="s">
        <v>N/A</v>
        <stp/>
        <stp>VOLUME</stp>
        <stp>.SPX250718P5980</stp>
        <tr r="M90" s="2"/>
      </tp>
      <tp t="s">
        <v>N/A</v>
        <stp/>
        <stp>VOLUME</stp>
        <stp>.SPX250516P5960</stp>
        <tr r="BD91" s="1"/>
      </tp>
      <tp t="s">
        <v>N/A</v>
        <stp/>
        <stp>VOLUME</stp>
        <stp>.SPX250919P5990</stp>
        <tr r="Q89" s="2"/>
      </tp>
      <tp t="s">
        <v>N/A</v>
        <stp/>
        <stp>VOLUME</stp>
        <stp>.SPX250815P5950</stp>
        <tr r="O93" s="2"/>
      </tp>
      <tp>
        <v>4</v>
        <stp/>
        <stp>VOLUME</stp>
        <stp>.SPX250718C5990</stp>
        <tr r="M89" s="2"/>
        <tr r="M89" s="2"/>
      </tp>
      <tp>
        <v>224</v>
        <stp/>
        <stp>VOLUME</stp>
        <stp>.SPX250516C5970</stp>
        <tr r="BC90" s="1"/>
        <tr r="BC90" s="1"/>
      </tp>
      <tp t="s">
        <v>N/A</v>
        <stp/>
        <stp>VOLUME</stp>
        <stp>.SPX250919C5980</stp>
        <tr r="Q90" s="2"/>
      </tp>
      <tp t="s">
        <v>N/A</v>
        <stp/>
        <stp>VOLUME</stp>
        <stp>.SPX250815C5940</stp>
        <tr r="O94" s="2"/>
      </tp>
      <tp t="s">
        <v>N/A</v>
        <stp/>
        <stp>VOLUME</stp>
        <stp>.SPX251219C5980</stp>
        <tr r="W90" s="2"/>
      </tp>
      <tp t="s">
        <v>N/A</v>
        <stp/>
        <stp>VOLUME</stp>
        <stp>.SPX251017C5960</stp>
        <tr r="S92" s="2"/>
      </tp>
      <tp t="s">
        <v>N/A</v>
        <stp/>
        <stp>VOLUME</stp>
        <stp>.SPX251219P5980</stp>
        <tr r="W90" s="2"/>
      </tp>
      <tp t="s">
        <v>N/A</v>
        <stp/>
        <stp>VOLUME</stp>
        <stp>.SPX251017P5960</stp>
        <tr r="S92" s="2"/>
      </tp>
      <tp t="s">
        <v>N/A</v>
        <stp/>
        <stp>VOLUME</stp>
        <stp>.SPX250718P5990</stp>
        <tr r="M89" s="2"/>
      </tp>
      <tp>
        <v>3</v>
        <stp/>
        <stp>VOLUME</stp>
        <stp>.SPX250516P5970</stp>
        <tr r="BD90" s="1"/>
        <tr r="BD90" s="1"/>
      </tp>
      <tp t="s">
        <v>N/A</v>
        <stp/>
        <stp>VOLUME</stp>
        <stp>.SPX250919P5980</stp>
        <tr r="Q90" s="2"/>
      </tp>
      <tp t="s">
        <v>N/A</v>
        <stp/>
        <stp>VOLUME</stp>
        <stp>.SPX250815P5940</stp>
        <tr r="O94" s="2"/>
      </tp>
      <tp t="s">
        <v>N/A</v>
        <stp/>
        <stp>VOLUME</stp>
        <stp>.SPX250718C5960</stp>
        <tr r="M92" s="2"/>
      </tp>
      <tp>
        <v>90</v>
        <stp/>
        <stp>VOLUME</stp>
        <stp>.SPX250516C5980</stp>
        <tr r="BC89" s="1"/>
        <tr r="BC89" s="1"/>
      </tp>
      <tp t="s">
        <v>N/A</v>
        <stp/>
        <stp>VOLUME</stp>
        <stp>.SPX250919C5970</stp>
        <tr r="Q91" s="2"/>
      </tp>
      <tp t="s">
        <v>N/A</v>
        <stp/>
        <stp>VOLUME</stp>
        <stp>.SPX251219C5970</stp>
        <tr r="W91" s="2"/>
      </tp>
      <tp t="s">
        <v>N/A</v>
        <stp/>
        <stp>VOLUME</stp>
        <stp>.SPX251017C5990</stp>
        <tr r="S89" s="2"/>
      </tp>
      <tp t="s">
        <v>N/A</v>
        <stp/>
        <stp>VOLUME</stp>
        <stp>.SPX251219P5970</stp>
        <tr r="W91" s="2"/>
      </tp>
      <tp t="s">
        <v>N/A</v>
        <stp/>
        <stp>VOLUME</stp>
        <stp>.SPX251017P5990</stp>
        <tr r="S89" s="2"/>
      </tp>
      <tp t="s">
        <v>N/A</v>
        <stp/>
        <stp>VOLUME</stp>
        <stp>.SPX250718P5960</stp>
        <tr r="M92" s="2"/>
      </tp>
      <tp t="s">
        <v>N/A</v>
        <stp/>
        <stp>VOLUME</stp>
        <stp>.SPX250516P5980</stp>
        <tr r="BD89" s="1"/>
      </tp>
      <tp>
        <v>5</v>
        <stp/>
        <stp>VOLUME</stp>
        <stp>.SPX250919P5970</stp>
        <tr r="Q91" s="2"/>
        <tr r="Q91" s="2"/>
      </tp>
      <tp t="s">
        <v>N/A</v>
        <stp/>
        <stp>VOLUME</stp>
        <stp>.SPX250718C5970</stp>
        <tr r="M91" s="2"/>
      </tp>
      <tp>
        <v>49</v>
        <stp/>
        <stp>VOLUME</stp>
        <stp>.SPX250516C5990</stp>
        <tr r="BC88" s="1"/>
        <tr r="BC88" s="1"/>
      </tp>
      <tp t="s">
        <v>N/A</v>
        <stp/>
        <stp>VOLUME</stp>
        <stp>.SPX250919C5960</stp>
        <tr r="Q92" s="2"/>
      </tp>
      <tp t="s">
        <v>N/A</v>
        <stp/>
        <stp>VOLUME</stp>
        <stp>.SPX251219C5960</stp>
        <tr r="W92" s="2"/>
      </tp>
      <tp t="s">
        <v>N/A</v>
        <stp/>
        <stp>VOLUME</stp>
        <stp>.SPX251017C5980</stp>
        <tr r="S90" s="2"/>
      </tp>
      <tp t="s">
        <v>N/A</v>
        <stp/>
        <stp>VOLUME</stp>
        <stp>.SPX251219P5960</stp>
        <tr r="W92" s="2"/>
      </tp>
      <tp t="s">
        <v>N/A</v>
        <stp/>
        <stp>VOLUME</stp>
        <stp>.SPX251017P5980</stp>
        <tr r="S90" s="2"/>
      </tp>
      <tp>
        <v>1</v>
        <stp/>
        <stp>VOLUME</stp>
        <stp>.SPX250718P5970</stp>
        <tr r="M91" s="2"/>
        <tr r="M91" s="2"/>
      </tp>
      <tp t="s">
        <v>N/A</v>
        <stp/>
        <stp>VOLUME</stp>
        <stp>.SPX250516P5990</stp>
        <tr r="BD88" s="1"/>
      </tp>
      <tp t="s">
        <v>N/A</v>
        <stp/>
        <stp>VOLUME</stp>
        <stp>.SPX250919P5960</stp>
        <tr r="Q92" s="2"/>
      </tp>
      <tp t="s">
        <v>N/A</v>
        <stp/>
        <stp>VOLUME</stp>
        <stp>.SPX250718C5940</stp>
        <tr r="M94" s="2"/>
      </tp>
      <tp>
        <v>64</v>
        <stp/>
        <stp>VOLUME</stp>
        <stp>.SPX250919C5950</stp>
        <tr r="Q93" s="2"/>
        <tr r="Q93" s="2"/>
      </tp>
      <tp t="s">
        <v>N/A</v>
        <stp/>
        <stp>VOLUME</stp>
        <stp>.SPX250815C5990</stp>
        <tr r="O89" s="2"/>
      </tp>
      <tp>
        <v>101</v>
        <stp/>
        <stp>VOLUME</stp>
        <stp>.SPX251219C5950</stp>
        <tr r="W93" s="2"/>
        <tr r="W93" s="2"/>
      </tp>
      <tp>
        <v>356</v>
        <stp/>
        <stp>VOLUME</stp>
        <stp>.SPX251219P5950</stp>
        <tr r="W93" s="2"/>
        <tr r="W93" s="2"/>
      </tp>
      <tp>
        <v>5</v>
        <stp/>
        <stp>VOLUME</stp>
        <stp>.SPX250718P5940</stp>
        <tr r="M94" s="2"/>
        <tr r="M94" s="2"/>
      </tp>
      <tp>
        <v>22</v>
        <stp/>
        <stp>VOLUME</stp>
        <stp>.SPX250919P5950</stp>
        <tr r="Q93" s="2"/>
        <tr r="Q93" s="2"/>
      </tp>
      <tp t="s">
        <v>N/A</v>
        <stp/>
        <stp>VOLUME</stp>
        <stp>.SPX250815P5990</stp>
        <tr r="O89" s="2"/>
      </tp>
      <tp>
        <v>642</v>
        <stp/>
        <stp>VOLUME</stp>
        <stp>.SPX250718C5950</stp>
        <tr r="M93" s="2"/>
        <tr r="M93" s="2"/>
      </tp>
      <tp t="s">
        <v>N/A</v>
        <stp/>
        <stp>VOLUME</stp>
        <stp>.SPX250919C5940</stp>
        <tr r="Q94" s="2"/>
      </tp>
      <tp t="s">
        <v>N/A</v>
        <stp/>
        <stp>VOLUME</stp>
        <stp>.SPX250815C5980</stp>
        <tr r="O90" s="2"/>
      </tp>
      <tp t="s">
        <v>N/A</v>
        <stp/>
        <stp>VOLUME</stp>
        <stp>.SPX251219C5940</stp>
        <tr r="W94" s="2"/>
      </tp>
      <tp t="s">
        <v>N/A</v>
        <stp/>
        <stp>VOLUME</stp>
        <stp>.SPX251219P5940</stp>
        <tr r="W94" s="2"/>
      </tp>
      <tp>
        <v>2</v>
        <stp/>
        <stp>VOLUME</stp>
        <stp>.SPX250718P5950</stp>
        <tr r="M93" s="2"/>
        <tr r="M93" s="2"/>
      </tp>
      <tp t="s">
        <v>N/A</v>
        <stp/>
        <stp>VOLUME</stp>
        <stp>.SPX250919P5940</stp>
        <tr r="Q94" s="2"/>
      </tp>
      <tp t="s">
        <v>N/A</v>
        <stp/>
        <stp>VOLUME</stp>
        <stp>.SPX250815P5980</stp>
        <tr r="O90" s="2"/>
      </tp>
      <tp t="s">
        <v>N/A</v>
        <stp/>
        <stp>VOLUME</stp>
        <stp>.SPX250718C5920</stp>
        <tr r="M96" s="2"/>
      </tp>
      <tp t="s">
        <v>N/A</v>
        <stp/>
        <stp>VOLUME</stp>
        <stp>.SPX250919C5930</stp>
        <tr r="Q95" s="2"/>
      </tp>
      <tp t="s">
        <v>N/A</v>
        <stp/>
        <stp>VOLUME</stp>
        <stp>.SPX251219C5930</stp>
        <tr r="W95" s="2"/>
      </tp>
      <tp t="s">
        <v>N/A</v>
        <stp/>
        <stp>VOLUME</stp>
        <stp>.SPX251219P5930</stp>
        <tr r="W95" s="2"/>
      </tp>
      <tp>
        <v>1</v>
        <stp/>
        <stp>VOLUME</stp>
        <stp>.SPX250718P5920</stp>
        <tr r="M96" s="2"/>
        <tr r="M96" s="2"/>
      </tp>
      <tp t="s">
        <v>N/A</v>
        <stp/>
        <stp>VOLUME</stp>
        <stp>.SPX250919P5930</stp>
        <tr r="Q95" s="2"/>
      </tp>
      <tp t="s">
        <v>N/A</v>
        <stp/>
        <stp>VOLUME</stp>
        <stp>.SPX250718C5930</stp>
        <tr r="M95" s="2"/>
      </tp>
      <tp>
        <v>10</v>
        <stp/>
        <stp>VOLUME</stp>
        <stp>.SPX250919C5920</stp>
        <tr r="Q96" s="2"/>
        <tr r="Q96" s="2"/>
      </tp>
      <tp t="s">
        <v>N/A</v>
        <stp/>
        <stp>VOLUME</stp>
        <stp>.SPX251219C5920</stp>
        <tr r="W96" s="2"/>
      </tp>
      <tp t="s">
        <v>N/A</v>
        <stp/>
        <stp>VOLUME</stp>
        <stp>.SPX251219P5920</stp>
        <tr r="W96" s="2"/>
      </tp>
      <tp t="s">
        <v>N/A</v>
        <stp/>
        <stp>VOLUME</stp>
        <stp>.SPX250718P5930</stp>
        <tr r="M95" s="2"/>
      </tp>
      <tp t="s">
        <v>N/A</v>
        <stp/>
        <stp>VOLUME</stp>
        <stp>.SPX250919P5920</stp>
        <tr r="Q96" s="2"/>
      </tp>
      <tp>
        <v>739</v>
        <stp/>
        <stp>VOLUME</stp>
        <stp>.SPX250718C5900</stp>
        <tr r="M98" s="2"/>
        <tr r="M98" s="2"/>
      </tp>
      <tp>
        <v>26</v>
        <stp/>
        <stp>VOLUME</stp>
        <stp>.SPX250919C5910</stp>
        <tr r="Q97" s="2"/>
        <tr r="Q97" s="2"/>
      </tp>
      <tp t="s">
        <v>N/A</v>
        <stp/>
        <stp>VOLUME</stp>
        <stp>.SPX251219C5910</stp>
        <tr r="W97" s="2"/>
      </tp>
      <tp t="s">
        <v>N/A</v>
        <stp/>
        <stp>VOLUME</stp>
        <stp>.SPX251219P5910</stp>
        <tr r="W97" s="2"/>
      </tp>
      <tp>
        <v>842</v>
        <stp/>
        <stp>VOLUME</stp>
        <stp>.SPX250718P5900</stp>
        <tr r="M98" s="2"/>
        <tr r="M98" s="2"/>
      </tp>
      <tp t="s">
        <v>N/A</v>
        <stp/>
        <stp>VOLUME</stp>
        <stp>.SPX250919P5910</stp>
        <tr r="Q97" s="2"/>
      </tp>
      <tp>
        <v>32</v>
        <stp/>
        <stp>VOLUME</stp>
        <stp>.SPX250718C5910</stp>
        <tr r="M97" s="2"/>
        <tr r="M97" s="2"/>
      </tp>
      <tp>
        <v>412</v>
        <stp/>
        <stp>VOLUME</stp>
        <stp>.SPX250919C5900</stp>
        <tr r="Q98" s="2"/>
        <tr r="Q98" s="2"/>
      </tp>
      <tp>
        <v>125</v>
        <stp/>
        <stp>VOLUME</stp>
        <stp>.SPX251219C5900</stp>
        <tr r="W98" s="2"/>
        <tr r="W98" s="2"/>
      </tp>
      <tp>
        <v>14</v>
        <stp/>
        <stp>VOLUME</stp>
        <stp>.SPX251219P5900</stp>
        <tr r="W98" s="2"/>
        <tr r="W98" s="2"/>
      </tp>
      <tp>
        <v>10</v>
        <stp/>
        <stp>VOLUME</stp>
        <stp>.SPX250718P5910</stp>
        <tr r="M97" s="2"/>
        <tr r="M97" s="2"/>
      </tp>
      <tp>
        <v>289</v>
        <stp/>
        <stp>VOLUME</stp>
        <stp>.SPX250919P5900</stp>
        <tr r="Q98" s="2"/>
        <tr r="Q98" s="2"/>
      </tp>
      <tp t="s">
        <v>20.82%</v>
        <stp/>
        <stp>IMPL_VOL</stp>
        <stp>.NDX250516C20900</stp>
        <tr r="EN155" s="1"/>
      </tp>
      <tp t="s">
        <v>20.78%</v>
        <stp/>
        <stp>IMPL_VOL</stp>
        <stp>.NDX250516C20925</stp>
        <tr r="EN154" s="1"/>
      </tp>
      <tp t="s">
        <v>20.77%</v>
        <stp/>
        <stp>IMPL_VOL</stp>
        <stp>.NDX250516C20950</stp>
        <tr r="EN153" s="1"/>
      </tp>
      <tp t="s">
        <v>20.72%</v>
        <stp/>
        <stp>IMPL_VOL</stp>
        <stp>.NDX250516C20975</stp>
        <tr r="EN152" s="1"/>
      </tp>
      <tp t="s">
        <v>22.85%</v>
        <stp/>
        <stp>IMPL_VOL</stp>
        <stp>.NDX250516P20925</stp>
        <tr r="EO154" s="1"/>
      </tp>
      <tp t="s">
        <v>22.86%</v>
        <stp/>
        <stp>IMPL_VOL</stp>
        <stp>.NDX250516P20900</stp>
        <tr r="EO155" s="1"/>
      </tp>
      <tp t="s">
        <v>22.85%</v>
        <stp/>
        <stp>IMPL_VOL</stp>
        <stp>.NDX250516P20975</stp>
        <tr r="EO152" s="1"/>
      </tp>
      <tp t="s">
        <v>22.84%</v>
        <stp/>
        <stp>IMPL_VOL</stp>
        <stp>.NDX250516P20950</stp>
        <tr r="EO153" s="1"/>
      </tp>
      <tp t="s">
        <v>N/A</v>
        <stp/>
        <stp>VOLUME</stp>
        <stp>.SPX250620C5960</stp>
        <tr r="BE91" s="1"/>
      </tp>
      <tp t="s">
        <v>N/A</v>
        <stp/>
        <stp>VOLUME</stp>
        <stp>.SPX250523C5950</stp>
        <tr r="H93" s="2"/>
      </tp>
      <tp t="s">
        <v>N/A</v>
        <stp/>
        <stp>VOLUME</stp>
        <stp>.SPX251121C5970</stp>
        <tr r="U91" s="2"/>
      </tp>
      <tp t="s">
        <v>N/A</v>
        <stp/>
        <stp>VOLUME</stp>
        <stp>.SPX251121P5970</stp>
        <tr r="U91" s="2"/>
      </tp>
      <tp>
        <v>2</v>
        <stp/>
        <stp>VOLUME</stp>
        <stp>.SPX250620P5960</stp>
        <tr r="BF91" s="1"/>
        <tr r="BF91" s="1"/>
      </tp>
      <tp t="s">
        <v>N/A</v>
        <stp/>
        <stp>VOLUME</stp>
        <stp>.SPX250523P5950</stp>
        <tr r="H93" s="2"/>
      </tp>
      <tp>
        <v>17</v>
        <stp/>
        <stp>VOLUME</stp>
        <stp>.SPX250620C5970</stp>
        <tr r="BE90" s="1"/>
        <tr r="BE90" s="1"/>
      </tp>
      <tp t="s">
        <v>N/A</v>
        <stp/>
        <stp>VOLUME</stp>
        <stp>.SPX250523C5940</stp>
        <tr r="H94" s="2"/>
      </tp>
      <tp t="s">
        <v>N/A</v>
        <stp/>
        <stp>VOLUME</stp>
        <stp>.SPX251121C5960</stp>
        <tr r="U92" s="2"/>
      </tp>
      <tp t="s">
        <v>N/A</v>
        <stp/>
        <stp>VOLUME</stp>
        <stp>.SPX251121P5960</stp>
        <tr r="U92" s="2"/>
      </tp>
      <tp t="s">
        <v>N/A</v>
        <stp/>
        <stp>VOLUME</stp>
        <stp>.SPX250620P5970</stp>
        <tr r="BF90" s="1"/>
      </tp>
      <tp t="s">
        <v>N/A</v>
        <stp/>
        <stp>VOLUME</stp>
        <stp>.SPX250523P5940</stp>
        <tr r="H94" s="2"/>
      </tp>
      <tp>
        <v>14</v>
        <stp/>
        <stp>VOLUME</stp>
        <stp>.SPX250620C5940</stp>
        <tr r="BE93" s="1"/>
        <tr r="BE93" s="1"/>
      </tp>
      <tp t="s">
        <v>N/A</v>
        <stp/>
        <stp>VOLUME</stp>
        <stp>.SPX250523C5970</stp>
        <tr r="H91" s="2"/>
      </tp>
      <tp>
        <v>35</v>
        <stp/>
        <stp>VOLUME</stp>
        <stp>.SPX251121C5950</stp>
        <tr r="U93" s="2"/>
        <tr r="U93" s="2"/>
      </tp>
      <tp>
        <v>35</v>
        <stp/>
        <stp>VOLUME</stp>
        <stp>.SPX251121P5950</stp>
        <tr r="U93" s="2"/>
        <tr r="U93" s="2"/>
      </tp>
      <tp>
        <v>23</v>
        <stp/>
        <stp>VOLUME</stp>
        <stp>.SPX250620P5940</stp>
        <tr r="BF93" s="1"/>
        <tr r="BF93" s="1"/>
      </tp>
      <tp t="s">
        <v>N/A</v>
        <stp/>
        <stp>VOLUME</stp>
        <stp>.SPX250523P5970</stp>
        <tr r="H91" s="2"/>
      </tp>
      <tp>
        <v>1524</v>
        <stp/>
        <stp>VOLUME</stp>
        <stp>.SPX250620C5950</stp>
        <tr r="BE92" s="1"/>
        <tr r="BE92" s="1"/>
      </tp>
      <tp t="s">
        <v>N/A</v>
        <stp/>
        <stp>VOLUME</stp>
        <stp>.SPX250523C5960</stp>
        <tr r="H92" s="2"/>
      </tp>
      <tp t="s">
        <v>N/A</v>
        <stp/>
        <stp>VOLUME</stp>
        <stp>.SPX251121C5940</stp>
        <tr r="U94" s="2"/>
      </tp>
      <tp t="s">
        <v>N/A</v>
        <stp/>
        <stp>VOLUME</stp>
        <stp>.SPX251121P5940</stp>
        <tr r="U94" s="2"/>
      </tp>
      <tp>
        <v>4</v>
        <stp/>
        <stp>VOLUME</stp>
        <stp>.SPX250620P5950</stp>
        <tr r="BF92" s="1"/>
        <tr r="BF92" s="1"/>
      </tp>
      <tp t="s">
        <v>N/A</v>
        <stp/>
        <stp>VOLUME</stp>
        <stp>.SPX250523P5960</stp>
        <tr r="H92" s="2"/>
      </tp>
      <tp>
        <v>10</v>
        <stp/>
        <stp>VOLUME</stp>
        <stp>.SPX250620C5920</stp>
        <tr r="BE95" s="1"/>
        <tr r="BE95" s="1"/>
      </tp>
      <tp t="s">
        <v>N/A</v>
        <stp/>
        <stp>VOLUME</stp>
        <stp>.SPX250523C5910</stp>
        <tr r="H97" s="2"/>
      </tp>
      <tp t="s">
        <v>N/A</v>
        <stp/>
        <stp>VOLUME</stp>
        <stp>.SPX251121C5930</stp>
        <tr r="U95" s="2"/>
      </tp>
      <tp t="s">
        <v>N/A</v>
        <stp/>
        <stp>VOLUME</stp>
        <stp>.SPX251121P5930</stp>
        <tr r="U95" s="2"/>
      </tp>
      <tp>
        <v>7</v>
        <stp/>
        <stp>VOLUME</stp>
        <stp>.SPX250620P5920</stp>
        <tr r="BF95" s="1"/>
        <tr r="BF95" s="1"/>
      </tp>
      <tp t="s">
        <v>N/A</v>
        <stp/>
        <stp>VOLUME</stp>
        <stp>.SPX250523P5910</stp>
        <tr r="H97" s="2"/>
      </tp>
      <tp>
        <v>7</v>
        <stp/>
        <stp>VOLUME</stp>
        <stp>.SPX250620C5930</stp>
        <tr r="BE94" s="1"/>
        <tr r="BE94" s="1"/>
      </tp>
      <tp t="s">
        <v>N/A</v>
        <stp/>
        <stp>VOLUME</stp>
        <stp>.SPX250523C5900</stp>
        <tr r="H98" s="2"/>
      </tp>
      <tp t="s">
        <v>N/A</v>
        <stp/>
        <stp>VOLUME</stp>
        <stp>.SPX251121C5920</stp>
        <tr r="U96" s="2"/>
      </tp>
      <tp t="s">
        <v>N/A</v>
        <stp/>
        <stp>VOLUME</stp>
        <stp>.SPX251121P5920</stp>
        <tr r="U96" s="2"/>
      </tp>
      <tp t="s">
        <v>N/A</v>
        <stp/>
        <stp>VOLUME</stp>
        <stp>.SPX250620P5930</stp>
        <tr r="BF94" s="1"/>
      </tp>
      <tp t="s">
        <v>N/A</v>
        <stp/>
        <stp>VOLUME</stp>
        <stp>.SPX250523P5900</stp>
        <tr r="H98" s="2"/>
      </tp>
      <tp>
        <v>4576</v>
        <stp/>
        <stp>VOLUME</stp>
        <stp>.SPX250620C5900</stp>
        <tr r="BE97" s="1"/>
        <tr r="BE97" s="1"/>
      </tp>
      <tp t="s">
        <v>N/A</v>
        <stp/>
        <stp>VOLUME</stp>
        <stp>.SPX250523C5930</stp>
        <tr r="H95" s="2"/>
      </tp>
      <tp t="s">
        <v>N/A</v>
        <stp/>
        <stp>VOLUME</stp>
        <stp>.SPX251121C5910</stp>
        <tr r="U97" s="2"/>
      </tp>
      <tp t="s">
        <v>N/A</v>
        <stp/>
        <stp>VOLUME</stp>
        <stp>.SPX251121P5910</stp>
        <tr r="U97" s="2"/>
      </tp>
      <tp>
        <v>940</v>
        <stp/>
        <stp>VOLUME</stp>
        <stp>.SPX250620P5900</stp>
        <tr r="BF97" s="1"/>
        <tr r="BF97" s="1"/>
      </tp>
      <tp t="s">
        <v>N/A</v>
        <stp/>
        <stp>VOLUME</stp>
        <stp>.SPX250523P5930</stp>
        <tr r="H95" s="2"/>
      </tp>
      <tp>
        <v>20</v>
        <stp/>
        <stp>VOLUME</stp>
        <stp>.SPX250620C5910</stp>
        <tr r="BE96" s="1"/>
        <tr r="BE96" s="1"/>
      </tp>
      <tp t="s">
        <v>N/A</v>
        <stp/>
        <stp>VOLUME</stp>
        <stp>.SPX250523C5920</stp>
        <tr r="H96" s="2"/>
      </tp>
      <tp>
        <v>76</v>
        <stp/>
        <stp>VOLUME</stp>
        <stp>.SPX251121C5900</stp>
        <tr r="U98" s="2"/>
        <tr r="U98" s="2"/>
      </tp>
      <tp>
        <v>760</v>
        <stp/>
        <stp>VOLUME</stp>
        <stp>.SPX251121P5900</stp>
        <tr r="U98" s="2"/>
        <tr r="U98" s="2"/>
      </tp>
      <tp>
        <v>6</v>
        <stp/>
        <stp>VOLUME</stp>
        <stp>.SPX250620P5910</stp>
        <tr r="BF96" s="1"/>
        <tr r="BF96" s="1"/>
      </tp>
      <tp t="s">
        <v>N/A</v>
        <stp/>
        <stp>VOLUME</stp>
        <stp>.SPX250523P5920</stp>
        <tr r="H96" s="2"/>
      </tp>
      <tp t="s">
        <v>N/A</v>
        <stp/>
        <stp>VOLUME</stp>
        <stp>.SPX250523C5990</stp>
        <tr r="H89" s="2"/>
      </tp>
      <tp t="s">
        <v>N/A</v>
        <stp/>
        <stp>VOLUME</stp>
        <stp>.SPX250523P5990</stp>
        <tr r="H89" s="2"/>
      </tp>
      <tp t="s">
        <v>N/A</v>
        <stp/>
        <stp>VOLUME</stp>
        <stp>.SPX250523C5980</stp>
        <tr r="H90" s="2"/>
      </tp>
      <tp t="s">
        <v>N/A</v>
        <stp/>
        <stp>VOLUME</stp>
        <stp>.SPX250523P5980</stp>
        <tr r="H90" s="2"/>
      </tp>
      <tp t="s">
        <v>N/A</v>
        <stp/>
        <stp>VOLUME</stp>
        <stp>.SPX250620C5980</stp>
        <tr r="BE89" s="1"/>
      </tp>
      <tp t="s">
        <v>N/A</v>
        <stp/>
        <stp>VOLUME</stp>
        <stp>.SPX251121C5990</stp>
        <tr r="U89" s="2"/>
      </tp>
      <tp t="s">
        <v>N/A</v>
        <stp/>
        <stp>VOLUME</stp>
        <stp>.SPX251121P5990</stp>
        <tr r="U89" s="2"/>
      </tp>
      <tp t="s">
        <v>N/A</v>
        <stp/>
        <stp>VOLUME</stp>
        <stp>.SPX250620P5980</stp>
        <tr r="BF89" s="1"/>
      </tp>
      <tp>
        <v>102</v>
        <stp/>
        <stp>VOLUME</stp>
        <stp>.SPX250620C5990</stp>
        <tr r="BE88" s="1"/>
        <tr r="BE88" s="1"/>
      </tp>
      <tp t="s">
        <v>N/A</v>
        <stp/>
        <stp>VOLUME</stp>
        <stp>.SPX251121C5980</stp>
        <tr r="U90" s="2"/>
      </tp>
      <tp t="s">
        <v>N/A</v>
        <stp/>
        <stp>VOLUME</stp>
        <stp>.SPX251121P5980</stp>
        <tr r="U90" s="2"/>
      </tp>
      <tp>
        <v>3</v>
        <stp/>
        <stp>VOLUME</stp>
        <stp>.SPX250620P5990</stp>
        <tr r="BF88" s="1"/>
        <tr r="BF88" s="1"/>
      </tp>
      <tp t="s">
        <v>N/A</v>
        <stp/>
        <stp>OPEN_INT</stp>
        <stp>.SPXW250512C6020</stp>
        <tr r="AS85" s="1"/>
      </tp>
      <tp t="s">
        <v>N/A</v>
        <stp/>
        <stp>OPEN_INT</stp>
        <stp>.SPXW250512P6020</stp>
        <tr r="AT85" s="1"/>
      </tp>
      <tp t="s">
        <v>N/A</v>
        <stp/>
        <stp>OPEN_INT</stp>
        <stp>.SPXW250512C6010</stp>
        <tr r="AS86" s="1"/>
      </tp>
      <tp t="s">
        <v>N/A</v>
        <stp/>
        <stp>OPEN_INT</stp>
        <stp>.SPXW250512P6010</stp>
        <tr r="AT86" s="1"/>
      </tp>
      <tp>
        <v>4967</v>
        <stp/>
        <stp>OPEN_INT</stp>
        <stp>.SPXW250512C6000</stp>
        <tr r="AS87" s="1"/>
        <tr r="AS87" s="1"/>
      </tp>
      <tp>
        <v>26</v>
        <stp/>
        <stp>OPEN_INT</stp>
        <stp>.SPXW250512P6000</stp>
        <tr r="AT87" s="1"/>
        <tr r="AT87" s="1"/>
      </tp>
      <tp t="s">
        <v>20.92%</v>
        <stp/>
        <stp>IMPL_VOL</stp>
        <stp>.NDX250516C20800</stp>
        <tr r="EN159" s="1"/>
      </tp>
      <tp t="s">
        <v>20.91%</v>
        <stp/>
        <stp>IMPL_VOL</stp>
        <stp>.NDX250516C20825</stp>
        <tr r="EN158" s="1"/>
      </tp>
      <tp t="s">
        <v>20.88%</v>
        <stp/>
        <stp>IMPL_VOL</stp>
        <stp>.NDX250516C20850</stp>
        <tr r="EN157" s="1"/>
      </tp>
      <tp t="s">
        <v>20.85%</v>
        <stp/>
        <stp>IMPL_VOL</stp>
        <stp>.NDX250516C20875</stp>
        <tr r="EN156" s="1"/>
      </tp>
      <tp t="s">
        <v>22.98%</v>
        <stp/>
        <stp>IMPL_VOL</stp>
        <stp>.NDX250516P20825</stp>
        <tr r="EO158" s="1"/>
      </tp>
      <tp t="s">
        <v>23.03%</v>
        <stp/>
        <stp>IMPL_VOL</stp>
        <stp>.NDX250516P20800</stp>
        <tr r="EO159" s="1"/>
      </tp>
      <tp t="s">
        <v>22.89%</v>
        <stp/>
        <stp>IMPL_VOL</stp>
        <stp>.NDX250516P20875</stp>
        <tr r="EO156" s="1"/>
      </tp>
      <tp t="s">
        <v>22.93%</v>
        <stp/>
        <stp>IMPL_VOL</stp>
        <stp>.NDX250516P20850</stp>
        <tr r="EO157" s="1"/>
      </tp>
      <tp>
        <v>1072</v>
        <stp/>
        <stp>VOLUME</stp>
        <stp>.SPX250620C5860</stp>
        <tr r="BE101" s="1"/>
        <tr r="BE101" s="1"/>
      </tp>
      <tp t="s">
        <v>N/A</v>
        <stp/>
        <stp>VOLUME</stp>
        <stp>.SPX250523C5850</stp>
        <tr r="H103" s="2"/>
      </tp>
      <tp t="s">
        <v>N/A</v>
        <stp/>
        <stp>VOLUME</stp>
        <stp>.SPX251121C5870</stp>
        <tr r="U101" s="2"/>
      </tp>
      <tp t="s">
        <v>N/A</v>
        <stp/>
        <stp>VOLUME</stp>
        <stp>.SPX251121P5870</stp>
        <tr r="U101" s="2"/>
      </tp>
      <tp>
        <v>1061</v>
        <stp/>
        <stp>VOLUME</stp>
        <stp>.SPX250620P5860</stp>
        <tr r="BF101" s="1"/>
        <tr r="BF101" s="1"/>
      </tp>
      <tp t="s">
        <v>N/A</v>
        <stp/>
        <stp>VOLUME</stp>
        <stp>.SPX250523P5850</stp>
        <tr r="H103" s="2"/>
      </tp>
      <tp>
        <v>396</v>
        <stp/>
        <stp>VOLUME</stp>
        <stp>.SPX250620C5870</stp>
        <tr r="BE100" s="1"/>
        <tr r="BE100" s="1"/>
      </tp>
      <tp t="s">
        <v>N/A</v>
        <stp/>
        <stp>VOLUME</stp>
        <stp>.SPX250523C5840</stp>
        <tr r="H104" s="2"/>
      </tp>
      <tp t="s">
        <v>N/A</v>
        <stp/>
        <stp>VOLUME</stp>
        <stp>.SPX251121C5860</stp>
        <tr r="U102" s="2"/>
      </tp>
      <tp t="s">
        <v>N/A</v>
        <stp/>
        <stp>VOLUME</stp>
        <stp>.SPX251121P5860</stp>
        <tr r="U102" s="2"/>
      </tp>
      <tp>
        <v>411</v>
        <stp/>
        <stp>VOLUME</stp>
        <stp>.SPX250620P5870</stp>
        <tr r="BF100" s="1"/>
        <tr r="BF100" s="1"/>
      </tp>
      <tp t="s">
        <v>N/A</v>
        <stp/>
        <stp>VOLUME</stp>
        <stp>.SPX250523P5840</stp>
        <tr r="H104" s="2"/>
      </tp>
      <tp>
        <v>412</v>
        <stp/>
        <stp>VOLUME</stp>
        <stp>.SPX250620C5840</stp>
        <tr r="BE103" s="1"/>
        <tr r="BE103" s="1"/>
      </tp>
      <tp t="s">
        <v>N/A</v>
        <stp/>
        <stp>VOLUME</stp>
        <stp>.SPX250523C5870</stp>
        <tr r="H101" s="2"/>
      </tp>
      <tp>
        <v>125</v>
        <stp/>
        <stp>VOLUME</stp>
        <stp>.SPX251121C5850</stp>
        <tr r="U103" s="2"/>
        <tr r="U103" s="2"/>
      </tp>
      <tp>
        <v>28</v>
        <stp/>
        <stp>VOLUME</stp>
        <stp>.SPX251121P5850</stp>
        <tr r="U103" s="2"/>
        <tr r="U103" s="2"/>
      </tp>
      <tp>
        <v>400</v>
        <stp/>
        <stp>VOLUME</stp>
        <stp>.SPX250620P5840</stp>
        <tr r="BF103" s="1"/>
        <tr r="BF103" s="1"/>
      </tp>
      <tp t="s">
        <v>N/A</v>
        <stp/>
        <stp>VOLUME</stp>
        <stp>.SPX250523P5870</stp>
        <tr r="H101" s="2"/>
      </tp>
      <tp>
        <v>11521</v>
        <stp/>
        <stp>VOLUME</stp>
        <stp>.SPX250620C5850</stp>
        <tr r="BE102" s="1"/>
        <tr r="BE102" s="1"/>
      </tp>
      <tp t="s">
        <v>N/A</v>
        <stp/>
        <stp>VOLUME</stp>
        <stp>.SPX250523C5860</stp>
        <tr r="H102" s="2"/>
      </tp>
      <tp t="s">
        <v>N/A</v>
        <stp/>
        <stp>VOLUME</stp>
        <stp>.SPX251121C5840</stp>
        <tr r="U104" s="2"/>
      </tp>
      <tp t="s">
        <v>N/A</v>
        <stp/>
        <stp>VOLUME</stp>
        <stp>.SPX251121P5840</stp>
        <tr r="U104" s="2"/>
      </tp>
      <tp>
        <v>9501</v>
        <stp/>
        <stp>VOLUME</stp>
        <stp>.SPX250620P5850</stp>
        <tr r="BF102" s="1"/>
        <tr r="BF102" s="1"/>
      </tp>
      <tp t="s">
        <v>N/A</v>
        <stp/>
        <stp>VOLUME</stp>
        <stp>.SPX250523P5860</stp>
        <tr r="H102" s="2"/>
      </tp>
      <tp>
        <v>2572</v>
        <stp/>
        <stp>VOLUME</stp>
        <stp>.SPX250620C5820</stp>
        <tr r="BE105" s="1"/>
        <tr r="BE105" s="1"/>
      </tp>
      <tp t="s">
        <v>N/A</v>
        <stp/>
        <stp>VOLUME</stp>
        <stp>.SPX250523C5810</stp>
        <tr r="H107" s="2"/>
      </tp>
      <tp t="s">
        <v>N/A</v>
        <stp/>
        <stp>VOLUME</stp>
        <stp>.SPX251121C5830</stp>
        <tr r="U105" s="2"/>
      </tp>
      <tp t="s">
        <v>N/A</v>
        <stp/>
        <stp>VOLUME</stp>
        <stp>.SPX251121P5830</stp>
        <tr r="U105" s="2"/>
      </tp>
      <tp>
        <v>2572</v>
        <stp/>
        <stp>VOLUME</stp>
        <stp>.SPX250620P5820</stp>
        <tr r="BF105" s="1"/>
        <tr r="BF105" s="1"/>
      </tp>
      <tp t="s">
        <v>N/A</v>
        <stp/>
        <stp>VOLUME</stp>
        <stp>.SPX250523P5810</stp>
        <tr r="H107" s="2"/>
      </tp>
      <tp>
        <v>5529</v>
        <stp/>
        <stp>VOLUME</stp>
        <stp>.SPX250620C5830</stp>
        <tr r="BE104" s="1"/>
        <tr r="BE104" s="1"/>
      </tp>
      <tp t="s">
        <v>N/A</v>
        <stp/>
        <stp>VOLUME</stp>
        <stp>.SPX250523C5800</stp>
        <tr r="H108" s="2"/>
      </tp>
      <tp t="s">
        <v>N/A</v>
        <stp/>
        <stp>VOLUME</stp>
        <stp>.SPX251121C5820</stp>
        <tr r="U106" s="2"/>
      </tp>
      <tp t="s">
        <v>N/A</v>
        <stp/>
        <stp>VOLUME</stp>
        <stp>.SPX251121P5820</stp>
        <tr r="U106" s="2"/>
      </tp>
      <tp>
        <v>5543</v>
        <stp/>
        <stp>VOLUME</stp>
        <stp>.SPX250620P5830</stp>
        <tr r="BF104" s="1"/>
        <tr r="BF104" s="1"/>
      </tp>
      <tp t="s">
        <v>N/A</v>
        <stp/>
        <stp>VOLUME</stp>
        <stp>.SPX250523P5800</stp>
        <tr r="H108" s="2"/>
      </tp>
      <tp>
        <v>15416</v>
        <stp/>
        <stp>VOLUME</stp>
        <stp>.SPX250620C5800</stp>
        <tr r="BE107" s="1"/>
        <tr r="BE107" s="1"/>
      </tp>
      <tp t="s">
        <v>N/A</v>
        <stp/>
        <stp>VOLUME</stp>
        <stp>.SPX250523C5830</stp>
        <tr r="H105" s="2"/>
      </tp>
      <tp t="s">
        <v>N/A</v>
        <stp/>
        <stp>VOLUME</stp>
        <stp>.SPX251121C5810</stp>
        <tr r="U107" s="2"/>
      </tp>
      <tp t="s">
        <v>N/A</v>
        <stp/>
        <stp>VOLUME</stp>
        <stp>.SPX251121P5810</stp>
        <tr r="U107" s="2"/>
      </tp>
      <tp>
        <v>16558</v>
        <stp/>
        <stp>VOLUME</stp>
        <stp>.SPX250620P5800</stp>
        <tr r="BF107" s="1"/>
        <tr r="BF107" s="1"/>
      </tp>
      <tp t="s">
        <v>N/A</v>
        <stp/>
        <stp>VOLUME</stp>
        <stp>.SPX250523P5830</stp>
        <tr r="H105" s="2"/>
      </tp>
      <tp>
        <v>1580</v>
        <stp/>
        <stp>VOLUME</stp>
        <stp>.SPX250620C5810</stp>
        <tr r="BE106" s="1"/>
        <tr r="BE106" s="1"/>
      </tp>
      <tp t="s">
        <v>N/A</v>
        <stp/>
        <stp>VOLUME</stp>
        <stp>.SPX250523C5820</stp>
        <tr r="H106" s="2"/>
      </tp>
      <tp>
        <v>216</v>
        <stp/>
        <stp>VOLUME</stp>
        <stp>.SPX251121C5800</stp>
        <tr r="U108" s="2"/>
        <tr r="U108" s="2"/>
      </tp>
      <tp>
        <v>322</v>
        <stp/>
        <stp>VOLUME</stp>
        <stp>.SPX251121P5800</stp>
        <tr r="U108" s="2"/>
        <tr r="U108" s="2"/>
      </tp>
      <tp>
        <v>1620</v>
        <stp/>
        <stp>VOLUME</stp>
        <stp>.SPX250620P5810</stp>
        <tr r="BF106" s="1"/>
        <tr r="BF106" s="1"/>
      </tp>
      <tp t="s">
        <v>N/A</v>
        <stp/>
        <stp>VOLUME</stp>
        <stp>.SPX250523P5820</stp>
        <tr r="H106" s="2"/>
      </tp>
      <tp t="s">
        <v>N/A</v>
        <stp/>
        <stp>VOLUME</stp>
        <stp>.SPX250523C5890</stp>
        <tr r="H99" s="2"/>
      </tp>
      <tp t="s">
        <v>N/A</v>
        <stp/>
        <stp>VOLUME</stp>
        <stp>.SPX250523P5890</stp>
        <tr r="H99" s="2"/>
      </tp>
      <tp t="s">
        <v>N/A</v>
        <stp/>
        <stp>VOLUME</stp>
        <stp>.SPX250523C5880</stp>
        <tr r="H100" s="2"/>
      </tp>
      <tp t="s">
        <v>N/A</v>
        <stp/>
        <stp>VOLUME</stp>
        <stp>.SPX250523P5880</stp>
        <tr r="H100" s="2"/>
      </tp>
      <tp>
        <v>29</v>
        <stp/>
        <stp>VOLUME</stp>
        <stp>.SPX250620C5880</stp>
        <tr r="BE99" s="1"/>
        <tr r="BE99" s="1"/>
      </tp>
      <tp t="s">
        <v>N/A</v>
        <stp/>
        <stp>VOLUME</stp>
        <stp>.SPX251121C5890</stp>
        <tr r="U99" s="2"/>
      </tp>
      <tp t="s">
        <v>N/A</v>
        <stp/>
        <stp>VOLUME</stp>
        <stp>.SPX251121P5890</stp>
        <tr r="U99" s="2"/>
      </tp>
      <tp>
        <v>2</v>
        <stp/>
        <stp>VOLUME</stp>
        <stp>.SPX250620P5880</stp>
        <tr r="BF99" s="1"/>
        <tr r="BF99" s="1"/>
      </tp>
      <tp>
        <v>5</v>
        <stp/>
        <stp>VOLUME</stp>
        <stp>.SPX250620C5890</stp>
        <tr r="BE98" s="1"/>
        <tr r="BE98" s="1"/>
      </tp>
      <tp t="s">
        <v>N/A</v>
        <stp/>
        <stp>VOLUME</stp>
        <stp>.SPX251121C5880</stp>
        <tr r="U100" s="2"/>
      </tp>
      <tp t="s">
        <v>N/A</v>
        <stp/>
        <stp>VOLUME</stp>
        <stp>.SPX251121P5880</stp>
        <tr r="U100" s="2"/>
      </tp>
      <tp t="s">
        <v>N/A</v>
        <stp/>
        <stp>VOLUME</stp>
        <stp>.SPX250620P5890</stp>
        <tr r="BF98" s="1"/>
      </tp>
      <tp t="s">
        <v>18.87%</v>
        <stp/>
        <stp>IMPL_VOL</stp>
        <stp>.NDX250620C20900</stp>
        <tr r="EP155" s="1"/>
      </tp>
      <tp t="s">
        <v>18.80%</v>
        <stp/>
        <stp>IMPL_VOL</stp>
        <stp>.NDX250620C20925</stp>
        <tr r="EP154" s="1"/>
      </tp>
      <tp t="s">
        <v>18.73%</v>
        <stp/>
        <stp>IMPL_VOL</stp>
        <stp>.NDX250620C20950</stp>
        <tr r="EP153" s="1"/>
      </tp>
      <tp t="s">
        <v>18.68%</v>
        <stp/>
        <stp>IMPL_VOL</stp>
        <stp>.NDX250620C20975</stp>
        <tr r="EP152" s="1"/>
      </tp>
      <tp t="s">
        <v>19.82%</v>
        <stp/>
        <stp>IMPL_VOL</stp>
        <stp>.NDX250620P20925</stp>
        <tr r="EQ154" s="1"/>
      </tp>
      <tp t="s">
        <v>19.88%</v>
        <stp/>
        <stp>IMPL_VOL</stp>
        <stp>.NDX250620P20900</stp>
        <tr r="EQ155" s="1"/>
      </tp>
      <tp t="s">
        <v>19.69%</v>
        <stp/>
        <stp>IMPL_VOL</stp>
        <stp>.NDX250620P20975</stp>
        <tr r="EQ152" s="1"/>
      </tp>
      <tp t="s">
        <v>19.76%</v>
        <stp/>
        <stp>IMPL_VOL</stp>
        <stp>.NDX250620P20950</stp>
        <tr r="EQ153" s="1"/>
      </tp>
      <tp>
        <v>201</v>
        <stp/>
        <stp>OPEN_INT</stp>
        <stp>.SPXW250512C5630</stp>
        <tr r="AS124" s="1"/>
        <tr r="AS124" s="1"/>
      </tp>
      <tp>
        <v>389</v>
        <stp/>
        <stp>OPEN_INT</stp>
        <stp>.SPXW250512P5630</stp>
        <tr r="AT124" s="1"/>
        <tr r="AT124" s="1"/>
      </tp>
      <tp>
        <v>166</v>
        <stp/>
        <stp>OPEN_INT</stp>
        <stp>.SPXW250512C5620</stp>
        <tr r="AS125" s="1"/>
        <tr r="AS125" s="1"/>
      </tp>
      <tp>
        <v>381</v>
        <stp/>
        <stp>OPEN_INT</stp>
        <stp>.SPXW250512P5620</stp>
        <tr r="AT125" s="1"/>
        <tr r="AT125" s="1"/>
      </tp>
      <tp>
        <v>109</v>
        <stp/>
        <stp>OPEN_INT</stp>
        <stp>.SPXW250512C5610</stp>
        <tr r="AS126" s="1"/>
        <tr r="AS126" s="1"/>
      </tp>
      <tp>
        <v>2259</v>
        <stp/>
        <stp>OPEN_INT</stp>
        <stp>.SPXW250512P5610</stp>
        <tr r="AT126" s="1"/>
        <tr r="AT126" s="1"/>
      </tp>
      <tp>
        <v>381</v>
        <stp/>
        <stp>OPEN_INT</stp>
        <stp>.SPXW250512C5600</stp>
        <tr r="AS127" s="1"/>
        <tr r="AS127" s="1"/>
      </tp>
      <tp>
        <v>3780</v>
        <stp/>
        <stp>OPEN_INT</stp>
        <stp>.SPXW250512P5600</stp>
        <tr r="AT127" s="1"/>
        <tr r="AT127" s="1"/>
      </tp>
      <tp>
        <v>512</v>
        <stp/>
        <stp>OPEN_INT</stp>
        <stp>.SPXW250512C5670</stp>
        <tr r="AS120" s="1"/>
        <tr r="AS120" s="1"/>
      </tp>
      <tp>
        <v>524</v>
        <stp/>
        <stp>OPEN_INT</stp>
        <stp>.SPXW250512P5670</stp>
        <tr r="AT120" s="1"/>
        <tr r="AT120" s="1"/>
      </tp>
      <tp>
        <v>684</v>
        <stp/>
        <stp>OPEN_INT</stp>
        <stp>.SPXW250512C5660</stp>
        <tr r="AS121" s="1"/>
        <tr r="AS121" s="1"/>
      </tp>
      <tp>
        <v>876</v>
        <stp/>
        <stp>OPEN_INT</stp>
        <stp>.SPXW250512P5660</stp>
        <tr r="AT121" s="1"/>
        <tr r="AT121" s="1"/>
      </tp>
      <tp>
        <v>1784</v>
        <stp/>
        <stp>OPEN_INT</stp>
        <stp>.SPXW250512C5650</stp>
        <tr r="AS122" s="1"/>
        <tr r="AS122" s="1"/>
      </tp>
      <tp>
        <v>1398</v>
        <stp/>
        <stp>OPEN_INT</stp>
        <stp>.SPXW250512P5650</stp>
        <tr r="AT122" s="1"/>
        <tr r="AT122" s="1"/>
      </tp>
      <tp>
        <v>352</v>
        <stp/>
        <stp>OPEN_INT</stp>
        <stp>.SPXW250512C5640</stp>
        <tr r="AS123" s="1"/>
        <tr r="AS123" s="1"/>
      </tp>
      <tp>
        <v>671</v>
        <stp/>
        <stp>OPEN_INT</stp>
        <stp>.SPXW250512P5640</stp>
        <tr r="AT123" s="1"/>
        <tr r="AT123" s="1"/>
      </tp>
      <tp>
        <v>335</v>
        <stp/>
        <stp>OPEN_INT</stp>
        <stp>.SPXW250512C5690</stp>
        <tr r="AS118" s="1"/>
        <tr r="AS118" s="1"/>
      </tp>
      <tp>
        <v>310</v>
        <stp/>
        <stp>OPEN_INT</stp>
        <stp>.SPXW250512P5690</stp>
        <tr r="AT118" s="1"/>
        <tr r="AT118" s="1"/>
      </tp>
      <tp>
        <v>516</v>
        <stp/>
        <stp>OPEN_INT</stp>
        <stp>.SPXW250512C5680</stp>
        <tr r="AS119" s="1"/>
        <tr r="AS119" s="1"/>
      </tp>
      <tp>
        <v>350</v>
        <stp/>
        <stp>OPEN_INT</stp>
        <stp>.SPXW250512P5680</stp>
        <tr r="AT119" s="1"/>
        <tr r="AT119" s="1"/>
      </tp>
      <tp t="s">
        <v>19.11%</v>
        <stp/>
        <stp>IMPL_VOL</stp>
        <stp>.NDX250620C20800</stp>
        <tr r="EP159" s="1"/>
      </tp>
      <tp t="s">
        <v>19.04%</v>
        <stp/>
        <stp>IMPL_VOL</stp>
        <stp>.NDX250620C20825</stp>
        <tr r="EP158" s="1"/>
      </tp>
      <tp t="s">
        <v>18.98%</v>
        <stp/>
        <stp>IMPL_VOL</stp>
        <stp>.NDX250620C20850</stp>
        <tr r="EP157" s="1"/>
      </tp>
      <tp t="s">
        <v>18.92%</v>
        <stp/>
        <stp>IMPL_VOL</stp>
        <stp>.NDX250620C20875</stp>
        <tr r="EP156" s="1"/>
      </tp>
      <tp t="s">
        <v>20.07%</v>
        <stp/>
        <stp>IMPL_VOL</stp>
        <stp>.NDX250620P20825</stp>
        <tr r="EQ158" s="1"/>
      </tp>
      <tp t="s">
        <v>20.13%</v>
        <stp/>
        <stp>IMPL_VOL</stp>
        <stp>.NDX250620P20800</stp>
        <tr r="EQ159" s="1"/>
      </tp>
      <tp t="s">
        <v>19.93%</v>
        <stp/>
        <stp>IMPL_VOL</stp>
        <stp>.NDX250620P20875</stp>
        <tr r="EQ156" s="1"/>
      </tp>
      <tp t="s">
        <v>20.01%</v>
        <stp/>
        <stp>IMPL_VOL</stp>
        <stp>.NDX250620P20850</stp>
        <tr r="EQ157" s="1"/>
      </tp>
      <tp>
        <v>796</v>
        <stp/>
        <stp>OPEN_INT</stp>
        <stp>.SPXW250512C5730</stp>
        <tr r="AS114" s="1"/>
        <tr r="AS114" s="1"/>
      </tp>
      <tp>
        <v>62</v>
        <stp/>
        <stp>OPEN_INT</stp>
        <stp>.SPXW250512P5730</stp>
        <tr r="AT114" s="1"/>
        <tr r="AT114" s="1"/>
      </tp>
      <tp>
        <v>1610</v>
        <stp/>
        <stp>OPEN_INT</stp>
        <stp>.SPXW250512C5720</stp>
        <tr r="AS115" s="1"/>
        <tr r="AS115" s="1"/>
      </tp>
      <tp>
        <v>106</v>
        <stp/>
        <stp>OPEN_INT</stp>
        <stp>.SPXW250512P5720</stp>
        <tr r="AT115" s="1"/>
        <tr r="AT115" s="1"/>
      </tp>
      <tp>
        <v>657</v>
        <stp/>
        <stp>OPEN_INT</stp>
        <stp>.SPXW250512C5710</stp>
        <tr r="AS116" s="1"/>
        <tr r="AS116" s="1"/>
      </tp>
      <tp>
        <v>139</v>
        <stp/>
        <stp>OPEN_INT</stp>
        <stp>.SPXW250512P5710</stp>
        <tr r="AT116" s="1"/>
        <tr r="AT116" s="1"/>
      </tp>
      <tp>
        <v>3759</v>
        <stp/>
        <stp>OPEN_INT</stp>
        <stp>.SPXW250512C5700</stp>
        <tr r="AS117" s="1"/>
        <tr r="AS117" s="1"/>
      </tp>
      <tp>
        <v>1337</v>
        <stp/>
        <stp>OPEN_INT</stp>
        <stp>.SPXW250512P5700</stp>
        <tr r="AT117" s="1"/>
        <tr r="AT117" s="1"/>
      </tp>
      <tp>
        <v>1064</v>
        <stp/>
        <stp>OPEN_INT</stp>
        <stp>.SPXW250512C5770</stp>
        <tr r="AS110" s="1"/>
        <tr r="AS110" s="1"/>
      </tp>
      <tp>
        <v>327</v>
        <stp/>
        <stp>OPEN_INT</stp>
        <stp>.SPXW250512P5770</stp>
        <tr r="AT110" s="1"/>
        <tr r="AT110" s="1"/>
      </tp>
      <tp>
        <v>3158</v>
        <stp/>
        <stp>OPEN_INT</stp>
        <stp>.SPXW250512C5760</stp>
        <tr r="AS111" s="1"/>
        <tr r="AS111" s="1"/>
      </tp>
      <tp>
        <v>40</v>
        <stp/>
        <stp>OPEN_INT</stp>
        <stp>.SPXW250512P5760</stp>
        <tr r="AT111" s="1"/>
        <tr r="AT111" s="1"/>
      </tp>
      <tp>
        <v>3539</v>
        <stp/>
        <stp>OPEN_INT</stp>
        <stp>.SPXW250512C5750</stp>
        <tr r="AS112" s="1"/>
        <tr r="AS112" s="1"/>
      </tp>
      <tp>
        <v>69</v>
        <stp/>
        <stp>OPEN_INT</stp>
        <stp>.SPXW250512P5750</stp>
        <tr r="AT112" s="1"/>
        <tr r="AT112" s="1"/>
      </tp>
      <tp>
        <v>1370</v>
        <stp/>
        <stp>OPEN_INT</stp>
        <stp>.SPXW250512C5740</stp>
        <tr r="AS113" s="1"/>
        <tr r="AS113" s="1"/>
      </tp>
      <tp>
        <v>66</v>
        <stp/>
        <stp>OPEN_INT</stp>
        <stp>.SPXW250512P5740</stp>
        <tr r="AT113" s="1"/>
        <tr r="AT113" s="1"/>
      </tp>
      <tp>
        <v>992</v>
        <stp/>
        <stp>OPEN_INT</stp>
        <stp>.SPXW250512C5790</stp>
        <tr r="AS108" s="1"/>
        <tr r="AS108" s="1"/>
      </tp>
      <tp>
        <v>322</v>
        <stp/>
        <stp>OPEN_INT</stp>
        <stp>.SPXW250512P5790</stp>
        <tr r="AT108" s="1"/>
        <tr r="AT108" s="1"/>
      </tp>
      <tp>
        <v>1242</v>
        <stp/>
        <stp>OPEN_INT</stp>
        <stp>.SPXW250512C5780</stp>
        <tr r="AS109" s="1"/>
        <tr r="AS109" s="1"/>
      </tp>
      <tp>
        <v>13</v>
        <stp/>
        <stp>OPEN_INT</stp>
        <stp>.SPXW250512P5780</stp>
        <tr r="AT109" s="1"/>
        <tr r="AT109" s="1"/>
      </tp>
      <tp>
        <v>192</v>
        <stp/>
        <stp>OPEN_INT</stp>
        <stp>.SPXW250512C5570</stp>
        <tr r="AS130" s="1"/>
        <tr r="AS130" s="1"/>
      </tp>
      <tp>
        <v>638</v>
        <stp/>
        <stp>OPEN_INT</stp>
        <stp>.SPXW250512P5570</stp>
        <tr r="AT130" s="1"/>
        <tr r="AT130" s="1"/>
      </tp>
      <tp>
        <v>93</v>
        <stp/>
        <stp>OPEN_INT</stp>
        <stp>.SPXW250512C5590</stp>
        <tr r="AS128" s="1"/>
        <tr r="AS128" s="1"/>
      </tp>
      <tp>
        <v>1102</v>
        <stp/>
        <stp>OPEN_INT</stp>
        <stp>.SPXW250512P5590</stp>
        <tr r="AT128" s="1"/>
        <tr r="AT128" s="1"/>
      </tp>
      <tp>
        <v>70</v>
        <stp/>
        <stp>OPEN_INT</stp>
        <stp>.SPXW250512C5580</stp>
        <tr r="AS129" s="1"/>
        <tr r="AS129" s="1"/>
      </tp>
      <tp>
        <v>1899</v>
        <stp/>
        <stp>OPEN_INT</stp>
        <stp>.SPXW250512P5580</stp>
        <tr r="AT129" s="1"/>
        <tr r="AT129" s="1"/>
      </tp>
      <tp t="s">
        <v>19.91%</v>
        <stp/>
        <stp>IMPL_VOL</stp>
        <stp>.NDX250620C20500</stp>
        <tr r="EP171" s="1"/>
      </tp>
      <tp t="s">
        <v>20.67%</v>
        <stp/>
        <stp>IMPL_VOL</stp>
        <stp>.NDX250516C21300</stp>
        <tr r="EN139" s="1"/>
      </tp>
      <tp t="s">
        <v>22.55%</v>
        <stp/>
        <stp>IMPL_VOL</stp>
        <stp>.NDX250516C20300</stp>
        <tr r="EN179" s="1"/>
      </tp>
      <tp t="s">
        <v>19.85%</v>
        <stp/>
        <stp>IMPL_VOL</stp>
        <stp>.NDX250620C20525</stp>
        <tr r="EP170" s="1"/>
      </tp>
      <tp t="s">
        <v>20.71%</v>
        <stp/>
        <stp>IMPL_VOL</stp>
        <stp>.NDX250516C21325</stp>
        <tr r="EN138" s="1"/>
      </tp>
      <tp t="s">
        <v>22.20%</v>
        <stp/>
        <stp>IMPL_VOL</stp>
        <stp>.NDX250516C20325</stp>
        <tr r="EN178" s="1"/>
      </tp>
      <tp t="s">
        <v>19.76%</v>
        <stp/>
        <stp>IMPL_VOL</stp>
        <stp>.NDX250620C20550</stp>
        <tr r="EP169" s="1"/>
      </tp>
      <tp t="s">
        <v>20.77%</v>
        <stp/>
        <stp>IMPL_VOL</stp>
        <stp>.NDX250516C21350</stp>
        <tr r="EN137" s="1"/>
      </tp>
      <tp t="s">
        <v>21.82%</v>
        <stp/>
        <stp>IMPL_VOL</stp>
        <stp>.NDX250516C20350</stp>
        <tr r="EN177" s="1"/>
      </tp>
      <tp t="s">
        <v>19.72%</v>
        <stp/>
        <stp>IMPL_VOL</stp>
        <stp>.NDX250620C20575</stp>
        <tr r="EP168" s="1"/>
      </tp>
      <tp t="s">
        <v>22.12%</v>
        <stp/>
        <stp>IMPL_VOL</stp>
        <stp>.NDX250516C20375</stp>
        <tr r="EN176" s="1"/>
      </tp>
      <tp t="s">
        <v>20.92%</v>
        <stp/>
        <stp>IMPL_VOL</stp>
        <stp>.NDX250620P20525</stp>
        <tr r="EQ170" s="1"/>
      </tp>
      <tp t="s">
        <v>22.25%</v>
        <stp/>
        <stp>IMPL_VOL</stp>
        <stp>.NDX250516P21325</stp>
        <tr r="EO138" s="1"/>
      </tp>
      <tp t="s">
        <v>24.81%</v>
        <stp/>
        <stp>IMPL_VOL</stp>
        <stp>.NDX250516P20325</stp>
        <tr r="EO178" s="1"/>
      </tp>
      <tp t="s">
        <v>21.00%</v>
        <stp/>
        <stp>IMPL_VOL</stp>
        <stp>.NDX250620P20500</stp>
        <tr r="EQ171" s="1"/>
      </tp>
      <tp t="s">
        <v>22.59%</v>
        <stp/>
        <stp>IMPL_VOL</stp>
        <stp>.NDX250516P21300</stp>
        <tr r="EO139" s="1"/>
      </tp>
      <tp t="s">
        <v>24.93%</v>
        <stp/>
        <stp>IMPL_VOL</stp>
        <stp>.NDX250516P20300</stp>
        <tr r="EO179" s="1"/>
      </tp>
      <tp t="s">
        <v>20.77%</v>
        <stp/>
        <stp>IMPL_VOL</stp>
        <stp>.NDX250620P20575</stp>
        <tr r="EQ168" s="1"/>
      </tp>
      <tp t="s">
        <v>24.58%</v>
        <stp/>
        <stp>IMPL_VOL</stp>
        <stp>.NDX250516P20375</stp>
        <tr r="EO176" s="1"/>
      </tp>
      <tp t="s">
        <v>20.85%</v>
        <stp/>
        <stp>IMPL_VOL</stp>
        <stp>.NDX250620P20550</stp>
        <tr r="EQ169" s="1"/>
      </tp>
      <tp t="s">
        <v>23.21%</v>
        <stp/>
        <stp>IMPL_VOL</stp>
        <stp>.NDX250516P21350</stp>
        <tr r="EO137" s="1"/>
      </tp>
      <tp t="s">
        <v>24.70%</v>
        <stp/>
        <stp>IMPL_VOL</stp>
        <stp>.NDX250516P20350</stp>
        <tr r="EO177" s="1"/>
      </tp>
      <tp>
        <v>10451</v>
        <stp/>
        <stp>VOLUME</stp>
        <stp>.SPX250516C6000</stp>
        <tr r="BC87" s="1"/>
        <tr r="BC87" s="1"/>
      </tp>
      <tp t="s">
        <v>N/A</v>
        <stp/>
        <stp>VOLUME</stp>
        <stp>.SPX251017C6010</stp>
        <tr r="S87" s="2"/>
      </tp>
      <tp t="s">
        <v>N/A</v>
        <stp/>
        <stp>VOLUME</stp>
        <stp>.SPX251017P6010</stp>
        <tr r="S87" s="2"/>
      </tp>
      <tp>
        <v>1410</v>
        <stp/>
        <stp>VOLUME</stp>
        <stp>.SPX250516P6000</stp>
        <tr r="BD87" s="1"/>
        <tr r="BD87" s="1"/>
      </tp>
      <tp>
        <v>42</v>
        <stp/>
        <stp>VOLUME</stp>
        <stp>.SPX250516C6010</stp>
        <tr r="BC86" s="1"/>
        <tr r="BC86" s="1"/>
      </tp>
      <tp>
        <v>6</v>
        <stp/>
        <stp>VOLUME</stp>
        <stp>.SPX250815C6020</stp>
        <tr r="O86" s="2"/>
        <tr r="O86" s="2"/>
      </tp>
      <tp>
        <v>246</v>
        <stp/>
        <stp>VOLUME</stp>
        <stp>.SPX251017C6000</stp>
        <tr r="S88" s="2"/>
        <tr r="S88" s="2"/>
      </tp>
      <tp>
        <v>6</v>
        <stp/>
        <stp>VOLUME</stp>
        <stp>.SPX251017P6000</stp>
        <tr r="S88" s="2"/>
        <tr r="S88" s="2"/>
      </tp>
      <tp t="s">
        <v>N/A</v>
        <stp/>
        <stp>VOLUME</stp>
        <stp>.SPX250516P6010</stp>
        <tr r="BD86" s="1"/>
      </tp>
      <tp>
        <v>2</v>
        <stp/>
        <stp>VOLUME</stp>
        <stp>.SPX250815P6020</stp>
        <tr r="O86" s="2"/>
        <tr r="O86" s="2"/>
      </tp>
      <tp>
        <v>110</v>
        <stp/>
        <stp>VOLUME</stp>
        <stp>.SPX250516C6020</stp>
        <tr r="BC85" s="1"/>
        <tr r="BC85" s="1"/>
      </tp>
      <tp>
        <v>20</v>
        <stp/>
        <stp>VOLUME</stp>
        <stp>.SPX250815C6010</stp>
        <tr r="O87" s="2"/>
        <tr r="O87" s="2"/>
      </tp>
      <tp t="s">
        <v>N/A</v>
        <stp/>
        <stp>VOLUME</stp>
        <stp>.SPX250516P6020</stp>
        <tr r="BD85" s="1"/>
      </tp>
      <tp>
        <v>2</v>
        <stp/>
        <stp>VOLUME</stp>
        <stp>.SPX250815P6010</stp>
        <tr r="O87" s="2"/>
        <tr r="O87" s="2"/>
      </tp>
      <tp>
        <v>4255</v>
        <stp/>
        <stp>VOLUME</stp>
        <stp>.SPX250815C6000</stp>
        <tr r="O88" s="2"/>
        <tr r="O88" s="2"/>
      </tp>
      <tp t="s">
        <v>N/A</v>
        <stp/>
        <stp>VOLUME</stp>
        <stp>.SPX251017C6020</stp>
        <tr r="S86" s="2"/>
      </tp>
      <tp t="s">
        <v>N/A</v>
        <stp/>
        <stp>VOLUME</stp>
        <stp>.SPX251017P6020</stp>
        <tr r="S86" s="2"/>
      </tp>
      <tp>
        <v>1901</v>
        <stp/>
        <stp>VOLUME</stp>
        <stp>.SPX250815P6000</stp>
        <tr r="O88" s="2"/>
        <tr r="O88" s="2"/>
      </tp>
      <tp>
        <v>9</v>
        <stp/>
        <stp>VOLUME</stp>
        <stp>.SPX250718C6020</stp>
        <tr r="M86" s="2"/>
        <tr r="M86" s="2"/>
      </tp>
      <tp t="s">
        <v>N/A</v>
        <stp/>
        <stp>VOLUME</stp>
        <stp>.SPX250718P6020</stp>
        <tr r="M86" s="2"/>
      </tp>
      <tp t="s">
        <v>N/A</v>
        <stp/>
        <stp>VOLUME</stp>
        <stp>.SPX250919C6020</stp>
        <tr r="Q86" s="2"/>
      </tp>
      <tp t="s">
        <v>N/A</v>
        <stp/>
        <stp>VOLUME</stp>
        <stp>.SPX251219C6020</stp>
        <tr r="W86" s="2"/>
      </tp>
      <tp t="s">
        <v>N/A</v>
        <stp/>
        <stp>VOLUME</stp>
        <stp>.SPX251219P6020</stp>
        <tr r="W86" s="2"/>
      </tp>
      <tp t="s">
        <v>N/A</v>
        <stp/>
        <stp>VOLUME</stp>
        <stp>.SPX250919P6020</stp>
        <tr r="Q86" s="2"/>
      </tp>
      <tp>
        <v>532</v>
        <stp/>
        <stp>VOLUME</stp>
        <stp>.SPX250718C6000</stp>
        <tr r="M88" s="2"/>
        <tr r="M88" s="2"/>
      </tp>
      <tp t="s">
        <v>N/A</v>
        <stp/>
        <stp>VOLUME</stp>
        <stp>.SPX250919C6010</stp>
        <tr r="Q87" s="2"/>
      </tp>
      <tp t="s">
        <v>N/A</v>
        <stp/>
        <stp>VOLUME</stp>
        <stp>.SPX251219C6010</stp>
        <tr r="W87" s="2"/>
      </tp>
      <tp t="s">
        <v>N/A</v>
        <stp/>
        <stp>VOLUME</stp>
        <stp>.SPX251219P6010</stp>
        <tr r="W87" s="2"/>
      </tp>
      <tp>
        <v>121</v>
        <stp/>
        <stp>VOLUME</stp>
        <stp>.SPX250718P6000</stp>
        <tr r="M88" s="2"/>
        <tr r="M88" s="2"/>
      </tp>
      <tp t="s">
        <v>N/A</v>
        <stp/>
        <stp>VOLUME</stp>
        <stp>.SPX250919P6010</stp>
        <tr r="Q87" s="2"/>
      </tp>
      <tp>
        <v>227</v>
        <stp/>
        <stp>VOLUME</stp>
        <stp>.SPX250718C6010</stp>
        <tr r="M87" s="2"/>
        <tr r="M87" s="2"/>
      </tp>
      <tp>
        <v>2228</v>
        <stp/>
        <stp>VOLUME</stp>
        <stp>.SPX250919C6000</stp>
        <tr r="Q88" s="2"/>
        <tr r="Q88" s="2"/>
      </tp>
      <tp>
        <v>2622</v>
        <stp/>
        <stp>VOLUME</stp>
        <stp>.SPX251219C6000</stp>
        <tr r="W88" s="2"/>
        <tr r="W88" s="2"/>
      </tp>
      <tp>
        <v>2102</v>
        <stp/>
        <stp>VOLUME</stp>
        <stp>.SPX251219P6000</stp>
        <tr r="W88" s="2"/>
        <tr r="W88" s="2"/>
      </tp>
      <tp>
        <v>1</v>
        <stp/>
        <stp>VOLUME</stp>
        <stp>.SPX250718P6010</stp>
        <tr r="M87" s="2"/>
        <tr r="M87" s="2"/>
      </tp>
      <tp>
        <v>444</v>
        <stp/>
        <stp>VOLUME</stp>
        <stp>.SPX250919P6000</stp>
        <tr r="Q88" s="2"/>
        <tr r="Q88" s="2"/>
      </tp>
      <tp t="s">
        <v>20.19%</v>
        <stp/>
        <stp>IMPL_VOL</stp>
        <stp>.NDX250620C20400</stp>
        <tr r="EP175" s="1"/>
      </tp>
      <tp t="s">
        <v>20.59%</v>
        <stp/>
        <stp>IMPL_VOL</stp>
        <stp>.NDX250516C21200</stp>
        <tr r="EN143" s="1"/>
      </tp>
      <tp t="s">
        <v>22.41%</v>
        <stp/>
        <stp>IMPL_VOL</stp>
        <stp>.NDX250516C20200</stp>
        <tr r="EN183" s="1"/>
      </tp>
      <tp t="s">
        <v>20.13%</v>
        <stp/>
        <stp>IMPL_VOL</stp>
        <stp>.NDX250620C20425</stp>
        <tr r="EP174" s="1"/>
      </tp>
      <tp t="s">
        <v>20.60%</v>
        <stp/>
        <stp>IMPL_VOL</stp>
        <stp>.NDX250516C21225</stp>
        <tr r="EN142" s="1"/>
      </tp>
      <tp t="s">
        <v>22.49%</v>
        <stp/>
        <stp>IMPL_VOL</stp>
        <stp>.NDX250516C20225</stp>
        <tr r="EN182" s="1"/>
      </tp>
      <tp t="s">
        <v>20.03%</v>
        <stp/>
        <stp>IMPL_VOL</stp>
        <stp>.NDX250620C20450</stp>
        <tr r="EP173" s="1"/>
      </tp>
      <tp t="s">
        <v>20.61%</v>
        <stp/>
        <stp>IMPL_VOL</stp>
        <stp>.NDX250516C21250</stp>
        <tr r="EN141" s="1"/>
      </tp>
      <tp t="s">
        <v>22.82%</v>
        <stp/>
        <stp>IMPL_VOL</stp>
        <stp>.NDX250516C20250</stp>
        <tr r="EN181" s="1"/>
      </tp>
      <tp t="s">
        <v>19.99%</v>
        <stp/>
        <stp>IMPL_VOL</stp>
        <stp>.NDX250620C20475</stp>
        <tr r="EP172" s="1"/>
      </tp>
      <tp t="s">
        <v>20.64%</v>
        <stp/>
        <stp>IMPL_VOL</stp>
        <stp>.NDX250516C21275</stp>
        <tr r="EN140" s="1"/>
      </tp>
      <tp t="s">
        <v>22.79%</v>
        <stp/>
        <stp>IMPL_VOL</stp>
        <stp>.NDX250516C20275</stp>
        <tr r="EN180" s="1"/>
      </tp>
      <tp t="s">
        <v>21.23%</v>
        <stp/>
        <stp>IMPL_VOL</stp>
        <stp>.NDX250620P20425</stp>
        <tr r="EQ174" s="1"/>
      </tp>
      <tp t="s">
        <v>23.00%</v>
        <stp/>
        <stp>IMPL_VOL</stp>
        <stp>.NDX250516P21225</stp>
        <tr r="EO142" s="1"/>
      </tp>
      <tp t="s">
        <v>25.32%</v>
        <stp/>
        <stp>IMPL_VOL</stp>
        <stp>.NDX250516P20225</stp>
        <tr r="EO182" s="1"/>
      </tp>
      <tp t="s">
        <v>21.31%</v>
        <stp/>
        <stp>IMPL_VOL</stp>
        <stp>.NDX250620P20400</stp>
        <tr r="EQ175" s="1"/>
      </tp>
      <tp t="s">
        <v>23.06%</v>
        <stp/>
        <stp>IMPL_VOL</stp>
        <stp>.NDX250516P21200</stp>
        <tr r="EO143" s="1"/>
      </tp>
      <tp t="s">
        <v>25.45%</v>
        <stp/>
        <stp>IMPL_VOL</stp>
        <stp>.NDX250516P20200</stp>
        <tr r="EO183" s="1"/>
      </tp>
      <tp t="s">
        <v>21.07%</v>
        <stp/>
        <stp>IMPL_VOL</stp>
        <stp>.NDX250620P20475</stp>
        <tr r="EQ172" s="1"/>
      </tp>
      <tp t="s">
        <v>22.15%</v>
        <stp/>
        <stp>IMPL_VOL</stp>
        <stp>.NDX250516P21275</stp>
        <tr r="EO140" s="1"/>
      </tp>
      <tp t="s">
        <v>25.06%</v>
        <stp/>
        <stp>IMPL_VOL</stp>
        <stp>.NDX250516P20275</stp>
        <tr r="EO180" s="1"/>
      </tp>
      <tp t="s">
        <v>21.16%</v>
        <stp/>
        <stp>IMPL_VOL</stp>
        <stp>.NDX250620P20450</stp>
        <tr r="EQ173" s="1"/>
      </tp>
      <tp t="s">
        <v>22.87%</v>
        <stp/>
        <stp>IMPL_VOL</stp>
        <stp>.NDX250516P21250</stp>
        <tr r="EO141" s="1"/>
      </tp>
      <tp t="s">
        <v>25.18%</v>
        <stp/>
        <stp>IMPL_VOL</stp>
        <stp>.NDX250516P20250</stp>
        <tr r="EO181" s="1"/>
      </tp>
      <tp t="s">
        <v>19.36%</v>
        <stp/>
        <stp>IMPL_VOL</stp>
        <stp>.NDX250620C20700</stp>
        <tr r="EP163" s="1"/>
      </tp>
      <tp t="s">
        <v>20.61%</v>
        <stp/>
        <stp>IMPL_VOL</stp>
        <stp>.NDX250516C21100</stp>
        <tr r="EN147" s="1"/>
      </tp>
      <tp t="s">
        <v>22.33%</v>
        <stp/>
        <stp>IMPL_VOL</stp>
        <stp>.NDX250516C20100</stp>
        <tr r="EN187" s="1"/>
      </tp>
      <tp t="s">
        <v>19.30%</v>
        <stp/>
        <stp>IMPL_VOL</stp>
        <stp>.NDX250620C20725</stp>
        <tr r="EP162" s="1"/>
      </tp>
      <tp t="s">
        <v>20.60%</v>
        <stp/>
        <stp>IMPL_VOL</stp>
        <stp>.NDX250516C21125</stp>
        <tr r="EN146" s="1"/>
      </tp>
      <tp t="s">
        <v>21.76%</v>
        <stp/>
        <stp>IMPL_VOL</stp>
        <stp>.NDX250516C20125</stp>
        <tr r="EN186" s="1"/>
      </tp>
      <tp t="s">
        <v>19.23%</v>
        <stp/>
        <stp>IMPL_VOL</stp>
        <stp>.NDX250620C20750</stp>
        <tr r="EP161" s="1"/>
      </tp>
      <tp t="s">
        <v>20.60%</v>
        <stp/>
        <stp>IMPL_VOL</stp>
        <stp>.NDX250516C21150</stp>
        <tr r="EN145" s="1"/>
      </tp>
      <tp t="s">
        <v>22.63%</v>
        <stp/>
        <stp>IMPL_VOL</stp>
        <stp>.NDX250516C20150</stp>
        <tr r="EN185" s="1"/>
      </tp>
      <tp t="s">
        <v>19.17%</v>
        <stp/>
        <stp>IMPL_VOL</stp>
        <stp>.NDX250620C20775</stp>
        <tr r="EP160" s="1"/>
      </tp>
      <tp t="s">
        <v>20.60%</v>
        <stp/>
        <stp>IMPL_VOL</stp>
        <stp>.NDX250516C21175</stp>
        <tr r="EN144" s="1"/>
      </tp>
      <tp t="s">
        <v>22.02%</v>
        <stp/>
        <stp>IMPL_VOL</stp>
        <stp>.NDX250516C20175</stp>
        <tr r="EN184" s="1"/>
      </tp>
      <tp t="s">
        <v>20.33%</v>
        <stp/>
        <stp>IMPL_VOL</stp>
        <stp>.NDX250620P20725</stp>
        <tr r="EQ162" s="1"/>
      </tp>
      <tp t="s">
        <v>22.75%</v>
        <stp/>
        <stp>IMPL_VOL</stp>
        <stp>.NDX250516P21125</stp>
        <tr r="EO146" s="1"/>
      </tp>
      <tp t="s">
        <v>25.85%</v>
        <stp/>
        <stp>IMPL_VOL</stp>
        <stp>.NDX250516P20125</stp>
        <tr r="EO186" s="1"/>
      </tp>
      <tp t="s">
        <v>20.41%</v>
        <stp/>
        <stp>IMPL_VOL</stp>
        <stp>.NDX250620P20700</stp>
        <tr r="EQ163" s="1"/>
      </tp>
      <tp t="s">
        <v>22.66%</v>
        <stp/>
        <stp>IMPL_VOL</stp>
        <stp>.NDX250516P21100</stp>
        <tr r="EO147" s="1"/>
      </tp>
      <tp t="s">
        <v>25.97%</v>
        <stp/>
        <stp>IMPL_VOL</stp>
        <stp>.NDX250516P20100</stp>
        <tr r="EO187" s="1"/>
      </tp>
      <tp t="s">
        <v>20.20%</v>
        <stp/>
        <stp>IMPL_VOL</stp>
        <stp>.NDX250620P20775</stp>
        <tr r="EQ160" s="1"/>
      </tp>
      <tp t="s">
        <v>22.96%</v>
        <stp/>
        <stp>IMPL_VOL</stp>
        <stp>.NDX250516P21175</stp>
        <tr r="EO144" s="1"/>
      </tp>
      <tp t="s">
        <v>25.56%</v>
        <stp/>
        <stp>IMPL_VOL</stp>
        <stp>.NDX250516P20175</stp>
        <tr r="EO184" s="1"/>
      </tp>
      <tp t="s">
        <v>20.27%</v>
        <stp/>
        <stp>IMPL_VOL</stp>
        <stp>.NDX250620P20750</stp>
        <tr r="EQ161" s="1"/>
      </tp>
      <tp t="s">
        <v>22.86%</v>
        <stp/>
        <stp>IMPL_VOL</stp>
        <stp>.NDX250516P21150</stp>
        <tr r="EO145" s="1"/>
      </tp>
      <tp t="s">
        <v>25.70%</v>
        <stp/>
        <stp>IMPL_VOL</stp>
        <stp>.NDX250516P20150</stp>
        <tr r="EO185" s="1"/>
      </tp>
      <tp>
        <v>1428</v>
        <stp/>
        <stp>OPEN_INT</stp>
        <stp>.SPXW250512C5830</stp>
        <tr r="AS104" s="1"/>
        <tr r="AS104" s="1"/>
      </tp>
      <tp>
        <v>24</v>
        <stp/>
        <stp>OPEN_INT</stp>
        <stp>.SPXW250512P5830</stp>
        <tr r="AT104" s="1"/>
        <tr r="AT104" s="1"/>
      </tp>
      <tp>
        <v>2011</v>
        <stp/>
        <stp>OPEN_INT</stp>
        <stp>.SPXW250512C5820</stp>
        <tr r="AS105" s="1"/>
        <tr r="AS105" s="1"/>
      </tp>
      <tp>
        <v>87</v>
        <stp/>
        <stp>OPEN_INT</stp>
        <stp>.SPXW250512P5820</stp>
        <tr r="AT105" s="1"/>
        <tr r="AT105" s="1"/>
      </tp>
      <tp>
        <v>2646</v>
        <stp/>
        <stp>OPEN_INT</stp>
        <stp>.SPXW250512C5810</stp>
        <tr r="AS106" s="1"/>
        <tr r="AS106" s="1"/>
      </tp>
      <tp>
        <v>23</v>
        <stp/>
        <stp>OPEN_INT</stp>
        <stp>.SPXW250512P5810</stp>
        <tr r="AT106" s="1"/>
        <tr r="AT106" s="1"/>
      </tp>
      <tp>
        <v>4746</v>
        <stp/>
        <stp>OPEN_INT</stp>
        <stp>.SPXW250512C5800</stp>
        <tr r="AS107" s="1"/>
        <tr r="AS107" s="1"/>
      </tp>
      <tp>
        <v>102</v>
        <stp/>
        <stp>OPEN_INT</stp>
        <stp>.SPXW250512P5800</stp>
        <tr r="AT107" s="1"/>
        <tr r="AT107" s="1"/>
      </tp>
      <tp>
        <v>1102</v>
        <stp/>
        <stp>OPEN_INT</stp>
        <stp>.SPXW250512C5870</stp>
        <tr r="AS100" s="1"/>
        <tr r="AS100" s="1"/>
      </tp>
      <tp>
        <v>22</v>
        <stp/>
        <stp>OPEN_INT</stp>
        <stp>.SPXW250512P5870</stp>
        <tr r="AT100" s="1"/>
        <tr r="AT100" s="1"/>
      </tp>
      <tp>
        <v>1046</v>
        <stp/>
        <stp>OPEN_INT</stp>
        <stp>.SPXW250512C5860</stp>
        <tr r="AS101" s="1"/>
        <tr r="AS101" s="1"/>
      </tp>
      <tp>
        <v>40</v>
        <stp/>
        <stp>OPEN_INT</stp>
        <stp>.SPXW250512P5860</stp>
        <tr r="AT101" s="1"/>
        <tr r="AT101" s="1"/>
      </tp>
      <tp>
        <v>2420</v>
        <stp/>
        <stp>OPEN_INT</stp>
        <stp>.SPXW250512C5850</stp>
        <tr r="AS102" s="1"/>
        <tr r="AS102" s="1"/>
      </tp>
      <tp>
        <v>173</v>
        <stp/>
        <stp>OPEN_INT</stp>
        <stp>.SPXW250512P5850</stp>
        <tr r="AT102" s="1"/>
        <tr r="AT102" s="1"/>
      </tp>
      <tp>
        <v>1601</v>
        <stp/>
        <stp>OPEN_INT</stp>
        <stp>.SPXW250512C5840</stp>
        <tr r="AS103" s="1"/>
        <tr r="AS103" s="1"/>
      </tp>
      <tp>
        <v>11</v>
        <stp/>
        <stp>OPEN_INT</stp>
        <stp>.SPXW250512P5840</stp>
        <tr r="AT103" s="1"/>
        <tr r="AT103" s="1"/>
      </tp>
      <tp>
        <v>453</v>
        <stp/>
        <stp>OPEN_INT</stp>
        <stp>.SPXW250512C5890</stp>
        <tr r="AS98" s="1"/>
        <tr r="AS98" s="1"/>
      </tp>
      <tp>
        <v>8</v>
        <stp/>
        <stp>OPEN_INT</stp>
        <stp>.SPXW250512P5890</stp>
        <tr r="AT98" s="1"/>
        <tr r="AT98" s="1"/>
      </tp>
      <tp>
        <v>1206</v>
        <stp/>
        <stp>OPEN_INT</stp>
        <stp>.SPXW250512C5880</stp>
        <tr r="AS99" s="1"/>
        <tr r="AS99" s="1"/>
      </tp>
      <tp>
        <v>13</v>
        <stp/>
        <stp>OPEN_INT</stp>
        <stp>.SPXW250512P5880</stp>
        <tr r="AT99" s="1"/>
        <tr r="AT99" s="1"/>
      </tp>
      <tp t="s">
        <v>19.64%</v>
        <stp/>
        <stp>IMPL_VOL</stp>
        <stp>.NDX250620C20600</stp>
        <tr r="EP167" s="1"/>
      </tp>
      <tp t="s">
        <v>20.71%</v>
        <stp/>
        <stp>IMPL_VOL</stp>
        <stp>.NDX250516C21000</stp>
        <tr r="EN151" s="1"/>
      </tp>
      <tp t="s">
        <v>19.58%</v>
        <stp/>
        <stp>IMPL_VOL</stp>
        <stp>.NDX250620C20625</stp>
        <tr r="EP166" s="1"/>
      </tp>
      <tp t="s">
        <v>20.70%</v>
        <stp/>
        <stp>IMPL_VOL</stp>
        <stp>.NDX250516C21025</stp>
        <tr r="EN150" s="1"/>
      </tp>
      <tp t="s">
        <v>19.50%</v>
        <stp/>
        <stp>IMPL_VOL</stp>
        <stp>.NDX250620C20650</stp>
        <tr r="EP165" s="1"/>
      </tp>
      <tp t="s">
        <v>20.66%</v>
        <stp/>
        <stp>IMPL_VOL</stp>
        <stp>.NDX250516C21050</stp>
        <tr r="EN149" s="1"/>
      </tp>
      <tp t="s">
        <v>21.74%</v>
        <stp/>
        <stp>IMPL_VOL</stp>
        <stp>.NDX250516C20050</stp>
        <tr r="EN189" s="1"/>
      </tp>
      <tp t="s">
        <v>19.41%</v>
        <stp/>
        <stp>IMPL_VOL</stp>
        <stp>.NDX250620C20675</stp>
        <tr r="EP164" s="1"/>
      </tp>
      <tp t="s">
        <v>20.64%</v>
        <stp/>
        <stp>IMPL_VOL</stp>
        <stp>.NDX250516C21075</stp>
        <tr r="EN148" s="1"/>
      </tp>
      <tp t="s">
        <v>21.46%</v>
        <stp/>
        <stp>IMPL_VOL</stp>
        <stp>.NDX250516C20075</stp>
        <tr r="EN188" s="1"/>
      </tp>
      <tp t="s">
        <v>20.62%</v>
        <stp/>
        <stp>IMPL_VOL</stp>
        <stp>.NDX250620P20625</stp>
        <tr r="EQ166" s="1"/>
      </tp>
      <tp t="s">
        <v>22.86%</v>
        <stp/>
        <stp>IMPL_VOL</stp>
        <stp>.NDX250516P21025</stp>
        <tr r="EO150" s="1"/>
      </tp>
      <tp t="s">
        <v>20.70%</v>
        <stp/>
        <stp>IMPL_VOL</stp>
        <stp>.NDX250620P20600</stp>
        <tr r="EQ167" s="1"/>
      </tp>
      <tp t="s">
        <v>22.85%</v>
        <stp/>
        <stp>IMPL_VOL</stp>
        <stp>.NDX250516P21000</stp>
        <tr r="EO151" s="1"/>
      </tp>
      <tp t="s">
        <v>20.47%</v>
        <stp/>
        <stp>IMPL_VOL</stp>
        <stp>.NDX250620P20675</stp>
        <tr r="EQ164" s="1"/>
      </tp>
      <tp t="s">
        <v>22.91%</v>
        <stp/>
        <stp>IMPL_VOL</stp>
        <stp>.NDX250516P21075</stp>
        <tr r="EO148" s="1"/>
      </tp>
      <tp t="s">
        <v>26.14%</v>
        <stp/>
        <stp>IMPL_VOL</stp>
        <stp>.NDX250516P20075</stp>
        <tr r="EO188" s="1"/>
      </tp>
      <tp t="s">
        <v>20.55%</v>
        <stp/>
        <stp>IMPL_VOL</stp>
        <stp>.NDX250620P20650</stp>
        <tr r="EQ165" s="1"/>
      </tp>
      <tp t="s">
        <v>22.86%</v>
        <stp/>
        <stp>IMPL_VOL</stp>
        <stp>.NDX250516P21050</stp>
        <tr r="EO149" s="1"/>
      </tp>
      <tp t="s">
        <v>26.27%</v>
        <stp/>
        <stp>IMPL_VOL</stp>
        <stp>.NDX250516P20050</stp>
        <tr r="EO189" s="1"/>
      </tp>
      <tp t="s">
        <v>N/A</v>
        <stp/>
        <stp>VOLUME</stp>
        <stp>.SPX250523C6010</stp>
        <tr r="H87" s="2"/>
      </tp>
      <tp>
        <v>1675</v>
        <stp/>
        <stp>VOLUME</stp>
        <stp>.SPX250620C6020</stp>
        <tr r="BE85" s="1"/>
        <tr r="BE85" s="1"/>
      </tp>
      <tp t="s">
        <v>N/A</v>
        <stp/>
        <stp>VOLUME</stp>
        <stp>.SPX250523P6010</stp>
        <tr r="H87" s="2"/>
      </tp>
      <tp t="s">
        <v>N/A</v>
        <stp/>
        <stp>VOLUME</stp>
        <stp>.SPX250620P6020</stp>
        <tr r="BF85" s="1"/>
      </tp>
      <tp t="s">
        <v>N/A</v>
        <stp/>
        <stp>VOLUME</stp>
        <stp>.SPX250523C6000</stp>
        <tr r="H88" s="2"/>
      </tp>
      <tp t="s">
        <v>N/A</v>
        <stp/>
        <stp>VOLUME</stp>
        <stp>.SPX251121C6020</stp>
        <tr r="U86" s="2"/>
      </tp>
      <tp t="s">
        <v>N/A</v>
        <stp/>
        <stp>VOLUME</stp>
        <stp>.SPX251121P6020</stp>
        <tr r="U86" s="2"/>
      </tp>
      <tp t="s">
        <v>N/A</v>
        <stp/>
        <stp>VOLUME</stp>
        <stp>.SPX250523P6000</stp>
        <tr r="H88" s="2"/>
      </tp>
      <tp>
        <v>11949</v>
        <stp/>
        <stp>VOLUME</stp>
        <stp>.SPX250620C6000</stp>
        <tr r="BE87" s="1"/>
        <tr r="BE87" s="1"/>
      </tp>
      <tp t="s">
        <v>N/A</v>
        <stp/>
        <stp>VOLUME</stp>
        <stp>.SPX251121C6010</stp>
        <tr r="U87" s="2"/>
      </tp>
      <tp t="s">
        <v>N/A</v>
        <stp/>
        <stp>VOLUME</stp>
        <stp>.SPX251121P6010</stp>
        <tr r="U87" s="2"/>
      </tp>
      <tp>
        <v>3912</v>
        <stp/>
        <stp>VOLUME</stp>
        <stp>.SPX250620P6000</stp>
        <tr r="BF87" s="1"/>
        <tr r="BF87" s="1"/>
      </tp>
      <tp t="s">
        <v>N/A</v>
        <stp/>
        <stp>VOLUME</stp>
        <stp>.SPX250523C6020</stp>
        <tr r="H86" s="2"/>
      </tp>
      <tp>
        <v>38</v>
        <stp/>
        <stp>VOLUME</stp>
        <stp>.SPX250620C6010</stp>
        <tr r="BE86" s="1"/>
        <tr r="BE86" s="1"/>
      </tp>
      <tp>
        <v>31</v>
        <stp/>
        <stp>VOLUME</stp>
        <stp>.SPX251121C6000</stp>
        <tr r="U88" s="2"/>
        <tr r="U88" s="2"/>
      </tp>
      <tp>
        <v>19</v>
        <stp/>
        <stp>VOLUME</stp>
        <stp>.SPX251121P6000</stp>
        <tr r="U88" s="2"/>
        <tr r="U88" s="2"/>
      </tp>
      <tp t="s">
        <v>N/A</v>
        <stp/>
        <stp>VOLUME</stp>
        <stp>.SPX250523P6020</stp>
        <tr r="H86" s="2"/>
      </tp>
      <tp>
        <v>1</v>
        <stp/>
        <stp>VOLUME</stp>
        <stp>.SPX250620P6010</stp>
        <tr r="BF86" s="1"/>
        <tr r="BF86" s="1"/>
      </tp>
      <tp t="s">
        <v>N/A</v>
        <stp/>
        <stp>OPEN_INT</stp>
        <stp>.SPXW250512C5930</stp>
        <tr r="AS94" s="1"/>
      </tp>
      <tp t="s">
        <v>N/A</v>
        <stp/>
        <stp>OPEN_INT</stp>
        <stp>.SPXW250512P5930</stp>
        <tr r="AT94" s="1"/>
      </tp>
      <tp t="s">
        <v>N/A</v>
        <stp/>
        <stp>OPEN_INT</stp>
        <stp>.SPXW250512C5920</stp>
        <tr r="AS95" s="1"/>
      </tp>
      <tp t="s">
        <v>N/A</v>
        <stp/>
        <stp>OPEN_INT</stp>
        <stp>.SPXW250512P5920</stp>
        <tr r="AT95" s="1"/>
      </tp>
      <tp t="s">
        <v>N/A</v>
        <stp/>
        <stp>OPEN_INT</stp>
        <stp>.SPXW250512C5910</stp>
        <tr r="AS96" s="1"/>
      </tp>
      <tp t="s">
        <v>N/A</v>
        <stp/>
        <stp>OPEN_INT</stp>
        <stp>.SPXW250512P5910</stp>
        <tr r="AT96" s="1"/>
      </tp>
      <tp>
        <v>2608</v>
        <stp/>
        <stp>OPEN_INT</stp>
        <stp>.SPXW250512C5900</stp>
        <tr r="AS97" s="1"/>
        <tr r="AS97" s="1"/>
      </tp>
      <tp>
        <v>31</v>
        <stp/>
        <stp>OPEN_INT</stp>
        <stp>.SPXW250512P5900</stp>
        <tr r="AT97" s="1"/>
        <tr r="AT97" s="1"/>
      </tp>
      <tp t="s">
        <v>N/A</v>
        <stp/>
        <stp>OPEN_INT</stp>
        <stp>.SPXW250512C5970</stp>
        <tr r="AS90" s="1"/>
      </tp>
      <tp t="s">
        <v>N/A</v>
        <stp/>
        <stp>OPEN_INT</stp>
        <stp>.SPXW250512P5970</stp>
        <tr r="AT90" s="1"/>
      </tp>
      <tp t="s">
        <v>N/A</v>
        <stp/>
        <stp>OPEN_INT</stp>
        <stp>.SPXW250512C5960</stp>
        <tr r="AS91" s="1"/>
      </tp>
      <tp t="s">
        <v>N/A</v>
        <stp/>
        <stp>OPEN_INT</stp>
        <stp>.SPXW250512P5960</stp>
        <tr r="AT91" s="1"/>
      </tp>
      <tp>
        <v>4128</v>
        <stp/>
        <stp>OPEN_INT</stp>
        <stp>.SPXW250512C5950</stp>
        <tr r="AS92" s="1"/>
        <tr r="AS92" s="1"/>
      </tp>
      <tp>
        <v>30</v>
        <stp/>
        <stp>OPEN_INT</stp>
        <stp>.SPXW250512P5950</stp>
        <tr r="AT92" s="1"/>
        <tr r="AT92" s="1"/>
      </tp>
      <tp t="s">
        <v>N/A</v>
        <stp/>
        <stp>OPEN_INT</stp>
        <stp>.SPXW250512C5940</stp>
        <tr r="AS93" s="1"/>
      </tp>
      <tp t="s">
        <v>N/A</v>
        <stp/>
        <stp>OPEN_INT</stp>
        <stp>.SPXW250512P5940</stp>
        <tr r="AT93" s="1"/>
      </tp>
      <tp t="s">
        <v>N/A</v>
        <stp/>
        <stp>OPEN_INT</stp>
        <stp>.SPXW250512C5990</stp>
        <tr r="AS88" s="1"/>
      </tp>
      <tp t="s">
        <v>N/A</v>
        <stp/>
        <stp>OPEN_INT</stp>
        <stp>.SPXW250512P5990</stp>
        <tr r="AT88" s="1"/>
      </tp>
      <tp t="s">
        <v>N/A</v>
        <stp/>
        <stp>OPEN_INT</stp>
        <stp>.SPXW250512C5980</stp>
        <tr r="AS89" s="1"/>
      </tp>
      <tp t="s">
        <v>N/A</v>
        <stp/>
        <stp>OPEN_INT</stp>
        <stp>.SPXW250512P5980</stp>
        <tr r="AT89" s="1"/>
      </tp>
      <tp t="s">
        <v>21.02%</v>
        <stp/>
        <stp>IMPL_VOL</stp>
        <stp>.NDX250620C20100</stp>
        <tr r="EP187" s="1"/>
      </tp>
      <tp t="s">
        <v>18.40%</v>
        <stp/>
        <stp>IMPL_VOL</stp>
        <stp>.NDX250620C21100</stp>
        <tr r="EP147" s="1"/>
      </tp>
      <tp t="s">
        <v>21.04%</v>
        <stp/>
        <stp>IMPL_VOL</stp>
        <stp>.NDX250516C20700</stp>
        <tr r="EN163" s="1"/>
      </tp>
      <tp t="s">
        <v>21.54%</v>
        <stp/>
        <stp>IMPL_VOL</stp>
        <stp>.NDX250620C20125</stp>
        <tr r="EP186" s="1"/>
      </tp>
      <tp t="s">
        <v>18.35%</v>
        <stp/>
        <stp>IMPL_VOL</stp>
        <stp>.NDX250620C21125</stp>
        <tr r="EP146" s="1"/>
      </tp>
      <tp t="s">
        <v>21.09%</v>
        <stp/>
        <stp>IMPL_VOL</stp>
        <stp>.NDX250516C20725</stp>
        <tr r="EN162" s="1"/>
      </tp>
      <tp t="s">
        <v>20.90%</v>
        <stp/>
        <stp>IMPL_VOL</stp>
        <stp>.NDX250620C20150</stp>
        <tr r="EP185" s="1"/>
      </tp>
      <tp t="s">
        <v>18.30%</v>
        <stp/>
        <stp>IMPL_VOL</stp>
        <stp>.NDX250620C21150</stp>
        <tr r="EP145" s="1"/>
      </tp>
      <tp t="s">
        <v>21.00%</v>
        <stp/>
        <stp>IMPL_VOL</stp>
        <stp>.NDX250516C20750</stp>
        <tr r="EN161" s="1"/>
      </tp>
      <tp t="s">
        <v>21.39%</v>
        <stp/>
        <stp>IMPL_VOL</stp>
        <stp>.NDX250620C20175</stp>
        <tr r="EP184" s="1"/>
      </tp>
      <tp t="s">
        <v>18.25%</v>
        <stp/>
        <stp>IMPL_VOL</stp>
        <stp>.NDX250620C21175</stp>
        <tr r="EP144" s="1"/>
      </tp>
      <tp t="s">
        <v>20.97%</v>
        <stp/>
        <stp>IMPL_VOL</stp>
        <stp>.NDX250516C20775</stp>
        <tr r="EN160" s="1"/>
      </tp>
      <tp t="s">
        <v>22.21%</v>
        <stp/>
        <stp>IMPL_VOL</stp>
        <stp>.NDX250620P20125</stp>
        <tr r="EQ186" s="1"/>
      </tp>
      <tp t="s">
        <v>19.37%</v>
        <stp/>
        <stp>IMPL_VOL</stp>
        <stp>.NDX250620P21125</stp>
        <tr r="EQ146" s="1"/>
      </tp>
      <tp t="s">
        <v>23.21%</v>
        <stp/>
        <stp>IMPL_VOL</stp>
        <stp>.NDX250516P20725</stp>
        <tr r="EO162" s="1"/>
      </tp>
      <tp t="s">
        <v>22.29%</v>
        <stp/>
        <stp>IMPL_VOL</stp>
        <stp>.NDX250620P20100</stp>
        <tr r="EQ187" s="1"/>
      </tp>
      <tp t="s">
        <v>19.42%</v>
        <stp/>
        <stp>IMPL_VOL</stp>
        <stp>.NDX250620P21100</stp>
        <tr r="EQ147" s="1"/>
      </tp>
      <tp t="s">
        <v>23.29%</v>
        <stp/>
        <stp>IMPL_VOL</stp>
        <stp>.NDX250516P20700</stp>
        <tr r="EO163" s="1"/>
      </tp>
      <tp t="s">
        <v>22.05%</v>
        <stp/>
        <stp>IMPL_VOL</stp>
        <stp>.NDX250620P20175</stp>
        <tr r="EQ184" s="1"/>
      </tp>
      <tp t="s">
        <v>19.27%</v>
        <stp/>
        <stp>IMPL_VOL</stp>
        <stp>.NDX250620P21175</stp>
        <tr r="EQ144" s="1"/>
      </tp>
      <tp t="s">
        <v>23.08%</v>
        <stp/>
        <stp>IMPL_VOL</stp>
        <stp>.NDX250516P20775</stp>
        <tr r="EO160" s="1"/>
      </tp>
      <tp t="s">
        <v>22.12%</v>
        <stp/>
        <stp>IMPL_VOL</stp>
        <stp>.NDX250620P20150</stp>
        <tr r="EQ185" s="1"/>
      </tp>
      <tp t="s">
        <v>19.32%</v>
        <stp/>
        <stp>IMPL_VOL</stp>
        <stp>.NDX250620P21150</stp>
        <tr r="EQ145" s="1"/>
      </tp>
      <tp t="s">
        <v>23.17%</v>
        <stp/>
        <stp>IMPL_VOL</stp>
        <stp>.NDX250516P20750</stp>
        <tr r="EO161" s="1"/>
      </tp>
      <tp>
        <v>101</v>
        <stp/>
        <stp>VOLUME</stp>
        <stp>.SPX250620C5760</stp>
        <tr r="BE111" s="1"/>
        <tr r="BE111" s="1"/>
      </tp>
      <tp t="s">
        <v>N/A</v>
        <stp/>
        <stp>VOLUME</stp>
        <stp>.SPX250523C5750</stp>
        <tr r="H113" s="2"/>
      </tp>
      <tp t="s">
        <v>N/A</v>
        <stp/>
        <stp>VOLUME</stp>
        <stp>.SPX251121C5770</stp>
        <tr r="U111" s="2"/>
      </tp>
      <tp t="s">
        <v>N/A</v>
        <stp/>
        <stp>VOLUME</stp>
        <stp>.SPX251121P5770</stp>
        <tr r="U111" s="2"/>
      </tp>
      <tp>
        <v>201</v>
        <stp/>
        <stp>VOLUME</stp>
        <stp>.SPX250620P5760</stp>
        <tr r="BF111" s="1"/>
        <tr r="BF111" s="1"/>
      </tp>
      <tp t="s">
        <v>N/A</v>
        <stp/>
        <stp>VOLUME</stp>
        <stp>.SPX250523P5750</stp>
        <tr r="H113" s="2"/>
      </tp>
      <tp>
        <v>59</v>
        <stp/>
        <stp>VOLUME</stp>
        <stp>.SPX250620C5770</stp>
        <tr r="BE110" s="1"/>
        <tr r="BE110" s="1"/>
      </tp>
      <tp t="s">
        <v>N/A</v>
        <stp/>
        <stp>VOLUME</stp>
        <stp>.SPX250523C5740</stp>
        <tr r="H114" s="2"/>
      </tp>
      <tp t="s">
        <v>N/A</v>
        <stp/>
        <stp>VOLUME</stp>
        <stp>.SPX251121C5760</stp>
        <tr r="U112" s="2"/>
      </tp>
      <tp t="s">
        <v>N/A</v>
        <stp/>
        <stp>VOLUME</stp>
        <stp>.SPX251121P5760</stp>
        <tr r="U112" s="2"/>
      </tp>
      <tp>
        <v>60</v>
        <stp/>
        <stp>VOLUME</stp>
        <stp>.SPX250620P5770</stp>
        <tr r="BF110" s="1"/>
        <tr r="BF110" s="1"/>
      </tp>
      <tp t="s">
        <v>N/A</v>
        <stp/>
        <stp>VOLUME</stp>
        <stp>.SPX250523P5740</stp>
        <tr r="H114" s="2"/>
      </tp>
      <tp>
        <v>97</v>
        <stp/>
        <stp>VOLUME</stp>
        <stp>.SPX250620C5740</stp>
        <tr r="BE113" s="1"/>
        <tr r="BE113" s="1"/>
      </tp>
      <tp t="s">
        <v>N/A</v>
        <stp/>
        <stp>VOLUME</stp>
        <stp>.SPX250523C5770</stp>
        <tr r="H111" s="2"/>
      </tp>
      <tp>
        <v>28</v>
        <stp/>
        <stp>VOLUME</stp>
        <stp>.SPX251121C5750</stp>
        <tr r="U113" s="2"/>
        <tr r="U113" s="2"/>
      </tp>
      <tp>
        <v>9</v>
        <stp/>
        <stp>VOLUME</stp>
        <stp>.SPX251121P5750</stp>
        <tr r="U113" s="2"/>
        <tr r="U113" s="2"/>
      </tp>
      <tp>
        <v>142</v>
        <stp/>
        <stp>VOLUME</stp>
        <stp>.SPX250620P5740</stp>
        <tr r="BF113" s="1"/>
        <tr r="BF113" s="1"/>
      </tp>
      <tp t="s">
        <v>N/A</v>
        <stp/>
        <stp>VOLUME</stp>
        <stp>.SPX250523P5770</stp>
        <tr r="H111" s="2"/>
      </tp>
      <tp>
        <v>1689</v>
        <stp/>
        <stp>VOLUME</stp>
        <stp>.SPX250620C5750</stp>
        <tr r="BE112" s="1"/>
        <tr r="BE112" s="1"/>
      </tp>
      <tp t="s">
        <v>N/A</v>
        <stp/>
        <stp>VOLUME</stp>
        <stp>.SPX250523C5760</stp>
        <tr r="H112" s="2"/>
      </tp>
      <tp t="s">
        <v>N/A</v>
        <stp/>
        <stp>VOLUME</stp>
        <stp>.SPX251121C5740</stp>
        <tr r="U114" s="2"/>
      </tp>
      <tp t="s">
        <v>N/A</v>
        <stp/>
        <stp>VOLUME</stp>
        <stp>.SPX251121P5740</stp>
        <tr r="U114" s="2"/>
      </tp>
      <tp>
        <v>937</v>
        <stp/>
        <stp>VOLUME</stp>
        <stp>.SPX250620P5750</stp>
        <tr r="BF112" s="1"/>
        <tr r="BF112" s="1"/>
      </tp>
      <tp t="s">
        <v>N/A</v>
        <stp/>
        <stp>VOLUME</stp>
        <stp>.SPX250523P5760</stp>
        <tr r="H112" s="2"/>
      </tp>
      <tp>
        <v>1</v>
        <stp/>
        <stp>VOLUME</stp>
        <stp>.SPX250620C5720</stp>
        <tr r="BE115" s="1"/>
        <tr r="BE115" s="1"/>
      </tp>
      <tp t="s">
        <v>N/A</v>
        <stp/>
        <stp>VOLUME</stp>
        <stp>.SPX250523C5710</stp>
        <tr r="H117" s="2"/>
      </tp>
      <tp t="s">
        <v>N/A</v>
        <stp/>
        <stp>VOLUME</stp>
        <stp>.SPX251121C5730</stp>
        <tr r="U115" s="2"/>
      </tp>
      <tp t="s">
        <v>N/A</v>
        <stp/>
        <stp>VOLUME</stp>
        <stp>.SPX251121P5730</stp>
        <tr r="U115" s="2"/>
      </tp>
      <tp>
        <v>62</v>
        <stp/>
        <stp>VOLUME</stp>
        <stp>.SPX250620P5720</stp>
        <tr r="BF115" s="1"/>
        <tr r="BF115" s="1"/>
      </tp>
      <tp t="s">
        <v>N/A</v>
        <stp/>
        <stp>VOLUME</stp>
        <stp>.SPX250523P5710</stp>
        <tr r="H117" s="2"/>
      </tp>
      <tp t="s">
        <v>N/A</v>
        <stp/>
        <stp>VOLUME</stp>
        <stp>.SPX250620C5730</stp>
        <tr r="BE114" s="1"/>
      </tp>
      <tp t="s">
        <v>N/A</v>
        <stp/>
        <stp>VOLUME</stp>
        <stp>.SPX250523C5700</stp>
        <tr r="H118" s="2"/>
      </tp>
      <tp t="s">
        <v>N/A</v>
        <stp/>
        <stp>VOLUME</stp>
        <stp>.SPX251121C5720</stp>
        <tr r="U116" s="2"/>
      </tp>
      <tp t="s">
        <v>N/A</v>
        <stp/>
        <stp>VOLUME</stp>
        <stp>.SPX251121P5720</stp>
        <tr r="U116" s="2"/>
      </tp>
      <tp>
        <v>13</v>
        <stp/>
        <stp>VOLUME</stp>
        <stp>.SPX250620P5730</stp>
        <tr r="BF114" s="1"/>
        <tr r="BF114" s="1"/>
      </tp>
      <tp t="s">
        <v>N/A</v>
        <stp/>
        <stp>VOLUME</stp>
        <stp>.SPX250523P5700</stp>
        <tr r="H118" s="2"/>
      </tp>
      <tp>
        <v>2004</v>
        <stp/>
        <stp>VOLUME</stp>
        <stp>.SPX250620C5700</stp>
        <tr r="BE117" s="1"/>
        <tr r="BE117" s="1"/>
      </tp>
      <tp t="s">
        <v>N/A</v>
        <stp/>
        <stp>VOLUME</stp>
        <stp>.SPX250523C5730</stp>
        <tr r="H115" s="2"/>
      </tp>
      <tp t="s">
        <v>N/A</v>
        <stp/>
        <stp>VOLUME</stp>
        <stp>.SPX251121C5710</stp>
        <tr r="U117" s="2"/>
      </tp>
      <tp t="s">
        <v>N/A</v>
        <stp/>
        <stp>VOLUME</stp>
        <stp>.SPX251121P5710</stp>
        <tr r="U117" s="2"/>
      </tp>
      <tp>
        <v>5245</v>
        <stp/>
        <stp>VOLUME</stp>
        <stp>.SPX250620P5700</stp>
        <tr r="BF117" s="1"/>
        <tr r="BF117" s="1"/>
      </tp>
      <tp t="s">
        <v>N/A</v>
        <stp/>
        <stp>VOLUME</stp>
        <stp>.SPX250523P5730</stp>
        <tr r="H115" s="2"/>
      </tp>
      <tp>
        <v>3004</v>
        <stp/>
        <stp>VOLUME</stp>
        <stp>.SPX250620C5710</stp>
        <tr r="BE116" s="1"/>
        <tr r="BE116" s="1"/>
      </tp>
      <tp t="s">
        <v>N/A</v>
        <stp/>
        <stp>VOLUME</stp>
        <stp>.SPX250523C5720</stp>
        <tr r="H116" s="2"/>
      </tp>
      <tp>
        <v>9</v>
        <stp/>
        <stp>VOLUME</stp>
        <stp>.SPX251121C5700</stp>
        <tr r="U118" s="2"/>
        <tr r="U118" s="2"/>
      </tp>
      <tp>
        <v>17</v>
        <stp/>
        <stp>VOLUME</stp>
        <stp>.SPX251121P5700</stp>
        <tr r="U118" s="2"/>
        <tr r="U118" s="2"/>
      </tp>
      <tp>
        <v>3014</v>
        <stp/>
        <stp>VOLUME</stp>
        <stp>.SPX250620P5710</stp>
        <tr r="BF116" s="1"/>
        <tr r="BF116" s="1"/>
      </tp>
      <tp t="s">
        <v>N/A</v>
        <stp/>
        <stp>VOLUME</stp>
        <stp>.SPX250523P5720</stp>
        <tr r="H116" s="2"/>
      </tp>
      <tp t="s">
        <v>N/A</v>
        <stp/>
        <stp>VOLUME</stp>
        <stp>.SPX250523C5790</stp>
        <tr r="H109" s="2"/>
      </tp>
      <tp t="s">
        <v>N/A</v>
        <stp/>
        <stp>VOLUME</stp>
        <stp>.SPX250523P5790</stp>
        <tr r="H109" s="2"/>
      </tp>
      <tp t="s">
        <v>N/A</v>
        <stp/>
        <stp>VOLUME</stp>
        <stp>.SPX250523C5780</stp>
        <tr r="H110" s="2"/>
      </tp>
      <tp t="s">
        <v>N/A</v>
        <stp/>
        <stp>VOLUME</stp>
        <stp>.SPX250523P5780</stp>
        <tr r="H110" s="2"/>
      </tp>
      <tp>
        <v>24</v>
        <stp/>
        <stp>VOLUME</stp>
        <stp>.SPX250620C5780</stp>
        <tr r="BE109" s="1"/>
        <tr r="BE109" s="1"/>
      </tp>
      <tp t="s">
        <v>N/A</v>
        <stp/>
        <stp>VOLUME</stp>
        <stp>.SPX251121C5790</stp>
        <tr r="U109" s="2"/>
      </tp>
      <tp t="s">
        <v>N/A</v>
        <stp/>
        <stp>VOLUME</stp>
        <stp>.SPX251121P5790</stp>
        <tr r="U109" s="2"/>
      </tp>
      <tp>
        <v>50</v>
        <stp/>
        <stp>VOLUME</stp>
        <stp>.SPX250620P5780</stp>
        <tr r="BF109" s="1"/>
        <tr r="BF109" s="1"/>
      </tp>
      <tp>
        <v>9</v>
        <stp/>
        <stp>VOLUME</stp>
        <stp>.SPX250620C5790</stp>
        <tr r="BE108" s="1"/>
        <tr r="BE108" s="1"/>
      </tp>
      <tp t="s">
        <v>N/A</v>
        <stp/>
        <stp>VOLUME</stp>
        <stp>.SPX251121C5780</stp>
        <tr r="U110" s="2"/>
      </tp>
      <tp t="s">
        <v>N/A</v>
        <stp/>
        <stp>VOLUME</stp>
        <stp>.SPX251121P5780</stp>
        <tr r="U110" s="2"/>
      </tp>
      <tp>
        <v>3</v>
        <stp/>
        <stp>VOLUME</stp>
        <stp>.SPX250620P5790</stp>
        <tr r="BF108" s="1"/>
        <tr r="BF108" s="1"/>
      </tp>
      <tp t="s">
        <v>18.63%</v>
        <stp/>
        <stp>IMPL_VOL</stp>
        <stp>.NDX250620C21000</stp>
        <tr r="EP151" s="1"/>
      </tp>
      <tp t="s">
        <v>21.10%</v>
        <stp/>
        <stp>IMPL_VOL</stp>
        <stp>.NDX250516C20600</stp>
        <tr r="EN167" s="1"/>
      </tp>
      <tp t="s">
        <v>18.56%</v>
        <stp/>
        <stp>IMPL_VOL</stp>
        <stp>.NDX250620C21025</stp>
        <tr r="EP150" s="1"/>
      </tp>
      <tp t="s">
        <v>21.10%</v>
        <stp/>
        <stp>IMPL_VOL</stp>
        <stp>.NDX250516C20625</stp>
        <tr r="EN166" s="1"/>
      </tp>
      <tp t="s">
        <v>21.19%</v>
        <stp/>
        <stp>IMPL_VOL</stp>
        <stp>.NDX250620C20050</stp>
        <tr r="EP189" s="1"/>
      </tp>
      <tp t="s">
        <v>18.50%</v>
        <stp/>
        <stp>IMPL_VOL</stp>
        <stp>.NDX250620C21050</stp>
        <tr r="EP149" s="1"/>
      </tp>
      <tp t="s">
        <v>21.09%</v>
        <stp/>
        <stp>IMPL_VOL</stp>
        <stp>.NDX250516C20650</stp>
        <tr r="EN165" s="1"/>
      </tp>
      <tp t="s">
        <v>21.94%</v>
        <stp/>
        <stp>IMPL_VOL</stp>
        <stp>.NDX250620C20075</stp>
        <tr r="EP188" s="1"/>
      </tp>
      <tp t="s">
        <v>18.45%</v>
        <stp/>
        <stp>IMPL_VOL</stp>
        <stp>.NDX250620C21075</stp>
        <tr r="EP148" s="1"/>
      </tp>
      <tp t="s">
        <v>21.16%</v>
        <stp/>
        <stp>IMPL_VOL</stp>
        <stp>.NDX250516C20675</stp>
        <tr r="EN164" s="1"/>
      </tp>
      <tp t="s">
        <v>19.58%</v>
        <stp/>
        <stp>IMPL_VOL</stp>
        <stp>.NDX250620P21025</stp>
        <tr r="EQ150" s="1"/>
      </tp>
      <tp t="s">
        <v>23.52%</v>
        <stp/>
        <stp>IMPL_VOL</stp>
        <stp>.NDX250516P20625</stp>
        <tr r="EO166" s="1"/>
      </tp>
      <tp t="s">
        <v>19.65%</v>
        <stp/>
        <stp>IMPL_VOL</stp>
        <stp>.NDX250620P21000</stp>
        <tr r="EQ151" s="1"/>
      </tp>
      <tp t="s">
        <v>23.61%</v>
        <stp/>
        <stp>IMPL_VOL</stp>
        <stp>.NDX250516P20600</stp>
        <tr r="EO167" s="1"/>
      </tp>
      <tp t="s">
        <v>22.38%</v>
        <stp/>
        <stp>IMPL_VOL</stp>
        <stp>.NDX250620P20075</stp>
        <tr r="EQ188" s="1"/>
      </tp>
      <tp t="s">
        <v>19.47%</v>
        <stp/>
        <stp>IMPL_VOL</stp>
        <stp>.NDX250620P21075</stp>
        <tr r="EQ148" s="1"/>
      </tp>
      <tp t="s">
        <v>23.36%</v>
        <stp/>
        <stp>IMPL_VOL</stp>
        <stp>.NDX250516P20675</stp>
        <tr r="EO164" s="1"/>
      </tp>
      <tp t="s">
        <v>22.46%</v>
        <stp/>
        <stp>IMPL_VOL</stp>
        <stp>.NDX250620P20050</stp>
        <tr r="EQ189" s="1"/>
      </tp>
      <tp t="s">
        <v>19.52%</v>
        <stp/>
        <stp>IMPL_VOL</stp>
        <stp>.NDX250620P21050</stp>
        <tr r="EQ149" s="1"/>
      </tp>
      <tp t="s">
        <v>23.45%</v>
        <stp/>
        <stp>IMPL_VOL</stp>
        <stp>.NDX250516P20650</stp>
        <tr r="EO165" s="1"/>
      </tp>
      <tp>
        <v>8</v>
        <stp/>
        <stp>VOLUME</stp>
        <stp>.SPX250620C5660</stp>
        <tr r="BE121" s="1"/>
        <tr r="BE121" s="1"/>
      </tp>
      <tp t="s">
        <v>N/A</v>
        <stp/>
        <stp>VOLUME</stp>
        <stp>.SPX250523C5650</stp>
        <tr r="H123" s="2"/>
      </tp>
      <tp t="s">
        <v>N/A</v>
        <stp/>
        <stp>VOLUME</stp>
        <stp>.SPX251121C5670</stp>
        <tr r="U121" s="2"/>
      </tp>
      <tp t="s">
        <v>N/A</v>
        <stp/>
        <stp>VOLUME</stp>
        <stp>.SPX251121P5670</stp>
        <tr r="U121" s="2"/>
      </tp>
      <tp>
        <v>27</v>
        <stp/>
        <stp>VOLUME</stp>
        <stp>.SPX250620P5660</stp>
        <tr r="BF121" s="1"/>
        <tr r="BF121" s="1"/>
      </tp>
      <tp t="s">
        <v>N/A</v>
        <stp/>
        <stp>VOLUME</stp>
        <stp>.SPX250523P5650</stp>
        <tr r="H123" s="2"/>
      </tp>
      <tp>
        <v>4</v>
        <stp/>
        <stp>VOLUME</stp>
        <stp>.SPX250620C5670</stp>
        <tr r="BE120" s="1"/>
        <tr r="BE120" s="1"/>
      </tp>
      <tp t="s">
        <v>N/A</v>
        <stp/>
        <stp>VOLUME</stp>
        <stp>.SPX250523C5640</stp>
        <tr r="H124" s="2"/>
      </tp>
      <tp t="s">
        <v>N/A</v>
        <stp/>
        <stp>VOLUME</stp>
        <stp>.SPX251121C5660</stp>
        <tr r="U122" s="2"/>
      </tp>
      <tp t="s">
        <v>N/A</v>
        <stp/>
        <stp>VOLUME</stp>
        <stp>.SPX251121P5660</stp>
        <tr r="U122" s="2"/>
      </tp>
      <tp>
        <v>9</v>
        <stp/>
        <stp>VOLUME</stp>
        <stp>.SPX250620P5670</stp>
        <tr r="BF120" s="1"/>
        <tr r="BF120" s="1"/>
      </tp>
      <tp t="s">
        <v>N/A</v>
        <stp/>
        <stp>VOLUME</stp>
        <stp>.SPX250523P5640</stp>
        <tr r="H124" s="2"/>
      </tp>
      <tp>
        <v>2</v>
        <stp/>
        <stp>VOLUME</stp>
        <stp>.SPX250620C5640</stp>
        <tr r="BE123" s="1"/>
        <tr r="BE123" s="1"/>
      </tp>
      <tp t="s">
        <v>N/A</v>
        <stp/>
        <stp>VOLUME</stp>
        <stp>.SPX250523C5670</stp>
        <tr r="H121" s="2"/>
      </tp>
      <tp>
        <v>1</v>
        <stp/>
        <stp>VOLUME</stp>
        <stp>.SPX251121C5650</stp>
        <tr r="U123" s="2"/>
        <tr r="U123" s="2"/>
      </tp>
      <tp>
        <v>8</v>
        <stp/>
        <stp>VOLUME</stp>
        <stp>.SPX251121P5650</stp>
        <tr r="U123" s="2"/>
        <tr r="U123" s="2"/>
      </tp>
      <tp>
        <v>17</v>
        <stp/>
        <stp>VOLUME</stp>
        <stp>.SPX250620P5640</stp>
        <tr r="BF123" s="1"/>
        <tr r="BF123" s="1"/>
      </tp>
      <tp t="s">
        <v>N/A</v>
        <stp/>
        <stp>VOLUME</stp>
        <stp>.SPX250523P5670</stp>
        <tr r="H121" s="2"/>
      </tp>
      <tp>
        <v>138</v>
        <stp/>
        <stp>VOLUME</stp>
        <stp>.SPX250620C5650</stp>
        <tr r="BE122" s="1"/>
        <tr r="BE122" s="1"/>
      </tp>
      <tp t="s">
        <v>N/A</v>
        <stp/>
        <stp>VOLUME</stp>
        <stp>.SPX250523C5660</stp>
        <tr r="H122" s="2"/>
      </tp>
      <tp t="s">
        <v>N/A</v>
        <stp/>
        <stp>VOLUME</stp>
        <stp>.SPX251121C5640</stp>
        <tr r="U124" s="2"/>
      </tp>
      <tp t="s">
        <v>N/A</v>
        <stp/>
        <stp>VOLUME</stp>
        <stp>.SPX251121P5640</stp>
        <tr r="U124" s="2"/>
      </tp>
      <tp>
        <v>701</v>
        <stp/>
        <stp>VOLUME</stp>
        <stp>.SPX250620P5650</stp>
        <tr r="BF122" s="1"/>
        <tr r="BF122" s="1"/>
      </tp>
      <tp t="s">
        <v>N/A</v>
        <stp/>
        <stp>VOLUME</stp>
        <stp>.SPX250523P5660</stp>
        <tr r="H122" s="2"/>
      </tp>
      <tp>
        <v>10</v>
        <stp/>
        <stp>VOLUME</stp>
        <stp>.SPX250620C5620</stp>
        <tr r="BE125" s="1"/>
        <tr r="BE125" s="1"/>
      </tp>
      <tp t="s">
        <v>N/A</v>
        <stp/>
        <stp>VOLUME</stp>
        <stp>.SPX250523C5610</stp>
        <tr r="H127" s="2"/>
      </tp>
      <tp t="s">
        <v>N/A</v>
        <stp/>
        <stp>VOLUME</stp>
        <stp>.SPX250815C5570</stp>
        <tr r="O131" s="2"/>
      </tp>
      <tp t="s">
        <v>N/A</v>
        <stp/>
        <stp>VOLUME</stp>
        <stp>.SPX251121C5630</stp>
        <tr r="U125" s="2"/>
      </tp>
      <tp t="s">
        <v>N/A</v>
        <stp/>
        <stp>VOLUME</stp>
        <stp>.SPX251121P5630</stp>
        <tr r="U125" s="2"/>
      </tp>
      <tp>
        <v>303</v>
        <stp/>
        <stp>VOLUME</stp>
        <stp>.SPX250620P5620</stp>
        <tr r="BF125" s="1"/>
        <tr r="BF125" s="1"/>
      </tp>
      <tp t="s">
        <v>N/A</v>
        <stp/>
        <stp>VOLUME</stp>
        <stp>.SPX250523P5610</stp>
        <tr r="H127" s="2"/>
      </tp>
      <tp>
        <v>29</v>
        <stp/>
        <stp>VOLUME</stp>
        <stp>.SPX250815P5570</stp>
        <tr r="O131" s="2"/>
        <tr r="O131" s="2"/>
      </tp>
      <tp>
        <v>15</v>
        <stp/>
        <stp>VOLUME</stp>
        <stp>.SPX250620C5630</stp>
        <tr r="BE124" s="1"/>
        <tr r="BE124" s="1"/>
      </tp>
      <tp t="s">
        <v>N/A</v>
        <stp/>
        <stp>VOLUME</stp>
        <stp>.SPX250523C5600</stp>
        <tr r="H128" s="2"/>
      </tp>
      <tp t="s">
        <v>N/A</v>
        <stp/>
        <stp>VOLUME</stp>
        <stp>.SPX251121C5620</stp>
        <tr r="U126" s="2"/>
      </tp>
      <tp t="s">
        <v>N/A</v>
        <stp/>
        <stp>VOLUME</stp>
        <stp>.SPX251121P5620</stp>
        <tr r="U126" s="2"/>
      </tp>
      <tp>
        <v>4</v>
        <stp/>
        <stp>VOLUME</stp>
        <stp>.SPX250620P5630</stp>
        <tr r="BF124" s="1"/>
        <tr r="BF124" s="1"/>
      </tp>
      <tp t="s">
        <v>N/A</v>
        <stp/>
        <stp>VOLUME</stp>
        <stp>.SPX250523P5600</stp>
        <tr r="H128" s="2"/>
      </tp>
      <tp>
        <v>4</v>
        <stp/>
        <stp>VOLUME</stp>
        <stp>.SPX250718C5580</stp>
        <tr r="M130" s="2"/>
        <tr r="M130" s="2"/>
      </tp>
      <tp>
        <v>786</v>
        <stp/>
        <stp>VOLUME</stp>
        <stp>.SPX250620C5600</stp>
        <tr r="BE127" s="1"/>
        <tr r="BE127" s="1"/>
      </tp>
      <tp t="s">
        <v>N/A</v>
        <stp/>
        <stp>VOLUME</stp>
        <stp>.SPX250523C5630</stp>
        <tr r="H125" s="2"/>
      </tp>
      <tp t="s">
        <v>N/A</v>
        <stp/>
        <stp>VOLUME</stp>
        <stp>.SPX250919C5590</stp>
        <tr r="Q129" s="2"/>
      </tp>
      <tp t="s">
        <v>N/A</v>
        <stp/>
        <stp>VOLUME</stp>
        <stp>.SPX251219C5590</stp>
        <tr r="W129" s="2"/>
      </tp>
      <tp t="s">
        <v>N/A</v>
        <stp/>
        <stp>VOLUME</stp>
        <stp>.SPX251121C5610</stp>
        <tr r="U127" s="2"/>
      </tp>
      <tp t="s">
        <v>N/A</v>
        <stp/>
        <stp>VOLUME</stp>
        <stp>.SPX251017C5570</stp>
        <tr r="S131" s="2"/>
      </tp>
      <tp t="s">
        <v>N/A</v>
        <stp/>
        <stp>VOLUME</stp>
        <stp>.SPX251219P5590</stp>
        <tr r="W129" s="2"/>
      </tp>
      <tp t="s">
        <v>N/A</v>
        <stp/>
        <stp>VOLUME</stp>
        <stp>.SPX251121P5610</stp>
        <tr r="U127" s="2"/>
      </tp>
      <tp>
        <v>10</v>
        <stp/>
        <stp>VOLUME</stp>
        <stp>.SPX251017P5570</stp>
        <tr r="S131" s="2"/>
        <tr r="S131" s="2"/>
      </tp>
      <tp>
        <v>42</v>
        <stp/>
        <stp>VOLUME</stp>
        <stp>.SPX250718P5580</stp>
        <tr r="M130" s="2"/>
        <tr r="M130" s="2"/>
      </tp>
      <tp>
        <v>2504</v>
        <stp/>
        <stp>VOLUME</stp>
        <stp>.SPX250620P5600</stp>
        <tr r="BF127" s="1"/>
        <tr r="BF127" s="1"/>
      </tp>
      <tp t="s">
        <v>N/A</v>
        <stp/>
        <stp>VOLUME</stp>
        <stp>.SPX250523P5630</stp>
        <tr r="H125" s="2"/>
      </tp>
      <tp t="s">
        <v>N/A</v>
        <stp/>
        <stp>VOLUME</stp>
        <stp>.SPX250919P5590</stp>
        <tr r="Q129" s="2"/>
      </tp>
      <tp>
        <v>5</v>
        <stp/>
        <stp>VOLUME</stp>
        <stp>.SPX250718C5590</stp>
        <tr r="M129" s="2"/>
        <tr r="M129" s="2"/>
      </tp>
      <tp>
        <v>4</v>
        <stp/>
        <stp>VOLUME</stp>
        <stp>.SPX250620C5610</stp>
        <tr r="BE126" s="1"/>
        <tr r="BE126" s="1"/>
      </tp>
      <tp t="s">
        <v>N/A</v>
        <stp/>
        <stp>VOLUME</stp>
        <stp>.SPX250516C5570</stp>
        <tr r="BC130" s="1"/>
      </tp>
      <tp t="s">
        <v>N/A</v>
        <stp/>
        <stp>VOLUME</stp>
        <stp>.SPX250523C5620</stp>
        <tr r="H126" s="2"/>
      </tp>
      <tp>
        <v>2</v>
        <stp/>
        <stp>VOLUME</stp>
        <stp>.SPX250919C5580</stp>
        <tr r="Q130" s="2"/>
        <tr r="Q130" s="2"/>
      </tp>
      <tp t="s">
        <v>N/A</v>
        <stp/>
        <stp>VOLUME</stp>
        <stp>.SPX251219C5580</stp>
        <tr r="W130" s="2"/>
      </tp>
      <tp t="s">
        <v>N/A</v>
        <stp/>
        <stp>VOLUME</stp>
        <stp>.SPX251121C5600</stp>
        <tr r="U128" s="2"/>
      </tp>
      <tp t="s">
        <v>N/A</v>
        <stp/>
        <stp>VOLUME</stp>
        <stp>.SPX251219P5580</stp>
        <tr r="W130" s="2"/>
      </tp>
      <tp>
        <v>923</v>
        <stp/>
        <stp>VOLUME</stp>
        <stp>.SPX251121P5600</stp>
        <tr r="U128" s="2"/>
        <tr r="U128" s="2"/>
      </tp>
      <tp>
        <v>10</v>
        <stp/>
        <stp>VOLUME</stp>
        <stp>.SPX250718P5590</stp>
        <tr r="M129" s="2"/>
        <tr r="M129" s="2"/>
      </tp>
      <tp>
        <v>8</v>
        <stp/>
        <stp>VOLUME</stp>
        <stp>.SPX250620P5610</stp>
        <tr r="BF126" s="1"/>
        <tr r="BF126" s="1"/>
      </tp>
      <tp>
        <v>18</v>
        <stp/>
        <stp>VOLUME</stp>
        <stp>.SPX250516P5570</stp>
        <tr r="BD130" s="1"/>
        <tr r="BD130" s="1"/>
      </tp>
      <tp t="s">
        <v>N/A</v>
        <stp/>
        <stp>VOLUME</stp>
        <stp>.SPX250523P5620</stp>
        <tr r="H126" s="2"/>
      </tp>
      <tp>
        <v>80</v>
        <stp/>
        <stp>VOLUME</stp>
        <stp>.SPX250919P5580</stp>
        <tr r="Q130" s="2"/>
        <tr r="Q130" s="2"/>
      </tp>
      <tp>
        <v>13</v>
        <stp/>
        <stp>VOLUME</stp>
        <stp>.SPX250516C5580</stp>
        <tr r="BC129" s="1"/>
        <tr r="BC129" s="1"/>
      </tp>
      <tp t="s">
        <v>N/A</v>
        <stp/>
        <stp>VOLUME</stp>
        <stp>.SPX250919C5570</stp>
        <tr r="Q131" s="2"/>
      </tp>
      <tp t="s">
        <v>N/A</v>
        <stp/>
        <stp>VOLUME</stp>
        <stp>.SPX251219C5570</stp>
        <tr r="W131" s="2"/>
      </tp>
      <tp t="s">
        <v>N/A</v>
        <stp/>
        <stp>VOLUME</stp>
        <stp>.SPX251017C5590</stp>
        <tr r="S129" s="2"/>
      </tp>
      <tp t="s">
        <v>N/A</v>
        <stp/>
        <stp>VOLUME</stp>
        <stp>.SPX251219P5570</stp>
        <tr r="W131" s="2"/>
      </tp>
      <tp>
        <v>15</v>
        <stp/>
        <stp>VOLUME</stp>
        <stp>.SPX251017P5590</stp>
        <tr r="S129" s="2"/>
        <tr r="S129" s="2"/>
      </tp>
      <tp>
        <v>56</v>
        <stp/>
        <stp>VOLUME</stp>
        <stp>.SPX250516P5580</stp>
        <tr r="BD129" s="1"/>
        <tr r="BD129" s="1"/>
      </tp>
      <tp t="s">
        <v>N/A</v>
        <stp/>
        <stp>VOLUME</stp>
        <stp>.SPX250919P5570</stp>
        <tr r="Q131" s="2"/>
      </tp>
      <tp t="s">
        <v>N/A</v>
        <stp/>
        <stp>VOLUME</stp>
        <stp>.SPX250718C5570</stp>
        <tr r="M131" s="2"/>
      </tp>
      <tp>
        <v>17</v>
        <stp/>
        <stp>VOLUME</stp>
        <stp>.SPX250516C5590</stp>
        <tr r="BC128" s="1"/>
        <tr r="BC128" s="1"/>
      </tp>
      <tp t="s">
        <v>N/A</v>
        <stp/>
        <stp>VOLUME</stp>
        <stp>.SPX251017C5580</stp>
        <tr r="S130" s="2"/>
      </tp>
      <tp>
        <v>8</v>
        <stp/>
        <stp>VOLUME</stp>
        <stp>.SPX251017P5580</stp>
        <tr r="S130" s="2"/>
        <tr r="S130" s="2"/>
      </tp>
      <tp>
        <v>25</v>
        <stp/>
        <stp>VOLUME</stp>
        <stp>.SPX250718P5570</stp>
        <tr r="M131" s="2"/>
        <tr r="M131" s="2"/>
      </tp>
      <tp>
        <v>35</v>
        <stp/>
        <stp>VOLUME</stp>
        <stp>.SPX250516P5590</stp>
        <tr r="BD128" s="1"/>
        <tr r="BD128" s="1"/>
      </tp>
      <tp t="s">
        <v>N/A</v>
        <stp/>
        <stp>VOLUME</stp>
        <stp>.SPX250815C5590</stp>
        <tr r="O129" s="2"/>
      </tp>
      <tp t="s">
        <v>N/A</v>
        <stp/>
        <stp>VOLUME</stp>
        <stp>.SPX250815P5590</stp>
        <tr r="O129" s="2"/>
      </tp>
      <tp t="s">
        <v>N/A</v>
        <stp/>
        <stp>VOLUME</stp>
        <stp>.SPX250815C5580</stp>
        <tr r="O130" s="2"/>
      </tp>
      <tp>
        <v>1</v>
        <stp/>
        <stp>VOLUME</stp>
        <stp>.SPX250815P5580</stp>
        <tr r="O130" s="2"/>
        <tr r="O130" s="2"/>
      </tp>
      <tp t="s">
        <v>N/A</v>
        <stp/>
        <stp>VOLUME</stp>
        <stp>.SPX250523C5690</stp>
        <tr r="H119" s="2"/>
      </tp>
      <tp t="s">
        <v>N/A</v>
        <stp/>
        <stp>VOLUME</stp>
        <stp>.SPX250523P5690</stp>
        <tr r="H119" s="2"/>
      </tp>
      <tp t="s">
        <v>N/A</v>
        <stp/>
        <stp>VOLUME</stp>
        <stp>.SPX250523C5680</stp>
        <tr r="H120" s="2"/>
      </tp>
      <tp t="s">
        <v>N/A</v>
        <stp/>
        <stp>VOLUME</stp>
        <stp>.SPX250523P5680</stp>
        <tr r="H120" s="2"/>
      </tp>
      <tp>
        <v>244</v>
        <stp/>
        <stp>VOLUME</stp>
        <stp>.SPX250620C5680</stp>
        <tr r="BE119" s="1"/>
        <tr r="BE119" s="1"/>
      </tp>
      <tp t="s">
        <v>N/A</v>
        <stp/>
        <stp>VOLUME</stp>
        <stp>.SPX251121C5690</stp>
        <tr r="U119" s="2"/>
      </tp>
      <tp t="s">
        <v>N/A</v>
        <stp/>
        <stp>VOLUME</stp>
        <stp>.SPX251121P5690</stp>
        <tr r="U119" s="2"/>
      </tp>
      <tp>
        <v>302</v>
        <stp/>
        <stp>VOLUME</stp>
        <stp>.SPX250620P5680</stp>
        <tr r="BF119" s="1"/>
        <tr r="BF119" s="1"/>
      </tp>
      <tp>
        <v>35</v>
        <stp/>
        <stp>VOLUME</stp>
        <stp>.SPX250620C5690</stp>
        <tr r="BE118" s="1"/>
        <tr r="BE118" s="1"/>
      </tp>
      <tp t="s">
        <v>N/A</v>
        <stp/>
        <stp>VOLUME</stp>
        <stp>.SPX251121C5680</stp>
        <tr r="U120" s="2"/>
      </tp>
      <tp t="s">
        <v>N/A</v>
        <stp/>
        <stp>VOLUME</stp>
        <stp>.SPX251121P5680</stp>
        <tr r="U120" s="2"/>
      </tp>
      <tp>
        <v>205</v>
        <stp/>
        <stp>VOLUME</stp>
        <stp>.SPX250620P5690</stp>
        <tr r="BF118" s="1"/>
        <tr r="BF118" s="1"/>
      </tp>
      <tp t="s">
        <v>20.47%</v>
        <stp/>
        <stp>IMPL_VOL</stp>
        <stp>.NDX250620C20300</stp>
        <tr r="EP179" s="1"/>
      </tp>
      <tp t="s">
        <v>18.00%</v>
        <stp/>
        <stp>IMPL_VOL</stp>
        <stp>.NDX250620C21300</stp>
        <tr r="EP139" s="1"/>
      </tp>
      <tp t="s">
        <v>21.80%</v>
        <stp/>
        <stp>IMPL_VOL</stp>
        <stp>.NDX250516C20500</stp>
        <tr r="EN171" s="1"/>
      </tp>
      <tp t="s">
        <v>20.95%</v>
        <stp/>
        <stp>IMPL_VOL</stp>
        <stp>.NDX250620C20325</stp>
        <tr r="EP178" s="1"/>
      </tp>
      <tp t="s">
        <v>17.96%</v>
        <stp/>
        <stp>IMPL_VOL</stp>
        <stp>.NDX250620C21325</stp>
        <tr r="EP138" s="1"/>
      </tp>
      <tp t="s">
        <v>21.59%</v>
        <stp/>
        <stp>IMPL_VOL</stp>
        <stp>.NDX250516C20525</stp>
        <tr r="EN170" s="1"/>
      </tp>
      <tp t="s">
        <v>20.34%</v>
        <stp/>
        <stp>IMPL_VOL</stp>
        <stp>.NDX250620C20350</stp>
        <tr r="EP177" s="1"/>
      </tp>
      <tp t="s">
        <v>17.92%</v>
        <stp/>
        <stp>IMPL_VOL</stp>
        <stp>.NDX250620C21350</stp>
        <tr r="EP137" s="1"/>
      </tp>
      <tp t="s">
        <v>21.18%</v>
        <stp/>
        <stp>IMPL_VOL</stp>
        <stp>.NDX250516C20550</stp>
        <tr r="EN169" s="1"/>
      </tp>
      <tp t="s">
        <v>20.27%</v>
        <stp/>
        <stp>IMPL_VOL</stp>
        <stp>.NDX250620C20375</stp>
        <tr r="EP176" s="1"/>
      </tp>
      <tp t="s">
        <v>20.76%</v>
        <stp/>
        <stp>IMPL_VOL</stp>
        <stp>.NDX250516C20575</stp>
        <tr r="EN168" s="1"/>
      </tp>
      <tp t="s">
        <v>21.55%</v>
        <stp/>
        <stp>IMPL_VOL</stp>
        <stp>.NDX250620P20325</stp>
        <tr r="EQ178" s="1"/>
      </tp>
      <tp t="s">
        <v>19.01%</v>
        <stp/>
        <stp>IMPL_VOL</stp>
        <stp>.NDX250620P21325</stp>
        <tr r="EQ138" s="1"/>
      </tp>
      <tp t="s">
        <v>23.91%</v>
        <stp/>
        <stp>IMPL_VOL</stp>
        <stp>.NDX250516P20525</stp>
        <tr r="EO170" s="1"/>
      </tp>
      <tp t="s">
        <v>21.63%</v>
        <stp/>
        <stp>IMPL_VOL</stp>
        <stp>.NDX250620P20300</stp>
        <tr r="EQ179" s="1"/>
      </tp>
      <tp t="s">
        <v>19.04%</v>
        <stp/>
        <stp>IMPL_VOL</stp>
        <stp>.NDX250620P21300</stp>
        <tr r="EQ139" s="1"/>
      </tp>
      <tp t="s">
        <v>24.01%</v>
        <stp/>
        <stp>IMPL_VOL</stp>
        <stp>.NDX250516P20500</stp>
        <tr r="EO171" s="1"/>
      </tp>
      <tp t="s">
        <v>21.39%</v>
        <stp/>
        <stp>IMPL_VOL</stp>
        <stp>.NDX250620P20375</stp>
        <tr r="EQ176" s="1"/>
      </tp>
      <tp t="s">
        <v>23.71%</v>
        <stp/>
        <stp>IMPL_VOL</stp>
        <stp>.NDX250516P20575</stp>
        <tr r="EO168" s="1"/>
      </tp>
      <tp t="s">
        <v>21.47%</v>
        <stp/>
        <stp>IMPL_VOL</stp>
        <stp>.NDX250620P20350</stp>
        <tr r="EQ177" s="1"/>
      </tp>
      <tp t="s">
        <v>18.98%</v>
        <stp/>
        <stp>IMPL_VOL</stp>
        <stp>.NDX250620P21350</stp>
        <tr r="EQ137" s="1"/>
      </tp>
      <tp t="s">
        <v>23.80%</v>
        <stp/>
        <stp>IMPL_VOL</stp>
        <stp>.NDX250516P20550</stp>
        <tr r="EO169" s="1"/>
      </tp>
      <tp>
        <v>679</v>
        <stp/>
        <stp>VOLUME</stp>
        <stp>.SPX250516C5600</stp>
        <tr r="BC127" s="1"/>
        <tr r="BC127" s="1"/>
      </tp>
      <tp>
        <v>20</v>
        <stp/>
        <stp>VOLUME</stp>
        <stp>.SPX250815C5630</stp>
        <tr r="O125" s="2"/>
        <tr r="O125" s="2"/>
      </tp>
      <tp t="s">
        <v>N/A</v>
        <stp/>
        <stp>VOLUME</stp>
        <stp>.SPX251121C5570</stp>
        <tr r="U131" s="2"/>
      </tp>
      <tp>
        <v>4</v>
        <stp/>
        <stp>VOLUME</stp>
        <stp>.SPX251017C5610</stp>
        <tr r="S127" s="2"/>
        <tr r="S127" s="2"/>
      </tp>
      <tp t="s">
        <v>N/A</v>
        <stp/>
        <stp>VOLUME</stp>
        <stp>.SPX251121P5570</stp>
        <tr r="U131" s="2"/>
      </tp>
      <tp t="s">
        <v>N/A</v>
        <stp/>
        <stp>VOLUME</stp>
        <stp>.SPX251017P5610</stp>
        <tr r="S127" s="2"/>
      </tp>
      <tp>
        <v>2353</v>
        <stp/>
        <stp>VOLUME</stp>
        <stp>.SPX250516P5600</stp>
        <tr r="BD127" s="1"/>
        <tr r="BD127" s="1"/>
      </tp>
      <tp t="s">
        <v>N/A</v>
        <stp/>
        <stp>VOLUME</stp>
        <stp>.SPX250815P5630</stp>
        <tr r="O125" s="2"/>
      </tp>
      <tp>
        <v>7</v>
        <stp/>
        <stp>VOLUME</stp>
        <stp>.SPX250620C5570</stp>
        <tr r="BE130" s="1"/>
        <tr r="BE130" s="1"/>
      </tp>
      <tp>
        <v>16</v>
        <stp/>
        <stp>VOLUME</stp>
        <stp>.SPX250516C5610</stp>
        <tr r="BC126" s="1"/>
        <tr r="BC126" s="1"/>
      </tp>
      <tp>
        <v>13</v>
        <stp/>
        <stp>VOLUME</stp>
        <stp>.SPX250815C5620</stp>
        <tr r="O126" s="2"/>
        <tr r="O126" s="2"/>
      </tp>
      <tp>
        <v>102</v>
        <stp/>
        <stp>VOLUME</stp>
        <stp>.SPX251017C5600</stp>
        <tr r="S128" s="2"/>
        <tr r="S128" s="2"/>
      </tp>
      <tp>
        <v>72</v>
        <stp/>
        <stp>VOLUME</stp>
        <stp>.SPX251017P5600</stp>
        <tr r="S128" s="2"/>
        <tr r="S128" s="2"/>
      </tp>
      <tp>
        <v>86</v>
        <stp/>
        <stp>VOLUME</stp>
        <stp>.SPX250620P5570</stp>
        <tr r="BF130" s="1"/>
        <tr r="BF130" s="1"/>
      </tp>
      <tp>
        <v>64</v>
        <stp/>
        <stp>VOLUME</stp>
        <stp>.SPX250516P5610</stp>
        <tr r="BD126" s="1"/>
        <tr r="BD126" s="1"/>
      </tp>
      <tp>
        <v>23</v>
        <stp/>
        <stp>VOLUME</stp>
        <stp>.SPX250815P5620</stp>
        <tr r="O126" s="2"/>
        <tr r="O126" s="2"/>
      </tp>
      <tp>
        <v>14</v>
        <stp/>
        <stp>VOLUME</stp>
        <stp>.SPX250516C5620</stp>
        <tr r="BC125" s="1"/>
        <tr r="BC125" s="1"/>
      </tp>
      <tp t="s">
        <v>N/A</v>
        <stp/>
        <stp>VOLUME</stp>
        <stp>.SPX250523C5570</stp>
        <tr r="H131" s="2"/>
      </tp>
      <tp t="s">
        <v>N/A</v>
        <stp/>
        <stp>VOLUME</stp>
        <stp>.SPX250815C5610</stp>
        <tr r="O127" s="2"/>
      </tp>
      <tp t="s">
        <v>N/A</v>
        <stp/>
        <stp>VOLUME</stp>
        <stp>.SPX251017C5630</stp>
        <tr r="S125" s="2"/>
      </tp>
      <tp t="s">
        <v>N/A</v>
        <stp/>
        <stp>VOLUME</stp>
        <stp>.SPX251017P5630</stp>
        <tr r="S125" s="2"/>
      </tp>
      <tp>
        <v>172</v>
        <stp/>
        <stp>VOLUME</stp>
        <stp>.SPX250516P5620</stp>
        <tr r="BD125" s="1"/>
        <tr r="BD125" s="1"/>
      </tp>
      <tp t="s">
        <v>N/A</v>
        <stp/>
        <stp>VOLUME</stp>
        <stp>.SPX250523P5570</stp>
        <tr r="H131" s="2"/>
      </tp>
      <tp t="s">
        <v>N/A</v>
        <stp/>
        <stp>VOLUME</stp>
        <stp>.SPX250815P5610</stp>
        <tr r="O127" s="2"/>
      </tp>
      <tp>
        <v>20</v>
        <stp/>
        <stp>VOLUME</stp>
        <stp>.SPX250516C5630</stp>
        <tr r="BC124" s="1"/>
        <tr r="BC124" s="1"/>
      </tp>
      <tp>
        <v>55</v>
        <stp/>
        <stp>VOLUME</stp>
        <stp>.SPX250815C5600</stp>
        <tr r="O128" s="2"/>
        <tr r="O128" s="2"/>
      </tp>
      <tp t="s">
        <v>N/A</v>
        <stp/>
        <stp>VOLUME</stp>
        <stp>.SPX251017C5620</stp>
        <tr r="S126" s="2"/>
      </tp>
      <tp t="s">
        <v>N/A</v>
        <stp/>
        <stp>VOLUME</stp>
        <stp>.SPX251017P5620</stp>
        <tr r="S126" s="2"/>
      </tp>
      <tp>
        <v>90</v>
        <stp/>
        <stp>VOLUME</stp>
        <stp>.SPX250516P5630</stp>
        <tr r="BD124" s="1"/>
        <tr r="BD124" s="1"/>
      </tp>
      <tp>
        <v>988</v>
        <stp/>
        <stp>VOLUME</stp>
        <stp>.SPX250815P5600</stp>
        <tr r="O128" s="2"/>
        <tr r="O128" s="2"/>
      </tp>
      <tp>
        <v>457</v>
        <stp/>
        <stp>VOLUME</stp>
        <stp>.SPX250516C5640</stp>
        <tr r="BC123" s="1"/>
        <tr r="BC123" s="1"/>
      </tp>
      <tp t="s">
        <v>N/A</v>
        <stp/>
        <stp>VOLUME</stp>
        <stp>.SPX250815C5670</stp>
        <tr r="O121" s="2"/>
      </tp>
      <tp t="s">
        <v>N/A</v>
        <stp/>
        <stp>VOLUME</stp>
        <stp>.SPX251017C5650</stp>
        <tr r="S123" s="2"/>
      </tp>
      <tp>
        <v>656</v>
        <stp/>
        <stp>VOLUME</stp>
        <stp>.SPX251017P5650</stp>
        <tr r="S123" s="2"/>
        <tr r="S123" s="2"/>
      </tp>
      <tp>
        <v>361</v>
        <stp/>
        <stp>VOLUME</stp>
        <stp>.SPX250516P5640</stp>
        <tr r="BD123" s="1"/>
        <tr r="BD123" s="1"/>
      </tp>
      <tp t="s">
        <v>N/A</v>
        <stp/>
        <stp>VOLUME</stp>
        <stp>.SPX250815P5670</stp>
        <tr r="O121" s="2"/>
      </tp>
      <tp>
        <v>62</v>
        <stp/>
        <stp>VOLUME</stp>
        <stp>.SPX250516C5650</stp>
        <tr r="BC122" s="1"/>
        <tr r="BC122" s="1"/>
      </tp>
      <tp t="s">
        <v>N/A</v>
        <stp/>
        <stp>VOLUME</stp>
        <stp>.SPX250815C5660</stp>
        <tr r="O122" s="2"/>
      </tp>
      <tp t="s">
        <v>N/A</v>
        <stp/>
        <stp>VOLUME</stp>
        <stp>.SPX251017C5640</stp>
        <tr r="S124" s="2"/>
      </tp>
      <tp t="s">
        <v>N/A</v>
        <stp/>
        <stp>VOLUME</stp>
        <stp>.SPX251017P5640</stp>
        <tr r="S124" s="2"/>
      </tp>
      <tp>
        <v>2843</v>
        <stp/>
        <stp>VOLUME</stp>
        <stp>.SPX250516P5650</stp>
        <tr r="BD122" s="1"/>
        <tr r="BD122" s="1"/>
      </tp>
      <tp t="s">
        <v>N/A</v>
        <stp/>
        <stp>VOLUME</stp>
        <stp>.SPX250815P5660</stp>
        <tr r="O122" s="2"/>
      </tp>
      <tp>
        <v>16</v>
        <stp/>
        <stp>VOLUME</stp>
        <stp>.SPX250718C5680</stp>
        <tr r="M120" s="2"/>
        <tr r="M120" s="2"/>
      </tp>
      <tp>
        <v>4</v>
        <stp/>
        <stp>VOLUME</stp>
        <stp>.SPX250516C5660</stp>
        <tr r="BC121" s="1"/>
        <tr r="BC121" s="1"/>
      </tp>
      <tp t="s">
        <v>N/A</v>
        <stp/>
        <stp>VOLUME</stp>
        <stp>.SPX250919C5690</stp>
        <tr r="Q119" s="2"/>
      </tp>
      <tp>
        <v>31</v>
        <stp/>
        <stp>VOLUME</stp>
        <stp>.SPX250815C5650</stp>
        <tr r="O123" s="2"/>
        <tr r="O123" s="2"/>
      </tp>
      <tp t="s">
        <v>N/A</v>
        <stp/>
        <stp>VOLUME</stp>
        <stp>.SPX251219C5690</stp>
        <tr r="W119" s="2"/>
      </tp>
      <tp t="s">
        <v>N/A</v>
        <stp/>
        <stp>VOLUME</stp>
        <stp>.SPX251017C5670</stp>
        <tr r="S121" s="2"/>
      </tp>
      <tp t="s">
        <v>N/A</v>
        <stp/>
        <stp>VOLUME</stp>
        <stp>.SPX251219P5690</stp>
        <tr r="W119" s="2"/>
      </tp>
      <tp t="s">
        <v>N/A</v>
        <stp/>
        <stp>VOLUME</stp>
        <stp>.SPX251017P5670</stp>
        <tr r="S121" s="2"/>
      </tp>
      <tp>
        <v>4</v>
        <stp/>
        <stp>VOLUME</stp>
        <stp>.SPX250718P5680</stp>
        <tr r="M120" s="2"/>
        <tr r="M120" s="2"/>
      </tp>
      <tp>
        <v>46</v>
        <stp/>
        <stp>VOLUME</stp>
        <stp>.SPX250516P5660</stp>
        <tr r="BD121" s="1"/>
        <tr r="BD121" s="1"/>
      </tp>
      <tp t="s">
        <v>N/A</v>
        <stp/>
        <stp>VOLUME</stp>
        <stp>.SPX250919P5690</stp>
        <tr r="Q119" s="2"/>
      </tp>
      <tp>
        <v>199</v>
        <stp/>
        <stp>VOLUME</stp>
        <stp>.SPX250815P5650</stp>
        <tr r="O123" s="2"/>
        <tr r="O123" s="2"/>
      </tp>
      <tp>
        <v>2</v>
        <stp/>
        <stp>VOLUME</stp>
        <stp>.SPX250718C5690</stp>
        <tr r="M119" s="2"/>
        <tr r="M119" s="2"/>
      </tp>
      <tp>
        <v>156</v>
        <stp/>
        <stp>VOLUME</stp>
        <stp>.SPX250516C5670</stp>
        <tr r="BC120" s="1"/>
        <tr r="BC120" s="1"/>
      </tp>
      <tp t="s">
        <v>N/A</v>
        <stp/>
        <stp>VOLUME</stp>
        <stp>.SPX250919C5680</stp>
        <tr r="Q120" s="2"/>
      </tp>
      <tp t="s">
        <v>N/A</v>
        <stp/>
        <stp>VOLUME</stp>
        <stp>.SPX250815C5640</stp>
        <tr r="O124" s="2"/>
      </tp>
      <tp t="s">
        <v>N/A</v>
        <stp/>
        <stp>VOLUME</stp>
        <stp>.SPX251219C5680</stp>
        <tr r="W120" s="2"/>
      </tp>
      <tp t="s">
        <v>N/A</v>
        <stp/>
        <stp>VOLUME</stp>
        <stp>.SPX251017C5660</stp>
        <tr r="S122" s="2"/>
      </tp>
      <tp t="s">
        <v>N/A</v>
        <stp/>
        <stp>VOLUME</stp>
        <stp>.SPX251219P5680</stp>
        <tr r="W120" s="2"/>
      </tp>
      <tp t="s">
        <v>N/A</v>
        <stp/>
        <stp>VOLUME</stp>
        <stp>.SPX251017P5660</stp>
        <tr r="S122" s="2"/>
      </tp>
      <tp>
        <v>19</v>
        <stp/>
        <stp>VOLUME</stp>
        <stp>.SPX250718P5690</stp>
        <tr r="M119" s="2"/>
        <tr r="M119" s="2"/>
      </tp>
      <tp>
        <v>337</v>
        <stp/>
        <stp>VOLUME</stp>
        <stp>.SPX250516P5670</stp>
        <tr r="BD120" s="1"/>
        <tr r="BD120" s="1"/>
      </tp>
      <tp t="s">
        <v>N/A</v>
        <stp/>
        <stp>VOLUME</stp>
        <stp>.SPX250919P5680</stp>
        <tr r="Q120" s="2"/>
      </tp>
      <tp t="s">
        <v>N/A</v>
        <stp/>
        <stp>VOLUME</stp>
        <stp>.SPX250815P5640</stp>
        <tr r="O124" s="2"/>
      </tp>
      <tp>
        <v>1</v>
        <stp/>
        <stp>VOLUME</stp>
        <stp>.SPX250718C5660</stp>
        <tr r="M122" s="2"/>
        <tr r="M122" s="2"/>
      </tp>
      <tp>
        <v>16</v>
        <stp/>
        <stp>VOLUME</stp>
        <stp>.SPX250516C5680</stp>
        <tr r="BC119" s="1"/>
        <tr r="BC119" s="1"/>
      </tp>
      <tp t="s">
        <v>N/A</v>
        <stp/>
        <stp>VOLUME</stp>
        <stp>.SPX250919C5670</stp>
        <tr r="Q121" s="2"/>
      </tp>
      <tp t="s">
        <v>N/A</v>
        <stp/>
        <stp>VOLUME</stp>
        <stp>.SPX251219C5670</stp>
        <tr r="W121" s="2"/>
      </tp>
      <tp t="s">
        <v>N/A</v>
        <stp/>
        <stp>VOLUME</stp>
        <stp>.SPX251017C5690</stp>
        <tr r="S119" s="2"/>
      </tp>
      <tp t="s">
        <v>N/A</v>
        <stp/>
        <stp>VOLUME</stp>
        <stp>.SPX251219P5670</stp>
        <tr r="W121" s="2"/>
      </tp>
      <tp t="s">
        <v>N/A</v>
        <stp/>
        <stp>VOLUME</stp>
        <stp>.SPX251017P5690</stp>
        <tr r="S119" s="2"/>
      </tp>
      <tp>
        <v>20</v>
        <stp/>
        <stp>VOLUME</stp>
        <stp>.SPX250718P5660</stp>
        <tr r="M122" s="2"/>
        <tr r="M122" s="2"/>
      </tp>
      <tp>
        <v>149</v>
        <stp/>
        <stp>VOLUME</stp>
        <stp>.SPX250516P5680</stp>
        <tr r="BD119" s="1"/>
        <tr r="BD119" s="1"/>
      </tp>
      <tp t="s">
        <v>N/A</v>
        <stp/>
        <stp>VOLUME</stp>
        <stp>.SPX250919P5670</stp>
        <tr r="Q121" s="2"/>
      </tp>
      <tp>
        <v>3</v>
        <stp/>
        <stp>VOLUME</stp>
        <stp>.SPX250718C5670</stp>
        <tr r="M121" s="2"/>
        <tr r="M121" s="2"/>
      </tp>
      <tp>
        <v>43</v>
        <stp/>
        <stp>VOLUME</stp>
        <stp>.SPX250516C5690</stp>
        <tr r="BC118" s="1"/>
        <tr r="BC118" s="1"/>
      </tp>
      <tp>
        <v>350</v>
        <stp/>
        <stp>VOLUME</stp>
        <stp>.SPX250919C5660</stp>
        <tr r="Q122" s="2"/>
        <tr r="Q122" s="2"/>
      </tp>
      <tp t="s">
        <v>N/A</v>
        <stp/>
        <stp>VOLUME</stp>
        <stp>.SPX251219C5660</stp>
        <tr r="W122" s="2"/>
      </tp>
      <tp t="s">
        <v>N/A</v>
        <stp/>
        <stp>VOLUME</stp>
        <stp>.SPX251017C5680</stp>
        <tr r="S120" s="2"/>
      </tp>
      <tp t="s">
        <v>N/A</v>
        <stp/>
        <stp>VOLUME</stp>
        <stp>.SPX251219P5660</stp>
        <tr r="W122" s="2"/>
      </tp>
      <tp t="s">
        <v>N/A</v>
        <stp/>
        <stp>VOLUME</stp>
        <stp>.SPX251017P5680</stp>
        <tr r="S120" s="2"/>
      </tp>
      <tp>
        <v>25</v>
        <stp/>
        <stp>VOLUME</stp>
        <stp>.SPX250718P5670</stp>
        <tr r="M121" s="2"/>
        <tr r="M121" s="2"/>
      </tp>
      <tp>
        <v>1427</v>
        <stp/>
        <stp>VOLUME</stp>
        <stp>.SPX250516P5690</stp>
        <tr r="BD118" s="1"/>
        <tr r="BD118" s="1"/>
      </tp>
      <tp>
        <v>7</v>
        <stp/>
        <stp>VOLUME</stp>
        <stp>.SPX250919P5660</stp>
        <tr r="Q122" s="2"/>
        <tr r="Q122" s="2"/>
      </tp>
      <tp t="s">
        <v>N/A</v>
        <stp/>
        <stp>VOLUME</stp>
        <stp>.SPX250718C5640</stp>
        <tr r="M124" s="2"/>
      </tp>
      <tp>
        <v>2</v>
        <stp/>
        <stp>VOLUME</stp>
        <stp>.SPX250919C5650</stp>
        <tr r="Q123" s="2"/>
        <tr r="Q123" s="2"/>
      </tp>
      <tp t="s">
        <v>N/A</v>
        <stp/>
        <stp>VOLUME</stp>
        <stp>.SPX250815C5690</stp>
        <tr r="O119" s="2"/>
      </tp>
      <tp>
        <v>2</v>
        <stp/>
        <stp>VOLUME</stp>
        <stp>.SPX251219C5650</stp>
        <tr r="W123" s="2"/>
        <tr r="W123" s="2"/>
      </tp>
      <tp>
        <v>1612</v>
        <stp/>
        <stp>VOLUME</stp>
        <stp>.SPX251219P5650</stp>
        <tr r="W123" s="2"/>
        <tr r="W123" s="2"/>
      </tp>
      <tp>
        <v>5</v>
        <stp/>
        <stp>VOLUME</stp>
        <stp>.SPX250718P5640</stp>
        <tr r="M124" s="2"/>
        <tr r="M124" s="2"/>
      </tp>
      <tp>
        <v>5</v>
        <stp/>
        <stp>VOLUME</stp>
        <stp>.SPX250919P5650</stp>
        <tr r="Q123" s="2"/>
        <tr r="Q123" s="2"/>
      </tp>
      <tp>
        <v>1</v>
        <stp/>
        <stp>VOLUME</stp>
        <stp>.SPX250815P5690</stp>
        <tr r="O119" s="2"/>
        <tr r="O119" s="2"/>
      </tp>
      <tp>
        <v>10</v>
        <stp/>
        <stp>VOLUME</stp>
        <stp>.SPX250718C5650</stp>
        <tr r="M123" s="2"/>
        <tr r="M123" s="2"/>
      </tp>
      <tp t="s">
        <v>N/A</v>
        <stp/>
        <stp>VOLUME</stp>
        <stp>.SPX250919C5640</stp>
        <tr r="Q124" s="2"/>
      </tp>
      <tp t="s">
        <v>N/A</v>
        <stp/>
        <stp>VOLUME</stp>
        <stp>.SPX250815C5680</stp>
        <tr r="O120" s="2"/>
      </tp>
      <tp t="s">
        <v>N/A</v>
        <stp/>
        <stp>VOLUME</stp>
        <stp>.SPX251219C5640</stp>
        <tr r="W124" s="2"/>
      </tp>
      <tp t="s">
        <v>N/A</v>
        <stp/>
        <stp>VOLUME</stp>
        <stp>.SPX251219P5640</stp>
        <tr r="W124" s="2"/>
      </tp>
      <tp>
        <v>532</v>
        <stp/>
        <stp>VOLUME</stp>
        <stp>.SPX250718P5650</stp>
        <tr r="M123" s="2"/>
        <tr r="M123" s="2"/>
      </tp>
      <tp t="s">
        <v>N/A</v>
        <stp/>
        <stp>VOLUME</stp>
        <stp>.SPX250919P5640</stp>
        <tr r="Q124" s="2"/>
      </tp>
      <tp>
        <v>1</v>
        <stp/>
        <stp>VOLUME</stp>
        <stp>.SPX250815P5680</stp>
        <tr r="O120" s="2"/>
        <tr r="O120" s="2"/>
      </tp>
      <tp t="s">
        <v>N/A</v>
        <stp/>
        <stp>VOLUME</stp>
        <stp>.SPX250718C5620</stp>
        <tr r="M126" s="2"/>
      </tp>
      <tp t="s">
        <v>N/A</v>
        <stp/>
        <stp>VOLUME</stp>
        <stp>.SPX250523C5590</stp>
        <tr r="H129" s="2"/>
      </tp>
      <tp>
        <v>10</v>
        <stp/>
        <stp>VOLUME</stp>
        <stp>.SPX250919C5630</stp>
        <tr r="Q125" s="2"/>
        <tr r="Q125" s="2"/>
      </tp>
      <tp t="s">
        <v>N/A</v>
        <stp/>
        <stp>VOLUME</stp>
        <stp>.SPX251219C5630</stp>
        <tr r="W125" s="2"/>
      </tp>
      <tp t="s">
        <v>N/A</v>
        <stp/>
        <stp>VOLUME</stp>
        <stp>.SPX251219P5630</stp>
        <tr r="W125" s="2"/>
      </tp>
      <tp>
        <v>123</v>
        <stp/>
        <stp>VOLUME</stp>
        <stp>.SPX250718P5620</stp>
        <tr r="M126" s="2"/>
        <tr r="M126" s="2"/>
      </tp>
      <tp t="s">
        <v>N/A</v>
        <stp/>
        <stp>VOLUME</stp>
        <stp>.SPX250523P5590</stp>
        <tr r="H129" s="2"/>
      </tp>
      <tp t="s">
        <v>N/A</v>
        <stp/>
        <stp>VOLUME</stp>
        <stp>.SPX250919P5630</stp>
        <tr r="Q125" s="2"/>
      </tp>
      <tp>
        <v>1</v>
        <stp/>
        <stp>VOLUME</stp>
        <stp>.SPX250718C5630</stp>
        <tr r="M125" s="2"/>
        <tr r="M125" s="2"/>
      </tp>
      <tp t="s">
        <v>N/A</v>
        <stp/>
        <stp>VOLUME</stp>
        <stp>.SPX250523C5580</stp>
        <tr r="H130" s="2"/>
      </tp>
      <tp t="s">
        <v>N/A</v>
        <stp/>
        <stp>VOLUME</stp>
        <stp>.SPX250919C5620</stp>
        <tr r="Q126" s="2"/>
      </tp>
      <tp t="s">
        <v>N/A</v>
        <stp/>
        <stp>VOLUME</stp>
        <stp>.SPX251219C5620</stp>
        <tr r="W126" s="2"/>
      </tp>
      <tp t="s">
        <v>N/A</v>
        <stp/>
        <stp>VOLUME</stp>
        <stp>.SPX251219P5620</stp>
        <tr r="W126" s="2"/>
      </tp>
      <tp>
        <v>36</v>
        <stp/>
        <stp>VOLUME</stp>
        <stp>.SPX250718P5630</stp>
        <tr r="M125" s="2"/>
        <tr r="M125" s="2"/>
      </tp>
      <tp t="s">
        <v>N/A</v>
        <stp/>
        <stp>VOLUME</stp>
        <stp>.SPX250523P5580</stp>
        <tr r="H130" s="2"/>
      </tp>
      <tp>
        <v>100</v>
        <stp/>
        <stp>VOLUME</stp>
        <stp>.SPX250919P5620</stp>
        <tr r="Q126" s="2"/>
        <tr r="Q126" s="2"/>
      </tp>
      <tp>
        <v>7</v>
        <stp/>
        <stp>VOLUME</stp>
        <stp>.SPX250718C5600</stp>
        <tr r="M128" s="2"/>
        <tr r="M128" s="2"/>
      </tp>
      <tp t="s">
        <v>N/A</v>
        <stp/>
        <stp>VOLUME</stp>
        <stp>.SPX250620C5580</stp>
        <tr r="BE129" s="1"/>
      </tp>
      <tp t="s">
        <v>N/A</v>
        <stp/>
        <stp>VOLUME</stp>
        <stp>.SPX250919C5610</stp>
        <tr r="Q127" s="2"/>
      </tp>
      <tp t="s">
        <v>N/A</v>
        <stp/>
        <stp>VOLUME</stp>
        <stp>.SPX251219C5610</stp>
        <tr r="W127" s="2"/>
      </tp>
      <tp t="s">
        <v>N/A</v>
        <stp/>
        <stp>VOLUME</stp>
        <stp>.SPX251121C5590</stp>
        <tr r="U129" s="2"/>
      </tp>
      <tp t="s">
        <v>N/A</v>
        <stp/>
        <stp>VOLUME</stp>
        <stp>.SPX251219P5610</stp>
        <tr r="W127" s="2"/>
      </tp>
      <tp t="s">
        <v>N/A</v>
        <stp/>
        <stp>VOLUME</stp>
        <stp>.SPX251121P5590</stp>
        <tr r="U129" s="2"/>
      </tp>
      <tp>
        <v>1595</v>
        <stp/>
        <stp>VOLUME</stp>
        <stp>.SPX250718P5600</stp>
        <tr r="M128" s="2"/>
        <tr r="M128" s="2"/>
      </tp>
      <tp>
        <v>244</v>
        <stp/>
        <stp>VOLUME</stp>
        <stp>.SPX250620P5580</stp>
        <tr r="BF129" s="1"/>
        <tr r="BF129" s="1"/>
      </tp>
      <tp t="s">
        <v>N/A</v>
        <stp/>
        <stp>VOLUME</stp>
        <stp>.SPX250919P5610</stp>
        <tr r="Q127" s="2"/>
      </tp>
      <tp t="s">
        <v>N/A</v>
        <stp/>
        <stp>VOLUME</stp>
        <stp>.SPX250718C5610</stp>
        <tr r="M127" s="2"/>
      </tp>
      <tp>
        <v>7</v>
        <stp/>
        <stp>VOLUME</stp>
        <stp>.SPX250620C5590</stp>
        <tr r="BE128" s="1"/>
        <tr r="BE128" s="1"/>
      </tp>
      <tp>
        <v>128</v>
        <stp/>
        <stp>VOLUME</stp>
        <stp>.SPX250919C5600</stp>
        <tr r="Q128" s="2"/>
        <tr r="Q128" s="2"/>
      </tp>
      <tp>
        <v>83</v>
        <stp/>
        <stp>VOLUME</stp>
        <stp>.SPX251219C5600</stp>
        <tr r="W128" s="2"/>
        <tr r="W128" s="2"/>
      </tp>
      <tp t="s">
        <v>N/A</v>
        <stp/>
        <stp>VOLUME</stp>
        <stp>.SPX251121C5580</stp>
        <tr r="U130" s="2"/>
      </tp>
      <tp>
        <v>412</v>
        <stp/>
        <stp>VOLUME</stp>
        <stp>.SPX251219P5600</stp>
        <tr r="W128" s="2"/>
        <tr r="W128" s="2"/>
      </tp>
      <tp t="s">
        <v>N/A</v>
        <stp/>
        <stp>VOLUME</stp>
        <stp>.SPX251121P5580</stp>
        <tr r="U130" s="2"/>
      </tp>
      <tp>
        <v>6</v>
        <stp/>
        <stp>VOLUME</stp>
        <stp>.SPX250718P5610</stp>
        <tr r="M127" s="2"/>
        <tr r="M127" s="2"/>
      </tp>
      <tp>
        <v>5</v>
        <stp/>
        <stp>VOLUME</stp>
        <stp>.SPX250620P5590</stp>
        <tr r="BF128" s="1"/>
        <tr r="BF128" s="1"/>
      </tp>
      <tp>
        <v>2385</v>
        <stp/>
        <stp>VOLUME</stp>
        <stp>.SPX250919P5600</stp>
        <tr r="Q128" s="2"/>
        <tr r="Q128" s="2"/>
      </tp>
      <tp t="s">
        <v>20.76%</v>
        <stp/>
        <stp>IMPL_VOL</stp>
        <stp>.NDX250620C20200</stp>
        <tr r="EP183" s="1"/>
      </tp>
      <tp t="s">
        <v>18.19%</v>
        <stp/>
        <stp>IMPL_VOL</stp>
        <stp>.NDX250620C21200</stp>
        <tr r="EP143" s="1"/>
      </tp>
      <tp t="s">
        <v>22.35%</v>
        <stp/>
        <stp>IMPL_VOL</stp>
        <stp>.NDX250516C20400</stp>
        <tr r="EN175" s="1"/>
      </tp>
      <tp t="s">
        <v>21.05%</v>
        <stp/>
        <stp>IMPL_VOL</stp>
        <stp>.NDX250620C20225</stp>
        <tr r="EP182" s="1"/>
      </tp>
      <tp t="s">
        <v>18.15%</v>
        <stp/>
        <stp>IMPL_VOL</stp>
        <stp>.NDX250620C21225</stp>
        <tr r="EP142" s="1"/>
      </tp>
      <tp t="s">
        <v>21.92%</v>
        <stp/>
        <stp>IMPL_VOL</stp>
        <stp>.NDX250516C20425</stp>
        <tr r="EN174" s="1"/>
      </tp>
      <tp t="s">
        <v>20.62%</v>
        <stp/>
        <stp>IMPL_VOL</stp>
        <stp>.NDX250620C20250</stp>
        <tr r="EP181" s="1"/>
      </tp>
      <tp t="s">
        <v>18.10%</v>
        <stp/>
        <stp>IMPL_VOL</stp>
        <stp>.NDX250620C21250</stp>
        <tr r="EP141" s="1"/>
      </tp>
      <tp t="s">
        <v>22.23%</v>
        <stp/>
        <stp>IMPL_VOL</stp>
        <stp>.NDX250516C20450</stp>
        <tr r="EN173" s="1"/>
      </tp>
      <tp t="s">
        <v>20.73%</v>
        <stp/>
        <stp>IMPL_VOL</stp>
        <stp>.NDX250620C20275</stp>
        <tr r="EP180" s="1"/>
      </tp>
      <tp t="s">
        <v>18.05%</v>
        <stp/>
        <stp>IMPL_VOL</stp>
        <stp>.NDX250620C21275</stp>
        <tr r="EP140" s="1"/>
      </tp>
      <tp t="s">
        <v>21.40%</v>
        <stp/>
        <stp>IMPL_VOL</stp>
        <stp>.NDX250516C20475</stp>
        <tr r="EN172" s="1"/>
      </tp>
      <tp t="s">
        <v>21.87%</v>
        <stp/>
        <stp>IMPL_VOL</stp>
        <stp>.NDX250620P20225</stp>
        <tr r="EQ182" s="1"/>
      </tp>
      <tp t="s">
        <v>19.17%</v>
        <stp/>
        <stp>IMPL_VOL</stp>
        <stp>.NDX250620P21225</stp>
        <tr r="EQ142" s="1"/>
      </tp>
      <tp t="s">
        <v>24.34%</v>
        <stp/>
        <stp>IMPL_VOL</stp>
        <stp>.NDX250516P20425</stp>
        <tr r="EO174" s="1"/>
      </tp>
      <tp t="s">
        <v>21.96%</v>
        <stp/>
        <stp>IMPL_VOL</stp>
        <stp>.NDX250620P20200</stp>
        <tr r="EQ183" s="1"/>
      </tp>
      <tp t="s">
        <v>19.22%</v>
        <stp/>
        <stp>IMPL_VOL</stp>
        <stp>.NDX250620P21200</stp>
        <tr r="EQ143" s="1"/>
      </tp>
      <tp t="s">
        <v>24.45%</v>
        <stp/>
        <stp>IMPL_VOL</stp>
        <stp>.NDX250516P20400</stp>
        <tr r="EO175" s="1"/>
      </tp>
      <tp t="s">
        <v>21.72%</v>
        <stp/>
        <stp>IMPL_VOL</stp>
        <stp>.NDX250620P20275</stp>
        <tr r="EQ180" s="1"/>
      </tp>
      <tp t="s">
        <v>19.08%</v>
        <stp/>
        <stp>IMPL_VOL</stp>
        <stp>.NDX250620P21275</stp>
        <tr r="EQ140" s="1"/>
      </tp>
      <tp t="s">
        <v>24.12%</v>
        <stp/>
        <stp>IMPL_VOL</stp>
        <stp>.NDX250516P20475</stp>
        <tr r="EO172" s="1"/>
      </tp>
      <tp t="s">
        <v>21.79%</v>
        <stp/>
        <stp>IMPL_VOL</stp>
        <stp>.NDX250620P20250</stp>
        <tr r="EQ181" s="1"/>
      </tp>
      <tp t="s">
        <v>19.13%</v>
        <stp/>
        <stp>IMPL_VOL</stp>
        <stp>.NDX250620P21250</stp>
        <tr r="EQ141" s="1"/>
      </tp>
      <tp t="s">
        <v>24.22%</v>
        <stp/>
        <stp>IMPL_VOL</stp>
        <stp>.NDX250516P20450</stp>
        <tr r="EO173" s="1"/>
      </tp>
      <tp>
        <v>1725</v>
        <stp/>
        <stp>VOLUME</stp>
        <stp>.SPX250516C5700</stp>
        <tr r="BC117" s="1"/>
        <tr r="BC117" s="1"/>
      </tp>
      <tp t="s">
        <v>N/A</v>
        <stp/>
        <stp>VOLUME</stp>
        <stp>.SPX250815C5730</stp>
        <tr r="O115" s="2"/>
      </tp>
      <tp t="s">
        <v>N/A</v>
        <stp/>
        <stp>VOLUME</stp>
        <stp>.SPX251017C5710</stp>
        <tr r="S117" s="2"/>
      </tp>
      <tp t="s">
        <v>N/A</v>
        <stp/>
        <stp>VOLUME</stp>
        <stp>.SPX251017P5710</stp>
        <tr r="S117" s="2"/>
      </tp>
      <tp>
        <v>1720</v>
        <stp/>
        <stp>VOLUME</stp>
        <stp>.SPX250516P5700</stp>
        <tr r="BD117" s="1"/>
        <tr r="BD117" s="1"/>
      </tp>
      <tp>
        <v>2</v>
        <stp/>
        <stp>VOLUME</stp>
        <stp>.SPX250815P5730</stp>
        <tr r="O115" s="2"/>
        <tr r="O115" s="2"/>
      </tp>
      <tp>
        <v>25</v>
        <stp/>
        <stp>VOLUME</stp>
        <stp>.SPX250516C5710</stp>
        <tr r="BC116" s="1"/>
        <tr r="BC116" s="1"/>
      </tp>
      <tp>
        <v>20</v>
        <stp/>
        <stp>VOLUME</stp>
        <stp>.SPX250815C5720</stp>
        <tr r="O116" s="2"/>
        <tr r="O116" s="2"/>
      </tp>
      <tp>
        <v>42</v>
        <stp/>
        <stp>VOLUME</stp>
        <stp>.SPX251017C5700</stp>
        <tr r="S118" s="2"/>
        <tr r="S118" s="2"/>
      </tp>
      <tp>
        <v>32</v>
        <stp/>
        <stp>VOLUME</stp>
        <stp>.SPX251017P5700</stp>
        <tr r="S118" s="2"/>
        <tr r="S118" s="2"/>
      </tp>
      <tp>
        <v>217</v>
        <stp/>
        <stp>VOLUME</stp>
        <stp>.SPX250516P5710</stp>
        <tr r="BD116" s="1"/>
        <tr r="BD116" s="1"/>
      </tp>
      <tp>
        <v>8</v>
        <stp/>
        <stp>VOLUME</stp>
        <stp>.SPX250815P5720</stp>
        <tr r="O116" s="2"/>
        <tr r="O116" s="2"/>
      </tp>
      <tp>
        <v>162</v>
        <stp/>
        <stp>VOLUME</stp>
        <stp>.SPX250516C5720</stp>
        <tr r="BC115" s="1"/>
        <tr r="BC115" s="1"/>
      </tp>
      <tp>
        <v>2</v>
        <stp/>
        <stp>VOLUME</stp>
        <stp>.SPX250815C5710</stp>
        <tr r="O117" s="2"/>
        <tr r="O117" s="2"/>
      </tp>
      <tp t="s">
        <v>N/A</v>
        <stp/>
        <stp>VOLUME</stp>
        <stp>.SPX251017C5730</stp>
        <tr r="S115" s="2"/>
      </tp>
      <tp t="s">
        <v>N/A</v>
        <stp/>
        <stp>VOLUME</stp>
        <stp>.SPX251017P5730</stp>
        <tr r="S115" s="2"/>
      </tp>
      <tp>
        <v>285</v>
        <stp/>
        <stp>VOLUME</stp>
        <stp>.SPX250516P5720</stp>
        <tr r="BD115" s="1"/>
        <tr r="BD115" s="1"/>
      </tp>
      <tp t="s">
        <v>N/A</v>
        <stp/>
        <stp>VOLUME</stp>
        <stp>.SPX250815P5710</stp>
        <tr r="O117" s="2"/>
      </tp>
      <tp>
        <v>9</v>
        <stp/>
        <stp>VOLUME</stp>
        <stp>.SPX250516C5730</stp>
        <tr r="BC114" s="1"/>
        <tr r="BC114" s="1"/>
      </tp>
      <tp>
        <v>19</v>
        <stp/>
        <stp>VOLUME</stp>
        <stp>.SPX250815C5700</stp>
        <tr r="O118" s="2"/>
        <tr r="O118" s="2"/>
      </tp>
      <tp t="s">
        <v>N/A</v>
        <stp/>
        <stp>VOLUME</stp>
        <stp>.SPX251017C5720</stp>
        <tr r="S116" s="2"/>
      </tp>
      <tp t="s">
        <v>N/A</v>
        <stp/>
        <stp>VOLUME</stp>
        <stp>.SPX251017P5720</stp>
        <tr r="S116" s="2"/>
      </tp>
      <tp>
        <v>149</v>
        <stp/>
        <stp>VOLUME</stp>
        <stp>.SPX250516P5730</stp>
        <tr r="BD114" s="1"/>
        <tr r="BD114" s="1"/>
      </tp>
      <tp>
        <v>171</v>
        <stp/>
        <stp>VOLUME</stp>
        <stp>.SPX250815P5700</stp>
        <tr r="O118" s="2"/>
        <tr r="O118" s="2"/>
      </tp>
      <tp>
        <v>87</v>
        <stp/>
        <stp>VOLUME</stp>
        <stp>.SPX250516C5740</stp>
        <tr r="BC113" s="1"/>
        <tr r="BC113" s="1"/>
      </tp>
      <tp t="s">
        <v>N/A</v>
        <stp/>
        <stp>VOLUME</stp>
        <stp>.SPX250815C5770</stp>
        <tr r="O111" s="2"/>
      </tp>
      <tp>
        <v>106</v>
        <stp/>
        <stp>VOLUME</stp>
        <stp>.SPX251017C5750</stp>
        <tr r="S113" s="2"/>
        <tr r="S113" s="2"/>
      </tp>
      <tp>
        <v>10</v>
        <stp/>
        <stp>VOLUME</stp>
        <stp>.SPX251017P5750</stp>
        <tr r="S113" s="2"/>
        <tr r="S113" s="2"/>
      </tp>
      <tp>
        <v>127</v>
        <stp/>
        <stp>VOLUME</stp>
        <stp>.SPX250516P5740</stp>
        <tr r="BD113" s="1"/>
        <tr r="BD113" s="1"/>
      </tp>
      <tp>
        <v>2</v>
        <stp/>
        <stp>VOLUME</stp>
        <stp>.SPX250815P5770</stp>
        <tr r="O111" s="2"/>
        <tr r="O111" s="2"/>
      </tp>
      <tp>
        <v>828</v>
        <stp/>
        <stp>VOLUME</stp>
        <stp>.SPX250516C5750</stp>
        <tr r="BC112" s="1"/>
        <tr r="BC112" s="1"/>
      </tp>
      <tp>
        <v>3</v>
        <stp/>
        <stp>VOLUME</stp>
        <stp>.SPX250815C5760</stp>
        <tr r="O112" s="2"/>
        <tr r="O112" s="2"/>
      </tp>
      <tp t="s">
        <v>N/A</v>
        <stp/>
        <stp>VOLUME</stp>
        <stp>.SPX251017C5740</stp>
        <tr r="S114" s="2"/>
      </tp>
      <tp t="s">
        <v>N/A</v>
        <stp/>
        <stp>VOLUME</stp>
        <stp>.SPX251017P5740</stp>
        <tr r="S114" s="2"/>
      </tp>
      <tp>
        <v>4816</v>
        <stp/>
        <stp>VOLUME</stp>
        <stp>.SPX250516P5750</stp>
        <tr r="BD112" s="1"/>
        <tr r="BD112" s="1"/>
      </tp>
      <tp>
        <v>3</v>
        <stp/>
        <stp>VOLUME</stp>
        <stp>.SPX250815P5760</stp>
        <tr r="O112" s="2"/>
        <tr r="O112" s="2"/>
      </tp>
      <tp>
        <v>4</v>
        <stp/>
        <stp>VOLUME</stp>
        <stp>.SPX250718C5780</stp>
        <tr r="M110" s="2"/>
        <tr r="M110" s="2"/>
      </tp>
      <tp>
        <v>18</v>
        <stp/>
        <stp>VOLUME</stp>
        <stp>.SPX250516C5760</stp>
        <tr r="BC111" s="1"/>
        <tr r="BC111" s="1"/>
      </tp>
      <tp>
        <v>119</v>
        <stp/>
        <stp>VOLUME</stp>
        <stp>.SPX250919C5790</stp>
        <tr r="Q109" s="2"/>
        <tr r="Q109" s="2"/>
      </tp>
      <tp>
        <v>42</v>
        <stp/>
        <stp>VOLUME</stp>
        <stp>.SPX250815C5750</stp>
        <tr r="O113" s="2"/>
        <tr r="O113" s="2"/>
      </tp>
      <tp t="s">
        <v>N/A</v>
        <stp/>
        <stp>VOLUME</stp>
        <stp>.SPX251219C5790</stp>
        <tr r="W109" s="2"/>
      </tp>
      <tp t="s">
        <v>N/A</v>
        <stp/>
        <stp>VOLUME</stp>
        <stp>.SPX251017C5770</stp>
        <tr r="S111" s="2"/>
      </tp>
      <tp t="s">
        <v>N/A</v>
        <stp/>
        <stp>VOLUME</stp>
        <stp>.SPX251219P5790</stp>
        <tr r="W109" s="2"/>
      </tp>
      <tp t="s">
        <v>N/A</v>
        <stp/>
        <stp>VOLUME</stp>
        <stp>.SPX251017P5770</stp>
        <tr r="S111" s="2"/>
      </tp>
      <tp>
        <v>41</v>
        <stp/>
        <stp>VOLUME</stp>
        <stp>.SPX250718P5780</stp>
        <tr r="M110" s="2"/>
        <tr r="M110" s="2"/>
      </tp>
      <tp>
        <v>1443</v>
        <stp/>
        <stp>VOLUME</stp>
        <stp>.SPX250516P5760</stp>
        <tr r="BD111" s="1"/>
        <tr r="BD111" s="1"/>
      </tp>
      <tp>
        <v>1</v>
        <stp/>
        <stp>VOLUME</stp>
        <stp>.SPX250919P5790</stp>
        <tr r="Q109" s="2"/>
        <tr r="Q109" s="2"/>
      </tp>
      <tp>
        <v>58</v>
        <stp/>
        <stp>VOLUME</stp>
        <stp>.SPX250815P5750</stp>
        <tr r="O113" s="2"/>
        <tr r="O113" s="2"/>
      </tp>
      <tp>
        <v>15</v>
        <stp/>
        <stp>VOLUME</stp>
        <stp>.SPX250718C5790</stp>
        <tr r="M109" s="2"/>
        <tr r="M109" s="2"/>
      </tp>
      <tp>
        <v>18</v>
        <stp/>
        <stp>VOLUME</stp>
        <stp>.SPX250516C5770</stp>
        <tr r="BC110" s="1"/>
        <tr r="BC110" s="1"/>
      </tp>
      <tp>
        <v>89</v>
        <stp/>
        <stp>VOLUME</stp>
        <stp>.SPX250919C5780</stp>
        <tr r="Q110" s="2"/>
        <tr r="Q110" s="2"/>
      </tp>
      <tp t="s">
        <v>N/A</v>
        <stp/>
        <stp>VOLUME</stp>
        <stp>.SPX250815C5740</stp>
        <tr r="O114" s="2"/>
      </tp>
      <tp t="s">
        <v>N/A</v>
        <stp/>
        <stp>VOLUME</stp>
        <stp>.SPX251219C5780</stp>
        <tr r="W110" s="2"/>
      </tp>
      <tp t="s">
        <v>N/A</v>
        <stp/>
        <stp>VOLUME</stp>
        <stp>.SPX251017C5760</stp>
        <tr r="S112" s="2"/>
      </tp>
      <tp t="s">
        <v>N/A</v>
        <stp/>
        <stp>VOLUME</stp>
        <stp>.SPX251219P5780</stp>
        <tr r="W110" s="2"/>
      </tp>
      <tp t="s">
        <v>N/A</v>
        <stp/>
        <stp>VOLUME</stp>
        <stp>.SPX251017P5760</stp>
        <tr r="S112" s="2"/>
      </tp>
      <tp>
        <v>15</v>
        <stp/>
        <stp>VOLUME</stp>
        <stp>.SPX250718P5790</stp>
        <tr r="M109" s="2"/>
        <tr r="M109" s="2"/>
      </tp>
      <tp>
        <v>91</v>
        <stp/>
        <stp>VOLUME</stp>
        <stp>.SPX250516P5770</stp>
        <tr r="BD110" s="1"/>
        <tr r="BD110" s="1"/>
      </tp>
      <tp>
        <v>77</v>
        <stp/>
        <stp>VOLUME</stp>
        <stp>.SPX250919P5780</stp>
        <tr r="Q110" s="2"/>
        <tr r="Q110" s="2"/>
      </tp>
      <tp>
        <v>4</v>
        <stp/>
        <stp>VOLUME</stp>
        <stp>.SPX250815P5740</stp>
        <tr r="O114" s="2"/>
        <tr r="O114" s="2"/>
      </tp>
      <tp>
        <v>274</v>
        <stp/>
        <stp>VOLUME</stp>
        <stp>.SPX250718C5760</stp>
        <tr r="M112" s="2"/>
        <tr r="M112" s="2"/>
      </tp>
      <tp>
        <v>190</v>
        <stp/>
        <stp>VOLUME</stp>
        <stp>.SPX250516C5780</stp>
        <tr r="BC109" s="1"/>
        <tr r="BC109" s="1"/>
      </tp>
      <tp t="s">
        <v>N/A</v>
        <stp/>
        <stp>VOLUME</stp>
        <stp>.SPX250919C5770</stp>
        <tr r="Q111" s="2"/>
      </tp>
      <tp t="s">
        <v>N/A</v>
        <stp/>
        <stp>VOLUME</stp>
        <stp>.SPX251219C5770</stp>
        <tr r="W111" s="2"/>
      </tp>
      <tp t="s">
        <v>N/A</v>
        <stp/>
        <stp>VOLUME</stp>
        <stp>.SPX251017C5790</stp>
        <tr r="S109" s="2"/>
      </tp>
      <tp t="s">
        <v>N/A</v>
        <stp/>
        <stp>VOLUME</stp>
        <stp>.SPX251219P5770</stp>
        <tr r="W111" s="2"/>
      </tp>
      <tp t="s">
        <v>N/A</v>
        <stp/>
        <stp>VOLUME</stp>
        <stp>.SPX251017P5790</stp>
        <tr r="S109" s="2"/>
      </tp>
      <tp>
        <v>24</v>
        <stp/>
        <stp>VOLUME</stp>
        <stp>.SPX250718P5760</stp>
        <tr r="M112" s="2"/>
        <tr r="M112" s="2"/>
      </tp>
      <tp>
        <v>240</v>
        <stp/>
        <stp>VOLUME</stp>
        <stp>.SPX250516P5780</stp>
        <tr r="BD109" s="1"/>
        <tr r="BD109" s="1"/>
      </tp>
      <tp t="s">
        <v>N/A</v>
        <stp/>
        <stp>VOLUME</stp>
        <stp>.SPX250919P5770</stp>
        <tr r="Q111" s="2"/>
      </tp>
      <tp>
        <v>45</v>
        <stp/>
        <stp>VOLUME</stp>
        <stp>.SPX250718C5770</stp>
        <tr r="M111" s="2"/>
        <tr r="M111" s="2"/>
      </tp>
      <tp>
        <v>444</v>
        <stp/>
        <stp>VOLUME</stp>
        <stp>.SPX250516C5790</stp>
        <tr r="BC108" s="1"/>
        <tr r="BC108" s="1"/>
      </tp>
      <tp>
        <v>12</v>
        <stp/>
        <stp>VOLUME</stp>
        <stp>.SPX250919C5760</stp>
        <tr r="Q112" s="2"/>
        <tr r="Q112" s="2"/>
      </tp>
      <tp t="s">
        <v>N/A</v>
        <stp/>
        <stp>VOLUME</stp>
        <stp>.SPX251219C5760</stp>
        <tr r="W112" s="2"/>
      </tp>
      <tp t="s">
        <v>N/A</v>
        <stp/>
        <stp>VOLUME</stp>
        <stp>.SPX251017C5780</stp>
        <tr r="S110" s="2"/>
      </tp>
      <tp t="s">
        <v>N/A</v>
        <stp/>
        <stp>VOLUME</stp>
        <stp>.SPX251219P5760</stp>
        <tr r="W112" s="2"/>
      </tp>
      <tp t="s">
        <v>N/A</v>
        <stp/>
        <stp>VOLUME</stp>
        <stp>.SPX251017P5780</stp>
        <tr r="S110" s="2"/>
      </tp>
      <tp>
        <v>16</v>
        <stp/>
        <stp>VOLUME</stp>
        <stp>.SPX250718P5770</stp>
        <tr r="M111" s="2"/>
        <tr r="M111" s="2"/>
      </tp>
      <tp>
        <v>775</v>
        <stp/>
        <stp>VOLUME</stp>
        <stp>.SPX250516P5790</stp>
        <tr r="BD108" s="1"/>
        <tr r="BD108" s="1"/>
      </tp>
      <tp>
        <v>98</v>
        <stp/>
        <stp>VOLUME</stp>
        <stp>.SPX250919P5760</stp>
        <tr r="Q112" s="2"/>
        <tr r="Q112" s="2"/>
      </tp>
      <tp>
        <v>48</v>
        <stp/>
        <stp>VOLUME</stp>
        <stp>.SPX250718C5740</stp>
        <tr r="M114" s="2"/>
        <tr r="M114" s="2"/>
      </tp>
      <tp>
        <v>7</v>
        <stp/>
        <stp>VOLUME</stp>
        <stp>.SPX250919C5750</stp>
        <tr r="Q113" s="2"/>
        <tr r="Q113" s="2"/>
      </tp>
      <tp>
        <v>2</v>
        <stp/>
        <stp>VOLUME</stp>
        <stp>.SPX250815C5790</stp>
        <tr r="O109" s="2"/>
        <tr r="O109" s="2"/>
      </tp>
      <tp>
        <v>12</v>
        <stp/>
        <stp>VOLUME</stp>
        <stp>.SPX251219C5750</stp>
        <tr r="W113" s="2"/>
        <tr r="W113" s="2"/>
      </tp>
      <tp>
        <v>19</v>
        <stp/>
        <stp>VOLUME</stp>
        <stp>.SPX251219P5750</stp>
        <tr r="W113" s="2"/>
        <tr r="W113" s="2"/>
      </tp>
      <tp>
        <v>4</v>
        <stp/>
        <stp>VOLUME</stp>
        <stp>.SPX250718P5740</stp>
        <tr r="M114" s="2"/>
        <tr r="M114" s="2"/>
      </tp>
      <tp>
        <v>9</v>
        <stp/>
        <stp>VOLUME</stp>
        <stp>.SPX250919P5750</stp>
        <tr r="Q113" s="2"/>
        <tr r="Q113" s="2"/>
      </tp>
      <tp>
        <v>12</v>
        <stp/>
        <stp>VOLUME</stp>
        <stp>.SPX250815P5790</stp>
        <tr r="O109" s="2"/>
        <tr r="O109" s="2"/>
      </tp>
      <tp>
        <v>730</v>
        <stp/>
        <stp>VOLUME</stp>
        <stp>.SPX250718C5750</stp>
        <tr r="M113" s="2"/>
        <tr r="M113" s="2"/>
      </tp>
      <tp t="s">
        <v>N/A</v>
        <stp/>
        <stp>VOLUME</stp>
        <stp>.SPX250919C5740</stp>
        <tr r="Q114" s="2"/>
      </tp>
      <tp>
        <v>90</v>
        <stp/>
        <stp>VOLUME</stp>
        <stp>.SPX250815C5780</stp>
        <tr r="O110" s="2"/>
        <tr r="O110" s="2"/>
      </tp>
      <tp t="s">
        <v>N/A</v>
        <stp/>
        <stp>VOLUME</stp>
        <stp>.SPX251219C5740</stp>
        <tr r="W114" s="2"/>
      </tp>
      <tp t="s">
        <v>N/A</v>
        <stp/>
        <stp>VOLUME</stp>
        <stp>.SPX251219P5740</stp>
        <tr r="W114" s="2"/>
      </tp>
      <tp>
        <v>984</v>
        <stp/>
        <stp>VOLUME</stp>
        <stp>.SPX250718P5750</stp>
        <tr r="M113" s="2"/>
        <tr r="M113" s="2"/>
      </tp>
      <tp t="s">
        <v>N/A</v>
        <stp/>
        <stp>VOLUME</stp>
        <stp>.SPX250919P5740</stp>
        <tr r="Q114" s="2"/>
      </tp>
      <tp>
        <v>2</v>
        <stp/>
        <stp>VOLUME</stp>
        <stp>.SPX250815P5780</stp>
        <tr r="O110" s="2"/>
        <tr r="O110" s="2"/>
      </tp>
      <tp>
        <v>27</v>
        <stp/>
        <stp>VOLUME</stp>
        <stp>.SPX250718C5720</stp>
        <tr r="M116" s="2"/>
        <tr r="M116" s="2"/>
      </tp>
      <tp t="s">
        <v>N/A</v>
        <stp/>
        <stp>VOLUME</stp>
        <stp>.SPX250919C5730</stp>
        <tr r="Q115" s="2"/>
      </tp>
      <tp t="s">
        <v>N/A</v>
        <stp/>
        <stp>VOLUME</stp>
        <stp>.SPX251219C5730</stp>
        <tr r="W115" s="2"/>
      </tp>
      <tp t="s">
        <v>N/A</v>
        <stp/>
        <stp>VOLUME</stp>
        <stp>.SPX251219P5730</stp>
        <tr r="W115" s="2"/>
      </tp>
      <tp>
        <v>57</v>
        <stp/>
        <stp>VOLUME</stp>
        <stp>.SPX250718P5720</stp>
        <tr r="M116" s="2"/>
        <tr r="M116" s="2"/>
      </tp>
      <tp t="s">
        <v>N/A</v>
        <stp/>
        <stp>VOLUME</stp>
        <stp>.SPX250919P5730</stp>
        <tr r="Q115" s="2"/>
      </tp>
      <tp>
        <v>7</v>
        <stp/>
        <stp>VOLUME</stp>
        <stp>.SPX250718C5730</stp>
        <tr r="M115" s="2"/>
        <tr r="M115" s="2"/>
      </tp>
      <tp>
        <v>100</v>
        <stp/>
        <stp>VOLUME</stp>
        <stp>.SPX250919C5720</stp>
        <tr r="Q116" s="2"/>
        <tr r="Q116" s="2"/>
      </tp>
      <tp t="s">
        <v>N/A</v>
        <stp/>
        <stp>VOLUME</stp>
        <stp>.SPX251219C5720</stp>
        <tr r="W116" s="2"/>
      </tp>
      <tp t="s">
        <v>N/A</v>
        <stp/>
        <stp>VOLUME</stp>
        <stp>.SPX251219P5720</stp>
        <tr r="W116" s="2"/>
      </tp>
      <tp>
        <v>115</v>
        <stp/>
        <stp>VOLUME</stp>
        <stp>.SPX250718P5730</stp>
        <tr r="M115" s="2"/>
        <tr r="M115" s="2"/>
      </tp>
      <tp t="s">
        <v>N/A</v>
        <stp/>
        <stp>VOLUME</stp>
        <stp>.SPX250919P5720</stp>
        <tr r="Q116" s="2"/>
      </tp>
      <tp>
        <v>223</v>
        <stp/>
        <stp>VOLUME</stp>
        <stp>.SPX250718C5700</stp>
        <tr r="M118" s="2"/>
        <tr r="M118" s="2"/>
      </tp>
      <tp t="s">
        <v>N/A</v>
        <stp/>
        <stp>VOLUME</stp>
        <stp>.SPX250919C5710</stp>
        <tr r="Q117" s="2"/>
      </tp>
      <tp t="s">
        <v>N/A</v>
        <stp/>
        <stp>VOLUME</stp>
        <stp>.SPX251219C5710</stp>
        <tr r="W117" s="2"/>
      </tp>
      <tp t="s">
        <v>N/A</v>
        <stp/>
        <stp>VOLUME</stp>
        <stp>.SPX251219P5710</stp>
        <tr r="W117" s="2"/>
      </tp>
      <tp>
        <v>1179</v>
        <stp/>
        <stp>VOLUME</stp>
        <stp>.SPX250718P5700</stp>
        <tr r="M118" s="2"/>
        <tr r="M118" s="2"/>
      </tp>
      <tp t="s">
        <v>N/A</v>
        <stp/>
        <stp>VOLUME</stp>
        <stp>.SPX250919P5710</stp>
        <tr r="Q117" s="2"/>
      </tp>
      <tp>
        <v>114</v>
        <stp/>
        <stp>VOLUME</stp>
        <stp>.SPX250718C5710</stp>
        <tr r="M117" s="2"/>
        <tr r="M117" s="2"/>
      </tp>
      <tp>
        <v>316</v>
        <stp/>
        <stp>VOLUME</stp>
        <stp>.SPX250919C5700</stp>
        <tr r="Q118" s="2"/>
        <tr r="Q118" s="2"/>
      </tp>
      <tp>
        <v>74</v>
        <stp/>
        <stp>VOLUME</stp>
        <stp>.SPX251219C5700</stp>
        <tr r="W118" s="2"/>
        <tr r="W118" s="2"/>
      </tp>
      <tp>
        <v>594</v>
        <stp/>
        <stp>VOLUME</stp>
        <stp>.SPX251219P5700</stp>
        <tr r="W118" s="2"/>
        <tr r="W118" s="2"/>
      </tp>
      <tp>
        <v>23</v>
        <stp/>
        <stp>VOLUME</stp>
        <stp>.SPX250718P5710</stp>
        <tr r="M117" s="2"/>
        <tr r="M117" s="2"/>
      </tp>
      <tp>
        <v>370</v>
        <stp/>
        <stp>VOLUME</stp>
        <stp>.SPX250919P5700</stp>
        <tr r="Q118" s="2"/>
        <tr r="Q118" s="2"/>
      </tp>
      <tp>
        <v>190</v>
        <stp/>
        <stp>OPEN_INT</stp>
        <stp>.NDX250620P20900</stp>
        <tr r="AX155" s="1"/>
        <tr r="AX155" s="1"/>
      </tp>
      <tp>
        <v>2</v>
        <stp/>
        <stp>OPEN_INT</stp>
        <stp>.NDX250620P20925</stp>
        <tr r="AX154" s="1"/>
        <tr r="AX154" s="1"/>
      </tp>
      <tp>
        <v>1</v>
        <stp/>
        <stp>OPEN_INT</stp>
        <stp>.NDX250620P20950</stp>
        <tr r="AX153" s="1"/>
        <tr r="AX153" s="1"/>
      </tp>
      <tp>
        <v>0</v>
        <stp/>
        <stp>OPEN_INT</stp>
        <stp>.NDX250620P20975</stp>
        <tr r="AX152" s="1"/>
        <tr r="AX152" s="1"/>
      </tp>
      <tp>
        <v>14</v>
        <stp/>
        <stp>OPEN_INT</stp>
        <stp>.NDX250620C20925</stp>
        <tr r="AW154" s="1"/>
        <tr r="AW154" s="1"/>
      </tp>
      <tp>
        <v>105</v>
        <stp/>
        <stp>OPEN_INT</stp>
        <stp>.NDX250620C20900</stp>
        <tr r="AW155" s="1"/>
        <tr r="AW155" s="1"/>
      </tp>
      <tp>
        <v>20</v>
        <stp/>
        <stp>OPEN_INT</stp>
        <stp>.NDX250620C20975</stp>
        <tr r="AW152" s="1"/>
        <tr r="AW152" s="1"/>
      </tp>
      <tp>
        <v>10</v>
        <stp/>
        <stp>OPEN_INT</stp>
        <stp>.NDX250620C20950</stp>
        <tr r="AW153" s="1"/>
        <tr r="AW153" s="1"/>
      </tp>
      <tp t="s">
        <v>N/A</v>
        <stp/>
        <stp>IMPL_VOL</stp>
        <stp>.QQQ250620C488</stp>
        <tr r="EP79" s="1"/>
      </tp>
      <tp t="s">
        <v>N/A</v>
        <stp/>
        <stp>IMPL_VOL</stp>
        <stp>.QQQ250620P488</stp>
        <tr r="EQ79" s="1"/>
      </tp>
      <tp t="s">
        <v>N/A</v>
        <stp/>
        <stp>IMPL_VOL</stp>
        <stp>.QQQ250620C489</stp>
        <tr r="EP78" s="1"/>
      </tp>
      <tp t="s">
        <v>N/A</v>
        <stp/>
        <stp>IMPL_VOL</stp>
        <stp>.QQQ250620P489</stp>
        <tr r="EQ78" s="1"/>
      </tp>
      <tp t="s">
        <v>N/A</v>
        <stp/>
        <stp>IMPL_VOL</stp>
        <stp>.QQQ250620C492</stp>
        <tr r="EP75" s="1"/>
      </tp>
      <tp t="s">
        <v>N/A</v>
        <stp/>
        <stp>IMPL_VOL</stp>
        <stp>.QQQ250620P492</stp>
        <tr r="EQ75" s="1"/>
      </tp>
      <tp t="s">
        <v>N/A</v>
        <stp/>
        <stp>IMPL_VOL</stp>
        <stp>.QQQ250620C493</stp>
        <tr r="EP74" s="1"/>
      </tp>
      <tp t="s">
        <v>N/A</v>
        <stp/>
        <stp>IMPL_VOL</stp>
        <stp>.QQQ250620P493</stp>
        <tr r="EQ74" s="1"/>
      </tp>
      <tp t="s">
        <v>22.48%</v>
        <stp/>
        <stp>IMPL_VOL</stp>
        <stp>.QQQ250620C490</stp>
        <tr r="EP77" s="1"/>
      </tp>
      <tp t="s">
        <v>22.01%</v>
        <stp/>
        <stp>IMPL_VOL</stp>
        <stp>.QQQ250620P490</stp>
        <tr r="EQ77" s="1"/>
      </tp>
      <tp t="s">
        <v>N/A</v>
        <stp/>
        <stp>IMPL_VOL</stp>
        <stp>.QQQ250620C491</stp>
        <tr r="EP76" s="1"/>
      </tp>
      <tp t="s">
        <v>N/A</v>
        <stp/>
        <stp>IMPL_VOL</stp>
        <stp>.QQQ250620P491</stp>
        <tr r="EQ76" s="1"/>
      </tp>
      <tp t="s">
        <v>N/A</v>
        <stp/>
        <stp>IMPL_VOL</stp>
        <stp>.QQQ250620C496</stp>
        <tr r="EP71" s="1"/>
      </tp>
      <tp t="s">
        <v>N/A</v>
        <stp/>
        <stp>IMPL_VOL</stp>
        <stp>.QQQ250620P496</stp>
        <tr r="EQ71" s="1"/>
      </tp>
      <tp t="s">
        <v>N/A</v>
        <stp/>
        <stp>IMPL_VOL</stp>
        <stp>.QQQ250620C497</stp>
        <tr r="EP70" s="1"/>
      </tp>
      <tp t="s">
        <v>N/A</v>
        <stp/>
        <stp>IMPL_VOL</stp>
        <stp>.QQQ250620P497</stp>
        <tr r="EQ70" s="1"/>
      </tp>
      <tp t="s">
        <v>N/A</v>
        <stp/>
        <stp>IMPL_VOL</stp>
        <stp>.QQQ250620C494</stp>
        <tr r="EP73" s="1"/>
      </tp>
      <tp t="s">
        <v>N/A</v>
        <stp/>
        <stp>IMPL_VOL</stp>
        <stp>.QQQ250620P494</stp>
        <tr r="EQ73" s="1"/>
      </tp>
      <tp t="s">
        <v>21.73%</v>
        <stp/>
        <stp>IMPL_VOL</stp>
        <stp>.QQQ250620C495</stp>
        <tr r="EP72" s="1"/>
      </tp>
      <tp t="s">
        <v>21.32%</v>
        <stp/>
        <stp>IMPL_VOL</stp>
        <stp>.QQQ250620P495</stp>
        <tr r="EQ72" s="1"/>
      </tp>
      <tp t="s">
        <v>N/A</v>
        <stp/>
        <stp>IMPL_VOL</stp>
        <stp>.QQQ250620C498</stp>
        <tr r="EP69" s="1"/>
      </tp>
      <tp t="s">
        <v>N/A</v>
        <stp/>
        <stp>IMPL_VOL</stp>
        <stp>.QQQ250620P498</stp>
        <tr r="EQ69" s="1"/>
      </tp>
      <tp t="s">
        <v>N/A</v>
        <stp/>
        <stp>IMPL_VOL</stp>
        <stp>.QQQ250620C499</stp>
        <tr r="EP68" s="1"/>
      </tp>
      <tp t="s">
        <v>N/A</v>
        <stp/>
        <stp>IMPL_VOL</stp>
        <stp>.QQQ250620P499</stp>
        <tr r="EQ68" s="1"/>
      </tp>
      <tp t="s">
        <v>149.56%</v>
        <stp/>
        <stp>IMPL_VOL</stp>
        <stp>.SPXW250512C5690</stp>
        <tr r="EL118" s="1"/>
      </tp>
      <tp t="s">
        <v>120.54%</v>
        <stp/>
        <stp>IMPL_VOL</stp>
        <stp>.SPXW250512P5690</stp>
        <tr r="EM118" s="1"/>
      </tp>
      <tp t="s">
        <v>158.17%</v>
        <stp/>
        <stp>IMPL_VOL</stp>
        <stp>.SPXW250512C5680</stp>
        <tr r="EL119" s="1"/>
      </tp>
      <tp t="s">
        <v>127.76%</v>
        <stp/>
        <stp>IMPL_VOL</stp>
        <stp>.SPXW250512P5680</stp>
        <tr r="EM119" s="1"/>
      </tp>
      <tp t="s">
        <v>--</v>
        <stp/>
        <stp>IMPL_VOL</stp>
        <stp>.SPXW250512C5610</stp>
        <tr r="EL126" s="1"/>
      </tp>
      <tp t="s">
        <v>177.83%</v>
        <stp/>
        <stp>IMPL_VOL</stp>
        <stp>.SPXW250512P5610</stp>
        <tr r="EM126" s="1"/>
      </tp>
      <tp t="s">
        <v>--</v>
        <stp/>
        <stp>IMPL_VOL</stp>
        <stp>.SPXW250512C5600</stp>
        <tr r="EL127" s="1"/>
      </tp>
      <tp t="s">
        <v>184.94%</v>
        <stp/>
        <stp>IMPL_VOL</stp>
        <stp>.SPXW250512P5600</stp>
        <tr r="EM127" s="1"/>
      </tp>
      <tp t="s">
        <v>280.26%</v>
        <stp/>
        <stp>IMPL_VOL</stp>
        <stp>.SPXW250512C5630</stp>
        <tr r="EL124" s="1"/>
      </tp>
      <tp t="s">
        <v>163.59%</v>
        <stp/>
        <stp>IMPL_VOL</stp>
        <stp>.SPXW250512P5630</stp>
        <tr r="EM124" s="1"/>
      </tp>
      <tp t="s">
        <v>285.31%</v>
        <stp/>
        <stp>IMPL_VOL</stp>
        <stp>.SPXW250512C5620</stp>
        <tr r="EL125" s="1"/>
      </tp>
      <tp t="s">
        <v>170.71%</v>
        <stp/>
        <stp>IMPL_VOL</stp>
        <stp>.SPXW250512P5620</stp>
        <tr r="EM125" s="1"/>
      </tp>
      <tp t="s">
        <v>177.67%</v>
        <stp/>
        <stp>IMPL_VOL</stp>
        <stp>.SPXW250512C5650</stp>
        <tr r="EL122" s="1"/>
      </tp>
      <tp t="s">
        <v>149.30%</v>
        <stp/>
        <stp>IMPL_VOL</stp>
        <stp>.SPXW250512P5650</stp>
        <tr r="EM122" s="1"/>
      </tp>
      <tp t="s">
        <v>269.33%</v>
        <stp/>
        <stp>IMPL_VOL</stp>
        <stp>.SPXW250512C5640</stp>
        <tr r="EL123" s="1"/>
      </tp>
      <tp t="s">
        <v>156.45%</v>
        <stp/>
        <stp>IMPL_VOL</stp>
        <stp>.SPXW250512P5640</stp>
        <tr r="EM123" s="1"/>
      </tp>
      <tp t="s">
        <v>161.06%</v>
        <stp/>
        <stp>IMPL_VOL</stp>
        <stp>.SPXW250512C5670</stp>
        <tr r="EL120" s="1"/>
      </tp>
      <tp t="s">
        <v>134.96%</v>
        <stp/>
        <stp>IMPL_VOL</stp>
        <stp>.SPXW250512P5670</stp>
        <tr r="EM120" s="1"/>
      </tp>
      <tp t="s">
        <v>175.29%</v>
        <stp/>
        <stp>IMPL_VOL</stp>
        <stp>.SPXW250512C5660</stp>
        <tr r="EL121" s="1"/>
      </tp>
      <tp t="s">
        <v>142.14%</v>
        <stp/>
        <stp>IMPL_VOL</stp>
        <stp>.SPXW250512P5660</stp>
        <tr r="EM121" s="1"/>
      </tp>
      <tp>
        <v>184</v>
        <stp/>
        <stp>OPEN_INT</stp>
        <stp>.NDX250620P20800</stp>
        <tr r="AX159" s="1"/>
        <tr r="AX159" s="1"/>
      </tp>
      <tp>
        <v>0</v>
        <stp/>
        <stp>OPEN_INT</stp>
        <stp>.NDX250620P20825</stp>
        <tr r="AX158" s="1"/>
        <tr r="AX158" s="1"/>
      </tp>
      <tp>
        <v>2</v>
        <stp/>
        <stp>OPEN_INT</stp>
        <stp>.NDX250620P20850</stp>
        <tr r="AX157" s="1"/>
        <tr r="AX157" s="1"/>
      </tp>
      <tp>
        <v>1</v>
        <stp/>
        <stp>OPEN_INT</stp>
        <stp>.NDX250620P20875</stp>
        <tr r="AX156" s="1"/>
        <tr r="AX156" s="1"/>
      </tp>
      <tp t="s">
        <v>N/A</v>
        <stp/>
        <stp>IMPL_VOL</stp>
        <stp>.QQQ250620C522</stp>
        <tr r="EP45" s="1"/>
      </tp>
      <tp t="s">
        <v>N/A</v>
        <stp/>
        <stp>IMPL_VOL</stp>
        <stp>.QQQ250620P522</stp>
        <tr r="EQ45" s="1"/>
      </tp>
      <tp t="s">
        <v>18.73%</v>
        <stp/>
        <stp>IMPL_VOL</stp>
        <stp>.QQQ250620C520</stp>
        <tr r="EP47" s="1"/>
      </tp>
      <tp t="s">
        <v>17.20%</v>
        <stp/>
        <stp>IMPL_VOL</stp>
        <stp>.QQQ250620P520</stp>
        <tr r="EQ47" s="1"/>
      </tp>
      <tp t="s">
        <v>N/A</v>
        <stp/>
        <stp>IMPL_VOL</stp>
        <stp>.QQQ250620C521</stp>
        <tr r="EP46" s="1"/>
      </tp>
      <tp t="s">
        <v>N/A</v>
        <stp/>
        <stp>IMPL_VOL</stp>
        <stp>.QQQ250620P521</stp>
        <tr r="EQ46" s="1"/>
      </tp>
      <tp>
        <v>11</v>
        <stp/>
        <stp>OPEN_INT</stp>
        <stp>.NDX250620C20825</stp>
        <tr r="AW158" s="1"/>
        <tr r="AW158" s="1"/>
      </tp>
      <tp t="s">
        <v>N/A</v>
        <stp/>
        <stp>IMPL_VOL</stp>
        <stp>.QQQ250620C502</stp>
        <tr r="EP65" s="1"/>
      </tp>
      <tp t="s">
        <v>N/A</v>
        <stp/>
        <stp>IMPL_VOL</stp>
        <stp>.QQQ250620P502</stp>
        <tr r="EQ65" s="1"/>
      </tp>
      <tp t="s">
        <v>N/A</v>
        <stp/>
        <stp>IMPL_VOL</stp>
        <stp>.QQQ250620C503</stp>
        <tr r="EP64" s="1"/>
      </tp>
      <tp t="s">
        <v>N/A</v>
        <stp/>
        <stp>IMPL_VOL</stp>
        <stp>.QQQ250620P503</stp>
        <tr r="EQ64" s="1"/>
      </tp>
      <tp t="s">
        <v>21.02%</v>
        <stp/>
        <stp>IMPL_VOL</stp>
        <stp>.QQQ250620C500</stp>
        <tr r="EP67" s="1"/>
      </tp>
      <tp t="s">
        <v>20.65%</v>
        <stp/>
        <stp>IMPL_VOL</stp>
        <stp>.QQQ250620P500</stp>
        <tr r="EQ67" s="1"/>
      </tp>
      <tp t="s">
        <v>N/A</v>
        <stp/>
        <stp>IMPL_VOL</stp>
        <stp>.QQQ250620C501</stp>
        <tr r="EP66" s="1"/>
      </tp>
      <tp t="s">
        <v>N/A</v>
        <stp/>
        <stp>IMPL_VOL</stp>
        <stp>.QQQ250620P501</stp>
        <tr r="EQ66" s="1"/>
      </tp>
      <tp t="s">
        <v>N/A</v>
        <stp/>
        <stp>IMPL_VOL</stp>
        <stp>.QQQ250620C506</stp>
        <tr r="EP61" s="1"/>
      </tp>
      <tp t="s">
        <v>N/A</v>
        <stp/>
        <stp>IMPL_VOL</stp>
        <stp>.QQQ250620P506</stp>
        <tr r="EQ61" s="1"/>
      </tp>
      <tp t="s">
        <v>N/A</v>
        <stp/>
        <stp>IMPL_VOL</stp>
        <stp>.QQQ250620C507</stp>
        <tr r="EP60" s="1"/>
      </tp>
      <tp t="s">
        <v>N/A</v>
        <stp/>
        <stp>IMPL_VOL</stp>
        <stp>.QQQ250620P507</stp>
        <tr r="EQ60" s="1"/>
      </tp>
      <tp t="s">
        <v>N/A</v>
        <stp/>
        <stp>IMPL_VOL</stp>
        <stp>.QQQ250620C504</stp>
        <tr r="EP63" s="1"/>
      </tp>
      <tp t="s">
        <v>N/A</v>
        <stp/>
        <stp>IMPL_VOL</stp>
        <stp>.QQQ250620P504</stp>
        <tr r="EQ63" s="1"/>
      </tp>
      <tp t="s">
        <v>20.35%</v>
        <stp/>
        <stp>IMPL_VOL</stp>
        <stp>.QQQ250620C505</stp>
        <tr r="EP62" s="1"/>
      </tp>
      <tp t="s">
        <v>20.02%</v>
        <stp/>
        <stp>IMPL_VOL</stp>
        <stp>.QQQ250620P505</stp>
        <tr r="EQ62" s="1"/>
      </tp>
      <tp t="s">
        <v>N/A</v>
        <stp/>
        <stp>IMPL_VOL</stp>
        <stp>.QQQ250620C508</stp>
        <tr r="EP59" s="1"/>
      </tp>
      <tp t="s">
        <v>N/A</v>
        <stp/>
        <stp>IMPL_VOL</stp>
        <stp>.QQQ250620P508</stp>
        <tr r="EQ59" s="1"/>
      </tp>
      <tp t="s">
        <v>N/A</v>
        <stp/>
        <stp>IMPL_VOL</stp>
        <stp>.QQQ250620C509</stp>
        <tr r="EP58" s="1"/>
      </tp>
      <tp t="s">
        <v>N/A</v>
        <stp/>
        <stp>IMPL_VOL</stp>
        <stp>.QQQ250620P509</stp>
        <tr r="EQ58" s="1"/>
      </tp>
      <tp t="s">
        <v>N/A</v>
        <stp/>
        <stp>IMPL_VOL</stp>
        <stp>.QQQ250620C512</stp>
        <tr r="EP55" s="1"/>
      </tp>
      <tp t="s">
        <v>N/A</v>
        <stp/>
        <stp>IMPL_VOL</stp>
        <stp>.QQQ250620P512</stp>
        <tr r="EQ55" s="1"/>
      </tp>
      <tp t="s">
        <v>N/A</v>
        <stp/>
        <stp>IMPL_VOL</stp>
        <stp>.QQQ250620C513</stp>
        <tr r="EP54" s="1"/>
      </tp>
      <tp t="s">
        <v>N/A</v>
        <stp/>
        <stp>IMPL_VOL</stp>
        <stp>.QQQ250620P513</stp>
        <tr r="EQ54" s="1"/>
      </tp>
      <tp t="s">
        <v>19.74%</v>
        <stp/>
        <stp>IMPL_VOL</stp>
        <stp>.QQQ250620C510</stp>
        <tr r="EP57" s="1"/>
      </tp>
      <tp t="s">
        <v>19.48%</v>
        <stp/>
        <stp>IMPL_VOL</stp>
        <stp>.QQQ250620P510</stp>
        <tr r="EQ57" s="1"/>
      </tp>
      <tp t="s">
        <v>N/A</v>
        <stp/>
        <stp>IMPL_VOL</stp>
        <stp>.QQQ250620C511</stp>
        <tr r="EP56" s="1"/>
      </tp>
      <tp t="s">
        <v>N/A</v>
        <stp/>
        <stp>IMPL_VOL</stp>
        <stp>.QQQ250620P511</stp>
        <tr r="EQ56" s="1"/>
      </tp>
      <tp t="s">
        <v>N/A</v>
        <stp/>
        <stp>IMPL_VOL</stp>
        <stp>.QQQ250620C516</stp>
        <tr r="EP51" s="1"/>
      </tp>
      <tp t="s">
        <v>N/A</v>
        <stp/>
        <stp>IMPL_VOL</stp>
        <stp>.QQQ250620P516</stp>
        <tr r="EQ51" s="1"/>
      </tp>
      <tp t="s">
        <v>N/A</v>
        <stp/>
        <stp>IMPL_VOL</stp>
        <stp>.QQQ250620C517</stp>
        <tr r="EP50" s="1"/>
      </tp>
      <tp t="s">
        <v>N/A</v>
        <stp/>
        <stp>IMPL_VOL</stp>
        <stp>.QQQ250620P517</stp>
        <tr r="EQ50" s="1"/>
      </tp>
      <tp t="s">
        <v>N/A</v>
        <stp/>
        <stp>IMPL_VOL</stp>
        <stp>.QQQ250620C514</stp>
        <tr r="EP53" s="1"/>
      </tp>
      <tp t="s">
        <v>N/A</v>
        <stp/>
        <stp>IMPL_VOL</stp>
        <stp>.QQQ250620P514</stp>
        <tr r="EQ53" s="1"/>
      </tp>
      <tp t="s">
        <v>19.20%</v>
        <stp/>
        <stp>IMPL_VOL</stp>
        <stp>.QQQ250620C515</stp>
        <tr r="EP52" s="1"/>
      </tp>
      <tp t="s">
        <v>19.07%</v>
        <stp/>
        <stp>IMPL_VOL</stp>
        <stp>.QQQ250620P515</stp>
        <tr r="EQ52" s="1"/>
      </tp>
      <tp t="s">
        <v>N/A</v>
        <stp/>
        <stp>IMPL_VOL</stp>
        <stp>.QQQ250620C518</stp>
        <tr r="EP49" s="1"/>
      </tp>
      <tp t="s">
        <v>N/A</v>
        <stp/>
        <stp>IMPL_VOL</stp>
        <stp>.QQQ250620P518</stp>
        <tr r="EQ49" s="1"/>
      </tp>
      <tp t="s">
        <v>N/A</v>
        <stp/>
        <stp>IMPL_VOL</stp>
        <stp>.QQQ250620C519</stp>
        <tr r="EP48" s="1"/>
      </tp>
      <tp t="s">
        <v>N/A</v>
        <stp/>
        <stp>IMPL_VOL</stp>
        <stp>.QQQ250620P519</stp>
        <tr r="EQ48" s="1"/>
      </tp>
      <tp>
        <v>587</v>
        <stp/>
        <stp>OPEN_INT</stp>
        <stp>.NDX250620C20800</stp>
        <tr r="AW159" s="1"/>
        <tr r="AW159" s="1"/>
      </tp>
      <tp>
        <v>14</v>
        <stp/>
        <stp>OPEN_INT</stp>
        <stp>.NDX250620C20875</stp>
        <tr r="AW156" s="1"/>
        <tr r="AW156" s="1"/>
      </tp>
      <tp>
        <v>14</v>
        <stp/>
        <stp>OPEN_INT</stp>
        <stp>.NDX250620C20850</stp>
        <tr r="AW157" s="1"/>
        <tr r="AW157" s="1"/>
      </tp>
      <tp t="s">
        <v>57.57%</v>
        <stp/>
        <stp>IMPL_VOL</stp>
        <stp>.SPXW250512C5790</stp>
        <tr r="EL108" s="1"/>
      </tp>
      <tp t="s">
        <v>46.47%</v>
        <stp/>
        <stp>IMPL_VOL</stp>
        <stp>.SPXW250512P5790</stp>
        <tr r="EM108" s="1"/>
      </tp>
      <tp t="s">
        <v>79.35%</v>
        <stp/>
        <stp>IMPL_VOL</stp>
        <stp>.SPXW250512C5780</stp>
        <tr r="EL109" s="1"/>
      </tp>
      <tp t="s">
        <v>54.15%</v>
        <stp/>
        <stp>IMPL_VOL</stp>
        <stp>.SPXW250512P5780</stp>
        <tr r="EM109" s="1"/>
      </tp>
      <tp t="s">
        <v>132.21%</v>
        <stp/>
        <stp>IMPL_VOL</stp>
        <stp>.SPXW250512C5710</stp>
        <tr r="EL116" s="1"/>
      </tp>
      <tp t="s">
        <v>105.88%</v>
        <stp/>
        <stp>IMPL_VOL</stp>
        <stp>.SPXW250512P5710</stp>
        <tr r="EM116" s="1"/>
      </tp>
      <tp t="s">
        <v>140.91%</v>
        <stp/>
        <stp>IMPL_VOL</stp>
        <stp>.SPXW250512C5700</stp>
        <tr r="EL117" s="1"/>
      </tp>
      <tp t="s">
        <v>113.11%</v>
        <stp/>
        <stp>IMPL_VOL</stp>
        <stp>.SPXW250512P5700</stp>
        <tr r="EM117" s="1"/>
      </tp>
      <tp t="s">
        <v>128.94%</v>
        <stp/>
        <stp>IMPL_VOL</stp>
        <stp>.SPXW250512C5730</stp>
        <tr r="EL114" s="1"/>
      </tp>
      <tp t="s">
        <v>91.32%</v>
        <stp/>
        <stp>IMPL_VOL</stp>
        <stp>.SPXW250512P5730</stp>
        <tr r="EM114" s="1"/>
      </tp>
      <tp t="s">
        <v>118.98%</v>
        <stp/>
        <stp>IMPL_VOL</stp>
        <stp>.SPXW250512C5720</stp>
        <tr r="EL115" s="1"/>
      </tp>
      <tp t="s">
        <v>98.61%</v>
        <stp/>
        <stp>IMPL_VOL</stp>
        <stp>.SPXW250512P5720</stp>
        <tr r="EM115" s="1"/>
      </tp>
      <tp t="s">
        <v>109.44%</v>
        <stp/>
        <stp>IMPL_VOL</stp>
        <stp>.SPXW250512C5750</stp>
        <tr r="EL112" s="1"/>
      </tp>
      <tp t="s">
        <v>76.80%</v>
        <stp/>
        <stp>IMPL_VOL</stp>
        <stp>.SPXW250512P5750</stp>
        <tr r="EM112" s="1"/>
      </tp>
      <tp t="s">
        <v>119.24%</v>
        <stp/>
        <stp>IMPL_VOL</stp>
        <stp>.SPXW250512C5740</stp>
        <tr r="EL113" s="1"/>
      </tp>
      <tp t="s">
        <v>83.98%</v>
        <stp/>
        <stp>IMPL_VOL</stp>
        <stp>.SPXW250512P5740</stp>
        <tr r="EM113" s="1"/>
      </tp>
      <tp t="s">
        <v>89.52%</v>
        <stp/>
        <stp>IMPL_VOL</stp>
        <stp>.SPXW250512C5770</stp>
        <tr r="EL110" s="1"/>
      </tp>
      <tp t="s">
        <v>61.77%</v>
        <stp/>
        <stp>IMPL_VOL</stp>
        <stp>.SPXW250512P5770</stp>
        <tr r="EM110" s="1"/>
      </tp>
      <tp t="s">
        <v>84.43%</v>
        <stp/>
        <stp>IMPL_VOL</stp>
        <stp>.SPXW250512C5760</stp>
        <tr r="EL111" s="1"/>
      </tp>
      <tp t="s">
        <v>69.22%</v>
        <stp/>
        <stp>IMPL_VOL</stp>
        <stp>.SPXW250512P5760</stp>
        <tr r="EM111" s="1"/>
      </tp>
      <tp t="s">
        <v>27.52%</v>
        <stp/>
        <stp>IMPL_VOL</stp>
        <stp>.QQQ250512C510</stp>
        <tr r="EL57" s="1"/>
      </tp>
      <tp t="s">
        <v>22.39%</v>
        <stp/>
        <stp>IMPL_VOL</stp>
        <stp>.QQQ250516C514</stp>
        <tr r="EN53" s="1"/>
      </tp>
      <tp t="s">
        <v>51.79%</v>
        <stp/>
        <stp>IMPL_VOL</stp>
        <stp>.QQQ250512P510</stp>
        <tr r="EM57" s="1"/>
      </tp>
      <tp t="s">
        <v>22.63%</v>
        <stp/>
        <stp>IMPL_VOL</stp>
        <stp>.QQQ250516P514</stp>
        <tr r="EO53" s="1"/>
      </tp>
      <tp t="s">
        <v>37.44%</v>
        <stp/>
        <stp>IMPL_VOL</stp>
        <stp>.QQQ250512C511</stp>
        <tr r="EL56" s="1"/>
      </tp>
      <tp t="s">
        <v>22.31%</v>
        <stp/>
        <stp>IMPL_VOL</stp>
        <stp>.QQQ250516C515</stp>
        <tr r="EN52" s="1"/>
      </tp>
      <tp t="s">
        <v>65.60%</v>
        <stp/>
        <stp>IMPL_VOL</stp>
        <stp>.QQQ250512P511</stp>
        <tr r="EM56" s="1"/>
      </tp>
      <tp t="s">
        <v>20.02%</v>
        <stp/>
        <stp>IMPL_VOL</stp>
        <stp>.QQQ250516P515</stp>
        <tr r="EO52" s="1"/>
      </tp>
      <tp t="s">
        <v>47.05%</v>
        <stp/>
        <stp>IMPL_VOL</stp>
        <stp>.QQQ250512C512</stp>
        <tr r="EL55" s="1"/>
      </tp>
      <tp t="s">
        <v>22.30%</v>
        <stp/>
        <stp>IMPL_VOL</stp>
        <stp>.QQQ250516C516</stp>
        <tr r="EN51" s="1"/>
      </tp>
      <tp t="s">
        <v>80.84%</v>
        <stp/>
        <stp>IMPL_VOL</stp>
        <stp>.QQQ250512P512</stp>
        <tr r="EM55" s="1"/>
      </tp>
      <tp t="s">
        <v>19.84%</v>
        <stp/>
        <stp>IMPL_VOL</stp>
        <stp>.QQQ250516P516</stp>
        <tr r="EO51" s="1"/>
      </tp>
      <tp t="s">
        <v>56.41%</v>
        <stp/>
        <stp>IMPL_VOL</stp>
        <stp>.QQQ250512C513</stp>
        <tr r="EL54" s="1"/>
      </tp>
      <tp t="s">
        <v>22.28%</v>
        <stp/>
        <stp>IMPL_VOL</stp>
        <stp>.QQQ250516C517</stp>
        <tr r="EN50" s="1"/>
      </tp>
      <tp t="s">
        <v>94.97%</v>
        <stp/>
        <stp>IMPL_VOL</stp>
        <stp>.QQQ250512P513</stp>
        <tr r="EM54" s="1"/>
      </tp>
      <tp t="s">
        <v>19.96%</v>
        <stp/>
        <stp>IMPL_VOL</stp>
        <stp>.QQQ250516P517</stp>
        <tr r="EO50" s="1"/>
      </tp>
      <tp t="s">
        <v>65.60%</v>
        <stp/>
        <stp>IMPL_VOL</stp>
        <stp>.QQQ250512C514</stp>
        <tr r="EL53" s="1"/>
      </tp>
      <tp t="s">
        <v>22.85%</v>
        <stp/>
        <stp>IMPL_VOL</stp>
        <stp>.QQQ250516C510</stp>
        <tr r="EN57" s="1"/>
      </tp>
      <tp t="s">
        <v>107.87%</v>
        <stp/>
        <stp>IMPL_VOL</stp>
        <stp>.QQQ250512P514</stp>
        <tr r="EM53" s="1"/>
      </tp>
      <tp t="s">
        <v>22.91%</v>
        <stp/>
        <stp>IMPL_VOL</stp>
        <stp>.QQQ250516P510</stp>
        <tr r="EO57" s="1"/>
      </tp>
      <tp t="s">
        <v>74.63%</v>
        <stp/>
        <stp>IMPL_VOL</stp>
        <stp>.QQQ250512C515</stp>
        <tr r="EL52" s="1"/>
      </tp>
      <tp t="s">
        <v>22.65%</v>
        <stp/>
        <stp>IMPL_VOL</stp>
        <stp>.QQQ250516C511</stp>
        <tr r="EN56" s="1"/>
      </tp>
      <tp t="s">
        <v>124.47%</v>
        <stp/>
        <stp>IMPL_VOL</stp>
        <stp>.QQQ250512P515</stp>
        <tr r="EM52" s="1"/>
      </tp>
      <tp t="s">
        <v>22.81%</v>
        <stp/>
        <stp>IMPL_VOL</stp>
        <stp>.QQQ250516P511</stp>
        <tr r="EO56" s="1"/>
      </tp>
      <tp t="s">
        <v>83.53%</v>
        <stp/>
        <stp>IMPL_VOL</stp>
        <stp>.QQQ250512C516</stp>
        <tr r="EL51" s="1"/>
      </tp>
      <tp t="s">
        <v>22.62%</v>
        <stp/>
        <stp>IMPL_VOL</stp>
        <stp>.QQQ250516C512</stp>
        <tr r="EN55" s="1"/>
      </tp>
      <tp t="s">
        <v>137.04%</v>
        <stp/>
        <stp>IMPL_VOL</stp>
        <stp>.QQQ250512P516</stp>
        <tr r="EM51" s="1"/>
      </tp>
      <tp t="s">
        <v>22.75%</v>
        <stp/>
        <stp>IMPL_VOL</stp>
        <stp>.QQQ250516P512</stp>
        <tr r="EO55" s="1"/>
      </tp>
      <tp t="s">
        <v>92.33%</v>
        <stp/>
        <stp>IMPL_VOL</stp>
        <stp>.QQQ250512C517</stp>
        <tr r="EL50" s="1"/>
      </tp>
      <tp t="s">
        <v>22.47%</v>
        <stp/>
        <stp>IMPL_VOL</stp>
        <stp>.QQQ250516C513</stp>
        <tr r="EN54" s="1"/>
      </tp>
      <tp t="s">
        <v>150.48%</v>
        <stp/>
        <stp>IMPL_VOL</stp>
        <stp>.QQQ250512P517</stp>
        <tr r="EM50" s="1"/>
      </tp>
      <tp t="s">
        <v>22.68%</v>
        <stp/>
        <stp>IMPL_VOL</stp>
        <stp>.QQQ250516P513</stp>
        <tr r="EO54" s="1"/>
      </tp>
      <tp t="s">
        <v>101.02%</v>
        <stp/>
        <stp>IMPL_VOL</stp>
        <stp>.QQQ250512C518</stp>
        <tr r="EL49" s="1"/>
      </tp>
      <tp t="s">
        <v>164.91%</v>
        <stp/>
        <stp>IMPL_VOL</stp>
        <stp>.QQQ250512P518</stp>
        <tr r="EM49" s="1"/>
      </tp>
      <tp t="s">
        <v>109.62%</v>
        <stp/>
        <stp>IMPL_VOL</stp>
        <stp>.QQQ250512C519</stp>
        <tr r="EL48" s="1"/>
      </tp>
      <tp t="s">
        <v>177.09%</v>
        <stp/>
        <stp>IMPL_VOL</stp>
        <stp>.QQQ250512P519</stp>
        <tr r="EM48" s="1"/>
      </tp>
      <tp t="s">
        <v>22.23%</v>
        <stp/>
        <stp>IMPL_VOL</stp>
        <stp>.QQQ250516C518</stp>
        <tr r="EN49" s="1"/>
      </tp>
      <tp t="s">
        <v>19.75%</v>
        <stp/>
        <stp>IMPL_VOL</stp>
        <stp>.QQQ250516P518</stp>
        <tr r="EO49" s="1"/>
      </tp>
      <tp t="s">
        <v>22.22%</v>
        <stp/>
        <stp>IMPL_VOL</stp>
        <stp>.QQQ250516C519</stp>
        <tr r="EN48" s="1"/>
      </tp>
      <tp t="s">
        <v>19.58%</v>
        <stp/>
        <stp>IMPL_VOL</stp>
        <stp>.QQQ250516P519</stp>
        <tr r="EO48" s="1"/>
      </tp>
      <tp t="s">
        <v>--</v>
        <stp/>
        <stp>IMPL_VOL</stp>
        <stp>.QQQ250512C500</stp>
        <tr r="EL67" s="1"/>
      </tp>
      <tp t="s">
        <v>23.71%</v>
        <stp/>
        <stp>IMPL_VOL</stp>
        <stp>.QQQ250516C504</stp>
        <tr r="EN63" s="1"/>
      </tp>
      <tp t="s">
        <v>78.69%</v>
        <stp/>
        <stp>IMPL_VOL</stp>
        <stp>.QQQ250512P500</stp>
        <tr r="EM67" s="1"/>
      </tp>
      <tp t="s">
        <v>23.71%</v>
        <stp/>
        <stp>IMPL_VOL</stp>
        <stp>.QQQ250516P504</stp>
        <tr r="EO63" s="1"/>
      </tp>
      <tp t="s">
        <v>--</v>
        <stp/>
        <stp>IMPL_VOL</stp>
        <stp>.QQQ250512C501</stp>
        <tr r="EL66" s="1"/>
      </tp>
      <tp t="s">
        <v>23.54%</v>
        <stp/>
        <stp>IMPL_VOL</stp>
        <stp>.QQQ250516C505</stp>
        <tr r="EN62" s="1"/>
      </tp>
      <tp t="s">
        <v>69.43%</v>
        <stp/>
        <stp>IMPL_VOL</stp>
        <stp>.QQQ250512P501</stp>
        <tr r="EM66" s="1"/>
      </tp>
      <tp t="s">
        <v>23.57%</v>
        <stp/>
        <stp>IMPL_VOL</stp>
        <stp>.QQQ250516P505</stp>
        <tr r="EO62" s="1"/>
      </tp>
      <tp t="s">
        <v>--</v>
        <stp/>
        <stp>IMPL_VOL</stp>
        <stp>.QQQ250512C502</stp>
        <tr r="EL65" s="1"/>
      </tp>
      <tp t="s">
        <v>23.35%</v>
        <stp/>
        <stp>IMPL_VOL</stp>
        <stp>.QQQ250516C506</stp>
        <tr r="EN61" s="1"/>
      </tp>
      <tp t="s">
        <v>60.06%</v>
        <stp/>
        <stp>IMPL_VOL</stp>
        <stp>.QQQ250512P502</stp>
        <tr r="EM65" s="1"/>
      </tp>
      <tp t="s">
        <v>23.40%</v>
        <stp/>
        <stp>IMPL_VOL</stp>
        <stp>.QQQ250516P506</stp>
        <tr r="EO61" s="1"/>
      </tp>
      <tp t="s">
        <v>176.36%</v>
        <stp/>
        <stp>IMPL_VOL</stp>
        <stp>.QQQ250512C503</stp>
        <tr r="EL64" s="1"/>
      </tp>
      <tp t="s">
        <v>23.21%</v>
        <stp/>
        <stp>IMPL_VOL</stp>
        <stp>.QQQ250516C507</stp>
        <tr r="EN60" s="1"/>
      </tp>
      <tp t="s">
        <v>58.69%</v>
        <stp/>
        <stp>IMPL_VOL</stp>
        <stp>.QQQ250512P503</stp>
        <tr r="EM64" s="1"/>
      </tp>
      <tp t="s">
        <v>23.26%</v>
        <stp/>
        <stp>IMPL_VOL</stp>
        <stp>.QQQ250516P507</stp>
        <tr r="EO60" s="1"/>
      </tp>
      <tp t="s">
        <v>118.33%</v>
        <stp/>
        <stp>IMPL_VOL</stp>
        <stp>.QQQ250512C504</stp>
        <tr r="EL63" s="1"/>
      </tp>
      <tp t="s">
        <v>24.48%</v>
        <stp/>
        <stp>IMPL_VOL</stp>
        <stp>.QQQ250516C500</stp>
        <tr r="EN67" s="1"/>
      </tp>
      <tp t="s">
        <v>40.86%</v>
        <stp/>
        <stp>IMPL_VOL</stp>
        <stp>.QQQ250512P504</stp>
        <tr r="EM63" s="1"/>
      </tp>
      <tp t="s">
        <v>24.45%</v>
        <stp/>
        <stp>IMPL_VOL</stp>
        <stp>.QQQ250516P500</stp>
        <tr r="EO67" s="1"/>
      </tp>
      <tp t="s">
        <v>--</v>
        <stp/>
        <stp>IMPL_VOL</stp>
        <stp>.QQQ250512C505</stp>
        <tr r="EL62" s="1"/>
      </tp>
      <tp t="s">
        <v>24.41%</v>
        <stp/>
        <stp>IMPL_VOL</stp>
        <stp>.QQQ250516C501</stp>
        <tr r="EN66" s="1"/>
      </tp>
      <tp t="s">
        <v>36.25%</v>
        <stp/>
        <stp>IMPL_VOL</stp>
        <stp>.QQQ250512P505</stp>
        <tr r="EM62" s="1"/>
      </tp>
      <tp t="s">
        <v>24.24%</v>
        <stp/>
        <stp>IMPL_VOL</stp>
        <stp>.QQQ250516P501</stp>
        <tr r="EO66" s="1"/>
      </tp>
      <tp t="s">
        <v>--</v>
        <stp/>
        <stp>IMPL_VOL</stp>
        <stp>.QQQ250512C506</stp>
        <tr r="EL61" s="1"/>
      </tp>
      <tp t="s">
        <v>24.06%</v>
        <stp/>
        <stp>IMPL_VOL</stp>
        <stp>.QQQ250516C502</stp>
        <tr r="EN65" s="1"/>
      </tp>
      <tp t="s">
        <v>24.78%</v>
        <stp/>
        <stp>IMPL_VOL</stp>
        <stp>.QQQ250512P506</stp>
        <tr r="EM61" s="1"/>
      </tp>
      <tp t="s">
        <v>24.06%</v>
        <stp/>
        <stp>IMPL_VOL</stp>
        <stp>.QQQ250516P502</stp>
        <tr r="EO65" s="1"/>
      </tp>
      <tp t="s">
        <v>--</v>
        <stp/>
        <stp>IMPL_VOL</stp>
        <stp>.QQQ250512C507</stp>
        <tr r="EL60" s="1"/>
      </tp>
      <tp t="s">
        <v>23.85%</v>
        <stp/>
        <stp>IMPL_VOL</stp>
        <stp>.QQQ250516C503</stp>
        <tr r="EN64" s="1"/>
      </tp>
      <tp t="s">
        <v>18.30%</v>
        <stp/>
        <stp>IMPL_VOL</stp>
        <stp>.QQQ250512P507</stp>
        <tr r="EM60" s="1"/>
      </tp>
      <tp t="s">
        <v>23.91%</v>
        <stp/>
        <stp>IMPL_VOL</stp>
        <stp>.QQQ250516P503</stp>
        <tr r="EO64" s="1"/>
      </tp>
      <tp t="s">
        <v>13.11%</v>
        <stp/>
        <stp>IMPL_VOL</stp>
        <stp>.QQQ250512C508</stp>
        <tr r="EL59" s="1"/>
      </tp>
      <tp t="s">
        <v>22.15%</v>
        <stp/>
        <stp>IMPL_VOL</stp>
        <stp>.QQQ250512P508</stp>
        <tr r="EM59" s="1"/>
      </tp>
      <tp t="s">
        <v>17.09%</v>
        <stp/>
        <stp>IMPL_VOL</stp>
        <stp>.QQQ250512C509</stp>
        <tr r="EL58" s="1"/>
      </tp>
      <tp t="s">
        <v>33.26%</v>
        <stp/>
        <stp>IMPL_VOL</stp>
        <stp>.QQQ250512P509</stp>
        <tr r="EM58" s="1"/>
      </tp>
      <tp t="s">
        <v>23.05%</v>
        <stp/>
        <stp>IMPL_VOL</stp>
        <stp>.QQQ250516C508</stp>
        <tr r="EN59" s="1"/>
      </tp>
      <tp t="s">
        <v>23.12%</v>
        <stp/>
        <stp>IMPL_VOL</stp>
        <stp>.QQQ250516P508</stp>
        <tr r="EO59" s="1"/>
      </tp>
      <tp t="s">
        <v>22.88%</v>
        <stp/>
        <stp>IMPL_VOL</stp>
        <stp>.QQQ250516C509</stp>
        <tr r="EN58" s="1"/>
      </tp>
      <tp t="s">
        <v>23.07%</v>
        <stp/>
        <stp>IMPL_VOL</stp>
        <stp>.QQQ250516P509</stp>
        <tr r="EO58" s="1"/>
      </tp>
      <tp t="s">
        <v>118.14%</v>
        <stp/>
        <stp>IMPL_VOL</stp>
        <stp>.QQQ250512C520</stp>
        <tr r="EL47" s="1"/>
      </tp>
      <tp t="s">
        <v>191.44%</v>
        <stp/>
        <stp>IMPL_VOL</stp>
        <stp>.QQQ250512P520</stp>
        <tr r="EM47" s="1"/>
      </tp>
      <tp t="s">
        <v>126.59%</v>
        <stp/>
        <stp>IMPL_VOL</stp>
        <stp>.QQQ250512C521</stp>
        <tr r="EL46" s="1"/>
      </tp>
      <tp t="s">
        <v>203.48%</v>
        <stp/>
        <stp>IMPL_VOL</stp>
        <stp>.QQQ250512P521</stp>
        <tr r="EM46" s="1"/>
      </tp>
      <tp t="s">
        <v>134.96%</v>
        <stp/>
        <stp>IMPL_VOL</stp>
        <stp>.QQQ250512C522</stp>
        <tr r="EL45" s="1"/>
      </tp>
      <tp t="s">
        <v>216.62%</v>
        <stp/>
        <stp>IMPL_VOL</stp>
        <stp>.QQQ250512P522</stp>
        <tr r="EM45" s="1"/>
      </tp>
      <tp t="s">
        <v>22.31%</v>
        <stp/>
        <stp>IMPL_VOL</stp>
        <stp>.QQQ250516C520</stp>
        <tr r="EN47" s="1"/>
      </tp>
      <tp t="s">
        <v>19.41%</v>
        <stp/>
        <stp>IMPL_VOL</stp>
        <stp>.QQQ250516P520</stp>
        <tr r="EO47" s="1"/>
      </tp>
      <tp t="s">
        <v>22.39%</v>
        <stp/>
        <stp>IMPL_VOL</stp>
        <stp>.QQQ250516C521</stp>
        <tr r="EN46" s="1"/>
      </tp>
      <tp t="s">
        <v>18.95%</v>
        <stp/>
        <stp>IMPL_VOL</stp>
        <stp>.QQQ250516P521</stp>
        <tr r="EO46" s="1"/>
      </tp>
      <tp t="s">
        <v>22.45%</v>
        <stp/>
        <stp>IMPL_VOL</stp>
        <stp>.QQQ250516C522</stp>
        <tr r="EN45" s="1"/>
      </tp>
      <tp t="s">
        <v>18.43%</v>
        <stp/>
        <stp>IMPL_VOL</stp>
        <stp>.QQQ250516P522</stp>
        <tr r="EO45" s="1"/>
      </tp>
      <tp>
        <v>12.95</v>
        <stp/>
        <stp>ASK</stp>
        <stp>.SPY250512C570</stp>
        <tr r="DC26" s="1"/>
        <tr r="DC26" s="1"/>
      </tp>
      <tp>
        <v>0.01</v>
        <stp/>
        <stp>ASK</stp>
        <stp>.SPY250512P570</stp>
        <tr r="DD26" s="1"/>
        <tr r="DD26" s="1"/>
      </tp>
      <tp>
        <v>11.95</v>
        <stp/>
        <stp>ASK</stp>
        <stp>.SPY250512C571</stp>
        <tr r="DC25" s="1"/>
        <tr r="DC25" s="1"/>
      </tp>
      <tp>
        <v>0.01</v>
        <stp/>
        <stp>ASK</stp>
        <stp>.SPY250512P571</stp>
        <tr r="DD25" s="1"/>
        <tr r="DD25" s="1"/>
      </tp>
      <tp>
        <v>10.96</v>
        <stp/>
        <stp>ASK</stp>
        <stp>.SPY250512C572</stp>
        <tr r="DC24" s="1"/>
        <tr r="DC24" s="1"/>
      </tp>
      <tp>
        <v>0.01</v>
        <stp/>
        <stp>ASK</stp>
        <stp>.SPY250512P572</stp>
        <tr r="DD24" s="1"/>
        <tr r="DD24" s="1"/>
      </tp>
      <tp>
        <v>9.9499999999999993</v>
        <stp/>
        <stp>ASK</stp>
        <stp>.SPY250512C573</stp>
        <tr r="DC23" s="1"/>
        <tr r="DC23" s="1"/>
      </tp>
      <tp>
        <v>0.01</v>
        <stp/>
        <stp>ASK</stp>
        <stp>.SPY250512P573</stp>
        <tr r="DD23" s="1"/>
        <tr r="DD23" s="1"/>
      </tp>
      <tp>
        <v>8.9499999999999993</v>
        <stp/>
        <stp>ASK</stp>
        <stp>.SPY250512C574</stp>
        <tr r="DC22" s="1"/>
        <tr r="DC22" s="1"/>
      </tp>
      <tp>
        <v>0.01</v>
        <stp/>
        <stp>ASK</stp>
        <stp>.SPY250512P574</stp>
        <tr r="DD22" s="1"/>
        <tr r="DD22" s="1"/>
      </tp>
      <tp>
        <v>7.96</v>
        <stp/>
        <stp>ASK</stp>
        <stp>.SPY250512C575</stp>
        <tr r="DC21" s="1"/>
        <tr r="DC21" s="1"/>
      </tp>
      <tp>
        <v>0.01</v>
        <stp/>
        <stp>ASK</stp>
        <stp>.SPY250512P575</stp>
        <tr r="DD21" s="1"/>
        <tr r="DD21" s="1"/>
      </tp>
      <tp>
        <v>6.95</v>
        <stp/>
        <stp>ASK</stp>
        <stp>.SPY250512C576</stp>
        <tr r="DC20" s="1"/>
        <tr r="DC20" s="1"/>
      </tp>
      <tp>
        <v>0.02</v>
        <stp/>
        <stp>ASK</stp>
        <stp>.SPY250512P576</stp>
        <tr r="DD20" s="1"/>
        <tr r="DD20" s="1"/>
      </tp>
      <tp>
        <v>5.95</v>
        <stp/>
        <stp>ASK</stp>
        <stp>.SPY250512C577</stp>
        <tr r="DC19" s="1"/>
        <tr r="DC19" s="1"/>
      </tp>
      <tp>
        <v>0.01</v>
        <stp/>
        <stp>ASK</stp>
        <stp>.SPY250512P577</stp>
        <tr r="DD19" s="1"/>
        <tr r="DD19" s="1"/>
      </tp>
      <tp>
        <v>4.96</v>
        <stp/>
        <stp>ASK</stp>
        <stp>.SPY250512C578</stp>
        <tr r="DC18" s="1"/>
        <tr r="DC18" s="1"/>
      </tp>
      <tp>
        <v>0.02</v>
        <stp/>
        <stp>ASK</stp>
        <stp>.SPY250512P578</stp>
        <tr r="DD18" s="1"/>
        <tr r="DD18" s="1"/>
      </tp>
      <tp>
        <v>3.97</v>
        <stp/>
        <stp>ASK</stp>
        <stp>.SPY250512C579</stp>
        <tr r="DC17" s="1"/>
        <tr r="DC17" s="1"/>
      </tp>
      <tp>
        <v>0.01</v>
        <stp/>
        <stp>ASK</stp>
        <stp>.SPY250512P579</stp>
        <tr r="DD17" s="1"/>
        <tr r="DD17" s="1"/>
      </tp>
      <tp>
        <v>22.96</v>
        <stp/>
        <stp>ASK</stp>
        <stp>.SPY250512C560</stp>
        <tr r="DC36" s="1"/>
        <tr r="DC36" s="1"/>
      </tp>
      <tp>
        <v>0.01</v>
        <stp/>
        <stp>ASK</stp>
        <stp>.SPY250512P560</stp>
        <tr r="DD36" s="1"/>
        <tr r="DD36" s="1"/>
      </tp>
      <tp>
        <v>21.96</v>
        <stp/>
        <stp>ASK</stp>
        <stp>.SPY250512C561</stp>
        <tr r="DC35" s="1"/>
        <tr r="DC35" s="1"/>
      </tp>
      <tp>
        <v>0.01</v>
        <stp/>
        <stp>ASK</stp>
        <stp>.SPY250512P561</stp>
        <tr r="DD35" s="1"/>
        <tr r="DD35" s="1"/>
      </tp>
      <tp>
        <v>20.96</v>
        <stp/>
        <stp>ASK</stp>
        <stp>.SPY250512C562</stp>
        <tr r="DC34" s="1"/>
        <tr r="DC34" s="1"/>
      </tp>
      <tp>
        <v>0.01</v>
        <stp/>
        <stp>ASK</stp>
        <stp>.SPY250512P562</stp>
        <tr r="DD34" s="1"/>
        <tr r="DD34" s="1"/>
      </tp>
      <tp>
        <v>19.96</v>
        <stp/>
        <stp>ASK</stp>
        <stp>.SPY250512C563</stp>
        <tr r="DC33" s="1"/>
        <tr r="DC33" s="1"/>
      </tp>
      <tp>
        <v>0.01</v>
        <stp/>
        <stp>ASK</stp>
        <stp>.SPY250512P563</stp>
        <tr r="DD33" s="1"/>
        <tr r="DD33" s="1"/>
      </tp>
      <tp>
        <v>18.96</v>
        <stp/>
        <stp>ASK</stp>
        <stp>.SPY250512C564</stp>
        <tr r="DC32" s="1"/>
        <tr r="DC32" s="1"/>
      </tp>
      <tp>
        <v>0.01</v>
        <stp/>
        <stp>ASK</stp>
        <stp>.SPY250512P564</stp>
        <tr r="DD32" s="1"/>
        <tr r="DD32" s="1"/>
      </tp>
      <tp>
        <v>17.96</v>
        <stp/>
        <stp>ASK</stp>
        <stp>.SPY250512C565</stp>
        <tr r="DC31" s="1"/>
        <tr r="DC31" s="1"/>
      </tp>
      <tp>
        <v>0.01</v>
        <stp/>
        <stp>ASK</stp>
        <stp>.SPY250512P565</stp>
        <tr r="DD31" s="1"/>
        <tr r="DD31" s="1"/>
      </tp>
      <tp>
        <v>16.96</v>
        <stp/>
        <stp>ASK</stp>
        <stp>.SPY250512C566</stp>
        <tr r="DC30" s="1"/>
        <tr r="DC30" s="1"/>
      </tp>
      <tp>
        <v>0.01</v>
        <stp/>
        <stp>ASK</stp>
        <stp>.SPY250512P566</stp>
        <tr r="DD30" s="1"/>
        <tr r="DD30" s="1"/>
      </tp>
      <tp>
        <v>15.96</v>
        <stp/>
        <stp>ASK</stp>
        <stp>.SPY250512C567</stp>
        <tr r="DC29" s="1"/>
        <tr r="DC29" s="1"/>
      </tp>
      <tp>
        <v>0.01</v>
        <stp/>
        <stp>ASK</stp>
        <stp>.SPY250512P567</stp>
        <tr r="DD29" s="1"/>
        <tr r="DD29" s="1"/>
      </tp>
      <tp>
        <v>14.95</v>
        <stp/>
        <stp>ASK</stp>
        <stp>.SPY250512C568</stp>
        <tr r="DC28" s="1"/>
        <tr r="DC28" s="1"/>
      </tp>
      <tp>
        <v>0.01</v>
        <stp/>
        <stp>ASK</stp>
        <stp>.SPY250512P568</stp>
        <tr r="DD28" s="1"/>
        <tr r="DD28" s="1"/>
      </tp>
      <tp>
        <v>13.96</v>
        <stp/>
        <stp>ASK</stp>
        <stp>.SPY250512C569</stp>
        <tr r="DC27" s="1"/>
        <tr r="DC27" s="1"/>
      </tp>
      <tp>
        <v>0.01</v>
        <stp/>
        <stp>ASK</stp>
        <stp>.SPY250512P569</stp>
        <tr r="DD27" s="1"/>
        <tr r="DD27" s="1"/>
      </tp>
      <tp>
        <v>24.36</v>
        <stp/>
        <stp>BID</stp>
        <stp>.SPY250512C558</stp>
        <tr r="DE38" s="1"/>
        <tr r="DE38" s="1"/>
      </tp>
      <tp>
        <v>0</v>
        <stp/>
        <stp>BID</stp>
        <stp>.SPY250512P558</stp>
        <tr r="DF38" s="1"/>
        <tr r="DF38" s="1"/>
      </tp>
      <tp>
        <v>23.64</v>
        <stp/>
        <stp>BID</stp>
        <stp>.SPY250512C559</stp>
        <tr r="DE37" s="1"/>
        <tr r="DE37" s="1"/>
      </tp>
      <tp>
        <v>0</v>
        <stp/>
        <stp>BID</stp>
        <stp>.SPY250512P559</stp>
        <tr r="DF37" s="1"/>
        <tr r="DF37" s="1"/>
      </tp>
      <tp>
        <v>25.89</v>
        <stp/>
        <stp>ASK</stp>
        <stp>.SPY250512C558</stp>
        <tr r="DC38" s="1"/>
        <tr r="DC38" s="1"/>
      </tp>
      <tp>
        <v>0.01</v>
        <stp/>
        <stp>ASK</stp>
        <stp>.SPY250512P558</stp>
        <tr r="DD38" s="1"/>
        <tr r="DD38" s="1"/>
      </tp>
      <tp>
        <v>23.96</v>
        <stp/>
        <stp>ASK</stp>
        <stp>.SPY250512C559</stp>
        <tr r="DC37" s="1"/>
        <tr r="DC37" s="1"/>
      </tp>
      <tp>
        <v>0.01</v>
        <stp/>
        <stp>ASK</stp>
        <stp>.SPY250512P559</stp>
        <tr r="DD37" s="1"/>
        <tr r="DD37" s="1"/>
      </tp>
      <tp>
        <v>14.64</v>
        <stp/>
        <stp>BID</stp>
        <stp>.SPY250512C568</stp>
        <tr r="DE28" s="1"/>
        <tr r="DE28" s="1"/>
      </tp>
      <tp>
        <v>0</v>
        <stp/>
        <stp>BID</stp>
        <stp>.SPY250512P568</stp>
        <tr r="DF28" s="1"/>
        <tr r="DF28" s="1"/>
      </tp>
      <tp>
        <v>13.64</v>
        <stp/>
        <stp>BID</stp>
        <stp>.SPY250512C569</stp>
        <tr r="DE27" s="1"/>
        <tr r="DE27" s="1"/>
      </tp>
      <tp>
        <v>0</v>
        <stp/>
        <stp>BID</stp>
        <stp>.SPY250512P569</stp>
        <tr r="DF27" s="1"/>
        <tr r="DF27" s="1"/>
      </tp>
      <tp>
        <v>20.64</v>
        <stp/>
        <stp>BID</stp>
        <stp>.SPY250512C562</stp>
        <tr r="DE34" s="1"/>
        <tr r="DE34" s="1"/>
      </tp>
      <tp>
        <v>0</v>
        <stp/>
        <stp>BID</stp>
        <stp>.SPY250512P562</stp>
        <tr r="DF34" s="1"/>
        <tr r="DF34" s="1"/>
      </tp>
      <tp>
        <v>19.64</v>
        <stp/>
        <stp>BID</stp>
        <stp>.SPY250512C563</stp>
        <tr r="DE33" s="1"/>
        <tr r="DE33" s="1"/>
      </tp>
      <tp>
        <v>0</v>
        <stp/>
        <stp>BID</stp>
        <stp>.SPY250512P563</stp>
        <tr r="DF33" s="1"/>
        <tr r="DF33" s="1"/>
      </tp>
      <tp>
        <v>22.64</v>
        <stp/>
        <stp>BID</stp>
        <stp>.SPY250512C560</stp>
        <tr r="DE36" s="1"/>
        <tr r="DE36" s="1"/>
      </tp>
      <tp>
        <v>0</v>
        <stp/>
        <stp>BID</stp>
        <stp>.SPY250512P560</stp>
        <tr r="DF36" s="1"/>
        <tr r="DF36" s="1"/>
      </tp>
      <tp>
        <v>21.64</v>
        <stp/>
        <stp>BID</stp>
        <stp>.SPY250512C561</stp>
        <tr r="DE35" s="1"/>
        <tr r="DE35" s="1"/>
      </tp>
      <tp>
        <v>0</v>
        <stp/>
        <stp>BID</stp>
        <stp>.SPY250512P561</stp>
        <tr r="DF35" s="1"/>
        <tr r="DF35" s="1"/>
      </tp>
      <tp>
        <v>16.64</v>
        <stp/>
        <stp>BID</stp>
        <stp>.SPY250512C566</stp>
        <tr r="DE30" s="1"/>
        <tr r="DE30" s="1"/>
      </tp>
      <tp>
        <v>0</v>
        <stp/>
        <stp>BID</stp>
        <stp>.SPY250512P566</stp>
        <tr r="DF30" s="1"/>
        <tr r="DF30" s="1"/>
      </tp>
      <tp>
        <v>15.64</v>
        <stp/>
        <stp>BID</stp>
        <stp>.SPY250512C567</stp>
        <tr r="DE29" s="1"/>
        <tr r="DE29" s="1"/>
      </tp>
      <tp>
        <v>0</v>
        <stp/>
        <stp>BID</stp>
        <stp>.SPY250512P567</stp>
        <tr r="DF29" s="1"/>
        <tr r="DF29" s="1"/>
      </tp>
      <tp>
        <v>18.64</v>
        <stp/>
        <stp>BID</stp>
        <stp>.SPY250512C564</stp>
        <tr r="DE32" s="1"/>
        <tr r="DE32" s="1"/>
      </tp>
      <tp>
        <v>0</v>
        <stp/>
        <stp>BID</stp>
        <stp>.SPY250512P564</stp>
        <tr r="DF32" s="1"/>
        <tr r="DF32" s="1"/>
      </tp>
      <tp>
        <v>17.64</v>
        <stp/>
        <stp>BID</stp>
        <stp>.SPY250512C565</stp>
        <tr r="DE31" s="1"/>
        <tr r="DE31" s="1"/>
      </tp>
      <tp>
        <v>0</v>
        <stp/>
        <stp>BID</stp>
        <stp>.SPY250512P565</stp>
        <tr r="DF31" s="1"/>
        <tr r="DF31" s="1"/>
      </tp>
      <tp>
        <v>4.63</v>
        <stp/>
        <stp>BID</stp>
        <stp>.SPY250512C578</stp>
        <tr r="DE18" s="1"/>
        <tr r="DE18" s="1"/>
      </tp>
      <tp>
        <v>0.01</v>
        <stp/>
        <stp>BID</stp>
        <stp>.SPY250512P578</stp>
        <tr r="DF18" s="1"/>
        <tr r="DF18" s="1"/>
      </tp>
      <tp>
        <v>3.6</v>
        <stp/>
        <stp>BID</stp>
        <stp>.SPY250512C579</stp>
        <tr r="DE17" s="1"/>
        <tr r="DE17" s="1"/>
      </tp>
      <tp>
        <v>0</v>
        <stp/>
        <stp>BID</stp>
        <stp>.SPY250512P579</stp>
        <tr r="DF17" s="1"/>
        <tr r="DF17" s="1"/>
      </tp>
      <tp>
        <v>10.64</v>
        <stp/>
        <stp>BID</stp>
        <stp>.SPY250512C572</stp>
        <tr r="DE24" s="1"/>
        <tr r="DE24" s="1"/>
      </tp>
      <tp>
        <v>0</v>
        <stp/>
        <stp>BID</stp>
        <stp>.SPY250512P572</stp>
        <tr r="DF24" s="1"/>
        <tr r="DF24" s="1"/>
      </tp>
      <tp>
        <v>9.64</v>
        <stp/>
        <stp>BID</stp>
        <stp>.SPY250512C573</stp>
        <tr r="DE23" s="1"/>
        <tr r="DE23" s="1"/>
      </tp>
      <tp>
        <v>0</v>
        <stp/>
        <stp>BID</stp>
        <stp>.SPY250512P573</stp>
        <tr r="DF23" s="1"/>
        <tr r="DF23" s="1"/>
      </tp>
      <tp>
        <v>12.63</v>
        <stp/>
        <stp>BID</stp>
        <stp>.SPY250512C570</stp>
        <tr r="DE26" s="1"/>
        <tr r="DE26" s="1"/>
      </tp>
      <tp>
        <v>0</v>
        <stp/>
        <stp>BID</stp>
        <stp>.SPY250512P570</stp>
        <tr r="DF26" s="1"/>
        <tr r="DF26" s="1"/>
      </tp>
      <tp>
        <v>11.64</v>
        <stp/>
        <stp>BID</stp>
        <stp>.SPY250512C571</stp>
        <tr r="DE25" s="1"/>
        <tr r="DE25" s="1"/>
      </tp>
      <tp>
        <v>0</v>
        <stp/>
        <stp>BID</stp>
        <stp>.SPY250512P571</stp>
        <tr r="DF25" s="1"/>
        <tr r="DF25" s="1"/>
      </tp>
      <tp>
        <v>6.64</v>
        <stp/>
        <stp>BID</stp>
        <stp>.SPY250512C576</stp>
        <tr r="DE20" s="1"/>
        <tr r="DE20" s="1"/>
      </tp>
      <tp>
        <v>0.01</v>
        <stp/>
        <stp>BID</stp>
        <stp>.SPY250512P576</stp>
        <tr r="DF20" s="1"/>
        <tr r="DF20" s="1"/>
      </tp>
      <tp>
        <v>5.64</v>
        <stp/>
        <stp>BID</stp>
        <stp>.SPY250512C577</stp>
        <tr r="DE19" s="1"/>
        <tr r="DE19" s="1"/>
      </tp>
      <tp>
        <v>0</v>
        <stp/>
        <stp>BID</stp>
        <stp>.SPY250512P577</stp>
        <tr r="DF19" s="1"/>
        <tr r="DF19" s="1"/>
      </tp>
      <tp>
        <v>8.64</v>
        <stp/>
        <stp>BID</stp>
        <stp>.SPY250512C574</stp>
        <tr r="DE22" s="1"/>
        <tr r="DE22" s="1"/>
      </tp>
      <tp>
        <v>0</v>
        <stp/>
        <stp>BID</stp>
        <stp>.SPY250512P574</stp>
        <tr r="DF22" s="1"/>
        <tr r="DF22" s="1"/>
      </tp>
      <tp>
        <v>7.64</v>
        <stp/>
        <stp>BID</stp>
        <stp>.SPY250512C575</stp>
        <tr r="DE21" s="1"/>
        <tr r="DE21" s="1"/>
      </tp>
      <tp>
        <v>0</v>
        <stp/>
        <stp>BID</stp>
        <stp>.SPY250512P575</stp>
        <tr r="DF21" s="1"/>
        <tr r="DF21" s="1"/>
      </tp>
      <tp>
        <v>0</v>
        <stp/>
        <stp>BID</stp>
        <stp>.SPY250512C588</stp>
        <tr r="DE8" s="1"/>
        <tr r="DE8" s="1"/>
      </tp>
      <tp>
        <v>5.0599999999999996</v>
        <stp/>
        <stp>BID</stp>
        <stp>.SPY250512P588</stp>
        <tr r="DF8" s="1"/>
        <tr r="DF8" s="1"/>
      </tp>
      <tp>
        <v>0</v>
        <stp/>
        <stp>BID</stp>
        <stp>.SPY250512C589</stp>
        <tr r="DE7" s="1"/>
        <tr r="DE7" s="1"/>
      </tp>
      <tp>
        <v>6.06</v>
        <stp/>
        <stp>BID</stp>
        <stp>.SPY250512P589</stp>
        <tr r="DF7" s="1"/>
        <tr r="DF7" s="1"/>
      </tp>
      <tp>
        <v>0.75</v>
        <stp/>
        <stp>BID</stp>
        <stp>.SPY250512C582</stp>
        <tr r="DE14" s="1"/>
        <tr r="DE14" s="1"/>
      </tp>
      <tp>
        <v>0.03</v>
        <stp/>
        <stp>BID</stp>
        <stp>.SPY250512P582</stp>
        <tr r="DF14" s="1"/>
        <tr r="DF14" s="1"/>
      </tp>
      <tp>
        <v>7.0000000000000007E-2</v>
        <stp/>
        <stp>BID</stp>
        <stp>.SPY250512C583</stp>
        <tr r="DE13" s="1"/>
        <tr r="DE13" s="1"/>
      </tp>
      <tp>
        <v>0.27</v>
        <stp/>
        <stp>BID</stp>
        <stp>.SPY250512P583</stp>
        <tr r="DF13" s="1"/>
        <tr r="DF13" s="1"/>
      </tp>
      <tp>
        <v>2.11</v>
        <stp/>
        <stp>BID</stp>
        <stp>.SPY250512C580</stp>
        <tr r="DE16" s="1"/>
        <tr r="DE16" s="1"/>
      </tp>
      <tp>
        <v>0.01</v>
        <stp/>
        <stp>BID</stp>
        <stp>.SPY250512P580</stp>
        <tr r="DF16" s="1"/>
        <tr r="DF16" s="1"/>
      </tp>
      <tp>
        <v>1.38</v>
        <stp/>
        <stp>BID</stp>
        <stp>.SPY250512C581</stp>
        <tr r="DE15" s="1"/>
        <tr r="DE15" s="1"/>
      </tp>
      <tp>
        <v>0</v>
        <stp/>
        <stp>BID</stp>
        <stp>.SPY250512P581</stp>
        <tr r="DF15" s="1"/>
        <tr r="DF15" s="1"/>
      </tp>
      <tp>
        <v>0</v>
        <stp/>
        <stp>BID</stp>
        <stp>.SPY250512C586</stp>
        <tr r="DE10" s="1"/>
        <tr r="DE10" s="1"/>
      </tp>
      <tp>
        <v>3.01</v>
        <stp/>
        <stp>BID</stp>
        <stp>.SPY250512P586</stp>
        <tr r="DF10" s="1"/>
        <tr r="DF10" s="1"/>
      </tp>
      <tp>
        <v>0</v>
        <stp/>
        <stp>BID</stp>
        <stp>.SPY250512C587</stp>
        <tr r="DE9" s="1"/>
        <tr r="DE9" s="1"/>
      </tp>
      <tp>
        <v>4.05</v>
        <stp/>
        <stp>BID</stp>
        <stp>.SPY250512P587</stp>
        <tr r="DF9" s="1"/>
        <tr r="DF9" s="1"/>
      </tp>
      <tp>
        <v>0</v>
        <stp/>
        <stp>BID</stp>
        <stp>.SPY250512C584</stp>
        <tr r="DE12" s="1"/>
        <tr r="DE12" s="1"/>
      </tp>
      <tp>
        <v>0.35</v>
        <stp/>
        <stp>BID</stp>
        <stp>.SPY250512P584</stp>
        <tr r="DF12" s="1"/>
        <tr r="DF12" s="1"/>
      </tp>
      <tp>
        <v>0</v>
        <stp/>
        <stp>BID</stp>
        <stp>.SPY250512C585</stp>
        <tr r="DE11" s="1"/>
        <tr r="DE11" s="1"/>
      </tp>
      <tp>
        <v>1.6</v>
        <stp/>
        <stp>BID</stp>
        <stp>.SPY250512P585</stp>
        <tr r="DF11" s="1"/>
        <tr r="DF11" s="1"/>
      </tp>
      <tp>
        <v>0</v>
        <stp/>
        <stp>BID</stp>
        <stp>.SPY250512C592</stp>
        <tr r="DE4" s="1"/>
        <tr r="DE4" s="1"/>
      </tp>
      <tp>
        <v>9.06</v>
        <stp/>
        <stp>BID</stp>
        <stp>.SPY250512P592</stp>
        <tr r="DF4" s="1"/>
        <tr r="DF4" s="1"/>
      </tp>
      <tp>
        <v>0</v>
        <stp/>
        <stp>BID</stp>
        <stp>.SPY250512C590</stp>
        <tr r="DE6" s="1"/>
        <tr r="DE6" s="1"/>
      </tp>
      <tp>
        <v>7.06</v>
        <stp/>
        <stp>BID</stp>
        <stp>.SPY250512P590</stp>
        <tr r="DF6" s="1"/>
        <tr r="DF6" s="1"/>
      </tp>
      <tp>
        <v>0</v>
        <stp/>
        <stp>BID</stp>
        <stp>.SPY250512C591</stp>
        <tr r="DE5" s="1"/>
        <tr r="DE5" s="1"/>
      </tp>
      <tp>
        <v>8.06</v>
        <stp/>
        <stp>BID</stp>
        <stp>.SPY250512P591</stp>
        <tr r="DF5" s="1"/>
        <tr r="DF5" s="1"/>
      </tp>
      <tp>
        <v>0.01</v>
        <stp/>
        <stp>ASK</stp>
        <stp>.SPY250512C590</stp>
        <tr r="DC6" s="1"/>
        <tr r="DC6" s="1"/>
      </tp>
      <tp>
        <v>7.35</v>
        <stp/>
        <stp>ASK</stp>
        <stp>.SPY250512P590</stp>
        <tr r="DD6" s="1"/>
        <tr r="DD6" s="1"/>
      </tp>
      <tp>
        <v>0.01</v>
        <stp/>
        <stp>ASK</stp>
        <stp>.SPY250512C591</stp>
        <tr r="DC5" s="1"/>
        <tr r="DC5" s="1"/>
      </tp>
      <tp>
        <v>8.35</v>
        <stp/>
        <stp>ASK</stp>
        <stp>.SPY250512P591</stp>
        <tr r="DD5" s="1"/>
        <tr r="DD5" s="1"/>
      </tp>
      <tp>
        <v>0.01</v>
        <stp/>
        <stp>ASK</stp>
        <stp>.SPY250512C592</stp>
        <tr r="DC4" s="1"/>
        <tr r="DC4" s="1"/>
      </tp>
      <tp>
        <v>9.35</v>
        <stp/>
        <stp>ASK</stp>
        <stp>.SPY250512P592</stp>
        <tr r="DD4" s="1"/>
        <tr r="DD4" s="1"/>
      </tp>
      <tp>
        <v>2.93</v>
        <stp/>
        <stp>ASK</stp>
        <stp>.SPY250512C580</stp>
        <tr r="DC16" s="1"/>
        <tr r="DC16" s="1"/>
      </tp>
      <tp>
        <v>0.02</v>
        <stp/>
        <stp>ASK</stp>
        <stp>.SPY250512P580</stp>
        <tr r="DD16" s="1"/>
        <tr r="DD16" s="1"/>
      </tp>
      <tp>
        <v>2.84</v>
        <stp/>
        <stp>ASK</stp>
        <stp>.SPY250512C581</stp>
        <tr r="DC15" s="1"/>
        <tr r="DC15" s="1"/>
      </tp>
      <tp>
        <v>0.02</v>
        <stp/>
        <stp>ASK</stp>
        <stp>.SPY250512P581</stp>
        <tr r="DD15" s="1"/>
        <tr r="DD15" s="1"/>
      </tp>
      <tp>
        <v>0.89</v>
        <stp/>
        <stp>ASK</stp>
        <stp>.SPY250512C582</stp>
        <tr r="DC14" s="1"/>
        <tr r="DC14" s="1"/>
      </tp>
      <tp>
        <v>0.04</v>
        <stp/>
        <stp>ASK</stp>
        <stp>.SPY250512P582</stp>
        <tr r="DD14" s="1"/>
        <tr r="DD14" s="1"/>
      </tp>
      <tp>
        <v>0.1</v>
        <stp/>
        <stp>ASK</stp>
        <stp>.SPY250512C583</stp>
        <tr r="DC13" s="1"/>
        <tr r="DC13" s="1"/>
      </tp>
      <tp>
        <v>0.32</v>
        <stp/>
        <stp>ASK</stp>
        <stp>.SPY250512P583</stp>
        <tr r="DD13" s="1"/>
        <tr r="DD13" s="1"/>
      </tp>
      <tp>
        <v>0.01</v>
        <stp/>
        <stp>ASK</stp>
        <stp>.SPY250512C584</stp>
        <tr r="DC12" s="1"/>
        <tr r="DC12" s="1"/>
      </tp>
      <tp>
        <v>1.25</v>
        <stp/>
        <stp>ASK</stp>
        <stp>.SPY250512P584</stp>
        <tr r="DD12" s="1"/>
        <tr r="DD12" s="1"/>
      </tp>
      <tp>
        <v>0.01</v>
        <stp/>
        <stp>ASK</stp>
        <stp>.SPY250512C585</stp>
        <tr r="DC11" s="1"/>
        <tr r="DC11" s="1"/>
      </tp>
      <tp>
        <v>2.37</v>
        <stp/>
        <stp>ASK</stp>
        <stp>.SPY250512P585</stp>
        <tr r="DD11" s="1"/>
        <tr r="DD11" s="1"/>
      </tp>
      <tp>
        <v>0.01</v>
        <stp/>
        <stp>ASK</stp>
        <stp>.SPY250512C586</stp>
        <tr r="DC10" s="1"/>
        <tr r="DC10" s="1"/>
      </tp>
      <tp>
        <v>3.36</v>
        <stp/>
        <stp>ASK</stp>
        <stp>.SPY250512P586</stp>
        <tr r="DD10" s="1"/>
        <tr r="DD10" s="1"/>
      </tp>
      <tp>
        <v>0.01</v>
        <stp/>
        <stp>ASK</stp>
        <stp>.SPY250512C587</stp>
        <tr r="DC9" s="1"/>
        <tr r="DC9" s="1"/>
      </tp>
      <tp>
        <v>4.3499999999999996</v>
        <stp/>
        <stp>ASK</stp>
        <stp>.SPY250512P587</stp>
        <tr r="DD9" s="1"/>
        <tr r="DD9" s="1"/>
      </tp>
      <tp>
        <v>0.01</v>
        <stp/>
        <stp>ASK</stp>
        <stp>.SPY250512C588</stp>
        <tr r="DC8" s="1"/>
        <tr r="DC8" s="1"/>
      </tp>
      <tp>
        <v>5.35</v>
        <stp/>
        <stp>ASK</stp>
        <stp>.SPY250512P588</stp>
        <tr r="DD8" s="1"/>
        <tr r="DD8" s="1"/>
      </tp>
      <tp>
        <v>0.01</v>
        <stp/>
        <stp>ASK</stp>
        <stp>.SPY250512C589</stp>
        <tr r="DC7" s="1"/>
        <tr r="DC7" s="1"/>
      </tp>
      <tp>
        <v>6.35</v>
        <stp/>
        <stp>ASK</stp>
        <stp>.SPY250512P589</stp>
        <tr r="DD7" s="1"/>
        <tr r="DD7" s="1"/>
      </tp>
      <tp t="s">
        <v>--</v>
        <stp/>
        <stp>IMPL_VOL</stp>
        <stp>.QQQ250512C490</stp>
        <tr r="EL77" s="1"/>
      </tp>
      <tp t="s">
        <v>26.61%</v>
        <stp/>
        <stp>IMPL_VOL</stp>
        <stp>.QQQ250516C494</stp>
        <tr r="EN73" s="1"/>
      </tp>
      <tp t="s">
        <v>168.10%</v>
        <stp/>
        <stp>IMPL_VOL</stp>
        <stp>.QQQ250512P490</stp>
        <tr r="EM77" s="1"/>
      </tp>
      <tp t="s">
        <v>25.59%</v>
        <stp/>
        <stp>IMPL_VOL</stp>
        <stp>.QQQ250516P494</stp>
        <tr r="EO73" s="1"/>
      </tp>
      <tp t="s">
        <v>--</v>
        <stp/>
        <stp>IMPL_VOL</stp>
        <stp>.QQQ250512C491</stp>
        <tr r="EL76" s="1"/>
      </tp>
      <tp t="s">
        <v>26.11%</v>
        <stp/>
        <stp>IMPL_VOL</stp>
        <stp>.QQQ250516C495</stp>
        <tr r="EN72" s="1"/>
      </tp>
      <tp t="s">
        <v>159.32%</v>
        <stp/>
        <stp>IMPL_VOL</stp>
        <stp>.QQQ250512P491</stp>
        <tr r="EM76" s="1"/>
      </tp>
      <tp t="s">
        <v>25.38%</v>
        <stp/>
        <stp>IMPL_VOL</stp>
        <stp>.QQQ250516P495</stp>
        <tr r="EO72" s="1"/>
      </tp>
      <tp t="s">
        <v>--</v>
        <stp/>
        <stp>IMPL_VOL</stp>
        <stp>.QQQ250512C492</stp>
        <tr r="EL75" s="1"/>
      </tp>
      <tp t="s">
        <v>26.10%</v>
        <stp/>
        <stp>IMPL_VOL</stp>
        <stp>.QQQ250516C496</stp>
        <tr r="EN71" s="1"/>
      </tp>
      <tp t="s">
        <v>150.51%</v>
        <stp/>
        <stp>IMPL_VOL</stp>
        <stp>.QQQ250512P492</stp>
        <tr r="EM75" s="1"/>
      </tp>
      <tp t="s">
        <v>25.17%</v>
        <stp/>
        <stp>IMPL_VOL</stp>
        <stp>.QQQ250516P496</stp>
        <tr r="EO71" s="1"/>
      </tp>
      <tp t="s">
        <v>--</v>
        <stp/>
        <stp>IMPL_VOL</stp>
        <stp>.QQQ250512C493</stp>
        <tr r="EL74" s="1"/>
      </tp>
      <tp t="s">
        <v>20.34%</v>
        <stp/>
        <stp>IMPL_VOL</stp>
        <stp>.QQQ250516C497</stp>
        <tr r="EN70" s="1"/>
      </tp>
      <tp t="s">
        <v>141.68%</v>
        <stp/>
        <stp>IMPL_VOL</stp>
        <stp>.QQQ250512P493</stp>
        <tr r="EM74" s="1"/>
      </tp>
      <tp t="s">
        <v>24.98%</v>
        <stp/>
        <stp>IMPL_VOL</stp>
        <stp>.QQQ250516P497</stp>
        <tr r="EO70" s="1"/>
      </tp>
      <tp t="s">
        <v>--</v>
        <stp/>
        <stp>IMPL_VOL</stp>
        <stp>.QQQ250512C494</stp>
        <tr r="EL73" s="1"/>
      </tp>
      <tp t="s">
        <v>25.17%</v>
        <stp/>
        <stp>IMPL_VOL</stp>
        <stp>.QQQ250516C490</stp>
        <tr r="EN77" s="1"/>
      </tp>
      <tp t="s">
        <v>132.82%</v>
        <stp/>
        <stp>IMPL_VOL</stp>
        <stp>.QQQ250512P494</stp>
        <tr r="EM73" s="1"/>
      </tp>
      <tp t="s">
        <v>26.56%</v>
        <stp/>
        <stp>IMPL_VOL</stp>
        <stp>.QQQ250516P490</stp>
        <tr r="EO77" s="1"/>
      </tp>
      <tp t="s">
        <v>--</v>
        <stp/>
        <stp>IMPL_VOL</stp>
        <stp>.QQQ250512C495</stp>
        <tr r="EL72" s="1"/>
      </tp>
      <tp t="s">
        <v>25.22%</v>
        <stp/>
        <stp>IMPL_VOL</stp>
        <stp>.QQQ250516C491</stp>
        <tr r="EN76" s="1"/>
      </tp>
      <tp t="s">
        <v>123.92%</v>
        <stp/>
        <stp>IMPL_VOL</stp>
        <stp>.QQQ250512P495</stp>
        <tr r="EM72" s="1"/>
      </tp>
      <tp t="s">
        <v>26.28%</v>
        <stp/>
        <stp>IMPL_VOL</stp>
        <stp>.QQQ250516P491</stp>
        <tr r="EO76" s="1"/>
      </tp>
      <tp t="s">
        <v>--</v>
        <stp/>
        <stp>IMPL_VOL</stp>
        <stp>.QQQ250512C496</stp>
        <tr r="EL71" s="1"/>
      </tp>
      <tp t="s">
        <v>26.51%</v>
        <stp/>
        <stp>IMPL_VOL</stp>
        <stp>.QQQ250516C492</stp>
        <tr r="EN75" s="1"/>
      </tp>
      <tp t="s">
        <v>114.99%</v>
        <stp/>
        <stp>IMPL_VOL</stp>
        <stp>.QQQ250512P496</stp>
        <tr r="EM71" s="1"/>
      </tp>
      <tp t="s">
        <v>26.05%</v>
        <stp/>
        <stp>IMPL_VOL</stp>
        <stp>.QQQ250516P492</stp>
        <tr r="EO75" s="1"/>
      </tp>
      <tp t="s">
        <v>--</v>
        <stp/>
        <stp>IMPL_VOL</stp>
        <stp>.QQQ250512C497</stp>
        <tr r="EL70" s="1"/>
      </tp>
      <tp t="s">
        <v>25.49%</v>
        <stp/>
        <stp>IMPL_VOL</stp>
        <stp>.QQQ250516C493</stp>
        <tr r="EN74" s="1"/>
      </tp>
      <tp t="s">
        <v>106.00%</v>
        <stp/>
        <stp>IMPL_VOL</stp>
        <stp>.QQQ250512P497</stp>
        <tr r="EM70" s="1"/>
      </tp>
      <tp t="s">
        <v>25.81%</v>
        <stp/>
        <stp>IMPL_VOL</stp>
        <stp>.QQQ250516P493</stp>
        <tr r="EO74" s="1"/>
      </tp>
      <tp t="s">
        <v>--</v>
        <stp/>
        <stp>IMPL_VOL</stp>
        <stp>.QQQ250512C498</stp>
        <tr r="EL69" s="1"/>
      </tp>
      <tp t="s">
        <v>96.97%</v>
        <stp/>
        <stp>IMPL_VOL</stp>
        <stp>.QQQ250512P498</stp>
        <tr r="EM69" s="1"/>
      </tp>
      <tp t="s">
        <v>--</v>
        <stp/>
        <stp>IMPL_VOL</stp>
        <stp>.QQQ250512C499</stp>
        <tr r="EL68" s="1"/>
      </tp>
      <tp t="s">
        <v>87.87%</v>
        <stp/>
        <stp>IMPL_VOL</stp>
        <stp>.QQQ250512P499</stp>
        <tr r="EM68" s="1"/>
      </tp>
      <tp t="s">
        <v>26.24%</v>
        <stp/>
        <stp>IMPL_VOL</stp>
        <stp>.QQQ250516C498</stp>
        <tr r="EN69" s="1"/>
      </tp>
      <tp t="s">
        <v>24.79%</v>
        <stp/>
        <stp>IMPL_VOL</stp>
        <stp>.QQQ250516P498</stp>
        <tr r="EO69" s="1"/>
      </tp>
      <tp t="s">
        <v>23.09%</v>
        <stp/>
        <stp>IMPL_VOL</stp>
        <stp>.QQQ250516C499</stp>
        <tr r="EN68" s="1"/>
      </tp>
      <tp t="s">
        <v>24.58%</v>
        <stp/>
        <stp>IMPL_VOL</stp>
        <stp>.QQQ250516P499</stp>
        <tr r="EO68" s="1"/>
      </tp>
      <tp t="s">
        <v>--</v>
        <stp/>
        <stp>IMPL_VOL</stp>
        <stp>.QQQ250512C488</stp>
        <tr r="EL79" s="1"/>
      </tp>
      <tp t="s">
        <v>185.59%</v>
        <stp/>
        <stp>IMPL_VOL</stp>
        <stp>.QQQ250512P488</stp>
        <tr r="EM79" s="1"/>
      </tp>
      <tp t="s">
        <v>--</v>
        <stp/>
        <stp>IMPL_VOL</stp>
        <stp>.QQQ250512C489</stp>
        <tr r="EL78" s="1"/>
      </tp>
      <tp t="s">
        <v>176.85%</v>
        <stp/>
        <stp>IMPL_VOL</stp>
        <stp>.QQQ250512P489</stp>
        <tr r="EM78" s="1"/>
      </tp>
      <tp t="s">
        <v>31.01%</v>
        <stp/>
        <stp>IMPL_VOL</stp>
        <stp>.QQQ250516C488</stp>
        <tr r="EN79" s="1"/>
      </tp>
      <tp t="s">
        <v>27.06%</v>
        <stp/>
        <stp>IMPL_VOL</stp>
        <stp>.QQQ250516P488</stp>
        <tr r="EO79" s="1"/>
      </tp>
      <tp t="s">
        <v>28.07%</v>
        <stp/>
        <stp>IMPL_VOL</stp>
        <stp>.QQQ250516C489</stp>
        <tr r="EN78" s="1"/>
      </tp>
      <tp t="s">
        <v>26.74%</v>
        <stp/>
        <stp>IMPL_VOL</stp>
        <stp>.QQQ250516P489</stp>
        <tr r="EO78" s="1"/>
      </tp>
      <tp t="s">
        <v>--</v>
        <stp/>
        <stp>IMPL_VOL</stp>
        <stp>.SPXW250512C5590</stp>
        <tr r="EL128" s="1"/>
      </tp>
      <tp t="s">
        <v>192.04%</v>
        <stp/>
        <stp>IMPL_VOL</stp>
        <stp>.SPXW250512P5590</stp>
        <tr r="EM128" s="1"/>
      </tp>
      <tp t="s">
        <v>--</v>
        <stp/>
        <stp>IMPL_VOL</stp>
        <stp>.SPXW250512C5580</stp>
        <tr r="EL129" s="1"/>
      </tp>
      <tp t="s">
        <v>199.13%</v>
        <stp/>
        <stp>IMPL_VOL</stp>
        <stp>.SPXW250512P5580</stp>
        <tr r="EM129" s="1"/>
      </tp>
      <tp t="s">
        <v>--</v>
        <stp/>
        <stp>IMPL_VOL</stp>
        <stp>.SPXW250512C5570</stp>
        <tr r="EL130" s="1"/>
      </tp>
      <tp t="s">
        <v>206.22%</v>
        <stp/>
        <stp>IMPL_VOL</stp>
        <stp>.SPXW250512P5570</stp>
        <tr r="EM130" s="1"/>
      </tp>
      <tp>
        <v>16</v>
        <stp/>
        <stp>OPEN_INT</stp>
        <stp>.QQQ250516P520</stp>
        <tr r="AV47" s="1"/>
        <tr r="AV47" s="1"/>
      </tp>
      <tp>
        <v>11662</v>
        <stp/>
        <stp>OPEN_INT</stp>
        <stp>.QQQ250516C520</stp>
        <tr r="AU47" s="1"/>
        <tr r="AU47" s="1"/>
      </tp>
      <tp>
        <v>0</v>
        <stp/>
        <stp>OPEN_INT</stp>
        <stp>.QQQ250516P521</stp>
        <tr r="AV46" s="1"/>
        <tr r="AV46" s="1"/>
      </tp>
      <tp>
        <v>1090</v>
        <stp/>
        <stp>OPEN_INT</stp>
        <stp>.QQQ250516C521</stp>
        <tr r="AU46" s="1"/>
        <tr r="AU46" s="1"/>
      </tp>
      <tp>
        <v>5</v>
        <stp/>
        <stp>OPEN_INT</stp>
        <stp>.QQQ250516P522</stp>
        <tr r="AV45" s="1"/>
        <tr r="AV45" s="1"/>
      </tp>
      <tp>
        <v>2329</v>
        <stp/>
        <stp>OPEN_INT</stp>
        <stp>.QQQ250516C522</stp>
        <tr r="AU45" s="1"/>
        <tr r="AU45" s="1"/>
      </tp>
      <tp>
        <v>1</v>
        <stp/>
        <stp>OPEN_INT</stp>
        <stp>.QQQ250512P520</stp>
        <tr r="AT47" s="1"/>
        <tr r="AT47" s="1"/>
      </tp>
      <tp>
        <v>4173</v>
        <stp/>
        <stp>OPEN_INT</stp>
        <stp>.QQQ250512C520</stp>
        <tr r="AS47" s="1"/>
        <tr r="AS47" s="1"/>
      </tp>
      <tp>
        <v>0</v>
        <stp/>
        <stp>OPEN_INT</stp>
        <stp>.QQQ250512P521</stp>
        <tr r="AT46" s="1"/>
        <tr r="AT46" s="1"/>
      </tp>
      <tp>
        <v>1438</v>
        <stp/>
        <stp>OPEN_INT</stp>
        <stp>.QQQ250512C521</stp>
        <tr r="AS46" s="1"/>
        <tr r="AS46" s="1"/>
      </tp>
      <tp>
        <v>0</v>
        <stp/>
        <stp>OPEN_INT</stp>
        <stp>.QQQ250512P522</stp>
        <tr r="AT45" s="1"/>
        <tr r="AT45" s="1"/>
      </tp>
      <tp>
        <v>384</v>
        <stp/>
        <stp>OPEN_INT</stp>
        <stp>.QQQ250512C522</stp>
        <tr r="AS45" s="1"/>
        <tr r="AS45" s="1"/>
      </tp>
      <tp>
        <v>0</v>
        <stp/>
        <stp>OPEN_INT</stp>
        <stp>.QQQ250512P514</stp>
        <tr r="AT53" s="1"/>
        <tr r="AT53" s="1"/>
      </tp>
      <tp>
        <v>814</v>
        <stp/>
        <stp>OPEN_INT</stp>
        <stp>.QQQ250516P510</stp>
        <tr r="AV57" s="1"/>
        <tr r="AV57" s="1"/>
      </tp>
      <tp>
        <v>515</v>
        <stp/>
        <stp>OPEN_INT</stp>
        <stp>.QQQ250512C514</stp>
        <tr r="AS53" s="1"/>
        <tr r="AS53" s="1"/>
      </tp>
      <tp>
        <v>15443</v>
        <stp/>
        <stp>OPEN_INT</stp>
        <stp>.QQQ250516C510</stp>
        <tr r="AU57" s="1"/>
        <tr r="AU57" s="1"/>
      </tp>
      <tp>
        <v>0</v>
        <stp/>
        <stp>OPEN_INT</stp>
        <stp>.QQQ250512P515</stp>
        <tr r="AT52" s="1"/>
        <tr r="AT52" s="1"/>
      </tp>
      <tp>
        <v>2</v>
        <stp/>
        <stp>OPEN_INT</stp>
        <stp>.QQQ250516P511</stp>
        <tr r="AV56" s="1"/>
        <tr r="AV56" s="1"/>
      </tp>
      <tp>
        <v>1189</v>
        <stp/>
        <stp>OPEN_INT</stp>
        <stp>.QQQ250512C515</stp>
        <tr r="AS52" s="1"/>
        <tr r="AS52" s="1"/>
      </tp>
      <tp>
        <v>1609</v>
        <stp/>
        <stp>OPEN_INT</stp>
        <stp>.QQQ250516C511</stp>
        <tr r="AU56" s="1"/>
        <tr r="AU56" s="1"/>
      </tp>
      <tp>
        <v>0</v>
        <stp/>
        <stp>OPEN_INT</stp>
        <stp>.QQQ250512P516</stp>
        <tr r="AT51" s="1"/>
        <tr r="AT51" s="1"/>
      </tp>
      <tp>
        <v>107</v>
        <stp/>
        <stp>OPEN_INT</stp>
        <stp>.QQQ250516P512</stp>
        <tr r="AV55" s="1"/>
        <tr r="AV55" s="1"/>
      </tp>
      <tp>
        <v>539</v>
        <stp/>
        <stp>OPEN_INT</stp>
        <stp>.QQQ250512C516</stp>
        <tr r="AS51" s="1"/>
        <tr r="AS51" s="1"/>
      </tp>
      <tp>
        <v>2379</v>
        <stp/>
        <stp>OPEN_INT</stp>
        <stp>.QQQ250516C512</stp>
        <tr r="AU55" s="1"/>
        <tr r="AU55" s="1"/>
      </tp>
      <tp>
        <v>0</v>
        <stp/>
        <stp>OPEN_INT</stp>
        <stp>.QQQ250512P517</stp>
        <tr r="AT50" s="1"/>
        <tr r="AT50" s="1"/>
      </tp>
      <tp>
        <v>6</v>
        <stp/>
        <stp>OPEN_INT</stp>
        <stp>.QQQ250516P513</stp>
        <tr r="AV54" s="1"/>
        <tr r="AV54" s="1"/>
      </tp>
      <tp>
        <v>313</v>
        <stp/>
        <stp>OPEN_INT</stp>
        <stp>.QQQ250512C517</stp>
        <tr r="AS50" s="1"/>
        <tr r="AS50" s="1"/>
      </tp>
      <tp>
        <v>1326</v>
        <stp/>
        <stp>OPEN_INT</stp>
        <stp>.QQQ250516C513</stp>
        <tr r="AU54" s="1"/>
        <tr r="AU54" s="1"/>
      </tp>
      <tp>
        <v>22</v>
        <stp/>
        <stp>OPEN_INT</stp>
        <stp>.QQQ250512P510</stp>
        <tr r="AT57" s="1"/>
        <tr r="AT57" s="1"/>
      </tp>
      <tp>
        <v>3</v>
        <stp/>
        <stp>OPEN_INT</stp>
        <stp>.QQQ250516P514</stp>
        <tr r="AV53" s="1"/>
        <tr r="AV53" s="1"/>
      </tp>
      <tp>
        <v>2546</v>
        <stp/>
        <stp>OPEN_INT</stp>
        <stp>.QQQ250512C510</stp>
        <tr r="AS57" s="1"/>
        <tr r="AS57" s="1"/>
      </tp>
      <tp>
        <v>1796</v>
        <stp/>
        <stp>OPEN_INT</stp>
        <stp>.QQQ250516C514</stp>
        <tr r="AU53" s="1"/>
        <tr r="AU53" s="1"/>
      </tp>
      <tp>
        <v>0</v>
        <stp/>
        <stp>OPEN_INT</stp>
        <stp>.QQQ250512P511</stp>
        <tr r="AT56" s="1"/>
        <tr r="AT56" s="1"/>
      </tp>
      <tp>
        <v>130</v>
        <stp/>
        <stp>OPEN_INT</stp>
        <stp>.QQQ250516P515</stp>
        <tr r="AV52" s="1"/>
        <tr r="AV52" s="1"/>
      </tp>
      <tp>
        <v>494</v>
        <stp/>
        <stp>OPEN_INT</stp>
        <stp>.QQQ250512C511</stp>
        <tr r="AS56" s="1"/>
        <tr r="AS56" s="1"/>
      </tp>
      <tp>
        <v>11187</v>
        <stp/>
        <stp>OPEN_INT</stp>
        <stp>.QQQ250516C515</stp>
        <tr r="AU52" s="1"/>
        <tr r="AU52" s="1"/>
      </tp>
      <tp>
        <v>0</v>
        <stp/>
        <stp>OPEN_INT</stp>
        <stp>.QQQ250512P512</stp>
        <tr r="AT55" s="1"/>
        <tr r="AT55" s="1"/>
      </tp>
      <tp>
        <v>0</v>
        <stp/>
        <stp>OPEN_INT</stp>
        <stp>.QQQ250516P516</stp>
        <tr r="AV51" s="1"/>
        <tr r="AV51" s="1"/>
      </tp>
      <tp>
        <v>506</v>
        <stp/>
        <stp>OPEN_INT</stp>
        <stp>.QQQ250512C512</stp>
        <tr r="AS55" s="1"/>
        <tr r="AS55" s="1"/>
      </tp>
      <tp>
        <v>1362</v>
        <stp/>
        <stp>OPEN_INT</stp>
        <stp>.QQQ250516C516</stp>
        <tr r="AU51" s="1"/>
        <tr r="AU51" s="1"/>
      </tp>
      <tp>
        <v>0</v>
        <stp/>
        <stp>OPEN_INT</stp>
        <stp>.QQQ250512P513</stp>
        <tr r="AT54" s="1"/>
        <tr r="AT54" s="1"/>
      </tp>
      <tp>
        <v>6</v>
        <stp/>
        <stp>OPEN_INT</stp>
        <stp>.QQQ250516P517</stp>
        <tr r="AV50" s="1"/>
        <tr r="AV50" s="1"/>
      </tp>
      <tp>
        <v>345</v>
        <stp/>
        <stp>OPEN_INT</stp>
        <stp>.QQQ250512C513</stp>
        <tr r="AS54" s="1"/>
        <tr r="AS54" s="1"/>
      </tp>
      <tp>
        <v>3610</v>
        <stp/>
        <stp>OPEN_INT</stp>
        <stp>.QQQ250516C517</stp>
        <tr r="AU50" s="1"/>
        <tr r="AU50" s="1"/>
      </tp>
      <tp>
        <v>3</v>
        <stp/>
        <stp>OPEN_INT</stp>
        <stp>.QQQ250516P518</stp>
        <tr r="AV49" s="1"/>
        <tr r="AV49" s="1"/>
      </tp>
      <tp>
        <v>1721</v>
        <stp/>
        <stp>OPEN_INT</stp>
        <stp>.QQQ250516C518</stp>
        <tr r="AU49" s="1"/>
        <tr r="AU49" s="1"/>
      </tp>
      <tp>
        <v>0</v>
        <stp/>
        <stp>OPEN_INT</stp>
        <stp>.QQQ250516P519</stp>
        <tr r="AV48" s="1"/>
        <tr r="AV48" s="1"/>
      </tp>
      <tp>
        <v>1739</v>
        <stp/>
        <stp>OPEN_INT</stp>
        <stp>.QQQ250516C519</stp>
        <tr r="AU48" s="1"/>
        <tr r="AU48" s="1"/>
      </tp>
      <tp>
        <v>0</v>
        <stp/>
        <stp>OPEN_INT</stp>
        <stp>.QQQ250512P518</stp>
        <tr r="AT49" s="1"/>
        <tr r="AT49" s="1"/>
      </tp>
      <tp>
        <v>265</v>
        <stp/>
        <stp>OPEN_INT</stp>
        <stp>.QQQ250512C518</stp>
        <tr r="AS49" s="1"/>
        <tr r="AS49" s="1"/>
      </tp>
      <tp>
        <v>0</v>
        <stp/>
        <stp>OPEN_INT</stp>
        <stp>.QQQ250512P519</stp>
        <tr r="AT48" s="1"/>
        <tr r="AT48" s="1"/>
      </tp>
      <tp>
        <v>1631</v>
        <stp/>
        <stp>OPEN_INT</stp>
        <stp>.QQQ250512C519</stp>
        <tr r="AS48" s="1"/>
        <tr r="AS48" s="1"/>
      </tp>
      <tp>
        <v>1</v>
        <stp/>
        <stp>OPEN_INT</stp>
        <stp>.QQQ250512P504</stp>
        <tr r="AT63" s="1"/>
        <tr r="AT63" s="1"/>
      </tp>
      <tp>
        <v>3014</v>
        <stp/>
        <stp>OPEN_INT</stp>
        <stp>.QQQ250516P500</stp>
        <tr r="AV67" s="1"/>
        <tr r="AV67" s="1"/>
      </tp>
      <tp>
        <v>1980</v>
        <stp/>
        <stp>OPEN_INT</stp>
        <stp>.QQQ250512C504</stp>
        <tr r="AS63" s="1"/>
        <tr r="AS63" s="1"/>
      </tp>
      <tp>
        <v>55479</v>
        <stp/>
        <stp>OPEN_INT</stp>
        <stp>.QQQ250516C500</stp>
        <tr r="AU67" s="1"/>
        <tr r="AU67" s="1"/>
      </tp>
      <tp>
        <v>24</v>
        <stp/>
        <stp>OPEN_INT</stp>
        <stp>.QQQ250512P505</stp>
        <tr r="AT62" s="1"/>
        <tr r="AT62" s="1"/>
      </tp>
      <tp>
        <v>34</v>
        <stp/>
        <stp>OPEN_INT</stp>
        <stp>.QQQ250516P501</stp>
        <tr r="AV66" s="1"/>
        <tr r="AV66" s="1"/>
      </tp>
      <tp>
        <v>3237</v>
        <stp/>
        <stp>OPEN_INT</stp>
        <stp>.QQQ250512C505</stp>
        <tr r="AS62" s="1"/>
        <tr r="AS62" s="1"/>
      </tp>
      <tp>
        <v>2541</v>
        <stp/>
        <stp>OPEN_INT</stp>
        <stp>.QQQ250516C501</stp>
        <tr r="AU66" s="1"/>
        <tr r="AU66" s="1"/>
      </tp>
      <tp>
        <v>11</v>
        <stp/>
        <stp>OPEN_INT</stp>
        <stp>.QQQ250512P506</stp>
        <tr r="AT61" s="1"/>
        <tr r="AT61" s="1"/>
      </tp>
      <tp>
        <v>126</v>
        <stp/>
        <stp>OPEN_INT</stp>
        <stp>.QQQ250516P502</stp>
        <tr r="AV65" s="1"/>
        <tr r="AV65" s="1"/>
      </tp>
      <tp>
        <v>1437</v>
        <stp/>
        <stp>OPEN_INT</stp>
        <stp>.QQQ250512C506</stp>
        <tr r="AS61" s="1"/>
        <tr r="AS61" s="1"/>
      </tp>
      <tp>
        <v>3120</v>
        <stp/>
        <stp>OPEN_INT</stp>
        <stp>.QQQ250516C502</stp>
        <tr r="AU65" s="1"/>
        <tr r="AU65" s="1"/>
      </tp>
      <tp>
        <v>1</v>
        <stp/>
        <stp>OPEN_INT</stp>
        <stp>.QQQ250512P507</stp>
        <tr r="AT60" s="1"/>
        <tr r="AT60" s="1"/>
      </tp>
      <tp>
        <v>80</v>
        <stp/>
        <stp>OPEN_INT</stp>
        <stp>.QQQ250516P503</stp>
        <tr r="AV64" s="1"/>
        <tr r="AV64" s="1"/>
      </tp>
      <tp>
        <v>409</v>
        <stp/>
        <stp>OPEN_INT</stp>
        <stp>.QQQ250512C507</stp>
        <tr r="AS60" s="1"/>
        <tr r="AS60" s="1"/>
      </tp>
      <tp>
        <v>3684</v>
        <stp/>
        <stp>OPEN_INT</stp>
        <stp>.QQQ250516C503</stp>
        <tr r="AU64" s="1"/>
        <tr r="AU64" s="1"/>
      </tp>
      <tp>
        <v>129</v>
        <stp/>
        <stp>OPEN_INT</stp>
        <stp>.QQQ250512P500</stp>
        <tr r="AT67" s="1"/>
        <tr r="AT67" s="1"/>
      </tp>
      <tp>
        <v>22</v>
        <stp/>
        <stp>OPEN_INT</stp>
        <stp>.QQQ250516P504</stp>
        <tr r="AV63" s="1"/>
        <tr r="AV63" s="1"/>
      </tp>
      <tp>
        <v>6260</v>
        <stp/>
        <stp>OPEN_INT</stp>
        <stp>.QQQ250512C500</stp>
        <tr r="AS67" s="1"/>
        <tr r="AS67" s="1"/>
      </tp>
      <tp>
        <v>8009</v>
        <stp/>
        <stp>OPEN_INT</stp>
        <stp>.QQQ250516C504</stp>
        <tr r="AU63" s="1"/>
        <tr r="AU63" s="1"/>
      </tp>
      <tp>
        <v>0</v>
        <stp/>
        <stp>OPEN_INT</stp>
        <stp>.QQQ250512P501</stp>
        <tr r="AT66" s="1"/>
        <tr r="AT66" s="1"/>
      </tp>
      <tp>
        <v>117</v>
        <stp/>
        <stp>OPEN_INT</stp>
        <stp>.QQQ250516P505</stp>
        <tr r="AV62" s="1"/>
        <tr r="AV62" s="1"/>
      </tp>
      <tp>
        <v>786</v>
        <stp/>
        <stp>OPEN_INT</stp>
        <stp>.QQQ250512C501</stp>
        <tr r="AS66" s="1"/>
        <tr r="AS66" s="1"/>
      </tp>
      <tp>
        <v>19878</v>
        <stp/>
        <stp>OPEN_INT</stp>
        <stp>.QQQ250516C505</stp>
        <tr r="AU62" s="1"/>
        <tr r="AU62" s="1"/>
      </tp>
      <tp>
        <v>12</v>
        <stp/>
        <stp>OPEN_INT</stp>
        <stp>.QQQ250512P502</stp>
        <tr r="AT65" s="1"/>
        <tr r="AT65" s="1"/>
      </tp>
      <tp>
        <v>8</v>
        <stp/>
        <stp>OPEN_INT</stp>
        <stp>.QQQ250516P506</stp>
        <tr r="AV61" s="1"/>
        <tr r="AV61" s="1"/>
      </tp>
      <tp>
        <v>1901</v>
        <stp/>
        <stp>OPEN_INT</stp>
        <stp>.QQQ250512C502</stp>
        <tr r="AS65" s="1"/>
        <tr r="AS65" s="1"/>
      </tp>
      <tp>
        <v>3209</v>
        <stp/>
        <stp>OPEN_INT</stp>
        <stp>.QQQ250516C506</stp>
        <tr r="AU61" s="1"/>
        <tr r="AU61" s="1"/>
      </tp>
      <tp>
        <v>18</v>
        <stp/>
        <stp>OPEN_INT</stp>
        <stp>.QQQ250512P503</stp>
        <tr r="AT64" s="1"/>
        <tr r="AT64" s="1"/>
      </tp>
      <tp>
        <v>72</v>
        <stp/>
        <stp>OPEN_INT</stp>
        <stp>.QQQ250516P507</stp>
        <tr r="AV60" s="1"/>
        <tr r="AV60" s="1"/>
      </tp>
      <tp>
        <v>1561</v>
        <stp/>
        <stp>OPEN_INT</stp>
        <stp>.QQQ250512C503</stp>
        <tr r="AS64" s="1"/>
        <tr r="AS64" s="1"/>
      </tp>
      <tp>
        <v>3050</v>
        <stp/>
        <stp>OPEN_INT</stp>
        <stp>.QQQ250516C507</stp>
        <tr r="AU60" s="1"/>
        <tr r="AU60" s="1"/>
      </tp>
      <tp>
        <v>10</v>
        <stp/>
        <stp>OPEN_INT</stp>
        <stp>.QQQ250516P508</stp>
        <tr r="AV59" s="1"/>
        <tr r="AV59" s="1"/>
      </tp>
      <tp>
        <v>3767</v>
        <stp/>
        <stp>OPEN_INT</stp>
        <stp>.QQQ250516C508</stp>
        <tr r="AU59" s="1"/>
        <tr r="AU59" s="1"/>
      </tp>
      <tp>
        <v>5</v>
        <stp/>
        <stp>OPEN_INT</stp>
        <stp>.QQQ250516P509</stp>
        <tr r="AV58" s="1"/>
        <tr r="AV58" s="1"/>
      </tp>
      <tp>
        <v>0</v>
        <stp/>
        <stp>OPEN_INT</stp>
        <stp>.QQQ250512P508</stp>
        <tr r="AT59" s="1"/>
        <tr r="AT59" s="1"/>
      </tp>
      <tp>
        <v>449</v>
        <stp/>
        <stp>OPEN_INT</stp>
        <stp>.QQQ250512C508</stp>
        <tr r="AS59" s="1"/>
        <tr r="AS59" s="1"/>
      </tp>
      <tp>
        <v>0</v>
        <stp/>
        <stp>OPEN_INT</stp>
        <stp>.QQQ250512P509</stp>
        <tr r="AT58" s="1"/>
        <tr r="AT58" s="1"/>
      </tp>
      <tp>
        <v>392</v>
        <stp/>
        <stp>OPEN_INT</stp>
        <stp>.QQQ250512C509</stp>
        <tr r="AS58" s="1"/>
        <tr r="AS58" s="1"/>
      </tp>
      <tp>
        <v>166</v>
        <stp/>
        <stp>OPEN_INT</stp>
        <stp>.QQQ250512P494</stp>
        <tr r="AT73" s="1"/>
        <tr r="AT73" s="1"/>
      </tp>
      <tp>
        <v>15007</v>
        <stp/>
        <stp>OPEN_INT</stp>
        <stp>.QQQ250516P490</stp>
        <tr r="AV77" s="1"/>
        <tr r="AV77" s="1"/>
      </tp>
      <tp>
        <v>2382</v>
        <stp/>
        <stp>OPEN_INT</stp>
        <stp>.QQQ250512C494</stp>
        <tr r="AS73" s="1"/>
        <tr r="AS73" s="1"/>
      </tp>
      <tp>
        <v>64949</v>
        <stp/>
        <stp>OPEN_INT</stp>
        <stp>.QQQ250516C490</stp>
        <tr r="AU77" s="1"/>
        <tr r="AU77" s="1"/>
      </tp>
      <tp>
        <v>521</v>
        <stp/>
        <stp>OPEN_INT</stp>
        <stp>.QQQ250512P495</stp>
        <tr r="AT72" s="1"/>
        <tr r="AT72" s="1"/>
      </tp>
      <tp>
        <v>772</v>
        <stp/>
        <stp>OPEN_INT</stp>
        <stp>.QQQ250516P491</stp>
        <tr r="AV76" s="1"/>
        <tr r="AV76" s="1"/>
      </tp>
      <tp>
        <v>8172</v>
        <stp/>
        <stp>OPEN_INT</stp>
        <stp>.QQQ250512C495</stp>
        <tr r="AS72" s="1"/>
        <tr r="AS72" s="1"/>
      </tp>
      <tp>
        <v>1268</v>
        <stp/>
        <stp>OPEN_INT</stp>
        <stp>.QQQ250516C491</stp>
        <tr r="AU76" s="1"/>
        <tr r="AU76" s="1"/>
      </tp>
      <tp>
        <v>162</v>
        <stp/>
        <stp>OPEN_INT</stp>
        <stp>.QQQ250512P496</stp>
        <tr r="AT71" s="1"/>
        <tr r="AT71" s="1"/>
      </tp>
      <tp>
        <v>650</v>
        <stp/>
        <stp>OPEN_INT</stp>
        <stp>.QQQ250516P492</stp>
        <tr r="AV75" s="1"/>
        <tr r="AV75" s="1"/>
      </tp>
      <tp>
        <v>1863</v>
        <stp/>
        <stp>OPEN_INT</stp>
        <stp>.QQQ250512C496</stp>
        <tr r="AS71" s="1"/>
        <tr r="AS71" s="1"/>
      </tp>
      <tp>
        <v>1424</v>
        <stp/>
        <stp>OPEN_INT</stp>
        <stp>.QQQ250516C492</stp>
        <tr r="AU75" s="1"/>
        <tr r="AU75" s="1"/>
      </tp>
      <tp>
        <v>200</v>
        <stp/>
        <stp>OPEN_INT</stp>
        <stp>.QQQ250512P497</stp>
        <tr r="AT70" s="1"/>
        <tr r="AT70" s="1"/>
      </tp>
      <tp>
        <v>279</v>
        <stp/>
        <stp>OPEN_INT</stp>
        <stp>.QQQ250516P493</stp>
        <tr r="AV74" s="1"/>
        <tr r="AV74" s="1"/>
      </tp>
      <tp>
        <v>2626</v>
        <stp/>
        <stp>OPEN_INT</stp>
        <stp>.QQQ250512C497</stp>
        <tr r="AS70" s="1"/>
        <tr r="AS70" s="1"/>
      </tp>
      <tp>
        <v>897</v>
        <stp/>
        <stp>OPEN_INT</stp>
        <stp>.QQQ250516C493</stp>
        <tr r="AU74" s="1"/>
        <tr r="AU74" s="1"/>
      </tp>
      <tp>
        <v>2658</v>
        <stp/>
        <stp>OPEN_INT</stp>
        <stp>.QQQ250512P490</stp>
        <tr r="AT77" s="1"/>
        <tr r="AT77" s="1"/>
      </tp>
      <tp>
        <v>217</v>
        <stp/>
        <stp>OPEN_INT</stp>
        <stp>.QQQ250516P494</stp>
        <tr r="AV73" s="1"/>
        <tr r="AV73" s="1"/>
      </tp>
      <tp>
        <v>3706</v>
        <stp/>
        <stp>OPEN_INT</stp>
        <stp>.QQQ250512C490</stp>
        <tr r="AS77" s="1"/>
        <tr r="AS77" s="1"/>
      </tp>
      <tp>
        <v>750</v>
        <stp/>
        <stp>OPEN_INT</stp>
        <stp>.QQQ250516C494</stp>
        <tr r="AU73" s="1"/>
        <tr r="AU73" s="1"/>
      </tp>
      <tp>
        <v>820</v>
        <stp/>
        <stp>OPEN_INT</stp>
        <stp>.QQQ250512P491</stp>
        <tr r="AT76" s="1"/>
        <tr r="AT76" s="1"/>
      </tp>
      <tp>
        <v>2547</v>
        <stp/>
        <stp>OPEN_INT</stp>
        <stp>.QQQ250516P495</stp>
        <tr r="AV72" s="1"/>
        <tr r="AV72" s="1"/>
      </tp>
      <tp>
        <v>3124</v>
        <stp/>
        <stp>OPEN_INT</stp>
        <stp>.QQQ250512C491</stp>
        <tr r="AS76" s="1"/>
        <tr r="AS76" s="1"/>
      </tp>
      <tp>
        <v>38919</v>
        <stp/>
        <stp>OPEN_INT</stp>
        <stp>.QQQ250516C495</stp>
        <tr r="AU72" s="1"/>
        <tr r="AU72" s="1"/>
      </tp>
      <tp>
        <v>757</v>
        <stp/>
        <stp>OPEN_INT</stp>
        <stp>.QQQ250512P492</stp>
        <tr r="AT75" s="1"/>
        <tr r="AT75" s="1"/>
      </tp>
      <tp>
        <v>50</v>
        <stp/>
        <stp>OPEN_INT</stp>
        <stp>.QQQ250516P496</stp>
        <tr r="AV71" s="1"/>
        <tr r="AV71" s="1"/>
      </tp>
      <tp>
        <v>2982</v>
        <stp/>
        <stp>OPEN_INT</stp>
        <stp>.QQQ250512C492</stp>
        <tr r="AS75" s="1"/>
        <tr r="AS75" s="1"/>
      </tp>
      <tp>
        <v>1252</v>
        <stp/>
        <stp>OPEN_INT</stp>
        <stp>.QQQ250516C496</stp>
        <tr r="AU71" s="1"/>
        <tr r="AU71" s="1"/>
      </tp>
      <tp>
        <v>624</v>
        <stp/>
        <stp>OPEN_INT</stp>
        <stp>.QQQ250512P493</stp>
        <tr r="AT74" s="1"/>
        <tr r="AT74" s="1"/>
      </tp>
      <tp>
        <v>80</v>
        <stp/>
        <stp>OPEN_INT</stp>
        <stp>.QQQ250516P497</stp>
        <tr r="AV70" s="1"/>
        <tr r="AV70" s="1"/>
      </tp>
      <tp>
        <v>7888</v>
        <stp/>
        <stp>OPEN_INT</stp>
        <stp>.QQQ250512C493</stp>
        <tr r="AS74" s="1"/>
        <tr r="AS74" s="1"/>
      </tp>
      <tp>
        <v>831</v>
        <stp/>
        <stp>OPEN_INT</stp>
        <stp>.QQQ250516C497</stp>
        <tr r="AU70" s="1"/>
        <tr r="AU70" s="1"/>
      </tp>
      <tp>
        <v>47</v>
        <stp/>
        <stp>OPEN_INT</stp>
        <stp>.QQQ250516P498</stp>
        <tr r="AV69" s="1"/>
        <tr r="AV69" s="1"/>
      </tp>
      <tp>
        <v>1884</v>
        <stp/>
        <stp>OPEN_INT</stp>
        <stp>.QQQ250516C498</stp>
        <tr r="AU69" s="1"/>
        <tr r="AU69" s="1"/>
      </tp>
      <tp>
        <v>16</v>
        <stp/>
        <stp>OPEN_INT</stp>
        <stp>.QQQ250516P499</stp>
        <tr r="AV68" s="1"/>
        <tr r="AV68" s="1"/>
      </tp>
      <tp>
        <v>453</v>
        <stp/>
        <stp>OPEN_INT</stp>
        <stp>.QQQ250516C499</stp>
        <tr r="AU68" s="1"/>
        <tr r="AU68" s="1"/>
      </tp>
      <tp>
        <v>229</v>
        <stp/>
        <stp>OPEN_INT</stp>
        <stp>.QQQ250512P498</stp>
        <tr r="AT69" s="1"/>
        <tr r="AT69" s="1"/>
      </tp>
      <tp>
        <v>1964</v>
        <stp/>
        <stp>OPEN_INT</stp>
        <stp>.QQQ250512C498</stp>
        <tr r="AS69" s="1"/>
        <tr r="AS69" s="1"/>
      </tp>
      <tp>
        <v>57</v>
        <stp/>
        <stp>OPEN_INT</stp>
        <stp>.QQQ250512P499</stp>
        <tr r="AT68" s="1"/>
        <tr r="AT68" s="1"/>
      </tp>
      <tp>
        <v>6520</v>
        <stp/>
        <stp>OPEN_INT</stp>
        <stp>.QQQ250512C499</stp>
        <tr r="AS68" s="1"/>
        <tr r="AS68" s="1"/>
      </tp>
      <tp>
        <v>1645</v>
        <stp/>
        <stp>OPEN_INT</stp>
        <stp>.QQQ250516P488</stp>
        <tr r="AV79" s="1"/>
        <tr r="AV79" s="1"/>
      </tp>
      <tp>
        <v>2056</v>
        <stp/>
        <stp>OPEN_INT</stp>
        <stp>.QQQ250516C488</stp>
        <tr r="AU79" s="1"/>
        <tr r="AU79" s="1"/>
      </tp>
      <tp>
        <v>660</v>
        <stp/>
        <stp>OPEN_INT</stp>
        <stp>.QQQ250516P489</stp>
        <tr r="AV78" s="1"/>
        <tr r="AV78" s="1"/>
      </tp>
      <tp>
        <v>1389</v>
        <stp/>
        <stp>OPEN_INT</stp>
        <stp>.QQQ250516C489</stp>
        <tr r="AU78" s="1"/>
        <tr r="AU78" s="1"/>
      </tp>
      <tp>
        <v>5677</v>
        <stp/>
        <stp>OPEN_INT</stp>
        <stp>.QQQ250512P488</stp>
        <tr r="AT79" s="1"/>
        <tr r="AT79" s="1"/>
      </tp>
      <tp>
        <v>2877</v>
        <stp/>
        <stp>OPEN_INT</stp>
        <stp>.QQQ250512C488</stp>
        <tr r="AS79" s="1"/>
        <tr r="AS79" s="1"/>
      </tp>
      <tp>
        <v>1098</v>
        <stp/>
        <stp>OPEN_INT</stp>
        <stp>.QQQ250512P489</stp>
        <tr r="AT78" s="1"/>
        <tr r="AT78" s="1"/>
      </tp>
      <tp>
        <v>5518</v>
        <stp/>
        <stp>OPEN_INT</stp>
        <stp>.QQQ250512C489</stp>
        <tr r="AS78" s="1"/>
        <tr r="AS78" s="1"/>
      </tp>
      <tp>
        <v>49</v>
        <stp/>
        <stp>OPEN_INT</stp>
        <stp>.NDX250516P20900</stp>
        <tr r="AV155" s="1"/>
        <tr r="AV155" s="1"/>
      </tp>
      <tp>
        <v>0</v>
        <stp/>
        <stp>OPEN_INT</stp>
        <stp>.NDX250516P20925</stp>
        <tr r="AV154" s="1"/>
        <tr r="AV154" s="1"/>
      </tp>
      <tp>
        <v>0</v>
        <stp/>
        <stp>OPEN_INT</stp>
        <stp>.NDX250516P20950</stp>
        <tr r="AV153" s="1"/>
        <tr r="AV153" s="1"/>
      </tp>
      <tp>
        <v>1</v>
        <stp/>
        <stp>OPEN_INT</stp>
        <stp>.NDX250516P20975</stp>
        <tr r="AV152" s="1"/>
        <tr r="AV152" s="1"/>
      </tp>
      <tp>
        <v>14</v>
        <stp/>
        <stp>OPEN_INT</stp>
        <stp>.NDX250516C20925</stp>
        <tr r="AU154" s="1"/>
        <tr r="AU154" s="1"/>
      </tp>
      <tp>
        <v>80</v>
        <stp/>
        <stp>OPEN_INT</stp>
        <stp>.NDX250516C20900</stp>
        <tr r="AU155" s="1"/>
        <tr r="AU155" s="1"/>
      </tp>
      <tp>
        <v>7</v>
        <stp/>
        <stp>OPEN_INT</stp>
        <stp>.NDX250516C20975</stp>
        <tr r="AU152" s="1"/>
        <tr r="AU152" s="1"/>
      </tp>
      <tp>
        <v>9</v>
        <stp/>
        <stp>OPEN_INT</stp>
        <stp>.NDX250516C20950</stp>
        <tr r="AU153" s="1"/>
        <tr r="AU153" s="1"/>
      </tp>
      <tp t="s">
        <v>N/A</v>
        <stp/>
        <stp>OPEN_INT</stp>
        <stp>.QQQ250620P488</stp>
        <tr r="AX79" s="1"/>
      </tp>
      <tp t="s">
        <v>N/A</v>
        <stp/>
        <stp>OPEN_INT</stp>
        <stp>.QQQ250620C488</stp>
        <tr r="AW79" s="1"/>
      </tp>
      <tp t="s">
        <v>N/A</v>
        <stp/>
        <stp>OPEN_INT</stp>
        <stp>.QQQ250620P489</stp>
        <tr r="AX78" s="1"/>
      </tp>
      <tp t="s">
        <v>N/A</v>
        <stp/>
        <stp>OPEN_INT</stp>
        <stp>.QQQ250620C489</stp>
        <tr r="AW78" s="1"/>
      </tp>
      <tp t="s">
        <v>N/A</v>
        <stp/>
        <stp>OPEN_INT</stp>
        <stp>.QQQ250620P496</stp>
        <tr r="AX71" s="1"/>
      </tp>
      <tp t="s">
        <v>N/A</v>
        <stp/>
        <stp>OPEN_INT</stp>
        <stp>.QQQ250620C496</stp>
        <tr r="AW71" s="1"/>
      </tp>
      <tp t="s">
        <v>N/A</v>
        <stp/>
        <stp>OPEN_INT</stp>
        <stp>.QQQ250620P497</stp>
        <tr r="AX70" s="1"/>
      </tp>
      <tp t="s">
        <v>N/A</v>
        <stp/>
        <stp>OPEN_INT</stp>
        <stp>.QQQ250620C497</stp>
        <tr r="AW70" s="1"/>
      </tp>
      <tp t="s">
        <v>N/A</v>
        <stp/>
        <stp>OPEN_INT</stp>
        <stp>.QQQ250620P494</stp>
        <tr r="AX73" s="1"/>
      </tp>
      <tp t="s">
        <v>N/A</v>
        <stp/>
        <stp>OPEN_INT</stp>
        <stp>.QQQ250620C494</stp>
        <tr r="AW73" s="1"/>
      </tp>
      <tp>
        <v>1690</v>
        <stp/>
        <stp>OPEN_INT</stp>
        <stp>.QQQ250620P495</stp>
        <tr r="AX72" s="1"/>
        <tr r="AX72" s="1"/>
      </tp>
      <tp>
        <v>3883</v>
        <stp/>
        <stp>OPEN_INT</stp>
        <stp>.QQQ250620C495</stp>
        <tr r="AW72" s="1"/>
        <tr r="AW72" s="1"/>
      </tp>
      <tp t="s">
        <v>N/A</v>
        <stp/>
        <stp>OPEN_INT</stp>
        <stp>.QQQ250620P492</stp>
        <tr r="AX75" s="1"/>
      </tp>
      <tp t="s">
        <v>N/A</v>
        <stp/>
        <stp>OPEN_INT</stp>
        <stp>.QQQ250620C492</stp>
        <tr r="AW75" s="1"/>
      </tp>
      <tp t="s">
        <v>N/A</v>
        <stp/>
        <stp>OPEN_INT</stp>
        <stp>.QQQ250620P493</stp>
        <tr r="AX74" s="1"/>
      </tp>
      <tp t="s">
        <v>N/A</v>
        <stp/>
        <stp>OPEN_INT</stp>
        <stp>.QQQ250620C493</stp>
        <tr r="AW74" s="1"/>
      </tp>
      <tp>
        <v>32819</v>
        <stp/>
        <stp>OPEN_INT</stp>
        <stp>.QQQ250620P490</stp>
        <tr r="AX77" s="1"/>
        <tr r="AX77" s="1"/>
      </tp>
      <tp>
        <v>25084</v>
        <stp/>
        <stp>OPEN_INT</stp>
        <stp>.QQQ250620C490</stp>
        <tr r="AW77" s="1"/>
        <tr r="AW77" s="1"/>
      </tp>
      <tp t="s">
        <v>N/A</v>
        <stp/>
        <stp>OPEN_INT</stp>
        <stp>.QQQ250620P491</stp>
        <tr r="AX76" s="1"/>
      </tp>
      <tp t="s">
        <v>N/A</v>
        <stp/>
        <stp>OPEN_INT</stp>
        <stp>.QQQ250620C491</stp>
        <tr r="AW76" s="1"/>
      </tp>
      <tp t="s">
        <v>N/A</v>
        <stp/>
        <stp>OPEN_INT</stp>
        <stp>.QQQ250620P498</stp>
        <tr r="AX69" s="1"/>
      </tp>
      <tp t="s">
        <v>N/A</v>
        <stp/>
        <stp>OPEN_INT</stp>
        <stp>.QQQ250620C498</stp>
        <tr r="AW69" s="1"/>
      </tp>
      <tp t="s">
        <v>N/A</v>
        <stp/>
        <stp>OPEN_INT</stp>
        <stp>.QQQ250620P499</stp>
        <tr r="AX68" s="1"/>
      </tp>
      <tp t="s">
        <v>N/A</v>
        <stp/>
        <stp>OPEN_INT</stp>
        <stp>.QQQ250620C499</stp>
        <tr r="AW68" s="1"/>
      </tp>
      <tp t="s">
        <v>N/A</v>
        <stp/>
        <stp>IMPL_VOL</stp>
        <stp>.SPXW250512C6010</stp>
        <tr r="EL86" s="1"/>
      </tp>
      <tp t="s">
        <v>N/A</v>
        <stp/>
        <stp>IMPL_VOL</stp>
        <stp>.SPXW250512P6010</stp>
        <tr r="EM86" s="1"/>
      </tp>
      <tp t="s">
        <v>118.49%</v>
        <stp/>
        <stp>IMPL_VOL</stp>
        <stp>.SPXW250512C6000</stp>
        <tr r="EL87" s="1"/>
      </tp>
      <tp t="s">
        <v>--</v>
        <stp/>
        <stp>IMPL_VOL</stp>
        <stp>.SPXW250512P6000</stp>
        <tr r="EM87" s="1"/>
      </tp>
      <tp t="s">
        <v>N/A</v>
        <stp/>
        <stp>IMPL_VOL</stp>
        <stp>.SPXW250512C6020</stp>
        <tr r="EL85" s="1"/>
      </tp>
      <tp t="s">
        <v>N/A</v>
        <stp/>
        <stp>IMPL_VOL</stp>
        <stp>.SPXW250512P6020</stp>
        <tr r="EM85" s="1"/>
      </tp>
      <tp>
        <v>39</v>
        <stp/>
        <stp>OPEN_INT</stp>
        <stp>.NDX250516P20800</stp>
        <tr r="AV159" s="1"/>
        <tr r="AV159" s="1"/>
      </tp>
      <tp>
        <v>2</v>
        <stp/>
        <stp>OPEN_INT</stp>
        <stp>.NDX250516P20825</stp>
        <tr r="AV158" s="1"/>
        <tr r="AV158" s="1"/>
      </tp>
      <tp>
        <v>1</v>
        <stp/>
        <stp>OPEN_INT</stp>
        <stp>.NDX250516P20850</stp>
        <tr r="AV157" s="1"/>
        <tr r="AV157" s="1"/>
      </tp>
      <tp>
        <v>0</v>
        <stp/>
        <stp>OPEN_INT</stp>
        <stp>.NDX250516P20875</stp>
        <tr r="AV156" s="1"/>
        <tr r="AV156" s="1"/>
      </tp>
      <tp t="s">
        <v>N/A</v>
        <stp/>
        <stp>OPEN_INT</stp>
        <stp>.QQQ250620P506</stp>
        <tr r="AX61" s="1"/>
      </tp>
      <tp t="s">
        <v>N/A</v>
        <stp/>
        <stp>OPEN_INT</stp>
        <stp>.QQQ250620C506</stp>
        <tr r="AW61" s="1"/>
      </tp>
      <tp t="s">
        <v>N/A</v>
        <stp/>
        <stp>OPEN_INT</stp>
        <stp>.QQQ250620P507</stp>
        <tr r="AX60" s="1"/>
      </tp>
      <tp t="s">
        <v>N/A</v>
        <stp/>
        <stp>OPEN_INT</stp>
        <stp>.QQQ250620C507</stp>
        <tr r="AW60" s="1"/>
      </tp>
      <tp t="s">
        <v>N/A</v>
        <stp/>
        <stp>OPEN_INT</stp>
        <stp>.QQQ250620P504</stp>
        <tr r="AX63" s="1"/>
      </tp>
      <tp t="s">
        <v>N/A</v>
        <stp/>
        <stp>OPEN_INT</stp>
        <stp>.QQQ250620C504</stp>
        <tr r="AW63" s="1"/>
      </tp>
      <tp>
        <v>99</v>
        <stp/>
        <stp>OPEN_INT</stp>
        <stp>.QQQ250620P505</stp>
        <tr r="AX62" s="1"/>
        <tr r="AX62" s="1"/>
      </tp>
      <tp>
        <v>2820</v>
        <stp/>
        <stp>OPEN_INT</stp>
        <stp>.QQQ250620C505</stp>
        <tr r="AW62" s="1"/>
        <tr r="AW62" s="1"/>
      </tp>
      <tp t="s">
        <v>N/A</v>
        <stp/>
        <stp>OPEN_INT</stp>
        <stp>.QQQ250620P502</stp>
        <tr r="AX65" s="1"/>
      </tp>
      <tp t="s">
        <v>N/A</v>
        <stp/>
        <stp>OPEN_INT</stp>
        <stp>.QQQ250620C502</stp>
        <tr r="AW65" s="1"/>
      </tp>
      <tp t="s">
        <v>N/A</v>
        <stp/>
        <stp>OPEN_INT</stp>
        <stp>.QQQ250620P503</stp>
        <tr r="AX64" s="1"/>
      </tp>
      <tp t="s">
        <v>N/A</v>
        <stp/>
        <stp>OPEN_INT</stp>
        <stp>.QQQ250620C503</stp>
        <tr r="AW64" s="1"/>
      </tp>
      <tp>
        <v>33250</v>
        <stp/>
        <stp>OPEN_INT</stp>
        <stp>.QQQ250620P500</stp>
        <tr r="AX67" s="1"/>
        <tr r="AX67" s="1"/>
      </tp>
      <tp>
        <v>68185</v>
        <stp/>
        <stp>OPEN_INT</stp>
        <stp>.QQQ250620C500</stp>
        <tr r="AW67" s="1"/>
        <tr r="AW67" s="1"/>
      </tp>
      <tp t="s">
        <v>N/A</v>
        <stp/>
        <stp>OPEN_INT</stp>
        <stp>.QQQ250620P501</stp>
        <tr r="AX66" s="1"/>
      </tp>
      <tp t="s">
        <v>N/A</v>
        <stp/>
        <stp>OPEN_INT</stp>
        <stp>.QQQ250620C501</stp>
        <tr r="AW66" s="1"/>
      </tp>
      <tp t="s">
        <v>N/A</v>
        <stp/>
        <stp>OPEN_INT</stp>
        <stp>.QQQ250620P508</stp>
        <tr r="AX59" s="1"/>
      </tp>
      <tp t="s">
        <v>N/A</v>
        <stp/>
        <stp>OPEN_INT</stp>
        <stp>.QQQ250620C508</stp>
        <tr r="AW59" s="1"/>
      </tp>
      <tp t="s">
        <v>N/A</v>
        <stp/>
        <stp>OPEN_INT</stp>
        <stp>.QQQ250620P509</stp>
        <tr r="AX58" s="1"/>
      </tp>
      <tp t="s">
        <v>N/A</v>
        <stp/>
        <stp>OPEN_INT</stp>
        <stp>.QQQ250620C509</stp>
        <tr r="AW58" s="1"/>
      </tp>
      <tp t="s">
        <v>N/A</v>
        <stp/>
        <stp>OPEN_INT</stp>
        <stp>.QQQ250620P516</stp>
        <tr r="AX51" s="1"/>
      </tp>
      <tp t="s">
        <v>N/A</v>
        <stp/>
        <stp>OPEN_INT</stp>
        <stp>.QQQ250620C516</stp>
        <tr r="AW51" s="1"/>
      </tp>
      <tp t="s">
        <v>N/A</v>
        <stp/>
        <stp>OPEN_INT</stp>
        <stp>.QQQ250620P517</stp>
        <tr r="AX50" s="1"/>
      </tp>
      <tp t="s">
        <v>N/A</v>
        <stp/>
        <stp>OPEN_INT</stp>
        <stp>.QQQ250620C517</stp>
        <tr r="AW50" s="1"/>
      </tp>
      <tp t="s">
        <v>N/A</v>
        <stp/>
        <stp>OPEN_INT</stp>
        <stp>.QQQ250620P514</stp>
        <tr r="AX53" s="1"/>
      </tp>
      <tp t="s">
        <v>N/A</v>
        <stp/>
        <stp>OPEN_INT</stp>
        <stp>.QQQ250620C514</stp>
        <tr r="AW53" s="1"/>
      </tp>
      <tp>
        <v>8</v>
        <stp/>
        <stp>OPEN_INT</stp>
        <stp>.QQQ250620P515</stp>
        <tr r="AX52" s="1"/>
        <tr r="AX52" s="1"/>
      </tp>
      <tp>
        <v>2038</v>
        <stp/>
        <stp>OPEN_INT</stp>
        <stp>.QQQ250620C515</stp>
        <tr r="AW52" s="1"/>
        <tr r="AW52" s="1"/>
      </tp>
      <tp t="s">
        <v>N/A</v>
        <stp/>
        <stp>OPEN_INT</stp>
        <stp>.QQQ250620P512</stp>
        <tr r="AX55" s="1"/>
      </tp>
      <tp t="s">
        <v>N/A</v>
        <stp/>
        <stp>OPEN_INT</stp>
        <stp>.QQQ250620C512</stp>
        <tr r="AW55" s="1"/>
      </tp>
      <tp t="s">
        <v>N/A</v>
        <stp/>
        <stp>OPEN_INT</stp>
        <stp>.QQQ250620P513</stp>
        <tr r="AX54" s="1"/>
      </tp>
      <tp t="s">
        <v>N/A</v>
        <stp/>
        <stp>OPEN_INT</stp>
        <stp>.QQQ250620C513</stp>
        <tr r="AW54" s="1"/>
      </tp>
      <tp>
        <v>28679</v>
        <stp/>
        <stp>OPEN_INT</stp>
        <stp>.QQQ250620P510</stp>
        <tr r="AX57" s="1"/>
        <tr r="AX57" s="1"/>
      </tp>
      <tp>
        <v>41696</v>
        <stp/>
        <stp>OPEN_INT</stp>
        <stp>.QQQ250620C510</stp>
        <tr r="AW57" s="1"/>
        <tr r="AW57" s="1"/>
      </tp>
      <tp t="s">
        <v>N/A</v>
        <stp/>
        <stp>OPEN_INT</stp>
        <stp>.QQQ250620P511</stp>
        <tr r="AX56" s="1"/>
      </tp>
      <tp t="s">
        <v>N/A</v>
        <stp/>
        <stp>OPEN_INT</stp>
        <stp>.QQQ250620C511</stp>
        <tr r="AW56" s="1"/>
      </tp>
      <tp t="s">
        <v>N/A</v>
        <stp/>
        <stp>OPEN_INT</stp>
        <stp>.QQQ250620P518</stp>
        <tr r="AX49" s="1"/>
      </tp>
      <tp t="s">
        <v>N/A</v>
        <stp/>
        <stp>OPEN_INT</stp>
        <stp>.QQQ250620C518</stp>
        <tr r="AW49" s="1"/>
      </tp>
      <tp t="s">
        <v>N/A</v>
        <stp/>
        <stp>OPEN_INT</stp>
        <stp>.QQQ250620P519</stp>
        <tr r="AX48" s="1"/>
      </tp>
      <tp t="s">
        <v>N/A</v>
        <stp/>
        <stp>OPEN_INT</stp>
        <stp>.QQQ250620C519</stp>
        <tr r="AW48" s="1"/>
      </tp>
      <tp>
        <v>10</v>
        <stp/>
        <stp>OPEN_INT</stp>
        <stp>.NDX250516C20825</stp>
        <tr r="AU158" s="1"/>
        <tr r="AU158" s="1"/>
      </tp>
      <tp t="s">
        <v>N/A</v>
        <stp/>
        <stp>OPEN_INT</stp>
        <stp>.QQQ250620P522</stp>
        <tr r="AX45" s="1"/>
      </tp>
      <tp t="s">
        <v>N/A</v>
        <stp/>
        <stp>OPEN_INT</stp>
        <stp>.QQQ250620C522</stp>
        <tr r="AW45" s="1"/>
      </tp>
      <tp>
        <v>346</v>
        <stp/>
        <stp>OPEN_INT</stp>
        <stp>.QQQ250620P520</stp>
        <tr r="AX47" s="1"/>
        <tr r="AX47" s="1"/>
      </tp>
      <tp>
        <v>8014</v>
        <stp/>
        <stp>OPEN_INT</stp>
        <stp>.QQQ250620C520</stp>
        <tr r="AW47" s="1"/>
        <tr r="AW47" s="1"/>
      </tp>
      <tp t="s">
        <v>N/A</v>
        <stp/>
        <stp>OPEN_INT</stp>
        <stp>.QQQ250620P521</stp>
        <tr r="AX46" s="1"/>
      </tp>
      <tp t="s">
        <v>N/A</v>
        <stp/>
        <stp>OPEN_INT</stp>
        <stp>.QQQ250620C521</stp>
        <tr r="AW46" s="1"/>
      </tp>
      <tp>
        <v>60</v>
        <stp/>
        <stp>OPEN_INT</stp>
        <stp>.NDX250516C20800</stp>
        <tr r="AU159" s="1"/>
        <tr r="AU159" s="1"/>
      </tp>
      <tp>
        <v>17</v>
        <stp/>
        <stp>OPEN_INT</stp>
        <stp>.NDX250516C20875</stp>
        <tr r="AU156" s="1"/>
        <tr r="AU156" s="1"/>
      </tp>
      <tp>
        <v>10</v>
        <stp/>
        <stp>OPEN_INT</stp>
        <stp>.NDX250516C20850</stp>
        <tr r="AU157" s="1"/>
        <tr r="AU157" s="1"/>
      </tp>
      <tp>
        <v>24</v>
        <stp/>
        <stp>OPEN_INT</stp>
        <stp>.NDX250516P20700</stp>
        <tr r="AV163" s="1"/>
        <tr r="AV163" s="1"/>
      </tp>
      <tp>
        <v>128</v>
        <stp/>
        <stp>OPEN_INT</stp>
        <stp>.NDX250620P20100</stp>
        <tr r="AX187" s="1"/>
        <tr r="AX187" s="1"/>
      </tp>
      <tp>
        <v>113</v>
        <stp/>
        <stp>OPEN_INT</stp>
        <stp>.NDX250620P21100</stp>
        <tr r="AX147" s="1"/>
        <tr r="AX147" s="1"/>
      </tp>
      <tp>
        <v>20</v>
        <stp/>
        <stp>OPEN_INT</stp>
        <stp>.NDX250516P20725</stp>
        <tr r="AV162" s="1"/>
        <tr r="AV162" s="1"/>
      </tp>
      <tp>
        <v>125</v>
        <stp/>
        <stp>OPEN_INT</stp>
        <stp>.NDX250620P20125</stp>
        <tr r="AX186" s="1"/>
        <tr r="AX186" s="1"/>
      </tp>
      <tp>
        <v>0</v>
        <stp/>
        <stp>OPEN_INT</stp>
        <stp>.NDX250620P21125</stp>
        <tr r="AX146" s="1"/>
        <tr r="AX146" s="1"/>
      </tp>
      <tp>
        <v>2</v>
        <stp/>
        <stp>OPEN_INT</stp>
        <stp>.NDX250516P20750</stp>
        <tr r="AV161" s="1"/>
        <tr r="AV161" s="1"/>
      </tp>
      <tp>
        <v>20</v>
        <stp/>
        <stp>OPEN_INT</stp>
        <stp>.NDX250620P20150</stp>
        <tr r="AX185" s="1"/>
        <tr r="AX185" s="1"/>
      </tp>
      <tp>
        <v>0</v>
        <stp/>
        <stp>OPEN_INT</stp>
        <stp>.NDX250620P21150</stp>
        <tr r="AX145" s="1"/>
        <tr r="AX145" s="1"/>
      </tp>
      <tp>
        <v>9</v>
        <stp/>
        <stp>OPEN_INT</stp>
        <stp>.NDX250516P20775</stp>
        <tr r="AV160" s="1"/>
        <tr r="AV160" s="1"/>
      </tp>
      <tp>
        <v>18</v>
        <stp/>
        <stp>OPEN_INT</stp>
        <stp>.NDX250620P20175</stp>
        <tr r="AX184" s="1"/>
        <tr r="AX184" s="1"/>
      </tp>
      <tp>
        <v>0</v>
        <stp/>
        <stp>OPEN_INT</stp>
        <stp>.NDX250620P21175</stp>
        <tr r="AX144" s="1"/>
        <tr r="AX144" s="1"/>
      </tp>
      <tp>
        <v>53</v>
        <stp/>
        <stp>OPEN_INT</stp>
        <stp>.NDX250516C20725</stp>
        <tr r="AU162" s="1"/>
        <tr r="AU162" s="1"/>
      </tp>
      <tp>
        <v>118</v>
        <stp/>
        <stp>OPEN_INT</stp>
        <stp>.NDX250620C20125</stp>
        <tr r="AW186" s="1"/>
        <tr r="AW186" s="1"/>
      </tp>
      <tp>
        <v>3</v>
        <stp/>
        <stp>OPEN_INT</stp>
        <stp>.NDX250620C21125</stp>
        <tr r="AW146" s="1"/>
        <tr r="AW146" s="1"/>
      </tp>
      <tp>
        <v>67</v>
        <stp/>
        <stp>OPEN_INT</stp>
        <stp>.NDX250516C20700</stp>
        <tr r="AU163" s="1"/>
        <tr r="AU163" s="1"/>
      </tp>
      <tp>
        <v>134</v>
        <stp/>
        <stp>OPEN_INT</stp>
        <stp>.NDX250620C20100</stp>
        <tr r="AW187" s="1"/>
        <tr r="AW187" s="1"/>
      </tp>
      <tp>
        <v>180</v>
        <stp/>
        <stp>OPEN_INT</stp>
        <stp>.NDX250620C21100</stp>
        <tr r="AW147" s="1"/>
        <tr r="AW147" s="1"/>
      </tp>
      <tp>
        <v>8</v>
        <stp/>
        <stp>OPEN_INT</stp>
        <stp>.NDX250516C20775</stp>
        <tr r="AU160" s="1"/>
        <tr r="AU160" s="1"/>
      </tp>
      <tp>
        <v>20</v>
        <stp/>
        <stp>OPEN_INT</stp>
        <stp>.NDX250620C20175</stp>
        <tr r="AW184" s="1"/>
        <tr r="AW184" s="1"/>
      </tp>
      <tp>
        <v>5</v>
        <stp/>
        <stp>OPEN_INT</stp>
        <stp>.NDX250620C21175</stp>
        <tr r="AW144" s="1"/>
        <tr r="AW144" s="1"/>
      </tp>
      <tp>
        <v>112</v>
        <stp/>
        <stp>OPEN_INT</stp>
        <stp>.NDX250516C20750</stp>
        <tr r="AU161" s="1"/>
        <tr r="AU161" s="1"/>
      </tp>
      <tp>
        <v>19</v>
        <stp/>
        <stp>OPEN_INT</stp>
        <stp>.NDX250620C20150</stp>
        <tr r="AW185" s="1"/>
        <tr r="AW185" s="1"/>
      </tp>
      <tp>
        <v>4</v>
        <stp/>
        <stp>OPEN_INT</stp>
        <stp>.NDX250620C21150</stp>
        <tr r="AW145" s="1"/>
        <tr r="AW145" s="1"/>
      </tp>
      <tp>
        <v>75</v>
        <stp/>
        <stp>OPEN_INT</stp>
        <stp>.NDX250516P20600</stp>
        <tr r="AV167" s="1"/>
        <tr r="AV167" s="1"/>
      </tp>
      <tp>
        <v>251</v>
        <stp/>
        <stp>OPEN_INT</stp>
        <stp>.NDX250620P21000</stp>
        <tr r="AX151" s="1"/>
        <tr r="AX151" s="1"/>
      </tp>
      <tp>
        <v>1</v>
        <stp/>
        <stp>OPEN_INT</stp>
        <stp>.NDX250516P20625</stp>
        <tr r="AV166" s="1"/>
        <tr r="AV166" s="1"/>
      </tp>
      <tp>
        <v>0</v>
        <stp/>
        <stp>OPEN_INT</stp>
        <stp>.NDX250620P21025</stp>
        <tr r="AX150" s="1"/>
        <tr r="AX150" s="1"/>
      </tp>
      <tp>
        <v>2</v>
        <stp/>
        <stp>OPEN_INT</stp>
        <stp>.NDX250516P20650</stp>
        <tr r="AV165" s="1"/>
        <tr r="AV165" s="1"/>
      </tp>
      <tp>
        <v>28</v>
        <stp/>
        <stp>OPEN_INT</stp>
        <stp>.NDX250620P20050</stp>
        <tr r="AX189" s="1"/>
        <tr r="AX189" s="1"/>
      </tp>
      <tp>
        <v>0</v>
        <stp/>
        <stp>OPEN_INT</stp>
        <stp>.NDX250620P21050</stp>
        <tr r="AX149" s="1"/>
        <tr r="AX149" s="1"/>
      </tp>
      <tp>
        <v>1</v>
        <stp/>
        <stp>OPEN_INT</stp>
        <stp>.NDX250516P20675</stp>
        <tr r="AV164" s="1"/>
        <tr r="AV164" s="1"/>
      </tp>
      <tp>
        <v>74</v>
        <stp/>
        <stp>OPEN_INT</stp>
        <stp>.NDX250620P20075</stp>
        <tr r="AX188" s="1"/>
        <tr r="AX188" s="1"/>
      </tp>
      <tp>
        <v>0</v>
        <stp/>
        <stp>OPEN_INT</stp>
        <stp>.NDX250620P21075</stp>
        <tr r="AX148" s="1"/>
        <tr r="AX148" s="1"/>
      </tp>
      <tp>
        <v>14</v>
        <stp/>
        <stp>OPEN_INT</stp>
        <stp>.NDX250516C20625</stp>
        <tr r="AU166" s="1"/>
        <tr r="AU166" s="1"/>
      </tp>
      <tp>
        <v>3</v>
        <stp/>
        <stp>OPEN_INT</stp>
        <stp>.NDX250620C21025</stp>
        <tr r="AW150" s="1"/>
        <tr r="AW150" s="1"/>
      </tp>
      <tp>
        <v>34</v>
        <stp/>
        <stp>OPEN_INT</stp>
        <stp>.NDX250516C20600</stp>
        <tr r="AU167" s="1"/>
        <tr r="AU167" s="1"/>
      </tp>
      <tp>
        <v>540</v>
        <stp/>
        <stp>OPEN_INT</stp>
        <stp>.NDX250620C21000</stp>
        <tr r="AW151" s="1"/>
        <tr r="AW151" s="1"/>
      </tp>
      <tp t="s">
        <v>19.07%</v>
        <stp/>
        <stp>IMPL_VOL</stp>
        <stp>.SPY250620C560</stp>
        <tr r="EP36" s="1"/>
      </tp>
      <tp t="s">
        <v>19.20%</v>
        <stp/>
        <stp>IMPL_VOL</stp>
        <stp>.SPY250620P560</stp>
        <tr r="EQ36" s="1"/>
      </tp>
      <tp t="s">
        <v>18.97%</v>
        <stp/>
        <stp>IMPL_VOL</stp>
        <stp>.SPY250620C561</stp>
        <tr r="EP35" s="1"/>
      </tp>
      <tp t="s">
        <v>19.05%</v>
        <stp/>
        <stp>IMPL_VOL</stp>
        <stp>.SPY250620P561</stp>
        <tr r="EQ35" s="1"/>
      </tp>
      <tp t="s">
        <v>18.86%</v>
        <stp/>
        <stp>IMPL_VOL</stp>
        <stp>.SPY250620C562</stp>
        <tr r="EP34" s="1"/>
      </tp>
      <tp t="s">
        <v>18.91%</v>
        <stp/>
        <stp>IMPL_VOL</stp>
        <stp>.SPY250620P562</stp>
        <tr r="EQ34" s="1"/>
      </tp>
      <tp t="s">
        <v>18.66%</v>
        <stp/>
        <stp>IMPL_VOL</stp>
        <stp>.SPY250620C563</stp>
        <tr r="EP33" s="1"/>
      </tp>
      <tp t="s">
        <v>18.77%</v>
        <stp/>
        <stp>IMPL_VOL</stp>
        <stp>.SPY250620P563</stp>
        <tr r="EQ33" s="1"/>
      </tp>
      <tp t="s">
        <v>18.53%</v>
        <stp/>
        <stp>IMPL_VOL</stp>
        <stp>.SPY250620C564</stp>
        <tr r="EP32" s="1"/>
      </tp>
      <tp t="s">
        <v>18.63%</v>
        <stp/>
        <stp>IMPL_VOL</stp>
        <stp>.SPY250620P564</stp>
        <tr r="EQ32" s="1"/>
      </tp>
      <tp t="s">
        <v>18.32%</v>
        <stp/>
        <stp>IMPL_VOL</stp>
        <stp>.SPY250620C565</stp>
        <tr r="EP31" s="1"/>
      </tp>
      <tp t="s">
        <v>18.48%</v>
        <stp/>
        <stp>IMPL_VOL</stp>
        <stp>.SPY250620P565</stp>
        <tr r="EQ31" s="1"/>
      </tp>
      <tp t="s">
        <v>18.25%</v>
        <stp/>
        <stp>IMPL_VOL</stp>
        <stp>.SPY250620C566</stp>
        <tr r="EP30" s="1"/>
      </tp>
      <tp t="s">
        <v>18.34%</v>
        <stp/>
        <stp>IMPL_VOL</stp>
        <stp>.SPY250620P566</stp>
        <tr r="EQ30" s="1"/>
      </tp>
      <tp t="s">
        <v>18.07%</v>
        <stp/>
        <stp>IMPL_VOL</stp>
        <stp>.SPY250620C567</stp>
        <tr r="EP29" s="1"/>
      </tp>
      <tp t="s">
        <v>18.20%</v>
        <stp/>
        <stp>IMPL_VOL</stp>
        <stp>.SPY250620P567</stp>
        <tr r="EQ29" s="1"/>
      </tp>
      <tp t="s">
        <v>17.88%</v>
        <stp/>
        <stp>IMPL_VOL</stp>
        <stp>.SPY250620C568</stp>
        <tr r="EP28" s="1"/>
      </tp>
      <tp t="s">
        <v>18.06%</v>
        <stp/>
        <stp>IMPL_VOL</stp>
        <stp>.SPY250620P568</stp>
        <tr r="EQ28" s="1"/>
      </tp>
      <tp t="s">
        <v>17.70%</v>
        <stp/>
        <stp>IMPL_VOL</stp>
        <stp>.SPY250620C569</stp>
        <tr r="EP27" s="1"/>
      </tp>
      <tp t="s">
        <v>17.92%</v>
        <stp/>
        <stp>IMPL_VOL</stp>
        <stp>.SPY250620P569</stp>
        <tr r="EQ27" s="1"/>
      </tp>
      <tp>
        <v>45</v>
        <stp/>
        <stp>OPEN_INT</stp>
        <stp>.NDX250516C20675</stp>
        <tr r="AU164" s="1"/>
        <tr r="AU164" s="1"/>
      </tp>
      <tp>
        <v>54</v>
        <stp/>
        <stp>OPEN_INT</stp>
        <stp>.NDX250620C20075</stp>
        <tr r="AW188" s="1"/>
        <tr r="AW188" s="1"/>
      </tp>
      <tp>
        <v>5</v>
        <stp/>
        <stp>OPEN_INT</stp>
        <stp>.NDX250620C21075</stp>
        <tr r="AW148" s="1"/>
        <tr r="AW148" s="1"/>
      </tp>
      <tp t="s">
        <v>17.51%</v>
        <stp/>
        <stp>IMPL_VOL</stp>
        <stp>.SPY250620C570</stp>
        <tr r="EP26" s="1"/>
      </tp>
      <tp t="s">
        <v>17.77%</v>
        <stp/>
        <stp>IMPL_VOL</stp>
        <stp>.SPY250620P570</stp>
        <tr r="EQ26" s="1"/>
      </tp>
      <tp t="s">
        <v>17.42%</v>
        <stp/>
        <stp>IMPL_VOL</stp>
        <stp>.SPY250620C571</stp>
        <tr r="EP25" s="1"/>
      </tp>
      <tp t="s">
        <v>17.63%</v>
        <stp/>
        <stp>IMPL_VOL</stp>
        <stp>.SPY250620P571</stp>
        <tr r="EQ25" s="1"/>
      </tp>
      <tp t="s">
        <v>17.15%</v>
        <stp/>
        <stp>IMPL_VOL</stp>
        <stp>.SPY250620C572</stp>
        <tr r="EP24" s="1"/>
      </tp>
      <tp t="s">
        <v>17.49%</v>
        <stp/>
        <stp>IMPL_VOL</stp>
        <stp>.SPY250620P572</stp>
        <tr r="EQ24" s="1"/>
      </tp>
      <tp t="s">
        <v>17.02%</v>
        <stp/>
        <stp>IMPL_VOL</stp>
        <stp>.SPY250620C573</stp>
        <tr r="EP23" s="1"/>
      </tp>
      <tp t="s">
        <v>17.34%</v>
        <stp/>
        <stp>IMPL_VOL</stp>
        <stp>.SPY250620P573</stp>
        <tr r="EQ23" s="1"/>
      </tp>
      <tp t="s">
        <v>16.85%</v>
        <stp/>
        <stp>IMPL_VOL</stp>
        <stp>.SPY250620C574</stp>
        <tr r="EP22" s="1"/>
      </tp>
      <tp t="s">
        <v>17.21%</v>
        <stp/>
        <stp>IMPL_VOL</stp>
        <stp>.SPY250620P574</stp>
        <tr r="EQ22" s="1"/>
      </tp>
      <tp t="s">
        <v>16.70%</v>
        <stp/>
        <stp>IMPL_VOL</stp>
        <stp>.SPY250620C575</stp>
        <tr r="EP21" s="1"/>
      </tp>
      <tp t="s">
        <v>17.05%</v>
        <stp/>
        <stp>IMPL_VOL</stp>
        <stp>.SPY250620P575</stp>
        <tr r="EQ21" s="1"/>
      </tp>
      <tp t="s">
        <v>16.52%</v>
        <stp/>
        <stp>IMPL_VOL</stp>
        <stp>.SPY250620C576</stp>
        <tr r="EP20" s="1"/>
      </tp>
      <tp t="s">
        <v>16.92%</v>
        <stp/>
        <stp>IMPL_VOL</stp>
        <stp>.SPY250620P576</stp>
        <tr r="EQ20" s="1"/>
      </tp>
      <tp t="s">
        <v>16.38%</v>
        <stp/>
        <stp>IMPL_VOL</stp>
        <stp>.SPY250620C577</stp>
        <tr r="EP19" s="1"/>
      </tp>
      <tp t="s">
        <v>16.79%</v>
        <stp/>
        <stp>IMPL_VOL</stp>
        <stp>.SPY250620P577</stp>
        <tr r="EQ19" s="1"/>
      </tp>
      <tp t="s">
        <v>16.21%</v>
        <stp/>
        <stp>IMPL_VOL</stp>
        <stp>.SPY250620C578</stp>
        <tr r="EP18" s="1"/>
      </tp>
      <tp t="s">
        <v>16.66%</v>
        <stp/>
        <stp>IMPL_VOL</stp>
        <stp>.SPY250620P578</stp>
        <tr r="EQ18" s="1"/>
      </tp>
      <tp t="s">
        <v>16.07%</v>
        <stp/>
        <stp>IMPL_VOL</stp>
        <stp>.SPY250620C579</stp>
        <tr r="EP17" s="1"/>
      </tp>
      <tp t="s">
        <v>16.52%</v>
        <stp/>
        <stp>IMPL_VOL</stp>
        <stp>.SPY250620P579</stp>
        <tr r="EQ17" s="1"/>
      </tp>
      <tp>
        <v>28</v>
        <stp/>
        <stp>OPEN_INT</stp>
        <stp>.NDX250516C20650</stp>
        <tr r="AU165" s="1"/>
        <tr r="AU165" s="1"/>
      </tp>
      <tp>
        <v>138</v>
        <stp/>
        <stp>OPEN_INT</stp>
        <stp>.NDX250620C20050</stp>
        <tr r="AW189" s="1"/>
        <tr r="AW189" s="1"/>
      </tp>
      <tp>
        <v>1</v>
        <stp/>
        <stp>OPEN_INT</stp>
        <stp>.NDX250620C21050</stp>
        <tr r="AW149" s="1"/>
        <tr r="AW149" s="1"/>
      </tp>
      <tp t="s">
        <v>19.52%</v>
        <stp/>
        <stp>IMPL_VOL</stp>
        <stp>.SPY250620C558</stp>
        <tr r="EP38" s="1"/>
      </tp>
      <tp t="s">
        <v>19.48%</v>
        <stp/>
        <stp>IMPL_VOL</stp>
        <stp>.SPY250620P558</stp>
        <tr r="EQ38" s="1"/>
      </tp>
      <tp t="s">
        <v>19.38%</v>
        <stp/>
        <stp>IMPL_VOL</stp>
        <stp>.SPY250620C559</stp>
        <tr r="EP37" s="1"/>
      </tp>
      <tp t="s">
        <v>19.34%</v>
        <stp/>
        <stp>IMPL_VOL</stp>
        <stp>.SPY250620P559</stp>
        <tr r="EQ37" s="1"/>
      </tp>
      <tp t="s">
        <v>15.90%</v>
        <stp/>
        <stp>IMPL_VOL</stp>
        <stp>.SPY250620C580</stp>
        <tr r="EP16" s="1"/>
      </tp>
      <tp t="s">
        <v>16.40%</v>
        <stp/>
        <stp>IMPL_VOL</stp>
        <stp>.SPY250620P580</stp>
        <tr r="EQ16" s="1"/>
      </tp>
      <tp t="s">
        <v>15.78%</v>
        <stp/>
        <stp>IMPL_VOL</stp>
        <stp>.SPY250620C581</stp>
        <tr r="EP15" s="1"/>
      </tp>
      <tp t="s">
        <v>16.26%</v>
        <stp/>
        <stp>IMPL_VOL</stp>
        <stp>.SPY250620P581</stp>
        <tr r="EQ15" s="1"/>
      </tp>
      <tp t="s">
        <v>15.66%</v>
        <stp/>
        <stp>IMPL_VOL</stp>
        <stp>.SPY250620C582</stp>
        <tr r="EP14" s="1"/>
      </tp>
      <tp t="s">
        <v>16.14%</v>
        <stp/>
        <stp>IMPL_VOL</stp>
        <stp>.SPY250620P582</stp>
        <tr r="EQ14" s="1"/>
      </tp>
      <tp t="s">
        <v>15.52%</v>
        <stp/>
        <stp>IMPL_VOL</stp>
        <stp>.SPY250620C583</stp>
        <tr r="EP13" s="1"/>
      </tp>
      <tp t="s">
        <v>16.01%</v>
        <stp/>
        <stp>IMPL_VOL</stp>
        <stp>.SPY250620P583</stp>
        <tr r="EQ13" s="1"/>
      </tp>
      <tp t="s">
        <v>15.42%</v>
        <stp/>
        <stp>IMPL_VOL</stp>
        <stp>.SPY250620C584</stp>
        <tr r="EP12" s="1"/>
      </tp>
      <tp t="s">
        <v>15.89%</v>
        <stp/>
        <stp>IMPL_VOL</stp>
        <stp>.SPY250620P584</stp>
        <tr r="EQ12" s="1"/>
      </tp>
      <tp t="s">
        <v>15.23%</v>
        <stp/>
        <stp>IMPL_VOL</stp>
        <stp>.SPY250620C585</stp>
        <tr r="EP11" s="1"/>
      </tp>
      <tp t="s">
        <v>15.78%</v>
        <stp/>
        <stp>IMPL_VOL</stp>
        <stp>.SPY250620P585</stp>
        <tr r="EQ11" s="1"/>
      </tp>
      <tp t="s">
        <v>15.08%</v>
        <stp/>
        <stp>IMPL_VOL</stp>
        <stp>.SPY250620C586</stp>
        <tr r="EP10" s="1"/>
      </tp>
      <tp t="s">
        <v>15.66%</v>
        <stp/>
        <stp>IMPL_VOL</stp>
        <stp>.SPY250620P586</stp>
        <tr r="EQ10" s="1"/>
      </tp>
      <tp t="s">
        <v>14.95%</v>
        <stp/>
        <stp>IMPL_VOL</stp>
        <stp>.SPY250620C587</stp>
        <tr r="EP9" s="1"/>
      </tp>
      <tp t="s">
        <v>15.62%</v>
        <stp/>
        <stp>IMPL_VOL</stp>
        <stp>.SPY250620P587</stp>
        <tr r="EQ9" s="1"/>
      </tp>
      <tp t="s">
        <v>14.82%</v>
        <stp/>
        <stp>IMPL_VOL</stp>
        <stp>.SPY250620C588</stp>
        <tr r="EP8" s="1"/>
      </tp>
      <tp t="s">
        <v>15.54%</v>
        <stp/>
        <stp>IMPL_VOL</stp>
        <stp>.SPY250620P588</stp>
        <tr r="EQ8" s="1"/>
      </tp>
      <tp t="s">
        <v>14.70%</v>
        <stp/>
        <stp>IMPL_VOL</stp>
        <stp>.SPY250620C589</stp>
        <tr r="EP7" s="1"/>
      </tp>
      <tp t="s">
        <v>15.45%</v>
        <stp/>
        <stp>IMPL_VOL</stp>
        <stp>.SPY250620P589</stp>
        <tr r="EQ7" s="1"/>
      </tp>
      <tp t="s">
        <v>14.57%</v>
        <stp/>
        <stp>IMPL_VOL</stp>
        <stp>.SPY250620C590</stp>
        <tr r="EP6" s="1"/>
      </tp>
      <tp t="s">
        <v>15.33%</v>
        <stp/>
        <stp>IMPL_VOL</stp>
        <stp>.SPY250620P590</stp>
        <tr r="EQ6" s="1"/>
      </tp>
      <tp t="s">
        <v>14.45%</v>
        <stp/>
        <stp>IMPL_VOL</stp>
        <stp>.SPY250620C591</stp>
        <tr r="EP5" s="1"/>
      </tp>
      <tp t="s">
        <v>15.23%</v>
        <stp/>
        <stp>IMPL_VOL</stp>
        <stp>.SPY250620P591</stp>
        <tr r="EQ5" s="1"/>
      </tp>
      <tp t="s">
        <v>14.34%</v>
        <stp/>
        <stp>IMPL_VOL</stp>
        <stp>.SPY250620C592</stp>
        <tr r="EP4" s="1"/>
      </tp>
      <tp t="s">
        <v>15.14%</v>
        <stp/>
        <stp>IMPL_VOL</stp>
        <stp>.SPY250620P592</stp>
        <tr r="EQ4" s="1"/>
      </tp>
      <tp>
        <v>138</v>
        <stp/>
        <stp>OPEN_INT</stp>
        <stp>.NDX250516P20500</stp>
        <tr r="AV171" s="1"/>
        <tr r="AV171" s="1"/>
      </tp>
      <tp>
        <v>152</v>
        <stp/>
        <stp>OPEN_INT</stp>
        <stp>.NDX250620P20300</stp>
        <tr r="AX179" s="1"/>
        <tr r="AX179" s="1"/>
      </tp>
      <tp>
        <v>43</v>
        <stp/>
        <stp>OPEN_INT</stp>
        <stp>.NDX250620P21300</stp>
        <tr r="AX139" s="1"/>
        <tr r="AX139" s="1"/>
      </tp>
      <tp>
        <v>6</v>
        <stp/>
        <stp>OPEN_INT</stp>
        <stp>.NDX250516P20525</stp>
        <tr r="AV170" s="1"/>
        <tr r="AV170" s="1"/>
      </tp>
      <tp>
        <v>37</v>
        <stp/>
        <stp>OPEN_INT</stp>
        <stp>.NDX250620P20325</stp>
        <tr r="AX178" s="1"/>
        <tr r="AX178" s="1"/>
      </tp>
      <tp>
        <v>0</v>
        <stp/>
        <stp>OPEN_INT</stp>
        <stp>.NDX250620P21325</stp>
        <tr r="AX138" s="1"/>
        <tr r="AX138" s="1"/>
      </tp>
      <tp>
        <v>6</v>
        <stp/>
        <stp>OPEN_INT</stp>
        <stp>.NDX250516P20550</stp>
        <tr r="AV169" s="1"/>
        <tr r="AV169" s="1"/>
      </tp>
      <tp>
        <v>65</v>
        <stp/>
        <stp>OPEN_INT</stp>
        <stp>.NDX250620P20350</stp>
        <tr r="AX177" s="1"/>
        <tr r="AX177" s="1"/>
      </tp>
      <tp>
        <v>0</v>
        <stp/>
        <stp>OPEN_INT</stp>
        <stp>.NDX250620P21350</stp>
        <tr r="AX137" s="1"/>
        <tr r="AX137" s="1"/>
      </tp>
      <tp>
        <v>1</v>
        <stp/>
        <stp>OPEN_INT</stp>
        <stp>.NDX250516P20575</stp>
        <tr r="AV168" s="1"/>
        <tr r="AV168" s="1"/>
      </tp>
      <tp>
        <v>18</v>
        <stp/>
        <stp>OPEN_INT</stp>
        <stp>.NDX250620P20375</stp>
        <tr r="AX176" s="1"/>
        <tr r="AX176" s="1"/>
      </tp>
      <tp>
        <v>10</v>
        <stp/>
        <stp>OPEN_INT</stp>
        <stp>.NDX250516C20525</stp>
        <tr r="AU170" s="1"/>
        <tr r="AU170" s="1"/>
      </tp>
      <tp>
        <v>33</v>
        <stp/>
        <stp>OPEN_INT</stp>
        <stp>.NDX250620C20325</stp>
        <tr r="AW178" s="1"/>
        <tr r="AW178" s="1"/>
      </tp>
      <tp>
        <v>1</v>
        <stp/>
        <stp>OPEN_INT</stp>
        <stp>.NDX250620C21325</stp>
        <tr r="AW138" s="1"/>
        <tr r="AW138" s="1"/>
      </tp>
      <tp>
        <v>209</v>
        <stp/>
        <stp>OPEN_INT</stp>
        <stp>.NDX250516C20500</stp>
        <tr r="AU171" s="1"/>
        <tr r="AU171" s="1"/>
      </tp>
      <tp>
        <v>111</v>
        <stp/>
        <stp>OPEN_INT</stp>
        <stp>.NDX250620C20300</stp>
        <tr r="AW179" s="1"/>
        <tr r="AW179" s="1"/>
      </tp>
      <tp>
        <v>46</v>
        <stp/>
        <stp>OPEN_INT</stp>
        <stp>.NDX250620C21300</stp>
        <tr r="AW139" s="1"/>
        <tr r="AW139" s="1"/>
      </tp>
      <tp t="s">
        <v>314.35%</v>
        <stp/>
        <stp>IMPL_VOL</stp>
        <stp>.SPY250512C558</stp>
        <tr r="EL38" s="1"/>
      </tp>
      <tp t="s">
        <v>201.01%</v>
        <stp/>
        <stp>IMPL_VOL</stp>
        <stp>.SPY250512P558</stp>
        <tr r="EM38" s="1"/>
      </tp>
      <tp t="s">
        <v>--</v>
        <stp/>
        <stp>IMPL_VOL</stp>
        <stp>.SPY250512C559</stp>
        <tr r="EL37" s="1"/>
      </tp>
      <tp t="s">
        <v>193.51%</v>
        <stp/>
        <stp>IMPL_VOL</stp>
        <stp>.SPY250512P559</stp>
        <tr r="EM37" s="1"/>
      </tp>
      <tp t="s">
        <v>23.83%</v>
        <stp/>
        <stp>IMPL_VOL</stp>
        <stp>.SPY250516C558</stp>
        <tr r="EN38" s="1"/>
      </tp>
      <tp t="s">
        <v>24.52%</v>
        <stp/>
        <stp>IMPL_VOL</stp>
        <stp>.SPY250516P558</stp>
        <tr r="EO38" s="1"/>
      </tp>
      <tp t="s">
        <v>23.50%</v>
        <stp/>
        <stp>IMPL_VOL</stp>
        <stp>.SPY250516C559</stp>
        <tr r="EN37" s="1"/>
      </tp>
      <tp t="s">
        <v>24.23%</v>
        <stp/>
        <stp>IMPL_VOL</stp>
        <stp>.SPY250516P559</stp>
        <tr r="EO37" s="1"/>
      </tp>
      <tp>
        <v>13</v>
        <stp/>
        <stp>OPEN_INT</stp>
        <stp>.NDX250516C20575</stp>
        <tr r="AU168" s="1"/>
        <tr r="AU168" s="1"/>
      </tp>
      <tp>
        <v>22</v>
        <stp/>
        <stp>OPEN_INT</stp>
        <stp>.NDX250620C20375</stp>
        <tr r="AW176" s="1"/>
        <tr r="AW176" s="1"/>
      </tp>
      <tp t="s">
        <v>--</v>
        <stp/>
        <stp>IMPL_VOL</stp>
        <stp>.SPY250512C572</stp>
        <tr r="EL24" s="1"/>
      </tp>
      <tp t="s">
        <v>19.38%</v>
        <stp/>
        <stp>IMPL_VOL</stp>
        <stp>.SPY250516C576</stp>
        <tr r="EN20" s="1"/>
      </tp>
      <tp t="s">
        <v>94.45%</v>
        <stp/>
        <stp>IMPL_VOL</stp>
        <stp>.SPY250512P572</stp>
        <tr r="EM24" s="1"/>
      </tp>
      <tp t="s">
        <v>19.69%</v>
        <stp/>
        <stp>IMPL_VOL</stp>
        <stp>.SPY250516P576</stp>
        <tr r="EO20" s="1"/>
      </tp>
      <tp t="s">
        <v>--</v>
        <stp/>
        <stp>IMPL_VOL</stp>
        <stp>.SPY250512C573</stp>
        <tr r="EL23" s="1"/>
      </tp>
      <tp t="s">
        <v>19.17%</v>
        <stp/>
        <stp>IMPL_VOL</stp>
        <stp>.SPY250516C577</stp>
        <tr r="EN19" s="1"/>
      </tp>
      <tp t="s">
        <v>86.62%</v>
        <stp/>
        <stp>IMPL_VOL</stp>
        <stp>.SPY250512P573</stp>
        <tr r="EM23" s="1"/>
      </tp>
      <tp t="s">
        <v>19.40%</v>
        <stp/>
        <stp>IMPL_VOL</stp>
        <stp>.SPY250516P577</stp>
        <tr r="EO19" s="1"/>
      </tp>
      <tp t="s">
        <v>--</v>
        <stp/>
        <stp>IMPL_VOL</stp>
        <stp>.SPY250512C570</stp>
        <tr r="EL26" s="1"/>
      </tp>
      <tp t="s">
        <v>19.79%</v>
        <stp/>
        <stp>IMPL_VOL</stp>
        <stp>.SPY250516C574</stp>
        <tr r="EN22" s="1"/>
      </tp>
      <tp t="s">
        <v>109.98%</v>
        <stp/>
        <stp>IMPL_VOL</stp>
        <stp>.SPY250512P570</stp>
        <tr r="EM26" s="1"/>
      </tp>
      <tp t="s">
        <v>20.14%</v>
        <stp/>
        <stp>IMPL_VOL</stp>
        <stp>.SPY250516P574</stp>
        <tr r="EO22" s="1"/>
      </tp>
      <tp t="s">
        <v>--</v>
        <stp/>
        <stp>IMPL_VOL</stp>
        <stp>.SPY250512C571</stp>
        <tr r="EL25" s="1"/>
      </tp>
      <tp t="s">
        <v>19.67%</v>
        <stp/>
        <stp>IMPL_VOL</stp>
        <stp>.SPY250516C575</stp>
        <tr r="EN21" s="1"/>
      </tp>
      <tp t="s">
        <v>102.24%</v>
        <stp/>
        <stp>IMPL_VOL</stp>
        <stp>.SPY250512P571</stp>
        <tr r="EM25" s="1"/>
      </tp>
      <tp t="s">
        <v>19.90%</v>
        <stp/>
        <stp>IMPL_VOL</stp>
        <stp>.SPY250516P575</stp>
        <tr r="EO21" s="1"/>
      </tp>
      <tp t="s">
        <v>--</v>
        <stp/>
        <stp>IMPL_VOL</stp>
        <stp>.SPY250512C576</stp>
        <tr r="EL20" s="1"/>
      </tp>
      <tp t="s">
        <v>20.26%</v>
        <stp/>
        <stp>IMPL_VOL</stp>
        <stp>.SPY250516C572</stp>
        <tr r="EN24" s="1"/>
      </tp>
      <tp t="s">
        <v>71.78%</v>
        <stp/>
        <stp>IMPL_VOL</stp>
        <stp>.SPY250512P576</stp>
        <tr r="EM20" s="1"/>
      </tp>
      <tp t="s">
        <v>20.65%</v>
        <stp/>
        <stp>IMPL_VOL</stp>
        <stp>.SPY250516P572</stp>
        <tr r="EO24" s="1"/>
      </tp>
      <tp t="s">
        <v>--</v>
        <stp/>
        <stp>IMPL_VOL</stp>
        <stp>.SPY250512C577</stp>
        <tr r="EL19" s="1"/>
      </tp>
      <tp t="s">
        <v>19.99%</v>
        <stp/>
        <stp>IMPL_VOL</stp>
        <stp>.SPY250516C573</stp>
        <tr r="EN23" s="1"/>
      </tp>
      <tp t="s">
        <v>54.64%</v>
        <stp/>
        <stp>IMPL_VOL</stp>
        <stp>.SPY250512P577</stp>
        <tr r="EM19" s="1"/>
      </tp>
      <tp t="s">
        <v>20.33%</v>
        <stp/>
        <stp>IMPL_VOL</stp>
        <stp>.SPY250516P573</stp>
        <tr r="EO23" s="1"/>
      </tp>
      <tp t="s">
        <v>--</v>
        <stp/>
        <stp>IMPL_VOL</stp>
        <stp>.SPY250512C574</stp>
        <tr r="EL22" s="1"/>
      </tp>
      <tp t="s">
        <v>20.08%</v>
        <stp/>
        <stp>IMPL_VOL</stp>
        <stp>.SPY250516C570</stp>
        <tr r="EN26" s="1"/>
      </tp>
      <tp t="s">
        <v>78.73%</v>
        <stp/>
        <stp>IMPL_VOL</stp>
        <stp>.SPY250512P574</stp>
        <tr r="EM22" s="1"/>
      </tp>
      <tp t="s">
        <v>21.08%</v>
        <stp/>
        <stp>IMPL_VOL</stp>
        <stp>.SPY250516P570</stp>
        <tr r="EO26" s="1"/>
      </tp>
      <tp t="s">
        <v>--</v>
        <stp/>
        <stp>IMPL_VOL</stp>
        <stp>.SPY250512C575</stp>
        <tr r="EL21" s="1"/>
      </tp>
      <tp t="s">
        <v>20.75%</v>
        <stp/>
        <stp>IMPL_VOL</stp>
        <stp>.SPY250516C571</stp>
        <tr r="EN25" s="1"/>
      </tp>
      <tp t="s">
        <v>70.78%</v>
        <stp/>
        <stp>IMPL_VOL</stp>
        <stp>.SPY250512P575</stp>
        <tr r="EM21" s="1"/>
      </tp>
      <tp t="s">
        <v>20.83%</v>
        <stp/>
        <stp>IMPL_VOL</stp>
        <stp>.SPY250516P571</stp>
        <tr r="EO25" s="1"/>
      </tp>
      <tp t="s">
        <v>--</v>
        <stp/>
        <stp>IMPL_VOL</stp>
        <stp>.SPY250512C578</stp>
        <tr r="EL18" s="1"/>
      </tp>
      <tp t="s">
        <v>53.83%</v>
        <stp/>
        <stp>IMPL_VOL</stp>
        <stp>.SPY250512P578</stp>
        <tr r="EM18" s="1"/>
      </tp>
      <tp t="s">
        <v>--</v>
        <stp/>
        <stp>IMPL_VOL</stp>
        <stp>.SPY250512C579</stp>
        <tr r="EL17" s="1"/>
      </tp>
      <tp t="s">
        <v>38.03%</v>
        <stp/>
        <stp>IMPL_VOL</stp>
        <stp>.SPY250512P579</stp>
        <tr r="EM17" s="1"/>
      </tp>
      <tp t="s">
        <v>19.02%</v>
        <stp/>
        <stp>IMPL_VOL</stp>
        <stp>.SPY250516C578</stp>
        <tr r="EN18" s="1"/>
      </tp>
      <tp t="s">
        <v>19.27%</v>
        <stp/>
        <stp>IMPL_VOL</stp>
        <stp>.SPY250516P578</stp>
        <tr r="EO18" s="1"/>
      </tp>
      <tp t="s">
        <v>18.81%</v>
        <stp/>
        <stp>IMPL_VOL</stp>
        <stp>.SPY250516C579</stp>
        <tr r="EN17" s="1"/>
      </tp>
      <tp t="s">
        <v>19.05%</v>
        <stp/>
        <stp>IMPL_VOL</stp>
        <stp>.SPY250516P579</stp>
        <tr r="EO17" s="1"/>
      </tp>
      <tp>
        <v>16</v>
        <stp/>
        <stp>OPEN_INT</stp>
        <stp>.NDX250516C20550</stp>
        <tr r="AU169" s="1"/>
        <tr r="AU169" s="1"/>
      </tp>
      <tp>
        <v>67</v>
        <stp/>
        <stp>OPEN_INT</stp>
        <stp>.NDX250620C20350</stp>
        <tr r="AW177" s="1"/>
        <tr r="AW177" s="1"/>
      </tp>
      <tp>
        <v>3</v>
        <stp/>
        <stp>OPEN_INT</stp>
        <stp>.NDX250620C21350</stp>
        <tr r="AW137" s="1"/>
        <tr r="AW137" s="1"/>
      </tp>
      <tp t="s">
        <v>--</v>
        <stp/>
        <stp>IMPL_VOL</stp>
        <stp>.SPY250512C562</stp>
        <tr r="EL34" s="1"/>
      </tp>
      <tp t="s">
        <v>21.81%</v>
        <stp/>
        <stp>IMPL_VOL</stp>
        <stp>.SPY250516C566</stp>
        <tr r="EN30" s="1"/>
      </tp>
      <tp t="s">
        <v>170.95%</v>
        <stp/>
        <stp>IMPL_VOL</stp>
        <stp>.SPY250512P562</stp>
        <tr r="EM34" s="1"/>
      </tp>
      <tp t="s">
        <v>22.05%</v>
        <stp/>
        <stp>IMPL_VOL</stp>
        <stp>.SPY250516P566</stp>
        <tr r="EO30" s="1"/>
      </tp>
      <tp t="s">
        <v>--</v>
        <stp/>
        <stp>IMPL_VOL</stp>
        <stp>.SPY250512C563</stp>
        <tr r="EL33" s="1"/>
      </tp>
      <tp t="s">
        <v>21.82%</v>
        <stp/>
        <stp>IMPL_VOL</stp>
        <stp>.SPY250516C567</stp>
        <tr r="EN29" s="1"/>
      </tp>
      <tp t="s">
        <v>163.40%</v>
        <stp/>
        <stp>IMPL_VOL</stp>
        <stp>.SPY250512P563</stp>
        <tr r="EM33" s="1"/>
      </tp>
      <tp t="s">
        <v>21.82%</v>
        <stp/>
        <stp>IMPL_VOL</stp>
        <stp>.SPY250516P567</stp>
        <tr r="EO29" s="1"/>
      </tp>
      <tp t="s">
        <v>--</v>
        <stp/>
        <stp>IMPL_VOL</stp>
        <stp>.SPY250512C560</stp>
        <tr r="EL36" s="1"/>
      </tp>
      <tp t="s">
        <v>22.29%</v>
        <stp/>
        <stp>IMPL_VOL</stp>
        <stp>.SPY250516C564</stp>
        <tr r="EN32" s="1"/>
      </tp>
      <tp t="s">
        <v>186.00%</v>
        <stp/>
        <stp>IMPL_VOL</stp>
        <stp>.SPY250512P560</stp>
        <tr r="EM36" s="1"/>
      </tp>
      <tp t="s">
        <v>22.68%</v>
        <stp/>
        <stp>IMPL_VOL</stp>
        <stp>.SPY250516P564</stp>
        <tr r="EO32" s="1"/>
      </tp>
      <tp t="s">
        <v>--</v>
        <stp/>
        <stp>IMPL_VOL</stp>
        <stp>.SPY250512C561</stp>
        <tr r="EL35" s="1"/>
      </tp>
      <tp t="s">
        <v>22.15%</v>
        <stp/>
        <stp>IMPL_VOL</stp>
        <stp>.SPY250516C565</stp>
        <tr r="EN31" s="1"/>
      </tp>
      <tp t="s">
        <v>178.48%</v>
        <stp/>
        <stp>IMPL_VOL</stp>
        <stp>.SPY250512P561</stp>
        <tr r="EM35" s="1"/>
      </tp>
      <tp t="s">
        <v>22.40%</v>
        <stp/>
        <stp>IMPL_VOL</stp>
        <stp>.SPY250516P565</stp>
        <tr r="EO31" s="1"/>
      </tp>
      <tp t="s">
        <v>--</v>
        <stp/>
        <stp>IMPL_VOL</stp>
        <stp>.SPY250512C566</stp>
        <tr r="EL30" s="1"/>
      </tp>
      <tp t="s">
        <v>22.73%</v>
        <stp/>
        <stp>IMPL_VOL</stp>
        <stp>.SPY250516C562</stp>
        <tr r="EN34" s="1"/>
      </tp>
      <tp t="s">
        <v>140.65%</v>
        <stp/>
        <stp>IMPL_VOL</stp>
        <stp>.SPY250512P566</stp>
        <tr r="EM30" s="1"/>
      </tp>
      <tp t="s">
        <v>23.25%</v>
        <stp/>
        <stp>IMPL_VOL</stp>
        <stp>.SPY250516P562</stp>
        <tr r="EO34" s="1"/>
      </tp>
      <tp t="s">
        <v>--</v>
        <stp/>
        <stp>IMPL_VOL</stp>
        <stp>.SPY250512C567</stp>
        <tr r="EL29" s="1"/>
      </tp>
      <tp t="s">
        <v>22.52%</v>
        <stp/>
        <stp>IMPL_VOL</stp>
        <stp>.SPY250516C563</stp>
        <tr r="EN33" s="1"/>
      </tp>
      <tp t="s">
        <v>133.02%</v>
        <stp/>
        <stp>IMPL_VOL</stp>
        <stp>.SPY250512P567</stp>
        <tr r="EM29" s="1"/>
      </tp>
      <tp t="s">
        <v>22.87%</v>
        <stp/>
        <stp>IMPL_VOL</stp>
        <stp>.SPY250516P563</stp>
        <tr r="EO33" s="1"/>
      </tp>
      <tp t="s">
        <v>--</v>
        <stp/>
        <stp>IMPL_VOL</stp>
        <stp>.SPY250512C564</stp>
        <tr r="EL32" s="1"/>
      </tp>
      <tp t="s">
        <v>23.37%</v>
        <stp/>
        <stp>IMPL_VOL</stp>
        <stp>.SPY250516C560</stp>
        <tr r="EN36" s="1"/>
      </tp>
      <tp t="s">
        <v>155.83%</v>
        <stp/>
        <stp>IMPL_VOL</stp>
        <stp>.SPY250512P564</stp>
        <tr r="EM32" s="1"/>
      </tp>
      <tp t="s">
        <v>23.88%</v>
        <stp/>
        <stp>IMPL_VOL</stp>
        <stp>.SPY250516P560</stp>
        <tr r="EO36" s="1"/>
      </tp>
      <tp t="s">
        <v>--</v>
        <stp/>
        <stp>IMPL_VOL</stp>
        <stp>.SPY250512C565</stp>
        <tr r="EL31" s="1"/>
      </tp>
      <tp t="s">
        <v>23.01%</v>
        <stp/>
        <stp>IMPL_VOL</stp>
        <stp>.SPY250516C561</stp>
        <tr r="EN35" s="1"/>
      </tp>
      <tp t="s">
        <v>148.25%</v>
        <stp/>
        <stp>IMPL_VOL</stp>
        <stp>.SPY250512P565</stp>
        <tr r="EM31" s="1"/>
      </tp>
      <tp t="s">
        <v>23.56%</v>
        <stp/>
        <stp>IMPL_VOL</stp>
        <stp>.SPY250516P561</stp>
        <tr r="EO35" s="1"/>
      </tp>
      <tp t="s">
        <v>--</v>
        <stp/>
        <stp>IMPL_VOL</stp>
        <stp>.SPY250512C568</stp>
        <tr r="EL28" s="1"/>
      </tp>
      <tp t="s">
        <v>125.37%</v>
        <stp/>
        <stp>IMPL_VOL</stp>
        <stp>.SPY250512P568</stp>
        <tr r="EM28" s="1"/>
      </tp>
      <tp t="s">
        <v>--</v>
        <stp/>
        <stp>IMPL_VOL</stp>
        <stp>.SPY250512C569</stp>
        <tr r="EL27" s="1"/>
      </tp>
      <tp t="s">
        <v>117.69%</v>
        <stp/>
        <stp>IMPL_VOL</stp>
        <stp>.SPY250512P569</stp>
        <tr r="EM27" s="1"/>
      </tp>
      <tp t="s">
        <v>21.45%</v>
        <stp/>
        <stp>IMPL_VOL</stp>
        <stp>.SPY250516C568</stp>
        <tr r="EN28" s="1"/>
      </tp>
      <tp t="s">
        <v>21.58%</v>
        <stp/>
        <stp>IMPL_VOL</stp>
        <stp>.SPY250516P568</stp>
        <tr r="EO28" s="1"/>
      </tp>
      <tp t="s">
        <v>20.43%</v>
        <stp/>
        <stp>IMPL_VOL</stp>
        <stp>.SPY250516C569</stp>
        <tr r="EN27" s="1"/>
      </tp>
      <tp t="s">
        <v>21.30%</v>
        <stp/>
        <stp>IMPL_VOL</stp>
        <stp>.SPY250516P569</stp>
        <tr r="EO27" s="1"/>
      </tp>
      <tp t="s">
        <v>78.28%</v>
        <stp/>
        <stp>IMPL_VOL</stp>
        <stp>.SPY250512C592</stp>
        <tr r="EL4" s="1"/>
      </tp>
      <tp t="s">
        <v>134.75%</v>
        <stp/>
        <stp>IMPL_VOL</stp>
        <stp>.SPY250512P592</stp>
        <tr r="EM4" s="1"/>
      </tp>
      <tp t="s">
        <v>62.78%</v>
        <stp/>
        <stp>IMPL_VOL</stp>
        <stp>.SPY250512C590</stp>
        <tr r="EL6" s="1"/>
      </tp>
      <tp t="s">
        <v>110.60%</v>
        <stp/>
        <stp>IMPL_VOL</stp>
        <stp>.SPY250512P590</stp>
        <tr r="EM6" s="1"/>
      </tp>
      <tp t="s">
        <v>70.58%</v>
        <stp/>
        <stp>IMPL_VOL</stp>
        <stp>.SPY250512C591</stp>
        <tr r="EL5" s="1"/>
      </tp>
      <tp t="s">
        <v>122.75%</v>
        <stp/>
        <stp>IMPL_VOL</stp>
        <stp>.SPY250512P591</stp>
        <tr r="EM5" s="1"/>
      </tp>
      <tp t="s">
        <v>16.89%</v>
        <stp/>
        <stp>IMPL_VOL</stp>
        <stp>.SPY250516C592</stp>
        <tr r="EN4" s="1"/>
      </tp>
      <tp t="s">
        <v>17.89%</v>
        <stp/>
        <stp>IMPL_VOL</stp>
        <stp>.SPY250516P592</stp>
        <tr r="EO4" s="1"/>
      </tp>
      <tp t="s">
        <v>17.04%</v>
        <stp/>
        <stp>IMPL_VOL</stp>
        <stp>.SPY250516C590</stp>
        <tr r="EN6" s="1"/>
      </tp>
      <tp t="s">
        <v>18.64%</v>
        <stp/>
        <stp>IMPL_VOL</stp>
        <stp>.SPY250516P590</stp>
        <tr r="EO6" s="1"/>
      </tp>
      <tp t="s">
        <v>16.93%</v>
        <stp/>
        <stp>IMPL_VOL</stp>
        <stp>.SPY250516C591</stp>
        <tr r="EN5" s="1"/>
      </tp>
      <tp t="s">
        <v>17.37%</v>
        <stp/>
        <stp>IMPL_VOL</stp>
        <stp>.SPY250516P591</stp>
        <tr r="EO5" s="1"/>
      </tp>
      <tp t="s">
        <v>--</v>
        <stp/>
        <stp>IMPL_VOL</stp>
        <stp>.SPY250512C582</stp>
        <tr r="EL14" s="1"/>
      </tp>
      <tp t="s">
        <v>17.48%</v>
        <stp/>
        <stp>IMPL_VOL</stp>
        <stp>.SPY250516C586</stp>
        <tr r="EN10" s="1"/>
      </tp>
      <tp t="s">
        <v>16.87%</v>
        <stp/>
        <stp>IMPL_VOL</stp>
        <stp>.SPY250512P582</stp>
        <tr r="EM14" s="1"/>
      </tp>
      <tp t="s">
        <v>17.89%</v>
        <stp/>
        <stp>IMPL_VOL</stp>
        <stp>.SPY250516P586</stp>
        <tr r="EO10" s="1"/>
      </tp>
      <tp t="s">
        <v>6.13%</v>
        <stp/>
        <stp>IMPL_VOL</stp>
        <stp>.SPY250512C583</stp>
        <tr r="EL13" s="1"/>
      </tp>
      <tp t="s">
        <v>17.35%</v>
        <stp/>
        <stp>IMPL_VOL</stp>
        <stp>.SPY250516C587</stp>
        <tr r="EN9" s="1"/>
      </tp>
      <tp t="s">
        <v>15.37%</v>
        <stp/>
        <stp>IMPL_VOL</stp>
        <stp>.SPY250512P583</stp>
        <tr r="EM13" s="1"/>
      </tp>
      <tp t="s">
        <v>17.77%</v>
        <stp/>
        <stp>IMPL_VOL</stp>
        <stp>.SPY250516P587</stp>
        <tr r="EO9" s="1"/>
      </tp>
      <tp t="s">
        <v>--</v>
        <stp/>
        <stp>IMPL_VOL</stp>
        <stp>.SPY250512C580</stp>
        <tr r="EL16" s="1"/>
      </tp>
      <tp t="s">
        <v>17.82%</v>
        <stp/>
        <stp>IMPL_VOL</stp>
        <stp>.SPY250516C584</stp>
        <tr r="EN12" s="1"/>
      </tp>
      <tp t="s">
        <v>34.62%</v>
        <stp/>
        <stp>IMPL_VOL</stp>
        <stp>.SPY250512P580</stp>
        <tr r="EM16" s="1"/>
      </tp>
      <tp t="s">
        <v>18.21%</v>
        <stp/>
        <stp>IMPL_VOL</stp>
        <stp>.SPY250516P584</stp>
        <tr r="EO12" s="1"/>
      </tp>
      <tp t="s">
        <v>44.05%</v>
        <stp/>
        <stp>IMPL_VOL</stp>
        <stp>.SPY250512C581</stp>
        <tr r="EL15" s="1"/>
      </tp>
      <tp t="s">
        <v>17.62%</v>
        <stp/>
        <stp>IMPL_VOL</stp>
        <stp>.SPY250516C585</stp>
        <tr r="EN11" s="1"/>
      </tp>
      <tp t="s">
        <v>22.90%</v>
        <stp/>
        <stp>IMPL_VOL</stp>
        <stp>.SPY250512P581</stp>
        <tr r="EM15" s="1"/>
      </tp>
      <tp t="s">
        <v>18.06%</v>
        <stp/>
        <stp>IMPL_VOL</stp>
        <stp>.SPY250516P585</stp>
        <tr r="EO11" s="1"/>
      </tp>
      <tp t="s">
        <v>30.14%</v>
        <stp/>
        <stp>IMPL_VOL</stp>
        <stp>.SPY250512C586</stp>
        <tr r="EL10" s="1"/>
      </tp>
      <tp t="s">
        <v>18.18%</v>
        <stp/>
        <stp>IMPL_VOL</stp>
        <stp>.SPY250516C582</stp>
        <tr r="EN14" s="1"/>
      </tp>
      <tp t="s">
        <v>57.04%</v>
        <stp/>
        <stp>IMPL_VOL</stp>
        <stp>.SPY250512P586</stp>
        <tr r="EM10" s="1"/>
      </tp>
      <tp t="s">
        <v>18.51%</v>
        <stp/>
        <stp>IMPL_VOL</stp>
        <stp>.SPY250516P582</stp>
        <tr r="EO14" s="1"/>
      </tp>
      <tp t="s">
        <v>38.59%</v>
        <stp/>
        <stp>IMPL_VOL</stp>
        <stp>.SPY250512C587</stp>
        <tr r="EL9" s="1"/>
      </tp>
      <tp t="s">
        <v>18.00%</v>
        <stp/>
        <stp>IMPL_VOL</stp>
        <stp>.SPY250516C583</stp>
        <tr r="EN13" s="1"/>
      </tp>
      <tp t="s">
        <v>72.14%</v>
        <stp/>
        <stp>IMPL_VOL</stp>
        <stp>.SPY250512P587</stp>
        <tr r="EM9" s="1"/>
      </tp>
      <tp t="s">
        <v>18.28%</v>
        <stp/>
        <stp>IMPL_VOL</stp>
        <stp>.SPY250516P583</stp>
        <tr r="EO13" s="1"/>
      </tp>
      <tp t="s">
        <v>12.12%</v>
        <stp/>
        <stp>IMPL_VOL</stp>
        <stp>.SPY250512C584</stp>
        <tr r="EL12" s="1"/>
      </tp>
      <tp t="s">
        <v>18.62%</v>
        <stp/>
        <stp>IMPL_VOL</stp>
        <stp>.SPY250516C580</stp>
        <tr r="EN16" s="1"/>
      </tp>
      <tp t="s">
        <v>--</v>
        <stp/>
        <stp>IMPL_VOL</stp>
        <stp>.SPY250512P584</stp>
        <tr r="EM12" s="1"/>
      </tp>
      <tp t="s">
        <v>18.84%</v>
        <stp/>
        <stp>IMPL_VOL</stp>
        <stp>.SPY250516P580</stp>
        <tr r="EO16" s="1"/>
      </tp>
      <tp t="s">
        <v>21.40%</v>
        <stp/>
        <stp>IMPL_VOL</stp>
        <stp>.SPY250512C585</stp>
        <tr r="EL11" s="1"/>
      </tp>
      <tp t="s">
        <v>18.41%</v>
        <stp/>
        <stp>IMPL_VOL</stp>
        <stp>.SPY250516C581</stp>
        <tr r="EN15" s="1"/>
      </tp>
      <tp t="s">
        <v>--</v>
        <stp/>
        <stp>IMPL_VOL</stp>
        <stp>.SPY250512P585</stp>
        <tr r="EM11" s="1"/>
      </tp>
      <tp t="s">
        <v>18.68%</v>
        <stp/>
        <stp>IMPL_VOL</stp>
        <stp>.SPY250516P581</stp>
        <tr r="EO15" s="1"/>
      </tp>
      <tp t="s">
        <v>46.81%</v>
        <stp/>
        <stp>IMPL_VOL</stp>
        <stp>.SPY250512C588</stp>
        <tr r="EL8" s="1"/>
      </tp>
      <tp t="s">
        <v>85.66%</v>
        <stp/>
        <stp>IMPL_VOL</stp>
        <stp>.SPY250512P588</stp>
        <tr r="EM8" s="1"/>
      </tp>
      <tp t="s">
        <v>54.86%</v>
        <stp/>
        <stp>IMPL_VOL</stp>
        <stp>.SPY250512C589</stp>
        <tr r="EL7" s="1"/>
      </tp>
      <tp t="s">
        <v>98.26%</v>
        <stp/>
        <stp>IMPL_VOL</stp>
        <stp>.SPY250512P589</stp>
        <tr r="EM7" s="1"/>
      </tp>
      <tp t="s">
        <v>17.22%</v>
        <stp/>
        <stp>IMPL_VOL</stp>
        <stp>.SPY250516C588</stp>
        <tr r="EN8" s="1"/>
      </tp>
      <tp t="s">
        <v>17.15%</v>
        <stp/>
        <stp>IMPL_VOL</stp>
        <stp>.SPY250516P588</stp>
        <tr r="EO8" s="1"/>
      </tp>
      <tp t="s">
        <v>17.12%</v>
        <stp/>
        <stp>IMPL_VOL</stp>
        <stp>.SPY250516C589</stp>
        <tr r="EN7" s="1"/>
      </tp>
      <tp t="s">
        <v>17.53%</v>
        <stp/>
        <stp>IMPL_VOL</stp>
        <stp>.SPY250516P589</stp>
        <tr r="EO7" s="1"/>
      </tp>
      <tp>
        <v>0.06</v>
        <stp/>
        <stp>BID</stp>
        <stp>.QQQ250512C508</stp>
        <tr r="DE59" s="1"/>
        <tr r="DE59" s="1"/>
      </tp>
      <tp>
        <v>0.48</v>
        <stp/>
        <stp>BID</stp>
        <stp>.QQQ250512P508</stp>
        <tr r="DF59" s="1"/>
        <tr r="DF59" s="1"/>
      </tp>
      <tp>
        <v>0</v>
        <stp/>
        <stp>BID</stp>
        <stp>.QQQ250512C509</stp>
        <tr r="DE58" s="1"/>
        <tr r="DE58" s="1"/>
      </tp>
      <tp>
        <v>1.31</v>
        <stp/>
        <stp>BID</stp>
        <stp>.QQQ250512P509</stp>
        <tr r="DF58" s="1"/>
        <tr r="DF58" s="1"/>
      </tp>
      <tp>
        <v>7.48</v>
        <stp/>
        <stp>BID</stp>
        <stp>.QQQ250512C500</stp>
        <tr r="DE67" s="1"/>
        <tr r="DE67" s="1"/>
      </tp>
      <tp>
        <v>0</v>
        <stp/>
        <stp>BID</stp>
        <stp>.QQQ250512P500</stp>
        <tr r="DF67" s="1"/>
        <tr r="DF67" s="1"/>
      </tp>
      <tp>
        <v>6.42</v>
        <stp/>
        <stp>BID</stp>
        <stp>.QQQ250512C501</stp>
        <tr r="DE66" s="1"/>
        <tr r="DE66" s="1"/>
      </tp>
      <tp>
        <v>0</v>
        <stp/>
        <stp>BID</stp>
        <stp>.QQQ250512P501</stp>
        <tr r="DF66" s="1"/>
        <tr r="DF66" s="1"/>
      </tp>
      <tp>
        <v>5.42</v>
        <stp/>
        <stp>BID</stp>
        <stp>.QQQ250512C502</stp>
        <tr r="DE65" s="1"/>
        <tr r="DE65" s="1"/>
      </tp>
      <tp>
        <v>0</v>
        <stp/>
        <stp>BID</stp>
        <stp>.QQQ250512P502</stp>
        <tr r="DF65" s="1"/>
        <tr r="DF65" s="1"/>
      </tp>
      <tp>
        <v>4.3899999999999997</v>
        <stp/>
        <stp>BID</stp>
        <stp>.QQQ250512C503</stp>
        <tr r="DE64" s="1"/>
        <tr r="DE64" s="1"/>
      </tp>
      <tp>
        <v>0.01</v>
        <stp/>
        <stp>BID</stp>
        <stp>.QQQ250512P503</stp>
        <tr r="DF64" s="1"/>
        <tr r="DF64" s="1"/>
      </tp>
      <tp>
        <v>3.39</v>
        <stp/>
        <stp>BID</stp>
        <stp>.QQQ250512C504</stp>
        <tr r="DE63" s="1"/>
        <tr r="DE63" s="1"/>
      </tp>
      <tp>
        <v>0</v>
        <stp/>
        <stp>BID</stp>
        <stp>.QQQ250512P504</stp>
        <tr r="DF63" s="1"/>
        <tr r="DF63" s="1"/>
      </tp>
      <tp>
        <v>1.75</v>
        <stp/>
        <stp>BID</stp>
        <stp>.QQQ250512C505</stp>
        <tr r="DE62" s="1"/>
        <tr r="DE62" s="1"/>
      </tp>
      <tp>
        <v>0.01</v>
        <stp/>
        <stp>BID</stp>
        <stp>.QQQ250512P505</stp>
        <tr r="DF62" s="1"/>
        <tr r="DF62" s="1"/>
      </tp>
      <tp>
        <v>1.5</v>
        <stp/>
        <stp>BID</stp>
        <stp>.QQQ250512C506</stp>
        <tr r="DE61" s="1"/>
        <tr r="DE61" s="1"/>
      </tp>
      <tp>
        <v>0.01</v>
        <stp/>
        <stp>BID</stp>
        <stp>.QQQ250512P506</stp>
        <tr r="DF61" s="1"/>
        <tr r="DF61" s="1"/>
      </tp>
      <tp>
        <v>0.6</v>
        <stp/>
        <stp>BID</stp>
        <stp>.QQQ250512C507</stp>
        <tr r="DE60" s="1"/>
        <tr r="DE60" s="1"/>
      </tp>
      <tp>
        <v>0.06</v>
        <stp/>
        <stp>BID</stp>
        <stp>.QQQ250512P507</stp>
        <tr r="DF60" s="1"/>
        <tr r="DF60" s="1"/>
      </tp>
      <tp>
        <v>0.01</v>
        <stp/>
        <stp>ASK</stp>
        <stp>.QQQ250512C522</stp>
        <tr r="DC45" s="1"/>
        <tr r="DC45" s="1"/>
      </tp>
      <tp>
        <v>14.6</v>
        <stp/>
        <stp>ASK</stp>
        <stp>.QQQ250512P522</stp>
        <tr r="DD45" s="1"/>
        <tr r="DD45" s="1"/>
      </tp>
      <tp>
        <v>0.01</v>
        <stp/>
        <stp>ASK</stp>
        <stp>.QQQ250512C520</stp>
        <tr r="DC47" s="1"/>
        <tr r="DC47" s="1"/>
      </tp>
      <tp>
        <v>12.61</v>
        <stp/>
        <stp>ASK</stp>
        <stp>.QQQ250512P520</stp>
        <tr r="DD47" s="1"/>
        <tr r="DD47" s="1"/>
      </tp>
      <tp>
        <v>0.01</v>
        <stp/>
        <stp>ASK</stp>
        <stp>.QQQ250512C521</stp>
        <tr r="DC46" s="1"/>
        <tr r="DC46" s="1"/>
      </tp>
      <tp>
        <v>13.6</v>
        <stp/>
        <stp>ASK</stp>
        <stp>.QQQ250512P521</stp>
        <tr r="DD46" s="1"/>
        <tr r="DD46" s="1"/>
      </tp>
      <tp>
        <v>0</v>
        <stp/>
        <stp>BID</stp>
        <stp>.QQQ250512C518</stp>
        <tr r="DE49" s="1"/>
        <tr r="DE49" s="1"/>
      </tp>
      <tp>
        <v>10.31</v>
        <stp/>
        <stp>BID</stp>
        <stp>.QQQ250512P518</stp>
        <tr r="DF49" s="1"/>
        <tr r="DF49" s="1"/>
      </tp>
      <tp>
        <v>0</v>
        <stp/>
        <stp>BID</stp>
        <stp>.QQQ250512C519</stp>
        <tr r="DE48" s="1"/>
        <tr r="DE48" s="1"/>
      </tp>
      <tp>
        <v>11.31</v>
        <stp/>
        <stp>BID</stp>
        <stp>.QQQ250512P519</stp>
        <tr r="DF48" s="1"/>
        <tr r="DF48" s="1"/>
      </tp>
      <tp>
        <v>0</v>
        <stp/>
        <stp>BID</stp>
        <stp>.QQQ250512C510</stp>
        <tr r="DE57" s="1"/>
        <tr r="DE57" s="1"/>
      </tp>
      <tp>
        <v>2.31</v>
        <stp/>
        <stp>BID</stp>
        <stp>.QQQ250512P510</stp>
        <tr r="DF57" s="1"/>
        <tr r="DF57" s="1"/>
      </tp>
      <tp>
        <v>0</v>
        <stp/>
        <stp>BID</stp>
        <stp>.QQQ250512C511</stp>
        <tr r="DE56" s="1"/>
        <tr r="DE56" s="1"/>
      </tp>
      <tp>
        <v>3.3</v>
        <stp/>
        <stp>BID</stp>
        <stp>.QQQ250512P511</stp>
        <tr r="DF56" s="1"/>
        <tr r="DF56" s="1"/>
      </tp>
      <tp>
        <v>0</v>
        <stp/>
        <stp>BID</stp>
        <stp>.QQQ250512C512</stp>
        <tr r="DE55" s="1"/>
        <tr r="DE55" s="1"/>
      </tp>
      <tp>
        <v>4.3099999999999996</v>
        <stp/>
        <stp>BID</stp>
        <stp>.QQQ250512P512</stp>
        <tr r="DF55" s="1"/>
        <tr r="DF55" s="1"/>
      </tp>
      <tp>
        <v>0</v>
        <stp/>
        <stp>BID</stp>
        <stp>.QQQ250512C513</stp>
        <tr r="DE54" s="1"/>
        <tr r="DE54" s="1"/>
      </tp>
      <tp>
        <v>5.31</v>
        <stp/>
        <stp>BID</stp>
        <stp>.QQQ250512P513</stp>
        <tr r="DF54" s="1"/>
        <tr r="DF54" s="1"/>
      </tp>
      <tp>
        <v>0</v>
        <stp/>
        <stp>BID</stp>
        <stp>.QQQ250512C514</stp>
        <tr r="DE53" s="1"/>
        <tr r="DE53" s="1"/>
      </tp>
      <tp>
        <v>6.3</v>
        <stp/>
        <stp>BID</stp>
        <stp>.QQQ250512P514</stp>
        <tr r="DF53" s="1"/>
        <tr r="DF53" s="1"/>
      </tp>
      <tp>
        <v>0</v>
        <stp/>
        <stp>BID</stp>
        <stp>.QQQ250512C515</stp>
        <tr r="DE52" s="1"/>
        <tr r="DE52" s="1"/>
      </tp>
      <tp>
        <v>7.31</v>
        <stp/>
        <stp>BID</stp>
        <stp>.QQQ250512P515</stp>
        <tr r="DF52" s="1"/>
        <tr r="DF52" s="1"/>
      </tp>
      <tp>
        <v>0</v>
        <stp/>
        <stp>BID</stp>
        <stp>.QQQ250512C516</stp>
        <tr r="DE51" s="1"/>
        <tr r="DE51" s="1"/>
      </tp>
      <tp>
        <v>8.3000000000000007</v>
        <stp/>
        <stp>BID</stp>
        <stp>.QQQ250512P516</stp>
        <tr r="DF51" s="1"/>
        <tr r="DF51" s="1"/>
      </tp>
      <tp>
        <v>0</v>
        <stp/>
        <stp>BID</stp>
        <stp>.QQQ250512C517</stp>
        <tr r="DE50" s="1"/>
        <tr r="DE50" s="1"/>
      </tp>
      <tp>
        <v>9.3000000000000007</v>
        <stp/>
        <stp>BID</stp>
        <stp>.QQQ250512P517</stp>
        <tr r="DF50" s="1"/>
        <tr r="DF50" s="1"/>
      </tp>
      <tp>
        <v>0.01</v>
        <stp/>
        <stp>ASK</stp>
        <stp>.QQQ250512C512</stp>
        <tr r="DC55" s="1"/>
        <tr r="DC55" s="1"/>
      </tp>
      <tp>
        <v>4.59</v>
        <stp/>
        <stp>ASK</stp>
        <stp>.QQQ250512P512</stp>
        <tr r="DD55" s="1"/>
        <tr r="DD55" s="1"/>
      </tp>
      <tp>
        <v>0.01</v>
        <stp/>
        <stp>ASK</stp>
        <stp>.QQQ250512C513</stp>
        <tr r="DC54" s="1"/>
        <tr r="DC54" s="1"/>
      </tp>
      <tp>
        <v>5.59</v>
        <stp/>
        <stp>ASK</stp>
        <stp>.QQQ250512P513</stp>
        <tr r="DD54" s="1"/>
        <tr r="DD54" s="1"/>
      </tp>
      <tp>
        <v>0.01</v>
        <stp/>
        <stp>ASK</stp>
        <stp>.QQQ250512C510</stp>
        <tr r="DC57" s="1"/>
        <tr r="DC57" s="1"/>
      </tp>
      <tp>
        <v>2.6</v>
        <stp/>
        <stp>ASK</stp>
        <stp>.QQQ250512P510</stp>
        <tr r="DD57" s="1"/>
        <tr r="DD57" s="1"/>
      </tp>
      <tp>
        <v>0.01</v>
        <stp/>
        <stp>ASK</stp>
        <stp>.QQQ250512C511</stp>
        <tr r="DC56" s="1"/>
        <tr r="DC56" s="1"/>
      </tp>
      <tp>
        <v>3.59</v>
        <stp/>
        <stp>ASK</stp>
        <stp>.QQQ250512P511</stp>
        <tr r="DD56" s="1"/>
        <tr r="DD56" s="1"/>
      </tp>
      <tp>
        <v>0.01</v>
        <stp/>
        <stp>ASK</stp>
        <stp>.QQQ250512C516</stp>
        <tr r="DC51" s="1"/>
        <tr r="DC51" s="1"/>
      </tp>
      <tp>
        <v>8.61</v>
        <stp/>
        <stp>ASK</stp>
        <stp>.QQQ250512P516</stp>
        <tr r="DD51" s="1"/>
        <tr r="DD51" s="1"/>
      </tp>
      <tp>
        <v>0.01</v>
        <stp/>
        <stp>ASK</stp>
        <stp>.QQQ250512C517</stp>
        <tr r="DC50" s="1"/>
        <tr r="DC50" s="1"/>
      </tp>
      <tp>
        <v>9.61</v>
        <stp/>
        <stp>ASK</stp>
        <stp>.QQQ250512P517</stp>
        <tr r="DD50" s="1"/>
        <tr r="DD50" s="1"/>
      </tp>
      <tp>
        <v>0.01</v>
        <stp/>
        <stp>ASK</stp>
        <stp>.QQQ250512C514</stp>
        <tr r="DC53" s="1"/>
        <tr r="DC53" s="1"/>
      </tp>
      <tp>
        <v>6.59</v>
        <stp/>
        <stp>ASK</stp>
        <stp>.QQQ250512P514</stp>
        <tr r="DD53" s="1"/>
        <tr r="DD53" s="1"/>
      </tp>
      <tp>
        <v>0.01</v>
        <stp/>
        <stp>ASK</stp>
        <stp>.QQQ250512C515</stp>
        <tr r="DC52" s="1"/>
        <tr r="DC52" s="1"/>
      </tp>
      <tp>
        <v>7.61</v>
        <stp/>
        <stp>ASK</stp>
        <stp>.QQQ250512P515</stp>
        <tr r="DD52" s="1"/>
        <tr r="DD52" s="1"/>
      </tp>
      <tp>
        <v>0.01</v>
        <stp/>
        <stp>ASK</stp>
        <stp>.QQQ250512C518</stp>
        <tr r="DC49" s="1"/>
        <tr r="DC49" s="1"/>
      </tp>
      <tp>
        <v>10.61</v>
        <stp/>
        <stp>ASK</stp>
        <stp>.QQQ250512P518</stp>
        <tr r="DD49" s="1"/>
        <tr r="DD49" s="1"/>
      </tp>
      <tp>
        <v>0.01</v>
        <stp/>
        <stp>ASK</stp>
        <stp>.QQQ250512C519</stp>
        <tr r="DC48" s="1"/>
        <tr r="DC48" s="1"/>
      </tp>
      <tp>
        <v>11.6</v>
        <stp/>
        <stp>ASK</stp>
        <stp>.QQQ250512P519</stp>
        <tr r="DD48" s="1"/>
        <tr r="DD48" s="1"/>
      </tp>
      <tp>
        <v>0</v>
        <stp/>
        <stp>BID</stp>
        <stp>.QQQ250512C520</stp>
        <tr r="DE47" s="1"/>
        <tr r="DE47" s="1"/>
      </tp>
      <tp>
        <v>12.31</v>
        <stp/>
        <stp>BID</stp>
        <stp>.QQQ250512P520</stp>
        <tr r="DF47" s="1"/>
        <tr r="DF47" s="1"/>
      </tp>
      <tp>
        <v>0</v>
        <stp/>
        <stp>BID</stp>
        <stp>.QQQ250512C521</stp>
        <tr r="DE46" s="1"/>
        <tr r="DE46" s="1"/>
      </tp>
      <tp>
        <v>13.31</v>
        <stp/>
        <stp>BID</stp>
        <stp>.QQQ250512P521</stp>
        <tr r="DF46" s="1"/>
        <tr r="DF46" s="1"/>
      </tp>
      <tp>
        <v>0</v>
        <stp/>
        <stp>BID</stp>
        <stp>.QQQ250512C522</stp>
        <tr r="DE45" s="1"/>
        <tr r="DE45" s="1"/>
      </tp>
      <tp>
        <v>14.31</v>
        <stp/>
        <stp>BID</stp>
        <stp>.QQQ250512P522</stp>
        <tr r="DF45" s="1"/>
        <tr r="DF45" s="1"/>
      </tp>
      <tp>
        <v>5.74</v>
        <stp/>
        <stp>ASK</stp>
        <stp>.QQQ250512C502</stp>
        <tr r="DC65" s="1"/>
        <tr r="DC65" s="1"/>
      </tp>
      <tp>
        <v>0.01</v>
        <stp/>
        <stp>ASK</stp>
        <stp>.QQQ250512P502</stp>
        <tr r="DD65" s="1"/>
        <tr r="DD65" s="1"/>
      </tp>
      <tp>
        <v>6.88</v>
        <stp/>
        <stp>ASK</stp>
        <stp>.QQQ250512C503</stp>
        <tr r="DC64" s="1"/>
        <tr r="DC64" s="1"/>
      </tp>
      <tp>
        <v>0.02</v>
        <stp/>
        <stp>ASK</stp>
        <stp>.QQQ250512P503</stp>
        <tr r="DD64" s="1"/>
        <tr r="DD64" s="1"/>
      </tp>
      <tp>
        <v>7.7</v>
        <stp/>
        <stp>ASK</stp>
        <stp>.QQQ250512C500</stp>
        <tr r="DC67" s="1"/>
        <tr r="DC67" s="1"/>
      </tp>
      <tp>
        <v>0.01</v>
        <stp/>
        <stp>ASK</stp>
        <stp>.QQQ250512P500</stp>
        <tr r="DD67" s="1"/>
        <tr r="DD67" s="1"/>
      </tp>
      <tp>
        <v>6.72</v>
        <stp/>
        <stp>ASK</stp>
        <stp>.QQQ250512C501</stp>
        <tr r="DC66" s="1"/>
        <tr r="DC66" s="1"/>
      </tp>
      <tp>
        <v>0.01</v>
        <stp/>
        <stp>ASK</stp>
        <stp>.QQQ250512P501</stp>
        <tr r="DD66" s="1"/>
        <tr r="DD66" s="1"/>
      </tp>
      <tp>
        <v>1.69</v>
        <stp/>
        <stp>ASK</stp>
        <stp>.QQQ250512C506</stp>
        <tr r="DC61" s="1"/>
        <tr r="DC61" s="1"/>
      </tp>
      <tp>
        <v>0.02</v>
        <stp/>
        <stp>ASK</stp>
        <stp>.QQQ250512P506</stp>
        <tr r="DD61" s="1"/>
        <tr r="DD61" s="1"/>
      </tp>
      <tp>
        <v>0.68</v>
        <stp/>
        <stp>ASK</stp>
        <stp>.QQQ250512C507</stp>
        <tr r="DC60" s="1"/>
        <tr r="DC60" s="1"/>
      </tp>
      <tp>
        <v>7.0000000000000007E-2</v>
        <stp/>
        <stp>ASK</stp>
        <stp>.QQQ250512P507</stp>
        <tr r="DD60" s="1"/>
        <tr r="DD60" s="1"/>
      </tp>
      <tp>
        <v>5</v>
        <stp/>
        <stp>ASK</stp>
        <stp>.QQQ250512C504</stp>
        <tr r="DC63" s="1"/>
        <tr r="DC63" s="1"/>
      </tp>
      <tp>
        <v>0.01</v>
        <stp/>
        <stp>ASK</stp>
        <stp>.QQQ250512P504</stp>
        <tr r="DD63" s="1"/>
        <tr r="DD63" s="1"/>
      </tp>
      <tp>
        <v>3</v>
        <stp/>
        <stp>ASK</stp>
        <stp>.QQQ250512C505</stp>
        <tr r="DC62" s="1"/>
        <tr r="DC62" s="1"/>
      </tp>
      <tp>
        <v>0.02</v>
        <stp/>
        <stp>ASK</stp>
        <stp>.QQQ250512P505</stp>
        <tr r="DD62" s="1"/>
        <tr r="DD62" s="1"/>
      </tp>
      <tp>
        <v>0.09</v>
        <stp/>
        <stp>ASK</stp>
        <stp>.QQQ250512C508</stp>
        <tr r="DC59" s="1"/>
        <tr r="DC59" s="1"/>
      </tp>
      <tp>
        <v>0.59</v>
        <stp/>
        <stp>ASK</stp>
        <stp>.QQQ250512P508</stp>
        <tr r="DD59" s="1"/>
        <tr r="DD59" s="1"/>
      </tp>
      <tp>
        <v>0.01</v>
        <stp/>
        <stp>ASK</stp>
        <stp>.QQQ250512C509</stp>
        <tr r="DC58" s="1"/>
        <tr r="DC58" s="1"/>
      </tp>
      <tp>
        <v>1.56</v>
        <stp/>
        <stp>ASK</stp>
        <stp>.QQQ250512P509</stp>
        <tr r="DD58" s="1"/>
        <tr r="DD58" s="1"/>
      </tp>
      <tp>
        <v>95</v>
        <stp/>
        <stp>OPEN_INT</stp>
        <stp>.NDX250516P20400</stp>
        <tr r="AV175" s="1"/>
        <tr r="AV175" s="1"/>
      </tp>
      <tp>
        <v>302</v>
        <stp/>
        <stp>OPEN_INT</stp>
        <stp>.NDX250620P20200</stp>
        <tr r="AX183" s="1"/>
        <tr r="AX183" s="1"/>
      </tp>
      <tp>
        <v>25</v>
        <stp/>
        <stp>OPEN_INT</stp>
        <stp>.NDX250620P21200</stp>
        <tr r="AX143" s="1"/>
        <tr r="AX143" s="1"/>
      </tp>
      <tp>
        <v>44</v>
        <stp/>
        <stp>OPEN_INT</stp>
        <stp>.NDX250516P20425</stp>
        <tr r="AV174" s="1"/>
        <tr r="AV174" s="1"/>
      </tp>
      <tp>
        <v>16</v>
        <stp/>
        <stp>OPEN_INT</stp>
        <stp>.NDX250620P20225</stp>
        <tr r="AX182" s="1"/>
        <tr r="AX182" s="1"/>
      </tp>
      <tp>
        <v>1</v>
        <stp/>
        <stp>OPEN_INT</stp>
        <stp>.NDX250620P21225</stp>
        <tr r="AX142" s="1"/>
        <tr r="AX142" s="1"/>
      </tp>
      <tp>
        <v>5</v>
        <stp/>
        <stp>OPEN_INT</stp>
        <stp>.NDX250516P20450</stp>
        <tr r="AV173" s="1"/>
        <tr r="AV173" s="1"/>
      </tp>
      <tp>
        <v>23</v>
        <stp/>
        <stp>OPEN_INT</stp>
        <stp>.NDX250620P20250</stp>
        <tr r="AX181" s="1"/>
        <tr r="AX181" s="1"/>
      </tp>
      <tp>
        <v>0</v>
        <stp/>
        <stp>OPEN_INT</stp>
        <stp>.NDX250620P21250</stp>
        <tr r="AX141" s="1"/>
        <tr r="AX141" s="1"/>
      </tp>
      <tp>
        <v>3</v>
        <stp/>
        <stp>OPEN_INT</stp>
        <stp>.NDX250516P20475</stp>
        <tr r="AV172" s="1"/>
        <tr r="AV172" s="1"/>
      </tp>
      <tp>
        <v>12</v>
        <stp/>
        <stp>OPEN_INT</stp>
        <stp>.NDX250620P20275</stp>
        <tr r="AX180" s="1"/>
        <tr r="AX180" s="1"/>
      </tp>
      <tp>
        <v>0</v>
        <stp/>
        <stp>OPEN_INT</stp>
        <stp>.NDX250620P21275</stp>
        <tr r="AX140" s="1"/>
        <tr r="AX140" s="1"/>
      </tp>
      <tp>
        <v>23</v>
        <stp/>
        <stp>OPEN_INT</stp>
        <stp>.NDX250516C20425</stp>
        <tr r="AU174" s="1"/>
        <tr r="AU174" s="1"/>
      </tp>
      <tp>
        <v>23</v>
        <stp/>
        <stp>OPEN_INT</stp>
        <stp>.NDX250620C20225</stp>
        <tr r="AW182" s="1"/>
        <tr r="AW182" s="1"/>
      </tp>
      <tp>
        <v>3</v>
        <stp/>
        <stp>OPEN_INT</stp>
        <stp>.NDX250620C21225</stp>
        <tr r="AW142" s="1"/>
        <tr r="AW142" s="1"/>
      </tp>
      <tp>
        <v>64</v>
        <stp/>
        <stp>OPEN_INT</stp>
        <stp>.NDX250516C20400</stp>
        <tr r="AU175" s="1"/>
        <tr r="AU175" s="1"/>
      </tp>
      <tp>
        <v>372</v>
        <stp/>
        <stp>OPEN_INT</stp>
        <stp>.NDX250620C20200</stp>
        <tr r="AW183" s="1"/>
        <tr r="AW183" s="1"/>
      </tp>
      <tp>
        <v>49</v>
        <stp/>
        <stp>OPEN_INT</stp>
        <stp>.NDX250620C21200</stp>
        <tr r="AW143" s="1"/>
        <tr r="AW143" s="1"/>
      </tp>
      <tp>
        <v>27</v>
        <stp/>
        <stp>OPEN_INT</stp>
        <stp>.NDX250516C20475</stp>
        <tr r="AU172" s="1"/>
        <tr r="AU172" s="1"/>
      </tp>
      <tp>
        <v>29</v>
        <stp/>
        <stp>OPEN_INT</stp>
        <stp>.NDX250620C20275</stp>
        <tr r="AW180" s="1"/>
        <tr r="AW180" s="1"/>
      </tp>
      <tp>
        <v>9</v>
        <stp/>
        <stp>OPEN_INT</stp>
        <stp>.NDX250620C21275</stp>
        <tr r="AW140" s="1"/>
        <tr r="AW140" s="1"/>
      </tp>
      <tp>
        <v>11</v>
        <stp/>
        <stp>OPEN_INT</stp>
        <stp>.NDX250516C20450</stp>
        <tr r="AU173" s="1"/>
        <tr r="AU173" s="1"/>
      </tp>
      <tp>
        <v>19</v>
        <stp/>
        <stp>OPEN_INT</stp>
        <stp>.NDX250620C20250</stp>
        <tr r="AW181" s="1"/>
        <tr r="AW181" s="1"/>
      </tp>
      <tp>
        <v>62</v>
        <stp/>
        <stp>OPEN_INT</stp>
        <stp>.NDX250620C21250</stp>
        <tr r="AW141" s="1"/>
        <tr r="AW141" s="1"/>
      </tp>
      <tp>
        <v>19.420000000000002</v>
        <stp/>
        <stp>BID</stp>
        <stp>.QQQ250512C488</stp>
        <tr r="DE79" s="1"/>
        <tr r="DE79" s="1"/>
      </tp>
      <tp>
        <v>0</v>
        <stp/>
        <stp>BID</stp>
        <stp>.QQQ250512P488</stp>
        <tr r="DF79" s="1"/>
        <tr r="DF79" s="1"/>
      </tp>
      <tp>
        <v>18.420000000000002</v>
        <stp/>
        <stp>BID</stp>
        <stp>.QQQ250512C489</stp>
        <tr r="DE78" s="1"/>
        <tr r="DE78" s="1"/>
      </tp>
      <tp>
        <v>0</v>
        <stp/>
        <stp>BID</stp>
        <stp>.QQQ250512P489</stp>
        <tr r="DF78" s="1"/>
        <tr r="DF78" s="1"/>
      </tp>
      <tp>
        <v>9.42</v>
        <stp/>
        <stp>BID</stp>
        <stp>.QQQ250512C498</stp>
        <tr r="DE69" s="1"/>
        <tr r="DE69" s="1"/>
      </tp>
      <tp>
        <v>0</v>
        <stp/>
        <stp>BID</stp>
        <stp>.QQQ250512P498</stp>
        <tr r="DF69" s="1"/>
        <tr r="DF69" s="1"/>
      </tp>
      <tp>
        <v>8.42</v>
        <stp/>
        <stp>BID</stp>
        <stp>.QQQ250512C499</stp>
        <tr r="DE68" s="1"/>
        <tr r="DE68" s="1"/>
      </tp>
      <tp>
        <v>0</v>
        <stp/>
        <stp>BID</stp>
        <stp>.QQQ250512P499</stp>
        <tr r="DF68" s="1"/>
        <tr r="DF68" s="1"/>
      </tp>
      <tp>
        <v>17.41</v>
        <stp/>
        <stp>BID</stp>
        <stp>.QQQ250512C490</stp>
        <tr r="DE77" s="1"/>
        <tr r="DE77" s="1"/>
      </tp>
      <tp>
        <v>0</v>
        <stp/>
        <stp>BID</stp>
        <stp>.QQQ250512P490</stp>
        <tr r="DF77" s="1"/>
        <tr r="DF77" s="1"/>
      </tp>
      <tp>
        <v>16.41</v>
        <stp/>
        <stp>BID</stp>
        <stp>.QQQ250512C491</stp>
        <tr r="DE76" s="1"/>
        <tr r="DE76" s="1"/>
      </tp>
      <tp>
        <v>0</v>
        <stp/>
        <stp>BID</stp>
        <stp>.QQQ250512P491</stp>
        <tr r="DF76" s="1"/>
        <tr r="DF76" s="1"/>
      </tp>
      <tp>
        <v>15.41</v>
        <stp/>
        <stp>BID</stp>
        <stp>.QQQ250512C492</stp>
        <tr r="DE75" s="1"/>
        <tr r="DE75" s="1"/>
      </tp>
      <tp>
        <v>0</v>
        <stp/>
        <stp>BID</stp>
        <stp>.QQQ250512P492</stp>
        <tr r="DF75" s="1"/>
        <tr r="DF75" s="1"/>
      </tp>
      <tp>
        <v>14.41</v>
        <stp/>
        <stp>BID</stp>
        <stp>.QQQ250512C493</stp>
        <tr r="DE74" s="1"/>
        <tr r="DE74" s="1"/>
      </tp>
      <tp>
        <v>0</v>
        <stp/>
        <stp>BID</stp>
        <stp>.QQQ250512P493</stp>
        <tr r="DF74" s="1"/>
        <tr r="DF74" s="1"/>
      </tp>
      <tp>
        <v>13.42</v>
        <stp/>
        <stp>BID</stp>
        <stp>.QQQ250512C494</stp>
        <tr r="DE73" s="1"/>
        <tr r="DE73" s="1"/>
      </tp>
      <tp>
        <v>0</v>
        <stp/>
        <stp>BID</stp>
        <stp>.QQQ250512P494</stp>
        <tr r="DF73" s="1"/>
        <tr r="DF73" s="1"/>
      </tp>
      <tp>
        <v>12.41</v>
        <stp/>
        <stp>BID</stp>
        <stp>.QQQ250512C495</stp>
        <tr r="DE72" s="1"/>
        <tr r="DE72" s="1"/>
      </tp>
      <tp>
        <v>0</v>
        <stp/>
        <stp>BID</stp>
        <stp>.QQQ250512P495</stp>
        <tr r="DF72" s="1"/>
        <tr r="DF72" s="1"/>
      </tp>
      <tp>
        <v>11.42</v>
        <stp/>
        <stp>BID</stp>
        <stp>.QQQ250512C496</stp>
        <tr r="DE71" s="1"/>
        <tr r="DE71" s="1"/>
      </tp>
      <tp>
        <v>0</v>
        <stp/>
        <stp>BID</stp>
        <stp>.QQQ250512P496</stp>
        <tr r="DF71" s="1"/>
        <tr r="DF71" s="1"/>
      </tp>
      <tp>
        <v>10.42</v>
        <stp/>
        <stp>BID</stp>
        <stp>.QQQ250512C497</stp>
        <tr r="DE70" s="1"/>
        <tr r="DE70" s="1"/>
      </tp>
      <tp>
        <v>0</v>
        <stp/>
        <stp>BID</stp>
        <stp>.QQQ250512P497</stp>
        <tr r="DF70" s="1"/>
        <tr r="DF70" s="1"/>
      </tp>
      <tp>
        <v>15.7</v>
        <stp/>
        <stp>ASK</stp>
        <stp>.QQQ250512C492</stp>
        <tr r="DC75" s="1"/>
        <tr r="DC75" s="1"/>
      </tp>
      <tp>
        <v>0.01</v>
        <stp/>
        <stp>ASK</stp>
        <stp>.QQQ250512P492</stp>
        <tr r="DD75" s="1"/>
        <tr r="DD75" s="1"/>
      </tp>
      <tp>
        <v>14.7</v>
        <stp/>
        <stp>ASK</stp>
        <stp>.QQQ250512C493</stp>
        <tr r="DC74" s="1"/>
        <tr r="DC74" s="1"/>
      </tp>
      <tp>
        <v>0.01</v>
        <stp/>
        <stp>ASK</stp>
        <stp>.QQQ250512P493</stp>
        <tr r="DD74" s="1"/>
        <tr r="DD74" s="1"/>
      </tp>
      <tp>
        <v>17.690000000000001</v>
        <stp/>
        <stp>ASK</stp>
        <stp>.QQQ250512C490</stp>
        <tr r="DC77" s="1"/>
        <tr r="DC77" s="1"/>
      </tp>
      <tp>
        <v>0.01</v>
        <stp/>
        <stp>ASK</stp>
        <stp>.QQQ250512P490</stp>
        <tr r="DD77" s="1"/>
        <tr r="DD77" s="1"/>
      </tp>
      <tp>
        <v>16.72</v>
        <stp/>
        <stp>ASK</stp>
        <stp>.QQQ250512C491</stp>
        <tr r="DC76" s="1"/>
        <tr r="DC76" s="1"/>
      </tp>
      <tp>
        <v>0.01</v>
        <stp/>
        <stp>ASK</stp>
        <stp>.QQQ250512P491</stp>
        <tr r="DD76" s="1"/>
        <tr r="DD76" s="1"/>
      </tp>
      <tp>
        <v>11.74</v>
        <stp/>
        <stp>ASK</stp>
        <stp>.QQQ250512C496</stp>
        <tr r="DC71" s="1"/>
        <tr r="DC71" s="1"/>
      </tp>
      <tp>
        <v>0.01</v>
        <stp/>
        <stp>ASK</stp>
        <stp>.QQQ250512P496</stp>
        <tr r="DD71" s="1"/>
        <tr r="DD71" s="1"/>
      </tp>
      <tp>
        <v>10.75</v>
        <stp/>
        <stp>ASK</stp>
        <stp>.QQQ250512C497</stp>
        <tr r="DC70" s="1"/>
        <tr r="DC70" s="1"/>
      </tp>
      <tp>
        <v>0.01</v>
        <stp/>
        <stp>ASK</stp>
        <stp>.QQQ250512P497</stp>
        <tr r="DD70" s="1"/>
        <tr r="DD70" s="1"/>
      </tp>
      <tp>
        <v>13.72</v>
        <stp/>
        <stp>ASK</stp>
        <stp>.QQQ250512C494</stp>
        <tr r="DC73" s="1"/>
        <tr r="DC73" s="1"/>
      </tp>
      <tp>
        <v>0.01</v>
        <stp/>
        <stp>ASK</stp>
        <stp>.QQQ250512P494</stp>
        <tr r="DD73" s="1"/>
        <tr r="DD73" s="1"/>
      </tp>
      <tp>
        <v>12.7</v>
        <stp/>
        <stp>ASK</stp>
        <stp>.QQQ250512C495</stp>
        <tr r="DC72" s="1"/>
        <tr r="DC72" s="1"/>
      </tp>
      <tp>
        <v>0.01</v>
        <stp/>
        <stp>ASK</stp>
        <stp>.QQQ250512P495</stp>
        <tr r="DD72" s="1"/>
        <tr r="DD72" s="1"/>
      </tp>
      <tp>
        <v>9.6999999999999993</v>
        <stp/>
        <stp>ASK</stp>
        <stp>.QQQ250512C498</stp>
        <tr r="DC69" s="1"/>
        <tr r="DC69" s="1"/>
      </tp>
      <tp>
        <v>0.01</v>
        <stp/>
        <stp>ASK</stp>
        <stp>.QQQ250512P498</stp>
        <tr r="DD69" s="1"/>
        <tr r="DD69" s="1"/>
      </tp>
      <tp>
        <v>8.6999999999999993</v>
        <stp/>
        <stp>ASK</stp>
        <stp>.QQQ250512C499</stp>
        <tr r="DC68" s="1"/>
        <tr r="DC68" s="1"/>
      </tp>
      <tp>
        <v>0.01</v>
        <stp/>
        <stp>ASK</stp>
        <stp>.QQQ250512P499</stp>
        <tr r="DD68" s="1"/>
        <tr r="DD68" s="1"/>
      </tp>
      <tp>
        <v>19.72</v>
        <stp/>
        <stp>ASK</stp>
        <stp>.QQQ250512C488</stp>
        <tr r="DC79" s="1"/>
        <tr r="DC79" s="1"/>
      </tp>
      <tp>
        <v>0.01</v>
        <stp/>
        <stp>ASK</stp>
        <stp>.QQQ250512P488</stp>
        <tr r="DD79" s="1"/>
        <tr r="DD79" s="1"/>
      </tp>
      <tp>
        <v>18.7</v>
        <stp/>
        <stp>ASK</stp>
        <stp>.QQQ250512C489</stp>
        <tr r="DC78" s="1"/>
        <tr r="DC78" s="1"/>
      </tp>
      <tp>
        <v>0.01</v>
        <stp/>
        <stp>ASK</stp>
        <stp>.QQQ250512P489</stp>
        <tr r="DD78" s="1"/>
        <tr r="DD78" s="1"/>
      </tp>
      <tp>
        <v>17</v>
        <stp/>
        <stp>OPEN_INT</stp>
        <stp>.NDX250516P21300</stp>
        <tr r="AV139" s="1"/>
        <tr r="AV139" s="1"/>
      </tp>
      <tp>
        <v>27</v>
        <stp/>
        <stp>OPEN_INT</stp>
        <stp>.NDX250516P20300</stp>
        <tr r="AV179" s="1"/>
        <tr r="AV179" s="1"/>
      </tp>
      <tp>
        <v>85</v>
        <stp/>
        <stp>OPEN_INT</stp>
        <stp>.NDX250620P20500</stp>
        <tr r="AX171" s="1"/>
        <tr r="AX171" s="1"/>
      </tp>
      <tp>
        <v>0</v>
        <stp/>
        <stp>OPEN_INT</stp>
        <stp>.NDX250516P21325</stp>
        <tr r="AV138" s="1"/>
        <tr r="AV138" s="1"/>
      </tp>
      <tp>
        <v>10</v>
        <stp/>
        <stp>OPEN_INT</stp>
        <stp>.NDX250516P20325</stp>
        <tr r="AV178" s="1"/>
        <tr r="AV178" s="1"/>
      </tp>
      <tp>
        <v>5</v>
        <stp/>
        <stp>OPEN_INT</stp>
        <stp>.NDX250620P20525</stp>
        <tr r="AX170" s="1"/>
        <tr r="AX170" s="1"/>
      </tp>
      <tp>
        <v>0</v>
        <stp/>
        <stp>OPEN_INT</stp>
        <stp>.NDX250516P21350</stp>
        <tr r="AV137" s="1"/>
        <tr r="AV137" s="1"/>
      </tp>
      <tp>
        <v>12</v>
        <stp/>
        <stp>OPEN_INT</stp>
        <stp>.NDX250516P20350</stp>
        <tr r="AV177" s="1"/>
        <tr r="AV177" s="1"/>
      </tp>
      <tp>
        <v>5</v>
        <stp/>
        <stp>OPEN_INT</stp>
        <stp>.NDX250620P20550</stp>
        <tr r="AX169" s="1"/>
        <tr r="AX169" s="1"/>
      </tp>
      <tp>
        <v>6</v>
        <stp/>
        <stp>OPEN_INT</stp>
        <stp>.NDX250516P20375</stp>
        <tr r="AV176" s="1"/>
        <tr r="AV176" s="1"/>
      </tp>
      <tp>
        <v>2</v>
        <stp/>
        <stp>OPEN_INT</stp>
        <stp>.NDX250620P20575</stp>
        <tr r="AX168" s="1"/>
        <tr r="AX168" s="1"/>
      </tp>
      <tp>
        <v>194</v>
        <stp/>
        <stp>OPEN_INT</stp>
        <stp>.NDX250516C21325</stp>
        <tr r="AU138" s="1"/>
        <tr r="AU138" s="1"/>
      </tp>
      <tp>
        <v>13</v>
        <stp/>
        <stp>OPEN_INT</stp>
        <stp>.NDX250516C20325</stp>
        <tr r="AU178" s="1"/>
        <tr r="AU178" s="1"/>
      </tp>
      <tp>
        <v>8</v>
        <stp/>
        <stp>OPEN_INT</stp>
        <stp>.NDX250620C20525</stp>
        <tr r="AW170" s="1"/>
        <tr r="AW170" s="1"/>
      </tp>
      <tp>
        <v>128</v>
        <stp/>
        <stp>OPEN_INT</stp>
        <stp>.NDX250516C21300</stp>
        <tr r="AU139" s="1"/>
        <tr r="AU139" s="1"/>
      </tp>
      <tp>
        <v>57</v>
        <stp/>
        <stp>OPEN_INT</stp>
        <stp>.NDX250516C20300</stp>
        <tr r="AU179" s="1"/>
        <tr r="AU179" s="1"/>
      </tp>
      <tp>
        <v>322</v>
        <stp/>
        <stp>OPEN_INT</stp>
        <stp>.NDX250620C20500</stp>
        <tr r="AW171" s="1"/>
        <tr r="AW171" s="1"/>
      </tp>
      <tp>
        <v>32</v>
        <stp/>
        <stp>OPEN_INT</stp>
        <stp>.SPY250512P576</stp>
        <tr r="AT20" s="1"/>
        <tr r="AT20" s="1"/>
      </tp>
      <tp>
        <v>840</v>
        <stp/>
        <stp>OPEN_INT</stp>
        <stp>.SPY250516P572</stp>
        <tr r="AV24" s="1"/>
        <tr r="AV24" s="1"/>
      </tp>
      <tp>
        <v>49710</v>
        <stp/>
        <stp>OPEN_INT</stp>
        <stp>.SPY250512C576</stp>
        <tr r="AS20" s="1"/>
        <tr r="AS20" s="1"/>
      </tp>
      <tp>
        <v>3403</v>
        <stp/>
        <stp>OPEN_INT</stp>
        <stp>.SPY250516C572</stp>
        <tr r="AU24" s="1"/>
        <tr r="AU24" s="1"/>
      </tp>
      <tp>
        <v>34</v>
        <stp/>
        <stp>OPEN_INT</stp>
        <stp>.SPY250512P577</stp>
        <tr r="AT19" s="1"/>
        <tr r="AT19" s="1"/>
      </tp>
      <tp>
        <v>540</v>
        <stp/>
        <stp>OPEN_INT</stp>
        <stp>.SPY250516P573</stp>
        <tr r="AV23" s="1"/>
        <tr r="AV23" s="1"/>
      </tp>
      <tp>
        <v>4657</v>
        <stp/>
        <stp>OPEN_INT</stp>
        <stp>.SPY250512C577</stp>
        <tr r="AS19" s="1"/>
        <tr r="AS19" s="1"/>
      </tp>
      <tp>
        <v>4124</v>
        <stp/>
        <stp>OPEN_INT</stp>
        <stp>.SPY250516C573</stp>
        <tr r="AU23" s="1"/>
        <tr r="AU23" s="1"/>
      </tp>
      <tp>
        <v>155</v>
        <stp/>
        <stp>OPEN_INT</stp>
        <stp>.SPY250512P574</stp>
        <tr r="AT22" s="1"/>
        <tr r="AT22" s="1"/>
      </tp>
      <tp>
        <v>16009</v>
        <stp/>
        <stp>OPEN_INT</stp>
        <stp>.SPY250516P570</stp>
        <tr r="AV26" s="1"/>
        <tr r="AV26" s="1"/>
      </tp>
      <tp>
        <v>15665</v>
        <stp/>
        <stp>OPEN_INT</stp>
        <stp>.SPY250512C574</stp>
        <tr r="AS22" s="1"/>
        <tr r="AS22" s="1"/>
      </tp>
      <tp>
        <v>30656</v>
        <stp/>
        <stp>OPEN_INT</stp>
        <stp>.SPY250516C570</stp>
        <tr r="AU26" s="1"/>
        <tr r="AU26" s="1"/>
      </tp>
      <tp>
        <v>264</v>
        <stp/>
        <stp>OPEN_INT</stp>
        <stp>.SPY250512P575</stp>
        <tr r="AT21" s="1"/>
        <tr r="AT21" s="1"/>
      </tp>
      <tp>
        <v>872</v>
        <stp/>
        <stp>OPEN_INT</stp>
        <stp>.SPY250516P571</stp>
        <tr r="AV25" s="1"/>
        <tr r="AV25" s="1"/>
      </tp>
      <tp>
        <v>10406</v>
        <stp/>
        <stp>OPEN_INT</stp>
        <stp>.SPY250512C575</stp>
        <tr r="AS21" s="1"/>
        <tr r="AS21" s="1"/>
      </tp>
      <tp>
        <v>3580</v>
        <stp/>
        <stp>OPEN_INT</stp>
        <stp>.SPY250516C571</stp>
        <tr r="AU25" s="1"/>
        <tr r="AU25" s="1"/>
      </tp>
      <tp>
        <v>604</v>
        <stp/>
        <stp>OPEN_INT</stp>
        <stp>.SPY250512P572</stp>
        <tr r="AT24" s="1"/>
        <tr r="AT24" s="1"/>
      </tp>
      <tp>
        <v>312</v>
        <stp/>
        <stp>OPEN_INT</stp>
        <stp>.SPY250516P576</stp>
        <tr r="AV20" s="1"/>
        <tr r="AV20" s="1"/>
      </tp>
      <tp>
        <v>7732</v>
        <stp/>
        <stp>OPEN_INT</stp>
        <stp>.SPY250512C572</stp>
        <tr r="AS24" s="1"/>
        <tr r="AS24" s="1"/>
      </tp>
      <tp>
        <v>4581</v>
        <stp/>
        <stp>OPEN_INT</stp>
        <stp>.SPY250516C576</stp>
        <tr r="AU20" s="1"/>
        <tr r="AU20" s="1"/>
      </tp>
      <tp>
        <v>644</v>
        <stp/>
        <stp>OPEN_INT</stp>
        <stp>.SPY250512P573</stp>
        <tr r="AT23" s="1"/>
        <tr r="AT23" s="1"/>
      </tp>
      <tp>
        <v>44</v>
        <stp/>
        <stp>OPEN_INT</stp>
        <stp>.SPY250516P577</stp>
        <tr r="AV19" s="1"/>
        <tr r="AV19" s="1"/>
      </tp>
      <tp>
        <v>20695</v>
        <stp/>
        <stp>OPEN_INT</stp>
        <stp>.SPY250512C573</stp>
        <tr r="AS23" s="1"/>
        <tr r="AS23" s="1"/>
      </tp>
      <tp>
        <v>4846</v>
        <stp/>
        <stp>OPEN_INT</stp>
        <stp>.SPY250516C577</stp>
        <tr r="AU19" s="1"/>
        <tr r="AU19" s="1"/>
      </tp>
      <tp>
        <v>1339</v>
        <stp/>
        <stp>OPEN_INT</stp>
        <stp>.SPY250512P570</stp>
        <tr r="AT26" s="1"/>
        <tr r="AT26" s="1"/>
      </tp>
      <tp>
        <v>373</v>
        <stp/>
        <stp>OPEN_INT</stp>
        <stp>.SPY250516P574</stp>
        <tr r="AV22" s="1"/>
        <tr r="AV22" s="1"/>
      </tp>
      <tp>
        <v>16437</v>
        <stp/>
        <stp>OPEN_INT</stp>
        <stp>.SPY250512C570</stp>
        <tr r="AS26" s="1"/>
        <tr r="AS26" s="1"/>
      </tp>
      <tp>
        <v>3223</v>
        <stp/>
        <stp>OPEN_INT</stp>
        <stp>.SPY250516C574</stp>
        <tr r="AU22" s="1"/>
        <tr r="AU22" s="1"/>
      </tp>
      <tp>
        <v>558</v>
        <stp/>
        <stp>OPEN_INT</stp>
        <stp>.SPY250512P571</stp>
        <tr r="AT25" s="1"/>
        <tr r="AT25" s="1"/>
      </tp>
      <tp>
        <v>2945</v>
        <stp/>
        <stp>OPEN_INT</stp>
        <stp>.SPY250516P575</stp>
        <tr r="AV21" s="1"/>
        <tr r="AV21" s="1"/>
      </tp>
      <tp>
        <v>5428</v>
        <stp/>
        <stp>OPEN_INT</stp>
        <stp>.SPY250512C571</stp>
        <tr r="AS25" s="1"/>
        <tr r="AS25" s="1"/>
      </tp>
      <tp>
        <v>54791</v>
        <stp/>
        <stp>OPEN_INT</stp>
        <stp>.SPY250516C575</stp>
        <tr r="AU21" s="1"/>
        <tr r="AU21" s="1"/>
      </tp>
      <tp>
        <v>303</v>
        <stp/>
        <stp>OPEN_INT</stp>
        <stp>.SPY250516P578</stp>
        <tr r="AV18" s="1"/>
        <tr r="AV18" s="1"/>
      </tp>
      <tp>
        <v>10786</v>
        <stp/>
        <stp>OPEN_INT</stp>
        <stp>.SPY250516C578</stp>
        <tr r="AU18" s="1"/>
        <tr r="AU18" s="1"/>
      </tp>
      <tp>
        <v>23</v>
        <stp/>
        <stp>OPEN_INT</stp>
        <stp>.SPY250516P579</stp>
        <tr r="AV17" s="1"/>
        <tr r="AV17" s="1"/>
      </tp>
      <tp>
        <v>5124</v>
        <stp/>
        <stp>OPEN_INT</stp>
        <stp>.SPY250516C579</stp>
        <tr r="AU17" s="1"/>
        <tr r="AU17" s="1"/>
      </tp>
      <tp>
        <v>18</v>
        <stp/>
        <stp>OPEN_INT</stp>
        <stp>.SPY250512P578</stp>
        <tr r="AT18" s="1"/>
        <tr r="AT18" s="1"/>
      </tp>
      <tp>
        <v>4073</v>
        <stp/>
        <stp>OPEN_INT</stp>
        <stp>.SPY250512C578</stp>
        <tr r="AS18" s="1"/>
        <tr r="AS18" s="1"/>
      </tp>
      <tp>
        <v>13</v>
        <stp/>
        <stp>OPEN_INT</stp>
        <stp>.SPY250512P579</stp>
        <tr r="AT17" s="1"/>
        <tr r="AT17" s="1"/>
      </tp>
      <tp>
        <v>14278</v>
        <stp/>
        <stp>OPEN_INT</stp>
        <stp>.SPY250512C579</stp>
        <tr r="AS17" s="1"/>
        <tr r="AS17" s="1"/>
      </tp>
      <tp>
        <v>16</v>
        <stp/>
        <stp>OPEN_INT</stp>
        <stp>.NDX250516C20375</stp>
        <tr r="AU176" s="1"/>
        <tr r="AU176" s="1"/>
      </tp>
      <tp>
        <v>12</v>
        <stp/>
        <stp>OPEN_INT</stp>
        <stp>.NDX250620C20575</stp>
        <tr r="AW168" s="1"/>
        <tr r="AW168" s="1"/>
      </tp>
      <tp>
        <v>5913</v>
        <stp/>
        <stp>OPEN_INT</stp>
        <stp>.SPY250512P566</stp>
        <tr r="AT30" s="1"/>
        <tr r="AT30" s="1"/>
      </tp>
      <tp>
        <v>3493</v>
        <stp/>
        <stp>OPEN_INT</stp>
        <stp>.SPY250516P562</stp>
        <tr r="AV34" s="1"/>
        <tr r="AV34" s="1"/>
      </tp>
      <tp>
        <v>5948</v>
        <stp/>
        <stp>OPEN_INT</stp>
        <stp>.SPY250512C566</stp>
        <tr r="AS30" s="1"/>
        <tr r="AS30" s="1"/>
      </tp>
      <tp>
        <v>5375</v>
        <stp/>
        <stp>OPEN_INT</stp>
        <stp>.SPY250516C562</stp>
        <tr r="AU34" s="1"/>
        <tr r="AU34" s="1"/>
      </tp>
      <tp>
        <v>2064</v>
        <stp/>
        <stp>OPEN_INT</stp>
        <stp>.SPY250512P567</stp>
        <tr r="AT29" s="1"/>
        <tr r="AT29" s="1"/>
      </tp>
      <tp>
        <v>3018</v>
        <stp/>
        <stp>OPEN_INT</stp>
        <stp>.SPY250516P563</stp>
        <tr r="AV33" s="1"/>
        <tr r="AV33" s="1"/>
      </tp>
      <tp>
        <v>5714</v>
        <stp/>
        <stp>OPEN_INT</stp>
        <stp>.SPY250512C567</stp>
        <tr r="AS29" s="1"/>
        <tr r="AS29" s="1"/>
      </tp>
      <tp>
        <v>4342</v>
        <stp/>
        <stp>OPEN_INT</stp>
        <stp>.SPY250516C563</stp>
        <tr r="AU33" s="1"/>
        <tr r="AU33" s="1"/>
      </tp>
      <tp>
        <v>5255</v>
        <stp/>
        <stp>OPEN_INT</stp>
        <stp>.SPY250512P564</stp>
        <tr r="AT32" s="1"/>
        <tr r="AT32" s="1"/>
      </tp>
      <tp>
        <v>36342</v>
        <stp/>
        <stp>OPEN_INT</stp>
        <stp>.SPY250516P560</stp>
        <tr r="AV36" s="1"/>
        <tr r="AV36" s="1"/>
      </tp>
      <tp>
        <v>4212</v>
        <stp/>
        <stp>OPEN_INT</stp>
        <stp>.SPY250512C564</stp>
        <tr r="AS32" s="1"/>
        <tr r="AS32" s="1"/>
      </tp>
      <tp>
        <v>12176</v>
        <stp/>
        <stp>OPEN_INT</stp>
        <stp>.SPY250516C560</stp>
        <tr r="AU36" s="1"/>
        <tr r="AU36" s="1"/>
      </tp>
      <tp>
        <v>7726</v>
        <stp/>
        <stp>OPEN_INT</stp>
        <stp>.SPY250512P565</stp>
        <tr r="AT31" s="1"/>
        <tr r="AT31" s="1"/>
      </tp>
      <tp>
        <v>1872</v>
        <stp/>
        <stp>OPEN_INT</stp>
        <stp>.SPY250516P561</stp>
        <tr r="AV35" s="1"/>
        <tr r="AV35" s="1"/>
      </tp>
      <tp>
        <v>10229</v>
        <stp/>
        <stp>OPEN_INT</stp>
        <stp>.SPY250512C565</stp>
        <tr r="AS31" s="1"/>
        <tr r="AS31" s="1"/>
      </tp>
      <tp>
        <v>3010</v>
        <stp/>
        <stp>OPEN_INT</stp>
        <stp>.SPY250516C561</stp>
        <tr r="AU35" s="1"/>
        <tr r="AU35" s="1"/>
      </tp>
      <tp>
        <v>5499</v>
        <stp/>
        <stp>OPEN_INT</stp>
        <stp>.SPY250512P562</stp>
        <tr r="AT34" s="1"/>
        <tr r="AT34" s="1"/>
      </tp>
      <tp>
        <v>3421</v>
        <stp/>
        <stp>OPEN_INT</stp>
        <stp>.SPY250516P566</stp>
        <tr r="AV30" s="1"/>
        <tr r="AV30" s="1"/>
      </tp>
      <tp>
        <v>2346</v>
        <stp/>
        <stp>OPEN_INT</stp>
        <stp>.SPY250512C562</stp>
        <tr r="AS34" s="1"/>
        <tr r="AS34" s="1"/>
      </tp>
      <tp>
        <v>6538</v>
        <stp/>
        <stp>OPEN_INT</stp>
        <stp>.SPY250516C566</stp>
        <tr r="AU30" s="1"/>
        <tr r="AU30" s="1"/>
      </tp>
      <tp>
        <v>4039</v>
        <stp/>
        <stp>OPEN_INT</stp>
        <stp>.SPY250512P563</stp>
        <tr r="AT33" s="1"/>
        <tr r="AT33" s="1"/>
      </tp>
      <tp>
        <v>3322</v>
        <stp/>
        <stp>OPEN_INT</stp>
        <stp>.SPY250516P567</stp>
        <tr r="AV29" s="1"/>
        <tr r="AV29" s="1"/>
      </tp>
      <tp>
        <v>2133</v>
        <stp/>
        <stp>OPEN_INT</stp>
        <stp>.SPY250512C563</stp>
        <tr r="AS33" s="1"/>
        <tr r="AS33" s="1"/>
      </tp>
      <tp>
        <v>6729</v>
        <stp/>
        <stp>OPEN_INT</stp>
        <stp>.SPY250516C567</stp>
        <tr r="AU29" s="1"/>
        <tr r="AU29" s="1"/>
      </tp>
      <tp>
        <v>12329</v>
        <stp/>
        <stp>OPEN_INT</stp>
        <stp>.SPY250512P560</stp>
        <tr r="AT36" s="1"/>
        <tr r="AT36" s="1"/>
      </tp>
      <tp>
        <v>3755</v>
        <stp/>
        <stp>OPEN_INT</stp>
        <stp>.SPY250516P564</stp>
        <tr r="AV32" s="1"/>
        <tr r="AV32" s="1"/>
      </tp>
      <tp>
        <v>1953</v>
        <stp/>
        <stp>OPEN_INT</stp>
        <stp>.SPY250512C560</stp>
        <tr r="AS36" s="1"/>
        <tr r="AS36" s="1"/>
      </tp>
      <tp>
        <v>4139</v>
        <stp/>
        <stp>OPEN_INT</stp>
        <stp>.SPY250516C564</stp>
        <tr r="AU32" s="1"/>
        <tr r="AU32" s="1"/>
      </tp>
      <tp>
        <v>2988</v>
        <stp/>
        <stp>OPEN_INT</stp>
        <stp>.SPY250512P561</stp>
        <tr r="AT35" s="1"/>
        <tr r="AT35" s="1"/>
      </tp>
      <tp>
        <v>20526</v>
        <stp/>
        <stp>OPEN_INT</stp>
        <stp>.SPY250516P565</stp>
        <tr r="AV31" s="1"/>
        <tr r="AV31" s="1"/>
      </tp>
      <tp>
        <v>1703</v>
        <stp/>
        <stp>OPEN_INT</stp>
        <stp>.SPY250512C561</stp>
        <tr r="AS35" s="1"/>
        <tr r="AS35" s="1"/>
      </tp>
      <tp>
        <v>29968</v>
        <stp/>
        <stp>OPEN_INT</stp>
        <stp>.SPY250516C565</stp>
        <tr r="AU31" s="1"/>
        <tr r="AU31" s="1"/>
      </tp>
      <tp>
        <v>3367</v>
        <stp/>
        <stp>OPEN_INT</stp>
        <stp>.SPY250516P568</stp>
        <tr r="AV28" s="1"/>
        <tr r="AV28" s="1"/>
      </tp>
      <tp>
        <v>8188</v>
        <stp/>
        <stp>OPEN_INT</stp>
        <stp>.SPY250516C568</stp>
        <tr r="AU28" s="1"/>
        <tr r="AU28" s="1"/>
      </tp>
      <tp>
        <v>1889</v>
        <stp/>
        <stp>OPEN_INT</stp>
        <stp>.SPY250516P569</stp>
        <tr r="AV27" s="1"/>
        <tr r="AV27" s="1"/>
      </tp>
      <tp>
        <v>5422</v>
        <stp/>
        <stp>OPEN_INT</stp>
        <stp>.SPY250516C569</stp>
        <tr r="AU27" s="1"/>
        <tr r="AU27" s="1"/>
      </tp>
      <tp>
        <v>2008</v>
        <stp/>
        <stp>OPEN_INT</stp>
        <stp>.SPY250512P568</stp>
        <tr r="AT28" s="1"/>
        <tr r="AT28" s="1"/>
      </tp>
      <tp>
        <v>7470</v>
        <stp/>
        <stp>OPEN_INT</stp>
        <stp>.SPY250512C568</stp>
        <tr r="AS28" s="1"/>
        <tr r="AS28" s="1"/>
      </tp>
      <tp>
        <v>810</v>
        <stp/>
        <stp>OPEN_INT</stp>
        <stp>.SPY250512P569</stp>
        <tr r="AT27" s="1"/>
        <tr r="AT27" s="1"/>
      </tp>
      <tp>
        <v>4274</v>
        <stp/>
        <stp>OPEN_INT</stp>
        <stp>.SPY250512C569</stp>
        <tr r="AS27" s="1"/>
        <tr r="AS27" s="1"/>
      </tp>
      <tp>
        <v>4555</v>
        <stp/>
        <stp>OPEN_INT</stp>
        <stp>.SPY250516P558</stp>
        <tr r="AV38" s="1"/>
        <tr r="AV38" s="1"/>
      </tp>
      <tp>
        <v>11356</v>
        <stp/>
        <stp>OPEN_INT</stp>
        <stp>.SPY250516C558</stp>
        <tr r="AU38" s="1"/>
        <tr r="AU38" s="1"/>
      </tp>
      <tp>
        <v>2839</v>
        <stp/>
        <stp>OPEN_INT</stp>
        <stp>.SPY250516P559</stp>
        <tr r="AV37" s="1"/>
        <tr r="AV37" s="1"/>
      </tp>
      <tp>
        <v>3400</v>
        <stp/>
        <stp>OPEN_INT</stp>
        <stp>.SPY250516C559</stp>
        <tr r="AU37" s="1"/>
        <tr r="AU37" s="1"/>
      </tp>
      <tp>
        <v>3588</v>
        <stp/>
        <stp>OPEN_INT</stp>
        <stp>.SPY250512P558</stp>
        <tr r="AT38" s="1"/>
        <tr r="AT38" s="1"/>
      </tp>
      <tp>
        <v>748</v>
        <stp/>
        <stp>OPEN_INT</stp>
        <stp>.SPY250512C558</stp>
        <tr r="AS38" s="1"/>
        <tr r="AS38" s="1"/>
      </tp>
      <tp>
        <v>3028</v>
        <stp/>
        <stp>OPEN_INT</stp>
        <stp>.SPY250512P559</stp>
        <tr r="AT37" s="1"/>
        <tr r="AT37" s="1"/>
      </tp>
      <tp>
        <v>750</v>
        <stp/>
        <stp>OPEN_INT</stp>
        <stp>.SPY250512C559</stp>
        <tr r="AS37" s="1"/>
        <tr r="AS37" s="1"/>
      </tp>
      <tp>
        <v>11</v>
        <stp/>
        <stp>OPEN_INT</stp>
        <stp>.NDX250516C21350</stp>
        <tr r="AU137" s="1"/>
        <tr r="AU137" s="1"/>
      </tp>
      <tp>
        <v>21</v>
        <stp/>
        <stp>OPEN_INT</stp>
        <stp>.NDX250516C20350</stp>
        <tr r="AU177" s="1"/>
        <tr r="AU177" s="1"/>
      </tp>
      <tp>
        <v>20</v>
        <stp/>
        <stp>OPEN_INT</stp>
        <stp>.NDX250620C20550</stp>
        <tr r="AW169" s="1"/>
        <tr r="AW169" s="1"/>
      </tp>
      <tp>
        <v>4</v>
        <stp/>
        <stp>OPEN_INT</stp>
        <stp>.SPY250516P592</stp>
        <tr r="AV4" s="1"/>
        <tr r="AV4" s="1"/>
      </tp>
      <tp>
        <v>3789</v>
        <stp/>
        <stp>OPEN_INT</stp>
        <stp>.SPY250516C592</stp>
        <tr r="AU4" s="1"/>
        <tr r="AU4" s="1"/>
      </tp>
      <tp>
        <v>1745</v>
        <stp/>
        <stp>OPEN_INT</stp>
        <stp>.SPY250516P590</stp>
        <tr r="AV6" s="1"/>
        <tr r="AV6" s="1"/>
      </tp>
      <tp>
        <v>30396</v>
        <stp/>
        <stp>OPEN_INT</stp>
        <stp>.SPY250516C590</stp>
        <tr r="AU6" s="1"/>
        <tr r="AU6" s="1"/>
      </tp>
      <tp>
        <v>1</v>
        <stp/>
        <stp>OPEN_INT</stp>
        <stp>.SPY250516P591</stp>
        <tr r="AV5" s="1"/>
        <tr r="AV5" s="1"/>
      </tp>
      <tp>
        <v>4596</v>
        <stp/>
        <stp>OPEN_INT</stp>
        <stp>.SPY250516C591</stp>
        <tr r="AU5" s="1"/>
        <tr r="AU5" s="1"/>
      </tp>
      <tp>
        <v>1</v>
        <stp/>
        <stp>OPEN_INT</stp>
        <stp>.SPY250512P592</stp>
        <tr r="AT4" s="1"/>
        <tr r="AT4" s="1"/>
      </tp>
      <tp>
        <v>507</v>
        <stp/>
        <stp>OPEN_INT</stp>
        <stp>.SPY250512C592</stp>
        <tr r="AS4" s="1"/>
        <tr r="AS4" s="1"/>
      </tp>
      <tp>
        <v>0</v>
        <stp/>
        <stp>OPEN_INT</stp>
        <stp>.SPY250512P590</stp>
        <tr r="AT6" s="1"/>
        <tr r="AT6" s="1"/>
      </tp>
      <tp>
        <v>8552</v>
        <stp/>
        <stp>OPEN_INT</stp>
        <stp>.SPY250512C590</stp>
        <tr r="AS6" s="1"/>
        <tr r="AS6" s="1"/>
      </tp>
      <tp>
        <v>0</v>
        <stp/>
        <stp>OPEN_INT</stp>
        <stp>.SPY250512P591</stp>
        <tr r="AT5" s="1"/>
        <tr r="AT5" s="1"/>
      </tp>
      <tp>
        <v>1379</v>
        <stp/>
        <stp>OPEN_INT</stp>
        <stp>.SPY250512C591</stp>
        <tr r="AS5" s="1"/>
        <tr r="AS5" s="1"/>
      </tp>
      <tp>
        <v>1</v>
        <stp/>
        <stp>OPEN_INT</stp>
        <stp>.SPY250512P586</stp>
        <tr r="AT10" s="1"/>
        <tr r="AT10" s="1"/>
      </tp>
      <tp>
        <v>32</v>
        <stp/>
        <stp>OPEN_INT</stp>
        <stp>.SPY250516P582</stp>
        <tr r="AV14" s="1"/>
        <tr r="AV14" s="1"/>
      </tp>
      <tp>
        <v>5424</v>
        <stp/>
        <stp>OPEN_INT</stp>
        <stp>.SPY250512C586</stp>
        <tr r="AS10" s="1"/>
        <tr r="AS10" s="1"/>
      </tp>
      <tp>
        <v>5898</v>
        <stp/>
        <stp>OPEN_INT</stp>
        <stp>.SPY250516C582</stp>
        <tr r="AU14" s="1"/>
        <tr r="AU14" s="1"/>
      </tp>
      <tp>
        <v>0</v>
        <stp/>
        <stp>OPEN_INT</stp>
        <stp>.SPY250512P587</stp>
        <tr r="AT9" s="1"/>
        <tr r="AT9" s="1"/>
      </tp>
      <tp>
        <v>28</v>
        <stp/>
        <stp>OPEN_INT</stp>
        <stp>.SPY250516P583</stp>
        <tr r="AV13" s="1"/>
        <tr r="AV13" s="1"/>
      </tp>
      <tp>
        <v>2524</v>
        <stp/>
        <stp>OPEN_INT</stp>
        <stp>.SPY250512C587</stp>
        <tr r="AS9" s="1"/>
        <tr r="AS9" s="1"/>
      </tp>
      <tp>
        <v>4967</v>
        <stp/>
        <stp>OPEN_INT</stp>
        <stp>.SPY250516C583</stp>
        <tr r="AU13" s="1"/>
        <tr r="AU13" s="1"/>
      </tp>
      <tp>
        <v>0</v>
        <stp/>
        <stp>OPEN_INT</stp>
        <stp>.SPY250512P584</stp>
        <tr r="AT12" s="1"/>
        <tr r="AT12" s="1"/>
      </tp>
      <tp>
        <v>1626</v>
        <stp/>
        <stp>OPEN_INT</stp>
        <stp>.SPY250516P580</stp>
        <tr r="AV16" s="1"/>
        <tr r="AV16" s="1"/>
      </tp>
      <tp>
        <v>2315</v>
        <stp/>
        <stp>OPEN_INT</stp>
        <stp>.SPY250512C584</stp>
        <tr r="AS12" s="1"/>
        <tr r="AS12" s="1"/>
      </tp>
      <tp>
        <v>30332</v>
        <stp/>
        <stp>OPEN_INT</stp>
        <stp>.SPY250516C580</stp>
        <tr r="AU16" s="1"/>
        <tr r="AU16" s="1"/>
      </tp>
      <tp>
        <v>3</v>
        <stp/>
        <stp>OPEN_INT</stp>
        <stp>.SPY250512P585</stp>
        <tr r="AT11" s="1"/>
        <tr r="AT11" s="1"/>
      </tp>
      <tp>
        <v>226</v>
        <stp/>
        <stp>OPEN_INT</stp>
        <stp>.SPY250516P581</stp>
        <tr r="AV15" s="1"/>
        <tr r="AV15" s="1"/>
      </tp>
      <tp>
        <v>10600</v>
        <stp/>
        <stp>OPEN_INT</stp>
        <stp>.SPY250512C585</stp>
        <tr r="AS11" s="1"/>
        <tr r="AS11" s="1"/>
      </tp>
      <tp>
        <v>5962</v>
        <stp/>
        <stp>OPEN_INT</stp>
        <stp>.SPY250516C581</stp>
        <tr r="AU15" s="1"/>
        <tr r="AU15" s="1"/>
      </tp>
      <tp>
        <v>27</v>
        <stp/>
        <stp>OPEN_INT</stp>
        <stp>.SPY250512P582</stp>
        <tr r="AT14" s="1"/>
        <tr r="AT14" s="1"/>
      </tp>
      <tp>
        <v>34</v>
        <stp/>
        <stp>OPEN_INT</stp>
        <stp>.SPY250516P586</stp>
        <tr r="AV10" s="1"/>
        <tr r="AV10" s="1"/>
      </tp>
      <tp>
        <v>2034</v>
        <stp/>
        <stp>OPEN_INT</stp>
        <stp>.SPY250512C582</stp>
        <tr r="AS14" s="1"/>
        <tr r="AS14" s="1"/>
      </tp>
      <tp>
        <v>5265</v>
        <stp/>
        <stp>OPEN_INT</stp>
        <stp>.SPY250516C586</stp>
        <tr r="AU10" s="1"/>
        <tr r="AU10" s="1"/>
      </tp>
      <tp>
        <v>3</v>
        <stp/>
        <stp>OPEN_INT</stp>
        <stp>.SPY250512P583</stp>
        <tr r="AT13" s="1"/>
        <tr r="AT13" s="1"/>
      </tp>
      <tp>
        <v>32</v>
        <stp/>
        <stp>OPEN_INT</stp>
        <stp>.SPY250516P587</stp>
        <tr r="AV9" s="1"/>
        <tr r="AV9" s="1"/>
      </tp>
      <tp>
        <v>1925</v>
        <stp/>
        <stp>OPEN_INT</stp>
        <stp>.SPY250512C583</stp>
        <tr r="AS13" s="1"/>
        <tr r="AS13" s="1"/>
      </tp>
      <tp>
        <v>3511</v>
        <stp/>
        <stp>OPEN_INT</stp>
        <stp>.SPY250516C587</stp>
        <tr r="AU9" s="1"/>
        <tr r="AU9" s="1"/>
      </tp>
      <tp>
        <v>119</v>
        <stp/>
        <stp>OPEN_INT</stp>
        <stp>.SPY250512P580</stp>
        <tr r="AT16" s="1"/>
        <tr r="AT16" s="1"/>
      </tp>
      <tp>
        <v>6</v>
        <stp/>
        <stp>OPEN_INT</stp>
        <stp>.SPY250516P584</stp>
        <tr r="AV12" s="1"/>
        <tr r="AV12" s="1"/>
      </tp>
      <tp>
        <v>57112</v>
        <stp/>
        <stp>OPEN_INT</stp>
        <stp>.SPY250512C580</stp>
        <tr r="AS16" s="1"/>
        <tr r="AS16" s="1"/>
      </tp>
      <tp>
        <v>5766</v>
        <stp/>
        <stp>OPEN_INT</stp>
        <stp>.SPY250516C584</stp>
        <tr r="AU12" s="1"/>
        <tr r="AU12" s="1"/>
      </tp>
      <tp>
        <v>240</v>
        <stp/>
        <stp>OPEN_INT</stp>
        <stp>.SPY250512P581</stp>
        <tr r="AT15" s="1"/>
        <tr r="AT15" s="1"/>
      </tp>
      <tp>
        <v>815</v>
        <stp/>
        <stp>OPEN_INT</stp>
        <stp>.SPY250516P585</stp>
        <tr r="AV11" s="1"/>
        <tr r="AV11" s="1"/>
      </tp>
      <tp>
        <v>5430</v>
        <stp/>
        <stp>OPEN_INT</stp>
        <stp>.SPY250512C581</stp>
        <tr r="AS15" s="1"/>
        <tr r="AS15" s="1"/>
      </tp>
      <tp>
        <v>21437</v>
        <stp/>
        <stp>OPEN_INT</stp>
        <stp>.SPY250516C585</stp>
        <tr r="AU11" s="1"/>
        <tr r="AU11" s="1"/>
      </tp>
      <tp>
        <v>95</v>
        <stp/>
        <stp>OPEN_INT</stp>
        <stp>.SPY250516P588</stp>
        <tr r="AV8" s="1"/>
        <tr r="AV8" s="1"/>
      </tp>
      <tp>
        <v>5200</v>
        <stp/>
        <stp>OPEN_INT</stp>
        <stp>.SPY250516C588</stp>
        <tr r="AU8" s="1"/>
        <tr r="AU8" s="1"/>
      </tp>
      <tp>
        <v>34</v>
        <stp/>
        <stp>OPEN_INT</stp>
        <stp>.SPY250516P589</stp>
        <tr r="AV7" s="1"/>
        <tr r="AV7" s="1"/>
      </tp>
      <tp>
        <v>4147</v>
        <stp/>
        <stp>OPEN_INT</stp>
        <stp>.SPY250516C589</stp>
        <tr r="AU7" s="1"/>
        <tr r="AU7" s="1"/>
      </tp>
      <tp>
        <v>0</v>
        <stp/>
        <stp>OPEN_INT</stp>
        <stp>.SPY250512P588</stp>
        <tr r="AT8" s="1"/>
        <tr r="AT8" s="1"/>
      </tp>
      <tp>
        <v>1790</v>
        <stp/>
        <stp>OPEN_INT</stp>
        <stp>.SPY250512C588</stp>
        <tr r="AS8" s="1"/>
        <tr r="AS8" s="1"/>
      </tp>
      <tp>
        <v>1</v>
        <stp/>
        <stp>OPEN_INT</stp>
        <stp>.SPY250512P589</stp>
        <tr r="AT7" s="1"/>
        <tr r="AT7" s="1"/>
      </tp>
      <tp>
        <v>1874</v>
        <stp/>
        <stp>OPEN_INT</stp>
        <stp>.SPY250512C589</stp>
        <tr r="AS7" s="1"/>
        <tr r="AS7" s="1"/>
      </tp>
      <tp>
        <v>41</v>
        <stp/>
        <stp>OPEN_INT</stp>
        <stp>.NDX250516P21200</stp>
        <tr r="AV143" s="1"/>
        <tr r="AV143" s="1"/>
      </tp>
      <tp>
        <v>23</v>
        <stp/>
        <stp>OPEN_INT</stp>
        <stp>.NDX250516P20200</stp>
        <tr r="AV183" s="1"/>
        <tr r="AV183" s="1"/>
      </tp>
      <tp>
        <v>32</v>
        <stp/>
        <stp>OPEN_INT</stp>
        <stp>.NDX250620P20400</stp>
        <tr r="AX175" s="1"/>
        <tr r="AX175" s="1"/>
      </tp>
      <tp>
        <v>0</v>
        <stp/>
        <stp>OPEN_INT</stp>
        <stp>.NDX250516P21225</stp>
        <tr r="AV142" s="1"/>
        <tr r="AV142" s="1"/>
      </tp>
      <tp>
        <v>33</v>
        <stp/>
        <stp>OPEN_INT</stp>
        <stp>.NDX250516P20225</stp>
        <tr r="AV182" s="1"/>
        <tr r="AV182" s="1"/>
      </tp>
      <tp>
        <v>6</v>
        <stp/>
        <stp>OPEN_INT</stp>
        <stp>.NDX250620P20425</stp>
        <tr r="AX174" s="1"/>
        <tr r="AX174" s="1"/>
      </tp>
      <tp>
        <v>0</v>
        <stp/>
        <stp>OPEN_INT</stp>
        <stp>.NDX250516P21250</stp>
        <tr r="AV141" s="1"/>
        <tr r="AV141" s="1"/>
      </tp>
      <tp>
        <v>5</v>
        <stp/>
        <stp>OPEN_INT</stp>
        <stp>.NDX250516P20250</stp>
        <tr r="AV181" s="1"/>
        <tr r="AV181" s="1"/>
      </tp>
      <tp>
        <v>13</v>
        <stp/>
        <stp>OPEN_INT</stp>
        <stp>.NDX250620P20450</stp>
        <tr r="AX173" s="1"/>
        <tr r="AX173" s="1"/>
      </tp>
      <tp>
        <v>0</v>
        <stp/>
        <stp>OPEN_INT</stp>
        <stp>.NDX250516P21275</stp>
        <tr r="AV140" s="1"/>
        <tr r="AV140" s="1"/>
      </tp>
      <tp>
        <v>4</v>
        <stp/>
        <stp>OPEN_INT</stp>
        <stp>.NDX250516P20275</stp>
        <tr r="AV180" s="1"/>
        <tr r="AV180" s="1"/>
      </tp>
      <tp>
        <v>33</v>
        <stp/>
        <stp>OPEN_INT</stp>
        <stp>.NDX250620P20475</stp>
        <tr r="AX172" s="1"/>
        <tr r="AX172" s="1"/>
      </tp>
      <tp>
        <v>13</v>
        <stp/>
        <stp>OPEN_INT</stp>
        <stp>.NDX250516C21225</stp>
        <tr r="AU142" s="1"/>
        <tr r="AU142" s="1"/>
      </tp>
      <tp>
        <v>34</v>
        <stp/>
        <stp>OPEN_INT</stp>
        <stp>.NDX250516C20225</stp>
        <tr r="AU182" s="1"/>
        <tr r="AU182" s="1"/>
      </tp>
      <tp>
        <v>23</v>
        <stp/>
        <stp>OPEN_INT</stp>
        <stp>.NDX250620C20425</stp>
        <tr r="AW174" s="1"/>
        <tr r="AW174" s="1"/>
      </tp>
      <tp>
        <v>71</v>
        <stp/>
        <stp>OPEN_INT</stp>
        <stp>.NDX250516C21200</stp>
        <tr r="AU143" s="1"/>
        <tr r="AU143" s="1"/>
      </tp>
      <tp>
        <v>56</v>
        <stp/>
        <stp>OPEN_INT</stp>
        <stp>.NDX250516C20200</stp>
        <tr r="AU183" s="1"/>
        <tr r="AU183" s="1"/>
      </tp>
      <tp>
        <v>30</v>
        <stp/>
        <stp>OPEN_INT</stp>
        <stp>.NDX250620C20400</stp>
        <tr r="AW175" s="1"/>
        <tr r="AW175" s="1"/>
      </tp>
      <tp>
        <v>5</v>
        <stp/>
        <stp>OPEN_INT</stp>
        <stp>.NDX250516C21275</stp>
        <tr r="AU140" s="1"/>
        <tr r="AU140" s="1"/>
      </tp>
      <tp>
        <v>28</v>
        <stp/>
        <stp>OPEN_INT</stp>
        <stp>.NDX250516C20275</stp>
        <tr r="AU180" s="1"/>
        <tr r="AU180" s="1"/>
      </tp>
      <tp>
        <v>39</v>
        <stp/>
        <stp>OPEN_INT</stp>
        <stp>.NDX250620C20475</stp>
        <tr r="AW172" s="1"/>
        <tr r="AW172" s="1"/>
      </tp>
      <tp>
        <v>8</v>
        <stp/>
        <stp>OPEN_INT</stp>
        <stp>.NDX250516C21250</stp>
        <tr r="AU141" s="1"/>
        <tr r="AU141" s="1"/>
      </tp>
      <tp>
        <v>50</v>
        <stp/>
        <stp>OPEN_INT</stp>
        <stp>.NDX250516C20250</stp>
        <tr r="AU181" s="1"/>
        <tr r="AU181" s="1"/>
      </tp>
      <tp>
        <v>204</v>
        <stp/>
        <stp>OPEN_INT</stp>
        <stp>.NDX250620C20450</stp>
        <tr r="AW173" s="1"/>
        <tr r="AW173" s="1"/>
      </tp>
      <tp>
        <v>47</v>
        <stp/>
        <stp>OPEN_INT</stp>
        <stp>.NDX250516P21100</stp>
        <tr r="AV147" s="1"/>
        <tr r="AV147" s="1"/>
      </tp>
      <tp>
        <v>76</v>
        <stp/>
        <stp>OPEN_INT</stp>
        <stp>.NDX250516P20100</stp>
        <tr r="AV187" s="1"/>
        <tr r="AV187" s="1"/>
      </tp>
      <tp>
        <v>29</v>
        <stp/>
        <stp>OPEN_INT</stp>
        <stp>.NDX250620P20700</stp>
        <tr r="AX163" s="1"/>
        <tr r="AX163" s="1"/>
      </tp>
      <tp>
        <v>0</v>
        <stp/>
        <stp>OPEN_INT</stp>
        <stp>.NDX250516P21125</stp>
        <tr r="AV146" s="1"/>
        <tr r="AV146" s="1"/>
      </tp>
      <tp>
        <v>36</v>
        <stp/>
        <stp>OPEN_INT</stp>
        <stp>.NDX250516P20125</stp>
        <tr r="AV186" s="1"/>
        <tr r="AV186" s="1"/>
      </tp>
      <tp>
        <v>0</v>
        <stp/>
        <stp>OPEN_INT</stp>
        <stp>.NDX250620P20725</stp>
        <tr r="AX162" s="1"/>
        <tr r="AX162" s="1"/>
      </tp>
      <tp>
        <v>5</v>
        <stp/>
        <stp>OPEN_INT</stp>
        <stp>.NDX250516P21150</stp>
        <tr r="AV145" s="1"/>
        <tr r="AV145" s="1"/>
      </tp>
      <tp>
        <v>9</v>
        <stp/>
        <stp>OPEN_INT</stp>
        <stp>.NDX250516P20150</stp>
        <tr r="AV185" s="1"/>
        <tr r="AV185" s="1"/>
      </tp>
      <tp>
        <v>6</v>
        <stp/>
        <stp>OPEN_INT</stp>
        <stp>.NDX250620P20750</stp>
        <tr r="AX161" s="1"/>
        <tr r="AX161" s="1"/>
      </tp>
      <tp>
        <v>0</v>
        <stp/>
        <stp>OPEN_INT</stp>
        <stp>.NDX250516P21175</stp>
        <tr r="AV144" s="1"/>
        <tr r="AV144" s="1"/>
      </tp>
      <tp>
        <v>6</v>
        <stp/>
        <stp>OPEN_INT</stp>
        <stp>.NDX250516P20175</stp>
        <tr r="AV184" s="1"/>
        <tr r="AV184" s="1"/>
      </tp>
      <tp>
        <v>0</v>
        <stp/>
        <stp>OPEN_INT</stp>
        <stp>.NDX250620P20775</stp>
        <tr r="AX160" s="1"/>
        <tr r="AX160" s="1"/>
      </tp>
      <tp>
        <v>8</v>
        <stp/>
        <stp>OPEN_INT</stp>
        <stp>.NDX250516C21125</stp>
        <tr r="AU146" s="1"/>
        <tr r="AU146" s="1"/>
      </tp>
      <tp>
        <v>27</v>
        <stp/>
        <stp>OPEN_INT</stp>
        <stp>.NDX250516C20125</stp>
        <tr r="AU186" s="1"/>
        <tr r="AU186" s="1"/>
      </tp>
      <tp>
        <v>12</v>
        <stp/>
        <stp>OPEN_INT</stp>
        <stp>.NDX250620C20725</stp>
        <tr r="AW162" s="1"/>
        <tr r="AW162" s="1"/>
      </tp>
      <tp>
        <v>111</v>
        <stp/>
        <stp>OPEN_INT</stp>
        <stp>.NDX250516C21100</stp>
        <tr r="AU147" s="1"/>
        <tr r="AU147" s="1"/>
      </tp>
      <tp>
        <v>92</v>
        <stp/>
        <stp>OPEN_INT</stp>
        <stp>.NDX250516C20100</stp>
        <tr r="AU187" s="1"/>
        <tr r="AU187" s="1"/>
      </tp>
      <tp>
        <v>44</v>
        <stp/>
        <stp>OPEN_INT</stp>
        <stp>.NDX250620C20700</stp>
        <tr r="AW163" s="1"/>
        <tr r="AW163" s="1"/>
      </tp>
      <tp>
        <v>16</v>
        <stp/>
        <stp>OPEN_INT</stp>
        <stp>.NDX250516C21175</stp>
        <tr r="AU144" s="1"/>
        <tr r="AU144" s="1"/>
      </tp>
      <tp>
        <v>20</v>
        <stp/>
        <stp>OPEN_INT</stp>
        <stp>.NDX250516C20175</stp>
        <tr r="AU184" s="1"/>
        <tr r="AU184" s="1"/>
      </tp>
      <tp>
        <v>10</v>
        <stp/>
        <stp>OPEN_INT</stp>
        <stp>.NDX250620C20775</stp>
        <tr r="AW160" s="1"/>
        <tr r="AW160" s="1"/>
      </tp>
      <tp>
        <v>20</v>
        <stp/>
        <stp>OPEN_INT</stp>
        <stp>.NDX250516C21150</stp>
        <tr r="AU145" s="1"/>
        <tr r="AU145" s="1"/>
      </tp>
      <tp>
        <v>20</v>
        <stp/>
        <stp>OPEN_INT</stp>
        <stp>.NDX250516C20150</stp>
        <tr r="AU185" s="1"/>
        <tr r="AU185" s="1"/>
      </tp>
      <tp>
        <v>44</v>
        <stp/>
        <stp>OPEN_INT</stp>
        <stp>.NDX250620C20750</stp>
        <tr r="AW161" s="1"/>
        <tr r="AW161" s="1"/>
      </tp>
      <tp t="s">
        <v>39.62%</v>
        <stp/>
        <stp>IMPL_VOL</stp>
        <stp>.SPXW250512C5890</stp>
        <tr r="EL98" s="1"/>
      </tp>
      <tp t="s">
        <v>--</v>
        <stp/>
        <stp>IMPL_VOL</stp>
        <stp>.SPXW250512P5890</stp>
        <tr r="EM98" s="1"/>
      </tp>
      <tp t="s">
        <v>31.84%</v>
        <stp/>
        <stp>IMPL_VOL</stp>
        <stp>.SPXW250512C5880</stp>
        <tr r="EL99" s="1"/>
      </tp>
      <tp t="s">
        <v>--</v>
        <stp/>
        <stp>IMPL_VOL</stp>
        <stp>.SPXW250512P5880</stp>
        <tr r="EM99" s="1"/>
      </tp>
      <tp t="s">
        <v>38.86%</v>
        <stp/>
        <stp>IMPL_VOL</stp>
        <stp>.SPXW250512C5810</stp>
        <tr r="EL106" s="1"/>
      </tp>
      <tp t="s">
        <v>30.70%</v>
        <stp/>
        <stp>IMPL_VOL</stp>
        <stp>.SPXW250512P5810</stp>
        <tr r="EM106" s="1"/>
      </tp>
      <tp t="s">
        <v>48.33%</v>
        <stp/>
        <stp>IMPL_VOL</stp>
        <stp>.SPXW250512C5800</stp>
        <tr r="EL107" s="1"/>
      </tp>
      <tp t="s">
        <v>38.69%</v>
        <stp/>
        <stp>IMPL_VOL</stp>
        <stp>.SPXW250512P5800</stp>
        <tr r="EM107" s="1"/>
      </tp>
      <tp t="s">
        <v>26.63%</v>
        <stp/>
        <stp>IMPL_VOL</stp>
        <stp>.SPXW250512C5830</stp>
        <tr r="EL104" s="1"/>
      </tp>
      <tp t="s">
        <v>14.20%</v>
        <stp/>
        <stp>IMPL_VOL</stp>
        <stp>.SPXW250512P5830</stp>
        <tr r="EM104" s="1"/>
      </tp>
      <tp t="s">
        <v>42.89%</v>
        <stp/>
        <stp>IMPL_VOL</stp>
        <stp>.SPXW250512C5820</stp>
        <tr r="EL105" s="1"/>
      </tp>
      <tp t="s">
        <v>22.62%</v>
        <stp/>
        <stp>IMPL_VOL</stp>
        <stp>.SPXW250512P5820</stp>
        <tr r="EM105" s="1"/>
      </tp>
      <tp t="s">
        <v>6.59%</v>
        <stp/>
        <stp>IMPL_VOL</stp>
        <stp>.SPXW250512C5850</stp>
        <tr r="EL102" s="1"/>
      </tp>
      <tp t="s">
        <v>--</v>
        <stp/>
        <stp>IMPL_VOL</stp>
        <stp>.SPXW250512P5850</stp>
        <tr r="EM102" s="1"/>
      </tp>
      <tp t="s">
        <v>6.57%</v>
        <stp/>
        <stp>IMPL_VOL</stp>
        <stp>.SPXW250512C5840</stp>
        <tr r="EL103" s="1"/>
      </tp>
      <tp t="s">
        <v>5.05%</v>
        <stp/>
        <stp>IMPL_VOL</stp>
        <stp>.SPXW250512P5840</stp>
        <tr r="EM103" s="1"/>
      </tp>
      <tp t="s">
        <v>23.82%</v>
        <stp/>
        <stp>IMPL_VOL</stp>
        <stp>.SPXW250512C5870</stp>
        <tr r="EL100" s="1"/>
      </tp>
      <tp t="s">
        <v>32.41%</v>
        <stp/>
        <stp>IMPL_VOL</stp>
        <stp>.SPXW250512P5870</stp>
        <tr r="EM100" s="1"/>
      </tp>
      <tp t="s">
        <v>15.53%</v>
        <stp/>
        <stp>IMPL_VOL</stp>
        <stp>.SPXW250512C5860</stp>
        <tr r="EL101" s="1"/>
      </tp>
      <tp t="s">
        <v>--</v>
        <stp/>
        <stp>IMPL_VOL</stp>
        <stp>.SPXW250512P5860</stp>
        <tr r="EM101" s="1"/>
      </tp>
      <tp>
        <v>41</v>
        <stp/>
        <stp>OPEN_INT</stp>
        <stp>.NDX250516P21000</stp>
        <tr r="AV151" s="1"/>
        <tr r="AV151" s="1"/>
      </tp>
      <tp>
        <v>42</v>
        <stp/>
        <stp>OPEN_INT</stp>
        <stp>.NDX250620P20600</stp>
        <tr r="AX167" s="1"/>
        <tr r="AX167" s="1"/>
      </tp>
      <tp>
        <v>1</v>
        <stp/>
        <stp>OPEN_INT</stp>
        <stp>.NDX250516P21025</stp>
        <tr r="AV150" s="1"/>
        <tr r="AV150" s="1"/>
      </tp>
      <tp>
        <v>1</v>
        <stp/>
        <stp>OPEN_INT</stp>
        <stp>.NDX250620P20625</stp>
        <tr r="AX166" s="1"/>
        <tr r="AX166" s="1"/>
      </tp>
      <tp>
        <v>2</v>
        <stp/>
        <stp>OPEN_INT</stp>
        <stp>.NDX250516P21050</stp>
        <tr r="AV149" s="1"/>
        <tr r="AV149" s="1"/>
      </tp>
      <tp>
        <v>24</v>
        <stp/>
        <stp>OPEN_INT</stp>
        <stp>.NDX250516P20050</stp>
        <tr r="AV189" s="1"/>
        <tr r="AV189" s="1"/>
      </tp>
      <tp>
        <v>4</v>
        <stp/>
        <stp>OPEN_INT</stp>
        <stp>.NDX250620P20650</stp>
        <tr r="AX165" s="1"/>
        <tr r="AX165" s="1"/>
      </tp>
      <tp>
        <v>0</v>
        <stp/>
        <stp>OPEN_INT</stp>
        <stp>.NDX250516P21075</stp>
        <tr r="AV148" s="1"/>
        <tr r="AV148" s="1"/>
      </tp>
      <tp>
        <v>34</v>
        <stp/>
        <stp>OPEN_INT</stp>
        <stp>.NDX250516P20075</stp>
        <tr r="AV188" s="1"/>
        <tr r="AV188" s="1"/>
      </tp>
      <tp>
        <v>2</v>
        <stp/>
        <stp>OPEN_INT</stp>
        <stp>.NDX250620P20675</stp>
        <tr r="AX164" s="1"/>
        <tr r="AX164" s="1"/>
      </tp>
      <tp>
        <v>19</v>
        <stp/>
        <stp>OPEN_INT</stp>
        <stp>.NDX250516C21025</stp>
        <tr r="AU150" s="1"/>
        <tr r="AU150" s="1"/>
      </tp>
      <tp>
        <v>8</v>
        <stp/>
        <stp>OPEN_INT</stp>
        <stp>.NDX250620C20625</stp>
        <tr r="AW166" s="1"/>
        <tr r="AW166" s="1"/>
      </tp>
      <tp>
        <v>503</v>
        <stp/>
        <stp>OPEN_INT</stp>
        <stp>.NDX250516C21000</stp>
        <tr r="AU151" s="1"/>
        <tr r="AU151" s="1"/>
      </tp>
      <tp>
        <v>125</v>
        <stp/>
        <stp>OPEN_INT</stp>
        <stp>.NDX250620C20600</stp>
        <tr r="AW167" s="1"/>
        <tr r="AW167" s="1"/>
      </tp>
      <tp>
        <v>5</v>
        <stp/>
        <stp>OPEN_INT</stp>
        <stp>.NDX250516C21075</stp>
        <tr r="AU148" s="1"/>
        <tr r="AU148" s="1"/>
      </tp>
      <tp>
        <v>39</v>
        <stp/>
        <stp>OPEN_INT</stp>
        <stp>.NDX250516C20075</stp>
        <tr r="AU188" s="1"/>
        <tr r="AU188" s="1"/>
      </tp>
      <tp>
        <v>24</v>
        <stp/>
        <stp>OPEN_INT</stp>
        <stp>.NDX250620C20675</stp>
        <tr r="AW164" s="1"/>
        <tr r="AW164" s="1"/>
      </tp>
      <tp>
        <v>1808</v>
        <stp/>
        <stp>OPEN_INT</stp>
        <stp>.SPY250620P558</stp>
        <tr r="AX38" s="1"/>
        <tr r="AX38" s="1"/>
      </tp>
      <tp>
        <v>201</v>
        <stp/>
        <stp>OPEN_INT</stp>
        <stp>.SPY250620C558</stp>
        <tr r="AW38" s="1"/>
        <tr r="AW38" s="1"/>
      </tp>
      <tp>
        <v>1248</v>
        <stp/>
        <stp>OPEN_INT</stp>
        <stp>.SPY250620P559</stp>
        <tr r="AX37" s="1"/>
        <tr r="AX37" s="1"/>
      </tp>
      <tp>
        <v>190</v>
        <stp/>
        <stp>OPEN_INT</stp>
        <stp>.SPY250620C559</stp>
        <tr r="AW37" s="1"/>
        <tr r="AW37" s="1"/>
      </tp>
      <tp>
        <v>887</v>
        <stp/>
        <stp>OPEN_INT</stp>
        <stp>.SPY250620P564</stp>
        <tr r="AX32" s="1"/>
        <tr r="AX32" s="1"/>
      </tp>
      <tp>
        <v>939</v>
        <stp/>
        <stp>OPEN_INT</stp>
        <stp>.SPY250620C564</stp>
        <tr r="AW32" s="1"/>
        <tr r="AW32" s="1"/>
      </tp>
      <tp>
        <v>12828</v>
        <stp/>
        <stp>OPEN_INT</stp>
        <stp>.SPY250620P565</stp>
        <tr r="AX31" s="1"/>
        <tr r="AX31" s="1"/>
      </tp>
      <tp>
        <v>21511</v>
        <stp/>
        <stp>OPEN_INT</stp>
        <stp>.SPY250620C565</stp>
        <tr r="AW31" s="1"/>
        <tr r="AW31" s="1"/>
      </tp>
      <tp>
        <v>864</v>
        <stp/>
        <stp>OPEN_INT</stp>
        <stp>.SPY250620P566</stp>
        <tr r="AX30" s="1"/>
        <tr r="AX30" s="1"/>
      </tp>
      <tp>
        <v>661</v>
        <stp/>
        <stp>OPEN_INT</stp>
        <stp>.SPY250620C566</stp>
        <tr r="AW30" s="1"/>
        <tr r="AW30" s="1"/>
      </tp>
      <tp>
        <v>1005</v>
        <stp/>
        <stp>OPEN_INT</stp>
        <stp>.SPY250620P567</stp>
        <tr r="AX29" s="1"/>
        <tr r="AX29" s="1"/>
      </tp>
      <tp>
        <v>689</v>
        <stp/>
        <stp>OPEN_INT</stp>
        <stp>.SPY250620C567</stp>
        <tr r="AW29" s="1"/>
        <tr r="AW29" s="1"/>
      </tp>
      <tp>
        <v>45025</v>
        <stp/>
        <stp>OPEN_INT</stp>
        <stp>.SPY250620P560</stp>
        <tr r="AX36" s="1"/>
        <tr r="AX36" s="1"/>
      </tp>
      <tp>
        <v>70853</v>
        <stp/>
        <stp>OPEN_INT</stp>
        <stp>.SPY250620C560</stp>
        <tr r="AW36" s="1"/>
        <tr r="AW36" s="1"/>
      </tp>
      <tp>
        <v>2045</v>
        <stp/>
        <stp>OPEN_INT</stp>
        <stp>.SPY250620P561</stp>
        <tr r="AX35" s="1"/>
        <tr r="AX35" s="1"/>
      </tp>
      <tp>
        <v>965</v>
        <stp/>
        <stp>OPEN_INT</stp>
        <stp>.SPY250620C561</stp>
        <tr r="AW35" s="1"/>
        <tr r="AW35" s="1"/>
      </tp>
      <tp>
        <v>1866</v>
        <stp/>
        <stp>OPEN_INT</stp>
        <stp>.SPY250620P562</stp>
        <tr r="AX34" s="1"/>
        <tr r="AX34" s="1"/>
      </tp>
      <tp>
        <v>1466</v>
        <stp/>
        <stp>OPEN_INT</stp>
        <stp>.SPY250620C562</stp>
        <tr r="AW34" s="1"/>
        <tr r="AW34" s="1"/>
      </tp>
      <tp>
        <v>1104</v>
        <stp/>
        <stp>OPEN_INT</stp>
        <stp>.SPY250620P563</stp>
        <tr r="AX33" s="1"/>
        <tr r="AX33" s="1"/>
      </tp>
      <tp>
        <v>924</v>
        <stp/>
        <stp>OPEN_INT</stp>
        <stp>.SPY250620C563</stp>
        <tr r="AW33" s="1"/>
        <tr r="AW33" s="1"/>
      </tp>
      <tp>
        <v>1146</v>
        <stp/>
        <stp>OPEN_INT</stp>
        <stp>.SPY250620P568</stp>
        <tr r="AX28" s="1"/>
        <tr r="AX28" s="1"/>
      </tp>
      <tp>
        <v>1711</v>
        <stp/>
        <stp>OPEN_INT</stp>
        <stp>.SPY250620C568</stp>
        <tr r="AW28" s="1"/>
        <tr r="AW28" s="1"/>
      </tp>
      <tp>
        <v>1043</v>
        <stp/>
        <stp>OPEN_INT</stp>
        <stp>.SPY250620P569</stp>
        <tr r="AX27" s="1"/>
        <tr r="AX27" s="1"/>
      </tp>
      <tp>
        <v>1402</v>
        <stp/>
        <stp>OPEN_INT</stp>
        <stp>.SPY250620C569</stp>
        <tr r="AW27" s="1"/>
        <tr r="AW27" s="1"/>
      </tp>
      <tp>
        <v>15</v>
        <stp/>
        <stp>OPEN_INT</stp>
        <stp>.NDX250516C21050</stp>
        <tr r="AU149" s="1"/>
        <tr r="AU149" s="1"/>
      </tp>
      <tp>
        <v>32</v>
        <stp/>
        <stp>OPEN_INT</stp>
        <stp>.NDX250516C20050</stp>
        <tr r="AU189" s="1"/>
        <tr r="AU189" s="1"/>
      </tp>
      <tp>
        <v>6</v>
        <stp/>
        <stp>OPEN_INT</stp>
        <stp>.NDX250620C20650</stp>
        <tr r="AW165" s="1"/>
        <tr r="AW165" s="1"/>
      </tp>
      <tp>
        <v>314</v>
        <stp/>
        <stp>OPEN_INT</stp>
        <stp>.SPY250620P574</stp>
        <tr r="AX22" s="1"/>
        <tr r="AX22" s="1"/>
      </tp>
      <tp>
        <v>1083</v>
        <stp/>
        <stp>OPEN_INT</stp>
        <stp>.SPY250620C574</stp>
        <tr r="AW22" s="1"/>
        <tr r="AW22" s="1"/>
      </tp>
      <tp>
        <v>16865</v>
        <stp/>
        <stp>OPEN_INT</stp>
        <stp>.SPY250620P575</stp>
        <tr r="AX21" s="1"/>
        <tr r="AX21" s="1"/>
      </tp>
      <tp>
        <v>26643</v>
        <stp/>
        <stp>OPEN_INT</stp>
        <stp>.SPY250620C575</stp>
        <tr r="AW21" s="1"/>
        <tr r="AW21" s="1"/>
      </tp>
      <tp>
        <v>203</v>
        <stp/>
        <stp>OPEN_INT</stp>
        <stp>.SPY250620P576</stp>
        <tr r="AX20" s="1"/>
        <tr r="AX20" s="1"/>
      </tp>
      <tp>
        <v>1295</v>
        <stp/>
        <stp>OPEN_INT</stp>
        <stp>.SPY250620C576</stp>
        <tr r="AW20" s="1"/>
        <tr r="AW20" s="1"/>
      </tp>
      <tp>
        <v>205</v>
        <stp/>
        <stp>OPEN_INT</stp>
        <stp>.SPY250620P577</stp>
        <tr r="AX19" s="1"/>
        <tr r="AX19" s="1"/>
      </tp>
      <tp>
        <v>1527</v>
        <stp/>
        <stp>OPEN_INT</stp>
        <stp>.SPY250620C577</stp>
        <tr r="AW19" s="1"/>
        <tr r="AW19" s="1"/>
      </tp>
      <tp>
        <v>19500</v>
        <stp/>
        <stp>OPEN_INT</stp>
        <stp>.SPY250620P570</stp>
        <tr r="AX26" s="1"/>
        <tr r="AX26" s="1"/>
      </tp>
      <tp>
        <v>45844</v>
        <stp/>
        <stp>OPEN_INT</stp>
        <stp>.SPY250620C570</stp>
        <tr r="AW26" s="1"/>
        <tr r="AW26" s="1"/>
      </tp>
      <tp>
        <v>515</v>
        <stp/>
        <stp>OPEN_INT</stp>
        <stp>.SPY250620P571</stp>
        <tr r="AX25" s="1"/>
        <tr r="AX25" s="1"/>
      </tp>
      <tp>
        <v>1447</v>
        <stp/>
        <stp>OPEN_INT</stp>
        <stp>.SPY250620C571</stp>
        <tr r="AW25" s="1"/>
        <tr r="AW25" s="1"/>
      </tp>
      <tp>
        <v>182</v>
        <stp/>
        <stp>OPEN_INT</stp>
        <stp>.SPY250620P572</stp>
        <tr r="AX24" s="1"/>
        <tr r="AX24" s="1"/>
      </tp>
      <tp>
        <v>782</v>
        <stp/>
        <stp>OPEN_INT</stp>
        <stp>.SPY250620C572</stp>
        <tr r="AW24" s="1"/>
        <tr r="AW24" s="1"/>
      </tp>
      <tp>
        <v>332</v>
        <stp/>
        <stp>OPEN_INT</stp>
        <stp>.SPY250620P573</stp>
        <tr r="AX23" s="1"/>
        <tr r="AX23" s="1"/>
      </tp>
      <tp>
        <v>995</v>
        <stp/>
        <stp>OPEN_INT</stp>
        <stp>.SPY250620C573</stp>
        <tr r="AW23" s="1"/>
        <tr r="AW23" s="1"/>
      </tp>
      <tp>
        <v>165</v>
        <stp/>
        <stp>OPEN_INT</stp>
        <stp>.SPY250620P578</stp>
        <tr r="AX18" s="1"/>
        <tr r="AX18" s="1"/>
      </tp>
      <tp>
        <v>1243</v>
        <stp/>
        <stp>OPEN_INT</stp>
        <stp>.SPY250620C578</stp>
        <tr r="AW18" s="1"/>
        <tr r="AW18" s="1"/>
      </tp>
      <tp>
        <v>171</v>
        <stp/>
        <stp>OPEN_INT</stp>
        <stp>.SPY250620P579</stp>
        <tr r="AX17" s="1"/>
        <tr r="AX17" s="1"/>
      </tp>
      <tp>
        <v>590</v>
        <stp/>
        <stp>OPEN_INT</stp>
        <stp>.SPY250620C579</stp>
        <tr r="AW17" s="1"/>
        <tr r="AW17" s="1"/>
      </tp>
      <tp>
        <v>62</v>
        <stp/>
        <stp>OPEN_INT</stp>
        <stp>.SPY250620P584</stp>
        <tr r="AX12" s="1"/>
        <tr r="AX12" s="1"/>
      </tp>
      <tp>
        <v>435</v>
        <stp/>
        <stp>OPEN_INT</stp>
        <stp>.SPY250620C584</stp>
        <tr r="AW12" s="1"/>
        <tr r="AW12" s="1"/>
      </tp>
      <tp>
        <v>12125</v>
        <stp/>
        <stp>OPEN_INT</stp>
        <stp>.SPY250620P585</stp>
        <tr r="AX11" s="1"/>
        <tr r="AX11" s="1"/>
      </tp>
      <tp>
        <v>21262</v>
        <stp/>
        <stp>OPEN_INT</stp>
        <stp>.SPY250620C585</stp>
        <tr r="AW11" s="1"/>
        <tr r="AW11" s="1"/>
      </tp>
      <tp>
        <v>10</v>
        <stp/>
        <stp>OPEN_INT</stp>
        <stp>.SPY250620P586</stp>
        <tr r="AX10" s="1"/>
        <tr r="AX10" s="1"/>
      </tp>
      <tp>
        <v>1599</v>
        <stp/>
        <stp>OPEN_INT</stp>
        <stp>.SPY250620C586</stp>
        <tr r="AW10" s="1"/>
        <tr r="AW10" s="1"/>
      </tp>
      <tp>
        <v>3</v>
        <stp/>
        <stp>OPEN_INT</stp>
        <stp>.SPY250620P587</stp>
        <tr r="AX9" s="1"/>
        <tr r="AX9" s="1"/>
      </tp>
      <tp>
        <v>2025</v>
        <stp/>
        <stp>OPEN_INT</stp>
        <stp>.SPY250620C587</stp>
        <tr r="AW9" s="1"/>
        <tr r="AW9" s="1"/>
      </tp>
      <tp>
        <v>21787</v>
        <stp/>
        <stp>OPEN_INT</stp>
        <stp>.SPY250620P580</stp>
        <tr r="AX16" s="1"/>
        <tr r="AX16" s="1"/>
      </tp>
      <tp>
        <v>108751</v>
        <stp/>
        <stp>OPEN_INT</stp>
        <stp>.SPY250620C580</stp>
        <tr r="AW16" s="1"/>
        <tr r="AW16" s="1"/>
      </tp>
      <tp>
        <v>165</v>
        <stp/>
        <stp>OPEN_INT</stp>
        <stp>.SPY250620P581</stp>
        <tr r="AX15" s="1"/>
        <tr r="AX15" s="1"/>
      </tp>
      <tp>
        <v>1533</v>
        <stp/>
        <stp>OPEN_INT</stp>
        <stp>.SPY250620C581</stp>
        <tr r="AW15" s="1"/>
        <tr r="AW15" s="1"/>
      </tp>
      <tp>
        <v>17</v>
        <stp/>
        <stp>OPEN_INT</stp>
        <stp>.SPY250620P582</stp>
        <tr r="AX14" s="1"/>
        <tr r="AX14" s="1"/>
      </tp>
      <tp>
        <v>927</v>
        <stp/>
        <stp>OPEN_INT</stp>
        <stp>.SPY250620C582</stp>
        <tr r="AW14" s="1"/>
        <tr r="AW14" s="1"/>
      </tp>
      <tp>
        <v>28</v>
        <stp/>
        <stp>OPEN_INT</stp>
        <stp>.SPY250620P583</stp>
        <tr r="AX13" s="1"/>
        <tr r="AX13" s="1"/>
      </tp>
      <tp>
        <v>567</v>
        <stp/>
        <stp>OPEN_INT</stp>
        <stp>.SPY250620C583</stp>
        <tr r="AW13" s="1"/>
        <tr r="AW13" s="1"/>
      </tp>
      <tp>
        <v>12</v>
        <stp/>
        <stp>OPEN_INT</stp>
        <stp>.SPY250620P588</stp>
        <tr r="AX8" s="1"/>
        <tr r="AX8" s="1"/>
      </tp>
      <tp>
        <v>1584</v>
        <stp/>
        <stp>OPEN_INT</stp>
        <stp>.SPY250620C588</stp>
        <tr r="AW8" s="1"/>
        <tr r="AW8" s="1"/>
      </tp>
      <tp>
        <v>8</v>
        <stp/>
        <stp>OPEN_INT</stp>
        <stp>.SPY250620P589</stp>
        <tr r="AX7" s="1"/>
        <tr r="AX7" s="1"/>
      </tp>
      <tp>
        <v>476</v>
        <stp/>
        <stp>OPEN_INT</stp>
        <stp>.SPY250620C589</stp>
        <tr r="AW7" s="1"/>
        <tr r="AW7" s="1"/>
      </tp>
      <tp>
        <v>1732</v>
        <stp/>
        <stp>OPEN_INT</stp>
        <stp>.SPY250620P590</stp>
        <tr r="AX6" s="1"/>
        <tr r="AX6" s="1"/>
      </tp>
      <tp>
        <v>35323</v>
        <stp/>
        <stp>OPEN_INT</stp>
        <stp>.SPY250620C590</stp>
        <tr r="AW6" s="1"/>
        <tr r="AW6" s="1"/>
      </tp>
      <tp>
        <v>0</v>
        <stp/>
        <stp>OPEN_INT</stp>
        <stp>.SPY250620P591</stp>
        <tr r="AX5" s="1"/>
        <tr r="AX5" s="1"/>
      </tp>
      <tp>
        <v>1426</v>
        <stp/>
        <stp>OPEN_INT</stp>
        <stp>.SPY250620C591</stp>
        <tr r="AW5" s="1"/>
        <tr r="AW5" s="1"/>
      </tp>
      <tp>
        <v>1</v>
        <stp/>
        <stp>OPEN_INT</stp>
        <stp>.SPY250620P592</stp>
        <tr r="AX4" s="1"/>
        <tr r="AX4" s="1"/>
      </tp>
      <tp>
        <v>351</v>
        <stp/>
        <stp>OPEN_INT</stp>
        <stp>.SPY250620C592</stp>
        <tr r="AW4" s="1"/>
        <tr r="AW4" s="1"/>
      </tp>
      <tp t="s">
        <v>N/A</v>
        <stp/>
        <stp>IMPL_VOL</stp>
        <stp>.SPXW250512C5990</stp>
        <tr r="EL88" s="1"/>
      </tp>
      <tp t="s">
        <v>N/A</v>
        <stp/>
        <stp>IMPL_VOL</stp>
        <stp>.SPXW250512P5990</stp>
        <tr r="EM88" s="1"/>
      </tp>
      <tp t="s">
        <v>N/A</v>
        <stp/>
        <stp>IMPL_VOL</stp>
        <stp>.SPXW250512C5980</stp>
        <tr r="EL89" s="1"/>
      </tp>
      <tp t="s">
        <v>N/A</v>
        <stp/>
        <stp>IMPL_VOL</stp>
        <stp>.SPXW250512P5980</stp>
        <tr r="EM89" s="1"/>
      </tp>
      <tp t="s">
        <v>N/A</v>
        <stp/>
        <stp>IMPL_VOL</stp>
        <stp>.SPXW250512C5910</stp>
        <tr r="EL96" s="1"/>
      </tp>
      <tp t="s">
        <v>N/A</v>
        <stp/>
        <stp>IMPL_VOL</stp>
        <stp>.SPXW250512P5910</stp>
        <tr r="EM96" s="1"/>
      </tp>
      <tp t="s">
        <v>47.24%</v>
        <stp/>
        <stp>IMPL_VOL</stp>
        <stp>.SPXW250512C5900</stp>
        <tr r="EL97" s="1"/>
      </tp>
      <tp t="s">
        <v>--</v>
        <stp/>
        <stp>IMPL_VOL</stp>
        <stp>.SPXW250512P5900</stp>
        <tr r="EM97" s="1"/>
      </tp>
      <tp t="s">
        <v>N/A</v>
        <stp/>
        <stp>IMPL_VOL</stp>
        <stp>.SPXW250512C5930</stp>
        <tr r="EL94" s="1"/>
      </tp>
      <tp t="s">
        <v>N/A</v>
        <stp/>
        <stp>IMPL_VOL</stp>
        <stp>.SPXW250512P5930</stp>
        <tr r="EM94" s="1"/>
      </tp>
      <tp t="s">
        <v>N/A</v>
        <stp/>
        <stp>IMPL_VOL</stp>
        <stp>.SPXW250512C5920</stp>
        <tr r="EL95" s="1"/>
      </tp>
      <tp t="s">
        <v>N/A</v>
        <stp/>
        <stp>IMPL_VOL</stp>
        <stp>.SPXW250512P5920</stp>
        <tr r="EM95" s="1"/>
      </tp>
      <tp t="s">
        <v>83.62%</v>
        <stp/>
        <stp>IMPL_VOL</stp>
        <stp>.SPXW250512C5950</stp>
        <tr r="EL92" s="1"/>
      </tp>
      <tp t="s">
        <v>--</v>
        <stp/>
        <stp>IMPL_VOL</stp>
        <stp>.SPXW250512P5950</stp>
        <tr r="EM92" s="1"/>
      </tp>
      <tp t="s">
        <v>N/A</v>
        <stp/>
        <stp>IMPL_VOL</stp>
        <stp>.SPXW250512C5940</stp>
        <tr r="EL93" s="1"/>
      </tp>
      <tp t="s">
        <v>N/A</v>
        <stp/>
        <stp>IMPL_VOL</stp>
        <stp>.SPXW250512P5940</stp>
        <tr r="EM93" s="1"/>
      </tp>
      <tp t="s">
        <v>N/A</v>
        <stp/>
        <stp>IMPL_VOL</stp>
        <stp>.SPXW250512C5970</stp>
        <tr r="EL90" s="1"/>
      </tp>
      <tp t="s">
        <v>N/A</v>
        <stp/>
        <stp>IMPL_VOL</stp>
        <stp>.SPXW250512P5970</stp>
        <tr r="EM90" s="1"/>
      </tp>
      <tp t="s">
        <v>N/A</v>
        <stp/>
        <stp>IMPL_VOL</stp>
        <stp>.SPXW250512C5960</stp>
        <tr r="EL91" s="1"/>
      </tp>
      <tp t="s">
        <v>N/A</v>
        <stp/>
        <stp>IMPL_VOL</stp>
        <stp>.SPXW250512P5960</stp>
        <tr r="EM91" s="1"/>
      </tp>
      <tp>
        <v>2011</v>
        <stp/>
        <stp>OPEN_INT</stp>
        <stp>.NDXP250512C20700</stp>
        <tr r="AS163" s="1"/>
        <tr r="AS163" s="1"/>
      </tp>
      <tp>
        <v>2</v>
        <stp/>
        <stp>OPEN_INT</stp>
        <stp>.NDXP250512C20725</stp>
        <tr r="AS162" s="1"/>
        <tr r="AS162" s="1"/>
      </tp>
      <tp>
        <v>4</v>
        <stp/>
        <stp>OPEN_INT</stp>
        <stp>.NDXP250512C20750</stp>
        <tr r="AS161" s="1"/>
        <tr r="AS161" s="1"/>
      </tp>
      <tp>
        <v>6</v>
        <stp/>
        <stp>OPEN_INT</stp>
        <stp>.NDXP250512C20775</stp>
        <tr r="AS160" s="1"/>
        <tr r="AS160" s="1"/>
      </tp>
      <tp>
        <v>0</v>
        <stp/>
        <stp>OPEN_INT</stp>
        <stp>.NDXP250512P20725</stp>
        <tr r="AT162" s="1"/>
        <tr r="AT162" s="1"/>
      </tp>
      <tp>
        <v>46</v>
        <stp/>
        <stp>OPEN_INT</stp>
        <stp>.NDXP250512P20700</stp>
        <tr r="AT163" s="1"/>
        <tr r="AT163" s="1"/>
      </tp>
      <tp>
        <v>0</v>
        <stp/>
        <stp>OPEN_INT</stp>
        <stp>.NDXP250512P20775</stp>
        <tr r="AT160" s="1"/>
        <tr r="AT160" s="1"/>
      </tp>
      <tp>
        <v>0</v>
        <stp/>
        <stp>OPEN_INT</stp>
        <stp>.NDXP250512P20750</stp>
        <tr r="AT161" s="1"/>
        <tr r="AT161" s="1"/>
      </tp>
      <tp t="s">
        <v>N/A</v>
        <stp/>
        <stp>VOLUME</stp>
        <stp>.NDXP250829C20575</stp>
        <tr r="P169" s="2"/>
      </tp>
      <tp t="s">
        <v>N/A</v>
        <stp/>
        <stp>VOLUME</stp>
        <stp>.NDXP251128C20475</stp>
        <tr r="V173" s="2"/>
      </tp>
      <tp t="s">
        <v>N/A</v>
        <stp/>
        <stp>VOLUME</stp>
        <stp>.NDXP250829C20550</stp>
        <tr r="P170" s="2"/>
      </tp>
      <tp t="s">
        <v>N/A</v>
        <stp/>
        <stp>VOLUME</stp>
        <stp>.NDXP251128C20450</stp>
        <tr r="V174" s="2"/>
      </tp>
      <tp t="s">
        <v>N/A</v>
        <stp/>
        <stp>VOLUME</stp>
        <stp>.NDXP251128C20425</stp>
        <tr r="V175" s="2"/>
      </tp>
      <tp t="s">
        <v>N/A</v>
        <stp/>
        <stp>VOLUME</stp>
        <stp>.NDXP250829C20525</stp>
        <tr r="P171" s="2"/>
      </tp>
      <tp t="s">
        <v>N/A</v>
        <stp/>
        <stp>VOLUME</stp>
        <stp>.NDXP251128C20400</stp>
        <tr r="V176" s="2"/>
      </tp>
      <tp t="s">
        <v>N/A</v>
        <stp/>
        <stp>VOLUME</stp>
        <stp>.NDXP250829C20500</stp>
        <tr r="P172" s="2"/>
      </tp>
      <tp t="s">
        <v>N/A</v>
        <stp/>
        <stp>VOLUME</stp>
        <stp>.NDXP251128P20450</stp>
        <tr r="V174" s="2"/>
      </tp>
      <tp t="s">
        <v>N/A</v>
        <stp/>
        <stp>VOLUME</stp>
        <stp>.SPXW250512C6020</stp>
        <tr r="BA85" s="1"/>
      </tp>
      <tp t="s">
        <v>N/A</v>
        <stp/>
        <stp>VOLUME</stp>
        <stp>.SPXW250512P6020</stp>
        <tr r="BB85" s="1"/>
      </tp>
      <tp t="s">
        <v>N/A</v>
        <stp/>
        <stp>VOLUME</stp>
        <stp>.NDXP250829P20550</stp>
        <tr r="P170" s="2"/>
      </tp>
      <tp t="s">
        <v>N/A</v>
        <stp/>
        <stp>VOLUME</stp>
        <stp>.NDXP251128P20475</stp>
        <tr r="V173" s="2"/>
      </tp>
      <tp>
        <v>52288</v>
        <stp/>
        <stp>VOLUME</stp>
        <stp>.SPXW250512C6000</stp>
        <tr r="BA87" s="1"/>
        <tr r="BA87" s="1"/>
      </tp>
      <tp>
        <v>108</v>
        <stp/>
        <stp>VOLUME</stp>
        <stp>.SPXW250512P6000</stp>
        <tr r="BB87" s="1"/>
        <tr r="BB87" s="1"/>
      </tp>
      <tp t="s">
        <v>N/A</v>
        <stp/>
        <stp>VOLUME</stp>
        <stp>.NDXP250829P20575</stp>
        <tr r="P169" s="2"/>
      </tp>
      <tp t="s">
        <v>N/A</v>
        <stp/>
        <stp>VOLUME</stp>
        <stp>.SPXW250512C6010</stp>
        <tr r="BA86" s="1"/>
      </tp>
      <tp t="s">
        <v>N/A</v>
        <stp/>
        <stp>VOLUME</stp>
        <stp>.SPXW250512P6010</stp>
        <tr r="BB86" s="1"/>
      </tp>
      <tp t="s">
        <v>N/A</v>
        <stp/>
        <stp>VOLUME</stp>
        <stp>.NDXP250829P20500</stp>
        <tr r="P172" s="2"/>
      </tp>
      <tp t="s">
        <v>N/A</v>
        <stp/>
        <stp>VOLUME</stp>
        <stp>.NDXP251128P20400</stp>
        <tr r="V176" s="2"/>
      </tp>
      <tp t="s">
        <v>N/A</v>
        <stp/>
        <stp>VOLUME</stp>
        <stp>.NDXP250829P20525</stp>
        <tr r="P171" s="2"/>
      </tp>
      <tp t="s">
        <v>N/A</v>
        <stp/>
        <stp>VOLUME</stp>
        <stp>.NDXP251128P20425</stp>
        <tr r="V175" s="2"/>
      </tp>
      <tp>
        <v>16</v>
        <stp/>
        <stp>OPEN_INT</stp>
        <stp>.NDXP250512C20600</stp>
        <tr r="AS167" s="1"/>
        <tr r="AS167" s="1"/>
      </tp>
      <tp>
        <v>3</v>
        <stp/>
        <stp>OPEN_INT</stp>
        <stp>.NDXP250512C20625</stp>
        <tr r="AS166" s="1"/>
        <tr r="AS166" s="1"/>
      </tp>
      <tp>
        <v>5</v>
        <stp/>
        <stp>OPEN_INT</stp>
        <stp>.NDXP250512C20650</stp>
        <tr r="AS165" s="1"/>
        <tr r="AS165" s="1"/>
      </tp>
      <tp>
        <v>8</v>
        <stp/>
        <stp>OPEN_INT</stp>
        <stp>.NDXP250512C20675</stp>
        <tr r="AS164" s="1"/>
        <tr r="AS164" s="1"/>
      </tp>
      <tp>
        <v>1</v>
        <stp/>
        <stp>OPEN_INT</stp>
        <stp>.NDXP250512P20625</stp>
        <tr r="AT166" s="1"/>
        <tr r="AT166" s="1"/>
      </tp>
      <tp>
        <v>46</v>
        <stp/>
        <stp>OPEN_INT</stp>
        <stp>.NDXP250512P20600</stp>
        <tr r="AT167" s="1"/>
        <tr r="AT167" s="1"/>
      </tp>
      <tp>
        <v>2</v>
        <stp/>
        <stp>OPEN_INT</stp>
        <stp>.NDXP250512P20675</stp>
        <tr r="AT164" s="1"/>
        <tr r="AT164" s="1"/>
      </tp>
      <tp>
        <v>1</v>
        <stp/>
        <stp>OPEN_INT</stp>
        <stp>.NDXP250512P20650</stp>
        <tr r="AT165" s="1"/>
        <tr r="AT165" s="1"/>
      </tp>
      <tp t="s">
        <v>N/A</v>
        <stp/>
        <stp>VOLUME</stp>
        <stp>.NDXP250829C20475</stp>
        <tr r="P173" s="2"/>
      </tp>
      <tp t="s">
        <v>N/A</v>
        <stp/>
        <stp>VOLUME</stp>
        <stp>.NDXP251128C20575</stp>
        <tr r="V169" s="2"/>
      </tp>
      <tp t="s">
        <v>N/A</v>
        <stp/>
        <stp>VOLUME</stp>
        <stp>.NDXP250829C20450</stp>
        <tr r="P174" s="2"/>
      </tp>
      <tp t="s">
        <v>N/A</v>
        <stp/>
        <stp>VOLUME</stp>
        <stp>.NDXP251128C20550</stp>
        <tr r="V170" s="2"/>
      </tp>
      <tp t="s">
        <v>N/A</v>
        <stp/>
        <stp>VOLUME</stp>
        <stp>.NDXP251128C20525</stp>
        <tr r="V171" s="2"/>
      </tp>
      <tp t="s">
        <v>N/A</v>
        <stp/>
        <stp>VOLUME</stp>
        <stp>.NDXP250829C20425</stp>
        <tr r="P175" s="2"/>
      </tp>
      <tp t="s">
        <v>N/A</v>
        <stp/>
        <stp>VOLUME</stp>
        <stp>.NDXP251128C20500</stp>
        <tr r="V172" s="2"/>
      </tp>
      <tp t="s">
        <v>N/A</v>
        <stp/>
        <stp>VOLUME</stp>
        <stp>.NDXP250829C20400</stp>
        <tr r="P176" s="2"/>
      </tp>
      <tp t="s">
        <v>N/A</v>
        <stp/>
        <stp>VOLUME</stp>
        <stp>.NDXP251128P20550</stp>
        <tr r="V170" s="2"/>
      </tp>
      <tp t="s">
        <v>N/A</v>
        <stp/>
        <stp>VOLUME</stp>
        <stp>.NDXP250829P20450</stp>
        <tr r="P174" s="2"/>
      </tp>
      <tp t="s">
        <v>N/A</v>
        <stp/>
        <stp>VOLUME</stp>
        <stp>.NDXP251128P20575</stp>
        <tr r="V169" s="2"/>
      </tp>
      <tp t="s">
        <v>N/A</v>
        <stp/>
        <stp>VOLUME</stp>
        <stp>.NDXP250829P20475</stp>
        <tr r="P173" s="2"/>
      </tp>
      <tp t="s">
        <v>N/A</v>
        <stp/>
        <stp>VOLUME</stp>
        <stp>.NDXP250829P20400</stp>
        <tr r="P176" s="2"/>
      </tp>
      <tp t="s">
        <v>N/A</v>
        <stp/>
        <stp>VOLUME</stp>
        <stp>.SPXW250606C6020</stp>
        <tr r="J86" s="2"/>
      </tp>
      <tp t="s">
        <v>N/A</v>
        <stp/>
        <stp>VOLUME</stp>
        <stp>.SPXW250606P6020</stp>
        <tr r="J86" s="2"/>
      </tp>
      <tp t="s">
        <v>N/A</v>
        <stp/>
        <stp>VOLUME</stp>
        <stp>.NDXP251128P20500</stp>
        <tr r="V172" s="2"/>
      </tp>
      <tp t="s">
        <v>N/A</v>
        <stp/>
        <stp>VOLUME</stp>
        <stp>.NDXP250829P20425</stp>
        <tr r="P175" s="2"/>
      </tp>
      <tp>
        <v>366</v>
        <stp/>
        <stp>VOLUME</stp>
        <stp>.SPXW250606C6000</stp>
        <tr r="J88" s="2"/>
        <tr r="J88" s="2"/>
      </tp>
      <tp>
        <v>4</v>
        <stp/>
        <stp>VOLUME</stp>
        <stp>.SPXW250606P6000</stp>
        <tr r="J88" s="2"/>
        <tr r="J88" s="2"/>
      </tp>
      <tp t="s">
        <v>N/A</v>
        <stp/>
        <stp>VOLUME</stp>
        <stp>.NDXP251128P20525</stp>
        <tr r="V171" s="2"/>
      </tp>
      <tp t="s">
        <v>N/A</v>
        <stp/>
        <stp>VOLUME</stp>
        <stp>.SPXW250606C6010</stp>
        <tr r="J87" s="2"/>
      </tp>
      <tp t="s">
        <v>N/A</v>
        <stp/>
        <stp>VOLUME</stp>
        <stp>.SPXW250606P6010</stp>
        <tr r="J87" s="2"/>
      </tp>
      <tp>
        <v>25</v>
        <stp/>
        <stp>OPEN_INT</stp>
        <stp>.NDXP250512C20500</stp>
        <tr r="AS171" s="1"/>
        <tr r="AS171" s="1"/>
      </tp>
      <tp>
        <v>5</v>
        <stp/>
        <stp>OPEN_INT</stp>
        <stp>.NDXP250512C20525</stp>
        <tr r="AS170" s="1"/>
        <tr r="AS170" s="1"/>
      </tp>
      <tp>
        <v>9</v>
        <stp/>
        <stp>OPEN_INT</stp>
        <stp>.NDXP250512C20550</stp>
        <tr r="AS169" s="1"/>
        <tr r="AS169" s="1"/>
      </tp>
      <tp>
        <v>1</v>
        <stp/>
        <stp>OPEN_INT</stp>
        <stp>.NDXP250512C20575</stp>
        <tr r="AS168" s="1"/>
        <tr r="AS168" s="1"/>
      </tp>
      <tp>
        <v>0</v>
        <stp/>
        <stp>OPEN_INT</stp>
        <stp>.NDXP250512P20525</stp>
        <tr r="AT170" s="1"/>
        <tr r="AT170" s="1"/>
      </tp>
      <tp>
        <v>5</v>
        <stp/>
        <stp>OPEN_INT</stp>
        <stp>.NDXP250512P20500</stp>
        <tr r="AT171" s="1"/>
        <tr r="AT171" s="1"/>
      </tp>
      <tp>
        <v>0</v>
        <stp/>
        <stp>OPEN_INT</stp>
        <stp>.NDXP250512P20575</stp>
        <tr r="AT168" s="1"/>
        <tr r="AT168" s="1"/>
      </tp>
      <tp>
        <v>2</v>
        <stp/>
        <stp>OPEN_INT</stp>
        <stp>.NDXP250512P20550</stp>
        <tr r="AT169" s="1"/>
        <tr r="AT169" s="1"/>
      </tp>
      <tp t="s">
        <v>N/A</v>
        <stp/>
        <stp>VOLUME</stp>
        <stp>.NDXP250829C20775</stp>
        <tr r="P161" s="2"/>
      </tp>
      <tp t="s">
        <v>N/A</v>
        <stp/>
        <stp>VOLUME</stp>
        <stp>.NDXP250606C20875</stp>
        <tr r="J157" s="2"/>
      </tp>
      <tp t="s">
        <v>N/A</v>
        <stp/>
        <stp>VOLUME</stp>
        <stp>.NDXP251128C20675</stp>
        <tr r="V165" s="2"/>
      </tp>
      <tp t="s">
        <v>N/A</v>
        <stp/>
        <stp>VOLUME</stp>
        <stp>.NDXP250829C20750</stp>
        <tr r="P162" s="2"/>
      </tp>
      <tp t="s">
        <v>N/A</v>
        <stp/>
        <stp>VOLUME</stp>
        <stp>.NDXP250606C20850</stp>
        <tr r="J158" s="2"/>
      </tp>
      <tp t="s">
        <v>N/A</v>
        <stp/>
        <stp>VOLUME</stp>
        <stp>.NDXP251128C20650</stp>
        <tr r="V166" s="2"/>
      </tp>
      <tp t="s">
        <v>N/A</v>
        <stp/>
        <stp>VOLUME</stp>
        <stp>.NDXP251128C20625</stp>
        <tr r="V167" s="2"/>
      </tp>
      <tp t="s">
        <v>N/A</v>
        <stp/>
        <stp>VOLUME</stp>
        <stp>.NDXP250829C20725</stp>
        <tr r="P163" s="2"/>
      </tp>
      <tp t="s">
        <v>N/A</v>
        <stp/>
        <stp>VOLUME</stp>
        <stp>.NDXP250606C20825</stp>
        <tr r="J159" s="2"/>
      </tp>
      <tp t="s">
        <v>N/A</v>
        <stp/>
        <stp>VOLUME</stp>
        <stp>.NDXP251128C20600</stp>
        <tr r="V168" s="2"/>
      </tp>
      <tp t="s">
        <v>N/A</v>
        <stp/>
        <stp>VOLUME</stp>
        <stp>.NDXP250829C20700</stp>
        <tr r="P164" s="2"/>
      </tp>
      <tp>
        <v>3</v>
        <stp/>
        <stp>VOLUME</stp>
        <stp>.NDXP250606C20800</stp>
        <tr r="J160" s="2"/>
        <tr r="J160" s="2"/>
      </tp>
      <tp t="s">
        <v>N/A</v>
        <stp/>
        <stp>VOLUME</stp>
        <stp>.NDXP251128P20650</stp>
        <tr r="V166" s="2"/>
      </tp>
      <tp>
        <v>117</v>
        <stp/>
        <stp>VOLUME</stp>
        <stp>.SPXW250930C6000</stp>
        <tr r="R88" s="2"/>
        <tr r="R88" s="2"/>
      </tp>
      <tp>
        <v>2034</v>
        <stp/>
        <stp>VOLUME</stp>
        <stp>.SPXW250630C6000</stp>
        <tr r="L88" s="2"/>
        <tr r="L88" s="2"/>
      </tp>
      <tp>
        <v>1</v>
        <stp/>
        <stp>VOLUME</stp>
        <stp>.SPXW250731C6010</stp>
        <tr r="N87" s="2"/>
        <tr r="N87" s="2"/>
      </tp>
      <tp>
        <v>5957</v>
        <stp/>
        <stp>VOLUME</stp>
        <stp>.SPXW250530C6000</stp>
        <tr r="I88" s="2"/>
        <tr r="I88" s="2"/>
      </tp>
      <tp t="s">
        <v>N/A</v>
        <stp/>
        <stp>VOLUME</stp>
        <stp>.SPXW251231C6010</stp>
        <tr r="X87" s="2"/>
      </tp>
      <tp t="s">
        <v>N/A</v>
        <stp/>
        <stp>VOLUME</stp>
        <stp>.SPXW251031C6010</stp>
        <tr r="T87" s="2"/>
      </tp>
      <tp t="s">
        <v>N/A</v>
        <stp/>
        <stp>VOLUME</stp>
        <stp>.SPXW251231P6010</stp>
        <tr r="X87" s="2"/>
      </tp>
      <tp t="s">
        <v>N/A</v>
        <stp/>
        <stp>VOLUME</stp>
        <stp>.SPXW251031P6010</stp>
        <tr r="T87" s="2"/>
      </tp>
      <tp>
        <v>59</v>
        <stp/>
        <stp>VOLUME</stp>
        <stp>.SPXW250930P6000</stp>
        <tr r="R88" s="2"/>
        <tr r="R88" s="2"/>
      </tp>
      <tp>
        <v>48</v>
        <stp/>
        <stp>VOLUME</stp>
        <stp>.SPXW250630P6000</stp>
        <tr r="L88" s="2"/>
        <tr r="L88" s="2"/>
      </tp>
      <tp t="s">
        <v>N/A</v>
        <stp/>
        <stp>VOLUME</stp>
        <stp>.SPXW250731P6010</stp>
        <tr r="N87" s="2"/>
      </tp>
      <tp>
        <v>4</v>
        <stp/>
        <stp>VOLUME</stp>
        <stp>.SPXW250530P6000</stp>
        <tr r="I88" s="2"/>
        <tr r="I88" s="2"/>
      </tp>
      <tp t="s">
        <v>N/A</v>
        <stp/>
        <stp>VOLUME</stp>
        <stp>.NDXP250829P20750</stp>
        <tr r="P162" s="2"/>
      </tp>
      <tp t="s">
        <v>N/A</v>
        <stp/>
        <stp>VOLUME</stp>
        <stp>.NDXP250606P20850</stp>
        <tr r="J158" s="2"/>
      </tp>
      <tp t="s">
        <v>N/A</v>
        <stp/>
        <stp>VOLUME</stp>
        <stp>.SPXW250930C6010</stp>
        <tr r="R87" s="2"/>
      </tp>
      <tp>
        <v>16</v>
        <stp/>
        <stp>VOLUME</stp>
        <stp>.SPXW250630C6010</stp>
        <tr r="L87" s="2"/>
        <tr r="L87" s="2"/>
      </tp>
      <tp>
        <v>47</v>
        <stp/>
        <stp>VOLUME</stp>
        <stp>.SPXW250731C6000</stp>
        <tr r="N88" s="2"/>
        <tr r="N88" s="2"/>
      </tp>
      <tp>
        <v>581</v>
        <stp/>
        <stp>VOLUME</stp>
        <stp>.SPXW250530C6010</stp>
        <tr r="I87" s="2"/>
        <tr r="I87" s="2"/>
      </tp>
      <tp>
        <v>26</v>
        <stp/>
        <stp>VOLUME</stp>
        <stp>.SPXW251231C6000</stp>
        <tr r="X88" s="2"/>
        <tr r="X88" s="2"/>
      </tp>
      <tp>
        <v>1</v>
        <stp/>
        <stp>VOLUME</stp>
        <stp>.SPXW251031C6000</stp>
        <tr r="T88" s="2"/>
        <tr r="T88" s="2"/>
      </tp>
      <tp>
        <v>2</v>
        <stp/>
        <stp>VOLUME</stp>
        <stp>.SPXW251231P6000</stp>
        <tr r="X88" s="2"/>
        <tr r="X88" s="2"/>
      </tp>
      <tp t="s">
        <v>N/A</v>
        <stp/>
        <stp>VOLUME</stp>
        <stp>.SPXW251031P6000</stp>
        <tr r="T88" s="2"/>
      </tp>
      <tp t="s">
        <v>N/A</v>
        <stp/>
        <stp>VOLUME</stp>
        <stp>.SPXW250930P6010</stp>
        <tr r="R87" s="2"/>
      </tp>
      <tp t="s">
        <v>N/A</v>
        <stp/>
        <stp>VOLUME</stp>
        <stp>.SPXW250630P6010</stp>
        <tr r="L87" s="2"/>
      </tp>
      <tp>
        <v>59</v>
        <stp/>
        <stp>VOLUME</stp>
        <stp>.SPXW250731P6000</stp>
        <tr r="N88" s="2"/>
        <tr r="N88" s="2"/>
      </tp>
      <tp>
        <v>3</v>
        <stp/>
        <stp>VOLUME</stp>
        <stp>.SPXW250530P6010</stp>
        <tr r="I87" s="2"/>
        <tr r="I87" s="2"/>
      </tp>
      <tp t="s">
        <v>N/A</v>
        <stp/>
        <stp>VOLUME</stp>
        <stp>.NDXP251128P20675</stp>
        <tr r="V165" s="2"/>
      </tp>
      <tp t="s">
        <v>N/A</v>
        <stp/>
        <stp>VOLUME</stp>
        <stp>.SPXW250930C6020</stp>
        <tr r="R86" s="2"/>
      </tp>
      <tp>
        <v>6</v>
        <stp/>
        <stp>VOLUME</stp>
        <stp>.SPXW250630C6020</stp>
        <tr r="L86" s="2"/>
        <tr r="L86" s="2"/>
      </tp>
      <tp>
        <v>277</v>
        <stp/>
        <stp>VOLUME</stp>
        <stp>.SPXW250530C6020</stp>
        <tr r="I86" s="2"/>
        <tr r="I86" s="2"/>
      </tp>
      <tp t="s">
        <v>N/A</v>
        <stp/>
        <stp>VOLUME</stp>
        <stp>.SPXW250930P6020</stp>
        <tr r="R86" s="2"/>
      </tp>
      <tp t="s">
        <v>N/A</v>
        <stp/>
        <stp>VOLUME</stp>
        <stp>.SPXW250630P6020</stp>
        <tr r="L86" s="2"/>
      </tp>
      <tp t="s">
        <v>N/A</v>
        <stp/>
        <stp>VOLUME</stp>
        <stp>.SPXW250530P6020</stp>
        <tr r="I86" s="2"/>
      </tp>
      <tp t="s">
        <v>N/A</v>
        <stp/>
        <stp>VOLUME</stp>
        <stp>.NDXP250829P20775</stp>
        <tr r="P161" s="2"/>
      </tp>
      <tp t="s">
        <v>N/A</v>
        <stp/>
        <stp>VOLUME</stp>
        <stp>.NDXP250606P20875</stp>
        <tr r="J157" s="2"/>
      </tp>
      <tp>
        <v>11</v>
        <stp/>
        <stp>VOLUME</stp>
        <stp>.SPXW250731C6020</stp>
        <tr r="N86" s="2"/>
        <tr r="N86" s="2"/>
      </tp>
      <tp t="s">
        <v>N/A</v>
        <stp/>
        <stp>VOLUME</stp>
        <stp>.SPXW251231C6020</stp>
        <tr r="X86" s="2"/>
      </tp>
      <tp t="s">
        <v>N/A</v>
        <stp/>
        <stp>VOLUME</stp>
        <stp>.SPXW251031C6020</stp>
        <tr r="T86" s="2"/>
      </tp>
      <tp t="s">
        <v>N/A</v>
        <stp/>
        <stp>VOLUME</stp>
        <stp>.SPXW251231P6020</stp>
        <tr r="X86" s="2"/>
      </tp>
      <tp t="s">
        <v>N/A</v>
        <stp/>
        <stp>VOLUME</stp>
        <stp>.SPXW251031P6020</stp>
        <tr r="T86" s="2"/>
      </tp>
      <tp>
        <v>10</v>
        <stp/>
        <stp>VOLUME</stp>
        <stp>.SPXW250731P6020</stp>
        <tr r="N86" s="2"/>
        <tr r="N86" s="2"/>
      </tp>
      <tp t="s">
        <v>N/A</v>
        <stp/>
        <stp>VOLUME</stp>
        <stp>.NDXP250829P20700</stp>
        <tr r="P164" s="2"/>
      </tp>
      <tp t="s">
        <v>N/A</v>
        <stp/>
        <stp>VOLUME</stp>
        <stp>.NDXP250606P20800</stp>
        <tr r="J160" s="2"/>
      </tp>
      <tp t="s">
        <v>N/A</v>
        <stp/>
        <stp>VOLUME</stp>
        <stp>.NDXP251128P20600</stp>
        <tr r="V168" s="2"/>
      </tp>
      <tp t="s">
        <v>N/A</v>
        <stp/>
        <stp>VOLUME</stp>
        <stp>.NDXP250829P20725</stp>
        <tr r="P163" s="2"/>
      </tp>
      <tp t="s">
        <v>N/A</v>
        <stp/>
        <stp>VOLUME</stp>
        <stp>.NDXP250606P20825</stp>
        <tr r="J159" s="2"/>
      </tp>
      <tp t="s">
        <v>N/A</v>
        <stp/>
        <stp>VOLUME</stp>
        <stp>.NDXP251128P20625</stp>
        <tr r="V167" s="2"/>
      </tp>
      <tp>
        <v>121</v>
        <stp/>
        <stp>OPEN_INT</stp>
        <stp>.NDXP250512C20400</stp>
        <tr r="AS175" s="1"/>
        <tr r="AS175" s="1"/>
      </tp>
      <tp>
        <v>13</v>
        <stp/>
        <stp>OPEN_INT</stp>
        <stp>.NDXP250512C20425</stp>
        <tr r="AS174" s="1"/>
        <tr r="AS174" s="1"/>
      </tp>
      <tp>
        <v>66</v>
        <stp/>
        <stp>OPEN_INT</stp>
        <stp>.NDXP250512C20450</stp>
        <tr r="AS173" s="1"/>
        <tr r="AS173" s="1"/>
      </tp>
      <tp>
        <v>2</v>
        <stp/>
        <stp>OPEN_INT</stp>
        <stp>.NDXP250512C20475</stp>
        <tr r="AS172" s="1"/>
        <tr r="AS172" s="1"/>
      </tp>
      <tp>
        <v>0</v>
        <stp/>
        <stp>OPEN_INT</stp>
        <stp>.NDXP250512P20425</stp>
        <tr r="AT174" s="1"/>
        <tr r="AT174" s="1"/>
      </tp>
      <tp>
        <v>2</v>
        <stp/>
        <stp>OPEN_INT</stp>
        <stp>.NDXP250512P20400</stp>
        <tr r="AT175" s="1"/>
        <tr r="AT175" s="1"/>
      </tp>
      <tp>
        <v>0</v>
        <stp/>
        <stp>OPEN_INT</stp>
        <stp>.NDXP250512P20475</stp>
        <tr r="AT172" s="1"/>
        <tr r="AT172" s="1"/>
      </tp>
      <tp>
        <v>0</v>
        <stp/>
        <stp>OPEN_INT</stp>
        <stp>.NDXP250512P20450</stp>
        <tr r="AT173" s="1"/>
        <tr r="AT173" s="1"/>
      </tp>
      <tp t="s">
        <v>N/A</v>
        <stp/>
        <stp>VOLUME</stp>
        <stp>.NDXP250829C20675</stp>
        <tr r="P165" s="2"/>
      </tp>
      <tp t="s">
        <v>N/A</v>
        <stp/>
        <stp>VOLUME</stp>
        <stp>.NDXP250606C20975</stp>
        <tr r="J153" s="2"/>
      </tp>
      <tp t="s">
        <v>N/A</v>
        <stp/>
        <stp>VOLUME</stp>
        <stp>.NDXP251128C20775</stp>
        <tr r="V161" s="2"/>
      </tp>
      <tp t="s">
        <v>N/A</v>
        <stp/>
        <stp>VOLUME</stp>
        <stp>.NDXP250829C20650</stp>
        <tr r="P166" s="2"/>
      </tp>
      <tp>
        <v>1</v>
        <stp/>
        <stp>VOLUME</stp>
        <stp>.NDXP250606C20950</stp>
        <tr r="J154" s="2"/>
        <tr r="J154" s="2"/>
      </tp>
      <tp t="s">
        <v>N/A</v>
        <stp/>
        <stp>VOLUME</stp>
        <stp>.NDXP251128C20750</stp>
        <tr r="V162" s="2"/>
      </tp>
      <tp t="s">
        <v>N/A</v>
        <stp/>
        <stp>VOLUME</stp>
        <stp>.NDXP251128C20725</stp>
        <tr r="V163" s="2"/>
      </tp>
      <tp t="s">
        <v>N/A</v>
        <stp/>
        <stp>VOLUME</stp>
        <stp>.NDXP250829C20625</stp>
        <tr r="P167" s="2"/>
      </tp>
      <tp t="s">
        <v>N/A</v>
        <stp/>
        <stp>VOLUME</stp>
        <stp>.NDXP250606C20925</stp>
        <tr r="J155" s="2"/>
      </tp>
      <tp t="s">
        <v>N/A</v>
        <stp/>
        <stp>VOLUME</stp>
        <stp>.NDXP251128C20700</stp>
        <tr r="V164" s="2"/>
      </tp>
      <tp t="s">
        <v>N/A</v>
        <stp/>
        <stp>VOLUME</stp>
        <stp>.NDXP250829C20600</stp>
        <tr r="P168" s="2"/>
      </tp>
      <tp>
        <v>2</v>
        <stp/>
        <stp>VOLUME</stp>
        <stp>.NDXP250606C20900</stp>
        <tr r="J156" s="2"/>
        <tr r="J156" s="2"/>
      </tp>
      <tp t="s">
        <v>N/A</v>
        <stp/>
        <stp>VOLUME</stp>
        <stp>.SPXW250829C6010</stp>
        <tr r="P87" s="2"/>
      </tp>
      <tp t="s">
        <v>N/A</v>
        <stp/>
        <stp>VOLUME</stp>
        <stp>.SPXW251128C6000</stp>
        <tr r="V88" s="2"/>
      </tp>
      <tp t="s">
        <v>N/A</v>
        <stp/>
        <stp>VOLUME</stp>
        <stp>.SPXW251128P6000</stp>
        <tr r="V88" s="2"/>
      </tp>
      <tp t="s">
        <v>N/A</v>
        <stp/>
        <stp>VOLUME</stp>
        <stp>.SPXW250829P6010</stp>
        <tr r="P87" s="2"/>
      </tp>
      <tp>
        <v>3</v>
        <stp/>
        <stp>VOLUME</stp>
        <stp>.SPXW250829C6000</stp>
        <tr r="P88" s="2"/>
        <tr r="P88" s="2"/>
      </tp>
      <tp t="s">
        <v>N/A</v>
        <stp/>
        <stp>VOLUME</stp>
        <stp>.SPXW251128C6010</stp>
        <tr r="V87" s="2"/>
      </tp>
      <tp t="s">
        <v>N/A</v>
        <stp/>
        <stp>VOLUME</stp>
        <stp>.SPXW251128P6010</stp>
        <tr r="V87" s="2"/>
      </tp>
      <tp>
        <v>26</v>
        <stp/>
        <stp>VOLUME</stp>
        <stp>.SPXW250829P6000</stp>
        <tr r="P88" s="2"/>
        <tr r="P88" s="2"/>
      </tp>
      <tp t="s">
        <v>N/A</v>
        <stp/>
        <stp>VOLUME</stp>
        <stp>.SPXW251128C6020</stp>
        <tr r="V86" s="2"/>
      </tp>
      <tp t="s">
        <v>N/A</v>
        <stp/>
        <stp>VOLUME</stp>
        <stp>.SPXW251128P6020</stp>
        <tr r="V86" s="2"/>
      </tp>
      <tp>
        <v>1</v>
        <stp/>
        <stp>VOLUME</stp>
        <stp>.SPXW250829C6020</stp>
        <tr r="P86" s="2"/>
        <tr r="P86" s="2"/>
      </tp>
      <tp t="s">
        <v>N/A</v>
        <stp/>
        <stp>VOLUME</stp>
        <stp>.SPXW250829P6020</stp>
        <tr r="P86" s="2"/>
      </tp>
      <tp t="s">
        <v>N/A</v>
        <stp/>
        <stp>VOLUME</stp>
        <stp>.NDXP251128P20750</stp>
        <tr r="V162" s="2"/>
      </tp>
      <tp t="s">
        <v>N/A</v>
        <stp/>
        <stp>VOLUME</stp>
        <stp>.NDXP250829P20650</stp>
        <tr r="P166" s="2"/>
      </tp>
      <tp t="s">
        <v>N/A</v>
        <stp/>
        <stp>VOLUME</stp>
        <stp>.NDXP250606P20950</stp>
        <tr r="J154" s="2"/>
      </tp>
      <tp t="s">
        <v>N/A</v>
        <stp/>
        <stp>VOLUME</stp>
        <stp>.NDXP251128P20775</stp>
        <tr r="V161" s="2"/>
      </tp>
      <tp t="s">
        <v>N/A</v>
        <stp/>
        <stp>VOLUME</stp>
        <stp>.NDXP250829P20675</stp>
        <tr r="P165" s="2"/>
      </tp>
      <tp t="s">
        <v>N/A</v>
        <stp/>
        <stp>VOLUME</stp>
        <stp>.NDXP250606P20975</stp>
        <tr r="J153" s="2"/>
      </tp>
      <tp t="s">
        <v>N/A</v>
        <stp/>
        <stp>VOLUME</stp>
        <stp>.NDXP250829P20600</stp>
        <tr r="P168" s="2"/>
      </tp>
      <tp t="s">
        <v>N/A</v>
        <stp/>
        <stp>VOLUME</stp>
        <stp>.NDXP250606P20900</stp>
        <tr r="J156" s="2"/>
      </tp>
      <tp t="s">
        <v>N/A</v>
        <stp/>
        <stp>VOLUME</stp>
        <stp>.NDXP251128P20700</stp>
        <tr r="V164" s="2"/>
      </tp>
      <tp t="s">
        <v>N/A</v>
        <stp/>
        <stp>VOLUME</stp>
        <stp>.NDXP250829P20625</stp>
        <tr r="P167" s="2"/>
      </tp>
      <tp t="s">
        <v>N/A</v>
        <stp/>
        <stp>VOLUME</stp>
        <stp>.NDXP250606P20925</stp>
        <tr r="J155" s="2"/>
      </tp>
      <tp t="s">
        <v>N/A</v>
        <stp/>
        <stp>VOLUME</stp>
        <stp>.NDXP251128P20725</stp>
        <tr r="V163" s="2"/>
      </tp>
      <tp>
        <v>40</v>
        <stp/>
        <stp>OPEN_INT</stp>
        <stp>.NDXP250512C21300</stp>
        <tr r="AS139" s="1"/>
        <tr r="AS139" s="1"/>
      </tp>
      <tp>
        <v>142</v>
        <stp/>
        <stp>OPEN_INT</stp>
        <stp>.NDXP250512C20300</stp>
        <tr r="AS179" s="1"/>
        <tr r="AS179" s="1"/>
      </tp>
      <tp t="s">
        <v>N/A</v>
        <stp/>
        <stp>OPEN_INT</stp>
        <stp>.NDXP250512C21325</stp>
        <tr r="AS138" s="1"/>
      </tp>
      <tp>
        <v>4</v>
        <stp/>
        <stp>OPEN_INT</stp>
        <stp>.NDXP250512C20325</stp>
        <tr r="AS178" s="1"/>
        <tr r="AS178" s="1"/>
      </tp>
      <tp t="s">
        <v>N/A</v>
        <stp/>
        <stp>OPEN_INT</stp>
        <stp>.NDXP250512C21350</stp>
        <tr r="AS137" s="1"/>
      </tp>
      <tp>
        <v>16</v>
        <stp/>
        <stp>OPEN_INT</stp>
        <stp>.NDXP250512C20350</stp>
        <tr r="AS177" s="1"/>
        <tr r="AS177" s="1"/>
      </tp>
      <tp>
        <v>5</v>
        <stp/>
        <stp>OPEN_INT</stp>
        <stp>.NDXP250512C20375</stp>
        <tr r="AS176" s="1"/>
        <tr r="AS176" s="1"/>
      </tp>
      <tp t="s">
        <v>N/A</v>
        <stp/>
        <stp>OPEN_INT</stp>
        <stp>.NDXP250512P21325</stp>
        <tr r="AT138" s="1"/>
      </tp>
      <tp>
        <v>0</v>
        <stp/>
        <stp>OPEN_INT</stp>
        <stp>.NDXP250512P20325</stp>
        <tr r="AT178" s="1"/>
        <tr r="AT178" s="1"/>
      </tp>
      <tp>
        <v>0</v>
        <stp/>
        <stp>OPEN_INT</stp>
        <stp>.NDXP250512P21300</stp>
        <tr r="AT139" s="1"/>
        <tr r="AT139" s="1"/>
      </tp>
      <tp>
        <v>5</v>
        <stp/>
        <stp>OPEN_INT</stp>
        <stp>.NDXP250512P20300</stp>
        <tr r="AT179" s="1"/>
        <tr r="AT179" s="1"/>
      </tp>
      <tp>
        <v>0</v>
        <stp/>
        <stp>OPEN_INT</stp>
        <stp>.NDXP250512P20375</stp>
        <tr r="AT176" s="1"/>
        <tr r="AT176" s="1"/>
      </tp>
      <tp t="s">
        <v>N/A</v>
        <stp/>
        <stp>OPEN_INT</stp>
        <stp>.NDXP250512P21350</stp>
        <tr r="AT137" s="1"/>
      </tp>
      <tp>
        <v>1</v>
        <stp/>
        <stp>OPEN_INT</stp>
        <stp>.NDXP250512P20350</stp>
        <tr r="AT177" s="1"/>
        <tr r="AT177" s="1"/>
      </tp>
      <tp>
        <v>-0.87</v>
        <stp/>
        <stp>DELTA</stp>
        <stp>.NDXP250512P20925</stp>
        <tr r="CE154" s="1"/>
        <tr r="CE154" s="1"/>
      </tp>
      <tp>
        <v>-0.8</v>
        <stp/>
        <stp>DELTA</stp>
        <stp>.NDXP250512P20900</stp>
        <tr r="CE155" s="1"/>
        <tr r="CE155" s="1"/>
      </tp>
      <tp>
        <v>-0.89</v>
        <stp/>
        <stp>DELTA</stp>
        <stp>.NDXP250512P20975</stp>
        <tr r="CE152" s="1"/>
        <tr r="CE152" s="1"/>
      </tp>
      <tp>
        <v>-0.9</v>
        <stp/>
        <stp>DELTA</stp>
        <stp>.NDXP250512P20950</stp>
        <tr r="CE153" s="1"/>
        <tr r="CE153" s="1"/>
      </tp>
      <tp>
        <v>0.09</v>
        <stp/>
        <stp>DELTA</stp>
        <stp>.NDXP250512C20900</stp>
        <tr r="CD155" s="1"/>
        <tr r="CD155" s="1"/>
      </tp>
      <tp>
        <v>0.12</v>
        <stp/>
        <stp>DELTA</stp>
        <stp>.NDXP250512C20925</stp>
        <tr r="CD154" s="1"/>
        <tr r="CD154" s="1"/>
      </tp>
      <tp>
        <v>0.02</v>
        <stp/>
        <stp>DELTA</stp>
        <stp>.NDXP250512C20950</stp>
        <tr r="CD153" s="1"/>
        <tr r="CD153" s="1"/>
      </tp>
      <tp>
        <v>0.17</v>
        <stp/>
        <stp>DELTA</stp>
        <stp>.NDXP250512C20975</stp>
        <tr r="CD152" s="1"/>
        <tr r="CD152" s="1"/>
      </tp>
      <tp t="s">
        <v>N/A</v>
        <stp/>
        <stp>VOLUME</stp>
        <stp>.NDXP250829C20175</stp>
        <tr r="P185" s="2"/>
      </tp>
      <tp t="s">
        <v>N/A</v>
        <stp/>
        <stp>VOLUME</stp>
        <stp>.NDXP250829C21175</stp>
        <tr r="P145" s="2"/>
      </tp>
      <tp t="s">
        <v>N/A</v>
        <stp/>
        <stp>VOLUME</stp>
        <stp>.NDXP250930C20875</stp>
        <tr r="R157" s="2"/>
      </tp>
      <tp t="s">
        <v>N/A</v>
        <stp/>
        <stp>VOLUME</stp>
        <stp>.NDXP250530C20875</stp>
        <tr r="I157" s="2"/>
      </tp>
      <tp t="s">
        <v>N/A</v>
        <stp/>
        <stp>VOLUME</stp>
        <stp>.NDXP250630C20875</stp>
        <tr r="L157" s="2"/>
      </tp>
      <tp t="s">
        <v>N/A</v>
        <stp/>
        <stp>VOLUME</stp>
        <stp>.NDXP250731C20975</stp>
        <tr r="N153" s="2"/>
      </tp>
      <tp t="s">
        <v>N/A</v>
        <stp/>
        <stp>VOLUME</stp>
        <stp>.NDXP251031C20975</stp>
        <tr r="T153" s="2"/>
      </tp>
      <tp t="s">
        <v>N/A</v>
        <stp/>
        <stp>VOLUME</stp>
        <stp>.NDXP251128C20075</stp>
        <tr r="V189" s="2"/>
      </tp>
      <tp t="s">
        <v>N/A</v>
        <stp/>
        <stp>VOLUME</stp>
        <stp>.NDXP251128C21075</stp>
        <tr r="V149" s="2"/>
      </tp>
      <tp t="s">
        <v>N/A</v>
        <stp/>
        <stp>VOLUME</stp>
        <stp>.NDXP251231C20975</stp>
        <tr r="X153" s="2"/>
      </tp>
      <tp t="s">
        <v>N/A</v>
        <stp/>
        <stp>VOLUME</stp>
        <stp>.NDXP250930C20850</stp>
        <tr r="R158" s="2"/>
      </tp>
      <tp t="s">
        <v>N/A</v>
        <stp/>
        <stp>VOLUME</stp>
        <stp>.NDXP250829C20150</stp>
        <tr r="P186" s="2"/>
      </tp>
      <tp t="s">
        <v>N/A</v>
        <stp/>
        <stp>VOLUME</stp>
        <stp>.NDXP250829C21150</stp>
        <tr r="P146" s="2"/>
      </tp>
      <tp>
        <v>1</v>
        <stp/>
        <stp>VOLUME</stp>
        <stp>.NDXP250530C20850</stp>
        <tr r="I158" s="2"/>
        <tr r="I158" s="2"/>
      </tp>
      <tp t="s">
        <v>N/A</v>
        <stp/>
        <stp>VOLUME</stp>
        <stp>.NDXP250731C20950</stp>
        <tr r="N154" s="2"/>
      </tp>
      <tp t="s">
        <v>N/A</v>
        <stp/>
        <stp>VOLUME</stp>
        <stp>.NDXP250630C20850</stp>
        <tr r="L158" s="2"/>
      </tp>
      <tp t="s">
        <v>N/A</v>
        <stp/>
        <stp>VOLUME</stp>
        <stp>.NDXP251128C20050</stp>
        <tr r="V190" s="2"/>
      </tp>
      <tp t="s">
        <v>N/A</v>
        <stp/>
        <stp>VOLUME</stp>
        <stp>.NDXP251128C21050</stp>
        <tr r="V150" s="2"/>
      </tp>
      <tp t="s">
        <v>N/A</v>
        <stp/>
        <stp>VOLUME</stp>
        <stp>.NDXP251031C20950</stp>
        <tr r="T154" s="2"/>
      </tp>
      <tp t="s">
        <v>N/A</v>
        <stp/>
        <stp>VOLUME</stp>
        <stp>.NDXP251231C20950</stp>
        <tr r="X154" s="2"/>
      </tp>
      <tp t="s">
        <v>N/A</v>
        <stp/>
        <stp>VOLUME</stp>
        <stp>.NDXP251031C20925</stp>
        <tr r="T155" s="2"/>
      </tp>
      <tp t="s">
        <v>N/A</v>
        <stp/>
        <stp>VOLUME</stp>
        <stp>.NDXP251128C21025</stp>
        <tr r="V151" s="2"/>
      </tp>
      <tp t="s">
        <v>N/A</v>
        <stp/>
        <stp>VOLUME</stp>
        <stp>.NDXP251231C20925</stp>
        <tr r="X155" s="2"/>
      </tp>
      <tp t="s">
        <v>N/A</v>
        <stp/>
        <stp>VOLUME</stp>
        <stp>.NDXP250829C20125</stp>
        <tr r="P187" s="2"/>
      </tp>
      <tp t="s">
        <v>N/A</v>
        <stp/>
        <stp>VOLUME</stp>
        <stp>.NDXP250829C21125</stp>
        <tr r="P147" s="2"/>
      </tp>
      <tp t="s">
        <v>N/A</v>
        <stp/>
        <stp>VOLUME</stp>
        <stp>.NDXP250930C20825</stp>
        <tr r="R159" s="2"/>
      </tp>
      <tp t="s">
        <v>N/A</v>
        <stp/>
        <stp>VOLUME</stp>
        <stp>.NDXP250530C20825</stp>
        <tr r="I159" s="2"/>
      </tp>
      <tp t="s">
        <v>N/A</v>
        <stp/>
        <stp>VOLUME</stp>
        <stp>.NDXP250630C20825</stp>
        <tr r="L159" s="2"/>
      </tp>
      <tp t="s">
        <v>N/A</v>
        <stp/>
        <stp>VOLUME</stp>
        <stp>.NDXP250731C20925</stp>
        <tr r="N155" s="2"/>
      </tp>
      <tp t="s">
        <v>N/A</v>
        <stp/>
        <stp>VOLUME</stp>
        <stp>.NDXP251128C21000</stp>
        <tr r="V152" s="2"/>
      </tp>
      <tp t="s">
        <v>N/A</v>
        <stp/>
        <stp>VOLUME</stp>
        <stp>.NDXP251031C20900</stp>
        <tr r="T156" s="2"/>
      </tp>
      <tp>
        <v>3</v>
        <stp/>
        <stp>VOLUME</stp>
        <stp>.NDXP251231C20900</stp>
        <tr r="X156" s="2"/>
        <tr r="X156" s="2"/>
      </tp>
      <tp t="s">
        <v>N/A</v>
        <stp/>
        <stp>VOLUME</stp>
        <stp>.NDXP250930C20800</stp>
        <tr r="R160" s="2"/>
      </tp>
      <tp t="s">
        <v>N/A</v>
        <stp/>
        <stp>VOLUME</stp>
        <stp>.NDXP250829C20100</stp>
        <tr r="P188" s="2"/>
      </tp>
      <tp t="s">
        <v>N/A</v>
        <stp/>
        <stp>VOLUME</stp>
        <stp>.NDXP250829C21100</stp>
        <tr r="P148" s="2"/>
      </tp>
      <tp>
        <v>5</v>
        <stp/>
        <stp>VOLUME</stp>
        <stp>.NDXP250530C20800</stp>
        <tr r="I160" s="2"/>
        <tr r="I160" s="2"/>
      </tp>
      <tp t="s">
        <v>N/A</v>
        <stp/>
        <stp>VOLUME</stp>
        <stp>.NDXP250731C20900</stp>
        <tr r="N156" s="2"/>
      </tp>
      <tp t="s">
        <v>N/A</v>
        <stp/>
        <stp>VOLUME</stp>
        <stp>.NDXP250630C20800</stp>
        <tr r="L160" s="2"/>
      </tp>
      <tp t="s">
        <v>N/A</v>
        <stp/>
        <stp>VOLUME</stp>
        <stp>.SPXW250930C5680</stp>
        <tr r="R120" s="2"/>
      </tp>
      <tp>
        <v>2</v>
        <stp/>
        <stp>VOLUME</stp>
        <stp>.SPXW250829C5710</stp>
        <tr r="P117" s="2"/>
        <tr r="P117" s="2"/>
      </tp>
      <tp>
        <v>32</v>
        <stp/>
        <stp>VOLUME</stp>
        <stp>.SPXW250530C5680</stp>
        <tr r="I120" s="2"/>
        <tr r="I120" s="2"/>
      </tp>
      <tp t="s">
        <v>N/A</v>
        <stp/>
        <stp>VOLUME</stp>
        <stp>.SPXW250731C5690</stp>
        <tr r="N119" s="2"/>
      </tp>
      <tp>
        <v>5</v>
        <stp/>
        <stp>VOLUME</stp>
        <stp>.SPXW250630C5680</stp>
        <tr r="L120" s="2"/>
        <tr r="L120" s="2"/>
      </tp>
      <tp t="s">
        <v>N/A</v>
        <stp/>
        <stp>VOLUME</stp>
        <stp>.SPXW251128C5700</stp>
        <tr r="V118" s="2"/>
      </tp>
      <tp t="s">
        <v>N/A</v>
        <stp/>
        <stp>VOLUME</stp>
        <stp>.SPXW251031C5690</stp>
        <tr r="T119" s="2"/>
      </tp>
      <tp>
        <v>1</v>
        <stp/>
        <stp>VOLUME</stp>
        <stp>.SPXW251231C5690</stp>
        <tr r="X119" s="2"/>
        <tr r="X119" s="2"/>
      </tp>
      <tp t="s">
        <v>N/A</v>
        <stp/>
        <stp>VOLUME</stp>
        <stp>.SPXW251128P5700</stp>
        <tr r="V118" s="2"/>
      </tp>
      <tp>
        <v>11</v>
        <stp/>
        <stp>VOLUME</stp>
        <stp>.SPXW251031P5690</stp>
        <tr r="T119" s="2"/>
        <tr r="T119" s="2"/>
      </tp>
      <tp t="s">
        <v>N/A</v>
        <stp/>
        <stp>VOLUME</stp>
        <stp>.SPXW251231P5690</stp>
        <tr r="X119" s="2"/>
      </tp>
      <tp>
        <v>13</v>
        <stp/>
        <stp>VOLUME</stp>
        <stp>.SPXW250930P5680</stp>
        <tr r="R120" s="2"/>
        <tr r="R120" s="2"/>
      </tp>
      <tp>
        <v>6</v>
        <stp/>
        <stp>VOLUME</stp>
        <stp>.SPXW250829P5710</stp>
        <tr r="P117" s="2"/>
        <tr r="P117" s="2"/>
      </tp>
      <tp>
        <v>52</v>
        <stp/>
        <stp>VOLUME</stp>
        <stp>.SPXW250530P5680</stp>
        <tr r="I120" s="2"/>
        <tr r="I120" s="2"/>
      </tp>
      <tp>
        <v>202</v>
        <stp/>
        <stp>VOLUME</stp>
        <stp>.SPXW250731P5690</stp>
        <tr r="N119" s="2"/>
        <tr r="N119" s="2"/>
      </tp>
      <tp>
        <v>3</v>
        <stp/>
        <stp>VOLUME</stp>
        <stp>.SPXW250630P5680</stp>
        <tr r="L120" s="2"/>
        <tr r="L120" s="2"/>
      </tp>
      <tp t="s">
        <v>N/A</v>
        <stp/>
        <stp>VOLUME</stp>
        <stp>.SPXW250930C5690</stp>
        <tr r="R119" s="2"/>
      </tp>
      <tp>
        <v>5</v>
        <stp/>
        <stp>VOLUME</stp>
        <stp>.SPXW250829C5700</stp>
        <tr r="P118" s="2"/>
        <tr r="P118" s="2"/>
      </tp>
      <tp>
        <v>13</v>
        <stp/>
        <stp>VOLUME</stp>
        <stp>.SPXW250530C5690</stp>
        <tr r="I119" s="2"/>
        <tr r="I119" s="2"/>
      </tp>
      <tp t="s">
        <v>N/A</v>
        <stp/>
        <stp>VOLUME</stp>
        <stp>.SPXW250731C5680</stp>
        <tr r="N120" s="2"/>
      </tp>
      <tp>
        <v>90</v>
        <stp/>
        <stp>VOLUME</stp>
        <stp>.SPXW250630C5690</stp>
        <tr r="L119" s="2"/>
        <tr r="L119" s="2"/>
      </tp>
      <tp t="s">
        <v>N/A</v>
        <stp/>
        <stp>VOLUME</stp>
        <stp>.SPXW251128C5710</stp>
        <tr r="V117" s="2"/>
      </tp>
      <tp t="s">
        <v>N/A</v>
        <stp/>
        <stp>VOLUME</stp>
        <stp>.SPXW251031C5680</stp>
        <tr r="T120" s="2"/>
      </tp>
      <tp t="s">
        <v>N/A</v>
        <stp/>
        <stp>VOLUME</stp>
        <stp>.SPXW251231C5680</stp>
        <tr r="X120" s="2"/>
      </tp>
      <tp t="s">
        <v>N/A</v>
        <stp/>
        <stp>VOLUME</stp>
        <stp>.SPXW251128P5710</stp>
        <tr r="V117" s="2"/>
      </tp>
      <tp>
        <v>2</v>
        <stp/>
        <stp>VOLUME</stp>
        <stp>.SPXW251031P5680</stp>
        <tr r="T120" s="2"/>
        <tr r="T120" s="2"/>
      </tp>
      <tp t="s">
        <v>N/A</v>
        <stp/>
        <stp>VOLUME</stp>
        <stp>.SPXW251231P5680</stp>
        <tr r="X120" s="2"/>
      </tp>
      <tp>
        <v>5</v>
        <stp/>
        <stp>VOLUME</stp>
        <stp>.SPXW250930P5690</stp>
        <tr r="R119" s="2"/>
        <tr r="R119" s="2"/>
      </tp>
      <tp>
        <v>28</v>
        <stp/>
        <stp>VOLUME</stp>
        <stp>.SPXW250829P5700</stp>
        <tr r="P118" s="2"/>
        <tr r="P118" s="2"/>
      </tp>
      <tp>
        <v>44</v>
        <stp/>
        <stp>VOLUME</stp>
        <stp>.SPXW250530P5690</stp>
        <tr r="I119" s="2"/>
        <tr r="I119" s="2"/>
      </tp>
      <tp>
        <v>24</v>
        <stp/>
        <stp>VOLUME</stp>
        <stp>.SPXW250731P5680</stp>
        <tr r="N120" s="2"/>
        <tr r="N120" s="2"/>
      </tp>
      <tp>
        <v>19</v>
        <stp/>
        <stp>VOLUME</stp>
        <stp>.SPXW250630P5690</stp>
        <tr r="L119" s="2"/>
        <tr r="L119" s="2"/>
      </tp>
      <tp>
        <v>2</v>
        <stp/>
        <stp>VOLUME</stp>
        <stp>.SPXW250829C5730</stp>
        <tr r="P115" s="2"/>
        <tr r="P115" s="2"/>
      </tp>
      <tp t="s">
        <v>N/A</v>
        <stp/>
        <stp>VOLUME</stp>
        <stp>.SPXW251128C5720</stp>
        <tr r="V116" s="2"/>
      </tp>
      <tp t="s">
        <v>N/A</v>
        <stp/>
        <stp>VOLUME</stp>
        <stp>.SPXW251128P5720</stp>
        <tr r="V116" s="2"/>
      </tp>
      <tp t="s">
        <v>N/A</v>
        <stp/>
        <stp>VOLUME</stp>
        <stp>.SPXW250829P5730</stp>
        <tr r="P115" s="2"/>
      </tp>
      <tp>
        <v>1</v>
        <stp/>
        <stp>VOLUME</stp>
        <stp>.SPXW250829C5720</stp>
        <tr r="P116" s="2"/>
        <tr r="P116" s="2"/>
      </tp>
      <tp t="s">
        <v>N/A</v>
        <stp/>
        <stp>VOLUME</stp>
        <stp>.SPXW251128C5730</stp>
        <tr r="V115" s="2"/>
      </tp>
      <tp t="s">
        <v>N/A</v>
        <stp/>
        <stp>VOLUME</stp>
        <stp>.SPXW251128P5730</stp>
        <tr r="V115" s="2"/>
      </tp>
      <tp t="s">
        <v>N/A</v>
        <stp/>
        <stp>VOLUME</stp>
        <stp>.SPXW250829P5720</stp>
        <tr r="P116" s="2"/>
      </tp>
      <tp>
        <v>28</v>
        <stp/>
        <stp>VOLUME</stp>
        <stp>.SPXW250829C5750</stp>
        <tr r="P113" s="2"/>
        <tr r="P113" s="2"/>
      </tp>
      <tp t="s">
        <v>N/A</v>
        <stp/>
        <stp>VOLUME</stp>
        <stp>.SPXW251128C5740</stp>
        <tr r="V114" s="2"/>
      </tp>
      <tp t="s">
        <v>N/A</v>
        <stp/>
        <stp>VOLUME</stp>
        <stp>.SPXW251128P5740</stp>
        <tr r="V114" s="2"/>
      </tp>
      <tp>
        <v>24</v>
        <stp/>
        <stp>VOLUME</stp>
        <stp>.SPXW250829P5750</stp>
        <tr r="P113" s="2"/>
        <tr r="P113" s="2"/>
      </tp>
      <tp t="s">
        <v>N/A</v>
        <stp/>
        <stp>VOLUME</stp>
        <stp>.SPXW250829C5740</stp>
        <tr r="P114" s="2"/>
      </tp>
      <tp t="s">
        <v>N/A</v>
        <stp/>
        <stp>VOLUME</stp>
        <stp>.SPXW251128C5750</stp>
        <tr r="V113" s="2"/>
      </tp>
      <tp t="s">
        <v>N/A</v>
        <stp/>
        <stp>VOLUME</stp>
        <stp>.SPXW251128P5750</stp>
        <tr r="V113" s="2"/>
      </tp>
      <tp t="s">
        <v>N/A</v>
        <stp/>
        <stp>VOLUME</stp>
        <stp>.SPXW250829P5740</stp>
        <tr r="P114" s="2"/>
      </tp>
      <tp t="s">
        <v>N/A</v>
        <stp/>
        <stp>VOLUME</stp>
        <stp>.SPXW250829C5770</stp>
        <tr r="P111" s="2"/>
      </tp>
      <tp t="s">
        <v>N/A</v>
        <stp/>
        <stp>VOLUME</stp>
        <stp>.SPXW250606C5580</stp>
        <tr r="J130" s="2"/>
      </tp>
      <tp t="s">
        <v>N/A</v>
        <stp/>
        <stp>VOLUME</stp>
        <stp>.SPXW251128C5760</stp>
        <tr r="V112" s="2"/>
      </tp>
      <tp t="s">
        <v>N/A</v>
        <stp/>
        <stp>VOLUME</stp>
        <stp>.SPXW251128P5760</stp>
        <tr r="V112" s="2"/>
      </tp>
      <tp>
        <v>90</v>
        <stp/>
        <stp>VOLUME</stp>
        <stp>.SPXW250829P5770</stp>
        <tr r="P111" s="2"/>
        <tr r="P111" s="2"/>
      </tp>
      <tp>
        <v>10</v>
        <stp/>
        <stp>VOLUME</stp>
        <stp>.SPXW250606P5580</stp>
        <tr r="J130" s="2"/>
        <tr r="J130" s="2"/>
      </tp>
      <tp t="s">
        <v>N/A</v>
        <stp/>
        <stp>VOLUME</stp>
        <stp>.SPXW250829C5760</stp>
        <tr r="P112" s="2"/>
      </tp>
      <tp t="s">
        <v>N/A</v>
        <stp/>
        <stp>VOLUME</stp>
        <stp>.SPXW250606C5590</stp>
        <tr r="J129" s="2"/>
      </tp>
      <tp t="s">
        <v>N/A</v>
        <stp/>
        <stp>VOLUME</stp>
        <stp>.SPXW251128C5770</stp>
        <tr r="V111" s="2"/>
      </tp>
      <tp t="s">
        <v>N/A</v>
        <stp/>
        <stp>VOLUME</stp>
        <stp>.SPXW251128P5770</stp>
        <tr r="V111" s="2"/>
      </tp>
      <tp t="s">
        <v>N/A</v>
        <stp/>
        <stp>VOLUME</stp>
        <stp>.SPXW250829P5760</stp>
        <tr r="P112" s="2"/>
      </tp>
      <tp>
        <v>8</v>
        <stp/>
        <stp>VOLUME</stp>
        <stp>.SPXW250606P5590</stp>
        <tr r="J129" s="2"/>
        <tr r="J129" s="2"/>
      </tp>
      <tp t="s">
        <v>N/A</v>
        <stp/>
        <stp>VOLUME</stp>
        <stp>.NDXP251128P20050</stp>
        <tr r="V190" s="2"/>
      </tp>
      <tp t="s">
        <v>N/A</v>
        <stp/>
        <stp>VOLUME</stp>
        <stp>.NDXP251128P21050</stp>
        <tr r="V150" s="2"/>
      </tp>
      <tp t="s">
        <v>N/A</v>
        <stp/>
        <stp>VOLUME</stp>
        <stp>.NDXP251031P20950</stp>
        <tr r="T154" s="2"/>
      </tp>
      <tp t="s">
        <v>N/A</v>
        <stp/>
        <stp>VOLUME</stp>
        <stp>.NDXP251231P20950</stp>
        <tr r="X154" s="2"/>
      </tp>
      <tp>
        <v>502</v>
        <stp/>
        <stp>VOLUME</stp>
        <stp>.SPXW250930C5600</stp>
        <tr r="R128" s="2"/>
        <tr r="R128" s="2"/>
      </tp>
      <tp t="s">
        <v>N/A</v>
        <stp/>
        <stp>VOLUME</stp>
        <stp>.SPXW250829C5790</stp>
        <tr r="P109" s="2"/>
      </tp>
      <tp>
        <v>85</v>
        <stp/>
        <stp>VOLUME</stp>
        <stp>.SPXW250530C5600</stp>
        <tr r="I128" s="2"/>
        <tr r="I128" s="2"/>
      </tp>
      <tp t="s">
        <v>N/A</v>
        <stp/>
        <stp>VOLUME</stp>
        <stp>.SPXW250731C5610</stp>
        <tr r="N127" s="2"/>
      </tp>
      <tp>
        <v>23</v>
        <stp/>
        <stp>VOLUME</stp>
        <stp>.SPXW250630C5600</stp>
        <tr r="L128" s="2"/>
        <tr r="L128" s="2"/>
      </tp>
      <tp t="s">
        <v>N/A</v>
        <stp/>
        <stp>VOLUME</stp>
        <stp>.SPXW251128C5780</stp>
        <tr r="V110" s="2"/>
      </tp>
      <tp t="s">
        <v>N/A</v>
        <stp/>
        <stp>VOLUME</stp>
        <stp>.SPXW251031C5610</stp>
        <tr r="T127" s="2"/>
      </tp>
      <tp t="s">
        <v>N/A</v>
        <stp/>
        <stp>VOLUME</stp>
        <stp>.SPXW251231C5610</stp>
        <tr r="X127" s="2"/>
      </tp>
      <tp t="s">
        <v>N/A</v>
        <stp/>
        <stp>VOLUME</stp>
        <stp>.SPXW251128P5780</stp>
        <tr r="V110" s="2"/>
      </tp>
      <tp>
        <v>17</v>
        <stp/>
        <stp>VOLUME</stp>
        <stp>.SPXW251031P5610</stp>
        <tr r="T127" s="2"/>
        <tr r="T127" s="2"/>
      </tp>
      <tp t="s">
        <v>N/A</v>
        <stp/>
        <stp>VOLUME</stp>
        <stp>.SPXW251231P5610</stp>
        <tr r="X127" s="2"/>
      </tp>
      <tp>
        <v>167</v>
        <stp/>
        <stp>VOLUME</stp>
        <stp>.SPXW250930P5600</stp>
        <tr r="R128" s="2"/>
        <tr r="R128" s="2"/>
      </tp>
      <tp>
        <v>1</v>
        <stp/>
        <stp>VOLUME</stp>
        <stp>.SPXW250829P5790</stp>
        <tr r="P109" s="2"/>
        <tr r="P109" s="2"/>
      </tp>
      <tp>
        <v>952</v>
        <stp/>
        <stp>VOLUME</stp>
        <stp>.SPXW250530P5600</stp>
        <tr r="I128" s="2"/>
        <tr r="I128" s="2"/>
      </tp>
      <tp>
        <v>93</v>
        <stp/>
        <stp>VOLUME</stp>
        <stp>.SPXW250731P5610</stp>
        <tr r="N127" s="2"/>
        <tr r="N127" s="2"/>
      </tp>
      <tp>
        <v>562</v>
        <stp/>
        <stp>VOLUME</stp>
        <stp>.SPXW250630P5600</stp>
        <tr r="L128" s="2"/>
        <tr r="L128" s="2"/>
      </tp>
      <tp t="s">
        <v>N/A</v>
        <stp/>
        <stp>VOLUME</stp>
        <stp>.NDXP250930P20850</stp>
        <tr r="R158" s="2"/>
      </tp>
      <tp t="s">
        <v>N/A</v>
        <stp/>
        <stp>VOLUME</stp>
        <stp>.NDXP250829P20150</stp>
        <tr r="P186" s="2"/>
      </tp>
      <tp t="s">
        <v>N/A</v>
        <stp/>
        <stp>VOLUME</stp>
        <stp>.NDXP250829P21150</stp>
        <tr r="P146" s="2"/>
      </tp>
      <tp t="s">
        <v>N/A</v>
        <stp/>
        <stp>VOLUME</stp>
        <stp>.NDXP250530P20850</stp>
        <tr r="I158" s="2"/>
      </tp>
      <tp t="s">
        <v>N/A</v>
        <stp/>
        <stp>VOLUME</stp>
        <stp>.NDXP250731P20950</stp>
        <tr r="N154" s="2"/>
      </tp>
      <tp t="s">
        <v>N/A</v>
        <stp/>
        <stp>VOLUME</stp>
        <stp>.NDXP250630P20850</stp>
        <tr r="L158" s="2"/>
      </tp>
      <tp t="s">
        <v>N/A</v>
        <stp/>
        <stp>VOLUME</stp>
        <stp>.SPXW250930C5610</stp>
        <tr r="R127" s="2"/>
      </tp>
      <tp t="s">
        <v>N/A</v>
        <stp/>
        <stp>VOLUME</stp>
        <stp>.SPXW250829C5780</stp>
        <tr r="P110" s="2"/>
      </tp>
      <tp>
        <v>6</v>
        <stp/>
        <stp>VOLUME</stp>
        <stp>.SPXW250530C5610</stp>
        <tr r="I127" s="2"/>
        <tr r="I127" s="2"/>
      </tp>
      <tp>
        <v>1</v>
        <stp/>
        <stp>VOLUME</stp>
        <stp>.SPXW250731C5600</stp>
        <tr r="N128" s="2"/>
        <tr r="N128" s="2"/>
      </tp>
      <tp t="s">
        <v>N/A</v>
        <stp/>
        <stp>VOLUME</stp>
        <stp>.SPXW250606C5570</stp>
        <tr r="J131" s="2"/>
      </tp>
      <tp>
        <v>2</v>
        <stp/>
        <stp>VOLUME</stp>
        <stp>.SPXW250630C5610</stp>
        <tr r="L127" s="2"/>
        <tr r="L127" s="2"/>
      </tp>
      <tp t="s">
        <v>N/A</v>
        <stp/>
        <stp>VOLUME</stp>
        <stp>.SPXW251128C5790</stp>
        <tr r="V109" s="2"/>
      </tp>
      <tp>
        <v>1</v>
        <stp/>
        <stp>VOLUME</stp>
        <stp>.SPXW251031C5600</stp>
        <tr r="T128" s="2"/>
        <tr r="T128" s="2"/>
      </tp>
      <tp t="s">
        <v>N/A</v>
        <stp/>
        <stp>VOLUME</stp>
        <stp>.SPXW251231C5600</stp>
        <tr r="X128" s="2"/>
      </tp>
      <tp t="s">
        <v>N/A</v>
        <stp/>
        <stp>VOLUME</stp>
        <stp>.SPXW251128P5790</stp>
        <tr r="V109" s="2"/>
      </tp>
      <tp>
        <v>65</v>
        <stp/>
        <stp>VOLUME</stp>
        <stp>.SPXW251031P5600</stp>
        <tr r="T128" s="2"/>
        <tr r="T128" s="2"/>
      </tp>
      <tp>
        <v>36</v>
        <stp/>
        <stp>VOLUME</stp>
        <stp>.SPXW251231P5600</stp>
        <tr r="X128" s="2"/>
        <tr r="X128" s="2"/>
      </tp>
      <tp t="s">
        <v>N/A</v>
        <stp/>
        <stp>VOLUME</stp>
        <stp>.SPXW250930P5610</stp>
        <tr r="R127" s="2"/>
      </tp>
      <tp t="s">
        <v>N/A</v>
        <stp/>
        <stp>VOLUME</stp>
        <stp>.SPXW250829P5780</stp>
        <tr r="P110" s="2"/>
      </tp>
      <tp>
        <v>129</v>
        <stp/>
        <stp>VOLUME</stp>
        <stp>.SPXW250530P5610</stp>
        <tr r="I127" s="2"/>
        <tr r="I127" s="2"/>
      </tp>
      <tp>
        <v>18</v>
        <stp/>
        <stp>VOLUME</stp>
        <stp>.SPXW250731P5600</stp>
        <tr r="N128" s="2"/>
        <tr r="N128" s="2"/>
      </tp>
      <tp>
        <v>59</v>
        <stp/>
        <stp>VOLUME</stp>
        <stp>.SPXW250606P5570</stp>
        <tr r="J131" s="2"/>
        <tr r="J131" s="2"/>
      </tp>
      <tp>
        <v>14</v>
        <stp/>
        <stp>VOLUME</stp>
        <stp>.SPXW250630P5610</stp>
        <tr r="L127" s="2"/>
        <tr r="L127" s="2"/>
      </tp>
      <tp t="s">
        <v>N/A</v>
        <stp/>
        <stp>VOLUME</stp>
        <stp>.NDXP251031P20975</stp>
        <tr r="T153" s="2"/>
      </tp>
      <tp t="s">
        <v>N/A</v>
        <stp/>
        <stp>VOLUME</stp>
        <stp>.NDXP251128P20075</stp>
        <tr r="V189" s="2"/>
      </tp>
      <tp t="s">
        <v>N/A</v>
        <stp/>
        <stp>VOLUME</stp>
        <stp>.NDXP251128P21075</stp>
        <tr r="V149" s="2"/>
      </tp>
      <tp t="s">
        <v>N/A</v>
        <stp/>
        <stp>VOLUME</stp>
        <stp>.NDXP251231P20975</stp>
        <tr r="X153" s="2"/>
      </tp>
      <tp>
        <v>4</v>
        <stp/>
        <stp>VOLUME</stp>
        <stp>.SPXW250930C5620</stp>
        <tr r="R126" s="2"/>
        <tr r="R126" s="2"/>
      </tp>
      <tp>
        <v>2</v>
        <stp/>
        <stp>VOLUME</stp>
        <stp>.SPXW250530C5620</stp>
        <tr r="I126" s="2"/>
        <tr r="I126" s="2"/>
      </tp>
      <tp t="s">
        <v>N/A</v>
        <stp/>
        <stp>VOLUME</stp>
        <stp>.SPXW250731C5630</stp>
        <tr r="N125" s="2"/>
      </tp>
      <tp>
        <v>1</v>
        <stp/>
        <stp>VOLUME</stp>
        <stp>.SPXW250630C5620</stp>
        <tr r="L126" s="2"/>
        <tr r="L126" s="2"/>
      </tp>
      <tp t="s">
        <v>N/A</v>
        <stp/>
        <stp>VOLUME</stp>
        <stp>.SPXW251031C5630</stp>
        <tr r="T125" s="2"/>
      </tp>
      <tp t="s">
        <v>N/A</v>
        <stp/>
        <stp>VOLUME</stp>
        <stp>.SPXW251231C5630</stp>
        <tr r="X125" s="2"/>
      </tp>
      <tp>
        <v>140</v>
        <stp/>
        <stp>VOLUME</stp>
        <stp>.SPXW251031P5630</stp>
        <tr r="T125" s="2"/>
        <tr r="T125" s="2"/>
      </tp>
      <tp t="s">
        <v>N/A</v>
        <stp/>
        <stp>VOLUME</stp>
        <stp>.SPXW251231P5630</stp>
        <tr r="X125" s="2"/>
      </tp>
      <tp t="s">
        <v>N/A</v>
        <stp/>
        <stp>VOLUME</stp>
        <stp>.SPXW250930P5620</stp>
        <tr r="R126" s="2"/>
      </tp>
      <tp>
        <v>23</v>
        <stp/>
        <stp>VOLUME</stp>
        <stp>.SPXW250530P5620</stp>
        <tr r="I126" s="2"/>
        <tr r="I126" s="2"/>
      </tp>
      <tp>
        <v>3</v>
        <stp/>
        <stp>VOLUME</stp>
        <stp>.SPXW250731P5630</stp>
        <tr r="N125" s="2"/>
        <tr r="N125" s="2"/>
      </tp>
      <tp>
        <v>2</v>
        <stp/>
        <stp>VOLUME</stp>
        <stp>.SPXW250630P5620</stp>
        <tr r="L126" s="2"/>
        <tr r="L126" s="2"/>
      </tp>
      <tp t="s">
        <v>N/A</v>
        <stp/>
        <stp>VOLUME</stp>
        <stp>.NDXP250829P20175</stp>
        <tr r="P185" s="2"/>
      </tp>
      <tp t="s">
        <v>N/A</v>
        <stp/>
        <stp>VOLUME</stp>
        <stp>.NDXP250829P21175</stp>
        <tr r="P145" s="2"/>
      </tp>
      <tp t="s">
        <v>N/A</v>
        <stp/>
        <stp>VOLUME</stp>
        <stp>.NDXP250930P20875</stp>
        <tr r="R157" s="2"/>
      </tp>
      <tp>
        <v>3</v>
        <stp/>
        <stp>VOLUME</stp>
        <stp>.NDXP250530P20875</stp>
        <tr r="I157" s="2"/>
        <tr r="I157" s="2"/>
      </tp>
      <tp t="s">
        <v>N/A</v>
        <stp/>
        <stp>VOLUME</stp>
        <stp>.NDXP250630P20875</stp>
        <tr r="L157" s="2"/>
      </tp>
      <tp t="s">
        <v>N/A</v>
        <stp/>
        <stp>VOLUME</stp>
        <stp>.NDXP250731P20975</stp>
        <tr r="N153" s="2"/>
      </tp>
      <tp t="s">
        <v>N/A</v>
        <stp/>
        <stp>VOLUME</stp>
        <stp>.SPXW250930C5630</stp>
        <tr r="R125" s="2"/>
      </tp>
      <tp>
        <v>32</v>
        <stp/>
        <stp>VOLUME</stp>
        <stp>.SPXW250530C5630</stp>
        <tr r="I125" s="2"/>
        <tr r="I125" s="2"/>
      </tp>
      <tp t="s">
        <v>N/A</v>
        <stp/>
        <stp>VOLUME</stp>
        <stp>.SPXW250731C5620</stp>
        <tr r="N126" s="2"/>
      </tp>
      <tp>
        <v>2</v>
        <stp/>
        <stp>VOLUME</stp>
        <stp>.SPXW250630C5630</stp>
        <tr r="L125" s="2"/>
        <tr r="L125" s="2"/>
      </tp>
      <tp t="s">
        <v>N/A</v>
        <stp/>
        <stp>VOLUME</stp>
        <stp>.SPXW251031C5620</stp>
        <tr r="T126" s="2"/>
      </tp>
      <tp t="s">
        <v>N/A</v>
        <stp/>
        <stp>VOLUME</stp>
        <stp>.SPXW251231C5620</stp>
        <tr r="X126" s="2"/>
      </tp>
      <tp>
        <v>125</v>
        <stp/>
        <stp>VOLUME</stp>
        <stp>.SPXW251031P5620</stp>
        <tr r="T126" s="2"/>
        <tr r="T126" s="2"/>
      </tp>
      <tp t="s">
        <v>N/A</v>
        <stp/>
        <stp>VOLUME</stp>
        <stp>.SPXW251231P5620</stp>
        <tr r="X126" s="2"/>
      </tp>
      <tp t="s">
        <v>N/A</v>
        <stp/>
        <stp>VOLUME</stp>
        <stp>.SPXW250930P5630</stp>
        <tr r="R125" s="2"/>
      </tp>
      <tp>
        <v>36</v>
        <stp/>
        <stp>VOLUME</stp>
        <stp>.SPXW250530P5630</stp>
        <tr r="I125" s="2"/>
        <tr r="I125" s="2"/>
      </tp>
      <tp>
        <v>108</v>
        <stp/>
        <stp>VOLUME</stp>
        <stp>.SPXW250731P5620</stp>
        <tr r="N126" s="2"/>
        <tr r="N126" s="2"/>
      </tp>
      <tp t="s">
        <v>N/A</v>
        <stp/>
        <stp>VOLUME</stp>
        <stp>.SPXW250630P5630</stp>
        <tr r="L125" s="2"/>
      </tp>
      <tp t="s">
        <v>N/A</v>
        <stp/>
        <stp>VOLUME</stp>
        <stp>.QQQP508</stp>
        <tr r="K60" s="2"/>
        <tr r="E60" s="2"/>
        <tr r="G60" s="2"/>
        <tr r="B60" s="2"/>
        <tr r="D60" s="2"/>
        <tr r="F60" s="2"/>
        <tr r="C60" s="2"/>
      </tp>
      <tp t="s">
        <v>N/A</v>
        <stp/>
        <stp>VOLUME</stp>
        <stp>.QQQC508</stp>
        <tr r="K60" s="2"/>
        <tr r="E60" s="2"/>
        <tr r="G60" s="2"/>
        <tr r="B60" s="2"/>
        <tr r="D60" s="2"/>
        <tr r="F60" s="2"/>
        <tr r="C60" s="2"/>
      </tp>
      <tp t="s">
        <v>N/A</v>
        <stp/>
        <stp>VOLUME</stp>
        <stp>.QQQP509</stp>
        <tr r="K59" s="2"/>
        <tr r="E59" s="2"/>
        <tr r="F59" s="2"/>
        <tr r="G59" s="2"/>
        <tr r="B59" s="2"/>
        <tr r="D59" s="2"/>
        <tr r="C59" s="2"/>
      </tp>
      <tp t="s">
        <v>N/A</v>
        <stp/>
        <stp>VOLUME</stp>
        <stp>.QQQC509</stp>
        <tr r="K59" s="2"/>
        <tr r="E59" s="2"/>
        <tr r="F59" s="2"/>
        <tr r="G59" s="2"/>
        <tr r="B59" s="2"/>
        <tr r="D59" s="2"/>
        <tr r="C59" s="2"/>
      </tp>
      <tp t="s">
        <v>N/A</v>
        <stp/>
        <stp>VOLUME</stp>
        <stp>.QQQP504</stp>
        <tr r="D64" s="2"/>
        <tr r="B64" s="2"/>
        <tr r="C64" s="2"/>
        <tr r="K64" s="2"/>
        <tr r="E64" s="2"/>
        <tr r="G64" s="2"/>
        <tr r="F64" s="2"/>
      </tp>
      <tp t="s">
        <v>N/A</v>
        <stp/>
        <stp>VOLUME</stp>
        <stp>.QQQC504</stp>
        <tr r="D64" s="2"/>
        <tr r="B64" s="2"/>
        <tr r="C64" s="2"/>
        <tr r="K64" s="2"/>
        <tr r="E64" s="2"/>
        <tr r="G64" s="2"/>
        <tr r="F64" s="2"/>
      </tp>
      <tp t="s">
        <v>N/A</v>
        <stp/>
        <stp>VOLUME</stp>
        <stp>.QQQP505</stp>
        <tr r="G63" s="2"/>
        <tr r="C63" s="2"/>
        <tr r="D63" s="2"/>
        <tr r="E63" s="2"/>
        <tr r="K63" s="2"/>
        <tr r="B63" s="2"/>
        <tr r="F63" s="2"/>
      </tp>
      <tp t="s">
        <v>N/A</v>
        <stp/>
        <stp>VOLUME</stp>
        <stp>.QQQC505</stp>
        <tr r="G63" s="2"/>
        <tr r="C63" s="2"/>
        <tr r="D63" s="2"/>
        <tr r="E63" s="2"/>
        <tr r="K63" s="2"/>
        <tr r="B63" s="2"/>
        <tr r="F63" s="2"/>
      </tp>
      <tp t="s">
        <v>N/A</v>
        <stp/>
        <stp>VOLUME</stp>
        <stp>.QQQP506</stp>
        <tr r="E62" s="2"/>
        <tr r="C62" s="2"/>
        <tr r="F62" s="2"/>
        <tr r="G62" s="2"/>
        <tr r="B62" s="2"/>
        <tr r="D62" s="2"/>
        <tr r="K62" s="2"/>
      </tp>
      <tp t="s">
        <v>N/A</v>
        <stp/>
        <stp>VOLUME</stp>
        <stp>.QQQC506</stp>
        <tr r="E62" s="2"/>
        <tr r="C62" s="2"/>
        <tr r="F62" s="2"/>
        <tr r="G62" s="2"/>
        <tr r="B62" s="2"/>
        <tr r="D62" s="2"/>
        <tr r="K62" s="2"/>
      </tp>
      <tp t="s">
        <v>N/A</v>
        <stp/>
        <stp>VOLUME</stp>
        <stp>.QQQP507</stp>
        <tr r="B61" s="2"/>
        <tr r="F61" s="2"/>
        <tr r="E61" s="2"/>
        <tr r="K61" s="2"/>
        <tr r="C61" s="2"/>
        <tr r="D61" s="2"/>
        <tr r="G61" s="2"/>
      </tp>
      <tp t="s">
        <v>N/A</v>
        <stp/>
        <stp>VOLUME</stp>
        <stp>.QQQC507</stp>
        <tr r="B61" s="2"/>
        <tr r="F61" s="2"/>
        <tr r="E61" s="2"/>
        <tr r="K61" s="2"/>
        <tr r="C61" s="2"/>
        <tr r="D61" s="2"/>
        <tr r="G61" s="2"/>
      </tp>
      <tp t="s">
        <v>N/A</v>
        <stp/>
        <stp>VOLUME</stp>
        <stp>.QQQP500</stp>
        <tr r="K68" s="2"/>
        <tr r="F68" s="2"/>
        <tr r="E68" s="2"/>
        <tr r="D68" s="2"/>
        <tr r="B68" s="2"/>
        <tr r="G68" s="2"/>
        <tr r="C68" s="2"/>
      </tp>
      <tp t="s">
        <v>N/A</v>
        <stp/>
        <stp>VOLUME</stp>
        <stp>.QQQC500</stp>
        <tr r="K68" s="2"/>
        <tr r="F68" s="2"/>
        <tr r="E68" s="2"/>
        <tr r="D68" s="2"/>
        <tr r="B68" s="2"/>
        <tr r="G68" s="2"/>
        <tr r="C68" s="2"/>
      </tp>
      <tp t="s">
        <v>N/A</v>
        <stp/>
        <stp>VOLUME</stp>
        <stp>.QQQP501</stp>
        <tr r="C67" s="2"/>
        <tr r="B67" s="2"/>
        <tr r="F67" s="2"/>
        <tr r="K67" s="2"/>
        <tr r="D67" s="2"/>
        <tr r="G67" s="2"/>
        <tr r="E67" s="2"/>
      </tp>
      <tp t="s">
        <v>N/A</v>
        <stp/>
        <stp>VOLUME</stp>
        <stp>.QQQC501</stp>
        <tr r="C67" s="2"/>
        <tr r="B67" s="2"/>
        <tr r="F67" s="2"/>
        <tr r="K67" s="2"/>
        <tr r="D67" s="2"/>
        <tr r="G67" s="2"/>
        <tr r="E67" s="2"/>
      </tp>
      <tp t="s">
        <v>N/A</v>
        <stp/>
        <stp>VOLUME</stp>
        <stp>.QQQP502</stp>
        <tr r="D66" s="2"/>
        <tr r="C66" s="2"/>
        <tr r="K66" s="2"/>
        <tr r="G66" s="2"/>
        <tr r="E66" s="2"/>
        <tr r="B66" s="2"/>
        <tr r="F66" s="2"/>
      </tp>
      <tp t="s">
        <v>N/A</v>
        <stp/>
        <stp>VOLUME</stp>
        <stp>.QQQC502</stp>
        <tr r="D66" s="2"/>
        <tr r="C66" s="2"/>
        <tr r="K66" s="2"/>
        <tr r="G66" s="2"/>
        <tr r="E66" s="2"/>
        <tr r="B66" s="2"/>
        <tr r="F66" s="2"/>
      </tp>
      <tp t="s">
        <v>N/A</v>
        <stp/>
        <stp>VOLUME</stp>
        <stp>.QQQP503</stp>
        <tr r="G65" s="2"/>
        <tr r="E65" s="2"/>
        <tr r="B65" s="2"/>
        <tr r="K65" s="2"/>
        <tr r="D65" s="2"/>
        <tr r="F65" s="2"/>
        <tr r="C65" s="2"/>
      </tp>
      <tp t="s">
        <v>N/A</v>
        <stp/>
        <stp>VOLUME</stp>
        <stp>.QQQC503</stp>
        <tr r="G65" s="2"/>
        <tr r="E65" s="2"/>
        <tr r="B65" s="2"/>
        <tr r="K65" s="2"/>
        <tr r="D65" s="2"/>
        <tr r="F65" s="2"/>
        <tr r="C65" s="2"/>
      </tp>
      <tp t="s">
        <v>N/A</v>
        <stp/>
        <stp>VOLUME</stp>
        <stp>.NDXP250930P20800</stp>
        <tr r="R160" s="2"/>
      </tp>
      <tp t="s">
        <v>N/A</v>
        <stp/>
        <stp>VOLUME</stp>
        <stp>.NDXP250829P20100</stp>
        <tr r="P188" s="2"/>
      </tp>
      <tp t="s">
        <v>N/A</v>
        <stp/>
        <stp>VOLUME</stp>
        <stp>.NDXP250829P21100</stp>
        <tr r="P148" s="2"/>
      </tp>
      <tp>
        <v>8</v>
        <stp/>
        <stp>VOLUME</stp>
        <stp>.NDXP250530P20800</stp>
        <tr r="I160" s="2"/>
        <tr r="I160" s="2"/>
      </tp>
      <tp t="s">
        <v>N/A</v>
        <stp/>
        <stp>VOLUME</stp>
        <stp>.NDXP250731P20900</stp>
        <tr r="N156" s="2"/>
      </tp>
      <tp t="s">
        <v>N/A</v>
        <stp/>
        <stp>VOLUME</stp>
        <stp>.NDXP250630P20800</stp>
        <tr r="L160" s="2"/>
      </tp>
      <tp t="s">
        <v>N/A</v>
        <stp/>
        <stp>VOLUME</stp>
        <stp>.SPXW250930C5640</stp>
        <tr r="R124" s="2"/>
      </tp>
      <tp>
        <v>18</v>
        <stp/>
        <stp>VOLUME</stp>
        <stp>.SPXW250530C5640</stp>
        <tr r="I124" s="2"/>
        <tr r="I124" s="2"/>
      </tp>
      <tp>
        <v>55</v>
        <stp/>
        <stp>VOLUME</stp>
        <stp>.SPXW250731C5650</stp>
        <tr r="N123" s="2"/>
        <tr r="N123" s="2"/>
      </tp>
      <tp>
        <v>21</v>
        <stp/>
        <stp>VOLUME</stp>
        <stp>.SPXW250630C5640</stp>
        <tr r="L124" s="2"/>
        <tr r="L124" s="2"/>
      </tp>
      <tp t="s">
        <v>N/A</v>
        <stp/>
        <stp>VOLUME</stp>
        <stp>.SPXW251031C5650</stp>
        <tr r="T123" s="2"/>
      </tp>
      <tp t="s">
        <v>N/A</v>
        <stp/>
        <stp>VOLUME</stp>
        <stp>.SPXW251231C5650</stp>
        <tr r="X123" s="2"/>
      </tp>
      <tp>
        <v>134</v>
        <stp/>
        <stp>VOLUME</stp>
        <stp>.SPXW251031P5650</stp>
        <tr r="T123" s="2"/>
        <tr r="T123" s="2"/>
      </tp>
      <tp>
        <v>1</v>
        <stp/>
        <stp>VOLUME</stp>
        <stp>.SPXW251231P5650</stp>
        <tr r="X123" s="2"/>
        <tr r="X123" s="2"/>
      </tp>
      <tp>
        <v>2</v>
        <stp/>
        <stp>VOLUME</stp>
        <stp>.SPXW250930P5640</stp>
        <tr r="R124" s="2"/>
        <tr r="R124" s="2"/>
      </tp>
      <tp>
        <v>36</v>
        <stp/>
        <stp>VOLUME</stp>
        <stp>.SPXW250530P5640</stp>
        <tr r="I124" s="2"/>
        <tr r="I124" s="2"/>
      </tp>
      <tp>
        <v>7</v>
        <stp/>
        <stp>VOLUME</stp>
        <stp>.SPXW250731P5650</stp>
        <tr r="N123" s="2"/>
        <tr r="N123" s="2"/>
      </tp>
      <tp>
        <v>2</v>
        <stp/>
        <stp>VOLUME</stp>
        <stp>.SPXW250630P5640</stp>
        <tr r="L124" s="2"/>
        <tr r="L124" s="2"/>
      </tp>
      <tp t="s">
        <v>N/A</v>
        <stp/>
        <stp>VOLUME</stp>
        <stp>.QQQP518</stp>
        <tr r="K50" s="2"/>
        <tr r="G50" s="2"/>
        <tr r="F50" s="2"/>
        <tr r="E50" s="2"/>
        <tr r="D50" s="2"/>
        <tr r="C50" s="2"/>
        <tr r="B50" s="2"/>
      </tp>
      <tp t="s">
        <v>N/A</v>
        <stp/>
        <stp>VOLUME</stp>
        <stp>.QQQC518</stp>
        <tr r="K50" s="2"/>
        <tr r="G50" s="2"/>
        <tr r="F50" s="2"/>
        <tr r="E50" s="2"/>
        <tr r="D50" s="2"/>
        <tr r="C50" s="2"/>
        <tr r="B50" s="2"/>
      </tp>
      <tp t="s">
        <v>N/A</v>
        <stp/>
        <stp>VOLUME</stp>
        <stp>.QQQP519</stp>
        <tr r="K49" s="2"/>
        <tr r="G49" s="2"/>
        <tr r="F49" s="2"/>
        <tr r="E49" s="2"/>
        <tr r="D49" s="2"/>
        <tr r="C49" s="2"/>
        <tr r="B49" s="2"/>
      </tp>
      <tp t="s">
        <v>N/A</v>
        <stp/>
        <stp>VOLUME</stp>
        <stp>.QQQC519</stp>
        <tr r="K49" s="2"/>
        <tr r="G49" s="2"/>
        <tr r="F49" s="2"/>
        <tr r="E49" s="2"/>
        <tr r="D49" s="2"/>
        <tr r="C49" s="2"/>
        <tr r="B49" s="2"/>
      </tp>
      <tp t="s">
        <v>N/A</v>
        <stp/>
        <stp>VOLUME</stp>
        <stp>.QQQP514</stp>
        <tr r="K54" s="2"/>
        <tr r="B54" s="2"/>
        <tr r="C54" s="2"/>
        <tr r="D54" s="2"/>
        <tr r="E54" s="2"/>
        <tr r="F54" s="2"/>
        <tr r="G54" s="2"/>
      </tp>
      <tp t="s">
        <v>N/A</v>
        <stp/>
        <stp>VOLUME</stp>
        <stp>.QQQC514</stp>
        <tr r="K54" s="2"/>
        <tr r="B54" s="2"/>
        <tr r="C54" s="2"/>
        <tr r="D54" s="2"/>
        <tr r="E54" s="2"/>
        <tr r="F54" s="2"/>
        <tr r="G54" s="2"/>
      </tp>
      <tp t="s">
        <v>N/A</v>
        <stp/>
        <stp>VOLUME</stp>
        <stp>.QQQP515</stp>
        <tr r="K53" s="2"/>
        <tr r="G53" s="2"/>
        <tr r="D53" s="2"/>
        <tr r="F53" s="2"/>
        <tr r="B53" s="2"/>
        <tr r="E53" s="2"/>
        <tr r="C53" s="2"/>
      </tp>
      <tp t="s">
        <v>N/A</v>
        <stp/>
        <stp>VOLUME</stp>
        <stp>.QQQC515</stp>
        <tr r="K53" s="2"/>
        <tr r="G53" s="2"/>
        <tr r="D53" s="2"/>
        <tr r="F53" s="2"/>
        <tr r="B53" s="2"/>
        <tr r="E53" s="2"/>
        <tr r="C53" s="2"/>
      </tp>
      <tp t="s">
        <v>N/A</v>
        <stp/>
        <stp>VOLUME</stp>
        <stp>.QQQP516</stp>
        <tr r="K52" s="2"/>
        <tr r="G52" s="2"/>
        <tr r="F52" s="2"/>
        <tr r="C52" s="2"/>
        <tr r="D52" s="2"/>
        <tr r="E52" s="2"/>
        <tr r="B52" s="2"/>
      </tp>
      <tp t="s">
        <v>N/A</v>
        <stp/>
        <stp>VOLUME</stp>
        <stp>.QQQC516</stp>
        <tr r="K52" s="2"/>
        <tr r="G52" s="2"/>
        <tr r="F52" s="2"/>
        <tr r="C52" s="2"/>
        <tr r="D52" s="2"/>
        <tr r="E52" s="2"/>
        <tr r="B52" s="2"/>
      </tp>
      <tp t="s">
        <v>N/A</v>
        <stp/>
        <stp>VOLUME</stp>
        <stp>.QQQP517</stp>
        <tr r="K51" s="2"/>
        <tr r="G51" s="2"/>
        <tr r="F51" s="2"/>
        <tr r="E51" s="2"/>
        <tr r="B51" s="2"/>
        <tr r="D51" s="2"/>
        <tr r="C51" s="2"/>
      </tp>
      <tp t="s">
        <v>N/A</v>
        <stp/>
        <stp>VOLUME</stp>
        <stp>.QQQC517</stp>
        <tr r="K51" s="2"/>
        <tr r="G51" s="2"/>
        <tr r="F51" s="2"/>
        <tr r="E51" s="2"/>
        <tr r="B51" s="2"/>
        <tr r="D51" s="2"/>
        <tr r="C51" s="2"/>
      </tp>
      <tp t="s">
        <v>N/A</v>
        <stp/>
        <stp>VOLUME</stp>
        <stp>.QQQP510</stp>
        <tr r="F58" s="2"/>
        <tr r="K58" s="2"/>
        <tr r="E58" s="2"/>
        <tr r="D58" s="2"/>
        <tr r="C58" s="2"/>
        <tr r="B58" s="2"/>
        <tr r="G58" s="2"/>
      </tp>
      <tp t="s">
        <v>N/A</v>
        <stp/>
        <stp>VOLUME</stp>
        <stp>.QQQC510</stp>
        <tr r="F58" s="2"/>
        <tr r="K58" s="2"/>
        <tr r="E58" s="2"/>
        <tr r="D58" s="2"/>
        <tr r="C58" s="2"/>
        <tr r="B58" s="2"/>
        <tr r="G58" s="2"/>
      </tp>
      <tp t="s">
        <v>N/A</v>
        <stp/>
        <stp>VOLUME</stp>
        <stp>.QQQP511</stp>
        <tr r="K57" s="2"/>
        <tr r="E57" s="2"/>
        <tr r="F57" s="2"/>
        <tr r="D57" s="2"/>
        <tr r="B57" s="2"/>
        <tr r="C57" s="2"/>
        <tr r="G57" s="2"/>
      </tp>
      <tp t="s">
        <v>N/A</v>
        <stp/>
        <stp>VOLUME</stp>
        <stp>.QQQC511</stp>
        <tr r="K57" s="2"/>
        <tr r="E57" s="2"/>
        <tr r="F57" s="2"/>
        <tr r="D57" s="2"/>
        <tr r="B57" s="2"/>
        <tr r="C57" s="2"/>
        <tr r="G57" s="2"/>
      </tp>
      <tp t="s">
        <v>N/A</v>
        <stp/>
        <stp>VOLUME</stp>
        <stp>.QQQP512</stp>
        <tr r="K56" s="2"/>
        <tr r="D56" s="2"/>
        <tr r="F56" s="2"/>
        <tr r="E56" s="2"/>
        <tr r="C56" s="2"/>
        <tr r="B56" s="2"/>
        <tr r="G56" s="2"/>
      </tp>
      <tp t="s">
        <v>N/A</v>
        <stp/>
        <stp>VOLUME</stp>
        <stp>.QQQC512</stp>
        <tr r="K56" s="2"/>
        <tr r="D56" s="2"/>
        <tr r="F56" s="2"/>
        <tr r="E56" s="2"/>
        <tr r="C56" s="2"/>
        <tr r="B56" s="2"/>
        <tr r="G56" s="2"/>
      </tp>
      <tp t="s">
        <v>N/A</v>
        <stp/>
        <stp>VOLUME</stp>
        <stp>.QQQP513</stp>
        <tr r="K55" s="2"/>
        <tr r="B55" s="2"/>
        <tr r="C55" s="2"/>
        <tr r="E55" s="2"/>
        <tr r="D55" s="2"/>
        <tr r="G55" s="2"/>
        <tr r="F55" s="2"/>
      </tp>
      <tp t="s">
        <v>N/A</v>
        <stp/>
        <stp>VOLUME</stp>
        <stp>.QQQC513</stp>
        <tr r="K55" s="2"/>
        <tr r="B55" s="2"/>
        <tr r="C55" s="2"/>
        <tr r="E55" s="2"/>
        <tr r="D55" s="2"/>
        <tr r="G55" s="2"/>
        <tr r="F55" s="2"/>
      </tp>
      <tp t="s">
        <v>N/A</v>
        <stp/>
        <stp>VOLUME</stp>
        <stp>.NDXP251128P21000</stp>
        <tr r="V152" s="2"/>
      </tp>
      <tp t="s">
        <v>N/A</v>
        <stp/>
        <stp>VOLUME</stp>
        <stp>.NDXP251031P20900</stp>
        <tr r="T156" s="2"/>
      </tp>
      <tp t="s">
        <v>N/A</v>
        <stp/>
        <stp>VOLUME</stp>
        <stp>.NDXP251231P20900</stp>
        <tr r="X156" s="2"/>
      </tp>
      <tp t="s">
        <v>N/A</v>
        <stp/>
        <stp>VOLUME</stp>
        <stp>.SPXW250930C5650</stp>
        <tr r="R123" s="2"/>
      </tp>
      <tp>
        <v>124</v>
        <stp/>
        <stp>VOLUME</stp>
        <stp>.SPXW250530C5650</stp>
        <tr r="I123" s="2"/>
        <tr r="I123" s="2"/>
      </tp>
      <tp t="s">
        <v>N/A</v>
        <stp/>
        <stp>VOLUME</stp>
        <stp>.SPXW250731C5640</stp>
        <tr r="N124" s="2"/>
      </tp>
      <tp>
        <v>4</v>
        <stp/>
        <stp>VOLUME</stp>
        <stp>.SPXW250630C5650</stp>
        <tr r="L123" s="2"/>
        <tr r="L123" s="2"/>
      </tp>
      <tp t="s">
        <v>N/A</v>
        <stp/>
        <stp>VOLUME</stp>
        <stp>.SPXW251031C5640</stp>
        <tr r="T124" s="2"/>
      </tp>
      <tp t="s">
        <v>N/A</v>
        <stp/>
        <stp>VOLUME</stp>
        <stp>.SPXW251231C5640</stp>
        <tr r="X124" s="2"/>
      </tp>
      <tp>
        <v>142</v>
        <stp/>
        <stp>VOLUME</stp>
        <stp>.SPXW251031P5640</stp>
        <tr r="T124" s="2"/>
        <tr r="T124" s="2"/>
      </tp>
      <tp t="s">
        <v>N/A</v>
        <stp/>
        <stp>VOLUME</stp>
        <stp>.SPXW251231P5640</stp>
        <tr r="X124" s="2"/>
      </tp>
      <tp>
        <v>13</v>
        <stp/>
        <stp>VOLUME</stp>
        <stp>.SPXW250930P5650</stp>
        <tr r="R123" s="2"/>
        <tr r="R123" s="2"/>
      </tp>
      <tp>
        <v>1431</v>
        <stp/>
        <stp>VOLUME</stp>
        <stp>.SPXW250530P5650</stp>
        <tr r="I123" s="2"/>
        <tr r="I123" s="2"/>
      </tp>
      <tp t="s">
        <v>N/A</v>
        <stp/>
        <stp>VOLUME</stp>
        <stp>.SPXW250731P5640</stp>
        <tr r="N124" s="2"/>
      </tp>
      <tp>
        <v>165</v>
        <stp/>
        <stp>VOLUME</stp>
        <stp>.SPXW250630P5650</stp>
        <tr r="L123" s="2"/>
        <tr r="L123" s="2"/>
      </tp>
      <tp t="s">
        <v>N/A</v>
        <stp/>
        <stp>VOLUME</stp>
        <stp>.QQQP520</stp>
        <tr r="K48" s="2"/>
        <tr r="G48" s="2"/>
        <tr r="F48" s="2"/>
        <tr r="E48" s="2"/>
        <tr r="D48" s="2"/>
        <tr r="C48" s="2"/>
        <tr r="B48" s="2"/>
      </tp>
      <tp t="s">
        <v>N/A</v>
        <stp/>
        <stp>VOLUME</stp>
        <stp>.QQQC520</stp>
        <tr r="K48" s="2"/>
        <tr r="G48" s="2"/>
        <tr r="F48" s="2"/>
        <tr r="E48" s="2"/>
        <tr r="D48" s="2"/>
        <tr r="C48" s="2"/>
        <tr r="B48" s="2"/>
      </tp>
      <tp t="s">
        <v>N/A</v>
        <stp/>
        <stp>VOLUME</stp>
        <stp>.QQQP521</stp>
        <tr r="K47" s="2"/>
        <tr r="G47" s="2"/>
        <tr r="F47" s="2"/>
        <tr r="E47" s="2"/>
        <tr r="D47" s="2"/>
        <tr r="C47" s="2"/>
        <tr r="B47" s="2"/>
      </tp>
      <tp t="s">
        <v>N/A</v>
        <stp/>
        <stp>VOLUME</stp>
        <stp>.QQQC521</stp>
        <tr r="K47" s="2"/>
        <tr r="G47" s="2"/>
        <tr r="F47" s="2"/>
        <tr r="E47" s="2"/>
        <tr r="D47" s="2"/>
        <tr r="C47" s="2"/>
        <tr r="B47" s="2"/>
      </tp>
      <tp t="s">
        <v>N/A</v>
        <stp/>
        <stp>VOLUME</stp>
        <stp>.QQQP522</stp>
        <tr r="K46" s="2"/>
        <tr r="G46" s="2"/>
        <tr r="F46" s="2"/>
        <tr r="E46" s="2"/>
        <tr r="D46" s="2"/>
        <tr r="C46" s="2"/>
        <tr r="B46" s="2"/>
      </tp>
      <tp t="s">
        <v>N/A</v>
        <stp/>
        <stp>VOLUME</stp>
        <stp>.QQQC522</stp>
        <tr r="K46" s="2"/>
        <tr r="G46" s="2"/>
        <tr r="F46" s="2"/>
        <tr r="E46" s="2"/>
        <tr r="D46" s="2"/>
        <tr r="C46" s="2"/>
        <tr r="B46" s="2"/>
      </tp>
      <tp t="s">
        <v>N/A</v>
        <stp/>
        <stp>VOLUME</stp>
        <stp>.NDXP250829P20125</stp>
        <tr r="P187" s="2"/>
      </tp>
      <tp t="s">
        <v>N/A</v>
        <stp/>
        <stp>VOLUME</stp>
        <stp>.NDXP250829P21125</stp>
        <tr r="P147" s="2"/>
      </tp>
      <tp t="s">
        <v>N/A</v>
        <stp/>
        <stp>VOLUME</stp>
        <stp>.NDXP250930P20825</stp>
        <tr r="R159" s="2"/>
      </tp>
      <tp t="s">
        <v>N/A</v>
        <stp/>
        <stp>VOLUME</stp>
        <stp>.NDXP250530P20825</stp>
        <tr r="I159" s="2"/>
      </tp>
      <tp t="s">
        <v>N/A</v>
        <stp/>
        <stp>VOLUME</stp>
        <stp>.NDXP250630P20825</stp>
        <tr r="L159" s="2"/>
      </tp>
      <tp t="s">
        <v>N/A</v>
        <stp/>
        <stp>VOLUME</stp>
        <stp>.NDXP250731P20925</stp>
        <tr r="N155" s="2"/>
      </tp>
      <tp t="s">
        <v>N/A</v>
        <stp/>
        <stp>VOLUME</stp>
        <stp>.SPXW250930C5660</stp>
        <tr r="R122" s="2"/>
      </tp>
      <tp>
        <v>46</v>
        <stp/>
        <stp>VOLUME</stp>
        <stp>.SPXW250530C5660</stp>
        <tr r="I122" s="2"/>
        <tr r="I122" s="2"/>
      </tp>
      <tp>
        <v>2</v>
        <stp/>
        <stp>VOLUME</stp>
        <stp>.SPXW250731C5670</stp>
        <tr r="N121" s="2"/>
        <tr r="N121" s="2"/>
      </tp>
      <tp>
        <v>1</v>
        <stp/>
        <stp>VOLUME</stp>
        <stp>.SPXW250630C5660</stp>
        <tr r="L122" s="2"/>
        <tr r="L122" s="2"/>
      </tp>
      <tp t="s">
        <v>N/A</v>
        <stp/>
        <stp>VOLUME</stp>
        <stp>.SPXW251031C5670</stp>
        <tr r="T121" s="2"/>
      </tp>
      <tp t="s">
        <v>N/A</v>
        <stp/>
        <stp>VOLUME</stp>
        <stp>.SPXW251231C5670</stp>
        <tr r="X121" s="2"/>
      </tp>
      <tp>
        <v>2</v>
        <stp/>
        <stp>VOLUME</stp>
        <stp>.SPXW251031P5670</stp>
        <tr r="T121" s="2"/>
        <tr r="T121" s="2"/>
      </tp>
      <tp t="s">
        <v>N/A</v>
        <stp/>
        <stp>VOLUME</stp>
        <stp>.SPXW251231P5670</stp>
        <tr r="X121" s="2"/>
      </tp>
      <tp>
        <v>10</v>
        <stp/>
        <stp>VOLUME</stp>
        <stp>.SPXW250930P5660</stp>
        <tr r="R122" s="2"/>
        <tr r="R122" s="2"/>
      </tp>
      <tp>
        <v>62</v>
        <stp/>
        <stp>VOLUME</stp>
        <stp>.SPXW250530P5660</stp>
        <tr r="I122" s="2"/>
        <tr r="I122" s="2"/>
      </tp>
      <tp>
        <v>36</v>
        <stp/>
        <stp>VOLUME</stp>
        <stp>.SPXW250731P5670</stp>
        <tr r="N121" s="2"/>
        <tr r="N121" s="2"/>
      </tp>
      <tp>
        <v>15</v>
        <stp/>
        <stp>VOLUME</stp>
        <stp>.SPXW250630P5660</stp>
        <tr r="L122" s="2"/>
        <tr r="L122" s="2"/>
      </tp>
      <tp t="s">
        <v>N/A</v>
        <stp/>
        <stp>VOLUME</stp>
        <stp>.NDXP251031P20925</stp>
        <tr r="T155" s="2"/>
      </tp>
      <tp t="s">
        <v>N/A</v>
        <stp/>
        <stp>VOLUME</stp>
        <stp>.NDXP251128P21025</stp>
        <tr r="V151" s="2"/>
      </tp>
      <tp t="s">
        <v>N/A</v>
        <stp/>
        <stp>VOLUME</stp>
        <stp>.NDXP251231P20925</stp>
        <tr r="X155" s="2"/>
      </tp>
      <tp t="s">
        <v>N/A</v>
        <stp/>
        <stp>VOLUME</stp>
        <stp>.SPXW250930C5670</stp>
        <tr r="R121" s="2"/>
      </tp>
      <tp>
        <v>13</v>
        <stp/>
        <stp>VOLUME</stp>
        <stp>.SPXW250530C5670</stp>
        <tr r="I121" s="2"/>
        <tr r="I121" s="2"/>
      </tp>
      <tp>
        <v>55</v>
        <stp/>
        <stp>VOLUME</stp>
        <stp>.SPXW250731C5660</stp>
        <tr r="N122" s="2"/>
        <tr r="N122" s="2"/>
      </tp>
      <tp>
        <v>25</v>
        <stp/>
        <stp>VOLUME</stp>
        <stp>.SPXW250630C5670</stp>
        <tr r="L121" s="2"/>
        <tr r="L121" s="2"/>
      </tp>
      <tp t="s">
        <v>N/A</v>
        <stp/>
        <stp>VOLUME</stp>
        <stp>.SPXW251031C5660</stp>
        <tr r="T122" s="2"/>
      </tp>
      <tp t="s">
        <v>N/A</v>
        <stp/>
        <stp>VOLUME</stp>
        <stp>.SPXW251231C5660</stp>
        <tr r="X122" s="2"/>
      </tp>
      <tp>
        <v>48</v>
        <stp/>
        <stp>VOLUME</stp>
        <stp>.SPXW251031P5660</stp>
        <tr r="T122" s="2"/>
        <tr r="T122" s="2"/>
      </tp>
      <tp t="s">
        <v>N/A</v>
        <stp/>
        <stp>VOLUME</stp>
        <stp>.SPXW251231P5660</stp>
        <tr r="X122" s="2"/>
      </tp>
      <tp t="s">
        <v>N/A</v>
        <stp/>
        <stp>VOLUME</stp>
        <stp>.SPXW250930P5670</stp>
        <tr r="R121" s="2"/>
      </tp>
      <tp>
        <v>22</v>
        <stp/>
        <stp>VOLUME</stp>
        <stp>.SPXW250530P5670</stp>
        <tr r="I121" s="2"/>
        <tr r="I121" s="2"/>
      </tp>
      <tp>
        <v>21</v>
        <stp/>
        <stp>VOLUME</stp>
        <stp>.SPXW250731P5660</stp>
        <tr r="N122" s="2"/>
        <tr r="N122" s="2"/>
      </tp>
      <tp>
        <v>14</v>
        <stp/>
        <stp>VOLUME</stp>
        <stp>.SPXW250630P5670</stp>
        <tr r="L121" s="2"/>
        <tr r="L121" s="2"/>
      </tp>
      <tp>
        <v>31</v>
        <stp/>
        <stp>OPEN_INT</stp>
        <stp>.NDXP250512C21200</stp>
        <tr r="AS143" s="1"/>
        <tr r="AS143" s="1"/>
      </tp>
      <tp>
        <v>75</v>
        <stp/>
        <stp>OPEN_INT</stp>
        <stp>.NDXP250512C20200</stp>
        <tr r="AS183" s="1"/>
        <tr r="AS183" s="1"/>
      </tp>
      <tp t="s">
        <v>N/A</v>
        <stp/>
        <stp>OPEN_INT</stp>
        <stp>.NDXP250512C21225</stp>
        <tr r="AS142" s="1"/>
      </tp>
      <tp>
        <v>8</v>
        <stp/>
        <stp>OPEN_INT</stp>
        <stp>.NDXP250512C20225</stp>
        <tr r="AS182" s="1"/>
        <tr r="AS182" s="1"/>
      </tp>
      <tp>
        <v>14</v>
        <stp/>
        <stp>OPEN_INT</stp>
        <stp>.NDXP250512C21250</stp>
        <tr r="AS141" s="1"/>
        <tr r="AS141" s="1"/>
      </tp>
      <tp>
        <v>13</v>
        <stp/>
        <stp>OPEN_INT</stp>
        <stp>.NDXP250512C20250</stp>
        <tr r="AS181" s="1"/>
        <tr r="AS181" s="1"/>
      </tp>
      <tp t="s">
        <v>N/A</v>
        <stp/>
        <stp>OPEN_INT</stp>
        <stp>.NDXP250512C21275</stp>
        <tr r="AS140" s="1"/>
      </tp>
      <tp>
        <v>96</v>
        <stp/>
        <stp>OPEN_INT</stp>
        <stp>.NDXP250512C20275</stp>
        <tr r="AS180" s="1"/>
        <tr r="AS180" s="1"/>
      </tp>
      <tp t="s">
        <v>N/A</v>
        <stp/>
        <stp>OPEN_INT</stp>
        <stp>.NDXP250512P21225</stp>
        <tr r="AT142" s="1"/>
      </tp>
      <tp>
        <v>2</v>
        <stp/>
        <stp>OPEN_INT</stp>
        <stp>.NDXP250512P20225</stp>
        <tr r="AT182" s="1"/>
        <tr r="AT182" s="1"/>
      </tp>
      <tp>
        <v>0</v>
        <stp/>
        <stp>OPEN_INT</stp>
        <stp>.NDXP250512P21200</stp>
        <tr r="AT143" s="1"/>
        <tr r="AT143" s="1"/>
      </tp>
      <tp>
        <v>8</v>
        <stp/>
        <stp>OPEN_INT</stp>
        <stp>.NDXP250512P20200</stp>
        <tr r="AT183" s="1"/>
        <tr r="AT183" s="1"/>
      </tp>
      <tp t="s">
        <v>N/A</v>
        <stp/>
        <stp>OPEN_INT</stp>
        <stp>.NDXP250512P21275</stp>
        <tr r="AT140" s="1"/>
      </tp>
      <tp>
        <v>0</v>
        <stp/>
        <stp>OPEN_INT</stp>
        <stp>.NDXP250512P20275</stp>
        <tr r="AT180" s="1"/>
        <tr r="AT180" s="1"/>
      </tp>
      <tp>
        <v>0</v>
        <stp/>
        <stp>OPEN_INT</stp>
        <stp>.NDXP250512P21250</stp>
        <tr r="AT141" s="1"/>
        <tr r="AT141" s="1"/>
      </tp>
      <tp>
        <v>5</v>
        <stp/>
        <stp>OPEN_INT</stp>
        <stp>.NDXP250512P20250</stp>
        <tr r="AT181" s="1"/>
        <tr r="AT181" s="1"/>
      </tp>
      <tp>
        <v>-0.05</v>
        <stp/>
        <stp>DELTA</stp>
        <stp>.NDXP250512P20825</stp>
        <tr r="CE158" s="1"/>
        <tr r="CE158" s="1"/>
      </tp>
      <tp>
        <v>-0.21</v>
        <stp/>
        <stp>DELTA</stp>
        <stp>.NDXP250512P20800</stp>
        <tr r="CE159" s="1"/>
        <tr r="CE159" s="1"/>
      </tp>
      <tp>
        <v>-0.61</v>
        <stp/>
        <stp>DELTA</stp>
        <stp>.NDXP250512P20875</stp>
        <tr r="CE156" s="1"/>
        <tr r="CE156" s="1"/>
      </tp>
      <tp>
        <v>-0.09</v>
        <stp/>
        <stp>DELTA</stp>
        <stp>.NDXP250512P20850</stp>
        <tr r="CE157" s="1"/>
        <tr r="CE157" s="1"/>
      </tp>
      <tp>
        <v>1</v>
        <stp/>
        <stp>DELTA</stp>
        <stp>.NDXP250512C20800</stp>
        <tr r="CD159" s="1"/>
        <tr r="CD159" s="1"/>
      </tp>
      <tp>
        <v>1</v>
        <stp/>
        <stp>DELTA</stp>
        <stp>.NDXP250512C20825</stp>
        <tr r="CD158" s="1"/>
        <tr r="CD158" s="1"/>
      </tp>
      <tp>
        <v>1</v>
        <stp/>
        <stp>DELTA</stp>
        <stp>.NDXP250512C20850</stp>
        <tr r="CD157" s="1"/>
        <tr r="CD157" s="1"/>
      </tp>
      <tp>
        <v>0.28000000000000003</v>
        <stp/>
        <stp>DELTA</stp>
        <stp>.NDXP250512C20875</stp>
        <tr r="CD156" s="1"/>
        <tr r="CD156" s="1"/>
      </tp>
      <tp t="s">
        <v>N/A</v>
        <stp/>
        <stp>VOLUME</stp>
        <stp>.NDXP250829C20075</stp>
        <tr r="P189" s="2"/>
      </tp>
      <tp t="s">
        <v>N/A</v>
        <stp/>
        <stp>VOLUME</stp>
        <stp>.NDXP250829C21075</stp>
        <tr r="P149" s="2"/>
      </tp>
      <tp t="s">
        <v>N/A</v>
        <stp/>
        <stp>VOLUME</stp>
        <stp>.NDXP250930C20975</stp>
        <tr r="R153" s="2"/>
      </tp>
      <tp>
        <v>1</v>
        <stp/>
        <stp>VOLUME</stp>
        <stp>.NDXP250530C20975</stp>
        <tr r="I153" s="2"/>
        <tr r="I153" s="2"/>
      </tp>
      <tp t="s">
        <v>N/A</v>
        <stp/>
        <stp>VOLUME</stp>
        <stp>.NDXP250630C20975</stp>
        <tr r="L153" s="2"/>
      </tp>
      <tp t="s">
        <v>N/A</v>
        <stp/>
        <stp>VOLUME</stp>
        <stp>.NDXP250731C20875</stp>
        <tr r="N157" s="2"/>
      </tp>
      <tp t="s">
        <v>N/A</v>
        <stp/>
        <stp>VOLUME</stp>
        <stp>.NDXP251031C20875</stp>
        <tr r="T157" s="2"/>
      </tp>
      <tp t="s">
        <v>N/A</v>
        <stp/>
        <stp>VOLUME</stp>
        <stp>.NDXP251128C20175</stp>
        <tr r="V185" s="2"/>
      </tp>
      <tp t="s">
        <v>N/A</v>
        <stp/>
        <stp>VOLUME</stp>
        <stp>.NDXP251128C21175</stp>
        <tr r="V145" s="2"/>
      </tp>
      <tp t="s">
        <v>N/A</v>
        <stp/>
        <stp>VOLUME</stp>
        <stp>.NDXP251231C20875</stp>
        <tr r="X157" s="2"/>
      </tp>
      <tp t="s">
        <v>N/A</v>
        <stp/>
        <stp>VOLUME</stp>
        <stp>.NDXP250930C20950</stp>
        <tr r="R154" s="2"/>
      </tp>
      <tp t="s">
        <v>N/A</v>
        <stp/>
        <stp>VOLUME</stp>
        <stp>.NDXP250829C20050</stp>
        <tr r="P190" s="2"/>
      </tp>
      <tp t="s">
        <v>N/A</v>
        <stp/>
        <stp>VOLUME</stp>
        <stp>.NDXP250829C21050</stp>
        <tr r="P150" s="2"/>
      </tp>
      <tp t="s">
        <v>N/A</v>
        <stp/>
        <stp>VOLUME</stp>
        <stp>.NDXP250530C20950</stp>
        <tr r="I154" s="2"/>
      </tp>
      <tp t="s">
        <v>N/A</v>
        <stp/>
        <stp>VOLUME</stp>
        <stp>.NDXP250731C20850</stp>
        <tr r="N158" s="2"/>
      </tp>
      <tp t="s">
        <v>N/A</v>
        <stp/>
        <stp>VOLUME</stp>
        <stp>.NDXP250630C20950</stp>
        <tr r="L154" s="2"/>
      </tp>
      <tp t="s">
        <v>N/A</v>
        <stp/>
        <stp>VOLUME</stp>
        <stp>.NDXP251128C20150</stp>
        <tr r="V186" s="2"/>
      </tp>
      <tp t="s">
        <v>N/A</v>
        <stp/>
        <stp>VOLUME</stp>
        <stp>.NDXP251128C21150</stp>
        <tr r="V146" s="2"/>
      </tp>
      <tp t="s">
        <v>N/A</v>
        <stp/>
        <stp>VOLUME</stp>
        <stp>.NDXP251031C20850</stp>
        <tr r="T158" s="2"/>
      </tp>
      <tp t="s">
        <v>N/A</v>
        <stp/>
        <stp>VOLUME</stp>
        <stp>.NDXP251231C20850</stp>
        <tr r="X158" s="2"/>
      </tp>
      <tp t="s">
        <v>N/A</v>
        <stp/>
        <stp>VOLUME</stp>
        <stp>.NDXP251031C20825</stp>
        <tr r="T159" s="2"/>
      </tp>
      <tp t="s">
        <v>N/A</v>
        <stp/>
        <stp>VOLUME</stp>
        <stp>.NDXP251128C20125</stp>
        <tr r="V187" s="2"/>
      </tp>
      <tp t="s">
        <v>N/A</v>
        <stp/>
        <stp>VOLUME</stp>
        <stp>.NDXP251128C21125</stp>
        <tr r="V147" s="2"/>
      </tp>
      <tp t="s">
        <v>N/A</v>
        <stp/>
        <stp>VOLUME</stp>
        <stp>.NDXP251231C20825</stp>
        <tr r="X159" s="2"/>
      </tp>
      <tp t="s">
        <v>N/A</v>
        <stp/>
        <stp>VOLUME</stp>
        <stp>.NDXP250829C21025</stp>
        <tr r="P151" s="2"/>
      </tp>
      <tp t="s">
        <v>N/A</v>
        <stp/>
        <stp>VOLUME</stp>
        <stp>.NDXP250930C20925</stp>
        <tr r="R155" s="2"/>
      </tp>
      <tp t="s">
        <v>N/A</v>
        <stp/>
        <stp>VOLUME</stp>
        <stp>.NDXP250530C20925</stp>
        <tr r="I155" s="2"/>
      </tp>
      <tp t="s">
        <v>N/A</v>
        <stp/>
        <stp>VOLUME</stp>
        <stp>.NDXP250630C20925</stp>
        <tr r="L155" s="2"/>
      </tp>
      <tp t="s">
        <v>N/A</v>
        <stp/>
        <stp>VOLUME</stp>
        <stp>.NDXP250731C20825</stp>
        <tr r="N159" s="2"/>
      </tp>
      <tp t="s">
        <v>N/A</v>
        <stp/>
        <stp>VOLUME</stp>
        <stp>.NDXP251128C20100</stp>
        <tr r="V188" s="2"/>
      </tp>
      <tp t="s">
        <v>N/A</v>
        <stp/>
        <stp>VOLUME</stp>
        <stp>.NDXP251128C21100</stp>
        <tr r="V148" s="2"/>
      </tp>
      <tp t="s">
        <v>N/A</v>
        <stp/>
        <stp>VOLUME</stp>
        <stp>.NDXP251031C20800</stp>
        <tr r="T160" s="2"/>
      </tp>
      <tp t="s">
        <v>N/A</v>
        <stp/>
        <stp>VOLUME</stp>
        <stp>.NDXP251231C20800</stp>
        <tr r="X160" s="2"/>
      </tp>
      <tp t="s">
        <v>N/A</v>
        <stp/>
        <stp>VOLUME</stp>
        <stp>.NDXP250930C20900</stp>
        <tr r="R156" s="2"/>
      </tp>
      <tp t="s">
        <v>N/A</v>
        <stp/>
        <stp>VOLUME</stp>
        <stp>.NDXP250829C21000</stp>
        <tr r="P152" s="2"/>
      </tp>
      <tp t="s">
        <v>N/A</v>
        <stp/>
        <stp>VOLUME</stp>
        <stp>.NDXP250530C20900</stp>
        <tr r="I156" s="2"/>
      </tp>
      <tp t="s">
        <v>N/A</v>
        <stp/>
        <stp>VOLUME</stp>
        <stp>.NDXP250731C20800</stp>
        <tr r="N160" s="2"/>
      </tp>
      <tp t="s">
        <v>N/A</v>
        <stp/>
        <stp>VOLUME</stp>
        <stp>.NDXP250630C20900</stp>
        <tr r="L156" s="2"/>
      </tp>
      <tp t="s">
        <v>N/A</v>
        <stp/>
        <stp>VOLUME</stp>
        <stp>.SPXW250930C5780</stp>
        <tr r="R110" s="2"/>
      </tp>
      <tp t="s">
        <v>N/A</v>
        <stp/>
        <stp>VOLUME</stp>
        <stp>.SPXW250829C5610</stp>
        <tr r="P127" s="2"/>
      </tp>
      <tp>
        <v>22</v>
        <stp/>
        <stp>VOLUME</stp>
        <stp>.SPXW250530C5780</stp>
        <tr r="I110" s="2"/>
        <tr r="I110" s="2"/>
      </tp>
      <tp>
        <v>10</v>
        <stp/>
        <stp>VOLUME</stp>
        <stp>.SPXW250731C5790</stp>
        <tr r="N109" s="2"/>
        <tr r="N109" s="2"/>
      </tp>
      <tp>
        <v>2</v>
        <stp/>
        <stp>VOLUME</stp>
        <stp>.SPXW250630C5780</stp>
        <tr r="L110" s="2"/>
        <tr r="L110" s="2"/>
      </tp>
      <tp t="s">
        <v>N/A</v>
        <stp/>
        <stp>VOLUME</stp>
        <stp>.SPXW251128C5600</stp>
        <tr r="V128" s="2"/>
      </tp>
      <tp>
        <v>2</v>
        <stp/>
        <stp>VOLUME</stp>
        <stp>.SPXW251031C5790</stp>
        <tr r="T109" s="2"/>
        <tr r="T109" s="2"/>
      </tp>
      <tp>
        <v>4</v>
        <stp/>
        <stp>VOLUME</stp>
        <stp>.SPXW251231C5790</stp>
        <tr r="X109" s="2"/>
        <tr r="X109" s="2"/>
      </tp>
      <tp t="s">
        <v>N/A</v>
        <stp/>
        <stp>VOLUME</stp>
        <stp>.SPXW251128P5600</stp>
        <tr r="V128" s="2"/>
      </tp>
      <tp>
        <v>4</v>
        <stp/>
        <stp>VOLUME</stp>
        <stp>.SPXW251031P5790</stp>
        <tr r="T109" s="2"/>
        <tr r="T109" s="2"/>
      </tp>
      <tp t="s">
        <v>N/A</v>
        <stp/>
        <stp>VOLUME</stp>
        <stp>.SPXW251231P5790</stp>
        <tr r="X109" s="2"/>
      </tp>
      <tp t="s">
        <v>N/A</v>
        <stp/>
        <stp>VOLUME</stp>
        <stp>.SPXW250930P5780</stp>
        <tr r="R110" s="2"/>
      </tp>
      <tp t="s">
        <v>N/A</v>
        <stp/>
        <stp>VOLUME</stp>
        <stp>.SPXW250829P5610</stp>
        <tr r="P127" s="2"/>
      </tp>
      <tp>
        <v>48</v>
        <stp/>
        <stp>VOLUME</stp>
        <stp>.SPXW250530P5780</stp>
        <tr r="I110" s="2"/>
        <tr r="I110" s="2"/>
      </tp>
      <tp>
        <v>18</v>
        <stp/>
        <stp>VOLUME</stp>
        <stp>.SPXW250731P5790</stp>
        <tr r="N109" s="2"/>
        <tr r="N109" s="2"/>
      </tp>
      <tp>
        <v>1</v>
        <stp/>
        <stp>VOLUME</stp>
        <stp>.SPXW250630P5780</stp>
        <tr r="L110" s="2"/>
        <tr r="L110" s="2"/>
      </tp>
      <tp t="s">
        <v>N/A</v>
        <stp/>
        <stp>VOLUME</stp>
        <stp>.SPXW250930C5790</stp>
        <tr r="R109" s="2"/>
      </tp>
      <tp>
        <v>14</v>
        <stp/>
        <stp>VOLUME</stp>
        <stp>.SPXW250829C5600</stp>
        <tr r="P128" s="2"/>
        <tr r="P128" s="2"/>
      </tp>
      <tp>
        <v>120</v>
        <stp/>
        <stp>VOLUME</stp>
        <stp>.SPXW250530C5790</stp>
        <tr r="I109" s="2"/>
        <tr r="I109" s="2"/>
      </tp>
      <tp>
        <v>2</v>
        <stp/>
        <stp>VOLUME</stp>
        <stp>.SPXW250731C5780</stp>
        <tr r="N110" s="2"/>
        <tr r="N110" s="2"/>
      </tp>
      <tp>
        <v>3</v>
        <stp/>
        <stp>VOLUME</stp>
        <stp>.SPXW250630C5790</stp>
        <tr r="L109" s="2"/>
        <tr r="L109" s="2"/>
      </tp>
      <tp t="s">
        <v>N/A</v>
        <stp/>
        <stp>VOLUME</stp>
        <stp>.SPXW251128C5610</stp>
        <tr r="V127" s="2"/>
      </tp>
      <tp t="s">
        <v>N/A</v>
        <stp/>
        <stp>VOLUME</stp>
        <stp>.SPXW251031C5780</stp>
        <tr r="T110" s="2"/>
      </tp>
      <tp t="s">
        <v>N/A</v>
        <stp/>
        <stp>VOLUME</stp>
        <stp>.SPXW251231C5780</stp>
        <tr r="X110" s="2"/>
      </tp>
      <tp t="s">
        <v>N/A</v>
        <stp/>
        <stp>VOLUME</stp>
        <stp>.SPXW251128P5610</stp>
        <tr r="V127" s="2"/>
      </tp>
      <tp>
        <v>4</v>
        <stp/>
        <stp>VOLUME</stp>
        <stp>.SPXW251031P5780</stp>
        <tr r="T110" s="2"/>
        <tr r="T110" s="2"/>
      </tp>
      <tp t="s">
        <v>N/A</v>
        <stp/>
        <stp>VOLUME</stp>
        <stp>.SPXW251231P5780</stp>
        <tr r="X110" s="2"/>
      </tp>
      <tp t="s">
        <v>N/A</v>
        <stp/>
        <stp>VOLUME</stp>
        <stp>.SPXW250930P5790</stp>
        <tr r="R109" s="2"/>
      </tp>
      <tp>
        <v>55</v>
        <stp/>
        <stp>VOLUME</stp>
        <stp>.SPXW250829P5600</stp>
        <tr r="P128" s="2"/>
        <tr r="P128" s="2"/>
      </tp>
      <tp>
        <v>122</v>
        <stp/>
        <stp>VOLUME</stp>
        <stp>.SPXW250530P5790</stp>
        <tr r="I109" s="2"/>
        <tr r="I109" s="2"/>
      </tp>
      <tp t="s">
        <v>N/A</v>
        <stp/>
        <stp>VOLUME</stp>
        <stp>.SPXW250731P5780</stp>
        <tr r="N110" s="2"/>
      </tp>
      <tp>
        <v>27</v>
        <stp/>
        <stp>VOLUME</stp>
        <stp>.SPXW250630P5790</stp>
        <tr r="L109" s="2"/>
        <tr r="L109" s="2"/>
      </tp>
      <tp t="s">
        <v>N/A</v>
        <stp/>
        <stp>VOLUME</stp>
        <stp>.SPXW250829C5630</stp>
        <tr r="P125" s="2"/>
      </tp>
      <tp>
        <v>27</v>
        <stp/>
        <stp>VOLUME</stp>
        <stp>.SPXW250512C5580</stp>
        <tr r="BA129" s="1"/>
        <tr r="BA129" s="1"/>
      </tp>
      <tp t="s">
        <v>N/A</v>
        <stp/>
        <stp>VOLUME</stp>
        <stp>.SPXW251128C5620</stp>
        <tr r="V126" s="2"/>
      </tp>
      <tp t="s">
        <v>N/A</v>
        <stp/>
        <stp>VOLUME</stp>
        <stp>.SPXW251128P5620</stp>
        <tr r="V126" s="2"/>
      </tp>
      <tp t="s">
        <v>N/A</v>
        <stp/>
        <stp>VOLUME</stp>
        <stp>.SPXW250829P5630</stp>
        <tr r="P125" s="2"/>
      </tp>
      <tp>
        <v>1983</v>
        <stp/>
        <stp>VOLUME</stp>
        <stp>.SPXW250512P5580</stp>
        <tr r="BB129" s="1"/>
        <tr r="BB129" s="1"/>
      </tp>
      <tp>
        <v>4</v>
        <stp/>
        <stp>VOLUME</stp>
        <stp>.SPXW250829C5620</stp>
        <tr r="P126" s="2"/>
        <tr r="P126" s="2"/>
      </tp>
      <tp>
        <v>27</v>
        <stp/>
        <stp>VOLUME</stp>
        <stp>.SPXW250512C5590</stp>
        <tr r="BA128" s="1"/>
        <tr r="BA128" s="1"/>
      </tp>
      <tp t="s">
        <v>N/A</v>
        <stp/>
        <stp>VOLUME</stp>
        <stp>.SPXW251128C5630</stp>
        <tr r="V125" s="2"/>
      </tp>
      <tp t="s">
        <v>N/A</v>
        <stp/>
        <stp>VOLUME</stp>
        <stp>.SPXW251128P5630</stp>
        <tr r="V125" s="2"/>
      </tp>
      <tp>
        <v>35</v>
        <stp/>
        <stp>VOLUME</stp>
        <stp>.SPXW250829P5620</stp>
        <tr r="P126" s="2"/>
        <tr r="P126" s="2"/>
      </tp>
      <tp>
        <v>982</v>
        <stp/>
        <stp>VOLUME</stp>
        <stp>.SPXW250512P5590</stp>
        <tr r="BB128" s="1"/>
        <tr r="BB128" s="1"/>
      </tp>
      <tp t="s">
        <v>N/A</v>
        <stp/>
        <stp>VOLUME</stp>
        <stp>.QQQP488</stp>
        <tr r="K80" s="2"/>
        <tr r="D80" s="2"/>
        <tr r="G80" s="2"/>
        <tr r="C80" s="2"/>
        <tr r="F80" s="2"/>
        <tr r="B80" s="2"/>
        <tr r="E80" s="2"/>
      </tp>
      <tp t="s">
        <v>N/A</v>
        <stp/>
        <stp>VOLUME</stp>
        <stp>.QQQC488</stp>
        <tr r="K80" s="2"/>
        <tr r="D80" s="2"/>
        <tr r="G80" s="2"/>
        <tr r="C80" s="2"/>
        <tr r="F80" s="2"/>
        <tr r="B80" s="2"/>
        <tr r="E80" s="2"/>
      </tp>
      <tp t="s">
        <v>N/A</v>
        <stp/>
        <stp>VOLUME</stp>
        <stp>.QQQP489</stp>
        <tr r="K79" s="2"/>
        <tr r="E79" s="2"/>
        <tr r="D79" s="2"/>
        <tr r="F79" s="2"/>
        <tr r="B79" s="2"/>
        <tr r="G79" s="2"/>
        <tr r="C79" s="2"/>
      </tp>
      <tp t="s">
        <v>N/A</v>
        <stp/>
        <stp>VOLUME</stp>
        <stp>.QQQC489</stp>
        <tr r="K79" s="2"/>
        <tr r="E79" s="2"/>
        <tr r="D79" s="2"/>
        <tr r="F79" s="2"/>
        <tr r="B79" s="2"/>
        <tr r="G79" s="2"/>
        <tr r="C79" s="2"/>
      </tp>
      <tp>
        <v>10</v>
        <stp/>
        <stp>VOLUME</stp>
        <stp>.SPXW250829C5650</stp>
        <tr r="P123" s="2"/>
        <tr r="P123" s="2"/>
      </tp>
      <tp t="s">
        <v>N/A</v>
        <stp/>
        <stp>VOLUME</stp>
        <stp>.SPXW251128C5640</stp>
        <tr r="V124" s="2"/>
      </tp>
      <tp t="s">
        <v>N/A</v>
        <stp/>
        <stp>VOLUME</stp>
        <stp>.SPXW251128P5640</stp>
        <tr r="V124" s="2"/>
      </tp>
      <tp>
        <v>46</v>
        <stp/>
        <stp>VOLUME</stp>
        <stp>.SPXW250829P5650</stp>
        <tr r="P123" s="2"/>
        <tr r="P123" s="2"/>
      </tp>
      <tp t="s">
        <v>N/A</v>
        <stp/>
        <stp>VOLUME</stp>
        <stp>.QQQP498</stp>
        <tr r="D70" s="2"/>
        <tr r="F70" s="2"/>
        <tr r="K70" s="2"/>
        <tr r="E70" s="2"/>
        <tr r="C70" s="2"/>
        <tr r="G70" s="2"/>
        <tr r="B70" s="2"/>
      </tp>
      <tp t="s">
        <v>N/A</v>
        <stp/>
        <stp>VOLUME</stp>
        <stp>.QQQC498</stp>
        <tr r="D70" s="2"/>
        <tr r="F70" s="2"/>
        <tr r="K70" s="2"/>
        <tr r="E70" s="2"/>
        <tr r="C70" s="2"/>
        <tr r="G70" s="2"/>
        <tr r="B70" s="2"/>
      </tp>
      <tp t="s">
        <v>N/A</v>
        <stp/>
        <stp>VOLUME</stp>
        <stp>.QQQP499</stp>
        <tr r="K69" s="2"/>
        <tr r="F69" s="2"/>
        <tr r="E69" s="2"/>
        <tr r="B69" s="2"/>
        <tr r="C69" s="2"/>
        <tr r="G69" s="2"/>
        <tr r="D69" s="2"/>
      </tp>
      <tp t="s">
        <v>N/A</v>
        <stp/>
        <stp>VOLUME</stp>
        <stp>.QQQC499</stp>
        <tr r="K69" s="2"/>
        <tr r="F69" s="2"/>
        <tr r="E69" s="2"/>
        <tr r="B69" s="2"/>
        <tr r="C69" s="2"/>
        <tr r="G69" s="2"/>
        <tr r="D69" s="2"/>
      </tp>
      <tp t="s">
        <v>N/A</v>
        <stp/>
        <stp>VOLUME</stp>
        <stp>.QQQP494</stp>
        <tr r="E74" s="2"/>
        <tr r="K74" s="2"/>
        <tr r="C74" s="2"/>
        <tr r="D74" s="2"/>
        <tr r="F74" s="2"/>
        <tr r="B74" s="2"/>
        <tr r="G74" s="2"/>
      </tp>
      <tp t="s">
        <v>N/A</v>
        <stp/>
        <stp>VOLUME</stp>
        <stp>.QQQC494</stp>
        <tr r="E74" s="2"/>
        <tr r="K74" s="2"/>
        <tr r="C74" s="2"/>
        <tr r="D74" s="2"/>
        <tr r="F74" s="2"/>
        <tr r="B74" s="2"/>
        <tr r="G74" s="2"/>
      </tp>
      <tp t="s">
        <v>N/A</v>
        <stp/>
        <stp>VOLUME</stp>
        <stp>.QQQP495</stp>
        <tr r="C73" s="2"/>
        <tr r="D73" s="2"/>
        <tr r="E73" s="2"/>
        <tr r="B73" s="2"/>
        <tr r="F73" s="2"/>
        <tr r="K73" s="2"/>
        <tr r="G73" s="2"/>
      </tp>
      <tp t="s">
        <v>N/A</v>
        <stp/>
        <stp>VOLUME</stp>
        <stp>.QQQC495</stp>
        <tr r="C73" s="2"/>
        <tr r="D73" s="2"/>
        <tr r="E73" s="2"/>
        <tr r="B73" s="2"/>
        <tr r="F73" s="2"/>
        <tr r="K73" s="2"/>
        <tr r="G73" s="2"/>
      </tp>
      <tp t="s">
        <v>N/A</v>
        <stp/>
        <stp>VOLUME</stp>
        <stp>.QQQP496</stp>
        <tr r="K72" s="2"/>
        <tr r="E72" s="2"/>
        <tr r="C72" s="2"/>
        <tr r="B72" s="2"/>
        <tr r="G72" s="2"/>
        <tr r="D72" s="2"/>
        <tr r="F72" s="2"/>
      </tp>
      <tp t="s">
        <v>N/A</v>
        <stp/>
        <stp>VOLUME</stp>
        <stp>.QQQC496</stp>
        <tr r="K72" s="2"/>
        <tr r="E72" s="2"/>
        <tr r="C72" s="2"/>
        <tr r="B72" s="2"/>
        <tr r="G72" s="2"/>
        <tr r="D72" s="2"/>
        <tr r="F72" s="2"/>
      </tp>
      <tp t="s">
        <v>N/A</v>
        <stp/>
        <stp>VOLUME</stp>
        <stp>.QQQP497</stp>
        <tr r="F71" s="2"/>
        <tr r="D71" s="2"/>
        <tr r="B71" s="2"/>
        <tr r="E71" s="2"/>
        <tr r="K71" s="2"/>
        <tr r="G71" s="2"/>
        <tr r="C71" s="2"/>
      </tp>
      <tp t="s">
        <v>N/A</v>
        <stp/>
        <stp>VOLUME</stp>
        <stp>.QQQC497</stp>
        <tr r="F71" s="2"/>
        <tr r="D71" s="2"/>
        <tr r="B71" s="2"/>
        <tr r="E71" s="2"/>
        <tr r="K71" s="2"/>
        <tr r="G71" s="2"/>
        <tr r="C71" s="2"/>
      </tp>
      <tp t="s">
        <v>N/A</v>
        <stp/>
        <stp>VOLUME</stp>
        <stp>.QQQP490</stp>
        <tr r="C78" s="2"/>
        <tr r="E78" s="2"/>
        <tr r="K78" s="2"/>
        <tr r="D78" s="2"/>
        <tr r="B78" s="2"/>
        <tr r="F78" s="2"/>
        <tr r="G78" s="2"/>
      </tp>
      <tp t="s">
        <v>N/A</v>
        <stp/>
        <stp>VOLUME</stp>
        <stp>.QQQC490</stp>
        <tr r="C78" s="2"/>
        <tr r="E78" s="2"/>
        <tr r="K78" s="2"/>
        <tr r="D78" s="2"/>
        <tr r="B78" s="2"/>
        <tr r="F78" s="2"/>
        <tr r="G78" s="2"/>
      </tp>
      <tp t="s">
        <v>N/A</v>
        <stp/>
        <stp>VOLUME</stp>
        <stp>.QQQP491</stp>
        <tr r="B77" s="2"/>
        <tr r="G77" s="2"/>
        <tr r="F77" s="2"/>
        <tr r="K77" s="2"/>
        <tr r="E77" s="2"/>
        <tr r="D77" s="2"/>
        <tr r="C77" s="2"/>
      </tp>
      <tp t="s">
        <v>N/A</v>
        <stp/>
        <stp>VOLUME</stp>
        <stp>.QQQC491</stp>
        <tr r="B77" s="2"/>
        <tr r="G77" s="2"/>
        <tr r="F77" s="2"/>
        <tr r="K77" s="2"/>
        <tr r="E77" s="2"/>
        <tr r="D77" s="2"/>
        <tr r="C77" s="2"/>
      </tp>
      <tp t="s">
        <v>N/A</v>
        <stp/>
        <stp>VOLUME</stp>
        <stp>.QQQP492</stp>
        <tr r="E76" s="2"/>
        <tr r="G76" s="2"/>
        <tr r="B76" s="2"/>
        <tr r="F76" s="2"/>
        <tr r="K76" s="2"/>
        <tr r="D76" s="2"/>
        <tr r="C76" s="2"/>
      </tp>
      <tp t="s">
        <v>N/A</v>
        <stp/>
        <stp>VOLUME</stp>
        <stp>.QQQC492</stp>
        <tr r="E76" s="2"/>
        <tr r="G76" s="2"/>
        <tr r="B76" s="2"/>
        <tr r="F76" s="2"/>
        <tr r="K76" s="2"/>
        <tr r="D76" s="2"/>
        <tr r="C76" s="2"/>
      </tp>
      <tp t="s">
        <v>N/A</v>
        <stp/>
        <stp>VOLUME</stp>
        <stp>.QQQP493</stp>
        <tr r="K75" s="2"/>
        <tr r="D75" s="2"/>
        <tr r="C75" s="2"/>
        <tr r="F75" s="2"/>
        <tr r="E75" s="2"/>
        <tr r="G75" s="2"/>
        <tr r="B75" s="2"/>
      </tp>
      <tp t="s">
        <v>N/A</v>
        <stp/>
        <stp>VOLUME</stp>
        <stp>.QQQC493</stp>
        <tr r="K75" s="2"/>
        <tr r="D75" s="2"/>
        <tr r="C75" s="2"/>
        <tr r="F75" s="2"/>
        <tr r="E75" s="2"/>
        <tr r="G75" s="2"/>
        <tr r="B75" s="2"/>
      </tp>
      <tp t="s">
        <v>N/A</v>
        <stp/>
        <stp>VOLUME</stp>
        <stp>.SPXW250829C5640</stp>
        <tr r="P124" s="2"/>
      </tp>
      <tp t="s">
        <v>N/A</v>
        <stp/>
        <stp>VOLUME</stp>
        <stp>.SPXW251128C5650</stp>
        <tr r="V123" s="2"/>
      </tp>
      <tp t="s">
        <v>N/A</v>
        <stp/>
        <stp>VOLUME</stp>
        <stp>.SPXW251128P5650</stp>
        <tr r="V123" s="2"/>
      </tp>
      <tp>
        <v>3</v>
        <stp/>
        <stp>VOLUME</stp>
        <stp>.SPXW250829P5640</stp>
        <tr r="P124" s="2"/>
        <tr r="P124" s="2"/>
      </tp>
      <tp t="s">
        <v>N/A</v>
        <stp/>
        <stp>VOLUME</stp>
        <stp>.SPXW250829C5670</stp>
        <tr r="P121" s="2"/>
      </tp>
      <tp t="s">
        <v>N/A</v>
        <stp/>
        <stp>VOLUME</stp>
        <stp>.SPXW251128C5660</stp>
        <tr r="V122" s="2"/>
      </tp>
      <tp t="s">
        <v>N/A</v>
        <stp/>
        <stp>VOLUME</stp>
        <stp>.SPXW251128P5660</stp>
        <tr r="V122" s="2"/>
      </tp>
      <tp>
        <v>328</v>
        <stp/>
        <stp>VOLUME</stp>
        <stp>.SPXW250829P5670</stp>
        <tr r="P121" s="2"/>
        <tr r="P121" s="2"/>
      </tp>
      <tp>
        <v>1</v>
        <stp/>
        <stp>VOLUME</stp>
        <stp>.SPXW250829C5660</stp>
        <tr r="P122" s="2"/>
        <tr r="P122" s="2"/>
      </tp>
      <tp t="s">
        <v>N/A</v>
        <stp/>
        <stp>VOLUME</stp>
        <stp>.SPXW251128C5670</stp>
        <tr r="V121" s="2"/>
      </tp>
      <tp t="s">
        <v>N/A</v>
        <stp/>
        <stp>VOLUME</stp>
        <stp>.SPXW251128P5670</stp>
        <tr r="V121" s="2"/>
      </tp>
      <tp t="s">
        <v>N/A</v>
        <stp/>
        <stp>VOLUME</stp>
        <stp>.SPXW250829P5660</stp>
        <tr r="P122" s="2"/>
      </tp>
      <tp t="s">
        <v>N/A</v>
        <stp/>
        <stp>VOLUME</stp>
        <stp>.NDXP251128P20150</stp>
        <tr r="V186" s="2"/>
      </tp>
      <tp t="s">
        <v>N/A</v>
        <stp/>
        <stp>VOLUME</stp>
        <stp>.NDXP251128P21150</stp>
        <tr r="V146" s="2"/>
      </tp>
      <tp t="s">
        <v>N/A</v>
        <stp/>
        <stp>VOLUME</stp>
        <stp>.NDXP251031P20850</stp>
        <tr r="T158" s="2"/>
      </tp>
      <tp t="s">
        <v>N/A</v>
        <stp/>
        <stp>VOLUME</stp>
        <stp>.NDXP251231P20850</stp>
        <tr r="X158" s="2"/>
      </tp>
      <tp>
        <v>16</v>
        <stp/>
        <stp>VOLUME</stp>
        <stp>.SPXW250930C5700</stp>
        <tr r="R118" s="2"/>
        <tr r="R118" s="2"/>
      </tp>
      <tp t="s">
        <v>N/A</v>
        <stp/>
        <stp>VOLUME</stp>
        <stp>.SPXW250829C5690</stp>
        <tr r="P119" s="2"/>
      </tp>
      <tp>
        <v>155</v>
        <stp/>
        <stp>VOLUME</stp>
        <stp>.SPXW250530C5700</stp>
        <tr r="I118" s="2"/>
        <tr r="I118" s="2"/>
      </tp>
      <tp>
        <v>17</v>
        <stp/>
        <stp>VOLUME</stp>
        <stp>.SPXW250731C5710</stp>
        <tr r="N117" s="2"/>
        <tr r="N117" s="2"/>
      </tp>
      <tp>
        <v>1682</v>
        <stp/>
        <stp>VOLUME</stp>
        <stp>.SPXW250630C5700</stp>
        <tr r="L118" s="2"/>
        <tr r="L118" s="2"/>
      </tp>
      <tp t="s">
        <v>N/A</v>
        <stp/>
        <stp>VOLUME</stp>
        <stp>.SPXW251128C5680</stp>
        <tr r="V120" s="2"/>
      </tp>
      <tp t="s">
        <v>N/A</v>
        <stp/>
        <stp>VOLUME</stp>
        <stp>.SPXW251031C5710</stp>
        <tr r="T117" s="2"/>
      </tp>
      <tp>
        <v>10</v>
        <stp/>
        <stp>VOLUME</stp>
        <stp>.SPXW251231C5710</stp>
        <tr r="X117" s="2"/>
        <tr r="X117" s="2"/>
      </tp>
      <tp t="s">
        <v>N/A</v>
        <stp/>
        <stp>VOLUME</stp>
        <stp>.SPXW251128P5680</stp>
        <tr r="V120" s="2"/>
      </tp>
      <tp>
        <v>3</v>
        <stp/>
        <stp>VOLUME</stp>
        <stp>.SPXW251031P5710</stp>
        <tr r="T117" s="2"/>
        <tr r="T117" s="2"/>
      </tp>
      <tp t="s">
        <v>N/A</v>
        <stp/>
        <stp>VOLUME</stp>
        <stp>.SPXW251231P5710</stp>
        <tr r="X117" s="2"/>
      </tp>
      <tp>
        <v>1</v>
        <stp/>
        <stp>VOLUME</stp>
        <stp>.SPXW250930P5700</stp>
        <tr r="R118" s="2"/>
        <tr r="R118" s="2"/>
      </tp>
      <tp>
        <v>5</v>
        <stp/>
        <stp>VOLUME</stp>
        <stp>.SPXW250829P5690</stp>
        <tr r="P119" s="2"/>
        <tr r="P119" s="2"/>
      </tp>
      <tp>
        <v>2120</v>
        <stp/>
        <stp>VOLUME</stp>
        <stp>.SPXW250530P5700</stp>
        <tr r="I118" s="2"/>
        <tr r="I118" s="2"/>
      </tp>
      <tp>
        <v>8</v>
        <stp/>
        <stp>VOLUME</stp>
        <stp>.SPXW250731P5710</stp>
        <tr r="N117" s="2"/>
        <tr r="N117" s="2"/>
      </tp>
      <tp>
        <v>457</v>
        <stp/>
        <stp>VOLUME</stp>
        <stp>.SPXW250630P5700</stp>
        <tr r="L118" s="2"/>
        <tr r="L118" s="2"/>
      </tp>
      <tp t="s">
        <v>N/A</v>
        <stp/>
        <stp>VOLUME</stp>
        <stp>.NDXP250930P20950</stp>
        <tr r="R154" s="2"/>
      </tp>
      <tp t="s">
        <v>N/A</v>
        <stp/>
        <stp>VOLUME</stp>
        <stp>.NDXP250829P20050</stp>
        <tr r="P190" s="2"/>
      </tp>
      <tp t="s">
        <v>N/A</v>
        <stp/>
        <stp>VOLUME</stp>
        <stp>.NDXP250829P21050</stp>
        <tr r="P150" s="2"/>
      </tp>
      <tp t="s">
        <v>N/A</v>
        <stp/>
        <stp>VOLUME</stp>
        <stp>.NDXP250530P20950</stp>
        <tr r="I154" s="2"/>
      </tp>
      <tp t="s">
        <v>N/A</v>
        <stp/>
        <stp>VOLUME</stp>
        <stp>.NDXP250731P20850</stp>
        <tr r="N158" s="2"/>
      </tp>
      <tp t="s">
        <v>N/A</v>
        <stp/>
        <stp>VOLUME</stp>
        <stp>.NDXP250630P20950</stp>
        <tr r="L154" s="2"/>
      </tp>
      <tp t="s">
        <v>N/A</v>
        <stp/>
        <stp>VOLUME</stp>
        <stp>.SPXW250930C5710</stp>
        <tr r="R117" s="2"/>
      </tp>
      <tp t="s">
        <v>N/A</v>
        <stp/>
        <stp>VOLUME</stp>
        <stp>.SPXW250829C5680</stp>
        <tr r="P120" s="2"/>
      </tp>
      <tp>
        <v>45</v>
        <stp/>
        <stp>VOLUME</stp>
        <stp>.SPXW250530C5710</stp>
        <tr r="I117" s="2"/>
        <tr r="I117" s="2"/>
      </tp>
      <tp>
        <v>8</v>
        <stp/>
        <stp>VOLUME</stp>
        <stp>.SPXW250731C5700</stp>
        <tr r="N118" s="2"/>
        <tr r="N118" s="2"/>
      </tp>
      <tp>
        <v>8</v>
        <stp/>
        <stp>VOLUME</stp>
        <stp>.SPXW250630C5710</stp>
        <tr r="L117" s="2"/>
        <tr r="L117" s="2"/>
      </tp>
      <tp t="s">
        <v>N/A</v>
        <stp/>
        <stp>VOLUME</stp>
        <stp>.SPXW251128C5690</stp>
        <tr r="V119" s="2"/>
      </tp>
      <tp>
        <v>3</v>
        <stp/>
        <stp>VOLUME</stp>
        <stp>.SPXW251031C5700</stp>
        <tr r="T118" s="2"/>
        <tr r="T118" s="2"/>
      </tp>
      <tp>
        <v>17</v>
        <stp/>
        <stp>VOLUME</stp>
        <stp>.SPXW251231C5700</stp>
        <tr r="X118" s="2"/>
        <tr r="X118" s="2"/>
      </tp>
      <tp t="s">
        <v>N/A</v>
        <stp/>
        <stp>VOLUME</stp>
        <stp>.SPXW251128P5690</stp>
        <tr r="V119" s="2"/>
      </tp>
      <tp>
        <v>39</v>
        <stp/>
        <stp>VOLUME</stp>
        <stp>.SPXW251031P5700</stp>
        <tr r="T118" s="2"/>
        <tr r="T118" s="2"/>
      </tp>
      <tp>
        <v>89</v>
        <stp/>
        <stp>VOLUME</stp>
        <stp>.SPXW251231P5700</stp>
        <tr r="X118" s="2"/>
        <tr r="X118" s="2"/>
      </tp>
      <tp>
        <v>2</v>
        <stp/>
        <stp>VOLUME</stp>
        <stp>.SPXW250930P5710</stp>
        <tr r="R117" s="2"/>
        <tr r="R117" s="2"/>
      </tp>
      <tp>
        <v>160</v>
        <stp/>
        <stp>VOLUME</stp>
        <stp>.SPXW250829P5680</stp>
        <tr r="P120" s="2"/>
        <tr r="P120" s="2"/>
      </tp>
      <tp>
        <v>42</v>
        <stp/>
        <stp>VOLUME</stp>
        <stp>.SPXW250530P5710</stp>
        <tr r="I117" s="2"/>
        <tr r="I117" s="2"/>
      </tp>
      <tp>
        <v>174</v>
        <stp/>
        <stp>VOLUME</stp>
        <stp>.SPXW250731P5700</stp>
        <tr r="N118" s="2"/>
        <tr r="N118" s="2"/>
      </tp>
      <tp>
        <v>10</v>
        <stp/>
        <stp>VOLUME</stp>
        <stp>.SPXW250630P5710</stp>
        <tr r="L117" s="2"/>
        <tr r="L117" s="2"/>
      </tp>
      <tp t="s">
        <v>N/A</v>
        <stp/>
        <stp>VOLUME</stp>
        <stp>.NDXP251031P20875</stp>
        <tr r="T157" s="2"/>
      </tp>
      <tp t="s">
        <v>N/A</v>
        <stp/>
        <stp>VOLUME</stp>
        <stp>.NDXP251128P20175</stp>
        <tr r="V185" s="2"/>
      </tp>
      <tp t="s">
        <v>N/A</v>
        <stp/>
        <stp>VOLUME</stp>
        <stp>.NDXP251128P21175</stp>
        <tr r="V145" s="2"/>
      </tp>
      <tp t="s">
        <v>N/A</v>
        <stp/>
        <stp>VOLUME</stp>
        <stp>.NDXP251231P20875</stp>
        <tr r="X157" s="2"/>
      </tp>
      <tp t="s">
        <v>N/A</v>
        <stp/>
        <stp>VOLUME</stp>
        <stp>.SPXW250930C5720</stp>
        <tr r="R116" s="2"/>
      </tp>
      <tp>
        <v>71</v>
        <stp/>
        <stp>VOLUME</stp>
        <stp>.SPXW250530C5720</stp>
        <tr r="I116" s="2"/>
        <tr r="I116" s="2"/>
      </tp>
      <tp>
        <v>1</v>
        <stp/>
        <stp>VOLUME</stp>
        <stp>.SPXW250731C5730</stp>
        <tr r="N115" s="2"/>
        <tr r="N115" s="2"/>
      </tp>
      <tp t="s">
        <v>N/A</v>
        <stp/>
        <stp>VOLUME</stp>
        <stp>.SPXW250630C5720</stp>
        <tr r="L116" s="2"/>
      </tp>
      <tp>
        <v>6</v>
        <stp/>
        <stp>VOLUME</stp>
        <stp>.SPXW251031C5730</stp>
        <tr r="T115" s="2"/>
        <tr r="T115" s="2"/>
      </tp>
      <tp>
        <v>1</v>
        <stp/>
        <stp>VOLUME</stp>
        <stp>.SPXW251231C5730</stp>
        <tr r="X115" s="2"/>
        <tr r="X115" s="2"/>
      </tp>
      <tp>
        <v>1</v>
        <stp/>
        <stp>VOLUME</stp>
        <stp>.SPXW251031P5730</stp>
        <tr r="T115" s="2"/>
        <tr r="T115" s="2"/>
      </tp>
      <tp t="s">
        <v>N/A</v>
        <stp/>
        <stp>VOLUME</stp>
        <stp>.SPXW251231P5730</stp>
        <tr r="X115" s="2"/>
      </tp>
      <tp>
        <v>3</v>
        <stp/>
        <stp>VOLUME</stp>
        <stp>.SPXW250930P5720</stp>
        <tr r="R116" s="2"/>
        <tr r="R116" s="2"/>
      </tp>
      <tp>
        <v>228</v>
        <stp/>
        <stp>VOLUME</stp>
        <stp>.SPXW250530P5720</stp>
        <tr r="I116" s="2"/>
        <tr r="I116" s="2"/>
      </tp>
      <tp t="s">
        <v>N/A</v>
        <stp/>
        <stp>VOLUME</stp>
        <stp>.SPXW250731P5730</stp>
        <tr r="N115" s="2"/>
      </tp>
      <tp>
        <v>40</v>
        <stp/>
        <stp>VOLUME</stp>
        <stp>.SPXW250630P5720</stp>
        <tr r="L116" s="2"/>
        <tr r="L116" s="2"/>
      </tp>
      <tp t="s">
        <v>N/A</v>
        <stp/>
        <stp>VOLUME</stp>
        <stp>.NDXP250829P20075</stp>
        <tr r="P189" s="2"/>
      </tp>
      <tp t="s">
        <v>N/A</v>
        <stp/>
        <stp>VOLUME</stp>
        <stp>.NDXP250829P21075</stp>
        <tr r="P149" s="2"/>
      </tp>
      <tp t="s">
        <v>N/A</v>
        <stp/>
        <stp>VOLUME</stp>
        <stp>.NDXP250930P20975</stp>
        <tr r="R153" s="2"/>
      </tp>
      <tp t="s">
        <v>N/A</v>
        <stp/>
        <stp>VOLUME</stp>
        <stp>.NDXP250530P20975</stp>
        <tr r="I153" s="2"/>
      </tp>
      <tp>
        <v>2</v>
        <stp/>
        <stp>VOLUME</stp>
        <stp>.NDXP250630P20975</stp>
        <tr r="L153" s="2"/>
        <tr r="L153" s="2"/>
      </tp>
      <tp t="s">
        <v>N/A</v>
        <stp/>
        <stp>VOLUME</stp>
        <stp>.NDXP250731P20875</stp>
        <tr r="N157" s="2"/>
      </tp>
      <tp t="s">
        <v>N/A</v>
        <stp/>
        <stp>VOLUME</stp>
        <stp>.SPXW250930C5730</stp>
        <tr r="R115" s="2"/>
      </tp>
      <tp>
        <v>5</v>
        <stp/>
        <stp>VOLUME</stp>
        <stp>.SPXW250530C5730</stp>
        <tr r="I115" s="2"/>
        <tr r="I115" s="2"/>
      </tp>
      <tp t="s">
        <v>N/A</v>
        <stp/>
        <stp>VOLUME</stp>
        <stp>.SPXW250731C5720</stp>
        <tr r="N116" s="2"/>
      </tp>
      <tp>
        <v>22</v>
        <stp/>
        <stp>VOLUME</stp>
        <stp>.SPXW250630C5730</stp>
        <tr r="L115" s="2"/>
        <tr r="L115" s="2"/>
      </tp>
      <tp t="s">
        <v>N/A</v>
        <stp/>
        <stp>VOLUME</stp>
        <stp>.SPXW251031C5720</stp>
        <tr r="T116" s="2"/>
      </tp>
      <tp t="s">
        <v>N/A</v>
        <stp/>
        <stp>VOLUME</stp>
        <stp>.SPXW251231C5720</stp>
        <tr r="X116" s="2"/>
      </tp>
      <tp>
        <v>2</v>
        <stp/>
        <stp>VOLUME</stp>
        <stp>.SPXW251031P5720</stp>
        <tr r="T116" s="2"/>
        <tr r="T116" s="2"/>
      </tp>
      <tp t="s">
        <v>N/A</v>
        <stp/>
        <stp>VOLUME</stp>
        <stp>.SPXW251231P5720</stp>
        <tr r="X116" s="2"/>
      </tp>
      <tp t="s">
        <v>N/A</v>
        <stp/>
        <stp>VOLUME</stp>
        <stp>.SPXW250930P5730</stp>
        <tr r="R115" s="2"/>
      </tp>
      <tp>
        <v>79</v>
        <stp/>
        <stp>VOLUME</stp>
        <stp>.SPXW250530P5730</stp>
        <tr r="I115" s="2"/>
        <tr r="I115" s="2"/>
      </tp>
      <tp t="s">
        <v>N/A</v>
        <stp/>
        <stp>VOLUME</stp>
        <stp>.SPXW250731P5720</stp>
        <tr r="N116" s="2"/>
      </tp>
      <tp>
        <v>9</v>
        <stp/>
        <stp>VOLUME</stp>
        <stp>.SPXW250630P5730</stp>
        <tr r="L115" s="2"/>
        <tr r="L115" s="2"/>
      </tp>
      <tp t="s">
        <v>N/A</v>
        <stp/>
        <stp>VOLUME</stp>
        <stp>.NDXP250930P20900</stp>
        <tr r="R156" s="2"/>
      </tp>
      <tp t="s">
        <v>N/A</v>
        <stp/>
        <stp>VOLUME</stp>
        <stp>.NDXP250829P21000</stp>
        <tr r="P152" s="2"/>
      </tp>
      <tp>
        <v>1</v>
        <stp/>
        <stp>VOLUME</stp>
        <stp>.NDXP250530P20900</stp>
        <tr r="I156" s="2"/>
        <tr r="I156" s="2"/>
      </tp>
      <tp t="s">
        <v>N/A</v>
        <stp/>
        <stp>VOLUME</stp>
        <stp>.NDXP250731P20800</stp>
        <tr r="N160" s="2"/>
      </tp>
      <tp t="s">
        <v>N/A</v>
        <stp/>
        <stp>VOLUME</stp>
        <stp>.NDXP250630P20900</stp>
        <tr r="L156" s="2"/>
      </tp>
      <tp t="s">
        <v>N/A</v>
        <stp/>
        <stp>VOLUME</stp>
        <stp>.SPXW250930C5740</stp>
        <tr r="R114" s="2"/>
      </tp>
      <tp>
        <v>86</v>
        <stp/>
        <stp>VOLUME</stp>
        <stp>.SPXW250530C5740</stp>
        <tr r="I114" s="2"/>
        <tr r="I114" s="2"/>
      </tp>
      <tp t="s">
        <v>N/A</v>
        <stp/>
        <stp>VOLUME</stp>
        <stp>.SPXW250731C5750</stp>
        <tr r="N113" s="2"/>
      </tp>
      <tp>
        <v>7</v>
        <stp/>
        <stp>VOLUME</stp>
        <stp>.SPXW250630C5740</stp>
        <tr r="L114" s="2"/>
        <tr r="L114" s="2"/>
      </tp>
      <tp>
        <v>1</v>
        <stp/>
        <stp>VOLUME</stp>
        <stp>.SPXW251031C5750</stp>
        <tr r="T113" s="2"/>
        <tr r="T113" s="2"/>
      </tp>
      <tp>
        <v>2</v>
        <stp/>
        <stp>VOLUME</stp>
        <stp>.SPXW251231C5750</stp>
        <tr r="X113" s="2"/>
        <tr r="X113" s="2"/>
      </tp>
      <tp t="s">
        <v>N/A</v>
        <stp/>
        <stp>VOLUME</stp>
        <stp>.SPXW251031P5750</stp>
        <tr r="T113" s="2"/>
      </tp>
      <tp t="s">
        <v>N/A</v>
        <stp/>
        <stp>VOLUME</stp>
        <stp>.SPXW251231P5750</stp>
        <tr r="X113" s="2"/>
      </tp>
      <tp>
        <v>2</v>
        <stp/>
        <stp>VOLUME</stp>
        <stp>.SPXW250930P5740</stp>
        <tr r="R114" s="2"/>
        <tr r="R114" s="2"/>
      </tp>
      <tp>
        <v>289</v>
        <stp/>
        <stp>VOLUME</stp>
        <stp>.SPXW250530P5740</stp>
        <tr r="I114" s="2"/>
        <tr r="I114" s="2"/>
      </tp>
      <tp>
        <v>671</v>
        <stp/>
        <stp>VOLUME</stp>
        <stp>.SPXW250731P5750</stp>
        <tr r="N113" s="2"/>
        <tr r="N113" s="2"/>
      </tp>
      <tp>
        <v>1</v>
        <stp/>
        <stp>VOLUME</stp>
        <stp>.SPXW250630P5740</stp>
        <tr r="L114" s="2"/>
        <tr r="L114" s="2"/>
      </tp>
      <tp t="s">
        <v>N/A</v>
        <stp/>
        <stp>VOLUME</stp>
        <stp>.NDXP251128P20100</stp>
        <tr r="V188" s="2"/>
      </tp>
      <tp t="s">
        <v>N/A</v>
        <stp/>
        <stp>VOLUME</stp>
        <stp>.NDXP251128P21100</stp>
        <tr r="V148" s="2"/>
      </tp>
      <tp t="s">
        <v>N/A</v>
        <stp/>
        <stp>VOLUME</stp>
        <stp>.NDXP251031P20800</stp>
        <tr r="T160" s="2"/>
      </tp>
      <tp t="s">
        <v>N/A</v>
        <stp/>
        <stp>VOLUME</stp>
        <stp>.NDXP251231P20800</stp>
        <tr r="X160" s="2"/>
      </tp>
      <tp>
        <v>58</v>
        <stp/>
        <stp>VOLUME</stp>
        <stp>.SPXW250930C5750</stp>
        <tr r="R113" s="2"/>
        <tr r="R113" s="2"/>
      </tp>
      <tp>
        <v>184</v>
        <stp/>
        <stp>VOLUME</stp>
        <stp>.SPXW250512C5570</stp>
        <tr r="BA130" s="1"/>
        <tr r="BA130" s="1"/>
      </tp>
      <tp>
        <v>592</v>
        <stp/>
        <stp>VOLUME</stp>
        <stp>.SPXW250530C5750</stp>
        <tr r="I113" s="2"/>
        <tr r="I113" s="2"/>
      </tp>
      <tp>
        <v>13</v>
        <stp/>
        <stp>VOLUME</stp>
        <stp>.SPXW250731C5740</stp>
        <tr r="N114" s="2"/>
        <tr r="N114" s="2"/>
      </tp>
      <tp>
        <v>85</v>
        <stp/>
        <stp>VOLUME</stp>
        <stp>.SPXW250630C5750</stp>
        <tr r="L113" s="2"/>
        <tr r="L113" s="2"/>
      </tp>
      <tp t="s">
        <v>N/A</v>
        <stp/>
        <stp>VOLUME</stp>
        <stp>.SPXW251031C5740</stp>
        <tr r="T114" s="2"/>
      </tp>
      <tp t="s">
        <v>N/A</v>
        <stp/>
        <stp>VOLUME</stp>
        <stp>.SPXW251231C5740</stp>
        <tr r="X114" s="2"/>
      </tp>
      <tp>
        <v>2</v>
        <stp/>
        <stp>VOLUME</stp>
        <stp>.SPXW251031P5740</stp>
        <tr r="T114" s="2"/>
        <tr r="T114" s="2"/>
      </tp>
      <tp t="s">
        <v>N/A</v>
        <stp/>
        <stp>VOLUME</stp>
        <stp>.SPXW251231P5740</stp>
        <tr r="X114" s="2"/>
      </tp>
      <tp>
        <v>44</v>
        <stp/>
        <stp>VOLUME</stp>
        <stp>.SPXW250930P5750</stp>
        <tr r="R113" s="2"/>
        <tr r="R113" s="2"/>
      </tp>
      <tp>
        <v>2224</v>
        <stp/>
        <stp>VOLUME</stp>
        <stp>.SPXW250512P5570</stp>
        <tr r="BB130" s="1"/>
        <tr r="BB130" s="1"/>
      </tp>
      <tp>
        <v>211</v>
        <stp/>
        <stp>VOLUME</stp>
        <stp>.SPXW250530P5750</stp>
        <tr r="I113" s="2"/>
        <tr r="I113" s="2"/>
      </tp>
      <tp t="s">
        <v>N/A</v>
        <stp/>
        <stp>VOLUME</stp>
        <stp>.SPXW250731P5740</stp>
        <tr r="N114" s="2"/>
      </tp>
      <tp>
        <v>22</v>
        <stp/>
        <stp>VOLUME</stp>
        <stp>.SPXW250630P5750</stp>
        <tr r="L113" s="2"/>
        <tr r="L113" s="2"/>
      </tp>
      <tp t="s">
        <v>N/A</v>
        <stp/>
        <stp>VOLUME</stp>
        <stp>.NDXP250829P21025</stp>
        <tr r="P151" s="2"/>
      </tp>
      <tp t="s">
        <v>N/A</v>
        <stp/>
        <stp>VOLUME</stp>
        <stp>.NDXP250930P20925</stp>
        <tr r="R155" s="2"/>
      </tp>
      <tp t="s">
        <v>N/A</v>
        <stp/>
        <stp>VOLUME</stp>
        <stp>.NDXP250530P20925</stp>
        <tr r="I155" s="2"/>
      </tp>
      <tp t="s">
        <v>N/A</v>
        <stp/>
        <stp>VOLUME</stp>
        <stp>.NDXP250630P20925</stp>
        <tr r="L155" s="2"/>
      </tp>
      <tp t="s">
        <v>N/A</v>
        <stp/>
        <stp>VOLUME</stp>
        <stp>.NDXP250731P20825</stp>
        <tr r="N159" s="2"/>
      </tp>
      <tp t="s">
        <v>N/A</v>
        <stp/>
        <stp>VOLUME</stp>
        <stp>.SPXW250930C5760</stp>
        <tr r="R112" s="2"/>
      </tp>
      <tp>
        <v>24</v>
        <stp/>
        <stp>VOLUME</stp>
        <stp>.SPXW250530C5760</stp>
        <tr r="I112" s="2"/>
        <tr r="I112" s="2"/>
      </tp>
      <tp t="s">
        <v>N/A</v>
        <stp/>
        <stp>VOLUME</stp>
        <stp>.SPXW250731C5770</stp>
        <tr r="N111" s="2"/>
      </tp>
      <tp>
        <v>3</v>
        <stp/>
        <stp>VOLUME</stp>
        <stp>.SPXW250630C5760</stp>
        <tr r="L112" s="2"/>
        <tr r="L112" s="2"/>
      </tp>
      <tp t="s">
        <v>N/A</v>
        <stp/>
        <stp>VOLUME</stp>
        <stp>.SPXW251031C5770</stp>
        <tr r="T111" s="2"/>
      </tp>
      <tp t="s">
        <v>N/A</v>
        <stp/>
        <stp>VOLUME</stp>
        <stp>.SPXW251231C5770</stp>
        <tr r="X111" s="2"/>
      </tp>
      <tp t="s">
        <v>N/A</v>
        <stp/>
        <stp>VOLUME</stp>
        <stp>.SPXW251031P5770</stp>
        <tr r="T111" s="2"/>
      </tp>
      <tp t="s">
        <v>N/A</v>
        <stp/>
        <stp>VOLUME</stp>
        <stp>.SPXW251231P5770</stp>
        <tr r="X111" s="2"/>
      </tp>
      <tp t="s">
        <v>N/A</v>
        <stp/>
        <stp>VOLUME</stp>
        <stp>.SPXW250930P5760</stp>
        <tr r="R112" s="2"/>
      </tp>
      <tp>
        <v>22</v>
        <stp/>
        <stp>VOLUME</stp>
        <stp>.SPXW250530P5760</stp>
        <tr r="I112" s="2"/>
        <tr r="I112" s="2"/>
      </tp>
      <tp>
        <v>2</v>
        <stp/>
        <stp>VOLUME</stp>
        <stp>.SPXW250731P5770</stp>
        <tr r="N111" s="2"/>
        <tr r="N111" s="2"/>
      </tp>
      <tp>
        <v>1</v>
        <stp/>
        <stp>VOLUME</stp>
        <stp>.SPXW250630P5760</stp>
        <tr r="L112" s="2"/>
        <tr r="L112" s="2"/>
      </tp>
      <tp t="s">
        <v>N/A</v>
        <stp/>
        <stp>VOLUME</stp>
        <stp>.NDXP251031P20825</stp>
        <tr r="T159" s="2"/>
      </tp>
      <tp t="s">
        <v>N/A</v>
        <stp/>
        <stp>VOLUME</stp>
        <stp>.NDXP251128P20125</stp>
        <tr r="V187" s="2"/>
      </tp>
      <tp t="s">
        <v>N/A</v>
        <stp/>
        <stp>VOLUME</stp>
        <stp>.NDXP251128P21125</stp>
        <tr r="V147" s="2"/>
      </tp>
      <tp t="s">
        <v>N/A</v>
        <stp/>
        <stp>VOLUME</stp>
        <stp>.NDXP251231P20825</stp>
        <tr r="X159" s="2"/>
      </tp>
      <tp t="s">
        <v>N/A</v>
        <stp/>
        <stp>VOLUME</stp>
        <stp>.SPXW250930C5770</stp>
        <tr r="R111" s="2"/>
      </tp>
      <tp>
        <v>255</v>
        <stp/>
        <stp>VOLUME</stp>
        <stp>.SPXW250530C5770</stp>
        <tr r="I111" s="2"/>
        <tr r="I111" s="2"/>
      </tp>
      <tp>
        <v>1</v>
        <stp/>
        <stp>VOLUME</stp>
        <stp>.SPXW250731C5760</stp>
        <tr r="N112" s="2"/>
        <tr r="N112" s="2"/>
      </tp>
      <tp t="s">
        <v>N/A</v>
        <stp/>
        <stp>VOLUME</stp>
        <stp>.SPXW250630C5770</stp>
        <tr r="L111" s="2"/>
      </tp>
      <tp t="s">
        <v>N/A</v>
        <stp/>
        <stp>VOLUME</stp>
        <stp>.SPXW251031C5760</stp>
        <tr r="T112" s="2"/>
      </tp>
      <tp t="s">
        <v>N/A</v>
        <stp/>
        <stp>VOLUME</stp>
        <stp>.SPXW251231C5760</stp>
        <tr r="X112" s="2"/>
      </tp>
      <tp>
        <v>12</v>
        <stp/>
        <stp>VOLUME</stp>
        <stp>.SPXW251031P5760</stp>
        <tr r="T112" s="2"/>
        <tr r="T112" s="2"/>
      </tp>
      <tp t="s">
        <v>N/A</v>
        <stp/>
        <stp>VOLUME</stp>
        <stp>.SPXW251231P5760</stp>
        <tr r="X112" s="2"/>
      </tp>
      <tp>
        <v>2</v>
        <stp/>
        <stp>VOLUME</stp>
        <stp>.SPXW250930P5770</stp>
        <tr r="R111" s="2"/>
        <tr r="R111" s="2"/>
      </tp>
      <tp>
        <v>26</v>
        <stp/>
        <stp>VOLUME</stp>
        <stp>.SPXW250530P5770</stp>
        <tr r="I111" s="2"/>
        <tr r="I111" s="2"/>
      </tp>
      <tp t="s">
        <v>N/A</v>
        <stp/>
        <stp>VOLUME</stp>
        <stp>.SPXW250731P5760</stp>
        <tr r="N112" s="2"/>
      </tp>
      <tp t="s">
        <v>N/A</v>
        <stp/>
        <stp>VOLUME</stp>
        <stp>.SPXW250630P5770</stp>
        <tr r="L111" s="2"/>
      </tp>
      <tp>
        <v>22</v>
        <stp/>
        <stp>OPEN_INT</stp>
        <stp>.NDXP250512C21100</stp>
        <tr r="AS147" s="1"/>
        <tr r="AS147" s="1"/>
      </tp>
      <tp>
        <v>457</v>
        <stp/>
        <stp>OPEN_INT</stp>
        <stp>.NDXP250512C20100</stp>
        <tr r="AS187" s="1"/>
        <tr r="AS187" s="1"/>
      </tp>
      <tp t="s">
        <v>N/A</v>
        <stp/>
        <stp>OPEN_INT</stp>
        <stp>.NDXP250512C21125</stp>
        <tr r="AS146" s="1"/>
      </tp>
      <tp>
        <v>29</v>
        <stp/>
        <stp>OPEN_INT</stp>
        <stp>.NDXP250512C20125</stp>
        <tr r="AS186" s="1"/>
        <tr r="AS186" s="1"/>
      </tp>
      <tp>
        <v>2</v>
        <stp/>
        <stp>OPEN_INT</stp>
        <stp>.NDXP250512C21150</stp>
        <tr r="AS145" s="1"/>
        <tr r="AS145" s="1"/>
      </tp>
      <tp>
        <v>41</v>
        <stp/>
        <stp>OPEN_INT</stp>
        <stp>.NDXP250512C20150</stp>
        <tr r="AS185" s="1"/>
        <tr r="AS185" s="1"/>
      </tp>
      <tp t="s">
        <v>N/A</v>
        <stp/>
        <stp>OPEN_INT</stp>
        <stp>.NDXP250512C21175</stp>
        <tr r="AS144" s="1"/>
      </tp>
      <tp>
        <v>19</v>
        <stp/>
        <stp>OPEN_INT</stp>
        <stp>.NDXP250512C20175</stp>
        <tr r="AS184" s="1"/>
        <tr r="AS184" s="1"/>
      </tp>
      <tp t="s">
        <v>N/A</v>
        <stp/>
        <stp>OPEN_INT</stp>
        <stp>.NDXP250512P21125</stp>
        <tr r="AT146" s="1"/>
      </tp>
      <tp>
        <v>6</v>
        <stp/>
        <stp>OPEN_INT</stp>
        <stp>.NDXP250512P20125</stp>
        <tr r="AT186" s="1"/>
        <tr r="AT186" s="1"/>
      </tp>
      <tp>
        <v>0</v>
        <stp/>
        <stp>OPEN_INT</stp>
        <stp>.NDXP250512P21100</stp>
        <tr r="AT147" s="1"/>
        <tr r="AT147" s="1"/>
      </tp>
      <tp>
        <v>103</v>
        <stp/>
        <stp>OPEN_INT</stp>
        <stp>.NDXP250512P20100</stp>
        <tr r="AT187" s="1"/>
        <tr r="AT187" s="1"/>
      </tp>
      <tp t="s">
        <v>N/A</v>
        <stp/>
        <stp>OPEN_INT</stp>
        <stp>.NDXP250512P21175</stp>
        <tr r="AT144" s="1"/>
      </tp>
      <tp>
        <v>4</v>
        <stp/>
        <stp>OPEN_INT</stp>
        <stp>.NDXP250512P20175</stp>
        <tr r="AT184" s="1"/>
        <tr r="AT184" s="1"/>
      </tp>
      <tp>
        <v>0</v>
        <stp/>
        <stp>OPEN_INT</stp>
        <stp>.NDXP250512P21150</stp>
        <tr r="AT145" s="1"/>
        <tr r="AT145" s="1"/>
      </tp>
      <tp>
        <v>4</v>
        <stp/>
        <stp>OPEN_INT</stp>
        <stp>.NDXP250512P20150</stp>
        <tr r="AT185" s="1"/>
        <tr r="AT185" s="1"/>
      </tp>
      <tp t="s">
        <v>N/A</v>
        <stp/>
        <stp>VOLUME</stp>
        <stp>.NDXP250829C20375</stp>
        <tr r="P177" s="2"/>
      </tp>
      <tp>
        <v>348</v>
        <stp/>
        <stp>VOLUME</stp>
        <stp>.NDXP250512C20875</stp>
        <tr r="BA156" s="1"/>
        <tr r="BA156" s="1"/>
      </tp>
      <tp t="s">
        <v>N/A</v>
        <stp/>
        <stp>VOLUME</stp>
        <stp>.NDXP251128C20275</stp>
        <tr r="V181" s="2"/>
      </tp>
      <tp t="s">
        <v>N/A</v>
        <stp/>
        <stp>VOLUME</stp>
        <stp>.NDXP251128C21275</stp>
        <tr r="V141" s="2"/>
      </tp>
      <tp t="s">
        <v>N/A</v>
        <stp/>
        <stp>VOLUME</stp>
        <stp>.NDXP250829C20350</stp>
        <tr r="P178" s="2"/>
      </tp>
      <tp t="s">
        <v>N/A</v>
        <stp/>
        <stp>VOLUME</stp>
        <stp>.NDXP250829C21350</stp>
        <tr r="P138" s="2"/>
      </tp>
      <tp>
        <v>1151</v>
        <stp/>
        <stp>VOLUME</stp>
        <stp>.NDXP250512C20850</stp>
        <tr r="BA157" s="1"/>
        <tr r="BA157" s="1"/>
      </tp>
      <tp t="s">
        <v>N/A</v>
        <stp/>
        <stp>VOLUME</stp>
        <stp>.NDXP251128C20250</stp>
        <tr r="V182" s="2"/>
      </tp>
      <tp t="s">
        <v>N/A</v>
        <stp/>
        <stp>VOLUME</stp>
        <stp>.NDXP251128C21250</stp>
        <tr r="V142" s="2"/>
      </tp>
      <tp t="s">
        <v>N/A</v>
        <stp/>
        <stp>VOLUME</stp>
        <stp>.NDXP251128C20225</stp>
        <tr r="V183" s="2"/>
      </tp>
      <tp t="s">
        <v>N/A</v>
        <stp/>
        <stp>VOLUME</stp>
        <stp>.NDXP251128C21225</stp>
        <tr r="V143" s="2"/>
      </tp>
      <tp t="s">
        <v>N/A</v>
        <stp/>
        <stp>VOLUME</stp>
        <stp>.NDXP250829C20325</stp>
        <tr r="P179" s="2"/>
      </tp>
      <tp t="s">
        <v>N/A</v>
        <stp/>
        <stp>VOLUME</stp>
        <stp>.NDXP250829C21325</stp>
        <tr r="P139" s="2"/>
      </tp>
      <tp>
        <v>390</v>
        <stp/>
        <stp>VOLUME</stp>
        <stp>.NDXP250512C20825</stp>
        <tr r="BA158" s="1"/>
        <tr r="BA158" s="1"/>
      </tp>
      <tp t="s">
        <v>N/A</v>
        <stp/>
        <stp>VOLUME</stp>
        <stp>.NDXP251128C20200</stp>
        <tr r="V184" s="2"/>
      </tp>
      <tp t="s">
        <v>N/A</v>
        <stp/>
        <stp>VOLUME</stp>
        <stp>.NDXP251128C21200</stp>
        <tr r="V144" s="2"/>
      </tp>
      <tp t="s">
        <v>N/A</v>
        <stp/>
        <stp>VOLUME</stp>
        <stp>.NDXP250829C20300</stp>
        <tr r="P180" s="2"/>
      </tp>
      <tp t="s">
        <v>N/A</v>
        <stp/>
        <stp>VOLUME</stp>
        <stp>.NDXP250829C21300</stp>
        <tr r="P140" s="2"/>
      </tp>
      <tp>
        <v>819</v>
        <stp/>
        <stp>VOLUME</stp>
        <stp>.NDXP250512C20800</stp>
        <tr r="BA159" s="1"/>
        <tr r="BA159" s="1"/>
      </tp>
      <tp>
        <v>298</v>
        <stp/>
        <stp>VOLUME</stp>
        <stp>.SPXW250512C5680</stp>
        <tr r="BA119" s="1"/>
        <tr r="BA119" s="1"/>
      </tp>
      <tp>
        <v>8244</v>
        <stp/>
        <stp>VOLUME</stp>
        <stp>.SPXW250512P5680</stp>
        <tr r="BB119" s="1"/>
        <tr r="BB119" s="1"/>
      </tp>
      <tp>
        <v>1046</v>
        <stp/>
        <stp>VOLUME</stp>
        <stp>.SPXW250512C5690</stp>
        <tr r="BA118" s="1"/>
        <tr r="BA118" s="1"/>
      </tp>
      <tp>
        <v>8241</v>
        <stp/>
        <stp>VOLUME</stp>
        <stp>.SPXW250512P5690</stp>
        <tr r="BB118" s="1"/>
        <tr r="BB118" s="1"/>
      </tp>
      <tp t="s">
        <v>N/A</v>
        <stp/>
        <stp>VOLUME</stp>
        <stp>.SPYP590</stp>
        <tr r="C7" s="2"/>
        <tr r="F7" s="2"/>
        <tr r="G7" s="2"/>
        <tr r="E7" s="2"/>
        <tr r="D7" s="2"/>
        <tr r="K7" s="2"/>
        <tr r="B7" s="2"/>
      </tp>
      <tp t="s">
        <v>N/A</v>
        <stp/>
        <stp>VOLUME</stp>
        <stp>.SPYC590</stp>
        <tr r="C7" s="2"/>
        <tr r="F7" s="2"/>
        <tr r="G7" s="2"/>
        <tr r="E7" s="2"/>
        <tr r="D7" s="2"/>
        <tr r="K7" s="2"/>
        <tr r="B7" s="2"/>
      </tp>
      <tp t="s">
        <v>N/A</v>
        <stp/>
        <stp>VOLUME</stp>
        <stp>.SPYP591</stp>
        <tr r="B6" s="2"/>
        <tr r="K6" s="2"/>
        <tr r="F6" s="2"/>
        <tr r="E6" s="2"/>
        <tr r="C6" s="2"/>
        <tr r="D6" s="2"/>
        <tr r="G6" s="2"/>
      </tp>
      <tp t="s">
        <v>N/A</v>
        <stp/>
        <stp>VOLUME</stp>
        <stp>.SPYC591</stp>
        <tr r="B6" s="2"/>
        <tr r="K6" s="2"/>
        <tr r="F6" s="2"/>
        <tr r="E6" s="2"/>
        <tr r="C6" s="2"/>
        <tr r="D6" s="2"/>
        <tr r="G6" s="2"/>
      </tp>
      <tp t="s">
        <v>N/A</v>
        <stp/>
        <stp>VOLUME</stp>
        <stp>.SPYP592</stp>
        <tr r="K5" s="2"/>
        <tr r="G5" s="2"/>
        <tr r="F5" s="2"/>
        <tr r="E5" s="2"/>
        <tr r="D5" s="2"/>
        <tr r="C5" s="2"/>
        <tr r="B5" s="2"/>
      </tp>
      <tp t="s">
        <v>N/A</v>
        <stp/>
        <stp>VOLUME</stp>
        <stp>.SPYC592</stp>
        <tr r="K5" s="2"/>
        <tr r="G5" s="2"/>
        <tr r="F5" s="2"/>
        <tr r="E5" s="2"/>
        <tr r="D5" s="2"/>
        <tr r="C5" s="2"/>
        <tr r="B5" s="2"/>
      </tp>
      <tp t="s">
        <v>N/A</v>
        <stp/>
        <stp>VOLUME</stp>
        <stp>.SPYP584</stp>
        <tr r="D13" s="2"/>
        <tr r="E13" s="2"/>
        <tr r="B13" s="2"/>
        <tr r="F13" s="2"/>
        <tr r="G13" s="2"/>
        <tr r="C13" s="2"/>
        <tr r="K13" s="2"/>
      </tp>
      <tp t="s">
        <v>N/A</v>
        <stp/>
        <stp>VOLUME</stp>
        <stp>.SPYC584</stp>
        <tr r="D13" s="2"/>
        <tr r="E13" s="2"/>
        <tr r="B13" s="2"/>
        <tr r="F13" s="2"/>
        <tr r="G13" s="2"/>
        <tr r="C13" s="2"/>
        <tr r="K13" s="2"/>
      </tp>
      <tp t="s">
        <v>N/A</v>
        <stp/>
        <stp>VOLUME</stp>
        <stp>.SPYP585</stp>
        <tr r="D12" s="2"/>
        <tr r="E12" s="2"/>
        <tr r="B12" s="2"/>
        <tr r="K12" s="2"/>
        <tr r="F12" s="2"/>
        <tr r="C12" s="2"/>
        <tr r="G12" s="2"/>
      </tp>
      <tp t="s">
        <v>N/A</v>
        <stp/>
        <stp>VOLUME</stp>
        <stp>.SPYC585</stp>
        <tr r="D12" s="2"/>
        <tr r="E12" s="2"/>
        <tr r="B12" s="2"/>
        <tr r="K12" s="2"/>
        <tr r="F12" s="2"/>
        <tr r="C12" s="2"/>
        <tr r="G12" s="2"/>
      </tp>
      <tp t="s">
        <v>N/A</v>
        <stp/>
        <stp>VOLUME</stp>
        <stp>.SPYP586</stp>
        <tr r="E11" s="2"/>
        <tr r="B11" s="2"/>
        <tr r="G11" s="2"/>
        <tr r="K11" s="2"/>
        <tr r="F11" s="2"/>
        <tr r="D11" s="2"/>
        <tr r="C11" s="2"/>
      </tp>
      <tp t="s">
        <v>N/A</v>
        <stp/>
        <stp>VOLUME</stp>
        <stp>.SPYC586</stp>
        <tr r="E11" s="2"/>
        <tr r="B11" s="2"/>
        <tr r="G11" s="2"/>
        <tr r="K11" s="2"/>
        <tr r="F11" s="2"/>
        <tr r="D11" s="2"/>
        <tr r="C11" s="2"/>
      </tp>
      <tp t="s">
        <v>N/A</v>
        <stp/>
        <stp>VOLUME</stp>
        <stp>.SPYP587</stp>
        <tr r="C10" s="2"/>
        <tr r="G10" s="2"/>
        <tr r="F10" s="2"/>
        <tr r="K10" s="2"/>
        <tr r="B10" s="2"/>
        <tr r="E10" s="2"/>
        <tr r="D10" s="2"/>
      </tp>
      <tp t="s">
        <v>N/A</v>
        <stp/>
        <stp>VOLUME</stp>
        <stp>.SPYC587</stp>
        <tr r="C10" s="2"/>
        <tr r="G10" s="2"/>
        <tr r="F10" s="2"/>
        <tr r="K10" s="2"/>
        <tr r="B10" s="2"/>
        <tr r="E10" s="2"/>
        <tr r="D10" s="2"/>
      </tp>
      <tp t="s">
        <v>N/A</v>
        <stp/>
        <stp>VOLUME</stp>
        <stp>.SPYP580</stp>
        <tr r="G17" s="2"/>
        <tr r="B17" s="2"/>
        <tr r="F17" s="2"/>
        <tr r="E17" s="2"/>
        <tr r="C17" s="2"/>
        <tr r="K17" s="2"/>
        <tr r="D17" s="2"/>
      </tp>
      <tp t="s">
        <v>N/A</v>
        <stp/>
        <stp>VOLUME</stp>
        <stp>.SPYC580</stp>
        <tr r="G17" s="2"/>
        <tr r="B17" s="2"/>
        <tr r="F17" s="2"/>
        <tr r="E17" s="2"/>
        <tr r="C17" s="2"/>
        <tr r="K17" s="2"/>
        <tr r="D17" s="2"/>
      </tp>
      <tp t="s">
        <v>N/A</v>
        <stp/>
        <stp>VOLUME</stp>
        <stp>.SPYP581</stp>
        <tr r="D16" s="2"/>
        <tr r="B16" s="2"/>
        <tr r="E16" s="2"/>
        <tr r="K16" s="2"/>
        <tr r="G16" s="2"/>
        <tr r="C16" s="2"/>
        <tr r="F16" s="2"/>
      </tp>
      <tp t="s">
        <v>N/A</v>
        <stp/>
        <stp>VOLUME</stp>
        <stp>.SPYC581</stp>
        <tr r="D16" s="2"/>
        <tr r="B16" s="2"/>
        <tr r="E16" s="2"/>
        <tr r="K16" s="2"/>
        <tr r="G16" s="2"/>
        <tr r="C16" s="2"/>
        <tr r="F16" s="2"/>
      </tp>
      <tp t="s">
        <v>N/A</v>
        <stp/>
        <stp>VOLUME</stp>
        <stp>.SPYP582</stp>
        <tr r="D15" s="2"/>
        <tr r="F15" s="2"/>
        <tr r="C15" s="2"/>
        <tr r="K15" s="2"/>
        <tr r="G15" s="2"/>
        <tr r="E15" s="2"/>
        <tr r="B15" s="2"/>
      </tp>
      <tp t="s">
        <v>N/A</v>
        <stp/>
        <stp>VOLUME</stp>
        <stp>.SPYC582</stp>
        <tr r="D15" s="2"/>
        <tr r="F15" s="2"/>
        <tr r="C15" s="2"/>
        <tr r="K15" s="2"/>
        <tr r="G15" s="2"/>
        <tr r="E15" s="2"/>
        <tr r="B15" s="2"/>
      </tp>
      <tp t="s">
        <v>N/A</v>
        <stp/>
        <stp>VOLUME</stp>
        <stp>.SPYP583</stp>
        <tr r="G14" s="2"/>
        <tr r="F14" s="2"/>
        <tr r="B14" s="2"/>
        <tr r="E14" s="2"/>
        <tr r="K14" s="2"/>
        <tr r="C14" s="2"/>
        <tr r="D14" s="2"/>
      </tp>
      <tp t="s">
        <v>N/A</v>
        <stp/>
        <stp>VOLUME</stp>
        <stp>.SPYC583</stp>
        <tr r="G14" s="2"/>
        <tr r="F14" s="2"/>
        <tr r="B14" s="2"/>
        <tr r="E14" s="2"/>
        <tr r="K14" s="2"/>
        <tr r="C14" s="2"/>
        <tr r="D14" s="2"/>
      </tp>
      <tp t="s">
        <v>N/A</v>
        <stp/>
        <stp>VOLUME</stp>
        <stp>.SPYP588</stp>
        <tr r="B9" s="2"/>
        <tr r="G9" s="2"/>
        <tr r="C9" s="2"/>
        <tr r="F9" s="2"/>
        <tr r="K9" s="2"/>
        <tr r="E9" s="2"/>
        <tr r="D9" s="2"/>
      </tp>
      <tp t="s">
        <v>N/A</v>
        <stp/>
        <stp>VOLUME</stp>
        <stp>.SPYC588</stp>
        <tr r="B9" s="2"/>
        <tr r="G9" s="2"/>
        <tr r="C9" s="2"/>
        <tr r="F9" s="2"/>
        <tr r="K9" s="2"/>
        <tr r="E9" s="2"/>
        <tr r="D9" s="2"/>
      </tp>
      <tp t="s">
        <v>N/A</v>
        <stp/>
        <stp>VOLUME</stp>
        <stp>.SPYP589</stp>
        <tr r="C8" s="2"/>
        <tr r="E8" s="2"/>
        <tr r="B8" s="2"/>
        <tr r="G8" s="2"/>
        <tr r="F8" s="2"/>
        <tr r="K8" s="2"/>
        <tr r="D8" s="2"/>
      </tp>
      <tp t="s">
        <v>N/A</v>
        <stp/>
        <stp>VOLUME</stp>
        <stp>.SPYC589</stp>
        <tr r="C8" s="2"/>
        <tr r="E8" s="2"/>
        <tr r="B8" s="2"/>
        <tr r="G8" s="2"/>
        <tr r="F8" s="2"/>
        <tr r="K8" s="2"/>
        <tr r="D8" s="2"/>
      </tp>
      <tp t="s">
        <v>N/A</v>
        <stp/>
        <stp>VOLUME</stp>
        <stp>.SPXW250829C5570</stp>
        <tr r="P131" s="2"/>
      </tp>
      <tp>
        <v>5</v>
        <stp/>
        <stp>VOLUME</stp>
        <stp>.SPXW250606C5780</stp>
        <tr r="J110" s="2"/>
        <tr r="J110" s="2"/>
      </tp>
      <tp>
        <v>95</v>
        <stp/>
        <stp>VOLUME</stp>
        <stp>.SPXW250829P5570</stp>
        <tr r="P131" s="2"/>
        <tr r="P131" s="2"/>
      </tp>
      <tp>
        <v>18</v>
        <stp/>
        <stp>VOLUME</stp>
        <stp>.SPXW250606P5780</stp>
        <tr r="J110" s="2"/>
        <tr r="J110" s="2"/>
      </tp>
      <tp>
        <v>105</v>
        <stp/>
        <stp>VOLUME</stp>
        <stp>.SPXW250606C5790</stp>
        <tr r="J109" s="2"/>
        <tr r="J109" s="2"/>
      </tp>
      <tp t="s">
        <v>N/A</v>
        <stp/>
        <stp>VOLUME</stp>
        <stp>.SPXW251128C5570</stp>
        <tr r="V131" s="2"/>
      </tp>
      <tp t="s">
        <v>N/A</v>
        <stp/>
        <stp>VOLUME</stp>
        <stp>.SPXW251128P5570</stp>
        <tr r="V131" s="2"/>
      </tp>
      <tp>
        <v>2</v>
        <stp/>
        <stp>VOLUME</stp>
        <stp>.SPXW250606P5790</stp>
        <tr r="J109" s="2"/>
        <tr r="J109" s="2"/>
      </tp>
      <tp t="s">
        <v>N/A</v>
        <stp/>
        <stp>VOLUME</stp>
        <stp>.SPYP558</stp>
        <tr r="D39" s="2"/>
        <tr r="G39" s="2"/>
        <tr r="C39" s="2"/>
        <tr r="K39" s="2"/>
        <tr r="B39" s="2"/>
        <tr r="F39" s="2"/>
        <tr r="E39" s="2"/>
      </tp>
      <tp t="s">
        <v>N/A</v>
        <stp/>
        <stp>VOLUME</stp>
        <stp>.SPYC558</stp>
        <tr r="D39" s="2"/>
        <tr r="G39" s="2"/>
        <tr r="C39" s="2"/>
        <tr r="K39" s="2"/>
        <tr r="B39" s="2"/>
        <tr r="F39" s="2"/>
        <tr r="E39" s="2"/>
      </tp>
      <tp t="s">
        <v>N/A</v>
        <stp/>
        <stp>VOLUME</stp>
        <stp>.SPYP559</stp>
        <tr r="E38" s="2"/>
        <tr r="F38" s="2"/>
        <tr r="B38" s="2"/>
        <tr r="G38" s="2"/>
        <tr r="C38" s="2"/>
        <tr r="D38" s="2"/>
        <tr r="K38" s="2"/>
      </tp>
      <tp t="s">
        <v>N/A</v>
        <stp/>
        <stp>VOLUME</stp>
        <stp>.SPYC559</stp>
        <tr r="E38" s="2"/>
        <tr r="F38" s="2"/>
        <tr r="B38" s="2"/>
        <tr r="G38" s="2"/>
        <tr r="C38" s="2"/>
        <tr r="D38" s="2"/>
        <tr r="K38" s="2"/>
      </tp>
      <tp t="s">
        <v>N/A</v>
        <stp/>
        <stp>VOLUME</stp>
        <stp>.NDXP251128P20250</stp>
        <tr r="V182" s="2"/>
      </tp>
      <tp t="s">
        <v>N/A</v>
        <stp/>
        <stp>VOLUME</stp>
        <stp>.NDXP251128P21250</stp>
        <tr r="V142" s="2"/>
      </tp>
      <tp t="s">
        <v>N/A</v>
        <stp/>
        <stp>VOLUME</stp>
        <stp>.SPXW250829C5590</stp>
        <tr r="P129" s="2"/>
      </tp>
      <tp>
        <v>41</v>
        <stp/>
        <stp>VOLUME</stp>
        <stp>.SPXW250512C5620</stp>
        <tr r="BA125" s="1"/>
        <tr r="BA125" s="1"/>
      </tp>
      <tp>
        <v>98</v>
        <stp/>
        <stp>VOLUME</stp>
        <stp>.SPXW250606C5760</stp>
        <tr r="J112" s="2"/>
        <tr r="J112" s="2"/>
      </tp>
      <tp t="s">
        <v>N/A</v>
        <stp/>
        <stp>VOLUME</stp>
        <stp>.SPXW251128C5580</stp>
        <tr r="V130" s="2"/>
      </tp>
      <tp t="s">
        <v>N/A</v>
        <stp/>
        <stp>VOLUME</stp>
        <stp>.SPXW251128P5580</stp>
        <tr r="V130" s="2"/>
      </tp>
      <tp>
        <v>4</v>
        <stp/>
        <stp>VOLUME</stp>
        <stp>.SPXW250829P5590</stp>
        <tr r="P129" s="2"/>
        <tr r="P129" s="2"/>
      </tp>
      <tp>
        <v>2489</v>
        <stp/>
        <stp>VOLUME</stp>
        <stp>.SPXW250512P5620</stp>
        <tr r="BB125" s="1"/>
        <tr r="BB125" s="1"/>
      </tp>
      <tp>
        <v>26</v>
        <stp/>
        <stp>VOLUME</stp>
        <stp>.SPXW250606P5760</stp>
        <tr r="J112" s="2"/>
        <tr r="J112" s="2"/>
      </tp>
      <tp t="s">
        <v>N/A</v>
        <stp/>
        <stp>VOLUME</stp>
        <stp>.NDXP250829P20350</stp>
        <tr r="P178" s="2"/>
      </tp>
      <tp t="s">
        <v>N/A</v>
        <stp/>
        <stp>VOLUME</stp>
        <stp>.NDXP250829P21350</stp>
        <tr r="P138" s="2"/>
      </tp>
      <tp>
        <v>87</v>
        <stp/>
        <stp>VOLUME</stp>
        <stp>.NDXP250512P20850</stp>
        <tr r="BB157" s="1"/>
        <tr r="BB157" s="1"/>
      </tp>
      <tp t="s">
        <v>N/A</v>
        <stp/>
        <stp>VOLUME</stp>
        <stp>.SPXW250829C5580</stp>
        <tr r="P130" s="2"/>
      </tp>
      <tp>
        <v>153</v>
        <stp/>
        <stp>VOLUME</stp>
        <stp>.SPXW250512C5630</stp>
        <tr r="BA124" s="1"/>
        <tr r="BA124" s="1"/>
      </tp>
      <tp>
        <v>18</v>
        <stp/>
        <stp>VOLUME</stp>
        <stp>.SPXW250606C5770</stp>
        <tr r="J111" s="2"/>
        <tr r="J111" s="2"/>
      </tp>
      <tp t="s">
        <v>N/A</v>
        <stp/>
        <stp>VOLUME</stp>
        <stp>.SPXW251128C5590</stp>
        <tr r="V129" s="2"/>
      </tp>
      <tp t="s">
        <v>N/A</v>
        <stp/>
        <stp>VOLUME</stp>
        <stp>.SPXW251128P5590</stp>
        <tr r="V129" s="2"/>
      </tp>
      <tp t="s">
        <v>N/A</v>
        <stp/>
        <stp>VOLUME</stp>
        <stp>.SPXW250829P5580</stp>
        <tr r="P130" s="2"/>
      </tp>
      <tp>
        <v>3911</v>
        <stp/>
        <stp>VOLUME</stp>
        <stp>.SPXW250512P5630</stp>
        <tr r="BB124" s="1"/>
        <tr r="BB124" s="1"/>
      </tp>
      <tp>
        <v>3</v>
        <stp/>
        <stp>VOLUME</stp>
        <stp>.SPXW250606P5770</stp>
        <tr r="J111" s="2"/>
        <tr r="J111" s="2"/>
      </tp>
      <tp t="s">
        <v>N/A</v>
        <stp/>
        <stp>VOLUME</stp>
        <stp>.SPYP574</stp>
        <tr r="C23" s="2"/>
        <tr r="K23" s="2"/>
        <tr r="D23" s="2"/>
        <tr r="B23" s="2"/>
        <tr r="G23" s="2"/>
        <tr r="F23" s="2"/>
        <tr r="E23" s="2"/>
      </tp>
      <tp t="s">
        <v>N/A</v>
        <stp/>
        <stp>VOLUME</stp>
        <stp>.SPYC574</stp>
        <tr r="C23" s="2"/>
        <tr r="K23" s="2"/>
        <tr r="D23" s="2"/>
        <tr r="B23" s="2"/>
        <tr r="G23" s="2"/>
        <tr r="F23" s="2"/>
        <tr r="E23" s="2"/>
      </tp>
      <tp t="s">
        <v>N/A</v>
        <stp/>
        <stp>VOLUME</stp>
        <stp>.SPYP575</stp>
        <tr r="E22" s="2"/>
        <tr r="F22" s="2"/>
        <tr r="K22" s="2"/>
        <tr r="G22" s="2"/>
        <tr r="D22" s="2"/>
        <tr r="B22" s="2"/>
        <tr r="C22" s="2"/>
      </tp>
      <tp t="s">
        <v>N/A</v>
        <stp/>
        <stp>VOLUME</stp>
        <stp>.SPYC575</stp>
        <tr r="E22" s="2"/>
        <tr r="F22" s="2"/>
        <tr r="K22" s="2"/>
        <tr r="G22" s="2"/>
        <tr r="D22" s="2"/>
        <tr r="B22" s="2"/>
        <tr r="C22" s="2"/>
      </tp>
      <tp t="s">
        <v>N/A</v>
        <stp/>
        <stp>VOLUME</stp>
        <stp>.SPYP576</stp>
        <tr r="C21" s="2"/>
        <tr r="E21" s="2"/>
        <tr r="B21" s="2"/>
        <tr r="G21" s="2"/>
        <tr r="F21" s="2"/>
        <tr r="D21" s="2"/>
        <tr r="K21" s="2"/>
      </tp>
      <tp t="s">
        <v>N/A</v>
        <stp/>
        <stp>VOLUME</stp>
        <stp>.SPYC576</stp>
        <tr r="C21" s="2"/>
        <tr r="E21" s="2"/>
        <tr r="B21" s="2"/>
        <tr r="G21" s="2"/>
        <tr r="F21" s="2"/>
        <tr r="D21" s="2"/>
        <tr r="K21" s="2"/>
      </tp>
      <tp t="s">
        <v>N/A</v>
        <stp/>
        <stp>VOLUME</stp>
        <stp>.SPYP577</stp>
        <tr r="G20" s="2"/>
        <tr r="E20" s="2"/>
        <tr r="K20" s="2"/>
        <tr r="F20" s="2"/>
        <tr r="C20" s="2"/>
        <tr r="D20" s="2"/>
        <tr r="B20" s="2"/>
      </tp>
      <tp t="s">
        <v>N/A</v>
        <stp/>
        <stp>VOLUME</stp>
        <stp>.SPYC577</stp>
        <tr r="G20" s="2"/>
        <tr r="E20" s="2"/>
        <tr r="K20" s="2"/>
        <tr r="F20" s="2"/>
        <tr r="C20" s="2"/>
        <tr r="D20" s="2"/>
        <tr r="B20" s="2"/>
      </tp>
      <tp t="s">
        <v>N/A</v>
        <stp/>
        <stp>VOLUME</stp>
        <stp>.SPYP570</stp>
        <tr r="D27" s="2"/>
        <tr r="C27" s="2"/>
        <tr r="B27" s="2"/>
        <tr r="G27" s="2"/>
        <tr r="K27" s="2"/>
        <tr r="E27" s="2"/>
        <tr r="F27" s="2"/>
      </tp>
      <tp t="s">
        <v>N/A</v>
        <stp/>
        <stp>VOLUME</stp>
        <stp>.SPYC570</stp>
        <tr r="D27" s="2"/>
        <tr r="C27" s="2"/>
        <tr r="B27" s="2"/>
        <tr r="G27" s="2"/>
        <tr r="K27" s="2"/>
        <tr r="E27" s="2"/>
        <tr r="F27" s="2"/>
      </tp>
      <tp t="s">
        <v>N/A</v>
        <stp/>
        <stp>VOLUME</stp>
        <stp>.SPYP571</stp>
        <tr r="C26" s="2"/>
        <tr r="D26" s="2"/>
        <tr r="F26" s="2"/>
        <tr r="G26" s="2"/>
        <tr r="E26" s="2"/>
        <tr r="K26" s="2"/>
        <tr r="B26" s="2"/>
      </tp>
      <tp t="s">
        <v>N/A</v>
        <stp/>
        <stp>VOLUME</stp>
        <stp>.SPYC571</stp>
        <tr r="C26" s="2"/>
        <tr r="D26" s="2"/>
        <tr r="F26" s="2"/>
        <tr r="G26" s="2"/>
        <tr r="E26" s="2"/>
        <tr r="K26" s="2"/>
        <tr r="B26" s="2"/>
      </tp>
      <tp t="s">
        <v>N/A</v>
        <stp/>
        <stp>VOLUME</stp>
        <stp>.SPYP572</stp>
        <tr r="G25" s="2"/>
        <tr r="D25" s="2"/>
        <tr r="C25" s="2"/>
        <tr r="E25" s="2"/>
        <tr r="B25" s="2"/>
        <tr r="F25" s="2"/>
        <tr r="K25" s="2"/>
      </tp>
      <tp t="s">
        <v>N/A</v>
        <stp/>
        <stp>VOLUME</stp>
        <stp>.SPYC572</stp>
        <tr r="G25" s="2"/>
        <tr r="D25" s="2"/>
        <tr r="C25" s="2"/>
        <tr r="E25" s="2"/>
        <tr r="B25" s="2"/>
        <tr r="F25" s="2"/>
        <tr r="K25" s="2"/>
      </tp>
      <tp t="s">
        <v>N/A</v>
        <stp/>
        <stp>VOLUME</stp>
        <stp>.SPYP573</stp>
        <tr r="F24" s="2"/>
        <tr r="B24" s="2"/>
        <tr r="C24" s="2"/>
        <tr r="E24" s="2"/>
        <tr r="G24" s="2"/>
        <tr r="K24" s="2"/>
        <tr r="D24" s="2"/>
      </tp>
      <tp t="s">
        <v>N/A</v>
        <stp/>
        <stp>VOLUME</stp>
        <stp>.SPYC573</stp>
        <tr r="F24" s="2"/>
        <tr r="B24" s="2"/>
        <tr r="C24" s="2"/>
        <tr r="E24" s="2"/>
        <tr r="G24" s="2"/>
        <tr r="K24" s="2"/>
        <tr r="D24" s="2"/>
      </tp>
      <tp t="s">
        <v>N/A</v>
        <stp/>
        <stp>VOLUME</stp>
        <stp>.SPYP578</stp>
        <tr r="F19" s="2"/>
        <tr r="E19" s="2"/>
        <tr r="B19" s="2"/>
        <tr r="G19" s="2"/>
        <tr r="K19" s="2"/>
        <tr r="D19" s="2"/>
        <tr r="C19" s="2"/>
      </tp>
      <tp t="s">
        <v>N/A</v>
        <stp/>
        <stp>VOLUME</stp>
        <stp>.SPYC578</stp>
        <tr r="F19" s="2"/>
        <tr r="E19" s="2"/>
        <tr r="B19" s="2"/>
        <tr r="G19" s="2"/>
        <tr r="K19" s="2"/>
        <tr r="D19" s="2"/>
        <tr r="C19" s="2"/>
      </tp>
      <tp t="s">
        <v>N/A</v>
        <stp/>
        <stp>VOLUME</stp>
        <stp>.SPYP579</stp>
        <tr r="G18" s="2"/>
        <tr r="C18" s="2"/>
        <tr r="B18" s="2"/>
        <tr r="D18" s="2"/>
        <tr r="K18" s="2"/>
        <tr r="E18" s="2"/>
        <tr r="F18" s="2"/>
      </tp>
      <tp t="s">
        <v>N/A</v>
        <stp/>
        <stp>VOLUME</stp>
        <stp>.SPYC579</stp>
        <tr r="G18" s="2"/>
        <tr r="C18" s="2"/>
        <tr r="B18" s="2"/>
        <tr r="D18" s="2"/>
        <tr r="K18" s="2"/>
        <tr r="E18" s="2"/>
        <tr r="F18" s="2"/>
      </tp>
      <tp t="s">
        <v>N/A</v>
        <stp/>
        <stp>VOLUME</stp>
        <stp>.NDXP251128P20275</stp>
        <tr r="V181" s="2"/>
      </tp>
      <tp t="s">
        <v>N/A</v>
        <stp/>
        <stp>VOLUME</stp>
        <stp>.NDXP251128P21275</stp>
        <tr r="V141" s="2"/>
      </tp>
      <tp>
        <v>125</v>
        <stp/>
        <stp>VOLUME</stp>
        <stp>.SPXW250512C5600</stp>
        <tr r="BA127" s="1"/>
        <tr r="BA127" s="1"/>
      </tp>
      <tp>
        <v>43</v>
        <stp/>
        <stp>VOLUME</stp>
        <stp>.SPXW250606C5740</stp>
        <tr r="J114" s="2"/>
        <tr r="J114" s="2"/>
      </tp>
      <tp>
        <v>7168</v>
        <stp/>
        <stp>VOLUME</stp>
        <stp>.SPXW250512P5600</stp>
        <tr r="BB127" s="1"/>
        <tr r="BB127" s="1"/>
      </tp>
      <tp>
        <v>15</v>
        <stp/>
        <stp>VOLUME</stp>
        <stp>.SPXW250606P5740</stp>
        <tr r="J114" s="2"/>
        <tr r="J114" s="2"/>
      </tp>
      <tp t="s">
        <v>N/A</v>
        <stp/>
        <stp>VOLUME</stp>
        <stp>.SPYP564</stp>
        <tr r="G33" s="2"/>
        <tr r="K33" s="2"/>
        <tr r="F33" s="2"/>
        <tr r="B33" s="2"/>
        <tr r="C33" s="2"/>
        <tr r="D33" s="2"/>
        <tr r="E33" s="2"/>
      </tp>
      <tp t="s">
        <v>N/A</v>
        <stp/>
        <stp>VOLUME</stp>
        <stp>.SPYC564</stp>
        <tr r="G33" s="2"/>
        <tr r="K33" s="2"/>
        <tr r="F33" s="2"/>
        <tr r="B33" s="2"/>
        <tr r="C33" s="2"/>
        <tr r="D33" s="2"/>
        <tr r="E33" s="2"/>
      </tp>
      <tp t="s">
        <v>N/A</v>
        <stp/>
        <stp>VOLUME</stp>
        <stp>.SPYP565</stp>
        <tr r="D32" s="2"/>
        <tr r="B32" s="2"/>
        <tr r="G32" s="2"/>
        <tr r="C32" s="2"/>
        <tr r="K32" s="2"/>
        <tr r="E32" s="2"/>
        <tr r="F32" s="2"/>
      </tp>
      <tp t="s">
        <v>N/A</v>
        <stp/>
        <stp>VOLUME</stp>
        <stp>.SPYC565</stp>
        <tr r="D32" s="2"/>
        <tr r="B32" s="2"/>
        <tr r="G32" s="2"/>
        <tr r="C32" s="2"/>
        <tr r="K32" s="2"/>
        <tr r="E32" s="2"/>
        <tr r="F32" s="2"/>
      </tp>
      <tp t="s">
        <v>N/A</v>
        <stp/>
        <stp>VOLUME</stp>
        <stp>.SPYP566</stp>
        <tr r="C31" s="2"/>
        <tr r="F31" s="2"/>
        <tr r="E31" s="2"/>
        <tr r="B31" s="2"/>
        <tr r="G31" s="2"/>
        <tr r="K31" s="2"/>
        <tr r="D31" s="2"/>
      </tp>
      <tp t="s">
        <v>N/A</v>
        <stp/>
        <stp>VOLUME</stp>
        <stp>.SPYC566</stp>
        <tr r="C31" s="2"/>
        <tr r="F31" s="2"/>
        <tr r="E31" s="2"/>
        <tr r="B31" s="2"/>
        <tr r="G31" s="2"/>
        <tr r="K31" s="2"/>
        <tr r="D31" s="2"/>
      </tp>
      <tp t="s">
        <v>N/A</v>
        <stp/>
        <stp>VOLUME</stp>
        <stp>.SPYP567</stp>
        <tr r="F30" s="2"/>
        <tr r="D30" s="2"/>
        <tr r="B30" s="2"/>
        <tr r="K30" s="2"/>
        <tr r="E30" s="2"/>
        <tr r="C30" s="2"/>
        <tr r="G30" s="2"/>
      </tp>
      <tp t="s">
        <v>N/A</v>
        <stp/>
        <stp>VOLUME</stp>
        <stp>.SPYC567</stp>
        <tr r="F30" s="2"/>
        <tr r="D30" s="2"/>
        <tr r="B30" s="2"/>
        <tr r="K30" s="2"/>
        <tr r="E30" s="2"/>
        <tr r="C30" s="2"/>
        <tr r="G30" s="2"/>
      </tp>
      <tp t="s">
        <v>N/A</v>
        <stp/>
        <stp>VOLUME</stp>
        <stp>.SPYP560</stp>
        <tr r="C37" s="2"/>
        <tr r="F37" s="2"/>
        <tr r="D37" s="2"/>
        <tr r="E37" s="2"/>
        <tr r="K37" s="2"/>
        <tr r="G37" s="2"/>
        <tr r="B37" s="2"/>
      </tp>
      <tp t="s">
        <v>N/A</v>
        <stp/>
        <stp>VOLUME</stp>
        <stp>.SPYC560</stp>
        <tr r="C37" s="2"/>
        <tr r="F37" s="2"/>
        <tr r="D37" s="2"/>
        <tr r="E37" s="2"/>
        <tr r="K37" s="2"/>
        <tr r="G37" s="2"/>
        <tr r="B37" s="2"/>
      </tp>
      <tp t="s">
        <v>N/A</v>
        <stp/>
        <stp>VOLUME</stp>
        <stp>.SPYP561</stp>
        <tr r="E36" s="2"/>
        <tr r="F36" s="2"/>
        <tr r="D36" s="2"/>
        <tr r="C36" s="2"/>
        <tr r="G36" s="2"/>
        <tr r="K36" s="2"/>
        <tr r="B36" s="2"/>
      </tp>
      <tp t="s">
        <v>N/A</v>
        <stp/>
        <stp>VOLUME</stp>
        <stp>.SPYC561</stp>
        <tr r="E36" s="2"/>
        <tr r="F36" s="2"/>
        <tr r="D36" s="2"/>
        <tr r="C36" s="2"/>
        <tr r="G36" s="2"/>
        <tr r="K36" s="2"/>
        <tr r="B36" s="2"/>
      </tp>
      <tp t="s">
        <v>N/A</v>
        <stp/>
        <stp>VOLUME</stp>
        <stp>.SPYP562</stp>
        <tr r="C35" s="2"/>
        <tr r="D35" s="2"/>
        <tr r="E35" s="2"/>
        <tr r="K35" s="2"/>
        <tr r="F35" s="2"/>
        <tr r="B35" s="2"/>
        <tr r="G35" s="2"/>
      </tp>
      <tp t="s">
        <v>N/A</v>
        <stp/>
        <stp>VOLUME</stp>
        <stp>.SPYC562</stp>
        <tr r="C35" s="2"/>
        <tr r="D35" s="2"/>
        <tr r="E35" s="2"/>
        <tr r="K35" s="2"/>
        <tr r="F35" s="2"/>
        <tr r="B35" s="2"/>
        <tr r="G35" s="2"/>
      </tp>
      <tp t="s">
        <v>N/A</v>
        <stp/>
        <stp>VOLUME</stp>
        <stp>.SPYP563</stp>
        <tr r="F34" s="2"/>
        <tr r="G34" s="2"/>
        <tr r="C34" s="2"/>
        <tr r="K34" s="2"/>
        <tr r="D34" s="2"/>
        <tr r="B34" s="2"/>
        <tr r="E34" s="2"/>
      </tp>
      <tp t="s">
        <v>N/A</v>
        <stp/>
        <stp>VOLUME</stp>
        <stp>.SPYC563</stp>
        <tr r="F34" s="2"/>
        <tr r="G34" s="2"/>
        <tr r="C34" s="2"/>
        <tr r="K34" s="2"/>
        <tr r="D34" s="2"/>
        <tr r="B34" s="2"/>
        <tr r="E34" s="2"/>
      </tp>
      <tp t="s">
        <v>N/A</v>
        <stp/>
        <stp>VOLUME</stp>
        <stp>.SPYP568</stp>
        <tr r="F29" s="2"/>
        <tr r="E29" s="2"/>
        <tr r="C29" s="2"/>
        <tr r="G29" s="2"/>
        <tr r="B29" s="2"/>
        <tr r="D29" s="2"/>
        <tr r="K29" s="2"/>
      </tp>
      <tp t="s">
        <v>N/A</v>
        <stp/>
        <stp>VOLUME</stp>
        <stp>.SPYC568</stp>
        <tr r="F29" s="2"/>
        <tr r="E29" s="2"/>
        <tr r="C29" s="2"/>
        <tr r="G29" s="2"/>
        <tr r="B29" s="2"/>
        <tr r="D29" s="2"/>
        <tr r="K29" s="2"/>
      </tp>
      <tp t="s">
        <v>N/A</v>
        <stp/>
        <stp>VOLUME</stp>
        <stp>.SPYP569</stp>
        <tr r="C28" s="2"/>
        <tr r="F28" s="2"/>
        <tr r="K28" s="2"/>
        <tr r="E28" s="2"/>
        <tr r="D28" s="2"/>
        <tr r="G28" s="2"/>
        <tr r="B28" s="2"/>
      </tp>
      <tp t="s">
        <v>N/A</v>
        <stp/>
        <stp>VOLUME</stp>
        <stp>.SPYC569</stp>
        <tr r="C28" s="2"/>
        <tr r="F28" s="2"/>
        <tr r="K28" s="2"/>
        <tr r="E28" s="2"/>
        <tr r="D28" s="2"/>
        <tr r="G28" s="2"/>
        <tr r="B28" s="2"/>
      </tp>
      <tp t="s">
        <v>N/A</v>
        <stp/>
        <stp>VOLUME</stp>
        <stp>.NDXP250829P20375</stp>
        <tr r="P177" s="2"/>
      </tp>
      <tp>
        <v>9</v>
        <stp/>
        <stp>VOLUME</stp>
        <stp>.NDXP250512P20875</stp>
        <tr r="BB156" s="1"/>
        <tr r="BB156" s="1"/>
      </tp>
      <tp>
        <v>49</v>
        <stp/>
        <stp>VOLUME</stp>
        <stp>.SPXW250512C5610</stp>
        <tr r="BA126" s="1"/>
        <tr r="BA126" s="1"/>
      </tp>
      <tp>
        <v>96</v>
        <stp/>
        <stp>VOLUME</stp>
        <stp>.SPXW250606C5750</stp>
        <tr r="J113" s="2"/>
        <tr r="J113" s="2"/>
      </tp>
      <tp>
        <v>2510</v>
        <stp/>
        <stp>VOLUME</stp>
        <stp>.SPXW250512P5610</stp>
        <tr r="BB126" s="1"/>
        <tr r="BB126" s="1"/>
      </tp>
      <tp>
        <v>184</v>
        <stp/>
        <stp>VOLUME</stp>
        <stp>.SPXW250606P5750</stp>
        <tr r="J113" s="2"/>
        <tr r="J113" s="2"/>
      </tp>
      <tp t="s">
        <v>N/A</v>
        <stp/>
        <stp>VOLUME</stp>
        <stp>.NDXP250829P20300</stp>
        <tr r="P180" s="2"/>
      </tp>
      <tp t="s">
        <v>N/A</v>
        <stp/>
        <stp>VOLUME</stp>
        <stp>.NDXP250829P21300</stp>
        <tr r="P140" s="2"/>
      </tp>
      <tp>
        <v>368</v>
        <stp/>
        <stp>VOLUME</stp>
        <stp>.NDXP250512P20800</stp>
        <tr r="BB159" s="1"/>
        <tr r="BB159" s="1"/>
      </tp>
      <tp>
        <v>308</v>
        <stp/>
        <stp>VOLUME</stp>
        <stp>.SPXW250512C5660</stp>
        <tr r="BA121" s="1"/>
        <tr r="BA121" s="1"/>
      </tp>
      <tp>
        <v>50</v>
        <stp/>
        <stp>VOLUME</stp>
        <stp>.SPXW250606C5720</stp>
        <tr r="J116" s="2"/>
        <tr r="J116" s="2"/>
      </tp>
      <tp>
        <v>5029</v>
        <stp/>
        <stp>VOLUME</stp>
        <stp>.SPXW250512P5660</stp>
        <tr r="BB121" s="1"/>
        <tr r="BB121" s="1"/>
      </tp>
      <tp>
        <v>27</v>
        <stp/>
        <stp>VOLUME</stp>
        <stp>.SPXW250606P5720</stp>
        <tr r="J116" s="2"/>
        <tr r="J116" s="2"/>
      </tp>
      <tp t="s">
        <v>N/A</v>
        <stp/>
        <stp>VOLUME</stp>
        <stp>.NDXP251128P20200</stp>
        <tr r="V184" s="2"/>
      </tp>
      <tp t="s">
        <v>N/A</v>
        <stp/>
        <stp>VOLUME</stp>
        <stp>.NDXP251128P21200</stp>
        <tr r="V144" s="2"/>
      </tp>
      <tp>
        <v>367</v>
        <stp/>
        <stp>VOLUME</stp>
        <stp>.SPXW250512C5670</stp>
        <tr r="BA120" s="1"/>
        <tr r="BA120" s="1"/>
      </tp>
      <tp>
        <v>22</v>
        <stp/>
        <stp>VOLUME</stp>
        <stp>.SPXW250606C5730</stp>
        <tr r="J115" s="2"/>
        <tr r="J115" s="2"/>
      </tp>
      <tp>
        <v>6662</v>
        <stp/>
        <stp>VOLUME</stp>
        <stp>.SPXW250512P5670</stp>
        <tr r="BB120" s="1"/>
        <tr r="BB120" s="1"/>
      </tp>
      <tp>
        <v>79</v>
        <stp/>
        <stp>VOLUME</stp>
        <stp>.SPXW250606P5730</stp>
        <tr r="J115" s="2"/>
        <tr r="J115" s="2"/>
      </tp>
      <tp t="s">
        <v>N/A</v>
        <stp/>
        <stp>VOLUME</stp>
        <stp>.NDXP250829P20325</stp>
        <tr r="P179" s="2"/>
      </tp>
      <tp t="s">
        <v>N/A</v>
        <stp/>
        <stp>VOLUME</stp>
        <stp>.NDXP250829P21325</stp>
        <tr r="P139" s="2"/>
      </tp>
      <tp>
        <v>301</v>
        <stp/>
        <stp>VOLUME</stp>
        <stp>.NDXP250512P20825</stp>
        <tr r="BB158" s="1"/>
        <tr r="BB158" s="1"/>
      </tp>
      <tp>
        <v>59</v>
        <stp/>
        <stp>VOLUME</stp>
        <stp>.SPXW250512C5640</stp>
        <tr r="BA123" s="1"/>
        <tr r="BA123" s="1"/>
      </tp>
      <tp>
        <v>5</v>
        <stp/>
        <stp>VOLUME</stp>
        <stp>.SPXW250606C5700</stp>
        <tr r="J118" s="2"/>
        <tr r="J118" s="2"/>
      </tp>
      <tp>
        <v>3134</v>
        <stp/>
        <stp>VOLUME</stp>
        <stp>.SPXW250512P5640</stp>
        <tr r="BB123" s="1"/>
        <tr r="BB123" s="1"/>
      </tp>
      <tp>
        <v>106</v>
        <stp/>
        <stp>VOLUME</stp>
        <stp>.SPXW250606P5700</stp>
        <tr r="J118" s="2"/>
        <tr r="J118" s="2"/>
      </tp>
      <tp t="s">
        <v>N/A</v>
        <stp/>
        <stp>VOLUME</stp>
        <stp>.NDXP251128P20225</stp>
        <tr r="V183" s="2"/>
      </tp>
      <tp t="s">
        <v>N/A</v>
        <stp/>
        <stp>VOLUME</stp>
        <stp>.NDXP251128P21225</stp>
        <tr r="V143" s="2"/>
      </tp>
      <tp>
        <v>421</v>
        <stp/>
        <stp>VOLUME</stp>
        <stp>.SPXW250512C5650</stp>
        <tr r="BA122" s="1"/>
        <tr r="BA122" s="1"/>
      </tp>
      <tp t="s">
        <v>N/A</v>
        <stp/>
        <stp>VOLUME</stp>
        <stp>.SPXW250606C5710</stp>
        <tr r="J117" s="2"/>
      </tp>
      <tp>
        <v>8534</v>
        <stp/>
        <stp>VOLUME</stp>
        <stp>.SPXW250512P5650</stp>
        <tr r="BB122" s="1"/>
        <tr r="BB122" s="1"/>
      </tp>
      <tp t="s">
        <v>N/A</v>
        <stp/>
        <stp>VOLUME</stp>
        <stp>.SPXW250606P5710</stp>
        <tr r="J117" s="2"/>
      </tp>
      <tp>
        <v>29</v>
        <stp/>
        <stp>OPEN_INT</stp>
        <stp>.NDXP250512C21000</stp>
        <tr r="AS151" s="1"/>
        <tr r="AS151" s="1"/>
      </tp>
      <tp t="s">
        <v>N/A</v>
        <stp/>
        <stp>OPEN_INT</stp>
        <stp>.NDXP250512C21025</stp>
        <tr r="AS150" s="1"/>
      </tp>
      <tp>
        <v>17</v>
        <stp/>
        <stp>OPEN_INT</stp>
        <stp>.NDXP250512C21050</stp>
        <tr r="AS149" s="1"/>
        <tr r="AS149" s="1"/>
      </tp>
      <tp>
        <v>23</v>
        <stp/>
        <stp>OPEN_INT</stp>
        <stp>.NDXP250512C20050</stp>
        <tr r="AS189" s="1"/>
        <tr r="AS189" s="1"/>
      </tp>
      <tp t="s">
        <v>N/A</v>
        <stp/>
        <stp>OPEN_INT</stp>
        <stp>.NDXP250512C21075</stp>
        <tr r="AS148" s="1"/>
      </tp>
      <tp>
        <v>3</v>
        <stp/>
        <stp>OPEN_INT</stp>
        <stp>.NDXP250512C20075</stp>
        <tr r="AS188" s="1"/>
        <tr r="AS188" s="1"/>
      </tp>
      <tp t="s">
        <v>N/A</v>
        <stp/>
        <stp>OPEN_INT</stp>
        <stp>.NDXP250512P21025</stp>
        <tr r="AT150" s="1"/>
      </tp>
      <tp>
        <v>0</v>
        <stp/>
        <stp>OPEN_INT</stp>
        <stp>.NDXP250512P21000</stp>
        <tr r="AT151" s="1"/>
        <tr r="AT151" s="1"/>
      </tp>
      <tp t="s">
        <v>N/A</v>
        <stp/>
        <stp>OPEN_INT</stp>
        <stp>.NDXP250512P21075</stp>
        <tr r="AT148" s="1"/>
      </tp>
      <tp>
        <v>4</v>
        <stp/>
        <stp>OPEN_INT</stp>
        <stp>.NDXP250512P20075</stp>
        <tr r="AT188" s="1"/>
        <tr r="AT188" s="1"/>
      </tp>
      <tp>
        <v>0</v>
        <stp/>
        <stp>OPEN_INT</stp>
        <stp>.NDXP250512P21050</stp>
        <tr r="AT149" s="1"/>
        <tr r="AT149" s="1"/>
      </tp>
      <tp>
        <v>3</v>
        <stp/>
        <stp>OPEN_INT</stp>
        <stp>.NDXP250512P20050</stp>
        <tr r="AT189" s="1"/>
        <tr r="AT189" s="1"/>
      </tp>
      <tp t="s">
        <v>N/A</v>
        <stp/>
        <stp>VOLUME</stp>
        <stp>.NDXP250829C20275</stp>
        <tr r="P181" s="2"/>
      </tp>
      <tp t="s">
        <v>N/A</v>
        <stp/>
        <stp>VOLUME</stp>
        <stp>.NDXP250829C21275</stp>
        <tr r="P141" s="2"/>
      </tp>
      <tp>
        <v>130</v>
        <stp/>
        <stp>VOLUME</stp>
        <stp>.NDXP250512C20975</stp>
        <tr r="BA152" s="1"/>
        <tr r="BA152" s="1"/>
      </tp>
      <tp t="s">
        <v>N/A</v>
        <stp/>
        <stp>VOLUME</stp>
        <stp>.NDXP251128C20375</stp>
        <tr r="V177" s="2"/>
      </tp>
      <tp t="s">
        <v>N/A</v>
        <stp/>
        <stp>VOLUME</stp>
        <stp>.NDXP250829C20250</stp>
        <tr r="P182" s="2"/>
      </tp>
      <tp t="s">
        <v>N/A</v>
        <stp/>
        <stp>VOLUME</stp>
        <stp>.NDXP250829C21250</stp>
        <tr r="P142" s="2"/>
      </tp>
      <tp>
        <v>3612</v>
        <stp/>
        <stp>VOLUME</stp>
        <stp>.NDXP250512C20950</stp>
        <tr r="BA153" s="1"/>
        <tr r="BA153" s="1"/>
      </tp>
      <tp t="s">
        <v>N/A</v>
        <stp/>
        <stp>VOLUME</stp>
        <stp>.NDXP251128C20350</stp>
        <tr r="V178" s="2"/>
      </tp>
      <tp t="s">
        <v>N/A</v>
        <stp/>
        <stp>VOLUME</stp>
        <stp>.NDXP251128C21350</stp>
        <tr r="V138" s="2"/>
      </tp>
      <tp t="s">
        <v>N/A</v>
        <stp/>
        <stp>VOLUME</stp>
        <stp>.NDXP251128C20325</stp>
        <tr r="V179" s="2"/>
      </tp>
      <tp t="s">
        <v>N/A</v>
        <stp/>
        <stp>VOLUME</stp>
        <stp>.NDXP251128C21325</stp>
        <tr r="V139" s="2"/>
      </tp>
      <tp t="s">
        <v>N/A</v>
        <stp/>
        <stp>VOLUME</stp>
        <stp>.NDXP250829C20225</stp>
        <tr r="P183" s="2"/>
      </tp>
      <tp t="s">
        <v>N/A</v>
        <stp/>
        <stp>VOLUME</stp>
        <stp>.NDXP250829C21225</stp>
        <tr r="P143" s="2"/>
      </tp>
      <tp>
        <v>233</v>
        <stp/>
        <stp>VOLUME</stp>
        <stp>.NDXP250512C20925</stp>
        <tr r="BA154" s="1"/>
        <tr r="BA154" s="1"/>
      </tp>
      <tp t="s">
        <v>N/A</v>
        <stp/>
        <stp>VOLUME</stp>
        <stp>.NDXP251128C20300</stp>
        <tr r="V180" s="2"/>
      </tp>
      <tp t="s">
        <v>N/A</v>
        <stp/>
        <stp>VOLUME</stp>
        <stp>.NDXP251128C21300</stp>
        <tr r="V140" s="2"/>
      </tp>
      <tp t="s">
        <v>N/A</v>
        <stp/>
        <stp>VOLUME</stp>
        <stp>.NDXP250829C20200</stp>
        <tr r="P184" s="2"/>
      </tp>
      <tp t="s">
        <v>N/A</v>
        <stp/>
        <stp>VOLUME</stp>
        <stp>.NDXP250829C21200</stp>
        <tr r="P144" s="2"/>
      </tp>
      <tp>
        <v>1415</v>
        <stp/>
        <stp>VOLUME</stp>
        <stp>.NDXP250512C20900</stp>
        <tr r="BA155" s="1"/>
        <tr r="BA155" s="1"/>
      </tp>
      <tp t="s">
        <v>N/A</v>
        <stp/>
        <stp>VOLUME</stp>
        <stp>.SPXW250930C5580</stp>
        <tr r="R130" s="2"/>
      </tp>
      <tp t="s">
        <v>N/A</v>
        <stp/>
        <stp>VOLUME</stp>
        <stp>.SPXW250530C5580</stp>
        <tr r="I130" s="2"/>
      </tp>
      <tp t="s">
        <v>N/A</v>
        <stp/>
        <stp>VOLUME</stp>
        <stp>.SPXW250731C5590</stp>
        <tr r="N129" s="2"/>
      </tp>
      <tp t="s">
        <v>N/A</v>
        <stp/>
        <stp>VOLUME</stp>
        <stp>.SPXW250630C5580</stp>
        <tr r="L130" s="2"/>
      </tp>
      <tp t="s">
        <v>N/A</v>
        <stp/>
        <stp>VOLUME</stp>
        <stp>.SPXW251031C5590</stp>
        <tr r="T129" s="2"/>
      </tp>
      <tp>
        <v>2</v>
        <stp/>
        <stp>VOLUME</stp>
        <stp>.SPXW251231C5590</stp>
        <tr r="X129" s="2"/>
        <tr r="X129" s="2"/>
      </tp>
      <tp>
        <v>122</v>
        <stp/>
        <stp>VOLUME</stp>
        <stp>.SPXW251031P5590</stp>
        <tr r="T129" s="2"/>
        <tr r="T129" s="2"/>
      </tp>
      <tp t="s">
        <v>N/A</v>
        <stp/>
        <stp>VOLUME</stp>
        <stp>.SPXW251231P5590</stp>
        <tr r="X129" s="2"/>
      </tp>
      <tp t="s">
        <v>N/A</v>
        <stp/>
        <stp>VOLUME</stp>
        <stp>.SPXW250930P5580</stp>
        <tr r="R130" s="2"/>
      </tp>
      <tp>
        <v>164</v>
        <stp/>
        <stp>VOLUME</stp>
        <stp>.SPXW250530P5580</stp>
        <tr r="I130" s="2"/>
        <tr r="I130" s="2"/>
      </tp>
      <tp>
        <v>2</v>
        <stp/>
        <stp>VOLUME</stp>
        <stp>.SPXW250731P5590</stp>
        <tr r="N129" s="2"/>
        <tr r="N129" s="2"/>
      </tp>
      <tp t="s">
        <v>N/A</v>
        <stp/>
        <stp>VOLUME</stp>
        <stp>.SPXW250630P5580</stp>
        <tr r="L130" s="2"/>
      </tp>
      <tp>
        <v>3</v>
        <stp/>
        <stp>VOLUME</stp>
        <stp>.SPXW250930C5590</stp>
        <tr r="R129" s="2"/>
        <tr r="R129" s="2"/>
      </tp>
      <tp>
        <v>20</v>
        <stp/>
        <stp>VOLUME</stp>
        <stp>.SPXW250530C5590</stp>
        <tr r="I129" s="2"/>
        <tr r="I129" s="2"/>
      </tp>
      <tp t="s">
        <v>N/A</v>
        <stp/>
        <stp>VOLUME</stp>
        <stp>.SPXW250731C5580</stp>
        <tr r="N130" s="2"/>
      </tp>
      <tp t="s">
        <v>N/A</v>
        <stp/>
        <stp>VOLUME</stp>
        <stp>.SPXW250630C5590</stp>
        <tr r="L129" s="2"/>
      </tp>
      <tp t="s">
        <v>N/A</v>
        <stp/>
        <stp>VOLUME</stp>
        <stp>.SPXW251031C5580</stp>
        <tr r="T130" s="2"/>
      </tp>
      <tp t="s">
        <v>N/A</v>
        <stp/>
        <stp>VOLUME</stp>
        <stp>.SPXW251231C5580</stp>
        <tr r="X130" s="2"/>
      </tp>
      <tp>
        <v>20</v>
        <stp/>
        <stp>VOLUME</stp>
        <stp>.SPXW251031P5580</stp>
        <tr r="T130" s="2"/>
        <tr r="T130" s="2"/>
      </tp>
      <tp t="s">
        <v>N/A</v>
        <stp/>
        <stp>VOLUME</stp>
        <stp>.SPXW251231P5580</stp>
        <tr r="X130" s="2"/>
      </tp>
      <tp>
        <v>4</v>
        <stp/>
        <stp>VOLUME</stp>
        <stp>.SPXW250930P5590</stp>
        <tr r="R129" s="2"/>
        <tr r="R129" s="2"/>
      </tp>
      <tp>
        <v>17</v>
        <stp/>
        <stp>VOLUME</stp>
        <stp>.SPXW250530P5590</stp>
        <tr r="I129" s="2"/>
        <tr r="I129" s="2"/>
      </tp>
      <tp>
        <v>6</v>
        <stp/>
        <stp>VOLUME</stp>
        <stp>.SPXW250731P5580</stp>
        <tr r="N130" s="2"/>
        <tr r="N130" s="2"/>
      </tp>
      <tp>
        <v>3</v>
        <stp/>
        <stp>VOLUME</stp>
        <stp>.SPXW250630P5590</stp>
        <tr r="L129" s="2"/>
        <tr r="L129" s="2"/>
      </tp>
      <tp>
        <v>3393</v>
        <stp/>
        <stp>VOLUME</stp>
        <stp>.SPXW250512C5780</stp>
        <tr r="BA109" s="1"/>
        <tr r="BA109" s="1"/>
      </tp>
      <tp>
        <v>27817</v>
        <stp/>
        <stp>VOLUME</stp>
        <stp>.SPXW250512P5780</stp>
        <tr r="BB109" s="1"/>
        <tr r="BB109" s="1"/>
      </tp>
      <tp>
        <v>5185</v>
        <stp/>
        <stp>VOLUME</stp>
        <stp>.SPXW250512C5790</stp>
        <tr r="BA108" s="1"/>
        <tr r="BA108" s="1"/>
      </tp>
      <tp>
        <v>37403</v>
        <stp/>
        <stp>VOLUME</stp>
        <stp>.SPXW250512P5790</stp>
        <tr r="BB108" s="1"/>
        <tr r="BB108" s="1"/>
      </tp>
      <tp t="s">
        <v>N/A</v>
        <stp/>
        <stp>VOLUME</stp>
        <stp>.SPXW250606C5680</stp>
        <tr r="J120" s="2"/>
      </tp>
      <tp>
        <v>515</v>
        <stp/>
        <stp>VOLUME</stp>
        <stp>.SPXW250606P5680</stp>
        <tr r="J120" s="2"/>
        <tr r="J120" s="2"/>
      </tp>
      <tp>
        <v>4</v>
        <stp/>
        <stp>VOLUME</stp>
        <stp>.SPXW250606C5690</stp>
        <tr r="J119" s="2"/>
        <tr r="J119" s="2"/>
      </tp>
      <tp>
        <v>236</v>
        <stp/>
        <stp>VOLUME</stp>
        <stp>.SPXW250606P5690</stp>
        <tr r="J119" s="2"/>
        <tr r="J119" s="2"/>
      </tp>
      <tp t="s">
        <v>N/A</v>
        <stp/>
        <stp>VOLUME</stp>
        <stp>.NDXP251128P20350</stp>
        <tr r="V178" s="2"/>
      </tp>
      <tp t="s">
        <v>N/A</v>
        <stp/>
        <stp>VOLUME</stp>
        <stp>.NDXP251128P21350</stp>
        <tr r="V138" s="2"/>
      </tp>
      <tp>
        <v>1119</v>
        <stp/>
        <stp>VOLUME</stp>
        <stp>.SPXW250512C5720</stp>
        <tr r="BA115" s="1"/>
        <tr r="BA115" s="1"/>
      </tp>
      <tp>
        <v>2</v>
        <stp/>
        <stp>VOLUME</stp>
        <stp>.SPXW250606C5660</stp>
        <tr r="J122" s="2"/>
        <tr r="J122" s="2"/>
      </tp>
      <tp>
        <v>13004</v>
        <stp/>
        <stp>VOLUME</stp>
        <stp>.SPXW250512P5720</stp>
        <tr r="BB115" s="1"/>
        <tr r="BB115" s="1"/>
      </tp>
      <tp>
        <v>15</v>
        <stp/>
        <stp>VOLUME</stp>
        <stp>.SPXW250606P5660</stp>
        <tr r="J122" s="2"/>
        <tr r="J122" s="2"/>
      </tp>
      <tp t="s">
        <v>N/A</v>
        <stp/>
        <stp>VOLUME</stp>
        <stp>.NDXP250829P20250</stp>
        <tr r="P182" s="2"/>
      </tp>
      <tp t="s">
        <v>N/A</v>
        <stp/>
        <stp>VOLUME</stp>
        <stp>.NDXP250829P21250</stp>
        <tr r="P142" s="2"/>
      </tp>
      <tp>
        <v>3</v>
        <stp/>
        <stp>VOLUME</stp>
        <stp>.NDXP250512P20950</stp>
        <tr r="BB153" s="1"/>
        <tr r="BB153" s="1"/>
      </tp>
      <tp>
        <v>1116</v>
        <stp/>
        <stp>VOLUME</stp>
        <stp>.SPXW250512C5730</stp>
        <tr r="BA114" s="1"/>
        <tr r="BA114" s="1"/>
      </tp>
      <tp>
        <v>4</v>
        <stp/>
        <stp>VOLUME</stp>
        <stp>.SPXW250606C5670</stp>
        <tr r="J121" s="2"/>
        <tr r="J121" s="2"/>
      </tp>
      <tp>
        <v>21963</v>
        <stp/>
        <stp>VOLUME</stp>
        <stp>.SPXW250512P5730</stp>
        <tr r="BB114" s="1"/>
        <tr r="BB114" s="1"/>
      </tp>
      <tp>
        <v>58</v>
        <stp/>
        <stp>VOLUME</stp>
        <stp>.SPXW250606P5670</stp>
        <tr r="J121" s="2"/>
        <tr r="J121" s="2"/>
      </tp>
      <tp t="s">
        <v>N/A</v>
        <stp/>
        <stp>VOLUME</stp>
        <stp>.NDXP251128P20375</stp>
        <tr r="V177" s="2"/>
      </tp>
      <tp>
        <v>3060</v>
        <stp/>
        <stp>VOLUME</stp>
        <stp>.SPXW250512C5700</stp>
        <tr r="BA117" s="1"/>
        <tr r="BA117" s="1"/>
      </tp>
      <tp t="s">
        <v>N/A</v>
        <stp/>
        <stp>VOLUME</stp>
        <stp>.SPXW250606C5640</stp>
        <tr r="J124" s="2"/>
      </tp>
      <tp>
        <v>18568</v>
        <stp/>
        <stp>VOLUME</stp>
        <stp>.SPXW250512P5700</stp>
        <tr r="BB117" s="1"/>
        <tr r="BB117" s="1"/>
      </tp>
      <tp>
        <v>26</v>
        <stp/>
        <stp>VOLUME</stp>
        <stp>.SPXW250606P5640</stp>
        <tr r="J124" s="2"/>
        <tr r="J124" s="2"/>
      </tp>
      <tp t="s">
        <v>N/A</v>
        <stp/>
        <stp>VOLUME</stp>
        <stp>.NDXP250829P20275</stp>
        <tr r="P181" s="2"/>
      </tp>
      <tp t="s">
        <v>N/A</v>
        <stp/>
        <stp>VOLUME</stp>
        <stp>.NDXP250829P21275</stp>
        <tr r="P141" s="2"/>
      </tp>
      <tp t="s">
        <v>N/A</v>
        <stp/>
        <stp>VOLUME</stp>
        <stp>.NDXP250512P20975</stp>
        <tr r="BB152" s="1"/>
      </tp>
      <tp>
        <v>1390</v>
        <stp/>
        <stp>VOLUME</stp>
        <stp>.SPXW250512C5710</stp>
        <tr r="BA116" s="1"/>
        <tr r="BA116" s="1"/>
      </tp>
      <tp>
        <v>38</v>
        <stp/>
        <stp>VOLUME</stp>
        <stp>.SPXW250606C5650</stp>
        <tr r="J123" s="2"/>
        <tr r="J123" s="2"/>
      </tp>
      <tp>
        <v>8206</v>
        <stp/>
        <stp>VOLUME</stp>
        <stp>.SPXW250512P5710</stp>
        <tr r="BB116" s="1"/>
        <tr r="BB116" s="1"/>
      </tp>
      <tp>
        <v>61</v>
        <stp/>
        <stp>VOLUME</stp>
        <stp>.SPXW250606P5650</stp>
        <tr r="J123" s="2"/>
        <tr r="J123" s="2"/>
      </tp>
      <tp t="s">
        <v>N/A</v>
        <stp/>
        <stp>VOLUME</stp>
        <stp>.NDXP250829P20200</stp>
        <tr r="P184" s="2"/>
      </tp>
      <tp t="s">
        <v>N/A</v>
        <stp/>
        <stp>VOLUME</stp>
        <stp>.NDXP250829P21200</stp>
        <tr r="P144" s="2"/>
      </tp>
      <tp>
        <v>11</v>
        <stp/>
        <stp>VOLUME</stp>
        <stp>.NDXP250512P20900</stp>
        <tr r="BB155" s="1"/>
        <tr r="BB155" s="1"/>
      </tp>
      <tp>
        <v>2476</v>
        <stp/>
        <stp>VOLUME</stp>
        <stp>.SPXW250512C5760</stp>
        <tr r="BA111" s="1"/>
        <tr r="BA111" s="1"/>
      </tp>
      <tp>
        <v>4</v>
        <stp/>
        <stp>VOLUME</stp>
        <stp>.SPXW250606C5620</stp>
        <tr r="J126" s="2"/>
        <tr r="J126" s="2"/>
      </tp>
      <tp>
        <v>24164</v>
        <stp/>
        <stp>VOLUME</stp>
        <stp>.SPXW250512P5760</stp>
        <tr r="BB111" s="1"/>
        <tr r="BB111" s="1"/>
      </tp>
      <tp>
        <v>9</v>
        <stp/>
        <stp>VOLUME</stp>
        <stp>.SPXW250606P5620</stp>
        <tr r="J126" s="2"/>
        <tr r="J126" s="2"/>
      </tp>
      <tp t="s">
        <v>N/A</v>
        <stp/>
        <stp>VOLUME</stp>
        <stp>.NDXP251128P20300</stp>
        <tr r="V180" s="2"/>
      </tp>
      <tp t="s">
        <v>N/A</v>
        <stp/>
        <stp>VOLUME</stp>
        <stp>.NDXP251128P21300</stp>
        <tr r="V140" s="2"/>
      </tp>
      <tp>
        <v>2215</v>
        <stp/>
        <stp>VOLUME</stp>
        <stp>.SPXW250512C5770</stp>
        <tr r="BA110" s="1"/>
        <tr r="BA110" s="1"/>
      </tp>
      <tp>
        <v>5</v>
        <stp/>
        <stp>VOLUME</stp>
        <stp>.SPXW250606C5630</stp>
        <tr r="J125" s="2"/>
        <tr r="J125" s="2"/>
      </tp>
      <tp>
        <v>31889</v>
        <stp/>
        <stp>VOLUME</stp>
        <stp>.SPXW250512P5770</stp>
        <tr r="BB110" s="1"/>
        <tr r="BB110" s="1"/>
      </tp>
      <tp>
        <v>4</v>
        <stp/>
        <stp>VOLUME</stp>
        <stp>.SPXW250606P5630</stp>
        <tr r="J125" s="2"/>
        <tr r="J125" s="2"/>
      </tp>
      <tp t="s">
        <v>N/A</v>
        <stp/>
        <stp>VOLUME</stp>
        <stp>.NDXP250829P20225</stp>
        <tr r="P183" s="2"/>
      </tp>
      <tp t="s">
        <v>N/A</v>
        <stp/>
        <stp>VOLUME</stp>
        <stp>.NDXP250829P21225</stp>
        <tr r="P143" s="2"/>
      </tp>
      <tp>
        <v>2</v>
        <stp/>
        <stp>VOLUME</stp>
        <stp>.NDXP250512P20925</stp>
        <tr r="BB154" s="1"/>
        <tr r="BB154" s="1"/>
      </tp>
      <tp>
        <v>1358</v>
        <stp/>
        <stp>VOLUME</stp>
        <stp>.SPXW250512C5740</stp>
        <tr r="BA113" s="1"/>
        <tr r="BA113" s="1"/>
      </tp>
      <tp t="s">
        <v>N/A</v>
        <stp/>
        <stp>VOLUME</stp>
        <stp>.SPXW250731C5570</stp>
        <tr r="N131" s="2"/>
      </tp>
      <tp>
        <v>30</v>
        <stp/>
        <stp>VOLUME</stp>
        <stp>.SPXW250606C5600</stp>
        <tr r="J128" s="2"/>
        <tr r="J128" s="2"/>
      </tp>
      <tp t="s">
        <v>N/A</v>
        <stp/>
        <stp>VOLUME</stp>
        <stp>.SPXW251031C5570</stp>
        <tr r="T131" s="2"/>
      </tp>
      <tp t="s">
        <v>N/A</v>
        <stp/>
        <stp>VOLUME</stp>
        <stp>.SPXW251231C5570</stp>
        <tr r="X131" s="2"/>
      </tp>
      <tp t="s">
        <v>N/A</v>
        <stp/>
        <stp>VOLUME</stp>
        <stp>.SPXW251031P5570</stp>
        <tr r="T131" s="2"/>
      </tp>
      <tp t="s">
        <v>N/A</v>
        <stp/>
        <stp>VOLUME</stp>
        <stp>.SPXW251231P5570</stp>
        <tr r="X131" s="2"/>
      </tp>
      <tp>
        <v>19182</v>
        <stp/>
        <stp>VOLUME</stp>
        <stp>.SPXW250512P5740</stp>
        <tr r="BB113" s="1"/>
        <tr r="BB113" s="1"/>
      </tp>
      <tp>
        <v>2</v>
        <stp/>
        <stp>VOLUME</stp>
        <stp>.SPXW250731P5570</stp>
        <tr r="N131" s="2"/>
        <tr r="N131" s="2"/>
      </tp>
      <tp>
        <v>246</v>
        <stp/>
        <stp>VOLUME</stp>
        <stp>.SPXW250606P5600</stp>
        <tr r="J128" s="2"/>
        <tr r="J128" s="2"/>
      </tp>
      <tp t="s">
        <v>N/A</v>
        <stp/>
        <stp>VOLUME</stp>
        <stp>.NDXP251128P20325</stp>
        <tr r="V179" s="2"/>
      </tp>
      <tp t="s">
        <v>N/A</v>
        <stp/>
        <stp>VOLUME</stp>
        <stp>.NDXP251128P21325</stp>
        <tr r="V139" s="2"/>
      </tp>
      <tp t="s">
        <v>N/A</v>
        <stp/>
        <stp>VOLUME</stp>
        <stp>.SPXW250930C5570</stp>
        <tr r="R131" s="2"/>
      </tp>
      <tp>
        <v>2464</v>
        <stp/>
        <stp>VOLUME</stp>
        <stp>.SPXW250512C5750</stp>
        <tr r="BA112" s="1"/>
        <tr r="BA112" s="1"/>
      </tp>
      <tp>
        <v>1</v>
        <stp/>
        <stp>VOLUME</stp>
        <stp>.SPXW250530C5570</stp>
        <tr r="I131" s="2"/>
        <tr r="I131" s="2"/>
      </tp>
      <tp t="s">
        <v>N/A</v>
        <stp/>
        <stp>VOLUME</stp>
        <stp>.SPXW250606C5610</stp>
        <tr r="J127" s="2"/>
      </tp>
      <tp t="s">
        <v>N/A</v>
        <stp/>
        <stp>VOLUME</stp>
        <stp>.SPXW250630C5570</stp>
        <tr r="L131" s="2"/>
      </tp>
      <tp t="s">
        <v>N/A</v>
        <stp/>
        <stp>VOLUME</stp>
        <stp>.SPXW250930P5570</stp>
        <tr r="R131" s="2"/>
      </tp>
      <tp>
        <v>42538</v>
        <stp/>
        <stp>VOLUME</stp>
        <stp>.SPXW250512P5750</stp>
        <tr r="BB112" s="1"/>
        <tr r="BB112" s="1"/>
      </tp>
      <tp>
        <v>44</v>
        <stp/>
        <stp>VOLUME</stp>
        <stp>.SPXW250530P5570</stp>
        <tr r="I131" s="2"/>
        <tr r="I131" s="2"/>
      </tp>
      <tp t="s">
        <v>N/A</v>
        <stp/>
        <stp>VOLUME</stp>
        <stp>.SPXW250606P5610</stp>
        <tr r="J127" s="2"/>
      </tp>
      <tp t="s">
        <v>N/A</v>
        <stp/>
        <stp>VOLUME</stp>
        <stp>.SPXW250630P5570</stp>
        <tr r="L131" s="2"/>
      </tp>
      <tp>
        <v>-0.08</v>
        <stp/>
        <stp>DELTA</stp>
        <stp>.NDXP250512P20525</stp>
        <tr r="CE170" s="1"/>
        <tr r="CE170" s="1"/>
      </tp>
      <tp>
        <v>-0.01</v>
        <stp/>
        <stp>DELTA</stp>
        <stp>.NDXP250512P20500</stp>
        <tr r="CE171" s="1"/>
        <tr r="CE171" s="1"/>
      </tp>
      <tp>
        <v>-0.09</v>
        <stp/>
        <stp>DELTA</stp>
        <stp>.NDXP250512P20575</stp>
        <tr r="CE168" s="1"/>
        <tr r="CE168" s="1"/>
      </tp>
      <tp>
        <v>-0.09</v>
        <stp/>
        <stp>DELTA</stp>
        <stp>.NDXP250512P20550</stp>
        <tr r="CE169" s="1"/>
        <tr r="CE169" s="1"/>
      </tp>
      <tp>
        <v>1</v>
        <stp/>
        <stp>DELTA</stp>
        <stp>.NDXP250512C20500</stp>
        <tr r="CD171" s="1"/>
        <tr r="CD171" s="1"/>
      </tp>
      <tp>
        <v>1</v>
        <stp/>
        <stp>DELTA</stp>
        <stp>.NDXP250512C20525</stp>
        <tr r="CD170" s="1"/>
        <tr r="CD170" s="1"/>
      </tp>
      <tp>
        <v>1</v>
        <stp/>
        <stp>DELTA</stp>
        <stp>.NDXP250512C20550</stp>
        <tr r="CD169" s="1"/>
        <tr r="CD169" s="1"/>
      </tp>
      <tp>
        <v>1</v>
        <stp/>
        <stp>DELTA</stp>
        <stp>.NDXP250512C20575</stp>
        <tr r="CD168" s="1"/>
        <tr r="CD168" s="1"/>
      </tp>
      <tp t="s">
        <v>N/A</v>
        <stp/>
        <stp>VOLUME</stp>
        <stp>.NDXP250930C20475</stp>
        <tr r="R173" s="2"/>
      </tp>
      <tp>
        <v>42</v>
        <stp/>
        <stp>VOLUME</stp>
        <stp>.NDXP250512C20675</stp>
        <tr r="BA164" s="1"/>
        <tr r="BA164" s="1"/>
      </tp>
      <tp t="s">
        <v>N/A</v>
        <stp/>
        <stp>VOLUME</stp>
        <stp>.NDXP250530C20475</stp>
        <tr r="I173" s="2"/>
      </tp>
      <tp t="s">
        <v>N/A</v>
        <stp/>
        <stp>VOLUME</stp>
        <stp>.NDXP250606C20275</stp>
        <tr r="J181" s="2"/>
      </tp>
      <tp t="s">
        <v>N/A</v>
        <stp/>
        <stp>VOLUME</stp>
        <stp>.NDXP250606C21275</stp>
        <tr r="J141" s="2"/>
      </tp>
      <tp t="s">
        <v>N/A</v>
        <stp/>
        <stp>VOLUME</stp>
        <stp>.NDXP250630C20475</stp>
        <tr r="L173" s="2"/>
      </tp>
      <tp t="s">
        <v>N/A</v>
        <stp/>
        <stp>VOLUME</stp>
        <stp>.NDXP250731C20575</stp>
        <tr r="N169" s="2"/>
      </tp>
      <tp t="s">
        <v>N/A</v>
        <stp/>
        <stp>VOLUME</stp>
        <stp>.NDXP251031C20575</stp>
        <tr r="T169" s="2"/>
      </tp>
      <tp t="s">
        <v>N/A</v>
        <stp/>
        <stp>VOLUME</stp>
        <stp>.NDXP251231C20575</stp>
        <tr r="X169" s="2"/>
      </tp>
      <tp t="s">
        <v>N/A</v>
        <stp/>
        <stp>VOLUME</stp>
        <stp>.NDXP250930C20450</stp>
        <tr r="R174" s="2"/>
      </tp>
      <tp>
        <v>99</v>
        <stp/>
        <stp>VOLUME</stp>
        <stp>.NDXP250512C20650</stp>
        <tr r="BA165" s="1"/>
        <tr r="BA165" s="1"/>
      </tp>
      <tp t="s">
        <v>N/A</v>
        <stp/>
        <stp>VOLUME</stp>
        <stp>.NDXP250530C20450</stp>
        <tr r="I174" s="2"/>
      </tp>
      <tp t="s">
        <v>N/A</v>
        <stp/>
        <stp>VOLUME</stp>
        <stp>.NDXP250731C20550</stp>
        <tr r="N170" s="2"/>
      </tp>
      <tp t="s">
        <v>N/A</v>
        <stp/>
        <stp>VOLUME</stp>
        <stp>.NDXP250606C20250</stp>
        <tr r="J182" s="2"/>
      </tp>
      <tp t="s">
        <v>N/A</v>
        <stp/>
        <stp>VOLUME</stp>
        <stp>.NDXP250606C21250</stp>
        <tr r="J142" s="2"/>
      </tp>
      <tp t="s">
        <v>N/A</v>
        <stp/>
        <stp>VOLUME</stp>
        <stp>.NDXP250630C20450</stp>
        <tr r="L174" s="2"/>
      </tp>
      <tp t="s">
        <v>N/A</v>
        <stp/>
        <stp>VOLUME</stp>
        <stp>.NDXP251031C20550</stp>
        <tr r="T170" s="2"/>
      </tp>
      <tp t="s">
        <v>N/A</v>
        <stp/>
        <stp>VOLUME</stp>
        <stp>.NDXP251231C20550</stp>
        <tr r="X170" s="2"/>
      </tp>
      <tp t="s">
        <v>N/A</v>
        <stp/>
        <stp>VOLUME</stp>
        <stp>.NDXP251031C20525</stp>
        <tr r="T171" s="2"/>
      </tp>
      <tp t="s">
        <v>N/A</v>
        <stp/>
        <stp>VOLUME</stp>
        <stp>.NDXP251231C20525</stp>
        <tr r="X171" s="2"/>
      </tp>
      <tp t="s">
        <v>N/A</v>
        <stp/>
        <stp>VOLUME</stp>
        <stp>.NDXP250930C20425</stp>
        <tr r="R175" s="2"/>
      </tp>
      <tp>
        <v>8</v>
        <stp/>
        <stp>VOLUME</stp>
        <stp>.NDXP250512C20625</stp>
        <tr r="BA166" s="1"/>
        <tr r="BA166" s="1"/>
      </tp>
      <tp>
        <v>1</v>
        <stp/>
        <stp>VOLUME</stp>
        <stp>.NDXP250530C20425</stp>
        <tr r="I175" s="2"/>
        <tr r="I175" s="2"/>
      </tp>
      <tp>
        <v>1</v>
        <stp/>
        <stp>VOLUME</stp>
        <stp>.NDXP250606C20225</stp>
        <tr r="J183" s="2"/>
        <tr r="J183" s="2"/>
      </tp>
      <tp t="s">
        <v>N/A</v>
        <stp/>
        <stp>VOLUME</stp>
        <stp>.NDXP250606C21225</stp>
        <tr r="J143" s="2"/>
      </tp>
      <tp t="s">
        <v>N/A</v>
        <stp/>
        <stp>VOLUME</stp>
        <stp>.NDXP250630C20425</stp>
        <tr r="L175" s="2"/>
      </tp>
      <tp t="s">
        <v>N/A</v>
        <stp/>
        <stp>VOLUME</stp>
        <stp>.NDXP250731C20525</stp>
        <tr r="N171" s="2"/>
      </tp>
      <tp t="s">
        <v>N/A</v>
        <stp/>
        <stp>VOLUME</stp>
        <stp>.NDXP251031C20500</stp>
        <tr r="T172" s="2"/>
      </tp>
      <tp t="s">
        <v>N/A</v>
        <stp/>
        <stp>VOLUME</stp>
        <stp>.NDXP251231C20500</stp>
        <tr r="X172" s="2"/>
      </tp>
      <tp t="s">
        <v>N/A</v>
        <stp/>
        <stp>VOLUME</stp>
        <stp>.NDXP250930C20400</stp>
        <tr r="R176" s="2"/>
      </tp>
      <tp>
        <v>20</v>
        <stp/>
        <stp>VOLUME</stp>
        <stp>.NDXP250512C20600</stp>
        <tr r="BA167" s="1"/>
        <tr r="BA167" s="1"/>
      </tp>
      <tp>
        <v>1</v>
        <stp/>
        <stp>VOLUME</stp>
        <stp>.NDXP250530C20400</stp>
        <tr r="I176" s="2"/>
        <tr r="I176" s="2"/>
      </tp>
      <tp t="s">
        <v>N/A</v>
        <stp/>
        <stp>VOLUME</stp>
        <stp>.NDXP250731C20500</stp>
        <tr r="N172" s="2"/>
      </tp>
      <tp t="s">
        <v>N/A</v>
        <stp/>
        <stp>VOLUME</stp>
        <stp>.NDXP250606C20200</stp>
        <tr r="J184" s="2"/>
      </tp>
      <tp t="s">
        <v>N/A</v>
        <stp/>
        <stp>VOLUME</stp>
        <stp>.NDXP250606C21200</stp>
        <tr r="J144" s="2"/>
      </tp>
      <tp t="s">
        <v>N/A</v>
        <stp/>
        <stp>VOLUME</stp>
        <stp>.NDXP250630C20400</stp>
        <tr r="L176" s="2"/>
      </tp>
      <tp>
        <v>29068</v>
        <stp/>
        <stp>VOLUME</stp>
        <stp>.SPXW250512C5880</stp>
        <tr r="BA99" s="1"/>
        <tr r="BA99" s="1"/>
      </tp>
      <tp>
        <v>525</v>
        <stp/>
        <stp>VOLUME</stp>
        <stp>.SPXW250512P5880</stp>
        <tr r="BB99" s="1"/>
        <tr r="BB99" s="1"/>
      </tp>
      <tp>
        <v>21882</v>
        <stp/>
        <stp>VOLUME</stp>
        <stp>.SPXW250512C5890</stp>
        <tr r="BA98" s="1"/>
        <tr r="BA98" s="1"/>
      </tp>
      <tp>
        <v>244</v>
        <stp/>
        <stp>VOLUME</stp>
        <stp>.SPXW250512P5890</stp>
        <tr r="BB98" s="1"/>
        <tr r="BB98" s="1"/>
      </tp>
      <tp t="s">
        <v>N/A</v>
        <stp/>
        <stp>VOLUME</stp>
        <stp>.SPXW250606C5980</stp>
        <tr r="J90" s="2"/>
      </tp>
      <tp t="s">
        <v>N/A</v>
        <stp/>
        <stp>VOLUME</stp>
        <stp>.SPXW250606P5980</stp>
        <tr r="J90" s="2"/>
      </tp>
      <tp t="s">
        <v>N/A</v>
        <stp/>
        <stp>VOLUME</stp>
        <stp>.SPXW250606C5990</stp>
        <tr r="J89" s="2"/>
      </tp>
      <tp t="s">
        <v>N/A</v>
        <stp/>
        <stp>VOLUME</stp>
        <stp>.SPXW250606P5990</stp>
        <tr r="J89" s="2"/>
      </tp>
      <tp t="s">
        <v>N/A</v>
        <stp/>
        <stp>VOLUME</stp>
        <stp>.NDXP251031P20550</stp>
        <tr r="T170" s="2"/>
      </tp>
      <tp t="s">
        <v>N/A</v>
        <stp/>
        <stp>VOLUME</stp>
        <stp>.NDXP251231P20550</stp>
        <tr r="X170" s="2"/>
      </tp>
      <tp>
        <v>46744</v>
        <stp/>
        <stp>VOLUME</stp>
        <stp>.SPXW250512C5820</stp>
        <tr r="BA105" s="1"/>
        <tr r="BA105" s="1"/>
      </tp>
      <tp t="s">
        <v>N/A</v>
        <stp/>
        <stp>VOLUME</stp>
        <stp>.SPXW250606C5960</stp>
        <tr r="J92" s="2"/>
      </tp>
      <tp>
        <v>68845</v>
        <stp/>
        <stp>VOLUME</stp>
        <stp>.SPXW250512P5820</stp>
        <tr r="BB105" s="1"/>
        <tr r="BB105" s="1"/>
      </tp>
      <tp t="s">
        <v>N/A</v>
        <stp/>
        <stp>VOLUME</stp>
        <stp>.SPXW250606P5960</stp>
        <tr r="J92" s="2"/>
      </tp>
      <tp t="s">
        <v>N/A</v>
        <stp/>
        <stp>VOLUME</stp>
        <stp>.NDXP250930P20450</stp>
        <tr r="R174" s="2"/>
      </tp>
      <tp>
        <v>382</v>
        <stp/>
        <stp>VOLUME</stp>
        <stp>.NDXP250512P20650</stp>
        <tr r="BB165" s="1"/>
        <tr r="BB165" s="1"/>
      </tp>
      <tp t="s">
        <v>N/A</v>
        <stp/>
        <stp>VOLUME</stp>
        <stp>.NDXP250530P20450</stp>
        <tr r="I174" s="2"/>
      </tp>
      <tp t="s">
        <v>N/A</v>
        <stp/>
        <stp>VOLUME</stp>
        <stp>.NDXP250731P20550</stp>
        <tr r="N170" s="2"/>
      </tp>
      <tp t="s">
        <v>N/A</v>
        <stp/>
        <stp>VOLUME</stp>
        <stp>.NDXP250606P20250</stp>
        <tr r="J182" s="2"/>
      </tp>
      <tp t="s">
        <v>N/A</v>
        <stp/>
        <stp>VOLUME</stp>
        <stp>.NDXP250606P21250</stp>
        <tr r="J142" s="2"/>
      </tp>
      <tp t="s">
        <v>N/A</v>
        <stp/>
        <stp>VOLUME</stp>
        <stp>.NDXP250630P20450</stp>
        <tr r="L174" s="2"/>
      </tp>
      <tp>
        <v>89976</v>
        <stp/>
        <stp>VOLUME</stp>
        <stp>.SPXW250512C5830</stp>
        <tr r="BA104" s="1"/>
        <tr r="BA104" s="1"/>
      </tp>
      <tp t="s">
        <v>N/A</v>
        <stp/>
        <stp>VOLUME</stp>
        <stp>.SPXW250606C5970</stp>
        <tr r="J91" s="2"/>
      </tp>
      <tp>
        <v>71716</v>
        <stp/>
        <stp>VOLUME</stp>
        <stp>.SPXW250512P5830</stp>
        <tr r="BB104" s="1"/>
        <tr r="BB104" s="1"/>
      </tp>
      <tp t="s">
        <v>N/A</v>
        <stp/>
        <stp>VOLUME</stp>
        <stp>.SPXW250606P5970</stp>
        <tr r="J91" s="2"/>
      </tp>
      <tp t="s">
        <v>N/A</v>
        <stp/>
        <stp>VOLUME</stp>
        <stp>.NDXP251031P20575</stp>
        <tr r="T169" s="2"/>
      </tp>
      <tp t="s">
        <v>N/A</v>
        <stp/>
        <stp>VOLUME</stp>
        <stp>.NDXP251231P20575</stp>
        <tr r="X169" s="2"/>
      </tp>
      <tp>
        <v>28439</v>
        <stp/>
        <stp>VOLUME</stp>
        <stp>.SPXW250512C5800</stp>
        <tr r="BA107" s="1"/>
        <tr r="BA107" s="1"/>
      </tp>
      <tp>
        <v>9</v>
        <stp/>
        <stp>VOLUME</stp>
        <stp>.SPXW250606C5940</stp>
        <tr r="J94" s="2"/>
        <tr r="J94" s="2"/>
      </tp>
      <tp>
        <v>70571</v>
        <stp/>
        <stp>VOLUME</stp>
        <stp>.SPXW250512P5800</stp>
        <tr r="BB107" s="1"/>
        <tr r="BB107" s="1"/>
      </tp>
      <tp t="s">
        <v>N/A</v>
        <stp/>
        <stp>VOLUME</stp>
        <stp>.SPXW250606P5940</stp>
        <tr r="J94" s="2"/>
      </tp>
      <tp t="s">
        <v>N/A</v>
        <stp/>
        <stp>VOLUME</stp>
        <stp>.NDXP250930P20475</stp>
        <tr r="R173" s="2"/>
      </tp>
      <tp>
        <v>114</v>
        <stp/>
        <stp>VOLUME</stp>
        <stp>.NDXP250512P20675</stp>
        <tr r="BB164" s="1"/>
        <tr r="BB164" s="1"/>
      </tp>
      <tp t="s">
        <v>N/A</v>
        <stp/>
        <stp>VOLUME</stp>
        <stp>.NDXP250530P20475</stp>
        <tr r="I173" s="2"/>
      </tp>
      <tp t="s">
        <v>N/A</v>
        <stp/>
        <stp>VOLUME</stp>
        <stp>.NDXP250606P20275</stp>
        <tr r="J181" s="2"/>
      </tp>
      <tp t="s">
        <v>N/A</v>
        <stp/>
        <stp>VOLUME</stp>
        <stp>.NDXP250606P21275</stp>
        <tr r="J141" s="2"/>
      </tp>
      <tp t="s">
        <v>N/A</v>
        <stp/>
        <stp>VOLUME</stp>
        <stp>.NDXP250630P20475</stp>
        <tr r="L173" s="2"/>
      </tp>
      <tp t="s">
        <v>N/A</v>
        <stp/>
        <stp>VOLUME</stp>
        <stp>.NDXP250731P20575</stp>
        <tr r="N169" s="2"/>
      </tp>
      <tp>
        <v>34206</v>
        <stp/>
        <stp>VOLUME</stp>
        <stp>.SPXW250512C5810</stp>
        <tr r="BA106" s="1"/>
        <tr r="BA106" s="1"/>
      </tp>
      <tp>
        <v>362</v>
        <stp/>
        <stp>VOLUME</stp>
        <stp>.SPXW250606C5950</stp>
        <tr r="J93" s="2"/>
        <tr r="J93" s="2"/>
      </tp>
      <tp>
        <v>50722</v>
        <stp/>
        <stp>VOLUME</stp>
        <stp>.SPXW250512P5810</stp>
        <tr r="BB106" s="1"/>
        <tr r="BB106" s="1"/>
      </tp>
      <tp>
        <v>1</v>
        <stp/>
        <stp>VOLUME</stp>
        <stp>.SPXW250606P5950</stp>
        <tr r="J93" s="2"/>
        <tr r="J93" s="2"/>
      </tp>
      <tp t="s">
        <v>N/A</v>
        <stp/>
        <stp>VOLUME</stp>
        <stp>.NDXP250930P20400</stp>
        <tr r="R176" s="2"/>
      </tp>
      <tp>
        <v>523</v>
        <stp/>
        <stp>VOLUME</stp>
        <stp>.NDXP250512P20600</stp>
        <tr r="BB167" s="1"/>
        <tr r="BB167" s="1"/>
      </tp>
      <tp>
        <v>1</v>
        <stp/>
        <stp>VOLUME</stp>
        <stp>.NDXP250530P20400</stp>
        <tr r="I176" s="2"/>
        <tr r="I176" s="2"/>
      </tp>
      <tp t="s">
        <v>N/A</v>
        <stp/>
        <stp>VOLUME</stp>
        <stp>.NDXP250731P20500</stp>
        <tr r="N172" s="2"/>
      </tp>
      <tp>
        <v>2</v>
        <stp/>
        <stp>VOLUME</stp>
        <stp>.NDXP250606P20200</stp>
        <tr r="J184" s="2"/>
        <tr r="J184" s="2"/>
      </tp>
      <tp t="s">
        <v>N/A</v>
        <stp/>
        <stp>VOLUME</stp>
        <stp>.NDXP250606P21200</stp>
        <tr r="J144" s="2"/>
      </tp>
      <tp t="s">
        <v>N/A</v>
        <stp/>
        <stp>VOLUME</stp>
        <stp>.NDXP250630P20400</stp>
        <tr r="L176" s="2"/>
      </tp>
      <tp>
        <v>71277</v>
        <stp/>
        <stp>VOLUME</stp>
        <stp>.SPXW250512C5860</stp>
        <tr r="BA101" s="1"/>
        <tr r="BA101" s="1"/>
      </tp>
      <tp>
        <v>4</v>
        <stp/>
        <stp>VOLUME</stp>
        <stp>.SPXW250606C5920</stp>
        <tr r="J96" s="2"/>
        <tr r="J96" s="2"/>
      </tp>
      <tp>
        <v>2630</v>
        <stp/>
        <stp>VOLUME</stp>
        <stp>.SPXW250512P5860</stp>
        <tr r="BB101" s="1"/>
        <tr r="BB101" s="1"/>
      </tp>
      <tp>
        <v>1</v>
        <stp/>
        <stp>VOLUME</stp>
        <stp>.SPXW250606P5920</stp>
        <tr r="J96" s="2"/>
        <tr r="J96" s="2"/>
      </tp>
      <tp t="s">
        <v>N/A</v>
        <stp/>
        <stp>VOLUME</stp>
        <stp>.NDXP251031P20500</stp>
        <tr r="T172" s="2"/>
      </tp>
      <tp t="s">
        <v>N/A</v>
        <stp/>
        <stp>VOLUME</stp>
        <stp>.NDXP251231P20500</stp>
        <tr r="X172" s="2"/>
      </tp>
      <tp>
        <v>55582</v>
        <stp/>
        <stp>VOLUME</stp>
        <stp>.SPXW250512C5870</stp>
        <tr r="BA100" s="1"/>
        <tr r="BA100" s="1"/>
      </tp>
      <tp>
        <v>16</v>
        <stp/>
        <stp>VOLUME</stp>
        <stp>.SPXW250606C5930</stp>
        <tr r="J95" s="2"/>
        <tr r="J95" s="2"/>
      </tp>
      <tp>
        <v>1047</v>
        <stp/>
        <stp>VOLUME</stp>
        <stp>.SPXW250512P5870</stp>
        <tr r="BB100" s="1"/>
        <tr r="BB100" s="1"/>
      </tp>
      <tp t="s">
        <v>N/A</v>
        <stp/>
        <stp>VOLUME</stp>
        <stp>.SPXW250606P5930</stp>
        <tr r="J95" s="2"/>
      </tp>
      <tp t="s">
        <v>N/A</v>
        <stp/>
        <stp>VOLUME</stp>
        <stp>.NDXP250930P20425</stp>
        <tr r="R175" s="2"/>
      </tp>
      <tp>
        <v>229</v>
        <stp/>
        <stp>VOLUME</stp>
        <stp>.NDXP250512P20625</stp>
        <tr r="BB166" s="1"/>
        <tr r="BB166" s="1"/>
      </tp>
      <tp>
        <v>2</v>
        <stp/>
        <stp>VOLUME</stp>
        <stp>.NDXP250530P20425</stp>
        <tr r="I175" s="2"/>
        <tr r="I175" s="2"/>
      </tp>
      <tp t="s">
        <v>N/A</v>
        <stp/>
        <stp>VOLUME</stp>
        <stp>.NDXP250606P20225</stp>
        <tr r="J183" s="2"/>
      </tp>
      <tp t="s">
        <v>N/A</v>
        <stp/>
        <stp>VOLUME</stp>
        <stp>.NDXP250606P21225</stp>
        <tr r="J143" s="2"/>
      </tp>
      <tp t="s">
        <v>N/A</v>
        <stp/>
        <stp>VOLUME</stp>
        <stp>.NDXP250630P20425</stp>
        <tr r="L175" s="2"/>
      </tp>
      <tp t="s">
        <v>N/A</v>
        <stp/>
        <stp>VOLUME</stp>
        <stp>.NDXP250731P20525</stp>
        <tr r="N171" s="2"/>
      </tp>
      <tp>
        <v>128947</v>
        <stp/>
        <stp>VOLUME</stp>
        <stp>.SPXW250512C5840</stp>
        <tr r="BA103" s="1"/>
        <tr r="BA103" s="1"/>
      </tp>
      <tp>
        <v>156</v>
        <stp/>
        <stp>VOLUME</stp>
        <stp>.SPXW250606C5900</stp>
        <tr r="J98" s="2"/>
        <tr r="J98" s="2"/>
      </tp>
      <tp>
        <v>31991</v>
        <stp/>
        <stp>VOLUME</stp>
        <stp>.SPXW250512P5840</stp>
        <tr r="BB103" s="1"/>
        <tr r="BB103" s="1"/>
      </tp>
      <tp>
        <v>11</v>
        <stp/>
        <stp>VOLUME</stp>
        <stp>.SPXW250606P5900</stp>
        <tr r="J98" s="2"/>
        <tr r="J98" s="2"/>
      </tp>
      <tp t="s">
        <v>N/A</v>
        <stp/>
        <stp>VOLUME</stp>
        <stp>.NDXP251031P20525</stp>
        <tr r="T171" s="2"/>
      </tp>
      <tp t="s">
        <v>N/A</v>
        <stp/>
        <stp>VOLUME</stp>
        <stp>.NDXP251231P20525</stp>
        <tr r="X171" s="2"/>
      </tp>
      <tp>
        <v>164330</v>
        <stp/>
        <stp>VOLUME</stp>
        <stp>.SPXW250512C5850</stp>
        <tr r="BA102" s="1"/>
        <tr r="BA102" s="1"/>
      </tp>
      <tp>
        <v>90</v>
        <stp/>
        <stp>VOLUME</stp>
        <stp>.SPXW250606C5910</stp>
        <tr r="J97" s="2"/>
        <tr r="J97" s="2"/>
      </tp>
      <tp>
        <v>12012</v>
        <stp/>
        <stp>VOLUME</stp>
        <stp>.SPXW250512P5850</stp>
        <tr r="BB102" s="1"/>
        <tr r="BB102" s="1"/>
      </tp>
      <tp t="s">
        <v>N/A</v>
        <stp/>
        <stp>VOLUME</stp>
        <stp>.SPXW250606P5910</stp>
        <tr r="J97" s="2"/>
      </tp>
      <tp>
        <v>-7.0000000000000007E-2</v>
        <stp/>
        <stp>DELTA</stp>
        <stp>.NDXP250512P20425</stp>
        <tr r="CE174" s="1"/>
        <tr r="CE174" s="1"/>
      </tp>
      <tp>
        <v>-0.04</v>
        <stp/>
        <stp>DELTA</stp>
        <stp>.NDXP250512P20400</stp>
        <tr r="CE175" s="1"/>
        <tr r="CE175" s="1"/>
      </tp>
      <tp>
        <v>-0.08</v>
        <stp/>
        <stp>DELTA</stp>
        <stp>.NDXP250512P20475</stp>
        <tr r="CE172" s="1"/>
        <tr r="CE172" s="1"/>
      </tp>
      <tp>
        <v>-7.0000000000000007E-2</v>
        <stp/>
        <stp>DELTA</stp>
        <stp>.NDXP250512P20450</stp>
        <tr r="CE173" s="1"/>
        <tr r="CE173" s="1"/>
      </tp>
      <tp>
        <v>1</v>
        <stp/>
        <stp>DELTA</stp>
        <stp>.NDXP250512C20400</stp>
        <tr r="CD175" s="1"/>
        <tr r="CD175" s="1"/>
      </tp>
      <tp>
        <v>1</v>
        <stp/>
        <stp>DELTA</stp>
        <stp>.NDXP250512C20425</stp>
        <tr r="CD174" s="1"/>
        <tr r="CD174" s="1"/>
      </tp>
      <tp>
        <v>1</v>
        <stp/>
        <stp>DELTA</stp>
        <stp>.NDXP250512C20450</stp>
        <tr r="CD173" s="1"/>
        <tr r="CD173" s="1"/>
      </tp>
      <tp>
        <v>1</v>
        <stp/>
        <stp>DELTA</stp>
        <stp>.NDXP250512C20475</stp>
        <tr r="CD172" s="1"/>
        <tr r="CD172" s="1"/>
      </tp>
      <tp t="s">
        <v>N/A</v>
        <stp/>
        <stp>VOLUME</stp>
        <stp>.NDXP250930C20575</stp>
        <tr r="R169" s="2"/>
      </tp>
      <tp>
        <v>189</v>
        <stp/>
        <stp>VOLUME</stp>
        <stp>.NDXP250512C20775</stp>
        <tr r="BA160" s="1"/>
        <tr r="BA160" s="1"/>
      </tp>
      <tp t="s">
        <v>N/A</v>
        <stp/>
        <stp>VOLUME</stp>
        <stp>.NDXP250530C20575</stp>
        <tr r="I169" s="2"/>
      </tp>
      <tp t="s">
        <v>N/A</v>
        <stp/>
        <stp>VOLUME</stp>
        <stp>.NDXP250606C20375</stp>
        <tr r="J177" s="2"/>
      </tp>
      <tp t="s">
        <v>N/A</v>
        <stp/>
        <stp>VOLUME</stp>
        <stp>.NDXP250630C20575</stp>
        <tr r="L169" s="2"/>
      </tp>
      <tp t="s">
        <v>N/A</v>
        <stp/>
        <stp>VOLUME</stp>
        <stp>.NDXP250731C20475</stp>
        <tr r="N173" s="2"/>
      </tp>
      <tp t="s">
        <v>N/A</v>
        <stp/>
        <stp>VOLUME</stp>
        <stp>.NDXP251031C20475</stp>
        <tr r="T173" s="2"/>
      </tp>
      <tp t="s">
        <v>N/A</v>
        <stp/>
        <stp>VOLUME</stp>
        <stp>.NDXP251231C20475</stp>
        <tr r="X173" s="2"/>
      </tp>
      <tp t="s">
        <v>N/A</v>
        <stp/>
        <stp>VOLUME</stp>
        <stp>.NDXP250930C20550</stp>
        <tr r="R170" s="2"/>
      </tp>
      <tp>
        <v>249</v>
        <stp/>
        <stp>VOLUME</stp>
        <stp>.NDXP250512C20750</stp>
        <tr r="BA161" s="1"/>
        <tr r="BA161" s="1"/>
      </tp>
      <tp>
        <v>3</v>
        <stp/>
        <stp>VOLUME</stp>
        <stp>.NDXP250530C20550</stp>
        <tr r="I170" s="2"/>
        <tr r="I170" s="2"/>
      </tp>
      <tp t="s">
        <v>N/A</v>
        <stp/>
        <stp>VOLUME</stp>
        <stp>.NDXP250731C20450</stp>
        <tr r="N174" s="2"/>
      </tp>
      <tp t="s">
        <v>N/A</v>
        <stp/>
        <stp>VOLUME</stp>
        <stp>.NDXP250606C20350</stp>
        <tr r="J178" s="2"/>
      </tp>
      <tp t="s">
        <v>N/A</v>
        <stp/>
        <stp>VOLUME</stp>
        <stp>.NDXP250606C21350</stp>
        <tr r="J138" s="2"/>
      </tp>
      <tp t="s">
        <v>N/A</v>
        <stp/>
        <stp>VOLUME</stp>
        <stp>.NDXP250630C20550</stp>
        <tr r="L170" s="2"/>
      </tp>
      <tp t="s">
        <v>N/A</v>
        <stp/>
        <stp>VOLUME</stp>
        <stp>.NDXP251031C20450</stp>
        <tr r="T174" s="2"/>
      </tp>
      <tp t="s">
        <v>N/A</v>
        <stp/>
        <stp>VOLUME</stp>
        <stp>.NDXP251231C20450</stp>
        <tr r="X174" s="2"/>
      </tp>
      <tp t="s">
        <v>N/A</v>
        <stp/>
        <stp>VOLUME</stp>
        <stp>.NDXP251031C20425</stp>
        <tr r="T175" s="2"/>
      </tp>
      <tp t="s">
        <v>N/A</v>
        <stp/>
        <stp>VOLUME</stp>
        <stp>.NDXP251231C20425</stp>
        <tr r="X175" s="2"/>
      </tp>
      <tp t="s">
        <v>N/A</v>
        <stp/>
        <stp>VOLUME</stp>
        <stp>.NDXP250930C20525</stp>
        <tr r="R171" s="2"/>
      </tp>
      <tp>
        <v>127</v>
        <stp/>
        <stp>VOLUME</stp>
        <stp>.NDXP250512C20725</stp>
        <tr r="BA162" s="1"/>
        <tr r="BA162" s="1"/>
      </tp>
      <tp t="s">
        <v>N/A</v>
        <stp/>
        <stp>VOLUME</stp>
        <stp>.NDXP250530C20525</stp>
        <tr r="I171" s="2"/>
      </tp>
      <tp t="s">
        <v>N/A</v>
        <stp/>
        <stp>VOLUME</stp>
        <stp>.NDXP250606C20325</stp>
        <tr r="J179" s="2"/>
      </tp>
      <tp t="s">
        <v>N/A</v>
        <stp/>
        <stp>VOLUME</stp>
        <stp>.NDXP250606C21325</stp>
        <tr r="J139" s="2"/>
      </tp>
      <tp t="s">
        <v>N/A</v>
        <stp/>
        <stp>VOLUME</stp>
        <stp>.NDXP250630C20525</stp>
        <tr r="L171" s="2"/>
      </tp>
      <tp t="s">
        <v>N/A</v>
        <stp/>
        <stp>VOLUME</stp>
        <stp>.NDXP250731C20425</stp>
        <tr r="N175" s="2"/>
      </tp>
      <tp t="s">
        <v>N/A</v>
        <stp/>
        <stp>VOLUME</stp>
        <stp>.NDXP251031C20400</stp>
        <tr r="T176" s="2"/>
      </tp>
      <tp t="s">
        <v>N/A</v>
        <stp/>
        <stp>VOLUME</stp>
        <stp>.NDXP251231C20400</stp>
        <tr r="X176" s="2"/>
      </tp>
      <tp t="s">
        <v>N/A</v>
        <stp/>
        <stp>VOLUME</stp>
        <stp>.NDXP250930C20500</stp>
        <tr r="R172" s="2"/>
      </tp>
      <tp>
        <v>1187</v>
        <stp/>
        <stp>VOLUME</stp>
        <stp>.NDXP250512C20700</stp>
        <tr r="BA163" s="1"/>
        <tr r="BA163" s="1"/>
      </tp>
      <tp>
        <v>20</v>
        <stp/>
        <stp>VOLUME</stp>
        <stp>.NDXP250530C20500</stp>
        <tr r="I172" s="2"/>
        <tr r="I172" s="2"/>
      </tp>
      <tp t="s">
        <v>N/A</v>
        <stp/>
        <stp>VOLUME</stp>
        <stp>.NDXP250731C20400</stp>
        <tr r="N176" s="2"/>
      </tp>
      <tp t="s">
        <v>N/A</v>
        <stp/>
        <stp>VOLUME</stp>
        <stp>.NDXP250606C20300</stp>
        <tr r="J180" s="2"/>
      </tp>
      <tp t="s">
        <v>N/A</v>
        <stp/>
        <stp>VOLUME</stp>
        <stp>.NDXP250606C21300</stp>
        <tr r="J140" s="2"/>
      </tp>
      <tp t="s">
        <v>N/A</v>
        <stp/>
        <stp>VOLUME</stp>
        <stp>.NDXP250630C20500</stp>
        <tr r="L172" s="2"/>
      </tp>
      <tp t="s">
        <v>N/A</v>
        <stp/>
        <stp>VOLUME</stp>
        <stp>.SPXW250512C5980</stp>
        <tr r="BA89" s="1"/>
      </tp>
      <tp t="s">
        <v>N/A</v>
        <stp/>
        <stp>VOLUME</stp>
        <stp>.SPXW250512P5980</stp>
        <tr r="BB89" s="1"/>
      </tp>
      <tp t="s">
        <v>N/A</v>
        <stp/>
        <stp>VOLUME</stp>
        <stp>.SPXW250512C5990</stp>
        <tr r="BA88" s="1"/>
      </tp>
      <tp t="s">
        <v>N/A</v>
        <stp/>
        <stp>VOLUME</stp>
        <stp>.SPXW250512P5990</stp>
        <tr r="BB88" s="1"/>
      </tp>
      <tp>
        <v>34</v>
        <stp/>
        <stp>VOLUME</stp>
        <stp>.SPXW250606C5880</stp>
        <tr r="J100" s="2"/>
        <tr r="J100" s="2"/>
      </tp>
      <tp>
        <v>9</v>
        <stp/>
        <stp>VOLUME</stp>
        <stp>.SPXW250606P5880</stp>
        <tr r="J100" s="2"/>
        <tr r="J100" s="2"/>
      </tp>
      <tp>
        <v>13</v>
        <stp/>
        <stp>VOLUME</stp>
        <stp>.SPXW250606C5890</stp>
        <tr r="J99" s="2"/>
        <tr r="J99" s="2"/>
      </tp>
      <tp>
        <v>3</v>
        <stp/>
        <stp>VOLUME</stp>
        <stp>.SPXW250606P5890</stp>
        <tr r="J99" s="2"/>
        <tr r="J99" s="2"/>
      </tp>
      <tp t="s">
        <v>N/A</v>
        <stp/>
        <stp>VOLUME</stp>
        <stp>.NDXP251031P20450</stp>
        <tr r="T174" s="2"/>
      </tp>
      <tp t="s">
        <v>N/A</v>
        <stp/>
        <stp>VOLUME</stp>
        <stp>.NDXP251231P20450</stp>
        <tr r="X174" s="2"/>
      </tp>
      <tp t="s">
        <v>N/A</v>
        <stp/>
        <stp>VOLUME</stp>
        <stp>.SPXW250512C5920</stp>
        <tr r="BA95" s="1"/>
      </tp>
      <tp t="s">
        <v>N/A</v>
        <stp/>
        <stp>VOLUME</stp>
        <stp>.SPXW250606C5860</stp>
        <tr r="J102" s="2"/>
      </tp>
      <tp t="s">
        <v>N/A</v>
        <stp/>
        <stp>VOLUME</stp>
        <stp>.SPXW250512P5920</stp>
        <tr r="BB95" s="1"/>
      </tp>
      <tp t="s">
        <v>N/A</v>
        <stp/>
        <stp>VOLUME</stp>
        <stp>.SPXW250606P5860</stp>
        <tr r="J102" s="2"/>
      </tp>
      <tp t="s">
        <v>N/A</v>
        <stp/>
        <stp>VOLUME</stp>
        <stp>.NDXP250930P20550</stp>
        <tr r="R170" s="2"/>
      </tp>
      <tp>
        <v>486</v>
        <stp/>
        <stp>VOLUME</stp>
        <stp>.NDXP250512P20750</stp>
        <tr r="BB161" s="1"/>
        <tr r="BB161" s="1"/>
      </tp>
      <tp t="s">
        <v>N/A</v>
        <stp/>
        <stp>VOLUME</stp>
        <stp>.NDXP250530P20550</stp>
        <tr r="I170" s="2"/>
      </tp>
      <tp t="s">
        <v>N/A</v>
        <stp/>
        <stp>VOLUME</stp>
        <stp>.NDXP250731P20450</stp>
        <tr r="N174" s="2"/>
      </tp>
      <tp t="s">
        <v>N/A</v>
        <stp/>
        <stp>VOLUME</stp>
        <stp>.NDXP250606P20350</stp>
        <tr r="J178" s="2"/>
      </tp>
      <tp t="s">
        <v>N/A</v>
        <stp/>
        <stp>VOLUME</stp>
        <stp>.NDXP250606P21350</stp>
        <tr r="J138" s="2"/>
      </tp>
      <tp t="s">
        <v>N/A</v>
        <stp/>
        <stp>VOLUME</stp>
        <stp>.NDXP250630P20550</stp>
        <tr r="L170" s="2"/>
      </tp>
      <tp t="s">
        <v>N/A</v>
        <stp/>
        <stp>VOLUME</stp>
        <stp>.SPXW250512C5930</stp>
        <tr r="BA94" s="1"/>
      </tp>
      <tp>
        <v>5</v>
        <stp/>
        <stp>VOLUME</stp>
        <stp>.SPXW250606C5870</stp>
        <tr r="J101" s="2"/>
        <tr r="J101" s="2"/>
      </tp>
      <tp t="s">
        <v>N/A</v>
        <stp/>
        <stp>VOLUME</stp>
        <stp>.SPXW250512P5930</stp>
        <tr r="BB94" s="1"/>
      </tp>
      <tp>
        <v>3</v>
        <stp/>
        <stp>VOLUME</stp>
        <stp>.SPXW250606P5870</stp>
        <tr r="J101" s="2"/>
        <tr r="J101" s="2"/>
      </tp>
      <tp t="s">
        <v>N/A</v>
        <stp/>
        <stp>VOLUME</stp>
        <stp>.NDXP251031P20475</stp>
        <tr r="T173" s="2"/>
      </tp>
      <tp t="s">
        <v>N/A</v>
        <stp/>
        <stp>VOLUME</stp>
        <stp>.NDXP251231P20475</stp>
        <tr r="X173" s="2"/>
      </tp>
      <tp>
        <v>36738</v>
        <stp/>
        <stp>VOLUME</stp>
        <stp>.SPXW250512C5900</stp>
        <tr r="BA97" s="1"/>
        <tr r="BA97" s="1"/>
      </tp>
      <tp>
        <v>46</v>
        <stp/>
        <stp>VOLUME</stp>
        <stp>.SPXW250606C5840</stp>
        <tr r="J104" s="2"/>
        <tr r="J104" s="2"/>
      </tp>
      <tp>
        <v>1125</v>
        <stp/>
        <stp>VOLUME</stp>
        <stp>.SPXW250512P5900</stp>
        <tr r="BB97" s="1"/>
        <tr r="BB97" s="1"/>
      </tp>
      <tp>
        <v>56</v>
        <stp/>
        <stp>VOLUME</stp>
        <stp>.SPXW250606P5840</stp>
        <tr r="J104" s="2"/>
        <tr r="J104" s="2"/>
      </tp>
      <tp t="s">
        <v>N/A</v>
        <stp/>
        <stp>VOLUME</stp>
        <stp>.NDXP250930P20575</stp>
        <tr r="R169" s="2"/>
      </tp>
      <tp>
        <v>131</v>
        <stp/>
        <stp>VOLUME</stp>
        <stp>.NDXP250512P20775</stp>
        <tr r="BB160" s="1"/>
        <tr r="BB160" s="1"/>
      </tp>
      <tp t="s">
        <v>N/A</v>
        <stp/>
        <stp>VOLUME</stp>
        <stp>.NDXP250530P20575</stp>
        <tr r="I169" s="2"/>
      </tp>
      <tp t="s">
        <v>N/A</v>
        <stp/>
        <stp>VOLUME</stp>
        <stp>.NDXP250606P20375</stp>
        <tr r="J177" s="2"/>
      </tp>
      <tp t="s">
        <v>N/A</v>
        <stp/>
        <stp>VOLUME</stp>
        <stp>.NDXP250630P20575</stp>
        <tr r="L169" s="2"/>
      </tp>
      <tp t="s">
        <v>N/A</v>
        <stp/>
        <stp>VOLUME</stp>
        <stp>.NDXP250731P20475</stp>
        <tr r="N173" s="2"/>
      </tp>
      <tp t="s">
        <v>N/A</v>
        <stp/>
        <stp>VOLUME</stp>
        <stp>.SPXW250512C5910</stp>
        <tr r="BA96" s="1"/>
      </tp>
      <tp>
        <v>658</v>
        <stp/>
        <stp>VOLUME</stp>
        <stp>.SPXW250606C5850</stp>
        <tr r="J103" s="2"/>
        <tr r="J103" s="2"/>
      </tp>
      <tp t="s">
        <v>N/A</v>
        <stp/>
        <stp>VOLUME</stp>
        <stp>.SPXW250512P5910</stp>
        <tr r="BB96" s="1"/>
      </tp>
      <tp>
        <v>94</v>
        <stp/>
        <stp>VOLUME</stp>
        <stp>.SPXW250606P5850</stp>
        <tr r="J103" s="2"/>
        <tr r="J103" s="2"/>
      </tp>
      <tp t="s">
        <v>N/A</v>
        <stp/>
        <stp>VOLUME</stp>
        <stp>.NDXP250930P20500</stp>
        <tr r="R172" s="2"/>
      </tp>
      <tp>
        <v>923</v>
        <stp/>
        <stp>VOLUME</stp>
        <stp>.NDXP250512P20700</stp>
        <tr r="BB163" s="1"/>
        <tr r="BB163" s="1"/>
      </tp>
      <tp>
        <v>3</v>
        <stp/>
        <stp>VOLUME</stp>
        <stp>.NDXP250530P20500</stp>
        <tr r="I172" s="2"/>
        <tr r="I172" s="2"/>
      </tp>
      <tp t="s">
        <v>N/A</v>
        <stp/>
        <stp>VOLUME</stp>
        <stp>.NDXP250731P20400</stp>
        <tr r="N176" s="2"/>
      </tp>
      <tp>
        <v>1</v>
        <stp/>
        <stp>VOLUME</stp>
        <stp>.NDXP250606P20300</stp>
        <tr r="J180" s="2"/>
        <tr r="J180" s="2"/>
      </tp>
      <tp t="s">
        <v>N/A</v>
        <stp/>
        <stp>VOLUME</stp>
        <stp>.NDXP250606P21300</stp>
        <tr r="J140" s="2"/>
      </tp>
      <tp t="s">
        <v>N/A</v>
        <stp/>
        <stp>VOLUME</stp>
        <stp>.NDXP250630P20500</stp>
        <tr r="L172" s="2"/>
      </tp>
      <tp t="s">
        <v>N/A</v>
        <stp/>
        <stp>VOLUME</stp>
        <stp>.SPXW250512C5960</stp>
        <tr r="BA91" s="1"/>
      </tp>
      <tp>
        <v>13</v>
        <stp/>
        <stp>VOLUME</stp>
        <stp>.SPXW250606C5820</stp>
        <tr r="J106" s="2"/>
        <tr r="J106" s="2"/>
      </tp>
      <tp t="s">
        <v>N/A</v>
        <stp/>
        <stp>VOLUME</stp>
        <stp>.SPXW250512P5960</stp>
        <tr r="BB91" s="1"/>
      </tp>
      <tp>
        <v>9</v>
        <stp/>
        <stp>VOLUME</stp>
        <stp>.SPXW250606P5820</stp>
        <tr r="J106" s="2"/>
        <tr r="J106" s="2"/>
      </tp>
      <tp t="s">
        <v>N/A</v>
        <stp/>
        <stp>VOLUME</stp>
        <stp>.NDXP251031P20400</stp>
        <tr r="T176" s="2"/>
      </tp>
      <tp t="s">
        <v>N/A</v>
        <stp/>
        <stp>VOLUME</stp>
        <stp>.NDXP251231P20400</stp>
        <tr r="X176" s="2"/>
      </tp>
      <tp t="s">
        <v>N/A</v>
        <stp/>
        <stp>VOLUME</stp>
        <stp>.SPXW250512C5970</stp>
        <tr r="BA90" s="1"/>
      </tp>
      <tp>
        <v>140</v>
        <stp/>
        <stp>VOLUME</stp>
        <stp>.SPXW250606C5830</stp>
        <tr r="J105" s="2"/>
        <tr r="J105" s="2"/>
      </tp>
      <tp t="s">
        <v>N/A</v>
        <stp/>
        <stp>VOLUME</stp>
        <stp>.SPXW250512P5970</stp>
        <tr r="BB90" s="1"/>
      </tp>
      <tp>
        <v>365</v>
        <stp/>
        <stp>VOLUME</stp>
        <stp>.SPXW250606P5830</stp>
        <tr r="J105" s="2"/>
        <tr r="J105" s="2"/>
      </tp>
      <tp t="s">
        <v>N/A</v>
        <stp/>
        <stp>VOLUME</stp>
        <stp>.NDXP250930P20525</stp>
        <tr r="R171" s="2"/>
      </tp>
      <tp>
        <v>311</v>
        <stp/>
        <stp>VOLUME</stp>
        <stp>.NDXP250512P20725</stp>
        <tr r="BB162" s="1"/>
        <tr r="BB162" s="1"/>
      </tp>
      <tp>
        <v>1</v>
        <stp/>
        <stp>VOLUME</stp>
        <stp>.NDXP250530P20525</stp>
        <tr r="I171" s="2"/>
        <tr r="I171" s="2"/>
      </tp>
      <tp t="s">
        <v>N/A</v>
        <stp/>
        <stp>VOLUME</stp>
        <stp>.NDXP250606P20325</stp>
        <tr r="J179" s="2"/>
      </tp>
      <tp t="s">
        <v>N/A</v>
        <stp/>
        <stp>VOLUME</stp>
        <stp>.NDXP250606P21325</stp>
        <tr r="J139" s="2"/>
      </tp>
      <tp t="s">
        <v>N/A</v>
        <stp/>
        <stp>VOLUME</stp>
        <stp>.NDXP250630P20525</stp>
        <tr r="L171" s="2"/>
      </tp>
      <tp t="s">
        <v>N/A</v>
        <stp/>
        <stp>VOLUME</stp>
        <stp>.NDXP250731P20425</stp>
        <tr r="N175" s="2"/>
      </tp>
      <tp t="s">
        <v>N/A</v>
        <stp/>
        <stp>VOLUME</stp>
        <stp>.SPXW250512C5940</stp>
        <tr r="BA93" s="1"/>
      </tp>
      <tp>
        <v>528</v>
        <stp/>
        <stp>VOLUME</stp>
        <stp>.SPXW250606C5800</stp>
        <tr r="J108" s="2"/>
        <tr r="J108" s="2"/>
      </tp>
      <tp t="s">
        <v>N/A</v>
        <stp/>
        <stp>VOLUME</stp>
        <stp>.SPXW250512P5940</stp>
        <tr r="BB93" s="1"/>
      </tp>
      <tp>
        <v>342</v>
        <stp/>
        <stp>VOLUME</stp>
        <stp>.SPXW250606P5800</stp>
        <tr r="J108" s="2"/>
        <tr r="J108" s="2"/>
      </tp>
      <tp t="s">
        <v>N/A</v>
        <stp/>
        <stp>VOLUME</stp>
        <stp>.NDXP251031P20425</stp>
        <tr r="T175" s="2"/>
      </tp>
      <tp t="s">
        <v>N/A</v>
        <stp/>
        <stp>VOLUME</stp>
        <stp>.NDXP251231P20425</stp>
        <tr r="X175" s="2"/>
      </tp>
      <tp>
        <v>28113</v>
        <stp/>
        <stp>VOLUME</stp>
        <stp>.SPXW250512C5950</stp>
        <tr r="BA92" s="1"/>
        <tr r="BA92" s="1"/>
      </tp>
      <tp>
        <v>76</v>
        <stp/>
        <stp>VOLUME</stp>
        <stp>.SPXW250606C5810</stp>
        <tr r="J107" s="2"/>
        <tr r="J107" s="2"/>
      </tp>
      <tp>
        <v>103</v>
        <stp/>
        <stp>VOLUME</stp>
        <stp>.SPXW250512P5950</stp>
        <tr r="BB92" s="1"/>
        <tr r="BB92" s="1"/>
      </tp>
      <tp>
        <v>35</v>
        <stp/>
        <stp>VOLUME</stp>
        <stp>.SPXW250606P5810</stp>
        <tr r="J107" s="2"/>
        <tr r="J107" s="2"/>
      </tp>
      <tp>
        <v>-0.12</v>
        <stp/>
        <stp>DELTA</stp>
        <stp>.NDXP250512P20725</stp>
        <tr r="CE162" s="1"/>
        <tr r="CE162" s="1"/>
      </tp>
      <tp>
        <v>-0.01</v>
        <stp/>
        <stp>DELTA</stp>
        <stp>.NDXP250512P20700</stp>
        <tr r="CE163" s="1"/>
        <tr r="CE163" s="1"/>
      </tp>
      <tp>
        <v>-0.18</v>
        <stp/>
        <stp>DELTA</stp>
        <stp>.NDXP250512P20775</stp>
        <tr r="CE160" s="1"/>
        <tr r="CE160" s="1"/>
      </tp>
      <tp>
        <v>-0.01</v>
        <stp/>
        <stp>DELTA</stp>
        <stp>.NDXP250512P20750</stp>
        <tr r="CE161" s="1"/>
        <tr r="CE161" s="1"/>
      </tp>
      <tp>
        <v>1</v>
        <stp/>
        <stp>DELTA</stp>
        <stp>.NDXP250512C20700</stp>
        <tr r="CD163" s="1"/>
        <tr r="CD163" s="1"/>
      </tp>
      <tp>
        <v>1</v>
        <stp/>
        <stp>DELTA</stp>
        <stp>.NDXP250512C20725</stp>
        <tr r="CD162" s="1"/>
        <tr r="CD162" s="1"/>
      </tp>
      <tp>
        <v>1</v>
        <stp/>
        <stp>DELTA</stp>
        <stp>.NDXP250512C20750</stp>
        <tr r="CD161" s="1"/>
        <tr r="CD161" s="1"/>
      </tp>
      <tp>
        <v>1</v>
        <stp/>
        <stp>DELTA</stp>
        <stp>.NDXP250512C20775</stp>
        <tr r="CD160" s="1"/>
        <tr r="CD160" s="1"/>
      </tp>
      <tp t="s">
        <v>N/A</v>
        <stp/>
        <stp>VOLUME</stp>
        <stp>.NDXP250930C20675</stp>
        <tr r="R165" s="2"/>
      </tp>
      <tp>
        <v>1</v>
        <stp/>
        <stp>VOLUME</stp>
        <stp>.NDXP250512C20475</stp>
        <tr r="BA172" s="1"/>
        <tr r="BA172" s="1"/>
      </tp>
      <tp>
        <v>1</v>
        <stp/>
        <stp>VOLUME</stp>
        <stp>.NDXP250530C20675</stp>
        <tr r="I165" s="2"/>
        <tr r="I165" s="2"/>
      </tp>
      <tp t="s">
        <v>N/A</v>
        <stp/>
        <stp>VOLUME</stp>
        <stp>.NDXP250606C20075</stp>
        <tr r="J189" s="2"/>
      </tp>
      <tp t="s">
        <v>N/A</v>
        <stp/>
        <stp>VOLUME</stp>
        <stp>.NDXP250606C21075</stp>
        <tr r="J149" s="2"/>
      </tp>
      <tp t="s">
        <v>N/A</v>
        <stp/>
        <stp>VOLUME</stp>
        <stp>.NDXP250630C20675</stp>
        <tr r="L165" s="2"/>
      </tp>
      <tp t="s">
        <v>N/A</v>
        <stp/>
        <stp>VOLUME</stp>
        <stp>.NDXP250731C20775</stp>
        <tr r="N161" s="2"/>
      </tp>
      <tp t="s">
        <v>N/A</v>
        <stp/>
        <stp>VOLUME</stp>
        <stp>.NDXP251031C20775</stp>
        <tr r="T161" s="2"/>
      </tp>
      <tp t="s">
        <v>N/A</v>
        <stp/>
        <stp>VOLUME</stp>
        <stp>.NDXP251231C20775</stp>
        <tr r="X161" s="2"/>
      </tp>
      <tp t="s">
        <v>N/A</v>
        <stp/>
        <stp>VOLUME</stp>
        <stp>.NDXP250930C20650</stp>
        <tr r="R166" s="2"/>
      </tp>
      <tp>
        <v>6</v>
        <stp/>
        <stp>VOLUME</stp>
        <stp>.NDXP250512C20450</stp>
        <tr r="BA173" s="1"/>
        <tr r="BA173" s="1"/>
      </tp>
      <tp>
        <v>2</v>
        <stp/>
        <stp>VOLUME</stp>
        <stp>.NDXP250530C20650</stp>
        <tr r="I166" s="2"/>
        <tr r="I166" s="2"/>
      </tp>
      <tp t="s">
        <v>N/A</v>
        <stp/>
        <stp>VOLUME</stp>
        <stp>.NDXP250731C20750</stp>
        <tr r="N162" s="2"/>
      </tp>
      <tp t="s">
        <v>N/A</v>
        <stp/>
        <stp>VOLUME</stp>
        <stp>.NDXP250606C20050</stp>
        <tr r="J190" s="2"/>
      </tp>
      <tp t="s">
        <v>N/A</v>
        <stp/>
        <stp>VOLUME</stp>
        <stp>.NDXP250606C21050</stp>
        <tr r="J150" s="2"/>
      </tp>
      <tp t="s">
        <v>N/A</v>
        <stp/>
        <stp>VOLUME</stp>
        <stp>.NDXP250630C20650</stp>
        <tr r="L166" s="2"/>
      </tp>
      <tp t="s">
        <v>N/A</v>
        <stp/>
        <stp>VOLUME</stp>
        <stp>.NDXP251031C20750</stp>
        <tr r="T162" s="2"/>
      </tp>
      <tp t="s">
        <v>N/A</v>
        <stp/>
        <stp>VOLUME</stp>
        <stp>.NDXP251231C20750</stp>
        <tr r="X162" s="2"/>
      </tp>
      <tp t="s">
        <v>N/A</v>
        <stp/>
        <stp>VOLUME</stp>
        <stp>.NDXP251031C20725</stp>
        <tr r="T163" s="2"/>
      </tp>
      <tp t="s">
        <v>N/A</v>
        <stp/>
        <stp>VOLUME</stp>
        <stp>.NDXP251231C20725</stp>
        <tr r="X163" s="2"/>
      </tp>
      <tp t="s">
        <v>N/A</v>
        <stp/>
        <stp>VOLUME</stp>
        <stp>.NDXP250930C20625</stp>
        <tr r="R167" s="2"/>
      </tp>
      <tp t="s">
        <v>N/A</v>
        <stp/>
        <stp>VOLUME</stp>
        <stp>.NDXP250512C20425</stp>
        <tr r="BA174" s="1"/>
      </tp>
      <tp t="s">
        <v>N/A</v>
        <stp/>
        <stp>VOLUME</stp>
        <stp>.NDXP250530C20625</stp>
        <tr r="I167" s="2"/>
      </tp>
      <tp t="s">
        <v>N/A</v>
        <stp/>
        <stp>VOLUME</stp>
        <stp>.NDXP250606C21025</stp>
        <tr r="J151" s="2"/>
      </tp>
      <tp t="s">
        <v>N/A</v>
        <stp/>
        <stp>VOLUME</stp>
        <stp>.NDXP250630C20625</stp>
        <tr r="L167" s="2"/>
      </tp>
      <tp t="s">
        <v>N/A</v>
        <stp/>
        <stp>VOLUME</stp>
        <stp>.NDXP250731C20725</stp>
        <tr r="N163" s="2"/>
      </tp>
      <tp t="s">
        <v>N/A</v>
        <stp/>
        <stp>VOLUME</stp>
        <stp>.NDXP251031C20700</stp>
        <tr r="T164" s="2"/>
      </tp>
      <tp t="s">
        <v>N/A</v>
        <stp/>
        <stp>VOLUME</stp>
        <stp>.NDXP251231C20700</stp>
        <tr r="X164" s="2"/>
      </tp>
      <tp t="s">
        <v>N/A</v>
        <stp/>
        <stp>VOLUME</stp>
        <stp>.NDXP250930C20600</stp>
        <tr r="R168" s="2"/>
      </tp>
      <tp>
        <v>21</v>
        <stp/>
        <stp>VOLUME</stp>
        <stp>.NDXP250512C20400</stp>
        <tr r="BA175" s="1"/>
        <tr r="BA175" s="1"/>
      </tp>
      <tp>
        <v>2</v>
        <stp/>
        <stp>VOLUME</stp>
        <stp>.NDXP250530C20600</stp>
        <tr r="I168" s="2"/>
        <tr r="I168" s="2"/>
      </tp>
      <tp t="s">
        <v>N/A</v>
        <stp/>
        <stp>VOLUME</stp>
        <stp>.NDXP250731C20700</stp>
        <tr r="N164" s="2"/>
      </tp>
      <tp t="s">
        <v>N/A</v>
        <stp/>
        <stp>VOLUME</stp>
        <stp>.NDXP250606C21000</stp>
        <tr r="J152" s="2"/>
      </tp>
      <tp>
        <v>1</v>
        <stp/>
        <stp>VOLUME</stp>
        <stp>.NDXP250630C20600</stp>
        <tr r="L168" s="2"/>
        <tr r="L168" s="2"/>
      </tp>
      <tp t="s">
        <v>N/A</v>
        <stp/>
        <stp>VOLUME</stp>
        <stp>.SPXW250930C5880</stp>
        <tr r="R100" s="2"/>
      </tp>
      <tp>
        <v>3</v>
        <stp/>
        <stp>VOLUME</stp>
        <stp>.SPXW250829C5910</stp>
        <tr r="P97" s="2"/>
        <tr r="P97" s="2"/>
      </tp>
      <tp>
        <v>103</v>
        <stp/>
        <stp>VOLUME</stp>
        <stp>.SPXW250530C5880</stp>
        <tr r="I100" s="2"/>
        <tr r="I100" s="2"/>
      </tp>
      <tp>
        <v>1</v>
        <stp/>
        <stp>VOLUME</stp>
        <stp>.SPXW250731C5890</stp>
        <tr r="N99" s="2"/>
        <tr r="N99" s="2"/>
      </tp>
      <tp>
        <v>2</v>
        <stp/>
        <stp>VOLUME</stp>
        <stp>.SPXW250630C5880</stp>
        <tr r="L100" s="2"/>
        <tr r="L100" s="2"/>
      </tp>
      <tp t="s">
        <v>N/A</v>
        <stp/>
        <stp>VOLUME</stp>
        <stp>.SPXW251128C5900</stp>
        <tr r="V98" s="2"/>
      </tp>
      <tp t="s">
        <v>N/A</v>
        <stp/>
        <stp>VOLUME</stp>
        <stp>.SPXW251031C5890</stp>
        <tr r="T99" s="2"/>
      </tp>
      <tp t="s">
        <v>N/A</v>
        <stp/>
        <stp>VOLUME</stp>
        <stp>.SPXW251231C5890</stp>
        <tr r="X99" s="2"/>
      </tp>
      <tp t="s">
        <v>N/A</v>
        <stp/>
        <stp>VOLUME</stp>
        <stp>.SPXW251128P5900</stp>
        <tr r="V98" s="2"/>
      </tp>
      <tp t="s">
        <v>N/A</v>
        <stp/>
        <stp>VOLUME</stp>
        <stp>.SPXW251031P5890</stp>
        <tr r="T99" s="2"/>
      </tp>
      <tp t="s">
        <v>N/A</v>
        <stp/>
        <stp>VOLUME</stp>
        <stp>.SPXW251231P5890</stp>
        <tr r="X99" s="2"/>
      </tp>
      <tp t="s">
        <v>N/A</v>
        <stp/>
        <stp>VOLUME</stp>
        <stp>.SPXW250930P5880</stp>
        <tr r="R100" s="2"/>
      </tp>
      <tp>
        <v>5</v>
        <stp/>
        <stp>VOLUME</stp>
        <stp>.SPXW250829P5910</stp>
        <tr r="P97" s="2"/>
        <tr r="P97" s="2"/>
      </tp>
      <tp>
        <v>8</v>
        <stp/>
        <stp>VOLUME</stp>
        <stp>.SPXW250530P5880</stp>
        <tr r="I100" s="2"/>
        <tr r="I100" s="2"/>
      </tp>
      <tp t="s">
        <v>N/A</v>
        <stp/>
        <stp>VOLUME</stp>
        <stp>.SPXW250731P5890</stp>
        <tr r="N99" s="2"/>
      </tp>
      <tp>
        <v>23</v>
        <stp/>
        <stp>VOLUME</stp>
        <stp>.SPXW250630P5880</stp>
        <tr r="L100" s="2"/>
        <tr r="L100" s="2"/>
      </tp>
      <tp>
        <v>2</v>
        <stp/>
        <stp>VOLUME</stp>
        <stp>.SPXW250930C5890</stp>
        <tr r="R99" s="2"/>
        <tr r="R99" s="2"/>
      </tp>
      <tp>
        <v>7</v>
        <stp/>
        <stp>VOLUME</stp>
        <stp>.SPXW250829C5900</stp>
        <tr r="P98" s="2"/>
        <tr r="P98" s="2"/>
      </tp>
      <tp>
        <v>44</v>
        <stp/>
        <stp>VOLUME</stp>
        <stp>.SPXW250530C5890</stp>
        <tr r="I99" s="2"/>
        <tr r="I99" s="2"/>
      </tp>
      <tp>
        <v>349</v>
        <stp/>
        <stp>VOLUME</stp>
        <stp>.SPXW250731C5880</stp>
        <tr r="N100" s="2"/>
        <tr r="N100" s="2"/>
      </tp>
      <tp>
        <v>45</v>
        <stp/>
        <stp>VOLUME</stp>
        <stp>.SPXW250630C5890</stp>
        <tr r="L99" s="2"/>
        <tr r="L99" s="2"/>
      </tp>
      <tp t="s">
        <v>N/A</v>
        <stp/>
        <stp>VOLUME</stp>
        <stp>.SPXW251128C5910</stp>
        <tr r="V97" s="2"/>
      </tp>
      <tp t="s">
        <v>N/A</v>
        <stp/>
        <stp>VOLUME</stp>
        <stp>.SPXW251031C5880</stp>
        <tr r="T100" s="2"/>
      </tp>
      <tp t="s">
        <v>N/A</v>
        <stp/>
        <stp>VOLUME</stp>
        <stp>.SPXW251231C5880</stp>
        <tr r="X100" s="2"/>
      </tp>
      <tp t="s">
        <v>N/A</v>
        <stp/>
        <stp>VOLUME</stp>
        <stp>.SPXW251128P5910</stp>
        <tr r="V97" s="2"/>
      </tp>
      <tp t="s">
        <v>N/A</v>
        <stp/>
        <stp>VOLUME</stp>
        <stp>.SPXW251031P5880</stp>
        <tr r="T100" s="2"/>
      </tp>
      <tp t="s">
        <v>N/A</v>
        <stp/>
        <stp>VOLUME</stp>
        <stp>.SPXW251231P5880</stp>
        <tr r="X100" s="2"/>
      </tp>
      <tp>
        <v>7</v>
        <stp/>
        <stp>VOLUME</stp>
        <stp>.SPXW250930P5890</stp>
        <tr r="R99" s="2"/>
        <tr r="R99" s="2"/>
      </tp>
      <tp>
        <v>29</v>
        <stp/>
        <stp>VOLUME</stp>
        <stp>.SPXW250829P5900</stp>
        <tr r="P98" s="2"/>
        <tr r="P98" s="2"/>
      </tp>
      <tp>
        <v>17</v>
        <stp/>
        <stp>VOLUME</stp>
        <stp>.SPXW250530P5890</stp>
        <tr r="I99" s="2"/>
        <tr r="I99" s="2"/>
      </tp>
      <tp>
        <v>378</v>
        <stp/>
        <stp>VOLUME</stp>
        <stp>.SPXW250731P5880</stp>
        <tr r="N100" s="2"/>
        <tr r="N100" s="2"/>
      </tp>
      <tp t="s">
        <v>N/A</v>
        <stp/>
        <stp>VOLUME</stp>
        <stp>.SPXW250630P5890</stp>
        <tr r="L99" s="2"/>
      </tp>
      <tp>
        <v>48</v>
        <stp/>
        <stp>VOLUME</stp>
        <stp>.SPXW250829C5930</stp>
        <tr r="P95" s="2"/>
        <tr r="P95" s="2"/>
      </tp>
      <tp t="s">
        <v>N/A</v>
        <stp/>
        <stp>VOLUME</stp>
        <stp>.SPXW251128C5920</stp>
        <tr r="V96" s="2"/>
      </tp>
      <tp t="s">
        <v>N/A</v>
        <stp/>
        <stp>VOLUME</stp>
        <stp>.SPXW251128P5920</stp>
        <tr r="V96" s="2"/>
      </tp>
      <tp t="s">
        <v>N/A</v>
        <stp/>
        <stp>VOLUME</stp>
        <stp>.SPXW250829P5930</stp>
        <tr r="P95" s="2"/>
      </tp>
      <tp>
        <v>1</v>
        <stp/>
        <stp>VOLUME</stp>
        <stp>.SPXW250829C5920</stp>
        <tr r="P96" s="2"/>
        <tr r="P96" s="2"/>
      </tp>
      <tp t="s">
        <v>N/A</v>
        <stp/>
        <stp>VOLUME</stp>
        <stp>.SPXW251128C5930</stp>
        <tr r="V95" s="2"/>
      </tp>
      <tp t="s">
        <v>N/A</v>
        <stp/>
        <stp>VOLUME</stp>
        <stp>.SPXW251128P5930</stp>
        <tr r="V95" s="2"/>
      </tp>
      <tp t="s">
        <v>N/A</v>
        <stp/>
        <stp>VOLUME</stp>
        <stp>.SPXW250829P5920</stp>
        <tr r="P96" s="2"/>
      </tp>
      <tp>
        <v>5</v>
        <stp/>
        <stp>VOLUME</stp>
        <stp>.SPXW250829C5950</stp>
        <tr r="P93" s="2"/>
        <tr r="P93" s="2"/>
      </tp>
      <tp t="s">
        <v>N/A</v>
        <stp/>
        <stp>VOLUME</stp>
        <stp>.SPXW251128C5940</stp>
        <tr r="V94" s="2"/>
      </tp>
      <tp t="s">
        <v>N/A</v>
        <stp/>
        <stp>VOLUME</stp>
        <stp>.SPXW251128P5940</stp>
        <tr r="V94" s="2"/>
      </tp>
      <tp>
        <v>24</v>
        <stp/>
        <stp>VOLUME</stp>
        <stp>.SPXW250829P5950</stp>
        <tr r="P93" s="2"/>
        <tr r="P93" s="2"/>
      </tp>
      <tp t="s">
        <v>N/A</v>
        <stp/>
        <stp>VOLUME</stp>
        <stp>.SPXW250829C5940</stp>
        <tr r="P94" s="2"/>
      </tp>
      <tp t="s">
        <v>N/A</v>
        <stp/>
        <stp>VOLUME</stp>
        <stp>.SPXW251128C5950</stp>
        <tr r="V93" s="2"/>
      </tp>
      <tp t="s">
        <v>N/A</v>
        <stp/>
        <stp>VOLUME</stp>
        <stp>.SPXW251128P5950</stp>
        <tr r="V93" s="2"/>
      </tp>
      <tp t="s">
        <v>N/A</v>
        <stp/>
        <stp>VOLUME</stp>
        <stp>.SPXW250829P5940</stp>
        <tr r="P94" s="2"/>
      </tp>
      <tp t="s">
        <v>N/A</v>
        <stp/>
        <stp>VOLUME</stp>
        <stp>.SPXW250829C5970</stp>
        <tr r="P91" s="2"/>
      </tp>
      <tp t="s">
        <v>N/A</v>
        <stp/>
        <stp>VOLUME</stp>
        <stp>.SPXW251128C5960</stp>
        <tr r="V92" s="2"/>
      </tp>
      <tp t="s">
        <v>N/A</v>
        <stp/>
        <stp>VOLUME</stp>
        <stp>.SPXW251128P5960</stp>
        <tr r="V92" s="2"/>
      </tp>
      <tp>
        <v>80</v>
        <stp/>
        <stp>VOLUME</stp>
        <stp>.SPXW250829P5970</stp>
        <tr r="P91" s="2"/>
        <tr r="P91" s="2"/>
      </tp>
      <tp>
        <v>4</v>
        <stp/>
        <stp>VOLUME</stp>
        <stp>.SPXW250829C5960</stp>
        <tr r="P92" s="2"/>
        <tr r="P92" s="2"/>
      </tp>
      <tp t="s">
        <v>N/A</v>
        <stp/>
        <stp>VOLUME</stp>
        <stp>.SPXW251128C5970</stp>
        <tr r="V91" s="2"/>
      </tp>
      <tp t="s">
        <v>N/A</v>
        <stp/>
        <stp>VOLUME</stp>
        <stp>.SPXW251128P5970</stp>
        <tr r="V91" s="2"/>
      </tp>
      <tp>
        <v>4</v>
        <stp/>
        <stp>VOLUME</stp>
        <stp>.SPXW250829P5960</stp>
        <tr r="P92" s="2"/>
        <tr r="P92" s="2"/>
      </tp>
      <tp t="s">
        <v>N/A</v>
        <stp/>
        <stp>VOLUME</stp>
        <stp>.NDXP251031P20750</stp>
        <tr r="T162" s="2"/>
      </tp>
      <tp t="s">
        <v>N/A</v>
        <stp/>
        <stp>VOLUME</stp>
        <stp>.NDXP251231P20750</stp>
        <tr r="X162" s="2"/>
      </tp>
      <tp>
        <v>48</v>
        <stp/>
        <stp>VOLUME</stp>
        <stp>.SPXW250930C5800</stp>
        <tr r="R108" s="2"/>
        <tr r="R108" s="2"/>
      </tp>
      <tp>
        <v>1</v>
        <stp/>
        <stp>VOLUME</stp>
        <stp>.SPXW250829C5990</stp>
        <tr r="P89" s="2"/>
        <tr r="P89" s="2"/>
      </tp>
      <tp>
        <v>2994</v>
        <stp/>
        <stp>VOLUME</stp>
        <stp>.SPXW250530C5800</stp>
        <tr r="I108" s="2"/>
        <tr r="I108" s="2"/>
      </tp>
      <tp t="s">
        <v>N/A</v>
        <stp/>
        <stp>VOLUME</stp>
        <stp>.SPXW250731C5810</stp>
        <tr r="N107" s="2"/>
      </tp>
      <tp>
        <v>243</v>
        <stp/>
        <stp>VOLUME</stp>
        <stp>.SPXW250630C5800</stp>
        <tr r="L108" s="2"/>
        <tr r="L108" s="2"/>
      </tp>
      <tp t="s">
        <v>N/A</v>
        <stp/>
        <stp>VOLUME</stp>
        <stp>.SPXW251128C5980</stp>
        <tr r="V90" s="2"/>
      </tp>
      <tp t="s">
        <v>N/A</v>
        <stp/>
        <stp>VOLUME</stp>
        <stp>.SPXW251031C5810</stp>
        <tr r="T107" s="2"/>
      </tp>
      <tp>
        <v>2</v>
        <stp/>
        <stp>VOLUME</stp>
        <stp>.SPXW251231C5810</stp>
        <tr r="X107" s="2"/>
        <tr r="X107" s="2"/>
      </tp>
      <tp t="s">
        <v>N/A</v>
        <stp/>
        <stp>VOLUME</stp>
        <stp>.SPXW251128P5980</stp>
        <tr r="V90" s="2"/>
      </tp>
      <tp>
        <v>18</v>
        <stp/>
        <stp>VOLUME</stp>
        <stp>.SPXW251031P5810</stp>
        <tr r="T107" s="2"/>
        <tr r="T107" s="2"/>
      </tp>
      <tp t="s">
        <v>N/A</v>
        <stp/>
        <stp>VOLUME</stp>
        <stp>.SPXW251231P5810</stp>
        <tr r="X107" s="2"/>
      </tp>
      <tp>
        <v>15</v>
        <stp/>
        <stp>VOLUME</stp>
        <stp>.SPXW250930P5800</stp>
        <tr r="R108" s="2"/>
        <tr r="R108" s="2"/>
      </tp>
      <tp t="s">
        <v>N/A</v>
        <stp/>
        <stp>VOLUME</stp>
        <stp>.SPXW250829P5990</stp>
        <tr r="P89" s="2"/>
      </tp>
      <tp>
        <v>1468</v>
        <stp/>
        <stp>VOLUME</stp>
        <stp>.SPXW250530P5800</stp>
        <tr r="I108" s="2"/>
        <tr r="I108" s="2"/>
      </tp>
      <tp>
        <v>116</v>
        <stp/>
        <stp>VOLUME</stp>
        <stp>.SPXW250731P5810</stp>
        <tr r="N107" s="2"/>
        <tr r="N107" s="2"/>
      </tp>
      <tp>
        <v>332</v>
        <stp/>
        <stp>VOLUME</stp>
        <stp>.SPXW250630P5800</stp>
        <tr r="L108" s="2"/>
        <tr r="L108" s="2"/>
      </tp>
      <tp t="s">
        <v>N/A</v>
        <stp/>
        <stp>VOLUME</stp>
        <stp>.NDXP250930P20650</stp>
        <tr r="R166" s="2"/>
      </tp>
      <tp>
        <v>252</v>
        <stp/>
        <stp>VOLUME</stp>
        <stp>.NDXP250512P20450</stp>
        <tr r="BB173" s="1"/>
        <tr r="BB173" s="1"/>
      </tp>
      <tp t="s">
        <v>N/A</v>
        <stp/>
        <stp>VOLUME</stp>
        <stp>.NDXP250530P20650</stp>
        <tr r="I166" s="2"/>
      </tp>
      <tp t="s">
        <v>N/A</v>
        <stp/>
        <stp>VOLUME</stp>
        <stp>.NDXP250731P20750</stp>
        <tr r="N162" s="2"/>
      </tp>
      <tp t="s">
        <v>N/A</v>
        <stp/>
        <stp>VOLUME</stp>
        <stp>.NDXP250606P20050</stp>
        <tr r="J190" s="2"/>
      </tp>
      <tp t="s">
        <v>N/A</v>
        <stp/>
        <stp>VOLUME</stp>
        <stp>.NDXP250606P21050</stp>
        <tr r="J150" s="2"/>
      </tp>
      <tp>
        <v>1</v>
        <stp/>
        <stp>VOLUME</stp>
        <stp>.NDXP250630P20650</stp>
        <tr r="L166" s="2"/>
        <tr r="L166" s="2"/>
      </tp>
      <tp t="s">
        <v>N/A</v>
        <stp/>
        <stp>VOLUME</stp>
        <stp>.SPXW250930C5810</stp>
        <tr r="R107" s="2"/>
      </tp>
      <tp>
        <v>3</v>
        <stp/>
        <stp>VOLUME</stp>
        <stp>.SPXW250829C5980</stp>
        <tr r="P90" s="2"/>
        <tr r="P90" s="2"/>
      </tp>
      <tp>
        <v>160</v>
        <stp/>
        <stp>VOLUME</stp>
        <stp>.SPXW250530C5810</stp>
        <tr r="I107" s="2"/>
        <tr r="I107" s="2"/>
      </tp>
      <tp>
        <v>47</v>
        <stp/>
        <stp>VOLUME</stp>
        <stp>.SPXW250731C5800</stp>
        <tr r="N108" s="2"/>
        <tr r="N108" s="2"/>
      </tp>
      <tp>
        <v>11</v>
        <stp/>
        <stp>VOLUME</stp>
        <stp>.SPXW250630C5810</stp>
        <tr r="L107" s="2"/>
        <tr r="L107" s="2"/>
      </tp>
      <tp t="s">
        <v>N/A</v>
        <stp/>
        <stp>VOLUME</stp>
        <stp>.SPXW251128C5990</stp>
        <tr r="V89" s="2"/>
      </tp>
      <tp t="s">
        <v>N/A</v>
        <stp/>
        <stp>VOLUME</stp>
        <stp>.SPXW251031C5800</stp>
        <tr r="T108" s="2"/>
      </tp>
      <tp>
        <v>6</v>
        <stp/>
        <stp>VOLUME</stp>
        <stp>.SPXW251231C5800</stp>
        <tr r="X108" s="2"/>
        <tr r="X108" s="2"/>
      </tp>
      <tp t="s">
        <v>N/A</v>
        <stp/>
        <stp>VOLUME</stp>
        <stp>.SPXW251128P5990</stp>
        <tr r="V89" s="2"/>
      </tp>
      <tp>
        <v>9</v>
        <stp/>
        <stp>VOLUME</stp>
        <stp>.SPXW251031P5800</stp>
        <tr r="T108" s="2"/>
        <tr r="T108" s="2"/>
      </tp>
      <tp>
        <v>20</v>
        <stp/>
        <stp>VOLUME</stp>
        <stp>.SPXW251231P5800</stp>
        <tr r="X108" s="2"/>
        <tr r="X108" s="2"/>
      </tp>
      <tp>
        <v>1</v>
        <stp/>
        <stp>VOLUME</stp>
        <stp>.SPXW250930P5810</stp>
        <tr r="R107" s="2"/>
        <tr r="R107" s="2"/>
      </tp>
      <tp t="s">
        <v>N/A</v>
        <stp/>
        <stp>VOLUME</stp>
        <stp>.SPXW250829P5980</stp>
        <tr r="P90" s="2"/>
      </tp>
      <tp>
        <v>33</v>
        <stp/>
        <stp>VOLUME</stp>
        <stp>.SPXW250530P5810</stp>
        <tr r="I107" s="2"/>
        <tr r="I107" s="2"/>
      </tp>
      <tp>
        <v>10</v>
        <stp/>
        <stp>VOLUME</stp>
        <stp>.SPXW250731P5800</stp>
        <tr r="N108" s="2"/>
        <tr r="N108" s="2"/>
      </tp>
      <tp>
        <v>10</v>
        <stp/>
        <stp>VOLUME</stp>
        <stp>.SPXW250630P5810</stp>
        <tr r="L107" s="2"/>
        <tr r="L107" s="2"/>
      </tp>
      <tp t="s">
        <v>N/A</v>
        <stp/>
        <stp>VOLUME</stp>
        <stp>.NDXP251031P20775</stp>
        <tr r="T161" s="2"/>
      </tp>
      <tp t="s">
        <v>N/A</v>
        <stp/>
        <stp>VOLUME</stp>
        <stp>.NDXP251231P20775</stp>
        <tr r="X161" s="2"/>
      </tp>
      <tp t="s">
        <v>N/A</v>
        <stp/>
        <stp>VOLUME</stp>
        <stp>.SPXW250930C5820</stp>
        <tr r="R106" s="2"/>
      </tp>
      <tp>
        <v>54</v>
        <stp/>
        <stp>VOLUME</stp>
        <stp>.SPXW250530C5820</stp>
        <tr r="I106" s="2"/>
        <tr r="I106" s="2"/>
      </tp>
      <tp>
        <v>1</v>
        <stp/>
        <stp>VOLUME</stp>
        <stp>.SPXW250731C5830</stp>
        <tr r="N105" s="2"/>
        <tr r="N105" s="2"/>
      </tp>
      <tp t="s">
        <v>N/A</v>
        <stp/>
        <stp>VOLUME</stp>
        <stp>.SPXW250630C5820</stp>
        <tr r="L106" s="2"/>
      </tp>
      <tp>
        <v>1</v>
        <stp/>
        <stp>VOLUME</stp>
        <stp>.SPXW251031C5830</stp>
        <tr r="T105" s="2"/>
        <tr r="T105" s="2"/>
      </tp>
      <tp t="s">
        <v>N/A</v>
        <stp/>
        <stp>VOLUME</stp>
        <stp>.SPXW251231C5830</stp>
        <tr r="X105" s="2"/>
      </tp>
      <tp>
        <v>1</v>
        <stp/>
        <stp>VOLUME</stp>
        <stp>.SPXW251031P5830</stp>
        <tr r="T105" s="2"/>
        <tr r="T105" s="2"/>
      </tp>
      <tp t="s">
        <v>N/A</v>
        <stp/>
        <stp>VOLUME</stp>
        <stp>.SPXW251231P5830</stp>
        <tr r="X105" s="2"/>
      </tp>
      <tp>
        <v>2</v>
        <stp/>
        <stp>VOLUME</stp>
        <stp>.SPXW250930P5820</stp>
        <tr r="R106" s="2"/>
        <tr r="R106" s="2"/>
      </tp>
      <tp>
        <v>118</v>
        <stp/>
        <stp>VOLUME</stp>
        <stp>.SPXW250530P5820</stp>
        <tr r="I106" s="2"/>
        <tr r="I106" s="2"/>
      </tp>
      <tp>
        <v>2</v>
        <stp/>
        <stp>VOLUME</stp>
        <stp>.SPXW250731P5830</stp>
        <tr r="N105" s="2"/>
        <tr r="N105" s="2"/>
      </tp>
      <tp t="s">
        <v>N/A</v>
        <stp/>
        <stp>VOLUME</stp>
        <stp>.SPXW250630P5820</stp>
        <tr r="L106" s="2"/>
      </tp>
      <tp t="s">
        <v>N/A</v>
        <stp/>
        <stp>VOLUME</stp>
        <stp>.NDXP250930P20675</stp>
        <tr r="R165" s="2"/>
      </tp>
      <tp>
        <v>82</v>
        <stp/>
        <stp>VOLUME</stp>
        <stp>.NDXP250512P20475</stp>
        <tr r="BB172" s="1"/>
        <tr r="BB172" s="1"/>
      </tp>
      <tp t="s">
        <v>N/A</v>
        <stp/>
        <stp>VOLUME</stp>
        <stp>.NDXP250530P20675</stp>
        <tr r="I165" s="2"/>
      </tp>
      <tp t="s">
        <v>N/A</v>
        <stp/>
        <stp>VOLUME</stp>
        <stp>.NDXP250606P20075</stp>
        <tr r="J189" s="2"/>
      </tp>
      <tp t="s">
        <v>N/A</v>
        <stp/>
        <stp>VOLUME</stp>
        <stp>.NDXP250606P21075</stp>
        <tr r="J149" s="2"/>
      </tp>
      <tp t="s">
        <v>N/A</v>
        <stp/>
        <stp>VOLUME</stp>
        <stp>.NDXP250630P20675</stp>
        <tr r="L165" s="2"/>
      </tp>
      <tp t="s">
        <v>N/A</v>
        <stp/>
        <stp>VOLUME</stp>
        <stp>.NDXP250731P20775</stp>
        <tr r="N161" s="2"/>
      </tp>
      <tp t="s">
        <v>N/A</v>
        <stp/>
        <stp>VOLUME</stp>
        <stp>.SPXW250930C5830</stp>
        <tr r="R105" s="2"/>
      </tp>
      <tp>
        <v>172</v>
        <stp/>
        <stp>VOLUME</stp>
        <stp>.SPXW250530C5830</stp>
        <tr r="I105" s="2"/>
        <tr r="I105" s="2"/>
      </tp>
      <tp t="s">
        <v>N/A</v>
        <stp/>
        <stp>VOLUME</stp>
        <stp>.SPXW250731C5820</stp>
        <tr r="N106" s="2"/>
      </tp>
      <tp>
        <v>6</v>
        <stp/>
        <stp>VOLUME</stp>
        <stp>.SPXW250630C5830</stp>
        <tr r="L105" s="2"/>
        <tr r="L105" s="2"/>
      </tp>
      <tp t="s">
        <v>N/A</v>
        <stp/>
        <stp>VOLUME</stp>
        <stp>.SPXW251031C5820</stp>
        <tr r="T106" s="2"/>
      </tp>
      <tp t="s">
        <v>N/A</v>
        <stp/>
        <stp>VOLUME</stp>
        <stp>.SPXW251231C5820</stp>
        <tr r="X106" s="2"/>
      </tp>
      <tp>
        <v>1</v>
        <stp/>
        <stp>VOLUME</stp>
        <stp>.SPXW251031P5820</stp>
        <tr r="T106" s="2"/>
        <tr r="T106" s="2"/>
      </tp>
      <tp t="s">
        <v>N/A</v>
        <stp/>
        <stp>VOLUME</stp>
        <stp>.SPXW251231P5820</stp>
        <tr r="X106" s="2"/>
      </tp>
      <tp>
        <v>2</v>
        <stp/>
        <stp>VOLUME</stp>
        <stp>.SPXW250930P5830</stp>
        <tr r="R105" s="2"/>
        <tr r="R105" s="2"/>
      </tp>
      <tp>
        <v>20</v>
        <stp/>
        <stp>VOLUME</stp>
        <stp>.SPXW250530P5830</stp>
        <tr r="I105" s="2"/>
        <tr r="I105" s="2"/>
      </tp>
      <tp>
        <v>3</v>
        <stp/>
        <stp>VOLUME</stp>
        <stp>.SPXW250731P5820</stp>
        <tr r="N106" s="2"/>
        <tr r="N106" s="2"/>
      </tp>
      <tp>
        <v>1</v>
        <stp/>
        <stp>VOLUME</stp>
        <stp>.SPXW250630P5830</stp>
        <tr r="L105" s="2"/>
        <tr r="L105" s="2"/>
      </tp>
      <tp t="s">
        <v>N/A</v>
        <stp/>
        <stp>VOLUME</stp>
        <stp>.NDXP250930P20600</stp>
        <tr r="R168" s="2"/>
      </tp>
      <tp>
        <v>382</v>
        <stp/>
        <stp>VOLUME</stp>
        <stp>.NDXP250512P20400</stp>
        <tr r="BB175" s="1"/>
        <tr r="BB175" s="1"/>
      </tp>
      <tp>
        <v>1</v>
        <stp/>
        <stp>VOLUME</stp>
        <stp>.NDXP250530P20600</stp>
        <tr r="I168" s="2"/>
        <tr r="I168" s="2"/>
      </tp>
      <tp t="s">
        <v>N/A</v>
        <stp/>
        <stp>VOLUME</stp>
        <stp>.NDXP250731P20700</stp>
        <tr r="N164" s="2"/>
      </tp>
      <tp t="s">
        <v>N/A</v>
        <stp/>
        <stp>VOLUME</stp>
        <stp>.NDXP250606P21000</stp>
        <tr r="J152" s="2"/>
      </tp>
      <tp>
        <v>2</v>
        <stp/>
        <stp>VOLUME</stp>
        <stp>.NDXP250630P20600</stp>
        <tr r="L168" s="2"/>
        <tr r="L168" s="2"/>
      </tp>
      <tp>
        <v>9</v>
        <stp/>
        <stp>VOLUME</stp>
        <stp>.SPXW250930C5840</stp>
        <tr r="R104" s="2"/>
        <tr r="R104" s="2"/>
      </tp>
      <tp>
        <v>80</v>
        <stp/>
        <stp>VOLUME</stp>
        <stp>.SPXW250530C5840</stp>
        <tr r="I104" s="2"/>
        <tr r="I104" s="2"/>
      </tp>
      <tp>
        <v>25</v>
        <stp/>
        <stp>VOLUME</stp>
        <stp>.SPXW250731C5850</stp>
        <tr r="N103" s="2"/>
        <tr r="N103" s="2"/>
      </tp>
      <tp>
        <v>1</v>
        <stp/>
        <stp>VOLUME</stp>
        <stp>.SPXW250630C5840</stp>
        <tr r="L104" s="2"/>
        <tr r="L104" s="2"/>
      </tp>
      <tp>
        <v>1</v>
        <stp/>
        <stp>VOLUME</stp>
        <stp>.SPXW251031C5850</stp>
        <tr r="T103" s="2"/>
        <tr r="T103" s="2"/>
      </tp>
      <tp>
        <v>2</v>
        <stp/>
        <stp>VOLUME</stp>
        <stp>.SPXW251231C5850</stp>
        <tr r="X103" s="2"/>
        <tr r="X103" s="2"/>
      </tp>
      <tp>
        <v>1</v>
        <stp/>
        <stp>VOLUME</stp>
        <stp>.SPXW251031P5850</stp>
        <tr r="T103" s="2"/>
        <tr r="T103" s="2"/>
      </tp>
      <tp t="s">
        <v>N/A</v>
        <stp/>
        <stp>VOLUME</stp>
        <stp>.SPXW251231P5850</stp>
        <tr r="X103" s="2"/>
      </tp>
      <tp t="s">
        <v>N/A</v>
        <stp/>
        <stp>VOLUME</stp>
        <stp>.SPXW250930P5840</stp>
        <tr r="R104" s="2"/>
      </tp>
      <tp>
        <v>74</v>
        <stp/>
        <stp>VOLUME</stp>
        <stp>.SPXW250530P5840</stp>
        <tr r="I104" s="2"/>
        <tr r="I104" s="2"/>
      </tp>
      <tp>
        <v>2</v>
        <stp/>
        <stp>VOLUME</stp>
        <stp>.SPXW250731P5850</stp>
        <tr r="N103" s="2"/>
        <tr r="N103" s="2"/>
      </tp>
      <tp>
        <v>15</v>
        <stp/>
        <stp>VOLUME</stp>
        <stp>.SPXW250630P5840</stp>
        <tr r="L104" s="2"/>
        <tr r="L104" s="2"/>
      </tp>
      <tp t="s">
        <v>N/A</v>
        <stp/>
        <stp>VOLUME</stp>
        <stp>.NDXP251031P20700</stp>
        <tr r="T164" s="2"/>
      </tp>
      <tp>
        <v>3</v>
        <stp/>
        <stp>VOLUME</stp>
        <stp>.NDXP251231P20700</stp>
        <tr r="X164" s="2"/>
        <tr r="X164" s="2"/>
      </tp>
      <tp t="s">
        <v>N/A</v>
        <stp/>
        <stp>VOLUME</stp>
        <stp>.SPXW250930C5850</stp>
        <tr r="R103" s="2"/>
      </tp>
      <tp>
        <v>1267</v>
        <stp/>
        <stp>VOLUME</stp>
        <stp>.SPXW250530C5850</stp>
        <tr r="I103" s="2"/>
        <tr r="I103" s="2"/>
      </tp>
      <tp>
        <v>2</v>
        <stp/>
        <stp>VOLUME</stp>
        <stp>.SPXW250731C5840</stp>
        <tr r="N104" s="2"/>
        <tr r="N104" s="2"/>
      </tp>
      <tp>
        <v>2102</v>
        <stp/>
        <stp>VOLUME</stp>
        <stp>.SPXW250630C5850</stp>
        <tr r="L103" s="2"/>
        <tr r="L103" s="2"/>
      </tp>
      <tp t="s">
        <v>N/A</v>
        <stp/>
        <stp>VOLUME</stp>
        <stp>.SPXW251031C5840</stp>
        <tr r="T104" s="2"/>
      </tp>
      <tp t="s">
        <v>N/A</v>
        <stp/>
        <stp>VOLUME</stp>
        <stp>.SPXW251231C5840</stp>
        <tr r="X104" s="2"/>
      </tp>
      <tp t="s">
        <v>N/A</v>
        <stp/>
        <stp>VOLUME</stp>
        <stp>.SPXW251031P5840</stp>
        <tr r="T104" s="2"/>
      </tp>
      <tp t="s">
        <v>N/A</v>
        <stp/>
        <stp>VOLUME</stp>
        <stp>.SPXW251231P5840</stp>
        <tr r="X104" s="2"/>
      </tp>
      <tp>
        <v>9</v>
        <stp/>
        <stp>VOLUME</stp>
        <stp>.SPXW250930P5850</stp>
        <tr r="R103" s="2"/>
        <tr r="R103" s="2"/>
      </tp>
      <tp>
        <v>182</v>
        <stp/>
        <stp>VOLUME</stp>
        <stp>.SPXW250530P5850</stp>
        <tr r="I103" s="2"/>
        <tr r="I103" s="2"/>
      </tp>
      <tp>
        <v>3</v>
        <stp/>
        <stp>VOLUME</stp>
        <stp>.SPXW250731P5840</stp>
        <tr r="N104" s="2"/>
        <tr r="N104" s="2"/>
      </tp>
      <tp>
        <v>18</v>
        <stp/>
        <stp>VOLUME</stp>
        <stp>.SPXW250630P5850</stp>
        <tr r="L103" s="2"/>
        <tr r="L103" s="2"/>
      </tp>
      <tp t="s">
        <v>N/A</v>
        <stp/>
        <stp>VOLUME</stp>
        <stp>.NDXP250930P20625</stp>
        <tr r="R167" s="2"/>
      </tp>
      <tp>
        <v>103</v>
        <stp/>
        <stp>VOLUME</stp>
        <stp>.NDXP250512P20425</stp>
        <tr r="BB174" s="1"/>
        <tr r="BB174" s="1"/>
      </tp>
      <tp t="s">
        <v>N/A</v>
        <stp/>
        <stp>VOLUME</stp>
        <stp>.NDXP250530P20625</stp>
        <tr r="I167" s="2"/>
      </tp>
      <tp t="s">
        <v>N/A</v>
        <stp/>
        <stp>VOLUME</stp>
        <stp>.NDXP250606P21025</stp>
        <tr r="J151" s="2"/>
      </tp>
      <tp t="s">
        <v>N/A</v>
        <stp/>
        <stp>VOLUME</stp>
        <stp>.NDXP250630P20625</stp>
        <tr r="L167" s="2"/>
      </tp>
      <tp t="s">
        <v>N/A</v>
        <stp/>
        <stp>VOLUME</stp>
        <stp>.NDXP250731P20725</stp>
        <tr r="N163" s="2"/>
      </tp>
      <tp>
        <v>3</v>
        <stp/>
        <stp>VOLUME</stp>
        <stp>.SPXW250930C5860</stp>
        <tr r="R102" s="2"/>
        <tr r="R102" s="2"/>
      </tp>
      <tp>
        <v>203</v>
        <stp/>
        <stp>VOLUME</stp>
        <stp>.SPXW250530C5860</stp>
        <tr r="I102" s="2"/>
        <tr r="I102" s="2"/>
      </tp>
      <tp>
        <v>3</v>
        <stp/>
        <stp>VOLUME</stp>
        <stp>.SPXW250731C5870</stp>
        <tr r="N101" s="2"/>
        <tr r="N101" s="2"/>
      </tp>
      <tp>
        <v>10</v>
        <stp/>
        <stp>VOLUME</stp>
        <stp>.SPXW250630C5860</stp>
        <tr r="L102" s="2"/>
        <tr r="L102" s="2"/>
      </tp>
      <tp t="s">
        <v>N/A</v>
        <stp/>
        <stp>VOLUME</stp>
        <stp>.SPXW251031C5870</stp>
        <tr r="T101" s="2"/>
      </tp>
      <tp t="s">
        <v>N/A</v>
        <stp/>
        <stp>VOLUME</stp>
        <stp>.SPXW251231C5870</stp>
        <tr r="X101" s="2"/>
      </tp>
      <tp t="s">
        <v>N/A</v>
        <stp/>
        <stp>VOLUME</stp>
        <stp>.SPXW251031P5870</stp>
        <tr r="T101" s="2"/>
      </tp>
      <tp t="s">
        <v>N/A</v>
        <stp/>
        <stp>VOLUME</stp>
        <stp>.SPXW251231P5870</stp>
        <tr r="X101" s="2"/>
      </tp>
      <tp>
        <v>1</v>
        <stp/>
        <stp>VOLUME</stp>
        <stp>.SPXW250930P5860</stp>
        <tr r="R102" s="2"/>
        <tr r="R102" s="2"/>
      </tp>
      <tp>
        <v>55</v>
        <stp/>
        <stp>VOLUME</stp>
        <stp>.SPXW250530P5860</stp>
        <tr r="I102" s="2"/>
        <tr r="I102" s="2"/>
      </tp>
      <tp>
        <v>236</v>
        <stp/>
        <stp>VOLUME</stp>
        <stp>.SPXW250731P5870</stp>
        <tr r="N101" s="2"/>
        <tr r="N101" s="2"/>
      </tp>
      <tp t="s">
        <v>N/A</v>
        <stp/>
        <stp>VOLUME</stp>
        <stp>.SPXW250630P5860</stp>
        <tr r="L102" s="2"/>
      </tp>
      <tp t="s">
        <v>N/A</v>
        <stp/>
        <stp>VOLUME</stp>
        <stp>.NDXP251031P20725</stp>
        <tr r="T163" s="2"/>
      </tp>
      <tp t="s">
        <v>N/A</v>
        <stp/>
        <stp>VOLUME</stp>
        <stp>.NDXP251231P20725</stp>
        <tr r="X163" s="2"/>
      </tp>
      <tp>
        <v>2</v>
        <stp/>
        <stp>VOLUME</stp>
        <stp>.SPXW250930C5870</stp>
        <tr r="R101" s="2"/>
        <tr r="R101" s="2"/>
      </tp>
      <tp>
        <v>39</v>
        <stp/>
        <stp>VOLUME</stp>
        <stp>.SPXW250530C5870</stp>
        <tr r="I101" s="2"/>
        <tr r="I101" s="2"/>
      </tp>
      <tp>
        <v>8</v>
        <stp/>
        <stp>VOLUME</stp>
        <stp>.SPXW250731C5860</stp>
        <tr r="N102" s="2"/>
        <tr r="N102" s="2"/>
      </tp>
      <tp>
        <v>13</v>
        <stp/>
        <stp>VOLUME</stp>
        <stp>.SPXW250630C5870</stp>
        <tr r="L101" s="2"/>
        <tr r="L101" s="2"/>
      </tp>
      <tp t="s">
        <v>N/A</v>
        <stp/>
        <stp>VOLUME</stp>
        <stp>.SPXW251031C5860</stp>
        <tr r="T102" s="2"/>
      </tp>
      <tp t="s">
        <v>N/A</v>
        <stp/>
        <stp>VOLUME</stp>
        <stp>.SPXW251231C5860</stp>
        <tr r="X102" s="2"/>
      </tp>
      <tp>
        <v>2</v>
        <stp/>
        <stp>VOLUME</stp>
        <stp>.SPXW251031P5860</stp>
        <tr r="T102" s="2"/>
        <tr r="T102" s="2"/>
      </tp>
      <tp t="s">
        <v>N/A</v>
        <stp/>
        <stp>VOLUME</stp>
        <stp>.SPXW251231P5860</stp>
        <tr r="X102" s="2"/>
      </tp>
      <tp t="s">
        <v>N/A</v>
        <stp/>
        <stp>VOLUME</stp>
        <stp>.SPXW250930P5870</stp>
        <tr r="R101" s="2"/>
      </tp>
      <tp>
        <v>11</v>
        <stp/>
        <stp>VOLUME</stp>
        <stp>.SPXW250530P5870</stp>
        <tr r="I101" s="2"/>
        <tr r="I101" s="2"/>
      </tp>
      <tp>
        <v>118</v>
        <stp/>
        <stp>VOLUME</stp>
        <stp>.SPXW250731P5860</stp>
        <tr r="N102" s="2"/>
        <tr r="N102" s="2"/>
      </tp>
      <tp>
        <v>17</v>
        <stp/>
        <stp>VOLUME</stp>
        <stp>.SPXW250630P5870</stp>
        <tr r="L101" s="2"/>
        <tr r="L101" s="2"/>
      </tp>
      <tp>
        <v>-0.11</v>
        <stp/>
        <stp>DELTA</stp>
        <stp>.NDXP250512P20625</stp>
        <tr r="CE166" s="1"/>
        <tr r="CE166" s="1"/>
      </tp>
      <tp>
        <v>-0.1</v>
        <stp/>
        <stp>DELTA</stp>
        <stp>.NDXP250512P20600</stp>
        <tr r="CE167" s="1"/>
        <tr r="CE167" s="1"/>
      </tp>
      <tp>
        <v>-0.03</v>
        <stp/>
        <stp>DELTA</stp>
        <stp>.NDXP250512P20675</stp>
        <tr r="CE164" s="1"/>
        <tr r="CE164" s="1"/>
      </tp>
      <tp>
        <v>0</v>
        <stp/>
        <stp>DELTA</stp>
        <stp>.NDXP250512P20650</stp>
        <tr r="CE165" s="1"/>
        <tr r="CE165" s="1"/>
      </tp>
      <tp>
        <v>1</v>
        <stp/>
        <stp>DELTA</stp>
        <stp>.NDXP250512C20600</stp>
        <tr r="CD167" s="1"/>
        <tr r="CD167" s="1"/>
      </tp>
      <tp>
        <v>1</v>
        <stp/>
        <stp>DELTA</stp>
        <stp>.NDXP250512C20625</stp>
        <tr r="CD166" s="1"/>
        <tr r="CD166" s="1"/>
      </tp>
      <tp>
        <v>1</v>
        <stp/>
        <stp>DELTA</stp>
        <stp>.NDXP250512C20650</stp>
        <tr r="CD165" s="1"/>
        <tr r="CD165" s="1"/>
      </tp>
      <tp>
        <v>1</v>
        <stp/>
        <stp>DELTA</stp>
        <stp>.NDXP250512C20675</stp>
        <tr r="CD164" s="1"/>
        <tr r="CD164" s="1"/>
      </tp>
      <tp t="s">
        <v>N/A</v>
        <stp/>
        <stp>VOLUME</stp>
        <stp>.NDXP250930C20775</stp>
        <tr r="R161" s="2"/>
      </tp>
      <tp>
        <v>1</v>
        <stp/>
        <stp>VOLUME</stp>
        <stp>.NDXP250512C20575</stp>
        <tr r="BA168" s="1"/>
        <tr r="BA168" s="1"/>
      </tp>
      <tp t="s">
        <v>N/A</v>
        <stp/>
        <stp>VOLUME</stp>
        <stp>.NDXP250530C20775</stp>
        <tr r="I161" s="2"/>
      </tp>
      <tp t="s">
        <v>N/A</v>
        <stp/>
        <stp>VOLUME</stp>
        <stp>.NDXP250606C20175</stp>
        <tr r="J185" s="2"/>
      </tp>
      <tp t="s">
        <v>N/A</v>
        <stp/>
        <stp>VOLUME</stp>
        <stp>.NDXP250606C21175</stp>
        <tr r="J145" s="2"/>
      </tp>
      <tp t="s">
        <v>N/A</v>
        <stp/>
        <stp>VOLUME</stp>
        <stp>.NDXP250630C20775</stp>
        <tr r="L161" s="2"/>
      </tp>
      <tp t="s">
        <v>N/A</v>
        <stp/>
        <stp>VOLUME</stp>
        <stp>.NDXP250731C20675</stp>
        <tr r="N165" s="2"/>
      </tp>
      <tp t="s">
        <v>N/A</v>
        <stp/>
        <stp>VOLUME</stp>
        <stp>.NDXP251031C20675</stp>
        <tr r="T165" s="2"/>
      </tp>
      <tp t="s">
        <v>N/A</v>
        <stp/>
        <stp>VOLUME</stp>
        <stp>.NDXP251231C20675</stp>
        <tr r="X165" s="2"/>
      </tp>
      <tp t="s">
        <v>N/A</v>
        <stp/>
        <stp>VOLUME</stp>
        <stp>.NDXP250930C20750</stp>
        <tr r="R162" s="2"/>
      </tp>
      <tp>
        <v>10</v>
        <stp/>
        <stp>VOLUME</stp>
        <stp>.NDXP250512C20550</stp>
        <tr r="BA169" s="1"/>
        <tr r="BA169" s="1"/>
      </tp>
      <tp t="s">
        <v>N/A</v>
        <stp/>
        <stp>VOLUME</stp>
        <stp>.NDXP250530C20750</stp>
        <tr r="I162" s="2"/>
      </tp>
      <tp t="s">
        <v>N/A</v>
        <stp/>
        <stp>VOLUME</stp>
        <stp>.NDXP250731C20650</stp>
        <tr r="N166" s="2"/>
      </tp>
      <tp>
        <v>1</v>
        <stp/>
        <stp>VOLUME</stp>
        <stp>.NDXP250606C20150</stp>
        <tr r="J186" s="2"/>
        <tr r="J186" s="2"/>
      </tp>
      <tp>
        <v>2</v>
        <stp/>
        <stp>VOLUME</stp>
        <stp>.NDXP250606C21150</stp>
        <tr r="J146" s="2"/>
        <tr r="J146" s="2"/>
      </tp>
      <tp>
        <v>6</v>
        <stp/>
        <stp>VOLUME</stp>
        <stp>.NDXP250630C20750</stp>
        <tr r="L162" s="2"/>
        <tr r="L162" s="2"/>
      </tp>
      <tp t="s">
        <v>N/A</v>
        <stp/>
        <stp>VOLUME</stp>
        <stp>.NDXP251031C20650</stp>
        <tr r="T166" s="2"/>
      </tp>
      <tp t="s">
        <v>N/A</v>
        <stp/>
        <stp>VOLUME</stp>
        <stp>.NDXP251231C20650</stp>
        <tr r="X166" s="2"/>
      </tp>
      <tp t="s">
        <v>N/A</v>
        <stp/>
        <stp>VOLUME</stp>
        <stp>.NDXP251031C20625</stp>
        <tr r="T167" s="2"/>
      </tp>
      <tp t="s">
        <v>N/A</v>
        <stp/>
        <stp>VOLUME</stp>
        <stp>.NDXP251231C20625</stp>
        <tr r="X167" s="2"/>
      </tp>
      <tp t="s">
        <v>N/A</v>
        <stp/>
        <stp>VOLUME</stp>
        <stp>.NDXP250930C20725</stp>
        <tr r="R163" s="2"/>
      </tp>
      <tp>
        <v>9</v>
        <stp/>
        <stp>VOLUME</stp>
        <stp>.NDXP250512C20525</stp>
        <tr r="BA170" s="1"/>
        <tr r="BA170" s="1"/>
      </tp>
      <tp>
        <v>5</v>
        <stp/>
        <stp>VOLUME</stp>
        <stp>.NDXP250530C20725</stp>
        <tr r="I163" s="2"/>
        <tr r="I163" s="2"/>
      </tp>
      <tp>
        <v>1</v>
        <stp/>
        <stp>VOLUME</stp>
        <stp>.NDXP250606C20125</stp>
        <tr r="J187" s="2"/>
        <tr r="J187" s="2"/>
      </tp>
      <tp>
        <v>1</v>
        <stp/>
        <stp>VOLUME</stp>
        <stp>.NDXP250606C21125</stp>
        <tr r="J147" s="2"/>
        <tr r="J147" s="2"/>
      </tp>
      <tp t="s">
        <v>N/A</v>
        <stp/>
        <stp>VOLUME</stp>
        <stp>.NDXP250630C20725</stp>
        <tr r="L163" s="2"/>
      </tp>
      <tp t="s">
        <v>N/A</v>
        <stp/>
        <stp>VOLUME</stp>
        <stp>.NDXP250731C20625</stp>
        <tr r="N167" s="2"/>
      </tp>
      <tp t="s">
        <v>N/A</v>
        <stp/>
        <stp>VOLUME</stp>
        <stp>.NDXP251031C20600</stp>
        <tr r="T168" s="2"/>
      </tp>
      <tp t="s">
        <v>N/A</v>
        <stp/>
        <stp>VOLUME</stp>
        <stp>.NDXP251231C20600</stp>
        <tr r="X168" s="2"/>
      </tp>
      <tp t="s">
        <v>N/A</v>
        <stp/>
        <stp>VOLUME</stp>
        <stp>.NDXP250930C20700</stp>
        <tr r="R164" s="2"/>
      </tp>
      <tp>
        <v>46</v>
        <stp/>
        <stp>VOLUME</stp>
        <stp>.NDXP250512C20500</stp>
        <tr r="BA171" s="1"/>
        <tr r="BA171" s="1"/>
      </tp>
      <tp>
        <v>7</v>
        <stp/>
        <stp>VOLUME</stp>
        <stp>.NDXP250530C20700</stp>
        <tr r="I164" s="2"/>
        <tr r="I164" s="2"/>
      </tp>
      <tp t="s">
        <v>N/A</v>
        <stp/>
        <stp>VOLUME</stp>
        <stp>.NDXP250731C20600</stp>
        <tr r="N168" s="2"/>
      </tp>
      <tp t="s">
        <v>N/A</v>
        <stp/>
        <stp>VOLUME</stp>
        <stp>.NDXP250606C20100</stp>
        <tr r="J188" s="2"/>
      </tp>
      <tp>
        <v>1</v>
        <stp/>
        <stp>VOLUME</stp>
        <stp>.NDXP250606C21100</stp>
        <tr r="J148" s="2"/>
        <tr r="J148" s="2"/>
      </tp>
      <tp>
        <v>1</v>
        <stp/>
        <stp>VOLUME</stp>
        <stp>.NDXP250630C20700</stp>
        <tr r="L164" s="2"/>
        <tr r="L164" s="2"/>
      </tp>
      <tp>
        <v>3</v>
        <stp/>
        <stp>VOLUME</stp>
        <stp>.SPXW250930C5980</stp>
        <tr r="R90" s="2"/>
        <tr r="R90" s="2"/>
      </tp>
      <tp t="s">
        <v>N/A</v>
        <stp/>
        <stp>VOLUME</stp>
        <stp>.SPXW250829C5810</stp>
        <tr r="P107" s="2"/>
      </tp>
      <tp>
        <v>73</v>
        <stp/>
        <stp>VOLUME</stp>
        <stp>.SPXW250530C5980</stp>
        <tr r="I90" s="2"/>
        <tr r="I90" s="2"/>
      </tp>
      <tp>
        <v>14</v>
        <stp/>
        <stp>VOLUME</stp>
        <stp>.SPXW250731C5990</stp>
        <tr r="N89" s="2"/>
        <tr r="N89" s="2"/>
      </tp>
      <tp>
        <v>2</v>
        <stp/>
        <stp>VOLUME</stp>
        <stp>.SPXW250630C5980</stp>
        <tr r="L90" s="2"/>
        <tr r="L90" s="2"/>
      </tp>
      <tp t="s">
        <v>N/A</v>
        <stp/>
        <stp>VOLUME</stp>
        <stp>.SPXW251128C5800</stp>
        <tr r="V108" s="2"/>
      </tp>
      <tp t="s">
        <v>N/A</v>
        <stp/>
        <stp>VOLUME</stp>
        <stp>.SPXW251031C5990</stp>
        <tr r="T89" s="2"/>
      </tp>
      <tp t="s">
        <v>N/A</v>
        <stp/>
        <stp>VOLUME</stp>
        <stp>.SPXW251231C5990</stp>
        <tr r="X89" s="2"/>
      </tp>
      <tp t="s">
        <v>N/A</v>
        <stp/>
        <stp>VOLUME</stp>
        <stp>.SPXW251128P5800</stp>
        <tr r="V108" s="2"/>
      </tp>
      <tp t="s">
        <v>N/A</v>
        <stp/>
        <stp>VOLUME</stp>
        <stp>.SPXW251031P5990</stp>
        <tr r="T89" s="2"/>
      </tp>
      <tp t="s">
        <v>N/A</v>
        <stp/>
        <stp>VOLUME</stp>
        <stp>.SPXW251231P5990</stp>
        <tr r="X89" s="2"/>
      </tp>
      <tp t="s">
        <v>N/A</v>
        <stp/>
        <stp>VOLUME</stp>
        <stp>.SPXW250930P5980</stp>
        <tr r="R90" s="2"/>
      </tp>
      <tp>
        <v>2</v>
        <stp/>
        <stp>VOLUME</stp>
        <stp>.SPXW250829P5810</stp>
        <tr r="P107" s="2"/>
        <tr r="P107" s="2"/>
      </tp>
      <tp t="s">
        <v>N/A</v>
        <stp/>
        <stp>VOLUME</stp>
        <stp>.SPXW250530P5980</stp>
        <tr r="I90" s="2"/>
      </tp>
      <tp t="s">
        <v>N/A</v>
        <stp/>
        <stp>VOLUME</stp>
        <stp>.SPXW250731P5990</stp>
        <tr r="N89" s="2"/>
      </tp>
      <tp t="s">
        <v>N/A</v>
        <stp/>
        <stp>VOLUME</stp>
        <stp>.SPXW250630P5980</stp>
        <tr r="L90" s="2"/>
      </tp>
      <tp t="s">
        <v>N/A</v>
        <stp/>
        <stp>VOLUME</stp>
        <stp>.SPXW250930C5990</stp>
        <tr r="R89" s="2"/>
      </tp>
      <tp>
        <v>29</v>
        <stp/>
        <stp>VOLUME</stp>
        <stp>.SPXW250829C5800</stp>
        <tr r="P108" s="2"/>
        <tr r="P108" s="2"/>
      </tp>
      <tp>
        <v>18</v>
        <stp/>
        <stp>VOLUME</stp>
        <stp>.SPXW250530C5990</stp>
        <tr r="I89" s="2"/>
        <tr r="I89" s="2"/>
      </tp>
      <tp>
        <v>8</v>
        <stp/>
        <stp>VOLUME</stp>
        <stp>.SPXW250731C5980</stp>
        <tr r="N90" s="2"/>
        <tr r="N90" s="2"/>
      </tp>
      <tp>
        <v>58</v>
        <stp/>
        <stp>VOLUME</stp>
        <stp>.SPXW250630C5990</stp>
        <tr r="L89" s="2"/>
        <tr r="L89" s="2"/>
      </tp>
      <tp t="s">
        <v>N/A</v>
        <stp/>
        <stp>VOLUME</stp>
        <stp>.SPXW251128C5810</stp>
        <tr r="V107" s="2"/>
      </tp>
      <tp t="s">
        <v>N/A</v>
        <stp/>
        <stp>VOLUME</stp>
        <stp>.SPXW251031C5980</stp>
        <tr r="T90" s="2"/>
      </tp>
      <tp t="s">
        <v>N/A</v>
        <stp/>
        <stp>VOLUME</stp>
        <stp>.SPXW251231C5980</stp>
        <tr r="X90" s="2"/>
      </tp>
      <tp t="s">
        <v>N/A</v>
        <stp/>
        <stp>VOLUME</stp>
        <stp>.SPXW251128P5810</stp>
        <tr r="V107" s="2"/>
      </tp>
      <tp t="s">
        <v>N/A</v>
        <stp/>
        <stp>VOLUME</stp>
        <stp>.SPXW251031P5980</stp>
        <tr r="T90" s="2"/>
      </tp>
      <tp t="s">
        <v>N/A</v>
        <stp/>
        <stp>VOLUME</stp>
        <stp>.SPXW251231P5980</stp>
        <tr r="X90" s="2"/>
      </tp>
      <tp>
        <v>3</v>
        <stp/>
        <stp>VOLUME</stp>
        <stp>.SPXW250930P5990</stp>
        <tr r="R89" s="2"/>
        <tr r="R89" s="2"/>
      </tp>
      <tp>
        <v>5</v>
        <stp/>
        <stp>VOLUME</stp>
        <stp>.SPXW250829P5800</stp>
        <tr r="P108" s="2"/>
        <tr r="P108" s="2"/>
      </tp>
      <tp t="s">
        <v>N/A</v>
        <stp/>
        <stp>VOLUME</stp>
        <stp>.SPXW250530P5990</stp>
        <tr r="I89" s="2"/>
      </tp>
      <tp t="s">
        <v>N/A</v>
        <stp/>
        <stp>VOLUME</stp>
        <stp>.SPXW250731P5980</stp>
        <tr r="N90" s="2"/>
      </tp>
      <tp>
        <v>1</v>
        <stp/>
        <stp>VOLUME</stp>
        <stp>.SPXW250630P5990</stp>
        <tr r="L89" s="2"/>
        <tr r="L89" s="2"/>
      </tp>
      <tp t="s">
        <v>N/A</v>
        <stp/>
        <stp>VOLUME</stp>
        <stp>.SPXW250829C5830</stp>
        <tr r="P105" s="2"/>
      </tp>
      <tp t="s">
        <v>N/A</v>
        <stp/>
        <stp>VOLUME</stp>
        <stp>.SPXW251128C5820</stp>
        <tr r="V106" s="2"/>
      </tp>
      <tp t="s">
        <v>N/A</v>
        <stp/>
        <stp>VOLUME</stp>
        <stp>.SPXW251128P5820</stp>
        <tr r="V106" s="2"/>
      </tp>
      <tp t="s">
        <v>N/A</v>
        <stp/>
        <stp>VOLUME</stp>
        <stp>.SPXW250829P5830</stp>
        <tr r="P105" s="2"/>
      </tp>
      <tp>
        <v>4</v>
        <stp/>
        <stp>VOLUME</stp>
        <stp>.SPXW250829C5820</stp>
        <tr r="P106" s="2"/>
        <tr r="P106" s="2"/>
      </tp>
      <tp t="s">
        <v>N/A</v>
        <stp/>
        <stp>VOLUME</stp>
        <stp>.SPXW251128C5830</stp>
        <tr r="V105" s="2"/>
      </tp>
      <tp t="s">
        <v>N/A</v>
        <stp/>
        <stp>VOLUME</stp>
        <stp>.SPXW251128P5830</stp>
        <tr r="V105" s="2"/>
      </tp>
      <tp>
        <v>5</v>
        <stp/>
        <stp>VOLUME</stp>
        <stp>.SPXW250829P5820</stp>
        <tr r="P106" s="2"/>
        <tr r="P106" s="2"/>
      </tp>
      <tp>
        <v>2</v>
        <stp/>
        <stp>VOLUME</stp>
        <stp>.SPXW250829C5850</stp>
        <tr r="P103" s="2"/>
        <tr r="P103" s="2"/>
      </tp>
      <tp t="s">
        <v>N/A</v>
        <stp/>
        <stp>VOLUME</stp>
        <stp>.SPXW251128C5840</stp>
        <tr r="V104" s="2"/>
      </tp>
      <tp t="s">
        <v>N/A</v>
        <stp/>
        <stp>VOLUME</stp>
        <stp>.SPXW251128P5840</stp>
        <tr r="V104" s="2"/>
      </tp>
      <tp>
        <v>4</v>
        <stp/>
        <stp>VOLUME</stp>
        <stp>.SPXW250829P5850</stp>
        <tr r="P103" s="2"/>
        <tr r="P103" s="2"/>
      </tp>
      <tp>
        <v>22</v>
        <stp/>
        <stp>VOLUME</stp>
        <stp>.SPXW250829C5840</stp>
        <tr r="P104" s="2"/>
        <tr r="P104" s="2"/>
      </tp>
      <tp t="s">
        <v>N/A</v>
        <stp/>
        <stp>VOLUME</stp>
        <stp>.SPXW251128C5850</stp>
        <tr r="V103" s="2"/>
      </tp>
      <tp t="s">
        <v>N/A</v>
        <stp/>
        <stp>VOLUME</stp>
        <stp>.SPXW251128P5850</stp>
        <tr r="V103" s="2"/>
      </tp>
      <tp t="s">
        <v>N/A</v>
        <stp/>
        <stp>VOLUME</stp>
        <stp>.SPXW250829P5840</stp>
        <tr r="P104" s="2"/>
      </tp>
      <tp t="s">
        <v>N/A</v>
        <stp/>
        <stp>VOLUME</stp>
        <stp>.SPXW250829C5870</stp>
        <tr r="P101" s="2"/>
      </tp>
      <tp t="s">
        <v>N/A</v>
        <stp/>
        <stp>VOLUME</stp>
        <stp>.SPXW251128C5860</stp>
        <tr r="V102" s="2"/>
      </tp>
      <tp t="s">
        <v>N/A</v>
        <stp/>
        <stp>VOLUME</stp>
        <stp>.SPXW251128P5860</stp>
        <tr r="V102" s="2"/>
      </tp>
      <tp>
        <v>227</v>
        <stp/>
        <stp>VOLUME</stp>
        <stp>.SPXW250829P5870</stp>
        <tr r="P101" s="2"/>
        <tr r="P101" s="2"/>
      </tp>
      <tp>
        <v>238</v>
        <stp/>
        <stp>VOLUME</stp>
        <stp>.SPXW250829C5860</stp>
        <tr r="P102" s="2"/>
        <tr r="P102" s="2"/>
      </tp>
      <tp t="s">
        <v>N/A</v>
        <stp/>
        <stp>VOLUME</stp>
        <stp>.SPXW251128C5870</stp>
        <tr r="V101" s="2"/>
      </tp>
      <tp t="s">
        <v>N/A</v>
        <stp/>
        <stp>VOLUME</stp>
        <stp>.SPXW251128P5870</stp>
        <tr r="V101" s="2"/>
      </tp>
      <tp>
        <v>78</v>
        <stp/>
        <stp>VOLUME</stp>
        <stp>.SPXW250829P5860</stp>
        <tr r="P102" s="2"/>
        <tr r="P102" s="2"/>
      </tp>
      <tp t="s">
        <v>N/A</v>
        <stp/>
        <stp>VOLUME</stp>
        <stp>.NDXP251031P20650</stp>
        <tr r="T166" s="2"/>
      </tp>
      <tp t="s">
        <v>N/A</v>
        <stp/>
        <stp>VOLUME</stp>
        <stp>.NDXP251231P20650</stp>
        <tr r="X166" s="2"/>
      </tp>
      <tp>
        <v>5</v>
        <stp/>
        <stp>VOLUME</stp>
        <stp>.SPXW250930C5900</stp>
        <tr r="R98" s="2"/>
        <tr r="R98" s="2"/>
      </tp>
      <tp t="s">
        <v>N/A</v>
        <stp/>
        <stp>VOLUME</stp>
        <stp>.SPXW250829C5890</stp>
        <tr r="P99" s="2"/>
      </tp>
      <tp>
        <v>1041</v>
        <stp/>
        <stp>VOLUME</stp>
        <stp>.SPXW250530C5900</stp>
        <tr r="I98" s="2"/>
        <tr r="I98" s="2"/>
      </tp>
      <tp>
        <v>5</v>
        <stp/>
        <stp>VOLUME</stp>
        <stp>.SPXW250731C5910</stp>
        <tr r="N97" s="2"/>
        <tr r="N97" s="2"/>
      </tp>
      <tp>
        <v>314</v>
        <stp/>
        <stp>VOLUME</stp>
        <stp>.SPXW250630C5900</stp>
        <tr r="L98" s="2"/>
        <tr r="L98" s="2"/>
      </tp>
      <tp t="s">
        <v>N/A</v>
        <stp/>
        <stp>VOLUME</stp>
        <stp>.SPXW251128C5880</stp>
        <tr r="V100" s="2"/>
      </tp>
      <tp t="s">
        <v>N/A</v>
        <stp/>
        <stp>VOLUME</stp>
        <stp>.SPXW251031C5910</stp>
        <tr r="T97" s="2"/>
      </tp>
      <tp t="s">
        <v>N/A</v>
        <stp/>
        <stp>VOLUME</stp>
        <stp>.SPXW251231C5910</stp>
        <tr r="X97" s="2"/>
      </tp>
      <tp t="s">
        <v>N/A</v>
        <stp/>
        <stp>VOLUME</stp>
        <stp>.SPXW251128P5880</stp>
        <tr r="V100" s="2"/>
      </tp>
      <tp t="s">
        <v>N/A</v>
        <stp/>
        <stp>VOLUME</stp>
        <stp>.SPXW251031P5910</stp>
        <tr r="T97" s="2"/>
      </tp>
      <tp t="s">
        <v>N/A</v>
        <stp/>
        <stp>VOLUME</stp>
        <stp>.SPXW251231P5910</stp>
        <tr r="X97" s="2"/>
      </tp>
      <tp>
        <v>2</v>
        <stp/>
        <stp>VOLUME</stp>
        <stp>.SPXW250930P5900</stp>
        <tr r="R98" s="2"/>
        <tr r="R98" s="2"/>
      </tp>
      <tp>
        <v>220</v>
        <stp/>
        <stp>VOLUME</stp>
        <stp>.SPXW250829P5890</stp>
        <tr r="P99" s="2"/>
        <tr r="P99" s="2"/>
      </tp>
      <tp>
        <v>21632</v>
        <stp/>
        <stp>VOLUME</stp>
        <stp>.SPXW250530P5900</stp>
        <tr r="I98" s="2"/>
        <tr r="I98" s="2"/>
      </tp>
      <tp t="s">
        <v>N/A</v>
        <stp/>
        <stp>VOLUME</stp>
        <stp>.SPXW250731P5910</stp>
        <tr r="N97" s="2"/>
      </tp>
      <tp>
        <v>5</v>
        <stp/>
        <stp>VOLUME</stp>
        <stp>.SPXW250630P5900</stp>
        <tr r="L98" s="2"/>
        <tr r="L98" s="2"/>
      </tp>
      <tp t="s">
        <v>N/A</v>
        <stp/>
        <stp>VOLUME</stp>
        <stp>.NDXP250930P20750</stp>
        <tr r="R162" s="2"/>
      </tp>
      <tp>
        <v>314</v>
        <stp/>
        <stp>VOLUME</stp>
        <stp>.NDXP250512P20550</stp>
        <tr r="BB169" s="1"/>
        <tr r="BB169" s="1"/>
      </tp>
      <tp>
        <v>2</v>
        <stp/>
        <stp>VOLUME</stp>
        <stp>.NDXP250530P20750</stp>
        <tr r="I162" s="2"/>
        <tr r="I162" s="2"/>
      </tp>
      <tp t="s">
        <v>N/A</v>
        <stp/>
        <stp>VOLUME</stp>
        <stp>.NDXP250731P20650</stp>
        <tr r="N166" s="2"/>
      </tp>
      <tp t="s">
        <v>N/A</v>
        <stp/>
        <stp>VOLUME</stp>
        <stp>.NDXP250606P20150</stp>
        <tr r="J186" s="2"/>
      </tp>
      <tp t="s">
        <v>N/A</v>
        <stp/>
        <stp>VOLUME</stp>
        <stp>.NDXP250606P21150</stp>
        <tr r="J146" s="2"/>
      </tp>
      <tp>
        <v>1</v>
        <stp/>
        <stp>VOLUME</stp>
        <stp>.NDXP250630P20750</stp>
        <tr r="L162" s="2"/>
        <tr r="L162" s="2"/>
      </tp>
      <tp t="s">
        <v>N/A</v>
        <stp/>
        <stp>VOLUME</stp>
        <stp>.SPXW250930C5910</stp>
        <tr r="R97" s="2"/>
      </tp>
      <tp t="s">
        <v>N/A</v>
        <stp/>
        <stp>VOLUME</stp>
        <stp>.SPXW250829C5880</stp>
        <tr r="P100" s="2"/>
      </tp>
      <tp>
        <v>149</v>
        <stp/>
        <stp>VOLUME</stp>
        <stp>.SPXW250530C5910</stp>
        <tr r="I97" s="2"/>
        <tr r="I97" s="2"/>
      </tp>
      <tp>
        <v>327</v>
        <stp/>
        <stp>VOLUME</stp>
        <stp>.SPXW250731C5900</stp>
        <tr r="N98" s="2"/>
        <tr r="N98" s="2"/>
      </tp>
      <tp>
        <v>9</v>
        <stp/>
        <stp>VOLUME</stp>
        <stp>.SPXW250630C5910</stp>
        <tr r="L97" s="2"/>
        <tr r="L97" s="2"/>
      </tp>
      <tp t="s">
        <v>N/A</v>
        <stp/>
        <stp>VOLUME</stp>
        <stp>.SPXW251128C5890</stp>
        <tr r="V99" s="2"/>
      </tp>
      <tp t="s">
        <v>N/A</v>
        <stp/>
        <stp>VOLUME</stp>
        <stp>.SPXW251031C5900</stp>
        <tr r="T98" s="2"/>
      </tp>
      <tp>
        <v>6</v>
        <stp/>
        <stp>VOLUME</stp>
        <stp>.SPXW251231C5900</stp>
        <tr r="X98" s="2"/>
        <tr r="X98" s="2"/>
      </tp>
      <tp t="s">
        <v>N/A</v>
        <stp/>
        <stp>VOLUME</stp>
        <stp>.SPXW251128P5890</stp>
        <tr r="V99" s="2"/>
      </tp>
      <tp>
        <v>46</v>
        <stp/>
        <stp>VOLUME</stp>
        <stp>.SPXW251031P5900</stp>
        <tr r="T98" s="2"/>
        <tr r="T98" s="2"/>
      </tp>
      <tp>
        <v>40</v>
        <stp/>
        <stp>VOLUME</stp>
        <stp>.SPXW251231P5900</stp>
        <tr r="X98" s="2"/>
        <tr r="X98" s="2"/>
      </tp>
      <tp t="s">
        <v>N/A</v>
        <stp/>
        <stp>VOLUME</stp>
        <stp>.SPXW250930P5910</stp>
        <tr r="R97" s="2"/>
      </tp>
      <tp>
        <v>2</v>
        <stp/>
        <stp>VOLUME</stp>
        <stp>.SPXW250829P5880</stp>
        <tr r="P100" s="2"/>
        <tr r="P100" s="2"/>
      </tp>
      <tp t="s">
        <v>N/A</v>
        <stp/>
        <stp>VOLUME</stp>
        <stp>.SPXW250530P5910</stp>
        <tr r="I97" s="2"/>
      </tp>
      <tp>
        <v>93</v>
        <stp/>
        <stp>VOLUME</stp>
        <stp>.SPXW250731P5900</stp>
        <tr r="N98" s="2"/>
        <tr r="N98" s="2"/>
      </tp>
      <tp>
        <v>3</v>
        <stp/>
        <stp>VOLUME</stp>
        <stp>.SPXW250630P5910</stp>
        <tr r="L97" s="2"/>
        <tr r="L97" s="2"/>
      </tp>
      <tp t="s">
        <v>N/A</v>
        <stp/>
        <stp>VOLUME</stp>
        <stp>.NDXP251031P20675</stp>
        <tr r="T165" s="2"/>
      </tp>
      <tp t="s">
        <v>N/A</v>
        <stp/>
        <stp>VOLUME</stp>
        <stp>.NDXP251231P20675</stp>
        <tr r="X165" s="2"/>
      </tp>
      <tp t="s">
        <v>N/A</v>
        <stp/>
        <stp>VOLUME</stp>
        <stp>.SPXW250930C5920</stp>
        <tr r="R96" s="2"/>
      </tp>
      <tp>
        <v>40</v>
        <stp/>
        <stp>VOLUME</stp>
        <stp>.SPXW250530C5920</stp>
        <tr r="I96" s="2"/>
        <tr r="I96" s="2"/>
      </tp>
      <tp>
        <v>4</v>
        <stp/>
        <stp>VOLUME</stp>
        <stp>.SPXW250731C5930</stp>
        <tr r="N95" s="2"/>
        <tr r="N95" s="2"/>
      </tp>
      <tp>
        <v>175</v>
        <stp/>
        <stp>VOLUME</stp>
        <stp>.SPXW250630C5920</stp>
        <tr r="L96" s="2"/>
        <tr r="L96" s="2"/>
      </tp>
      <tp t="s">
        <v>N/A</v>
        <stp/>
        <stp>VOLUME</stp>
        <stp>.SPXW251031C5930</stp>
        <tr r="T95" s="2"/>
      </tp>
      <tp t="s">
        <v>N/A</v>
        <stp/>
        <stp>VOLUME</stp>
        <stp>.SPXW251231C5930</stp>
        <tr r="X95" s="2"/>
      </tp>
      <tp t="s">
        <v>N/A</v>
        <stp/>
        <stp>VOLUME</stp>
        <stp>.SPXW251031P5930</stp>
        <tr r="T95" s="2"/>
      </tp>
      <tp t="s">
        <v>N/A</v>
        <stp/>
        <stp>VOLUME</stp>
        <stp>.SPXW251231P5930</stp>
        <tr r="X95" s="2"/>
      </tp>
      <tp t="s">
        <v>N/A</v>
        <stp/>
        <stp>VOLUME</stp>
        <stp>.SPXW250930P5920</stp>
        <tr r="R96" s="2"/>
      </tp>
      <tp>
        <v>1</v>
        <stp/>
        <stp>VOLUME</stp>
        <stp>.SPXW250530P5920</stp>
        <tr r="I96" s="2"/>
        <tr r="I96" s="2"/>
      </tp>
      <tp t="s">
        <v>N/A</v>
        <stp/>
        <stp>VOLUME</stp>
        <stp>.SPXW250731P5930</stp>
        <tr r="N95" s="2"/>
      </tp>
      <tp>
        <v>18</v>
        <stp/>
        <stp>VOLUME</stp>
        <stp>.SPXW250630P5920</stp>
        <tr r="L96" s="2"/>
        <tr r="L96" s="2"/>
      </tp>
      <tp t="s">
        <v>N/A</v>
        <stp/>
        <stp>VOLUME</stp>
        <stp>.NDXP250930P20775</stp>
        <tr r="R161" s="2"/>
      </tp>
      <tp>
        <v>112</v>
        <stp/>
        <stp>VOLUME</stp>
        <stp>.NDXP250512P20575</stp>
        <tr r="BB168" s="1"/>
        <tr r="BB168" s="1"/>
      </tp>
      <tp t="s">
        <v>N/A</v>
        <stp/>
        <stp>VOLUME</stp>
        <stp>.NDXP250530P20775</stp>
        <tr r="I161" s="2"/>
      </tp>
      <tp t="s">
        <v>N/A</v>
        <stp/>
        <stp>VOLUME</stp>
        <stp>.NDXP250606P20175</stp>
        <tr r="J185" s="2"/>
      </tp>
      <tp t="s">
        <v>N/A</v>
        <stp/>
        <stp>VOLUME</stp>
        <stp>.NDXP250606P21175</stp>
        <tr r="J145" s="2"/>
      </tp>
      <tp t="s">
        <v>N/A</v>
        <stp/>
        <stp>VOLUME</stp>
        <stp>.NDXP250630P20775</stp>
        <tr r="L161" s="2"/>
      </tp>
      <tp t="s">
        <v>N/A</v>
        <stp/>
        <stp>VOLUME</stp>
        <stp>.NDXP250731P20675</stp>
        <tr r="N165" s="2"/>
      </tp>
      <tp>
        <v>1</v>
        <stp/>
        <stp>VOLUME</stp>
        <stp>.SPXW250930C5930</stp>
        <tr r="R95" s="2"/>
        <tr r="R95" s="2"/>
      </tp>
      <tp>
        <v>34</v>
        <stp/>
        <stp>VOLUME</stp>
        <stp>.SPXW250530C5930</stp>
        <tr r="I95" s="2"/>
        <tr r="I95" s="2"/>
      </tp>
      <tp>
        <v>92</v>
        <stp/>
        <stp>VOLUME</stp>
        <stp>.SPXW250731C5920</stp>
        <tr r="N96" s="2"/>
        <tr r="N96" s="2"/>
      </tp>
      <tp>
        <v>4</v>
        <stp/>
        <stp>VOLUME</stp>
        <stp>.SPXW250630C5930</stp>
        <tr r="L95" s="2"/>
        <tr r="L95" s="2"/>
      </tp>
      <tp t="s">
        <v>N/A</v>
        <stp/>
        <stp>VOLUME</stp>
        <stp>.SPXW251031C5920</stp>
        <tr r="T96" s="2"/>
      </tp>
      <tp t="s">
        <v>N/A</v>
        <stp/>
        <stp>VOLUME</stp>
        <stp>.SPXW251231C5920</stp>
        <tr r="X96" s="2"/>
      </tp>
      <tp t="s">
        <v>N/A</v>
        <stp/>
        <stp>VOLUME</stp>
        <stp>.SPXW251031P5920</stp>
        <tr r="T96" s="2"/>
      </tp>
      <tp t="s">
        <v>N/A</v>
        <stp/>
        <stp>VOLUME</stp>
        <stp>.SPXW251231P5920</stp>
        <tr r="X96" s="2"/>
      </tp>
      <tp>
        <v>2</v>
        <stp/>
        <stp>VOLUME</stp>
        <stp>.SPXW250930P5930</stp>
        <tr r="R95" s="2"/>
        <tr r="R95" s="2"/>
      </tp>
      <tp>
        <v>1</v>
        <stp/>
        <stp>VOLUME</stp>
        <stp>.SPXW250530P5930</stp>
        <tr r="I95" s="2"/>
        <tr r="I95" s="2"/>
      </tp>
      <tp t="s">
        <v>N/A</v>
        <stp/>
        <stp>VOLUME</stp>
        <stp>.SPXW250731P5920</stp>
        <tr r="N96" s="2"/>
      </tp>
      <tp>
        <v>7</v>
        <stp/>
        <stp>VOLUME</stp>
        <stp>.SPXW250630P5930</stp>
        <tr r="L95" s="2"/>
        <tr r="L95" s="2"/>
      </tp>
      <tp t="s">
        <v>N/A</v>
        <stp/>
        <stp>VOLUME</stp>
        <stp>.NDXP250930P20700</stp>
        <tr r="R164" s="2"/>
      </tp>
      <tp>
        <v>561</v>
        <stp/>
        <stp>VOLUME</stp>
        <stp>.NDXP250512P20500</stp>
        <tr r="BB171" s="1"/>
        <tr r="BB171" s="1"/>
      </tp>
      <tp>
        <v>5</v>
        <stp/>
        <stp>VOLUME</stp>
        <stp>.NDXP250530P20700</stp>
        <tr r="I164" s="2"/>
        <tr r="I164" s="2"/>
      </tp>
      <tp t="s">
        <v>N/A</v>
        <stp/>
        <stp>VOLUME</stp>
        <stp>.NDXP250731P20600</stp>
        <tr r="N168" s="2"/>
      </tp>
      <tp t="s">
        <v>N/A</v>
        <stp/>
        <stp>VOLUME</stp>
        <stp>.NDXP250606P20100</stp>
        <tr r="J188" s="2"/>
      </tp>
      <tp t="s">
        <v>N/A</v>
        <stp/>
        <stp>VOLUME</stp>
        <stp>.NDXP250606P21100</stp>
        <tr r="J148" s="2"/>
      </tp>
      <tp t="s">
        <v>N/A</v>
        <stp/>
        <stp>VOLUME</stp>
        <stp>.NDXP250630P20700</stp>
        <tr r="L164" s="2"/>
      </tp>
      <tp t="s">
        <v>N/A</v>
        <stp/>
        <stp>VOLUME</stp>
        <stp>.SPXW250930C5940</stp>
        <tr r="R94" s="2"/>
      </tp>
      <tp>
        <v>185</v>
        <stp/>
        <stp>VOLUME</stp>
        <stp>.SPXW250530C5940</stp>
        <tr r="I94" s="2"/>
        <tr r="I94" s="2"/>
      </tp>
      <tp>
        <v>1</v>
        <stp/>
        <stp>VOLUME</stp>
        <stp>.SPXW250731C5950</stp>
        <tr r="N93" s="2"/>
        <tr r="N93" s="2"/>
      </tp>
      <tp>
        <v>52</v>
        <stp/>
        <stp>VOLUME</stp>
        <stp>.SPXW250630C5940</stp>
        <tr r="L94" s="2"/>
        <tr r="L94" s="2"/>
      </tp>
      <tp t="s">
        <v>N/A</v>
        <stp/>
        <stp>VOLUME</stp>
        <stp>.SPXW251031C5950</stp>
        <tr r="T93" s="2"/>
      </tp>
      <tp>
        <v>1</v>
        <stp/>
        <stp>VOLUME</stp>
        <stp>.SPXW251231C5950</stp>
        <tr r="X93" s="2"/>
        <tr r="X93" s="2"/>
      </tp>
      <tp t="s">
        <v>N/A</v>
        <stp/>
        <stp>VOLUME</stp>
        <stp>.SPXW251031P5950</stp>
        <tr r="T93" s="2"/>
      </tp>
      <tp>
        <v>1</v>
        <stp/>
        <stp>VOLUME</stp>
        <stp>.SPXW251231P5950</stp>
        <tr r="X93" s="2"/>
        <tr r="X93" s="2"/>
      </tp>
      <tp t="s">
        <v>N/A</v>
        <stp/>
        <stp>VOLUME</stp>
        <stp>.SPXW250930P5940</stp>
        <tr r="R94" s="2"/>
      </tp>
      <tp>
        <v>5</v>
        <stp/>
        <stp>VOLUME</stp>
        <stp>.SPXW250530P5940</stp>
        <tr r="I94" s="2"/>
        <tr r="I94" s="2"/>
      </tp>
      <tp t="s">
        <v>N/A</v>
        <stp/>
        <stp>VOLUME</stp>
        <stp>.SPXW250731P5950</stp>
        <tr r="N93" s="2"/>
      </tp>
      <tp t="s">
        <v>N/A</v>
        <stp/>
        <stp>VOLUME</stp>
        <stp>.SPXW250630P5940</stp>
        <tr r="L94" s="2"/>
      </tp>
      <tp t="s">
        <v>N/A</v>
        <stp/>
        <stp>VOLUME</stp>
        <stp>.NDXP251031P20600</stp>
        <tr r="T168" s="2"/>
      </tp>
      <tp t="s">
        <v>N/A</v>
        <stp/>
        <stp>VOLUME</stp>
        <stp>.NDXP251231P20600</stp>
        <tr r="X168" s="2"/>
      </tp>
      <tp>
        <v>1</v>
        <stp/>
        <stp>VOLUME</stp>
        <stp>.SPXW250930C5950</stp>
        <tr r="R93" s="2"/>
        <tr r="R93" s="2"/>
      </tp>
      <tp>
        <v>621</v>
        <stp/>
        <stp>VOLUME</stp>
        <stp>.SPXW250530C5950</stp>
        <tr r="I93" s="2"/>
        <tr r="I93" s="2"/>
      </tp>
      <tp t="s">
        <v>N/A</v>
        <stp/>
        <stp>VOLUME</stp>
        <stp>.SPXW250731C5940</stp>
        <tr r="N94" s="2"/>
      </tp>
      <tp>
        <v>232</v>
        <stp/>
        <stp>VOLUME</stp>
        <stp>.SPXW250630C5950</stp>
        <tr r="L93" s="2"/>
        <tr r="L93" s="2"/>
      </tp>
      <tp t="s">
        <v>N/A</v>
        <stp/>
        <stp>VOLUME</stp>
        <stp>.SPXW251031C5940</stp>
        <tr r="T94" s="2"/>
      </tp>
      <tp t="s">
        <v>N/A</v>
        <stp/>
        <stp>VOLUME</stp>
        <stp>.SPXW251231C5940</stp>
        <tr r="X94" s="2"/>
      </tp>
      <tp t="s">
        <v>N/A</v>
        <stp/>
        <stp>VOLUME</stp>
        <stp>.SPXW251031P5940</stp>
        <tr r="T94" s="2"/>
      </tp>
      <tp t="s">
        <v>N/A</v>
        <stp/>
        <stp>VOLUME</stp>
        <stp>.SPXW251231P5940</stp>
        <tr r="X94" s="2"/>
      </tp>
      <tp>
        <v>10</v>
        <stp/>
        <stp>VOLUME</stp>
        <stp>.SPXW250930P5950</stp>
        <tr r="R93" s="2"/>
        <tr r="R93" s="2"/>
      </tp>
      <tp>
        <v>17</v>
        <stp/>
        <stp>VOLUME</stp>
        <stp>.SPXW250530P5950</stp>
        <tr r="I93" s="2"/>
        <tr r="I93" s="2"/>
      </tp>
      <tp t="s">
        <v>N/A</v>
        <stp/>
        <stp>VOLUME</stp>
        <stp>.SPXW250731P5940</stp>
        <tr r="N94" s="2"/>
      </tp>
      <tp>
        <v>1</v>
        <stp/>
        <stp>VOLUME</stp>
        <stp>.SPXW250630P5950</stp>
        <tr r="L93" s="2"/>
        <tr r="L93" s="2"/>
      </tp>
      <tp t="s">
        <v>N/A</v>
        <stp/>
        <stp>VOLUME</stp>
        <stp>.NDXP250930P20725</stp>
        <tr r="R163" s="2"/>
      </tp>
      <tp>
        <v>130</v>
        <stp/>
        <stp>VOLUME</stp>
        <stp>.NDXP250512P20525</stp>
        <tr r="BB170" s="1"/>
        <tr r="BB170" s="1"/>
      </tp>
      <tp t="s">
        <v>N/A</v>
        <stp/>
        <stp>VOLUME</stp>
        <stp>.NDXP250530P20725</stp>
        <tr r="I163" s="2"/>
      </tp>
      <tp t="s">
        <v>N/A</v>
        <stp/>
        <stp>VOLUME</stp>
        <stp>.NDXP250606P20125</stp>
        <tr r="J187" s="2"/>
      </tp>
      <tp t="s">
        <v>N/A</v>
        <stp/>
        <stp>VOLUME</stp>
        <stp>.NDXP250606P21125</stp>
        <tr r="J147" s="2"/>
      </tp>
      <tp t="s">
        <v>N/A</v>
        <stp/>
        <stp>VOLUME</stp>
        <stp>.NDXP250630P20725</stp>
        <tr r="L163" s="2"/>
      </tp>
      <tp t="s">
        <v>N/A</v>
        <stp/>
        <stp>VOLUME</stp>
        <stp>.NDXP250731P20625</stp>
        <tr r="N167" s="2"/>
      </tp>
      <tp t="s">
        <v>N/A</v>
        <stp/>
        <stp>VOLUME</stp>
        <stp>.SPXW250930C5960</stp>
        <tr r="R92" s="2"/>
      </tp>
      <tp>
        <v>217</v>
        <stp/>
        <stp>VOLUME</stp>
        <stp>.SPXW250530C5960</stp>
        <tr r="I92" s="2"/>
        <tr r="I92" s="2"/>
      </tp>
      <tp>
        <v>3</v>
        <stp/>
        <stp>VOLUME</stp>
        <stp>.SPXW250731C5970</stp>
        <tr r="N91" s="2"/>
        <tr r="N91" s="2"/>
      </tp>
      <tp>
        <v>10</v>
        <stp/>
        <stp>VOLUME</stp>
        <stp>.SPXW250630C5960</stp>
        <tr r="L92" s="2"/>
        <tr r="L92" s="2"/>
      </tp>
      <tp t="s">
        <v>N/A</v>
        <stp/>
        <stp>VOLUME</stp>
        <stp>.SPXW251031C5970</stp>
        <tr r="T91" s="2"/>
      </tp>
      <tp t="s">
        <v>N/A</v>
        <stp/>
        <stp>VOLUME</stp>
        <stp>.SPXW251231C5970</stp>
        <tr r="X91" s="2"/>
      </tp>
      <tp t="s">
        <v>N/A</v>
        <stp/>
        <stp>VOLUME</stp>
        <stp>.SPXW251031P5970</stp>
        <tr r="T91" s="2"/>
      </tp>
      <tp t="s">
        <v>N/A</v>
        <stp/>
        <stp>VOLUME</stp>
        <stp>.SPXW251231P5970</stp>
        <tr r="X91" s="2"/>
      </tp>
      <tp t="s">
        <v>N/A</v>
        <stp/>
        <stp>VOLUME</stp>
        <stp>.SPXW250930P5960</stp>
        <tr r="R92" s="2"/>
      </tp>
      <tp t="s">
        <v>N/A</v>
        <stp/>
        <stp>VOLUME</stp>
        <stp>.SPXW250530P5960</stp>
        <tr r="I92" s="2"/>
      </tp>
      <tp>
        <v>2</v>
        <stp/>
        <stp>VOLUME</stp>
        <stp>.SPXW250731P5970</stp>
        <tr r="N91" s="2"/>
        <tr r="N91" s="2"/>
      </tp>
      <tp t="s">
        <v>N/A</v>
        <stp/>
        <stp>VOLUME</stp>
        <stp>.SPXW250630P5960</stp>
        <tr r="L92" s="2"/>
      </tp>
      <tp t="s">
        <v>N/A</v>
        <stp/>
        <stp>VOLUME</stp>
        <stp>.NDXP251031P20625</stp>
        <tr r="T167" s="2"/>
      </tp>
      <tp t="s">
        <v>N/A</v>
        <stp/>
        <stp>VOLUME</stp>
        <stp>.NDXP251231P20625</stp>
        <tr r="X167" s="2"/>
      </tp>
      <tp t="s">
        <v>N/A</v>
        <stp/>
        <stp>VOLUME</stp>
        <stp>.SPXW250930C5970</stp>
        <tr r="R91" s="2"/>
      </tp>
      <tp>
        <v>98</v>
        <stp/>
        <stp>VOLUME</stp>
        <stp>.SPXW250530C5970</stp>
        <tr r="I91" s="2"/>
        <tr r="I91" s="2"/>
      </tp>
      <tp t="s">
        <v>N/A</v>
        <stp/>
        <stp>VOLUME</stp>
        <stp>.SPXW250731C5960</stp>
        <tr r="N92" s="2"/>
      </tp>
      <tp t="s">
        <v>N/A</v>
        <stp/>
        <stp>VOLUME</stp>
        <stp>.SPXW250630C5970</stp>
        <tr r="L91" s="2"/>
      </tp>
      <tp t="s">
        <v>N/A</v>
        <stp/>
        <stp>VOLUME</stp>
        <stp>.SPXW251031C5960</stp>
        <tr r="T92" s="2"/>
      </tp>
      <tp t="s">
        <v>N/A</v>
        <stp/>
        <stp>VOLUME</stp>
        <stp>.SPXW251231C5960</stp>
        <tr r="X92" s="2"/>
      </tp>
      <tp t="s">
        <v>N/A</v>
        <stp/>
        <stp>VOLUME</stp>
        <stp>.SPXW251031P5960</stp>
        <tr r="T92" s="2"/>
      </tp>
      <tp t="s">
        <v>N/A</v>
        <stp/>
        <stp>VOLUME</stp>
        <stp>.SPXW251231P5960</stp>
        <tr r="X92" s="2"/>
      </tp>
      <tp t="s">
        <v>N/A</v>
        <stp/>
        <stp>VOLUME</stp>
        <stp>.SPXW250930P5970</stp>
        <tr r="R91" s="2"/>
      </tp>
      <tp t="s">
        <v>N/A</v>
        <stp/>
        <stp>VOLUME</stp>
        <stp>.SPXW250530P5970</stp>
        <tr r="I91" s="2"/>
      </tp>
      <tp t="s">
        <v>N/A</v>
        <stp/>
        <stp>VOLUME</stp>
        <stp>.SPXW250731P5960</stp>
        <tr r="N92" s="2"/>
      </tp>
      <tp>
        <v>2</v>
        <stp/>
        <stp>VOLUME</stp>
        <stp>.SPXW250630P5970</stp>
        <tr r="L91" s="2"/>
        <tr r="L91" s="2"/>
      </tp>
      <tp>
        <v>-0.05</v>
        <stp/>
        <stp>DELTA</stp>
        <stp>.NDXP250512P20125</stp>
        <tr r="CE186" s="1"/>
        <tr r="CE186" s="1"/>
      </tp>
      <tp t="s">
        <v>N/A</v>
        <stp/>
        <stp>DELTA</stp>
        <stp>.NDXP250512P21125</stp>
        <tr r="CE146" s="1"/>
      </tp>
      <tp>
        <v>-0.05</v>
        <stp/>
        <stp>DELTA</stp>
        <stp>.NDXP250512P20100</stp>
        <tr r="CE187" s="1"/>
        <tr r="CE187" s="1"/>
      </tp>
      <tp>
        <v>-0.92</v>
        <stp/>
        <stp>DELTA</stp>
        <stp>.NDXP250512P21100</stp>
        <tr r="CE147" s="1"/>
        <tr r="CE147" s="1"/>
      </tp>
      <tp>
        <v>-0.05</v>
        <stp/>
        <stp>DELTA</stp>
        <stp>.NDXP250512P20175</stp>
        <tr r="CE184" s="1"/>
        <tr r="CE184" s="1"/>
      </tp>
      <tp t="s">
        <v>N/A</v>
        <stp/>
        <stp>DELTA</stp>
        <stp>.NDXP250512P21175</stp>
        <tr r="CE144" s="1"/>
      </tp>
      <tp>
        <v>-0.05</v>
        <stp/>
        <stp>DELTA</stp>
        <stp>.NDXP250512P20150</stp>
        <tr r="CE185" s="1"/>
        <tr r="CE185" s="1"/>
      </tp>
      <tp>
        <v>-0.93</v>
        <stp/>
        <stp>DELTA</stp>
        <stp>.NDXP250512P21150</stp>
        <tr r="CE145" s="1"/>
        <tr r="CE145" s="1"/>
      </tp>
      <tp>
        <v>1</v>
        <stp/>
        <stp>DELTA</stp>
        <stp>.NDXP250512C20100</stp>
        <tr r="CD187" s="1"/>
        <tr r="CD187" s="1"/>
      </tp>
      <tp>
        <v>0.11</v>
        <stp/>
        <stp>DELTA</stp>
        <stp>.NDXP250512C21100</stp>
        <tr r="CD147" s="1"/>
        <tr r="CD147" s="1"/>
      </tp>
      <tp>
        <v>1</v>
        <stp/>
        <stp>DELTA</stp>
        <stp>.NDXP250512C20125</stp>
        <tr r="CD186" s="1"/>
        <tr r="CD186" s="1"/>
      </tp>
      <tp t="s">
        <v>N/A</v>
        <stp/>
        <stp>DELTA</stp>
        <stp>.NDXP250512C21125</stp>
        <tr r="CD146" s="1"/>
      </tp>
      <tp>
        <v>1</v>
        <stp/>
        <stp>DELTA</stp>
        <stp>.NDXP250512C20150</stp>
        <tr r="CD185" s="1"/>
        <tr r="CD185" s="1"/>
      </tp>
      <tp>
        <v>0</v>
        <stp/>
        <stp>DELTA</stp>
        <stp>.NDXP250512C21150</stp>
        <tr r="CD145" s="1"/>
        <tr r="CD145" s="1"/>
      </tp>
      <tp>
        <v>1</v>
        <stp/>
        <stp>DELTA</stp>
        <stp>.NDXP250512C20175</stp>
        <tr r="CD184" s="1"/>
        <tr r="CD184" s="1"/>
      </tp>
      <tp t="s">
        <v>N/A</v>
        <stp/>
        <stp>DELTA</stp>
        <stp>.NDXP250512C21175</stp>
        <tr r="CD144" s="1"/>
      </tp>
      <tp t="s">
        <v>N/A</v>
        <stp/>
        <stp>VOLUME</stp>
        <stp>.NDXP250829C20975</stp>
        <tr r="P153" s="2"/>
      </tp>
      <tp t="s">
        <v>N/A</v>
        <stp/>
        <stp>VOLUME</stp>
        <stp>.NDXP250930C21075</stp>
        <tr r="R149" s="2"/>
      </tp>
      <tp t="s">
        <v>N/A</v>
        <stp/>
        <stp>VOLUME</stp>
        <stp>.NDXP250930C20075</stp>
        <tr r="R189" s="2"/>
      </tp>
      <tp t="s">
        <v>N/A</v>
        <stp/>
        <stp>VOLUME</stp>
        <stp>.NDXP250512C21275</stp>
        <tr r="BA140" s="1"/>
      </tp>
      <tp t="s">
        <v>N/A</v>
        <stp/>
        <stp>VOLUME</stp>
        <stp>.NDXP250512C20275</stp>
        <tr r="BA180" s="1"/>
      </tp>
      <tp t="s">
        <v>N/A</v>
        <stp/>
        <stp>VOLUME</stp>
        <stp>.NDXP250530C21075</stp>
        <tr r="I149" s="2"/>
      </tp>
      <tp t="s">
        <v>N/A</v>
        <stp/>
        <stp>VOLUME</stp>
        <stp>.NDXP250530C20075</stp>
        <tr r="I189" s="2"/>
      </tp>
      <tp t="s">
        <v>N/A</v>
        <stp/>
        <stp>VOLUME</stp>
        <stp>.NDXP250606C20675</stp>
        <tr r="J165" s="2"/>
      </tp>
      <tp t="s">
        <v>N/A</v>
        <stp/>
        <stp>VOLUME</stp>
        <stp>.NDXP250630C21075</stp>
        <tr r="L149" s="2"/>
      </tp>
      <tp t="s">
        <v>N/A</v>
        <stp/>
        <stp>VOLUME</stp>
        <stp>.NDXP250630C20075</stp>
        <tr r="L189" s="2"/>
      </tp>
      <tp t="s">
        <v>N/A</v>
        <stp/>
        <stp>VOLUME</stp>
        <stp>.NDXP250731C21175</stp>
        <tr r="N145" s="2"/>
      </tp>
      <tp t="s">
        <v>N/A</v>
        <stp/>
        <stp>VOLUME</stp>
        <stp>.NDXP250731C20175</stp>
        <tr r="N185" s="2"/>
      </tp>
      <tp t="s">
        <v>N/A</v>
        <stp/>
        <stp>VOLUME</stp>
        <stp>.NDXP251031C21175</stp>
        <tr r="T145" s="2"/>
      </tp>
      <tp t="s">
        <v>N/A</v>
        <stp/>
        <stp>VOLUME</stp>
        <stp>.NDXP251031C20175</stp>
        <tr r="T185" s="2"/>
      </tp>
      <tp t="s">
        <v>N/A</v>
        <stp/>
        <stp>VOLUME</stp>
        <stp>.NDXP251128C20875</stp>
        <tr r="V157" s="2"/>
      </tp>
      <tp t="s">
        <v>N/A</v>
        <stp/>
        <stp>VOLUME</stp>
        <stp>.NDXP251231C21175</stp>
        <tr r="X145" s="2"/>
      </tp>
      <tp t="s">
        <v>N/A</v>
        <stp/>
        <stp>VOLUME</stp>
        <stp>.NDXP251231C20175</stp>
        <tr r="X185" s="2"/>
      </tp>
      <tp t="s">
        <v>N/A</v>
        <stp/>
        <stp>VOLUME</stp>
        <stp>.NDXP250930C21050</stp>
        <tr r="R150" s="2"/>
      </tp>
      <tp t="s">
        <v>N/A</v>
        <stp/>
        <stp>VOLUME</stp>
        <stp>.NDXP250930C20050</stp>
        <tr r="R190" s="2"/>
      </tp>
      <tp t="s">
        <v>N/A</v>
        <stp/>
        <stp>VOLUME</stp>
        <stp>.NDXP250829C20950</stp>
        <tr r="P154" s="2"/>
      </tp>
      <tp>
        <v>113</v>
        <stp/>
        <stp>VOLUME</stp>
        <stp>.NDXP250512C21250</stp>
        <tr r="BA141" s="1"/>
        <tr r="BA141" s="1"/>
      </tp>
      <tp>
        <v>8</v>
        <stp/>
        <stp>VOLUME</stp>
        <stp>.NDXP250512C20250</stp>
        <tr r="BA181" s="1"/>
        <tr r="BA181" s="1"/>
      </tp>
      <tp t="s">
        <v>N/A</v>
        <stp/>
        <stp>VOLUME</stp>
        <stp>.NDXP250530C21050</stp>
        <tr r="I150" s="2"/>
      </tp>
      <tp t="s">
        <v>N/A</v>
        <stp/>
        <stp>VOLUME</stp>
        <stp>.NDXP250530C20050</stp>
        <tr r="I190" s="2"/>
      </tp>
      <tp t="s">
        <v>N/A</v>
        <stp/>
        <stp>VOLUME</stp>
        <stp>.NDXP250731C21150</stp>
        <tr r="N146" s="2"/>
      </tp>
      <tp t="s">
        <v>N/A</v>
        <stp/>
        <stp>VOLUME</stp>
        <stp>.NDXP250731C20150</stp>
        <tr r="N186" s="2"/>
      </tp>
      <tp t="s">
        <v>N/A</v>
        <stp/>
        <stp>VOLUME</stp>
        <stp>.NDXP250606C20650</stp>
        <tr r="J166" s="2"/>
      </tp>
      <tp t="s">
        <v>N/A</v>
        <stp/>
        <stp>VOLUME</stp>
        <stp>.NDXP250630C21050</stp>
        <tr r="L150" s="2"/>
      </tp>
      <tp t="s">
        <v>N/A</v>
        <stp/>
        <stp>VOLUME</stp>
        <stp>.NDXP250630C20050</stp>
        <tr r="L190" s="2"/>
      </tp>
      <tp t="s">
        <v>N/A</v>
        <stp/>
        <stp>VOLUME</stp>
        <stp>.NDXP251128C20850</stp>
        <tr r="V158" s="2"/>
      </tp>
      <tp t="s">
        <v>N/A</v>
        <stp/>
        <stp>VOLUME</stp>
        <stp>.NDXP251031C21150</stp>
        <tr r="T146" s="2"/>
      </tp>
      <tp t="s">
        <v>N/A</v>
        <stp/>
        <stp>VOLUME</stp>
        <stp>.NDXP251031C20150</stp>
        <tr r="T186" s="2"/>
      </tp>
      <tp t="s">
        <v>N/A</v>
        <stp/>
        <stp>VOLUME</stp>
        <stp>.NDXP251231C21150</stp>
        <tr r="X146" s="2"/>
      </tp>
      <tp t="s">
        <v>N/A</v>
        <stp/>
        <stp>VOLUME</stp>
        <stp>.NDXP251231C20150</stp>
        <tr r="X186" s="2"/>
      </tp>
      <tp t="s">
        <v>N/A</v>
        <stp/>
        <stp>VOLUME</stp>
        <stp>.NDXP251031C21125</stp>
        <tr r="T147" s="2"/>
      </tp>
      <tp t="s">
        <v>N/A</v>
        <stp/>
        <stp>VOLUME</stp>
        <stp>.NDXP251031C20125</stp>
        <tr r="T187" s="2"/>
      </tp>
      <tp t="s">
        <v>N/A</v>
        <stp/>
        <stp>VOLUME</stp>
        <stp>.NDXP251128C20825</stp>
        <tr r="V159" s="2"/>
      </tp>
      <tp t="s">
        <v>N/A</v>
        <stp/>
        <stp>VOLUME</stp>
        <stp>.NDXP251231C21125</stp>
        <tr r="X147" s="2"/>
      </tp>
      <tp t="s">
        <v>N/A</v>
        <stp/>
        <stp>VOLUME</stp>
        <stp>.NDXP251231C20125</stp>
        <tr r="X187" s="2"/>
      </tp>
      <tp t="s">
        <v>N/A</v>
        <stp/>
        <stp>VOLUME</stp>
        <stp>.NDXP250829C20925</stp>
        <tr r="P155" s="2"/>
      </tp>
      <tp t="s">
        <v>N/A</v>
        <stp/>
        <stp>VOLUME</stp>
        <stp>.NDXP250930C21025</stp>
        <tr r="R151" s="2"/>
      </tp>
      <tp t="s">
        <v>N/A</v>
        <stp/>
        <stp>VOLUME</stp>
        <stp>.NDXP250512C21225</stp>
        <tr r="BA142" s="1"/>
      </tp>
      <tp>
        <v>7</v>
        <stp/>
        <stp>VOLUME</stp>
        <stp>.NDXP250512C20225</stp>
        <tr r="BA182" s="1"/>
        <tr r="BA182" s="1"/>
      </tp>
      <tp>
        <v>1</v>
        <stp/>
        <stp>VOLUME</stp>
        <stp>.NDXP250530C21025</stp>
        <tr r="I151" s="2"/>
        <tr r="I151" s="2"/>
      </tp>
      <tp t="s">
        <v>N/A</v>
        <stp/>
        <stp>VOLUME</stp>
        <stp>.NDXP250606C20625</stp>
        <tr r="J167" s="2"/>
      </tp>
      <tp t="s">
        <v>N/A</v>
        <stp/>
        <stp>VOLUME</stp>
        <stp>.NDXP250630C21025</stp>
        <tr r="L151" s="2"/>
      </tp>
      <tp t="s">
        <v>N/A</v>
        <stp/>
        <stp>VOLUME</stp>
        <stp>.NDXP250731C21125</stp>
        <tr r="N147" s="2"/>
      </tp>
      <tp t="s">
        <v>N/A</v>
        <stp/>
        <stp>VOLUME</stp>
        <stp>.NDXP250731C20125</stp>
        <tr r="N187" s="2"/>
      </tp>
      <tp t="s">
        <v>N/A</v>
        <stp/>
        <stp>VOLUME</stp>
        <stp>.NDXP251128C20800</stp>
        <tr r="V160" s="2"/>
      </tp>
      <tp t="s">
        <v>N/A</v>
        <stp/>
        <stp>VOLUME</stp>
        <stp>.NDXP251031C21100</stp>
        <tr r="T148" s="2"/>
      </tp>
      <tp t="s">
        <v>N/A</v>
        <stp/>
        <stp>VOLUME</stp>
        <stp>.NDXP251031C20100</stp>
        <tr r="T188" s="2"/>
      </tp>
      <tp t="s">
        <v>N/A</v>
        <stp/>
        <stp>VOLUME</stp>
        <stp>.NDXP251231C21100</stp>
        <tr r="X148" s="2"/>
      </tp>
      <tp t="s">
        <v>N/A</v>
        <stp/>
        <stp>VOLUME</stp>
        <stp>.NDXP251231C20100</stp>
        <tr r="X188" s="2"/>
      </tp>
      <tp t="s">
        <v>N/A</v>
        <stp/>
        <stp>VOLUME</stp>
        <stp>.NDXP250930C21000</stp>
        <tr r="R152" s="2"/>
      </tp>
      <tp t="s">
        <v>N/A</v>
        <stp/>
        <stp>VOLUME</stp>
        <stp>.NDXP250829C20900</stp>
        <tr r="P156" s="2"/>
      </tp>
      <tp>
        <v>945</v>
        <stp/>
        <stp>VOLUME</stp>
        <stp>.NDXP250512C21200</stp>
        <tr r="BA143" s="1"/>
        <tr r="BA143" s="1"/>
      </tp>
      <tp>
        <v>8</v>
        <stp/>
        <stp>VOLUME</stp>
        <stp>.NDXP250512C20200</stp>
        <tr r="BA183" s="1"/>
        <tr r="BA183" s="1"/>
      </tp>
      <tp>
        <v>22</v>
        <stp/>
        <stp>VOLUME</stp>
        <stp>.NDXP250530C21000</stp>
        <tr r="I152" s="2"/>
        <tr r="I152" s="2"/>
      </tp>
      <tp t="s">
        <v>N/A</v>
        <stp/>
        <stp>VOLUME</stp>
        <stp>.NDXP250731C21100</stp>
        <tr r="N148" s="2"/>
      </tp>
      <tp t="s">
        <v>N/A</v>
        <stp/>
        <stp>VOLUME</stp>
        <stp>.NDXP250731C20100</stp>
        <tr r="N188" s="2"/>
      </tp>
      <tp>
        <v>3</v>
        <stp/>
        <stp>VOLUME</stp>
        <stp>.NDXP250606C20600</stp>
        <tr r="J168" s="2"/>
        <tr r="J168" s="2"/>
      </tp>
      <tp>
        <v>7</v>
        <stp/>
        <stp>VOLUME</stp>
        <stp>.NDXP250630C21000</stp>
        <tr r="L152" s="2"/>
        <tr r="L152" s="2"/>
      </tp>
      <tp t="s">
        <v>N/A</v>
        <stp/>
        <stp>VOLUME</stp>
        <stp>.NDXP251128P20850</stp>
        <tr r="V158" s="2"/>
      </tp>
      <tp t="s">
        <v>N/A</v>
        <stp/>
        <stp>VOLUME</stp>
        <stp>.NDXP251031P21150</stp>
        <tr r="T146" s="2"/>
      </tp>
      <tp t="s">
        <v>N/A</v>
        <stp/>
        <stp>VOLUME</stp>
        <stp>.NDXP251031P20150</stp>
        <tr r="T186" s="2"/>
      </tp>
      <tp t="s">
        <v>N/A</v>
        <stp/>
        <stp>VOLUME</stp>
        <stp>.NDXP251231P21150</stp>
        <tr r="X146" s="2"/>
      </tp>
      <tp t="s">
        <v>N/A</v>
        <stp/>
        <stp>VOLUME</stp>
        <stp>.NDXP251231P20150</stp>
        <tr r="X186" s="2"/>
      </tp>
      <tp t="s">
        <v>N/A</v>
        <stp/>
        <stp>VOLUME</stp>
        <stp>.NDXP250930P21050</stp>
        <tr r="R150" s="2"/>
      </tp>
      <tp t="s">
        <v>N/A</v>
        <stp/>
        <stp>VOLUME</stp>
        <stp>.NDXP250930P20050</stp>
        <tr r="R190" s="2"/>
      </tp>
      <tp t="s">
        <v>N/A</v>
        <stp/>
        <stp>VOLUME</stp>
        <stp>.NDXP250829P20950</stp>
        <tr r="P154" s="2"/>
      </tp>
      <tp t="s">
        <v>N/A</v>
        <stp/>
        <stp>VOLUME</stp>
        <stp>.NDXP250512P21250</stp>
        <tr r="BB141" s="1"/>
      </tp>
      <tp>
        <v>218</v>
        <stp/>
        <stp>VOLUME</stp>
        <stp>.NDXP250512P20250</stp>
        <tr r="BB181" s="1"/>
        <tr r="BB181" s="1"/>
      </tp>
      <tp t="s">
        <v>N/A</v>
        <stp/>
        <stp>VOLUME</stp>
        <stp>.NDXP250530P21050</stp>
        <tr r="I150" s="2"/>
      </tp>
      <tp t="s">
        <v>N/A</v>
        <stp/>
        <stp>VOLUME</stp>
        <stp>.NDXP250530P20050</stp>
        <tr r="I190" s="2"/>
      </tp>
      <tp t="s">
        <v>N/A</v>
        <stp/>
        <stp>VOLUME</stp>
        <stp>.NDXP250731P21150</stp>
        <tr r="N146" s="2"/>
      </tp>
      <tp t="s">
        <v>N/A</v>
        <stp/>
        <stp>VOLUME</stp>
        <stp>.NDXP250731P20150</stp>
        <tr r="N186" s="2"/>
      </tp>
      <tp t="s">
        <v>N/A</v>
        <stp/>
        <stp>VOLUME</stp>
        <stp>.NDXP250606P20650</stp>
        <tr r="J166" s="2"/>
      </tp>
      <tp t="s">
        <v>N/A</v>
        <stp/>
        <stp>VOLUME</stp>
        <stp>.NDXP250630P21050</stp>
        <tr r="L150" s="2"/>
      </tp>
      <tp t="s">
        <v>N/A</v>
        <stp/>
        <stp>VOLUME</stp>
        <stp>.NDXP250630P20050</stp>
        <tr r="L190" s="2"/>
      </tp>
      <tp t="s">
        <v>N/A</v>
        <stp/>
        <stp>VOLUME</stp>
        <stp>.NDXP251031P21175</stp>
        <tr r="T145" s="2"/>
      </tp>
      <tp t="s">
        <v>N/A</v>
        <stp/>
        <stp>VOLUME</stp>
        <stp>.NDXP251031P20175</stp>
        <tr r="T185" s="2"/>
      </tp>
      <tp t="s">
        <v>N/A</v>
        <stp/>
        <stp>VOLUME</stp>
        <stp>.NDXP251128P20875</stp>
        <tr r="V157" s="2"/>
      </tp>
      <tp t="s">
        <v>N/A</v>
        <stp/>
        <stp>VOLUME</stp>
        <stp>.NDXP251231P21175</stp>
        <tr r="X145" s="2"/>
      </tp>
      <tp t="s">
        <v>N/A</v>
        <stp/>
        <stp>VOLUME</stp>
        <stp>.NDXP251231P20175</stp>
        <tr r="X185" s="2"/>
      </tp>
      <tp t="s">
        <v>N/A</v>
        <stp/>
        <stp>VOLUME</stp>
        <stp>.NDXP250829P20975</stp>
        <tr r="P153" s="2"/>
      </tp>
      <tp t="s">
        <v>N/A</v>
        <stp/>
        <stp>VOLUME</stp>
        <stp>.NDXP250930P21075</stp>
        <tr r="R149" s="2"/>
      </tp>
      <tp t="s">
        <v>N/A</v>
        <stp/>
        <stp>VOLUME</stp>
        <stp>.NDXP250930P20075</stp>
        <tr r="R189" s="2"/>
      </tp>
      <tp t="s">
        <v>N/A</v>
        <stp/>
        <stp>VOLUME</stp>
        <stp>.NDXP250512P21275</stp>
        <tr r="BB140" s="1"/>
      </tp>
      <tp>
        <v>58</v>
        <stp/>
        <stp>VOLUME</stp>
        <stp>.NDXP250512P20275</stp>
        <tr r="BB180" s="1"/>
        <tr r="BB180" s="1"/>
      </tp>
      <tp t="s">
        <v>N/A</v>
        <stp/>
        <stp>VOLUME</stp>
        <stp>.NDXP250530P21075</stp>
        <tr r="I149" s="2"/>
      </tp>
      <tp t="s">
        <v>N/A</v>
        <stp/>
        <stp>VOLUME</stp>
        <stp>.NDXP250530P20075</stp>
        <tr r="I189" s="2"/>
      </tp>
      <tp t="s">
        <v>N/A</v>
        <stp/>
        <stp>VOLUME</stp>
        <stp>.NDXP250606P20675</stp>
        <tr r="J165" s="2"/>
      </tp>
      <tp t="s">
        <v>N/A</v>
        <stp/>
        <stp>VOLUME</stp>
        <stp>.NDXP250630P21075</stp>
        <tr r="L149" s="2"/>
      </tp>
      <tp t="s">
        <v>N/A</v>
        <stp/>
        <stp>VOLUME</stp>
        <stp>.NDXP250630P20075</stp>
        <tr r="L189" s="2"/>
      </tp>
      <tp t="s">
        <v>N/A</v>
        <stp/>
        <stp>VOLUME</stp>
        <stp>.NDXP250731P21175</stp>
        <tr r="N145" s="2"/>
      </tp>
      <tp t="s">
        <v>N/A</v>
        <stp/>
        <stp>VOLUME</stp>
        <stp>.NDXP250731P20175</stp>
        <tr r="N185" s="2"/>
      </tp>
      <tp t="s">
        <v>N/A</v>
        <stp/>
        <stp>VOLUME</stp>
        <stp>.NDXP250930P21000</stp>
        <tr r="R152" s="2"/>
      </tp>
      <tp t="s">
        <v>N/A</v>
        <stp/>
        <stp>VOLUME</stp>
        <stp>.NDXP250829P20900</stp>
        <tr r="P156" s="2"/>
      </tp>
      <tp t="s">
        <v>N/A</v>
        <stp/>
        <stp>VOLUME</stp>
        <stp>.NDXP250512P21200</stp>
        <tr r="BB143" s="1"/>
      </tp>
      <tp>
        <v>749</v>
        <stp/>
        <stp>VOLUME</stp>
        <stp>.NDXP250512P20200</stp>
        <tr r="BB183" s="1"/>
        <tr r="BB183" s="1"/>
      </tp>
      <tp t="s">
        <v>N/A</v>
        <stp/>
        <stp>VOLUME</stp>
        <stp>.NDXP250530P21000</stp>
        <tr r="I152" s="2"/>
      </tp>
      <tp t="s">
        <v>N/A</v>
        <stp/>
        <stp>VOLUME</stp>
        <stp>.NDXP250731P21100</stp>
        <tr r="N148" s="2"/>
      </tp>
      <tp t="s">
        <v>N/A</v>
        <stp/>
        <stp>VOLUME</stp>
        <stp>.NDXP250731P20100</stp>
        <tr r="N188" s="2"/>
      </tp>
      <tp t="s">
        <v>N/A</v>
        <stp/>
        <stp>VOLUME</stp>
        <stp>.NDXP250606P20600</stp>
        <tr r="J168" s="2"/>
      </tp>
      <tp>
        <v>2</v>
        <stp/>
        <stp>VOLUME</stp>
        <stp>.NDXP250630P21000</stp>
        <tr r="L152" s="2"/>
        <tr r="L152" s="2"/>
      </tp>
      <tp t="s">
        <v>N/A</v>
        <stp/>
        <stp>VOLUME</stp>
        <stp>.NDXP251128P20800</stp>
        <tr r="V160" s="2"/>
      </tp>
      <tp t="s">
        <v>N/A</v>
        <stp/>
        <stp>VOLUME</stp>
        <stp>.NDXP251031P21100</stp>
        <tr r="T148" s="2"/>
      </tp>
      <tp t="s">
        <v>N/A</v>
        <stp/>
        <stp>VOLUME</stp>
        <stp>.NDXP251031P20100</stp>
        <tr r="T188" s="2"/>
      </tp>
      <tp t="s">
        <v>N/A</v>
        <stp/>
        <stp>VOLUME</stp>
        <stp>.NDXP251231P21100</stp>
        <tr r="X148" s="2"/>
      </tp>
      <tp t="s">
        <v>N/A</v>
        <stp/>
        <stp>VOLUME</stp>
        <stp>.NDXP251231P20100</stp>
        <tr r="X188" s="2"/>
      </tp>
      <tp t="s">
        <v>N/A</v>
        <stp/>
        <stp>VOLUME</stp>
        <stp>.NDXP250829P20925</stp>
        <tr r="P155" s="2"/>
      </tp>
      <tp t="s">
        <v>N/A</v>
        <stp/>
        <stp>VOLUME</stp>
        <stp>.NDXP250930P21025</stp>
        <tr r="R151" s="2"/>
      </tp>
      <tp t="s">
        <v>N/A</v>
        <stp/>
        <stp>VOLUME</stp>
        <stp>.NDXP250512P21225</stp>
        <tr r="BB142" s="1"/>
      </tp>
      <tp>
        <v>54</v>
        <stp/>
        <stp>VOLUME</stp>
        <stp>.NDXP250512P20225</stp>
        <tr r="BB182" s="1"/>
        <tr r="BB182" s="1"/>
      </tp>
      <tp t="s">
        <v>N/A</v>
        <stp/>
        <stp>VOLUME</stp>
        <stp>.NDXP250530P21025</stp>
        <tr r="I151" s="2"/>
      </tp>
      <tp t="s">
        <v>N/A</v>
        <stp/>
        <stp>VOLUME</stp>
        <stp>.NDXP250606P20625</stp>
        <tr r="J167" s="2"/>
      </tp>
      <tp t="s">
        <v>N/A</v>
        <stp/>
        <stp>VOLUME</stp>
        <stp>.NDXP250630P21025</stp>
        <tr r="L151" s="2"/>
      </tp>
      <tp t="s">
        <v>N/A</v>
        <stp/>
        <stp>VOLUME</stp>
        <stp>.NDXP250731P21125</stp>
        <tr r="N147" s="2"/>
      </tp>
      <tp t="s">
        <v>N/A</v>
        <stp/>
        <stp>VOLUME</stp>
        <stp>.NDXP250731P20125</stp>
        <tr r="N187" s="2"/>
      </tp>
      <tp t="s">
        <v>N/A</v>
        <stp/>
        <stp>VOLUME</stp>
        <stp>.NDXP251031P21125</stp>
        <tr r="T147" s="2"/>
      </tp>
      <tp t="s">
        <v>N/A</v>
        <stp/>
        <stp>VOLUME</stp>
        <stp>.NDXP251031P20125</stp>
        <tr r="T187" s="2"/>
      </tp>
      <tp t="s">
        <v>N/A</v>
        <stp/>
        <stp>VOLUME</stp>
        <stp>.NDXP251128P20825</stp>
        <tr r="V159" s="2"/>
      </tp>
      <tp t="s">
        <v>N/A</v>
        <stp/>
        <stp>VOLUME</stp>
        <stp>.NDXP251231P21125</stp>
        <tr r="X147" s="2"/>
      </tp>
      <tp t="s">
        <v>N/A</v>
        <stp/>
        <stp>VOLUME</stp>
        <stp>.NDXP251231P20125</stp>
        <tr r="X187" s="2"/>
      </tp>
      <tp t="s">
        <v>N/A</v>
        <stp/>
        <stp>DELTA</stp>
        <stp>.NDXP250512P21025</stp>
        <tr r="CE150" s="1"/>
      </tp>
      <tp>
        <v>-0.91</v>
        <stp/>
        <stp>DELTA</stp>
        <stp>.NDXP250512P21000</stp>
        <tr r="CE151" s="1"/>
        <tr r="CE151" s="1"/>
      </tp>
      <tp>
        <v>-0.05</v>
        <stp/>
        <stp>DELTA</stp>
        <stp>.NDXP250512P20075</stp>
        <tr r="CE188" s="1"/>
        <tr r="CE188" s="1"/>
      </tp>
      <tp t="s">
        <v>N/A</v>
        <stp/>
        <stp>DELTA</stp>
        <stp>.NDXP250512P21075</stp>
        <tr r="CE148" s="1"/>
      </tp>
      <tp>
        <v>-0.05</v>
        <stp/>
        <stp>DELTA</stp>
        <stp>.NDXP250512P20050</stp>
        <tr r="CE189" s="1"/>
        <tr r="CE189" s="1"/>
      </tp>
      <tp>
        <v>-0.93</v>
        <stp/>
        <stp>DELTA</stp>
        <stp>.NDXP250512P21050</stp>
        <tr r="CE149" s="1"/>
        <tr r="CE149" s="1"/>
      </tp>
      <tp>
        <v>0</v>
        <stp/>
        <stp>DELTA</stp>
        <stp>.NDXP250512C21000</stp>
        <tr r="CD151" s="1"/>
        <tr r="CD151" s="1"/>
      </tp>
      <tp t="s">
        <v>N/A</v>
        <stp/>
        <stp>DELTA</stp>
        <stp>.NDXP250512C21025</stp>
        <tr r="CD150" s="1"/>
      </tp>
      <tp>
        <v>1</v>
        <stp/>
        <stp>DELTA</stp>
        <stp>.NDXP250512C20050</stp>
        <tr r="CD189" s="1"/>
        <tr r="CD189" s="1"/>
      </tp>
      <tp>
        <v>0.13</v>
        <stp/>
        <stp>DELTA</stp>
        <stp>.NDXP250512C21050</stp>
        <tr r="CD149" s="1"/>
        <tr r="CD149" s="1"/>
      </tp>
      <tp>
        <v>1</v>
        <stp/>
        <stp>DELTA</stp>
        <stp>.NDXP250512C20075</stp>
        <tr r="CD188" s="1"/>
        <tr r="CD188" s="1"/>
      </tp>
      <tp t="s">
        <v>N/A</v>
        <stp/>
        <stp>DELTA</stp>
        <stp>.NDXP250512C21075</stp>
        <tr r="CD148" s="1"/>
      </tp>
      <tp t="s">
        <v>N/A</v>
        <stp/>
        <stp>VOLUME</stp>
        <stp>.NDXP250829C20875</stp>
        <tr r="P157" s="2"/>
      </tp>
      <tp t="s">
        <v>N/A</v>
        <stp/>
        <stp>VOLUME</stp>
        <stp>.NDXP250930C21175</stp>
        <tr r="R145" s="2"/>
      </tp>
      <tp t="s">
        <v>N/A</v>
        <stp/>
        <stp>VOLUME</stp>
        <stp>.NDXP250930C20175</stp>
        <tr r="R185" s="2"/>
      </tp>
      <tp>
        <v>1</v>
        <stp/>
        <stp>VOLUME</stp>
        <stp>.NDXP250512C20375</stp>
        <tr r="BA176" s="1"/>
        <tr r="BA176" s="1"/>
      </tp>
      <tp t="s">
        <v>N/A</v>
        <stp/>
        <stp>VOLUME</stp>
        <stp>.NDXP250530C21175</stp>
        <tr r="I145" s="2"/>
      </tp>
      <tp t="s">
        <v>N/A</v>
        <stp/>
        <stp>VOLUME</stp>
        <stp>.NDXP250530C20175</stp>
        <tr r="I185" s="2"/>
      </tp>
      <tp t="s">
        <v>N/A</v>
        <stp/>
        <stp>VOLUME</stp>
        <stp>.NDXP250606C20775</stp>
        <tr r="J161" s="2"/>
      </tp>
      <tp t="s">
        <v>N/A</v>
        <stp/>
        <stp>VOLUME</stp>
        <stp>.NDXP250630C21175</stp>
        <tr r="L145" s="2"/>
      </tp>
      <tp t="s">
        <v>N/A</v>
        <stp/>
        <stp>VOLUME</stp>
        <stp>.NDXP250630C20175</stp>
        <tr r="L185" s="2"/>
      </tp>
      <tp t="s">
        <v>N/A</v>
        <stp/>
        <stp>VOLUME</stp>
        <stp>.NDXP250731C21075</stp>
        <tr r="N149" s="2"/>
      </tp>
      <tp t="s">
        <v>N/A</v>
        <stp/>
        <stp>VOLUME</stp>
        <stp>.NDXP250731C20075</stp>
        <tr r="N189" s="2"/>
      </tp>
      <tp t="s">
        <v>N/A</v>
        <stp/>
        <stp>VOLUME</stp>
        <stp>.NDXP251031C21075</stp>
        <tr r="T149" s="2"/>
      </tp>
      <tp t="s">
        <v>N/A</v>
        <stp/>
        <stp>VOLUME</stp>
        <stp>.NDXP251031C20075</stp>
        <tr r="T189" s="2"/>
      </tp>
      <tp t="s">
        <v>N/A</v>
        <stp/>
        <stp>VOLUME</stp>
        <stp>.NDXP251128C20975</stp>
        <tr r="V153" s="2"/>
      </tp>
      <tp t="s">
        <v>N/A</v>
        <stp/>
        <stp>VOLUME</stp>
        <stp>.NDXP251231C21075</stp>
        <tr r="X149" s="2"/>
      </tp>
      <tp t="s">
        <v>N/A</v>
        <stp/>
        <stp>VOLUME</stp>
        <stp>.NDXP251231C20075</stp>
        <tr r="X189" s="2"/>
      </tp>
      <tp t="s">
        <v>N/A</v>
        <stp/>
        <stp>VOLUME</stp>
        <stp>.NDXP250930C21150</stp>
        <tr r="R146" s="2"/>
      </tp>
      <tp t="s">
        <v>N/A</v>
        <stp/>
        <stp>VOLUME</stp>
        <stp>.NDXP250930C20150</stp>
        <tr r="R186" s="2"/>
      </tp>
      <tp t="s">
        <v>N/A</v>
        <stp/>
        <stp>VOLUME</stp>
        <stp>.NDXP250829C20850</stp>
        <tr r="P158" s="2"/>
      </tp>
      <tp t="s">
        <v>N/A</v>
        <stp/>
        <stp>VOLUME</stp>
        <stp>.NDXP250512C21350</stp>
        <tr r="BA137" s="1"/>
      </tp>
      <tp>
        <v>5</v>
        <stp/>
        <stp>VOLUME</stp>
        <stp>.NDXP250512C20350</stp>
        <tr r="BA177" s="1"/>
        <tr r="BA177" s="1"/>
      </tp>
      <tp t="s">
        <v>N/A</v>
        <stp/>
        <stp>VOLUME</stp>
        <stp>.NDXP250530C21150</stp>
        <tr r="I146" s="2"/>
      </tp>
      <tp t="s">
        <v>N/A</v>
        <stp/>
        <stp>VOLUME</stp>
        <stp>.NDXP250530C20150</stp>
        <tr r="I186" s="2"/>
      </tp>
      <tp t="s">
        <v>N/A</v>
        <stp/>
        <stp>VOLUME</stp>
        <stp>.NDXP250731C21050</stp>
        <tr r="N150" s="2"/>
      </tp>
      <tp t="s">
        <v>N/A</v>
        <stp/>
        <stp>VOLUME</stp>
        <stp>.NDXP250731C20050</stp>
        <tr r="N190" s="2"/>
      </tp>
      <tp t="s">
        <v>N/A</v>
        <stp/>
        <stp>VOLUME</stp>
        <stp>.NDXP250606C20750</stp>
        <tr r="J162" s="2"/>
      </tp>
      <tp t="s">
        <v>N/A</v>
        <stp/>
        <stp>VOLUME</stp>
        <stp>.NDXP250630C21150</stp>
        <tr r="L146" s="2"/>
      </tp>
      <tp t="s">
        <v>N/A</v>
        <stp/>
        <stp>VOLUME</stp>
        <stp>.NDXP250630C20150</stp>
        <tr r="L186" s="2"/>
      </tp>
      <tp t="s">
        <v>N/A</v>
        <stp/>
        <stp>VOLUME</stp>
        <stp>.NDXP251128C20950</stp>
        <tr r="V154" s="2"/>
      </tp>
      <tp t="s">
        <v>N/A</v>
        <stp/>
        <stp>VOLUME</stp>
        <stp>.NDXP251031C21050</stp>
        <tr r="T150" s="2"/>
      </tp>
      <tp t="s">
        <v>N/A</v>
        <stp/>
        <stp>VOLUME</stp>
        <stp>.NDXP251031C20050</stp>
        <tr r="T190" s="2"/>
      </tp>
      <tp t="s">
        <v>N/A</v>
        <stp/>
        <stp>VOLUME</stp>
        <stp>.NDXP251231C21050</stp>
        <tr r="X150" s="2"/>
      </tp>
      <tp t="s">
        <v>N/A</v>
        <stp/>
        <stp>VOLUME</stp>
        <stp>.NDXP251231C20050</stp>
        <tr r="X190" s="2"/>
      </tp>
      <tp t="s">
        <v>N/A</v>
        <stp/>
        <stp>VOLUME</stp>
        <stp>.NDXP251031C21025</stp>
        <tr r="T151" s="2"/>
      </tp>
      <tp t="s">
        <v>N/A</v>
        <stp/>
        <stp>VOLUME</stp>
        <stp>.NDXP251128C20925</stp>
        <tr r="V155" s="2"/>
      </tp>
      <tp t="s">
        <v>N/A</v>
        <stp/>
        <stp>VOLUME</stp>
        <stp>.NDXP251231C21025</stp>
        <tr r="X151" s="2"/>
      </tp>
      <tp t="s">
        <v>N/A</v>
        <stp/>
        <stp>VOLUME</stp>
        <stp>.NDXP250829C20825</stp>
        <tr r="P159" s="2"/>
      </tp>
      <tp t="s">
        <v>N/A</v>
        <stp/>
        <stp>VOLUME</stp>
        <stp>.NDXP250930C21125</stp>
        <tr r="R147" s="2"/>
      </tp>
      <tp t="s">
        <v>N/A</v>
        <stp/>
        <stp>VOLUME</stp>
        <stp>.NDXP250930C20125</stp>
        <tr r="R187" s="2"/>
      </tp>
      <tp t="s">
        <v>N/A</v>
        <stp/>
        <stp>VOLUME</stp>
        <stp>.NDXP250512C21325</stp>
        <tr r="BA138" s="1"/>
      </tp>
      <tp>
        <v>1</v>
        <stp/>
        <stp>VOLUME</stp>
        <stp>.NDXP250512C20325</stp>
        <tr r="BA178" s="1"/>
        <tr r="BA178" s="1"/>
      </tp>
      <tp t="s">
        <v>N/A</v>
        <stp/>
        <stp>VOLUME</stp>
        <stp>.NDXP250530C21125</stp>
        <tr r="I147" s="2"/>
      </tp>
      <tp t="s">
        <v>N/A</v>
        <stp/>
        <stp>VOLUME</stp>
        <stp>.NDXP250530C20125</stp>
        <tr r="I187" s="2"/>
      </tp>
      <tp t="s">
        <v>N/A</v>
        <stp/>
        <stp>VOLUME</stp>
        <stp>.NDXP250606C20725</stp>
        <tr r="J163" s="2"/>
      </tp>
      <tp t="s">
        <v>N/A</v>
        <stp/>
        <stp>VOLUME</stp>
        <stp>.NDXP250630C21125</stp>
        <tr r="L147" s="2"/>
      </tp>
      <tp t="s">
        <v>N/A</v>
        <stp/>
        <stp>VOLUME</stp>
        <stp>.NDXP250630C20125</stp>
        <tr r="L187" s="2"/>
      </tp>
      <tp t="s">
        <v>N/A</v>
        <stp/>
        <stp>VOLUME</stp>
        <stp>.NDXP250731C21025</stp>
        <tr r="N151" s="2"/>
      </tp>
      <tp t="s">
        <v>N/A</v>
        <stp/>
        <stp>VOLUME</stp>
        <stp>.NDXP251128C20900</stp>
        <tr r="V156" s="2"/>
      </tp>
      <tp t="s">
        <v>N/A</v>
        <stp/>
        <stp>VOLUME</stp>
        <stp>.NDXP251031C21000</stp>
        <tr r="T152" s="2"/>
      </tp>
      <tp>
        <v>1</v>
        <stp/>
        <stp>VOLUME</stp>
        <stp>.NDXP251231C21000</stp>
        <tr r="X152" s="2"/>
        <tr r="X152" s="2"/>
      </tp>
      <tp t="s">
        <v>N/A</v>
        <stp/>
        <stp>VOLUME</stp>
        <stp>.NDXP250930C21100</stp>
        <tr r="R148" s="2"/>
      </tp>
      <tp>
        <v>3</v>
        <stp/>
        <stp>VOLUME</stp>
        <stp>.NDXP250930C20100</stp>
        <tr r="R188" s="2"/>
        <tr r="R188" s="2"/>
      </tp>
      <tp t="s">
        <v>N/A</v>
        <stp/>
        <stp>VOLUME</stp>
        <stp>.NDXP250829C20800</stp>
        <tr r="P160" s="2"/>
      </tp>
      <tp>
        <v>406</v>
        <stp/>
        <stp>VOLUME</stp>
        <stp>.NDXP250512C21300</stp>
        <tr r="BA139" s="1"/>
        <tr r="BA139" s="1"/>
      </tp>
      <tp>
        <v>19</v>
        <stp/>
        <stp>VOLUME</stp>
        <stp>.NDXP250512C20300</stp>
        <tr r="BA179" s="1"/>
        <tr r="BA179" s="1"/>
      </tp>
      <tp>
        <v>5</v>
        <stp/>
        <stp>VOLUME</stp>
        <stp>.NDXP250530C21100</stp>
        <tr r="I148" s="2"/>
        <tr r="I148" s="2"/>
      </tp>
      <tp>
        <v>2</v>
        <stp/>
        <stp>VOLUME</stp>
        <stp>.NDXP250530C20100</stp>
        <tr r="I188" s="2"/>
        <tr r="I188" s="2"/>
      </tp>
      <tp t="s">
        <v>N/A</v>
        <stp/>
        <stp>VOLUME</stp>
        <stp>.NDXP250731C21000</stp>
        <tr r="N152" s="2"/>
      </tp>
      <tp t="s">
        <v>N/A</v>
        <stp/>
        <stp>VOLUME</stp>
        <stp>.NDXP250606C20700</stp>
        <tr r="J164" s="2"/>
      </tp>
      <tp t="s">
        <v>N/A</v>
        <stp/>
        <stp>VOLUME</stp>
        <stp>.NDXP250630C21100</stp>
        <tr r="L148" s="2"/>
      </tp>
      <tp>
        <v>1</v>
        <stp/>
        <stp>VOLUME</stp>
        <stp>.NDXP250630C20100</stp>
        <tr r="L188" s="2"/>
        <tr r="L188" s="2"/>
      </tp>
      <tp t="s">
        <v>N/A</v>
        <stp/>
        <stp>VOLUME</stp>
        <stp>.NDXP251128P20950</stp>
        <tr r="V154" s="2"/>
      </tp>
      <tp t="s">
        <v>N/A</v>
        <stp/>
        <stp>VOLUME</stp>
        <stp>.NDXP251031P21050</stp>
        <tr r="T150" s="2"/>
      </tp>
      <tp t="s">
        <v>N/A</v>
        <stp/>
        <stp>VOLUME</stp>
        <stp>.NDXP251031P20050</stp>
        <tr r="T190" s="2"/>
      </tp>
      <tp t="s">
        <v>N/A</v>
        <stp/>
        <stp>VOLUME</stp>
        <stp>.NDXP251231P21050</stp>
        <tr r="X150" s="2"/>
      </tp>
      <tp t="s">
        <v>N/A</v>
        <stp/>
        <stp>VOLUME</stp>
        <stp>.NDXP251231P20050</stp>
        <tr r="X190" s="2"/>
      </tp>
      <tp t="s">
        <v>N/A</v>
        <stp/>
        <stp>VOLUME</stp>
        <stp>.NDXP250930P21150</stp>
        <tr r="R146" s="2"/>
      </tp>
      <tp t="s">
        <v>N/A</v>
        <stp/>
        <stp>VOLUME</stp>
        <stp>.NDXP250930P20150</stp>
        <tr r="R186" s="2"/>
      </tp>
      <tp t="s">
        <v>N/A</v>
        <stp/>
        <stp>VOLUME</stp>
        <stp>.NDXP250829P20850</stp>
        <tr r="P158" s="2"/>
      </tp>
      <tp t="s">
        <v>N/A</v>
        <stp/>
        <stp>VOLUME</stp>
        <stp>.NDXP250512P21350</stp>
        <tr r="BB137" s="1"/>
      </tp>
      <tp>
        <v>176</v>
        <stp/>
        <stp>VOLUME</stp>
        <stp>.NDXP250512P20350</stp>
        <tr r="BB177" s="1"/>
        <tr r="BB177" s="1"/>
      </tp>
      <tp t="s">
        <v>N/A</v>
        <stp/>
        <stp>VOLUME</stp>
        <stp>.NDXP250530P21150</stp>
        <tr r="I146" s="2"/>
      </tp>
      <tp t="s">
        <v>N/A</v>
        <stp/>
        <stp>VOLUME</stp>
        <stp>.NDXP250530P20150</stp>
        <tr r="I186" s="2"/>
      </tp>
      <tp t="s">
        <v>N/A</v>
        <stp/>
        <stp>VOLUME</stp>
        <stp>.NDXP250731P21050</stp>
        <tr r="N150" s="2"/>
      </tp>
      <tp t="s">
        <v>N/A</v>
        <stp/>
        <stp>VOLUME</stp>
        <stp>.NDXP250731P20050</stp>
        <tr r="N190" s="2"/>
      </tp>
      <tp t="s">
        <v>N/A</v>
        <stp/>
        <stp>VOLUME</stp>
        <stp>.NDXP250606P20750</stp>
        <tr r="J162" s="2"/>
      </tp>
      <tp t="s">
        <v>N/A</v>
        <stp/>
        <stp>VOLUME</stp>
        <stp>.NDXP250630P21150</stp>
        <tr r="L146" s="2"/>
      </tp>
      <tp t="s">
        <v>N/A</v>
        <stp/>
        <stp>VOLUME</stp>
        <stp>.NDXP250630P20150</stp>
        <tr r="L186" s="2"/>
      </tp>
      <tp t="s">
        <v>N/A</v>
        <stp/>
        <stp>VOLUME</stp>
        <stp>.NDXP251031P21075</stp>
        <tr r="T149" s="2"/>
      </tp>
      <tp t="s">
        <v>N/A</v>
        <stp/>
        <stp>VOLUME</stp>
        <stp>.NDXP251031P20075</stp>
        <tr r="T189" s="2"/>
      </tp>
      <tp t="s">
        <v>N/A</v>
        <stp/>
        <stp>VOLUME</stp>
        <stp>.NDXP251128P20975</stp>
        <tr r="V153" s="2"/>
      </tp>
      <tp t="s">
        <v>N/A</v>
        <stp/>
        <stp>VOLUME</stp>
        <stp>.NDXP251231P21075</stp>
        <tr r="X149" s="2"/>
      </tp>
      <tp t="s">
        <v>N/A</v>
        <stp/>
        <stp>VOLUME</stp>
        <stp>.NDXP251231P20075</stp>
        <tr r="X189" s="2"/>
      </tp>
      <tp t="s">
        <v>N/A</v>
        <stp/>
        <stp>VOLUME</stp>
        <stp>.NDXP250829P20875</stp>
        <tr r="P157" s="2"/>
      </tp>
      <tp t="s">
        <v>N/A</v>
        <stp/>
        <stp>VOLUME</stp>
        <stp>.NDXP250930P21175</stp>
        <tr r="R145" s="2"/>
      </tp>
      <tp t="s">
        <v>N/A</v>
        <stp/>
        <stp>VOLUME</stp>
        <stp>.NDXP250930P20175</stp>
        <tr r="R185" s="2"/>
      </tp>
      <tp>
        <v>64</v>
        <stp/>
        <stp>VOLUME</stp>
        <stp>.NDXP250512P20375</stp>
        <tr r="BB176" s="1"/>
        <tr r="BB176" s="1"/>
      </tp>
      <tp t="s">
        <v>N/A</v>
        <stp/>
        <stp>VOLUME</stp>
        <stp>.NDXP250530P21175</stp>
        <tr r="I145" s="2"/>
      </tp>
      <tp t="s">
        <v>N/A</v>
        <stp/>
        <stp>VOLUME</stp>
        <stp>.NDXP250530P20175</stp>
        <tr r="I185" s="2"/>
      </tp>
      <tp t="s">
        <v>N/A</v>
        <stp/>
        <stp>VOLUME</stp>
        <stp>.NDXP250606P20775</stp>
        <tr r="J161" s="2"/>
      </tp>
      <tp t="s">
        <v>N/A</v>
        <stp/>
        <stp>VOLUME</stp>
        <stp>.NDXP250630P21175</stp>
        <tr r="L145" s="2"/>
      </tp>
      <tp t="s">
        <v>N/A</v>
        <stp/>
        <stp>VOLUME</stp>
        <stp>.NDXP250630P20175</stp>
        <tr r="L185" s="2"/>
      </tp>
      <tp t="s">
        <v>N/A</v>
        <stp/>
        <stp>VOLUME</stp>
        <stp>.NDXP250731P21075</stp>
        <tr r="N149" s="2"/>
      </tp>
      <tp t="s">
        <v>N/A</v>
        <stp/>
        <stp>VOLUME</stp>
        <stp>.NDXP250731P20075</stp>
        <tr r="N189" s="2"/>
      </tp>
      <tp t="s">
        <v>N/A</v>
        <stp/>
        <stp>VOLUME</stp>
        <stp>.NDXP250930P21100</stp>
        <tr r="R148" s="2"/>
      </tp>
      <tp t="s">
        <v>N/A</v>
        <stp/>
        <stp>VOLUME</stp>
        <stp>.NDXP250930P20100</stp>
        <tr r="R188" s="2"/>
      </tp>
      <tp t="s">
        <v>N/A</v>
        <stp/>
        <stp>VOLUME</stp>
        <stp>.NDXP250829P20800</stp>
        <tr r="P160" s="2"/>
      </tp>
      <tp t="s">
        <v>N/A</v>
        <stp/>
        <stp>VOLUME</stp>
        <stp>.NDXP250512P21300</stp>
        <tr r="BB139" s="1"/>
      </tp>
      <tp>
        <v>366</v>
        <stp/>
        <stp>VOLUME</stp>
        <stp>.NDXP250512P20300</stp>
        <tr r="BB179" s="1"/>
        <tr r="BB179" s="1"/>
      </tp>
      <tp t="s">
        <v>N/A</v>
        <stp/>
        <stp>VOLUME</stp>
        <stp>.NDXP250530P21100</stp>
        <tr r="I148" s="2"/>
      </tp>
      <tp>
        <v>1</v>
        <stp/>
        <stp>VOLUME</stp>
        <stp>.NDXP250530P20100</stp>
        <tr r="I188" s="2"/>
        <tr r="I188" s="2"/>
      </tp>
      <tp t="s">
        <v>N/A</v>
        <stp/>
        <stp>VOLUME</stp>
        <stp>.NDXP250731P21000</stp>
        <tr r="N152" s="2"/>
      </tp>
      <tp t="s">
        <v>N/A</v>
        <stp/>
        <stp>VOLUME</stp>
        <stp>.NDXP250606P20700</stp>
        <tr r="J164" s="2"/>
      </tp>
      <tp t="s">
        <v>N/A</v>
        <stp/>
        <stp>VOLUME</stp>
        <stp>.NDXP250630P21100</stp>
        <tr r="L148" s="2"/>
      </tp>
      <tp t="s">
        <v>N/A</v>
        <stp/>
        <stp>VOLUME</stp>
        <stp>.NDXP250630P20100</stp>
        <tr r="L188" s="2"/>
      </tp>
      <tp t="s">
        <v>N/A</v>
        <stp/>
        <stp>VOLUME</stp>
        <stp>.NDXP251128P20900</stp>
        <tr r="V156" s="2"/>
      </tp>
      <tp t="s">
        <v>N/A</v>
        <stp/>
        <stp>VOLUME</stp>
        <stp>.NDXP251031P21000</stp>
        <tr r="T152" s="2"/>
      </tp>
      <tp t="s">
        <v>N/A</v>
        <stp/>
        <stp>VOLUME</stp>
        <stp>.NDXP251231P21000</stp>
        <tr r="X152" s="2"/>
      </tp>
      <tp t="s">
        <v>N/A</v>
        <stp/>
        <stp>VOLUME</stp>
        <stp>.NDXP250829P20825</stp>
        <tr r="P159" s="2"/>
      </tp>
      <tp t="s">
        <v>N/A</v>
        <stp/>
        <stp>VOLUME</stp>
        <stp>.NDXP250930P21125</stp>
        <tr r="R147" s="2"/>
      </tp>
      <tp t="s">
        <v>N/A</v>
        <stp/>
        <stp>VOLUME</stp>
        <stp>.NDXP250930P20125</stp>
        <tr r="R187" s="2"/>
      </tp>
      <tp t="s">
        <v>N/A</v>
        <stp/>
        <stp>VOLUME</stp>
        <stp>.NDXP250512P21325</stp>
        <tr r="BB138" s="1"/>
      </tp>
      <tp>
        <v>59</v>
        <stp/>
        <stp>VOLUME</stp>
        <stp>.NDXP250512P20325</stp>
        <tr r="BB178" s="1"/>
        <tr r="BB178" s="1"/>
      </tp>
      <tp t="s">
        <v>N/A</v>
        <stp/>
        <stp>VOLUME</stp>
        <stp>.NDXP250530P21125</stp>
        <tr r="I147" s="2"/>
      </tp>
      <tp t="s">
        <v>N/A</v>
        <stp/>
        <stp>VOLUME</stp>
        <stp>.NDXP250530P20125</stp>
        <tr r="I187" s="2"/>
      </tp>
      <tp t="s">
        <v>N/A</v>
        <stp/>
        <stp>VOLUME</stp>
        <stp>.NDXP250606P20725</stp>
        <tr r="J163" s="2"/>
      </tp>
      <tp t="s">
        <v>N/A</v>
        <stp/>
        <stp>VOLUME</stp>
        <stp>.NDXP250630P21125</stp>
        <tr r="L147" s="2"/>
      </tp>
      <tp t="s">
        <v>N/A</v>
        <stp/>
        <stp>VOLUME</stp>
        <stp>.NDXP250630P20125</stp>
        <tr r="L187" s="2"/>
      </tp>
      <tp t="s">
        <v>N/A</v>
        <stp/>
        <stp>VOLUME</stp>
        <stp>.NDXP250731P21025</stp>
        <tr r="N151" s="2"/>
      </tp>
      <tp t="s">
        <v>N/A</v>
        <stp/>
        <stp>VOLUME</stp>
        <stp>.NDXP251031P21025</stp>
        <tr r="T151" s="2"/>
      </tp>
      <tp t="s">
        <v>N/A</v>
        <stp/>
        <stp>VOLUME</stp>
        <stp>.NDXP251128P20925</stp>
        <tr r="V155" s="2"/>
      </tp>
      <tp t="s">
        <v>N/A</v>
        <stp/>
        <stp>VOLUME</stp>
        <stp>.NDXP251231P21025</stp>
        <tr r="X151" s="2"/>
      </tp>
      <tp>
        <v>26</v>
        <stp/>
        <stp>OPEN_INT</stp>
        <stp>.NDXP250512C20900</stp>
        <tr r="AS155" s="1"/>
        <tr r="AS155" s="1"/>
      </tp>
      <tp>
        <v>4</v>
        <stp/>
        <stp>OPEN_INT</stp>
        <stp>.NDXP250512C20925</stp>
        <tr r="AS154" s="1"/>
        <tr r="AS154" s="1"/>
      </tp>
      <tp>
        <v>39</v>
        <stp/>
        <stp>OPEN_INT</stp>
        <stp>.NDXP250512C20950</stp>
        <tr r="AS153" s="1"/>
        <tr r="AS153" s="1"/>
      </tp>
      <tp>
        <v>4</v>
        <stp/>
        <stp>OPEN_INT</stp>
        <stp>.NDXP250512C20975</stp>
        <tr r="AS152" s="1"/>
        <tr r="AS152" s="1"/>
      </tp>
      <tp>
        <v>0</v>
        <stp/>
        <stp>OPEN_INT</stp>
        <stp>.NDXP250512P20925</stp>
        <tr r="AT154" s="1"/>
        <tr r="AT154" s="1"/>
      </tp>
      <tp>
        <v>0</v>
        <stp/>
        <stp>OPEN_INT</stp>
        <stp>.NDXP250512P20900</stp>
        <tr r="AT155" s="1"/>
        <tr r="AT155" s="1"/>
      </tp>
      <tp>
        <v>0</v>
        <stp/>
        <stp>OPEN_INT</stp>
        <stp>.NDXP250512P20975</stp>
        <tr r="AT152" s="1"/>
        <tr r="AT152" s="1"/>
      </tp>
      <tp>
        <v>0</v>
        <stp/>
        <stp>OPEN_INT</stp>
        <stp>.NDXP250512P20950</stp>
        <tr r="AT153" s="1"/>
        <tr r="AT153" s="1"/>
      </tp>
      <tp>
        <v>-0.06</v>
        <stp/>
        <stp>DELTA</stp>
        <stp>.NDXP250512P20325</stp>
        <tr r="CE178" s="1"/>
        <tr r="CE178" s="1"/>
      </tp>
      <tp t="s">
        <v>N/A</v>
        <stp/>
        <stp>DELTA</stp>
        <stp>.NDXP250512P21325</stp>
        <tr r="CE138" s="1"/>
      </tp>
      <tp>
        <v>-0.01</v>
        <stp/>
        <stp>DELTA</stp>
        <stp>.NDXP250512P20300</stp>
        <tr r="CE179" s="1"/>
        <tr r="CE179" s="1"/>
      </tp>
      <tp>
        <v>-0.95</v>
        <stp/>
        <stp>DELTA</stp>
        <stp>.NDXP250512P21300</stp>
        <tr r="CE139" s="1"/>
        <tr r="CE139" s="1"/>
      </tp>
      <tp>
        <v>-7.0000000000000007E-2</v>
        <stp/>
        <stp>DELTA</stp>
        <stp>.NDXP250512P20375</stp>
        <tr r="CE176" s="1"/>
        <tr r="CE176" s="1"/>
      </tp>
      <tp>
        <v>-7.0000000000000007E-2</v>
        <stp/>
        <stp>DELTA</stp>
        <stp>.NDXP250512P20350</stp>
        <tr r="CE177" s="1"/>
        <tr r="CE177" s="1"/>
      </tp>
      <tp t="s">
        <v>N/A</v>
        <stp/>
        <stp>DELTA</stp>
        <stp>.NDXP250512P21350</stp>
        <tr r="CE137" s="1"/>
      </tp>
      <tp>
        <v>1</v>
        <stp/>
        <stp>DELTA</stp>
        <stp>.NDXP250512C20300</stp>
        <tr r="CD179" s="1"/>
        <tr r="CD179" s="1"/>
      </tp>
      <tp>
        <v>0.08</v>
        <stp/>
        <stp>DELTA</stp>
        <stp>.NDXP250512C21300</stp>
        <tr r="CD139" s="1"/>
        <tr r="CD139" s="1"/>
      </tp>
      <tp>
        <v>1</v>
        <stp/>
        <stp>DELTA</stp>
        <stp>.NDXP250512C20325</stp>
        <tr r="CD178" s="1"/>
        <tr r="CD178" s="1"/>
      </tp>
      <tp t="s">
        <v>N/A</v>
        <stp/>
        <stp>DELTA</stp>
        <stp>.NDXP250512C21325</stp>
        <tr r="CD138" s="1"/>
      </tp>
      <tp>
        <v>1</v>
        <stp/>
        <stp>DELTA</stp>
        <stp>.NDXP250512C20350</stp>
        <tr r="CD177" s="1"/>
        <tr r="CD177" s="1"/>
      </tp>
      <tp t="s">
        <v>N/A</v>
        <stp/>
        <stp>DELTA</stp>
        <stp>.NDXP250512C21350</stp>
        <tr r="CD137" s="1"/>
      </tp>
      <tp>
        <v>1</v>
        <stp/>
        <stp>DELTA</stp>
        <stp>.NDXP250512C20375</stp>
        <tr r="CD176" s="1"/>
        <tr r="CD176" s="1"/>
      </tp>
      <tp t="s">
        <v>N/A</v>
        <stp/>
        <stp>VOLUME</stp>
        <stp>.NDXP250930C21275</stp>
        <tr r="R141" s="2"/>
      </tp>
      <tp t="s">
        <v>N/A</v>
        <stp/>
        <stp>VOLUME</stp>
        <stp>.NDXP250930C20275</stp>
        <tr r="R181" s="2"/>
      </tp>
      <tp t="s">
        <v>N/A</v>
        <stp/>
        <stp>VOLUME</stp>
        <stp>.NDXP250512C21075</stp>
        <tr r="BA148" s="1"/>
      </tp>
      <tp t="s">
        <v>N/A</v>
        <stp/>
        <stp>VOLUME</stp>
        <stp>.NDXP250512C20075</stp>
        <tr r="BA188" s="1"/>
      </tp>
      <tp t="s">
        <v>N/A</v>
        <stp/>
        <stp>VOLUME</stp>
        <stp>.NDXP250530C21275</stp>
        <tr r="I141" s="2"/>
      </tp>
      <tp t="s">
        <v>N/A</v>
        <stp/>
        <stp>VOLUME</stp>
        <stp>.NDXP250530C20275</stp>
        <tr r="I181" s="2"/>
      </tp>
      <tp t="s">
        <v>N/A</v>
        <stp/>
        <stp>VOLUME</stp>
        <stp>.NDXP250606C20475</stp>
        <tr r="J173" s="2"/>
      </tp>
      <tp t="s">
        <v>N/A</v>
        <stp/>
        <stp>VOLUME</stp>
        <stp>.NDXP250630C21275</stp>
        <tr r="L141" s="2"/>
      </tp>
      <tp>
        <v>2</v>
        <stp/>
        <stp>VOLUME</stp>
        <stp>.NDXP250630C20275</stp>
        <tr r="L181" s="2"/>
        <tr r="L181" s="2"/>
      </tp>
      <tp t="s">
        <v>N/A</v>
        <stp/>
        <stp>VOLUME</stp>
        <stp>.NDXP250731C20375</stp>
        <tr r="N177" s="2"/>
      </tp>
      <tp t="s">
        <v>N/A</v>
        <stp/>
        <stp>VOLUME</stp>
        <stp>.NDXP251031C20375</stp>
        <tr r="T177" s="2"/>
      </tp>
      <tp t="s">
        <v>N/A</v>
        <stp/>
        <stp>VOLUME</stp>
        <stp>.NDXP251231C20375</stp>
        <tr r="X177" s="2"/>
      </tp>
      <tp t="s">
        <v>N/A</v>
        <stp/>
        <stp>VOLUME</stp>
        <stp>.NDXP250930C21250</stp>
        <tr r="R142" s="2"/>
      </tp>
      <tp t="s">
        <v>N/A</v>
        <stp/>
        <stp>VOLUME</stp>
        <stp>.NDXP250930C20250</stp>
        <tr r="R182" s="2"/>
      </tp>
      <tp>
        <v>164</v>
        <stp/>
        <stp>VOLUME</stp>
        <stp>.NDXP250512C21050</stp>
        <tr r="BA149" s="1"/>
        <tr r="BA149" s="1"/>
      </tp>
      <tp>
        <v>1</v>
        <stp/>
        <stp>VOLUME</stp>
        <stp>.NDXP250512C20050</stp>
        <tr r="BA189" s="1"/>
        <tr r="BA189" s="1"/>
      </tp>
      <tp>
        <v>2</v>
        <stp/>
        <stp>VOLUME</stp>
        <stp>.NDXP250530C21250</stp>
        <tr r="I142" s="2"/>
        <tr r="I142" s="2"/>
      </tp>
      <tp t="s">
        <v>N/A</v>
        <stp/>
        <stp>VOLUME</stp>
        <stp>.NDXP250530C20250</stp>
        <tr r="I182" s="2"/>
      </tp>
      <tp t="s">
        <v>N/A</v>
        <stp/>
        <stp>VOLUME</stp>
        <stp>.NDXP250731C21350</stp>
        <tr r="N138" s="2"/>
      </tp>
      <tp t="s">
        <v>N/A</v>
        <stp/>
        <stp>VOLUME</stp>
        <stp>.NDXP250731C20350</stp>
        <tr r="N178" s="2"/>
      </tp>
      <tp>
        <v>1</v>
        <stp/>
        <stp>VOLUME</stp>
        <stp>.NDXP250606C20450</stp>
        <tr r="J174" s="2"/>
        <tr r="J174" s="2"/>
      </tp>
      <tp t="s">
        <v>N/A</v>
        <stp/>
        <stp>VOLUME</stp>
        <stp>.NDXP250630C21250</stp>
        <tr r="L142" s="2"/>
      </tp>
      <tp t="s">
        <v>N/A</v>
        <stp/>
        <stp>VOLUME</stp>
        <stp>.NDXP250630C20250</stp>
        <tr r="L182" s="2"/>
      </tp>
      <tp t="s">
        <v>N/A</v>
        <stp/>
        <stp>VOLUME</stp>
        <stp>.NDXP251031C21350</stp>
        <tr r="T138" s="2"/>
      </tp>
      <tp t="s">
        <v>N/A</v>
        <stp/>
        <stp>VOLUME</stp>
        <stp>.NDXP251031C20350</stp>
        <tr r="T178" s="2"/>
      </tp>
      <tp t="s">
        <v>N/A</v>
        <stp/>
        <stp>VOLUME</stp>
        <stp>.NDXP251231C21350</stp>
        <tr r="X138" s="2"/>
      </tp>
      <tp t="s">
        <v>N/A</v>
        <stp/>
        <stp>VOLUME</stp>
        <stp>.NDXP251231C20350</stp>
        <tr r="X178" s="2"/>
      </tp>
      <tp t="s">
        <v>N/A</v>
        <stp/>
        <stp>VOLUME</stp>
        <stp>.NDXP251031C21325</stp>
        <tr r="T139" s="2"/>
      </tp>
      <tp t="s">
        <v>N/A</v>
        <stp/>
        <stp>VOLUME</stp>
        <stp>.NDXP251031C20325</stp>
        <tr r="T179" s="2"/>
      </tp>
      <tp t="s">
        <v>N/A</v>
        <stp/>
        <stp>VOLUME</stp>
        <stp>.NDXP251231C21325</stp>
        <tr r="X139" s="2"/>
      </tp>
      <tp t="s">
        <v>N/A</v>
        <stp/>
        <stp>VOLUME</stp>
        <stp>.NDXP251231C20325</stp>
        <tr r="X179" s="2"/>
      </tp>
      <tp t="s">
        <v>N/A</v>
        <stp/>
        <stp>VOLUME</stp>
        <stp>.NDXP250930C21225</stp>
        <tr r="R143" s="2"/>
      </tp>
      <tp t="s">
        <v>N/A</v>
        <stp/>
        <stp>VOLUME</stp>
        <stp>.NDXP250930C20225</stp>
        <tr r="R183" s="2"/>
      </tp>
      <tp t="s">
        <v>N/A</v>
        <stp/>
        <stp>VOLUME</stp>
        <stp>.NDXP250512C21025</stp>
        <tr r="BA150" s="1"/>
      </tp>
      <tp>
        <v>1</v>
        <stp/>
        <stp>VOLUME</stp>
        <stp>.NDXP250530C21225</stp>
        <tr r="I143" s="2"/>
        <tr r="I143" s="2"/>
      </tp>
      <tp t="s">
        <v>N/A</v>
        <stp/>
        <stp>VOLUME</stp>
        <stp>.NDXP250530C20225</stp>
        <tr r="I183" s="2"/>
      </tp>
      <tp t="s">
        <v>N/A</v>
        <stp/>
        <stp>VOLUME</stp>
        <stp>.NDXP250606C20425</stp>
        <tr r="J175" s="2"/>
      </tp>
      <tp t="s">
        <v>N/A</v>
        <stp/>
        <stp>VOLUME</stp>
        <stp>.NDXP250630C21225</stp>
        <tr r="L143" s="2"/>
      </tp>
      <tp t="s">
        <v>N/A</v>
        <stp/>
        <stp>VOLUME</stp>
        <stp>.NDXP250630C20225</stp>
        <tr r="L183" s="2"/>
      </tp>
      <tp t="s">
        <v>N/A</v>
        <stp/>
        <stp>VOLUME</stp>
        <stp>.NDXP250731C21325</stp>
        <tr r="N139" s="2"/>
      </tp>
      <tp t="s">
        <v>N/A</v>
        <stp/>
        <stp>VOLUME</stp>
        <stp>.NDXP250731C20325</stp>
        <tr r="N179" s="2"/>
      </tp>
      <tp t="s">
        <v>N/A</v>
        <stp/>
        <stp>VOLUME</stp>
        <stp>.NDXP251031C21300</stp>
        <tr r="T140" s="2"/>
      </tp>
      <tp t="s">
        <v>N/A</v>
        <stp/>
        <stp>VOLUME</stp>
        <stp>.NDXP251031C20300</stp>
        <tr r="T180" s="2"/>
      </tp>
      <tp t="s">
        <v>N/A</v>
        <stp/>
        <stp>VOLUME</stp>
        <stp>.NDXP251231C21300</stp>
        <tr r="X140" s="2"/>
      </tp>
      <tp t="s">
        <v>N/A</v>
        <stp/>
        <stp>VOLUME</stp>
        <stp>.NDXP251231C20300</stp>
        <tr r="X180" s="2"/>
      </tp>
      <tp t="s">
        <v>N/A</v>
        <stp/>
        <stp>VOLUME</stp>
        <stp>.NDXP250930C21200</stp>
        <tr r="R144" s="2"/>
      </tp>
      <tp>
        <v>2</v>
        <stp/>
        <stp>VOLUME</stp>
        <stp>.NDXP250930C20200</stp>
        <tr r="R184" s="2"/>
        <tr r="R184" s="2"/>
      </tp>
      <tp>
        <v>1105</v>
        <stp/>
        <stp>VOLUME</stp>
        <stp>.NDXP250512C21000</stp>
        <tr r="BA151" s="1"/>
        <tr r="BA151" s="1"/>
      </tp>
      <tp>
        <v>14</v>
        <stp/>
        <stp>VOLUME</stp>
        <stp>.NDXP250530C21200</stp>
        <tr r="I144" s="2"/>
        <tr r="I144" s="2"/>
      </tp>
      <tp t="s">
        <v>N/A</v>
        <stp/>
        <stp>VOLUME</stp>
        <stp>.NDXP250530C20200</stp>
        <tr r="I184" s="2"/>
      </tp>
      <tp t="s">
        <v>N/A</v>
        <stp/>
        <stp>VOLUME</stp>
        <stp>.NDXP250731C21300</stp>
        <tr r="N140" s="2"/>
      </tp>
      <tp t="s">
        <v>N/A</v>
        <stp/>
        <stp>VOLUME</stp>
        <stp>.NDXP250731C20300</stp>
        <tr r="N180" s="2"/>
      </tp>
      <tp>
        <v>1</v>
        <stp/>
        <stp>VOLUME</stp>
        <stp>.NDXP250606C20400</stp>
        <tr r="J176" s="2"/>
        <tr r="J176" s="2"/>
      </tp>
      <tp>
        <v>14</v>
        <stp/>
        <stp>VOLUME</stp>
        <stp>.NDXP250630C21200</stp>
        <tr r="L144" s="2"/>
        <tr r="L144" s="2"/>
      </tp>
      <tp t="s">
        <v>N/A</v>
        <stp/>
        <stp>VOLUME</stp>
        <stp>.NDXP250630C20200</stp>
        <tr r="L184" s="2"/>
      </tp>
      <tp t="s">
        <v>N/A</v>
        <stp/>
        <stp>VOLUME</stp>
        <stp>.NDXP251031P21350</stp>
        <tr r="T138" s="2"/>
      </tp>
      <tp t="s">
        <v>N/A</v>
        <stp/>
        <stp>VOLUME</stp>
        <stp>.NDXP251031P20350</stp>
        <tr r="T178" s="2"/>
      </tp>
      <tp t="s">
        <v>N/A</v>
        <stp/>
        <stp>VOLUME</stp>
        <stp>.NDXP251231P21350</stp>
        <tr r="X138" s="2"/>
      </tp>
      <tp t="s">
        <v>N/A</v>
        <stp/>
        <stp>VOLUME</stp>
        <stp>.NDXP251231P20350</stp>
        <tr r="X178" s="2"/>
      </tp>
      <tp t="s">
        <v>N/A</v>
        <stp/>
        <stp>VOLUME</stp>
        <stp>.NDXP250930P21250</stp>
        <tr r="R142" s="2"/>
      </tp>
      <tp t="s">
        <v>N/A</v>
        <stp/>
        <stp>VOLUME</stp>
        <stp>.NDXP250930P20250</stp>
        <tr r="R182" s="2"/>
      </tp>
      <tp t="s">
        <v>N/A</v>
        <stp/>
        <stp>VOLUME</stp>
        <stp>.NDXP250512P21050</stp>
        <tr r="BB149" s="1"/>
      </tp>
      <tp>
        <v>184</v>
        <stp/>
        <stp>VOLUME</stp>
        <stp>.NDXP250512P20050</stp>
        <tr r="BB189" s="1"/>
        <tr r="BB189" s="1"/>
      </tp>
      <tp t="s">
        <v>N/A</v>
        <stp/>
        <stp>VOLUME</stp>
        <stp>.NDXP250530P21250</stp>
        <tr r="I142" s="2"/>
      </tp>
      <tp t="s">
        <v>N/A</v>
        <stp/>
        <stp>VOLUME</stp>
        <stp>.NDXP250530P20250</stp>
        <tr r="I182" s="2"/>
      </tp>
      <tp t="s">
        <v>N/A</v>
        <stp/>
        <stp>VOLUME</stp>
        <stp>.NDXP250731P21350</stp>
        <tr r="N138" s="2"/>
      </tp>
      <tp t="s">
        <v>N/A</v>
        <stp/>
        <stp>VOLUME</stp>
        <stp>.NDXP250731P20350</stp>
        <tr r="N178" s="2"/>
      </tp>
      <tp>
        <v>1</v>
        <stp/>
        <stp>VOLUME</stp>
        <stp>.NDXP250606P20450</stp>
        <tr r="J174" s="2"/>
        <tr r="J174" s="2"/>
      </tp>
      <tp t="s">
        <v>N/A</v>
        <stp/>
        <stp>VOLUME</stp>
        <stp>.NDXP250630P21250</stp>
        <tr r="L142" s="2"/>
      </tp>
      <tp t="s">
        <v>N/A</v>
        <stp/>
        <stp>VOLUME</stp>
        <stp>.NDXP250630P20250</stp>
        <tr r="L182" s="2"/>
      </tp>
      <tp t="s">
        <v>N/A</v>
        <stp/>
        <stp>VOLUME</stp>
        <stp>.NDXP251031P20375</stp>
        <tr r="T177" s="2"/>
      </tp>
      <tp t="s">
        <v>N/A</v>
        <stp/>
        <stp>VOLUME</stp>
        <stp>.NDXP251231P20375</stp>
        <tr r="X177" s="2"/>
      </tp>
      <tp t="s">
        <v>N/A</v>
        <stp/>
        <stp>VOLUME</stp>
        <stp>.NDXP250930P21275</stp>
        <tr r="R141" s="2"/>
      </tp>
      <tp t="s">
        <v>N/A</v>
        <stp/>
        <stp>VOLUME</stp>
        <stp>.NDXP250930P20275</stp>
        <tr r="R181" s="2"/>
      </tp>
      <tp t="s">
        <v>N/A</v>
        <stp/>
        <stp>VOLUME</stp>
        <stp>.NDXP250512P21075</stp>
        <tr r="BB148" s="1"/>
      </tp>
      <tp>
        <v>31</v>
        <stp/>
        <stp>VOLUME</stp>
        <stp>.NDXP250512P20075</stp>
        <tr r="BB188" s="1"/>
        <tr r="BB188" s="1"/>
      </tp>
      <tp t="s">
        <v>N/A</v>
        <stp/>
        <stp>VOLUME</stp>
        <stp>.NDXP250530P21275</stp>
        <tr r="I141" s="2"/>
      </tp>
      <tp t="s">
        <v>N/A</v>
        <stp/>
        <stp>VOLUME</stp>
        <stp>.NDXP250530P20275</stp>
        <tr r="I181" s="2"/>
      </tp>
      <tp t="s">
        <v>N/A</v>
        <stp/>
        <stp>VOLUME</stp>
        <stp>.NDXP250606P20475</stp>
        <tr r="J173" s="2"/>
      </tp>
      <tp t="s">
        <v>N/A</v>
        <stp/>
        <stp>VOLUME</stp>
        <stp>.NDXP250630P21275</stp>
        <tr r="L141" s="2"/>
      </tp>
      <tp t="s">
        <v>N/A</v>
        <stp/>
        <stp>VOLUME</stp>
        <stp>.NDXP250630P20275</stp>
        <tr r="L181" s="2"/>
      </tp>
      <tp t="s">
        <v>N/A</v>
        <stp/>
        <stp>VOLUME</stp>
        <stp>.NDXP250731P20375</stp>
        <tr r="N177" s="2"/>
      </tp>
      <tp t="s">
        <v>N/A</v>
        <stp/>
        <stp>VOLUME</stp>
        <stp>.NDXP250930P21200</stp>
        <tr r="R144" s="2"/>
      </tp>
      <tp t="s">
        <v>N/A</v>
        <stp/>
        <stp>VOLUME</stp>
        <stp>.NDXP250930P20200</stp>
        <tr r="R184" s="2"/>
      </tp>
      <tp>
        <v>16</v>
        <stp/>
        <stp>VOLUME</stp>
        <stp>.NDXP250512P21000</stp>
        <tr r="BB151" s="1"/>
        <tr r="BB151" s="1"/>
      </tp>
      <tp t="s">
        <v>N/A</v>
        <stp/>
        <stp>VOLUME</stp>
        <stp>.NDXP250530P21200</stp>
        <tr r="I144" s="2"/>
      </tp>
      <tp>
        <v>1</v>
        <stp/>
        <stp>VOLUME</stp>
        <stp>.NDXP250530P20200</stp>
        <tr r="I184" s="2"/>
        <tr r="I184" s="2"/>
      </tp>
      <tp t="s">
        <v>N/A</v>
        <stp/>
        <stp>VOLUME</stp>
        <stp>.NDXP250731P21300</stp>
        <tr r="N140" s="2"/>
      </tp>
      <tp t="s">
        <v>N/A</v>
        <stp/>
        <stp>VOLUME</stp>
        <stp>.NDXP250731P20300</stp>
        <tr r="N180" s="2"/>
      </tp>
      <tp t="s">
        <v>N/A</v>
        <stp/>
        <stp>VOLUME</stp>
        <stp>.NDXP250606P20400</stp>
        <tr r="J176" s="2"/>
      </tp>
      <tp>
        <v>1</v>
        <stp/>
        <stp>VOLUME</stp>
        <stp>.NDXP250630P21200</stp>
        <tr r="L144" s="2"/>
        <tr r="L144" s="2"/>
      </tp>
      <tp t="s">
        <v>N/A</v>
        <stp/>
        <stp>VOLUME</stp>
        <stp>.NDXP250630P20200</stp>
        <tr r="L184" s="2"/>
      </tp>
      <tp t="s">
        <v>N/A</v>
        <stp/>
        <stp>VOLUME</stp>
        <stp>.NDXP251031P21300</stp>
        <tr r="T140" s="2"/>
      </tp>
      <tp t="s">
        <v>N/A</v>
        <stp/>
        <stp>VOLUME</stp>
        <stp>.NDXP251031P20300</stp>
        <tr r="T180" s="2"/>
      </tp>
      <tp t="s">
        <v>N/A</v>
        <stp/>
        <stp>VOLUME</stp>
        <stp>.NDXP251231P21300</stp>
        <tr r="X140" s="2"/>
      </tp>
      <tp t="s">
        <v>N/A</v>
        <stp/>
        <stp>VOLUME</stp>
        <stp>.NDXP251231P20300</stp>
        <tr r="X180" s="2"/>
      </tp>
      <tp t="s">
        <v>N/A</v>
        <stp/>
        <stp>VOLUME</stp>
        <stp>.NDXP250930P21225</stp>
        <tr r="R143" s="2"/>
      </tp>
      <tp t="s">
        <v>N/A</v>
        <stp/>
        <stp>VOLUME</stp>
        <stp>.NDXP250930P20225</stp>
        <tr r="R183" s="2"/>
      </tp>
      <tp t="s">
        <v>N/A</v>
        <stp/>
        <stp>VOLUME</stp>
        <stp>.NDXP250512P21025</stp>
        <tr r="BB150" s="1"/>
      </tp>
      <tp t="s">
        <v>N/A</v>
        <stp/>
        <stp>VOLUME</stp>
        <stp>.NDXP250530P21225</stp>
        <tr r="I143" s="2"/>
      </tp>
      <tp t="s">
        <v>N/A</v>
        <stp/>
        <stp>VOLUME</stp>
        <stp>.NDXP250530P20225</stp>
        <tr r="I183" s="2"/>
      </tp>
      <tp t="s">
        <v>N/A</v>
        <stp/>
        <stp>VOLUME</stp>
        <stp>.NDXP250606P20425</stp>
        <tr r="J175" s="2"/>
      </tp>
      <tp t="s">
        <v>N/A</v>
        <stp/>
        <stp>VOLUME</stp>
        <stp>.NDXP250630P21225</stp>
        <tr r="L143" s="2"/>
      </tp>
      <tp t="s">
        <v>N/A</v>
        <stp/>
        <stp>VOLUME</stp>
        <stp>.NDXP250630P20225</stp>
        <tr r="L183" s="2"/>
      </tp>
      <tp t="s">
        <v>N/A</v>
        <stp/>
        <stp>VOLUME</stp>
        <stp>.NDXP250731P21325</stp>
        <tr r="N139" s="2"/>
      </tp>
      <tp t="s">
        <v>N/A</v>
        <stp/>
        <stp>VOLUME</stp>
        <stp>.NDXP250731P20325</stp>
        <tr r="N179" s="2"/>
      </tp>
      <tp t="s">
        <v>N/A</v>
        <stp/>
        <stp>VOLUME</stp>
        <stp>.NDXP251031P21325</stp>
        <tr r="T139" s="2"/>
      </tp>
      <tp t="s">
        <v>N/A</v>
        <stp/>
        <stp>VOLUME</stp>
        <stp>.NDXP251031P20325</stp>
        <tr r="T179" s="2"/>
      </tp>
      <tp t="s">
        <v>N/A</v>
        <stp/>
        <stp>VOLUME</stp>
        <stp>.NDXP251231P21325</stp>
        <tr r="X139" s="2"/>
      </tp>
      <tp t="s">
        <v>N/A</v>
        <stp/>
        <stp>VOLUME</stp>
        <stp>.NDXP251231P20325</stp>
        <tr r="X179" s="2"/>
      </tp>
      <tp>
        <v>16</v>
        <stp/>
        <stp>OPEN_INT</stp>
        <stp>.NDXP250512C20800</stp>
        <tr r="AS159" s="1"/>
        <tr r="AS159" s="1"/>
      </tp>
      <tp>
        <v>4</v>
        <stp/>
        <stp>OPEN_INT</stp>
        <stp>.NDXP250512C20825</stp>
        <tr r="AS158" s="1"/>
        <tr r="AS158" s="1"/>
      </tp>
      <tp>
        <v>10</v>
        <stp/>
        <stp>OPEN_INT</stp>
        <stp>.NDXP250512C20850</stp>
        <tr r="AS157" s="1"/>
        <tr r="AS157" s="1"/>
      </tp>
      <tp>
        <v>2</v>
        <stp/>
        <stp>OPEN_INT</stp>
        <stp>.NDXP250512C20875</stp>
        <tr r="AS156" s="1"/>
        <tr r="AS156" s="1"/>
      </tp>
      <tp>
        <v>0</v>
        <stp/>
        <stp>OPEN_INT</stp>
        <stp>.NDXP250512P20825</stp>
        <tr r="AT158" s="1"/>
        <tr r="AT158" s="1"/>
      </tp>
      <tp>
        <v>0</v>
        <stp/>
        <stp>OPEN_INT</stp>
        <stp>.NDXP250512P20800</stp>
        <tr r="AT159" s="1"/>
        <tr r="AT159" s="1"/>
      </tp>
      <tp>
        <v>0</v>
        <stp/>
        <stp>OPEN_INT</stp>
        <stp>.NDXP250512P20875</stp>
        <tr r="AT156" s="1"/>
        <tr r="AT156" s="1"/>
      </tp>
      <tp>
        <v>0</v>
        <stp/>
        <stp>OPEN_INT</stp>
        <stp>.NDXP250512P20850</stp>
        <tr r="AT157" s="1"/>
        <tr r="AT157" s="1"/>
      </tp>
      <tp>
        <v>-0.06</v>
        <stp/>
        <stp>DELTA</stp>
        <stp>.NDXP250512P20225</stp>
        <tr r="CE182" s="1"/>
        <tr r="CE182" s="1"/>
      </tp>
      <tp t="s">
        <v>N/A</v>
        <stp/>
        <stp>DELTA</stp>
        <stp>.NDXP250512P21225</stp>
        <tr r="CE142" s="1"/>
      </tp>
      <tp>
        <v>0</v>
        <stp/>
        <stp>DELTA</stp>
        <stp>.NDXP250512P20200</stp>
        <tr r="CE183" s="1"/>
        <tr r="CE183" s="1"/>
      </tp>
      <tp>
        <v>-0.94</v>
        <stp/>
        <stp>DELTA</stp>
        <stp>.NDXP250512P21200</stp>
        <tr r="CE143" s="1"/>
        <tr r="CE143" s="1"/>
      </tp>
      <tp>
        <v>-0.06</v>
        <stp/>
        <stp>DELTA</stp>
        <stp>.NDXP250512P20275</stp>
        <tr r="CE180" s="1"/>
        <tr r="CE180" s="1"/>
      </tp>
      <tp t="s">
        <v>N/A</v>
        <stp/>
        <stp>DELTA</stp>
        <stp>.NDXP250512P21275</stp>
        <tr r="CE140" s="1"/>
      </tp>
      <tp>
        <v>-0.06</v>
        <stp/>
        <stp>DELTA</stp>
        <stp>.NDXP250512P20250</stp>
        <tr r="CE181" s="1"/>
        <tr r="CE181" s="1"/>
      </tp>
      <tp>
        <v>-0.94</v>
        <stp/>
        <stp>DELTA</stp>
        <stp>.NDXP250512P21250</stp>
        <tr r="CE141" s="1"/>
        <tr r="CE141" s="1"/>
      </tp>
      <tp>
        <v>1</v>
        <stp/>
        <stp>DELTA</stp>
        <stp>.NDXP250512C20200</stp>
        <tr r="CD183" s="1"/>
        <tr r="CD183" s="1"/>
      </tp>
      <tp>
        <v>0</v>
        <stp/>
        <stp>DELTA</stp>
        <stp>.NDXP250512C21200</stp>
        <tr r="CD143" s="1"/>
        <tr r="CD143" s="1"/>
      </tp>
      <tp>
        <v>1</v>
        <stp/>
        <stp>DELTA</stp>
        <stp>.NDXP250512C20225</stp>
        <tr r="CD182" s="1"/>
        <tr r="CD182" s="1"/>
      </tp>
      <tp t="s">
        <v>N/A</v>
        <stp/>
        <stp>DELTA</stp>
        <stp>.NDXP250512C21225</stp>
        <tr r="CD142" s="1"/>
      </tp>
      <tp>
        <v>1</v>
        <stp/>
        <stp>DELTA</stp>
        <stp>.NDXP250512C20250</stp>
        <tr r="CD181" s="1"/>
        <tr r="CD181" s="1"/>
      </tp>
      <tp>
        <v>0.08</v>
        <stp/>
        <stp>DELTA</stp>
        <stp>.NDXP250512C21250</stp>
        <tr r="CD141" s="1"/>
        <tr r="CD141" s="1"/>
      </tp>
      <tp>
        <v>1</v>
        <stp/>
        <stp>DELTA</stp>
        <stp>.NDXP250512C20275</stp>
        <tr r="CD180" s="1"/>
        <tr r="CD180" s="1"/>
      </tp>
      <tp t="s">
        <v>N/A</v>
        <stp/>
        <stp>DELTA</stp>
        <stp>.NDXP250512C21275</stp>
        <tr r="CD140" s="1"/>
      </tp>
      <tp t="s">
        <v>N/A</v>
        <stp/>
        <stp>VOLUME</stp>
        <stp>.NDXP250930C20375</stp>
        <tr r="R177" s="2"/>
      </tp>
      <tp t="s">
        <v>N/A</v>
        <stp/>
        <stp>VOLUME</stp>
        <stp>.NDXP250512C21175</stp>
        <tr r="BA144" s="1"/>
      </tp>
      <tp>
        <v>5</v>
        <stp/>
        <stp>VOLUME</stp>
        <stp>.NDXP250512C20175</stp>
        <tr r="BA184" s="1"/>
        <tr r="BA184" s="1"/>
      </tp>
      <tp t="s">
        <v>N/A</v>
        <stp/>
        <stp>VOLUME</stp>
        <stp>.NDXP250530C20375</stp>
        <tr r="I177" s="2"/>
      </tp>
      <tp>
        <v>1</v>
        <stp/>
        <stp>VOLUME</stp>
        <stp>.NDXP250606C20575</stp>
        <tr r="J169" s="2"/>
        <tr r="J169" s="2"/>
      </tp>
      <tp t="s">
        <v>N/A</v>
        <stp/>
        <stp>VOLUME</stp>
        <stp>.NDXP250630C20375</stp>
        <tr r="L177" s="2"/>
      </tp>
      <tp t="s">
        <v>N/A</v>
        <stp/>
        <stp>VOLUME</stp>
        <stp>.NDXP250731C21275</stp>
        <tr r="N141" s="2"/>
      </tp>
      <tp t="s">
        <v>N/A</v>
        <stp/>
        <stp>VOLUME</stp>
        <stp>.NDXP250731C20275</stp>
        <tr r="N181" s="2"/>
      </tp>
      <tp t="s">
        <v>N/A</v>
        <stp/>
        <stp>VOLUME</stp>
        <stp>.NDXP251031C21275</stp>
        <tr r="T141" s="2"/>
      </tp>
      <tp t="s">
        <v>N/A</v>
        <stp/>
        <stp>VOLUME</stp>
        <stp>.NDXP251031C20275</stp>
        <tr r="T181" s="2"/>
      </tp>
      <tp t="s">
        <v>N/A</v>
        <stp/>
        <stp>VOLUME</stp>
        <stp>.NDXP251231C21275</stp>
        <tr r="X141" s="2"/>
      </tp>
      <tp t="s">
        <v>N/A</v>
        <stp/>
        <stp>VOLUME</stp>
        <stp>.NDXP251231C20275</stp>
        <tr r="X181" s="2"/>
      </tp>
      <tp t="s">
        <v>N/A</v>
        <stp/>
        <stp>VOLUME</stp>
        <stp>.NDXP250930C21350</stp>
        <tr r="R138" s="2"/>
      </tp>
      <tp t="s">
        <v>N/A</v>
        <stp/>
        <stp>VOLUME</stp>
        <stp>.NDXP250930C20350</stp>
        <tr r="R178" s="2"/>
      </tp>
      <tp>
        <v>269</v>
        <stp/>
        <stp>VOLUME</stp>
        <stp>.NDXP250512C21150</stp>
        <tr r="BA145" s="1"/>
        <tr r="BA145" s="1"/>
      </tp>
      <tp>
        <v>1</v>
        <stp/>
        <stp>VOLUME</stp>
        <stp>.NDXP250512C20150</stp>
        <tr r="BA185" s="1"/>
        <tr r="BA185" s="1"/>
      </tp>
      <tp t="s">
        <v>N/A</v>
        <stp/>
        <stp>VOLUME</stp>
        <stp>.NDXP250530C21350</stp>
        <tr r="I138" s="2"/>
      </tp>
      <tp t="s">
        <v>N/A</v>
        <stp/>
        <stp>VOLUME</stp>
        <stp>.NDXP250530C20350</stp>
        <tr r="I178" s="2"/>
      </tp>
      <tp t="s">
        <v>N/A</v>
        <stp/>
        <stp>VOLUME</stp>
        <stp>.NDXP250731C21250</stp>
        <tr r="N142" s="2"/>
      </tp>
      <tp t="s">
        <v>N/A</v>
        <stp/>
        <stp>VOLUME</stp>
        <stp>.NDXP250731C20250</stp>
        <tr r="N182" s="2"/>
      </tp>
      <tp>
        <v>1</v>
        <stp/>
        <stp>VOLUME</stp>
        <stp>.NDXP250606C20550</stp>
        <tr r="J170" s="2"/>
        <tr r="J170" s="2"/>
      </tp>
      <tp t="s">
        <v>N/A</v>
        <stp/>
        <stp>VOLUME</stp>
        <stp>.NDXP250630C21350</stp>
        <tr r="L138" s="2"/>
      </tp>
      <tp t="s">
        <v>N/A</v>
        <stp/>
        <stp>VOLUME</stp>
        <stp>.NDXP250630C20350</stp>
        <tr r="L178" s="2"/>
      </tp>
      <tp t="s">
        <v>N/A</v>
        <stp/>
        <stp>VOLUME</stp>
        <stp>.NDXP251031C21250</stp>
        <tr r="T142" s="2"/>
      </tp>
      <tp t="s">
        <v>N/A</v>
        <stp/>
        <stp>VOLUME</stp>
        <stp>.NDXP251031C20250</stp>
        <tr r="T182" s="2"/>
      </tp>
      <tp t="s">
        <v>N/A</v>
        <stp/>
        <stp>VOLUME</stp>
        <stp>.NDXP251231C21250</stp>
        <tr r="X142" s="2"/>
      </tp>
      <tp t="s">
        <v>N/A</v>
        <stp/>
        <stp>VOLUME</stp>
        <stp>.NDXP251231C20250</stp>
        <tr r="X182" s="2"/>
      </tp>
      <tp t="s">
        <v>N/A</v>
        <stp/>
        <stp>VOLUME</stp>
        <stp>.NDXP251031C21225</stp>
        <tr r="T143" s="2"/>
      </tp>
      <tp t="s">
        <v>N/A</v>
        <stp/>
        <stp>VOLUME</stp>
        <stp>.NDXP251031C20225</stp>
        <tr r="T183" s="2"/>
      </tp>
      <tp t="s">
        <v>N/A</v>
        <stp/>
        <stp>VOLUME</stp>
        <stp>.NDXP251231C21225</stp>
        <tr r="X143" s="2"/>
      </tp>
      <tp t="s">
        <v>N/A</v>
        <stp/>
        <stp>VOLUME</stp>
        <stp>.NDXP251231C20225</stp>
        <tr r="X183" s="2"/>
      </tp>
      <tp t="s">
        <v>N/A</v>
        <stp/>
        <stp>VOLUME</stp>
        <stp>.NDXP250930C21325</stp>
        <tr r="R139" s="2"/>
      </tp>
      <tp t="s">
        <v>N/A</v>
        <stp/>
        <stp>VOLUME</stp>
        <stp>.NDXP250930C20325</stp>
        <tr r="R179" s="2"/>
      </tp>
      <tp t="s">
        <v>N/A</v>
        <stp/>
        <stp>VOLUME</stp>
        <stp>.NDXP250512C21125</stp>
        <tr r="BA146" s="1"/>
      </tp>
      <tp>
        <v>2</v>
        <stp/>
        <stp>VOLUME</stp>
        <stp>.NDXP250512C20125</stp>
        <tr r="BA186" s="1"/>
        <tr r="BA186" s="1"/>
      </tp>
      <tp t="s">
        <v>N/A</v>
        <stp/>
        <stp>VOLUME</stp>
        <stp>.NDXP250530C21325</stp>
        <tr r="I139" s="2"/>
      </tp>
      <tp t="s">
        <v>N/A</v>
        <stp/>
        <stp>VOLUME</stp>
        <stp>.NDXP250530C20325</stp>
        <tr r="I179" s="2"/>
      </tp>
      <tp t="s">
        <v>N/A</v>
        <stp/>
        <stp>VOLUME</stp>
        <stp>.NDXP250606C20525</stp>
        <tr r="J171" s="2"/>
      </tp>
      <tp t="s">
        <v>N/A</v>
        <stp/>
        <stp>VOLUME</stp>
        <stp>.NDXP250630C21325</stp>
        <tr r="L139" s="2"/>
      </tp>
      <tp t="s">
        <v>N/A</v>
        <stp/>
        <stp>VOLUME</stp>
        <stp>.NDXP250630C20325</stp>
        <tr r="L179" s="2"/>
      </tp>
      <tp t="s">
        <v>N/A</v>
        <stp/>
        <stp>VOLUME</stp>
        <stp>.NDXP250731C21225</stp>
        <tr r="N143" s="2"/>
      </tp>
      <tp t="s">
        <v>N/A</v>
        <stp/>
        <stp>VOLUME</stp>
        <stp>.NDXP250731C20225</stp>
        <tr r="N183" s="2"/>
      </tp>
      <tp t="s">
        <v>N/A</v>
        <stp/>
        <stp>VOLUME</stp>
        <stp>.NDXP251031C21200</stp>
        <tr r="T144" s="2"/>
      </tp>
      <tp t="s">
        <v>N/A</v>
        <stp/>
        <stp>VOLUME</stp>
        <stp>.NDXP251031C20200</stp>
        <tr r="T184" s="2"/>
      </tp>
      <tp>
        <v>1</v>
        <stp/>
        <stp>VOLUME</stp>
        <stp>.NDXP251231C21200</stp>
        <tr r="X144" s="2"/>
        <tr r="X144" s="2"/>
      </tp>
      <tp t="s">
        <v>N/A</v>
        <stp/>
        <stp>VOLUME</stp>
        <stp>.NDXP251231C20200</stp>
        <tr r="X184" s="2"/>
      </tp>
      <tp t="s">
        <v>N/A</v>
        <stp/>
        <stp>VOLUME</stp>
        <stp>.NDXP250930C21300</stp>
        <tr r="R140" s="2"/>
      </tp>
      <tp t="s">
        <v>N/A</v>
        <stp/>
        <stp>VOLUME</stp>
        <stp>.NDXP250930C20300</stp>
        <tr r="R180" s="2"/>
      </tp>
      <tp>
        <v>541</v>
        <stp/>
        <stp>VOLUME</stp>
        <stp>.NDXP250512C21100</stp>
        <tr r="BA147" s="1"/>
        <tr r="BA147" s="1"/>
      </tp>
      <tp>
        <v>371</v>
        <stp/>
        <stp>VOLUME</stp>
        <stp>.NDXP250512C20100</stp>
        <tr r="BA187" s="1"/>
        <tr r="BA187" s="1"/>
      </tp>
      <tp>
        <v>4</v>
        <stp/>
        <stp>VOLUME</stp>
        <stp>.NDXP250530C21300</stp>
        <tr r="I140" s="2"/>
        <tr r="I140" s="2"/>
      </tp>
      <tp>
        <v>1</v>
        <stp/>
        <stp>VOLUME</stp>
        <stp>.NDXP250530C20300</stp>
        <tr r="I180" s="2"/>
        <tr r="I180" s="2"/>
      </tp>
      <tp t="s">
        <v>N/A</v>
        <stp/>
        <stp>VOLUME</stp>
        <stp>.NDXP250731C21200</stp>
        <tr r="N144" s="2"/>
      </tp>
      <tp t="s">
        <v>N/A</v>
        <stp/>
        <stp>VOLUME</stp>
        <stp>.NDXP250731C20200</stp>
        <tr r="N184" s="2"/>
      </tp>
      <tp>
        <v>1</v>
        <stp/>
        <stp>VOLUME</stp>
        <stp>.NDXP250606C20500</stp>
        <tr r="J172" s="2"/>
        <tr r="J172" s="2"/>
      </tp>
      <tp>
        <v>40</v>
        <stp/>
        <stp>VOLUME</stp>
        <stp>.NDXP250630C21300</stp>
        <tr r="L140" s="2"/>
        <tr r="L140" s="2"/>
      </tp>
      <tp t="s">
        <v>N/A</v>
        <stp/>
        <stp>VOLUME</stp>
        <stp>.NDXP250630C20300</stp>
        <tr r="L180" s="2"/>
      </tp>
      <tp t="s">
        <v>N/A</v>
        <stp/>
        <stp>VOLUME</stp>
        <stp>.NDXP251031P21250</stp>
        <tr r="T142" s="2"/>
      </tp>
      <tp t="s">
        <v>N/A</v>
        <stp/>
        <stp>VOLUME</stp>
        <stp>.NDXP251031P20250</stp>
        <tr r="T182" s="2"/>
      </tp>
      <tp t="s">
        <v>N/A</v>
        <stp/>
        <stp>VOLUME</stp>
        <stp>.NDXP251231P21250</stp>
        <tr r="X142" s="2"/>
      </tp>
      <tp t="s">
        <v>N/A</v>
        <stp/>
        <stp>VOLUME</stp>
        <stp>.NDXP251231P20250</stp>
        <tr r="X182" s="2"/>
      </tp>
      <tp t="s">
        <v>N/A</v>
        <stp/>
        <stp>VOLUME</stp>
        <stp>.NDXP250930P21350</stp>
        <tr r="R138" s="2"/>
      </tp>
      <tp t="s">
        <v>N/A</v>
        <stp/>
        <stp>VOLUME</stp>
        <stp>.NDXP250930P20350</stp>
        <tr r="R178" s="2"/>
      </tp>
      <tp t="s">
        <v>N/A</v>
        <stp/>
        <stp>VOLUME</stp>
        <stp>.NDXP250512P21150</stp>
        <tr r="BB145" s="1"/>
      </tp>
      <tp>
        <v>386</v>
        <stp/>
        <stp>VOLUME</stp>
        <stp>.NDXP250512P20150</stp>
        <tr r="BB185" s="1"/>
        <tr r="BB185" s="1"/>
      </tp>
      <tp t="s">
        <v>N/A</v>
        <stp/>
        <stp>VOLUME</stp>
        <stp>.NDXP250530P21350</stp>
        <tr r="I138" s="2"/>
      </tp>
      <tp t="s">
        <v>N/A</v>
        <stp/>
        <stp>VOLUME</stp>
        <stp>.NDXP250530P20350</stp>
        <tr r="I178" s="2"/>
      </tp>
      <tp t="s">
        <v>N/A</v>
        <stp/>
        <stp>VOLUME</stp>
        <stp>.NDXP250731P21250</stp>
        <tr r="N142" s="2"/>
      </tp>
      <tp t="s">
        <v>N/A</v>
        <stp/>
        <stp>VOLUME</stp>
        <stp>.NDXP250731P20250</stp>
        <tr r="N182" s="2"/>
      </tp>
      <tp>
        <v>1</v>
        <stp/>
        <stp>VOLUME</stp>
        <stp>.NDXP250606P20550</stp>
        <tr r="J170" s="2"/>
        <tr r="J170" s="2"/>
      </tp>
      <tp t="s">
        <v>N/A</v>
        <stp/>
        <stp>VOLUME</stp>
        <stp>.NDXP250630P21350</stp>
        <tr r="L138" s="2"/>
      </tp>
      <tp t="s">
        <v>N/A</v>
        <stp/>
        <stp>VOLUME</stp>
        <stp>.NDXP250630P20350</stp>
        <tr r="L178" s="2"/>
      </tp>
      <tp t="s">
        <v>N/A</v>
        <stp/>
        <stp>VOLUME</stp>
        <stp>.NDXP251031P21275</stp>
        <tr r="T141" s="2"/>
      </tp>
      <tp t="s">
        <v>N/A</v>
        <stp/>
        <stp>VOLUME</stp>
        <stp>.NDXP251031P20275</stp>
        <tr r="T181" s="2"/>
      </tp>
      <tp t="s">
        <v>N/A</v>
        <stp/>
        <stp>VOLUME</stp>
        <stp>.NDXP251231P21275</stp>
        <tr r="X141" s="2"/>
      </tp>
      <tp t="s">
        <v>N/A</v>
        <stp/>
        <stp>VOLUME</stp>
        <stp>.NDXP251231P20275</stp>
        <tr r="X181" s="2"/>
      </tp>
      <tp t="s">
        <v>N/A</v>
        <stp/>
        <stp>VOLUME</stp>
        <stp>.NDXP250930P20375</stp>
        <tr r="R177" s="2"/>
      </tp>
      <tp t="s">
        <v>N/A</v>
        <stp/>
        <stp>VOLUME</stp>
        <stp>.NDXP250512P21175</stp>
        <tr r="BB144" s="1"/>
      </tp>
      <tp>
        <v>32</v>
        <stp/>
        <stp>VOLUME</stp>
        <stp>.NDXP250512P20175</stp>
        <tr r="BB184" s="1"/>
        <tr r="BB184" s="1"/>
      </tp>
      <tp>
        <v>1</v>
        <stp/>
        <stp>VOLUME</stp>
        <stp>.NDXP250530P20375</stp>
        <tr r="I177" s="2"/>
        <tr r="I177" s="2"/>
      </tp>
      <tp t="s">
        <v>N/A</v>
        <stp/>
        <stp>VOLUME</stp>
        <stp>.NDXP250606P20575</stp>
        <tr r="J169" s="2"/>
      </tp>
      <tp t="s">
        <v>N/A</v>
        <stp/>
        <stp>VOLUME</stp>
        <stp>.NDXP250630P20375</stp>
        <tr r="L177" s="2"/>
      </tp>
      <tp t="s">
        <v>N/A</v>
        <stp/>
        <stp>VOLUME</stp>
        <stp>.NDXP250731P21275</stp>
        <tr r="N141" s="2"/>
      </tp>
      <tp t="s">
        <v>N/A</v>
        <stp/>
        <stp>VOLUME</stp>
        <stp>.NDXP250731P20275</stp>
        <tr r="N181" s="2"/>
      </tp>
      <tp t="s">
        <v>N/A</v>
        <stp/>
        <stp>VOLUME</stp>
        <stp>.NDXP250930P21300</stp>
        <tr r="R140" s="2"/>
      </tp>
      <tp t="s">
        <v>N/A</v>
        <stp/>
        <stp>VOLUME</stp>
        <stp>.NDXP250930P20300</stp>
        <tr r="R180" s="2"/>
      </tp>
      <tp t="s">
        <v>N/A</v>
        <stp/>
        <stp>VOLUME</stp>
        <stp>.NDXP250512P21100</stp>
        <tr r="BB147" s="1"/>
      </tp>
      <tp>
        <v>201</v>
        <stp/>
        <stp>VOLUME</stp>
        <stp>.NDXP250512P20100</stp>
        <tr r="BB187" s="1"/>
        <tr r="BB187" s="1"/>
      </tp>
      <tp>
        <v>5</v>
        <stp/>
        <stp>VOLUME</stp>
        <stp>.NDXP250530P21300</stp>
        <tr r="I140" s="2"/>
        <tr r="I140" s="2"/>
      </tp>
      <tp>
        <v>4</v>
        <stp/>
        <stp>VOLUME</stp>
        <stp>.NDXP250530P20300</stp>
        <tr r="I180" s="2"/>
        <tr r="I180" s="2"/>
      </tp>
      <tp t="s">
        <v>N/A</v>
        <stp/>
        <stp>VOLUME</stp>
        <stp>.NDXP250731P21200</stp>
        <tr r="N144" s="2"/>
      </tp>
      <tp t="s">
        <v>N/A</v>
        <stp/>
        <stp>VOLUME</stp>
        <stp>.NDXP250731P20200</stp>
        <tr r="N184" s="2"/>
      </tp>
      <tp>
        <v>2</v>
        <stp/>
        <stp>VOLUME</stp>
        <stp>.NDXP250606P20500</stp>
        <tr r="J172" s="2"/>
        <tr r="J172" s="2"/>
      </tp>
      <tp>
        <v>1</v>
        <stp/>
        <stp>VOLUME</stp>
        <stp>.NDXP250630P21300</stp>
        <tr r="L140" s="2"/>
        <tr r="L140" s="2"/>
      </tp>
      <tp t="s">
        <v>N/A</v>
        <stp/>
        <stp>VOLUME</stp>
        <stp>.NDXP250630P20300</stp>
        <tr r="L180" s="2"/>
      </tp>
      <tp t="s">
        <v>N/A</v>
        <stp/>
        <stp>VOLUME</stp>
        <stp>.NDXP251031P21200</stp>
        <tr r="T144" s="2"/>
      </tp>
      <tp t="s">
        <v>N/A</v>
        <stp/>
        <stp>VOLUME</stp>
        <stp>.NDXP251031P20200</stp>
        <tr r="T184" s="2"/>
      </tp>
      <tp t="s">
        <v>N/A</v>
        <stp/>
        <stp>VOLUME</stp>
        <stp>.NDXP251231P21200</stp>
        <tr r="X144" s="2"/>
      </tp>
      <tp t="s">
        <v>N/A</v>
        <stp/>
        <stp>VOLUME</stp>
        <stp>.NDXP251231P20200</stp>
        <tr r="X184" s="2"/>
      </tp>
      <tp t="s">
        <v>N/A</v>
        <stp/>
        <stp>VOLUME</stp>
        <stp>.NDXP250930P21325</stp>
        <tr r="R139" s="2"/>
      </tp>
      <tp t="s">
        <v>N/A</v>
        <stp/>
        <stp>VOLUME</stp>
        <stp>.NDXP250930P20325</stp>
        <tr r="R179" s="2"/>
      </tp>
      <tp t="s">
        <v>N/A</v>
        <stp/>
        <stp>VOLUME</stp>
        <stp>.NDXP250512P21125</stp>
        <tr r="BB146" s="1"/>
      </tp>
      <tp>
        <v>98</v>
        <stp/>
        <stp>VOLUME</stp>
        <stp>.NDXP250512P20125</stp>
        <tr r="BB186" s="1"/>
        <tr r="BB186" s="1"/>
      </tp>
      <tp t="s">
        <v>N/A</v>
        <stp/>
        <stp>VOLUME</stp>
        <stp>.NDXP250530P21325</stp>
        <tr r="I139" s="2"/>
      </tp>
      <tp t="s">
        <v>N/A</v>
        <stp/>
        <stp>VOLUME</stp>
        <stp>.NDXP250530P20325</stp>
        <tr r="I179" s="2"/>
      </tp>
      <tp t="s">
        <v>N/A</v>
        <stp/>
        <stp>VOLUME</stp>
        <stp>.NDXP250606P20525</stp>
        <tr r="J171" s="2"/>
      </tp>
      <tp t="s">
        <v>N/A</v>
        <stp/>
        <stp>VOLUME</stp>
        <stp>.NDXP250630P21325</stp>
        <tr r="L139" s="2"/>
      </tp>
      <tp t="s">
        <v>N/A</v>
        <stp/>
        <stp>VOLUME</stp>
        <stp>.NDXP250630P20325</stp>
        <tr r="L179" s="2"/>
      </tp>
      <tp t="s">
        <v>N/A</v>
        <stp/>
        <stp>VOLUME</stp>
        <stp>.NDXP250731P21225</stp>
        <tr r="N143" s="2"/>
      </tp>
      <tp t="s">
        <v>N/A</v>
        <stp/>
        <stp>VOLUME</stp>
        <stp>.NDXP250731P20225</stp>
        <tr r="N183" s="2"/>
      </tp>
      <tp t="s">
        <v>N/A</v>
        <stp/>
        <stp>VOLUME</stp>
        <stp>.NDXP251031P21225</stp>
        <tr r="T143" s="2"/>
      </tp>
      <tp t="s">
        <v>N/A</v>
        <stp/>
        <stp>VOLUME</stp>
        <stp>.NDXP251031P20225</stp>
        <tr r="T183" s="2"/>
      </tp>
      <tp t="s">
        <v>N/A</v>
        <stp/>
        <stp>VOLUME</stp>
        <stp>.NDXP251231P21225</stp>
        <tr r="X143" s="2"/>
      </tp>
      <tp t="s">
        <v>N/A</v>
        <stp/>
        <stp>VOLUME</stp>
        <stp>.NDXP251231P20225</stp>
        <tr r="X183" s="2"/>
      </tp>
      <tp t="s">
        <v>N/A</v>
        <stp/>
        <stp>VOLUME</stp>
        <stp>.NDX251219P20200</stp>
        <tr r="W184" s="2"/>
      </tp>
      <tp t="s">
        <v>N/A</v>
        <stp/>
        <stp>VOLUME</stp>
        <stp>.NDX251219P21200</stp>
        <tr r="W144" s="2"/>
      </tp>
      <tp t="s">
        <v>N/A</v>
        <stp/>
        <stp>VOLUME</stp>
        <stp>.NDX250919P20200</stp>
        <tr r="Q184" s="2"/>
      </tp>
      <tp t="s">
        <v>N/A</v>
        <stp/>
        <stp>VOLUME</stp>
        <stp>.NDX250919P21200</stp>
        <tr r="Q144" s="2"/>
      </tp>
      <tp>
        <v>1</v>
        <stp/>
        <stp>VOLUME</stp>
        <stp>.NDX250718P20300</stp>
        <tr r="M180" s="2"/>
        <tr r="M180" s="2"/>
      </tp>
      <tp t="s">
        <v>N/A</v>
        <stp/>
        <stp>VOLUME</stp>
        <stp>.NDX250718P21300</stp>
        <tr r="M140" s="2"/>
      </tp>
      <tp t="s">
        <v>N/A</v>
        <stp/>
        <stp>VOLUME</stp>
        <stp>.NDX250523P20800</stp>
        <tr r="H160" s="2"/>
      </tp>
      <tp t="s">
        <v>N/A</v>
        <stp/>
        <stp>VOLUME</stp>
        <stp>.NDX251219P20225</stp>
        <tr r="W183" s="2"/>
      </tp>
      <tp t="s">
        <v>N/A</v>
        <stp/>
        <stp>VOLUME</stp>
        <stp>.NDX251219P21225</stp>
        <tr r="W143" s="2"/>
      </tp>
      <tp t="s">
        <v>N/A</v>
        <stp/>
        <stp>VOLUME</stp>
        <stp>.NDX250919P20225</stp>
        <tr r="Q183" s="2"/>
      </tp>
      <tp t="s">
        <v>N/A</v>
        <stp/>
        <stp>VOLUME</stp>
        <stp>.NDX250919P21225</stp>
        <tr r="Q143" s="2"/>
      </tp>
      <tp t="s">
        <v>N/A</v>
        <stp/>
        <stp>VOLUME</stp>
        <stp>.NDX250718P20325</stp>
        <tr r="M179" s="2"/>
      </tp>
      <tp t="s">
        <v>N/A</v>
        <stp/>
        <stp>VOLUME</stp>
        <stp>.NDX250718P21325</stp>
        <tr r="M139" s="2"/>
      </tp>
      <tp t="s">
        <v>N/A</v>
        <stp/>
        <stp>VOLUME</stp>
        <stp>.NDX250523P20825</stp>
        <tr r="H159" s="2"/>
      </tp>
      <tp t="s">
        <v>N/A</v>
        <stp/>
        <stp>VOLUME</stp>
        <stp>.NDX250919P20250</stp>
        <tr r="Q182" s="2"/>
      </tp>
      <tp t="s">
        <v>N/A</v>
        <stp/>
        <stp>VOLUME</stp>
        <stp>.NDX250919P21250</stp>
        <tr r="Q142" s="2"/>
      </tp>
      <tp t="s">
        <v>N/A</v>
        <stp/>
        <stp>VOLUME</stp>
        <stp>.NDX250718P20350</stp>
        <tr r="M178" s="2"/>
      </tp>
      <tp t="s">
        <v>N/A</v>
        <stp/>
        <stp>VOLUME</stp>
        <stp>.NDX250718P21350</stp>
        <tr r="M138" s="2"/>
      </tp>
      <tp t="s">
        <v>N/A</v>
        <stp/>
        <stp>VOLUME</stp>
        <stp>.NDX250523P20850</stp>
        <tr r="H158" s="2"/>
      </tp>
      <tp t="s">
        <v>N/A</v>
        <stp/>
        <stp>VOLUME</stp>
        <stp>.NDX251219P20250</stp>
        <tr r="W182" s="2"/>
      </tp>
      <tp t="s">
        <v>N/A</v>
        <stp/>
        <stp>VOLUME</stp>
        <stp>.NDX251219P21250</stp>
        <tr r="W142" s="2"/>
      </tp>
      <tp t="s">
        <v>N/A</v>
        <stp/>
        <stp>VOLUME</stp>
        <stp>.NDX250919P20275</stp>
        <tr r="Q181" s="2"/>
      </tp>
      <tp t="s">
        <v>N/A</v>
        <stp/>
        <stp>VOLUME</stp>
        <stp>.NDX250919P21275</stp>
        <tr r="Q141" s="2"/>
      </tp>
      <tp t="s">
        <v>N/A</v>
        <stp/>
        <stp>VOLUME</stp>
        <stp>.NDX250718P20375</stp>
        <tr r="M177" s="2"/>
      </tp>
      <tp t="s">
        <v>N/A</v>
        <stp/>
        <stp>VOLUME</stp>
        <stp>.NDX250523P20875</stp>
        <tr r="H157" s="2"/>
      </tp>
      <tp t="s">
        <v>N/A</v>
        <stp/>
        <stp>VOLUME</stp>
        <stp>.NDX251219P20275</stp>
        <tr r="W181" s="2"/>
      </tp>
      <tp t="s">
        <v>N/A</v>
        <stp/>
        <stp>VOLUME</stp>
        <stp>.NDX251219P21275</stp>
        <tr r="W141" s="2"/>
      </tp>
      <tp t="s">
        <v>N/A</v>
        <stp/>
        <stp>VOLUME</stp>
        <stp>.NDX250919C20225</stp>
        <tr r="Q183" s="2"/>
      </tp>
      <tp t="s">
        <v>N/A</v>
        <stp/>
        <stp>VOLUME</stp>
        <stp>.NDX250919C21225</stp>
        <tr r="Q143" s="2"/>
      </tp>
      <tp t="s">
        <v>N/A</v>
        <stp/>
        <stp>VOLUME</stp>
        <stp>.NDX250718C20325</stp>
        <tr r="M179" s="2"/>
      </tp>
      <tp t="s">
        <v>N/A</v>
        <stp/>
        <stp>VOLUME</stp>
        <stp>.NDX250718C21325</stp>
        <tr r="M139" s="2"/>
      </tp>
      <tp t="s">
        <v>N/A</v>
        <stp/>
        <stp>VOLUME</stp>
        <stp>.NDX250523C20825</stp>
        <tr r="H159" s="2"/>
      </tp>
      <tp t="s">
        <v>N/A</v>
        <stp/>
        <stp>VOLUME</stp>
        <stp>.NDX251219C20225</stp>
        <tr r="W183" s="2"/>
      </tp>
      <tp t="s">
        <v>N/A</v>
        <stp/>
        <stp>VOLUME</stp>
        <stp>.NDX251219C21225</stp>
        <tr r="W143" s="2"/>
      </tp>
      <tp t="s">
        <v>N/A</v>
        <stp/>
        <stp>VOLUME</stp>
        <stp>.NDX250919C20200</stp>
        <tr r="Q184" s="2"/>
      </tp>
      <tp t="s">
        <v>N/A</v>
        <stp/>
        <stp>VOLUME</stp>
        <stp>.NDX250919C21200</stp>
        <tr r="Q144" s="2"/>
      </tp>
      <tp t="s">
        <v>N/A</v>
        <stp/>
        <stp>VOLUME</stp>
        <stp>.NDX250718C20300</stp>
        <tr r="M180" s="2"/>
      </tp>
      <tp>
        <v>7</v>
        <stp/>
        <stp>VOLUME</stp>
        <stp>.NDX250718C21300</stp>
        <tr r="M140" s="2"/>
        <tr r="M140" s="2"/>
      </tp>
      <tp t="s">
        <v>N/A</v>
        <stp/>
        <stp>VOLUME</stp>
        <stp>.NDX250523C20800</stp>
        <tr r="H160" s="2"/>
      </tp>
      <tp t="s">
        <v>N/A</v>
        <stp/>
        <stp>VOLUME</stp>
        <stp>.NDX251219C20200</stp>
        <tr r="W184" s="2"/>
      </tp>
      <tp t="s">
        <v>N/A</v>
        <stp/>
        <stp>VOLUME</stp>
        <stp>.NDX251219C21200</stp>
        <tr r="W144" s="2"/>
      </tp>
      <tp t="s">
        <v>N/A</v>
        <stp/>
        <stp>VOLUME</stp>
        <stp>.NDX251219C20275</stp>
        <tr r="W181" s="2"/>
      </tp>
      <tp t="s">
        <v>N/A</v>
        <stp/>
        <stp>VOLUME</stp>
        <stp>.NDX251219C21275</stp>
        <tr r="W141" s="2"/>
      </tp>
      <tp t="s">
        <v>N/A</v>
        <stp/>
        <stp>VOLUME</stp>
        <stp>.NDX250919C20275</stp>
        <tr r="Q181" s="2"/>
      </tp>
      <tp t="s">
        <v>N/A</v>
        <stp/>
        <stp>VOLUME</stp>
        <stp>.NDX250919C21275</stp>
        <tr r="Q141" s="2"/>
      </tp>
      <tp t="s">
        <v>N/A</v>
        <stp/>
        <stp>VOLUME</stp>
        <stp>.NDX250718C20375</stp>
        <tr r="M177" s="2"/>
      </tp>
      <tp t="s">
        <v>N/A</v>
        <stp/>
        <stp>VOLUME</stp>
        <stp>.NDX250523C20875</stp>
        <tr r="H157" s="2"/>
      </tp>
      <tp t="s">
        <v>N/A</v>
        <stp/>
        <stp>VOLUME</stp>
        <stp>.NDX251219C20250</stp>
        <tr r="W182" s="2"/>
      </tp>
      <tp t="s">
        <v>N/A</v>
        <stp/>
        <stp>VOLUME</stp>
        <stp>.NDX251219C21250</stp>
        <tr r="W142" s="2"/>
      </tp>
      <tp t="s">
        <v>N/A</v>
        <stp/>
        <stp>VOLUME</stp>
        <stp>.NDX250919C20250</stp>
        <tr r="Q182" s="2"/>
      </tp>
      <tp t="s">
        <v>N/A</v>
        <stp/>
        <stp>VOLUME</stp>
        <stp>.NDX250919C21250</stp>
        <tr r="Q142" s="2"/>
      </tp>
      <tp t="s">
        <v>N/A</v>
        <stp/>
        <stp>VOLUME</stp>
        <stp>.NDX250718C20350</stp>
        <tr r="M178" s="2"/>
      </tp>
      <tp t="s">
        <v>N/A</v>
        <stp/>
        <stp>VOLUME</stp>
        <stp>.NDX250718C21350</stp>
        <tr r="M138" s="2"/>
      </tp>
      <tp t="s">
        <v>N/A</v>
        <stp/>
        <stp>VOLUME</stp>
        <stp>.NDX250523C20850</stp>
        <tr r="H158" s="2"/>
      </tp>
      <tp>
        <v>0.41</v>
        <stp/>
        <stp>DELTA</stp>
        <stp>.SPX250516C5870</stp>
        <tr r="CF100" s="1"/>
        <tr r="CF100" s="1"/>
      </tp>
      <tp>
        <v>-0.59</v>
        <stp/>
        <stp>DELTA</stp>
        <stp>.SPX250516P5870</stp>
        <tr r="CG100" s="1"/>
        <tr r="CG100" s="1"/>
      </tp>
      <tp>
        <v>0.45</v>
        <stp/>
        <stp>DELTA</stp>
        <stp>.SPX250516C5860</stp>
        <tr r="CF101" s="1"/>
        <tr r="CF101" s="1"/>
      </tp>
      <tp>
        <v>-0.55000000000000004</v>
        <stp/>
        <stp>DELTA</stp>
        <stp>.SPX250516P5860</stp>
        <tr r="CG101" s="1"/>
        <tr r="CG101" s="1"/>
      </tp>
      <tp>
        <v>0.49</v>
        <stp/>
        <stp>DELTA</stp>
        <stp>.SPX250516C5850</stp>
        <tr r="CF102" s="1"/>
        <tr r="CF102" s="1"/>
      </tp>
      <tp>
        <v>-0.51</v>
        <stp/>
        <stp>DELTA</stp>
        <stp>.SPX250516P5850</stp>
        <tr r="CG102" s="1"/>
        <tr r="CG102" s="1"/>
      </tp>
      <tp>
        <v>0.53</v>
        <stp/>
        <stp>DELTA</stp>
        <stp>.SPX250516C5840</stp>
        <tr r="CF103" s="1"/>
        <tr r="CF103" s="1"/>
      </tp>
      <tp>
        <v>-0.47</v>
        <stp/>
        <stp>DELTA</stp>
        <stp>.SPX250516P5840</stp>
        <tr r="CG103" s="1"/>
        <tr r="CG103" s="1"/>
      </tp>
      <tp>
        <v>0.56999999999999995</v>
        <stp/>
        <stp>DELTA</stp>
        <stp>.SPX250516C5830</stp>
        <tr r="CF104" s="1"/>
        <tr r="CF104" s="1"/>
      </tp>
      <tp>
        <v>-0.43</v>
        <stp/>
        <stp>DELTA</stp>
        <stp>.SPX250516P5830</stp>
        <tr r="CG104" s="1"/>
        <tr r="CG104" s="1"/>
      </tp>
      <tp>
        <v>0.6</v>
        <stp/>
        <stp>DELTA</stp>
        <stp>.SPX250516C5820</stp>
        <tr r="CF105" s="1"/>
        <tr r="CF105" s="1"/>
      </tp>
      <tp>
        <v>-0.4</v>
        <stp/>
        <stp>DELTA</stp>
        <stp>.SPX250516P5820</stp>
        <tr r="CG105" s="1"/>
        <tr r="CG105" s="1"/>
      </tp>
      <tp>
        <v>0.64</v>
        <stp/>
        <stp>DELTA</stp>
        <stp>.SPX250516C5810</stp>
        <tr r="CF106" s="1"/>
        <tr r="CF106" s="1"/>
      </tp>
      <tp>
        <v>-0.36</v>
        <stp/>
        <stp>DELTA</stp>
        <stp>.SPX250516P5810</stp>
        <tr r="CG106" s="1"/>
        <tr r="CG106" s="1"/>
      </tp>
      <tp>
        <v>0.67</v>
        <stp/>
        <stp>DELTA</stp>
        <stp>.SPX250516C5800</stp>
        <tr r="CF107" s="1"/>
        <tr r="CF107" s="1"/>
      </tp>
      <tp>
        <v>-0.33</v>
        <stp/>
        <stp>DELTA</stp>
        <stp>.SPX250516P5800</stp>
        <tr r="CG107" s="1"/>
        <tr r="CG107" s="1"/>
      </tp>
      <tp>
        <v>0.34</v>
        <stp/>
        <stp>DELTA</stp>
        <stp>.SPX250516C5890</stp>
        <tr r="CF98" s="1"/>
        <tr r="CF98" s="1"/>
      </tp>
      <tp>
        <v>-0.66</v>
        <stp/>
        <stp>DELTA</stp>
        <stp>.SPX250516P5890</stp>
        <tr r="CG98" s="1"/>
        <tr r="CG98" s="1"/>
      </tp>
      <tp>
        <v>0.37</v>
        <stp/>
        <stp>DELTA</stp>
        <stp>.SPX250516C5880</stp>
        <tr r="CF99" s="1"/>
        <tr r="CF99" s="1"/>
      </tp>
      <tp>
        <v>-0.62</v>
        <stp/>
        <stp>DELTA</stp>
        <stp>.SPX250516P5880</stp>
        <tr r="CG99" s="1"/>
        <tr r="CG99" s="1"/>
      </tp>
      <tp>
        <v>1</v>
        <stp/>
        <stp>VOLUME</stp>
        <stp>.NDX251219P20300</stp>
        <tr r="W180" s="2"/>
        <tr r="W180" s="2"/>
      </tp>
      <tp>
        <v>4</v>
        <stp/>
        <stp>VOLUME</stp>
        <stp>.NDX251219P21300</stp>
        <tr r="W140" s="2"/>
        <tr r="W140" s="2"/>
      </tp>
      <tp t="s">
        <v>N/A</v>
        <stp/>
        <stp>VOLUME</stp>
        <stp>.NDX250919P20300</stp>
        <tr r="Q180" s="2"/>
      </tp>
      <tp>
        <v>4</v>
        <stp/>
        <stp>VOLUME</stp>
        <stp>.NDX250919P21300</stp>
        <tr r="Q140" s="2"/>
        <tr r="Q140" s="2"/>
      </tp>
      <tp>
        <v>2</v>
        <stp/>
        <stp>VOLUME</stp>
        <stp>.NDX250718P20200</stp>
        <tr r="M184" s="2"/>
        <tr r="M184" s="2"/>
      </tp>
      <tp>
        <v>2</v>
        <stp/>
        <stp>VOLUME</stp>
        <stp>.NDX250718P21200</stp>
        <tr r="M144" s="2"/>
        <tr r="M144" s="2"/>
      </tp>
      <tp t="s">
        <v>N/A</v>
        <stp/>
        <stp>VOLUME</stp>
        <stp>.NDX250523P20900</stp>
        <tr r="H156" s="2"/>
      </tp>
      <tp t="s">
        <v>N/A</v>
        <stp/>
        <stp>VOLUME</stp>
        <stp>.NDX251219P20325</stp>
        <tr r="W179" s="2"/>
      </tp>
      <tp t="s">
        <v>N/A</v>
        <stp/>
        <stp>VOLUME</stp>
        <stp>.NDX251219P21325</stp>
        <tr r="W139" s="2"/>
      </tp>
      <tp t="s">
        <v>N/A</v>
        <stp/>
        <stp>VOLUME</stp>
        <stp>.NDX250919P20325</stp>
        <tr r="Q179" s="2"/>
      </tp>
      <tp t="s">
        <v>N/A</v>
        <stp/>
        <stp>VOLUME</stp>
        <stp>.NDX250919P21325</stp>
        <tr r="Q139" s="2"/>
      </tp>
      <tp t="s">
        <v>N/A</v>
        <stp/>
        <stp>VOLUME</stp>
        <stp>.NDX250718P20225</stp>
        <tr r="M183" s="2"/>
      </tp>
      <tp t="s">
        <v>N/A</v>
        <stp/>
        <stp>VOLUME</stp>
        <stp>.NDX250718P21225</stp>
        <tr r="M143" s="2"/>
      </tp>
      <tp t="s">
        <v>N/A</v>
        <stp/>
        <stp>VOLUME</stp>
        <stp>.NDX250523P20925</stp>
        <tr r="H155" s="2"/>
      </tp>
      <tp t="s">
        <v>N/A</v>
        <stp/>
        <stp>VOLUME</stp>
        <stp>.NDX250919P20350</stp>
        <tr r="Q178" s="2"/>
      </tp>
      <tp t="s">
        <v>N/A</v>
        <stp/>
        <stp>VOLUME</stp>
        <stp>.NDX250919P21350</stp>
        <tr r="Q138" s="2"/>
      </tp>
      <tp t="s">
        <v>N/A</v>
        <stp/>
        <stp>VOLUME</stp>
        <stp>.NDX250718P20250</stp>
        <tr r="M182" s="2"/>
      </tp>
      <tp t="s">
        <v>N/A</v>
        <stp/>
        <stp>VOLUME</stp>
        <stp>.NDX250718P21250</stp>
        <tr r="M142" s="2"/>
      </tp>
      <tp t="s">
        <v>N/A</v>
        <stp/>
        <stp>VOLUME</stp>
        <stp>.NDX250523P20950</stp>
        <tr r="H154" s="2"/>
      </tp>
      <tp t="s">
        <v>N/A</v>
        <stp/>
        <stp>VOLUME</stp>
        <stp>.NDX251219P20350</stp>
        <tr r="W178" s="2"/>
      </tp>
      <tp t="s">
        <v>N/A</v>
        <stp/>
        <stp>VOLUME</stp>
        <stp>.NDX251219P21350</stp>
        <tr r="W138" s="2"/>
      </tp>
      <tp t="s">
        <v>N/A</v>
        <stp/>
        <stp>VOLUME</stp>
        <stp>.NDX250919P20375</stp>
        <tr r="Q177" s="2"/>
      </tp>
      <tp t="s">
        <v>N/A</v>
        <stp/>
        <stp>VOLUME</stp>
        <stp>.NDX250718P20275</stp>
        <tr r="M181" s="2"/>
      </tp>
      <tp t="s">
        <v>N/A</v>
        <stp/>
        <stp>VOLUME</stp>
        <stp>.NDX250718P21275</stp>
        <tr r="M141" s="2"/>
      </tp>
      <tp t="s">
        <v>N/A</v>
        <stp/>
        <stp>VOLUME</stp>
        <stp>.NDX250523P20975</stp>
        <tr r="H153" s="2"/>
      </tp>
      <tp t="s">
        <v>N/A</v>
        <stp/>
        <stp>VOLUME</stp>
        <stp>.NDX251219P20375</stp>
        <tr r="W177" s="2"/>
      </tp>
      <tp t="s">
        <v>N/A</v>
        <stp/>
        <stp>VOLUME</stp>
        <stp>.NDX250919C20325</stp>
        <tr r="Q179" s="2"/>
      </tp>
      <tp t="s">
        <v>N/A</v>
        <stp/>
        <stp>VOLUME</stp>
        <stp>.NDX250919C21325</stp>
        <tr r="Q139" s="2"/>
      </tp>
      <tp t="s">
        <v>N/A</v>
        <stp/>
        <stp>VOLUME</stp>
        <stp>.NDX250718C20225</stp>
        <tr r="M183" s="2"/>
      </tp>
      <tp t="s">
        <v>N/A</v>
        <stp/>
        <stp>VOLUME</stp>
        <stp>.NDX250718C21225</stp>
        <tr r="M143" s="2"/>
      </tp>
      <tp t="s">
        <v>N/A</v>
        <stp/>
        <stp>VOLUME</stp>
        <stp>.NDX250523C20925</stp>
        <tr r="H155" s="2"/>
      </tp>
      <tp t="s">
        <v>N/A</v>
        <stp/>
        <stp>VOLUME</stp>
        <stp>.NDX251219C20325</stp>
        <tr r="W179" s="2"/>
      </tp>
      <tp t="s">
        <v>N/A</v>
        <stp/>
        <stp>VOLUME</stp>
        <stp>.NDX251219C21325</stp>
        <tr r="W139" s="2"/>
      </tp>
      <tp t="s">
        <v>N/A</v>
        <stp/>
        <stp>VOLUME</stp>
        <stp>.NDX250919C20300</stp>
        <tr r="Q180" s="2"/>
      </tp>
      <tp>
        <v>8</v>
        <stp/>
        <stp>VOLUME</stp>
        <stp>.NDX250919C21300</stp>
        <tr r="Q140" s="2"/>
        <tr r="Q140" s="2"/>
      </tp>
      <tp t="s">
        <v>N/A</v>
        <stp/>
        <stp>VOLUME</stp>
        <stp>.NDX250718C20200</stp>
        <tr r="M184" s="2"/>
      </tp>
      <tp>
        <v>2</v>
        <stp/>
        <stp>VOLUME</stp>
        <stp>.NDX250718C21200</stp>
        <tr r="M144" s="2"/>
        <tr r="M144" s="2"/>
      </tp>
      <tp t="s">
        <v>N/A</v>
        <stp/>
        <stp>VOLUME</stp>
        <stp>.NDX250523C20900</stp>
        <tr r="H156" s="2"/>
      </tp>
      <tp t="s">
        <v>N/A</v>
        <stp/>
        <stp>VOLUME</stp>
        <stp>.NDX251219C20300</stp>
        <tr r="W180" s="2"/>
      </tp>
      <tp t="s">
        <v>N/A</v>
        <stp/>
        <stp>VOLUME</stp>
        <stp>.NDX251219C21300</stp>
        <tr r="W140" s="2"/>
      </tp>
      <tp t="s">
        <v>N/A</v>
        <stp/>
        <stp>VOLUME</stp>
        <stp>.NDX251219C20375</stp>
        <tr r="W177" s="2"/>
      </tp>
      <tp t="s">
        <v>N/A</v>
        <stp/>
        <stp>VOLUME</stp>
        <stp>.NDX250919C20375</stp>
        <tr r="Q177" s="2"/>
      </tp>
      <tp t="s">
        <v>N/A</v>
        <stp/>
        <stp>VOLUME</stp>
        <stp>.NDX250718C20275</stp>
        <tr r="M181" s="2"/>
      </tp>
      <tp t="s">
        <v>N/A</v>
        <stp/>
        <stp>VOLUME</stp>
        <stp>.NDX250718C21275</stp>
        <tr r="M141" s="2"/>
      </tp>
      <tp t="s">
        <v>N/A</v>
        <stp/>
        <stp>VOLUME</stp>
        <stp>.NDX250523C20975</stp>
        <tr r="H153" s="2"/>
      </tp>
      <tp t="s">
        <v>N/A</v>
        <stp/>
        <stp>VOLUME</stp>
        <stp>.NDX251219C20350</stp>
        <tr r="W178" s="2"/>
      </tp>
      <tp t="s">
        <v>N/A</v>
        <stp/>
        <stp>VOLUME</stp>
        <stp>.NDX251219C21350</stp>
        <tr r="W138" s="2"/>
      </tp>
      <tp t="s">
        <v>N/A</v>
        <stp/>
        <stp>VOLUME</stp>
        <stp>.NDX250919C20350</stp>
        <tr r="Q178" s="2"/>
      </tp>
      <tp t="s">
        <v>N/A</v>
        <stp/>
        <stp>VOLUME</stp>
        <stp>.NDX250919C21350</stp>
        <tr r="Q138" s="2"/>
      </tp>
      <tp t="s">
        <v>N/A</v>
        <stp/>
        <stp>VOLUME</stp>
        <stp>.NDX250718C20250</stp>
        <tr r="M182" s="2"/>
      </tp>
      <tp t="s">
        <v>N/A</v>
        <stp/>
        <stp>VOLUME</stp>
        <stp>.NDX250718C21250</stp>
        <tr r="M142" s="2"/>
      </tp>
      <tp t="s">
        <v>N/A</v>
        <stp/>
        <stp>VOLUME</stp>
        <stp>.NDX250523C20950</stp>
        <tr r="H154" s="2"/>
      </tp>
      <tp>
        <v>0.11</v>
        <stp/>
        <stp>DELTA</stp>
        <stp>.SPX250516C5970</stp>
        <tr r="CF90" s="1"/>
        <tr r="CF90" s="1"/>
      </tp>
      <tp>
        <v>-0.88</v>
        <stp/>
        <stp>DELTA</stp>
        <stp>.SPX250516P5970</stp>
        <tr r="CG90" s="1"/>
        <tr r="CG90" s="1"/>
      </tp>
      <tp>
        <v>0.13</v>
        <stp/>
        <stp>DELTA</stp>
        <stp>.SPX250516C5960</stp>
        <tr r="CF91" s="1"/>
        <tr r="CF91" s="1"/>
      </tp>
      <tp>
        <v>-0.87</v>
        <stp/>
        <stp>DELTA</stp>
        <stp>.SPX250516P5960</stp>
        <tr r="CG91" s="1"/>
        <tr r="CG91" s="1"/>
      </tp>
      <tp>
        <v>0.15</v>
        <stp/>
        <stp>DELTA</stp>
        <stp>.SPX250516C5950</stp>
        <tr r="CF92" s="1"/>
        <tr r="CF92" s="1"/>
      </tp>
      <tp>
        <v>-0.84</v>
        <stp/>
        <stp>DELTA</stp>
        <stp>.SPX250516P5950</stp>
        <tr r="CG92" s="1"/>
        <tr r="CG92" s="1"/>
      </tp>
      <tp>
        <v>0.17</v>
        <stp/>
        <stp>DELTA</stp>
        <stp>.SPX250516C5940</stp>
        <tr r="CF93" s="1"/>
        <tr r="CF93" s="1"/>
      </tp>
      <tp>
        <v>-0.82</v>
        <stp/>
        <stp>DELTA</stp>
        <stp>.SPX250516P5940</stp>
        <tr r="CG93" s="1"/>
        <tr r="CG93" s="1"/>
      </tp>
      <tp>
        <v>0.2</v>
        <stp/>
        <stp>DELTA</stp>
        <stp>.SPX250516C5930</stp>
        <tr r="CF94" s="1"/>
        <tr r="CF94" s="1"/>
      </tp>
      <tp>
        <v>-0.79</v>
        <stp/>
        <stp>DELTA</stp>
        <stp>.SPX250516P5930</stp>
        <tr r="CG94" s="1"/>
        <tr r="CG94" s="1"/>
      </tp>
      <tp>
        <v>0.23</v>
        <stp/>
        <stp>DELTA</stp>
        <stp>.SPX250516C5920</stp>
        <tr r="CF95" s="1"/>
        <tr r="CF95" s="1"/>
      </tp>
      <tp>
        <v>-0.76</v>
        <stp/>
        <stp>DELTA</stp>
        <stp>.SPX250516P5920</stp>
        <tr r="CG95" s="1"/>
        <tr r="CG95" s="1"/>
      </tp>
      <tp>
        <v>0.26</v>
        <stp/>
        <stp>DELTA</stp>
        <stp>.SPX250516C5910</stp>
        <tr r="CF96" s="1"/>
        <tr r="CF96" s="1"/>
      </tp>
      <tp>
        <v>-0.73</v>
        <stp/>
        <stp>DELTA</stp>
        <stp>.SPX250516P5910</stp>
        <tr r="CG96" s="1"/>
        <tr r="CG96" s="1"/>
      </tp>
      <tp>
        <v>0.3</v>
        <stp/>
        <stp>DELTA</stp>
        <stp>.SPX250516C5900</stp>
        <tr r="CF97" s="1"/>
        <tr r="CF97" s="1"/>
      </tp>
      <tp>
        <v>-0.7</v>
        <stp/>
        <stp>DELTA</stp>
        <stp>.SPX250516P5900</stp>
        <tr r="CG97" s="1"/>
        <tr r="CG97" s="1"/>
      </tp>
      <tp>
        <v>0.08</v>
        <stp/>
        <stp>DELTA</stp>
        <stp>.SPX250516C5990</stp>
        <tr r="CF88" s="1"/>
        <tr r="CF88" s="1"/>
      </tp>
      <tp>
        <v>-0.91</v>
        <stp/>
        <stp>DELTA</stp>
        <stp>.SPX250516P5990</stp>
        <tr r="CG88" s="1"/>
        <tr r="CG88" s="1"/>
      </tp>
      <tp>
        <v>0.09</v>
        <stp/>
        <stp>DELTA</stp>
        <stp>.SPX250516C5980</stp>
        <tr r="CF89" s="1"/>
        <tr r="CF89" s="1"/>
      </tp>
      <tp>
        <v>-0.91</v>
        <stp/>
        <stp>DELTA</stp>
        <stp>.SPX250516P5980</stp>
        <tr r="CG89" s="1"/>
        <tr r="CG89" s="1"/>
      </tp>
      <tp>
        <v>9</v>
        <stp/>
        <stp>VOLUME</stp>
        <stp>.NDX251219P21000</stp>
        <tr r="W152" s="2"/>
        <tr r="W152" s="2"/>
      </tp>
      <tp t="s">
        <v>N/A</v>
        <stp/>
        <stp>VOLUME</stp>
        <stp>.NDX251121P20800</stp>
        <tr r="U160" s="2"/>
      </tp>
      <tp>
        <v>2</v>
        <stp/>
        <stp>VOLUME</stp>
        <stp>.NDX250919P21000</stp>
        <tr r="Q152" s="2"/>
        <tr r="Q152" s="2"/>
      </tp>
      <tp>
        <v>4</v>
        <stp/>
        <stp>VOLUME</stp>
        <stp>.NDX250718P20100</stp>
        <tr r="M188" s="2"/>
        <tr r="M188" s="2"/>
      </tp>
      <tp>
        <v>1</v>
        <stp/>
        <stp>VOLUME</stp>
        <stp>.NDX250718P21100</stp>
        <tr r="M148" s="2"/>
        <tr r="M148" s="2"/>
      </tp>
      <tp>
        <v>6</v>
        <stp/>
        <stp>VOLUME</stp>
        <stp>.NDX250620P20900</stp>
        <tr r="BF155" s="1"/>
        <tr r="BF155" s="1"/>
      </tp>
      <tp t="s">
        <v>N/A</v>
        <stp/>
        <stp>VOLUME</stp>
        <stp>.NDX251219P21025</stp>
        <tr r="W151" s="2"/>
      </tp>
      <tp t="s">
        <v>N/A</v>
        <stp/>
        <stp>VOLUME</stp>
        <stp>.NDX251121P20825</stp>
        <tr r="U159" s="2"/>
      </tp>
      <tp t="s">
        <v>N/A</v>
        <stp/>
        <stp>VOLUME</stp>
        <stp>.NDX250919P21025</stp>
        <tr r="Q151" s="2"/>
      </tp>
      <tp>
        <v>46</v>
        <stp/>
        <stp>VOLUME</stp>
        <stp>.NDX250620P20925</stp>
        <tr r="BF154" s="1"/>
        <tr r="BF154" s="1"/>
      </tp>
      <tp t="s">
        <v>N/A</v>
        <stp/>
        <stp>VOLUME</stp>
        <stp>.NDX250718P20125</stp>
        <tr r="M187" s="2"/>
      </tp>
      <tp t="s">
        <v>N/A</v>
        <stp/>
        <stp>VOLUME</stp>
        <stp>.NDX250718P21125</stp>
        <tr r="M147" s="2"/>
      </tp>
      <tp t="s">
        <v>N/A</v>
        <stp/>
        <stp>VOLUME</stp>
        <stp>.NDX250919P20050</stp>
        <tr r="Q190" s="2"/>
      </tp>
      <tp t="s">
        <v>N/A</v>
        <stp/>
        <stp>VOLUME</stp>
        <stp>.NDX250919P21050</stp>
        <tr r="Q150" s="2"/>
      </tp>
      <tp t="s">
        <v>N/A</v>
        <stp/>
        <stp>VOLUME</stp>
        <stp>.NDX250718P20150</stp>
        <tr r="M186" s="2"/>
      </tp>
      <tp t="s">
        <v>N/A</v>
        <stp/>
        <stp>VOLUME</stp>
        <stp>.NDX250718P21150</stp>
        <tr r="M146" s="2"/>
      </tp>
      <tp>
        <v>2</v>
        <stp/>
        <stp>VOLUME</stp>
        <stp>.NDX250620P20950</stp>
        <tr r="BF153" s="1"/>
        <tr r="BF153" s="1"/>
      </tp>
      <tp t="s">
        <v>N/A</v>
        <stp/>
        <stp>VOLUME</stp>
        <stp>.NDX251219P20050</stp>
        <tr r="W190" s="2"/>
      </tp>
      <tp t="s">
        <v>N/A</v>
        <stp/>
        <stp>VOLUME</stp>
        <stp>.NDX251219P21050</stp>
        <tr r="W150" s="2"/>
      </tp>
      <tp t="s">
        <v>N/A</v>
        <stp/>
        <stp>VOLUME</stp>
        <stp>.NDX251121P20850</stp>
        <tr r="U158" s="2"/>
      </tp>
      <tp t="s">
        <v>N/A</v>
        <stp/>
        <stp>VOLUME</stp>
        <stp>.NDX250919P20075</stp>
        <tr r="Q189" s="2"/>
      </tp>
      <tp t="s">
        <v>N/A</v>
        <stp/>
        <stp>VOLUME</stp>
        <stp>.NDX250919P21075</stp>
        <tr r="Q149" s="2"/>
      </tp>
      <tp>
        <v>2</v>
        <stp/>
        <stp>VOLUME</stp>
        <stp>.NDX250620P20975</stp>
        <tr r="BF152" s="1"/>
        <tr r="BF152" s="1"/>
      </tp>
      <tp t="s">
        <v>N/A</v>
        <stp/>
        <stp>VOLUME</stp>
        <stp>.NDX250718P20175</stp>
        <tr r="M185" s="2"/>
      </tp>
      <tp t="s">
        <v>N/A</v>
        <stp/>
        <stp>VOLUME</stp>
        <stp>.NDX250718P21175</stp>
        <tr r="M145" s="2"/>
      </tp>
      <tp t="s">
        <v>N/A</v>
        <stp/>
        <stp>VOLUME</stp>
        <stp>.NDX251219P20075</stp>
        <tr r="W189" s="2"/>
      </tp>
      <tp t="s">
        <v>N/A</v>
        <stp/>
        <stp>VOLUME</stp>
        <stp>.NDX251219P21075</stp>
        <tr r="W149" s="2"/>
      </tp>
      <tp t="s">
        <v>N/A</v>
        <stp/>
        <stp>VOLUME</stp>
        <stp>.NDX251121P20875</stp>
        <tr r="U157" s="2"/>
      </tp>
      <tp t="s">
        <v>N/A</v>
        <stp/>
        <stp>VOLUME</stp>
        <stp>.NDX250919C21025</stp>
        <tr r="Q151" s="2"/>
      </tp>
      <tp>
        <v>48</v>
        <stp/>
        <stp>VOLUME</stp>
        <stp>.NDX250620C20925</stp>
        <tr r="BE154" s="1"/>
        <tr r="BE154" s="1"/>
      </tp>
      <tp t="s">
        <v>N/A</v>
        <stp/>
        <stp>VOLUME</stp>
        <stp>.NDX250718C20125</stp>
        <tr r="M187" s="2"/>
      </tp>
      <tp t="s">
        <v>N/A</v>
        <stp/>
        <stp>VOLUME</stp>
        <stp>.NDX250718C21125</stp>
        <tr r="M147" s="2"/>
      </tp>
      <tp t="s">
        <v>N/A</v>
        <stp/>
        <stp>VOLUME</stp>
        <stp>.NDX251219C21025</stp>
        <tr r="W151" s="2"/>
      </tp>
      <tp t="s">
        <v>N/A</v>
        <stp/>
        <stp>VOLUME</stp>
        <stp>.NDX251121C20825</stp>
        <tr r="U159" s="2"/>
      </tp>
      <tp>
        <v>5</v>
        <stp/>
        <stp>VOLUME</stp>
        <stp>.NDX250919C21000</stp>
        <tr r="Q152" s="2"/>
        <tr r="Q152" s="2"/>
      </tp>
      <tp t="s">
        <v>N/A</v>
        <stp/>
        <stp>VOLUME</stp>
        <stp>.NDX250718C20100</stp>
        <tr r="M188" s="2"/>
      </tp>
      <tp>
        <v>7</v>
        <stp/>
        <stp>VOLUME</stp>
        <stp>.NDX250718C21100</stp>
        <tr r="M148" s="2"/>
        <tr r="M148" s="2"/>
      </tp>
      <tp>
        <v>4</v>
        <stp/>
        <stp>VOLUME</stp>
        <stp>.NDX250620C20900</stp>
        <tr r="BE155" s="1"/>
        <tr r="BE155" s="1"/>
      </tp>
      <tp>
        <v>59</v>
        <stp/>
        <stp>VOLUME</stp>
        <stp>.NDX251219C21000</stp>
        <tr r="W152" s="2"/>
        <tr r="W152" s="2"/>
      </tp>
      <tp t="s">
        <v>N/A</v>
        <stp/>
        <stp>VOLUME</stp>
        <stp>.NDX251121C20800</stp>
        <tr r="U160" s="2"/>
      </tp>
      <tp t="s">
        <v>N/A</v>
        <stp/>
        <stp>VOLUME</stp>
        <stp>.NDX251219C20075</stp>
        <tr r="W189" s="2"/>
      </tp>
      <tp t="s">
        <v>N/A</v>
        <stp/>
        <stp>VOLUME</stp>
        <stp>.NDX251219C21075</stp>
        <tr r="W149" s="2"/>
      </tp>
      <tp t="s">
        <v>N/A</v>
        <stp/>
        <stp>VOLUME</stp>
        <stp>.NDX251121C20875</stp>
        <tr r="U157" s="2"/>
      </tp>
      <tp t="s">
        <v>N/A</v>
        <stp/>
        <stp>VOLUME</stp>
        <stp>.NDX250919C20075</stp>
        <tr r="Q189" s="2"/>
      </tp>
      <tp t="s">
        <v>N/A</v>
        <stp/>
        <stp>VOLUME</stp>
        <stp>.NDX250919C21075</stp>
        <tr r="Q149" s="2"/>
      </tp>
      <tp>
        <v>1</v>
        <stp/>
        <stp>VOLUME</stp>
        <stp>.NDX250620C20975</stp>
        <tr r="BE152" s="1"/>
        <tr r="BE152" s="1"/>
      </tp>
      <tp t="s">
        <v>N/A</v>
        <stp/>
        <stp>VOLUME</stp>
        <stp>.NDX250718C20175</stp>
        <tr r="M185" s="2"/>
      </tp>
      <tp t="s">
        <v>N/A</v>
        <stp/>
        <stp>VOLUME</stp>
        <stp>.NDX250718C21175</stp>
        <tr r="M145" s="2"/>
      </tp>
      <tp t="s">
        <v>N/A</v>
        <stp/>
        <stp>VOLUME</stp>
        <stp>.NDX251219C20050</stp>
        <tr r="W190" s="2"/>
      </tp>
      <tp t="s">
        <v>N/A</v>
        <stp/>
        <stp>VOLUME</stp>
        <stp>.NDX251219C21050</stp>
        <tr r="W150" s="2"/>
      </tp>
      <tp t="s">
        <v>N/A</v>
        <stp/>
        <stp>VOLUME</stp>
        <stp>.NDX251121C20850</stp>
        <tr r="U158" s="2"/>
      </tp>
      <tp t="s">
        <v>N/A</v>
        <stp/>
        <stp>VOLUME</stp>
        <stp>.NDX250919C20050</stp>
        <tr r="Q190" s="2"/>
      </tp>
      <tp t="s">
        <v>N/A</v>
        <stp/>
        <stp>VOLUME</stp>
        <stp>.NDX250919C21050</stp>
        <tr r="Q150" s="2"/>
      </tp>
      <tp t="s">
        <v>N/A</v>
        <stp/>
        <stp>VOLUME</stp>
        <stp>.NDX250718C20150</stp>
        <tr r="M186" s="2"/>
      </tp>
      <tp t="s">
        <v>N/A</v>
        <stp/>
        <stp>VOLUME</stp>
        <stp>.NDX250718C21150</stp>
        <tr r="M146" s="2"/>
      </tp>
      <tp>
        <v>1</v>
        <stp/>
        <stp>VOLUME</stp>
        <stp>.NDX250620C20950</stp>
        <tr r="BE153" s="1"/>
        <tr r="BE153" s="1"/>
      </tp>
      <tp>
        <v>0.45</v>
        <stp/>
        <stp>DELTA</stp>
        <stp>.SPX250620C5910</stp>
        <tr r="CH96" s="1"/>
        <tr r="CH96" s="1"/>
      </tp>
      <tp>
        <v>-0.54</v>
        <stp/>
        <stp>DELTA</stp>
        <stp>.SPX250620P5910</stp>
        <tr r="CI96" s="1"/>
        <tr r="CI96" s="1"/>
      </tp>
      <tp>
        <v>0.47</v>
        <stp/>
        <stp>DELTA</stp>
        <stp>.SPX250620C5900</stp>
        <tr r="CH97" s="1"/>
        <tr r="CH97" s="1"/>
      </tp>
      <tp>
        <v>-0.53</v>
        <stp/>
        <stp>DELTA</stp>
        <stp>.SPX250620P5900</stp>
        <tr r="CI97" s="1"/>
        <tr r="CI97" s="1"/>
      </tp>
      <tp>
        <v>0.42</v>
        <stp/>
        <stp>DELTA</stp>
        <stp>.SPX250620C5930</stp>
        <tr r="CH94" s="1"/>
        <tr r="CH94" s="1"/>
      </tp>
      <tp>
        <v>-0.56999999999999995</v>
        <stp/>
        <stp>DELTA</stp>
        <stp>.SPX250620P5930</stp>
        <tr r="CI94" s="1"/>
        <tr r="CI94" s="1"/>
      </tp>
      <tp>
        <v>0.44</v>
        <stp/>
        <stp>DELTA</stp>
        <stp>.SPX250620C5920</stp>
        <tr r="CH95" s="1"/>
        <tr r="CH95" s="1"/>
      </tp>
      <tp>
        <v>-0.56000000000000005</v>
        <stp/>
        <stp>DELTA</stp>
        <stp>.SPX250620P5920</stp>
        <tr r="CI95" s="1"/>
        <tr r="CI95" s="1"/>
      </tp>
      <tp>
        <v>0.39</v>
        <stp/>
        <stp>DELTA</stp>
        <stp>.SPX250620C5950</stp>
        <tr r="CH92" s="1"/>
        <tr r="CH92" s="1"/>
      </tp>
      <tp>
        <v>-0.6</v>
        <stp/>
        <stp>DELTA</stp>
        <stp>.SPX250620P5950</stp>
        <tr r="CI92" s="1"/>
        <tr r="CI92" s="1"/>
      </tp>
      <tp>
        <v>0.41</v>
        <stp/>
        <stp>DELTA</stp>
        <stp>.SPX250620C5940</stp>
        <tr r="CH93" s="1"/>
        <tr r="CH93" s="1"/>
      </tp>
      <tp>
        <v>-0.57999999999999996</v>
        <stp/>
        <stp>DELTA</stp>
        <stp>.SPX250620P5940</stp>
        <tr r="CI93" s="1"/>
        <tr r="CI93" s="1"/>
      </tp>
      <tp>
        <v>0.36</v>
        <stp/>
        <stp>DELTA</stp>
        <stp>.SPX250620C5970</stp>
        <tr r="CH90" s="1"/>
        <tr r="CH90" s="1"/>
      </tp>
      <tp>
        <v>-0.63</v>
        <stp/>
        <stp>DELTA</stp>
        <stp>.SPX250620P5970</stp>
        <tr r="CI90" s="1"/>
        <tr r="CI90" s="1"/>
      </tp>
      <tp>
        <v>0.38</v>
        <stp/>
        <stp>DELTA</stp>
        <stp>.SPX250620C5960</stp>
        <tr r="CH91" s="1"/>
        <tr r="CH91" s="1"/>
      </tp>
      <tp>
        <v>-0.61</v>
        <stp/>
        <stp>DELTA</stp>
        <stp>.SPX250620P5960</stp>
        <tr r="CI91" s="1"/>
        <tr r="CI91" s="1"/>
      </tp>
      <tp>
        <v>0.33</v>
        <stp/>
        <stp>DELTA</stp>
        <stp>.SPX250620C5990</stp>
        <tr r="CH88" s="1"/>
        <tr r="CH88" s="1"/>
      </tp>
      <tp>
        <v>-0.66</v>
        <stp/>
        <stp>DELTA</stp>
        <stp>.SPX250620P5990</stp>
        <tr r="CI88" s="1"/>
        <tr r="CI88" s="1"/>
      </tp>
      <tp>
        <v>0.35</v>
        <stp/>
        <stp>DELTA</stp>
        <stp>.SPX250620C5980</stp>
        <tr r="CH89" s="1"/>
        <tr r="CH89" s="1"/>
      </tp>
      <tp>
        <v>-0.64</v>
        <stp/>
        <stp>DELTA</stp>
        <stp>.SPX250620P5980</stp>
        <tr r="CI89" s="1"/>
        <tr r="CI89" s="1"/>
      </tp>
      <tp t="s">
        <v>N/A</v>
        <stp/>
        <stp>VOLUME</stp>
        <stp>.NDX251219P20100</stp>
        <tr r="W188" s="2"/>
      </tp>
      <tp t="s">
        <v>N/A</v>
        <stp/>
        <stp>VOLUME</stp>
        <stp>.NDX251219P21100</stp>
        <tr r="W148" s="2"/>
      </tp>
      <tp t="s">
        <v>N/A</v>
        <stp/>
        <stp>VOLUME</stp>
        <stp>.NDX251121P20900</stp>
        <tr r="U156" s="2"/>
      </tp>
      <tp>
        <v>5</v>
        <stp/>
        <stp>VOLUME</stp>
        <stp>.NDX250919P20100</stp>
        <tr r="Q188" s="2"/>
        <tr r="Q188" s="2"/>
      </tp>
      <tp>
        <v>2</v>
        <stp/>
        <stp>VOLUME</stp>
        <stp>.NDX250919P21100</stp>
        <tr r="Q148" s="2"/>
        <tr r="Q148" s="2"/>
      </tp>
      <tp>
        <v>3</v>
        <stp/>
        <stp>VOLUME</stp>
        <stp>.NDX250718P21000</stp>
        <tr r="M152" s="2"/>
        <tr r="M152" s="2"/>
      </tp>
      <tp>
        <v>61</v>
        <stp/>
        <stp>VOLUME</stp>
        <stp>.NDX250620P20800</stp>
        <tr r="BF159" s="1"/>
        <tr r="BF159" s="1"/>
      </tp>
      <tp t="s">
        <v>N/A</v>
        <stp/>
        <stp>VOLUME</stp>
        <stp>.NDX251219P20125</stp>
        <tr r="W187" s="2"/>
      </tp>
      <tp t="s">
        <v>N/A</v>
        <stp/>
        <stp>VOLUME</stp>
        <stp>.NDX251219P21125</stp>
        <tr r="W147" s="2"/>
      </tp>
      <tp t="s">
        <v>N/A</v>
        <stp/>
        <stp>VOLUME</stp>
        <stp>.NDX251121P20925</stp>
        <tr r="U155" s="2"/>
      </tp>
      <tp t="s">
        <v>N/A</v>
        <stp/>
        <stp>VOLUME</stp>
        <stp>.NDX250919P20125</stp>
        <tr r="Q187" s="2"/>
      </tp>
      <tp t="s">
        <v>N/A</v>
        <stp/>
        <stp>VOLUME</stp>
        <stp>.NDX250919P21125</stp>
        <tr r="Q147" s="2"/>
      </tp>
      <tp>
        <v>82</v>
        <stp/>
        <stp>VOLUME</stp>
        <stp>.NDX250620P20825</stp>
        <tr r="BF158" s="1"/>
        <tr r="BF158" s="1"/>
      </tp>
      <tp t="s">
        <v>N/A</v>
        <stp/>
        <stp>VOLUME</stp>
        <stp>.NDX250718P21025</stp>
        <tr r="M151" s="2"/>
      </tp>
      <tp t="s">
        <v>N/A</v>
        <stp/>
        <stp>VOLUME</stp>
        <stp>.NDX250919P20150</stp>
        <tr r="Q186" s="2"/>
      </tp>
      <tp t="s">
        <v>N/A</v>
        <stp/>
        <stp>VOLUME</stp>
        <stp>.NDX250919P21150</stp>
        <tr r="Q146" s="2"/>
      </tp>
      <tp t="s">
        <v>N/A</v>
        <stp/>
        <stp>VOLUME</stp>
        <stp>.NDX250718P20050</stp>
        <tr r="M190" s="2"/>
      </tp>
      <tp t="s">
        <v>N/A</v>
        <stp/>
        <stp>VOLUME</stp>
        <stp>.NDX250718P21050</stp>
        <tr r="M150" s="2"/>
      </tp>
      <tp>
        <v>50</v>
        <stp/>
        <stp>VOLUME</stp>
        <stp>.NDX250620P20850</stp>
        <tr r="BF157" s="1"/>
        <tr r="BF157" s="1"/>
      </tp>
      <tp t="s">
        <v>N/A</v>
        <stp/>
        <stp>VOLUME</stp>
        <stp>.NDX251219P20150</stp>
        <tr r="W186" s="2"/>
      </tp>
      <tp t="s">
        <v>N/A</v>
        <stp/>
        <stp>VOLUME</stp>
        <stp>.NDX251219P21150</stp>
        <tr r="W146" s="2"/>
      </tp>
      <tp t="s">
        <v>N/A</v>
        <stp/>
        <stp>VOLUME</stp>
        <stp>.NDX251121P20950</stp>
        <tr r="U154" s="2"/>
      </tp>
      <tp t="s">
        <v>N/A</v>
        <stp/>
        <stp>VOLUME</stp>
        <stp>.NDX250919P20175</stp>
        <tr r="Q185" s="2"/>
      </tp>
      <tp t="s">
        <v>N/A</v>
        <stp/>
        <stp>VOLUME</stp>
        <stp>.NDX250919P21175</stp>
        <tr r="Q145" s="2"/>
      </tp>
      <tp>
        <v>4</v>
        <stp/>
        <stp>VOLUME</stp>
        <stp>.NDX250620P20875</stp>
        <tr r="BF156" s="1"/>
        <tr r="BF156" s="1"/>
      </tp>
      <tp t="s">
        <v>N/A</v>
        <stp/>
        <stp>VOLUME</stp>
        <stp>.NDX250718P20075</stp>
        <tr r="M189" s="2"/>
      </tp>
      <tp t="s">
        <v>N/A</v>
        <stp/>
        <stp>VOLUME</stp>
        <stp>.NDX250718P21075</stp>
        <tr r="M149" s="2"/>
      </tp>
      <tp t="s">
        <v>N/A</v>
        <stp/>
        <stp>VOLUME</stp>
        <stp>.NDX251219P20175</stp>
        <tr r="W185" s="2"/>
      </tp>
      <tp t="s">
        <v>N/A</v>
        <stp/>
        <stp>VOLUME</stp>
        <stp>.NDX251219P21175</stp>
        <tr r="W145" s="2"/>
      </tp>
      <tp t="s">
        <v>N/A</v>
        <stp/>
        <stp>VOLUME</stp>
        <stp>.NDX251121P20975</stp>
        <tr r="U153" s="2"/>
      </tp>
      <tp t="s">
        <v>N/A</v>
        <stp/>
        <stp>VOLUME</stp>
        <stp>.NDX250919C20125</stp>
        <tr r="Q187" s="2"/>
      </tp>
      <tp t="s">
        <v>N/A</v>
        <stp/>
        <stp>VOLUME</stp>
        <stp>.NDX250919C21125</stp>
        <tr r="Q147" s="2"/>
      </tp>
      <tp>
        <v>82</v>
        <stp/>
        <stp>VOLUME</stp>
        <stp>.NDX250620C20825</stp>
        <tr r="BE158" s="1"/>
        <tr r="BE158" s="1"/>
      </tp>
      <tp t="s">
        <v>N/A</v>
        <stp/>
        <stp>VOLUME</stp>
        <stp>.NDX250718C21025</stp>
        <tr r="M151" s="2"/>
      </tp>
      <tp t="s">
        <v>N/A</v>
        <stp/>
        <stp>VOLUME</stp>
        <stp>.NDX251219C20125</stp>
        <tr r="W187" s="2"/>
      </tp>
      <tp t="s">
        <v>N/A</v>
        <stp/>
        <stp>VOLUME</stp>
        <stp>.NDX251219C21125</stp>
        <tr r="W147" s="2"/>
      </tp>
      <tp t="s">
        <v>N/A</v>
        <stp/>
        <stp>VOLUME</stp>
        <stp>.NDX251121C20925</stp>
        <tr r="U155" s="2"/>
      </tp>
      <tp>
        <v>56</v>
        <stp/>
        <stp>VOLUME</stp>
        <stp>.NDX250919C20100</stp>
        <tr r="Q188" s="2"/>
        <tr r="Q188" s="2"/>
      </tp>
      <tp t="s">
        <v>N/A</v>
        <stp/>
        <stp>VOLUME</stp>
        <stp>.NDX250919C21100</stp>
        <tr r="Q148" s="2"/>
      </tp>
      <tp>
        <v>9</v>
        <stp/>
        <stp>VOLUME</stp>
        <stp>.NDX250718C21000</stp>
        <tr r="M152" s="2"/>
        <tr r="M152" s="2"/>
      </tp>
      <tp>
        <v>60</v>
        <stp/>
        <stp>VOLUME</stp>
        <stp>.NDX250620C20800</stp>
        <tr r="BE159" s="1"/>
        <tr r="BE159" s="1"/>
      </tp>
      <tp t="s">
        <v>N/A</v>
        <stp/>
        <stp>VOLUME</stp>
        <stp>.NDX251219C20100</stp>
        <tr r="W188" s="2"/>
      </tp>
      <tp t="s">
        <v>N/A</v>
        <stp/>
        <stp>VOLUME</stp>
        <stp>.NDX251219C21100</stp>
        <tr r="W148" s="2"/>
      </tp>
      <tp t="s">
        <v>N/A</v>
        <stp/>
        <stp>VOLUME</stp>
        <stp>.NDX251121C20900</stp>
        <tr r="U156" s="2"/>
      </tp>
      <tp t="s">
        <v>N/A</v>
        <stp/>
        <stp>VOLUME</stp>
        <stp>.NDX251219C20175</stp>
        <tr r="W185" s="2"/>
      </tp>
      <tp t="s">
        <v>N/A</v>
        <stp/>
        <stp>VOLUME</stp>
        <stp>.NDX251219C21175</stp>
        <tr r="W145" s="2"/>
      </tp>
      <tp t="s">
        <v>N/A</v>
        <stp/>
        <stp>VOLUME</stp>
        <stp>.NDX251121C20975</stp>
        <tr r="U153" s="2"/>
      </tp>
      <tp t="s">
        <v>N/A</v>
        <stp/>
        <stp>VOLUME</stp>
        <stp>.NDX250919C20175</stp>
        <tr r="Q185" s="2"/>
      </tp>
      <tp t="s">
        <v>N/A</v>
        <stp/>
        <stp>VOLUME</stp>
        <stp>.NDX250919C21175</stp>
        <tr r="Q145" s="2"/>
      </tp>
      <tp>
        <v>3</v>
        <stp/>
        <stp>VOLUME</stp>
        <stp>.NDX250620C20875</stp>
        <tr r="BE156" s="1"/>
        <tr r="BE156" s="1"/>
      </tp>
      <tp t="s">
        <v>N/A</v>
        <stp/>
        <stp>VOLUME</stp>
        <stp>.NDX250718C20075</stp>
        <tr r="M189" s="2"/>
      </tp>
      <tp t="s">
        <v>N/A</v>
        <stp/>
        <stp>VOLUME</stp>
        <stp>.NDX250718C21075</stp>
        <tr r="M149" s="2"/>
      </tp>
      <tp t="s">
        <v>N/A</v>
        <stp/>
        <stp>VOLUME</stp>
        <stp>.NDX251219C20150</stp>
        <tr r="W186" s="2"/>
      </tp>
      <tp t="s">
        <v>N/A</v>
        <stp/>
        <stp>VOLUME</stp>
        <stp>.NDX251219C21150</stp>
        <tr r="W146" s="2"/>
      </tp>
      <tp t="s">
        <v>N/A</v>
        <stp/>
        <stp>VOLUME</stp>
        <stp>.NDX251121C20950</stp>
        <tr r="U154" s="2"/>
      </tp>
      <tp t="s">
        <v>N/A</v>
        <stp/>
        <stp>VOLUME</stp>
        <stp>.NDX250919C20150</stp>
        <tr r="Q186" s="2"/>
      </tp>
      <tp t="s">
        <v>N/A</v>
        <stp/>
        <stp>VOLUME</stp>
        <stp>.NDX250919C21150</stp>
        <tr r="Q146" s="2"/>
      </tp>
      <tp t="s">
        <v>N/A</v>
        <stp/>
        <stp>VOLUME</stp>
        <stp>.NDX250718C20050</stp>
        <tr r="M190" s="2"/>
      </tp>
      <tp t="s">
        <v>N/A</v>
        <stp/>
        <stp>VOLUME</stp>
        <stp>.NDX250718C21050</stp>
        <tr r="M150" s="2"/>
      </tp>
      <tp>
        <v>47</v>
        <stp/>
        <stp>VOLUME</stp>
        <stp>.NDX250620C20850</stp>
        <tr r="BE157" s="1"/>
        <tr r="BE157" s="1"/>
      </tp>
      <tp>
        <v>0.59</v>
        <stp/>
        <stp>DELTA</stp>
        <stp>.SPX250620C5810</stp>
        <tr r="CH106" s="1"/>
        <tr r="CH106" s="1"/>
      </tp>
      <tp>
        <v>-0.41</v>
        <stp/>
        <stp>DELTA</stp>
        <stp>.SPX250620P5810</stp>
        <tr r="CI106" s="1"/>
        <tr r="CI106" s="1"/>
      </tp>
      <tp>
        <v>0.61</v>
        <stp/>
        <stp>DELTA</stp>
        <stp>.SPX250620C5800</stp>
        <tr r="CH107" s="1"/>
        <tr r="CH107" s="1"/>
      </tp>
      <tp>
        <v>-0.4</v>
        <stp/>
        <stp>DELTA</stp>
        <stp>.SPX250620P5800</stp>
        <tr r="CI107" s="1"/>
        <tr r="CI107" s="1"/>
      </tp>
      <tp>
        <v>0.56999999999999995</v>
        <stp/>
        <stp>DELTA</stp>
        <stp>.SPX250620C5830</stp>
        <tr r="CH104" s="1"/>
        <tr r="CH104" s="1"/>
      </tp>
      <tp>
        <v>-0.43</v>
        <stp/>
        <stp>DELTA</stp>
        <stp>.SPX250620P5830</stp>
        <tr r="CI104" s="1"/>
        <tr r="CI104" s="1"/>
      </tp>
      <tp>
        <v>0.57999999999999996</v>
        <stp/>
        <stp>DELTA</stp>
        <stp>.SPX250620C5820</stp>
        <tr r="CH105" s="1"/>
        <tr r="CH105" s="1"/>
      </tp>
      <tp>
        <v>-0.42</v>
        <stp/>
        <stp>DELTA</stp>
        <stp>.SPX250620P5820</stp>
        <tr r="CI105" s="1"/>
        <tr r="CI105" s="1"/>
      </tp>
      <tp>
        <v>0.54</v>
        <stp/>
        <stp>DELTA</stp>
        <stp>.SPX250620C5850</stp>
        <tr r="CH102" s="1"/>
        <tr r="CH102" s="1"/>
      </tp>
      <tp>
        <v>-0.46</v>
        <stp/>
        <stp>DELTA</stp>
        <stp>.SPX250620P5850</stp>
        <tr r="CI102" s="1"/>
        <tr r="CI102" s="1"/>
      </tp>
      <tp>
        <v>0.55000000000000004</v>
        <stp/>
        <stp>DELTA</stp>
        <stp>.SPX250620C5840</stp>
        <tr r="CH103" s="1"/>
        <tr r="CH103" s="1"/>
      </tp>
      <tp>
        <v>-0.45</v>
        <stp/>
        <stp>DELTA</stp>
        <stp>.SPX250620P5840</stp>
        <tr r="CI103" s="1"/>
        <tr r="CI103" s="1"/>
      </tp>
      <tp>
        <v>0.51</v>
        <stp/>
        <stp>DELTA</stp>
        <stp>.SPX250620C5870</stp>
        <tr r="CH100" s="1"/>
        <tr r="CH100" s="1"/>
      </tp>
      <tp>
        <v>-0.49</v>
        <stp/>
        <stp>DELTA</stp>
        <stp>.SPX250620P5870</stp>
        <tr r="CI100" s="1"/>
        <tr r="CI100" s="1"/>
      </tp>
      <tp>
        <v>0.53</v>
        <stp/>
        <stp>DELTA</stp>
        <stp>.SPX250620C5860</stp>
        <tr r="CH101" s="1"/>
        <tr r="CH101" s="1"/>
      </tp>
      <tp>
        <v>-0.47</v>
        <stp/>
        <stp>DELTA</stp>
        <stp>.SPX250620P5860</stp>
        <tr r="CI101" s="1"/>
        <tr r="CI101" s="1"/>
      </tp>
      <tp>
        <v>0.48</v>
        <stp/>
        <stp>DELTA</stp>
        <stp>.SPX250620C5890</stp>
        <tr r="CH98" s="1"/>
        <tr r="CH98" s="1"/>
      </tp>
      <tp>
        <v>-0.51</v>
        <stp/>
        <stp>DELTA</stp>
        <stp>.SPX250620P5890</stp>
        <tr r="CI98" s="1"/>
        <tr r="CI98" s="1"/>
      </tp>
      <tp>
        <v>0.5</v>
        <stp/>
        <stp>DELTA</stp>
        <stp>.SPX250620C5880</stp>
        <tr r="CH99" s="1"/>
        <tr r="CH99" s="1"/>
      </tp>
      <tp>
        <v>-0.5</v>
        <stp/>
        <stp>DELTA</stp>
        <stp>.SPX250620P5880</stp>
        <tr r="CI99" s="1"/>
        <tr r="CI99" s="1"/>
      </tp>
      <tp t="s">
        <v>N/A</v>
        <stp/>
        <stp>VOLUME</stp>
        <stp>.SPXC5940</stp>
        <tr r="K94" s="2"/>
      </tp>
      <tp t="s">
        <v>N/A</v>
        <stp/>
        <stp>VOLUME</stp>
        <stp>.SPXP5940</stp>
        <tr r="K94" s="2"/>
      </tp>
      <tp t="s">
        <v>70.16%</v>
        <stp/>
        <stp>IMPL_VOL</stp>
        <stp>.NDXP250512C20975</stp>
        <tr r="EL152" s="1"/>
      </tp>
      <tp t="s">
        <v>N/A</v>
        <stp/>
        <stp>VOLUME</stp>
        <stp>.SPXC5950</stp>
        <tr r="K93" s="2"/>
      </tp>
      <tp t="s">
        <v>N/A</v>
        <stp/>
        <stp>VOLUME</stp>
        <stp>.SPXP5950</stp>
        <tr r="K93" s="2"/>
      </tp>
      <tp t="s">
        <v>N/A</v>
        <stp/>
        <stp>VOLUME</stp>
        <stp>.SPXC5960</stp>
        <tr r="K92" s="2"/>
      </tp>
      <tp t="s">
        <v>N/A</v>
        <stp/>
        <stp>VOLUME</stp>
        <stp>.SPXP5960</stp>
        <tr r="K92" s="2"/>
      </tp>
      <tp t="s">
        <v>23.86%</v>
        <stp/>
        <stp>IMPL_VOL</stp>
        <stp>.NDXP250512C20950</stp>
        <tr r="EL153" s="1"/>
      </tp>
      <tp t="s">
        <v>N/A</v>
        <stp/>
        <stp>VOLUME</stp>
        <stp>.SPXC5970</stp>
        <tr r="K91" s="2"/>
      </tp>
      <tp t="s">
        <v>N/A</v>
        <stp/>
        <stp>VOLUME</stp>
        <stp>.SPXP5970</stp>
        <tr r="K91" s="2"/>
      </tp>
      <tp t="s">
        <v>N/A</v>
        <stp/>
        <stp>VOLUME</stp>
        <stp>.SPXC5900</stp>
        <tr r="K98" s="2"/>
      </tp>
      <tp t="s">
        <v>N/A</v>
        <stp/>
        <stp>VOLUME</stp>
        <stp>.SPXP5900</stp>
        <tr r="K98" s="2"/>
      </tp>
      <tp t="s">
        <v>N/A</v>
        <stp/>
        <stp>VOLUME</stp>
        <stp>.SPXC5910</stp>
        <tr r="K97" s="2"/>
      </tp>
      <tp t="s">
        <v>N/A</v>
        <stp/>
        <stp>VOLUME</stp>
        <stp>.SPXP5910</stp>
        <tr r="K97" s="2"/>
      </tp>
      <tp t="s">
        <v>30.62%</v>
        <stp/>
        <stp>IMPL_VOL</stp>
        <stp>.NDXP250512C20925</stp>
        <tr r="EL154" s="1"/>
      </tp>
      <tp t="s">
        <v>N/A</v>
        <stp/>
        <stp>VOLUME</stp>
        <stp>.SPXC5920</stp>
        <tr r="K96" s="2"/>
      </tp>
      <tp t="s">
        <v>N/A</v>
        <stp/>
        <stp>VOLUME</stp>
        <stp>.SPXP5920</stp>
        <tr r="K96" s="2"/>
      </tp>
      <tp t="s">
        <v>N/A</v>
        <stp/>
        <stp>VOLUME</stp>
        <stp>.SPXC5930</stp>
        <tr r="K95" s="2"/>
      </tp>
      <tp t="s">
        <v>N/A</v>
        <stp/>
        <stp>VOLUME</stp>
        <stp>.SPXP5930</stp>
        <tr r="K95" s="2"/>
      </tp>
      <tp t="s">
        <v>15.08%</v>
        <stp/>
        <stp>IMPL_VOL</stp>
        <stp>.NDXP250512C20900</stp>
        <tr r="EL155" s="1"/>
      </tp>
      <tp t="s">
        <v>N/A</v>
        <stp/>
        <stp>VOLUME</stp>
        <stp>.NDX251219P20600</stp>
        <tr r="W168" s="2"/>
      </tp>
      <tp>
        <v>3</v>
        <stp/>
        <stp>VOLUME</stp>
        <stp>.NDX251017P20800</stp>
        <tr r="S160" s="2"/>
        <tr r="S160" s="2"/>
      </tp>
      <tp t="s">
        <v>N/A</v>
        <stp/>
        <stp>VOLUME</stp>
        <stp>.NDX250919P20600</stp>
        <tr r="Q168" s="2"/>
      </tp>
      <tp>
        <v>25</v>
        <stp/>
        <stp>VOLUME</stp>
        <stp>.NDX250718P20700</stp>
        <tr r="M164" s="2"/>
        <tr r="M164" s="2"/>
      </tp>
      <tp>
        <v>30</v>
        <stp/>
        <stp>VOLUME</stp>
        <stp>.NDX250516P20900</stp>
        <tr r="BD155" s="1"/>
        <tr r="BD155" s="1"/>
      </tp>
      <tp t="s">
        <v>N/A</v>
        <stp/>
        <stp>VOLUME</stp>
        <stp>.NDX251219P20625</stp>
        <tr r="W167" s="2"/>
      </tp>
      <tp t="s">
        <v>N/A</v>
        <stp/>
        <stp>VOLUME</stp>
        <stp>.NDX251017P20825</stp>
        <tr r="S159" s="2"/>
      </tp>
      <tp t="s">
        <v>N/A</v>
        <stp/>
        <stp>VOLUME</stp>
        <stp>.NDX250919P20625</stp>
        <tr r="Q167" s="2"/>
      </tp>
      <tp t="s">
        <v>N/A</v>
        <stp/>
        <stp>VOLUME</stp>
        <stp>.NDX250718P20725</stp>
        <tr r="M163" s="2"/>
      </tp>
      <tp>
        <v>6</v>
        <stp/>
        <stp>VOLUME</stp>
        <stp>.NDX250516P20925</stp>
        <tr r="BD154" s="1"/>
        <tr r="BD154" s="1"/>
      </tp>
      <tp t="s">
        <v>N/A</v>
        <stp/>
        <stp>VOLUME</stp>
        <stp>.SPXC5980</stp>
        <tr r="K90" s="2"/>
      </tp>
      <tp t="s">
        <v>N/A</v>
        <stp/>
        <stp>VOLUME</stp>
        <stp>.NDX250919P20650</stp>
        <tr r="Q166" s="2"/>
      </tp>
      <tp t="s">
        <v>N/A</v>
        <stp/>
        <stp>VOLUME</stp>
        <stp>.NDX250718P20750</stp>
        <tr r="M162" s="2"/>
      </tp>
      <tp>
        <v>4</v>
        <stp/>
        <stp>VOLUME</stp>
        <stp>.NDX250516P20950</stp>
        <tr r="BD153" s="1"/>
        <tr r="BD153" s="1"/>
      </tp>
      <tp t="s">
        <v>N/A</v>
        <stp/>
        <stp>VOLUME</stp>
        <stp>.SPXP5980</stp>
        <tr r="K90" s="2"/>
      </tp>
      <tp t="s">
        <v>N/A</v>
        <stp/>
        <stp>VOLUME</stp>
        <stp>.SPXC5990</stp>
        <tr r="K89" s="2"/>
      </tp>
      <tp t="s">
        <v>N/A</v>
        <stp/>
        <stp>VOLUME</stp>
        <stp>.SPXP5990</stp>
        <tr r="K89" s="2"/>
      </tp>
      <tp t="s">
        <v>N/A</v>
        <stp/>
        <stp>VOLUME</stp>
        <stp>.NDX251219P20650</stp>
        <tr r="W166" s="2"/>
      </tp>
      <tp t="s">
        <v>N/A</v>
        <stp/>
        <stp>VOLUME</stp>
        <stp>.NDX251017P20850</stp>
        <tr r="S158" s="2"/>
      </tp>
      <tp t="s">
        <v>N/A</v>
        <stp/>
        <stp>VOLUME</stp>
        <stp>.NDX250919P20675</stp>
        <tr r="Q165" s="2"/>
      </tp>
      <tp t="s">
        <v>N/A</v>
        <stp/>
        <stp>VOLUME</stp>
        <stp>.NDX250718P20775</stp>
        <tr r="M161" s="2"/>
      </tp>
      <tp t="s">
        <v>N/A</v>
        <stp/>
        <stp>VOLUME</stp>
        <stp>.NDX250516P20975</stp>
        <tr r="BD152" s="1"/>
      </tp>
      <tp t="s">
        <v>N/A</v>
        <stp/>
        <stp>VOLUME</stp>
        <stp>.NDX251219P20675</stp>
        <tr r="W165" s="2"/>
      </tp>
      <tp t="s">
        <v>N/A</v>
        <stp/>
        <stp>VOLUME</stp>
        <stp>.NDX251017P20875</stp>
        <tr r="S157" s="2"/>
      </tp>
      <tp t="s">
        <v>39.98%</v>
        <stp/>
        <stp>IMPL_VOL</stp>
        <stp>.NDXP250512P20950</stp>
        <tr r="EM153" s="1"/>
      </tp>
      <tp t="s">
        <v>55.70%</v>
        <stp/>
        <stp>IMPL_VOL</stp>
        <stp>.NDXP250512P20975</stp>
        <tr r="EM152" s="1"/>
      </tp>
      <tp t="s">
        <v>24.37%</v>
        <stp/>
        <stp>IMPL_VOL</stp>
        <stp>.NDXP250512P20900</stp>
        <tr r="EM155" s="1"/>
      </tp>
      <tp t="s">
        <v>31.71%</v>
        <stp/>
        <stp>IMPL_VOL</stp>
        <stp>.NDXP250512P20925</stp>
        <tr r="EM154" s="1"/>
      </tp>
      <tp t="s">
        <v>N/A</v>
        <stp/>
        <stp>VOLUME</stp>
        <stp>.NDX250919C20625</stp>
        <tr r="Q167" s="2"/>
      </tp>
      <tp t="s">
        <v>N/A</v>
        <stp/>
        <stp>VOLUME</stp>
        <stp>.NDX250718C20725</stp>
        <tr r="M163" s="2"/>
      </tp>
      <tp>
        <v>18</v>
        <stp/>
        <stp>VOLUME</stp>
        <stp>.NDX250516C20925</stp>
        <tr r="BC154" s="1"/>
        <tr r="BC154" s="1"/>
      </tp>
      <tp t="s">
        <v>N/A</v>
        <stp/>
        <stp>VOLUME</stp>
        <stp>.NDX251219C20625</stp>
        <tr r="W167" s="2"/>
      </tp>
      <tp t="s">
        <v>N/A</v>
        <stp/>
        <stp>VOLUME</stp>
        <stp>.NDX251017C20825</stp>
        <tr r="S159" s="2"/>
      </tp>
      <tp>
        <v>6</v>
        <stp/>
        <stp>VOLUME</stp>
        <stp>.NDX250919C20600</stp>
        <tr r="Q168" s="2"/>
        <tr r="Q168" s="2"/>
      </tp>
      <tp>
        <v>25</v>
        <stp/>
        <stp>VOLUME</stp>
        <stp>.NDX250718C20700</stp>
        <tr r="M164" s="2"/>
        <tr r="M164" s="2"/>
      </tp>
      <tp>
        <v>37</v>
        <stp/>
        <stp>VOLUME</stp>
        <stp>.NDX250516C20900</stp>
        <tr r="BC155" s="1"/>
        <tr r="BC155" s="1"/>
      </tp>
      <tp t="s">
        <v>N/A</v>
        <stp/>
        <stp>VOLUME</stp>
        <stp>.NDX251219C20600</stp>
        <tr r="W168" s="2"/>
      </tp>
      <tp>
        <v>2</v>
        <stp/>
        <stp>VOLUME</stp>
        <stp>.NDX251017C20800</stp>
        <tr r="S160" s="2"/>
        <tr r="S160" s="2"/>
      </tp>
      <tp t="s">
        <v>N/A</v>
        <stp/>
        <stp>VOLUME</stp>
        <stp>.NDX251219C20675</stp>
        <tr r="W165" s="2"/>
      </tp>
      <tp t="s">
        <v>N/A</v>
        <stp/>
        <stp>VOLUME</stp>
        <stp>.NDX251017C20875</stp>
        <tr r="S157" s="2"/>
      </tp>
      <tp t="s">
        <v>N/A</v>
        <stp/>
        <stp>VOLUME</stp>
        <stp>.NDX250919C20675</stp>
        <tr r="Q165" s="2"/>
      </tp>
      <tp t="s">
        <v>N/A</v>
        <stp/>
        <stp>VOLUME</stp>
        <stp>.NDX250718C20775</stp>
        <tr r="M161" s="2"/>
      </tp>
      <tp>
        <v>23</v>
        <stp/>
        <stp>VOLUME</stp>
        <stp>.NDX250516C20975</stp>
        <tr r="BC152" s="1"/>
        <tr r="BC152" s="1"/>
      </tp>
      <tp t="s">
        <v>N/A</v>
        <stp/>
        <stp>VOLUME</stp>
        <stp>.NDX251219C20650</stp>
        <tr r="W166" s="2"/>
      </tp>
      <tp t="s">
        <v>N/A</v>
        <stp/>
        <stp>VOLUME</stp>
        <stp>.NDX251017C20850</stp>
        <tr r="S158" s="2"/>
      </tp>
      <tp t="s">
        <v>N/A</v>
        <stp/>
        <stp>VOLUME</stp>
        <stp>.NDX250919C20650</stp>
        <tr r="Q166" s="2"/>
      </tp>
      <tp t="s">
        <v>N/A</v>
        <stp/>
        <stp>VOLUME</stp>
        <stp>.NDX250718C20750</stp>
        <tr r="M162" s="2"/>
      </tp>
      <tp>
        <v>18</v>
        <stp/>
        <stp>VOLUME</stp>
        <stp>.NDX250516C20950</stp>
        <tr r="BC153" s="1"/>
        <tr r="BC153" s="1"/>
      </tp>
      <tp t="s">
        <v>N/A</v>
        <stp/>
        <stp>VOLUME</stp>
        <stp>.SPXC5840</stp>
        <tr r="K104" s="2"/>
      </tp>
      <tp t="s">
        <v>N/A</v>
        <stp/>
        <stp>VOLUME</stp>
        <stp>.SPXP5840</stp>
        <tr r="K104" s="2"/>
      </tp>
      <tp t="s">
        <v>7.54%</v>
        <stp/>
        <stp>IMPL_VOL</stp>
        <stp>.NDXP250512C20875</stp>
        <tr r="EL156" s="1"/>
      </tp>
      <tp t="s">
        <v>N/A</v>
        <stp/>
        <stp>VOLUME</stp>
        <stp>.SPXC5850</stp>
        <tr r="K103" s="2"/>
      </tp>
      <tp t="s">
        <v>N/A</v>
        <stp/>
        <stp>VOLUME</stp>
        <stp>.SPXP5850</stp>
        <tr r="K103" s="2"/>
      </tp>
      <tp t="s">
        <v>N/A</v>
        <stp/>
        <stp>VOLUME</stp>
        <stp>.SPXC5860</stp>
        <tr r="K102" s="2"/>
      </tp>
      <tp t="s">
        <v>N/A</v>
        <stp/>
        <stp>VOLUME</stp>
        <stp>.SPXP5860</stp>
        <tr r="K102" s="2"/>
      </tp>
      <tp t="s">
        <v>--</v>
        <stp/>
        <stp>IMPL_VOL</stp>
        <stp>.NDXP250512C20850</stp>
        <tr r="EL157" s="1"/>
      </tp>
      <tp t="s">
        <v>N/A</v>
        <stp/>
        <stp>VOLUME</stp>
        <stp>.SPXC5870</stp>
        <tr r="K101" s="2"/>
      </tp>
      <tp t="s">
        <v>N/A</v>
        <stp/>
        <stp>VOLUME</stp>
        <stp>.SPXP5870</stp>
        <tr r="K101" s="2"/>
      </tp>
      <tp t="s">
        <v>N/A</v>
        <stp/>
        <stp>VOLUME</stp>
        <stp>.SPXC5800</stp>
        <tr r="K108" s="2"/>
      </tp>
      <tp t="s">
        <v>N/A</v>
        <stp/>
        <stp>VOLUME</stp>
        <stp>.SPXP5800</stp>
        <tr r="K108" s="2"/>
      </tp>
      <tp t="s">
        <v>N/A</v>
        <stp/>
        <stp>VOLUME</stp>
        <stp>.SPXC5810</stp>
        <tr r="K107" s="2"/>
      </tp>
      <tp t="s">
        <v>N/A</v>
        <stp/>
        <stp>VOLUME</stp>
        <stp>.SPXP5810</stp>
        <tr r="K107" s="2"/>
      </tp>
      <tp t="s">
        <v>--</v>
        <stp/>
        <stp>IMPL_VOL</stp>
        <stp>.NDXP250512C20825</stp>
        <tr r="EL158" s="1"/>
      </tp>
      <tp t="s">
        <v>N/A</v>
        <stp/>
        <stp>VOLUME</stp>
        <stp>.SPXC5820</stp>
        <tr r="K106" s="2"/>
      </tp>
      <tp t="s">
        <v>N/A</v>
        <stp/>
        <stp>VOLUME</stp>
        <stp>.SPXP5820</stp>
        <tr r="K106" s="2"/>
      </tp>
      <tp t="s">
        <v>N/A</v>
        <stp/>
        <stp>VOLUME</stp>
        <stp>.SPXC5830</stp>
        <tr r="K105" s="2"/>
      </tp>
      <tp t="s">
        <v>N/A</v>
        <stp/>
        <stp>VOLUME</stp>
        <stp>.SPXP5830</stp>
        <tr r="K105" s="2"/>
      </tp>
      <tp t="s">
        <v>--</v>
        <stp/>
        <stp>IMPL_VOL</stp>
        <stp>.NDXP250512C20800</stp>
        <tr r="EL159" s="1"/>
      </tp>
      <tp>
        <v>60</v>
        <stp/>
        <stp>VOLUME</stp>
        <stp>.NDX251219P20700</stp>
        <tr r="W164" s="2"/>
        <tr r="W164" s="2"/>
      </tp>
      <tp>
        <v>1</v>
        <stp/>
        <stp>VOLUME</stp>
        <stp>.NDX251017P20900</stp>
        <tr r="S156" s="2"/>
        <tr r="S156" s="2"/>
      </tp>
      <tp>
        <v>15</v>
        <stp/>
        <stp>VOLUME</stp>
        <stp>.NDX250919P20700</stp>
        <tr r="Q164" s="2"/>
        <tr r="Q164" s="2"/>
      </tp>
      <tp>
        <v>5</v>
        <stp/>
        <stp>VOLUME</stp>
        <stp>.NDX250718P20600</stp>
        <tr r="M168" s="2"/>
        <tr r="M168" s="2"/>
      </tp>
      <tp>
        <v>20</v>
        <stp/>
        <stp>VOLUME</stp>
        <stp>.NDX250516P20800</stp>
        <tr r="BD159" s="1"/>
        <tr r="BD159" s="1"/>
      </tp>
      <tp t="s">
        <v>N/A</v>
        <stp/>
        <stp>VOLUME</stp>
        <stp>.NDX251219P20725</stp>
        <tr r="W163" s="2"/>
      </tp>
      <tp t="s">
        <v>N/A</v>
        <stp/>
        <stp>VOLUME</stp>
        <stp>.NDX251017P20925</stp>
        <tr r="S155" s="2"/>
      </tp>
      <tp t="s">
        <v>N/A</v>
        <stp/>
        <stp>VOLUME</stp>
        <stp>.NDX250919P20725</stp>
        <tr r="Q163" s="2"/>
      </tp>
      <tp t="s">
        <v>N/A</v>
        <stp/>
        <stp>VOLUME</stp>
        <stp>.NDX250718P20625</stp>
        <tr r="M167" s="2"/>
      </tp>
      <tp>
        <v>13</v>
        <stp/>
        <stp>VOLUME</stp>
        <stp>.NDX250516P20825</stp>
        <tr r="BD158" s="1"/>
        <tr r="BD158" s="1"/>
      </tp>
      <tp t="s">
        <v>N/A</v>
        <stp/>
        <stp>VOLUME</stp>
        <stp>.SPXC5880</stp>
        <tr r="K100" s="2"/>
      </tp>
      <tp t="s">
        <v>N/A</v>
        <stp/>
        <stp>VOLUME</stp>
        <stp>.NDX250919P20750</stp>
        <tr r="Q162" s="2"/>
      </tp>
      <tp t="s">
        <v>N/A</v>
        <stp/>
        <stp>VOLUME</stp>
        <stp>.NDX250718P20650</stp>
        <tr r="M166" s="2"/>
      </tp>
      <tp>
        <v>18</v>
        <stp/>
        <stp>VOLUME</stp>
        <stp>.NDX250516P20850</stp>
        <tr r="BD157" s="1"/>
        <tr r="BD157" s="1"/>
      </tp>
      <tp t="s">
        <v>N/A</v>
        <stp/>
        <stp>VOLUME</stp>
        <stp>.SPXP5880</stp>
        <tr r="K100" s="2"/>
      </tp>
      <tp t="s">
        <v>N/A</v>
        <stp/>
        <stp>VOLUME</stp>
        <stp>.SPXC5890</stp>
        <tr r="K99" s="2"/>
      </tp>
      <tp t="s">
        <v>N/A</v>
        <stp/>
        <stp>VOLUME</stp>
        <stp>.SPXP5890</stp>
        <tr r="K99" s="2"/>
      </tp>
      <tp t="s">
        <v>N/A</v>
        <stp/>
        <stp>VOLUME</stp>
        <stp>.NDX251219P20750</stp>
        <tr r="W162" s="2"/>
      </tp>
      <tp t="s">
        <v>N/A</v>
        <stp/>
        <stp>VOLUME</stp>
        <stp>.NDX251017P20950</stp>
        <tr r="S154" s="2"/>
      </tp>
      <tp t="s">
        <v>N/A</v>
        <stp/>
        <stp>VOLUME</stp>
        <stp>.NDX250919P20775</stp>
        <tr r="Q161" s="2"/>
      </tp>
      <tp t="s">
        <v>N/A</v>
        <stp/>
        <stp>VOLUME</stp>
        <stp>.NDX250718P20675</stp>
        <tr r="M165" s="2"/>
      </tp>
      <tp>
        <v>6</v>
        <stp/>
        <stp>VOLUME</stp>
        <stp>.NDX250516P20875</stp>
        <tr r="BD156" s="1"/>
        <tr r="BD156" s="1"/>
      </tp>
      <tp t="s">
        <v>N/A</v>
        <stp/>
        <stp>VOLUME</stp>
        <stp>.NDX251219P20775</stp>
        <tr r="W161" s="2"/>
      </tp>
      <tp t="s">
        <v>N/A</v>
        <stp/>
        <stp>VOLUME</stp>
        <stp>.NDX251017P20975</stp>
        <tr r="S153" s="2"/>
      </tp>
      <tp t="s">
        <v>8.55%</v>
        <stp/>
        <stp>IMPL_VOL</stp>
        <stp>.NDXP250512P20850</stp>
        <tr r="EM157" s="1"/>
      </tp>
      <tp t="s">
        <v>15.63%</v>
        <stp/>
        <stp>IMPL_VOL</stp>
        <stp>.NDXP250512P20875</stp>
        <tr r="EM156" s="1"/>
      </tp>
      <tp t="s">
        <v>53.69%</v>
        <stp/>
        <stp>IMPL_VOL</stp>
        <stp>.NDXP250512P20800</stp>
        <tr r="EM159" s="1"/>
      </tp>
      <tp t="s">
        <v>16.53%</v>
        <stp/>
        <stp>IMPL_VOL</stp>
        <stp>.NDXP250512P20825</stp>
        <tr r="EM158" s="1"/>
      </tp>
      <tp t="s">
        <v>N/A</v>
        <stp/>
        <stp>VOLUME</stp>
        <stp>.NDX250919C20725</stp>
        <tr r="Q163" s="2"/>
      </tp>
      <tp t="s">
        <v>N/A</v>
        <stp/>
        <stp>VOLUME</stp>
        <stp>.NDX250718C20625</stp>
        <tr r="M167" s="2"/>
      </tp>
      <tp>
        <v>13</v>
        <stp/>
        <stp>VOLUME</stp>
        <stp>.NDX250516C20825</stp>
        <tr r="BC158" s="1"/>
        <tr r="BC158" s="1"/>
      </tp>
      <tp t="s">
        <v>N/A</v>
        <stp/>
        <stp>VOLUME</stp>
        <stp>.NDX251219C20725</stp>
        <tr r="W163" s="2"/>
      </tp>
      <tp t="s">
        <v>N/A</v>
        <stp/>
        <stp>VOLUME</stp>
        <stp>.NDX251017C20925</stp>
        <tr r="S155" s="2"/>
      </tp>
      <tp t="s">
        <v>N/A</v>
        <stp/>
        <stp>VOLUME</stp>
        <stp>.NDX250919C20700</stp>
        <tr r="Q164" s="2"/>
      </tp>
      <tp t="s">
        <v>N/A</v>
        <stp/>
        <stp>VOLUME</stp>
        <stp>.NDX250718C20600</stp>
        <tr r="M168" s="2"/>
      </tp>
      <tp>
        <v>37</v>
        <stp/>
        <stp>VOLUME</stp>
        <stp>.NDX250516C20800</stp>
        <tr r="BC159" s="1"/>
        <tr r="BC159" s="1"/>
      </tp>
      <tp>
        <v>60</v>
        <stp/>
        <stp>VOLUME</stp>
        <stp>.NDX251219C20700</stp>
        <tr r="W164" s="2"/>
        <tr r="W164" s="2"/>
      </tp>
      <tp t="s">
        <v>N/A</v>
        <stp/>
        <stp>VOLUME</stp>
        <stp>.NDX251017C20900</stp>
        <tr r="S156" s="2"/>
      </tp>
      <tp t="s">
        <v>N/A</v>
        <stp/>
        <stp>VOLUME</stp>
        <stp>.NDX251219C20775</stp>
        <tr r="W161" s="2"/>
      </tp>
      <tp t="s">
        <v>N/A</v>
        <stp/>
        <stp>VOLUME</stp>
        <stp>.NDX251017C20975</stp>
        <tr r="S153" s="2"/>
      </tp>
      <tp t="s">
        <v>N/A</v>
        <stp/>
        <stp>VOLUME</stp>
        <stp>.NDX250919C20775</stp>
        <tr r="Q161" s="2"/>
      </tp>
      <tp t="s">
        <v>N/A</v>
        <stp/>
        <stp>VOLUME</stp>
        <stp>.NDX250718C20675</stp>
        <tr r="M165" s="2"/>
      </tp>
      <tp>
        <v>32</v>
        <stp/>
        <stp>VOLUME</stp>
        <stp>.NDX250516C20875</stp>
        <tr r="BC156" s="1"/>
        <tr r="BC156" s="1"/>
      </tp>
      <tp t="s">
        <v>N/A</v>
        <stp/>
        <stp>VOLUME</stp>
        <stp>.NDX251219C20750</stp>
        <tr r="W162" s="2"/>
      </tp>
      <tp t="s">
        <v>N/A</v>
        <stp/>
        <stp>VOLUME</stp>
        <stp>.NDX251017C20950</stp>
        <tr r="S154" s="2"/>
      </tp>
      <tp t="s">
        <v>N/A</v>
        <stp/>
        <stp>VOLUME</stp>
        <stp>.NDX250919C20750</stp>
        <tr r="Q162" s="2"/>
      </tp>
      <tp t="s">
        <v>N/A</v>
        <stp/>
        <stp>VOLUME</stp>
        <stp>.NDX250718C20650</stp>
        <tr r="M166" s="2"/>
      </tp>
      <tp>
        <v>20</v>
        <stp/>
        <stp>VOLUME</stp>
        <stp>.NDX250516C20850</stp>
        <tr r="BC157" s="1"/>
        <tr r="BC157" s="1"/>
      </tp>
      <tp>
        <v>2</v>
        <stp/>
        <stp>VOLUME</stp>
        <stp>.NDX251219P20400</stp>
        <tr r="W176" s="2"/>
        <tr r="W176" s="2"/>
      </tp>
      <tp t="s">
        <v>N/A</v>
        <stp/>
        <stp>VOLUME</stp>
        <stp>.NDX250919P20400</stp>
        <tr r="Q176" s="2"/>
      </tp>
      <tp>
        <v>5</v>
        <stp/>
        <stp>VOLUME</stp>
        <stp>.NDX250815P20800</stp>
        <tr r="O160" s="2"/>
        <tr r="O160" s="2"/>
      </tp>
      <tp t="s">
        <v>N/A</v>
        <stp/>
        <stp>VOLUME</stp>
        <stp>.NDX250718P20500</stp>
        <tr r="M172" s="2"/>
      </tp>
      <tp t="s">
        <v>N/A</v>
        <stp/>
        <stp>VOLUME</stp>
        <stp>.NDX251219P20425</stp>
        <tr r="W175" s="2"/>
      </tp>
      <tp t="s">
        <v>N/A</v>
        <stp/>
        <stp>VOLUME</stp>
        <stp>.NDX250815P20825</stp>
        <tr r="O159" s="2"/>
      </tp>
      <tp t="s">
        <v>N/A</v>
        <stp/>
        <stp>VOLUME</stp>
        <stp>.NDX250919P20425</stp>
        <tr r="Q175" s="2"/>
      </tp>
      <tp t="s">
        <v>N/A</v>
        <stp/>
        <stp>VOLUME</stp>
        <stp>.NDX250718P20525</stp>
        <tr r="M171" s="2"/>
      </tp>
      <tp t="s">
        <v>N/A</v>
        <stp/>
        <stp>VOLUME</stp>
        <stp>.NDX250919P20450</stp>
        <tr r="Q174" s="2"/>
      </tp>
      <tp t="s">
        <v>N/A</v>
        <stp/>
        <stp>VOLUME</stp>
        <stp>.NDX250815P20850</stp>
        <tr r="O158" s="2"/>
      </tp>
      <tp t="s">
        <v>N/A</v>
        <stp/>
        <stp>VOLUME</stp>
        <stp>.NDX250718P20550</stp>
        <tr r="M170" s="2"/>
      </tp>
      <tp t="s">
        <v>N/A</v>
        <stp/>
        <stp>VOLUME</stp>
        <stp>.NDX251219P20450</stp>
        <tr r="W174" s="2"/>
      </tp>
      <tp t="s">
        <v>N/A</v>
        <stp/>
        <stp>VOLUME</stp>
        <stp>.NDX250815P20875</stp>
        <tr r="O157" s="2"/>
      </tp>
      <tp t="s">
        <v>N/A</v>
        <stp/>
        <stp>VOLUME</stp>
        <stp>.NDX250919P20475</stp>
        <tr r="Q173" s="2"/>
      </tp>
      <tp t="s">
        <v>N/A</v>
        <stp/>
        <stp>VOLUME</stp>
        <stp>.NDX250718P20575</stp>
        <tr r="M169" s="2"/>
      </tp>
      <tp t="s">
        <v>N/A</v>
        <stp/>
        <stp>VOLUME</stp>
        <stp>.NDX251219P20475</stp>
        <tr r="W173" s="2"/>
      </tp>
      <tp t="s">
        <v>N/A</v>
        <stp/>
        <stp>VOLUME</stp>
        <stp>.NDX250815C20825</stp>
        <tr r="O159" s="2"/>
      </tp>
      <tp t="s">
        <v>N/A</v>
        <stp/>
        <stp>VOLUME</stp>
        <stp>.NDX250919C20425</stp>
        <tr r="Q175" s="2"/>
      </tp>
      <tp t="s">
        <v>N/A</v>
        <stp/>
        <stp>VOLUME</stp>
        <stp>.NDX250718C20525</stp>
        <tr r="M171" s="2"/>
      </tp>
      <tp t="s">
        <v>N/A</v>
        <stp/>
        <stp>VOLUME</stp>
        <stp>.NDX251219C20425</stp>
        <tr r="W175" s="2"/>
      </tp>
      <tp t="s">
        <v>N/A</v>
        <stp/>
        <stp>VOLUME</stp>
        <stp>.NDX250919C20400</stp>
        <tr r="Q176" s="2"/>
      </tp>
      <tp>
        <v>2</v>
        <stp/>
        <stp>VOLUME</stp>
        <stp>.NDX250815C20800</stp>
        <tr r="O160" s="2"/>
        <tr r="O160" s="2"/>
      </tp>
      <tp t="s">
        <v>N/A</v>
        <stp/>
        <stp>VOLUME</stp>
        <stp>.NDX250718C20500</stp>
        <tr r="M172" s="2"/>
      </tp>
      <tp t="s">
        <v>N/A</v>
        <stp/>
        <stp>VOLUME</stp>
        <stp>.NDX251219C20400</stp>
        <tr r="W176" s="2"/>
      </tp>
      <tp t="s">
        <v>N/A</v>
        <stp/>
        <stp>VOLUME</stp>
        <stp>.NDX251219C20475</stp>
        <tr r="W173" s="2"/>
      </tp>
      <tp t="s">
        <v>N/A</v>
        <stp/>
        <stp>VOLUME</stp>
        <stp>.NDX250815C20875</stp>
        <tr r="O157" s="2"/>
      </tp>
      <tp t="s">
        <v>N/A</v>
        <stp/>
        <stp>VOLUME</stp>
        <stp>.NDX250919C20475</stp>
        <tr r="Q173" s="2"/>
      </tp>
      <tp t="s">
        <v>N/A</v>
        <stp/>
        <stp>VOLUME</stp>
        <stp>.NDX250718C20575</stp>
        <tr r="M169" s="2"/>
      </tp>
      <tp t="s">
        <v>N/A</v>
        <stp/>
        <stp>VOLUME</stp>
        <stp>.NDX251219C20450</stp>
        <tr r="W174" s="2"/>
      </tp>
      <tp t="s">
        <v>N/A</v>
        <stp/>
        <stp>VOLUME</stp>
        <stp>.NDX250919C20450</stp>
        <tr r="Q174" s="2"/>
      </tp>
      <tp t="s">
        <v>N/A</v>
        <stp/>
        <stp>VOLUME</stp>
        <stp>.NDX250815C20850</stp>
        <tr r="O158" s="2"/>
      </tp>
      <tp t="s">
        <v>N/A</v>
        <stp/>
        <stp>VOLUME</stp>
        <stp>.NDX250718C20550</stp>
        <tr r="M170" s="2"/>
      </tp>
      <tp>
        <v>20943.75</v>
        <stp/>
        <stp>MARK</stp>
        <stp>/NQ:XCME</stp>
        <tr r="F44" s="1"/>
        <tr r="F136" s="1"/>
      </tp>
      <tp>
        <v>2</v>
        <stp/>
        <stp>VOLUME</stp>
        <stp>.NDX251219P20500</stp>
        <tr r="W172" s="2"/>
        <tr r="W172" s="2"/>
      </tp>
      <tp t="s">
        <v>N/A</v>
        <stp/>
        <stp>VOLUME</stp>
        <stp>.NDX250919P20500</stp>
        <tr r="Q172" s="2"/>
      </tp>
      <tp t="s">
        <v>N/A</v>
        <stp/>
        <stp>VOLUME</stp>
        <stp>.NDX250815P20900</stp>
        <tr r="O156" s="2"/>
      </tp>
      <tp t="s">
        <v>N/A</v>
        <stp/>
        <stp>VOLUME</stp>
        <stp>.NDX250718P20400</stp>
        <tr r="M176" s="2"/>
      </tp>
      <tp t="s">
        <v>N/A</v>
        <stp/>
        <stp>VOLUME</stp>
        <stp>.NDX251219P20525</stp>
        <tr r="W171" s="2"/>
      </tp>
      <tp t="s">
        <v>N/A</v>
        <stp/>
        <stp>VOLUME</stp>
        <stp>.NDX250815P20925</stp>
        <tr r="O155" s="2"/>
      </tp>
      <tp t="s">
        <v>N/A</v>
        <stp/>
        <stp>VOLUME</stp>
        <stp>.NDX250919P20525</stp>
        <tr r="Q171" s="2"/>
      </tp>
      <tp t="s">
        <v>N/A</v>
        <stp/>
        <stp>VOLUME</stp>
        <stp>.NDX250718P20425</stp>
        <tr r="M175" s="2"/>
      </tp>
      <tp t="s">
        <v>N/A</v>
        <stp/>
        <stp>VOLUME</stp>
        <stp>.NDX250919P20550</stp>
        <tr r="Q170" s="2"/>
      </tp>
      <tp t="s">
        <v>N/A</v>
        <stp/>
        <stp>VOLUME</stp>
        <stp>.NDX250815P20950</stp>
        <tr r="O154" s="2"/>
      </tp>
      <tp t="s">
        <v>N/A</v>
        <stp/>
        <stp>VOLUME</stp>
        <stp>.NDX250718P20450</stp>
        <tr r="M174" s="2"/>
      </tp>
      <tp t="s">
        <v>N/A</v>
        <stp/>
        <stp>VOLUME</stp>
        <stp>.NDX251219P20550</stp>
        <tr r="W170" s="2"/>
      </tp>
      <tp t="s">
        <v>N/A</v>
        <stp/>
        <stp>VOLUME</stp>
        <stp>.NDX250815P20975</stp>
        <tr r="O153" s="2"/>
      </tp>
      <tp t="s">
        <v>N/A</v>
        <stp/>
        <stp>VOLUME</stp>
        <stp>.NDX250919P20575</stp>
        <tr r="Q169" s="2"/>
      </tp>
      <tp t="s">
        <v>N/A</v>
        <stp/>
        <stp>VOLUME</stp>
        <stp>.NDX250718P20475</stp>
        <tr r="M173" s="2"/>
      </tp>
      <tp t="s">
        <v>N/A</v>
        <stp/>
        <stp>VOLUME</stp>
        <stp>.NDX251219P20575</stp>
        <tr r="W169" s="2"/>
      </tp>
      <tp t="s">
        <v>N/A</v>
        <stp/>
        <stp>VOLUME</stp>
        <stp>.NDX250815C20925</stp>
        <tr r="O155" s="2"/>
      </tp>
      <tp t="s">
        <v>N/A</v>
        <stp/>
        <stp>VOLUME</stp>
        <stp>.NDX250919C20525</stp>
        <tr r="Q171" s="2"/>
      </tp>
      <tp t="s">
        <v>N/A</v>
        <stp/>
        <stp>VOLUME</stp>
        <stp>.NDX250718C20425</stp>
        <tr r="M175" s="2"/>
      </tp>
      <tp t="s">
        <v>N/A</v>
        <stp/>
        <stp>VOLUME</stp>
        <stp>.NDX251219C20525</stp>
        <tr r="W171" s="2"/>
      </tp>
      <tp>
        <v>3</v>
        <stp/>
        <stp>VOLUME</stp>
        <stp>.NDX250919C20500</stp>
        <tr r="Q172" s="2"/>
        <tr r="Q172" s="2"/>
      </tp>
      <tp t="s">
        <v>N/A</v>
        <stp/>
        <stp>VOLUME</stp>
        <stp>.NDX250815C20900</stp>
        <tr r="O156" s="2"/>
      </tp>
      <tp>
        <v>2</v>
        <stp/>
        <stp>VOLUME</stp>
        <stp>.NDX250718C20400</stp>
        <tr r="M176" s="2"/>
        <tr r="M176" s="2"/>
      </tp>
      <tp t="s">
        <v>N/A</v>
        <stp/>
        <stp>VOLUME</stp>
        <stp>.NDX251219C20500</stp>
        <tr r="W172" s="2"/>
      </tp>
      <tp t="s">
        <v>N/A</v>
        <stp/>
        <stp>VOLUME</stp>
        <stp>.NDX251219C20575</stp>
        <tr r="W169" s="2"/>
      </tp>
      <tp t="s">
        <v>N/A</v>
        <stp/>
        <stp>VOLUME</stp>
        <stp>.NDX250815C20975</stp>
        <tr r="O153" s="2"/>
      </tp>
      <tp t="s">
        <v>N/A</v>
        <stp/>
        <stp>VOLUME</stp>
        <stp>.NDX250919C20575</stp>
        <tr r="Q169" s="2"/>
      </tp>
      <tp t="s">
        <v>N/A</v>
        <stp/>
        <stp>VOLUME</stp>
        <stp>.NDX250718C20475</stp>
        <tr r="M173" s="2"/>
      </tp>
      <tp t="s">
        <v>N/A</v>
        <stp/>
        <stp>VOLUME</stp>
        <stp>.NDX251219C20550</stp>
        <tr r="W170" s="2"/>
      </tp>
      <tp t="s">
        <v>N/A</v>
        <stp/>
        <stp>VOLUME</stp>
        <stp>.NDX250919C20550</stp>
        <tr r="Q170" s="2"/>
      </tp>
      <tp t="s">
        <v>N/A</v>
        <stp/>
        <stp>VOLUME</stp>
        <stp>.NDX250815C20950</stp>
        <tr r="O154" s="2"/>
      </tp>
      <tp t="s">
        <v>N/A</v>
        <stp/>
        <stp>VOLUME</stp>
        <stp>.NDX250718C20450</stp>
        <tr r="M174" s="2"/>
      </tp>
      <tp t="s">
        <v>--</v>
        <stp/>
        <stp>IMPL_VOL</stp>
        <stp>.NDXP250512C20575</stp>
        <tr r="EL168" s="1"/>
      </tp>
      <tp t="s">
        <v>--</v>
        <stp/>
        <stp>IMPL_VOL</stp>
        <stp>.NDXP250512C20550</stp>
        <tr r="EL169" s="1"/>
      </tp>
      <tp t="s">
        <v>N/A</v>
        <stp/>
        <stp>VOLUME</stp>
        <stp>.SPXC5570</stp>
        <tr r="K131" s="2"/>
      </tp>
      <tp t="s">
        <v>N/A</v>
        <stp/>
        <stp>VOLUME</stp>
        <stp>.SPXP5570</stp>
        <tr r="K131" s="2"/>
      </tp>
      <tp t="s">
        <v>--</v>
        <stp/>
        <stp>IMPL_VOL</stp>
        <stp>.NDXP250512C20525</stp>
        <tr r="EL170" s="1"/>
      </tp>
      <tp t="s">
        <v>--</v>
        <stp/>
        <stp>IMPL_VOL</stp>
        <stp>.NDXP250512C20500</stp>
        <tr r="EL171" s="1"/>
      </tp>
      <tp t="s">
        <v>N/A</v>
        <stp/>
        <stp>VOLUME</stp>
        <stp>.NDX251121P21200</stp>
        <tr r="U144" s="2"/>
      </tp>
      <tp t="s">
        <v>N/A</v>
        <stp/>
        <stp>VOLUME</stp>
        <stp>.NDX251121P20200</stp>
        <tr r="U184" s="2"/>
      </tp>
      <tp t="s">
        <v>N/A</v>
        <stp/>
        <stp>VOLUME</stp>
        <stp>.NDX251017P20400</stp>
        <tr r="S176" s="2"/>
      </tp>
      <tp t="s">
        <v>N/A</v>
        <stp/>
        <stp>VOLUME</stp>
        <stp>.NDX250815P20600</stp>
        <tr r="O168" s="2"/>
      </tp>
      <tp t="s">
        <v>N/A</v>
        <stp/>
        <stp>VOLUME</stp>
        <stp>.NDX250620P21300</stp>
        <tr r="BF139" s="1"/>
      </tp>
      <tp t="s">
        <v>N/A</v>
        <stp/>
        <stp>VOLUME</stp>
        <stp>.NDX250620P20300</stp>
        <tr r="BF179" s="1"/>
      </tp>
      <tp>
        <v>27</v>
        <stp/>
        <stp>VOLUME</stp>
        <stp>.NDX250516P20500</stp>
        <tr r="BD171" s="1"/>
        <tr r="BD171" s="1"/>
      </tp>
      <tp t="s">
        <v>N/A</v>
        <stp/>
        <stp>VOLUME</stp>
        <stp>.NDX250523P21000</stp>
        <tr r="H152" s="2"/>
      </tp>
      <tp t="s">
        <v>N/A</v>
        <stp/>
        <stp>VOLUME</stp>
        <stp>.NDX251017P20425</stp>
        <tr r="S175" s="2"/>
      </tp>
      <tp t="s">
        <v>N/A</v>
        <stp/>
        <stp>VOLUME</stp>
        <stp>.NDX251121P21225</stp>
        <tr r="U143" s="2"/>
      </tp>
      <tp t="s">
        <v>N/A</v>
        <stp/>
        <stp>VOLUME</stp>
        <stp>.NDX251121P20225</stp>
        <tr r="U183" s="2"/>
      </tp>
      <tp t="s">
        <v>N/A</v>
        <stp/>
        <stp>VOLUME</stp>
        <stp>.NDX250815P20625</stp>
        <tr r="O167" s="2"/>
      </tp>
      <tp t="s">
        <v>N/A</v>
        <stp/>
        <stp>VOLUME</stp>
        <stp>.NDX250620P21325</stp>
        <tr r="BF138" s="1"/>
      </tp>
      <tp t="s">
        <v>N/A</v>
        <stp/>
        <stp>VOLUME</stp>
        <stp>.NDX250620P20325</stp>
        <tr r="BF178" s="1"/>
      </tp>
      <tp>
        <v>14</v>
        <stp/>
        <stp>VOLUME</stp>
        <stp>.NDX250516P20525</stp>
        <tr r="BD170" s="1"/>
        <tr r="BD170" s="1"/>
      </tp>
      <tp t="s">
        <v>N/A</v>
        <stp/>
        <stp>VOLUME</stp>
        <stp>.NDX250523P21025</stp>
        <tr r="H151" s="2"/>
      </tp>
      <tp t="s">
        <v>N/A</v>
        <stp/>
        <stp>VOLUME</stp>
        <stp>.SPXC5580</stp>
        <tr r="K130" s="2"/>
      </tp>
      <tp t="s">
        <v>N/A</v>
        <stp/>
        <stp>VOLUME</stp>
        <stp>.NDX250815P20650</stp>
        <tr r="O166" s="2"/>
      </tp>
      <tp t="s">
        <v>N/A</v>
        <stp/>
        <stp>VOLUME</stp>
        <stp>.NDX250620P21350</stp>
        <tr r="BF137" s="1"/>
      </tp>
      <tp t="s">
        <v>N/A</v>
        <stp/>
        <stp>VOLUME</stp>
        <stp>.NDX250620P20350</stp>
        <tr r="BF177" s="1"/>
      </tp>
      <tp>
        <v>24</v>
        <stp/>
        <stp>VOLUME</stp>
        <stp>.NDX250516P20550</stp>
        <tr r="BD169" s="1"/>
        <tr r="BD169" s="1"/>
      </tp>
      <tp t="s">
        <v>N/A</v>
        <stp/>
        <stp>VOLUME</stp>
        <stp>.NDX250523P21050</stp>
        <tr r="H150" s="2"/>
      </tp>
      <tp t="s">
        <v>N/A</v>
        <stp/>
        <stp>VOLUME</stp>
        <stp>.NDX250523P20050</stp>
        <tr r="H190" s="2"/>
      </tp>
      <tp t="s">
        <v>N/A</v>
        <stp/>
        <stp>VOLUME</stp>
        <stp>.SPXP5580</stp>
        <tr r="K130" s="2"/>
      </tp>
      <tp t="s">
        <v>N/A</v>
        <stp/>
        <stp>VOLUME</stp>
        <stp>.SPXC5590</stp>
        <tr r="K129" s="2"/>
      </tp>
      <tp t="s">
        <v>N/A</v>
        <stp/>
        <stp>VOLUME</stp>
        <stp>.SPXP5590</stp>
        <tr r="K129" s="2"/>
      </tp>
      <tp t="s">
        <v>N/A</v>
        <stp/>
        <stp>VOLUME</stp>
        <stp>.NDX251121P21250</stp>
        <tr r="U142" s="2"/>
      </tp>
      <tp t="s">
        <v>N/A</v>
        <stp/>
        <stp>VOLUME</stp>
        <stp>.NDX251121P20250</stp>
        <tr r="U182" s="2"/>
      </tp>
      <tp t="s">
        <v>N/A</v>
        <stp/>
        <stp>VOLUME</stp>
        <stp>.NDX251017P20450</stp>
        <tr r="S174" s="2"/>
      </tp>
      <tp t="s">
        <v>N/A</v>
        <stp/>
        <stp>VOLUME</stp>
        <stp>.NDX250815P20675</stp>
        <tr r="O165" s="2"/>
      </tp>
      <tp t="s">
        <v>N/A</v>
        <stp/>
        <stp>VOLUME</stp>
        <stp>.NDX250620P20375</stp>
        <tr r="BF176" s="1"/>
      </tp>
      <tp>
        <v>17</v>
        <stp/>
        <stp>VOLUME</stp>
        <stp>.NDX250516P20575</stp>
        <tr r="BD168" s="1"/>
        <tr r="BD168" s="1"/>
      </tp>
      <tp t="s">
        <v>N/A</v>
        <stp/>
        <stp>VOLUME</stp>
        <stp>.NDX250523P21075</stp>
        <tr r="H149" s="2"/>
      </tp>
      <tp t="s">
        <v>N/A</v>
        <stp/>
        <stp>VOLUME</stp>
        <stp>.NDX250523P20075</stp>
        <tr r="H189" s="2"/>
      </tp>
      <tp t="s">
        <v>N/A</v>
        <stp/>
        <stp>VOLUME</stp>
        <stp>.NDX251017P20475</stp>
        <tr r="S173" s="2"/>
      </tp>
      <tp t="s">
        <v>N/A</v>
        <stp/>
        <stp>VOLUME</stp>
        <stp>.NDX251121P21275</stp>
        <tr r="U141" s="2"/>
      </tp>
      <tp t="s">
        <v>N/A</v>
        <stp/>
        <stp>VOLUME</stp>
        <stp>.NDX251121P20275</stp>
        <tr r="U181" s="2"/>
      </tp>
      <tp t="s">
        <v>151.74%</v>
        <stp/>
        <stp>IMPL_VOL</stp>
        <stp>.NDXP250512P20550</stp>
        <tr r="EM169" s="1"/>
      </tp>
      <tp t="s">
        <v>142.73%</v>
        <stp/>
        <stp>IMPL_VOL</stp>
        <stp>.NDXP250512P20575</stp>
        <tr r="EM168" s="1"/>
      </tp>
      <tp t="s">
        <v>96.95%</v>
        <stp/>
        <stp>IMPL_VOL</stp>
        <stp>.NDXP250512P20500</stp>
        <tr r="EM171" s="1"/>
      </tp>
      <tp t="s">
        <v>160.64%</v>
        <stp/>
        <stp>IMPL_VOL</stp>
        <stp>.NDXP250512P20525</stp>
        <tr r="EM170" s="1"/>
      </tp>
      <tp t="s">
        <v>N/A</v>
        <stp/>
        <stp>VOLUME</stp>
        <stp>.NDX250815C20625</stp>
        <tr r="O167" s="2"/>
      </tp>
      <tp t="s">
        <v>N/A</v>
        <stp/>
        <stp>VOLUME</stp>
        <stp>.NDX250620C21325</stp>
        <tr r="BE138" s="1"/>
      </tp>
      <tp t="s">
        <v>N/A</v>
        <stp/>
        <stp>VOLUME</stp>
        <stp>.NDX250620C20325</stp>
        <tr r="BE178" s="1"/>
      </tp>
      <tp>
        <v>1</v>
        <stp/>
        <stp>VOLUME</stp>
        <stp>.NDX250516C20525</stp>
        <tr r="BC170" s="1"/>
        <tr r="BC170" s="1"/>
      </tp>
      <tp t="s">
        <v>N/A</v>
        <stp/>
        <stp>VOLUME</stp>
        <stp>.NDX250523C21025</stp>
        <tr r="H151" s="2"/>
      </tp>
      <tp t="s">
        <v>N/A</v>
        <stp/>
        <stp>VOLUME</stp>
        <stp>.NDX251017C20425</stp>
        <tr r="S175" s="2"/>
      </tp>
      <tp t="s">
        <v>N/A</v>
        <stp/>
        <stp>VOLUME</stp>
        <stp>.NDX251121C21225</stp>
        <tr r="U143" s="2"/>
      </tp>
      <tp t="s">
        <v>N/A</v>
        <stp/>
        <stp>VOLUME</stp>
        <stp>.NDX251121C20225</stp>
        <tr r="U183" s="2"/>
      </tp>
      <tp t="s">
        <v>N/A</v>
        <stp/>
        <stp>VOLUME</stp>
        <stp>.NDX250815C20600</stp>
        <tr r="O168" s="2"/>
      </tp>
      <tp>
        <v>1</v>
        <stp/>
        <stp>VOLUME</stp>
        <stp>.NDX250620C21300</stp>
        <tr r="BE139" s="1"/>
        <tr r="BE139" s="1"/>
      </tp>
      <tp t="s">
        <v>N/A</v>
        <stp/>
        <stp>VOLUME</stp>
        <stp>.NDX250620C20300</stp>
        <tr r="BE179" s="1"/>
      </tp>
      <tp>
        <v>1</v>
        <stp/>
        <stp>VOLUME</stp>
        <stp>.NDX250516C20500</stp>
        <tr r="BC171" s="1"/>
        <tr r="BC171" s="1"/>
      </tp>
      <tp t="s">
        <v>N/A</v>
        <stp/>
        <stp>VOLUME</stp>
        <stp>.NDX250523C21000</stp>
        <tr r="H152" s="2"/>
      </tp>
      <tp t="s">
        <v>N/A</v>
        <stp/>
        <stp>VOLUME</stp>
        <stp>.NDX251121C21200</stp>
        <tr r="U144" s="2"/>
      </tp>
      <tp t="s">
        <v>N/A</v>
        <stp/>
        <stp>VOLUME</stp>
        <stp>.NDX251121C20200</stp>
        <tr r="U184" s="2"/>
      </tp>
      <tp t="s">
        <v>N/A</v>
        <stp/>
        <stp>VOLUME</stp>
        <stp>.NDX251017C20400</stp>
        <tr r="S176" s="2"/>
      </tp>
      <tp t="s">
        <v>N/A</v>
        <stp/>
        <stp>VOLUME</stp>
        <stp>.NDX251017C20475</stp>
        <tr r="S173" s="2"/>
      </tp>
      <tp t="s">
        <v>N/A</v>
        <stp/>
        <stp>VOLUME</stp>
        <stp>.NDX251121C21275</stp>
        <tr r="U141" s="2"/>
      </tp>
      <tp t="s">
        <v>N/A</v>
        <stp/>
        <stp>VOLUME</stp>
        <stp>.NDX251121C20275</stp>
        <tr r="U181" s="2"/>
      </tp>
      <tp t="s">
        <v>N/A</v>
        <stp/>
        <stp>VOLUME</stp>
        <stp>.NDX250815C20675</stp>
        <tr r="O165" s="2"/>
      </tp>
      <tp t="s">
        <v>N/A</v>
        <stp/>
        <stp>VOLUME</stp>
        <stp>.NDX250620C20375</stp>
        <tr r="BE176" s="1"/>
      </tp>
      <tp>
        <v>4</v>
        <stp/>
        <stp>VOLUME</stp>
        <stp>.NDX250516C20575</stp>
        <tr r="BC168" s="1"/>
        <tr r="BC168" s="1"/>
      </tp>
      <tp t="s">
        <v>N/A</v>
        <stp/>
        <stp>VOLUME</stp>
        <stp>.NDX250523C21075</stp>
        <tr r="H149" s="2"/>
      </tp>
      <tp t="s">
        <v>N/A</v>
        <stp/>
        <stp>VOLUME</stp>
        <stp>.NDX250523C20075</stp>
        <tr r="H189" s="2"/>
      </tp>
      <tp t="s">
        <v>N/A</v>
        <stp/>
        <stp>VOLUME</stp>
        <stp>.NDX251121C21250</stp>
        <tr r="U142" s="2"/>
      </tp>
      <tp t="s">
        <v>N/A</v>
        <stp/>
        <stp>VOLUME</stp>
        <stp>.NDX251121C20250</stp>
        <tr r="U182" s="2"/>
      </tp>
      <tp t="s">
        <v>N/A</v>
        <stp/>
        <stp>VOLUME</stp>
        <stp>.NDX251017C20450</stp>
        <tr r="S174" s="2"/>
      </tp>
      <tp t="s">
        <v>N/A</v>
        <stp/>
        <stp>VOLUME</stp>
        <stp>.NDX250815C20650</stp>
        <tr r="O166" s="2"/>
      </tp>
      <tp t="s">
        <v>N/A</v>
        <stp/>
        <stp>VOLUME</stp>
        <stp>.NDX250620C21350</stp>
        <tr r="BE137" s="1"/>
      </tp>
      <tp t="s">
        <v>N/A</v>
        <stp/>
        <stp>VOLUME</stp>
        <stp>.NDX250620C20350</stp>
        <tr r="BE177" s="1"/>
      </tp>
      <tp>
        <v>4</v>
        <stp/>
        <stp>VOLUME</stp>
        <stp>.NDX250516C20550</stp>
        <tr r="BC169" s="1"/>
        <tr r="BC169" s="1"/>
      </tp>
      <tp t="s">
        <v>N/A</v>
        <stp/>
        <stp>VOLUME</stp>
        <stp>.NDX250523C21050</stp>
        <tr r="H150" s="2"/>
      </tp>
      <tp t="s">
        <v>N/A</v>
        <stp/>
        <stp>VOLUME</stp>
        <stp>.NDX250523C20050</stp>
        <tr r="H190" s="2"/>
      </tp>
      <tp>
        <v>0.05</v>
        <stp/>
        <stp>DELTA</stp>
        <stp>.SPX250516C6020</stp>
        <tr r="CF85" s="1"/>
        <tr r="CF85" s="1"/>
      </tp>
      <tp>
        <v>-0.95</v>
        <stp/>
        <stp>DELTA</stp>
        <stp>.SPX250516P6020</stp>
        <tr r="CG85" s="1"/>
        <tr r="CG85" s="1"/>
      </tp>
      <tp>
        <v>0.06</v>
        <stp/>
        <stp>DELTA</stp>
        <stp>.SPX250516C6010</stp>
        <tr r="CF86" s="1"/>
        <tr r="CF86" s="1"/>
      </tp>
      <tp>
        <v>-0.93</v>
        <stp/>
        <stp>DELTA</stp>
        <stp>.SPX250516P6010</stp>
        <tr r="CG86" s="1"/>
        <tr r="CG86" s="1"/>
      </tp>
      <tp>
        <v>7.0000000000000007E-2</v>
        <stp/>
        <stp>DELTA</stp>
        <stp>.SPX250516C6000</stp>
        <tr r="CF87" s="1"/>
        <tr r="CF87" s="1"/>
      </tp>
      <tp>
        <v>-0.93</v>
        <stp/>
        <stp>DELTA</stp>
        <stp>.SPX250516P6000</stp>
        <tr r="CG87" s="1"/>
        <tr r="CG87" s="1"/>
      </tp>
      <tp t="s">
        <v>--</v>
        <stp/>
        <stp>IMPL_VOL</stp>
        <stp>.NDXP250512C20475</stp>
        <tr r="EL172" s="1"/>
      </tp>
      <tp t="s">
        <v>--</v>
        <stp/>
        <stp>IMPL_VOL</stp>
        <stp>.NDXP250512C20450</stp>
        <tr r="EL173" s="1"/>
      </tp>
      <tp t="s">
        <v>--</v>
        <stp/>
        <stp>IMPL_VOL</stp>
        <stp>.NDXP250512C20425</stp>
        <tr r="EL174" s="1"/>
      </tp>
      <tp t="s">
        <v>--</v>
        <stp/>
        <stp>IMPL_VOL</stp>
        <stp>.NDXP250512C20400</stp>
        <tr r="EL175" s="1"/>
      </tp>
      <tp t="s">
        <v>N/A</v>
        <stp/>
        <stp>VOLUME</stp>
        <stp>.NDX251121P21300</stp>
        <tr r="U140" s="2"/>
      </tp>
      <tp t="s">
        <v>N/A</v>
        <stp/>
        <stp>VOLUME</stp>
        <stp>.NDX251121P20300</stp>
        <tr r="U180" s="2"/>
      </tp>
      <tp>
        <v>1</v>
        <stp/>
        <stp>VOLUME</stp>
        <stp>.NDX251017P20500</stp>
        <tr r="S172" s="2"/>
        <tr r="S172" s="2"/>
      </tp>
      <tp t="s">
        <v>N/A</v>
        <stp/>
        <stp>VOLUME</stp>
        <stp>.NDX250815P20700</stp>
        <tr r="O164" s="2"/>
      </tp>
      <tp t="s">
        <v>N/A</v>
        <stp/>
        <stp>VOLUME</stp>
        <stp>.NDX250620P21200</stp>
        <tr r="BF143" s="1"/>
      </tp>
      <tp>
        <v>1</v>
        <stp/>
        <stp>VOLUME</stp>
        <stp>.NDX250620P20200</stp>
        <tr r="BF183" s="1"/>
        <tr r="BF183" s="1"/>
      </tp>
      <tp>
        <v>11</v>
        <stp/>
        <stp>VOLUME</stp>
        <stp>.NDX250516P20400</stp>
        <tr r="BD175" s="1"/>
        <tr r="BD175" s="1"/>
      </tp>
      <tp t="s">
        <v>N/A</v>
        <stp/>
        <stp>VOLUME</stp>
        <stp>.NDX250523P21100</stp>
        <tr r="H148" s="2"/>
      </tp>
      <tp t="s">
        <v>N/A</v>
        <stp/>
        <stp>VOLUME</stp>
        <stp>.NDX250523P20100</stp>
        <tr r="H188" s="2"/>
      </tp>
      <tp t="s">
        <v>N/A</v>
        <stp/>
        <stp>VOLUME</stp>
        <stp>.NDX251017P20525</stp>
        <tr r="S171" s="2"/>
      </tp>
      <tp t="s">
        <v>N/A</v>
        <stp/>
        <stp>VOLUME</stp>
        <stp>.NDX251121P21325</stp>
        <tr r="U139" s="2"/>
      </tp>
      <tp t="s">
        <v>N/A</v>
        <stp/>
        <stp>VOLUME</stp>
        <stp>.NDX251121P20325</stp>
        <tr r="U179" s="2"/>
      </tp>
      <tp t="s">
        <v>N/A</v>
        <stp/>
        <stp>VOLUME</stp>
        <stp>.NDX250815P20725</stp>
        <tr r="O163" s="2"/>
      </tp>
      <tp t="s">
        <v>N/A</v>
        <stp/>
        <stp>VOLUME</stp>
        <stp>.NDX250620P21225</stp>
        <tr r="BF142" s="1"/>
      </tp>
      <tp t="s">
        <v>N/A</v>
        <stp/>
        <stp>VOLUME</stp>
        <stp>.NDX250620P20225</stp>
        <tr r="BF182" s="1"/>
      </tp>
      <tp>
        <v>17</v>
        <stp/>
        <stp>VOLUME</stp>
        <stp>.NDX250516P20425</stp>
        <tr r="BD174" s="1"/>
        <tr r="BD174" s="1"/>
      </tp>
      <tp t="s">
        <v>N/A</v>
        <stp/>
        <stp>VOLUME</stp>
        <stp>.NDX250523P21125</stp>
        <tr r="H147" s="2"/>
      </tp>
      <tp t="s">
        <v>N/A</v>
        <stp/>
        <stp>VOLUME</stp>
        <stp>.NDX250523P20125</stp>
        <tr r="H187" s="2"/>
      </tp>
      <tp t="s">
        <v>N/A</v>
        <stp/>
        <stp>VOLUME</stp>
        <stp>.NDX250815P20750</stp>
        <tr r="O162" s="2"/>
      </tp>
      <tp t="s">
        <v>N/A</v>
        <stp/>
        <stp>VOLUME</stp>
        <stp>.NDX250620P21250</stp>
        <tr r="BF141" s="1"/>
      </tp>
      <tp t="s">
        <v>N/A</v>
        <stp/>
        <stp>VOLUME</stp>
        <stp>.NDX250620P20250</stp>
        <tr r="BF181" s="1"/>
      </tp>
      <tp>
        <v>4</v>
        <stp/>
        <stp>VOLUME</stp>
        <stp>.NDX250516P20450</stp>
        <tr r="BD173" s="1"/>
        <tr r="BD173" s="1"/>
      </tp>
      <tp t="s">
        <v>N/A</v>
        <stp/>
        <stp>VOLUME</stp>
        <stp>.NDX250523P21150</stp>
        <tr r="H146" s="2"/>
      </tp>
      <tp t="s">
        <v>N/A</v>
        <stp/>
        <stp>VOLUME</stp>
        <stp>.NDX250523P20150</stp>
        <tr r="H186" s="2"/>
      </tp>
      <tp t="s">
        <v>N/A</v>
        <stp/>
        <stp>VOLUME</stp>
        <stp>.NDX251121P21350</stp>
        <tr r="U138" s="2"/>
      </tp>
      <tp t="s">
        <v>N/A</v>
        <stp/>
        <stp>VOLUME</stp>
        <stp>.NDX251121P20350</stp>
        <tr r="U178" s="2"/>
      </tp>
      <tp t="s">
        <v>N/A</v>
        <stp/>
        <stp>VOLUME</stp>
        <stp>.NDX251017P20550</stp>
        <tr r="S170" s="2"/>
      </tp>
      <tp t="s">
        <v>N/A</v>
        <stp/>
        <stp>VOLUME</stp>
        <stp>.NDX250815P20775</stp>
        <tr r="O161" s="2"/>
      </tp>
      <tp t="s">
        <v>N/A</v>
        <stp/>
        <stp>VOLUME</stp>
        <stp>.NDX250620P21275</stp>
        <tr r="BF140" s="1"/>
      </tp>
      <tp t="s">
        <v>N/A</v>
        <stp/>
        <stp>VOLUME</stp>
        <stp>.NDX250620P20275</stp>
        <tr r="BF180" s="1"/>
      </tp>
      <tp>
        <v>5</v>
        <stp/>
        <stp>VOLUME</stp>
        <stp>.NDX250516P20475</stp>
        <tr r="BD172" s="1"/>
        <tr r="BD172" s="1"/>
      </tp>
      <tp t="s">
        <v>N/A</v>
        <stp/>
        <stp>VOLUME</stp>
        <stp>.NDX250523P21175</stp>
        <tr r="H145" s="2"/>
      </tp>
      <tp t="s">
        <v>N/A</v>
        <stp/>
        <stp>VOLUME</stp>
        <stp>.NDX250523P20175</stp>
        <tr r="H185" s="2"/>
      </tp>
      <tp t="s">
        <v>N/A</v>
        <stp/>
        <stp>VOLUME</stp>
        <stp>.NDX251017P20575</stp>
        <tr r="S169" s="2"/>
      </tp>
      <tp t="s">
        <v>N/A</v>
        <stp/>
        <stp>VOLUME</stp>
        <stp>.NDX251121P20375</stp>
        <tr r="U177" s="2"/>
      </tp>
      <tp t="s">
        <v>186.84%</v>
        <stp/>
        <stp>IMPL_VOL</stp>
        <stp>.NDXP250512P20450</stp>
        <tr r="EM173" s="1"/>
      </tp>
      <tp t="s">
        <v>178.18%</v>
        <stp/>
        <stp>IMPL_VOL</stp>
        <stp>.NDXP250512P20475</stp>
        <tr r="EM172" s="1"/>
      </tp>
      <tp t="s">
        <v>176.49%</v>
        <stp/>
        <stp>IMPL_VOL</stp>
        <stp>.NDXP250512P20400</stp>
        <tr r="EM175" s="1"/>
      </tp>
      <tp t="s">
        <v>195.43%</v>
        <stp/>
        <stp>IMPL_VOL</stp>
        <stp>.NDXP250512P20425</stp>
        <tr r="EM174" s="1"/>
      </tp>
      <tp t="s">
        <v>N/A</v>
        <stp/>
        <stp>VOLUME</stp>
        <stp>.NDX250815C20725</stp>
        <tr r="O163" s="2"/>
      </tp>
      <tp t="s">
        <v>N/A</v>
        <stp/>
        <stp>VOLUME</stp>
        <stp>.NDX250620C21225</stp>
        <tr r="BE142" s="1"/>
      </tp>
      <tp t="s">
        <v>N/A</v>
        <stp/>
        <stp>VOLUME</stp>
        <stp>.NDX250620C20225</stp>
        <tr r="BE182" s="1"/>
      </tp>
      <tp>
        <v>3</v>
        <stp/>
        <stp>VOLUME</stp>
        <stp>.NDX250516C20425</stp>
        <tr r="BC174" s="1"/>
        <tr r="BC174" s="1"/>
      </tp>
      <tp t="s">
        <v>N/A</v>
        <stp/>
        <stp>VOLUME</stp>
        <stp>.NDX250523C21125</stp>
        <tr r="H147" s="2"/>
      </tp>
      <tp t="s">
        <v>N/A</v>
        <stp/>
        <stp>VOLUME</stp>
        <stp>.NDX250523C20125</stp>
        <tr r="H187" s="2"/>
      </tp>
      <tp t="s">
        <v>N/A</v>
        <stp/>
        <stp>VOLUME</stp>
        <stp>.NDX251017C20525</stp>
        <tr r="S171" s="2"/>
      </tp>
      <tp t="s">
        <v>N/A</v>
        <stp/>
        <stp>VOLUME</stp>
        <stp>.NDX251121C21325</stp>
        <tr r="U139" s="2"/>
      </tp>
      <tp t="s">
        <v>N/A</v>
        <stp/>
        <stp>VOLUME</stp>
        <stp>.NDX251121C20325</stp>
        <tr r="U179" s="2"/>
      </tp>
      <tp>
        <v>3</v>
        <stp/>
        <stp>VOLUME</stp>
        <stp>.NDX250815C20700</stp>
        <tr r="O164" s="2"/>
        <tr r="O164" s="2"/>
      </tp>
      <tp t="s">
        <v>N/A</v>
        <stp/>
        <stp>VOLUME</stp>
        <stp>.NDX250620C21200</stp>
        <tr r="BE143" s="1"/>
      </tp>
      <tp>
        <v>1</v>
        <stp/>
        <stp>VOLUME</stp>
        <stp>.NDX250620C20200</stp>
        <tr r="BE183" s="1"/>
        <tr r="BE183" s="1"/>
      </tp>
      <tp>
        <v>9</v>
        <stp/>
        <stp>VOLUME</stp>
        <stp>.NDX250516C20400</stp>
        <tr r="BC175" s="1"/>
        <tr r="BC175" s="1"/>
      </tp>
      <tp t="s">
        <v>N/A</v>
        <stp/>
        <stp>VOLUME</stp>
        <stp>.NDX250523C21100</stp>
        <tr r="H148" s="2"/>
      </tp>
      <tp t="s">
        <v>N/A</v>
        <stp/>
        <stp>VOLUME</stp>
        <stp>.NDX250523C20100</stp>
        <tr r="H188" s="2"/>
      </tp>
      <tp t="s">
        <v>N/A</v>
        <stp/>
        <stp>VOLUME</stp>
        <stp>.NDX251121C21300</stp>
        <tr r="U140" s="2"/>
      </tp>
      <tp t="s">
        <v>N/A</v>
        <stp/>
        <stp>VOLUME</stp>
        <stp>.NDX251121C20300</stp>
        <tr r="U180" s="2"/>
      </tp>
      <tp t="s">
        <v>N/A</v>
        <stp/>
        <stp>VOLUME</stp>
        <stp>.NDX251017C20500</stp>
        <tr r="S172" s="2"/>
      </tp>
      <tp t="s">
        <v>N/A</v>
        <stp/>
        <stp>VOLUME</stp>
        <stp>.NDX251017C20575</stp>
        <tr r="S169" s="2"/>
      </tp>
      <tp t="s">
        <v>N/A</v>
        <stp/>
        <stp>VOLUME</stp>
        <stp>.NDX251121C20375</stp>
        <tr r="U177" s="2"/>
      </tp>
      <tp t="s">
        <v>N/A</v>
        <stp/>
        <stp>VOLUME</stp>
        <stp>.NDX250815C20775</stp>
        <tr r="O161" s="2"/>
      </tp>
      <tp t="s">
        <v>N/A</v>
        <stp/>
        <stp>VOLUME</stp>
        <stp>.NDX250620C21275</stp>
        <tr r="BE140" s="1"/>
      </tp>
      <tp t="s">
        <v>N/A</v>
        <stp/>
        <stp>VOLUME</stp>
        <stp>.NDX250620C20275</stp>
        <tr r="BE180" s="1"/>
      </tp>
      <tp>
        <v>2</v>
        <stp/>
        <stp>VOLUME</stp>
        <stp>.NDX250516C20475</stp>
        <tr r="BC172" s="1"/>
        <tr r="BC172" s="1"/>
      </tp>
      <tp t="s">
        <v>N/A</v>
        <stp/>
        <stp>VOLUME</stp>
        <stp>.NDX250523C21175</stp>
        <tr r="H145" s="2"/>
      </tp>
      <tp t="s">
        <v>N/A</v>
        <stp/>
        <stp>VOLUME</stp>
        <stp>.NDX250523C20175</stp>
        <tr r="H185" s="2"/>
      </tp>
      <tp t="s">
        <v>N/A</v>
        <stp/>
        <stp>VOLUME</stp>
        <stp>.NDX251121C21350</stp>
        <tr r="U138" s="2"/>
      </tp>
      <tp t="s">
        <v>N/A</v>
        <stp/>
        <stp>VOLUME</stp>
        <stp>.NDX251121C20350</stp>
        <tr r="U178" s="2"/>
      </tp>
      <tp t="s">
        <v>N/A</v>
        <stp/>
        <stp>VOLUME</stp>
        <stp>.NDX251017C20550</stp>
        <tr r="S170" s="2"/>
      </tp>
      <tp t="s">
        <v>N/A</v>
        <stp/>
        <stp>VOLUME</stp>
        <stp>.NDX250815C20750</stp>
        <tr r="O162" s="2"/>
      </tp>
      <tp>
        <v>6</v>
        <stp/>
        <stp>VOLUME</stp>
        <stp>.NDX250620C21250</stp>
        <tr r="BE141" s="1"/>
        <tr r="BE141" s="1"/>
      </tp>
      <tp>
        <v>1</v>
        <stp/>
        <stp>VOLUME</stp>
        <stp>.NDX250620C20250</stp>
        <tr r="BE181" s="1"/>
        <tr r="BE181" s="1"/>
      </tp>
      <tp>
        <v>1</v>
        <stp/>
        <stp>VOLUME</stp>
        <stp>.NDX250516C20450</stp>
        <tr r="BC173" s="1"/>
        <tr r="BC173" s="1"/>
      </tp>
      <tp t="s">
        <v>N/A</v>
        <stp/>
        <stp>VOLUME</stp>
        <stp>.NDX250523C21150</stp>
        <tr r="H146" s="2"/>
      </tp>
      <tp t="s">
        <v>N/A</v>
        <stp/>
        <stp>VOLUME</stp>
        <stp>.NDX250523C20150</stp>
        <tr r="H186" s="2"/>
      </tp>
      <tp t="s">
        <v>N/A</v>
        <stp/>
        <stp>VOLUME</stp>
        <stp>.SPXC5740</stp>
        <tr r="K114" s="2"/>
      </tp>
      <tp t="s">
        <v>N/A</v>
        <stp/>
        <stp>VOLUME</stp>
        <stp>.SPXP5740</stp>
        <tr r="K114" s="2"/>
      </tp>
      <tp t="s">
        <v>--</v>
        <stp/>
        <stp>IMPL_VOL</stp>
        <stp>.NDXP250512C20775</stp>
        <tr r="EL160" s="1"/>
      </tp>
      <tp t="s">
        <v>N/A</v>
        <stp/>
        <stp>VOLUME</stp>
        <stp>.SPXC5750</stp>
        <tr r="K113" s="2"/>
      </tp>
      <tp t="s">
        <v>N/A</v>
        <stp/>
        <stp>VOLUME</stp>
        <stp>.SPXP5750</stp>
        <tr r="K113" s="2"/>
      </tp>
      <tp t="s">
        <v>N/A</v>
        <stp/>
        <stp>VOLUME</stp>
        <stp>.SPXC5760</stp>
        <tr r="K112" s="2"/>
      </tp>
      <tp t="s">
        <v>N/A</v>
        <stp/>
        <stp>VOLUME</stp>
        <stp>.SPXP5760</stp>
        <tr r="K112" s="2"/>
      </tp>
      <tp t="s">
        <v>--</v>
        <stp/>
        <stp>IMPL_VOL</stp>
        <stp>.NDXP250512C20750</stp>
        <tr r="EL161" s="1"/>
      </tp>
      <tp t="s">
        <v>N/A</v>
        <stp/>
        <stp>VOLUME</stp>
        <stp>.SPXC5770</stp>
        <tr r="K111" s="2"/>
      </tp>
      <tp t="s">
        <v>N/A</v>
        <stp/>
        <stp>VOLUME</stp>
        <stp>.SPXP5770</stp>
        <tr r="K111" s="2"/>
      </tp>
      <tp t="s">
        <v>N/A</v>
        <stp/>
        <stp>VOLUME</stp>
        <stp>.SPXC5700</stp>
        <tr r="K118" s="2"/>
      </tp>
      <tp t="s">
        <v>N/A</v>
        <stp/>
        <stp>VOLUME</stp>
        <stp>.SPXP5700</stp>
        <tr r="K118" s="2"/>
      </tp>
      <tp t="s">
        <v>N/A</v>
        <stp/>
        <stp>VOLUME</stp>
        <stp>.SPXC5710</stp>
        <tr r="K117" s="2"/>
      </tp>
      <tp t="s">
        <v>N/A</v>
        <stp/>
        <stp>VOLUME</stp>
        <stp>.SPXP5710</stp>
        <tr r="K117" s="2"/>
      </tp>
      <tp t="s">
        <v>--</v>
        <stp/>
        <stp>IMPL_VOL</stp>
        <stp>.NDXP250512C20725</stp>
        <tr r="EL162" s="1"/>
      </tp>
      <tp t="s">
        <v>N/A</v>
        <stp/>
        <stp>VOLUME</stp>
        <stp>.SPXC5720</stp>
        <tr r="K116" s="2"/>
      </tp>
      <tp t="s">
        <v>N/A</v>
        <stp/>
        <stp>VOLUME</stp>
        <stp>.SPXP5720</stp>
        <tr r="K116" s="2"/>
      </tp>
      <tp t="s">
        <v>N/A</v>
        <stp/>
        <stp>VOLUME</stp>
        <stp>.SPXC5730</stp>
        <tr r="K115" s="2"/>
      </tp>
      <tp t="s">
        <v>N/A</v>
        <stp/>
        <stp>VOLUME</stp>
        <stp>.SPXP5730</stp>
        <tr r="K115" s="2"/>
      </tp>
      <tp t="s">
        <v>--</v>
        <stp/>
        <stp>IMPL_VOL</stp>
        <stp>.NDXP250512C20700</stp>
        <tr r="EL163" s="1"/>
      </tp>
      <tp t="s">
        <v>N/A</v>
        <stp/>
        <stp>VOLUME</stp>
        <stp>.NDX251219P20800</stp>
        <tr r="W160" s="2"/>
      </tp>
      <tp t="s">
        <v>N/A</v>
        <stp/>
        <stp>VOLUME</stp>
        <stp>.NDX251121P21000</stp>
        <tr r="U152" s="2"/>
      </tp>
      <tp>
        <v>2</v>
        <stp/>
        <stp>VOLUME</stp>
        <stp>.NDX251017P20600</stp>
        <tr r="S168" s="2"/>
        <tr r="S168" s="2"/>
      </tp>
      <tp t="s">
        <v>N/A</v>
        <stp/>
        <stp>VOLUME</stp>
        <stp>.NDX250919P20800</stp>
        <tr r="Q160" s="2"/>
      </tp>
      <tp t="s">
        <v>N/A</v>
        <stp/>
        <stp>VOLUME</stp>
        <stp>.NDX250815P20400</stp>
        <tr r="O176" s="2"/>
      </tp>
      <tp>
        <v>6</v>
        <stp/>
        <stp>VOLUME</stp>
        <stp>.NDX250718P20900</stp>
        <tr r="M156" s="2"/>
        <tr r="M156" s="2"/>
      </tp>
      <tp>
        <v>3</v>
        <stp/>
        <stp>VOLUME</stp>
        <stp>.NDX250620P21100</stp>
        <tr r="BF147" s="1"/>
        <tr r="BF147" s="1"/>
      </tp>
      <tp t="s">
        <v>N/A</v>
        <stp/>
        <stp>VOLUME</stp>
        <stp>.NDX250620P20100</stp>
        <tr r="BF187" s="1"/>
      </tp>
      <tp>
        <v>26</v>
        <stp/>
        <stp>VOLUME</stp>
        <stp>.NDX250516P20700</stp>
        <tr r="BD163" s="1"/>
        <tr r="BD163" s="1"/>
      </tp>
      <tp t="s">
        <v>N/A</v>
        <stp/>
        <stp>VOLUME</stp>
        <stp>.NDX250523P21200</stp>
        <tr r="H144" s="2"/>
      </tp>
      <tp t="s">
        <v>N/A</v>
        <stp/>
        <stp>VOLUME</stp>
        <stp>.NDX250523P20200</stp>
        <tr r="H184" s="2"/>
      </tp>
      <tp t="s">
        <v>N/A</v>
        <stp/>
        <stp>VOLUME</stp>
        <stp>.NDX251219P20825</stp>
        <tr r="W159" s="2"/>
      </tp>
      <tp t="s">
        <v>N/A</v>
        <stp/>
        <stp>VOLUME</stp>
        <stp>.NDX251017P20625</stp>
        <tr r="S167" s="2"/>
      </tp>
      <tp t="s">
        <v>N/A</v>
        <stp/>
        <stp>VOLUME</stp>
        <stp>.NDX251121P21025</stp>
        <tr r="U151" s="2"/>
      </tp>
      <tp t="s">
        <v>N/A</v>
        <stp/>
        <stp>VOLUME</stp>
        <stp>.NDX250815P20425</stp>
        <tr r="O175" s="2"/>
      </tp>
      <tp t="s">
        <v>N/A</v>
        <stp/>
        <stp>VOLUME</stp>
        <stp>.NDX250919P20825</stp>
        <tr r="Q159" s="2"/>
      </tp>
      <tp t="s">
        <v>N/A</v>
        <stp/>
        <stp>VOLUME</stp>
        <stp>.NDX250620P21125</stp>
        <tr r="BF146" s="1"/>
      </tp>
      <tp>
        <v>5</v>
        <stp/>
        <stp>VOLUME</stp>
        <stp>.NDX250620P20125</stp>
        <tr r="BF186" s="1"/>
        <tr r="BF186" s="1"/>
      </tp>
      <tp t="s">
        <v>N/A</v>
        <stp/>
        <stp>VOLUME</stp>
        <stp>.NDX250718P20925</stp>
        <tr r="M155" s="2"/>
      </tp>
      <tp>
        <v>17</v>
        <stp/>
        <stp>VOLUME</stp>
        <stp>.NDX250516P20725</stp>
        <tr r="BD162" s="1"/>
        <tr r="BD162" s="1"/>
      </tp>
      <tp t="s">
        <v>N/A</v>
        <stp/>
        <stp>VOLUME</stp>
        <stp>.NDX250523P21225</stp>
        <tr r="H143" s="2"/>
      </tp>
      <tp t="s">
        <v>N/A</v>
        <stp/>
        <stp>VOLUME</stp>
        <stp>.NDX250523P20225</stp>
        <tr r="H183" s="2"/>
      </tp>
      <tp t="s">
        <v>N/A</v>
        <stp/>
        <stp>VOLUME</stp>
        <stp>.SPXC5780</stp>
        <tr r="K110" s="2"/>
      </tp>
      <tp t="s">
        <v>N/A</v>
        <stp/>
        <stp>VOLUME</stp>
        <stp>.NDX250919P20850</stp>
        <tr r="Q158" s="2"/>
      </tp>
      <tp t="s">
        <v>N/A</v>
        <stp/>
        <stp>VOLUME</stp>
        <stp>.NDX250815P20450</stp>
        <tr r="O174" s="2"/>
      </tp>
      <tp t="s">
        <v>N/A</v>
        <stp/>
        <stp>VOLUME</stp>
        <stp>.NDX250718P20950</stp>
        <tr r="M154" s="2"/>
      </tp>
      <tp t="s">
        <v>N/A</v>
        <stp/>
        <stp>VOLUME</stp>
        <stp>.NDX250620P21150</stp>
        <tr r="BF145" s="1"/>
      </tp>
      <tp t="s">
        <v>N/A</v>
        <stp/>
        <stp>VOLUME</stp>
        <stp>.NDX250620P20150</stp>
        <tr r="BF185" s="1"/>
      </tp>
      <tp>
        <v>10</v>
        <stp/>
        <stp>VOLUME</stp>
        <stp>.NDX250516P20750</stp>
        <tr r="BD161" s="1"/>
        <tr r="BD161" s="1"/>
      </tp>
      <tp t="s">
        <v>N/A</v>
        <stp/>
        <stp>VOLUME</stp>
        <stp>.NDX250523P21250</stp>
        <tr r="H142" s="2"/>
      </tp>
      <tp t="s">
        <v>N/A</v>
        <stp/>
        <stp>VOLUME</stp>
        <stp>.NDX250523P20250</stp>
        <tr r="H182" s="2"/>
      </tp>
      <tp t="s">
        <v>N/A</v>
        <stp/>
        <stp>VOLUME</stp>
        <stp>.SPXP5780</stp>
        <tr r="K110" s="2"/>
      </tp>
      <tp t="s">
        <v>N/A</v>
        <stp/>
        <stp>VOLUME</stp>
        <stp>.SPXC5790</stp>
        <tr r="K109" s="2"/>
      </tp>
      <tp t="s">
        <v>N/A</v>
        <stp/>
        <stp>VOLUME</stp>
        <stp>.SPXP5790</stp>
        <tr r="K109" s="2"/>
      </tp>
      <tp t="s">
        <v>N/A</v>
        <stp/>
        <stp>VOLUME</stp>
        <stp>.NDX251219P20850</stp>
        <tr r="W158" s="2"/>
      </tp>
      <tp t="s">
        <v>N/A</v>
        <stp/>
        <stp>VOLUME</stp>
        <stp>.NDX251121P21050</stp>
        <tr r="U150" s="2"/>
      </tp>
      <tp t="s">
        <v>N/A</v>
        <stp/>
        <stp>VOLUME</stp>
        <stp>.NDX251121P20050</stp>
        <tr r="U190" s="2"/>
      </tp>
      <tp t="s">
        <v>N/A</v>
        <stp/>
        <stp>VOLUME</stp>
        <stp>.NDX251017P20650</stp>
        <tr r="S166" s="2"/>
      </tp>
      <tp t="s">
        <v>N/A</v>
        <stp/>
        <stp>VOLUME</stp>
        <stp>.NDX250815P20475</stp>
        <tr r="O173" s="2"/>
      </tp>
      <tp t="s">
        <v>N/A</v>
        <stp/>
        <stp>VOLUME</stp>
        <stp>.NDX250919P20875</stp>
        <tr r="Q157" s="2"/>
      </tp>
      <tp t="s">
        <v>N/A</v>
        <stp/>
        <stp>VOLUME</stp>
        <stp>.NDX250620P21175</stp>
        <tr r="BF144" s="1"/>
      </tp>
      <tp t="s">
        <v>N/A</v>
        <stp/>
        <stp>VOLUME</stp>
        <stp>.NDX250620P20175</stp>
        <tr r="BF184" s="1"/>
      </tp>
      <tp t="s">
        <v>N/A</v>
        <stp/>
        <stp>VOLUME</stp>
        <stp>.NDX250718P20975</stp>
        <tr r="M153" s="2"/>
      </tp>
      <tp>
        <v>23</v>
        <stp/>
        <stp>VOLUME</stp>
        <stp>.NDX250516P20775</stp>
        <tr r="BD160" s="1"/>
        <tr r="BD160" s="1"/>
      </tp>
      <tp t="s">
        <v>N/A</v>
        <stp/>
        <stp>VOLUME</stp>
        <stp>.NDX250523P21275</stp>
        <tr r="H141" s="2"/>
      </tp>
      <tp t="s">
        <v>N/A</v>
        <stp/>
        <stp>VOLUME</stp>
        <stp>.NDX250523P20275</stp>
        <tr r="H181" s="2"/>
      </tp>
      <tp t="s">
        <v>N/A</v>
        <stp/>
        <stp>VOLUME</stp>
        <stp>.NDX251219P20875</stp>
        <tr r="W157" s="2"/>
      </tp>
      <tp t="s">
        <v>N/A</v>
        <stp/>
        <stp>VOLUME</stp>
        <stp>.NDX251017P20675</stp>
        <tr r="S165" s="2"/>
      </tp>
      <tp t="s">
        <v>N/A</v>
        <stp/>
        <stp>VOLUME</stp>
        <stp>.NDX251121P21075</stp>
        <tr r="U149" s="2"/>
      </tp>
      <tp t="s">
        <v>N/A</v>
        <stp/>
        <stp>VOLUME</stp>
        <stp>.NDX251121P20075</stp>
        <tr r="U189" s="2"/>
      </tp>
      <tp t="s">
        <v>32.96%</v>
        <stp/>
        <stp>IMPL_VOL</stp>
        <stp>.NDXP250512P20750</stp>
        <tr r="EM161" s="1"/>
      </tp>
      <tp t="s">
        <v>64.89%</v>
        <stp/>
        <stp>IMPL_VOL</stp>
        <stp>.NDXP250512P20775</stp>
        <tr r="EM160" s="1"/>
      </tp>
      <tp t="s">
        <v>44.19%</v>
        <stp/>
        <stp>IMPL_VOL</stp>
        <stp>.NDXP250512P20700</stp>
        <tr r="EM163" s="1"/>
      </tp>
      <tp t="s">
        <v>77.93%</v>
        <stp/>
        <stp>IMPL_VOL</stp>
        <stp>.NDXP250512P20725</stp>
        <tr r="EM162" s="1"/>
      </tp>
      <tp t="s">
        <v>N/A</v>
        <stp/>
        <stp>VOLUME</stp>
        <stp>.NDX250815C20425</stp>
        <tr r="O175" s="2"/>
      </tp>
      <tp t="s">
        <v>N/A</v>
        <stp/>
        <stp>VOLUME</stp>
        <stp>.NDX250919C20825</stp>
        <tr r="Q159" s="2"/>
      </tp>
      <tp>
        <v>1</v>
        <stp/>
        <stp>VOLUME</stp>
        <stp>.NDX250620C21125</stp>
        <tr r="BE146" s="1"/>
        <tr r="BE146" s="1"/>
      </tp>
      <tp>
        <v>5</v>
        <stp/>
        <stp>VOLUME</stp>
        <stp>.NDX250620C20125</stp>
        <tr r="BE186" s="1"/>
        <tr r="BE186" s="1"/>
      </tp>
      <tp t="s">
        <v>N/A</v>
        <stp/>
        <stp>VOLUME</stp>
        <stp>.NDX250718C20925</stp>
        <tr r="M155" s="2"/>
      </tp>
      <tp>
        <v>40</v>
        <stp/>
        <stp>VOLUME</stp>
        <stp>.NDX250516C20725</stp>
        <tr r="BC162" s="1"/>
        <tr r="BC162" s="1"/>
      </tp>
      <tp t="s">
        <v>N/A</v>
        <stp/>
        <stp>VOLUME</stp>
        <stp>.NDX250523C21225</stp>
        <tr r="H143" s="2"/>
      </tp>
      <tp t="s">
        <v>N/A</v>
        <stp/>
        <stp>VOLUME</stp>
        <stp>.NDX250523C20225</stp>
        <tr r="H183" s="2"/>
      </tp>
      <tp t="s">
        <v>N/A</v>
        <stp/>
        <stp>VOLUME</stp>
        <stp>.NDX251219C20825</stp>
        <tr r="W159" s="2"/>
      </tp>
      <tp t="s">
        <v>N/A</v>
        <stp/>
        <stp>VOLUME</stp>
        <stp>.NDX251017C20625</stp>
        <tr r="S167" s="2"/>
      </tp>
      <tp t="s">
        <v>N/A</v>
        <stp/>
        <stp>VOLUME</stp>
        <stp>.NDX251121C21025</stp>
        <tr r="U151" s="2"/>
      </tp>
      <tp>
        <v>2</v>
        <stp/>
        <stp>VOLUME</stp>
        <stp>.NDX250919C20800</stp>
        <tr r="Q160" s="2"/>
        <tr r="Q160" s="2"/>
      </tp>
      <tp>
        <v>2</v>
        <stp/>
        <stp>VOLUME</stp>
        <stp>.NDX250815C20400</stp>
        <tr r="O176" s="2"/>
        <tr r="O176" s="2"/>
      </tp>
      <tp>
        <v>11</v>
        <stp/>
        <stp>VOLUME</stp>
        <stp>.NDX250718C20900</stp>
        <tr r="M156" s="2"/>
        <tr r="M156" s="2"/>
      </tp>
      <tp>
        <v>3</v>
        <stp/>
        <stp>VOLUME</stp>
        <stp>.NDX250620C21100</stp>
        <tr r="BE147" s="1"/>
        <tr r="BE147" s="1"/>
      </tp>
      <tp>
        <v>1</v>
        <stp/>
        <stp>VOLUME</stp>
        <stp>.NDX250620C20100</stp>
        <tr r="BE187" s="1"/>
        <tr r="BE187" s="1"/>
      </tp>
      <tp>
        <v>68</v>
        <stp/>
        <stp>VOLUME</stp>
        <stp>.NDX250516C20700</stp>
        <tr r="BC163" s="1"/>
        <tr r="BC163" s="1"/>
      </tp>
      <tp t="s">
        <v>N/A</v>
        <stp/>
        <stp>VOLUME</stp>
        <stp>.NDX250523C21200</stp>
        <tr r="H144" s="2"/>
      </tp>
      <tp t="s">
        <v>N/A</v>
        <stp/>
        <stp>VOLUME</stp>
        <stp>.NDX250523C20200</stp>
        <tr r="H184" s="2"/>
      </tp>
      <tp t="s">
        <v>N/A</v>
        <stp/>
        <stp>VOLUME</stp>
        <stp>.NDX251219C20800</stp>
        <tr r="W160" s="2"/>
      </tp>
      <tp>
        <v>1</v>
        <stp/>
        <stp>VOLUME</stp>
        <stp>.NDX251121C21000</stp>
        <tr r="U152" s="2"/>
        <tr r="U152" s="2"/>
      </tp>
      <tp t="s">
        <v>N/A</v>
        <stp/>
        <stp>VOLUME</stp>
        <stp>.NDX251017C20600</stp>
        <tr r="S168" s="2"/>
      </tp>
      <tp t="s">
        <v>N/A</v>
        <stp/>
        <stp>VOLUME</stp>
        <stp>.NDX251219C20875</stp>
        <tr r="W157" s="2"/>
      </tp>
      <tp t="s">
        <v>N/A</v>
        <stp/>
        <stp>VOLUME</stp>
        <stp>.NDX251017C20675</stp>
        <tr r="S165" s="2"/>
      </tp>
      <tp t="s">
        <v>N/A</v>
        <stp/>
        <stp>VOLUME</stp>
        <stp>.NDX251121C21075</stp>
        <tr r="U149" s="2"/>
      </tp>
      <tp t="s">
        <v>N/A</v>
        <stp/>
        <stp>VOLUME</stp>
        <stp>.NDX251121C20075</stp>
        <tr r="U189" s="2"/>
      </tp>
      <tp t="s">
        <v>N/A</v>
        <stp/>
        <stp>VOLUME</stp>
        <stp>.NDX250815C20475</stp>
        <tr r="O173" s="2"/>
      </tp>
      <tp t="s">
        <v>N/A</v>
        <stp/>
        <stp>VOLUME</stp>
        <stp>.NDX250919C20875</stp>
        <tr r="Q157" s="2"/>
      </tp>
      <tp t="s">
        <v>N/A</v>
        <stp/>
        <stp>VOLUME</stp>
        <stp>.NDX250620C21175</stp>
        <tr r="BE144" s="1"/>
      </tp>
      <tp t="s">
        <v>N/A</v>
        <stp/>
        <stp>VOLUME</stp>
        <stp>.NDX250620C20175</stp>
        <tr r="BE184" s="1"/>
      </tp>
      <tp t="s">
        <v>N/A</v>
        <stp/>
        <stp>VOLUME</stp>
        <stp>.NDX250718C20975</stp>
        <tr r="M153" s="2"/>
      </tp>
      <tp>
        <v>16</v>
        <stp/>
        <stp>VOLUME</stp>
        <stp>.NDX250516C20775</stp>
        <tr r="BC160" s="1"/>
        <tr r="BC160" s="1"/>
      </tp>
      <tp t="s">
        <v>N/A</v>
        <stp/>
        <stp>VOLUME</stp>
        <stp>.NDX250523C21275</stp>
        <tr r="H141" s="2"/>
      </tp>
      <tp t="s">
        <v>N/A</v>
        <stp/>
        <stp>VOLUME</stp>
        <stp>.NDX250523C20275</stp>
        <tr r="H181" s="2"/>
      </tp>
      <tp t="s">
        <v>N/A</v>
        <stp/>
        <stp>VOLUME</stp>
        <stp>.NDX251219C20850</stp>
        <tr r="W158" s="2"/>
      </tp>
      <tp t="s">
        <v>N/A</v>
        <stp/>
        <stp>VOLUME</stp>
        <stp>.NDX251121C21050</stp>
        <tr r="U150" s="2"/>
      </tp>
      <tp t="s">
        <v>N/A</v>
        <stp/>
        <stp>VOLUME</stp>
        <stp>.NDX251121C20050</stp>
        <tr r="U190" s="2"/>
      </tp>
      <tp t="s">
        <v>N/A</v>
        <stp/>
        <stp>VOLUME</stp>
        <stp>.NDX251017C20650</stp>
        <tr r="S166" s="2"/>
      </tp>
      <tp t="s">
        <v>N/A</v>
        <stp/>
        <stp>VOLUME</stp>
        <stp>.NDX250919C20850</stp>
        <tr r="Q158" s="2"/>
      </tp>
      <tp t="s">
        <v>N/A</v>
        <stp/>
        <stp>VOLUME</stp>
        <stp>.NDX250815C20450</stp>
        <tr r="O174" s="2"/>
      </tp>
      <tp t="s">
        <v>N/A</v>
        <stp/>
        <stp>VOLUME</stp>
        <stp>.NDX250718C20950</stp>
        <tr r="M154" s="2"/>
      </tp>
      <tp t="s">
        <v>N/A</v>
        <stp/>
        <stp>VOLUME</stp>
        <stp>.NDX250620C21150</stp>
        <tr r="BE145" s="1"/>
      </tp>
      <tp t="s">
        <v>N/A</v>
        <stp/>
        <stp>VOLUME</stp>
        <stp>.NDX250620C20150</stp>
        <tr r="BE185" s="1"/>
      </tp>
      <tp>
        <v>19</v>
        <stp/>
        <stp>VOLUME</stp>
        <stp>.NDX250516C20750</stp>
        <tr r="BC161" s="1"/>
        <tr r="BC161" s="1"/>
      </tp>
      <tp t="s">
        <v>N/A</v>
        <stp/>
        <stp>VOLUME</stp>
        <stp>.NDX250523C21250</stp>
        <tr r="H142" s="2"/>
      </tp>
      <tp t="s">
        <v>N/A</v>
        <stp/>
        <stp>VOLUME</stp>
        <stp>.NDX250523C20250</stp>
        <tr r="H182" s="2"/>
      </tp>
      <tp t="s">
        <v>N/A</v>
        <stp/>
        <stp>VOLUME</stp>
        <stp>.SPXC5640</stp>
        <tr r="K124" s="2"/>
      </tp>
      <tp t="s">
        <v>N/A</v>
        <stp/>
        <stp>VOLUME</stp>
        <stp>.SPXP5640</stp>
        <tr r="K124" s="2"/>
      </tp>
      <tp t="s">
        <v>--</v>
        <stp/>
        <stp>IMPL_VOL</stp>
        <stp>.NDXP250512C20675</stp>
        <tr r="EL164" s="1"/>
      </tp>
      <tp t="s">
        <v>N/A</v>
        <stp/>
        <stp>VOLUME</stp>
        <stp>.SPXC5650</stp>
        <tr r="K123" s="2"/>
      </tp>
      <tp t="s">
        <v>N/A</v>
        <stp/>
        <stp>VOLUME</stp>
        <stp>.SPXP5650</stp>
        <tr r="K123" s="2"/>
      </tp>
      <tp t="s">
        <v>N/A</v>
        <stp/>
        <stp>VOLUME</stp>
        <stp>.SPXC5660</stp>
        <tr r="K122" s="2"/>
      </tp>
      <tp t="s">
        <v>N/A</v>
        <stp/>
        <stp>VOLUME</stp>
        <stp>.SPXP5660</stp>
        <tr r="K122" s="2"/>
      </tp>
      <tp t="s">
        <v>--</v>
        <stp/>
        <stp>IMPL_VOL</stp>
        <stp>.NDXP250512C20650</stp>
        <tr r="EL165" s="1"/>
      </tp>
      <tp t="s">
        <v>N/A</v>
        <stp/>
        <stp>VOLUME</stp>
        <stp>.SPXC5670</stp>
        <tr r="K121" s="2"/>
      </tp>
      <tp t="s">
        <v>N/A</v>
        <stp/>
        <stp>VOLUME</stp>
        <stp>.SPXP5670</stp>
        <tr r="K121" s="2"/>
      </tp>
      <tp t="s">
        <v>N/A</v>
        <stp/>
        <stp>VOLUME</stp>
        <stp>.SPXC5600</stp>
        <tr r="K128" s="2"/>
      </tp>
      <tp t="s">
        <v>N/A</v>
        <stp/>
        <stp>VOLUME</stp>
        <stp>.SPXP5600</stp>
        <tr r="K128" s="2"/>
      </tp>
      <tp t="s">
        <v>N/A</v>
        <stp/>
        <stp>VOLUME</stp>
        <stp>.SPXC5610</stp>
        <tr r="K127" s="2"/>
      </tp>
      <tp t="s">
        <v>N/A</v>
        <stp/>
        <stp>VOLUME</stp>
        <stp>.SPXP5610</stp>
        <tr r="K127" s="2"/>
      </tp>
      <tp t="s">
        <v>--</v>
        <stp/>
        <stp>IMPL_VOL</stp>
        <stp>.NDXP250512C20625</stp>
        <tr r="EL166" s="1"/>
      </tp>
      <tp t="s">
        <v>N/A</v>
        <stp/>
        <stp>VOLUME</stp>
        <stp>.SPXC5620</stp>
        <tr r="K126" s="2"/>
      </tp>
      <tp t="s">
        <v>N/A</v>
        <stp/>
        <stp>VOLUME</stp>
        <stp>.SPXP5620</stp>
        <tr r="K126" s="2"/>
      </tp>
      <tp t="s">
        <v>N/A</v>
        <stp/>
        <stp>VOLUME</stp>
        <stp>.SPXC5630</stp>
        <tr r="K125" s="2"/>
      </tp>
      <tp t="s">
        <v>N/A</v>
        <stp/>
        <stp>VOLUME</stp>
        <stp>.SPXP5630</stp>
        <tr r="K125" s="2"/>
      </tp>
      <tp t="s">
        <v>--</v>
        <stp/>
        <stp>IMPL_VOL</stp>
        <stp>.NDXP250512C20600</stp>
        <tr r="EL167" s="1"/>
      </tp>
      <tp t="s">
        <v>N/A</v>
        <stp/>
        <stp>VOLUME</stp>
        <stp>.NDX251219P20900</stp>
        <tr r="W156" s="2"/>
      </tp>
      <tp t="s">
        <v>N/A</v>
        <stp/>
        <stp>VOLUME</stp>
        <stp>.NDX251121P21100</stp>
        <tr r="U148" s="2"/>
      </tp>
      <tp t="s">
        <v>N/A</v>
        <stp/>
        <stp>VOLUME</stp>
        <stp>.NDX251121P20100</stp>
        <tr r="U188" s="2"/>
      </tp>
      <tp t="s">
        <v>N/A</v>
        <stp/>
        <stp>VOLUME</stp>
        <stp>.NDX251017P20700</stp>
        <tr r="S164" s="2"/>
      </tp>
      <tp t="s">
        <v>N/A</v>
        <stp/>
        <stp>VOLUME</stp>
        <stp>.NDX250919P20900</stp>
        <tr r="Q156" s="2"/>
      </tp>
      <tp>
        <v>2</v>
        <stp/>
        <stp>VOLUME</stp>
        <stp>.NDX250815P20500</stp>
        <tr r="O172" s="2"/>
        <tr r="O172" s="2"/>
      </tp>
      <tp t="s">
        <v>N/A</v>
        <stp/>
        <stp>VOLUME</stp>
        <stp>.NDX250718P20800</stp>
        <tr r="M160" s="2"/>
      </tp>
      <tp>
        <v>10</v>
        <stp/>
        <stp>VOLUME</stp>
        <stp>.NDX250620P21000</stp>
        <tr r="BF151" s="1"/>
        <tr r="BF151" s="1"/>
      </tp>
      <tp>
        <v>24</v>
        <stp/>
        <stp>VOLUME</stp>
        <stp>.NDX250516P20600</stp>
        <tr r="BD167" s="1"/>
        <tr r="BD167" s="1"/>
      </tp>
      <tp t="s">
        <v>N/A</v>
        <stp/>
        <stp>VOLUME</stp>
        <stp>.NDX250523P21300</stp>
        <tr r="H140" s="2"/>
      </tp>
      <tp t="s">
        <v>N/A</v>
        <stp/>
        <stp>VOLUME</stp>
        <stp>.NDX250523P20300</stp>
        <tr r="H180" s="2"/>
      </tp>
      <tp t="s">
        <v>N/A</v>
        <stp/>
        <stp>VOLUME</stp>
        <stp>.NDX251219P20925</stp>
        <tr r="W155" s="2"/>
      </tp>
      <tp t="s">
        <v>N/A</v>
        <stp/>
        <stp>VOLUME</stp>
        <stp>.NDX251017P20725</stp>
        <tr r="S163" s="2"/>
      </tp>
      <tp t="s">
        <v>N/A</v>
        <stp/>
        <stp>VOLUME</stp>
        <stp>.NDX251121P21125</stp>
        <tr r="U147" s="2"/>
      </tp>
      <tp t="s">
        <v>N/A</v>
        <stp/>
        <stp>VOLUME</stp>
        <stp>.NDX251121P20125</stp>
        <tr r="U187" s="2"/>
      </tp>
      <tp t="s">
        <v>N/A</v>
        <stp/>
        <stp>VOLUME</stp>
        <stp>.NDX250815P20525</stp>
        <tr r="O171" s="2"/>
      </tp>
      <tp t="s">
        <v>N/A</v>
        <stp/>
        <stp>VOLUME</stp>
        <stp>.NDX250919P20925</stp>
        <tr r="Q155" s="2"/>
      </tp>
      <tp t="s">
        <v>N/A</v>
        <stp/>
        <stp>VOLUME</stp>
        <stp>.NDX250620P21025</stp>
        <tr r="BF150" s="1"/>
      </tp>
      <tp t="s">
        <v>N/A</v>
        <stp/>
        <stp>VOLUME</stp>
        <stp>.NDX250718P20825</stp>
        <tr r="M159" s="2"/>
      </tp>
      <tp>
        <v>17</v>
        <stp/>
        <stp>VOLUME</stp>
        <stp>.NDX250516P20625</stp>
        <tr r="BD166" s="1"/>
        <tr r="BD166" s="1"/>
      </tp>
      <tp t="s">
        <v>N/A</v>
        <stp/>
        <stp>VOLUME</stp>
        <stp>.NDX250523P21325</stp>
        <tr r="H139" s="2"/>
      </tp>
      <tp t="s">
        <v>N/A</v>
        <stp/>
        <stp>VOLUME</stp>
        <stp>.NDX250523P20325</stp>
        <tr r="H179" s="2"/>
      </tp>
      <tp t="s">
        <v>N/A</v>
        <stp/>
        <stp>VOLUME</stp>
        <stp>.SPXC5680</stp>
        <tr r="K120" s="2"/>
      </tp>
      <tp t="s">
        <v>N/A</v>
        <stp/>
        <stp>VOLUME</stp>
        <stp>.NDX250919P20950</stp>
        <tr r="Q154" s="2"/>
      </tp>
      <tp t="s">
        <v>N/A</v>
        <stp/>
        <stp>VOLUME</stp>
        <stp>.NDX250815P20550</stp>
        <tr r="O170" s="2"/>
      </tp>
      <tp t="s">
        <v>N/A</v>
        <stp/>
        <stp>VOLUME</stp>
        <stp>.NDX250718P20850</stp>
        <tr r="M158" s="2"/>
      </tp>
      <tp t="s">
        <v>N/A</v>
        <stp/>
        <stp>VOLUME</stp>
        <stp>.NDX250620P21050</stp>
        <tr r="BF149" s="1"/>
      </tp>
      <tp t="s">
        <v>N/A</v>
        <stp/>
        <stp>VOLUME</stp>
        <stp>.NDX250620P20050</stp>
        <tr r="BF189" s="1"/>
      </tp>
      <tp>
        <v>17</v>
        <stp/>
        <stp>VOLUME</stp>
        <stp>.NDX250516P20650</stp>
        <tr r="BD165" s="1"/>
        <tr r="BD165" s="1"/>
      </tp>
      <tp t="s">
        <v>N/A</v>
        <stp/>
        <stp>VOLUME</stp>
        <stp>.NDX250523P21350</stp>
        <tr r="H138" s="2"/>
      </tp>
      <tp t="s">
        <v>N/A</v>
        <stp/>
        <stp>VOLUME</stp>
        <stp>.NDX250523P20350</stp>
        <tr r="H178" s="2"/>
      </tp>
      <tp t="s">
        <v>N/A</v>
        <stp/>
        <stp>VOLUME</stp>
        <stp>.SPXP5680</stp>
        <tr r="K120" s="2"/>
      </tp>
      <tp t="s">
        <v>N/A</v>
        <stp/>
        <stp>VOLUME</stp>
        <stp>.SPXC5690</stp>
        <tr r="K119" s="2"/>
      </tp>
      <tp t="s">
        <v>N/A</v>
        <stp/>
        <stp>VOLUME</stp>
        <stp>.SPXP5690</stp>
        <tr r="K119" s="2"/>
      </tp>
      <tp t="s">
        <v>N/A</v>
        <stp/>
        <stp>VOLUME</stp>
        <stp>.NDX251219P20950</stp>
        <tr r="W154" s="2"/>
      </tp>
      <tp t="s">
        <v>N/A</v>
        <stp/>
        <stp>VOLUME</stp>
        <stp>.NDX251121P21150</stp>
        <tr r="U146" s="2"/>
      </tp>
      <tp t="s">
        <v>N/A</v>
        <stp/>
        <stp>VOLUME</stp>
        <stp>.NDX251121P20150</stp>
        <tr r="U186" s="2"/>
      </tp>
      <tp t="s">
        <v>N/A</v>
        <stp/>
        <stp>VOLUME</stp>
        <stp>.NDX251017P20750</stp>
        <tr r="S162" s="2"/>
      </tp>
      <tp t="s">
        <v>N/A</v>
        <stp/>
        <stp>VOLUME</stp>
        <stp>.NDX250815P20575</stp>
        <tr r="O169" s="2"/>
      </tp>
      <tp t="s">
        <v>N/A</v>
        <stp/>
        <stp>VOLUME</stp>
        <stp>.NDX250919P20975</stp>
        <tr r="Q153" s="2"/>
      </tp>
      <tp t="s">
        <v>N/A</v>
        <stp/>
        <stp>VOLUME</stp>
        <stp>.NDX250620P21075</stp>
        <tr r="BF148" s="1"/>
      </tp>
      <tp>
        <v>1</v>
        <stp/>
        <stp>VOLUME</stp>
        <stp>.NDX250620P20075</stp>
        <tr r="BF188" s="1"/>
        <tr r="BF188" s="1"/>
      </tp>
      <tp t="s">
        <v>N/A</v>
        <stp/>
        <stp>VOLUME</stp>
        <stp>.NDX250718P20875</stp>
        <tr r="M157" s="2"/>
      </tp>
      <tp>
        <v>23</v>
        <stp/>
        <stp>VOLUME</stp>
        <stp>.NDX250516P20675</stp>
        <tr r="BD164" s="1"/>
        <tr r="BD164" s="1"/>
      </tp>
      <tp t="s">
        <v>N/A</v>
        <stp/>
        <stp>VOLUME</stp>
        <stp>.NDX250523P20375</stp>
        <tr r="H177" s="2"/>
      </tp>
      <tp t="s">
        <v>N/A</v>
        <stp/>
        <stp>VOLUME</stp>
        <stp>.NDX251219P20975</stp>
        <tr r="W153" s="2"/>
      </tp>
      <tp t="s">
        <v>N/A</v>
        <stp/>
        <stp>VOLUME</stp>
        <stp>.NDX251017P20775</stp>
        <tr r="S161" s="2"/>
      </tp>
      <tp t="s">
        <v>N/A</v>
        <stp/>
        <stp>VOLUME</stp>
        <stp>.NDX251121P21175</stp>
        <tr r="U145" s="2"/>
      </tp>
      <tp t="s">
        <v>N/A</v>
        <stp/>
        <stp>VOLUME</stp>
        <stp>.NDX251121P20175</stp>
        <tr r="U185" s="2"/>
      </tp>
      <tp t="s">
        <v>52.38%</v>
        <stp/>
        <stp>IMPL_VOL</stp>
        <stp>.NDXP250512P20650</stp>
        <tr r="EM165" s="1"/>
      </tp>
      <tp t="s">
        <v>63.57%</v>
        <stp/>
        <stp>IMPL_VOL</stp>
        <stp>.NDXP250512P20675</stp>
        <tr r="EM164" s="1"/>
      </tp>
      <tp t="s">
        <v>133.80%</v>
        <stp/>
        <stp>IMPL_VOL</stp>
        <stp>.NDXP250512P20600</stp>
        <tr r="EM167" s="1"/>
      </tp>
      <tp t="s">
        <v>124.37%</v>
        <stp/>
        <stp>IMPL_VOL</stp>
        <stp>.NDXP250512P20625</stp>
        <tr r="EM166" s="1"/>
      </tp>
      <tp t="s">
        <v>N/A</v>
        <stp/>
        <stp>VOLUME</stp>
        <stp>.NDX250815C20525</stp>
        <tr r="O171" s="2"/>
      </tp>
      <tp t="s">
        <v>N/A</v>
        <stp/>
        <stp>VOLUME</stp>
        <stp>.NDX250919C20925</stp>
        <tr r="Q155" s="2"/>
      </tp>
      <tp>
        <v>4</v>
        <stp/>
        <stp>VOLUME</stp>
        <stp>.NDX250620C21025</stp>
        <tr r="BE150" s="1"/>
        <tr r="BE150" s="1"/>
      </tp>
      <tp t="s">
        <v>N/A</v>
        <stp/>
        <stp>VOLUME</stp>
        <stp>.NDX250718C20825</stp>
        <tr r="M159" s="2"/>
      </tp>
      <tp>
        <v>9</v>
        <stp/>
        <stp>VOLUME</stp>
        <stp>.NDX250516C20625</stp>
        <tr r="BC166" s="1"/>
        <tr r="BC166" s="1"/>
      </tp>
      <tp t="s">
        <v>N/A</v>
        <stp/>
        <stp>VOLUME</stp>
        <stp>.NDX250523C21325</stp>
        <tr r="H139" s="2"/>
      </tp>
      <tp t="s">
        <v>N/A</v>
        <stp/>
        <stp>VOLUME</stp>
        <stp>.NDX250523C20325</stp>
        <tr r="H179" s="2"/>
      </tp>
      <tp t="s">
        <v>N/A</v>
        <stp/>
        <stp>VOLUME</stp>
        <stp>.NDX251219C20925</stp>
        <tr r="W155" s="2"/>
      </tp>
      <tp t="s">
        <v>N/A</v>
        <stp/>
        <stp>VOLUME</stp>
        <stp>.NDX251017C20725</stp>
        <tr r="S163" s="2"/>
      </tp>
      <tp t="s">
        <v>N/A</v>
        <stp/>
        <stp>VOLUME</stp>
        <stp>.NDX251121C21125</stp>
        <tr r="U147" s="2"/>
      </tp>
      <tp t="s">
        <v>N/A</v>
        <stp/>
        <stp>VOLUME</stp>
        <stp>.NDX251121C20125</stp>
        <tr r="U187" s="2"/>
      </tp>
      <tp>
        <v>8</v>
        <stp/>
        <stp>VOLUME</stp>
        <stp>.NDX250919C20900</stp>
        <tr r="Q156" s="2"/>
        <tr r="Q156" s="2"/>
      </tp>
      <tp>
        <v>3</v>
        <stp/>
        <stp>VOLUME</stp>
        <stp>.NDX250815C20500</stp>
        <tr r="O172" s="2"/>
        <tr r="O172" s="2"/>
      </tp>
      <tp t="s">
        <v>N/A</v>
        <stp/>
        <stp>VOLUME</stp>
        <stp>.NDX250718C20800</stp>
        <tr r="M160" s="2"/>
      </tp>
      <tp>
        <v>121</v>
        <stp/>
        <stp>VOLUME</stp>
        <stp>.NDX250620C21000</stp>
        <tr r="BE151" s="1"/>
        <tr r="BE151" s="1"/>
      </tp>
      <tp>
        <v>10</v>
        <stp/>
        <stp>VOLUME</stp>
        <stp>.NDX250516C20600</stp>
        <tr r="BC167" s="1"/>
        <tr r="BC167" s="1"/>
      </tp>
      <tp t="s">
        <v>N/A</v>
        <stp/>
        <stp>VOLUME</stp>
        <stp>.NDX250523C21300</stp>
        <tr r="H140" s="2"/>
      </tp>
      <tp t="s">
        <v>N/A</v>
        <stp/>
        <stp>VOLUME</stp>
        <stp>.NDX250523C20300</stp>
        <tr r="H180" s="2"/>
      </tp>
      <tp t="s">
        <v>N/A</v>
        <stp/>
        <stp>VOLUME</stp>
        <stp>.NDX251219C20900</stp>
        <tr r="W156" s="2"/>
      </tp>
      <tp t="s">
        <v>N/A</v>
        <stp/>
        <stp>VOLUME</stp>
        <stp>.NDX251121C21100</stp>
        <tr r="U148" s="2"/>
      </tp>
      <tp t="s">
        <v>N/A</v>
        <stp/>
        <stp>VOLUME</stp>
        <stp>.NDX251121C20100</stp>
        <tr r="U188" s="2"/>
      </tp>
      <tp t="s">
        <v>N/A</v>
        <stp/>
        <stp>VOLUME</stp>
        <stp>.NDX251017C20700</stp>
        <tr r="S164" s="2"/>
      </tp>
      <tp t="s">
        <v>N/A</v>
        <stp/>
        <stp>VOLUME</stp>
        <stp>.NDX251219C20975</stp>
        <tr r="W153" s="2"/>
      </tp>
      <tp t="s">
        <v>N/A</v>
        <stp/>
        <stp>VOLUME</stp>
        <stp>.NDX251017C20775</stp>
        <tr r="S161" s="2"/>
      </tp>
      <tp t="s">
        <v>N/A</v>
        <stp/>
        <stp>VOLUME</stp>
        <stp>.NDX251121C21175</stp>
        <tr r="U145" s="2"/>
      </tp>
      <tp t="s">
        <v>N/A</v>
        <stp/>
        <stp>VOLUME</stp>
        <stp>.NDX251121C20175</stp>
        <tr r="U185" s="2"/>
      </tp>
      <tp t="s">
        <v>N/A</v>
        <stp/>
        <stp>VOLUME</stp>
        <stp>.NDX250815C20575</stp>
        <tr r="O169" s="2"/>
      </tp>
      <tp t="s">
        <v>N/A</v>
        <stp/>
        <stp>VOLUME</stp>
        <stp>.NDX250919C20975</stp>
        <tr r="Q153" s="2"/>
      </tp>
      <tp t="s">
        <v>N/A</v>
        <stp/>
        <stp>VOLUME</stp>
        <stp>.NDX250620C21075</stp>
        <tr r="BE148" s="1"/>
      </tp>
      <tp>
        <v>1</v>
        <stp/>
        <stp>VOLUME</stp>
        <stp>.NDX250620C20075</stp>
        <tr r="BE188" s="1"/>
        <tr r="BE188" s="1"/>
      </tp>
      <tp t="s">
        <v>N/A</v>
        <stp/>
        <stp>VOLUME</stp>
        <stp>.NDX250718C20875</stp>
        <tr r="M157" s="2"/>
      </tp>
      <tp>
        <v>12</v>
        <stp/>
        <stp>VOLUME</stp>
        <stp>.NDX250516C20675</stp>
        <tr r="BC164" s="1"/>
        <tr r="BC164" s="1"/>
      </tp>
      <tp t="s">
        <v>N/A</v>
        <stp/>
        <stp>VOLUME</stp>
        <stp>.NDX250523C20375</stp>
        <tr r="H177" s="2"/>
      </tp>
      <tp t="s">
        <v>N/A</v>
        <stp/>
        <stp>VOLUME</stp>
        <stp>.NDX251219C20950</stp>
        <tr r="W154" s="2"/>
      </tp>
      <tp t="s">
        <v>N/A</v>
        <stp/>
        <stp>VOLUME</stp>
        <stp>.NDX251121C21150</stp>
        <tr r="U146" s="2"/>
      </tp>
      <tp t="s">
        <v>N/A</v>
        <stp/>
        <stp>VOLUME</stp>
        <stp>.NDX251121C20150</stp>
        <tr r="U186" s="2"/>
      </tp>
      <tp t="s">
        <v>N/A</v>
        <stp/>
        <stp>VOLUME</stp>
        <stp>.NDX251017C20750</stp>
        <tr r="S162" s="2"/>
      </tp>
      <tp t="s">
        <v>N/A</v>
        <stp/>
        <stp>VOLUME</stp>
        <stp>.NDX250919C20950</stp>
        <tr r="Q154" s="2"/>
      </tp>
      <tp t="s">
        <v>N/A</v>
        <stp/>
        <stp>VOLUME</stp>
        <stp>.NDX250815C20550</stp>
        <tr r="O170" s="2"/>
      </tp>
      <tp t="s">
        <v>N/A</v>
        <stp/>
        <stp>VOLUME</stp>
        <stp>.NDX250718C20850</stp>
        <tr r="M158" s="2"/>
      </tp>
      <tp t="s">
        <v>N/A</v>
        <stp/>
        <stp>VOLUME</stp>
        <stp>.NDX250620C21050</stp>
        <tr r="BE149" s="1"/>
      </tp>
      <tp>
        <v>11</v>
        <stp/>
        <stp>VOLUME</stp>
        <stp>.NDX250620C20050</stp>
        <tr r="BE189" s="1"/>
        <tr r="BE189" s="1"/>
      </tp>
      <tp>
        <v>10</v>
        <stp/>
        <stp>VOLUME</stp>
        <stp>.NDX250516C20650</stp>
        <tr r="BC165" s="1"/>
        <tr r="BC165" s="1"/>
      </tp>
      <tp t="s">
        <v>N/A</v>
        <stp/>
        <stp>VOLUME</stp>
        <stp>.NDX250523C21350</stp>
        <tr r="H138" s="2"/>
      </tp>
      <tp t="s">
        <v>N/A</v>
        <stp/>
        <stp>VOLUME</stp>
        <stp>.NDX250523C20350</stp>
        <tr r="H178" s="2"/>
      </tp>
      <tp>
        <v>0.3</v>
        <stp/>
        <stp>DELTA</stp>
        <stp>.SPX250620C6010</stp>
        <tr r="CH86" s="1"/>
        <tr r="CH86" s="1"/>
      </tp>
      <tp>
        <v>-0.68</v>
        <stp/>
        <stp>DELTA</stp>
        <stp>.SPX250620P6010</stp>
        <tr r="CI86" s="1"/>
        <tr r="CI86" s="1"/>
      </tp>
      <tp>
        <v>0.32</v>
        <stp/>
        <stp>DELTA</stp>
        <stp>.SPX250620C6000</stp>
        <tr r="CH87" s="1"/>
        <tr r="CH87" s="1"/>
      </tp>
      <tp>
        <v>-0.67</v>
        <stp/>
        <stp>DELTA</stp>
        <stp>.SPX250620P6000</stp>
        <tr r="CI87" s="1"/>
        <tr r="CI87" s="1"/>
      </tp>
      <tp>
        <v>0.28999999999999998</v>
        <stp/>
        <stp>DELTA</stp>
        <stp>.SPX250620C6020</stp>
        <tr r="CH85" s="1"/>
        <tr r="CH85" s="1"/>
      </tp>
      <tp>
        <v>-0.7</v>
        <stp/>
        <stp>DELTA</stp>
        <stp>.SPX250620P6020</stp>
        <tr r="CI85" s="1"/>
        <tr r="CI85" s="1"/>
      </tp>
      <tp t="e">
        <v>#N/A</v>
        <stp/>
        <stp>MARK</stp>
        <stp/>
        <tr r="G44" s="1"/>
      </tp>
      <tp t="s">
        <v>N/A</v>
        <stp/>
        <stp>IMPL_VOL</stp>
        <stp>.NDXP250512C21175</stp>
        <tr r="EL144" s="1"/>
      </tp>
      <tp t="s">
        <v>--</v>
        <stp/>
        <stp>IMPL_VOL</stp>
        <stp>.NDXP250512C20175</stp>
        <tr r="EL184" s="1"/>
      </tp>
      <tp t="s">
        <v>57.44%</v>
        <stp/>
        <stp>IMPL_VOL</stp>
        <stp>.NDXP250512C21150</stp>
        <tr r="EL145" s="1"/>
      </tp>
      <tp t="s">
        <v>--</v>
        <stp/>
        <stp>IMPL_VOL</stp>
        <stp>.NDXP250512C20150</stp>
        <tr r="EL185" s="1"/>
      </tp>
      <tp t="s">
        <v>N/A</v>
        <stp/>
        <stp>IMPL_VOL</stp>
        <stp>.NDXP250512C21125</stp>
        <tr r="EL146" s="1"/>
      </tp>
      <tp t="s">
        <v>--</v>
        <stp/>
        <stp>IMPL_VOL</stp>
        <stp>.NDXP250512C20125</stp>
        <tr r="EL186" s="1"/>
      </tp>
      <tp t="s">
        <v>118.78%</v>
        <stp/>
        <stp>IMPL_VOL</stp>
        <stp>.NDXP250512C21100</stp>
        <tr r="EL147" s="1"/>
      </tp>
      <tp t="s">
        <v>--</v>
        <stp/>
        <stp>IMPL_VOL</stp>
        <stp>.NDXP250512C20100</stp>
        <tr r="EL187" s="1"/>
      </tp>
      <tp t="s">
        <v>N/A</v>
        <stp/>
        <stp>VOLUME</stp>
        <stp>.NDX251121P20600</stp>
        <tr r="U168" s="2"/>
      </tp>
      <tp t="s">
        <v>N/A</v>
        <stp/>
        <stp>VOLUME</stp>
        <stp>.NDX251017P21000</stp>
        <tr r="S152" s="2"/>
      </tp>
      <tp t="s">
        <v>N/A</v>
        <stp/>
        <stp>VOLUME</stp>
        <stp>.NDX250815P20200</stp>
        <tr r="O184" s="2"/>
      </tp>
      <tp t="s">
        <v>N/A</v>
        <stp/>
        <stp>VOLUME</stp>
        <stp>.NDX250815P21200</stp>
        <tr r="O144" s="2"/>
      </tp>
      <tp>
        <v>2</v>
        <stp/>
        <stp>VOLUME</stp>
        <stp>.NDX250620P20700</stp>
        <tr r="BF163" s="1"/>
        <tr r="BF163" s="1"/>
      </tp>
      <tp>
        <v>48</v>
        <stp/>
        <stp>VOLUME</stp>
        <stp>.NDX250516P20100</stp>
        <tr r="BD187" s="1"/>
        <tr r="BD187" s="1"/>
      </tp>
      <tp t="s">
        <v>N/A</v>
        <stp/>
        <stp>VOLUME</stp>
        <stp>.NDX250516P21100</stp>
        <tr r="BD147" s="1"/>
      </tp>
      <tp t="s">
        <v>N/A</v>
        <stp/>
        <stp>VOLUME</stp>
        <stp>.NDX250523P20400</stp>
        <tr r="H176" s="2"/>
      </tp>
      <tp t="s">
        <v>N/A</v>
        <stp/>
        <stp>VOLUME</stp>
        <stp>.NDX251017P21025</stp>
        <tr r="S151" s="2"/>
      </tp>
      <tp t="s">
        <v>N/A</v>
        <stp/>
        <stp>VOLUME</stp>
        <stp>.NDX251121P20625</stp>
        <tr r="U167" s="2"/>
      </tp>
      <tp t="s">
        <v>N/A</v>
        <stp/>
        <stp>VOLUME</stp>
        <stp>.NDX250815P20225</stp>
        <tr r="O183" s="2"/>
      </tp>
      <tp t="s">
        <v>N/A</v>
        <stp/>
        <stp>VOLUME</stp>
        <stp>.NDX250815P21225</stp>
        <tr r="O143" s="2"/>
      </tp>
      <tp t="s">
        <v>N/A</v>
        <stp/>
        <stp>VOLUME</stp>
        <stp>.NDX250620P20725</stp>
        <tr r="BF162" s="1"/>
      </tp>
      <tp>
        <v>4</v>
        <stp/>
        <stp>VOLUME</stp>
        <stp>.NDX250516P20125</stp>
        <tr r="BD186" s="1"/>
        <tr r="BD186" s="1"/>
      </tp>
      <tp t="s">
        <v>N/A</v>
        <stp/>
        <stp>VOLUME</stp>
        <stp>.NDX250516P21125</stp>
        <tr r="BD146" s="1"/>
      </tp>
      <tp t="s">
        <v>N/A</v>
        <stp/>
        <stp>VOLUME</stp>
        <stp>.NDX250523P20425</stp>
        <tr r="H175" s="2"/>
      </tp>
      <tp t="s">
        <v>N/A</v>
        <stp/>
        <stp>VOLUME</stp>
        <stp>.NDX250815P20250</stp>
        <tr r="O182" s="2"/>
      </tp>
      <tp t="s">
        <v>N/A</v>
        <stp/>
        <stp>VOLUME</stp>
        <stp>.NDX250815P21250</stp>
        <tr r="O142" s="2"/>
      </tp>
      <tp>
        <v>1</v>
        <stp/>
        <stp>VOLUME</stp>
        <stp>.NDX250620P20750</stp>
        <tr r="BF161" s="1"/>
        <tr r="BF161" s="1"/>
      </tp>
      <tp>
        <v>6</v>
        <stp/>
        <stp>VOLUME</stp>
        <stp>.NDX250516P20150</stp>
        <tr r="BD185" s="1"/>
        <tr r="BD185" s="1"/>
      </tp>
      <tp t="s">
        <v>N/A</v>
        <stp/>
        <stp>VOLUME</stp>
        <stp>.NDX250516P21150</stp>
        <tr r="BD145" s="1"/>
      </tp>
      <tp t="s">
        <v>N/A</v>
        <stp/>
        <stp>VOLUME</stp>
        <stp>.NDX250523P20450</stp>
        <tr r="H174" s="2"/>
      </tp>
      <tp t="s">
        <v>N/A</v>
        <stp/>
        <stp>VOLUME</stp>
        <stp>.NDX251121P20650</stp>
        <tr r="U166" s="2"/>
      </tp>
      <tp t="s">
        <v>N/A</v>
        <stp/>
        <stp>VOLUME</stp>
        <stp>.NDX251017P20050</stp>
        <tr r="S190" s="2"/>
      </tp>
      <tp t="s">
        <v>N/A</v>
        <stp/>
        <stp>VOLUME</stp>
        <stp>.NDX251017P21050</stp>
        <tr r="S150" s="2"/>
      </tp>
      <tp t="s">
        <v>N/A</v>
        <stp/>
        <stp>VOLUME</stp>
        <stp>.NDX250815P20275</stp>
        <tr r="O181" s="2"/>
      </tp>
      <tp t="s">
        <v>N/A</v>
        <stp/>
        <stp>VOLUME</stp>
        <stp>.NDX250815P21275</stp>
        <tr r="O141" s="2"/>
      </tp>
      <tp>
        <v>36</v>
        <stp/>
        <stp>VOLUME</stp>
        <stp>.NDX250620P20775</stp>
        <tr r="BF160" s="1"/>
        <tr r="BF160" s="1"/>
      </tp>
      <tp>
        <v>2</v>
        <stp/>
        <stp>VOLUME</stp>
        <stp>.NDX250516P20175</stp>
        <tr r="BD184" s="1"/>
        <tr r="BD184" s="1"/>
      </tp>
      <tp t="s">
        <v>N/A</v>
        <stp/>
        <stp>VOLUME</stp>
        <stp>.NDX250516P21175</stp>
        <tr r="BD144" s="1"/>
      </tp>
      <tp t="s">
        <v>N/A</v>
        <stp/>
        <stp>VOLUME</stp>
        <stp>.NDX250523P20475</stp>
        <tr r="H173" s="2"/>
      </tp>
      <tp t="s">
        <v>N/A</v>
        <stp/>
        <stp>VOLUME</stp>
        <stp>.NDX251017P20075</stp>
        <tr r="S189" s="2"/>
      </tp>
      <tp t="s">
        <v>N/A</v>
        <stp/>
        <stp>VOLUME</stp>
        <stp>.NDX251017P21075</stp>
        <tr r="S149" s="2"/>
      </tp>
      <tp t="s">
        <v>N/A</v>
        <stp/>
        <stp>VOLUME</stp>
        <stp>.NDX251121P20675</stp>
        <tr r="U165" s="2"/>
      </tp>
      <tp t="s">
        <v>119.59%</v>
        <stp/>
        <stp>IMPL_VOL</stp>
        <stp>.NDXP250512P21150</stp>
        <tr r="EM145" s="1"/>
      </tp>
      <tp t="s">
        <v>287.28%</v>
        <stp/>
        <stp>IMPL_VOL</stp>
        <stp>.NDXP250512P20150</stp>
        <tr r="EM185" s="1"/>
      </tp>
      <tp t="s">
        <v>N/A</v>
        <stp/>
        <stp>IMPL_VOL</stp>
        <stp>.NDXP250512P21175</stp>
        <tr r="EM144" s="1"/>
      </tp>
      <tp t="s">
        <v>279.16%</v>
        <stp/>
        <stp>IMPL_VOL</stp>
        <stp>.NDXP250512P20175</stp>
        <tr r="EM184" s="1"/>
      </tp>
      <tp t="s">
        <v>103.76%</v>
        <stp/>
        <stp>IMPL_VOL</stp>
        <stp>.NDXP250512P21100</stp>
        <tr r="EM147" s="1"/>
      </tp>
      <tp t="s">
        <v>303.44%</v>
        <stp/>
        <stp>IMPL_VOL</stp>
        <stp>.NDXP250512P20100</stp>
        <tr r="EM187" s="1"/>
      </tp>
      <tp t="s">
        <v>N/A</v>
        <stp/>
        <stp>IMPL_VOL</stp>
        <stp>.NDXP250512P21125</stp>
        <tr r="EM146" s="1"/>
      </tp>
      <tp t="s">
        <v>295.37%</v>
        <stp/>
        <stp>IMPL_VOL</stp>
        <stp>.NDXP250512P20125</stp>
        <tr r="EM186" s="1"/>
      </tp>
      <tp t="s">
        <v>N/A</v>
        <stp/>
        <stp>VOLUME</stp>
        <stp>.NDX250815C20225</stp>
        <tr r="O183" s="2"/>
      </tp>
      <tp t="s">
        <v>N/A</v>
        <stp/>
        <stp>VOLUME</stp>
        <stp>.NDX250815C21225</stp>
        <tr r="O143" s="2"/>
      </tp>
      <tp t="s">
        <v>N/A</v>
        <stp/>
        <stp>VOLUME</stp>
        <stp>.NDX250620C20725</stp>
        <tr r="BE162" s="1"/>
      </tp>
      <tp>
        <v>1</v>
        <stp/>
        <stp>VOLUME</stp>
        <stp>.NDX250516C20125</stp>
        <tr r="BC186" s="1"/>
        <tr r="BC186" s="1"/>
      </tp>
      <tp>
        <v>2</v>
        <stp/>
        <stp>VOLUME</stp>
        <stp>.NDX250516C21125</stp>
        <tr r="BC146" s="1"/>
        <tr r="BC146" s="1"/>
      </tp>
      <tp t="s">
        <v>N/A</v>
        <stp/>
        <stp>VOLUME</stp>
        <stp>.NDX250523C20425</stp>
        <tr r="H175" s="2"/>
      </tp>
      <tp t="s">
        <v>N/A</v>
        <stp/>
        <stp>VOLUME</stp>
        <stp>.NDX251017C21025</stp>
        <tr r="S151" s="2"/>
      </tp>
      <tp t="s">
        <v>N/A</v>
        <stp/>
        <stp>VOLUME</stp>
        <stp>.NDX251121C20625</stp>
        <tr r="U167" s="2"/>
      </tp>
      <tp>
        <v>2</v>
        <stp/>
        <stp>VOLUME</stp>
        <stp>.NDX250815C20200</stp>
        <tr r="O184" s="2"/>
        <tr r="O184" s="2"/>
      </tp>
      <tp t="s">
        <v>N/A</v>
        <stp/>
        <stp>VOLUME</stp>
        <stp>.NDX250815C21200</stp>
        <tr r="O144" s="2"/>
      </tp>
      <tp>
        <v>4</v>
        <stp/>
        <stp>VOLUME</stp>
        <stp>.NDX250620C20700</stp>
        <tr r="BE163" s="1"/>
        <tr r="BE163" s="1"/>
      </tp>
      <tp>
        <v>1</v>
        <stp/>
        <stp>VOLUME</stp>
        <stp>.NDX250516C20100</stp>
        <tr r="BC187" s="1"/>
        <tr r="BC187" s="1"/>
      </tp>
      <tp>
        <v>53</v>
        <stp/>
        <stp>VOLUME</stp>
        <stp>.NDX250516C21100</stp>
        <tr r="BC147" s="1"/>
        <tr r="BC147" s="1"/>
      </tp>
      <tp t="s">
        <v>N/A</v>
        <stp/>
        <stp>VOLUME</stp>
        <stp>.NDX250523C20400</stp>
        <tr r="H176" s="2"/>
      </tp>
      <tp t="s">
        <v>N/A</v>
        <stp/>
        <stp>VOLUME</stp>
        <stp>.NDX251121C20600</stp>
        <tr r="U168" s="2"/>
      </tp>
      <tp t="s">
        <v>N/A</v>
        <stp/>
        <stp>VOLUME</stp>
        <stp>.NDX251017C21000</stp>
        <tr r="S152" s="2"/>
      </tp>
      <tp t="s">
        <v>N/A</v>
        <stp/>
        <stp>VOLUME</stp>
        <stp>.NDX251017C20075</stp>
        <tr r="S189" s="2"/>
      </tp>
      <tp t="s">
        <v>N/A</v>
        <stp/>
        <stp>VOLUME</stp>
        <stp>.NDX251017C21075</stp>
        <tr r="S149" s="2"/>
      </tp>
      <tp t="s">
        <v>N/A</v>
        <stp/>
        <stp>VOLUME</stp>
        <stp>.NDX251121C20675</stp>
        <tr r="U165" s="2"/>
      </tp>
      <tp t="s">
        <v>N/A</v>
        <stp/>
        <stp>VOLUME</stp>
        <stp>.NDX250815C20275</stp>
        <tr r="O181" s="2"/>
      </tp>
      <tp t="s">
        <v>N/A</v>
        <stp/>
        <stp>VOLUME</stp>
        <stp>.NDX250815C21275</stp>
        <tr r="O141" s="2"/>
      </tp>
      <tp>
        <v>36</v>
        <stp/>
        <stp>VOLUME</stp>
        <stp>.NDX250620C20775</stp>
        <tr r="BE160" s="1"/>
        <tr r="BE160" s="1"/>
      </tp>
      <tp>
        <v>1</v>
        <stp/>
        <stp>VOLUME</stp>
        <stp>.NDX250516C20175</stp>
        <tr r="BC184" s="1"/>
        <tr r="BC184" s="1"/>
      </tp>
      <tp>
        <v>10</v>
        <stp/>
        <stp>VOLUME</stp>
        <stp>.NDX250516C21175</stp>
        <tr r="BC144" s="1"/>
        <tr r="BC144" s="1"/>
      </tp>
      <tp t="s">
        <v>N/A</v>
        <stp/>
        <stp>VOLUME</stp>
        <stp>.NDX250523C20475</stp>
        <tr r="H173" s="2"/>
      </tp>
      <tp t="s">
        <v>N/A</v>
        <stp/>
        <stp>VOLUME</stp>
        <stp>.NDX251121C20650</stp>
        <tr r="U166" s="2"/>
      </tp>
      <tp t="s">
        <v>N/A</v>
        <stp/>
        <stp>VOLUME</stp>
        <stp>.NDX251017C20050</stp>
        <tr r="S190" s="2"/>
      </tp>
      <tp t="s">
        <v>N/A</v>
        <stp/>
        <stp>VOLUME</stp>
        <stp>.NDX251017C21050</stp>
        <tr r="S150" s="2"/>
      </tp>
      <tp t="s">
        <v>N/A</v>
        <stp/>
        <stp>VOLUME</stp>
        <stp>.NDX250815C20250</stp>
        <tr r="O182" s="2"/>
      </tp>
      <tp t="s">
        <v>N/A</v>
        <stp/>
        <stp>VOLUME</stp>
        <stp>.NDX250815C21250</stp>
        <tr r="O142" s="2"/>
      </tp>
      <tp>
        <v>3</v>
        <stp/>
        <stp>VOLUME</stp>
        <stp>.NDX250620C20750</stp>
        <tr r="BE161" s="1"/>
        <tr r="BE161" s="1"/>
      </tp>
      <tp>
        <v>11</v>
        <stp/>
        <stp>VOLUME</stp>
        <stp>.NDX250516C20150</stp>
        <tr r="BC185" s="1"/>
        <tr r="BC185" s="1"/>
      </tp>
      <tp>
        <v>17</v>
        <stp/>
        <stp>VOLUME</stp>
        <stp>.NDX250516C21150</stp>
        <tr r="BC145" s="1"/>
        <tr r="BC145" s="1"/>
      </tp>
      <tp t="s">
        <v>N/A</v>
        <stp/>
        <stp>VOLUME</stp>
        <stp>.NDX250523C20450</stp>
        <tr r="H174" s="2"/>
      </tp>
      <tp>
        <v>0.71</v>
        <stp/>
        <stp>DELTA</stp>
        <stp>.SPX250620C5710</stp>
        <tr r="CH116" s="1"/>
        <tr r="CH116" s="1"/>
      </tp>
      <tp>
        <v>-0.3</v>
        <stp/>
        <stp>DELTA</stp>
        <stp>.SPX250620P5710</stp>
        <tr r="CI116" s="1"/>
        <tr r="CI116" s="1"/>
      </tp>
      <tp>
        <v>0.72</v>
        <stp/>
        <stp>DELTA</stp>
        <stp>.SPX250620C5700</stp>
        <tr r="CH117" s="1"/>
        <tr r="CH117" s="1"/>
      </tp>
      <tp>
        <v>-0.28999999999999998</v>
        <stp/>
        <stp>DELTA</stp>
        <stp>.SPX250620P5700</stp>
        <tr r="CI117" s="1"/>
        <tr r="CI117" s="1"/>
      </tp>
      <tp>
        <v>0.69</v>
        <stp/>
        <stp>DELTA</stp>
        <stp>.SPX250620C5730</stp>
        <tr r="CH114" s="1"/>
        <tr r="CH114" s="1"/>
      </tp>
      <tp>
        <v>-0.32</v>
        <stp/>
        <stp>DELTA</stp>
        <stp>.SPX250620P5730</stp>
        <tr r="CI114" s="1"/>
        <tr r="CI114" s="1"/>
      </tp>
      <tp>
        <v>0.7</v>
        <stp/>
        <stp>DELTA</stp>
        <stp>.SPX250620C5720</stp>
        <tr r="CH115" s="1"/>
        <tr r="CH115" s="1"/>
      </tp>
      <tp>
        <v>-0.31</v>
        <stp/>
        <stp>DELTA</stp>
        <stp>.SPX250620P5720</stp>
        <tr r="CI115" s="1"/>
        <tr r="CI115" s="1"/>
      </tp>
      <tp>
        <v>0.66</v>
        <stp/>
        <stp>DELTA</stp>
        <stp>.SPX250620C5750</stp>
        <tr r="CH112" s="1"/>
        <tr r="CH112" s="1"/>
      </tp>
      <tp>
        <v>-0.34</v>
        <stp/>
        <stp>DELTA</stp>
        <stp>.SPX250620P5750</stp>
        <tr r="CI112" s="1"/>
        <tr r="CI112" s="1"/>
      </tp>
      <tp>
        <v>0.68</v>
        <stp/>
        <stp>DELTA</stp>
        <stp>.SPX250620C5740</stp>
        <tr r="CH113" s="1"/>
        <tr r="CH113" s="1"/>
      </tp>
      <tp>
        <v>-0.33</v>
        <stp/>
        <stp>DELTA</stp>
        <stp>.SPX250620P5740</stp>
        <tr r="CI113" s="1"/>
        <tr r="CI113" s="1"/>
      </tp>
      <tp>
        <v>0.64</v>
        <stp/>
        <stp>DELTA</stp>
        <stp>.SPX250620C5770</stp>
        <tr r="CH110" s="1"/>
        <tr r="CH110" s="1"/>
      </tp>
      <tp>
        <v>-0.36</v>
        <stp/>
        <stp>DELTA</stp>
        <stp>.SPX250620P5770</stp>
        <tr r="CI110" s="1"/>
        <tr r="CI110" s="1"/>
      </tp>
      <tp>
        <v>0.65</v>
        <stp/>
        <stp>DELTA</stp>
        <stp>.SPX250620C5760</stp>
        <tr r="CH111" s="1"/>
        <tr r="CH111" s="1"/>
      </tp>
      <tp>
        <v>-0.35</v>
        <stp/>
        <stp>DELTA</stp>
        <stp>.SPX250620P5760</stp>
        <tr r="CI111" s="1"/>
        <tr r="CI111" s="1"/>
      </tp>
      <tp>
        <v>0.62</v>
        <stp/>
        <stp>DELTA</stp>
        <stp>.SPX250620C5790</stp>
        <tr r="CH108" s="1"/>
        <tr r="CH108" s="1"/>
      </tp>
      <tp>
        <v>-0.39</v>
        <stp/>
        <stp>DELTA</stp>
        <stp>.SPX250620P5790</stp>
        <tr r="CI108" s="1"/>
        <tr r="CI108" s="1"/>
      </tp>
      <tp>
        <v>0.63</v>
        <stp/>
        <stp>DELTA</stp>
        <stp>.SPX250620C5780</stp>
        <tr r="CH109" s="1"/>
        <tr r="CH109" s="1"/>
      </tp>
      <tp>
        <v>-0.38</v>
        <stp/>
        <stp>DELTA</stp>
        <stp>.SPX250620P5780</stp>
        <tr r="CI109" s="1"/>
        <tr r="CI109" s="1"/>
      </tp>
      <tp t="s">
        <v>N/A</v>
        <stp/>
        <stp>IMPL_VOL</stp>
        <stp>.NDXP250512C21075</stp>
        <tr r="EL148" s="1"/>
      </tp>
      <tp t="s">
        <v>--</v>
        <stp/>
        <stp>IMPL_VOL</stp>
        <stp>.NDXP250512C20075</stp>
        <tr r="EL188" s="1"/>
      </tp>
      <tp t="s">
        <v>100.12%</v>
        <stp/>
        <stp>IMPL_VOL</stp>
        <stp>.NDXP250512C21050</stp>
        <tr r="EL149" s="1"/>
      </tp>
      <tp t="s">
        <v>--</v>
        <stp/>
        <stp>IMPL_VOL</stp>
        <stp>.NDXP250512C20050</stp>
        <tr r="EL189" s="1"/>
      </tp>
      <tp t="s">
        <v>N/A</v>
        <stp/>
        <stp>VOLUME</stp>
        <stp>.SPXC6000</stp>
        <tr r="K88" s="2"/>
      </tp>
      <tp t="s">
        <v>N/A</v>
        <stp/>
        <stp>VOLUME</stp>
        <stp>.SPXP6000</stp>
        <tr r="K88" s="2"/>
      </tp>
      <tp t="s">
        <v>N/A</v>
        <stp/>
        <stp>VOLUME</stp>
        <stp>.SPXC6010</stp>
        <tr r="K87" s="2"/>
      </tp>
      <tp t="s">
        <v>N/A</v>
        <stp/>
        <stp>VOLUME</stp>
        <stp>.SPXP6010</stp>
        <tr r="K87" s="2"/>
      </tp>
      <tp t="s">
        <v>N/A</v>
        <stp/>
        <stp>IMPL_VOL</stp>
        <stp>.NDXP250512C21025</stp>
        <tr r="EL150" s="1"/>
      </tp>
      <tp t="s">
        <v>N/A</v>
        <stp/>
        <stp>VOLUME</stp>
        <stp>.SPXC6020</stp>
        <tr r="K86" s="2"/>
      </tp>
      <tp t="s">
        <v>N/A</v>
        <stp/>
        <stp>VOLUME</stp>
        <stp>.SPXP6020</stp>
        <tr r="K86" s="2"/>
      </tp>
      <tp t="s">
        <v>28.79%</v>
        <stp/>
        <stp>IMPL_VOL</stp>
        <stp>.NDXP250512C21000</stp>
        <tr r="EL151" s="1"/>
      </tp>
      <tp t="s">
        <v>N/A</v>
        <stp/>
        <stp>VOLUME</stp>
        <stp>.NDX251121P20700</stp>
        <tr r="U164" s="2"/>
      </tp>
      <tp t="s">
        <v>N/A</v>
        <stp/>
        <stp>VOLUME</stp>
        <stp>.NDX251017P20100</stp>
        <tr r="S188" s="2"/>
      </tp>
      <tp t="s">
        <v>N/A</v>
        <stp/>
        <stp>VOLUME</stp>
        <stp>.NDX251017P21100</stp>
        <tr r="S148" s="2"/>
      </tp>
      <tp>
        <v>1</v>
        <stp/>
        <stp>VOLUME</stp>
        <stp>.NDX250815P20300</stp>
        <tr r="O180" s="2"/>
        <tr r="O180" s="2"/>
      </tp>
      <tp t="s">
        <v>N/A</v>
        <stp/>
        <stp>VOLUME</stp>
        <stp>.NDX250815P21300</stp>
        <tr r="O140" s="2"/>
      </tp>
      <tp>
        <v>2</v>
        <stp/>
        <stp>VOLUME</stp>
        <stp>.NDX250620P20600</stp>
        <tr r="BF167" s="1"/>
        <tr r="BF167" s="1"/>
      </tp>
      <tp>
        <v>20</v>
        <stp/>
        <stp>VOLUME</stp>
        <stp>.NDX250516P21000</stp>
        <tr r="BD151" s="1"/>
        <tr r="BD151" s="1"/>
      </tp>
      <tp t="s">
        <v>N/A</v>
        <stp/>
        <stp>VOLUME</stp>
        <stp>.NDX250523P20500</stp>
        <tr r="H172" s="2"/>
      </tp>
      <tp t="s">
        <v>N/A</v>
        <stp/>
        <stp>VOLUME</stp>
        <stp>.NDX251017P20125</stp>
        <tr r="S187" s="2"/>
      </tp>
      <tp t="s">
        <v>N/A</v>
        <stp/>
        <stp>VOLUME</stp>
        <stp>.NDX251017P21125</stp>
        <tr r="S147" s="2"/>
      </tp>
      <tp t="s">
        <v>N/A</v>
        <stp/>
        <stp>VOLUME</stp>
        <stp>.NDX251121P20725</stp>
        <tr r="U163" s="2"/>
      </tp>
      <tp t="s">
        <v>N/A</v>
        <stp/>
        <stp>VOLUME</stp>
        <stp>.NDX250815P20325</stp>
        <tr r="O179" s="2"/>
      </tp>
      <tp t="s">
        <v>N/A</v>
        <stp/>
        <stp>VOLUME</stp>
        <stp>.NDX250815P21325</stp>
        <tr r="O139" s="2"/>
      </tp>
      <tp t="s">
        <v>N/A</v>
        <stp/>
        <stp>VOLUME</stp>
        <stp>.NDX250620P20625</stp>
        <tr r="BF166" s="1"/>
      </tp>
      <tp t="s">
        <v>N/A</v>
        <stp/>
        <stp>VOLUME</stp>
        <stp>.NDX250516P21025</stp>
        <tr r="BD150" s="1"/>
      </tp>
      <tp t="s">
        <v>N/A</v>
        <stp/>
        <stp>VOLUME</stp>
        <stp>.NDX250523P20525</stp>
        <tr r="H171" s="2"/>
      </tp>
      <tp t="s">
        <v>N/A</v>
        <stp/>
        <stp>VOLUME</stp>
        <stp>.NDX250815P20350</stp>
        <tr r="O178" s="2"/>
      </tp>
      <tp t="s">
        <v>N/A</v>
        <stp/>
        <stp>VOLUME</stp>
        <stp>.NDX250815P21350</stp>
        <tr r="O138" s="2"/>
      </tp>
      <tp>
        <v>1</v>
        <stp/>
        <stp>VOLUME</stp>
        <stp>.NDX250620P20650</stp>
        <tr r="BF165" s="1"/>
        <tr r="BF165" s="1"/>
      </tp>
      <tp>
        <v>2</v>
        <stp/>
        <stp>VOLUME</stp>
        <stp>.NDX250516P20050</stp>
        <tr r="BD189" s="1"/>
        <tr r="BD189" s="1"/>
      </tp>
      <tp>
        <v>3</v>
        <stp/>
        <stp>VOLUME</stp>
        <stp>.NDX250516P21050</stp>
        <tr r="BD149" s="1"/>
        <tr r="BD149" s="1"/>
      </tp>
      <tp t="s">
        <v>N/A</v>
        <stp/>
        <stp>VOLUME</stp>
        <stp>.NDX250523P20550</stp>
        <tr r="H170" s="2"/>
      </tp>
      <tp t="s">
        <v>N/A</v>
        <stp/>
        <stp>VOLUME</stp>
        <stp>.NDX251121P20750</stp>
        <tr r="U162" s="2"/>
      </tp>
      <tp t="s">
        <v>N/A</v>
        <stp/>
        <stp>VOLUME</stp>
        <stp>.NDX251017P20150</stp>
        <tr r="S186" s="2"/>
      </tp>
      <tp t="s">
        <v>N/A</v>
        <stp/>
        <stp>VOLUME</stp>
        <stp>.NDX251017P21150</stp>
        <tr r="S146" s="2"/>
      </tp>
      <tp t="s">
        <v>N/A</v>
        <stp/>
        <stp>VOLUME</stp>
        <stp>.NDX250815P20375</stp>
        <tr r="O177" s="2"/>
      </tp>
      <tp t="s">
        <v>N/A</v>
        <stp/>
        <stp>VOLUME</stp>
        <stp>.NDX250620P20675</stp>
        <tr r="BF164" s="1"/>
      </tp>
      <tp>
        <v>6</v>
        <stp/>
        <stp>VOLUME</stp>
        <stp>.NDX250516P20075</stp>
        <tr r="BD188" s="1"/>
        <tr r="BD188" s="1"/>
      </tp>
      <tp>
        <v>1</v>
        <stp/>
        <stp>VOLUME</stp>
        <stp>.NDX250516P21075</stp>
        <tr r="BD148" s="1"/>
        <tr r="BD148" s="1"/>
      </tp>
      <tp t="s">
        <v>N/A</v>
        <stp/>
        <stp>VOLUME</stp>
        <stp>.NDX250523P20575</stp>
        <tr r="H169" s="2"/>
      </tp>
      <tp t="s">
        <v>N/A</v>
        <stp/>
        <stp>VOLUME</stp>
        <stp>.NDX251017P20175</stp>
        <tr r="S185" s="2"/>
      </tp>
      <tp t="s">
        <v>N/A</v>
        <stp/>
        <stp>VOLUME</stp>
        <stp>.NDX251017P21175</stp>
        <tr r="S145" s="2"/>
      </tp>
      <tp t="s">
        <v>N/A</v>
        <stp/>
        <stp>VOLUME</stp>
        <stp>.NDX251121P20775</stp>
        <tr r="U161" s="2"/>
      </tp>
      <tp t="s">
        <v>79.38%</v>
        <stp/>
        <stp>IMPL_VOL</stp>
        <stp>.NDXP250512P21050</stp>
        <tr r="EM149" s="1"/>
      </tp>
      <tp t="s">
        <v>319.49%</v>
        <stp/>
        <stp>IMPL_VOL</stp>
        <stp>.NDXP250512P20050</stp>
        <tr r="EM189" s="1"/>
      </tp>
      <tp t="s">
        <v>N/A</v>
        <stp/>
        <stp>IMPL_VOL</stp>
        <stp>.NDXP250512P21075</stp>
        <tr r="EM148" s="1"/>
      </tp>
      <tp t="s">
        <v>311.48%</v>
        <stp/>
        <stp>IMPL_VOL</stp>
        <stp>.NDXP250512P20075</stp>
        <tr r="EM188" s="1"/>
      </tp>
      <tp t="s">
        <v>61.99%</v>
        <stp/>
        <stp>IMPL_VOL</stp>
        <stp>.NDXP250512P21000</stp>
        <tr r="EM151" s="1"/>
      </tp>
      <tp t="s">
        <v>N/A</v>
        <stp/>
        <stp>IMPL_VOL</stp>
        <stp>.NDXP250512P21025</stp>
        <tr r="EM150" s="1"/>
      </tp>
      <tp t="s">
        <v>N/A</v>
        <stp/>
        <stp>VOLUME</stp>
        <stp>.NDX250815C20325</stp>
        <tr r="O179" s="2"/>
      </tp>
      <tp t="s">
        <v>N/A</v>
        <stp/>
        <stp>VOLUME</stp>
        <stp>.NDX250815C21325</stp>
        <tr r="O139" s="2"/>
      </tp>
      <tp>
        <v>1</v>
        <stp/>
        <stp>VOLUME</stp>
        <stp>.NDX250620C20625</stp>
        <tr r="BE166" s="1"/>
        <tr r="BE166" s="1"/>
      </tp>
      <tp>
        <v>13</v>
        <stp/>
        <stp>VOLUME</stp>
        <stp>.NDX250516C21025</stp>
        <tr r="BC150" s="1"/>
        <tr r="BC150" s="1"/>
      </tp>
      <tp t="s">
        <v>N/A</v>
        <stp/>
        <stp>VOLUME</stp>
        <stp>.NDX250523C20525</stp>
        <tr r="H171" s="2"/>
      </tp>
      <tp t="s">
        <v>N/A</v>
        <stp/>
        <stp>VOLUME</stp>
        <stp>.NDX251017C20125</stp>
        <tr r="S187" s="2"/>
      </tp>
      <tp t="s">
        <v>N/A</v>
        <stp/>
        <stp>VOLUME</stp>
        <stp>.NDX251017C21125</stp>
        <tr r="S147" s="2"/>
      </tp>
      <tp t="s">
        <v>N/A</v>
        <stp/>
        <stp>VOLUME</stp>
        <stp>.NDX251121C20725</stp>
        <tr r="U163" s="2"/>
      </tp>
      <tp t="s">
        <v>N/A</v>
        <stp/>
        <stp>VOLUME</stp>
        <stp>.NDX250815C20300</stp>
        <tr r="O180" s="2"/>
      </tp>
      <tp>
        <v>1</v>
        <stp/>
        <stp>VOLUME</stp>
        <stp>.NDX250815C21300</stp>
        <tr r="O140" s="2"/>
        <tr r="O140" s="2"/>
      </tp>
      <tp>
        <v>12</v>
        <stp/>
        <stp>VOLUME</stp>
        <stp>.NDX250620C20600</stp>
        <tr r="BE167" s="1"/>
        <tr r="BE167" s="1"/>
      </tp>
      <tp>
        <v>133</v>
        <stp/>
        <stp>VOLUME</stp>
        <stp>.NDX250516C21000</stp>
        <tr r="BC151" s="1"/>
        <tr r="BC151" s="1"/>
      </tp>
      <tp t="s">
        <v>N/A</v>
        <stp/>
        <stp>VOLUME</stp>
        <stp>.NDX250523C20500</stp>
        <tr r="H172" s="2"/>
      </tp>
      <tp t="s">
        <v>N/A</v>
        <stp/>
        <stp>VOLUME</stp>
        <stp>.NDX251121C20700</stp>
        <tr r="U164" s="2"/>
      </tp>
      <tp t="s">
        <v>N/A</v>
        <stp/>
        <stp>VOLUME</stp>
        <stp>.NDX251017C20100</stp>
        <tr r="S188" s="2"/>
      </tp>
      <tp t="s">
        <v>N/A</v>
        <stp/>
        <stp>VOLUME</stp>
        <stp>.NDX251017C21100</stp>
        <tr r="S148" s="2"/>
      </tp>
      <tp t="s">
        <v>N/A</v>
        <stp/>
        <stp>VOLUME</stp>
        <stp>.NDX251017C20175</stp>
        <tr r="S185" s="2"/>
      </tp>
      <tp t="s">
        <v>N/A</v>
        <stp/>
        <stp>VOLUME</stp>
        <stp>.NDX251017C21175</stp>
        <tr r="S145" s="2"/>
      </tp>
      <tp t="s">
        <v>N/A</v>
        <stp/>
        <stp>VOLUME</stp>
        <stp>.NDX251121C20775</stp>
        <tr r="U161" s="2"/>
      </tp>
      <tp t="s">
        <v>N/A</v>
        <stp/>
        <stp>VOLUME</stp>
        <stp>.NDX250815C20375</stp>
        <tr r="O177" s="2"/>
      </tp>
      <tp>
        <v>2</v>
        <stp/>
        <stp>VOLUME</stp>
        <stp>.NDX250620C20675</stp>
        <tr r="BE164" s="1"/>
        <tr r="BE164" s="1"/>
      </tp>
      <tp t="s">
        <v>N/A</v>
        <stp/>
        <stp>VOLUME</stp>
        <stp>.NDX250516C20075</stp>
        <tr r="BC188" s="1"/>
      </tp>
      <tp>
        <v>5</v>
        <stp/>
        <stp>VOLUME</stp>
        <stp>.NDX250516C21075</stp>
        <tr r="BC148" s="1"/>
        <tr r="BC148" s="1"/>
      </tp>
      <tp t="s">
        <v>N/A</v>
        <stp/>
        <stp>VOLUME</stp>
        <stp>.NDX250523C20575</stp>
        <tr r="H169" s="2"/>
      </tp>
      <tp t="s">
        <v>N/A</v>
        <stp/>
        <stp>VOLUME</stp>
        <stp>.NDX251121C20750</stp>
        <tr r="U162" s="2"/>
      </tp>
      <tp t="s">
        <v>N/A</v>
        <stp/>
        <stp>VOLUME</stp>
        <stp>.NDX251017C20150</stp>
        <tr r="S186" s="2"/>
      </tp>
      <tp t="s">
        <v>N/A</v>
        <stp/>
        <stp>VOLUME</stp>
        <stp>.NDX251017C21150</stp>
        <tr r="S146" s="2"/>
      </tp>
      <tp t="s">
        <v>N/A</v>
        <stp/>
        <stp>VOLUME</stp>
        <stp>.NDX250815C20350</stp>
        <tr r="O178" s="2"/>
      </tp>
      <tp t="s">
        <v>N/A</v>
        <stp/>
        <stp>VOLUME</stp>
        <stp>.NDX250815C21350</stp>
        <tr r="O138" s="2"/>
      </tp>
      <tp>
        <v>2</v>
        <stp/>
        <stp>VOLUME</stp>
        <stp>.NDX250620C20650</stp>
        <tr r="BE165" s="1"/>
        <tr r="BE165" s="1"/>
      </tp>
      <tp>
        <v>1</v>
        <stp/>
        <stp>VOLUME</stp>
        <stp>.NDX250516C20050</stp>
        <tr r="BC189" s="1"/>
        <tr r="BC189" s="1"/>
      </tp>
      <tp>
        <v>4</v>
        <stp/>
        <stp>VOLUME</stp>
        <stp>.NDX250516C21050</stp>
        <tr r="BC149" s="1"/>
        <tr r="BC149" s="1"/>
      </tp>
      <tp t="s">
        <v>N/A</v>
        <stp/>
        <stp>VOLUME</stp>
        <stp>.NDX250523C20550</stp>
        <tr r="H170" s="2"/>
      </tp>
      <tp>
        <v>0.97</v>
        <stp/>
        <stp>DELTA</stp>
        <stp>.SPX250516C5570</stp>
        <tr r="CF130" s="1"/>
        <tr r="CF130" s="1"/>
      </tp>
      <tp>
        <v>0.79</v>
        <stp/>
        <stp>DELTA</stp>
        <stp>.SPX250620C5610</stp>
        <tr r="CH126" s="1"/>
        <tr r="CH126" s="1"/>
      </tp>
      <tp>
        <v>-0.03</v>
        <stp/>
        <stp>DELTA</stp>
        <stp>.SPX250516P5570</stp>
        <tr r="CG130" s="1"/>
        <tr r="CG130" s="1"/>
      </tp>
      <tp>
        <v>-0.22</v>
        <stp/>
        <stp>DELTA</stp>
        <stp>.SPX250620P5610</stp>
        <tr r="CI126" s="1"/>
        <tr r="CI126" s="1"/>
      </tp>
      <tp>
        <v>0.8</v>
        <stp/>
        <stp>DELTA</stp>
        <stp>.SPX250620C5600</stp>
        <tr r="CH127" s="1"/>
        <tr r="CH127" s="1"/>
      </tp>
      <tp>
        <v>-0.22</v>
        <stp/>
        <stp>DELTA</stp>
        <stp>.SPX250620P5600</stp>
        <tr r="CI127" s="1"/>
        <tr r="CI127" s="1"/>
      </tp>
      <tp>
        <v>0.78</v>
        <stp/>
        <stp>DELTA</stp>
        <stp>.SPX250620C5630</stp>
        <tr r="CH124" s="1"/>
        <tr r="CH124" s="1"/>
      </tp>
      <tp>
        <v>-0.24</v>
        <stp/>
        <stp>DELTA</stp>
        <stp>.SPX250620P5630</stp>
        <tr r="CI124" s="1"/>
        <tr r="CI124" s="1"/>
      </tp>
      <tp>
        <v>0.79</v>
        <stp/>
        <stp>DELTA</stp>
        <stp>.SPX250620C5620</stp>
        <tr r="CH125" s="1"/>
        <tr r="CH125" s="1"/>
      </tp>
      <tp>
        <v>-0.23</v>
        <stp/>
        <stp>DELTA</stp>
        <stp>.SPX250620P5620</stp>
        <tr r="CI125" s="1"/>
        <tr r="CI125" s="1"/>
      </tp>
      <tp>
        <v>0.76</v>
        <stp/>
        <stp>DELTA</stp>
        <stp>.SPX250620C5650</stp>
        <tr r="CH122" s="1"/>
        <tr r="CH122" s="1"/>
      </tp>
      <tp>
        <v>-0.25</v>
        <stp/>
        <stp>DELTA</stp>
        <stp>.SPX250620P5650</stp>
        <tr r="CI122" s="1"/>
        <tr r="CI122" s="1"/>
      </tp>
      <tp>
        <v>0.77</v>
        <stp/>
        <stp>DELTA</stp>
        <stp>.SPX250620C5640</stp>
        <tr r="CH123" s="1"/>
        <tr r="CH123" s="1"/>
      </tp>
      <tp>
        <v>-0.24</v>
        <stp/>
        <stp>DELTA</stp>
        <stp>.SPX250620P5640</stp>
        <tr r="CI123" s="1"/>
        <tr r="CI123" s="1"/>
      </tp>
      <tp>
        <v>0.74</v>
        <stp/>
        <stp>DELTA</stp>
        <stp>.SPX250620C5670</stp>
        <tr r="CH120" s="1"/>
        <tr r="CH120" s="1"/>
      </tp>
      <tp>
        <v>-0.27</v>
        <stp/>
        <stp>DELTA</stp>
        <stp>.SPX250620P5670</stp>
        <tr r="CI120" s="1"/>
        <tr r="CI120" s="1"/>
      </tp>
      <tp>
        <v>0.75</v>
        <stp/>
        <stp>DELTA</stp>
        <stp>.SPX250620C5660</stp>
        <tr r="CH121" s="1"/>
        <tr r="CH121" s="1"/>
      </tp>
      <tp>
        <v>-0.26</v>
        <stp/>
        <stp>DELTA</stp>
        <stp>.SPX250620P5660</stp>
        <tr r="CI121" s="1"/>
        <tr r="CI121" s="1"/>
      </tp>
      <tp>
        <v>0.73</v>
        <stp/>
        <stp>DELTA</stp>
        <stp>.SPX250620C5690</stp>
        <tr r="CH118" s="1"/>
        <tr r="CH118" s="1"/>
      </tp>
      <tp>
        <v>-0.28999999999999998</v>
        <stp/>
        <stp>DELTA</stp>
        <stp>.SPX250620P5690</stp>
        <tr r="CI118" s="1"/>
        <tr r="CI118" s="1"/>
      </tp>
      <tp>
        <v>0.74</v>
        <stp/>
        <stp>DELTA</stp>
        <stp>.SPX250620C5680</stp>
        <tr r="CH119" s="1"/>
        <tr r="CH119" s="1"/>
      </tp>
      <tp>
        <v>-0.28000000000000003</v>
        <stp/>
        <stp>DELTA</stp>
        <stp>.SPX250620P5680</stp>
        <tr r="CI119" s="1"/>
        <tr r="CI119" s="1"/>
      </tp>
      <tp>
        <v>1</v>
        <stp/>
        <stp>DELTA</stp>
        <stp>.SPX250516C5590</stp>
        <tr r="CF128" s="1"/>
        <tr r="CF128" s="1"/>
      </tp>
      <tp>
        <v>-0.03</v>
        <stp/>
        <stp>DELTA</stp>
        <stp>.SPX250516P5590</stp>
        <tr r="CG128" s="1"/>
        <tr r="CG128" s="1"/>
      </tp>
      <tp>
        <v>1</v>
        <stp/>
        <stp>DELTA</stp>
        <stp>.SPX250516C5580</stp>
        <tr r="CF129" s="1"/>
        <tr r="CF129" s="1"/>
      </tp>
      <tp>
        <v>-0.03</v>
        <stp/>
        <stp>DELTA</stp>
        <stp>.SPX250516P5580</stp>
        <tr r="CG129" s="1"/>
        <tr r="CG129" s="1"/>
      </tp>
      <tp>
        <v>5865.75</v>
        <stp/>
        <stp>MARK</stp>
        <stp>/ES:XCME</stp>
        <tr r="F84" s="1"/>
        <tr r="F3" s="1"/>
      </tp>
      <tp t="s">
        <v>--</v>
        <stp/>
        <stp>IMPL_VOL</stp>
        <stp>.NDXP250512C20375</stp>
        <tr r="EL176" s="1"/>
      </tp>
      <tp t="s">
        <v>N/A</v>
        <stp/>
        <stp>IMPL_VOL</stp>
        <stp>.NDXP250512C21350</stp>
        <tr r="EL137" s="1"/>
      </tp>
      <tp t="s">
        <v>--</v>
        <stp/>
        <stp>IMPL_VOL</stp>
        <stp>.NDXP250512C20350</stp>
        <tr r="EL177" s="1"/>
      </tp>
      <tp t="s">
        <v>N/A</v>
        <stp/>
        <stp>IMPL_VOL</stp>
        <stp>.NDXP250512C21325</stp>
        <tr r="EL138" s="1"/>
      </tp>
      <tp t="s">
        <v>--</v>
        <stp/>
        <stp>IMPL_VOL</stp>
        <stp>.NDXP250512C20325</stp>
        <tr r="EL178" s="1"/>
      </tp>
      <tp t="s">
        <v>187.60%</v>
        <stp/>
        <stp>IMPL_VOL</stp>
        <stp>.NDXP250512C21300</stp>
        <tr r="EL139" s="1"/>
      </tp>
      <tp t="s">
        <v>--</v>
        <stp/>
        <stp>IMPL_VOL</stp>
        <stp>.NDXP250512C20300</stp>
        <tr r="EL179" s="1"/>
      </tp>
      <tp t="s">
        <v>N/A</v>
        <stp/>
        <stp>VOLUME</stp>
        <stp>.NDX251121P20400</stp>
        <tr r="U176" s="2"/>
      </tp>
      <tp t="s">
        <v>N/A</v>
        <stp/>
        <stp>VOLUME</stp>
        <stp>.NDX251017P20200</stp>
        <tr r="S184" s="2"/>
      </tp>
      <tp t="s">
        <v>N/A</v>
        <stp/>
        <stp>VOLUME</stp>
        <stp>.NDX251017P21200</stp>
        <tr r="S144" s="2"/>
      </tp>
      <tp>
        <v>4</v>
        <stp/>
        <stp>VOLUME</stp>
        <stp>.NDX250815P21000</stp>
        <tr r="O152" s="2"/>
        <tr r="O152" s="2"/>
      </tp>
      <tp>
        <v>38</v>
        <stp/>
        <stp>VOLUME</stp>
        <stp>.NDX250620P20500</stp>
        <tr r="BF171" s="1"/>
        <tr r="BF171" s="1"/>
      </tp>
      <tp>
        <v>6</v>
        <stp/>
        <stp>VOLUME</stp>
        <stp>.NDX250516P20300</stp>
        <tr r="BD179" s="1"/>
        <tr r="BD179" s="1"/>
      </tp>
      <tp>
        <v>2</v>
        <stp/>
        <stp>VOLUME</stp>
        <stp>.NDX250516P21300</stp>
        <tr r="BD139" s="1"/>
        <tr r="BD139" s="1"/>
      </tp>
      <tp t="s">
        <v>N/A</v>
        <stp/>
        <stp>VOLUME</stp>
        <stp>.NDX250523P20600</stp>
        <tr r="H168" s="2"/>
      </tp>
      <tp t="s">
        <v>N/A</v>
        <stp/>
        <stp>VOLUME</stp>
        <stp>.NDX251017P20225</stp>
        <tr r="S183" s="2"/>
      </tp>
      <tp t="s">
        <v>N/A</v>
        <stp/>
        <stp>VOLUME</stp>
        <stp>.NDX251017P21225</stp>
        <tr r="S143" s="2"/>
      </tp>
      <tp t="s">
        <v>N/A</v>
        <stp/>
        <stp>VOLUME</stp>
        <stp>.NDX251121P20425</stp>
        <tr r="U175" s="2"/>
      </tp>
      <tp t="s">
        <v>N/A</v>
        <stp/>
        <stp>VOLUME</stp>
        <stp>.NDX250815P21025</stp>
        <tr r="O151" s="2"/>
      </tp>
      <tp t="s">
        <v>N/A</v>
        <stp/>
        <stp>VOLUME</stp>
        <stp>.NDX250620P20525</stp>
        <tr r="BF170" s="1"/>
      </tp>
      <tp>
        <v>1</v>
        <stp/>
        <stp>VOLUME</stp>
        <stp>.NDX250516P20325</stp>
        <tr r="BD178" s="1"/>
        <tr r="BD178" s="1"/>
      </tp>
      <tp t="s">
        <v>N/A</v>
        <stp/>
        <stp>VOLUME</stp>
        <stp>.NDX250516P21325</stp>
        <tr r="BD138" s="1"/>
      </tp>
      <tp t="s">
        <v>N/A</v>
        <stp/>
        <stp>VOLUME</stp>
        <stp>.NDX250523P20625</stp>
        <tr r="H167" s="2"/>
      </tp>
      <tp t="s">
        <v>N/A</v>
        <stp/>
        <stp>VOLUME</stp>
        <stp>.NDX250815P20050</stp>
        <tr r="O190" s="2"/>
      </tp>
      <tp t="s">
        <v>N/A</v>
        <stp/>
        <stp>VOLUME</stp>
        <stp>.NDX250815P21050</stp>
        <tr r="O150" s="2"/>
      </tp>
      <tp>
        <v>1</v>
        <stp/>
        <stp>VOLUME</stp>
        <stp>.NDX250620P20550</stp>
        <tr r="BF169" s="1"/>
        <tr r="BF169" s="1"/>
      </tp>
      <tp>
        <v>5</v>
        <stp/>
        <stp>VOLUME</stp>
        <stp>.NDX250516P20350</stp>
        <tr r="BD177" s="1"/>
        <tr r="BD177" s="1"/>
      </tp>
      <tp t="s">
        <v>N/A</v>
        <stp/>
        <stp>VOLUME</stp>
        <stp>.NDX250516P21350</stp>
        <tr r="BD137" s="1"/>
      </tp>
      <tp t="s">
        <v>N/A</v>
        <stp/>
        <stp>VOLUME</stp>
        <stp>.NDX250523P20650</stp>
        <tr r="H166" s="2"/>
      </tp>
      <tp t="s">
        <v>N/A</v>
        <stp/>
        <stp>VOLUME</stp>
        <stp>.NDX251121P20450</stp>
        <tr r="U174" s="2"/>
      </tp>
      <tp t="s">
        <v>N/A</v>
        <stp/>
        <stp>VOLUME</stp>
        <stp>.NDX251017P20250</stp>
        <tr r="S182" s="2"/>
      </tp>
      <tp t="s">
        <v>N/A</v>
        <stp/>
        <stp>VOLUME</stp>
        <stp>.NDX251017P21250</stp>
        <tr r="S142" s="2"/>
      </tp>
      <tp t="s">
        <v>N/A</v>
        <stp/>
        <stp>VOLUME</stp>
        <stp>.NDX250815P20075</stp>
        <tr r="O189" s="2"/>
      </tp>
      <tp t="s">
        <v>N/A</v>
        <stp/>
        <stp>VOLUME</stp>
        <stp>.NDX250815P21075</stp>
        <tr r="O149" s="2"/>
      </tp>
      <tp t="s">
        <v>N/A</v>
        <stp/>
        <stp>VOLUME</stp>
        <stp>.NDX250620P20575</stp>
        <tr r="BF168" s="1"/>
      </tp>
      <tp>
        <v>2</v>
        <stp/>
        <stp>VOLUME</stp>
        <stp>.NDX250516P20375</stp>
        <tr r="BD176" s="1"/>
        <tr r="BD176" s="1"/>
      </tp>
      <tp t="s">
        <v>N/A</v>
        <stp/>
        <stp>VOLUME</stp>
        <stp>.NDX250523P20675</stp>
        <tr r="H165" s="2"/>
      </tp>
      <tp t="s">
        <v>N/A</v>
        <stp/>
        <stp>VOLUME</stp>
        <stp>.NDX251017P20275</stp>
        <tr r="S181" s="2"/>
      </tp>
      <tp t="s">
        <v>N/A</v>
        <stp/>
        <stp>VOLUME</stp>
        <stp>.NDX251017P21275</stp>
        <tr r="S141" s="2"/>
      </tp>
      <tp t="s">
        <v>N/A</v>
        <stp/>
        <stp>VOLUME</stp>
        <stp>.NDX251121P20475</stp>
        <tr r="U173" s="2"/>
      </tp>
      <tp t="s">
        <v>N/A</v>
        <stp/>
        <stp>IMPL_VOL</stp>
        <stp>.NDXP250512P21350</stp>
        <tr r="EM137" s="1"/>
      </tp>
      <tp t="s">
        <v>221.35%</v>
        <stp/>
        <stp>IMPL_VOL</stp>
        <stp>.NDXP250512P20350</stp>
        <tr r="EM177" s="1"/>
      </tp>
      <tp t="s">
        <v>212.92%</v>
        <stp/>
        <stp>IMPL_VOL</stp>
        <stp>.NDXP250512P20375</stp>
        <tr r="EM176" s="1"/>
      </tp>
      <tp t="s">
        <v>162.50%</v>
        <stp/>
        <stp>IMPL_VOL</stp>
        <stp>.NDXP250512P21300</stp>
        <tr r="EM139" s="1"/>
      </tp>
      <tp t="s">
        <v>161.01%</v>
        <stp/>
        <stp>IMPL_VOL</stp>
        <stp>.NDXP250512P20300</stp>
        <tr r="EM179" s="1"/>
      </tp>
      <tp t="s">
        <v>N/A</v>
        <stp/>
        <stp>IMPL_VOL</stp>
        <stp>.NDXP250512P21325</stp>
        <tr r="EM138" s="1"/>
      </tp>
      <tp t="s">
        <v>229.73%</v>
        <stp/>
        <stp>IMPL_VOL</stp>
        <stp>.NDXP250512P20325</stp>
        <tr r="EM178" s="1"/>
      </tp>
      <tp t="s">
        <v>N/A</v>
        <stp/>
        <stp>VOLUME</stp>
        <stp>.NDX250815C21025</stp>
        <tr r="O151" s="2"/>
      </tp>
      <tp t="s">
        <v>N/A</v>
        <stp/>
        <stp>VOLUME</stp>
        <stp>.NDX250620C20525</stp>
        <tr r="BE170" s="1"/>
      </tp>
      <tp>
        <v>4</v>
        <stp/>
        <stp>VOLUME</stp>
        <stp>.NDX250516C20325</stp>
        <tr r="BC178" s="1"/>
        <tr r="BC178" s="1"/>
      </tp>
      <tp>
        <v>59</v>
        <stp/>
        <stp>VOLUME</stp>
        <stp>.NDX250516C21325</stp>
        <tr r="BC138" s="1"/>
        <tr r="BC138" s="1"/>
      </tp>
      <tp t="s">
        <v>N/A</v>
        <stp/>
        <stp>VOLUME</stp>
        <stp>.NDX250523C20625</stp>
        <tr r="H167" s="2"/>
      </tp>
      <tp t="s">
        <v>N/A</v>
        <stp/>
        <stp>VOLUME</stp>
        <stp>.NDX251017C20225</stp>
        <tr r="S183" s="2"/>
      </tp>
      <tp t="s">
        <v>N/A</v>
        <stp/>
        <stp>VOLUME</stp>
        <stp>.NDX251017C21225</stp>
        <tr r="S143" s="2"/>
      </tp>
      <tp t="s">
        <v>N/A</v>
        <stp/>
        <stp>VOLUME</stp>
        <stp>.NDX251121C20425</stp>
        <tr r="U175" s="2"/>
      </tp>
      <tp>
        <v>8</v>
        <stp/>
        <stp>VOLUME</stp>
        <stp>.NDX250815C21000</stp>
        <tr r="O152" s="2"/>
        <tr r="O152" s="2"/>
      </tp>
      <tp>
        <v>33</v>
        <stp/>
        <stp>VOLUME</stp>
        <stp>.NDX250620C20500</stp>
        <tr r="BE171" s="1"/>
        <tr r="BE171" s="1"/>
      </tp>
      <tp>
        <v>3</v>
        <stp/>
        <stp>VOLUME</stp>
        <stp>.NDX250516C20300</stp>
        <tr r="BC179" s="1"/>
        <tr r="BC179" s="1"/>
      </tp>
      <tp>
        <v>37</v>
        <stp/>
        <stp>VOLUME</stp>
        <stp>.NDX250516C21300</stp>
        <tr r="BC139" s="1"/>
        <tr r="BC139" s="1"/>
      </tp>
      <tp t="s">
        <v>N/A</v>
        <stp/>
        <stp>VOLUME</stp>
        <stp>.NDX250523C20600</stp>
        <tr r="H168" s="2"/>
      </tp>
      <tp t="s">
        <v>N/A</v>
        <stp/>
        <stp>VOLUME</stp>
        <stp>.NDX251121C20400</stp>
        <tr r="U176" s="2"/>
      </tp>
      <tp t="s">
        <v>N/A</v>
        <stp/>
        <stp>VOLUME</stp>
        <stp>.NDX251017C20200</stp>
        <tr r="S184" s="2"/>
      </tp>
      <tp t="s">
        <v>N/A</v>
        <stp/>
        <stp>VOLUME</stp>
        <stp>.NDX251017C21200</stp>
        <tr r="S144" s="2"/>
      </tp>
      <tp t="s">
        <v>N/A</v>
        <stp/>
        <stp>VOLUME</stp>
        <stp>.NDX251017C20275</stp>
        <tr r="S181" s="2"/>
      </tp>
      <tp t="s">
        <v>N/A</v>
        <stp/>
        <stp>VOLUME</stp>
        <stp>.NDX251017C21275</stp>
        <tr r="S141" s="2"/>
      </tp>
      <tp t="s">
        <v>N/A</v>
        <stp/>
        <stp>VOLUME</stp>
        <stp>.NDX251121C20475</stp>
        <tr r="U173" s="2"/>
      </tp>
      <tp t="s">
        <v>N/A</v>
        <stp/>
        <stp>VOLUME</stp>
        <stp>.NDX250815C20075</stp>
        <tr r="O189" s="2"/>
      </tp>
      <tp t="s">
        <v>N/A</v>
        <stp/>
        <stp>VOLUME</stp>
        <stp>.NDX250815C21075</stp>
        <tr r="O149" s="2"/>
      </tp>
      <tp>
        <v>2</v>
        <stp/>
        <stp>VOLUME</stp>
        <stp>.NDX250620C20575</stp>
        <tr r="BE168" s="1"/>
        <tr r="BE168" s="1"/>
      </tp>
      <tp>
        <v>1</v>
        <stp/>
        <stp>VOLUME</stp>
        <stp>.NDX250516C20375</stp>
        <tr r="BC176" s="1"/>
        <tr r="BC176" s="1"/>
      </tp>
      <tp t="s">
        <v>N/A</v>
        <stp/>
        <stp>VOLUME</stp>
        <stp>.NDX250523C20675</stp>
        <tr r="H165" s="2"/>
      </tp>
      <tp t="s">
        <v>N/A</v>
        <stp/>
        <stp>VOLUME</stp>
        <stp>.NDX251121C20450</stp>
        <tr r="U174" s="2"/>
      </tp>
      <tp t="s">
        <v>N/A</v>
        <stp/>
        <stp>VOLUME</stp>
        <stp>.NDX251017C20250</stp>
        <tr r="S182" s="2"/>
      </tp>
      <tp t="s">
        <v>N/A</v>
        <stp/>
        <stp>VOLUME</stp>
        <stp>.NDX251017C21250</stp>
        <tr r="S142" s="2"/>
      </tp>
      <tp t="s">
        <v>N/A</v>
        <stp/>
        <stp>VOLUME</stp>
        <stp>.NDX250815C20050</stp>
        <tr r="O190" s="2"/>
      </tp>
      <tp t="s">
        <v>N/A</v>
        <stp/>
        <stp>VOLUME</stp>
        <stp>.NDX250815C21050</stp>
        <tr r="O150" s="2"/>
      </tp>
      <tp t="s">
        <v>N/A</v>
        <stp/>
        <stp>VOLUME</stp>
        <stp>.NDX250620C20550</stp>
        <tr r="BE169" s="1"/>
      </tp>
      <tp>
        <v>3</v>
        <stp/>
        <stp>VOLUME</stp>
        <stp>.NDX250516C20350</stp>
        <tr r="BC177" s="1"/>
        <tr r="BC177" s="1"/>
      </tp>
      <tp>
        <v>23</v>
        <stp/>
        <stp>VOLUME</stp>
        <stp>.NDX250516C21350</stp>
        <tr r="BC137" s="1"/>
        <tr r="BC137" s="1"/>
      </tp>
      <tp t="s">
        <v>N/A</v>
        <stp/>
        <stp>VOLUME</stp>
        <stp>.NDX250523C20650</stp>
        <tr r="H166" s="2"/>
      </tp>
      <tp>
        <v>0.93</v>
        <stp/>
        <stp>DELTA</stp>
        <stp>.SPX250516C5670</stp>
        <tr r="CF120" s="1"/>
        <tr r="CF120" s="1"/>
      </tp>
      <tp>
        <v>-0.08</v>
        <stp/>
        <stp>DELTA</stp>
        <stp>.SPX250516P5670</stp>
        <tr r="CG120" s="1"/>
        <tr r="CG120" s="1"/>
      </tp>
      <tp>
        <v>0.94</v>
        <stp/>
        <stp>DELTA</stp>
        <stp>.SPX250516C5660</stp>
        <tr r="CF121" s="1"/>
        <tr r="CF121" s="1"/>
      </tp>
      <tp>
        <v>-7.0000000000000007E-2</v>
        <stp/>
        <stp>DELTA</stp>
        <stp>.SPX250516P5660</stp>
        <tr r="CG121" s="1"/>
        <tr r="CG121" s="1"/>
      </tp>
      <tp>
        <v>0.96</v>
        <stp/>
        <stp>DELTA</stp>
        <stp>.SPX250516C5650</stp>
        <tr r="CF122" s="1"/>
        <tr r="CF122" s="1"/>
      </tp>
      <tp>
        <v>-0.06</v>
        <stp/>
        <stp>DELTA</stp>
        <stp>.SPX250516P5650</stp>
        <tr r="CG122" s="1"/>
        <tr r="CG122" s="1"/>
      </tp>
      <tp>
        <v>0.97</v>
        <stp/>
        <stp>DELTA</stp>
        <stp>.SPX250516C5640</stp>
        <tr r="CF123" s="1"/>
        <tr r="CF123" s="1"/>
      </tp>
      <tp>
        <v>-0.06</v>
        <stp/>
        <stp>DELTA</stp>
        <stp>.SPX250516P5640</stp>
        <tr r="CG123" s="1"/>
        <tr r="CG123" s="1"/>
      </tp>
      <tp>
        <v>0.95</v>
        <stp/>
        <stp>DELTA</stp>
        <stp>.SPX250516C5630</stp>
        <tr r="CF124" s="1"/>
        <tr r="CF124" s="1"/>
      </tp>
      <tp>
        <v>-0.05</v>
        <stp/>
        <stp>DELTA</stp>
        <stp>.SPX250516P5630</stp>
        <tr r="CG124" s="1"/>
        <tr r="CG124" s="1"/>
      </tp>
      <tp>
        <v>0.98</v>
        <stp/>
        <stp>DELTA</stp>
        <stp>.SPX250516C5620</stp>
        <tr r="CF125" s="1"/>
        <tr r="CF125" s="1"/>
      </tp>
      <tp>
        <v>-0.04</v>
        <stp/>
        <stp>DELTA</stp>
        <stp>.SPX250516P5620</stp>
        <tr r="CG125" s="1"/>
        <tr r="CG125" s="1"/>
      </tp>
      <tp>
        <v>0.99</v>
        <stp/>
        <stp>DELTA</stp>
        <stp>.SPX250516C5610</stp>
        <tr r="CF126" s="1"/>
        <tr r="CF126" s="1"/>
      </tp>
      <tp>
        <v>0.82</v>
        <stp/>
        <stp>DELTA</stp>
        <stp>.SPX250620C5570</stp>
        <tr r="CH130" s="1"/>
        <tr r="CH130" s="1"/>
      </tp>
      <tp>
        <v>-0.04</v>
        <stp/>
        <stp>DELTA</stp>
        <stp>.SPX250516P5610</stp>
        <tr r="CG126" s="1"/>
        <tr r="CG126" s="1"/>
      </tp>
      <tp>
        <v>-0.2</v>
        <stp/>
        <stp>DELTA</stp>
        <stp>.SPX250620P5570</stp>
        <tr r="CI130" s="1"/>
        <tr r="CI130" s="1"/>
      </tp>
      <tp>
        <v>0.98</v>
        <stp/>
        <stp>DELTA</stp>
        <stp>.SPX250516C5600</stp>
        <tr r="CF127" s="1"/>
        <tr r="CF127" s="1"/>
      </tp>
      <tp>
        <v>-0.04</v>
        <stp/>
        <stp>DELTA</stp>
        <stp>.SPX250516P5600</stp>
        <tr r="CG127" s="1"/>
        <tr r="CG127" s="1"/>
      </tp>
      <tp>
        <v>0.81</v>
        <stp/>
        <stp>DELTA</stp>
        <stp>.SPX250620C5590</stp>
        <tr r="CH128" s="1"/>
        <tr r="CH128" s="1"/>
      </tp>
      <tp>
        <v>-0.21</v>
        <stp/>
        <stp>DELTA</stp>
        <stp>.SPX250620P5590</stp>
        <tr r="CI128" s="1"/>
        <tr r="CI128" s="1"/>
      </tp>
      <tp>
        <v>0.81</v>
        <stp/>
        <stp>DELTA</stp>
        <stp>.SPX250620C5580</stp>
        <tr r="CH129" s="1"/>
        <tr r="CH129" s="1"/>
      </tp>
      <tp>
        <v>-0.2</v>
        <stp/>
        <stp>DELTA</stp>
        <stp>.SPX250620P5580</stp>
        <tr r="CI129" s="1"/>
        <tr r="CI129" s="1"/>
      </tp>
      <tp>
        <v>0.92</v>
        <stp/>
        <stp>DELTA</stp>
        <stp>.SPX250516C5690</stp>
        <tr r="CF118" s="1"/>
        <tr r="CF118" s="1"/>
      </tp>
      <tp>
        <v>-0.1</v>
        <stp/>
        <stp>DELTA</stp>
        <stp>.SPX250516P5690</stp>
        <tr r="CG118" s="1"/>
        <tr r="CG118" s="1"/>
      </tp>
      <tp>
        <v>0.92</v>
        <stp/>
        <stp>DELTA</stp>
        <stp>.SPX250516C5680</stp>
        <tr r="CF119" s="1"/>
        <tr r="CF119" s="1"/>
      </tp>
      <tp>
        <v>-0.09</v>
        <stp/>
        <stp>DELTA</stp>
        <stp>.SPX250516P5680</stp>
        <tr r="CG119" s="1"/>
        <tr r="CG119" s="1"/>
      </tp>
      <tp t="s">
        <v>N/A</v>
        <stp/>
        <stp>IMPL_VOL</stp>
        <stp>.NDXP250512C21275</stp>
        <tr r="EL140" s="1"/>
      </tp>
      <tp t="s">
        <v>--</v>
        <stp/>
        <stp>IMPL_VOL</stp>
        <stp>.NDXP250512C20275</stp>
        <tr r="EL180" s="1"/>
      </tp>
      <tp t="s">
        <v>171.05%</v>
        <stp/>
        <stp>IMPL_VOL</stp>
        <stp>.NDXP250512C21250</stp>
        <tr r="EL141" s="1"/>
      </tp>
      <tp t="s">
        <v>--</v>
        <stp/>
        <stp>IMPL_VOL</stp>
        <stp>.NDXP250512C20250</stp>
        <tr r="EL181" s="1"/>
      </tp>
      <tp t="s">
        <v>N/A</v>
        <stp/>
        <stp>IMPL_VOL</stp>
        <stp>.NDXP250512C21225</stp>
        <tr r="EL142" s="1"/>
      </tp>
      <tp t="s">
        <v>--</v>
        <stp/>
        <stp>IMPL_VOL</stp>
        <stp>.NDXP250512C20225</stp>
        <tr r="EL182" s="1"/>
      </tp>
      <tp t="s">
        <v>78.49%</v>
        <stp/>
        <stp>IMPL_VOL</stp>
        <stp>.NDXP250512C21200</stp>
        <tr r="EL143" s="1"/>
      </tp>
      <tp t="s">
        <v>--</v>
        <stp/>
        <stp>IMPL_VOL</stp>
        <stp>.NDXP250512C20200</stp>
        <tr r="EL183" s="1"/>
      </tp>
      <tp t="s">
        <v>N/A</v>
        <stp/>
        <stp>VOLUME</stp>
        <stp>.NDX251121P20500</stp>
        <tr r="U172" s="2"/>
      </tp>
      <tp t="s">
        <v>N/A</v>
        <stp/>
        <stp>VOLUME</stp>
        <stp>.NDX251017P20300</stp>
        <tr r="S180" s="2"/>
      </tp>
      <tp>
        <v>1</v>
        <stp/>
        <stp>VOLUME</stp>
        <stp>.NDX251017P21300</stp>
        <tr r="S140" s="2"/>
        <tr r="S140" s="2"/>
      </tp>
      <tp t="s">
        <v>N/A</v>
        <stp/>
        <stp>VOLUME</stp>
        <stp>.NDX250815P20100</stp>
        <tr r="O188" s="2"/>
      </tp>
      <tp t="s">
        <v>N/A</v>
        <stp/>
        <stp>VOLUME</stp>
        <stp>.NDX250815P21100</stp>
        <tr r="O148" s="2"/>
      </tp>
      <tp t="s">
        <v>N/A</v>
        <stp/>
        <stp>VOLUME</stp>
        <stp>.NDX250620P20400</stp>
        <tr r="BF175" s="1"/>
      </tp>
      <tp>
        <v>4</v>
        <stp/>
        <stp>VOLUME</stp>
        <stp>.NDX250516P20200</stp>
        <tr r="BD183" s="1"/>
        <tr r="BD183" s="1"/>
      </tp>
      <tp t="s">
        <v>N/A</v>
        <stp/>
        <stp>VOLUME</stp>
        <stp>.NDX250516P21200</stp>
        <tr r="BD143" s="1"/>
      </tp>
      <tp t="s">
        <v>N/A</v>
        <stp/>
        <stp>VOLUME</stp>
        <stp>.NDX250523P20700</stp>
        <tr r="H164" s="2"/>
      </tp>
      <tp t="s">
        <v>N/A</v>
        <stp/>
        <stp>VOLUME</stp>
        <stp>.NDX251017P20325</stp>
        <tr r="S179" s="2"/>
      </tp>
      <tp t="s">
        <v>N/A</v>
        <stp/>
        <stp>VOLUME</stp>
        <stp>.NDX251017P21325</stp>
        <tr r="S139" s="2"/>
      </tp>
      <tp t="s">
        <v>N/A</v>
        <stp/>
        <stp>VOLUME</stp>
        <stp>.NDX251121P20525</stp>
        <tr r="U171" s="2"/>
      </tp>
      <tp t="s">
        <v>N/A</v>
        <stp/>
        <stp>VOLUME</stp>
        <stp>.NDX250815P20125</stp>
        <tr r="O187" s="2"/>
      </tp>
      <tp t="s">
        <v>N/A</v>
        <stp/>
        <stp>VOLUME</stp>
        <stp>.NDX250815P21125</stp>
        <tr r="O147" s="2"/>
      </tp>
      <tp>
        <v>2</v>
        <stp/>
        <stp>VOLUME</stp>
        <stp>.NDX250620P20425</stp>
        <tr r="BF174" s="1"/>
        <tr r="BF174" s="1"/>
      </tp>
      <tp>
        <v>6</v>
        <stp/>
        <stp>VOLUME</stp>
        <stp>.NDX250516P20225</stp>
        <tr r="BD182" s="1"/>
        <tr r="BD182" s="1"/>
      </tp>
      <tp t="s">
        <v>N/A</v>
        <stp/>
        <stp>VOLUME</stp>
        <stp>.NDX250516P21225</stp>
        <tr r="BD142" s="1"/>
      </tp>
      <tp t="s">
        <v>N/A</v>
        <stp/>
        <stp>VOLUME</stp>
        <stp>.NDX250523P20725</stp>
        <tr r="H163" s="2"/>
      </tp>
      <tp t="s">
        <v>N/A</v>
        <stp/>
        <stp>VOLUME</stp>
        <stp>.NDX250815P20150</stp>
        <tr r="O186" s="2"/>
      </tp>
      <tp t="s">
        <v>N/A</v>
        <stp/>
        <stp>VOLUME</stp>
        <stp>.NDX250815P21150</stp>
        <tr r="O146" s="2"/>
      </tp>
      <tp>
        <v>3</v>
        <stp/>
        <stp>VOLUME</stp>
        <stp>.NDX250620P20450</stp>
        <tr r="BF173" s="1"/>
        <tr r="BF173" s="1"/>
      </tp>
      <tp>
        <v>10</v>
        <stp/>
        <stp>VOLUME</stp>
        <stp>.NDX250516P20250</stp>
        <tr r="BD181" s="1"/>
        <tr r="BD181" s="1"/>
      </tp>
      <tp t="s">
        <v>N/A</v>
        <stp/>
        <stp>VOLUME</stp>
        <stp>.NDX250516P21250</stp>
        <tr r="BD141" s="1"/>
      </tp>
      <tp t="s">
        <v>N/A</v>
        <stp/>
        <stp>VOLUME</stp>
        <stp>.NDX250523P20750</stp>
        <tr r="H162" s="2"/>
      </tp>
      <tp t="s">
        <v>N/A</v>
        <stp/>
        <stp>VOLUME</stp>
        <stp>.NDX251121P20550</stp>
        <tr r="U170" s="2"/>
      </tp>
      <tp t="s">
        <v>N/A</v>
        <stp/>
        <stp>VOLUME</stp>
        <stp>.NDX251017P20350</stp>
        <tr r="S178" s="2"/>
      </tp>
      <tp t="s">
        <v>N/A</v>
        <stp/>
        <stp>VOLUME</stp>
        <stp>.NDX251017P21350</stp>
        <tr r="S138" s="2"/>
      </tp>
      <tp t="s">
        <v>N/A</v>
        <stp/>
        <stp>VOLUME</stp>
        <stp>.NDX250815P20175</stp>
        <tr r="O185" s="2"/>
      </tp>
      <tp t="s">
        <v>N/A</v>
        <stp/>
        <stp>VOLUME</stp>
        <stp>.NDX250815P21175</stp>
        <tr r="O145" s="2"/>
      </tp>
      <tp t="s">
        <v>N/A</v>
        <stp/>
        <stp>VOLUME</stp>
        <stp>.NDX250620P20475</stp>
        <tr r="BF172" s="1"/>
      </tp>
      <tp>
        <v>8</v>
        <stp/>
        <stp>VOLUME</stp>
        <stp>.NDX250516P20275</stp>
        <tr r="BD180" s="1"/>
        <tr r="BD180" s="1"/>
      </tp>
      <tp t="s">
        <v>N/A</v>
        <stp/>
        <stp>VOLUME</stp>
        <stp>.NDX250516P21275</stp>
        <tr r="BD140" s="1"/>
      </tp>
      <tp t="s">
        <v>N/A</v>
        <stp/>
        <stp>VOLUME</stp>
        <stp>.NDX250523P20775</stp>
        <tr r="H161" s="2"/>
      </tp>
      <tp t="s">
        <v>N/A</v>
        <stp/>
        <stp>VOLUME</stp>
        <stp>.NDX251017P20375</stp>
        <tr r="S177" s="2"/>
      </tp>
      <tp t="s">
        <v>N/A</v>
        <stp/>
        <stp>VOLUME</stp>
        <stp>.NDX251121P20575</stp>
        <tr r="U169" s="2"/>
      </tp>
      <tp t="s">
        <v>157.29%</v>
        <stp/>
        <stp>IMPL_VOL</stp>
        <stp>.NDXP250512P21250</stp>
        <tr r="EM141" s="1"/>
      </tp>
      <tp t="s">
        <v>254.61%</v>
        <stp/>
        <stp>IMPL_VOL</stp>
        <stp>.NDXP250512P20250</stp>
        <tr r="EM181" s="1"/>
      </tp>
      <tp t="s">
        <v>N/A</v>
        <stp/>
        <stp>IMPL_VOL</stp>
        <stp>.NDXP250512P21275</stp>
        <tr r="EM140" s="1"/>
      </tp>
      <tp t="s">
        <v>246.36%</v>
        <stp/>
        <stp>IMPL_VOL</stp>
        <stp>.NDXP250512P20275</stp>
        <tr r="EM180" s="1"/>
      </tp>
      <tp t="s">
        <v>136.36%</v>
        <stp/>
        <stp>IMPL_VOL</stp>
        <stp>.NDXP250512P21200</stp>
        <tr r="EM143" s="1"/>
      </tp>
      <tp t="s">
        <v>148.61%</v>
        <stp/>
        <stp>IMPL_VOL</stp>
        <stp>.NDXP250512P20200</stp>
        <tr r="EM183" s="1"/>
      </tp>
      <tp t="s">
        <v>N/A</v>
        <stp/>
        <stp>IMPL_VOL</stp>
        <stp>.NDXP250512P21225</stp>
        <tr r="EM142" s="1"/>
      </tp>
      <tp t="s">
        <v>262.83%</v>
        <stp/>
        <stp>IMPL_VOL</stp>
        <stp>.NDXP250512P20225</stp>
        <tr r="EM182" s="1"/>
      </tp>
      <tp t="s">
        <v>N/A</v>
        <stp/>
        <stp>VOLUME</stp>
        <stp>.NDX250815C20125</stp>
        <tr r="O187" s="2"/>
      </tp>
      <tp t="s">
        <v>N/A</v>
        <stp/>
        <stp>VOLUME</stp>
        <stp>.NDX250815C21125</stp>
        <tr r="O147" s="2"/>
      </tp>
      <tp t="s">
        <v>N/A</v>
        <stp/>
        <stp>VOLUME</stp>
        <stp>.NDX250620C20425</stp>
        <tr r="BE174" s="1"/>
      </tp>
      <tp t="s">
        <v>N/A</v>
        <stp/>
        <stp>VOLUME</stp>
        <stp>.NDX250516C20225</stp>
        <tr r="BC182" s="1"/>
      </tp>
      <tp>
        <v>7</v>
        <stp/>
        <stp>VOLUME</stp>
        <stp>.NDX250516C21225</stp>
        <tr r="BC142" s="1"/>
        <tr r="BC142" s="1"/>
      </tp>
      <tp t="s">
        <v>N/A</v>
        <stp/>
        <stp>VOLUME</stp>
        <stp>.NDX250523C20725</stp>
        <tr r="H163" s="2"/>
      </tp>
      <tp t="s">
        <v>N/A</v>
        <stp/>
        <stp>VOLUME</stp>
        <stp>.NDX251017C20325</stp>
        <tr r="S179" s="2"/>
      </tp>
      <tp t="s">
        <v>N/A</v>
        <stp/>
        <stp>VOLUME</stp>
        <stp>.NDX251017C21325</stp>
        <tr r="S139" s="2"/>
      </tp>
      <tp t="s">
        <v>N/A</v>
        <stp/>
        <stp>VOLUME</stp>
        <stp>.NDX251121C20525</stp>
        <tr r="U171" s="2"/>
      </tp>
      <tp t="s">
        <v>N/A</v>
        <stp/>
        <stp>VOLUME</stp>
        <stp>.NDX250815C20100</stp>
        <tr r="O188" s="2"/>
      </tp>
      <tp t="s">
        <v>N/A</v>
        <stp/>
        <stp>VOLUME</stp>
        <stp>.NDX250815C21100</stp>
        <tr r="O148" s="2"/>
      </tp>
      <tp>
        <v>2</v>
        <stp/>
        <stp>VOLUME</stp>
        <stp>.NDX250620C20400</stp>
        <tr r="BE175" s="1"/>
        <tr r="BE175" s="1"/>
      </tp>
      <tp>
        <v>3</v>
        <stp/>
        <stp>VOLUME</stp>
        <stp>.NDX250516C20200</stp>
        <tr r="BC183" s="1"/>
        <tr r="BC183" s="1"/>
      </tp>
      <tp>
        <v>67</v>
        <stp/>
        <stp>VOLUME</stp>
        <stp>.NDX250516C21200</stp>
        <tr r="BC143" s="1"/>
        <tr r="BC143" s="1"/>
      </tp>
      <tp t="s">
        <v>N/A</v>
        <stp/>
        <stp>VOLUME</stp>
        <stp>.NDX250523C20700</stp>
        <tr r="H164" s="2"/>
      </tp>
      <tp t="s">
        <v>N/A</v>
        <stp/>
        <stp>VOLUME</stp>
        <stp>.NDX251121C20500</stp>
        <tr r="U172" s="2"/>
      </tp>
      <tp>
        <v>5</v>
        <stp/>
        <stp>VOLUME</stp>
        <stp>.NDX251017C20300</stp>
        <tr r="S180" s="2"/>
        <tr r="S180" s="2"/>
      </tp>
      <tp t="s">
        <v>N/A</v>
        <stp/>
        <stp>VOLUME</stp>
        <stp>.NDX251017C21300</stp>
        <tr r="S140" s="2"/>
      </tp>
      <tp t="s">
        <v>N/A</v>
        <stp/>
        <stp>VOLUME</stp>
        <stp>.NDX251017C20375</stp>
        <tr r="S177" s="2"/>
      </tp>
      <tp t="s">
        <v>N/A</v>
        <stp/>
        <stp>VOLUME</stp>
        <stp>.NDX251121C20575</stp>
        <tr r="U169" s="2"/>
      </tp>
      <tp t="s">
        <v>N/A</v>
        <stp/>
        <stp>VOLUME</stp>
        <stp>.NDX250815C20175</stp>
        <tr r="O185" s="2"/>
      </tp>
      <tp t="s">
        <v>N/A</v>
        <stp/>
        <stp>VOLUME</stp>
        <stp>.NDX250815C21175</stp>
        <tr r="O145" s="2"/>
      </tp>
      <tp t="s">
        <v>N/A</v>
        <stp/>
        <stp>VOLUME</stp>
        <stp>.NDX250620C20475</stp>
        <tr r="BE172" s="1"/>
      </tp>
      <tp t="s">
        <v>N/A</v>
        <stp/>
        <stp>VOLUME</stp>
        <stp>.NDX250516C20275</stp>
        <tr r="BC180" s="1"/>
      </tp>
      <tp>
        <v>10</v>
        <stp/>
        <stp>VOLUME</stp>
        <stp>.NDX250516C21275</stp>
        <tr r="BC140" s="1"/>
        <tr r="BC140" s="1"/>
      </tp>
      <tp t="s">
        <v>N/A</v>
        <stp/>
        <stp>VOLUME</stp>
        <stp>.NDX250523C20775</stp>
        <tr r="H161" s="2"/>
      </tp>
      <tp t="s">
        <v>N/A</v>
        <stp/>
        <stp>VOLUME</stp>
        <stp>.NDX251121C20550</stp>
        <tr r="U170" s="2"/>
      </tp>
      <tp t="s">
        <v>N/A</v>
        <stp/>
        <stp>VOLUME</stp>
        <stp>.NDX251017C20350</stp>
        <tr r="S178" s="2"/>
      </tp>
      <tp t="s">
        <v>N/A</v>
        <stp/>
        <stp>VOLUME</stp>
        <stp>.NDX251017C21350</stp>
        <tr r="S138" s="2"/>
      </tp>
      <tp t="s">
        <v>N/A</v>
        <stp/>
        <stp>VOLUME</stp>
        <stp>.NDX250815C20150</stp>
        <tr r="O186" s="2"/>
      </tp>
      <tp t="s">
        <v>N/A</v>
        <stp/>
        <stp>VOLUME</stp>
        <stp>.NDX250815C21150</stp>
        <tr r="O146" s="2"/>
      </tp>
      <tp>
        <v>1</v>
        <stp/>
        <stp>VOLUME</stp>
        <stp>.NDX250620C20450</stp>
        <tr r="BE173" s="1"/>
        <tr r="BE173" s="1"/>
      </tp>
      <tp>
        <v>26</v>
        <stp/>
        <stp>VOLUME</stp>
        <stp>.NDX250516C20250</stp>
        <tr r="BC181" s="1"/>
        <tr r="BC181" s="1"/>
      </tp>
      <tp>
        <v>5</v>
        <stp/>
        <stp>VOLUME</stp>
        <stp>.NDX250516C21250</stp>
        <tr r="BC141" s="1"/>
        <tr r="BC141" s="1"/>
      </tp>
      <tp t="s">
        <v>N/A</v>
        <stp/>
        <stp>VOLUME</stp>
        <stp>.NDX250523C20750</stp>
        <tr r="H162" s="2"/>
      </tp>
      <tp>
        <v>0.77</v>
        <stp/>
        <stp>DELTA</stp>
        <stp>.SPX250516C5770</stp>
        <tr r="CF110" s="1"/>
        <tr r="CF110" s="1"/>
      </tp>
      <tp>
        <v>-0.24</v>
        <stp/>
        <stp>DELTA</stp>
        <stp>.SPX250516P5770</stp>
        <tr r="CG110" s="1"/>
        <tr r="CG110" s="1"/>
      </tp>
      <tp>
        <v>0.79</v>
        <stp/>
        <stp>DELTA</stp>
        <stp>.SPX250516C5760</stp>
        <tr r="CF111" s="1"/>
        <tr r="CF111" s="1"/>
      </tp>
      <tp>
        <v>-0.22</v>
        <stp/>
        <stp>DELTA</stp>
        <stp>.SPX250516P5760</stp>
        <tr r="CG111" s="1"/>
        <tr r="CG111" s="1"/>
      </tp>
      <tp>
        <v>0.81</v>
        <stp/>
        <stp>DELTA</stp>
        <stp>.SPX250516C5750</stp>
        <tr r="CF112" s="1"/>
        <tr r="CF112" s="1"/>
      </tp>
      <tp>
        <v>-0.2</v>
        <stp/>
        <stp>DELTA</stp>
        <stp>.SPX250516P5750</stp>
        <tr r="CG112" s="1"/>
        <tr r="CG112" s="1"/>
      </tp>
      <tp>
        <v>0.84</v>
        <stp/>
        <stp>DELTA</stp>
        <stp>.SPX250516C5740</stp>
        <tr r="CF113" s="1"/>
        <tr r="CF113" s="1"/>
      </tp>
      <tp>
        <v>-0.18</v>
        <stp/>
        <stp>DELTA</stp>
        <stp>.SPX250516P5740</stp>
        <tr r="CG113" s="1"/>
        <tr r="CG113" s="1"/>
      </tp>
      <tp>
        <v>0.85</v>
        <stp/>
        <stp>DELTA</stp>
        <stp>.SPX250516C5730</stp>
        <tr r="CF114" s="1"/>
        <tr r="CF114" s="1"/>
      </tp>
      <tp>
        <v>-0.16</v>
        <stp/>
        <stp>DELTA</stp>
        <stp>.SPX250516P5730</stp>
        <tr r="CG114" s="1"/>
        <tr r="CG114" s="1"/>
      </tp>
      <tp>
        <v>0.86</v>
        <stp/>
        <stp>DELTA</stp>
        <stp>.SPX250516C5720</stp>
        <tr r="CF115" s="1"/>
        <tr r="CF115" s="1"/>
      </tp>
      <tp>
        <v>-0.14000000000000001</v>
        <stp/>
        <stp>DELTA</stp>
        <stp>.SPX250516P5720</stp>
        <tr r="CG115" s="1"/>
        <tr r="CG115" s="1"/>
      </tp>
      <tp>
        <v>0.89</v>
        <stp/>
        <stp>DELTA</stp>
        <stp>.SPX250516C5710</stp>
        <tr r="CF116" s="1"/>
        <tr r="CF116" s="1"/>
      </tp>
      <tp>
        <v>-0.13</v>
        <stp/>
        <stp>DELTA</stp>
        <stp>.SPX250516P5710</stp>
        <tr r="CG116" s="1"/>
        <tr r="CG116" s="1"/>
      </tp>
      <tp>
        <v>0.9</v>
        <stp/>
        <stp>DELTA</stp>
        <stp>.SPX250516C5700</stp>
        <tr r="CF117" s="1"/>
        <tr r="CF117" s="1"/>
      </tp>
      <tp>
        <v>-0.11</v>
        <stp/>
        <stp>DELTA</stp>
        <stp>.SPX250516P5700</stp>
        <tr r="CG117" s="1"/>
        <tr r="CG117" s="1"/>
      </tp>
      <tp>
        <v>0.7</v>
        <stp/>
        <stp>DELTA</stp>
        <stp>.SPX250516C5790</stp>
        <tr r="CF108" s="1"/>
        <tr r="CF108" s="1"/>
      </tp>
      <tp>
        <v>-0.3</v>
        <stp/>
        <stp>DELTA</stp>
        <stp>.SPX250516P5790</stp>
        <tr r="CG108" s="1"/>
        <tr r="CG108" s="1"/>
      </tp>
      <tp>
        <v>0.74</v>
        <stp/>
        <stp>DELTA</stp>
        <stp>.SPX250516C5780</stp>
        <tr r="CF109" s="1"/>
        <tr r="CF109" s="1"/>
      </tp>
      <tp>
        <v>-0.27</v>
        <stp/>
        <stp>DELTA</stp>
        <stp>.SPX250516P5780</stp>
        <tr r="CG109" s="1"/>
        <tr r="CG10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volatileDependencies" Target="volatileDependencies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GEX (Millones)</a:t>
            </a:r>
          </a:p>
        </c:rich>
      </c:tx>
      <c:layout>
        <c:manualLayout>
          <c:xMode val="edge"/>
          <c:yMode val="edge"/>
          <c:x val="0.71319634280599442"/>
          <c:y val="2.13932569128014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250512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592</c:v>
                </c:pt>
                <c:pt idx="1">
                  <c:v>591</c:v>
                </c:pt>
                <c:pt idx="2">
                  <c:v>590</c:v>
                </c:pt>
                <c:pt idx="3">
                  <c:v>589</c:v>
                </c:pt>
                <c:pt idx="4">
                  <c:v>588</c:v>
                </c:pt>
                <c:pt idx="5">
                  <c:v>587</c:v>
                </c:pt>
                <c:pt idx="6">
                  <c:v>586</c:v>
                </c:pt>
                <c:pt idx="7">
                  <c:v>585</c:v>
                </c:pt>
                <c:pt idx="8">
                  <c:v>584</c:v>
                </c:pt>
                <c:pt idx="9">
                  <c:v>583</c:v>
                </c:pt>
                <c:pt idx="10">
                  <c:v>582</c:v>
                </c:pt>
                <c:pt idx="11">
                  <c:v>581</c:v>
                </c:pt>
                <c:pt idx="12">
                  <c:v>580</c:v>
                </c:pt>
                <c:pt idx="13">
                  <c:v>579</c:v>
                </c:pt>
                <c:pt idx="14">
                  <c:v>578</c:v>
                </c:pt>
                <c:pt idx="15">
                  <c:v>577</c:v>
                </c:pt>
                <c:pt idx="16">
                  <c:v>576</c:v>
                </c:pt>
                <c:pt idx="17">
                  <c:v>575</c:v>
                </c:pt>
                <c:pt idx="18">
                  <c:v>574</c:v>
                </c:pt>
                <c:pt idx="19">
                  <c:v>573</c:v>
                </c:pt>
                <c:pt idx="20">
                  <c:v>572</c:v>
                </c:pt>
                <c:pt idx="21">
                  <c:v>571</c:v>
                </c:pt>
                <c:pt idx="22">
                  <c:v>570</c:v>
                </c:pt>
                <c:pt idx="23">
                  <c:v>569</c:v>
                </c:pt>
                <c:pt idx="24">
                  <c:v>568</c:v>
                </c:pt>
                <c:pt idx="25">
                  <c:v>567</c:v>
                </c:pt>
                <c:pt idx="26">
                  <c:v>566</c:v>
                </c:pt>
                <c:pt idx="27">
                  <c:v>565</c:v>
                </c:pt>
                <c:pt idx="28">
                  <c:v>564</c:v>
                </c:pt>
                <c:pt idx="29">
                  <c:v>563</c:v>
                </c:pt>
                <c:pt idx="30">
                  <c:v>562</c:v>
                </c:pt>
                <c:pt idx="31">
                  <c:v>561</c:v>
                </c:pt>
                <c:pt idx="32">
                  <c:v>560</c:v>
                </c:pt>
                <c:pt idx="33">
                  <c:v>559</c:v>
                </c:pt>
                <c:pt idx="34">
                  <c:v>558</c:v>
                </c:pt>
              </c:numCache>
            </c:numRef>
          </c:cat>
          <c:val>
            <c:numRef>
              <c:f>Hoja1!$BQ$4:$BQ$38</c:f>
              <c:numCache>
                <c:formatCode>General</c:formatCode>
                <c:ptCount val="35"/>
                <c:pt idx="0">
                  <c:v>3484948.0913645816</c:v>
                </c:pt>
                <c:pt idx="1">
                  <c:v>10868609.333679782</c:v>
                </c:pt>
                <c:pt idx="2">
                  <c:v>78444885.005898833</c:v>
                </c:pt>
                <c:pt idx="3">
                  <c:v>20451209.926369432</c:v>
                </c:pt>
                <c:pt idx="4">
                  <c:v>24004992.734320056</c:v>
                </c:pt>
                <c:pt idx="5">
                  <c:v>43446914.465028003</c:v>
                </c:pt>
                <c:pt idx="6">
                  <c:v>128321578.36593676</c:v>
                </c:pt>
                <c:pt idx="7">
                  <c:v>389950643.80345702</c:v>
                </c:pt>
                <c:pt idx="8">
                  <c:v>176203833.11711973</c:v>
                </c:pt>
                <c:pt idx="9">
                  <c:v>583658194.70281386</c:v>
                </c:pt>
                <c:pt idx="10">
                  <c:v>130115503.69624102</c:v>
                </c:pt>
                <c:pt idx="11">
                  <c:v>180948073.72512865</c:v>
                </c:pt>
                <c:pt idx="12">
                  <c:v>1118708892.5473914</c:v>
                </c:pt>
                <c:pt idx="13">
                  <c:v>96806775.050106585</c:v>
                </c:pt>
                <c:pt idx="14">
                  <c:v>6743029.5277222861</c:v>
                </c:pt>
                <c:pt idx="15">
                  <c:v>1119552.789556121</c:v>
                </c:pt>
                <c:pt idx="16">
                  <c:v>1820005.0493703454</c:v>
                </c:pt>
                <c:pt idx="17">
                  <c:v>-2005220.6277037393</c:v>
                </c:pt>
                <c:pt idx="18">
                  <c:v>-1042476.8777105802</c:v>
                </c:pt>
                <c:pt idx="19">
                  <c:v>-3840633.7752201045</c:v>
                </c:pt>
                <c:pt idx="20">
                  <c:v>-3216225.0920012379</c:v>
                </c:pt>
                <c:pt idx="21">
                  <c:v>-2678436.8042400992</c:v>
                </c:pt>
                <c:pt idx="22">
                  <c:v>-5839525.0476526534</c:v>
                </c:pt>
                <c:pt idx="23">
                  <c:v>-3231758.7046772395</c:v>
                </c:pt>
                <c:pt idx="24">
                  <c:v>-7373025.5753497975</c:v>
                </c:pt>
                <c:pt idx="25">
                  <c:v>-7010378.3526206501</c:v>
                </c:pt>
                <c:pt idx="26">
                  <c:v>-18663095.484695286</c:v>
                </c:pt>
                <c:pt idx="27">
                  <c:v>-22749592.19637176</c:v>
                </c:pt>
                <c:pt idx="28">
                  <c:v>-14487462.337312428</c:v>
                </c:pt>
                <c:pt idx="29">
                  <c:v>-10460061.940848695</c:v>
                </c:pt>
                <c:pt idx="30">
                  <c:v>-13416119.509702943</c:v>
                </c:pt>
                <c:pt idx="31">
                  <c:v>-6885350.3733754018</c:v>
                </c:pt>
                <c:pt idx="32">
                  <c:v>-26899014.481699578</c:v>
                </c:pt>
                <c:pt idx="33">
                  <c:v>-6268918.5704554403</c:v>
                </c:pt>
                <c:pt idx="34">
                  <c:v>-4736000.8760064868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Hoja1!$BS$4:$BS$38</c:f>
              <c:numCache>
                <c:formatCode>General</c:formatCode>
                <c:ptCount val="35"/>
                <c:pt idx="0">
                  <c:v>33092795.353106815</c:v>
                </c:pt>
                <c:pt idx="1">
                  <c:v>42309965.133984968</c:v>
                </c:pt>
                <c:pt idx="2">
                  <c:v>276183244.80232149</c:v>
                </c:pt>
                <c:pt idx="3">
                  <c:v>40940635.04083287</c:v>
                </c:pt>
                <c:pt idx="4">
                  <c:v>52232872.236889847</c:v>
                </c:pt>
                <c:pt idx="5">
                  <c:v>36293339.613188535</c:v>
                </c:pt>
                <c:pt idx="6">
                  <c:v>55236604.064527497</c:v>
                </c:pt>
                <c:pt idx="7">
                  <c:v>219015835.56121594</c:v>
                </c:pt>
                <c:pt idx="8">
                  <c:v>60822943.932548404</c:v>
                </c:pt>
                <c:pt idx="9">
                  <c:v>51646604.113397792</c:v>
                </c:pt>
                <c:pt idx="10">
                  <c:v>60390210.81570337</c:v>
                </c:pt>
                <c:pt idx="11">
                  <c:v>57693639.542109594</c:v>
                </c:pt>
                <c:pt idx="12">
                  <c:v>280869342.33039224</c:v>
                </c:pt>
                <c:pt idx="13">
                  <c:v>48338083.696749538</c:v>
                </c:pt>
                <c:pt idx="14">
                  <c:v>95769480.802861884</c:v>
                </c:pt>
                <c:pt idx="15">
                  <c:v>42201224.401819721</c:v>
                </c:pt>
                <c:pt idx="16">
                  <c:v>35888964.491104752</c:v>
                </c:pt>
                <c:pt idx="17">
                  <c:v>413851940.07396412</c:v>
                </c:pt>
                <c:pt idx="18">
                  <c:v>21675119.680049323</c:v>
                </c:pt>
                <c:pt idx="19">
                  <c:v>25791476.876906324</c:v>
                </c:pt>
                <c:pt idx="20">
                  <c:v>17398008.814313535</c:v>
                </c:pt>
                <c:pt idx="21">
                  <c:v>17189039.01512032</c:v>
                </c:pt>
                <c:pt idx="22">
                  <c:v>88768616.871144146</c:v>
                </c:pt>
                <c:pt idx="23">
                  <c:v>19821988.592432857</c:v>
                </c:pt>
                <c:pt idx="24">
                  <c:v>25204569.574651279</c:v>
                </c:pt>
                <c:pt idx="25">
                  <c:v>16645488.989095315</c:v>
                </c:pt>
                <c:pt idx="26">
                  <c:v>14127800.988582792</c:v>
                </c:pt>
                <c:pt idx="27">
                  <c:v>39654567.282040045</c:v>
                </c:pt>
                <c:pt idx="28">
                  <c:v>1387165.8805599045</c:v>
                </c:pt>
                <c:pt idx="29">
                  <c:v>4721391.4721358083</c:v>
                </c:pt>
                <c:pt idx="30">
                  <c:v>6153425.5805291142</c:v>
                </c:pt>
                <c:pt idx="31">
                  <c:v>3439679.080594508</c:v>
                </c:pt>
                <c:pt idx="32">
                  <c:v>-72417559.683220536</c:v>
                </c:pt>
                <c:pt idx="33">
                  <c:v>1241762.3117080396</c:v>
                </c:pt>
                <c:pt idx="34">
                  <c:v>16457689.302828118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val>
            <c:numRef>
              <c:f>Hoja1!$BU$4:$BU$38</c:f>
              <c:numCache>
                <c:formatCode>General</c:formatCode>
                <c:ptCount val="35"/>
                <c:pt idx="0">
                  <c:v>3271066.9499205207</c:v>
                </c:pt>
                <c:pt idx="1">
                  <c:v>14302743.424786674</c:v>
                </c:pt>
                <c:pt idx="2">
                  <c:v>358054911.43405807</c:v>
                </c:pt>
                <c:pt idx="3">
                  <c:v>5228708.8110543108</c:v>
                </c:pt>
                <c:pt idx="4">
                  <c:v>18240056.774595004</c:v>
                </c:pt>
                <c:pt idx="5">
                  <c:v>24114567.431692027</c:v>
                </c:pt>
                <c:pt idx="6">
                  <c:v>19301452.445883714</c:v>
                </c:pt>
                <c:pt idx="7">
                  <c:v>116892033.65435061</c:v>
                </c:pt>
                <c:pt idx="8">
                  <c:v>4571877.2755380543</c:v>
                </c:pt>
                <c:pt idx="9">
                  <c:v>6546124.6783694308</c:v>
                </c:pt>
                <c:pt idx="10">
                  <c:v>10861712.803920869</c:v>
                </c:pt>
                <c:pt idx="11">
                  <c:v>16009744.898719914</c:v>
                </c:pt>
                <c:pt idx="12">
                  <c:v>991402128.85263121</c:v>
                </c:pt>
                <c:pt idx="13">
                  <c:v>4603833.9276802987</c:v>
                </c:pt>
                <c:pt idx="14">
                  <c:v>11262200.57834336</c:v>
                </c:pt>
                <c:pt idx="15">
                  <c:v>13109219.770456579</c:v>
                </c:pt>
                <c:pt idx="16">
                  <c:v>10239414.194615385</c:v>
                </c:pt>
                <c:pt idx="17">
                  <c:v>87473009.937515795</c:v>
                </c:pt>
                <c:pt idx="18">
                  <c:v>6339502.4911923418</c:v>
                </c:pt>
                <c:pt idx="19">
                  <c:v>5081746.8418614427</c:v>
                </c:pt>
                <c:pt idx="20">
                  <c:v>4254921.1534488332</c:v>
                </c:pt>
                <c:pt idx="21">
                  <c:v>6091842.2250706237</c:v>
                </c:pt>
                <c:pt idx="22">
                  <c:v>158024883.09393889</c:v>
                </c:pt>
                <c:pt idx="23">
                  <c:v>1955755.5726649947</c:v>
                </c:pt>
                <c:pt idx="24">
                  <c:v>2813471.8692094423</c:v>
                </c:pt>
                <c:pt idx="25">
                  <c:v>-1465938.9986374346</c:v>
                </c:pt>
                <c:pt idx="26">
                  <c:v>-857114.12911490211</c:v>
                </c:pt>
                <c:pt idx="27">
                  <c:v>32064388.188660644</c:v>
                </c:pt>
                <c:pt idx="28">
                  <c:v>157100.90028307354</c:v>
                </c:pt>
                <c:pt idx="29">
                  <c:v>-572837.14358089864</c:v>
                </c:pt>
                <c:pt idx="30">
                  <c:v>-1112693.584811911</c:v>
                </c:pt>
                <c:pt idx="31">
                  <c:v>-2662758.8610154144</c:v>
                </c:pt>
                <c:pt idx="32">
                  <c:v>54374468.427841336</c:v>
                </c:pt>
                <c:pt idx="33">
                  <c:v>-2054282.4481346963</c:v>
                </c:pt>
                <c:pt idx="34">
                  <c:v>-2768242.5377461785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0582656"/>
        <c:axId val="200584192"/>
      </c:barChart>
      <c:catAx>
        <c:axId val="200582656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200584192"/>
        <c:crosses val="autoZero"/>
        <c:auto val="1"/>
        <c:lblAlgn val="ctr"/>
        <c:lblOffset val="100"/>
        <c:noMultiLvlLbl val="0"/>
      </c:catAx>
      <c:valAx>
        <c:axId val="200584192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00582656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250512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522</c:v>
                </c:pt>
                <c:pt idx="1">
                  <c:v>521</c:v>
                </c:pt>
                <c:pt idx="2">
                  <c:v>520</c:v>
                </c:pt>
                <c:pt idx="3">
                  <c:v>519</c:v>
                </c:pt>
                <c:pt idx="4">
                  <c:v>518</c:v>
                </c:pt>
                <c:pt idx="5">
                  <c:v>517</c:v>
                </c:pt>
                <c:pt idx="6">
                  <c:v>516</c:v>
                </c:pt>
                <c:pt idx="7">
                  <c:v>515</c:v>
                </c:pt>
                <c:pt idx="8">
                  <c:v>514</c:v>
                </c:pt>
                <c:pt idx="9">
                  <c:v>513</c:v>
                </c:pt>
                <c:pt idx="10">
                  <c:v>512</c:v>
                </c:pt>
                <c:pt idx="11">
                  <c:v>511</c:v>
                </c:pt>
                <c:pt idx="12">
                  <c:v>510</c:v>
                </c:pt>
                <c:pt idx="13">
                  <c:v>509</c:v>
                </c:pt>
                <c:pt idx="14">
                  <c:v>508</c:v>
                </c:pt>
                <c:pt idx="15">
                  <c:v>507</c:v>
                </c:pt>
                <c:pt idx="16">
                  <c:v>506</c:v>
                </c:pt>
                <c:pt idx="17">
                  <c:v>505</c:v>
                </c:pt>
                <c:pt idx="18">
                  <c:v>504</c:v>
                </c:pt>
                <c:pt idx="19">
                  <c:v>503</c:v>
                </c:pt>
                <c:pt idx="20">
                  <c:v>502</c:v>
                </c:pt>
                <c:pt idx="21">
                  <c:v>501</c:v>
                </c:pt>
                <c:pt idx="22">
                  <c:v>500</c:v>
                </c:pt>
                <c:pt idx="23">
                  <c:v>499</c:v>
                </c:pt>
                <c:pt idx="24">
                  <c:v>498</c:v>
                </c:pt>
                <c:pt idx="25">
                  <c:v>497</c:v>
                </c:pt>
                <c:pt idx="26">
                  <c:v>496</c:v>
                </c:pt>
                <c:pt idx="27">
                  <c:v>495</c:v>
                </c:pt>
                <c:pt idx="28">
                  <c:v>494</c:v>
                </c:pt>
                <c:pt idx="29">
                  <c:v>493</c:v>
                </c:pt>
                <c:pt idx="30">
                  <c:v>492</c:v>
                </c:pt>
                <c:pt idx="31">
                  <c:v>491</c:v>
                </c:pt>
                <c:pt idx="32">
                  <c:v>490</c:v>
                </c:pt>
                <c:pt idx="33">
                  <c:v>489</c:v>
                </c:pt>
                <c:pt idx="34">
                  <c:v>488</c:v>
                </c:pt>
              </c:numCache>
            </c:numRef>
          </c:cat>
          <c:val>
            <c:numRef>
              <c:f>Hoja1!$BQ$45:$BQ$79</c:f>
              <c:numCache>
                <c:formatCode>General</c:formatCode>
                <c:ptCount val="35"/>
                <c:pt idx="0">
                  <c:v>1186355.9032461601</c:v>
                </c:pt>
                <c:pt idx="1">
                  <c:v>4827409.7339921109</c:v>
                </c:pt>
                <c:pt idx="2">
                  <c:v>15313308.757996973</c:v>
                </c:pt>
                <c:pt idx="3">
                  <c:v>6596778.0956167597</c:v>
                </c:pt>
                <c:pt idx="4">
                  <c:v>1191538.8478666125</c:v>
                </c:pt>
                <c:pt idx="5">
                  <c:v>1581343.1959682633</c:v>
                </c:pt>
                <c:pt idx="6">
                  <c:v>3099428.6085282974</c:v>
                </c:pt>
                <c:pt idx="7">
                  <c:v>7911681.113995594</c:v>
                </c:pt>
                <c:pt idx="8">
                  <c:v>4049632.3634839603</c:v>
                </c:pt>
                <c:pt idx="9">
                  <c:v>3296739.6420491422</c:v>
                </c:pt>
                <c:pt idx="10">
                  <c:v>6114906.4685830548</c:v>
                </c:pt>
                <c:pt idx="11">
                  <c:v>8012980.9525384409</c:v>
                </c:pt>
                <c:pt idx="12">
                  <c:v>60850462.094527125</c:v>
                </c:pt>
                <c:pt idx="13">
                  <c:v>17399524.159517802</c:v>
                </c:pt>
                <c:pt idx="14">
                  <c:v>51359236.692762092</c:v>
                </c:pt>
                <c:pt idx="15">
                  <c:v>24293800.213846862</c:v>
                </c:pt>
                <c:pt idx="16">
                  <c:v>53128784.09869729</c:v>
                </c:pt>
                <c:pt idx="17">
                  <c:v>49739883.634292804</c:v>
                </c:pt>
                <c:pt idx="18">
                  <c:v>24036992.067119356</c:v>
                </c:pt>
                <c:pt idx="19">
                  <c:v>12906660.668019332</c:v>
                </c:pt>
                <c:pt idx="20">
                  <c:v>78892.473163288785</c:v>
                </c:pt>
                <c:pt idx="21">
                  <c:v>6108.7617264441333</c:v>
                </c:pt>
                <c:pt idx="22">
                  <c:v>-789305.83939657779</c:v>
                </c:pt>
                <c:pt idx="23">
                  <c:v>-302906.69800329686</c:v>
                </c:pt>
                <c:pt idx="24">
                  <c:v>-1070094.8146344475</c:v>
                </c:pt>
                <c:pt idx="25">
                  <c:v>-831536.42731582047</c:v>
                </c:pt>
                <c:pt idx="26">
                  <c:v>-605448.18915063748</c:v>
                </c:pt>
                <c:pt idx="27">
                  <c:v>-1764719.3320080135</c:v>
                </c:pt>
                <c:pt idx="28">
                  <c:v>-513317.92550116463</c:v>
                </c:pt>
                <c:pt idx="29">
                  <c:v>-1772335.6773516375</c:v>
                </c:pt>
                <c:pt idx="30">
                  <c:v>-1985491.9187789042</c:v>
                </c:pt>
                <c:pt idx="31">
                  <c:v>-1995592.6706111126</c:v>
                </c:pt>
                <c:pt idx="32">
                  <c:v>-6026587.4795451304</c:v>
                </c:pt>
                <c:pt idx="33">
                  <c:v>-2327789.8580030245</c:v>
                </c:pt>
                <c:pt idx="34">
                  <c:v>-11291951.922206584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522</c:v>
                </c:pt>
                <c:pt idx="1">
                  <c:v>521</c:v>
                </c:pt>
                <c:pt idx="2">
                  <c:v>520</c:v>
                </c:pt>
                <c:pt idx="3">
                  <c:v>519</c:v>
                </c:pt>
                <c:pt idx="4">
                  <c:v>518</c:v>
                </c:pt>
                <c:pt idx="5">
                  <c:v>517</c:v>
                </c:pt>
                <c:pt idx="6">
                  <c:v>516</c:v>
                </c:pt>
                <c:pt idx="7">
                  <c:v>515</c:v>
                </c:pt>
                <c:pt idx="8">
                  <c:v>514</c:v>
                </c:pt>
                <c:pt idx="9">
                  <c:v>513</c:v>
                </c:pt>
                <c:pt idx="10">
                  <c:v>512</c:v>
                </c:pt>
                <c:pt idx="11">
                  <c:v>511</c:v>
                </c:pt>
                <c:pt idx="12">
                  <c:v>510</c:v>
                </c:pt>
                <c:pt idx="13">
                  <c:v>509</c:v>
                </c:pt>
                <c:pt idx="14">
                  <c:v>508</c:v>
                </c:pt>
                <c:pt idx="15">
                  <c:v>507</c:v>
                </c:pt>
                <c:pt idx="16">
                  <c:v>506</c:v>
                </c:pt>
                <c:pt idx="17">
                  <c:v>505</c:v>
                </c:pt>
                <c:pt idx="18">
                  <c:v>504</c:v>
                </c:pt>
                <c:pt idx="19">
                  <c:v>503</c:v>
                </c:pt>
                <c:pt idx="20">
                  <c:v>502</c:v>
                </c:pt>
                <c:pt idx="21">
                  <c:v>501</c:v>
                </c:pt>
                <c:pt idx="22">
                  <c:v>500</c:v>
                </c:pt>
                <c:pt idx="23">
                  <c:v>499</c:v>
                </c:pt>
                <c:pt idx="24">
                  <c:v>498</c:v>
                </c:pt>
                <c:pt idx="25">
                  <c:v>497</c:v>
                </c:pt>
                <c:pt idx="26">
                  <c:v>496</c:v>
                </c:pt>
                <c:pt idx="27">
                  <c:v>495</c:v>
                </c:pt>
                <c:pt idx="28">
                  <c:v>494</c:v>
                </c:pt>
                <c:pt idx="29">
                  <c:v>493</c:v>
                </c:pt>
                <c:pt idx="30">
                  <c:v>492</c:v>
                </c:pt>
                <c:pt idx="31">
                  <c:v>491</c:v>
                </c:pt>
                <c:pt idx="32">
                  <c:v>490</c:v>
                </c:pt>
                <c:pt idx="33">
                  <c:v>489</c:v>
                </c:pt>
                <c:pt idx="34">
                  <c:v>488</c:v>
                </c:pt>
              </c:numCache>
            </c:numRef>
          </c:cat>
          <c:val>
            <c:numRef>
              <c:f>Hoja1!$BS$45:$BS$79</c:f>
              <c:numCache>
                <c:formatCode>General</c:formatCode>
                <c:ptCount val="35"/>
                <c:pt idx="0">
                  <c:v>10629546.598611122</c:v>
                </c:pt>
                <c:pt idx="1">
                  <c:v>5319838.9696545759</c:v>
                </c:pt>
                <c:pt idx="2">
                  <c:v>60425480.439357117</c:v>
                </c:pt>
                <c:pt idx="3">
                  <c:v>9556829.0869768839</c:v>
                </c:pt>
                <c:pt idx="4">
                  <c:v>9937444.9703437891</c:v>
                </c:pt>
                <c:pt idx="5">
                  <c:v>21812299.401632555</c:v>
                </c:pt>
                <c:pt idx="6">
                  <c:v>8588524.2456499878</c:v>
                </c:pt>
                <c:pt idx="7">
                  <c:v>72228513.190445408</c:v>
                </c:pt>
                <c:pt idx="8">
                  <c:v>12065680.982309844</c:v>
                </c:pt>
                <c:pt idx="9">
                  <c:v>9093337.5826942623</c:v>
                </c:pt>
                <c:pt idx="10">
                  <c:v>15896621.355006024</c:v>
                </c:pt>
                <c:pt idx="11">
                  <c:v>11411342.510444935</c:v>
                </c:pt>
                <c:pt idx="12">
                  <c:v>104182602.0125014</c:v>
                </c:pt>
                <c:pt idx="13">
                  <c:v>-28333.457951491753</c:v>
                </c:pt>
                <c:pt idx="14">
                  <c:v>26729914.138972834</c:v>
                </c:pt>
                <c:pt idx="15">
                  <c:v>20973517.299353052</c:v>
                </c:pt>
                <c:pt idx="16">
                  <c:v>22231190.285888448</c:v>
                </c:pt>
                <c:pt idx="17">
                  <c:v>134466593.04860598</c:v>
                </c:pt>
                <c:pt idx="18">
                  <c:v>53069315.403801173</c:v>
                </c:pt>
                <c:pt idx="19">
                  <c:v>23315340.367229979</c:v>
                </c:pt>
                <c:pt idx="20">
                  <c:v>18734419.605805244</c:v>
                </c:pt>
                <c:pt idx="21">
                  <c:v>15050155.847116854</c:v>
                </c:pt>
                <c:pt idx="22">
                  <c:v>303916507.84948289</c:v>
                </c:pt>
                <c:pt idx="23">
                  <c:v>2532495.6952781603</c:v>
                </c:pt>
                <c:pt idx="24">
                  <c:v>9413313.897341121</c:v>
                </c:pt>
                <c:pt idx="25">
                  <c:v>4133392.5959585137</c:v>
                </c:pt>
                <c:pt idx="26">
                  <c:v>5667984.659324985</c:v>
                </c:pt>
                <c:pt idx="27">
                  <c:v>163226177.61643052</c:v>
                </c:pt>
                <c:pt idx="28">
                  <c:v>2248825.6106557343</c:v>
                </c:pt>
                <c:pt idx="29">
                  <c:v>2492768.013104782</c:v>
                </c:pt>
                <c:pt idx="30">
                  <c:v>2923192.6301943013</c:v>
                </c:pt>
                <c:pt idx="31">
                  <c:v>1730518.5123801893</c:v>
                </c:pt>
                <c:pt idx="32">
                  <c:v>162386176.79682794</c:v>
                </c:pt>
                <c:pt idx="33">
                  <c:v>2311268.5997536974</c:v>
                </c:pt>
                <c:pt idx="34">
                  <c:v>1402811.7666927315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522</c:v>
                </c:pt>
                <c:pt idx="1">
                  <c:v>521</c:v>
                </c:pt>
                <c:pt idx="2">
                  <c:v>520</c:v>
                </c:pt>
                <c:pt idx="3">
                  <c:v>519</c:v>
                </c:pt>
                <c:pt idx="4">
                  <c:v>518</c:v>
                </c:pt>
                <c:pt idx="5">
                  <c:v>517</c:v>
                </c:pt>
                <c:pt idx="6">
                  <c:v>516</c:v>
                </c:pt>
                <c:pt idx="7">
                  <c:v>515</c:v>
                </c:pt>
                <c:pt idx="8">
                  <c:v>514</c:v>
                </c:pt>
                <c:pt idx="9">
                  <c:v>513</c:v>
                </c:pt>
                <c:pt idx="10">
                  <c:v>512</c:v>
                </c:pt>
                <c:pt idx="11">
                  <c:v>511</c:v>
                </c:pt>
                <c:pt idx="12">
                  <c:v>510</c:v>
                </c:pt>
                <c:pt idx="13">
                  <c:v>509</c:v>
                </c:pt>
                <c:pt idx="14">
                  <c:v>508</c:v>
                </c:pt>
                <c:pt idx="15">
                  <c:v>507</c:v>
                </c:pt>
                <c:pt idx="16">
                  <c:v>506</c:v>
                </c:pt>
                <c:pt idx="17">
                  <c:v>505</c:v>
                </c:pt>
                <c:pt idx="18">
                  <c:v>504</c:v>
                </c:pt>
                <c:pt idx="19">
                  <c:v>503</c:v>
                </c:pt>
                <c:pt idx="20">
                  <c:v>502</c:v>
                </c:pt>
                <c:pt idx="21">
                  <c:v>501</c:v>
                </c:pt>
                <c:pt idx="22">
                  <c:v>500</c:v>
                </c:pt>
                <c:pt idx="23">
                  <c:v>499</c:v>
                </c:pt>
                <c:pt idx="24">
                  <c:v>498</c:v>
                </c:pt>
                <c:pt idx="25">
                  <c:v>497</c:v>
                </c:pt>
                <c:pt idx="26">
                  <c:v>496</c:v>
                </c:pt>
                <c:pt idx="27">
                  <c:v>495</c:v>
                </c:pt>
                <c:pt idx="28">
                  <c:v>494</c:v>
                </c:pt>
                <c:pt idx="29">
                  <c:v>493</c:v>
                </c:pt>
                <c:pt idx="30">
                  <c:v>492</c:v>
                </c:pt>
                <c:pt idx="31">
                  <c:v>491</c:v>
                </c:pt>
                <c:pt idx="32">
                  <c:v>490</c:v>
                </c:pt>
                <c:pt idx="33">
                  <c:v>489</c:v>
                </c:pt>
                <c:pt idx="34">
                  <c:v>488</c:v>
                </c:pt>
              </c:numCache>
            </c:numRef>
          </c:cat>
          <c:val>
            <c:numRef>
              <c:f>Hoja1!$BU$45:$BU$79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40778028.286527351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14768643.944934385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103876234.60632682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21257905.745068051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222073795.53745505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10247999.3548628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-22318721.700033173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1614464"/>
        <c:axId val="201616000"/>
      </c:barChart>
      <c:catAx>
        <c:axId val="201614464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201616000"/>
        <c:crosses val="autoZero"/>
        <c:auto val="1"/>
        <c:lblAlgn val="ctr"/>
        <c:lblOffset val="100"/>
        <c:noMultiLvlLbl val="0"/>
      </c:catAx>
      <c:valAx>
        <c:axId val="201616000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01614464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34999802033873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250512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6020</c:v>
                </c:pt>
                <c:pt idx="1">
                  <c:v>6010</c:v>
                </c:pt>
                <c:pt idx="2">
                  <c:v>6000</c:v>
                </c:pt>
                <c:pt idx="3">
                  <c:v>5990</c:v>
                </c:pt>
                <c:pt idx="4">
                  <c:v>5980</c:v>
                </c:pt>
                <c:pt idx="5">
                  <c:v>5970</c:v>
                </c:pt>
                <c:pt idx="6">
                  <c:v>5960</c:v>
                </c:pt>
                <c:pt idx="7">
                  <c:v>5950</c:v>
                </c:pt>
                <c:pt idx="8">
                  <c:v>5940</c:v>
                </c:pt>
                <c:pt idx="9">
                  <c:v>5930</c:v>
                </c:pt>
                <c:pt idx="10">
                  <c:v>5920</c:v>
                </c:pt>
                <c:pt idx="11">
                  <c:v>5910</c:v>
                </c:pt>
                <c:pt idx="12">
                  <c:v>5900</c:v>
                </c:pt>
                <c:pt idx="13">
                  <c:v>5890</c:v>
                </c:pt>
                <c:pt idx="14">
                  <c:v>5880</c:v>
                </c:pt>
                <c:pt idx="15">
                  <c:v>5870</c:v>
                </c:pt>
                <c:pt idx="16">
                  <c:v>5860</c:v>
                </c:pt>
                <c:pt idx="17">
                  <c:v>5850</c:v>
                </c:pt>
                <c:pt idx="18">
                  <c:v>5840</c:v>
                </c:pt>
                <c:pt idx="19">
                  <c:v>5830</c:v>
                </c:pt>
                <c:pt idx="20">
                  <c:v>5820</c:v>
                </c:pt>
                <c:pt idx="21">
                  <c:v>5810</c:v>
                </c:pt>
                <c:pt idx="22">
                  <c:v>5800</c:v>
                </c:pt>
                <c:pt idx="23">
                  <c:v>5790</c:v>
                </c:pt>
                <c:pt idx="24">
                  <c:v>5780</c:v>
                </c:pt>
                <c:pt idx="25">
                  <c:v>5770</c:v>
                </c:pt>
                <c:pt idx="26">
                  <c:v>5760</c:v>
                </c:pt>
                <c:pt idx="27">
                  <c:v>5750</c:v>
                </c:pt>
                <c:pt idx="28">
                  <c:v>5740</c:v>
                </c:pt>
                <c:pt idx="29">
                  <c:v>5730</c:v>
                </c:pt>
                <c:pt idx="30">
                  <c:v>5720</c:v>
                </c:pt>
                <c:pt idx="31">
                  <c:v>5710</c:v>
                </c:pt>
                <c:pt idx="32">
                  <c:v>5700</c:v>
                </c:pt>
                <c:pt idx="33">
                  <c:v>5690</c:v>
                </c:pt>
                <c:pt idx="34">
                  <c:v>5680</c:v>
                </c:pt>
                <c:pt idx="35">
                  <c:v>5670</c:v>
                </c:pt>
                <c:pt idx="36">
                  <c:v>5660</c:v>
                </c:pt>
                <c:pt idx="37">
                  <c:v>5650</c:v>
                </c:pt>
                <c:pt idx="38">
                  <c:v>5640</c:v>
                </c:pt>
                <c:pt idx="39">
                  <c:v>5630</c:v>
                </c:pt>
                <c:pt idx="40">
                  <c:v>5620</c:v>
                </c:pt>
                <c:pt idx="41">
                  <c:v>5610</c:v>
                </c:pt>
                <c:pt idx="42">
                  <c:v>5600</c:v>
                </c:pt>
                <c:pt idx="43">
                  <c:v>5590</c:v>
                </c:pt>
                <c:pt idx="44">
                  <c:v>5580</c:v>
                </c:pt>
                <c:pt idx="45">
                  <c:v>5570</c:v>
                </c:pt>
              </c:numCache>
            </c:numRef>
          </c:cat>
          <c:val>
            <c:numRef>
              <c:f>Hoja1!$BQ$85:$BQ$130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1161594.5897948078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1485667.0566688392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1889206.3433650124</c:v>
                </c:pt>
                <c:pt idx="13">
                  <c:v>402898.81636864453</c:v>
                </c:pt>
                <c:pt idx="14">
                  <c:v>1378575.1844460038</c:v>
                </c:pt>
                <c:pt idx="15">
                  <c:v>1702150.6677054891</c:v>
                </c:pt>
                <c:pt idx="16">
                  <c:v>2468305.3119821232</c:v>
                </c:pt>
                <c:pt idx="17">
                  <c:v>11088154.367654735</c:v>
                </c:pt>
                <c:pt idx="18">
                  <c:v>31866667.309905265</c:v>
                </c:pt>
                <c:pt idx="19">
                  <c:v>6169724.0783571498</c:v>
                </c:pt>
                <c:pt idx="20">
                  <c:v>4956755.459396895</c:v>
                </c:pt>
                <c:pt idx="21">
                  <c:v>5042778.9365369603</c:v>
                </c:pt>
                <c:pt idx="22">
                  <c:v>6663767.1433118852</c:v>
                </c:pt>
                <c:pt idx="23">
                  <c:v>822365.99417688092</c:v>
                </c:pt>
                <c:pt idx="24">
                  <c:v>1223306.3297409941</c:v>
                </c:pt>
                <c:pt idx="25">
                  <c:v>698309.95411618624</c:v>
                </c:pt>
                <c:pt idx="26">
                  <c:v>2112655.448626129</c:v>
                </c:pt>
                <c:pt idx="27">
                  <c:v>2275284.5750855594</c:v>
                </c:pt>
                <c:pt idx="28">
                  <c:v>771625.73635748739</c:v>
                </c:pt>
                <c:pt idx="29">
                  <c:v>396309.83040451538</c:v>
                </c:pt>
                <c:pt idx="30">
                  <c:v>653316.13874453981</c:v>
                </c:pt>
                <c:pt idx="31">
                  <c:v>224524.11609702933</c:v>
                </c:pt>
                <c:pt idx="32">
                  <c:v>1036097.5613938202</c:v>
                </c:pt>
                <c:pt idx="33">
                  <c:v>38040.394902603861</c:v>
                </c:pt>
                <c:pt idx="34">
                  <c:v>84119.127334858829</c:v>
                </c:pt>
                <c:pt idx="35">
                  <c:v>34651.840427772186</c:v>
                </c:pt>
                <c:pt idx="36">
                  <c:v>16425.287286900362</c:v>
                </c:pt>
                <c:pt idx="37">
                  <c:v>187482.17907617465</c:v>
                </c:pt>
                <c:pt idx="38">
                  <c:v>-11869.274118479298</c:v>
                </c:pt>
                <c:pt idx="39">
                  <c:v>-6798.8899561457147</c:v>
                </c:pt>
                <c:pt idx="40">
                  <c:v>-14267.211388319083</c:v>
                </c:pt>
                <c:pt idx="41">
                  <c:v>-329851.55796842353</c:v>
                </c:pt>
                <c:pt idx="42">
                  <c:v>-523300.85219451599</c:v>
                </c:pt>
                <c:pt idx="43">
                  <c:v>-144938.2323133632</c:v>
                </c:pt>
                <c:pt idx="44">
                  <c:v>-237727.14653953406</c:v>
                </c:pt>
                <c:pt idx="45">
                  <c:v>-76159.516306979276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6020</c:v>
                </c:pt>
                <c:pt idx="1">
                  <c:v>6010</c:v>
                </c:pt>
                <c:pt idx="2">
                  <c:v>6000</c:v>
                </c:pt>
                <c:pt idx="3">
                  <c:v>5990</c:v>
                </c:pt>
                <c:pt idx="4">
                  <c:v>5980</c:v>
                </c:pt>
                <c:pt idx="5">
                  <c:v>5970</c:v>
                </c:pt>
                <c:pt idx="6">
                  <c:v>5960</c:v>
                </c:pt>
                <c:pt idx="7">
                  <c:v>5950</c:v>
                </c:pt>
                <c:pt idx="8">
                  <c:v>5940</c:v>
                </c:pt>
                <c:pt idx="9">
                  <c:v>5930</c:v>
                </c:pt>
                <c:pt idx="10">
                  <c:v>5920</c:v>
                </c:pt>
                <c:pt idx="11">
                  <c:v>5910</c:v>
                </c:pt>
                <c:pt idx="12">
                  <c:v>5900</c:v>
                </c:pt>
                <c:pt idx="13">
                  <c:v>5890</c:v>
                </c:pt>
                <c:pt idx="14">
                  <c:v>5880</c:v>
                </c:pt>
                <c:pt idx="15">
                  <c:v>5870</c:v>
                </c:pt>
                <c:pt idx="16">
                  <c:v>5860</c:v>
                </c:pt>
                <c:pt idx="17">
                  <c:v>5850</c:v>
                </c:pt>
                <c:pt idx="18">
                  <c:v>5840</c:v>
                </c:pt>
                <c:pt idx="19">
                  <c:v>5830</c:v>
                </c:pt>
                <c:pt idx="20">
                  <c:v>5820</c:v>
                </c:pt>
                <c:pt idx="21">
                  <c:v>5810</c:v>
                </c:pt>
                <c:pt idx="22">
                  <c:v>5800</c:v>
                </c:pt>
                <c:pt idx="23">
                  <c:v>5790</c:v>
                </c:pt>
                <c:pt idx="24">
                  <c:v>5780</c:v>
                </c:pt>
                <c:pt idx="25">
                  <c:v>5770</c:v>
                </c:pt>
                <c:pt idx="26">
                  <c:v>5760</c:v>
                </c:pt>
                <c:pt idx="27">
                  <c:v>5750</c:v>
                </c:pt>
                <c:pt idx="28">
                  <c:v>5740</c:v>
                </c:pt>
                <c:pt idx="29">
                  <c:v>5730</c:v>
                </c:pt>
                <c:pt idx="30">
                  <c:v>5720</c:v>
                </c:pt>
                <c:pt idx="31">
                  <c:v>5710</c:v>
                </c:pt>
                <c:pt idx="32">
                  <c:v>5700</c:v>
                </c:pt>
                <c:pt idx="33">
                  <c:v>5690</c:v>
                </c:pt>
                <c:pt idx="34">
                  <c:v>5680</c:v>
                </c:pt>
                <c:pt idx="35">
                  <c:v>5670</c:v>
                </c:pt>
                <c:pt idx="36">
                  <c:v>5660</c:v>
                </c:pt>
                <c:pt idx="37">
                  <c:v>5650</c:v>
                </c:pt>
                <c:pt idx="38">
                  <c:v>5640</c:v>
                </c:pt>
                <c:pt idx="39">
                  <c:v>5630</c:v>
                </c:pt>
                <c:pt idx="40">
                  <c:v>5620</c:v>
                </c:pt>
                <c:pt idx="41">
                  <c:v>5610</c:v>
                </c:pt>
                <c:pt idx="42">
                  <c:v>5600</c:v>
                </c:pt>
                <c:pt idx="43">
                  <c:v>5590</c:v>
                </c:pt>
                <c:pt idx="44">
                  <c:v>5580</c:v>
                </c:pt>
                <c:pt idx="45">
                  <c:v>5570</c:v>
                </c:pt>
              </c:numCache>
            </c:numRef>
          </c:cat>
          <c:val>
            <c:numRef>
              <c:f>Hoja1!$BS$85:$BS$130</c:f>
              <c:numCache>
                <c:formatCode>General</c:formatCode>
                <c:ptCount val="46"/>
                <c:pt idx="0">
                  <c:v>90454.117581796163</c:v>
                </c:pt>
                <c:pt idx="1">
                  <c:v>-39622.23094377594</c:v>
                </c:pt>
                <c:pt idx="2">
                  <c:v>5424556.1891319938</c:v>
                </c:pt>
                <c:pt idx="3">
                  <c:v>-16161.034684545477</c:v>
                </c:pt>
                <c:pt idx="4">
                  <c:v>47365.630263389088</c:v>
                </c:pt>
                <c:pt idx="5">
                  <c:v>14274.895667122764</c:v>
                </c:pt>
                <c:pt idx="6">
                  <c:v>45555.850243856417</c:v>
                </c:pt>
                <c:pt idx="7">
                  <c:v>3529207.5112570003</c:v>
                </c:pt>
                <c:pt idx="8">
                  <c:v>219241.2129267141</c:v>
                </c:pt>
                <c:pt idx="9">
                  <c:v>177396.96762223038</c:v>
                </c:pt>
                <c:pt idx="10">
                  <c:v>155851.76725050385</c:v>
                </c:pt>
                <c:pt idx="11">
                  <c:v>523680.32142563153</c:v>
                </c:pt>
                <c:pt idx="12">
                  <c:v>11202600.546645306</c:v>
                </c:pt>
                <c:pt idx="13">
                  <c:v>95206.765187531244</c:v>
                </c:pt>
                <c:pt idx="14">
                  <c:v>255523.56715852011</c:v>
                </c:pt>
                <c:pt idx="15">
                  <c:v>-114651.60497711552</c:v>
                </c:pt>
                <c:pt idx="16">
                  <c:v>-261215.60729038308</c:v>
                </c:pt>
                <c:pt idx="17">
                  <c:v>9456964.2555084638</c:v>
                </c:pt>
                <c:pt idx="18">
                  <c:v>92365.494708994112</c:v>
                </c:pt>
                <c:pt idx="19">
                  <c:v>519878.17575415864</c:v>
                </c:pt>
                <c:pt idx="20">
                  <c:v>408235.14260583406</c:v>
                </c:pt>
                <c:pt idx="21">
                  <c:v>426557.49601598916</c:v>
                </c:pt>
                <c:pt idx="22">
                  <c:v>-2543268.9389453083</c:v>
                </c:pt>
                <c:pt idx="23">
                  <c:v>336866.36668656417</c:v>
                </c:pt>
                <c:pt idx="24">
                  <c:v>-174372.34465119243</c:v>
                </c:pt>
                <c:pt idx="25">
                  <c:v>-88362.438831140113</c:v>
                </c:pt>
                <c:pt idx="26">
                  <c:v>-148110.63772286463</c:v>
                </c:pt>
                <c:pt idx="27">
                  <c:v>1221920.8871761989</c:v>
                </c:pt>
                <c:pt idx="28">
                  <c:v>593135.69239772914</c:v>
                </c:pt>
                <c:pt idx="29">
                  <c:v>386788.35786208068</c:v>
                </c:pt>
                <c:pt idx="30">
                  <c:v>-110174.51256342579</c:v>
                </c:pt>
                <c:pt idx="31">
                  <c:v>-185.30929637129884</c:v>
                </c:pt>
                <c:pt idx="32">
                  <c:v>-2372291.0194116943</c:v>
                </c:pt>
                <c:pt idx="33">
                  <c:v>-126195.8651065923</c:v>
                </c:pt>
                <c:pt idx="34">
                  <c:v>-120722.06057318425</c:v>
                </c:pt>
                <c:pt idx="35">
                  <c:v>-430602.35435809696</c:v>
                </c:pt>
                <c:pt idx="36">
                  <c:v>14471.834199473611</c:v>
                </c:pt>
                <c:pt idx="37">
                  <c:v>-423807.0223017633</c:v>
                </c:pt>
                <c:pt idx="38">
                  <c:v>-242006.90017492522</c:v>
                </c:pt>
                <c:pt idx="39">
                  <c:v>-112911.44669512304</c:v>
                </c:pt>
                <c:pt idx="40">
                  <c:v>26888.139788724744</c:v>
                </c:pt>
                <c:pt idx="41">
                  <c:v>-52408.261447701618</c:v>
                </c:pt>
                <c:pt idx="42">
                  <c:v>-640829.3592834603</c:v>
                </c:pt>
                <c:pt idx="43">
                  <c:v>-204578.42930181135</c:v>
                </c:pt>
                <c:pt idx="44">
                  <c:v>-69196.004563992858</c:v>
                </c:pt>
                <c:pt idx="45">
                  <c:v>-164812.57861035169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6020</c:v>
                </c:pt>
                <c:pt idx="1">
                  <c:v>6010</c:v>
                </c:pt>
                <c:pt idx="2">
                  <c:v>6000</c:v>
                </c:pt>
                <c:pt idx="3">
                  <c:v>5990</c:v>
                </c:pt>
                <c:pt idx="4">
                  <c:v>5980</c:v>
                </c:pt>
                <c:pt idx="5">
                  <c:v>5970</c:v>
                </c:pt>
                <c:pt idx="6">
                  <c:v>5960</c:v>
                </c:pt>
                <c:pt idx="7">
                  <c:v>5950</c:v>
                </c:pt>
                <c:pt idx="8">
                  <c:v>5940</c:v>
                </c:pt>
                <c:pt idx="9">
                  <c:v>5930</c:v>
                </c:pt>
                <c:pt idx="10">
                  <c:v>5920</c:v>
                </c:pt>
                <c:pt idx="11">
                  <c:v>5910</c:v>
                </c:pt>
                <c:pt idx="12">
                  <c:v>5900</c:v>
                </c:pt>
                <c:pt idx="13">
                  <c:v>5890</c:v>
                </c:pt>
                <c:pt idx="14">
                  <c:v>5880</c:v>
                </c:pt>
                <c:pt idx="15">
                  <c:v>5870</c:v>
                </c:pt>
                <c:pt idx="16">
                  <c:v>5860</c:v>
                </c:pt>
                <c:pt idx="17">
                  <c:v>5850</c:v>
                </c:pt>
                <c:pt idx="18">
                  <c:v>5840</c:v>
                </c:pt>
                <c:pt idx="19">
                  <c:v>5830</c:v>
                </c:pt>
                <c:pt idx="20">
                  <c:v>5820</c:v>
                </c:pt>
                <c:pt idx="21">
                  <c:v>5810</c:v>
                </c:pt>
                <c:pt idx="22">
                  <c:v>5800</c:v>
                </c:pt>
                <c:pt idx="23">
                  <c:v>5790</c:v>
                </c:pt>
                <c:pt idx="24">
                  <c:v>5780</c:v>
                </c:pt>
                <c:pt idx="25">
                  <c:v>5770</c:v>
                </c:pt>
                <c:pt idx="26">
                  <c:v>5760</c:v>
                </c:pt>
                <c:pt idx="27">
                  <c:v>5750</c:v>
                </c:pt>
                <c:pt idx="28">
                  <c:v>5740</c:v>
                </c:pt>
                <c:pt idx="29">
                  <c:v>5730</c:v>
                </c:pt>
                <c:pt idx="30">
                  <c:v>5720</c:v>
                </c:pt>
                <c:pt idx="31">
                  <c:v>5710</c:v>
                </c:pt>
                <c:pt idx="32">
                  <c:v>5700</c:v>
                </c:pt>
                <c:pt idx="33">
                  <c:v>5690</c:v>
                </c:pt>
                <c:pt idx="34">
                  <c:v>5680</c:v>
                </c:pt>
                <c:pt idx="35">
                  <c:v>5670</c:v>
                </c:pt>
                <c:pt idx="36">
                  <c:v>5660</c:v>
                </c:pt>
                <c:pt idx="37">
                  <c:v>5650</c:v>
                </c:pt>
                <c:pt idx="38">
                  <c:v>5640</c:v>
                </c:pt>
                <c:pt idx="39">
                  <c:v>5630</c:v>
                </c:pt>
                <c:pt idx="40">
                  <c:v>5620</c:v>
                </c:pt>
                <c:pt idx="41">
                  <c:v>5610</c:v>
                </c:pt>
                <c:pt idx="42">
                  <c:v>5600</c:v>
                </c:pt>
                <c:pt idx="43">
                  <c:v>5590</c:v>
                </c:pt>
                <c:pt idx="44">
                  <c:v>5580</c:v>
                </c:pt>
                <c:pt idx="45">
                  <c:v>5570</c:v>
                </c:pt>
              </c:numCache>
            </c:numRef>
          </c:cat>
          <c:val>
            <c:numRef>
              <c:f>Hoja1!$BU$85:$BU$130</c:f>
              <c:numCache>
                <c:formatCode>General</c:formatCode>
                <c:ptCount val="46"/>
                <c:pt idx="0">
                  <c:v>-24866.988126086493</c:v>
                </c:pt>
                <c:pt idx="1">
                  <c:v>34559.764953302045</c:v>
                </c:pt>
                <c:pt idx="2">
                  <c:v>-2949591.558921352</c:v>
                </c:pt>
                <c:pt idx="3">
                  <c:v>114673.06879624695</c:v>
                </c:pt>
                <c:pt idx="4">
                  <c:v>98316.18043079364</c:v>
                </c:pt>
                <c:pt idx="5">
                  <c:v>122657.97668344001</c:v>
                </c:pt>
                <c:pt idx="6">
                  <c:v>86232.947452840628</c:v>
                </c:pt>
                <c:pt idx="7">
                  <c:v>3007503.5867106868</c:v>
                </c:pt>
                <c:pt idx="8">
                  <c:v>-258675.59294437704</c:v>
                </c:pt>
                <c:pt idx="9">
                  <c:v>-44960.190340566391</c:v>
                </c:pt>
                <c:pt idx="10">
                  <c:v>-5930.0375909733702</c:v>
                </c:pt>
                <c:pt idx="11">
                  <c:v>380378.80554827658</c:v>
                </c:pt>
                <c:pt idx="12">
                  <c:v>11022555.16840242</c:v>
                </c:pt>
                <c:pt idx="13">
                  <c:v>-57615.188896298001</c:v>
                </c:pt>
                <c:pt idx="14">
                  <c:v>164736.68716914306</c:v>
                </c:pt>
                <c:pt idx="15">
                  <c:v>-1157771.728045095</c:v>
                </c:pt>
                <c:pt idx="16">
                  <c:v>60603.982134243823</c:v>
                </c:pt>
                <c:pt idx="17">
                  <c:v>7404787.9515843038</c:v>
                </c:pt>
                <c:pt idx="18">
                  <c:v>-538213.86594084674</c:v>
                </c:pt>
                <c:pt idx="19">
                  <c:v>226482.10960595869</c:v>
                </c:pt>
                <c:pt idx="20">
                  <c:v>310328.80902766809</c:v>
                </c:pt>
                <c:pt idx="21">
                  <c:v>1828439.5499103628</c:v>
                </c:pt>
                <c:pt idx="22">
                  <c:v>6579874.2612217292</c:v>
                </c:pt>
                <c:pt idx="23">
                  <c:v>61155.785365612595</c:v>
                </c:pt>
                <c:pt idx="24">
                  <c:v>103810.08495901455</c:v>
                </c:pt>
                <c:pt idx="25">
                  <c:v>-29479.244367515901</c:v>
                </c:pt>
                <c:pt idx="26">
                  <c:v>81918.428242803551</c:v>
                </c:pt>
                <c:pt idx="27">
                  <c:v>-1385916.0219138209</c:v>
                </c:pt>
                <c:pt idx="28">
                  <c:v>-536597.06085649482</c:v>
                </c:pt>
                <c:pt idx="29">
                  <c:v>208623.22794058779</c:v>
                </c:pt>
                <c:pt idx="30">
                  <c:v>49383.462097259238</c:v>
                </c:pt>
                <c:pt idx="31">
                  <c:v>-33000.388743211515</c:v>
                </c:pt>
                <c:pt idx="32">
                  <c:v>1558716.9322337434</c:v>
                </c:pt>
                <c:pt idx="33">
                  <c:v>-153001.07960245293</c:v>
                </c:pt>
                <c:pt idx="34">
                  <c:v>-201339.3259397659</c:v>
                </c:pt>
                <c:pt idx="35">
                  <c:v>-118518.99426811328</c:v>
                </c:pt>
                <c:pt idx="36">
                  <c:v>-89856.525342450477</c:v>
                </c:pt>
                <c:pt idx="37">
                  <c:v>-1178510.7936233059</c:v>
                </c:pt>
                <c:pt idx="38">
                  <c:v>-94578.578446484753</c:v>
                </c:pt>
                <c:pt idx="39">
                  <c:v>-158082.58263316657</c:v>
                </c:pt>
                <c:pt idx="40">
                  <c:v>-185686.66198725346</c:v>
                </c:pt>
                <c:pt idx="41">
                  <c:v>-78553.641497299803</c:v>
                </c:pt>
                <c:pt idx="42">
                  <c:v>-1789028.7977247881</c:v>
                </c:pt>
                <c:pt idx="43">
                  <c:v>-46988.014318719099</c:v>
                </c:pt>
                <c:pt idx="44">
                  <c:v>35540.865616436931</c:v>
                </c:pt>
                <c:pt idx="45">
                  <c:v>-94959.665863225935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1648768"/>
        <c:axId val="201650560"/>
      </c:barChart>
      <c:catAx>
        <c:axId val="201648768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201650560"/>
        <c:crosses val="autoZero"/>
        <c:auto val="1"/>
        <c:lblAlgn val="ctr"/>
        <c:lblOffset val="100"/>
        <c:noMultiLvlLbl val="0"/>
      </c:catAx>
      <c:valAx>
        <c:axId val="201650560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01648768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39966648324671"/>
          <c:y val="4.9371664561910507E-2"/>
          <c:w val="0.73530441899733812"/>
          <c:h val="0.907620596686201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250512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21350</c:v>
                </c:pt>
                <c:pt idx="1">
                  <c:v>21325</c:v>
                </c:pt>
                <c:pt idx="2">
                  <c:v>21300</c:v>
                </c:pt>
                <c:pt idx="3">
                  <c:v>21275</c:v>
                </c:pt>
                <c:pt idx="4">
                  <c:v>21250</c:v>
                </c:pt>
                <c:pt idx="5">
                  <c:v>21225</c:v>
                </c:pt>
                <c:pt idx="6">
                  <c:v>21200</c:v>
                </c:pt>
                <c:pt idx="7">
                  <c:v>21175</c:v>
                </c:pt>
                <c:pt idx="8">
                  <c:v>21150</c:v>
                </c:pt>
                <c:pt idx="9">
                  <c:v>21125</c:v>
                </c:pt>
                <c:pt idx="10">
                  <c:v>21100</c:v>
                </c:pt>
                <c:pt idx="11">
                  <c:v>21075</c:v>
                </c:pt>
                <c:pt idx="12">
                  <c:v>21050</c:v>
                </c:pt>
                <c:pt idx="13">
                  <c:v>21025</c:v>
                </c:pt>
                <c:pt idx="14">
                  <c:v>21000</c:v>
                </c:pt>
                <c:pt idx="15">
                  <c:v>20975</c:v>
                </c:pt>
                <c:pt idx="16">
                  <c:v>20950</c:v>
                </c:pt>
                <c:pt idx="17">
                  <c:v>20925</c:v>
                </c:pt>
                <c:pt idx="18">
                  <c:v>20900</c:v>
                </c:pt>
                <c:pt idx="19">
                  <c:v>20875</c:v>
                </c:pt>
                <c:pt idx="20">
                  <c:v>20850</c:v>
                </c:pt>
                <c:pt idx="21">
                  <c:v>20825</c:v>
                </c:pt>
                <c:pt idx="22">
                  <c:v>20800</c:v>
                </c:pt>
                <c:pt idx="23">
                  <c:v>20775</c:v>
                </c:pt>
                <c:pt idx="24">
                  <c:v>20750</c:v>
                </c:pt>
                <c:pt idx="25">
                  <c:v>20725</c:v>
                </c:pt>
                <c:pt idx="26">
                  <c:v>20700</c:v>
                </c:pt>
                <c:pt idx="27">
                  <c:v>20675</c:v>
                </c:pt>
                <c:pt idx="28">
                  <c:v>20650</c:v>
                </c:pt>
                <c:pt idx="29">
                  <c:v>20625</c:v>
                </c:pt>
                <c:pt idx="30">
                  <c:v>20600</c:v>
                </c:pt>
                <c:pt idx="31">
                  <c:v>20575</c:v>
                </c:pt>
                <c:pt idx="32">
                  <c:v>20550</c:v>
                </c:pt>
                <c:pt idx="33">
                  <c:v>20525</c:v>
                </c:pt>
                <c:pt idx="34">
                  <c:v>20500</c:v>
                </c:pt>
                <c:pt idx="35">
                  <c:v>20475</c:v>
                </c:pt>
                <c:pt idx="36">
                  <c:v>20450</c:v>
                </c:pt>
                <c:pt idx="37">
                  <c:v>20425</c:v>
                </c:pt>
                <c:pt idx="38">
                  <c:v>20400</c:v>
                </c:pt>
                <c:pt idx="39">
                  <c:v>20375</c:v>
                </c:pt>
                <c:pt idx="40">
                  <c:v>20350</c:v>
                </c:pt>
                <c:pt idx="41">
                  <c:v>20325</c:v>
                </c:pt>
                <c:pt idx="42">
                  <c:v>20300</c:v>
                </c:pt>
                <c:pt idx="43">
                  <c:v>20275</c:v>
                </c:pt>
                <c:pt idx="44">
                  <c:v>20250</c:v>
                </c:pt>
                <c:pt idx="45">
                  <c:v>20225</c:v>
                </c:pt>
                <c:pt idx="46">
                  <c:v>20200</c:v>
                </c:pt>
                <c:pt idx="47">
                  <c:v>20175</c:v>
                </c:pt>
                <c:pt idx="48">
                  <c:v>20150</c:v>
                </c:pt>
                <c:pt idx="49">
                  <c:v>20125</c:v>
                </c:pt>
                <c:pt idx="50">
                  <c:v>20100</c:v>
                </c:pt>
                <c:pt idx="51">
                  <c:v>20075</c:v>
                </c:pt>
                <c:pt idx="52">
                  <c:v>20050</c:v>
                </c:pt>
              </c:numCache>
            </c:numRef>
          </c:cat>
          <c:val>
            <c:numRef>
              <c:f>Hoja1!$BQ$137:$BQ$189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736018.3017452677</c:v>
                </c:pt>
                <c:pt idx="3">
                  <c:v>0</c:v>
                </c:pt>
                <c:pt idx="4">
                  <c:v>287614.25991230295</c:v>
                </c:pt>
                <c:pt idx="5">
                  <c:v>0</c:v>
                </c:pt>
                <c:pt idx="6">
                  <c:v>464131.95688746491</c:v>
                </c:pt>
                <c:pt idx="7">
                  <c:v>0</c:v>
                </c:pt>
                <c:pt idx="8">
                  <c:v>22960.82715203561</c:v>
                </c:pt>
                <c:pt idx="9">
                  <c:v>0</c:v>
                </c:pt>
                <c:pt idx="10">
                  <c:v>695361.91791852983</c:v>
                </c:pt>
                <c:pt idx="11">
                  <c:v>0</c:v>
                </c:pt>
                <c:pt idx="12">
                  <c:v>655761.33214746125</c:v>
                </c:pt>
                <c:pt idx="13">
                  <c:v>0</c:v>
                </c:pt>
                <c:pt idx="14">
                  <c:v>605576.63069459994</c:v>
                </c:pt>
                <c:pt idx="15">
                  <c:v>231992.59269082925</c:v>
                </c:pt>
                <c:pt idx="16">
                  <c:v>1990675.0524960142</c:v>
                </c:pt>
                <c:pt idx="17">
                  <c:v>408629.456424292</c:v>
                </c:pt>
                <c:pt idx="18">
                  <c:v>3245495.9089293238</c:v>
                </c:pt>
                <c:pt idx="19">
                  <c:v>393481.9042227171</c:v>
                </c:pt>
                <c:pt idx="20">
                  <c:v>2091507.5223085126</c:v>
                </c:pt>
                <c:pt idx="21">
                  <c:v>804893.09216692485</c:v>
                </c:pt>
                <c:pt idx="22">
                  <c:v>2668253.8565565143</c:v>
                </c:pt>
                <c:pt idx="23">
                  <c:v>713943.36838867271</c:v>
                </c:pt>
                <c:pt idx="24">
                  <c:v>292226.39379278716</c:v>
                </c:pt>
                <c:pt idx="25">
                  <c:v>77151.097742739788</c:v>
                </c:pt>
                <c:pt idx="26">
                  <c:v>32746270.049079392</c:v>
                </c:pt>
                <c:pt idx="27">
                  <c:v>-42305.325865725848</c:v>
                </c:pt>
                <c:pt idx="28">
                  <c:v>-24241.643207975016</c:v>
                </c:pt>
                <c:pt idx="29">
                  <c:v>-31305.544937515526</c:v>
                </c:pt>
                <c:pt idx="30">
                  <c:v>-1395041.0976141952</c:v>
                </c:pt>
                <c:pt idx="31">
                  <c:v>34.159275400931108</c:v>
                </c:pt>
                <c:pt idx="32">
                  <c:v>-51726.441117001996</c:v>
                </c:pt>
                <c:pt idx="33">
                  <c:v>4.7869699507102839</c:v>
                </c:pt>
                <c:pt idx="34">
                  <c:v>-103700.54849947958</c:v>
                </c:pt>
                <c:pt idx="35">
                  <c:v>2.8776854092883299E-2</c:v>
                </c:pt>
                <c:pt idx="36">
                  <c:v>9.2024658798120801E-2</c:v>
                </c:pt>
                <c:pt idx="37">
                  <c:v>1.5005243542927889E-3</c:v>
                </c:pt>
                <c:pt idx="38">
                  <c:v>-36398.177705585163</c:v>
                </c:pt>
                <c:pt idx="39">
                  <c:v>2.4599442861662064E-6</c:v>
                </c:pt>
                <c:pt idx="40">
                  <c:v>-16040.122710262238</c:v>
                </c:pt>
                <c:pt idx="41">
                  <c:v>4.4363675523860576E-9</c:v>
                </c:pt>
                <c:pt idx="42">
                  <c:v>-67317.453471560031</c:v>
                </c:pt>
                <c:pt idx="43">
                  <c:v>1.2635053156584692E-10</c:v>
                </c:pt>
                <c:pt idx="44">
                  <c:v>-67006.668050369233</c:v>
                </c:pt>
                <c:pt idx="45">
                  <c:v>-25729.108493412696</c:v>
                </c:pt>
                <c:pt idx="46">
                  <c:v>-65874.979530469471</c:v>
                </c:pt>
                <c:pt idx="47">
                  <c:v>-47612.129112499068</c:v>
                </c:pt>
                <c:pt idx="48">
                  <c:v>-45883.14221199671</c:v>
                </c:pt>
                <c:pt idx="49">
                  <c:v>-66400.320055878328</c:v>
                </c:pt>
                <c:pt idx="50">
                  <c:v>-1100881.36986999</c:v>
                </c:pt>
                <c:pt idx="51">
                  <c:v>-41331.377357108424</c:v>
                </c:pt>
                <c:pt idx="52">
                  <c:v>-29996.070582671793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21350</c:v>
                </c:pt>
                <c:pt idx="1">
                  <c:v>21325</c:v>
                </c:pt>
                <c:pt idx="2">
                  <c:v>21300</c:v>
                </c:pt>
                <c:pt idx="3">
                  <c:v>21275</c:v>
                </c:pt>
                <c:pt idx="4">
                  <c:v>21250</c:v>
                </c:pt>
                <c:pt idx="5">
                  <c:v>21225</c:v>
                </c:pt>
                <c:pt idx="6">
                  <c:v>21200</c:v>
                </c:pt>
                <c:pt idx="7">
                  <c:v>21175</c:v>
                </c:pt>
                <c:pt idx="8">
                  <c:v>21150</c:v>
                </c:pt>
                <c:pt idx="9">
                  <c:v>21125</c:v>
                </c:pt>
                <c:pt idx="10">
                  <c:v>21100</c:v>
                </c:pt>
                <c:pt idx="11">
                  <c:v>21075</c:v>
                </c:pt>
                <c:pt idx="12">
                  <c:v>21050</c:v>
                </c:pt>
                <c:pt idx="13">
                  <c:v>21025</c:v>
                </c:pt>
                <c:pt idx="14">
                  <c:v>21000</c:v>
                </c:pt>
                <c:pt idx="15">
                  <c:v>20975</c:v>
                </c:pt>
                <c:pt idx="16">
                  <c:v>20950</c:v>
                </c:pt>
                <c:pt idx="17">
                  <c:v>20925</c:v>
                </c:pt>
                <c:pt idx="18">
                  <c:v>20900</c:v>
                </c:pt>
                <c:pt idx="19">
                  <c:v>20875</c:v>
                </c:pt>
                <c:pt idx="20">
                  <c:v>20850</c:v>
                </c:pt>
                <c:pt idx="21">
                  <c:v>20825</c:v>
                </c:pt>
                <c:pt idx="22">
                  <c:v>20800</c:v>
                </c:pt>
                <c:pt idx="23">
                  <c:v>20775</c:v>
                </c:pt>
                <c:pt idx="24">
                  <c:v>20750</c:v>
                </c:pt>
                <c:pt idx="25">
                  <c:v>20725</c:v>
                </c:pt>
                <c:pt idx="26">
                  <c:v>20700</c:v>
                </c:pt>
                <c:pt idx="27">
                  <c:v>20675</c:v>
                </c:pt>
                <c:pt idx="28">
                  <c:v>20650</c:v>
                </c:pt>
                <c:pt idx="29">
                  <c:v>20625</c:v>
                </c:pt>
                <c:pt idx="30">
                  <c:v>20600</c:v>
                </c:pt>
                <c:pt idx="31">
                  <c:v>20575</c:v>
                </c:pt>
                <c:pt idx="32">
                  <c:v>20550</c:v>
                </c:pt>
                <c:pt idx="33">
                  <c:v>20525</c:v>
                </c:pt>
                <c:pt idx="34">
                  <c:v>20500</c:v>
                </c:pt>
                <c:pt idx="35">
                  <c:v>20475</c:v>
                </c:pt>
                <c:pt idx="36">
                  <c:v>20450</c:v>
                </c:pt>
                <c:pt idx="37">
                  <c:v>20425</c:v>
                </c:pt>
                <c:pt idx="38">
                  <c:v>20400</c:v>
                </c:pt>
                <c:pt idx="39">
                  <c:v>20375</c:v>
                </c:pt>
                <c:pt idx="40">
                  <c:v>20350</c:v>
                </c:pt>
                <c:pt idx="41">
                  <c:v>20325</c:v>
                </c:pt>
                <c:pt idx="42">
                  <c:v>20300</c:v>
                </c:pt>
                <c:pt idx="43">
                  <c:v>20275</c:v>
                </c:pt>
                <c:pt idx="44">
                  <c:v>20250</c:v>
                </c:pt>
                <c:pt idx="45">
                  <c:v>20225</c:v>
                </c:pt>
                <c:pt idx="46">
                  <c:v>20200</c:v>
                </c:pt>
                <c:pt idx="47">
                  <c:v>20175</c:v>
                </c:pt>
                <c:pt idx="48">
                  <c:v>20150</c:v>
                </c:pt>
                <c:pt idx="49">
                  <c:v>20125</c:v>
                </c:pt>
                <c:pt idx="50">
                  <c:v>20100</c:v>
                </c:pt>
                <c:pt idx="51">
                  <c:v>20075</c:v>
                </c:pt>
                <c:pt idx="52">
                  <c:v>20050</c:v>
                </c:pt>
              </c:numCache>
            </c:numRef>
          </c:cat>
          <c:val>
            <c:numRef>
              <c:f>Hoja1!$BS$137:$BS$189</c:f>
              <c:numCache>
                <c:formatCode>General</c:formatCode>
                <c:ptCount val="53"/>
                <c:pt idx="0">
                  <c:v>187200.10866208974</c:v>
                </c:pt>
                <c:pt idx="1">
                  <c:v>3438653.0819369992</c:v>
                </c:pt>
                <c:pt idx="2">
                  <c:v>2055645.63973406</c:v>
                </c:pt>
                <c:pt idx="3">
                  <c:v>95583.196961985072</c:v>
                </c:pt>
                <c:pt idx="4">
                  <c:v>158369.07744227786</c:v>
                </c:pt>
                <c:pt idx="5">
                  <c:v>265854.69834547216</c:v>
                </c:pt>
                <c:pt idx="6">
                  <c:v>692233.10722450342</c:v>
                </c:pt>
                <c:pt idx="7">
                  <c:v>346831.6374556821</c:v>
                </c:pt>
                <c:pt idx="8">
                  <c:v>341828.95080337825</c:v>
                </c:pt>
                <c:pt idx="9">
                  <c:v>182263.56033194149</c:v>
                </c:pt>
                <c:pt idx="10">
                  <c:v>1570519.1916457561</c:v>
                </c:pt>
                <c:pt idx="11">
                  <c:v>118515.67334988051</c:v>
                </c:pt>
                <c:pt idx="12">
                  <c:v>317373.70381757873</c:v>
                </c:pt>
                <c:pt idx="13">
                  <c:v>441696.98442238168</c:v>
                </c:pt>
                <c:pt idx="14">
                  <c:v>11513405.825064672</c:v>
                </c:pt>
                <c:pt idx="15">
                  <c:v>152134.40915141141</c:v>
                </c:pt>
                <c:pt idx="16">
                  <c:v>226263.72309642631</c:v>
                </c:pt>
                <c:pt idx="17">
                  <c:v>354052.77955401089</c:v>
                </c:pt>
                <c:pt idx="18">
                  <c:v>896026.22332430212</c:v>
                </c:pt>
                <c:pt idx="19">
                  <c:v>431172.43607423513</c:v>
                </c:pt>
                <c:pt idx="20">
                  <c:v>230173.75492603393</c:v>
                </c:pt>
                <c:pt idx="21">
                  <c:v>206364.50251944584</c:v>
                </c:pt>
                <c:pt idx="22">
                  <c:v>616048.43854403705</c:v>
                </c:pt>
                <c:pt idx="23">
                  <c:v>-4817.7852066670021</c:v>
                </c:pt>
                <c:pt idx="24">
                  <c:v>2713768.9030260122</c:v>
                </c:pt>
                <c:pt idx="25">
                  <c:v>842786.52190384921</c:v>
                </c:pt>
                <c:pt idx="26">
                  <c:v>1083773.3872721642</c:v>
                </c:pt>
                <c:pt idx="27">
                  <c:v>1036990.7682074576</c:v>
                </c:pt>
                <c:pt idx="28">
                  <c:v>606927.98526018707</c:v>
                </c:pt>
                <c:pt idx="29">
                  <c:v>297455.18767439487</c:v>
                </c:pt>
                <c:pt idx="30">
                  <c:v>-768951.4127981941</c:v>
                </c:pt>
                <c:pt idx="31">
                  <c:v>265775.95772522409</c:v>
                </c:pt>
                <c:pt idx="32">
                  <c:v>221148.30451830049</c:v>
                </c:pt>
                <c:pt idx="33">
                  <c:v>89158.912054495639</c:v>
                </c:pt>
                <c:pt idx="34">
                  <c:v>1548571.2043388309</c:v>
                </c:pt>
                <c:pt idx="35">
                  <c:v>463842.64183874929</c:v>
                </c:pt>
                <c:pt idx="36">
                  <c:v>113242.01463562188</c:v>
                </c:pt>
                <c:pt idx="37">
                  <c:v>-335116.52886813198</c:v>
                </c:pt>
                <c:pt idx="38">
                  <c:v>-467342.73590441723</c:v>
                </c:pt>
                <c:pt idx="39">
                  <c:v>167260.48006242432</c:v>
                </c:pt>
                <c:pt idx="40">
                  <c:v>148003.06183386833</c:v>
                </c:pt>
                <c:pt idx="41">
                  <c:v>48613.598361338431</c:v>
                </c:pt>
                <c:pt idx="42">
                  <c:v>438277.17547001917</c:v>
                </c:pt>
                <c:pt idx="43">
                  <c:v>331543.77286533988</c:v>
                </c:pt>
                <c:pt idx="44">
                  <c:v>593249.2675717948</c:v>
                </c:pt>
                <c:pt idx="45">
                  <c:v>7946.885350540746</c:v>
                </c:pt>
                <c:pt idx="46">
                  <c:v>386178.30260582967</c:v>
                </c:pt>
                <c:pt idx="47">
                  <c:v>153594.38016751979</c:v>
                </c:pt>
                <c:pt idx="48">
                  <c:v>113649.62506691371</c:v>
                </c:pt>
                <c:pt idx="49">
                  <c:v>-120398.55961028358</c:v>
                </c:pt>
                <c:pt idx="50">
                  <c:v>88924.638920382247</c:v>
                </c:pt>
                <c:pt idx="51">
                  <c:v>-1516.6080550095066</c:v>
                </c:pt>
                <c:pt idx="52">
                  <c:v>33048.023615537619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21350</c:v>
                </c:pt>
                <c:pt idx="1">
                  <c:v>21325</c:v>
                </c:pt>
                <c:pt idx="2">
                  <c:v>21300</c:v>
                </c:pt>
                <c:pt idx="3">
                  <c:v>21275</c:v>
                </c:pt>
                <c:pt idx="4">
                  <c:v>21250</c:v>
                </c:pt>
                <c:pt idx="5">
                  <c:v>21225</c:v>
                </c:pt>
                <c:pt idx="6">
                  <c:v>21200</c:v>
                </c:pt>
                <c:pt idx="7">
                  <c:v>21175</c:v>
                </c:pt>
                <c:pt idx="8">
                  <c:v>21150</c:v>
                </c:pt>
                <c:pt idx="9">
                  <c:v>21125</c:v>
                </c:pt>
                <c:pt idx="10">
                  <c:v>21100</c:v>
                </c:pt>
                <c:pt idx="11">
                  <c:v>21075</c:v>
                </c:pt>
                <c:pt idx="12">
                  <c:v>21050</c:v>
                </c:pt>
                <c:pt idx="13">
                  <c:v>21025</c:v>
                </c:pt>
                <c:pt idx="14">
                  <c:v>21000</c:v>
                </c:pt>
                <c:pt idx="15">
                  <c:v>20975</c:v>
                </c:pt>
                <c:pt idx="16">
                  <c:v>20950</c:v>
                </c:pt>
                <c:pt idx="17">
                  <c:v>20925</c:v>
                </c:pt>
                <c:pt idx="18">
                  <c:v>20900</c:v>
                </c:pt>
                <c:pt idx="19">
                  <c:v>20875</c:v>
                </c:pt>
                <c:pt idx="20">
                  <c:v>20850</c:v>
                </c:pt>
                <c:pt idx="21">
                  <c:v>20825</c:v>
                </c:pt>
                <c:pt idx="22">
                  <c:v>20800</c:v>
                </c:pt>
                <c:pt idx="23">
                  <c:v>20775</c:v>
                </c:pt>
                <c:pt idx="24">
                  <c:v>20750</c:v>
                </c:pt>
                <c:pt idx="25">
                  <c:v>20725</c:v>
                </c:pt>
                <c:pt idx="26">
                  <c:v>20700</c:v>
                </c:pt>
                <c:pt idx="27">
                  <c:v>20675</c:v>
                </c:pt>
                <c:pt idx="28">
                  <c:v>20650</c:v>
                </c:pt>
                <c:pt idx="29">
                  <c:v>20625</c:v>
                </c:pt>
                <c:pt idx="30">
                  <c:v>20600</c:v>
                </c:pt>
                <c:pt idx="31">
                  <c:v>20575</c:v>
                </c:pt>
                <c:pt idx="32">
                  <c:v>20550</c:v>
                </c:pt>
                <c:pt idx="33">
                  <c:v>20525</c:v>
                </c:pt>
                <c:pt idx="34">
                  <c:v>20500</c:v>
                </c:pt>
                <c:pt idx="35">
                  <c:v>20475</c:v>
                </c:pt>
                <c:pt idx="36">
                  <c:v>20450</c:v>
                </c:pt>
                <c:pt idx="37">
                  <c:v>20425</c:v>
                </c:pt>
                <c:pt idx="38">
                  <c:v>20400</c:v>
                </c:pt>
                <c:pt idx="39">
                  <c:v>20375</c:v>
                </c:pt>
                <c:pt idx="40">
                  <c:v>20350</c:v>
                </c:pt>
                <c:pt idx="41">
                  <c:v>20325</c:v>
                </c:pt>
                <c:pt idx="42">
                  <c:v>20300</c:v>
                </c:pt>
                <c:pt idx="43">
                  <c:v>20275</c:v>
                </c:pt>
                <c:pt idx="44">
                  <c:v>20250</c:v>
                </c:pt>
                <c:pt idx="45">
                  <c:v>20225</c:v>
                </c:pt>
                <c:pt idx="46">
                  <c:v>20200</c:v>
                </c:pt>
                <c:pt idx="47">
                  <c:v>20175</c:v>
                </c:pt>
                <c:pt idx="48">
                  <c:v>20150</c:v>
                </c:pt>
                <c:pt idx="49">
                  <c:v>20125</c:v>
                </c:pt>
                <c:pt idx="50">
                  <c:v>20100</c:v>
                </c:pt>
                <c:pt idx="51">
                  <c:v>20075</c:v>
                </c:pt>
                <c:pt idx="52">
                  <c:v>20050</c:v>
                </c:pt>
              </c:numCache>
            </c:numRef>
          </c:cat>
          <c:val>
            <c:numRef>
              <c:f>Hoja1!$BU$137:$BU$189</c:f>
              <c:numCache>
                <c:formatCode>General</c:formatCode>
                <c:ptCount val="53"/>
                <c:pt idx="0">
                  <c:v>51322.25179519572</c:v>
                </c:pt>
                <c:pt idx="1">
                  <c:v>18054.881417228189</c:v>
                </c:pt>
                <c:pt idx="2">
                  <c:v>64054.146504841396</c:v>
                </c:pt>
                <c:pt idx="3">
                  <c:v>179239.59879324489</c:v>
                </c:pt>
                <c:pt idx="4">
                  <c:v>1290481.2760541132</c:v>
                </c:pt>
                <c:pt idx="5">
                  <c:v>43863.814345369712</c:v>
                </c:pt>
                <c:pt idx="6">
                  <c:v>555900.14640599466</c:v>
                </c:pt>
                <c:pt idx="7">
                  <c:v>116555.66733561478</c:v>
                </c:pt>
                <c:pt idx="8">
                  <c:v>96231.184840692164</c:v>
                </c:pt>
                <c:pt idx="9">
                  <c:v>74258.111118505505</c:v>
                </c:pt>
                <c:pt idx="10">
                  <c:v>1815575.5060009826</c:v>
                </c:pt>
                <c:pt idx="11">
                  <c:v>129842.31760394479</c:v>
                </c:pt>
                <c:pt idx="12">
                  <c:v>26481.091634138036</c:v>
                </c:pt>
                <c:pt idx="13">
                  <c:v>80738.622978551793</c:v>
                </c:pt>
                <c:pt idx="14">
                  <c:v>8204154.5531485006</c:v>
                </c:pt>
                <c:pt idx="15">
                  <c:v>551164.49213665701</c:v>
                </c:pt>
                <c:pt idx="16">
                  <c:v>251446.71619635052</c:v>
                </c:pt>
                <c:pt idx="17">
                  <c:v>337664.7873283485</c:v>
                </c:pt>
                <c:pt idx="18">
                  <c:v>-2107726.1837075376</c:v>
                </c:pt>
                <c:pt idx="19">
                  <c:v>364731.16178590403</c:v>
                </c:pt>
                <c:pt idx="20">
                  <c:v>337166.13135320466</c:v>
                </c:pt>
                <c:pt idx="21">
                  <c:v>304668.80167411611</c:v>
                </c:pt>
                <c:pt idx="22">
                  <c:v>11316140.839371473</c:v>
                </c:pt>
                <c:pt idx="23">
                  <c:v>271557.28165247169</c:v>
                </c:pt>
                <c:pt idx="24">
                  <c:v>1026125.6489626833</c:v>
                </c:pt>
                <c:pt idx="25">
                  <c:v>316357.55783961201</c:v>
                </c:pt>
                <c:pt idx="26">
                  <c:v>423371.96659883624</c:v>
                </c:pt>
                <c:pt idx="27">
                  <c:v>560507.25549052644</c:v>
                </c:pt>
                <c:pt idx="28">
                  <c:v>53789.093928550035</c:v>
                </c:pt>
                <c:pt idx="29">
                  <c:v>169904.76477800071</c:v>
                </c:pt>
                <c:pt idx="30">
                  <c:v>1987228.3558716676</c:v>
                </c:pt>
                <c:pt idx="31">
                  <c:v>229453.92715293096</c:v>
                </c:pt>
                <c:pt idx="32">
                  <c:v>335071.11457458779</c:v>
                </c:pt>
                <c:pt idx="33">
                  <c:v>67263.02866894404</c:v>
                </c:pt>
                <c:pt idx="34">
                  <c:v>4925953.0195782129</c:v>
                </c:pt>
                <c:pt idx="35">
                  <c:v>134693.75731159269</c:v>
                </c:pt>
                <c:pt idx="36">
                  <c:v>3640541.3030206678</c:v>
                </c:pt>
                <c:pt idx="37">
                  <c:v>311921.80233350396</c:v>
                </c:pt>
                <c:pt idx="38">
                  <c:v>-27378.834847357357</c:v>
                </c:pt>
                <c:pt idx="39">
                  <c:v>69444.435847238521</c:v>
                </c:pt>
                <c:pt idx="40">
                  <c:v>36793.008786295657</c:v>
                </c:pt>
                <c:pt idx="41">
                  <c:v>-60052.648188191932</c:v>
                </c:pt>
                <c:pt idx="42">
                  <c:v>-599289.20139459125</c:v>
                </c:pt>
                <c:pt idx="43">
                  <c:v>230757.31515734099</c:v>
                </c:pt>
                <c:pt idx="44">
                  <c:v>-56098.992446180142</c:v>
                </c:pt>
                <c:pt idx="45">
                  <c:v>83291.924431070278</c:v>
                </c:pt>
                <c:pt idx="46">
                  <c:v>710931.17436729558</c:v>
                </c:pt>
                <c:pt idx="47">
                  <c:v>18759.664211091032</c:v>
                </c:pt>
                <c:pt idx="48">
                  <c:v>-18293.097518889641</c:v>
                </c:pt>
                <c:pt idx="49">
                  <c:v>-96913.911788197933</c:v>
                </c:pt>
                <c:pt idx="50">
                  <c:v>-9436.8605938507244</c:v>
                </c:pt>
                <c:pt idx="51">
                  <c:v>-187208.85022484302</c:v>
                </c:pt>
                <c:pt idx="52">
                  <c:v>848010.68842925667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1743744"/>
        <c:axId val="201761920"/>
      </c:barChart>
      <c:catAx>
        <c:axId val="201743744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201761920"/>
        <c:crosses val="autoZero"/>
        <c:auto val="1"/>
        <c:lblAlgn val="ctr"/>
        <c:lblOffset val="100"/>
        <c:noMultiLvlLbl val="0"/>
      </c:catAx>
      <c:valAx>
        <c:axId val="201761920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01743744"/>
        <c:crosses val="autoZero"/>
        <c:crossBetween val="between"/>
        <c:dispUnits>
          <c:builtInUnit val="million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Volumen (cientos)</a:t>
            </a:r>
          </a:p>
        </c:rich>
      </c:tx>
      <c:layout>
        <c:manualLayout>
          <c:xMode val="edge"/>
          <c:yMode val="edge"/>
          <c:x val="0.19795610436685485"/>
          <c:y val="2.377028545866824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39003113336217"/>
          <c:y val="5.0076844939373685E-2"/>
          <c:w val="0.80180919853319055"/>
          <c:h val="0.8758230929259068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250512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592</c:v>
                </c:pt>
                <c:pt idx="1">
                  <c:v>591</c:v>
                </c:pt>
                <c:pt idx="2">
                  <c:v>590</c:v>
                </c:pt>
                <c:pt idx="3">
                  <c:v>589</c:v>
                </c:pt>
                <c:pt idx="4">
                  <c:v>588</c:v>
                </c:pt>
                <c:pt idx="5">
                  <c:v>587</c:v>
                </c:pt>
                <c:pt idx="6">
                  <c:v>586</c:v>
                </c:pt>
                <c:pt idx="7">
                  <c:v>585</c:v>
                </c:pt>
                <c:pt idx="8">
                  <c:v>584</c:v>
                </c:pt>
                <c:pt idx="9">
                  <c:v>583</c:v>
                </c:pt>
                <c:pt idx="10">
                  <c:v>582</c:v>
                </c:pt>
                <c:pt idx="11">
                  <c:v>581</c:v>
                </c:pt>
                <c:pt idx="12">
                  <c:v>580</c:v>
                </c:pt>
                <c:pt idx="13">
                  <c:v>579</c:v>
                </c:pt>
                <c:pt idx="14">
                  <c:v>578</c:v>
                </c:pt>
                <c:pt idx="15">
                  <c:v>577</c:v>
                </c:pt>
                <c:pt idx="16">
                  <c:v>576</c:v>
                </c:pt>
                <c:pt idx="17">
                  <c:v>575</c:v>
                </c:pt>
                <c:pt idx="18">
                  <c:v>574</c:v>
                </c:pt>
                <c:pt idx="19">
                  <c:v>573</c:v>
                </c:pt>
                <c:pt idx="20">
                  <c:v>572</c:v>
                </c:pt>
                <c:pt idx="21">
                  <c:v>571</c:v>
                </c:pt>
                <c:pt idx="22">
                  <c:v>570</c:v>
                </c:pt>
                <c:pt idx="23">
                  <c:v>569</c:v>
                </c:pt>
                <c:pt idx="24">
                  <c:v>568</c:v>
                </c:pt>
                <c:pt idx="25">
                  <c:v>567</c:v>
                </c:pt>
                <c:pt idx="26">
                  <c:v>566</c:v>
                </c:pt>
                <c:pt idx="27">
                  <c:v>565</c:v>
                </c:pt>
                <c:pt idx="28">
                  <c:v>564</c:v>
                </c:pt>
                <c:pt idx="29">
                  <c:v>563</c:v>
                </c:pt>
                <c:pt idx="30">
                  <c:v>562</c:v>
                </c:pt>
                <c:pt idx="31">
                  <c:v>561</c:v>
                </c:pt>
                <c:pt idx="32">
                  <c:v>560</c:v>
                </c:pt>
                <c:pt idx="33">
                  <c:v>559</c:v>
                </c:pt>
                <c:pt idx="34">
                  <c:v>558</c:v>
                </c:pt>
              </c:numCache>
            </c:numRef>
          </c:cat>
          <c:val>
            <c:numRef>
              <c:f>Hoja1!$CQ$4:$CQ$38</c:f>
              <c:numCache>
                <c:formatCode>General</c:formatCode>
                <c:ptCount val="35"/>
                <c:pt idx="0">
                  <c:v>7348</c:v>
                </c:pt>
                <c:pt idx="1">
                  <c:v>8444</c:v>
                </c:pt>
                <c:pt idx="2">
                  <c:v>35085</c:v>
                </c:pt>
                <c:pt idx="3">
                  <c:v>11777</c:v>
                </c:pt>
                <c:pt idx="4">
                  <c:v>11496</c:v>
                </c:pt>
                <c:pt idx="5">
                  <c:v>40956</c:v>
                </c:pt>
                <c:pt idx="6">
                  <c:v>59903</c:v>
                </c:pt>
                <c:pt idx="7">
                  <c:v>200045</c:v>
                </c:pt>
                <c:pt idx="8">
                  <c:v>137129</c:v>
                </c:pt>
                <c:pt idx="9">
                  <c:v>202162</c:v>
                </c:pt>
                <c:pt idx="10">
                  <c:v>219885</c:v>
                </c:pt>
                <c:pt idx="11">
                  <c:v>-43314</c:v>
                </c:pt>
                <c:pt idx="12">
                  <c:v>162829</c:v>
                </c:pt>
                <c:pt idx="13">
                  <c:v>-113417</c:v>
                </c:pt>
                <c:pt idx="14">
                  <c:v>-249075</c:v>
                </c:pt>
                <c:pt idx="15">
                  <c:v>-165814</c:v>
                </c:pt>
                <c:pt idx="16">
                  <c:v>-96922</c:v>
                </c:pt>
                <c:pt idx="17">
                  <c:v>-166673</c:v>
                </c:pt>
                <c:pt idx="18">
                  <c:v>-54858</c:v>
                </c:pt>
                <c:pt idx="19">
                  <c:v>-55371</c:v>
                </c:pt>
                <c:pt idx="20">
                  <c:v>-29498</c:v>
                </c:pt>
                <c:pt idx="21">
                  <c:v>-39086</c:v>
                </c:pt>
                <c:pt idx="22">
                  <c:v>-66806</c:v>
                </c:pt>
                <c:pt idx="23">
                  <c:v>-16593</c:v>
                </c:pt>
                <c:pt idx="24">
                  <c:v>-11475</c:v>
                </c:pt>
                <c:pt idx="25">
                  <c:v>-6437</c:v>
                </c:pt>
                <c:pt idx="26">
                  <c:v>-8852</c:v>
                </c:pt>
                <c:pt idx="27">
                  <c:v>-17769</c:v>
                </c:pt>
                <c:pt idx="28">
                  <c:v>-7460</c:v>
                </c:pt>
                <c:pt idx="29">
                  <c:v>-2813</c:v>
                </c:pt>
                <c:pt idx="30">
                  <c:v>-4411</c:v>
                </c:pt>
                <c:pt idx="31">
                  <c:v>-1323</c:v>
                </c:pt>
                <c:pt idx="32">
                  <c:v>-7746</c:v>
                </c:pt>
                <c:pt idx="33">
                  <c:v>-4231</c:v>
                </c:pt>
                <c:pt idx="34">
                  <c:v>-5787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Hoja1!$CS$4:$CS$38</c:f>
              <c:numCache>
                <c:formatCode>General</c:formatCode>
                <c:ptCount val="35"/>
                <c:pt idx="0">
                  <c:v>6056</c:v>
                </c:pt>
                <c:pt idx="1">
                  <c:v>8688</c:v>
                </c:pt>
                <c:pt idx="2">
                  <c:v>47426</c:v>
                </c:pt>
                <c:pt idx="3">
                  <c:v>6939</c:v>
                </c:pt>
                <c:pt idx="4">
                  <c:v>4619</c:v>
                </c:pt>
                <c:pt idx="5">
                  <c:v>5496</c:v>
                </c:pt>
                <c:pt idx="6">
                  <c:v>6465</c:v>
                </c:pt>
                <c:pt idx="7">
                  <c:v>34749</c:v>
                </c:pt>
                <c:pt idx="8">
                  <c:v>5534</c:v>
                </c:pt>
                <c:pt idx="9">
                  <c:v>8248</c:v>
                </c:pt>
                <c:pt idx="10">
                  <c:v>7195</c:v>
                </c:pt>
                <c:pt idx="11">
                  <c:v>4057</c:v>
                </c:pt>
                <c:pt idx="12">
                  <c:v>1916</c:v>
                </c:pt>
                <c:pt idx="13">
                  <c:v>-3308</c:v>
                </c:pt>
                <c:pt idx="14">
                  <c:v>-4292</c:v>
                </c:pt>
                <c:pt idx="15">
                  <c:v>-11631</c:v>
                </c:pt>
                <c:pt idx="16">
                  <c:v>-2941</c:v>
                </c:pt>
                <c:pt idx="17">
                  <c:v>3527</c:v>
                </c:pt>
                <c:pt idx="18">
                  <c:v>-2896</c:v>
                </c:pt>
                <c:pt idx="19">
                  <c:v>-3742</c:v>
                </c:pt>
                <c:pt idx="20">
                  <c:v>-5352</c:v>
                </c:pt>
                <c:pt idx="21">
                  <c:v>-4287</c:v>
                </c:pt>
                <c:pt idx="22">
                  <c:v>-59367</c:v>
                </c:pt>
                <c:pt idx="23">
                  <c:v>-1594</c:v>
                </c:pt>
                <c:pt idx="24">
                  <c:v>-2145</c:v>
                </c:pt>
                <c:pt idx="25">
                  <c:v>-249</c:v>
                </c:pt>
                <c:pt idx="26">
                  <c:v>-1538</c:v>
                </c:pt>
                <c:pt idx="27">
                  <c:v>-10313</c:v>
                </c:pt>
                <c:pt idx="28">
                  <c:v>-3133</c:v>
                </c:pt>
                <c:pt idx="29">
                  <c:v>-5086</c:v>
                </c:pt>
                <c:pt idx="30">
                  <c:v>-19180</c:v>
                </c:pt>
                <c:pt idx="31">
                  <c:v>-3176</c:v>
                </c:pt>
                <c:pt idx="32">
                  <c:v>-25103</c:v>
                </c:pt>
                <c:pt idx="33">
                  <c:v>-1235</c:v>
                </c:pt>
                <c:pt idx="34">
                  <c:v>-592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val>
            <c:numRef>
              <c:f>Hoja1!$CU$4:$CU$38</c:f>
              <c:numCache>
                <c:formatCode>General</c:formatCode>
                <c:ptCount val="35"/>
                <c:pt idx="0">
                  <c:v>943</c:v>
                </c:pt>
                <c:pt idx="1">
                  <c:v>17</c:v>
                </c:pt>
                <c:pt idx="2">
                  <c:v>13377</c:v>
                </c:pt>
                <c:pt idx="3">
                  <c:v>-2</c:v>
                </c:pt>
                <c:pt idx="4">
                  <c:v>1251</c:v>
                </c:pt>
                <c:pt idx="5">
                  <c:v>-491</c:v>
                </c:pt>
                <c:pt idx="6">
                  <c:v>650</c:v>
                </c:pt>
                <c:pt idx="7">
                  <c:v>6838</c:v>
                </c:pt>
                <c:pt idx="8">
                  <c:v>-54</c:v>
                </c:pt>
                <c:pt idx="9">
                  <c:v>251</c:v>
                </c:pt>
                <c:pt idx="10">
                  <c:v>85</c:v>
                </c:pt>
                <c:pt idx="11">
                  <c:v>-311</c:v>
                </c:pt>
                <c:pt idx="12">
                  <c:v>34135</c:v>
                </c:pt>
                <c:pt idx="13">
                  <c:v>-526</c:v>
                </c:pt>
                <c:pt idx="14">
                  <c:v>-1124</c:v>
                </c:pt>
                <c:pt idx="15">
                  <c:v>-459</c:v>
                </c:pt>
                <c:pt idx="16">
                  <c:v>-1111</c:v>
                </c:pt>
                <c:pt idx="17">
                  <c:v>-2159</c:v>
                </c:pt>
                <c:pt idx="18">
                  <c:v>-300</c:v>
                </c:pt>
                <c:pt idx="19">
                  <c:v>-448</c:v>
                </c:pt>
                <c:pt idx="20">
                  <c:v>-898</c:v>
                </c:pt>
                <c:pt idx="21">
                  <c:v>-924</c:v>
                </c:pt>
                <c:pt idx="22">
                  <c:v>1295</c:v>
                </c:pt>
                <c:pt idx="23">
                  <c:v>-609</c:v>
                </c:pt>
                <c:pt idx="24">
                  <c:v>-360</c:v>
                </c:pt>
                <c:pt idx="25">
                  <c:v>-788</c:v>
                </c:pt>
                <c:pt idx="26">
                  <c:v>-830</c:v>
                </c:pt>
                <c:pt idx="27">
                  <c:v>-1310</c:v>
                </c:pt>
                <c:pt idx="28">
                  <c:v>-639</c:v>
                </c:pt>
                <c:pt idx="29">
                  <c:v>-924</c:v>
                </c:pt>
                <c:pt idx="30">
                  <c:v>-646</c:v>
                </c:pt>
                <c:pt idx="31">
                  <c:v>-1977</c:v>
                </c:pt>
                <c:pt idx="32">
                  <c:v>-20740</c:v>
                </c:pt>
                <c:pt idx="33">
                  <c:v>-572</c:v>
                </c:pt>
                <c:pt idx="34">
                  <c:v>-1602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Hoja1!$BG$4:$BG$37</c:f>
              <c:numCache>
                <c:formatCode>0</c:formatCode>
                <c:ptCount val="34"/>
                <c:pt idx="0">
                  <c:v>456</c:v>
                </c:pt>
                <c:pt idx="1">
                  <c:v>4280</c:v>
                </c:pt>
                <c:pt idx="2">
                  <c:v>25445</c:v>
                </c:pt>
                <c:pt idx="3">
                  <c:v>1840</c:v>
                </c:pt>
                <c:pt idx="4">
                  <c:v>1583</c:v>
                </c:pt>
                <c:pt idx="5">
                  <c:v>1440</c:v>
                </c:pt>
                <c:pt idx="6">
                  <c:v>1248</c:v>
                </c:pt>
                <c:pt idx="7">
                  <c:v>42081</c:v>
                </c:pt>
                <c:pt idx="8">
                  <c:v>2047</c:v>
                </c:pt>
                <c:pt idx="9">
                  <c:v>805</c:v>
                </c:pt>
                <c:pt idx="10">
                  <c:v>2685</c:v>
                </c:pt>
                <c:pt idx="11">
                  <c:v>-114</c:v>
                </c:pt>
                <c:pt idx="12">
                  <c:v>-6827</c:v>
                </c:pt>
                <c:pt idx="13">
                  <c:v>-4103</c:v>
                </c:pt>
                <c:pt idx="14">
                  <c:v>-1639</c:v>
                </c:pt>
                <c:pt idx="15">
                  <c:v>-1209</c:v>
                </c:pt>
                <c:pt idx="16">
                  <c:v>-775</c:v>
                </c:pt>
                <c:pt idx="17">
                  <c:v>-38634</c:v>
                </c:pt>
                <c:pt idx="18">
                  <c:v>-522</c:v>
                </c:pt>
                <c:pt idx="19">
                  <c:v>-2891</c:v>
                </c:pt>
                <c:pt idx="20">
                  <c:v>-981</c:v>
                </c:pt>
                <c:pt idx="21">
                  <c:v>-501</c:v>
                </c:pt>
                <c:pt idx="22">
                  <c:v>-16805</c:v>
                </c:pt>
                <c:pt idx="23">
                  <c:v>-775</c:v>
                </c:pt>
                <c:pt idx="24">
                  <c:v>-14</c:v>
                </c:pt>
                <c:pt idx="25">
                  <c:v>-569</c:v>
                </c:pt>
                <c:pt idx="26">
                  <c:v>-3028</c:v>
                </c:pt>
                <c:pt idx="27">
                  <c:v>-15390</c:v>
                </c:pt>
                <c:pt idx="28">
                  <c:v>-1269</c:v>
                </c:pt>
                <c:pt idx="29">
                  <c:v>-1351</c:v>
                </c:pt>
                <c:pt idx="30">
                  <c:v>-1163</c:v>
                </c:pt>
                <c:pt idx="31">
                  <c:v>-3630</c:v>
                </c:pt>
                <c:pt idx="32">
                  <c:v>-27232</c:v>
                </c:pt>
                <c:pt idx="33">
                  <c:v>-2414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1657728"/>
        <c:axId val="201663616"/>
      </c:barChart>
      <c:catAx>
        <c:axId val="20165772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01663616"/>
        <c:crosses val="autoZero"/>
        <c:auto val="1"/>
        <c:lblAlgn val="ctr"/>
        <c:lblOffset val="100"/>
        <c:noMultiLvlLbl val="0"/>
      </c:catAx>
      <c:valAx>
        <c:axId val="20166361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01657728"/>
        <c:crosses val="autoZero"/>
        <c:crossBetween val="between"/>
        <c:dispUnits>
          <c:builtInUnit val="thousan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250512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522</c:v>
                </c:pt>
                <c:pt idx="1">
                  <c:v>521</c:v>
                </c:pt>
                <c:pt idx="2">
                  <c:v>520</c:v>
                </c:pt>
                <c:pt idx="3">
                  <c:v>519</c:v>
                </c:pt>
                <c:pt idx="4">
                  <c:v>518</c:v>
                </c:pt>
                <c:pt idx="5">
                  <c:v>517</c:v>
                </c:pt>
                <c:pt idx="6">
                  <c:v>516</c:v>
                </c:pt>
                <c:pt idx="7">
                  <c:v>515</c:v>
                </c:pt>
                <c:pt idx="8">
                  <c:v>514</c:v>
                </c:pt>
                <c:pt idx="9">
                  <c:v>513</c:v>
                </c:pt>
                <c:pt idx="10">
                  <c:v>512</c:v>
                </c:pt>
                <c:pt idx="11">
                  <c:v>511</c:v>
                </c:pt>
                <c:pt idx="12">
                  <c:v>510</c:v>
                </c:pt>
                <c:pt idx="13">
                  <c:v>509</c:v>
                </c:pt>
                <c:pt idx="14">
                  <c:v>508</c:v>
                </c:pt>
                <c:pt idx="15">
                  <c:v>507</c:v>
                </c:pt>
                <c:pt idx="16">
                  <c:v>506</c:v>
                </c:pt>
                <c:pt idx="17">
                  <c:v>505</c:v>
                </c:pt>
                <c:pt idx="18">
                  <c:v>504</c:v>
                </c:pt>
                <c:pt idx="19">
                  <c:v>503</c:v>
                </c:pt>
                <c:pt idx="20">
                  <c:v>502</c:v>
                </c:pt>
                <c:pt idx="21">
                  <c:v>501</c:v>
                </c:pt>
                <c:pt idx="22">
                  <c:v>500</c:v>
                </c:pt>
                <c:pt idx="23">
                  <c:v>499</c:v>
                </c:pt>
                <c:pt idx="24">
                  <c:v>498</c:v>
                </c:pt>
                <c:pt idx="25">
                  <c:v>497</c:v>
                </c:pt>
                <c:pt idx="26">
                  <c:v>496</c:v>
                </c:pt>
                <c:pt idx="27">
                  <c:v>495</c:v>
                </c:pt>
                <c:pt idx="28">
                  <c:v>494</c:v>
                </c:pt>
                <c:pt idx="29">
                  <c:v>493</c:v>
                </c:pt>
                <c:pt idx="30">
                  <c:v>492</c:v>
                </c:pt>
                <c:pt idx="31">
                  <c:v>491</c:v>
                </c:pt>
                <c:pt idx="32">
                  <c:v>490</c:v>
                </c:pt>
                <c:pt idx="33">
                  <c:v>489</c:v>
                </c:pt>
                <c:pt idx="34">
                  <c:v>488</c:v>
                </c:pt>
              </c:numCache>
            </c:numRef>
          </c:cat>
          <c:val>
            <c:numRef>
              <c:f>Hoja1!$CQ$45:$CQ$79</c:f>
              <c:numCache>
                <c:formatCode>General</c:formatCode>
                <c:ptCount val="35"/>
                <c:pt idx="0">
                  <c:v>2758</c:v>
                </c:pt>
                <c:pt idx="1">
                  <c:v>3803</c:v>
                </c:pt>
                <c:pt idx="2">
                  <c:v>4883</c:v>
                </c:pt>
                <c:pt idx="3">
                  <c:v>2561</c:v>
                </c:pt>
                <c:pt idx="4">
                  <c:v>2594</c:v>
                </c:pt>
                <c:pt idx="5">
                  <c:v>4190</c:v>
                </c:pt>
                <c:pt idx="6">
                  <c:v>3571</c:v>
                </c:pt>
                <c:pt idx="7">
                  <c:v>9565</c:v>
                </c:pt>
                <c:pt idx="8">
                  <c:v>4939</c:v>
                </c:pt>
                <c:pt idx="9">
                  <c:v>10019</c:v>
                </c:pt>
                <c:pt idx="10">
                  <c:v>19300</c:v>
                </c:pt>
                <c:pt idx="11">
                  <c:v>14870</c:v>
                </c:pt>
                <c:pt idx="12">
                  <c:v>62802</c:v>
                </c:pt>
                <c:pt idx="13">
                  <c:v>44211</c:v>
                </c:pt>
                <c:pt idx="14">
                  <c:v>113534</c:v>
                </c:pt>
                <c:pt idx="15">
                  <c:v>82893</c:v>
                </c:pt>
                <c:pt idx="16">
                  <c:v>31670</c:v>
                </c:pt>
                <c:pt idx="17">
                  <c:v>7387</c:v>
                </c:pt>
                <c:pt idx="18">
                  <c:v>-27627</c:v>
                </c:pt>
                <c:pt idx="19">
                  <c:v>-81487</c:v>
                </c:pt>
                <c:pt idx="20">
                  <c:v>-65137</c:v>
                </c:pt>
                <c:pt idx="21">
                  <c:v>-45707</c:v>
                </c:pt>
                <c:pt idx="22">
                  <c:v>-106117</c:v>
                </c:pt>
                <c:pt idx="23">
                  <c:v>-27245</c:v>
                </c:pt>
                <c:pt idx="24">
                  <c:v>-35868</c:v>
                </c:pt>
                <c:pt idx="25">
                  <c:v>-33457</c:v>
                </c:pt>
                <c:pt idx="26">
                  <c:v>-18916</c:v>
                </c:pt>
                <c:pt idx="27">
                  <c:v>-13722</c:v>
                </c:pt>
                <c:pt idx="28">
                  <c:v>-15500</c:v>
                </c:pt>
                <c:pt idx="29">
                  <c:v>-8531</c:v>
                </c:pt>
                <c:pt idx="30">
                  <c:v>-2741</c:v>
                </c:pt>
                <c:pt idx="31">
                  <c:v>-1937</c:v>
                </c:pt>
                <c:pt idx="32">
                  <c:v>-8390</c:v>
                </c:pt>
                <c:pt idx="33">
                  <c:v>2956</c:v>
                </c:pt>
                <c:pt idx="34">
                  <c:v>-2885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522</c:v>
                </c:pt>
                <c:pt idx="1">
                  <c:v>521</c:v>
                </c:pt>
                <c:pt idx="2">
                  <c:v>520</c:v>
                </c:pt>
                <c:pt idx="3">
                  <c:v>519</c:v>
                </c:pt>
                <c:pt idx="4">
                  <c:v>518</c:v>
                </c:pt>
                <c:pt idx="5">
                  <c:v>517</c:v>
                </c:pt>
                <c:pt idx="6">
                  <c:v>516</c:v>
                </c:pt>
                <c:pt idx="7">
                  <c:v>515</c:v>
                </c:pt>
                <c:pt idx="8">
                  <c:v>514</c:v>
                </c:pt>
                <c:pt idx="9">
                  <c:v>513</c:v>
                </c:pt>
                <c:pt idx="10">
                  <c:v>512</c:v>
                </c:pt>
                <c:pt idx="11">
                  <c:v>511</c:v>
                </c:pt>
                <c:pt idx="12">
                  <c:v>510</c:v>
                </c:pt>
                <c:pt idx="13">
                  <c:v>509</c:v>
                </c:pt>
                <c:pt idx="14">
                  <c:v>508</c:v>
                </c:pt>
                <c:pt idx="15">
                  <c:v>507</c:v>
                </c:pt>
                <c:pt idx="16">
                  <c:v>506</c:v>
                </c:pt>
                <c:pt idx="17">
                  <c:v>505</c:v>
                </c:pt>
                <c:pt idx="18">
                  <c:v>504</c:v>
                </c:pt>
                <c:pt idx="19">
                  <c:v>503</c:v>
                </c:pt>
                <c:pt idx="20">
                  <c:v>502</c:v>
                </c:pt>
                <c:pt idx="21">
                  <c:v>501</c:v>
                </c:pt>
                <c:pt idx="22">
                  <c:v>500</c:v>
                </c:pt>
                <c:pt idx="23">
                  <c:v>499</c:v>
                </c:pt>
                <c:pt idx="24">
                  <c:v>498</c:v>
                </c:pt>
                <c:pt idx="25">
                  <c:v>497</c:v>
                </c:pt>
                <c:pt idx="26">
                  <c:v>496</c:v>
                </c:pt>
                <c:pt idx="27">
                  <c:v>495</c:v>
                </c:pt>
                <c:pt idx="28">
                  <c:v>494</c:v>
                </c:pt>
                <c:pt idx="29">
                  <c:v>493</c:v>
                </c:pt>
                <c:pt idx="30">
                  <c:v>492</c:v>
                </c:pt>
                <c:pt idx="31">
                  <c:v>491</c:v>
                </c:pt>
                <c:pt idx="32">
                  <c:v>490</c:v>
                </c:pt>
                <c:pt idx="33">
                  <c:v>489</c:v>
                </c:pt>
                <c:pt idx="34">
                  <c:v>488</c:v>
                </c:pt>
              </c:numCache>
            </c:numRef>
          </c:cat>
          <c:val>
            <c:numRef>
              <c:f>Hoja1!$CS$45:$CS$79</c:f>
              <c:numCache>
                <c:formatCode>General</c:formatCode>
                <c:ptCount val="35"/>
                <c:pt idx="0">
                  <c:v>1013</c:v>
                </c:pt>
                <c:pt idx="1">
                  <c:v>893</c:v>
                </c:pt>
                <c:pt idx="2">
                  <c:v>11413</c:v>
                </c:pt>
                <c:pt idx="3">
                  <c:v>1198</c:v>
                </c:pt>
                <c:pt idx="4">
                  <c:v>1733</c:v>
                </c:pt>
                <c:pt idx="5">
                  <c:v>2373</c:v>
                </c:pt>
                <c:pt idx="6">
                  <c:v>3121</c:v>
                </c:pt>
                <c:pt idx="7">
                  <c:v>14135</c:v>
                </c:pt>
                <c:pt idx="8">
                  <c:v>2519</c:v>
                </c:pt>
                <c:pt idx="9">
                  <c:v>2998</c:v>
                </c:pt>
                <c:pt idx="10">
                  <c:v>3044</c:v>
                </c:pt>
                <c:pt idx="11">
                  <c:v>1994</c:v>
                </c:pt>
                <c:pt idx="12">
                  <c:v>15317</c:v>
                </c:pt>
                <c:pt idx="13">
                  <c:v>1531</c:v>
                </c:pt>
                <c:pt idx="14">
                  <c:v>3396</c:v>
                </c:pt>
                <c:pt idx="15">
                  <c:v>1936</c:v>
                </c:pt>
                <c:pt idx="16">
                  <c:v>-228</c:v>
                </c:pt>
                <c:pt idx="17">
                  <c:v>-80</c:v>
                </c:pt>
                <c:pt idx="18">
                  <c:v>5509</c:v>
                </c:pt>
                <c:pt idx="19">
                  <c:v>-4004</c:v>
                </c:pt>
                <c:pt idx="20">
                  <c:v>-1659</c:v>
                </c:pt>
                <c:pt idx="21">
                  <c:v>-938</c:v>
                </c:pt>
                <c:pt idx="22">
                  <c:v>-34556</c:v>
                </c:pt>
                <c:pt idx="23">
                  <c:v>-2993</c:v>
                </c:pt>
                <c:pt idx="24">
                  <c:v>-3420</c:v>
                </c:pt>
                <c:pt idx="25">
                  <c:v>-828</c:v>
                </c:pt>
                <c:pt idx="26">
                  <c:v>-1517</c:v>
                </c:pt>
                <c:pt idx="27">
                  <c:v>-14264</c:v>
                </c:pt>
                <c:pt idx="28">
                  <c:v>-1963</c:v>
                </c:pt>
                <c:pt idx="29">
                  <c:v>-2868</c:v>
                </c:pt>
                <c:pt idx="30">
                  <c:v>-4069</c:v>
                </c:pt>
                <c:pt idx="31">
                  <c:v>-1188</c:v>
                </c:pt>
                <c:pt idx="32">
                  <c:v>-14555</c:v>
                </c:pt>
                <c:pt idx="33">
                  <c:v>-1920</c:v>
                </c:pt>
                <c:pt idx="34">
                  <c:v>-1279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522</c:v>
                </c:pt>
                <c:pt idx="1">
                  <c:v>521</c:v>
                </c:pt>
                <c:pt idx="2">
                  <c:v>520</c:v>
                </c:pt>
                <c:pt idx="3">
                  <c:v>519</c:v>
                </c:pt>
                <c:pt idx="4">
                  <c:v>518</c:v>
                </c:pt>
                <c:pt idx="5">
                  <c:v>517</c:v>
                </c:pt>
                <c:pt idx="6">
                  <c:v>516</c:v>
                </c:pt>
                <c:pt idx="7">
                  <c:v>515</c:v>
                </c:pt>
                <c:pt idx="8">
                  <c:v>514</c:v>
                </c:pt>
                <c:pt idx="9">
                  <c:v>513</c:v>
                </c:pt>
                <c:pt idx="10">
                  <c:v>512</c:v>
                </c:pt>
                <c:pt idx="11">
                  <c:v>511</c:v>
                </c:pt>
                <c:pt idx="12">
                  <c:v>510</c:v>
                </c:pt>
                <c:pt idx="13">
                  <c:v>509</c:v>
                </c:pt>
                <c:pt idx="14">
                  <c:v>508</c:v>
                </c:pt>
                <c:pt idx="15">
                  <c:v>507</c:v>
                </c:pt>
                <c:pt idx="16">
                  <c:v>506</c:v>
                </c:pt>
                <c:pt idx="17">
                  <c:v>505</c:v>
                </c:pt>
                <c:pt idx="18">
                  <c:v>504</c:v>
                </c:pt>
                <c:pt idx="19">
                  <c:v>503</c:v>
                </c:pt>
                <c:pt idx="20">
                  <c:v>502</c:v>
                </c:pt>
                <c:pt idx="21">
                  <c:v>501</c:v>
                </c:pt>
                <c:pt idx="22">
                  <c:v>500</c:v>
                </c:pt>
                <c:pt idx="23">
                  <c:v>499</c:v>
                </c:pt>
                <c:pt idx="24">
                  <c:v>498</c:v>
                </c:pt>
                <c:pt idx="25">
                  <c:v>497</c:v>
                </c:pt>
                <c:pt idx="26">
                  <c:v>496</c:v>
                </c:pt>
                <c:pt idx="27">
                  <c:v>495</c:v>
                </c:pt>
                <c:pt idx="28">
                  <c:v>494</c:v>
                </c:pt>
                <c:pt idx="29">
                  <c:v>493</c:v>
                </c:pt>
                <c:pt idx="30">
                  <c:v>492</c:v>
                </c:pt>
                <c:pt idx="31">
                  <c:v>491</c:v>
                </c:pt>
                <c:pt idx="32">
                  <c:v>490</c:v>
                </c:pt>
                <c:pt idx="33">
                  <c:v>489</c:v>
                </c:pt>
                <c:pt idx="34">
                  <c:v>488</c:v>
                </c:pt>
              </c:numCache>
            </c:numRef>
          </c:cat>
          <c:val>
            <c:numRef>
              <c:f>Hoja1!$CU$45:$CU$79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12205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13753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857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-5336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107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-2623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Hoja1!$BG$45:$BG$79</c:f>
              <c:numCache>
                <c:formatCode>0</c:formatCode>
                <c:ptCount val="35"/>
                <c:pt idx="0">
                  <c:v>376</c:v>
                </c:pt>
                <c:pt idx="1">
                  <c:v>528</c:v>
                </c:pt>
                <c:pt idx="2">
                  <c:v>18795</c:v>
                </c:pt>
                <c:pt idx="3">
                  <c:v>980</c:v>
                </c:pt>
                <c:pt idx="4">
                  <c:v>247</c:v>
                </c:pt>
                <c:pt idx="5">
                  <c:v>542</c:v>
                </c:pt>
                <c:pt idx="6">
                  <c:v>368</c:v>
                </c:pt>
                <c:pt idx="7">
                  <c:v>12720</c:v>
                </c:pt>
                <c:pt idx="8">
                  <c:v>825</c:v>
                </c:pt>
                <c:pt idx="9">
                  <c:v>440</c:v>
                </c:pt>
                <c:pt idx="10">
                  <c:v>554</c:v>
                </c:pt>
                <c:pt idx="11">
                  <c:v>1547</c:v>
                </c:pt>
                <c:pt idx="12">
                  <c:v>7620</c:v>
                </c:pt>
                <c:pt idx="13">
                  <c:v>361</c:v>
                </c:pt>
                <c:pt idx="14">
                  <c:v>2011</c:v>
                </c:pt>
                <c:pt idx="15">
                  <c:v>332</c:v>
                </c:pt>
                <c:pt idx="16">
                  <c:v>219</c:v>
                </c:pt>
                <c:pt idx="17">
                  <c:v>993</c:v>
                </c:pt>
                <c:pt idx="18">
                  <c:v>-2107</c:v>
                </c:pt>
                <c:pt idx="19">
                  <c:v>-353</c:v>
                </c:pt>
                <c:pt idx="20">
                  <c:v>499</c:v>
                </c:pt>
                <c:pt idx="21">
                  <c:v>513</c:v>
                </c:pt>
                <c:pt idx="22">
                  <c:v>-31976</c:v>
                </c:pt>
                <c:pt idx="23">
                  <c:v>-616</c:v>
                </c:pt>
                <c:pt idx="24">
                  <c:v>-224</c:v>
                </c:pt>
                <c:pt idx="25">
                  <c:v>-260</c:v>
                </c:pt>
                <c:pt idx="26">
                  <c:v>327</c:v>
                </c:pt>
                <c:pt idx="27">
                  <c:v>-6394</c:v>
                </c:pt>
                <c:pt idx="28">
                  <c:v>73</c:v>
                </c:pt>
                <c:pt idx="29">
                  <c:v>-916</c:v>
                </c:pt>
                <c:pt idx="30">
                  <c:v>-1168</c:v>
                </c:pt>
                <c:pt idx="31">
                  <c:v>-580</c:v>
                </c:pt>
                <c:pt idx="32">
                  <c:v>-21441</c:v>
                </c:pt>
                <c:pt idx="33">
                  <c:v>-200</c:v>
                </c:pt>
                <c:pt idx="34">
                  <c:v>-9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1789440"/>
        <c:axId val="201790976"/>
      </c:barChart>
      <c:catAx>
        <c:axId val="20178944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01790976"/>
        <c:crosses val="autoZero"/>
        <c:auto val="1"/>
        <c:lblAlgn val="ctr"/>
        <c:lblOffset val="100"/>
        <c:noMultiLvlLbl val="0"/>
      </c:catAx>
      <c:valAx>
        <c:axId val="20179097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01789440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10002771525771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250512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6020</c:v>
                </c:pt>
                <c:pt idx="1">
                  <c:v>6010</c:v>
                </c:pt>
                <c:pt idx="2">
                  <c:v>6000</c:v>
                </c:pt>
                <c:pt idx="3">
                  <c:v>5990</c:v>
                </c:pt>
                <c:pt idx="4">
                  <c:v>5980</c:v>
                </c:pt>
                <c:pt idx="5">
                  <c:v>5970</c:v>
                </c:pt>
                <c:pt idx="6">
                  <c:v>5960</c:v>
                </c:pt>
                <c:pt idx="7">
                  <c:v>5950</c:v>
                </c:pt>
                <c:pt idx="8">
                  <c:v>5940</c:v>
                </c:pt>
                <c:pt idx="9">
                  <c:v>5930</c:v>
                </c:pt>
                <c:pt idx="10">
                  <c:v>5920</c:v>
                </c:pt>
                <c:pt idx="11">
                  <c:v>5910</c:v>
                </c:pt>
                <c:pt idx="12">
                  <c:v>5900</c:v>
                </c:pt>
                <c:pt idx="13">
                  <c:v>5890</c:v>
                </c:pt>
                <c:pt idx="14">
                  <c:v>5880</c:v>
                </c:pt>
                <c:pt idx="15">
                  <c:v>5870</c:v>
                </c:pt>
                <c:pt idx="16">
                  <c:v>5860</c:v>
                </c:pt>
                <c:pt idx="17">
                  <c:v>5850</c:v>
                </c:pt>
                <c:pt idx="18">
                  <c:v>5840</c:v>
                </c:pt>
                <c:pt idx="19">
                  <c:v>5830</c:v>
                </c:pt>
                <c:pt idx="20">
                  <c:v>5820</c:v>
                </c:pt>
                <c:pt idx="21">
                  <c:v>5810</c:v>
                </c:pt>
                <c:pt idx="22">
                  <c:v>5800</c:v>
                </c:pt>
                <c:pt idx="23">
                  <c:v>5790</c:v>
                </c:pt>
                <c:pt idx="24">
                  <c:v>5780</c:v>
                </c:pt>
                <c:pt idx="25">
                  <c:v>5770</c:v>
                </c:pt>
                <c:pt idx="26">
                  <c:v>5760</c:v>
                </c:pt>
                <c:pt idx="27">
                  <c:v>5750</c:v>
                </c:pt>
                <c:pt idx="28">
                  <c:v>5740</c:v>
                </c:pt>
                <c:pt idx="29">
                  <c:v>5730</c:v>
                </c:pt>
                <c:pt idx="30">
                  <c:v>5720</c:v>
                </c:pt>
                <c:pt idx="31">
                  <c:v>5710</c:v>
                </c:pt>
                <c:pt idx="32">
                  <c:v>5700</c:v>
                </c:pt>
                <c:pt idx="33">
                  <c:v>5690</c:v>
                </c:pt>
                <c:pt idx="34">
                  <c:v>5680</c:v>
                </c:pt>
                <c:pt idx="35">
                  <c:v>5670</c:v>
                </c:pt>
                <c:pt idx="36">
                  <c:v>5660</c:v>
                </c:pt>
                <c:pt idx="37">
                  <c:v>5650</c:v>
                </c:pt>
                <c:pt idx="38">
                  <c:v>5640</c:v>
                </c:pt>
                <c:pt idx="39">
                  <c:v>5630</c:v>
                </c:pt>
                <c:pt idx="40">
                  <c:v>5620</c:v>
                </c:pt>
                <c:pt idx="41">
                  <c:v>5610</c:v>
                </c:pt>
                <c:pt idx="42">
                  <c:v>5600</c:v>
                </c:pt>
                <c:pt idx="43">
                  <c:v>5590</c:v>
                </c:pt>
                <c:pt idx="44">
                  <c:v>5580</c:v>
                </c:pt>
                <c:pt idx="45">
                  <c:v>5570</c:v>
                </c:pt>
              </c:numCache>
            </c:numRef>
          </c:cat>
          <c:val>
            <c:numRef>
              <c:f>Hoja1!$CQ$85:$CQ$130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52180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28010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35613</c:v>
                </c:pt>
                <c:pt idx="13">
                  <c:v>21638</c:v>
                </c:pt>
                <c:pt idx="14">
                  <c:v>28543</c:v>
                </c:pt>
                <c:pt idx="15">
                  <c:v>54535</c:v>
                </c:pt>
                <c:pt idx="16">
                  <c:v>68647</c:v>
                </c:pt>
                <c:pt idx="17">
                  <c:v>152318</c:v>
                </c:pt>
                <c:pt idx="18">
                  <c:v>96956</c:v>
                </c:pt>
                <c:pt idx="19">
                  <c:v>18260</c:v>
                </c:pt>
                <c:pt idx="20">
                  <c:v>-22101</c:v>
                </c:pt>
                <c:pt idx="21">
                  <c:v>-16516</c:v>
                </c:pt>
                <c:pt idx="22">
                  <c:v>-42132</c:v>
                </c:pt>
                <c:pt idx="23">
                  <c:v>-32218</c:v>
                </c:pt>
                <c:pt idx="24">
                  <c:v>-24424</c:v>
                </c:pt>
                <c:pt idx="25">
                  <c:v>-29674</c:v>
                </c:pt>
                <c:pt idx="26">
                  <c:v>-21688</c:v>
                </c:pt>
                <c:pt idx="27">
                  <c:v>-40074</c:v>
                </c:pt>
                <c:pt idx="28">
                  <c:v>-17824</c:v>
                </c:pt>
                <c:pt idx="29">
                  <c:v>-20847</c:v>
                </c:pt>
                <c:pt idx="30">
                  <c:v>-11885</c:v>
                </c:pt>
                <c:pt idx="31">
                  <c:v>-6816</c:v>
                </c:pt>
                <c:pt idx="32">
                  <c:v>-15508</c:v>
                </c:pt>
                <c:pt idx="33">
                  <c:v>-7195</c:v>
                </c:pt>
                <c:pt idx="34">
                  <c:v>-7946</c:v>
                </c:pt>
                <c:pt idx="35">
                  <c:v>-6295</c:v>
                </c:pt>
                <c:pt idx="36">
                  <c:v>-4721</c:v>
                </c:pt>
                <c:pt idx="37">
                  <c:v>-8113</c:v>
                </c:pt>
                <c:pt idx="38">
                  <c:v>-3075</c:v>
                </c:pt>
                <c:pt idx="39">
                  <c:v>-3758</c:v>
                </c:pt>
                <c:pt idx="40">
                  <c:v>-2448</c:v>
                </c:pt>
                <c:pt idx="41">
                  <c:v>-2461</c:v>
                </c:pt>
                <c:pt idx="42">
                  <c:v>-7043</c:v>
                </c:pt>
                <c:pt idx="43">
                  <c:v>-955</c:v>
                </c:pt>
                <c:pt idx="44">
                  <c:v>-1956</c:v>
                </c:pt>
                <c:pt idx="45">
                  <c:v>-2040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6020</c:v>
                </c:pt>
                <c:pt idx="1">
                  <c:v>6010</c:v>
                </c:pt>
                <c:pt idx="2">
                  <c:v>6000</c:v>
                </c:pt>
                <c:pt idx="3">
                  <c:v>5990</c:v>
                </c:pt>
                <c:pt idx="4">
                  <c:v>5980</c:v>
                </c:pt>
                <c:pt idx="5">
                  <c:v>5970</c:v>
                </c:pt>
                <c:pt idx="6">
                  <c:v>5960</c:v>
                </c:pt>
                <c:pt idx="7">
                  <c:v>5950</c:v>
                </c:pt>
                <c:pt idx="8">
                  <c:v>5940</c:v>
                </c:pt>
                <c:pt idx="9">
                  <c:v>5930</c:v>
                </c:pt>
                <c:pt idx="10">
                  <c:v>5920</c:v>
                </c:pt>
                <c:pt idx="11">
                  <c:v>5910</c:v>
                </c:pt>
                <c:pt idx="12">
                  <c:v>5900</c:v>
                </c:pt>
                <c:pt idx="13">
                  <c:v>5890</c:v>
                </c:pt>
                <c:pt idx="14">
                  <c:v>5880</c:v>
                </c:pt>
                <c:pt idx="15">
                  <c:v>5870</c:v>
                </c:pt>
                <c:pt idx="16">
                  <c:v>5860</c:v>
                </c:pt>
                <c:pt idx="17">
                  <c:v>5850</c:v>
                </c:pt>
                <c:pt idx="18">
                  <c:v>5840</c:v>
                </c:pt>
                <c:pt idx="19">
                  <c:v>5830</c:v>
                </c:pt>
                <c:pt idx="20">
                  <c:v>5820</c:v>
                </c:pt>
                <c:pt idx="21">
                  <c:v>5810</c:v>
                </c:pt>
                <c:pt idx="22">
                  <c:v>5800</c:v>
                </c:pt>
                <c:pt idx="23">
                  <c:v>5790</c:v>
                </c:pt>
                <c:pt idx="24">
                  <c:v>5780</c:v>
                </c:pt>
                <c:pt idx="25">
                  <c:v>5770</c:v>
                </c:pt>
                <c:pt idx="26">
                  <c:v>5760</c:v>
                </c:pt>
                <c:pt idx="27">
                  <c:v>5750</c:v>
                </c:pt>
                <c:pt idx="28">
                  <c:v>5740</c:v>
                </c:pt>
                <c:pt idx="29">
                  <c:v>5730</c:v>
                </c:pt>
                <c:pt idx="30">
                  <c:v>5720</c:v>
                </c:pt>
                <c:pt idx="31">
                  <c:v>5710</c:v>
                </c:pt>
                <c:pt idx="32">
                  <c:v>5700</c:v>
                </c:pt>
                <c:pt idx="33">
                  <c:v>5690</c:v>
                </c:pt>
                <c:pt idx="34">
                  <c:v>5680</c:v>
                </c:pt>
                <c:pt idx="35">
                  <c:v>5670</c:v>
                </c:pt>
                <c:pt idx="36">
                  <c:v>5660</c:v>
                </c:pt>
                <c:pt idx="37">
                  <c:v>5650</c:v>
                </c:pt>
                <c:pt idx="38">
                  <c:v>5640</c:v>
                </c:pt>
                <c:pt idx="39">
                  <c:v>5630</c:v>
                </c:pt>
                <c:pt idx="40">
                  <c:v>5620</c:v>
                </c:pt>
                <c:pt idx="41">
                  <c:v>5610</c:v>
                </c:pt>
                <c:pt idx="42">
                  <c:v>5600</c:v>
                </c:pt>
                <c:pt idx="43">
                  <c:v>5590</c:v>
                </c:pt>
                <c:pt idx="44">
                  <c:v>5580</c:v>
                </c:pt>
                <c:pt idx="45">
                  <c:v>5570</c:v>
                </c:pt>
              </c:numCache>
            </c:numRef>
          </c:cat>
          <c:val>
            <c:numRef>
              <c:f>Hoja1!$CS$85:$CS$130</c:f>
              <c:numCache>
                <c:formatCode>General</c:formatCode>
                <c:ptCount val="46"/>
                <c:pt idx="0">
                  <c:v>110</c:v>
                </c:pt>
                <c:pt idx="1">
                  <c:v>42</c:v>
                </c:pt>
                <c:pt idx="2">
                  <c:v>9041</c:v>
                </c:pt>
                <c:pt idx="3">
                  <c:v>49</c:v>
                </c:pt>
                <c:pt idx="4">
                  <c:v>90</c:v>
                </c:pt>
                <c:pt idx="5">
                  <c:v>221</c:v>
                </c:pt>
                <c:pt idx="6">
                  <c:v>399</c:v>
                </c:pt>
                <c:pt idx="7">
                  <c:v>6430</c:v>
                </c:pt>
                <c:pt idx="8">
                  <c:v>25</c:v>
                </c:pt>
                <c:pt idx="9">
                  <c:v>268</c:v>
                </c:pt>
                <c:pt idx="10">
                  <c:v>73</c:v>
                </c:pt>
                <c:pt idx="11">
                  <c:v>198</c:v>
                </c:pt>
                <c:pt idx="12">
                  <c:v>6495</c:v>
                </c:pt>
                <c:pt idx="13">
                  <c:v>204</c:v>
                </c:pt>
                <c:pt idx="14">
                  <c:v>559</c:v>
                </c:pt>
                <c:pt idx="15">
                  <c:v>134</c:v>
                </c:pt>
                <c:pt idx="16">
                  <c:v>625</c:v>
                </c:pt>
                <c:pt idx="17">
                  <c:v>1246</c:v>
                </c:pt>
                <c:pt idx="18">
                  <c:v>192</c:v>
                </c:pt>
                <c:pt idx="19">
                  <c:v>250</c:v>
                </c:pt>
                <c:pt idx="20">
                  <c:v>563</c:v>
                </c:pt>
                <c:pt idx="21">
                  <c:v>-24</c:v>
                </c:pt>
                <c:pt idx="22">
                  <c:v>1638</c:v>
                </c:pt>
                <c:pt idx="23">
                  <c:v>-331</c:v>
                </c:pt>
                <c:pt idx="24">
                  <c:v>-50</c:v>
                </c:pt>
                <c:pt idx="25">
                  <c:v>-73</c:v>
                </c:pt>
                <c:pt idx="26">
                  <c:v>-1425</c:v>
                </c:pt>
                <c:pt idx="27">
                  <c:v>-3988</c:v>
                </c:pt>
                <c:pt idx="28">
                  <c:v>-40</c:v>
                </c:pt>
                <c:pt idx="29">
                  <c:v>-140</c:v>
                </c:pt>
                <c:pt idx="30">
                  <c:v>-123</c:v>
                </c:pt>
                <c:pt idx="31">
                  <c:v>-192</c:v>
                </c:pt>
                <c:pt idx="32">
                  <c:v>5</c:v>
                </c:pt>
                <c:pt idx="33">
                  <c:v>-1384</c:v>
                </c:pt>
                <c:pt idx="34">
                  <c:v>-133</c:v>
                </c:pt>
                <c:pt idx="35">
                  <c:v>-181</c:v>
                </c:pt>
                <c:pt idx="36">
                  <c:v>-42</c:v>
                </c:pt>
                <c:pt idx="37">
                  <c:v>-2781</c:v>
                </c:pt>
                <c:pt idx="38">
                  <c:v>96</c:v>
                </c:pt>
                <c:pt idx="39">
                  <c:v>-70</c:v>
                </c:pt>
                <c:pt idx="40">
                  <c:v>-158</c:v>
                </c:pt>
                <c:pt idx="41">
                  <c:v>-48</c:v>
                </c:pt>
                <c:pt idx="42">
                  <c:v>-1674</c:v>
                </c:pt>
                <c:pt idx="43">
                  <c:v>-18</c:v>
                </c:pt>
                <c:pt idx="44">
                  <c:v>-43</c:v>
                </c:pt>
                <c:pt idx="45">
                  <c:v>-18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6020</c:v>
                </c:pt>
                <c:pt idx="1">
                  <c:v>6010</c:v>
                </c:pt>
                <c:pt idx="2">
                  <c:v>6000</c:v>
                </c:pt>
                <c:pt idx="3">
                  <c:v>5990</c:v>
                </c:pt>
                <c:pt idx="4">
                  <c:v>5980</c:v>
                </c:pt>
                <c:pt idx="5">
                  <c:v>5970</c:v>
                </c:pt>
                <c:pt idx="6">
                  <c:v>5960</c:v>
                </c:pt>
                <c:pt idx="7">
                  <c:v>5950</c:v>
                </c:pt>
                <c:pt idx="8">
                  <c:v>5940</c:v>
                </c:pt>
                <c:pt idx="9">
                  <c:v>5930</c:v>
                </c:pt>
                <c:pt idx="10">
                  <c:v>5920</c:v>
                </c:pt>
                <c:pt idx="11">
                  <c:v>5910</c:v>
                </c:pt>
                <c:pt idx="12">
                  <c:v>5900</c:v>
                </c:pt>
                <c:pt idx="13">
                  <c:v>5890</c:v>
                </c:pt>
                <c:pt idx="14">
                  <c:v>5880</c:v>
                </c:pt>
                <c:pt idx="15">
                  <c:v>5870</c:v>
                </c:pt>
                <c:pt idx="16">
                  <c:v>5860</c:v>
                </c:pt>
                <c:pt idx="17">
                  <c:v>5850</c:v>
                </c:pt>
                <c:pt idx="18">
                  <c:v>5840</c:v>
                </c:pt>
                <c:pt idx="19">
                  <c:v>5830</c:v>
                </c:pt>
                <c:pt idx="20">
                  <c:v>5820</c:v>
                </c:pt>
                <c:pt idx="21">
                  <c:v>5810</c:v>
                </c:pt>
                <c:pt idx="22">
                  <c:v>5800</c:v>
                </c:pt>
                <c:pt idx="23">
                  <c:v>5790</c:v>
                </c:pt>
                <c:pt idx="24">
                  <c:v>5780</c:v>
                </c:pt>
                <c:pt idx="25">
                  <c:v>5770</c:v>
                </c:pt>
                <c:pt idx="26">
                  <c:v>5760</c:v>
                </c:pt>
                <c:pt idx="27">
                  <c:v>5750</c:v>
                </c:pt>
                <c:pt idx="28">
                  <c:v>5740</c:v>
                </c:pt>
                <c:pt idx="29">
                  <c:v>5730</c:v>
                </c:pt>
                <c:pt idx="30">
                  <c:v>5720</c:v>
                </c:pt>
                <c:pt idx="31">
                  <c:v>5710</c:v>
                </c:pt>
                <c:pt idx="32">
                  <c:v>5700</c:v>
                </c:pt>
                <c:pt idx="33">
                  <c:v>5690</c:v>
                </c:pt>
                <c:pt idx="34">
                  <c:v>5680</c:v>
                </c:pt>
                <c:pt idx="35">
                  <c:v>5670</c:v>
                </c:pt>
                <c:pt idx="36">
                  <c:v>5660</c:v>
                </c:pt>
                <c:pt idx="37">
                  <c:v>5650</c:v>
                </c:pt>
                <c:pt idx="38">
                  <c:v>5640</c:v>
                </c:pt>
                <c:pt idx="39">
                  <c:v>5630</c:v>
                </c:pt>
                <c:pt idx="40">
                  <c:v>5620</c:v>
                </c:pt>
                <c:pt idx="41">
                  <c:v>5610</c:v>
                </c:pt>
                <c:pt idx="42">
                  <c:v>5600</c:v>
                </c:pt>
                <c:pt idx="43">
                  <c:v>5590</c:v>
                </c:pt>
                <c:pt idx="44">
                  <c:v>5580</c:v>
                </c:pt>
                <c:pt idx="45">
                  <c:v>5570</c:v>
                </c:pt>
              </c:numCache>
            </c:numRef>
          </c:cat>
          <c:val>
            <c:numRef>
              <c:f>Hoja1!$CU$85:$CU$130</c:f>
              <c:numCache>
                <c:formatCode>General</c:formatCode>
                <c:ptCount val="46"/>
                <c:pt idx="0">
                  <c:v>1675</c:v>
                </c:pt>
                <c:pt idx="1">
                  <c:v>37</c:v>
                </c:pt>
                <c:pt idx="2">
                  <c:v>8037</c:v>
                </c:pt>
                <c:pt idx="3">
                  <c:v>99</c:v>
                </c:pt>
                <c:pt idx="4">
                  <c:v>0</c:v>
                </c:pt>
                <c:pt idx="5">
                  <c:v>17</c:v>
                </c:pt>
                <c:pt idx="6">
                  <c:v>-2</c:v>
                </c:pt>
                <c:pt idx="7">
                  <c:v>1520</c:v>
                </c:pt>
                <c:pt idx="8">
                  <c:v>-9</c:v>
                </c:pt>
                <c:pt idx="9">
                  <c:v>7</c:v>
                </c:pt>
                <c:pt idx="10">
                  <c:v>3</c:v>
                </c:pt>
                <c:pt idx="11">
                  <c:v>14</c:v>
                </c:pt>
                <c:pt idx="12">
                  <c:v>3636</c:v>
                </c:pt>
                <c:pt idx="13">
                  <c:v>5</c:v>
                </c:pt>
                <c:pt idx="14">
                  <c:v>27</c:v>
                </c:pt>
                <c:pt idx="15">
                  <c:v>-15</c:v>
                </c:pt>
                <c:pt idx="16">
                  <c:v>11</c:v>
                </c:pt>
                <c:pt idx="17">
                  <c:v>2020</c:v>
                </c:pt>
                <c:pt idx="18">
                  <c:v>12</c:v>
                </c:pt>
                <c:pt idx="19">
                  <c:v>-14</c:v>
                </c:pt>
                <c:pt idx="20">
                  <c:v>0</c:v>
                </c:pt>
                <c:pt idx="21">
                  <c:v>-40</c:v>
                </c:pt>
                <c:pt idx="22">
                  <c:v>-1142</c:v>
                </c:pt>
                <c:pt idx="23">
                  <c:v>6</c:v>
                </c:pt>
                <c:pt idx="24">
                  <c:v>-26</c:v>
                </c:pt>
                <c:pt idx="25">
                  <c:v>-1</c:v>
                </c:pt>
                <c:pt idx="26">
                  <c:v>-100</c:v>
                </c:pt>
                <c:pt idx="27">
                  <c:v>752</c:v>
                </c:pt>
                <c:pt idx="28">
                  <c:v>-45</c:v>
                </c:pt>
                <c:pt idx="29">
                  <c:v>-13</c:v>
                </c:pt>
                <c:pt idx="30">
                  <c:v>-61</c:v>
                </c:pt>
                <c:pt idx="31">
                  <c:v>-10</c:v>
                </c:pt>
                <c:pt idx="32">
                  <c:v>-3241</c:v>
                </c:pt>
                <c:pt idx="33">
                  <c:v>-170</c:v>
                </c:pt>
                <c:pt idx="34">
                  <c:v>-58</c:v>
                </c:pt>
                <c:pt idx="35">
                  <c:v>-5</c:v>
                </c:pt>
                <c:pt idx="36">
                  <c:v>-19</c:v>
                </c:pt>
                <c:pt idx="37">
                  <c:v>-563</c:v>
                </c:pt>
                <c:pt idx="38">
                  <c:v>-15</c:v>
                </c:pt>
                <c:pt idx="39">
                  <c:v>11</c:v>
                </c:pt>
                <c:pt idx="40">
                  <c:v>-293</c:v>
                </c:pt>
                <c:pt idx="41">
                  <c:v>-4</c:v>
                </c:pt>
                <c:pt idx="42">
                  <c:v>-1718</c:v>
                </c:pt>
                <c:pt idx="43">
                  <c:v>2</c:v>
                </c:pt>
                <c:pt idx="44">
                  <c:v>-244</c:v>
                </c:pt>
                <c:pt idx="45">
                  <c:v>-79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Hoja1!$BG$85:$BG$130</c:f>
              <c:numCache>
                <c:formatCode>General</c:formatCode>
                <c:ptCount val="46"/>
                <c:pt idx="0">
                  <c:v>298</c:v>
                </c:pt>
                <c:pt idx="1">
                  <c:v>839</c:v>
                </c:pt>
                <c:pt idx="2">
                  <c:v>13670</c:v>
                </c:pt>
                <c:pt idx="3">
                  <c:v>91</c:v>
                </c:pt>
                <c:pt idx="4">
                  <c:v>209</c:v>
                </c:pt>
                <c:pt idx="5">
                  <c:v>12</c:v>
                </c:pt>
                <c:pt idx="6">
                  <c:v>227</c:v>
                </c:pt>
                <c:pt idx="7">
                  <c:v>2176</c:v>
                </c:pt>
                <c:pt idx="8">
                  <c:v>236</c:v>
                </c:pt>
                <c:pt idx="9">
                  <c:v>97</c:v>
                </c:pt>
                <c:pt idx="10">
                  <c:v>301</c:v>
                </c:pt>
                <c:pt idx="11">
                  <c:v>295</c:v>
                </c:pt>
                <c:pt idx="12">
                  <c:v>-20123</c:v>
                </c:pt>
                <c:pt idx="13">
                  <c:v>-129</c:v>
                </c:pt>
                <c:pt idx="14">
                  <c:v>58</c:v>
                </c:pt>
                <c:pt idx="15">
                  <c:v>-576</c:v>
                </c:pt>
                <c:pt idx="16">
                  <c:v>137</c:v>
                </c:pt>
                <c:pt idx="17">
                  <c:v>3446</c:v>
                </c:pt>
                <c:pt idx="18">
                  <c:v>-76</c:v>
                </c:pt>
                <c:pt idx="19">
                  <c:v>-102</c:v>
                </c:pt>
                <c:pt idx="20">
                  <c:v>-80</c:v>
                </c:pt>
                <c:pt idx="21">
                  <c:v>-12</c:v>
                </c:pt>
                <c:pt idx="22">
                  <c:v>-100</c:v>
                </c:pt>
                <c:pt idx="23">
                  <c:v>178</c:v>
                </c:pt>
                <c:pt idx="24">
                  <c:v>23</c:v>
                </c:pt>
                <c:pt idx="25">
                  <c:v>177</c:v>
                </c:pt>
                <c:pt idx="26">
                  <c:v>229</c:v>
                </c:pt>
                <c:pt idx="27">
                  <c:v>-458</c:v>
                </c:pt>
                <c:pt idx="28">
                  <c:v>-120</c:v>
                </c:pt>
                <c:pt idx="29">
                  <c:v>-219</c:v>
                </c:pt>
                <c:pt idx="30">
                  <c:v>-96</c:v>
                </c:pt>
                <c:pt idx="31">
                  <c:v>104</c:v>
                </c:pt>
                <c:pt idx="32">
                  <c:v>-2803</c:v>
                </c:pt>
                <c:pt idx="33">
                  <c:v>-432</c:v>
                </c:pt>
                <c:pt idx="34">
                  <c:v>-721</c:v>
                </c:pt>
                <c:pt idx="35">
                  <c:v>-438</c:v>
                </c:pt>
                <c:pt idx="36">
                  <c:v>258</c:v>
                </c:pt>
                <c:pt idx="37">
                  <c:v>-4593</c:v>
                </c:pt>
                <c:pt idx="38">
                  <c:v>-177</c:v>
                </c:pt>
                <c:pt idx="39">
                  <c:v>-149</c:v>
                </c:pt>
                <c:pt idx="40">
                  <c:v>-520</c:v>
                </c:pt>
                <c:pt idx="41">
                  <c:v>-247</c:v>
                </c:pt>
                <c:pt idx="42">
                  <c:v>-7445</c:v>
                </c:pt>
                <c:pt idx="43">
                  <c:v>-155</c:v>
                </c:pt>
                <c:pt idx="44">
                  <c:v>-325</c:v>
                </c:pt>
                <c:pt idx="45">
                  <c:v>-263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1823360"/>
        <c:axId val="201824896"/>
      </c:barChart>
      <c:catAx>
        <c:axId val="20182336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01824896"/>
        <c:crosses val="autoZero"/>
        <c:auto val="1"/>
        <c:lblAlgn val="ctr"/>
        <c:lblOffset val="100"/>
        <c:noMultiLvlLbl val="0"/>
      </c:catAx>
      <c:valAx>
        <c:axId val="20182489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018233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4.1160031068973667E-2"/>
          <c:w val="0.78602869982248191"/>
          <c:h val="0.9160096834925702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250512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21350</c:v>
                </c:pt>
                <c:pt idx="1">
                  <c:v>21325</c:v>
                </c:pt>
                <c:pt idx="2">
                  <c:v>21300</c:v>
                </c:pt>
                <c:pt idx="3">
                  <c:v>21275</c:v>
                </c:pt>
                <c:pt idx="4">
                  <c:v>21250</c:v>
                </c:pt>
                <c:pt idx="5">
                  <c:v>21225</c:v>
                </c:pt>
                <c:pt idx="6">
                  <c:v>21200</c:v>
                </c:pt>
                <c:pt idx="7">
                  <c:v>21175</c:v>
                </c:pt>
                <c:pt idx="8">
                  <c:v>21150</c:v>
                </c:pt>
                <c:pt idx="9">
                  <c:v>21125</c:v>
                </c:pt>
                <c:pt idx="10">
                  <c:v>21100</c:v>
                </c:pt>
                <c:pt idx="11">
                  <c:v>21075</c:v>
                </c:pt>
                <c:pt idx="12">
                  <c:v>21050</c:v>
                </c:pt>
                <c:pt idx="13">
                  <c:v>21025</c:v>
                </c:pt>
                <c:pt idx="14">
                  <c:v>21000</c:v>
                </c:pt>
                <c:pt idx="15">
                  <c:v>20975</c:v>
                </c:pt>
                <c:pt idx="16">
                  <c:v>20950</c:v>
                </c:pt>
                <c:pt idx="17">
                  <c:v>20925</c:v>
                </c:pt>
                <c:pt idx="18">
                  <c:v>20900</c:v>
                </c:pt>
                <c:pt idx="19">
                  <c:v>20875</c:v>
                </c:pt>
                <c:pt idx="20">
                  <c:v>20850</c:v>
                </c:pt>
                <c:pt idx="21">
                  <c:v>20825</c:v>
                </c:pt>
                <c:pt idx="22">
                  <c:v>20800</c:v>
                </c:pt>
                <c:pt idx="23">
                  <c:v>20775</c:v>
                </c:pt>
                <c:pt idx="24">
                  <c:v>20750</c:v>
                </c:pt>
                <c:pt idx="25">
                  <c:v>20725</c:v>
                </c:pt>
                <c:pt idx="26">
                  <c:v>20700</c:v>
                </c:pt>
                <c:pt idx="27">
                  <c:v>20675</c:v>
                </c:pt>
                <c:pt idx="28">
                  <c:v>20650</c:v>
                </c:pt>
                <c:pt idx="29">
                  <c:v>20625</c:v>
                </c:pt>
                <c:pt idx="30">
                  <c:v>20600</c:v>
                </c:pt>
                <c:pt idx="31">
                  <c:v>20575</c:v>
                </c:pt>
                <c:pt idx="32">
                  <c:v>20550</c:v>
                </c:pt>
                <c:pt idx="33">
                  <c:v>20525</c:v>
                </c:pt>
                <c:pt idx="34">
                  <c:v>20500</c:v>
                </c:pt>
                <c:pt idx="35">
                  <c:v>20475</c:v>
                </c:pt>
                <c:pt idx="36">
                  <c:v>20450</c:v>
                </c:pt>
                <c:pt idx="37">
                  <c:v>20425</c:v>
                </c:pt>
                <c:pt idx="38">
                  <c:v>20400</c:v>
                </c:pt>
                <c:pt idx="39">
                  <c:v>20375</c:v>
                </c:pt>
                <c:pt idx="40">
                  <c:v>20350</c:v>
                </c:pt>
                <c:pt idx="41">
                  <c:v>20325</c:v>
                </c:pt>
                <c:pt idx="42">
                  <c:v>20300</c:v>
                </c:pt>
                <c:pt idx="43">
                  <c:v>20275</c:v>
                </c:pt>
                <c:pt idx="44">
                  <c:v>20250</c:v>
                </c:pt>
                <c:pt idx="45">
                  <c:v>20225</c:v>
                </c:pt>
                <c:pt idx="46">
                  <c:v>20200</c:v>
                </c:pt>
                <c:pt idx="47">
                  <c:v>20175</c:v>
                </c:pt>
                <c:pt idx="48">
                  <c:v>20150</c:v>
                </c:pt>
                <c:pt idx="49">
                  <c:v>20125</c:v>
                </c:pt>
                <c:pt idx="50">
                  <c:v>20100</c:v>
                </c:pt>
                <c:pt idx="51">
                  <c:v>20075</c:v>
                </c:pt>
                <c:pt idx="52">
                  <c:v>20050</c:v>
                </c:pt>
              </c:numCache>
            </c:numRef>
          </c:cat>
          <c:val>
            <c:numRef>
              <c:f>Hoja1!$CQ$137:$CQ$189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406</c:v>
                </c:pt>
                <c:pt idx="3">
                  <c:v>0</c:v>
                </c:pt>
                <c:pt idx="4">
                  <c:v>113</c:v>
                </c:pt>
                <c:pt idx="5">
                  <c:v>0</c:v>
                </c:pt>
                <c:pt idx="6">
                  <c:v>945</c:v>
                </c:pt>
                <c:pt idx="7">
                  <c:v>0</c:v>
                </c:pt>
                <c:pt idx="8">
                  <c:v>269</c:v>
                </c:pt>
                <c:pt idx="9">
                  <c:v>0</c:v>
                </c:pt>
                <c:pt idx="10">
                  <c:v>541</c:v>
                </c:pt>
                <c:pt idx="11">
                  <c:v>0</c:v>
                </c:pt>
                <c:pt idx="12">
                  <c:v>164</c:v>
                </c:pt>
                <c:pt idx="13">
                  <c:v>0</c:v>
                </c:pt>
                <c:pt idx="14">
                  <c:v>1089</c:v>
                </c:pt>
                <c:pt idx="15">
                  <c:v>130</c:v>
                </c:pt>
                <c:pt idx="16">
                  <c:v>3609</c:v>
                </c:pt>
                <c:pt idx="17">
                  <c:v>231</c:v>
                </c:pt>
                <c:pt idx="18">
                  <c:v>1404</c:v>
                </c:pt>
                <c:pt idx="19">
                  <c:v>339</c:v>
                </c:pt>
                <c:pt idx="20">
                  <c:v>1064</c:v>
                </c:pt>
                <c:pt idx="21">
                  <c:v>89</c:v>
                </c:pt>
                <c:pt idx="22">
                  <c:v>451</c:v>
                </c:pt>
                <c:pt idx="23">
                  <c:v>58</c:v>
                </c:pt>
                <c:pt idx="24">
                  <c:v>-237</c:v>
                </c:pt>
                <c:pt idx="25">
                  <c:v>-184</c:v>
                </c:pt>
                <c:pt idx="26">
                  <c:v>264</c:v>
                </c:pt>
                <c:pt idx="27">
                  <c:v>-72</c:v>
                </c:pt>
                <c:pt idx="28">
                  <c:v>-283</c:v>
                </c:pt>
                <c:pt idx="29">
                  <c:v>-221</c:v>
                </c:pt>
                <c:pt idx="30">
                  <c:v>-503</c:v>
                </c:pt>
                <c:pt idx="31">
                  <c:v>-111</c:v>
                </c:pt>
                <c:pt idx="32">
                  <c:v>-304</c:v>
                </c:pt>
                <c:pt idx="33">
                  <c:v>-121</c:v>
                </c:pt>
                <c:pt idx="34">
                  <c:v>-515</c:v>
                </c:pt>
                <c:pt idx="35">
                  <c:v>-81</c:v>
                </c:pt>
                <c:pt idx="36">
                  <c:v>-246</c:v>
                </c:pt>
                <c:pt idx="37">
                  <c:v>-103</c:v>
                </c:pt>
                <c:pt idx="38">
                  <c:v>-361</c:v>
                </c:pt>
                <c:pt idx="39">
                  <c:v>-63</c:v>
                </c:pt>
                <c:pt idx="40">
                  <c:v>-171</c:v>
                </c:pt>
                <c:pt idx="41">
                  <c:v>-58</c:v>
                </c:pt>
                <c:pt idx="42">
                  <c:v>-347</c:v>
                </c:pt>
                <c:pt idx="43">
                  <c:v>-58</c:v>
                </c:pt>
                <c:pt idx="44">
                  <c:v>-210</c:v>
                </c:pt>
                <c:pt idx="45">
                  <c:v>-47</c:v>
                </c:pt>
                <c:pt idx="46">
                  <c:v>-741</c:v>
                </c:pt>
                <c:pt idx="47">
                  <c:v>-27</c:v>
                </c:pt>
                <c:pt idx="48">
                  <c:v>-385</c:v>
                </c:pt>
                <c:pt idx="49">
                  <c:v>-96</c:v>
                </c:pt>
                <c:pt idx="50">
                  <c:v>170</c:v>
                </c:pt>
                <c:pt idx="51">
                  <c:v>-31</c:v>
                </c:pt>
                <c:pt idx="52">
                  <c:v>-183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21350</c:v>
                </c:pt>
                <c:pt idx="1">
                  <c:v>21325</c:v>
                </c:pt>
                <c:pt idx="2">
                  <c:v>21300</c:v>
                </c:pt>
                <c:pt idx="3">
                  <c:v>21275</c:v>
                </c:pt>
                <c:pt idx="4">
                  <c:v>21250</c:v>
                </c:pt>
                <c:pt idx="5">
                  <c:v>21225</c:v>
                </c:pt>
                <c:pt idx="6">
                  <c:v>21200</c:v>
                </c:pt>
                <c:pt idx="7">
                  <c:v>21175</c:v>
                </c:pt>
                <c:pt idx="8">
                  <c:v>21150</c:v>
                </c:pt>
                <c:pt idx="9">
                  <c:v>21125</c:v>
                </c:pt>
                <c:pt idx="10">
                  <c:v>21100</c:v>
                </c:pt>
                <c:pt idx="11">
                  <c:v>21075</c:v>
                </c:pt>
                <c:pt idx="12">
                  <c:v>21050</c:v>
                </c:pt>
                <c:pt idx="13">
                  <c:v>21025</c:v>
                </c:pt>
                <c:pt idx="14">
                  <c:v>21000</c:v>
                </c:pt>
                <c:pt idx="15">
                  <c:v>20975</c:v>
                </c:pt>
                <c:pt idx="16">
                  <c:v>20950</c:v>
                </c:pt>
                <c:pt idx="17">
                  <c:v>20925</c:v>
                </c:pt>
                <c:pt idx="18">
                  <c:v>20900</c:v>
                </c:pt>
                <c:pt idx="19">
                  <c:v>20875</c:v>
                </c:pt>
                <c:pt idx="20">
                  <c:v>20850</c:v>
                </c:pt>
                <c:pt idx="21">
                  <c:v>20825</c:v>
                </c:pt>
                <c:pt idx="22">
                  <c:v>20800</c:v>
                </c:pt>
                <c:pt idx="23">
                  <c:v>20775</c:v>
                </c:pt>
                <c:pt idx="24">
                  <c:v>20750</c:v>
                </c:pt>
                <c:pt idx="25">
                  <c:v>20725</c:v>
                </c:pt>
                <c:pt idx="26">
                  <c:v>20700</c:v>
                </c:pt>
                <c:pt idx="27">
                  <c:v>20675</c:v>
                </c:pt>
                <c:pt idx="28">
                  <c:v>20650</c:v>
                </c:pt>
                <c:pt idx="29">
                  <c:v>20625</c:v>
                </c:pt>
                <c:pt idx="30">
                  <c:v>20600</c:v>
                </c:pt>
                <c:pt idx="31">
                  <c:v>20575</c:v>
                </c:pt>
                <c:pt idx="32">
                  <c:v>20550</c:v>
                </c:pt>
                <c:pt idx="33">
                  <c:v>20525</c:v>
                </c:pt>
                <c:pt idx="34">
                  <c:v>20500</c:v>
                </c:pt>
                <c:pt idx="35">
                  <c:v>20475</c:v>
                </c:pt>
                <c:pt idx="36">
                  <c:v>20450</c:v>
                </c:pt>
                <c:pt idx="37">
                  <c:v>20425</c:v>
                </c:pt>
                <c:pt idx="38">
                  <c:v>20400</c:v>
                </c:pt>
                <c:pt idx="39">
                  <c:v>20375</c:v>
                </c:pt>
                <c:pt idx="40">
                  <c:v>20350</c:v>
                </c:pt>
                <c:pt idx="41">
                  <c:v>20325</c:v>
                </c:pt>
                <c:pt idx="42">
                  <c:v>20300</c:v>
                </c:pt>
                <c:pt idx="43">
                  <c:v>20275</c:v>
                </c:pt>
                <c:pt idx="44">
                  <c:v>20250</c:v>
                </c:pt>
                <c:pt idx="45">
                  <c:v>20225</c:v>
                </c:pt>
                <c:pt idx="46">
                  <c:v>20200</c:v>
                </c:pt>
                <c:pt idx="47">
                  <c:v>20175</c:v>
                </c:pt>
                <c:pt idx="48">
                  <c:v>20150</c:v>
                </c:pt>
                <c:pt idx="49">
                  <c:v>20125</c:v>
                </c:pt>
                <c:pt idx="50">
                  <c:v>20100</c:v>
                </c:pt>
                <c:pt idx="51">
                  <c:v>20075</c:v>
                </c:pt>
                <c:pt idx="52">
                  <c:v>20050</c:v>
                </c:pt>
              </c:numCache>
            </c:numRef>
          </c:cat>
          <c:val>
            <c:numRef>
              <c:f>Hoja1!$CS$137:$CS$189</c:f>
              <c:numCache>
                <c:formatCode>General</c:formatCode>
                <c:ptCount val="53"/>
                <c:pt idx="0">
                  <c:v>23</c:v>
                </c:pt>
                <c:pt idx="1">
                  <c:v>59</c:v>
                </c:pt>
                <c:pt idx="2">
                  <c:v>35</c:v>
                </c:pt>
                <c:pt idx="3">
                  <c:v>10</c:v>
                </c:pt>
                <c:pt idx="4">
                  <c:v>5</c:v>
                </c:pt>
                <c:pt idx="5">
                  <c:v>7</c:v>
                </c:pt>
                <c:pt idx="6">
                  <c:v>67</c:v>
                </c:pt>
                <c:pt idx="7">
                  <c:v>10</c:v>
                </c:pt>
                <c:pt idx="8">
                  <c:v>17</c:v>
                </c:pt>
                <c:pt idx="9">
                  <c:v>2</c:v>
                </c:pt>
                <c:pt idx="10">
                  <c:v>53</c:v>
                </c:pt>
                <c:pt idx="11">
                  <c:v>4</c:v>
                </c:pt>
                <c:pt idx="12">
                  <c:v>1</c:v>
                </c:pt>
                <c:pt idx="13">
                  <c:v>13</c:v>
                </c:pt>
                <c:pt idx="14">
                  <c:v>113</c:v>
                </c:pt>
                <c:pt idx="15">
                  <c:v>23</c:v>
                </c:pt>
                <c:pt idx="16">
                  <c:v>14</c:v>
                </c:pt>
                <c:pt idx="17">
                  <c:v>12</c:v>
                </c:pt>
                <c:pt idx="18">
                  <c:v>7</c:v>
                </c:pt>
                <c:pt idx="19">
                  <c:v>26</c:v>
                </c:pt>
                <c:pt idx="20">
                  <c:v>2</c:v>
                </c:pt>
                <c:pt idx="21">
                  <c:v>0</c:v>
                </c:pt>
                <c:pt idx="22">
                  <c:v>17</c:v>
                </c:pt>
                <c:pt idx="23">
                  <c:v>-7</c:v>
                </c:pt>
                <c:pt idx="24">
                  <c:v>9</c:v>
                </c:pt>
                <c:pt idx="25">
                  <c:v>23</c:v>
                </c:pt>
                <c:pt idx="26">
                  <c:v>42</c:v>
                </c:pt>
                <c:pt idx="27">
                  <c:v>-11</c:v>
                </c:pt>
                <c:pt idx="28">
                  <c:v>-7</c:v>
                </c:pt>
                <c:pt idx="29">
                  <c:v>-8</c:v>
                </c:pt>
                <c:pt idx="30">
                  <c:v>-14</c:v>
                </c:pt>
                <c:pt idx="31">
                  <c:v>-13</c:v>
                </c:pt>
                <c:pt idx="32">
                  <c:v>-20</c:v>
                </c:pt>
                <c:pt idx="33">
                  <c:v>-13</c:v>
                </c:pt>
                <c:pt idx="34">
                  <c:v>-26</c:v>
                </c:pt>
                <c:pt idx="35">
                  <c:v>-3</c:v>
                </c:pt>
                <c:pt idx="36">
                  <c:v>-3</c:v>
                </c:pt>
                <c:pt idx="37">
                  <c:v>-14</c:v>
                </c:pt>
                <c:pt idx="38">
                  <c:v>-2</c:v>
                </c:pt>
                <c:pt idx="39">
                  <c:v>-1</c:v>
                </c:pt>
                <c:pt idx="40">
                  <c:v>-2</c:v>
                </c:pt>
                <c:pt idx="41">
                  <c:v>3</c:v>
                </c:pt>
                <c:pt idx="42">
                  <c:v>-3</c:v>
                </c:pt>
                <c:pt idx="43">
                  <c:v>-8</c:v>
                </c:pt>
                <c:pt idx="44">
                  <c:v>16</c:v>
                </c:pt>
                <c:pt idx="45">
                  <c:v>-6</c:v>
                </c:pt>
                <c:pt idx="46">
                  <c:v>-1</c:v>
                </c:pt>
                <c:pt idx="47">
                  <c:v>-1</c:v>
                </c:pt>
                <c:pt idx="48">
                  <c:v>5</c:v>
                </c:pt>
                <c:pt idx="49">
                  <c:v>-3</c:v>
                </c:pt>
                <c:pt idx="50">
                  <c:v>-47</c:v>
                </c:pt>
                <c:pt idx="51">
                  <c:v>-6</c:v>
                </c:pt>
                <c:pt idx="52">
                  <c:v>-1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21350</c:v>
                </c:pt>
                <c:pt idx="1">
                  <c:v>21325</c:v>
                </c:pt>
                <c:pt idx="2">
                  <c:v>21300</c:v>
                </c:pt>
                <c:pt idx="3">
                  <c:v>21275</c:v>
                </c:pt>
                <c:pt idx="4">
                  <c:v>21250</c:v>
                </c:pt>
                <c:pt idx="5">
                  <c:v>21225</c:v>
                </c:pt>
                <c:pt idx="6">
                  <c:v>21200</c:v>
                </c:pt>
                <c:pt idx="7">
                  <c:v>21175</c:v>
                </c:pt>
                <c:pt idx="8">
                  <c:v>21150</c:v>
                </c:pt>
                <c:pt idx="9">
                  <c:v>21125</c:v>
                </c:pt>
                <c:pt idx="10">
                  <c:v>21100</c:v>
                </c:pt>
                <c:pt idx="11">
                  <c:v>21075</c:v>
                </c:pt>
                <c:pt idx="12">
                  <c:v>21050</c:v>
                </c:pt>
                <c:pt idx="13">
                  <c:v>21025</c:v>
                </c:pt>
                <c:pt idx="14">
                  <c:v>21000</c:v>
                </c:pt>
                <c:pt idx="15">
                  <c:v>20975</c:v>
                </c:pt>
                <c:pt idx="16">
                  <c:v>20950</c:v>
                </c:pt>
                <c:pt idx="17">
                  <c:v>20925</c:v>
                </c:pt>
                <c:pt idx="18">
                  <c:v>20900</c:v>
                </c:pt>
                <c:pt idx="19">
                  <c:v>20875</c:v>
                </c:pt>
                <c:pt idx="20">
                  <c:v>20850</c:v>
                </c:pt>
                <c:pt idx="21">
                  <c:v>20825</c:v>
                </c:pt>
                <c:pt idx="22">
                  <c:v>20800</c:v>
                </c:pt>
                <c:pt idx="23">
                  <c:v>20775</c:v>
                </c:pt>
                <c:pt idx="24">
                  <c:v>20750</c:v>
                </c:pt>
                <c:pt idx="25">
                  <c:v>20725</c:v>
                </c:pt>
                <c:pt idx="26">
                  <c:v>20700</c:v>
                </c:pt>
                <c:pt idx="27">
                  <c:v>20675</c:v>
                </c:pt>
                <c:pt idx="28">
                  <c:v>20650</c:v>
                </c:pt>
                <c:pt idx="29">
                  <c:v>20625</c:v>
                </c:pt>
                <c:pt idx="30">
                  <c:v>20600</c:v>
                </c:pt>
                <c:pt idx="31">
                  <c:v>20575</c:v>
                </c:pt>
                <c:pt idx="32">
                  <c:v>20550</c:v>
                </c:pt>
                <c:pt idx="33">
                  <c:v>20525</c:v>
                </c:pt>
                <c:pt idx="34">
                  <c:v>20500</c:v>
                </c:pt>
                <c:pt idx="35">
                  <c:v>20475</c:v>
                </c:pt>
                <c:pt idx="36">
                  <c:v>20450</c:v>
                </c:pt>
                <c:pt idx="37">
                  <c:v>20425</c:v>
                </c:pt>
                <c:pt idx="38">
                  <c:v>20400</c:v>
                </c:pt>
                <c:pt idx="39">
                  <c:v>20375</c:v>
                </c:pt>
                <c:pt idx="40">
                  <c:v>20350</c:v>
                </c:pt>
                <c:pt idx="41">
                  <c:v>20325</c:v>
                </c:pt>
                <c:pt idx="42">
                  <c:v>20300</c:v>
                </c:pt>
                <c:pt idx="43">
                  <c:v>20275</c:v>
                </c:pt>
                <c:pt idx="44">
                  <c:v>20250</c:v>
                </c:pt>
                <c:pt idx="45">
                  <c:v>20225</c:v>
                </c:pt>
                <c:pt idx="46">
                  <c:v>20200</c:v>
                </c:pt>
                <c:pt idx="47">
                  <c:v>20175</c:v>
                </c:pt>
                <c:pt idx="48">
                  <c:v>20150</c:v>
                </c:pt>
                <c:pt idx="49">
                  <c:v>20125</c:v>
                </c:pt>
                <c:pt idx="50">
                  <c:v>20100</c:v>
                </c:pt>
                <c:pt idx="51">
                  <c:v>20075</c:v>
                </c:pt>
                <c:pt idx="52">
                  <c:v>20050</c:v>
                </c:pt>
              </c:numCache>
            </c:numRef>
          </c:cat>
          <c:val>
            <c:numRef>
              <c:f>Hoja1!$CU$137:$CU$189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111</c:v>
                </c:pt>
                <c:pt idx="15">
                  <c:v>-1</c:v>
                </c:pt>
                <c:pt idx="16">
                  <c:v>-1</c:v>
                </c:pt>
                <c:pt idx="17">
                  <c:v>2</c:v>
                </c:pt>
                <c:pt idx="18">
                  <c:v>-2</c:v>
                </c:pt>
                <c:pt idx="19">
                  <c:v>-1</c:v>
                </c:pt>
                <c:pt idx="20">
                  <c:v>-3</c:v>
                </c:pt>
                <c:pt idx="21">
                  <c:v>0</c:v>
                </c:pt>
                <c:pt idx="22">
                  <c:v>-1</c:v>
                </c:pt>
                <c:pt idx="23">
                  <c:v>0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10</c:v>
                </c:pt>
                <c:pt idx="31">
                  <c:v>2</c:v>
                </c:pt>
                <c:pt idx="32">
                  <c:v>-1</c:v>
                </c:pt>
                <c:pt idx="33">
                  <c:v>0</c:v>
                </c:pt>
                <c:pt idx="34">
                  <c:v>-5</c:v>
                </c:pt>
                <c:pt idx="35">
                  <c:v>0</c:v>
                </c:pt>
                <c:pt idx="36">
                  <c:v>-2</c:v>
                </c:pt>
                <c:pt idx="37">
                  <c:v>-2</c:v>
                </c:pt>
                <c:pt idx="38">
                  <c:v>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11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Hoja1!$BG$137:$BG$189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45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28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92</c:v>
                </c:pt>
                <c:pt idx="15">
                  <c:v>-1</c:v>
                </c:pt>
                <c:pt idx="16">
                  <c:v>1</c:v>
                </c:pt>
                <c:pt idx="17">
                  <c:v>0</c:v>
                </c:pt>
                <c:pt idx="18">
                  <c:v>16</c:v>
                </c:pt>
                <c:pt idx="19">
                  <c:v>-3</c:v>
                </c:pt>
                <c:pt idx="20">
                  <c:v>1</c:v>
                </c:pt>
                <c:pt idx="21">
                  <c:v>0</c:v>
                </c:pt>
                <c:pt idx="22">
                  <c:v>-2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-12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2</c:v>
                </c:pt>
                <c:pt idx="31">
                  <c:v>1</c:v>
                </c:pt>
                <c:pt idx="32">
                  <c:v>3</c:v>
                </c:pt>
                <c:pt idx="33">
                  <c:v>-1</c:v>
                </c:pt>
                <c:pt idx="34">
                  <c:v>17</c:v>
                </c:pt>
                <c:pt idx="35">
                  <c:v>0</c:v>
                </c:pt>
                <c:pt idx="36">
                  <c:v>0</c:v>
                </c:pt>
                <c:pt idx="37">
                  <c:v>-1</c:v>
                </c:pt>
                <c:pt idx="38">
                  <c:v>3</c:v>
                </c:pt>
                <c:pt idx="39">
                  <c:v>-1</c:v>
                </c:pt>
                <c:pt idx="40">
                  <c:v>0</c:v>
                </c:pt>
                <c:pt idx="41">
                  <c:v>0</c:v>
                </c:pt>
                <c:pt idx="42">
                  <c:v>-2</c:v>
                </c:pt>
                <c:pt idx="43">
                  <c:v>2</c:v>
                </c:pt>
                <c:pt idx="44">
                  <c:v>0</c:v>
                </c:pt>
                <c:pt idx="45">
                  <c:v>1</c:v>
                </c:pt>
                <c:pt idx="46">
                  <c:v>-1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52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1995008"/>
        <c:axId val="201996544"/>
      </c:barChart>
      <c:catAx>
        <c:axId val="20199500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01996544"/>
        <c:crosses val="autoZero"/>
        <c:auto val="1"/>
        <c:lblAlgn val="ctr"/>
        <c:lblOffset val="100"/>
        <c:noMultiLvlLbl val="0"/>
      </c:catAx>
      <c:valAx>
        <c:axId val="20199654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019950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DEX (Cientos)</a:t>
            </a:r>
          </a:p>
        </c:rich>
      </c:tx>
      <c:layout>
        <c:manualLayout>
          <c:xMode val="edge"/>
          <c:yMode val="edge"/>
          <c:x val="0.15853868497198109"/>
          <c:y val="2.13931842482990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250512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592</c:v>
                </c:pt>
                <c:pt idx="1">
                  <c:v>591</c:v>
                </c:pt>
                <c:pt idx="2">
                  <c:v>590</c:v>
                </c:pt>
                <c:pt idx="3">
                  <c:v>589</c:v>
                </c:pt>
                <c:pt idx="4">
                  <c:v>588</c:v>
                </c:pt>
                <c:pt idx="5">
                  <c:v>587</c:v>
                </c:pt>
                <c:pt idx="6">
                  <c:v>586</c:v>
                </c:pt>
                <c:pt idx="7">
                  <c:v>585</c:v>
                </c:pt>
                <c:pt idx="8">
                  <c:v>584</c:v>
                </c:pt>
                <c:pt idx="9">
                  <c:v>583</c:v>
                </c:pt>
                <c:pt idx="10">
                  <c:v>582</c:v>
                </c:pt>
                <c:pt idx="11">
                  <c:v>581</c:v>
                </c:pt>
                <c:pt idx="12">
                  <c:v>580</c:v>
                </c:pt>
                <c:pt idx="13">
                  <c:v>579</c:v>
                </c:pt>
                <c:pt idx="14">
                  <c:v>578</c:v>
                </c:pt>
                <c:pt idx="15">
                  <c:v>577</c:v>
                </c:pt>
                <c:pt idx="16">
                  <c:v>576</c:v>
                </c:pt>
                <c:pt idx="17">
                  <c:v>575</c:v>
                </c:pt>
                <c:pt idx="18">
                  <c:v>574</c:v>
                </c:pt>
                <c:pt idx="19">
                  <c:v>573</c:v>
                </c:pt>
                <c:pt idx="20">
                  <c:v>572</c:v>
                </c:pt>
                <c:pt idx="21">
                  <c:v>571</c:v>
                </c:pt>
                <c:pt idx="22">
                  <c:v>570</c:v>
                </c:pt>
                <c:pt idx="23">
                  <c:v>569</c:v>
                </c:pt>
                <c:pt idx="24">
                  <c:v>568</c:v>
                </c:pt>
                <c:pt idx="25">
                  <c:v>567</c:v>
                </c:pt>
                <c:pt idx="26">
                  <c:v>566</c:v>
                </c:pt>
                <c:pt idx="27">
                  <c:v>565</c:v>
                </c:pt>
                <c:pt idx="28">
                  <c:v>564</c:v>
                </c:pt>
                <c:pt idx="29">
                  <c:v>563</c:v>
                </c:pt>
                <c:pt idx="30">
                  <c:v>562</c:v>
                </c:pt>
                <c:pt idx="31">
                  <c:v>561</c:v>
                </c:pt>
                <c:pt idx="32">
                  <c:v>560</c:v>
                </c:pt>
                <c:pt idx="33">
                  <c:v>559</c:v>
                </c:pt>
                <c:pt idx="34">
                  <c:v>558</c:v>
                </c:pt>
              </c:numCache>
            </c:numRef>
          </c:cat>
          <c:val>
            <c:numRef>
              <c:f>Hoja1!$CK$4:$CK$38</c:f>
              <c:numCache>
                <c:formatCode>General</c:formatCode>
                <c:ptCount val="35"/>
                <c:pt idx="0">
                  <c:v>-93</c:v>
                </c:pt>
                <c:pt idx="1">
                  <c:v>1379</c:v>
                </c:pt>
                <c:pt idx="2">
                  <c:v>8552</c:v>
                </c:pt>
                <c:pt idx="3">
                  <c:v>1783.0000000000002</c:v>
                </c:pt>
                <c:pt idx="4">
                  <c:v>1790.0000000000002</c:v>
                </c:pt>
                <c:pt idx="5">
                  <c:v>2524</c:v>
                </c:pt>
                <c:pt idx="6">
                  <c:v>5336</c:v>
                </c:pt>
                <c:pt idx="7">
                  <c:v>20900</c:v>
                </c:pt>
                <c:pt idx="8">
                  <c:v>4630</c:v>
                </c:pt>
                <c:pt idx="9">
                  <c:v>82616</c:v>
                </c:pt>
                <c:pt idx="10">
                  <c:v>203130</c:v>
                </c:pt>
                <c:pt idx="11">
                  <c:v>455400</c:v>
                </c:pt>
                <c:pt idx="12">
                  <c:v>5710843</c:v>
                </c:pt>
                <c:pt idx="13">
                  <c:v>1427787</c:v>
                </c:pt>
                <c:pt idx="14">
                  <c:v>407264</c:v>
                </c:pt>
                <c:pt idx="15">
                  <c:v>465666</c:v>
                </c:pt>
                <c:pt idx="16">
                  <c:v>4970968</c:v>
                </c:pt>
                <c:pt idx="17">
                  <c:v>1040336</c:v>
                </c:pt>
                <c:pt idx="18">
                  <c:v>1566500</c:v>
                </c:pt>
                <c:pt idx="19">
                  <c:v>2069500</c:v>
                </c:pt>
                <c:pt idx="20">
                  <c:v>773200</c:v>
                </c:pt>
                <c:pt idx="21">
                  <c:v>542800</c:v>
                </c:pt>
                <c:pt idx="22">
                  <c:v>1643700</c:v>
                </c:pt>
                <c:pt idx="23">
                  <c:v>427400</c:v>
                </c:pt>
                <c:pt idx="24">
                  <c:v>747000</c:v>
                </c:pt>
                <c:pt idx="25">
                  <c:v>571400</c:v>
                </c:pt>
                <c:pt idx="26">
                  <c:v>594800</c:v>
                </c:pt>
                <c:pt idx="27">
                  <c:v>1022900</c:v>
                </c:pt>
                <c:pt idx="28">
                  <c:v>421200</c:v>
                </c:pt>
                <c:pt idx="29">
                  <c:v>213300</c:v>
                </c:pt>
                <c:pt idx="30">
                  <c:v>234600</c:v>
                </c:pt>
                <c:pt idx="31">
                  <c:v>170300</c:v>
                </c:pt>
                <c:pt idx="32">
                  <c:v>195300</c:v>
                </c:pt>
                <c:pt idx="33">
                  <c:v>75000</c:v>
                </c:pt>
                <c:pt idx="34">
                  <c:v>72556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Hoja1!$CM$4:$CM$38</c:f>
              <c:numCache>
                <c:formatCode>General</c:formatCode>
                <c:ptCount val="35"/>
                <c:pt idx="0">
                  <c:v>75464</c:v>
                </c:pt>
                <c:pt idx="1">
                  <c:v>105631.00000000001</c:v>
                </c:pt>
                <c:pt idx="2">
                  <c:v>664656</c:v>
                </c:pt>
                <c:pt idx="3">
                  <c:v>117848.99999999999</c:v>
                </c:pt>
                <c:pt idx="4">
                  <c:v>165140</c:v>
                </c:pt>
                <c:pt idx="5">
                  <c:v>124348</c:v>
                </c:pt>
                <c:pt idx="6">
                  <c:v>208560</c:v>
                </c:pt>
                <c:pt idx="7">
                  <c:v>897588.00000000012</c:v>
                </c:pt>
                <c:pt idx="8">
                  <c:v>270684</c:v>
                </c:pt>
                <c:pt idx="9">
                  <c:v>251945</c:v>
                </c:pt>
                <c:pt idx="10">
                  <c:v>322918</c:v>
                </c:pt>
                <c:pt idx="11">
                  <c:v>336303.99999999994</c:v>
                </c:pt>
                <c:pt idx="12">
                  <c:v>1786838</c:v>
                </c:pt>
                <c:pt idx="13">
                  <c:v>332232</c:v>
                </c:pt>
                <c:pt idx="14">
                  <c:v>723449</c:v>
                </c:pt>
                <c:pt idx="15">
                  <c:v>342746</c:v>
                </c:pt>
                <c:pt idx="16">
                  <c:v>325989</c:v>
                </c:pt>
                <c:pt idx="17">
                  <c:v>4090491.0000000005</c:v>
                </c:pt>
                <c:pt idx="18">
                  <c:v>243188</c:v>
                </c:pt>
                <c:pt idx="19">
                  <c:v>319120</c:v>
                </c:pt>
                <c:pt idx="20">
                  <c:v>263926</c:v>
                </c:pt>
                <c:pt idx="21">
                  <c:v>286768</c:v>
                </c:pt>
                <c:pt idx="22">
                  <c:v>2396281</c:v>
                </c:pt>
                <c:pt idx="23">
                  <c:v>452578.99999999994</c:v>
                </c:pt>
                <c:pt idx="24">
                  <c:v>680140</c:v>
                </c:pt>
                <c:pt idx="25">
                  <c:v>562339</c:v>
                </c:pt>
                <c:pt idx="26">
                  <c:v>560748</c:v>
                </c:pt>
                <c:pt idx="27">
                  <c:v>2572322</c:v>
                </c:pt>
                <c:pt idx="28">
                  <c:v>354887</c:v>
                </c:pt>
                <c:pt idx="29">
                  <c:v>382680.00000000006</c:v>
                </c:pt>
                <c:pt idx="30">
                  <c:v>484292</c:v>
                </c:pt>
                <c:pt idx="31">
                  <c:v>274718</c:v>
                </c:pt>
                <c:pt idx="32">
                  <c:v>975010</c:v>
                </c:pt>
                <c:pt idx="33">
                  <c:v>312205</c:v>
                </c:pt>
                <c:pt idx="34">
                  <c:v>1071956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val>
            <c:numRef>
              <c:f>Hoja1!$CO$4:$CO$38</c:f>
              <c:numCache>
                <c:formatCode>General</c:formatCode>
                <c:ptCount val="35"/>
                <c:pt idx="0">
                  <c:v>14331</c:v>
                </c:pt>
                <c:pt idx="1">
                  <c:v>59891.999999999993</c:v>
                </c:pt>
                <c:pt idx="2">
                  <c:v>1455488</c:v>
                </c:pt>
                <c:pt idx="3">
                  <c:v>20980</c:v>
                </c:pt>
                <c:pt idx="4">
                  <c:v>73799.999999999985</c:v>
                </c:pt>
                <c:pt idx="5">
                  <c:v>97044</c:v>
                </c:pt>
                <c:pt idx="6">
                  <c:v>79440</c:v>
                </c:pt>
                <c:pt idx="7">
                  <c:v>478112</c:v>
                </c:pt>
                <c:pt idx="8">
                  <c:v>19644</c:v>
                </c:pt>
                <c:pt idx="9">
                  <c:v>29302</c:v>
                </c:pt>
                <c:pt idx="10">
                  <c:v>50220</c:v>
                </c:pt>
                <c:pt idx="11">
                  <c:v>78588.000000000015</c:v>
                </c:pt>
                <c:pt idx="12">
                  <c:v>5370716.9999999991</c:v>
                </c:pt>
                <c:pt idx="13">
                  <c:v>27628</c:v>
                </c:pt>
                <c:pt idx="14">
                  <c:v>67980</c:v>
                </c:pt>
                <c:pt idx="15">
                  <c:v>85152</c:v>
                </c:pt>
                <c:pt idx="16">
                  <c:v>72576</c:v>
                </c:pt>
                <c:pt idx="17">
                  <c:v>1054504</c:v>
                </c:pt>
                <c:pt idx="18">
                  <c:v>58008</c:v>
                </c:pt>
                <c:pt idx="19">
                  <c:v>54050</c:v>
                </c:pt>
                <c:pt idx="20">
                  <c:v>46206.000000000007</c:v>
                </c:pt>
                <c:pt idx="21">
                  <c:v>79954</c:v>
                </c:pt>
                <c:pt idx="22">
                  <c:v>2493392</c:v>
                </c:pt>
                <c:pt idx="23">
                  <c:v>64404.999999999985</c:v>
                </c:pt>
                <c:pt idx="24">
                  <c:v>85389.999999999985</c:v>
                </c:pt>
                <c:pt idx="25">
                  <c:v>19774</c:v>
                </c:pt>
                <c:pt idx="26">
                  <c:v>23399.999999999993</c:v>
                </c:pt>
                <c:pt idx="27">
                  <c:v>1223947</c:v>
                </c:pt>
                <c:pt idx="28">
                  <c:v>46424</c:v>
                </c:pt>
                <c:pt idx="29">
                  <c:v>39672</c:v>
                </c:pt>
                <c:pt idx="30">
                  <c:v>63300</c:v>
                </c:pt>
                <c:pt idx="31">
                  <c:v>24260.000000000007</c:v>
                </c:pt>
                <c:pt idx="32">
                  <c:v>4420106</c:v>
                </c:pt>
                <c:pt idx="33">
                  <c:v>-14074.000000000002</c:v>
                </c:pt>
                <c:pt idx="34">
                  <c:v>-24098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2025984"/>
        <c:axId val="202027776"/>
      </c:barChart>
      <c:catAx>
        <c:axId val="202025984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02027776"/>
        <c:crosses val="autoZero"/>
        <c:auto val="1"/>
        <c:lblAlgn val="ctr"/>
        <c:lblOffset val="100"/>
        <c:noMultiLvlLbl val="0"/>
      </c:catAx>
      <c:valAx>
        <c:axId val="20202777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02025984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250512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522</c:v>
                </c:pt>
                <c:pt idx="1">
                  <c:v>521</c:v>
                </c:pt>
                <c:pt idx="2">
                  <c:v>520</c:v>
                </c:pt>
                <c:pt idx="3">
                  <c:v>519</c:v>
                </c:pt>
                <c:pt idx="4">
                  <c:v>518</c:v>
                </c:pt>
                <c:pt idx="5">
                  <c:v>517</c:v>
                </c:pt>
                <c:pt idx="6">
                  <c:v>516</c:v>
                </c:pt>
                <c:pt idx="7">
                  <c:v>515</c:v>
                </c:pt>
                <c:pt idx="8">
                  <c:v>514</c:v>
                </c:pt>
                <c:pt idx="9">
                  <c:v>513</c:v>
                </c:pt>
                <c:pt idx="10">
                  <c:v>512</c:v>
                </c:pt>
                <c:pt idx="11">
                  <c:v>511</c:v>
                </c:pt>
                <c:pt idx="12">
                  <c:v>510</c:v>
                </c:pt>
                <c:pt idx="13">
                  <c:v>509</c:v>
                </c:pt>
                <c:pt idx="14">
                  <c:v>508</c:v>
                </c:pt>
                <c:pt idx="15">
                  <c:v>507</c:v>
                </c:pt>
                <c:pt idx="16">
                  <c:v>506</c:v>
                </c:pt>
                <c:pt idx="17">
                  <c:v>505</c:v>
                </c:pt>
                <c:pt idx="18">
                  <c:v>504</c:v>
                </c:pt>
                <c:pt idx="19">
                  <c:v>503</c:v>
                </c:pt>
                <c:pt idx="20">
                  <c:v>502</c:v>
                </c:pt>
                <c:pt idx="21">
                  <c:v>501</c:v>
                </c:pt>
                <c:pt idx="22">
                  <c:v>500</c:v>
                </c:pt>
                <c:pt idx="23">
                  <c:v>499</c:v>
                </c:pt>
                <c:pt idx="24">
                  <c:v>498</c:v>
                </c:pt>
                <c:pt idx="25">
                  <c:v>497</c:v>
                </c:pt>
                <c:pt idx="26">
                  <c:v>496</c:v>
                </c:pt>
                <c:pt idx="27">
                  <c:v>495</c:v>
                </c:pt>
                <c:pt idx="28">
                  <c:v>494</c:v>
                </c:pt>
                <c:pt idx="29">
                  <c:v>493</c:v>
                </c:pt>
                <c:pt idx="30">
                  <c:v>492</c:v>
                </c:pt>
                <c:pt idx="31">
                  <c:v>491</c:v>
                </c:pt>
                <c:pt idx="32">
                  <c:v>490</c:v>
                </c:pt>
                <c:pt idx="33">
                  <c:v>489</c:v>
                </c:pt>
                <c:pt idx="34">
                  <c:v>488</c:v>
                </c:pt>
              </c:numCache>
            </c:numRef>
          </c:cat>
          <c:val>
            <c:numRef>
              <c:f>Hoja1!$CK$45:$CK$79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-94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1189</c:v>
                </c:pt>
                <c:pt idx="8">
                  <c:v>515</c:v>
                </c:pt>
                <c:pt idx="9">
                  <c:v>345</c:v>
                </c:pt>
                <c:pt idx="10">
                  <c:v>506.00000000000006</c:v>
                </c:pt>
                <c:pt idx="11">
                  <c:v>494.00000000000006</c:v>
                </c:pt>
                <c:pt idx="12">
                  <c:v>610</c:v>
                </c:pt>
                <c:pt idx="13">
                  <c:v>784</c:v>
                </c:pt>
                <c:pt idx="14">
                  <c:v>11225</c:v>
                </c:pt>
                <c:pt idx="15">
                  <c:v>40883</c:v>
                </c:pt>
                <c:pt idx="16">
                  <c:v>143656</c:v>
                </c:pt>
                <c:pt idx="17">
                  <c:v>323628</c:v>
                </c:pt>
                <c:pt idx="18">
                  <c:v>156419</c:v>
                </c:pt>
                <c:pt idx="19">
                  <c:v>118600.00000000001</c:v>
                </c:pt>
                <c:pt idx="20">
                  <c:v>190088</c:v>
                </c:pt>
                <c:pt idx="21">
                  <c:v>78600</c:v>
                </c:pt>
                <c:pt idx="22">
                  <c:v>625871</c:v>
                </c:pt>
                <c:pt idx="23">
                  <c:v>652000</c:v>
                </c:pt>
                <c:pt idx="24">
                  <c:v>196400</c:v>
                </c:pt>
                <c:pt idx="25">
                  <c:v>262600</c:v>
                </c:pt>
                <c:pt idx="26">
                  <c:v>186300</c:v>
                </c:pt>
                <c:pt idx="27">
                  <c:v>817200</c:v>
                </c:pt>
                <c:pt idx="28">
                  <c:v>238200</c:v>
                </c:pt>
                <c:pt idx="29">
                  <c:v>788800</c:v>
                </c:pt>
                <c:pt idx="30">
                  <c:v>298200</c:v>
                </c:pt>
                <c:pt idx="31">
                  <c:v>312400</c:v>
                </c:pt>
                <c:pt idx="32">
                  <c:v>370600</c:v>
                </c:pt>
                <c:pt idx="33">
                  <c:v>551800</c:v>
                </c:pt>
                <c:pt idx="34">
                  <c:v>287700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522</c:v>
                </c:pt>
                <c:pt idx="1">
                  <c:v>521</c:v>
                </c:pt>
                <c:pt idx="2">
                  <c:v>520</c:v>
                </c:pt>
                <c:pt idx="3">
                  <c:v>519</c:v>
                </c:pt>
                <c:pt idx="4">
                  <c:v>518</c:v>
                </c:pt>
                <c:pt idx="5">
                  <c:v>517</c:v>
                </c:pt>
                <c:pt idx="6">
                  <c:v>516</c:v>
                </c:pt>
                <c:pt idx="7">
                  <c:v>515</c:v>
                </c:pt>
                <c:pt idx="8">
                  <c:v>514</c:v>
                </c:pt>
                <c:pt idx="9">
                  <c:v>513</c:v>
                </c:pt>
                <c:pt idx="10">
                  <c:v>512</c:v>
                </c:pt>
                <c:pt idx="11">
                  <c:v>511</c:v>
                </c:pt>
                <c:pt idx="12">
                  <c:v>510</c:v>
                </c:pt>
                <c:pt idx="13">
                  <c:v>509</c:v>
                </c:pt>
                <c:pt idx="14">
                  <c:v>508</c:v>
                </c:pt>
                <c:pt idx="15">
                  <c:v>507</c:v>
                </c:pt>
                <c:pt idx="16">
                  <c:v>506</c:v>
                </c:pt>
                <c:pt idx="17">
                  <c:v>505</c:v>
                </c:pt>
                <c:pt idx="18">
                  <c:v>504</c:v>
                </c:pt>
                <c:pt idx="19">
                  <c:v>503</c:v>
                </c:pt>
                <c:pt idx="20">
                  <c:v>502</c:v>
                </c:pt>
                <c:pt idx="21">
                  <c:v>501</c:v>
                </c:pt>
                <c:pt idx="22">
                  <c:v>500</c:v>
                </c:pt>
                <c:pt idx="23">
                  <c:v>499</c:v>
                </c:pt>
                <c:pt idx="24">
                  <c:v>498</c:v>
                </c:pt>
                <c:pt idx="25">
                  <c:v>497</c:v>
                </c:pt>
                <c:pt idx="26">
                  <c:v>496</c:v>
                </c:pt>
                <c:pt idx="27">
                  <c:v>495</c:v>
                </c:pt>
                <c:pt idx="28">
                  <c:v>494</c:v>
                </c:pt>
                <c:pt idx="29">
                  <c:v>493</c:v>
                </c:pt>
                <c:pt idx="30">
                  <c:v>492</c:v>
                </c:pt>
                <c:pt idx="31">
                  <c:v>491</c:v>
                </c:pt>
                <c:pt idx="32">
                  <c:v>490</c:v>
                </c:pt>
                <c:pt idx="33">
                  <c:v>489</c:v>
                </c:pt>
                <c:pt idx="34">
                  <c:v>488</c:v>
                </c:pt>
              </c:numCache>
            </c:numRef>
          </c:cat>
          <c:val>
            <c:numRef>
              <c:f>Hoja1!$CM$45:$CM$79</c:f>
              <c:numCache>
                <c:formatCode>General</c:formatCode>
                <c:ptCount val="35"/>
                <c:pt idx="0">
                  <c:v>27482.999999999996</c:v>
                </c:pt>
                <c:pt idx="1">
                  <c:v>15260.000000000002</c:v>
                </c:pt>
                <c:pt idx="2">
                  <c:v>185184</c:v>
                </c:pt>
                <c:pt idx="3">
                  <c:v>31302</c:v>
                </c:pt>
                <c:pt idx="4">
                  <c:v>34171.000000000007</c:v>
                </c:pt>
                <c:pt idx="5">
                  <c:v>82550</c:v>
                </c:pt>
                <c:pt idx="6">
                  <c:v>34050</c:v>
                </c:pt>
                <c:pt idx="7">
                  <c:v>303486</c:v>
                </c:pt>
                <c:pt idx="8">
                  <c:v>55469</c:v>
                </c:pt>
                <c:pt idx="9">
                  <c:v>44688</c:v>
                </c:pt>
                <c:pt idx="10">
                  <c:v>81282</c:v>
                </c:pt>
                <c:pt idx="11">
                  <c:v>64240</c:v>
                </c:pt>
                <c:pt idx="12">
                  <c:v>633094</c:v>
                </c:pt>
                <c:pt idx="13">
                  <c:v>-218.00000000000006</c:v>
                </c:pt>
                <c:pt idx="14">
                  <c:v>187850</c:v>
                </c:pt>
                <c:pt idx="15">
                  <c:v>158266</c:v>
                </c:pt>
                <c:pt idx="16">
                  <c:v>182561</c:v>
                </c:pt>
                <c:pt idx="17">
                  <c:v>1188000</c:v>
                </c:pt>
                <c:pt idx="18">
                  <c:v>503753</c:v>
                </c:pt>
                <c:pt idx="19">
                  <c:v>240344</c:v>
                </c:pt>
                <c:pt idx="20">
                  <c:v>208128.00000000003</c:v>
                </c:pt>
                <c:pt idx="21">
                  <c:v>179425</c:v>
                </c:pt>
                <c:pt idx="22">
                  <c:v>3968589</c:v>
                </c:pt>
                <c:pt idx="23">
                  <c:v>34497</c:v>
                </c:pt>
                <c:pt idx="24">
                  <c:v>144034</c:v>
                </c:pt>
                <c:pt idx="25">
                  <c:v>69035</c:v>
                </c:pt>
                <c:pt idx="26">
                  <c:v>100512.00000000001</c:v>
                </c:pt>
                <c:pt idx="27">
                  <c:v>3189524.9999999995</c:v>
                </c:pt>
                <c:pt idx="28">
                  <c:v>59745</c:v>
                </c:pt>
                <c:pt idx="29">
                  <c:v>74412</c:v>
                </c:pt>
                <c:pt idx="30">
                  <c:v>117512.00000000001</c:v>
                </c:pt>
                <c:pt idx="31">
                  <c:v>105628</c:v>
                </c:pt>
                <c:pt idx="32">
                  <c:v>5825238</c:v>
                </c:pt>
                <c:pt idx="33">
                  <c:v>119070.00000000001</c:v>
                </c:pt>
                <c:pt idx="34">
                  <c:v>169824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522</c:v>
                </c:pt>
                <c:pt idx="1">
                  <c:v>521</c:v>
                </c:pt>
                <c:pt idx="2">
                  <c:v>520</c:v>
                </c:pt>
                <c:pt idx="3">
                  <c:v>519</c:v>
                </c:pt>
                <c:pt idx="4">
                  <c:v>518</c:v>
                </c:pt>
                <c:pt idx="5">
                  <c:v>517</c:v>
                </c:pt>
                <c:pt idx="6">
                  <c:v>516</c:v>
                </c:pt>
                <c:pt idx="7">
                  <c:v>515</c:v>
                </c:pt>
                <c:pt idx="8">
                  <c:v>514</c:v>
                </c:pt>
                <c:pt idx="9">
                  <c:v>513</c:v>
                </c:pt>
                <c:pt idx="10">
                  <c:v>512</c:v>
                </c:pt>
                <c:pt idx="11">
                  <c:v>511</c:v>
                </c:pt>
                <c:pt idx="12">
                  <c:v>510</c:v>
                </c:pt>
                <c:pt idx="13">
                  <c:v>509</c:v>
                </c:pt>
                <c:pt idx="14">
                  <c:v>508</c:v>
                </c:pt>
                <c:pt idx="15">
                  <c:v>507</c:v>
                </c:pt>
                <c:pt idx="16">
                  <c:v>506</c:v>
                </c:pt>
                <c:pt idx="17">
                  <c:v>505</c:v>
                </c:pt>
                <c:pt idx="18">
                  <c:v>504</c:v>
                </c:pt>
                <c:pt idx="19">
                  <c:v>503</c:v>
                </c:pt>
                <c:pt idx="20">
                  <c:v>502</c:v>
                </c:pt>
                <c:pt idx="21">
                  <c:v>501</c:v>
                </c:pt>
                <c:pt idx="22">
                  <c:v>500</c:v>
                </c:pt>
                <c:pt idx="23">
                  <c:v>499</c:v>
                </c:pt>
                <c:pt idx="24">
                  <c:v>498</c:v>
                </c:pt>
                <c:pt idx="25">
                  <c:v>497</c:v>
                </c:pt>
                <c:pt idx="26">
                  <c:v>496</c:v>
                </c:pt>
                <c:pt idx="27">
                  <c:v>495</c:v>
                </c:pt>
                <c:pt idx="28">
                  <c:v>494</c:v>
                </c:pt>
                <c:pt idx="29">
                  <c:v>493</c:v>
                </c:pt>
                <c:pt idx="30">
                  <c:v>492</c:v>
                </c:pt>
                <c:pt idx="31">
                  <c:v>491</c:v>
                </c:pt>
                <c:pt idx="32">
                  <c:v>490</c:v>
                </c:pt>
                <c:pt idx="33">
                  <c:v>489</c:v>
                </c:pt>
                <c:pt idx="34">
                  <c:v>488</c:v>
                </c:pt>
              </c:numCache>
            </c:numRef>
          </c:cat>
          <c:val>
            <c:numRef>
              <c:f>Hoja1!$CO$45:$CO$79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282388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91262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692546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156483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2963970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204391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887115.99999999988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2386432"/>
        <c:axId val="202388224"/>
      </c:barChart>
      <c:catAx>
        <c:axId val="20238643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02388224"/>
        <c:crosses val="autoZero"/>
        <c:auto val="1"/>
        <c:lblAlgn val="ctr"/>
        <c:lblOffset val="100"/>
        <c:noMultiLvlLbl val="0"/>
      </c:catAx>
      <c:valAx>
        <c:axId val="20238822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02386432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2789681548643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250512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6020</c:v>
                </c:pt>
                <c:pt idx="1">
                  <c:v>6010</c:v>
                </c:pt>
                <c:pt idx="2">
                  <c:v>6000</c:v>
                </c:pt>
                <c:pt idx="3">
                  <c:v>5990</c:v>
                </c:pt>
                <c:pt idx="4">
                  <c:v>5980</c:v>
                </c:pt>
                <c:pt idx="5">
                  <c:v>5970</c:v>
                </c:pt>
                <c:pt idx="6">
                  <c:v>5960</c:v>
                </c:pt>
                <c:pt idx="7">
                  <c:v>5950</c:v>
                </c:pt>
                <c:pt idx="8">
                  <c:v>5940</c:v>
                </c:pt>
                <c:pt idx="9">
                  <c:v>5930</c:v>
                </c:pt>
                <c:pt idx="10">
                  <c:v>5920</c:v>
                </c:pt>
                <c:pt idx="11">
                  <c:v>5910</c:v>
                </c:pt>
                <c:pt idx="12">
                  <c:v>5900</c:v>
                </c:pt>
                <c:pt idx="13">
                  <c:v>5890</c:v>
                </c:pt>
                <c:pt idx="14">
                  <c:v>5880</c:v>
                </c:pt>
                <c:pt idx="15">
                  <c:v>5870</c:v>
                </c:pt>
                <c:pt idx="16">
                  <c:v>5860</c:v>
                </c:pt>
                <c:pt idx="17">
                  <c:v>5850</c:v>
                </c:pt>
                <c:pt idx="18">
                  <c:v>5840</c:v>
                </c:pt>
                <c:pt idx="19">
                  <c:v>5830</c:v>
                </c:pt>
                <c:pt idx="20">
                  <c:v>5820</c:v>
                </c:pt>
                <c:pt idx="21">
                  <c:v>5810</c:v>
                </c:pt>
                <c:pt idx="22">
                  <c:v>5800</c:v>
                </c:pt>
                <c:pt idx="23">
                  <c:v>5790</c:v>
                </c:pt>
                <c:pt idx="24">
                  <c:v>5780</c:v>
                </c:pt>
                <c:pt idx="25">
                  <c:v>5770</c:v>
                </c:pt>
                <c:pt idx="26">
                  <c:v>5760</c:v>
                </c:pt>
                <c:pt idx="27">
                  <c:v>5750</c:v>
                </c:pt>
                <c:pt idx="28">
                  <c:v>5740</c:v>
                </c:pt>
                <c:pt idx="29">
                  <c:v>5730</c:v>
                </c:pt>
                <c:pt idx="30">
                  <c:v>5720</c:v>
                </c:pt>
                <c:pt idx="31">
                  <c:v>5710</c:v>
                </c:pt>
                <c:pt idx="32">
                  <c:v>5700</c:v>
                </c:pt>
                <c:pt idx="33">
                  <c:v>5690</c:v>
                </c:pt>
                <c:pt idx="34">
                  <c:v>5680</c:v>
                </c:pt>
                <c:pt idx="35">
                  <c:v>5670</c:v>
                </c:pt>
                <c:pt idx="36">
                  <c:v>5660</c:v>
                </c:pt>
                <c:pt idx="37">
                  <c:v>5650</c:v>
                </c:pt>
                <c:pt idx="38">
                  <c:v>5640</c:v>
                </c:pt>
                <c:pt idx="39">
                  <c:v>5630</c:v>
                </c:pt>
                <c:pt idx="40">
                  <c:v>5620</c:v>
                </c:pt>
                <c:pt idx="41">
                  <c:v>5610</c:v>
                </c:pt>
                <c:pt idx="42">
                  <c:v>5600</c:v>
                </c:pt>
                <c:pt idx="43">
                  <c:v>5590</c:v>
                </c:pt>
                <c:pt idx="44">
                  <c:v>5580</c:v>
                </c:pt>
                <c:pt idx="45">
                  <c:v>5570</c:v>
                </c:pt>
              </c:numCache>
            </c:numRef>
          </c:cat>
          <c:val>
            <c:numRef>
              <c:f>Hoja1!$CK$85:$CK$130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-2600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-3100</c:v>
                </c:pt>
                <c:pt idx="13">
                  <c:v>-800</c:v>
                </c:pt>
                <c:pt idx="14">
                  <c:v>-94</c:v>
                </c:pt>
                <c:pt idx="15">
                  <c:v>-1009.9999999999995</c:v>
                </c:pt>
                <c:pt idx="16">
                  <c:v>-2954</c:v>
                </c:pt>
                <c:pt idx="17">
                  <c:v>-12460</c:v>
                </c:pt>
                <c:pt idx="18">
                  <c:v>148860</c:v>
                </c:pt>
                <c:pt idx="19">
                  <c:v>127068</c:v>
                </c:pt>
                <c:pt idx="20">
                  <c:v>180903</c:v>
                </c:pt>
                <c:pt idx="21">
                  <c:v>259285</c:v>
                </c:pt>
                <c:pt idx="22">
                  <c:v>465108</c:v>
                </c:pt>
                <c:pt idx="23">
                  <c:v>97216</c:v>
                </c:pt>
                <c:pt idx="24">
                  <c:v>120474</c:v>
                </c:pt>
                <c:pt idx="25">
                  <c:v>103208</c:v>
                </c:pt>
                <c:pt idx="26">
                  <c:v>312642</c:v>
                </c:pt>
                <c:pt idx="27">
                  <c:v>346822</c:v>
                </c:pt>
                <c:pt idx="28">
                  <c:v>134260</c:v>
                </c:pt>
                <c:pt idx="29">
                  <c:v>78008</c:v>
                </c:pt>
                <c:pt idx="30">
                  <c:v>159390</c:v>
                </c:pt>
                <c:pt idx="31">
                  <c:v>65042.999999999993</c:v>
                </c:pt>
                <c:pt idx="32">
                  <c:v>372141</c:v>
                </c:pt>
                <c:pt idx="33">
                  <c:v>33165</c:v>
                </c:pt>
                <c:pt idx="34">
                  <c:v>51084</c:v>
                </c:pt>
                <c:pt idx="35">
                  <c:v>50688</c:v>
                </c:pt>
                <c:pt idx="36">
                  <c:v>67716</c:v>
                </c:pt>
                <c:pt idx="37">
                  <c:v>176616</c:v>
                </c:pt>
                <c:pt idx="38">
                  <c:v>33791.999999999993</c:v>
                </c:pt>
                <c:pt idx="39">
                  <c:v>19295.999999999996</c:v>
                </c:pt>
                <c:pt idx="40">
                  <c:v>16101.999999999998</c:v>
                </c:pt>
                <c:pt idx="41">
                  <c:v>10900</c:v>
                </c:pt>
                <c:pt idx="42">
                  <c:v>38100</c:v>
                </c:pt>
                <c:pt idx="43">
                  <c:v>9300</c:v>
                </c:pt>
                <c:pt idx="44">
                  <c:v>7000</c:v>
                </c:pt>
                <c:pt idx="45">
                  <c:v>19200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6020</c:v>
                </c:pt>
                <c:pt idx="1">
                  <c:v>6010</c:v>
                </c:pt>
                <c:pt idx="2">
                  <c:v>6000</c:v>
                </c:pt>
                <c:pt idx="3">
                  <c:v>5990</c:v>
                </c:pt>
                <c:pt idx="4">
                  <c:v>5980</c:v>
                </c:pt>
                <c:pt idx="5">
                  <c:v>5970</c:v>
                </c:pt>
                <c:pt idx="6">
                  <c:v>5960</c:v>
                </c:pt>
                <c:pt idx="7">
                  <c:v>5950</c:v>
                </c:pt>
                <c:pt idx="8">
                  <c:v>5940</c:v>
                </c:pt>
                <c:pt idx="9">
                  <c:v>5930</c:v>
                </c:pt>
                <c:pt idx="10">
                  <c:v>5920</c:v>
                </c:pt>
                <c:pt idx="11">
                  <c:v>5910</c:v>
                </c:pt>
                <c:pt idx="12">
                  <c:v>5900</c:v>
                </c:pt>
                <c:pt idx="13">
                  <c:v>5890</c:v>
                </c:pt>
                <c:pt idx="14">
                  <c:v>5880</c:v>
                </c:pt>
                <c:pt idx="15">
                  <c:v>5870</c:v>
                </c:pt>
                <c:pt idx="16">
                  <c:v>5860</c:v>
                </c:pt>
                <c:pt idx="17">
                  <c:v>5850</c:v>
                </c:pt>
                <c:pt idx="18">
                  <c:v>5840</c:v>
                </c:pt>
                <c:pt idx="19">
                  <c:v>5830</c:v>
                </c:pt>
                <c:pt idx="20">
                  <c:v>5820</c:v>
                </c:pt>
                <c:pt idx="21">
                  <c:v>5810</c:v>
                </c:pt>
                <c:pt idx="22">
                  <c:v>5800</c:v>
                </c:pt>
                <c:pt idx="23">
                  <c:v>5790</c:v>
                </c:pt>
                <c:pt idx="24">
                  <c:v>5780</c:v>
                </c:pt>
                <c:pt idx="25">
                  <c:v>5770</c:v>
                </c:pt>
                <c:pt idx="26">
                  <c:v>5760</c:v>
                </c:pt>
                <c:pt idx="27">
                  <c:v>5750</c:v>
                </c:pt>
                <c:pt idx="28">
                  <c:v>5740</c:v>
                </c:pt>
                <c:pt idx="29">
                  <c:v>5730</c:v>
                </c:pt>
                <c:pt idx="30">
                  <c:v>5720</c:v>
                </c:pt>
                <c:pt idx="31">
                  <c:v>5710</c:v>
                </c:pt>
                <c:pt idx="32">
                  <c:v>5700</c:v>
                </c:pt>
                <c:pt idx="33">
                  <c:v>5690</c:v>
                </c:pt>
                <c:pt idx="34">
                  <c:v>5680</c:v>
                </c:pt>
                <c:pt idx="35">
                  <c:v>5670</c:v>
                </c:pt>
                <c:pt idx="36">
                  <c:v>5660</c:v>
                </c:pt>
                <c:pt idx="37">
                  <c:v>5650</c:v>
                </c:pt>
                <c:pt idx="38">
                  <c:v>5640</c:v>
                </c:pt>
                <c:pt idx="39">
                  <c:v>5630</c:v>
                </c:pt>
                <c:pt idx="40">
                  <c:v>5620</c:v>
                </c:pt>
                <c:pt idx="41">
                  <c:v>5610</c:v>
                </c:pt>
                <c:pt idx="42">
                  <c:v>5600</c:v>
                </c:pt>
                <c:pt idx="43">
                  <c:v>5590</c:v>
                </c:pt>
                <c:pt idx="44">
                  <c:v>5580</c:v>
                </c:pt>
                <c:pt idx="45">
                  <c:v>5570</c:v>
                </c:pt>
              </c:numCache>
            </c:numRef>
          </c:cat>
          <c:val>
            <c:numRef>
              <c:f>Hoja1!$CM$85:$CM$130</c:f>
              <c:numCache>
                <c:formatCode>General</c:formatCode>
                <c:ptCount val="46"/>
                <c:pt idx="0">
                  <c:v>-29865</c:v>
                </c:pt>
                <c:pt idx="1">
                  <c:v>-37776</c:v>
                </c:pt>
                <c:pt idx="2">
                  <c:v>-5459546</c:v>
                </c:pt>
                <c:pt idx="3">
                  <c:v>-28966</c:v>
                </c:pt>
                <c:pt idx="4">
                  <c:v>-26388.000000000004</c:v>
                </c:pt>
                <c:pt idx="5">
                  <c:v>-29491</c:v>
                </c:pt>
                <c:pt idx="6">
                  <c:v>-15214</c:v>
                </c:pt>
                <c:pt idx="7">
                  <c:v>-144993</c:v>
                </c:pt>
                <c:pt idx="8">
                  <c:v>-4407.9999999999964</c:v>
                </c:pt>
                <c:pt idx="9">
                  <c:v>-3139</c:v>
                </c:pt>
                <c:pt idx="10">
                  <c:v>-4671</c:v>
                </c:pt>
                <c:pt idx="11">
                  <c:v>11469</c:v>
                </c:pt>
                <c:pt idx="12">
                  <c:v>213800</c:v>
                </c:pt>
                <c:pt idx="13">
                  <c:v>-3062</c:v>
                </c:pt>
                <c:pt idx="14">
                  <c:v>-1278.9999999999964</c:v>
                </c:pt>
                <c:pt idx="15">
                  <c:v>-17060.999999999993</c:v>
                </c:pt>
                <c:pt idx="16">
                  <c:v>-20605</c:v>
                </c:pt>
                <c:pt idx="17">
                  <c:v>556052</c:v>
                </c:pt>
                <c:pt idx="18">
                  <c:v>7389</c:v>
                </c:pt>
                <c:pt idx="19">
                  <c:v>48804</c:v>
                </c:pt>
                <c:pt idx="20">
                  <c:v>48860</c:v>
                </c:pt>
                <c:pt idx="21">
                  <c:v>47676</c:v>
                </c:pt>
                <c:pt idx="22">
                  <c:v>558889.00000000023</c:v>
                </c:pt>
                <c:pt idx="23">
                  <c:v>90320</c:v>
                </c:pt>
                <c:pt idx="24">
                  <c:v>53712</c:v>
                </c:pt>
                <c:pt idx="25">
                  <c:v>19036</c:v>
                </c:pt>
                <c:pt idx="26">
                  <c:v>71001</c:v>
                </c:pt>
                <c:pt idx="27">
                  <c:v>699478</c:v>
                </c:pt>
                <c:pt idx="28">
                  <c:v>112020</c:v>
                </c:pt>
                <c:pt idx="29">
                  <c:v>85384</c:v>
                </c:pt>
                <c:pt idx="30">
                  <c:v>21650</c:v>
                </c:pt>
                <c:pt idx="31">
                  <c:v>169248</c:v>
                </c:pt>
                <c:pt idx="32">
                  <c:v>1143681</c:v>
                </c:pt>
                <c:pt idx="33">
                  <c:v>126572</c:v>
                </c:pt>
                <c:pt idx="34">
                  <c:v>41720</c:v>
                </c:pt>
                <c:pt idx="35">
                  <c:v>59506</c:v>
                </c:pt>
                <c:pt idx="36">
                  <c:v>179781</c:v>
                </c:pt>
                <c:pt idx="37">
                  <c:v>1539245.9999999998</c:v>
                </c:pt>
                <c:pt idx="38">
                  <c:v>115431</c:v>
                </c:pt>
                <c:pt idx="39">
                  <c:v>68194.999999999985</c:v>
                </c:pt>
                <c:pt idx="40">
                  <c:v>114614.00000000001</c:v>
                </c:pt>
                <c:pt idx="41">
                  <c:v>49891</c:v>
                </c:pt>
                <c:pt idx="42">
                  <c:v>2235840</c:v>
                </c:pt>
                <c:pt idx="43">
                  <c:v>38801</c:v>
                </c:pt>
                <c:pt idx="44">
                  <c:v>50683</c:v>
                </c:pt>
                <c:pt idx="45">
                  <c:v>20367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6020</c:v>
                </c:pt>
                <c:pt idx="1">
                  <c:v>6010</c:v>
                </c:pt>
                <c:pt idx="2">
                  <c:v>6000</c:v>
                </c:pt>
                <c:pt idx="3">
                  <c:v>5990</c:v>
                </c:pt>
                <c:pt idx="4">
                  <c:v>5980</c:v>
                </c:pt>
                <c:pt idx="5">
                  <c:v>5970</c:v>
                </c:pt>
                <c:pt idx="6">
                  <c:v>5960</c:v>
                </c:pt>
                <c:pt idx="7">
                  <c:v>5950</c:v>
                </c:pt>
                <c:pt idx="8">
                  <c:v>5940</c:v>
                </c:pt>
                <c:pt idx="9">
                  <c:v>5930</c:v>
                </c:pt>
                <c:pt idx="10">
                  <c:v>5920</c:v>
                </c:pt>
                <c:pt idx="11">
                  <c:v>5910</c:v>
                </c:pt>
                <c:pt idx="12">
                  <c:v>5900</c:v>
                </c:pt>
                <c:pt idx="13">
                  <c:v>5890</c:v>
                </c:pt>
                <c:pt idx="14">
                  <c:v>5880</c:v>
                </c:pt>
                <c:pt idx="15">
                  <c:v>5870</c:v>
                </c:pt>
                <c:pt idx="16">
                  <c:v>5860</c:v>
                </c:pt>
                <c:pt idx="17">
                  <c:v>5850</c:v>
                </c:pt>
                <c:pt idx="18">
                  <c:v>5840</c:v>
                </c:pt>
                <c:pt idx="19">
                  <c:v>5830</c:v>
                </c:pt>
                <c:pt idx="20">
                  <c:v>5820</c:v>
                </c:pt>
                <c:pt idx="21">
                  <c:v>5810</c:v>
                </c:pt>
                <c:pt idx="22">
                  <c:v>5800</c:v>
                </c:pt>
                <c:pt idx="23">
                  <c:v>5790</c:v>
                </c:pt>
                <c:pt idx="24">
                  <c:v>5780</c:v>
                </c:pt>
                <c:pt idx="25">
                  <c:v>5770</c:v>
                </c:pt>
                <c:pt idx="26">
                  <c:v>5760</c:v>
                </c:pt>
                <c:pt idx="27">
                  <c:v>5750</c:v>
                </c:pt>
                <c:pt idx="28">
                  <c:v>5740</c:v>
                </c:pt>
                <c:pt idx="29">
                  <c:v>5730</c:v>
                </c:pt>
                <c:pt idx="30">
                  <c:v>5720</c:v>
                </c:pt>
                <c:pt idx="31">
                  <c:v>5710</c:v>
                </c:pt>
                <c:pt idx="32">
                  <c:v>5700</c:v>
                </c:pt>
                <c:pt idx="33">
                  <c:v>5690</c:v>
                </c:pt>
                <c:pt idx="34">
                  <c:v>5680</c:v>
                </c:pt>
                <c:pt idx="35">
                  <c:v>5670</c:v>
                </c:pt>
                <c:pt idx="36">
                  <c:v>5660</c:v>
                </c:pt>
                <c:pt idx="37">
                  <c:v>5650</c:v>
                </c:pt>
                <c:pt idx="38">
                  <c:v>5640</c:v>
                </c:pt>
                <c:pt idx="39">
                  <c:v>5630</c:v>
                </c:pt>
                <c:pt idx="40">
                  <c:v>5620</c:v>
                </c:pt>
                <c:pt idx="41">
                  <c:v>5610</c:v>
                </c:pt>
                <c:pt idx="42">
                  <c:v>5600</c:v>
                </c:pt>
                <c:pt idx="43">
                  <c:v>5590</c:v>
                </c:pt>
                <c:pt idx="44">
                  <c:v>5580</c:v>
                </c:pt>
                <c:pt idx="45">
                  <c:v>5570</c:v>
                </c:pt>
              </c:numCache>
            </c:numRef>
          </c:cat>
          <c:val>
            <c:numRef>
              <c:f>Hoja1!$CO$85:$CO$130</c:f>
              <c:numCache>
                <c:formatCode>General</c:formatCode>
                <c:ptCount val="46"/>
                <c:pt idx="0">
                  <c:v>-18665</c:v>
                </c:pt>
                <c:pt idx="1">
                  <c:v>-2792.0000000000018</c:v>
                </c:pt>
                <c:pt idx="2">
                  <c:v>-7243502.0000000019</c:v>
                </c:pt>
                <c:pt idx="3">
                  <c:v>5675.9999999999982</c:v>
                </c:pt>
                <c:pt idx="4">
                  <c:v>2878.9999999999982</c:v>
                </c:pt>
                <c:pt idx="5">
                  <c:v>6129.0000000000009</c:v>
                </c:pt>
                <c:pt idx="6">
                  <c:v>636</c:v>
                </c:pt>
                <c:pt idx="7">
                  <c:v>41850.000000000116</c:v>
                </c:pt>
                <c:pt idx="8">
                  <c:v>-32773.999999999993</c:v>
                </c:pt>
                <c:pt idx="9">
                  <c:v>-9431.9999999999964</c:v>
                </c:pt>
                <c:pt idx="10">
                  <c:v>-4564</c:v>
                </c:pt>
                <c:pt idx="11">
                  <c:v>17523</c:v>
                </c:pt>
                <c:pt idx="12">
                  <c:v>458168.99999999988</c:v>
                </c:pt>
                <c:pt idx="13">
                  <c:v>-5013</c:v>
                </c:pt>
                <c:pt idx="14">
                  <c:v>7700</c:v>
                </c:pt>
                <c:pt idx="15">
                  <c:v>-63382</c:v>
                </c:pt>
                <c:pt idx="16">
                  <c:v>4480</c:v>
                </c:pt>
                <c:pt idx="17">
                  <c:v>495328</c:v>
                </c:pt>
                <c:pt idx="18">
                  <c:v>-25605</c:v>
                </c:pt>
                <c:pt idx="19">
                  <c:v>41127.000000000015</c:v>
                </c:pt>
                <c:pt idx="20">
                  <c:v>62597.999999999971</c:v>
                </c:pt>
                <c:pt idx="21">
                  <c:v>184440</c:v>
                </c:pt>
                <c:pt idx="22">
                  <c:v>1146125</c:v>
                </c:pt>
                <c:pt idx="23">
                  <c:v>22313</c:v>
                </c:pt>
                <c:pt idx="24">
                  <c:v>49521</c:v>
                </c:pt>
                <c:pt idx="25">
                  <c:v>53764</c:v>
                </c:pt>
                <c:pt idx="26">
                  <c:v>106335.00000000004</c:v>
                </c:pt>
                <c:pt idx="27">
                  <c:v>733348.00000000012</c:v>
                </c:pt>
                <c:pt idx="28">
                  <c:v>52144</c:v>
                </c:pt>
                <c:pt idx="29">
                  <c:v>197580</c:v>
                </c:pt>
                <c:pt idx="30">
                  <c:v>243304</c:v>
                </c:pt>
                <c:pt idx="31">
                  <c:v>264392</c:v>
                </c:pt>
                <c:pt idx="32">
                  <c:v>3667899.0000000005</c:v>
                </c:pt>
                <c:pt idx="33">
                  <c:v>318546</c:v>
                </c:pt>
                <c:pt idx="34">
                  <c:v>239301.99999999997</c:v>
                </c:pt>
                <c:pt idx="35">
                  <c:v>414858</c:v>
                </c:pt>
                <c:pt idx="36">
                  <c:v>234686</c:v>
                </c:pt>
                <c:pt idx="37">
                  <c:v>3607158</c:v>
                </c:pt>
                <c:pt idx="38">
                  <c:v>255530</c:v>
                </c:pt>
                <c:pt idx="39">
                  <c:v>294942</c:v>
                </c:pt>
                <c:pt idx="40">
                  <c:v>198073</c:v>
                </c:pt>
                <c:pt idx="41">
                  <c:v>79907.000000000015</c:v>
                </c:pt>
                <c:pt idx="42">
                  <c:v>1640012</c:v>
                </c:pt>
                <c:pt idx="43">
                  <c:v>194391</c:v>
                </c:pt>
                <c:pt idx="44">
                  <c:v>284194</c:v>
                </c:pt>
                <c:pt idx="45">
                  <c:v>222852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1921280"/>
        <c:axId val="201922816"/>
      </c:barChart>
      <c:catAx>
        <c:axId val="20192128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01922816"/>
        <c:crosses val="autoZero"/>
        <c:auto val="1"/>
        <c:lblAlgn val="ctr"/>
        <c:lblOffset val="100"/>
        <c:noMultiLvlLbl val="0"/>
      </c:catAx>
      <c:valAx>
        <c:axId val="20192281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01921280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3.9034770023745183E-2"/>
          <c:w val="0.78602869982248191"/>
          <c:h val="0.920260205583027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250512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21350</c:v>
                </c:pt>
                <c:pt idx="1">
                  <c:v>21325</c:v>
                </c:pt>
                <c:pt idx="2">
                  <c:v>21300</c:v>
                </c:pt>
                <c:pt idx="3">
                  <c:v>21275</c:v>
                </c:pt>
                <c:pt idx="4">
                  <c:v>21250</c:v>
                </c:pt>
                <c:pt idx="5">
                  <c:v>21225</c:v>
                </c:pt>
                <c:pt idx="6">
                  <c:v>21200</c:v>
                </c:pt>
                <c:pt idx="7">
                  <c:v>21175</c:v>
                </c:pt>
                <c:pt idx="8">
                  <c:v>21150</c:v>
                </c:pt>
                <c:pt idx="9">
                  <c:v>21125</c:v>
                </c:pt>
                <c:pt idx="10">
                  <c:v>21100</c:v>
                </c:pt>
                <c:pt idx="11">
                  <c:v>21075</c:v>
                </c:pt>
                <c:pt idx="12">
                  <c:v>21050</c:v>
                </c:pt>
                <c:pt idx="13">
                  <c:v>21025</c:v>
                </c:pt>
                <c:pt idx="14">
                  <c:v>21000</c:v>
                </c:pt>
                <c:pt idx="15">
                  <c:v>20975</c:v>
                </c:pt>
                <c:pt idx="16">
                  <c:v>20950</c:v>
                </c:pt>
                <c:pt idx="17">
                  <c:v>20925</c:v>
                </c:pt>
                <c:pt idx="18">
                  <c:v>20900</c:v>
                </c:pt>
                <c:pt idx="19">
                  <c:v>20875</c:v>
                </c:pt>
                <c:pt idx="20">
                  <c:v>20850</c:v>
                </c:pt>
                <c:pt idx="21">
                  <c:v>20825</c:v>
                </c:pt>
                <c:pt idx="22">
                  <c:v>20800</c:v>
                </c:pt>
                <c:pt idx="23">
                  <c:v>20775</c:v>
                </c:pt>
                <c:pt idx="24">
                  <c:v>20750</c:v>
                </c:pt>
                <c:pt idx="25">
                  <c:v>20725</c:v>
                </c:pt>
                <c:pt idx="26">
                  <c:v>20700</c:v>
                </c:pt>
                <c:pt idx="27">
                  <c:v>20675</c:v>
                </c:pt>
                <c:pt idx="28">
                  <c:v>20650</c:v>
                </c:pt>
                <c:pt idx="29">
                  <c:v>20625</c:v>
                </c:pt>
                <c:pt idx="30">
                  <c:v>20600</c:v>
                </c:pt>
                <c:pt idx="31">
                  <c:v>20575</c:v>
                </c:pt>
                <c:pt idx="32">
                  <c:v>20550</c:v>
                </c:pt>
                <c:pt idx="33">
                  <c:v>20525</c:v>
                </c:pt>
                <c:pt idx="34">
                  <c:v>20500</c:v>
                </c:pt>
                <c:pt idx="35">
                  <c:v>20475</c:v>
                </c:pt>
                <c:pt idx="36">
                  <c:v>20450</c:v>
                </c:pt>
                <c:pt idx="37">
                  <c:v>20425</c:v>
                </c:pt>
                <c:pt idx="38">
                  <c:v>20400</c:v>
                </c:pt>
                <c:pt idx="39">
                  <c:v>20375</c:v>
                </c:pt>
                <c:pt idx="40">
                  <c:v>20350</c:v>
                </c:pt>
                <c:pt idx="41">
                  <c:v>20325</c:v>
                </c:pt>
                <c:pt idx="42">
                  <c:v>20300</c:v>
                </c:pt>
                <c:pt idx="43">
                  <c:v>20275</c:v>
                </c:pt>
                <c:pt idx="44">
                  <c:v>20250</c:v>
                </c:pt>
                <c:pt idx="45">
                  <c:v>20225</c:v>
                </c:pt>
                <c:pt idx="46">
                  <c:v>20200</c:v>
                </c:pt>
                <c:pt idx="47">
                  <c:v>20175</c:v>
                </c:pt>
                <c:pt idx="48">
                  <c:v>20150</c:v>
                </c:pt>
                <c:pt idx="49">
                  <c:v>20125</c:v>
                </c:pt>
                <c:pt idx="50">
                  <c:v>20100</c:v>
                </c:pt>
                <c:pt idx="51">
                  <c:v>20075</c:v>
                </c:pt>
                <c:pt idx="52">
                  <c:v>20050</c:v>
                </c:pt>
              </c:numCache>
            </c:numRef>
          </c:cat>
          <c:val>
            <c:numRef>
              <c:f>Hoja1!$CK$137:$CK$189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320</c:v>
                </c:pt>
                <c:pt idx="3">
                  <c:v>0</c:v>
                </c:pt>
                <c:pt idx="4">
                  <c:v>112.00000000000001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242</c:v>
                </c:pt>
                <c:pt idx="11">
                  <c:v>0</c:v>
                </c:pt>
                <c:pt idx="12">
                  <c:v>221</c:v>
                </c:pt>
                <c:pt idx="13">
                  <c:v>0</c:v>
                </c:pt>
                <c:pt idx="14">
                  <c:v>0</c:v>
                </c:pt>
                <c:pt idx="15">
                  <c:v>68</c:v>
                </c:pt>
                <c:pt idx="16">
                  <c:v>78</c:v>
                </c:pt>
                <c:pt idx="17">
                  <c:v>48</c:v>
                </c:pt>
                <c:pt idx="18">
                  <c:v>234</c:v>
                </c:pt>
                <c:pt idx="19">
                  <c:v>56.000000000000007</c:v>
                </c:pt>
                <c:pt idx="20">
                  <c:v>1000</c:v>
                </c:pt>
                <c:pt idx="21">
                  <c:v>400</c:v>
                </c:pt>
                <c:pt idx="22">
                  <c:v>1600</c:v>
                </c:pt>
                <c:pt idx="23">
                  <c:v>600</c:v>
                </c:pt>
                <c:pt idx="24">
                  <c:v>400</c:v>
                </c:pt>
                <c:pt idx="25">
                  <c:v>200</c:v>
                </c:pt>
                <c:pt idx="26">
                  <c:v>201054</c:v>
                </c:pt>
                <c:pt idx="27">
                  <c:v>794</c:v>
                </c:pt>
                <c:pt idx="28">
                  <c:v>500</c:v>
                </c:pt>
                <c:pt idx="29">
                  <c:v>289</c:v>
                </c:pt>
                <c:pt idx="30">
                  <c:v>1140</c:v>
                </c:pt>
                <c:pt idx="31">
                  <c:v>100</c:v>
                </c:pt>
                <c:pt idx="32">
                  <c:v>882</c:v>
                </c:pt>
                <c:pt idx="33">
                  <c:v>500</c:v>
                </c:pt>
                <c:pt idx="34">
                  <c:v>2495</c:v>
                </c:pt>
                <c:pt idx="35">
                  <c:v>200</c:v>
                </c:pt>
                <c:pt idx="36">
                  <c:v>6600</c:v>
                </c:pt>
                <c:pt idx="37">
                  <c:v>1300</c:v>
                </c:pt>
                <c:pt idx="38">
                  <c:v>12092</c:v>
                </c:pt>
                <c:pt idx="39">
                  <c:v>500</c:v>
                </c:pt>
                <c:pt idx="40">
                  <c:v>1593</c:v>
                </c:pt>
                <c:pt idx="41">
                  <c:v>400</c:v>
                </c:pt>
                <c:pt idx="42">
                  <c:v>14195</c:v>
                </c:pt>
                <c:pt idx="43">
                  <c:v>9600</c:v>
                </c:pt>
                <c:pt idx="44">
                  <c:v>1270</c:v>
                </c:pt>
                <c:pt idx="45">
                  <c:v>788</c:v>
                </c:pt>
                <c:pt idx="46">
                  <c:v>7500</c:v>
                </c:pt>
                <c:pt idx="47">
                  <c:v>1880</c:v>
                </c:pt>
                <c:pt idx="48">
                  <c:v>4080</c:v>
                </c:pt>
                <c:pt idx="49">
                  <c:v>2870</c:v>
                </c:pt>
                <c:pt idx="50">
                  <c:v>45185</c:v>
                </c:pt>
                <c:pt idx="51">
                  <c:v>280</c:v>
                </c:pt>
                <c:pt idx="52">
                  <c:v>2285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21350</c:v>
                </c:pt>
                <c:pt idx="1">
                  <c:v>21325</c:v>
                </c:pt>
                <c:pt idx="2">
                  <c:v>21300</c:v>
                </c:pt>
                <c:pt idx="3">
                  <c:v>21275</c:v>
                </c:pt>
                <c:pt idx="4">
                  <c:v>21250</c:v>
                </c:pt>
                <c:pt idx="5">
                  <c:v>21225</c:v>
                </c:pt>
                <c:pt idx="6">
                  <c:v>21200</c:v>
                </c:pt>
                <c:pt idx="7">
                  <c:v>21175</c:v>
                </c:pt>
                <c:pt idx="8">
                  <c:v>21150</c:v>
                </c:pt>
                <c:pt idx="9">
                  <c:v>21125</c:v>
                </c:pt>
                <c:pt idx="10">
                  <c:v>21100</c:v>
                </c:pt>
                <c:pt idx="11">
                  <c:v>21075</c:v>
                </c:pt>
                <c:pt idx="12">
                  <c:v>21050</c:v>
                </c:pt>
                <c:pt idx="13">
                  <c:v>21025</c:v>
                </c:pt>
                <c:pt idx="14">
                  <c:v>21000</c:v>
                </c:pt>
                <c:pt idx="15">
                  <c:v>20975</c:v>
                </c:pt>
                <c:pt idx="16">
                  <c:v>20950</c:v>
                </c:pt>
                <c:pt idx="17">
                  <c:v>20925</c:v>
                </c:pt>
                <c:pt idx="18">
                  <c:v>20900</c:v>
                </c:pt>
                <c:pt idx="19">
                  <c:v>20875</c:v>
                </c:pt>
                <c:pt idx="20">
                  <c:v>20850</c:v>
                </c:pt>
                <c:pt idx="21">
                  <c:v>20825</c:v>
                </c:pt>
                <c:pt idx="22">
                  <c:v>20800</c:v>
                </c:pt>
                <c:pt idx="23">
                  <c:v>20775</c:v>
                </c:pt>
                <c:pt idx="24">
                  <c:v>20750</c:v>
                </c:pt>
                <c:pt idx="25">
                  <c:v>20725</c:v>
                </c:pt>
                <c:pt idx="26">
                  <c:v>20700</c:v>
                </c:pt>
                <c:pt idx="27">
                  <c:v>20675</c:v>
                </c:pt>
                <c:pt idx="28">
                  <c:v>20650</c:v>
                </c:pt>
                <c:pt idx="29">
                  <c:v>20625</c:v>
                </c:pt>
                <c:pt idx="30">
                  <c:v>20600</c:v>
                </c:pt>
                <c:pt idx="31">
                  <c:v>20575</c:v>
                </c:pt>
                <c:pt idx="32">
                  <c:v>20550</c:v>
                </c:pt>
                <c:pt idx="33">
                  <c:v>20525</c:v>
                </c:pt>
                <c:pt idx="34">
                  <c:v>20500</c:v>
                </c:pt>
                <c:pt idx="35">
                  <c:v>20475</c:v>
                </c:pt>
                <c:pt idx="36">
                  <c:v>20450</c:v>
                </c:pt>
                <c:pt idx="37">
                  <c:v>20425</c:v>
                </c:pt>
                <c:pt idx="38">
                  <c:v>20400</c:v>
                </c:pt>
                <c:pt idx="39">
                  <c:v>20375</c:v>
                </c:pt>
                <c:pt idx="40">
                  <c:v>20350</c:v>
                </c:pt>
                <c:pt idx="41">
                  <c:v>20325</c:v>
                </c:pt>
                <c:pt idx="42">
                  <c:v>20300</c:v>
                </c:pt>
                <c:pt idx="43">
                  <c:v>20275</c:v>
                </c:pt>
                <c:pt idx="44">
                  <c:v>20250</c:v>
                </c:pt>
                <c:pt idx="45">
                  <c:v>20225</c:v>
                </c:pt>
                <c:pt idx="46">
                  <c:v>20200</c:v>
                </c:pt>
                <c:pt idx="47">
                  <c:v>20175</c:v>
                </c:pt>
                <c:pt idx="48">
                  <c:v>20150</c:v>
                </c:pt>
                <c:pt idx="49">
                  <c:v>20125</c:v>
                </c:pt>
                <c:pt idx="50">
                  <c:v>20100</c:v>
                </c:pt>
                <c:pt idx="51">
                  <c:v>20075</c:v>
                </c:pt>
                <c:pt idx="52">
                  <c:v>20050</c:v>
                </c:pt>
              </c:numCache>
            </c:numRef>
          </c:cat>
          <c:val>
            <c:numRef>
              <c:f>Hoja1!$CM$137:$CM$189</c:f>
              <c:numCache>
                <c:formatCode>General</c:formatCode>
                <c:ptCount val="53"/>
                <c:pt idx="0">
                  <c:v>165</c:v>
                </c:pt>
                <c:pt idx="1">
                  <c:v>3104</c:v>
                </c:pt>
                <c:pt idx="2">
                  <c:v>798.99999999999977</c:v>
                </c:pt>
                <c:pt idx="3">
                  <c:v>95</c:v>
                </c:pt>
                <c:pt idx="4">
                  <c:v>160</c:v>
                </c:pt>
                <c:pt idx="5">
                  <c:v>286</c:v>
                </c:pt>
                <c:pt idx="6">
                  <c:v>-1400.9999999999998</c:v>
                </c:pt>
                <c:pt idx="7">
                  <c:v>400</c:v>
                </c:pt>
                <c:pt idx="8">
                  <c:v>185</c:v>
                </c:pt>
                <c:pt idx="9">
                  <c:v>231.99999999999997</c:v>
                </c:pt>
                <c:pt idx="10">
                  <c:v>291.99999999999955</c:v>
                </c:pt>
                <c:pt idx="11">
                  <c:v>165</c:v>
                </c:pt>
                <c:pt idx="12">
                  <c:v>399</c:v>
                </c:pt>
                <c:pt idx="13">
                  <c:v>641</c:v>
                </c:pt>
                <c:pt idx="14">
                  <c:v>17157</c:v>
                </c:pt>
                <c:pt idx="15">
                  <c:v>236</c:v>
                </c:pt>
                <c:pt idx="16">
                  <c:v>396</c:v>
                </c:pt>
                <c:pt idx="17">
                  <c:v>644</c:v>
                </c:pt>
                <c:pt idx="18">
                  <c:v>1341</c:v>
                </c:pt>
                <c:pt idx="19">
                  <c:v>867</c:v>
                </c:pt>
                <c:pt idx="20">
                  <c:v>483.00000000000011</c:v>
                </c:pt>
                <c:pt idx="21">
                  <c:v>460</c:v>
                </c:pt>
                <c:pt idx="22">
                  <c:v>1742.9999999999995</c:v>
                </c:pt>
                <c:pt idx="23">
                  <c:v>111</c:v>
                </c:pt>
                <c:pt idx="24">
                  <c:v>6866</c:v>
                </c:pt>
                <c:pt idx="25">
                  <c:v>2652</c:v>
                </c:pt>
                <c:pt idx="26">
                  <c:v>3582</c:v>
                </c:pt>
                <c:pt idx="27">
                  <c:v>3026</c:v>
                </c:pt>
                <c:pt idx="28">
                  <c:v>1895.9999999999998</c:v>
                </c:pt>
                <c:pt idx="29">
                  <c:v>978</c:v>
                </c:pt>
                <c:pt idx="30">
                  <c:v>415.99999999999955</c:v>
                </c:pt>
                <c:pt idx="31">
                  <c:v>961.00000000000011</c:v>
                </c:pt>
                <c:pt idx="32">
                  <c:v>1082</c:v>
                </c:pt>
                <c:pt idx="33">
                  <c:v>646</c:v>
                </c:pt>
                <c:pt idx="34">
                  <c:v>13684</c:v>
                </c:pt>
                <c:pt idx="35">
                  <c:v>2150.9999999999995</c:v>
                </c:pt>
                <c:pt idx="36">
                  <c:v>802</c:v>
                </c:pt>
                <c:pt idx="37">
                  <c:v>1140</c:v>
                </c:pt>
                <c:pt idx="38">
                  <c:v>3825</c:v>
                </c:pt>
                <c:pt idx="39">
                  <c:v>1296</c:v>
                </c:pt>
                <c:pt idx="40">
                  <c:v>1668</c:v>
                </c:pt>
                <c:pt idx="41">
                  <c:v>1017</c:v>
                </c:pt>
                <c:pt idx="42">
                  <c:v>4722</c:v>
                </c:pt>
                <c:pt idx="43">
                  <c:v>2472</c:v>
                </c:pt>
                <c:pt idx="44">
                  <c:v>4495</c:v>
                </c:pt>
                <c:pt idx="45">
                  <c:v>2798</c:v>
                </c:pt>
                <c:pt idx="46">
                  <c:v>4978.0000000000009</c:v>
                </c:pt>
                <c:pt idx="47">
                  <c:v>1825.9999999999998</c:v>
                </c:pt>
                <c:pt idx="48">
                  <c:v>1807.9999999999998</c:v>
                </c:pt>
                <c:pt idx="49">
                  <c:v>2277</c:v>
                </c:pt>
                <c:pt idx="50">
                  <c:v>8300</c:v>
                </c:pt>
                <c:pt idx="51">
                  <c:v>3545</c:v>
                </c:pt>
                <c:pt idx="52">
                  <c:v>2960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250620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21350</c:v>
                </c:pt>
                <c:pt idx="1">
                  <c:v>21325</c:v>
                </c:pt>
                <c:pt idx="2">
                  <c:v>21300</c:v>
                </c:pt>
                <c:pt idx="3">
                  <c:v>21275</c:v>
                </c:pt>
                <c:pt idx="4">
                  <c:v>21250</c:v>
                </c:pt>
                <c:pt idx="5">
                  <c:v>21225</c:v>
                </c:pt>
                <c:pt idx="6">
                  <c:v>21200</c:v>
                </c:pt>
                <c:pt idx="7">
                  <c:v>21175</c:v>
                </c:pt>
                <c:pt idx="8">
                  <c:v>21150</c:v>
                </c:pt>
                <c:pt idx="9">
                  <c:v>21125</c:v>
                </c:pt>
                <c:pt idx="10">
                  <c:v>21100</c:v>
                </c:pt>
                <c:pt idx="11">
                  <c:v>21075</c:v>
                </c:pt>
                <c:pt idx="12">
                  <c:v>21050</c:v>
                </c:pt>
                <c:pt idx="13">
                  <c:v>21025</c:v>
                </c:pt>
                <c:pt idx="14">
                  <c:v>21000</c:v>
                </c:pt>
                <c:pt idx="15">
                  <c:v>20975</c:v>
                </c:pt>
                <c:pt idx="16">
                  <c:v>20950</c:v>
                </c:pt>
                <c:pt idx="17">
                  <c:v>20925</c:v>
                </c:pt>
                <c:pt idx="18">
                  <c:v>20900</c:v>
                </c:pt>
                <c:pt idx="19">
                  <c:v>20875</c:v>
                </c:pt>
                <c:pt idx="20">
                  <c:v>20850</c:v>
                </c:pt>
                <c:pt idx="21">
                  <c:v>20825</c:v>
                </c:pt>
                <c:pt idx="22">
                  <c:v>20800</c:v>
                </c:pt>
                <c:pt idx="23">
                  <c:v>20775</c:v>
                </c:pt>
                <c:pt idx="24">
                  <c:v>20750</c:v>
                </c:pt>
                <c:pt idx="25">
                  <c:v>20725</c:v>
                </c:pt>
                <c:pt idx="26">
                  <c:v>20700</c:v>
                </c:pt>
                <c:pt idx="27">
                  <c:v>20675</c:v>
                </c:pt>
                <c:pt idx="28">
                  <c:v>20650</c:v>
                </c:pt>
                <c:pt idx="29">
                  <c:v>20625</c:v>
                </c:pt>
                <c:pt idx="30">
                  <c:v>20600</c:v>
                </c:pt>
                <c:pt idx="31">
                  <c:v>20575</c:v>
                </c:pt>
                <c:pt idx="32">
                  <c:v>20550</c:v>
                </c:pt>
                <c:pt idx="33">
                  <c:v>20525</c:v>
                </c:pt>
                <c:pt idx="34">
                  <c:v>20500</c:v>
                </c:pt>
                <c:pt idx="35">
                  <c:v>20475</c:v>
                </c:pt>
                <c:pt idx="36">
                  <c:v>20450</c:v>
                </c:pt>
                <c:pt idx="37">
                  <c:v>20425</c:v>
                </c:pt>
                <c:pt idx="38">
                  <c:v>20400</c:v>
                </c:pt>
                <c:pt idx="39">
                  <c:v>20375</c:v>
                </c:pt>
                <c:pt idx="40">
                  <c:v>20350</c:v>
                </c:pt>
                <c:pt idx="41">
                  <c:v>20325</c:v>
                </c:pt>
                <c:pt idx="42">
                  <c:v>20300</c:v>
                </c:pt>
                <c:pt idx="43">
                  <c:v>20275</c:v>
                </c:pt>
                <c:pt idx="44">
                  <c:v>20250</c:v>
                </c:pt>
                <c:pt idx="45">
                  <c:v>20225</c:v>
                </c:pt>
                <c:pt idx="46">
                  <c:v>20200</c:v>
                </c:pt>
                <c:pt idx="47">
                  <c:v>20175</c:v>
                </c:pt>
                <c:pt idx="48">
                  <c:v>20150</c:v>
                </c:pt>
                <c:pt idx="49">
                  <c:v>20125</c:v>
                </c:pt>
                <c:pt idx="50">
                  <c:v>20100</c:v>
                </c:pt>
                <c:pt idx="51">
                  <c:v>20075</c:v>
                </c:pt>
                <c:pt idx="52">
                  <c:v>20050</c:v>
                </c:pt>
              </c:numCache>
            </c:numRef>
          </c:cat>
          <c:val>
            <c:numRef>
              <c:f>Hoja1!$CO$137:$CO$189</c:f>
              <c:numCache>
                <c:formatCode>General</c:formatCode>
                <c:ptCount val="53"/>
                <c:pt idx="0">
                  <c:v>117</c:v>
                </c:pt>
                <c:pt idx="1">
                  <c:v>40</c:v>
                </c:pt>
                <c:pt idx="2">
                  <c:v>-650.99999999999955</c:v>
                </c:pt>
                <c:pt idx="3">
                  <c:v>369</c:v>
                </c:pt>
                <c:pt idx="4">
                  <c:v>2604</c:v>
                </c:pt>
                <c:pt idx="5">
                  <c:v>72</c:v>
                </c:pt>
                <c:pt idx="6">
                  <c:v>755.99999999999977</c:v>
                </c:pt>
                <c:pt idx="7">
                  <c:v>225</c:v>
                </c:pt>
                <c:pt idx="8">
                  <c:v>180</c:v>
                </c:pt>
                <c:pt idx="9">
                  <c:v>138</c:v>
                </c:pt>
                <c:pt idx="10">
                  <c:v>2471</c:v>
                </c:pt>
                <c:pt idx="11">
                  <c:v>240</c:v>
                </c:pt>
                <c:pt idx="12">
                  <c:v>49</c:v>
                </c:pt>
                <c:pt idx="13">
                  <c:v>147</c:v>
                </c:pt>
                <c:pt idx="14">
                  <c:v>14450</c:v>
                </c:pt>
                <c:pt idx="15">
                  <c:v>1019.9999999999999</c:v>
                </c:pt>
                <c:pt idx="16">
                  <c:v>472</c:v>
                </c:pt>
                <c:pt idx="17">
                  <c:v>648</c:v>
                </c:pt>
                <c:pt idx="18">
                  <c:v>-3364.9999999999991</c:v>
                </c:pt>
                <c:pt idx="19">
                  <c:v>710</c:v>
                </c:pt>
                <c:pt idx="20">
                  <c:v>680.00000000000011</c:v>
                </c:pt>
                <c:pt idx="21">
                  <c:v>616</c:v>
                </c:pt>
                <c:pt idx="22">
                  <c:v>24776</c:v>
                </c:pt>
                <c:pt idx="23">
                  <c:v>569.99999999999989</c:v>
                </c:pt>
                <c:pt idx="24">
                  <c:v>2300</c:v>
                </c:pt>
                <c:pt idx="25">
                  <c:v>708</c:v>
                </c:pt>
                <c:pt idx="26">
                  <c:v>1406.9999999999998</c:v>
                </c:pt>
                <c:pt idx="27">
                  <c:v>1359.9999999999998</c:v>
                </c:pt>
                <c:pt idx="28">
                  <c:v>206</c:v>
                </c:pt>
                <c:pt idx="29">
                  <c:v>449</c:v>
                </c:pt>
                <c:pt idx="30">
                  <c:v>6154</c:v>
                </c:pt>
                <c:pt idx="31">
                  <c:v>680</c:v>
                </c:pt>
                <c:pt idx="32">
                  <c:v>1095</c:v>
                </c:pt>
                <c:pt idx="33">
                  <c:v>332</c:v>
                </c:pt>
                <c:pt idx="34">
                  <c:v>17870</c:v>
                </c:pt>
                <c:pt idx="35">
                  <c:v>1380</c:v>
                </c:pt>
                <c:pt idx="36">
                  <c:v>13009.000000000002</c:v>
                </c:pt>
                <c:pt idx="37">
                  <c:v>1337</c:v>
                </c:pt>
                <c:pt idx="38">
                  <c:v>954.00000000000023</c:v>
                </c:pt>
                <c:pt idx="39">
                  <c:v>902</c:v>
                </c:pt>
                <c:pt idx="40">
                  <c:v>2543</c:v>
                </c:pt>
                <c:pt idx="41">
                  <c:v>1093</c:v>
                </c:pt>
                <c:pt idx="42">
                  <c:v>3057.9999999999991</c:v>
                </c:pt>
                <c:pt idx="43">
                  <c:v>1669.9999999999998</c:v>
                </c:pt>
                <c:pt idx="44">
                  <c:v>658.99999999999977</c:v>
                </c:pt>
                <c:pt idx="45">
                  <c:v>1168.9999999999998</c:v>
                </c:pt>
                <c:pt idx="46">
                  <c:v>18025.999999999996</c:v>
                </c:pt>
                <c:pt idx="47">
                  <c:v>935.99999999999966</c:v>
                </c:pt>
                <c:pt idx="48">
                  <c:v>827</c:v>
                </c:pt>
                <c:pt idx="49">
                  <c:v>5239</c:v>
                </c:pt>
                <c:pt idx="50">
                  <c:v>6460</c:v>
                </c:pt>
                <c:pt idx="51">
                  <c:v>2072</c:v>
                </c:pt>
                <c:pt idx="52">
                  <c:v>9622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1953280"/>
        <c:axId val="201954816"/>
      </c:barChart>
      <c:catAx>
        <c:axId val="20195328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201954816"/>
        <c:crosses val="autoZero"/>
        <c:auto val="1"/>
        <c:lblAlgn val="ctr"/>
        <c:lblOffset val="100"/>
        <c:noMultiLvlLbl val="0"/>
      </c:catAx>
      <c:valAx>
        <c:axId val="20195481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01953280"/>
        <c:crosses val="autoZero"/>
        <c:crossBetween val="between"/>
        <c:dispUnits>
          <c:builtInUnit val="hundreds"/>
          <c:dispUnitsLbl/>
        </c:dispUnits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Hoja1!$EE$4:$EE$38</c:f>
              <c:numCache>
                <c:formatCode>0%</c:formatCode>
                <c:ptCount val="35"/>
                <c:pt idx="0">
                  <c:v>0.78280000000000005</c:v>
                </c:pt>
                <c:pt idx="1">
                  <c:v>0.70579999999999998</c:v>
                </c:pt>
                <c:pt idx="2">
                  <c:v>0.62780000000000002</c:v>
                </c:pt>
                <c:pt idx="3">
                  <c:v>0.54859999999999998</c:v>
                </c:pt>
                <c:pt idx="4">
                  <c:v>0.46810000000000002</c:v>
                </c:pt>
                <c:pt idx="5">
                  <c:v>0.38590000000000002</c:v>
                </c:pt>
                <c:pt idx="6">
                  <c:v>0.3014</c:v>
                </c:pt>
                <c:pt idx="7">
                  <c:v>0.214</c:v>
                </c:pt>
                <c:pt idx="8">
                  <c:v>0.1212</c:v>
                </c:pt>
                <c:pt idx="9">
                  <c:v>6.13E-2</c:v>
                </c:pt>
                <c:pt idx="10">
                  <c:v>0.25</c:v>
                </c:pt>
                <c:pt idx="11">
                  <c:v>0.4405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3.1435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592</c:v>
                </c:pt>
                <c:pt idx="1">
                  <c:v>591</c:v>
                </c:pt>
                <c:pt idx="2">
                  <c:v>590</c:v>
                </c:pt>
                <c:pt idx="3">
                  <c:v>589</c:v>
                </c:pt>
                <c:pt idx="4">
                  <c:v>588</c:v>
                </c:pt>
                <c:pt idx="5">
                  <c:v>587</c:v>
                </c:pt>
                <c:pt idx="6">
                  <c:v>586</c:v>
                </c:pt>
                <c:pt idx="7">
                  <c:v>585</c:v>
                </c:pt>
                <c:pt idx="8">
                  <c:v>584</c:v>
                </c:pt>
                <c:pt idx="9">
                  <c:v>583</c:v>
                </c:pt>
                <c:pt idx="10">
                  <c:v>582</c:v>
                </c:pt>
                <c:pt idx="11">
                  <c:v>581</c:v>
                </c:pt>
                <c:pt idx="12">
                  <c:v>580</c:v>
                </c:pt>
                <c:pt idx="13">
                  <c:v>579</c:v>
                </c:pt>
                <c:pt idx="14">
                  <c:v>578</c:v>
                </c:pt>
                <c:pt idx="15">
                  <c:v>577</c:v>
                </c:pt>
                <c:pt idx="16">
                  <c:v>576</c:v>
                </c:pt>
                <c:pt idx="17">
                  <c:v>575</c:v>
                </c:pt>
                <c:pt idx="18">
                  <c:v>574</c:v>
                </c:pt>
                <c:pt idx="19">
                  <c:v>573</c:v>
                </c:pt>
                <c:pt idx="20">
                  <c:v>572</c:v>
                </c:pt>
                <c:pt idx="21">
                  <c:v>571</c:v>
                </c:pt>
                <c:pt idx="22">
                  <c:v>570</c:v>
                </c:pt>
                <c:pt idx="23">
                  <c:v>569</c:v>
                </c:pt>
                <c:pt idx="24">
                  <c:v>568</c:v>
                </c:pt>
                <c:pt idx="25">
                  <c:v>567</c:v>
                </c:pt>
                <c:pt idx="26">
                  <c:v>566</c:v>
                </c:pt>
                <c:pt idx="27">
                  <c:v>565</c:v>
                </c:pt>
                <c:pt idx="28">
                  <c:v>564</c:v>
                </c:pt>
                <c:pt idx="29">
                  <c:v>563</c:v>
                </c:pt>
                <c:pt idx="30">
                  <c:v>562</c:v>
                </c:pt>
                <c:pt idx="31">
                  <c:v>561</c:v>
                </c:pt>
                <c:pt idx="32">
                  <c:v>560</c:v>
                </c:pt>
                <c:pt idx="33">
                  <c:v>559</c:v>
                </c:pt>
                <c:pt idx="34">
                  <c:v>558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Hoja1!$EF$4:$EF$38</c:f>
              <c:numCache>
                <c:formatCode>0%</c:formatCode>
                <c:ptCount val="35"/>
                <c:pt idx="0">
                  <c:v>1.3474999999999999</c:v>
                </c:pt>
                <c:pt idx="1">
                  <c:v>1.2275</c:v>
                </c:pt>
                <c:pt idx="2">
                  <c:v>1.1060000000000001</c:v>
                </c:pt>
                <c:pt idx="3">
                  <c:v>0.98260000000000003</c:v>
                </c:pt>
                <c:pt idx="4">
                  <c:v>0.85660000000000003</c:v>
                </c:pt>
                <c:pt idx="5">
                  <c:v>0.72140000000000004</c:v>
                </c:pt>
                <c:pt idx="6">
                  <c:v>0.57040000000000002</c:v>
                </c:pt>
                <c:pt idx="7">
                  <c:v>0.25</c:v>
                </c:pt>
                <c:pt idx="8">
                  <c:v>0.25</c:v>
                </c:pt>
                <c:pt idx="9">
                  <c:v>0.1537</c:v>
                </c:pt>
                <c:pt idx="10">
                  <c:v>0.16869999999999999</c:v>
                </c:pt>
                <c:pt idx="11">
                  <c:v>0.22900000000000001</c:v>
                </c:pt>
                <c:pt idx="12">
                  <c:v>0.34620000000000001</c:v>
                </c:pt>
                <c:pt idx="13">
                  <c:v>0.38030000000000003</c:v>
                </c:pt>
                <c:pt idx="14">
                  <c:v>0.5383</c:v>
                </c:pt>
                <c:pt idx="15">
                  <c:v>0.5464</c:v>
                </c:pt>
                <c:pt idx="16">
                  <c:v>0.71779999999999999</c:v>
                </c:pt>
                <c:pt idx="17">
                  <c:v>0.70779999999999998</c:v>
                </c:pt>
                <c:pt idx="18">
                  <c:v>0.7873</c:v>
                </c:pt>
                <c:pt idx="19">
                  <c:v>0.86619999999999997</c:v>
                </c:pt>
                <c:pt idx="20">
                  <c:v>0.94450000000000001</c:v>
                </c:pt>
                <c:pt idx="21">
                  <c:v>1.0224</c:v>
                </c:pt>
                <c:pt idx="22">
                  <c:v>1.0998000000000001</c:v>
                </c:pt>
                <c:pt idx="23">
                  <c:v>1.1769000000000001</c:v>
                </c:pt>
                <c:pt idx="24">
                  <c:v>1.2537</c:v>
                </c:pt>
                <c:pt idx="25">
                  <c:v>1.3302</c:v>
                </c:pt>
                <c:pt idx="26">
                  <c:v>1.4065000000000001</c:v>
                </c:pt>
                <c:pt idx="27">
                  <c:v>1.4824999999999999</c:v>
                </c:pt>
                <c:pt idx="28">
                  <c:v>1.5583</c:v>
                </c:pt>
                <c:pt idx="29">
                  <c:v>1.6339999999999999</c:v>
                </c:pt>
                <c:pt idx="30">
                  <c:v>1.7095</c:v>
                </c:pt>
                <c:pt idx="31">
                  <c:v>1.7847999999999999</c:v>
                </c:pt>
                <c:pt idx="32">
                  <c:v>1.86</c:v>
                </c:pt>
                <c:pt idx="33">
                  <c:v>1.9351</c:v>
                </c:pt>
                <c:pt idx="34">
                  <c:v>2.0101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592</c:v>
                </c:pt>
                <c:pt idx="1">
                  <c:v>591</c:v>
                </c:pt>
                <c:pt idx="2">
                  <c:v>590</c:v>
                </c:pt>
                <c:pt idx="3">
                  <c:v>589</c:v>
                </c:pt>
                <c:pt idx="4">
                  <c:v>588</c:v>
                </c:pt>
                <c:pt idx="5">
                  <c:v>587</c:v>
                </c:pt>
                <c:pt idx="6">
                  <c:v>586</c:v>
                </c:pt>
                <c:pt idx="7">
                  <c:v>585</c:v>
                </c:pt>
                <c:pt idx="8">
                  <c:v>584</c:v>
                </c:pt>
                <c:pt idx="9">
                  <c:v>583</c:v>
                </c:pt>
                <c:pt idx="10">
                  <c:v>582</c:v>
                </c:pt>
                <c:pt idx="11">
                  <c:v>581</c:v>
                </c:pt>
                <c:pt idx="12">
                  <c:v>580</c:v>
                </c:pt>
                <c:pt idx="13">
                  <c:v>579</c:v>
                </c:pt>
                <c:pt idx="14">
                  <c:v>578</c:v>
                </c:pt>
                <c:pt idx="15">
                  <c:v>577</c:v>
                </c:pt>
                <c:pt idx="16">
                  <c:v>576</c:v>
                </c:pt>
                <c:pt idx="17">
                  <c:v>575</c:v>
                </c:pt>
                <c:pt idx="18">
                  <c:v>574</c:v>
                </c:pt>
                <c:pt idx="19">
                  <c:v>573</c:v>
                </c:pt>
                <c:pt idx="20">
                  <c:v>572</c:v>
                </c:pt>
                <c:pt idx="21">
                  <c:v>571</c:v>
                </c:pt>
                <c:pt idx="22">
                  <c:v>570</c:v>
                </c:pt>
                <c:pt idx="23">
                  <c:v>569</c:v>
                </c:pt>
                <c:pt idx="24">
                  <c:v>568</c:v>
                </c:pt>
                <c:pt idx="25">
                  <c:v>567</c:v>
                </c:pt>
                <c:pt idx="26">
                  <c:v>566</c:v>
                </c:pt>
                <c:pt idx="27">
                  <c:v>565</c:v>
                </c:pt>
                <c:pt idx="28">
                  <c:v>564</c:v>
                </c:pt>
                <c:pt idx="29">
                  <c:v>563</c:v>
                </c:pt>
                <c:pt idx="30">
                  <c:v>562</c:v>
                </c:pt>
                <c:pt idx="31">
                  <c:v>561</c:v>
                </c:pt>
                <c:pt idx="32">
                  <c:v>560</c:v>
                </c:pt>
                <c:pt idx="33">
                  <c:v>559</c:v>
                </c:pt>
                <c:pt idx="34">
                  <c:v>558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46784"/>
        <c:axId val="202264960"/>
      </c:scatterChart>
      <c:valAx>
        <c:axId val="202246784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02264960"/>
        <c:crosses val="autoZero"/>
        <c:crossBetween val="midCat"/>
      </c:valAx>
      <c:valAx>
        <c:axId val="2022649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0224678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Hoja1!$EE$45:$EE$79</c:f>
              <c:numCache>
                <c:formatCode>0%</c:formatCode>
                <c:ptCount val="35"/>
                <c:pt idx="0">
                  <c:v>1.3495999999999999</c:v>
                </c:pt>
                <c:pt idx="1">
                  <c:v>1.2659</c:v>
                </c:pt>
                <c:pt idx="2">
                  <c:v>1.1814</c:v>
                </c:pt>
                <c:pt idx="3">
                  <c:v>1.0962000000000001</c:v>
                </c:pt>
                <c:pt idx="4">
                  <c:v>1.0102</c:v>
                </c:pt>
                <c:pt idx="5">
                  <c:v>0.92330000000000001</c:v>
                </c:pt>
                <c:pt idx="6">
                  <c:v>0.83530000000000004</c:v>
                </c:pt>
                <c:pt idx="7">
                  <c:v>0.74629999999999996</c:v>
                </c:pt>
                <c:pt idx="8">
                  <c:v>0.65600000000000003</c:v>
                </c:pt>
                <c:pt idx="9">
                  <c:v>0.56410000000000005</c:v>
                </c:pt>
                <c:pt idx="10">
                  <c:v>0.47049999999999997</c:v>
                </c:pt>
                <c:pt idx="11">
                  <c:v>0.37440000000000001</c:v>
                </c:pt>
                <c:pt idx="12">
                  <c:v>0.2752</c:v>
                </c:pt>
                <c:pt idx="13">
                  <c:v>0.1709</c:v>
                </c:pt>
                <c:pt idx="14">
                  <c:v>0.13109999999999999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1.1833</c:v>
                </c:pt>
                <c:pt idx="19">
                  <c:v>1.7636000000000001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522</c:v>
                </c:pt>
                <c:pt idx="1">
                  <c:v>521</c:v>
                </c:pt>
                <c:pt idx="2">
                  <c:v>520</c:v>
                </c:pt>
                <c:pt idx="3">
                  <c:v>519</c:v>
                </c:pt>
                <c:pt idx="4">
                  <c:v>518</c:v>
                </c:pt>
                <c:pt idx="5">
                  <c:v>517</c:v>
                </c:pt>
                <c:pt idx="6">
                  <c:v>516</c:v>
                </c:pt>
                <c:pt idx="7">
                  <c:v>515</c:v>
                </c:pt>
                <c:pt idx="8">
                  <c:v>514</c:v>
                </c:pt>
                <c:pt idx="9">
                  <c:v>513</c:v>
                </c:pt>
                <c:pt idx="10">
                  <c:v>512</c:v>
                </c:pt>
                <c:pt idx="11">
                  <c:v>511</c:v>
                </c:pt>
                <c:pt idx="12">
                  <c:v>510</c:v>
                </c:pt>
                <c:pt idx="13">
                  <c:v>509</c:v>
                </c:pt>
                <c:pt idx="14">
                  <c:v>508</c:v>
                </c:pt>
                <c:pt idx="15">
                  <c:v>507</c:v>
                </c:pt>
                <c:pt idx="16">
                  <c:v>506</c:v>
                </c:pt>
                <c:pt idx="17">
                  <c:v>505</c:v>
                </c:pt>
                <c:pt idx="18">
                  <c:v>504</c:v>
                </c:pt>
                <c:pt idx="19">
                  <c:v>503</c:v>
                </c:pt>
                <c:pt idx="20">
                  <c:v>502</c:v>
                </c:pt>
                <c:pt idx="21">
                  <c:v>501</c:v>
                </c:pt>
                <c:pt idx="22">
                  <c:v>500</c:v>
                </c:pt>
                <c:pt idx="23">
                  <c:v>499</c:v>
                </c:pt>
                <c:pt idx="24">
                  <c:v>498</c:v>
                </c:pt>
                <c:pt idx="25">
                  <c:v>497</c:v>
                </c:pt>
                <c:pt idx="26">
                  <c:v>496</c:v>
                </c:pt>
                <c:pt idx="27">
                  <c:v>495</c:v>
                </c:pt>
                <c:pt idx="28">
                  <c:v>494</c:v>
                </c:pt>
                <c:pt idx="29">
                  <c:v>493</c:v>
                </c:pt>
                <c:pt idx="30">
                  <c:v>492</c:v>
                </c:pt>
                <c:pt idx="31">
                  <c:v>491</c:v>
                </c:pt>
                <c:pt idx="32">
                  <c:v>490</c:v>
                </c:pt>
                <c:pt idx="33">
                  <c:v>489</c:v>
                </c:pt>
                <c:pt idx="34">
                  <c:v>488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Hoja1!$EF$45:$EF$79</c:f>
              <c:numCache>
                <c:formatCode>0%</c:formatCode>
                <c:ptCount val="35"/>
                <c:pt idx="0">
                  <c:v>2.1661999999999999</c:v>
                </c:pt>
                <c:pt idx="1">
                  <c:v>2.0348000000000002</c:v>
                </c:pt>
                <c:pt idx="2">
                  <c:v>1.9144000000000001</c:v>
                </c:pt>
                <c:pt idx="3">
                  <c:v>1.7708999999999999</c:v>
                </c:pt>
                <c:pt idx="4">
                  <c:v>1.6491</c:v>
                </c:pt>
                <c:pt idx="5">
                  <c:v>1.5047999999999999</c:v>
                </c:pt>
                <c:pt idx="6">
                  <c:v>1.3704000000000001</c:v>
                </c:pt>
                <c:pt idx="7">
                  <c:v>1.2446999999999999</c:v>
                </c:pt>
                <c:pt idx="8">
                  <c:v>1.0787</c:v>
                </c:pt>
                <c:pt idx="9">
                  <c:v>0.94969999999999999</c:v>
                </c:pt>
                <c:pt idx="10">
                  <c:v>0.80840000000000001</c:v>
                </c:pt>
                <c:pt idx="11">
                  <c:v>0.65600000000000003</c:v>
                </c:pt>
                <c:pt idx="12">
                  <c:v>0.51790000000000003</c:v>
                </c:pt>
                <c:pt idx="13">
                  <c:v>0.33260000000000001</c:v>
                </c:pt>
                <c:pt idx="14">
                  <c:v>0.2215</c:v>
                </c:pt>
                <c:pt idx="15">
                  <c:v>0.183</c:v>
                </c:pt>
                <c:pt idx="16">
                  <c:v>0.24779999999999999</c:v>
                </c:pt>
                <c:pt idx="17">
                  <c:v>0.36249999999999999</c:v>
                </c:pt>
                <c:pt idx="18">
                  <c:v>0.40860000000000002</c:v>
                </c:pt>
                <c:pt idx="19">
                  <c:v>0.58689999999999998</c:v>
                </c:pt>
                <c:pt idx="20">
                  <c:v>0.60060000000000002</c:v>
                </c:pt>
                <c:pt idx="21">
                  <c:v>0.69430000000000003</c:v>
                </c:pt>
                <c:pt idx="22">
                  <c:v>0.78690000000000004</c:v>
                </c:pt>
                <c:pt idx="23">
                  <c:v>0.87870000000000004</c:v>
                </c:pt>
                <c:pt idx="24">
                  <c:v>0.96970000000000001</c:v>
                </c:pt>
                <c:pt idx="25">
                  <c:v>1.06</c:v>
                </c:pt>
                <c:pt idx="26">
                  <c:v>1.1498999999999999</c:v>
                </c:pt>
                <c:pt idx="27">
                  <c:v>1.2392000000000001</c:v>
                </c:pt>
                <c:pt idx="28">
                  <c:v>1.3282</c:v>
                </c:pt>
                <c:pt idx="29">
                  <c:v>1.4168000000000001</c:v>
                </c:pt>
                <c:pt idx="30">
                  <c:v>1.5051000000000001</c:v>
                </c:pt>
                <c:pt idx="31">
                  <c:v>1.5931999999999999</c:v>
                </c:pt>
                <c:pt idx="32">
                  <c:v>1.681</c:v>
                </c:pt>
                <c:pt idx="33">
                  <c:v>1.7685</c:v>
                </c:pt>
                <c:pt idx="34">
                  <c:v>1.8559000000000001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522</c:v>
                </c:pt>
                <c:pt idx="1">
                  <c:v>521</c:v>
                </c:pt>
                <c:pt idx="2">
                  <c:v>520</c:v>
                </c:pt>
                <c:pt idx="3">
                  <c:v>519</c:v>
                </c:pt>
                <c:pt idx="4">
                  <c:v>518</c:v>
                </c:pt>
                <c:pt idx="5">
                  <c:v>517</c:v>
                </c:pt>
                <c:pt idx="6">
                  <c:v>516</c:v>
                </c:pt>
                <c:pt idx="7">
                  <c:v>515</c:v>
                </c:pt>
                <c:pt idx="8">
                  <c:v>514</c:v>
                </c:pt>
                <c:pt idx="9">
                  <c:v>513</c:v>
                </c:pt>
                <c:pt idx="10">
                  <c:v>512</c:v>
                </c:pt>
                <c:pt idx="11">
                  <c:v>511</c:v>
                </c:pt>
                <c:pt idx="12">
                  <c:v>510</c:v>
                </c:pt>
                <c:pt idx="13">
                  <c:v>509</c:v>
                </c:pt>
                <c:pt idx="14">
                  <c:v>508</c:v>
                </c:pt>
                <c:pt idx="15">
                  <c:v>507</c:v>
                </c:pt>
                <c:pt idx="16">
                  <c:v>506</c:v>
                </c:pt>
                <c:pt idx="17">
                  <c:v>505</c:v>
                </c:pt>
                <c:pt idx="18">
                  <c:v>504</c:v>
                </c:pt>
                <c:pt idx="19">
                  <c:v>503</c:v>
                </c:pt>
                <c:pt idx="20">
                  <c:v>502</c:v>
                </c:pt>
                <c:pt idx="21">
                  <c:v>501</c:v>
                </c:pt>
                <c:pt idx="22">
                  <c:v>500</c:v>
                </c:pt>
                <c:pt idx="23">
                  <c:v>499</c:v>
                </c:pt>
                <c:pt idx="24">
                  <c:v>498</c:v>
                </c:pt>
                <c:pt idx="25">
                  <c:v>497</c:v>
                </c:pt>
                <c:pt idx="26">
                  <c:v>496</c:v>
                </c:pt>
                <c:pt idx="27">
                  <c:v>495</c:v>
                </c:pt>
                <c:pt idx="28">
                  <c:v>494</c:v>
                </c:pt>
                <c:pt idx="29">
                  <c:v>493</c:v>
                </c:pt>
                <c:pt idx="30">
                  <c:v>492</c:v>
                </c:pt>
                <c:pt idx="31">
                  <c:v>491</c:v>
                </c:pt>
                <c:pt idx="32">
                  <c:v>490</c:v>
                </c:pt>
                <c:pt idx="33">
                  <c:v>489</c:v>
                </c:pt>
                <c:pt idx="34">
                  <c:v>488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97728"/>
        <c:axId val="202299264"/>
      </c:scatterChart>
      <c:valAx>
        <c:axId val="202297728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02299264"/>
        <c:crosses val="autoZero"/>
        <c:crossBetween val="midCat"/>
      </c:valAx>
      <c:valAx>
        <c:axId val="20229926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0229772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Hoja1!$EE$85:$EE$130</c:f>
              <c:numCache>
                <c:formatCode>0%</c:formatCode>
                <c:ptCount val="46"/>
                <c:pt idx="0">
                  <c:v>0.25</c:v>
                </c:pt>
                <c:pt idx="1">
                  <c:v>0.25</c:v>
                </c:pt>
                <c:pt idx="2">
                  <c:v>1.1849000000000001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0.83620000000000005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0.47239999999999999</c:v>
                </c:pt>
                <c:pt idx="13">
                  <c:v>0.3962</c:v>
                </c:pt>
                <c:pt idx="14">
                  <c:v>0.31840000000000002</c:v>
                </c:pt>
                <c:pt idx="15">
                  <c:v>0.2382</c:v>
                </c:pt>
                <c:pt idx="16">
                  <c:v>0.15529999999999999</c:v>
                </c:pt>
                <c:pt idx="17">
                  <c:v>6.59E-2</c:v>
                </c:pt>
                <c:pt idx="18">
                  <c:v>6.5699999999999995E-2</c:v>
                </c:pt>
                <c:pt idx="19">
                  <c:v>0.26629999999999998</c:v>
                </c:pt>
                <c:pt idx="20">
                  <c:v>0.4289</c:v>
                </c:pt>
                <c:pt idx="21">
                  <c:v>0.3886</c:v>
                </c:pt>
                <c:pt idx="22">
                  <c:v>0.48330000000000001</c:v>
                </c:pt>
                <c:pt idx="23">
                  <c:v>0.57569999999999999</c:v>
                </c:pt>
                <c:pt idx="24">
                  <c:v>0.79349999999999998</c:v>
                </c:pt>
                <c:pt idx="25">
                  <c:v>0.8952</c:v>
                </c:pt>
                <c:pt idx="26">
                  <c:v>0.84430000000000005</c:v>
                </c:pt>
                <c:pt idx="27">
                  <c:v>1.0944</c:v>
                </c:pt>
                <c:pt idx="28">
                  <c:v>1.1923999999999999</c:v>
                </c:pt>
                <c:pt idx="29">
                  <c:v>1.2894000000000001</c:v>
                </c:pt>
                <c:pt idx="30">
                  <c:v>1.1898</c:v>
                </c:pt>
                <c:pt idx="31">
                  <c:v>1.3221000000000001</c:v>
                </c:pt>
                <c:pt idx="32">
                  <c:v>1.4091</c:v>
                </c:pt>
                <c:pt idx="33">
                  <c:v>1.4956</c:v>
                </c:pt>
                <c:pt idx="34">
                  <c:v>1.5817000000000001</c:v>
                </c:pt>
                <c:pt idx="35">
                  <c:v>1.6106</c:v>
                </c:pt>
                <c:pt idx="36">
                  <c:v>1.7528999999999999</c:v>
                </c:pt>
                <c:pt idx="37">
                  <c:v>1.7766999999999999</c:v>
                </c:pt>
                <c:pt idx="38">
                  <c:v>2.6932999999999998</c:v>
                </c:pt>
                <c:pt idx="39">
                  <c:v>2.8026</c:v>
                </c:pt>
                <c:pt idx="40">
                  <c:v>2.8531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6020</c:v>
                </c:pt>
                <c:pt idx="1">
                  <c:v>6010</c:v>
                </c:pt>
                <c:pt idx="2">
                  <c:v>6000</c:v>
                </c:pt>
                <c:pt idx="3">
                  <c:v>5990</c:v>
                </c:pt>
                <c:pt idx="4">
                  <c:v>5980</c:v>
                </c:pt>
                <c:pt idx="5">
                  <c:v>5970</c:v>
                </c:pt>
                <c:pt idx="6">
                  <c:v>5960</c:v>
                </c:pt>
                <c:pt idx="7">
                  <c:v>5950</c:v>
                </c:pt>
                <c:pt idx="8">
                  <c:v>5940</c:v>
                </c:pt>
                <c:pt idx="9">
                  <c:v>5930</c:v>
                </c:pt>
                <c:pt idx="10">
                  <c:v>5920</c:v>
                </c:pt>
                <c:pt idx="11">
                  <c:v>5910</c:v>
                </c:pt>
                <c:pt idx="12">
                  <c:v>5900</c:v>
                </c:pt>
                <c:pt idx="13">
                  <c:v>5890</c:v>
                </c:pt>
                <c:pt idx="14">
                  <c:v>5880</c:v>
                </c:pt>
                <c:pt idx="15">
                  <c:v>5870</c:v>
                </c:pt>
                <c:pt idx="16">
                  <c:v>5860</c:v>
                </c:pt>
                <c:pt idx="17">
                  <c:v>5850</c:v>
                </c:pt>
                <c:pt idx="18">
                  <c:v>5840</c:v>
                </c:pt>
                <c:pt idx="19">
                  <c:v>5830</c:v>
                </c:pt>
                <c:pt idx="20">
                  <c:v>5820</c:v>
                </c:pt>
                <c:pt idx="21">
                  <c:v>5810</c:v>
                </c:pt>
                <c:pt idx="22">
                  <c:v>5800</c:v>
                </c:pt>
                <c:pt idx="23">
                  <c:v>5790</c:v>
                </c:pt>
                <c:pt idx="24">
                  <c:v>5780</c:v>
                </c:pt>
                <c:pt idx="25">
                  <c:v>5770</c:v>
                </c:pt>
                <c:pt idx="26">
                  <c:v>5760</c:v>
                </c:pt>
                <c:pt idx="27">
                  <c:v>5750</c:v>
                </c:pt>
                <c:pt idx="28">
                  <c:v>5740</c:v>
                </c:pt>
                <c:pt idx="29">
                  <c:v>5730</c:v>
                </c:pt>
                <c:pt idx="30">
                  <c:v>5720</c:v>
                </c:pt>
                <c:pt idx="31">
                  <c:v>5710</c:v>
                </c:pt>
                <c:pt idx="32">
                  <c:v>5700</c:v>
                </c:pt>
                <c:pt idx="33">
                  <c:v>5690</c:v>
                </c:pt>
                <c:pt idx="34">
                  <c:v>5680</c:v>
                </c:pt>
                <c:pt idx="35">
                  <c:v>5670</c:v>
                </c:pt>
                <c:pt idx="36">
                  <c:v>5660</c:v>
                </c:pt>
                <c:pt idx="37">
                  <c:v>5650</c:v>
                </c:pt>
                <c:pt idx="38">
                  <c:v>5640</c:v>
                </c:pt>
                <c:pt idx="39">
                  <c:v>5630</c:v>
                </c:pt>
                <c:pt idx="40">
                  <c:v>5620</c:v>
                </c:pt>
                <c:pt idx="41">
                  <c:v>5610</c:v>
                </c:pt>
                <c:pt idx="42">
                  <c:v>5600</c:v>
                </c:pt>
                <c:pt idx="43">
                  <c:v>5590</c:v>
                </c:pt>
                <c:pt idx="44">
                  <c:v>5580</c:v>
                </c:pt>
                <c:pt idx="45">
                  <c:v>5570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Hoja1!$EF$85:$EF$130</c:f>
              <c:numCache>
                <c:formatCode>0%</c:formatCode>
                <c:ptCount val="46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0.3241</c:v>
                </c:pt>
                <c:pt idx="16">
                  <c:v>0.25</c:v>
                </c:pt>
                <c:pt idx="17">
                  <c:v>0.25</c:v>
                </c:pt>
                <c:pt idx="18">
                  <c:v>5.0500000000000003E-2</c:v>
                </c:pt>
                <c:pt idx="19">
                  <c:v>0.14199999999999999</c:v>
                </c:pt>
                <c:pt idx="20">
                  <c:v>0.22620000000000001</c:v>
                </c:pt>
                <c:pt idx="21">
                  <c:v>0.307</c:v>
                </c:pt>
                <c:pt idx="22">
                  <c:v>0.38690000000000002</c:v>
                </c:pt>
                <c:pt idx="23">
                  <c:v>0.4647</c:v>
                </c:pt>
                <c:pt idx="24">
                  <c:v>0.54149999999999998</c:v>
                </c:pt>
                <c:pt idx="25">
                  <c:v>0.61770000000000003</c:v>
                </c:pt>
                <c:pt idx="26">
                  <c:v>0.69220000000000004</c:v>
                </c:pt>
                <c:pt idx="27">
                  <c:v>0.76800000000000002</c:v>
                </c:pt>
                <c:pt idx="28">
                  <c:v>0.83979999999999999</c:v>
                </c:pt>
                <c:pt idx="29">
                  <c:v>0.91320000000000001</c:v>
                </c:pt>
                <c:pt idx="30">
                  <c:v>0.98609999999999998</c:v>
                </c:pt>
                <c:pt idx="31">
                  <c:v>1.0588</c:v>
                </c:pt>
                <c:pt idx="32">
                  <c:v>1.1311</c:v>
                </c:pt>
                <c:pt idx="33">
                  <c:v>1.2054</c:v>
                </c:pt>
                <c:pt idx="34">
                  <c:v>1.2776000000000001</c:v>
                </c:pt>
                <c:pt idx="35">
                  <c:v>1.3495999999999999</c:v>
                </c:pt>
                <c:pt idx="36">
                  <c:v>1.4214</c:v>
                </c:pt>
                <c:pt idx="37">
                  <c:v>1.4930000000000001</c:v>
                </c:pt>
                <c:pt idx="38">
                  <c:v>1.5645</c:v>
                </c:pt>
                <c:pt idx="39">
                  <c:v>1.6358999999999999</c:v>
                </c:pt>
                <c:pt idx="40">
                  <c:v>1.7071000000000001</c:v>
                </c:pt>
                <c:pt idx="41">
                  <c:v>1.7783</c:v>
                </c:pt>
                <c:pt idx="42">
                  <c:v>1.8493999999999999</c:v>
                </c:pt>
                <c:pt idx="43">
                  <c:v>1.9204000000000001</c:v>
                </c:pt>
                <c:pt idx="44">
                  <c:v>1.9913000000000001</c:v>
                </c:pt>
                <c:pt idx="45">
                  <c:v>2.0621999999999998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6020</c:v>
                </c:pt>
                <c:pt idx="1">
                  <c:v>6010</c:v>
                </c:pt>
                <c:pt idx="2">
                  <c:v>6000</c:v>
                </c:pt>
                <c:pt idx="3">
                  <c:v>5990</c:v>
                </c:pt>
                <c:pt idx="4">
                  <c:v>5980</c:v>
                </c:pt>
                <c:pt idx="5">
                  <c:v>5970</c:v>
                </c:pt>
                <c:pt idx="6">
                  <c:v>5960</c:v>
                </c:pt>
                <c:pt idx="7">
                  <c:v>5950</c:v>
                </c:pt>
                <c:pt idx="8">
                  <c:v>5940</c:v>
                </c:pt>
                <c:pt idx="9">
                  <c:v>5930</c:v>
                </c:pt>
                <c:pt idx="10">
                  <c:v>5920</c:v>
                </c:pt>
                <c:pt idx="11">
                  <c:v>5910</c:v>
                </c:pt>
                <c:pt idx="12">
                  <c:v>5900</c:v>
                </c:pt>
                <c:pt idx="13">
                  <c:v>5890</c:v>
                </c:pt>
                <c:pt idx="14">
                  <c:v>5880</c:v>
                </c:pt>
                <c:pt idx="15">
                  <c:v>5870</c:v>
                </c:pt>
                <c:pt idx="16">
                  <c:v>5860</c:v>
                </c:pt>
                <c:pt idx="17">
                  <c:v>5850</c:v>
                </c:pt>
                <c:pt idx="18">
                  <c:v>5840</c:v>
                </c:pt>
                <c:pt idx="19">
                  <c:v>5830</c:v>
                </c:pt>
                <c:pt idx="20">
                  <c:v>5820</c:v>
                </c:pt>
                <c:pt idx="21">
                  <c:v>5810</c:v>
                </c:pt>
                <c:pt idx="22">
                  <c:v>5800</c:v>
                </c:pt>
                <c:pt idx="23">
                  <c:v>5790</c:v>
                </c:pt>
                <c:pt idx="24">
                  <c:v>5780</c:v>
                </c:pt>
                <c:pt idx="25">
                  <c:v>5770</c:v>
                </c:pt>
                <c:pt idx="26">
                  <c:v>5760</c:v>
                </c:pt>
                <c:pt idx="27">
                  <c:v>5750</c:v>
                </c:pt>
                <c:pt idx="28">
                  <c:v>5740</c:v>
                </c:pt>
                <c:pt idx="29">
                  <c:v>5730</c:v>
                </c:pt>
                <c:pt idx="30">
                  <c:v>5720</c:v>
                </c:pt>
                <c:pt idx="31">
                  <c:v>5710</c:v>
                </c:pt>
                <c:pt idx="32">
                  <c:v>5700</c:v>
                </c:pt>
                <c:pt idx="33">
                  <c:v>5690</c:v>
                </c:pt>
                <c:pt idx="34">
                  <c:v>5680</c:v>
                </c:pt>
                <c:pt idx="35">
                  <c:v>5670</c:v>
                </c:pt>
                <c:pt idx="36">
                  <c:v>5660</c:v>
                </c:pt>
                <c:pt idx="37">
                  <c:v>5650</c:v>
                </c:pt>
                <c:pt idx="38">
                  <c:v>5640</c:v>
                </c:pt>
                <c:pt idx="39">
                  <c:v>5630</c:v>
                </c:pt>
                <c:pt idx="40">
                  <c:v>5620</c:v>
                </c:pt>
                <c:pt idx="41">
                  <c:v>5610</c:v>
                </c:pt>
                <c:pt idx="42">
                  <c:v>5600</c:v>
                </c:pt>
                <c:pt idx="43">
                  <c:v>5590</c:v>
                </c:pt>
                <c:pt idx="44">
                  <c:v>5580</c:v>
                </c:pt>
                <c:pt idx="45">
                  <c:v>5570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26784"/>
        <c:axId val="202732672"/>
      </c:scatterChart>
      <c:valAx>
        <c:axId val="202726784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02732672"/>
        <c:crosses val="autoZero"/>
        <c:crossBetween val="midCat"/>
      </c:valAx>
      <c:valAx>
        <c:axId val="20273267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0272678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Hoja1!$EE$137:$EE$189</c:f>
              <c:numCache>
                <c:formatCode>0%</c:formatCode>
                <c:ptCount val="53"/>
                <c:pt idx="0">
                  <c:v>0.25</c:v>
                </c:pt>
                <c:pt idx="1">
                  <c:v>0.25</c:v>
                </c:pt>
                <c:pt idx="2">
                  <c:v>1.8759999999999999</c:v>
                </c:pt>
                <c:pt idx="3">
                  <c:v>0.25</c:v>
                </c:pt>
                <c:pt idx="4">
                  <c:v>1.7104999999999999</c:v>
                </c:pt>
                <c:pt idx="5">
                  <c:v>0.25</c:v>
                </c:pt>
                <c:pt idx="6">
                  <c:v>0.78490000000000004</c:v>
                </c:pt>
                <c:pt idx="7">
                  <c:v>0.25</c:v>
                </c:pt>
                <c:pt idx="8">
                  <c:v>0.57440000000000002</c:v>
                </c:pt>
                <c:pt idx="9">
                  <c:v>0.25</c:v>
                </c:pt>
                <c:pt idx="10">
                  <c:v>1.1878</c:v>
                </c:pt>
                <c:pt idx="11">
                  <c:v>0.25</c:v>
                </c:pt>
                <c:pt idx="12">
                  <c:v>1.0012000000000001</c:v>
                </c:pt>
                <c:pt idx="13">
                  <c:v>0.25</c:v>
                </c:pt>
                <c:pt idx="14">
                  <c:v>0.28789999999999999</c:v>
                </c:pt>
                <c:pt idx="15">
                  <c:v>0.7016</c:v>
                </c:pt>
                <c:pt idx="16">
                  <c:v>0.23860000000000001</c:v>
                </c:pt>
                <c:pt idx="17">
                  <c:v>0.30620000000000003</c:v>
                </c:pt>
                <c:pt idx="18">
                  <c:v>0.15079999999999999</c:v>
                </c:pt>
                <c:pt idx="19">
                  <c:v>7.5399999999999995E-2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21350</c:v>
                </c:pt>
                <c:pt idx="1">
                  <c:v>21325</c:v>
                </c:pt>
                <c:pt idx="2">
                  <c:v>21300</c:v>
                </c:pt>
                <c:pt idx="3">
                  <c:v>21275</c:v>
                </c:pt>
                <c:pt idx="4">
                  <c:v>21250</c:v>
                </c:pt>
                <c:pt idx="5">
                  <c:v>21225</c:v>
                </c:pt>
                <c:pt idx="6">
                  <c:v>21200</c:v>
                </c:pt>
                <c:pt idx="7">
                  <c:v>21175</c:v>
                </c:pt>
                <c:pt idx="8">
                  <c:v>21150</c:v>
                </c:pt>
                <c:pt idx="9">
                  <c:v>21125</c:v>
                </c:pt>
                <c:pt idx="10">
                  <c:v>21100</c:v>
                </c:pt>
                <c:pt idx="11">
                  <c:v>21075</c:v>
                </c:pt>
                <c:pt idx="12">
                  <c:v>21050</c:v>
                </c:pt>
                <c:pt idx="13">
                  <c:v>21025</c:v>
                </c:pt>
                <c:pt idx="14">
                  <c:v>21000</c:v>
                </c:pt>
                <c:pt idx="15">
                  <c:v>20975</c:v>
                </c:pt>
                <c:pt idx="16">
                  <c:v>20950</c:v>
                </c:pt>
                <c:pt idx="17">
                  <c:v>20925</c:v>
                </c:pt>
                <c:pt idx="18">
                  <c:v>20900</c:v>
                </c:pt>
                <c:pt idx="19">
                  <c:v>20875</c:v>
                </c:pt>
                <c:pt idx="20">
                  <c:v>20850</c:v>
                </c:pt>
                <c:pt idx="21">
                  <c:v>20825</c:v>
                </c:pt>
                <c:pt idx="22">
                  <c:v>20800</c:v>
                </c:pt>
                <c:pt idx="23">
                  <c:v>20775</c:v>
                </c:pt>
                <c:pt idx="24">
                  <c:v>20750</c:v>
                </c:pt>
                <c:pt idx="25">
                  <c:v>20725</c:v>
                </c:pt>
                <c:pt idx="26">
                  <c:v>20700</c:v>
                </c:pt>
                <c:pt idx="27">
                  <c:v>20675</c:v>
                </c:pt>
                <c:pt idx="28">
                  <c:v>20650</c:v>
                </c:pt>
                <c:pt idx="29">
                  <c:v>20625</c:v>
                </c:pt>
                <c:pt idx="30">
                  <c:v>20600</c:v>
                </c:pt>
                <c:pt idx="31">
                  <c:v>20575</c:v>
                </c:pt>
                <c:pt idx="32">
                  <c:v>20550</c:v>
                </c:pt>
                <c:pt idx="33">
                  <c:v>20525</c:v>
                </c:pt>
                <c:pt idx="34">
                  <c:v>20500</c:v>
                </c:pt>
                <c:pt idx="35">
                  <c:v>20475</c:v>
                </c:pt>
                <c:pt idx="36">
                  <c:v>20450</c:v>
                </c:pt>
                <c:pt idx="37">
                  <c:v>20425</c:v>
                </c:pt>
                <c:pt idx="38">
                  <c:v>20400</c:v>
                </c:pt>
                <c:pt idx="39">
                  <c:v>20375</c:v>
                </c:pt>
                <c:pt idx="40">
                  <c:v>20350</c:v>
                </c:pt>
                <c:pt idx="41">
                  <c:v>20325</c:v>
                </c:pt>
                <c:pt idx="42">
                  <c:v>20300</c:v>
                </c:pt>
                <c:pt idx="43">
                  <c:v>20275</c:v>
                </c:pt>
                <c:pt idx="44">
                  <c:v>20250</c:v>
                </c:pt>
                <c:pt idx="45">
                  <c:v>20225</c:v>
                </c:pt>
                <c:pt idx="46">
                  <c:v>20200</c:v>
                </c:pt>
                <c:pt idx="47">
                  <c:v>20175</c:v>
                </c:pt>
                <c:pt idx="48">
                  <c:v>20150</c:v>
                </c:pt>
                <c:pt idx="49">
                  <c:v>20125</c:v>
                </c:pt>
                <c:pt idx="50">
                  <c:v>20100</c:v>
                </c:pt>
                <c:pt idx="51">
                  <c:v>20075</c:v>
                </c:pt>
                <c:pt idx="52">
                  <c:v>20050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Hoja1!$EF$137:$EF$189</c:f>
              <c:numCache>
                <c:formatCode>0%</c:formatCode>
                <c:ptCount val="53"/>
                <c:pt idx="0">
                  <c:v>0.25</c:v>
                </c:pt>
                <c:pt idx="1">
                  <c:v>0.25</c:v>
                </c:pt>
                <c:pt idx="2">
                  <c:v>1.625</c:v>
                </c:pt>
                <c:pt idx="3">
                  <c:v>0.25</c:v>
                </c:pt>
                <c:pt idx="4">
                  <c:v>1.5729</c:v>
                </c:pt>
                <c:pt idx="5">
                  <c:v>0.25</c:v>
                </c:pt>
                <c:pt idx="6">
                  <c:v>1.3635999999999999</c:v>
                </c:pt>
                <c:pt idx="7">
                  <c:v>0.25</c:v>
                </c:pt>
                <c:pt idx="8">
                  <c:v>1.1959</c:v>
                </c:pt>
                <c:pt idx="9">
                  <c:v>0.25</c:v>
                </c:pt>
                <c:pt idx="10">
                  <c:v>1.0376000000000001</c:v>
                </c:pt>
                <c:pt idx="11">
                  <c:v>0.25</c:v>
                </c:pt>
                <c:pt idx="12">
                  <c:v>0.79379999999999995</c:v>
                </c:pt>
                <c:pt idx="13">
                  <c:v>0.25</c:v>
                </c:pt>
                <c:pt idx="14">
                  <c:v>0.61990000000000001</c:v>
                </c:pt>
                <c:pt idx="15">
                  <c:v>0.55700000000000005</c:v>
                </c:pt>
                <c:pt idx="16">
                  <c:v>0.39979999999999999</c:v>
                </c:pt>
                <c:pt idx="17">
                  <c:v>0.31709999999999999</c:v>
                </c:pt>
                <c:pt idx="18">
                  <c:v>0.2437</c:v>
                </c:pt>
                <c:pt idx="19">
                  <c:v>0.15629999999999999</c:v>
                </c:pt>
                <c:pt idx="20">
                  <c:v>8.5500000000000007E-2</c:v>
                </c:pt>
                <c:pt idx="21">
                  <c:v>0.1653</c:v>
                </c:pt>
                <c:pt idx="22">
                  <c:v>0.53690000000000004</c:v>
                </c:pt>
                <c:pt idx="23">
                  <c:v>0.64890000000000003</c:v>
                </c:pt>
                <c:pt idx="24">
                  <c:v>0.3296</c:v>
                </c:pt>
                <c:pt idx="25">
                  <c:v>0.77929999999999999</c:v>
                </c:pt>
                <c:pt idx="26">
                  <c:v>0.44190000000000002</c:v>
                </c:pt>
                <c:pt idx="27">
                  <c:v>0.63570000000000004</c:v>
                </c:pt>
                <c:pt idx="28">
                  <c:v>0.52380000000000004</c:v>
                </c:pt>
                <c:pt idx="29">
                  <c:v>1.2437</c:v>
                </c:pt>
                <c:pt idx="30">
                  <c:v>1.3380000000000001</c:v>
                </c:pt>
                <c:pt idx="31">
                  <c:v>1.4273</c:v>
                </c:pt>
                <c:pt idx="32">
                  <c:v>1.5174000000000001</c:v>
                </c:pt>
                <c:pt idx="33">
                  <c:v>1.6064000000000001</c:v>
                </c:pt>
                <c:pt idx="34">
                  <c:v>0.96950000000000003</c:v>
                </c:pt>
                <c:pt idx="35">
                  <c:v>1.7818000000000001</c:v>
                </c:pt>
                <c:pt idx="36">
                  <c:v>1.8684000000000001</c:v>
                </c:pt>
                <c:pt idx="37">
                  <c:v>1.9542999999999999</c:v>
                </c:pt>
                <c:pt idx="38">
                  <c:v>1.7648999999999999</c:v>
                </c:pt>
                <c:pt idx="39">
                  <c:v>2.1292</c:v>
                </c:pt>
                <c:pt idx="40">
                  <c:v>2.2134999999999998</c:v>
                </c:pt>
                <c:pt idx="41">
                  <c:v>2.2972999999999999</c:v>
                </c:pt>
                <c:pt idx="42">
                  <c:v>1.6101000000000001</c:v>
                </c:pt>
                <c:pt idx="43">
                  <c:v>2.4636</c:v>
                </c:pt>
                <c:pt idx="44">
                  <c:v>2.5461</c:v>
                </c:pt>
                <c:pt idx="45">
                  <c:v>2.6282999999999999</c:v>
                </c:pt>
                <c:pt idx="46">
                  <c:v>1.4861</c:v>
                </c:pt>
                <c:pt idx="47">
                  <c:v>2.7915999999999999</c:v>
                </c:pt>
                <c:pt idx="48">
                  <c:v>2.8727999999999998</c:v>
                </c:pt>
                <c:pt idx="49">
                  <c:v>2.9537</c:v>
                </c:pt>
                <c:pt idx="50">
                  <c:v>3.0344000000000002</c:v>
                </c:pt>
                <c:pt idx="51">
                  <c:v>3.1147999999999998</c:v>
                </c:pt>
                <c:pt idx="52">
                  <c:v>3.1949000000000001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21350</c:v>
                </c:pt>
                <c:pt idx="1">
                  <c:v>21325</c:v>
                </c:pt>
                <c:pt idx="2">
                  <c:v>21300</c:v>
                </c:pt>
                <c:pt idx="3">
                  <c:v>21275</c:v>
                </c:pt>
                <c:pt idx="4">
                  <c:v>21250</c:v>
                </c:pt>
                <c:pt idx="5">
                  <c:v>21225</c:v>
                </c:pt>
                <c:pt idx="6">
                  <c:v>21200</c:v>
                </c:pt>
                <c:pt idx="7">
                  <c:v>21175</c:v>
                </c:pt>
                <c:pt idx="8">
                  <c:v>21150</c:v>
                </c:pt>
                <c:pt idx="9">
                  <c:v>21125</c:v>
                </c:pt>
                <c:pt idx="10">
                  <c:v>21100</c:v>
                </c:pt>
                <c:pt idx="11">
                  <c:v>21075</c:v>
                </c:pt>
                <c:pt idx="12">
                  <c:v>21050</c:v>
                </c:pt>
                <c:pt idx="13">
                  <c:v>21025</c:v>
                </c:pt>
                <c:pt idx="14">
                  <c:v>21000</c:v>
                </c:pt>
                <c:pt idx="15">
                  <c:v>20975</c:v>
                </c:pt>
                <c:pt idx="16">
                  <c:v>20950</c:v>
                </c:pt>
                <c:pt idx="17">
                  <c:v>20925</c:v>
                </c:pt>
                <c:pt idx="18">
                  <c:v>20900</c:v>
                </c:pt>
                <c:pt idx="19">
                  <c:v>20875</c:v>
                </c:pt>
                <c:pt idx="20">
                  <c:v>20850</c:v>
                </c:pt>
                <c:pt idx="21">
                  <c:v>20825</c:v>
                </c:pt>
                <c:pt idx="22">
                  <c:v>20800</c:v>
                </c:pt>
                <c:pt idx="23">
                  <c:v>20775</c:v>
                </c:pt>
                <c:pt idx="24">
                  <c:v>20750</c:v>
                </c:pt>
                <c:pt idx="25">
                  <c:v>20725</c:v>
                </c:pt>
                <c:pt idx="26">
                  <c:v>20700</c:v>
                </c:pt>
                <c:pt idx="27">
                  <c:v>20675</c:v>
                </c:pt>
                <c:pt idx="28">
                  <c:v>20650</c:v>
                </c:pt>
                <c:pt idx="29">
                  <c:v>20625</c:v>
                </c:pt>
                <c:pt idx="30">
                  <c:v>20600</c:v>
                </c:pt>
                <c:pt idx="31">
                  <c:v>20575</c:v>
                </c:pt>
                <c:pt idx="32">
                  <c:v>20550</c:v>
                </c:pt>
                <c:pt idx="33">
                  <c:v>20525</c:v>
                </c:pt>
                <c:pt idx="34">
                  <c:v>20500</c:v>
                </c:pt>
                <c:pt idx="35">
                  <c:v>20475</c:v>
                </c:pt>
                <c:pt idx="36">
                  <c:v>20450</c:v>
                </c:pt>
                <c:pt idx="37">
                  <c:v>20425</c:v>
                </c:pt>
                <c:pt idx="38">
                  <c:v>20400</c:v>
                </c:pt>
                <c:pt idx="39">
                  <c:v>20375</c:v>
                </c:pt>
                <c:pt idx="40">
                  <c:v>20350</c:v>
                </c:pt>
                <c:pt idx="41">
                  <c:v>20325</c:v>
                </c:pt>
                <c:pt idx="42">
                  <c:v>20300</c:v>
                </c:pt>
                <c:pt idx="43">
                  <c:v>20275</c:v>
                </c:pt>
                <c:pt idx="44">
                  <c:v>20250</c:v>
                </c:pt>
                <c:pt idx="45">
                  <c:v>20225</c:v>
                </c:pt>
                <c:pt idx="46">
                  <c:v>20200</c:v>
                </c:pt>
                <c:pt idx="47">
                  <c:v>20175</c:v>
                </c:pt>
                <c:pt idx="48">
                  <c:v>20150</c:v>
                </c:pt>
                <c:pt idx="49">
                  <c:v>20125</c:v>
                </c:pt>
                <c:pt idx="50">
                  <c:v>20100</c:v>
                </c:pt>
                <c:pt idx="51">
                  <c:v>20075</c:v>
                </c:pt>
                <c:pt idx="52">
                  <c:v>20050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57248"/>
        <c:axId val="202758784"/>
      </c:scatterChart>
      <c:valAx>
        <c:axId val="202757248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02758784"/>
        <c:crosses val="autoZero"/>
        <c:crossBetween val="midCat"/>
      </c:valAx>
      <c:valAx>
        <c:axId val="2027587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027572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508488</xdr:colOff>
      <xdr:row>0</xdr:row>
      <xdr:rowOff>0</xdr:rowOff>
    </xdr:from>
    <xdr:to>
      <xdr:col>15</xdr:col>
      <xdr:colOff>270622</xdr:colOff>
      <xdr:row>39</xdr:row>
      <xdr:rowOff>49626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22411</xdr:colOff>
      <xdr:row>40</xdr:row>
      <xdr:rowOff>179294</xdr:rowOff>
    </xdr:from>
    <xdr:to>
      <xdr:col>15</xdr:col>
      <xdr:colOff>448235</xdr:colOff>
      <xdr:row>80</xdr:row>
      <xdr:rowOff>40822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32016</xdr:colOff>
      <xdr:row>81</xdr:row>
      <xdr:rowOff>70438</xdr:rowOff>
    </xdr:from>
    <xdr:to>
      <xdr:col>15</xdr:col>
      <xdr:colOff>459441</xdr:colOff>
      <xdr:row>132</xdr:row>
      <xdr:rowOff>68036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32016</xdr:colOff>
      <xdr:row>133</xdr:row>
      <xdr:rowOff>70438</xdr:rowOff>
    </xdr:from>
    <xdr:to>
      <xdr:col>15</xdr:col>
      <xdr:colOff>470647</xdr:colOff>
      <xdr:row>191</xdr:row>
      <xdr:rowOff>68036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103910</xdr:colOff>
      <xdr:row>1</xdr:row>
      <xdr:rowOff>34636</xdr:rowOff>
    </xdr:from>
    <xdr:to>
      <xdr:col>23</xdr:col>
      <xdr:colOff>728383</xdr:colOff>
      <xdr:row>40</xdr:row>
      <xdr:rowOff>97869</xdr:rowOff>
    </xdr:to>
    <xdr:graphicFrame macro="">
      <xdr:nvGraphicFramePr>
        <xdr:cNvPr id="6" name="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89647</xdr:colOff>
      <xdr:row>40</xdr:row>
      <xdr:rowOff>163286</xdr:rowOff>
    </xdr:from>
    <xdr:to>
      <xdr:col>23</xdr:col>
      <xdr:colOff>474569</xdr:colOff>
      <xdr:row>80</xdr:row>
      <xdr:rowOff>74441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78441</xdr:colOff>
      <xdr:row>81</xdr:row>
      <xdr:rowOff>67235</xdr:rowOff>
    </xdr:from>
    <xdr:to>
      <xdr:col>24</xdr:col>
      <xdr:colOff>0</xdr:colOff>
      <xdr:row>132</xdr:row>
      <xdr:rowOff>64833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56032</xdr:colOff>
      <xdr:row>133</xdr:row>
      <xdr:rowOff>67235</xdr:rowOff>
    </xdr:from>
    <xdr:to>
      <xdr:col>23</xdr:col>
      <xdr:colOff>683560</xdr:colOff>
      <xdr:row>191</xdr:row>
      <xdr:rowOff>64833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238125</xdr:colOff>
      <xdr:row>1</xdr:row>
      <xdr:rowOff>0</xdr:rowOff>
    </xdr:from>
    <xdr:to>
      <xdr:col>32</xdr:col>
      <xdr:colOff>145401</xdr:colOff>
      <xdr:row>40</xdr:row>
      <xdr:rowOff>63233</xdr:rowOff>
    </xdr:to>
    <xdr:graphicFrame macro="">
      <xdr:nvGraphicFramePr>
        <xdr:cNvPr id="26" name="2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269875</xdr:colOff>
      <xdr:row>41</xdr:row>
      <xdr:rowOff>0</xdr:rowOff>
    </xdr:from>
    <xdr:to>
      <xdr:col>32</xdr:col>
      <xdr:colOff>197224</xdr:colOff>
      <xdr:row>80</xdr:row>
      <xdr:rowOff>67903</xdr:rowOff>
    </xdr:to>
    <xdr:graphicFrame macro="">
      <xdr:nvGraphicFramePr>
        <xdr:cNvPr id="27" name="2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254000</xdr:colOff>
      <xdr:row>81</xdr:row>
      <xdr:rowOff>63500</xdr:rowOff>
    </xdr:from>
    <xdr:to>
      <xdr:col>32</xdr:col>
      <xdr:colOff>173425</xdr:colOff>
      <xdr:row>132</xdr:row>
      <xdr:rowOff>61098</xdr:rowOff>
    </xdr:to>
    <xdr:graphicFrame macro="">
      <xdr:nvGraphicFramePr>
        <xdr:cNvPr id="28" name="2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206375</xdr:colOff>
      <xdr:row>133</xdr:row>
      <xdr:rowOff>95250</xdr:rowOff>
    </xdr:from>
    <xdr:to>
      <xdr:col>32</xdr:col>
      <xdr:colOff>127481</xdr:colOff>
      <xdr:row>191</xdr:row>
      <xdr:rowOff>92848</xdr:rowOff>
    </xdr:to>
    <xdr:graphicFrame macro="">
      <xdr:nvGraphicFramePr>
        <xdr:cNvPr id="29" name="2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244930</xdr:colOff>
      <xdr:row>1</xdr:row>
      <xdr:rowOff>81643</xdr:rowOff>
    </xdr:from>
    <xdr:to>
      <xdr:col>38</xdr:col>
      <xdr:colOff>380999</xdr:colOff>
      <xdr:row>41</xdr:row>
      <xdr:rowOff>40821</xdr:rowOff>
    </xdr:to>
    <xdr:graphicFrame macro="">
      <xdr:nvGraphicFramePr>
        <xdr:cNvPr id="18" name="1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122463</xdr:colOff>
      <xdr:row>42</xdr:row>
      <xdr:rowOff>68035</xdr:rowOff>
    </xdr:from>
    <xdr:to>
      <xdr:col>39</xdr:col>
      <xdr:colOff>398688</xdr:colOff>
      <xdr:row>83</xdr:row>
      <xdr:rowOff>108858</xdr:rowOff>
    </xdr:to>
    <xdr:graphicFrame macro="">
      <xdr:nvGraphicFramePr>
        <xdr:cNvPr id="19" name="1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258538</xdr:colOff>
      <xdr:row>84</xdr:row>
      <xdr:rowOff>-1</xdr:rowOff>
    </xdr:from>
    <xdr:to>
      <xdr:col>39</xdr:col>
      <xdr:colOff>32809</xdr:colOff>
      <xdr:row>131</xdr:row>
      <xdr:rowOff>122464</xdr:rowOff>
    </xdr:to>
    <xdr:graphicFrame macro="">
      <xdr:nvGraphicFramePr>
        <xdr:cNvPr id="20" name="1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122465</xdr:colOff>
      <xdr:row>133</xdr:row>
      <xdr:rowOff>160261</xdr:rowOff>
    </xdr:from>
    <xdr:to>
      <xdr:col>38</xdr:col>
      <xdr:colOff>244929</xdr:colOff>
      <xdr:row>198</xdr:row>
      <xdr:rowOff>68035</xdr:rowOff>
    </xdr:to>
    <xdr:graphicFrame macro="">
      <xdr:nvGraphicFramePr>
        <xdr:cNvPr id="2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Y_CBO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QQ_CBO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X_CBO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563.71640519697416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469.81373794456613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ja1"/>
    </sheetNames>
    <sheetDataSet>
      <sheetData sheetId="0">
        <row r="2">
          <cell r="AD2">
            <v>5826.8235213891576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F1153"/>
  <sheetViews>
    <sheetView tabSelected="1" zoomScale="90" zoomScaleNormal="90" workbookViewId="0">
      <pane xSplit="1" ySplit="2" topLeftCell="ES741" activePane="bottomRight" state="frozen"/>
      <selection pane="topRight" activeCell="B1" sqref="B1"/>
      <selection pane="bottomLeft" activeCell="A3" sqref="A3"/>
      <selection pane="bottomRight" activeCell="EY758" sqref="EY758"/>
    </sheetView>
  </sheetViews>
  <sheetFormatPr baseColWidth="10" defaultRowHeight="12.75" outlineLevelCol="1" x14ac:dyDescent="0.2"/>
  <cols>
    <col min="1" max="1" width="12.140625" style="20" customWidth="1"/>
    <col min="2" max="5" width="11.5703125" style="20" customWidth="1" outlineLevel="1"/>
    <col min="6" max="6" width="12" style="20" customWidth="1"/>
    <col min="7" max="7" width="8.28515625" style="1" customWidth="1"/>
    <col min="8" max="16" width="5.42578125" style="1" customWidth="1"/>
    <col min="17" max="18" width="2.140625" style="1" customWidth="1"/>
    <col min="19" max="24" width="7.140625" style="1" customWidth="1"/>
    <col min="25" max="25" width="4" style="1" customWidth="1"/>
    <col min="26" max="26" width="4.28515625" style="1" customWidth="1"/>
    <col min="27" max="32" width="7.140625" style="1" customWidth="1"/>
    <col min="33" max="33" width="5" style="1" customWidth="1"/>
    <col min="34" max="34" width="3" style="1" customWidth="1"/>
    <col min="35" max="35" width="4.28515625" style="1" customWidth="1"/>
    <col min="36" max="41" width="7.140625" style="1" customWidth="1"/>
    <col min="42" max="43" width="10.85546875" style="1" customWidth="1"/>
    <col min="44" max="44" width="3" style="1" customWidth="1"/>
    <col min="45" max="60" width="12" style="1" customWidth="1"/>
    <col min="61" max="61" width="8" style="1" bestFit="1" customWidth="1"/>
    <col min="62" max="67" width="12" style="1" customWidth="1"/>
    <col min="68" max="68" width="9.85546875" style="64" customWidth="1"/>
    <col min="69" max="74" width="12" style="1" customWidth="1"/>
    <col min="75" max="75" width="9.85546875" style="64" customWidth="1"/>
    <col min="76" max="87" width="12" style="1" customWidth="1"/>
    <col min="88" max="88" width="9.85546875" style="64" customWidth="1"/>
    <col min="89" max="101" width="12" style="1" customWidth="1"/>
    <col min="102" max="102" width="10.85546875" style="64" bestFit="1" customWidth="1"/>
    <col min="103" max="103" width="12" style="1" customWidth="1"/>
    <col min="104" max="104" width="9.85546875" style="64" customWidth="1"/>
    <col min="105" max="110" width="12" style="1" customWidth="1"/>
    <col min="111" max="111" width="9.85546875" style="64" customWidth="1"/>
    <col min="112" max="117" width="12" style="1" customWidth="1"/>
    <col min="118" max="119" width="9.85546875" style="64" customWidth="1"/>
    <col min="120" max="133" width="12" style="1" customWidth="1"/>
    <col min="134" max="134" width="11.42578125" style="64" customWidth="1"/>
    <col min="135" max="140" width="12" style="1" customWidth="1"/>
    <col min="141" max="141" width="13.85546875" style="64" customWidth="1"/>
    <col min="142" max="147" width="12" style="1" customWidth="1"/>
    <col min="148" max="148" width="11.42578125" style="64" customWidth="1"/>
    <col min="149" max="149" width="15.85546875" style="64" customWidth="1"/>
    <col min="150" max="150" width="12.140625" style="64" bestFit="1" customWidth="1"/>
    <col min="151" max="151" width="8.7109375" style="67" customWidth="1"/>
    <col min="152" max="152" width="65.42578125" style="67" bestFit="1" customWidth="1"/>
    <col min="153" max="153" width="8.7109375" style="67" customWidth="1"/>
    <col min="154" max="154" width="46.7109375" style="67" customWidth="1"/>
    <col min="155" max="155" width="10" style="67" customWidth="1"/>
    <col min="156" max="156" width="54.5703125" style="67" bestFit="1" customWidth="1"/>
    <col min="157" max="157" width="11.140625" style="67" customWidth="1"/>
    <col min="158" max="158" width="45.5703125" style="67" customWidth="1"/>
    <col min="159" max="159" width="21" style="67" bestFit="1" customWidth="1"/>
    <col min="160" max="160" width="66.5703125" style="67" customWidth="1"/>
    <col min="161" max="161" width="57.85546875" style="68" bestFit="1" customWidth="1"/>
    <col min="162" max="162" width="21" style="68" bestFit="1" customWidth="1"/>
    <col min="163" max="16384" width="11.42578125" style="64"/>
  </cols>
  <sheetData>
    <row r="1" spans="1:162" ht="13.5" thickBot="1" x14ac:dyDescent="0.25">
      <c r="A1" s="17" t="s">
        <v>8</v>
      </c>
      <c r="B1" s="18" t="s">
        <v>4</v>
      </c>
      <c r="C1" s="18" t="s">
        <v>5</v>
      </c>
      <c r="D1" s="18" t="s">
        <v>6</v>
      </c>
      <c r="E1" s="19" t="s">
        <v>6115</v>
      </c>
      <c r="F1" s="20">
        <f>+[1]Sheet1!$AD$2</f>
        <v>563.71640519697416</v>
      </c>
      <c r="G1" s="9" t="s">
        <v>11</v>
      </c>
      <c r="I1" s="104">
        <f ca="1">NOW()</f>
        <v>45789.636086689818</v>
      </c>
      <c r="J1" s="105"/>
      <c r="K1" s="105"/>
      <c r="L1" s="105"/>
      <c r="M1" s="105"/>
      <c r="N1" s="105"/>
      <c r="O1" s="105"/>
      <c r="P1" s="105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 t="s">
        <v>56</v>
      </c>
      <c r="AN1" s="21" t="s">
        <v>57</v>
      </c>
      <c r="AO1" s="21"/>
      <c r="AP1" s="21">
        <v>250512</v>
      </c>
      <c r="AQ1" s="21"/>
      <c r="AR1" s="21"/>
      <c r="AS1" s="22" t="str">
        <f>+B2</f>
        <v>250512</v>
      </c>
      <c r="AT1" s="22" t="str">
        <f>+AS1</f>
        <v>250512</v>
      </c>
      <c r="AU1" s="22" t="str">
        <f>+C2</f>
        <v>250516</v>
      </c>
      <c r="AV1" s="22" t="str">
        <f>+AU1</f>
        <v>250516</v>
      </c>
      <c r="AW1" s="22" t="str">
        <f>+D2</f>
        <v>250620</v>
      </c>
      <c r="AX1" s="22" t="str">
        <f>+AW1</f>
        <v>250620</v>
      </c>
      <c r="AY1" s="23">
        <f>+A3</f>
        <v>582.95000000000005</v>
      </c>
      <c r="BA1" s="22" t="str">
        <f>+AS1</f>
        <v>250512</v>
      </c>
      <c r="BB1" s="22"/>
      <c r="BC1" s="22" t="str">
        <f>+AU1</f>
        <v>250516</v>
      </c>
      <c r="BD1" s="22"/>
      <c r="BE1" s="22" t="str">
        <f>+AW1</f>
        <v>250620</v>
      </c>
      <c r="BF1" s="22">
        <f>+AY1</f>
        <v>582.95000000000005</v>
      </c>
      <c r="BG1" s="95"/>
      <c r="BH1" s="23">
        <f ca="1">MAX(BH4:BH38)</f>
        <v>283713</v>
      </c>
      <c r="BI1" s="1">
        <f ca="1">IFERROR(IF(MAX(BH4:BH38)&lt;&gt;0,INDEX(A4:A38,MATCH(MAX(BH4:BH38),BH4:BH38,0)),""),"")</f>
        <v>585</v>
      </c>
      <c r="BJ1" s="22"/>
      <c r="BK1" s="22"/>
      <c r="BL1" s="22"/>
      <c r="BM1" s="22"/>
      <c r="BN1" s="22"/>
      <c r="BO1" s="22"/>
      <c r="BP1" s="64">
        <v>1</v>
      </c>
      <c r="BQ1" s="22">
        <f ca="1">IF(BR1&gt;BR2,IF(MAX(BQ4:BQ38)&lt;&gt;0,INDEX(A4:A38,MATCH(MAX(BQ4:BQ38),BQ4:BQ38,0)),A3),IF(MIN(BQ4:BQ38)&lt;&gt;0,INDEX(A4:A38,MATCH(MIN(BQ4:BQ38),BQ4:BQ38,0))))</f>
        <v>580</v>
      </c>
      <c r="BR1" s="22">
        <f ca="1">+MAX(BQ4:BQ38)</f>
        <v>1118708892.5473914</v>
      </c>
      <c r="BS1" s="22">
        <f ca="1">IF(BT1&gt;BT2,IF(MAX(BS4:BS38)&lt;&gt;0,INDEX(A4:A38,MATCH(MAX(BS4:BS38),BS4:BS38,0)),A3),IF(MIN(BS4:BS38)&lt;&gt;0,INDEX(A4:A38,MATCH(MIN(BS4:BS38),BS4:BS38,0))))</f>
        <v>575</v>
      </c>
      <c r="BT1" s="22">
        <f ca="1">+MAX(BS4:BS38)</f>
        <v>413851940.07396412</v>
      </c>
      <c r="BU1" s="22">
        <f ca="1">IF(BV1&gt;BV2,IF(MAX(BU4:BU38)&lt;&gt;0,INDEX(A4:A38,MATCH(MAX(BU4:BU38),BU4:BU38,0)),A3),IF(MIN(BU4:BU38)&lt;&gt;0,INDEX(A4:A38,MATCH(MIN(BU4:BU38),BU4:BU38,0))))</f>
        <v>580</v>
      </c>
      <c r="BV1" s="22">
        <f ca="1">+MAX(BU4:BU38)</f>
        <v>991402128.85263121</v>
      </c>
      <c r="BX1" s="22">
        <f ca="1">IF(BY1&gt;BZ1,IF(MAX(BX4:BX38)&lt;&gt;0,INDEX(G4:G38,MATCH(MAX(BX4:BX38),BX4:BX38,0)),G3),IF(MIN(BX4:BX38)&lt;&gt;0,INDEX(G4:G38,MATCH(MIN(BX4:BX38),BX4:BX38,0))))</f>
        <v>0</v>
      </c>
      <c r="BY1" s="22">
        <f ca="1">+MAX(BX4:BX38)</f>
        <v>69797421852.434799</v>
      </c>
      <c r="BZ1" s="22">
        <f ca="1">ABS(MIN(BX4:BX38))</f>
        <v>5103657994.4417982</v>
      </c>
      <c r="CA1" s="22"/>
      <c r="CB1" s="22"/>
      <c r="CC1" s="22">
        <f ca="1">+AVERAGE(BY39:BY40,CA39:CA40,CC39:CC40)</f>
        <v>580.5</v>
      </c>
      <c r="CD1" s="22"/>
      <c r="CE1" s="22"/>
      <c r="CF1" s="22"/>
      <c r="CG1" s="22"/>
      <c r="CH1" s="22"/>
      <c r="CI1" s="22"/>
      <c r="CK1" s="22">
        <f>IF(CL1&gt;CM1,IF(MAX(CK4:CK38)&lt;&gt;0,INDEX(N4:N38,MATCH(MAX(CK4:CK38),CK4:CK38,0)),N3),IF(MIN(CK4:CK38)&lt;&gt;0,INDEX(N4:N38,MATCH(MIN(CK4:CK38),CK4:CK38,0))))</f>
        <v>0</v>
      </c>
      <c r="CL1" s="22">
        <f>+MAX(CK4:CK38)</f>
        <v>5710843</v>
      </c>
      <c r="CM1" s="22">
        <f>ABS(MIN(CK4:CK38))</f>
        <v>93</v>
      </c>
      <c r="CN1" s="22"/>
      <c r="CO1" s="22"/>
      <c r="CP1" s="22"/>
      <c r="CQ1" s="22">
        <f>IF(CR1&gt;CS1,IF(MAX(CQ4:CQ38)&lt;&gt;0,INDEX(A4:A38,MATCH(MAX(CQ4:CQ38),CQ4:CQ38,0)),A3),IF(MIN(CQ4:CQ38)&lt;&gt;0,INDEX(A4:A38,MATCH(MIN(CQ4:CQ38),CQ4:CQ38,0))))</f>
        <v>578</v>
      </c>
      <c r="CR1" s="22">
        <f>+MAX(CQ4:CQ38)</f>
        <v>219885</v>
      </c>
      <c r="CS1" s="22">
        <f>ABS(MIN(CQ4:CQ38))</f>
        <v>249075</v>
      </c>
      <c r="CT1" s="22"/>
      <c r="CU1" s="22"/>
      <c r="CV1" s="22"/>
      <c r="CW1" s="22">
        <f ca="1">IF(CX1&gt;CY1,IF(MAX(CW4:CW38)&lt;&gt;0,INDEX(A4:A38,MATCH(MAX(CW4:CW38),CW4:CW38,0)),M3),IF(MIN(CW4:CW38)&lt;&gt;0,INDEX(A4:A38,MATCH(MIN(CW4:CW38),CW4:CW38,0))))</f>
        <v>580</v>
      </c>
      <c r="CX1" s="61">
        <f ca="1">+MAX(CW4:CW38)</f>
        <v>2390980363.7304149</v>
      </c>
      <c r="CY1" s="22">
        <f ca="1">ABS(MIN(CW4:CW38))</f>
        <v>44942105.737078786</v>
      </c>
      <c r="DA1" s="22" t="str">
        <f>+B2</f>
        <v>250512</v>
      </c>
      <c r="DB1" s="22"/>
      <c r="DC1" s="22" t="str">
        <f>+DA1</f>
        <v>250512</v>
      </c>
      <c r="DD1" s="22"/>
      <c r="DE1" s="22" t="str">
        <f>+DC1</f>
        <v>250512</v>
      </c>
      <c r="DF1" s="22"/>
      <c r="DH1" s="22" t="s">
        <v>28</v>
      </c>
      <c r="DI1" s="22" t="s">
        <v>29</v>
      </c>
      <c r="DJ1" s="22" t="s">
        <v>30</v>
      </c>
      <c r="DK1" s="22" t="s">
        <v>31</v>
      </c>
      <c r="DL1" s="22" t="s">
        <v>32</v>
      </c>
      <c r="DM1" s="22" t="s">
        <v>33</v>
      </c>
      <c r="DP1" s="22" t="s">
        <v>34</v>
      </c>
      <c r="DQ1" s="22" t="s">
        <v>35</v>
      </c>
      <c r="DR1" s="22" t="s">
        <v>36</v>
      </c>
      <c r="DS1" s="22" t="s">
        <v>41</v>
      </c>
      <c r="DT1" s="22"/>
      <c r="DU1" s="22"/>
      <c r="DV1" s="22" t="s">
        <v>56</v>
      </c>
      <c r="DW1" s="22" t="s">
        <v>57</v>
      </c>
      <c r="DX1" s="22">
        <v>0.67708333333333337</v>
      </c>
      <c r="DY1" s="22">
        <v>265</v>
      </c>
      <c r="DZ1" s="22"/>
      <c r="EA1" s="22"/>
      <c r="EB1" s="22">
        <v>6.9444444444444447E-4</v>
      </c>
      <c r="EC1" s="22">
        <v>4.2000000000000003E-2</v>
      </c>
      <c r="EE1" s="22">
        <v>0.25</v>
      </c>
      <c r="EF1" s="22"/>
      <c r="EG1" s="22"/>
      <c r="EH1" s="22"/>
      <c r="EI1" s="22"/>
      <c r="EJ1" s="22"/>
      <c r="EK1" s="65">
        <f ca="1">NOW()</f>
        <v>45789.636086574072</v>
      </c>
      <c r="EL1" s="87">
        <f>B42+$DX$1</f>
        <v>45789.677083333336</v>
      </c>
      <c r="EM1" s="88">
        <f ca="1">+EL1-$EK$1</f>
        <v>4.0996759264089633E-2</v>
      </c>
      <c r="EN1" s="87">
        <f>C42+$DX$1</f>
        <v>45793.677083333336</v>
      </c>
      <c r="EO1" s="88">
        <f ca="1">+EN1-$EK$1</f>
        <v>4.0409967592640896</v>
      </c>
      <c r="EP1" s="87">
        <f>D42+$DX$1</f>
        <v>45828.677083333336</v>
      </c>
      <c r="EQ1" s="88">
        <f ca="1">+EP1-$EK$1</f>
        <v>39.04099675926409</v>
      </c>
      <c r="ES1" s="66"/>
    </row>
    <row r="2" spans="1:162" ht="13.5" thickBot="1" x14ac:dyDescent="0.25">
      <c r="A2" s="24" t="s">
        <v>13</v>
      </c>
      <c r="B2" s="18" t="str">
        <f>+TEXT(B42,"YYMMDD")</f>
        <v>250512</v>
      </c>
      <c r="C2" s="18" t="str">
        <f>+TEXT(C42,"YYMMDD")</f>
        <v>250516</v>
      </c>
      <c r="D2" s="18" t="str">
        <f>+TEXT(D42,"YYMMDD")</f>
        <v>250620</v>
      </c>
      <c r="E2" s="18"/>
      <c r="F2" s="18" t="s">
        <v>0</v>
      </c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 t="s">
        <v>7</v>
      </c>
      <c r="AQ2" s="21" t="s">
        <v>7</v>
      </c>
      <c r="AR2" s="21"/>
      <c r="AS2" s="22" t="s">
        <v>1</v>
      </c>
      <c r="AT2" s="25" t="s">
        <v>1</v>
      </c>
      <c r="AU2" s="22" t="s">
        <v>1</v>
      </c>
      <c r="AV2" s="25" t="s">
        <v>1</v>
      </c>
      <c r="AW2" s="22" t="s">
        <v>1</v>
      </c>
      <c r="AX2" s="25" t="s">
        <v>1</v>
      </c>
      <c r="AY2" s="23" t="s">
        <v>12</v>
      </c>
      <c r="BA2" s="22" t="s">
        <v>7</v>
      </c>
      <c r="BB2" s="25" t="s">
        <v>7</v>
      </c>
      <c r="BC2" s="22" t="s">
        <v>7</v>
      </c>
      <c r="BD2" s="25" t="s">
        <v>7</v>
      </c>
      <c r="BE2" s="22" t="s">
        <v>7</v>
      </c>
      <c r="BF2" s="25" t="s">
        <v>7</v>
      </c>
      <c r="BG2" s="23"/>
      <c r="BH2" s="23" t="s">
        <v>15</v>
      </c>
      <c r="BJ2" s="22" t="str">
        <f>+G1</f>
        <v>GAMMA</v>
      </c>
      <c r="BK2" s="25" t="str">
        <f>+BJ2</f>
        <v>GAMMA</v>
      </c>
      <c r="BL2" s="22" t="str">
        <f>+BK2</f>
        <v>GAMMA</v>
      </c>
      <c r="BM2" s="25" t="str">
        <f>+BL2</f>
        <v>GAMMA</v>
      </c>
      <c r="BN2" s="22" t="str">
        <f>+BM2</f>
        <v>GAMMA</v>
      </c>
      <c r="BO2" s="25" t="str">
        <f>+BN2</f>
        <v>GAMMA</v>
      </c>
      <c r="BQ2" s="22" t="s">
        <v>11</v>
      </c>
      <c r="BR2" s="25">
        <f ca="1">ABS(+MIN(BQ4:BQ38))</f>
        <v>26899014.481699578</v>
      </c>
      <c r="BS2" s="22" t="s">
        <v>11</v>
      </c>
      <c r="BT2" s="25">
        <f ca="1">ABS(+MIN(BS4:BS38))</f>
        <v>72417559.683220536</v>
      </c>
      <c r="BU2" s="22" t="s">
        <v>11</v>
      </c>
      <c r="BV2" s="25">
        <f ca="1">ABS(+MIN(BU4:BU38))</f>
        <v>2768242.5377461785</v>
      </c>
      <c r="BX2" s="22" t="s">
        <v>11</v>
      </c>
      <c r="BY2" s="25"/>
      <c r="BZ2" s="22" t="s">
        <v>11</v>
      </c>
      <c r="CA2" s="25"/>
      <c r="CB2" s="22" t="s">
        <v>11</v>
      </c>
      <c r="CC2" s="25"/>
      <c r="CD2" s="22" t="s">
        <v>19</v>
      </c>
      <c r="CE2" s="25" t="str">
        <f>+CD2</f>
        <v>DELTA</v>
      </c>
      <c r="CF2" s="22" t="str">
        <f>+CE2</f>
        <v>DELTA</v>
      </c>
      <c r="CG2" s="25" t="str">
        <f>+CF2</f>
        <v>DELTA</v>
      </c>
      <c r="CH2" s="22" t="str">
        <f>+CG2</f>
        <v>DELTA</v>
      </c>
      <c r="CI2" s="25" t="str">
        <f>+CH2</f>
        <v>DELTA</v>
      </c>
      <c r="CK2" s="22" t="s">
        <v>20</v>
      </c>
      <c r="CL2" s="25"/>
      <c r="CM2" s="22" t="s">
        <v>20</v>
      </c>
      <c r="CN2" s="25"/>
      <c r="CO2" s="22" t="s">
        <v>20</v>
      </c>
      <c r="CP2" s="25"/>
      <c r="CQ2" s="22" t="s">
        <v>16</v>
      </c>
      <c r="CR2" s="25"/>
      <c r="CS2" s="22" t="s">
        <v>16</v>
      </c>
      <c r="CT2" s="25"/>
      <c r="CU2" s="22" t="s">
        <v>16</v>
      </c>
      <c r="CV2" s="25"/>
      <c r="CW2" s="25" t="s">
        <v>11</v>
      </c>
      <c r="CX2" s="60"/>
      <c r="CY2" s="25" t="s">
        <v>11</v>
      </c>
      <c r="DA2" s="22" t="s">
        <v>25</v>
      </c>
      <c r="DB2" s="25" t="s">
        <v>25</v>
      </c>
      <c r="DC2" s="22" t="s">
        <v>27</v>
      </c>
      <c r="DD2" s="25" t="s">
        <v>27</v>
      </c>
      <c r="DE2" s="22" t="s">
        <v>26</v>
      </c>
      <c r="DF2" s="22" t="s">
        <v>26</v>
      </c>
      <c r="DG2" s="64">
        <v>2000</v>
      </c>
      <c r="DH2" s="22" t="s">
        <v>44</v>
      </c>
      <c r="DI2" s="25" t="s">
        <v>45</v>
      </c>
      <c r="DJ2" s="22" t="s">
        <v>42</v>
      </c>
      <c r="DK2" s="25" t="s">
        <v>43</v>
      </c>
      <c r="DL2" s="22" t="s">
        <v>46</v>
      </c>
      <c r="DM2" s="22" t="s">
        <v>47</v>
      </c>
      <c r="DN2" s="60"/>
      <c r="DP2" s="22" t="s">
        <v>49</v>
      </c>
      <c r="DQ2" s="25" t="s">
        <v>48</v>
      </c>
      <c r="DR2" s="22" t="s">
        <v>50</v>
      </c>
      <c r="DS2" s="25" t="s">
        <v>51</v>
      </c>
      <c r="DT2" s="22"/>
      <c r="DU2" s="22"/>
      <c r="DV2" s="22"/>
      <c r="DW2" s="25"/>
      <c r="DX2" s="22"/>
      <c r="DY2" s="25"/>
      <c r="DZ2" s="22"/>
      <c r="EA2" s="25"/>
      <c r="EB2" s="22"/>
      <c r="EC2" s="22"/>
      <c r="EE2" s="22" t="s">
        <v>21</v>
      </c>
      <c r="EF2" s="25" t="s">
        <v>21</v>
      </c>
      <c r="EG2" s="22" t="s">
        <v>21</v>
      </c>
      <c r="EH2" s="25" t="s">
        <v>21</v>
      </c>
      <c r="EI2" s="22" t="s">
        <v>21</v>
      </c>
      <c r="EJ2" s="22" t="s">
        <v>21</v>
      </c>
      <c r="EL2" s="22" t="s">
        <v>21</v>
      </c>
      <c r="EM2" s="25" t="s">
        <v>21</v>
      </c>
      <c r="EN2" s="22" t="s">
        <v>21</v>
      </c>
      <c r="EO2" s="25" t="s">
        <v>21</v>
      </c>
      <c r="EP2" s="22" t="s">
        <v>21</v>
      </c>
      <c r="EQ2" s="22" t="s">
        <v>21</v>
      </c>
      <c r="ES2" s="62">
        <f ca="1">+EL1-$EK$1</f>
        <v>4.0996759264089633E-2</v>
      </c>
      <c r="ET2" s="64" t="s">
        <v>22</v>
      </c>
    </row>
    <row r="3" spans="1:162" s="63" customFormat="1" ht="13.5" thickBot="1" x14ac:dyDescent="0.25">
      <c r="A3" s="26">
        <f>RTD("tos.rtd", ,"MARK", A2)</f>
        <v>582.95000000000005</v>
      </c>
      <c r="B3" s="27">
        <f>+AS3/AT3</f>
        <v>-5.0254961806316709</v>
      </c>
      <c r="C3" s="27">
        <f>+AU3/AV3</f>
        <v>-3.0954498950909501</v>
      </c>
      <c r="D3" s="27">
        <f>+AW3/AX3</f>
        <v>-2.4727578112630875</v>
      </c>
      <c r="E3" s="28">
        <v>0</v>
      </c>
      <c r="F3" s="26">
        <f>RTD("tos.rtd", ,"MARK", F2)</f>
        <v>5865.75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>
        <v>0</v>
      </c>
      <c r="AP3" s="1">
        <v>2577241</v>
      </c>
      <c r="AQ3" s="1">
        <v>-2652841</v>
      </c>
      <c r="AR3" s="1"/>
      <c r="AS3" s="13">
        <f t="shared" ref="AS3:AX3" si="0">SUM(AS4:AS38)</f>
        <v>298027</v>
      </c>
      <c r="AT3" s="29">
        <f t="shared" si="0"/>
        <v>-59303</v>
      </c>
      <c r="AU3" s="13">
        <f t="shared" si="0"/>
        <v>357023</v>
      </c>
      <c r="AV3" s="29">
        <f t="shared" si="0"/>
        <v>-115338</v>
      </c>
      <c r="AW3" s="13">
        <f t="shared" si="0"/>
        <v>359220</v>
      </c>
      <c r="AX3" s="29">
        <f t="shared" si="0"/>
        <v>-145271</v>
      </c>
      <c r="AY3" s="29">
        <f>SUM(AY4:AY38)</f>
        <v>694358</v>
      </c>
      <c r="AZ3" s="1">
        <v>0</v>
      </c>
      <c r="BA3" s="13">
        <f t="shared" ref="BA3:BF3" si="1">SUM(BA4:BA38)</f>
        <v>2578988</v>
      </c>
      <c r="BB3" s="29">
        <f t="shared" si="1"/>
        <v>-2657660</v>
      </c>
      <c r="BC3" s="13">
        <f t="shared" si="1"/>
        <v>293977</v>
      </c>
      <c r="BD3" s="29">
        <f t="shared" si="1"/>
        <v>-314222</v>
      </c>
      <c r="BE3" s="13">
        <f t="shared" si="1"/>
        <v>100179</v>
      </c>
      <c r="BF3" s="29">
        <f t="shared" si="1"/>
        <v>-81141</v>
      </c>
      <c r="BG3" s="31"/>
      <c r="BH3" s="29">
        <f ca="1">SUM(BH4:BH38)</f>
        <v>-129524</v>
      </c>
      <c r="BI3" s="1"/>
      <c r="BJ3" s="3">
        <f t="shared" ref="BJ3:BO3" ca="1" si="2">SUM(BJ4:BJ38)</f>
        <v>1.8752685702334713</v>
      </c>
      <c r="BK3" s="3">
        <f t="shared" ca="1" si="2"/>
        <v>-1.7688191496651979</v>
      </c>
      <c r="BL3" s="3">
        <f t="shared" ca="1" si="2"/>
        <v>0.74972173588240532</v>
      </c>
      <c r="BM3" s="3">
        <f t="shared" ca="1" si="2"/>
        <v>-0.7410432701060734</v>
      </c>
      <c r="BN3" s="3">
        <f t="shared" ca="1" si="2"/>
        <v>0.80494387948196189</v>
      </c>
      <c r="BO3" s="3">
        <f t="shared" ca="1" si="2"/>
        <v>-0.78893209458234836</v>
      </c>
      <c r="BQ3" s="3">
        <f ca="1">SUM(BQ4:BQ38)</f>
        <v>2834294345.3038602</v>
      </c>
      <c r="BR3" s="3"/>
      <c r="BS3" s="3">
        <f ca="1">SUM(BS4:BS38)</f>
        <v>2150037956.6361904</v>
      </c>
      <c r="BT3" s="3"/>
      <c r="BU3" s="3">
        <f ca="1">SUM(BU4:BU38)</f>
        <v>1975149020.9052622</v>
      </c>
      <c r="BV3" s="3"/>
      <c r="BX3" s="3">
        <f ca="1">SUM(BX4:BX38)</f>
        <v>81617001845.248825</v>
      </c>
      <c r="BY3" s="3"/>
      <c r="BZ3" s="3">
        <f ca="1">SUM(BZ4:BZ38)</f>
        <v>599082702.35200882</v>
      </c>
      <c r="CA3" s="3"/>
      <c r="CB3" s="3">
        <f ca="1">SUM(CB4:CB38)</f>
        <v>505504291.21268141</v>
      </c>
      <c r="CC3" s="3"/>
      <c r="CD3" s="3">
        <f t="shared" ref="CD3:CI3" si="3">SUM(CD4:CD38)</f>
        <v>25.34</v>
      </c>
      <c r="CE3" s="3">
        <f t="shared" si="3"/>
        <v>9.0999999999999961</v>
      </c>
      <c r="CF3" s="3">
        <f t="shared" si="3"/>
        <v>23.960000000000004</v>
      </c>
      <c r="CG3" s="3">
        <f t="shared" si="3"/>
        <v>11.140000000000002</v>
      </c>
      <c r="CH3" s="3">
        <f t="shared" si="3"/>
        <v>21.659999999999997</v>
      </c>
      <c r="CI3" s="3">
        <f t="shared" si="3"/>
        <v>13.44</v>
      </c>
      <c r="CK3" s="3">
        <f>SUM(CK4:CK38)</f>
        <v>26152267</v>
      </c>
      <c r="CL3" s="3"/>
      <c r="CM3" s="3">
        <f>SUM(CM4:CM38)</f>
        <v>23335991</v>
      </c>
      <c r="CN3" s="3"/>
      <c r="CO3" s="3">
        <f>SUM(CO4:CO38)</f>
        <v>17839514</v>
      </c>
      <c r="CP3" s="3"/>
      <c r="CQ3" s="3">
        <f>SUM(CQ4:CQ38)</f>
        <v>-78672</v>
      </c>
      <c r="CR3" s="3"/>
      <c r="CS3" s="3">
        <f>SUM(CS4:CS38)</f>
        <v>-20245</v>
      </c>
      <c r="CT3" s="3"/>
      <c r="CU3" s="3">
        <f>SUM(CU4:CU38)</f>
        <v>19038</v>
      </c>
      <c r="CV3" s="3"/>
      <c r="CW3" s="3">
        <f ca="1">SUM(CW4:CW38)</f>
        <v>6959481322.8453121</v>
      </c>
      <c r="CY3" s="3">
        <f ca="1">SUM(CY4:CY38)</f>
        <v>82721588838.813522</v>
      </c>
      <c r="DA3" s="3">
        <f t="shared" ref="DA3:DF3" si="4">SUM(DA4:DA38)</f>
        <v>322.95000000000005</v>
      </c>
      <c r="DB3" s="3">
        <f t="shared" si="4"/>
        <v>50.539999999999949</v>
      </c>
      <c r="DC3" s="3">
        <f t="shared" si="4"/>
        <v>325.84000000000003</v>
      </c>
      <c r="DD3" s="3">
        <f t="shared" si="4"/>
        <v>48.71999999999997</v>
      </c>
      <c r="DE3" s="3">
        <f t="shared" si="4"/>
        <v>315.0499999999999</v>
      </c>
      <c r="DF3" s="3">
        <f t="shared" si="4"/>
        <v>44.639999999999993</v>
      </c>
      <c r="DG3" s="86"/>
      <c r="DH3" s="3">
        <f t="shared" ref="DH3:DM3" si="5">SUM(DH4:DH38)</f>
        <v>1382.3271929012731</v>
      </c>
      <c r="DI3" s="3">
        <f t="shared" si="5"/>
        <v>-1864.665800865801</v>
      </c>
      <c r="DJ3" s="3">
        <f t="shared" si="5"/>
        <v>1442</v>
      </c>
      <c r="DK3" s="3">
        <f t="shared" si="5"/>
        <v>1522</v>
      </c>
      <c r="DL3" s="3">
        <f t="shared" si="5"/>
        <v>-482.33860796452797</v>
      </c>
      <c r="DM3" s="3">
        <f t="shared" si="5"/>
        <v>2964</v>
      </c>
      <c r="DP3" s="3">
        <f t="shared" ref="DP3:DS3" si="6">SUM(DP4:DP38)</f>
        <v>98.728983321085636</v>
      </c>
      <c r="DQ3" s="3">
        <f t="shared" si="6"/>
        <v>324.2000000000001</v>
      </c>
      <c r="DR3" s="3">
        <f t="shared" ca="1" si="6"/>
        <v>140.94106944303175</v>
      </c>
      <c r="DS3" s="3">
        <f t="shared" si="6"/>
        <v>809.93</v>
      </c>
      <c r="DT3" s="3"/>
      <c r="DU3" s="3"/>
      <c r="DV3" s="3"/>
      <c r="DW3" s="3"/>
      <c r="DX3" s="3"/>
      <c r="DY3" s="3"/>
      <c r="DZ3" s="3"/>
      <c r="EA3" s="3"/>
      <c r="EB3" s="3"/>
      <c r="EC3" s="3"/>
      <c r="EE3" s="3">
        <f t="shared" ref="EE3:EJ3" si="7">SUM(EE4:EE38)</f>
        <v>13.5509</v>
      </c>
      <c r="EF3" s="3">
        <f t="shared" si="7"/>
        <v>34.961999999999996</v>
      </c>
      <c r="EG3" s="3">
        <f t="shared" si="7"/>
        <v>6.9450999999999992</v>
      </c>
      <c r="EH3" s="3">
        <f t="shared" si="7"/>
        <v>7.0930000000000009</v>
      </c>
      <c r="EI3" s="3">
        <f t="shared" si="7"/>
        <v>5.8746</v>
      </c>
      <c r="EJ3" s="3">
        <f t="shared" si="7"/>
        <v>6.0020999999999995</v>
      </c>
      <c r="EK3" s="63">
        <f ca="1">SUM(EK4:EK38)</f>
        <v>-3510275331.2293658</v>
      </c>
      <c r="EL3" s="3">
        <f t="shared" ref="EL3:EQ3" si="8">SUM(EL4:EL38)</f>
        <v>0</v>
      </c>
      <c r="EM3" s="3">
        <f t="shared" si="8"/>
        <v>0</v>
      </c>
      <c r="EN3" s="3">
        <f t="shared" si="8"/>
        <v>0</v>
      </c>
      <c r="EO3" s="3">
        <f t="shared" si="8"/>
        <v>0</v>
      </c>
      <c r="EP3" s="3">
        <f t="shared" si="8"/>
        <v>0</v>
      </c>
      <c r="EQ3" s="3">
        <f t="shared" si="8"/>
        <v>0</v>
      </c>
      <c r="EU3" s="67" t="s">
        <v>37</v>
      </c>
      <c r="EV3" s="67"/>
      <c r="EW3" s="67" t="s">
        <v>38</v>
      </c>
      <c r="EX3" s="67"/>
      <c r="EY3" s="67" t="s">
        <v>39</v>
      </c>
      <c r="EZ3" s="67"/>
      <c r="FA3" s="67" t="s">
        <v>40</v>
      </c>
      <c r="FB3" s="67"/>
      <c r="FC3" s="67" t="s">
        <v>52</v>
      </c>
      <c r="FD3" s="67" t="s">
        <v>53</v>
      </c>
      <c r="FE3" s="67" t="s">
        <v>54</v>
      </c>
      <c r="FF3" s="67" t="s">
        <v>55</v>
      </c>
    </row>
    <row r="4" spans="1:162" s="63" customFormat="1" ht="13.5" thickBot="1" x14ac:dyDescent="0.25">
      <c r="A4" s="2">
        <f>ROUND(575/$A$39,0)*$A$39+17*$A$39</f>
        <v>592</v>
      </c>
      <c r="B4" s="3">
        <f t="shared" ref="B4:B38" si="9">+IF($A$1="ABS",AS4-AT4,AS4+AT4)</f>
        <v>508</v>
      </c>
      <c r="C4" s="3">
        <f t="shared" ref="C4:C38" si="10">+IF($A$1="ABS",AU4-AV4,AU4+AV4)</f>
        <v>3793</v>
      </c>
      <c r="D4" s="3">
        <f t="shared" ref="D4:D38" si="11">+IF($A$1="ABS",AW4-AX4,AW4+AX4)</f>
        <v>352</v>
      </c>
      <c r="E4" s="3">
        <f t="shared" ref="E4:E38" si="12">SUM(B4:D4)</f>
        <v>4653</v>
      </c>
      <c r="F4" s="4">
        <f t="shared" ref="F4:F38" si="13">+$F$3/$A$3*A4</f>
        <v>5956.8127626726127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>
        <v>1150</v>
      </c>
      <c r="AN4" s="1">
        <v>19</v>
      </c>
      <c r="AO4" s="1">
        <v>592</v>
      </c>
      <c r="AP4" s="1">
        <v>7422</v>
      </c>
      <c r="AQ4" s="1">
        <v>-74</v>
      </c>
      <c r="AR4" s="1"/>
      <c r="AS4" s="6">
        <f>IF(RTD("tos.rtd",,AS$2,"."&amp;$A$2&amp;$AS$1&amp;"C"&amp;$A4)="N/A",0,RTD("tos.rtd",,AS$2,"."&amp;$A$2&amp;$AS$1&amp;"C"&amp;$A4))</f>
        <v>507</v>
      </c>
      <c r="AT4" s="7">
        <f>-IF(RTD("tos.rtd",,AT$2,"."&amp;$A$2&amp;$AS$1&amp;"P"&amp;$A4)="N/A",0,RTD("tos.rtd",,AT$2,"."&amp;$A$2&amp;$AS$1&amp;"P"&amp;$A4))</f>
        <v>-1</v>
      </c>
      <c r="AU4" s="6">
        <f>IF(RTD("tos.rtd",,AU$2,"."&amp;$A$2&amp;$AU$1&amp;"C"&amp;$A4)="N/A",0,RTD("tos.rtd",,AU$2,"."&amp;$A$2&amp;$AU$1&amp;"C"&amp;$A4))</f>
        <v>3789</v>
      </c>
      <c r="AV4" s="7">
        <f>-IF(RTD("tos.rtd",,AV$2,"."&amp;$A$2&amp;$AU$1&amp;"P"&amp;$A4)="N/A",0,RTD("tos.rtd",,AV$2,"."&amp;$A$2&amp;$AU$1&amp;"P"&amp;$A4))</f>
        <v>-4</v>
      </c>
      <c r="AW4" s="6">
        <f>IF(RTD("tos.rtd",,AW$2,"."&amp;$A$2&amp;$AW$1&amp;"C"&amp;$A4)="N/A",0,RTD("tos.rtd",,AW$2,"."&amp;$A$2&amp;$AW$1&amp;"C"&amp;$A4))</f>
        <v>351</v>
      </c>
      <c r="AX4" s="7">
        <f>-IF(RTD("tos.rtd",,AX$2,"."&amp;$A$2&amp;$AW$1&amp;"P"&amp;$A4)="N/A",0,RTD("tos.rtd",,AX$2,"."&amp;$A$2&amp;$AW$1&amp;"P"&amp;$A4))</f>
        <v>-1</v>
      </c>
      <c r="AY4" s="1">
        <f>SUM(AS4:AX4)</f>
        <v>4641</v>
      </c>
      <c r="AZ4" s="8">
        <f>+A4</f>
        <v>592</v>
      </c>
      <c r="BA4" s="30">
        <f>IF(RTD("tos.rtd",,BA$2,"."&amp;$A$2&amp;$AS$1&amp;"C"&amp;$A4)="N/A",0,RTD("tos.rtd",,BA$2,"."&amp;$A$2&amp;$AS$1&amp;"C"&amp;$A4))</f>
        <v>7422</v>
      </c>
      <c r="BB4" s="31">
        <f>-IF(RTD("tos.rtd",,BB$2,"."&amp;$A$2&amp;$AS$1&amp;"P"&amp;$A4)="N/A",0,RTD("tos.rtd",,BB$2,"."&amp;$A$2&amp;$AS$1&amp;"P"&amp;$A4))</f>
        <v>-74</v>
      </c>
      <c r="BC4" s="30">
        <f>IF(RTD("tos.rtd",,BC$2,"."&amp;$A$2&amp;$AU$1&amp;"C"&amp;$A4)="N/A",0,RTD("tos.rtd",,BC$2,"."&amp;$A$2&amp;$AU$1&amp;"C"&amp;$A4))</f>
        <v>6169</v>
      </c>
      <c r="BD4" s="31">
        <f>-IF(RTD("tos.rtd",,BD$2,"."&amp;$A$2&amp;$AU$1&amp;"P"&amp;$A4)="N/A",0,RTD("tos.rtd",,BD$2,"."&amp;$A$2&amp;$AU$1&amp;"P"&amp;$A4))</f>
        <v>-113</v>
      </c>
      <c r="BE4" s="30">
        <f>IF(RTD("tos.rtd",,BE$2,"."&amp;$A$2&amp;$AW$1&amp;"C"&amp;$A4)="N/A",0,RTD("tos.rtd",,BE$2,"."&amp;$A$2&amp;$AW$1&amp;"C"&amp;$A4))</f>
        <v>946</v>
      </c>
      <c r="BF4" s="99">
        <f>-IF(RTD("tos.rtd",,BF$2,"."&amp;$A$2&amp;$AW$1&amp;"P"&amp;$A4)="N/A",0,RTD("tos.rtd",,BF$2,"."&amp;$A$2&amp;$AW$1&amp;"P"&amp;$A4))</f>
        <v>-3</v>
      </c>
      <c r="BG4" s="32">
        <f ca="1">+Hoja2!Y5</f>
        <v>456</v>
      </c>
      <c r="BH4" s="31">
        <f ca="1">SUM(BA4:BG4)</f>
        <v>14803</v>
      </c>
      <c r="BI4" s="8"/>
      <c r="BJ4" s="3">
        <f ca="1">IF($BP$1=1,DX4,IF(RTD("tos.rtd",,BJ$2,"."&amp;$A$2&amp;$AS$1&amp;"C"&amp;$A4)="N/A",0,RTD("tos.rtd",,BJ$2,"."&amp;$A$2&amp;$AS$1&amp;"C"&amp;$A4)))</f>
        <v>2.0279946103544087E-2</v>
      </c>
      <c r="BK4" s="3">
        <f ca="1">IF($BP$1=1,DY4,-IF(RTD("tos.rtd",,BK$2,"."&amp;$A$2&amp;$AS$1&amp;"P"&amp;$A4)="N/A",0,RTD("tos.rtd",,BK$2,"."&amp;$A$2&amp;$AS$1&amp;"P"&amp;$A4)))</f>
        <v>-2.6979058689932403E-2</v>
      </c>
      <c r="BL4" s="3">
        <f ca="1">IF($BP$1=1,DZ4,IF(RTD("tos.rtd",,BL$2,"."&amp;$A$2&amp;$AU$1&amp;"C"&amp;$A4)="N/A",0,RTD("tos.rtd",,BL$2,"."&amp;$A$2&amp;$AU$1&amp;"C"&amp;$A4)))</f>
        <v>2.5727125177966621E-2</v>
      </c>
      <c r="BM4" s="3">
        <f ca="1">IF($BP$1=1,EA4,-IF(RTD("tos.rtd",,BM$2,"."&amp;$A$2&amp;$AU$1&amp;"P"&amp;$A4)="N/A",0,RTD("tos.rtd",,BM$2,"."&amp;$A$2&amp;$AU$1&amp;"P"&amp;$A4)))</f>
        <v>-2.4959336387424518E-2</v>
      </c>
      <c r="BN4" s="3">
        <f ca="1">IF($BP$1=1,EB4,IF(RTD("tos.rtd",,BN$2,"."&amp;$A$2&amp;$AW$1&amp;"C"&amp;$A4)="N/A",0,RTD("tos.rtd",,BN$2,"."&amp;$A$2&amp;$AW$1&amp;"C"&amp;$A4)))</f>
        <v>2.7500209200725049E-2</v>
      </c>
      <c r="BO4" s="3">
        <f ca="1">IF($BP$1=1,EC4,-IF(RTD("tos.rtd",,BO$2,"."&amp;$A$2&amp;$AW$1&amp;"P"&amp;$A4)="N/A",0,RTD("tos.rtd",,BO$2,"."&amp;$A$2&amp;$AW$1&amp;"P"&amp;$A4)))</f>
        <v>-2.6995381748458714E-2</v>
      </c>
      <c r="BQ4" s="3">
        <f ca="1">+$A$3*$A$3*AS4*BJ4-$A$3*$A$3*AT4*BK4</f>
        <v>3484948.0913645816</v>
      </c>
      <c r="BR4" s="3"/>
      <c r="BS4" s="3">
        <f ca="1">+$A$3*$A$3*AU4*BL4-$A$3*$A$3*AV4*BM4</f>
        <v>33092795.353106815</v>
      </c>
      <c r="BT4" s="3"/>
      <c r="BU4" s="3">
        <f ca="1">+$A$3*$A$3*AW4*BN4-$A$3*$A$3*AX4*BO4</f>
        <v>3271066.9499205207</v>
      </c>
      <c r="BV4" s="3"/>
      <c r="BX4" s="3">
        <f t="shared" ref="BX4" ca="1" si="14">+$A$3*$A$3*BA4*BJ4-$A$3*$A$3*BB4*BK4</f>
        <v>50472100.990314394</v>
      </c>
      <c r="BY4" s="3"/>
      <c r="BZ4" s="3">
        <f t="shared" ref="BZ4" ca="1" si="15">+$A$3*$A$3*BC4*BL4-$A$3*$A$3*BD4*BM4</f>
        <v>52976286.445523866</v>
      </c>
      <c r="CA4" s="3"/>
      <c r="CB4" s="3">
        <f t="shared" ref="CB4" ca="1" si="16">+$A$3*$A$3*BE4*BN4-$A$3*$A$3*BF4*BO4</f>
        <v>8813241.4007225689</v>
      </c>
      <c r="CC4" s="3"/>
      <c r="CD4" s="3">
        <f>IF(RTD("tos.rtd",,CD$2,"."&amp;$A$2&amp;$AS$1&amp;"C"&amp;$A4)="N/A",0,RTD("tos.rtd",,CD$2,"."&amp;$A$2&amp;$AS$1&amp;"C"&amp;$A4))</f>
        <v>0</v>
      </c>
      <c r="CE4" s="3">
        <f>-IF(RTD("tos.rtd",,CE$2,"."&amp;$A$2&amp;$AS$1&amp;"P"&amp;$A4)="N/A",0,RTD("tos.rtd",,CE$2,"."&amp;$A$2&amp;$AS$1&amp;"P"&amp;$A4))</f>
        <v>0.93</v>
      </c>
      <c r="CF4" s="3">
        <f>IF(RTD("tos.rtd",,CF$2,"."&amp;$A$2&amp;$AU$1&amp;"C"&amp;$A4)="N/A",0,RTD("tos.rtd",,CF$2,"."&amp;$A$2&amp;$AU$1&amp;"C"&amp;$A4))</f>
        <v>0.2</v>
      </c>
      <c r="CG4" s="3">
        <f>-IF(RTD("tos.rtd",,CG$2,"."&amp;$A$2&amp;$AU$1&amp;"P"&amp;$A4)="N/A",0,RTD("tos.rtd",,CG$2,"."&amp;$A$2&amp;$AU$1&amp;"P"&amp;$A4))</f>
        <v>0.79</v>
      </c>
      <c r="CH4" s="3">
        <f>IF(RTD("tos.rtd",,CH$2,"."&amp;$A$2&amp;$AW$1&amp;"C"&amp;$A4)="N/A",0,RTD("tos.rtd",,CH$2,"."&amp;$A$2&amp;$AW$1&amp;"C"&amp;$A4))</f>
        <v>0.41</v>
      </c>
      <c r="CI4" s="3">
        <f>-IF(RTD("tos.rtd",,CI$2,"."&amp;$A$2&amp;$AW$1&amp;"P"&amp;$A4)="N/A",0,RTD("tos.rtd",,CI$2,"."&amp;$A$2&amp;$AW$1&amp;"P"&amp;$A4))</f>
        <v>0.6</v>
      </c>
      <c r="CK4" s="3">
        <f t="shared" ref="CK4:CK38" si="17">+AS4*CD4*100+AT4*CE4*100</f>
        <v>-93</v>
      </c>
      <c r="CL4" s="3"/>
      <c r="CM4" s="3">
        <f t="shared" ref="CM4:CM38" si="18">+AU4*CF4*100+AV4*CG4*100</f>
        <v>75464</v>
      </c>
      <c r="CN4" s="3"/>
      <c r="CO4" s="3">
        <f t="shared" ref="CO4:CO38" si="19">+AW4*CH4*100+AX4*CI4*100</f>
        <v>14331</v>
      </c>
      <c r="CP4" s="3">
        <f>+CK4+CM4+CO4</f>
        <v>89702</v>
      </c>
      <c r="CQ4" s="3">
        <f>+BA4+BB4</f>
        <v>7348</v>
      </c>
      <c r="CR4" s="3"/>
      <c r="CS4" s="3">
        <f t="shared" ref="CS4:CS38" si="20">+BC4+BD4</f>
        <v>6056</v>
      </c>
      <c r="CT4" s="3"/>
      <c r="CU4" s="3">
        <f t="shared" ref="CU4:CU38" si="21">+BE4+BF4</f>
        <v>943</v>
      </c>
      <c r="CV4" s="3">
        <f>+CQ4+CS4+CU4</f>
        <v>14347</v>
      </c>
      <c r="CW4" s="3">
        <f ca="1">+BQ4+BS4+BU4</f>
        <v>39848810.394391917</v>
      </c>
      <c r="CX4" s="85"/>
      <c r="CY4" s="3">
        <f ca="1">+BX4+BZ4+CB4</f>
        <v>112261628.83656082</v>
      </c>
      <c r="CZ4" s="85"/>
      <c r="DA4" s="3">
        <f>IF(RTD("tos.rtd",,DA$2,"."&amp;$A$2&amp;$AS$1&amp;"C"&amp;$A4)="N/A",0,RTD("tos.rtd",,DA$2,"."&amp;$A$2&amp;$AS$1&amp;"C"&amp;$A4))</f>
        <v>0.01</v>
      </c>
      <c r="DB4" s="3">
        <f>IF(RTD("tos.rtd",,DB$2,"."&amp;$A$2&amp;$AS$1&amp;"P"&amp;$A4)="N/A",0,RTD("tos.rtd",,DB$2,"."&amp;$A$2&amp;$AS$1&amp;"P"&amp;$A4))</f>
        <v>10.45</v>
      </c>
      <c r="DC4" s="3">
        <f>IF(RTD("tos.rtd",,DC$2,"."&amp;$A$2&amp;$AS$1&amp;"C"&amp;$A4)="N/A",0,RTD("tos.rtd",,DC$2,"."&amp;$A$2&amp;$AS$1&amp;"C"&amp;$A4))</f>
        <v>0.01</v>
      </c>
      <c r="DD4" s="3">
        <f>IF(RTD("tos.rtd",,DD$2,"."&amp;$A$2&amp;$AS$1&amp;"P"&amp;$A4)="N/A",0,RTD("tos.rtd",,DD$2,"."&amp;$A$2&amp;$AS$1&amp;"P"&amp;$A4))</f>
        <v>9.35</v>
      </c>
      <c r="DE4" s="3">
        <f>IF(RTD("tos.rtd",,DE$2,"."&amp;$A$2&amp;$AS$1&amp;"C"&amp;$A4)="N/A",0,RTD("tos.rtd",,DE$2,"."&amp;$A$2&amp;$AS$1&amp;"C"&amp;$A4))</f>
        <v>0</v>
      </c>
      <c r="DF4" s="3">
        <f>IF(RTD("tos.rtd",,DF$2,"."&amp;$A$2&amp;$AS$1&amp;"P"&amp;$A4)="N/A",0,RTD("tos.rtd",,DF$2,"."&amp;$A$2&amp;$AS$1&amp;"P"&amp;$A4))</f>
        <v>9.06</v>
      </c>
      <c r="DG4" s="86">
        <f>+$A4-$A$3</f>
        <v>9.0499999999999545</v>
      </c>
      <c r="DH4" s="3">
        <f t="shared" ref="DH4:DH38" si="22">((DA4-DE4)/(DC4-DE4))*(BA4-AP4)</f>
        <v>0</v>
      </c>
      <c r="DI4" s="3">
        <f>((DB4-DF4)/(DD4-DF4))*(BB4-AQ4)</f>
        <v>0</v>
      </c>
      <c r="DJ4" s="3">
        <f>IF(DA4&gt;=(DE4+(DC4-DE4)*0.6),(BA4-AP4),IF(DA4&lt;=(DE4+(DC4-DE4)*0.4),-(BA4-AP4),0))</f>
        <v>0</v>
      </c>
      <c r="DK4" s="3">
        <f>IF(DB4&lt;=(DF4+(DD4-DF4)*0.4),-(BB4-AQ4),IF(DB4&gt;=(DF4+(DD4-DF4)*0.6),(BB4-AQ4),0))</f>
        <v>0</v>
      </c>
      <c r="DL4" s="3">
        <f>+DH4+DI4</f>
        <v>0</v>
      </c>
      <c r="DM4" s="3">
        <f>+DJ4+DK4</f>
        <v>0</v>
      </c>
      <c r="DN4" s="63" t="str">
        <f>IF(AND(DA4&gt;=(DE4+(DC4-DE4)*0.6),BA4&gt;AP4),"BUY",IF(AND(DA4&lt;=(DE4+(DC4-DE4)*0.4),BA4&gt;AP4),"SELL","UNKNOWN"))</f>
        <v>UNKNOWN</v>
      </c>
      <c r="DO4" s="63" t="str">
        <f>IF(AND(DB4&gt;=(DF4+(DD4-DF4)*0.6),ABS(BB4)&gt;ABS(AQ4)),"BUY",IF(AND(DB4&lt;=(DF4+(DD4-DF4)*0.4),ABS(BB4)&gt;ABS(AQ4)),"SELL","UNKNOWN"))</f>
        <v>UNKNOWN</v>
      </c>
      <c r="DP4" s="3">
        <f>+DH4*DA4+DI4*DB4</f>
        <v>0</v>
      </c>
      <c r="DQ4" s="3">
        <f>+DA4*DJ4+DB4*DK4</f>
        <v>0</v>
      </c>
      <c r="DR4" s="3">
        <f ca="1">+BJ4*DJ4+BK4*DK4</f>
        <v>0</v>
      </c>
      <c r="DS4" s="3">
        <f>+CD4*DJ4+CE4*DK4</f>
        <v>0</v>
      </c>
      <c r="DT4" s="3">
        <f>BA4-VLOOKUP(AZ4,$AO$4:$AQ$38,2,FALSE)</f>
        <v>0</v>
      </c>
      <c r="DU4" s="3">
        <f>BB4-VLOOKUP(AZ4,$AO$4:$AQ$38,3,FALSE)</f>
        <v>0</v>
      </c>
      <c r="DV4" s="3">
        <f>AM4+IF(DN4="BUY",DT4,IF(DN4="SELL",-DT4,0))</f>
        <v>1150</v>
      </c>
      <c r="DW4" s="3">
        <f t="shared" ref="DW4:DW38" si="23">AN4+IF(DO4="BUY",DU4,IF(DO4="SELL",-DU4,0))</f>
        <v>19</v>
      </c>
      <c r="DX4" s="3">
        <f t="shared" ref="DX4:DX38" ca="1" si="24">(EXP(-POWER((LN($A$3/$A4)+($EC$1+POWER($EE4,2)/2)*($EM$1/$DY$1))/($EE4*SQRT($EM$1/$DY$1)),2)/2)/SQRT(2*PI())/($A$3*$EE4*SQRT($EM$1/$DY$1)))</f>
        <v>2.0279946103544087E-2</v>
      </c>
      <c r="DY4" s="3">
        <f t="shared" ref="DY4:DY38" ca="1" si="25">-(EXP(-POWER((LN($A$3/$A4)+($EC$1+POWER($EF4,2)/2)*($EM$1/$DY$1))/($EF4*SQRT($EM$1/$DY$1)),2)/2)/SQRT(2*PI())/($A$3*$EF4*SQRT($EM$1/$DY$1)))</f>
        <v>-2.6979058689932403E-2</v>
      </c>
      <c r="DZ4" s="3">
        <f t="shared" ref="DZ4:DZ38" ca="1" si="26">(EXP(-POWER((LN($A$3/$A4)+($EC$1+POWER($EG4,2)/2)*($EO$1/$DY$1))/($EG4*SQRT($EO$1/$DY$1)),2)/2)/SQRT(2*PI())/($A$3*$EG4*SQRT($EO$1/$DY$1)))</f>
        <v>2.5727125177966621E-2</v>
      </c>
      <c r="EA4" s="3">
        <f t="shared" ref="EA4:EA38" ca="1" si="27">-(EXP(-POWER((LN($A$3/$A4)+($EC$1+POWER($EH4,2)/2)*($EO$1/$DY$1))/($EH4*SQRT($EO$1/$DY$1)),2)/2)/SQRT(2*PI())/($A$3*$EH4*SQRT($EO$1/$DY$1)))</f>
        <v>-2.4959336387424518E-2</v>
      </c>
      <c r="EB4" s="3">
        <f t="shared" ref="EB4:EB38" ca="1" si="28">(EXP(-POWER((LN($A$3/$A4)+($EC$1+POWER($EI4,2)/2)*($EO$1/$DY$1))/($EI4*SQRT($EO$1/$DY$1)),2)/2)/SQRT(2*PI())/($A$3*$EI4*SQRT($EO$1/$DY$1)))</f>
        <v>2.7500209200725049E-2</v>
      </c>
      <c r="EC4" s="3">
        <f t="shared" ref="EC4:EC38" ca="1" si="29">-(EXP(-POWER((LN($A$3/$A4)+($EC$1+POWER($EJ4,2)/2)*($EO$1/$DY$1))/($EJ4*SQRT($EO$1/$DY$1)),2)/2)/SQRT(2*PI())/($A$3*$EJ4*SQRT($EO$1/$DY$1)))</f>
        <v>-2.6995381748458714E-2</v>
      </c>
      <c r="ED4" s="63">
        <f>+DV4+DW4</f>
        <v>1169</v>
      </c>
      <c r="EE4" s="59">
        <f>IFERROR(VALUE(IF(OR(EL4="--",EL4="0.00%"),$EE$1,EL4)),$EE$1)</f>
        <v>0.78280000000000005</v>
      </c>
      <c r="EF4" s="59">
        <f t="shared" ref="EF4:EF38" si="30">IFERROR(VALUE(IF(OR(EM4="--",EM4="0.00%"),$EE$1,EM4)),$EE$1)</f>
        <v>1.3474999999999999</v>
      </c>
      <c r="EG4" s="59">
        <f t="shared" ref="EG4:EG38" si="31">IFERROR(VALUE(IF(OR(EN4="--",EN4="0.00%"),$EE$1,EN4)),$EE$1)</f>
        <v>0.16889999999999999</v>
      </c>
      <c r="EH4" s="59">
        <f t="shared" ref="EH4:EH38" si="32">IFERROR(VALUE(IF(OR(EO4="--",EO4="0.00%"),$EE$1,EO4)),$EE$1)</f>
        <v>0.1789</v>
      </c>
      <c r="EI4" s="59">
        <f t="shared" ref="EI4:EI38" si="33">IFERROR(VALUE(IF(OR(EP4="--",EP4="0.00%"),$EE$1,EP4)),$EE$1)</f>
        <v>0.1434</v>
      </c>
      <c r="EJ4" s="59">
        <f t="shared" ref="EJ4:EJ38" si="34">IFERROR(VALUE(IF(OR(EQ4="--",EQ4="0.00%"),$EE$1,EQ4)),$EE$1)</f>
        <v>0.15140000000000001</v>
      </c>
      <c r="EK4" s="63">
        <f ca="1">+DV4*DX4*$A$3*$A$3+DW4*DY4*$A$3*$A$3</f>
        <v>7751312.6438035732</v>
      </c>
      <c r="EL4" s="3" t="str">
        <f>RTD("tos.rtd",,EL$2,"."&amp;$A$2&amp;$AS$1&amp;"C"&amp;$A4)</f>
        <v>78.28%</v>
      </c>
      <c r="EM4" s="3" t="str">
        <f>RTD("tos.rtd",,EM$2,"."&amp;$A$2&amp;$AS$1&amp;"P"&amp;$A4)</f>
        <v>134.75%</v>
      </c>
      <c r="EN4" s="3" t="str">
        <f>RTD("tos.rtd",,EN$2,"."&amp;$A$2&amp;$AU$1&amp;"C"&amp;$A4)</f>
        <v>16.89%</v>
      </c>
      <c r="EO4" s="3" t="str">
        <f>RTD("tos.rtd",,EO$2,"."&amp;$A$2&amp;$AU$1&amp;"P"&amp;$A4)</f>
        <v>17.89%</v>
      </c>
      <c r="EP4" s="3" t="str">
        <f>RTD("tos.rtd",,EP$2,"."&amp;$A$2&amp;$AW$1&amp;"C"&amp;$A4)</f>
        <v>14.34%</v>
      </c>
      <c r="EQ4" s="3" t="str">
        <f>RTD("tos.rtd",,EQ$2,"."&amp;$A$2&amp;$AW$1&amp;"P"&amp;$A4)</f>
        <v>15.14%</v>
      </c>
      <c r="ES4" s="63" t="str">
        <f>IFERROR(
    A4 &amp; "," &amp; TEXT(IF(ISNUMBER(DV4+DW4), DV4+DW4, 0), "00.00"),    "Error"
)</f>
        <v>592,1169.00</v>
      </c>
      <c r="ET4" s="63" t="str">
        <f ca="1">IF(ISERROR(
    A4 &amp; "," &amp; TEXT(
        IF($E$1="GEX-VOL", IF(ISNUMBER(BX4+BZ4+CB4), (BX4+BZ4+CB4)/1000, 0),
           IF($E$1="GEX-OI", IF(ISNUMBER(BQ4+BS4+BU4), (BQ4+BS4+BU4)/1000, 0),
               IF($E$1="DEX",IF(ISNUMBER(CK4+CM4+CO4), (CK4+CM4+CO4)/1000, 0),
                  IF($E$1="VOLPRES",IF(ISNUMBER(DJ4+DK4), (DJ4+DK4), 0),
                     IF(ISNUMBER(EK4), (EK4), 0)
        )))),
    "00.00")
), "Error",
A4 &amp; "," &amp; TEXT(
        IF($E$1="GEX-VOL", IF(ISNUMBER(BX4+BZ4+CB4), (BX4+BZ4+CB4)/1000, 0),
           IF($E$1="GEX-OI", IF(ISNUMBER(BQ4+BS4+BU4), (BQ4+BS4+BU4)/1000, 0),
               IF($E$1="DEX", IF(ISNUMBER(CK4+CM4+CO4), (CK4+CM4+CO4)/1000, 0),
                  IF($E$1="VOLPRES",IF(ISNUMBER(DJ4+DK4), (DJ4+DK4), 0),
                    IF(ISNUMBER(EK4), (EK4), 0)
        )))),
    "00.00")
)</f>
        <v>592,112261.63</v>
      </c>
      <c r="EU4" s="101">
        <f>+A3</f>
        <v>582.95000000000005</v>
      </c>
      <c r="EV4" s="102" t="str">
        <f ca="1">IF(ISERROR(TEXT(NOW(),"YYYY-MM-DD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"")), "",
    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
)&amp;","&amp;DN39&amp;","&amp;DN40&amp;","&amp;EU4</f>
        <v>2025-05-12 15:15:00,580,,583,,580,,580.5,,,,,585,578,576,581,582.95</v>
      </c>
      <c r="EW4" s="67">
        <f>+A44</f>
        <v>507.66</v>
      </c>
      <c r="EX4" s="102" t="str">
        <f ca="1">IF(ISERROR(TEXT(NOW(),"YYYY-MM-DD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"")), "",
    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
)&amp;","&amp;DN80&amp;","&amp;DN81&amp;","&amp;EW4</f>
        <v>2025-05-12 15:15:00,500,,508,,500,,505,508,,,,508,500,508,503,507.66</v>
      </c>
      <c r="EY4" s="67">
        <f>+A84</f>
        <v>5841.75</v>
      </c>
      <c r="EZ4" s="102" t="str">
        <f ca="1">IF(ISERROR(TEXT(NOW(),"YYYY-MM-DD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"")), "",
    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
)&amp;","&amp;DN131&amp;","&amp;DN132&amp;","&amp;EY4</f>
        <v>2025-05-12 15:15:00,5840,,5840,,,6000,5820,,,,,5850,5750,5820,6000,5841.75</v>
      </c>
      <c r="FA4" s="67">
        <f>+A136</f>
        <v>20843.75</v>
      </c>
      <c r="FB4" s="67" t="str">
        <f ca="1">IF(ISERROR(TEXT(NOW(),"YYYY-MM-DD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"")), "",
    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
)&amp;","&amp;DN190&amp;","&amp;DN191&amp;","&amp;FA4</f>
        <v>2025-05-12 15:15:00,20700,,20850,,20700,,20825,,,,,20950,20200,20950,20150,20843.75</v>
      </c>
      <c r="FC4" s="67" t="str">
        <f ca="1">IF(ISERROR(TEXT(NOW(),"YYYY-MM-DD HH:MM") &amp; ":00," &amp;
 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"")), "",
    TEXT(NOW(),"YYYY-MM-DD HH:MM") &amp; ":00," &amp;
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
)&amp;","&amp;EU4</f>
        <v>2025-05-12 15:15:00,6959481322.84531,82721588838.8135,-482.338607964528,2964,98.7289833210856,324.2,140.941069443032,809.93,582.95</v>
      </c>
      <c r="FD4" s="67" t="str">
        <f ca="1">IF(ISERROR(TEXT(NOW(),"YYYY-MM-DD HH:MM") &amp; ":00," &amp;
 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"")), "",
    TEXT(NOW(),"YYYY-MM-DD HH:MM") &amp; ":00," &amp;
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
)&amp;","&amp;EW4</f>
        <v>2025-05-12 15:15:00,2046464863.69805,17849370146.9654,2432.40574490617,4713,2040.37262719366,2035.01,23.1366677599401,761.84,507.66</v>
      </c>
      <c r="FE4" s="67" t="str">
        <f ca="1">IF(ISERROR(TEXT(NOW(),"YYYY-MM-DD HH:MM") &amp; ":00," &amp;
 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"")), "",
    TEXT(NOW(),"YYYY-MM-DD HH:MM") &amp; ":00," &amp;
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
)&amp;","&amp;EY4</f>
        <v>2025-05-12 15:15:00,134643905.429964,2698216599.90917,,0,,0,0,0,5841.75</v>
      </c>
      <c r="FF4" s="67" t="str">
        <f ca="1">IF(ISERROR(TEXT(NOW(),"YYYY-MM-DD HH:MM") &amp; ":00," &amp;
 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"")), "",
    TEXT(NOW(),"YYYY-MM-DD HH:MM") &amp; ":00," &amp;
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
)&amp;","&amp;FA4</f>
        <v>2025-05-12 15:15:00,120306056.751811,4987157.39382133,,0,,0,0,0,20843.75</v>
      </c>
    </row>
    <row r="5" spans="1:162" s="63" customFormat="1" ht="13.5" thickBot="1" x14ac:dyDescent="0.25">
      <c r="A5" s="2">
        <f>+A4-$A$39</f>
        <v>591</v>
      </c>
      <c r="B5" s="3">
        <f t="shared" si="9"/>
        <v>1379</v>
      </c>
      <c r="C5" s="3">
        <f t="shared" si="10"/>
        <v>4597</v>
      </c>
      <c r="D5" s="3">
        <f t="shared" si="11"/>
        <v>1426</v>
      </c>
      <c r="E5" s="3">
        <f>SUM(B5:D5)</f>
        <v>7402</v>
      </c>
      <c r="F5" s="4">
        <f>+$F$3/$A$3*A5</f>
        <v>5946.7505789518818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>
        <v>2549</v>
      </c>
      <c r="AN5" s="1">
        <v>-41</v>
      </c>
      <c r="AO5" s="1">
        <v>591</v>
      </c>
      <c r="AP5" s="1">
        <v>8589</v>
      </c>
      <c r="AQ5" s="1">
        <v>-145</v>
      </c>
      <c r="AR5" s="1"/>
      <c r="AS5" s="6">
        <f>IF(RTD("tos.rtd",,AS$2,"."&amp;$A$2&amp;$AS$1&amp;"C"&amp;$A5)="N/A",0,RTD("tos.rtd",,AS$2,"."&amp;$A$2&amp;$AS$1&amp;"C"&amp;$A5))</f>
        <v>1379</v>
      </c>
      <c r="AT5" s="7">
        <f>-IF(RTD("tos.rtd",,AT$2,"."&amp;$A$2&amp;$AS$1&amp;"P"&amp;$A5)="N/A",0,RTD("tos.rtd",,AT$2,"."&amp;$A$2&amp;$AS$1&amp;"P"&amp;$A5))</f>
        <v>0</v>
      </c>
      <c r="AU5" s="6">
        <f>IF(RTD("tos.rtd",,AU$2,"."&amp;$A$2&amp;$AU$1&amp;"C"&amp;$A5)="N/A",0,RTD("tos.rtd",,AU$2,"."&amp;$A$2&amp;$AU$1&amp;"C"&amp;$A5))</f>
        <v>4596</v>
      </c>
      <c r="AV5" s="7">
        <f>-IF(RTD("tos.rtd",,AV$2,"."&amp;$A$2&amp;$AU$1&amp;"P"&amp;$A5)="N/A",0,RTD("tos.rtd",,AV$2,"."&amp;$A$2&amp;$AU$1&amp;"P"&amp;$A5))</f>
        <v>-1</v>
      </c>
      <c r="AW5" s="6">
        <f>IF(RTD("tos.rtd",,AW$2,"."&amp;$A$2&amp;$AW$1&amp;"C"&amp;$A5)="N/A",0,RTD("tos.rtd",,AW$2,"."&amp;$A$2&amp;$AW$1&amp;"C"&amp;$A5))</f>
        <v>1426</v>
      </c>
      <c r="AX5" s="7">
        <f>-IF(RTD("tos.rtd",,AX$2,"."&amp;$A$2&amp;$AW$1&amp;"P"&amp;$A5)="N/A",0,RTD("tos.rtd",,AX$2,"."&amp;$A$2&amp;$AW$1&amp;"P"&amp;$A5))</f>
        <v>0</v>
      </c>
      <c r="AY5" s="1">
        <f>SUM(AS5:AX5)</f>
        <v>7400</v>
      </c>
      <c r="AZ5" s="8">
        <f t="shared" ref="AZ5:AZ38" si="35">+A5</f>
        <v>591</v>
      </c>
      <c r="BA5" s="6">
        <f>IF(RTD("tos.rtd",,BA$2,"."&amp;$A$2&amp;$AS$1&amp;"C"&amp;$A5)="N/A",0,RTD("tos.rtd",,BA$2,"."&amp;$A$2&amp;$AS$1&amp;"C"&amp;$A5))</f>
        <v>8589</v>
      </c>
      <c r="BB5" s="7">
        <f>-IF(RTD("tos.rtd",,BB$2,"."&amp;$A$2&amp;$AS$1&amp;"P"&amp;$A5)="N/A",0,RTD("tos.rtd",,BB$2,"."&amp;$A$2&amp;$AS$1&amp;"P"&amp;$A5))</f>
        <v>-145</v>
      </c>
      <c r="BC5" s="6">
        <f>IF(RTD("tos.rtd",,BC$2,"."&amp;$A$2&amp;$AU$1&amp;"C"&amp;$A5)="N/A",0,RTD("tos.rtd",,BC$2,"."&amp;$A$2&amp;$AU$1&amp;"C"&amp;$A5))</f>
        <v>8984</v>
      </c>
      <c r="BD5" s="7">
        <f>-IF(RTD("tos.rtd",,BD$2,"."&amp;$A$2&amp;$AU$1&amp;"P"&amp;$A5)="N/A",0,RTD("tos.rtd",,BD$2,"."&amp;$A$2&amp;$AU$1&amp;"P"&amp;$A5))</f>
        <v>-296</v>
      </c>
      <c r="BE5" s="6">
        <f>IF(RTD("tos.rtd",,BE$2,"."&amp;$A$2&amp;$AW$1&amp;"C"&amp;$A5)="N/A",0,RTD("tos.rtd",,BE$2,"."&amp;$A$2&amp;$AW$1&amp;"C"&amp;$A5))</f>
        <v>519</v>
      </c>
      <c r="BF5" s="83">
        <f>-IF(RTD("tos.rtd",,BF$2,"."&amp;$A$2&amp;$AW$1&amp;"P"&amp;$A5)="N/A",0,RTD("tos.rtd",,BF$2,"."&amp;$A$2&amp;$AW$1&amp;"P"&amp;$A5))</f>
        <v>-502</v>
      </c>
      <c r="BG5" s="32">
        <f ca="1">+Hoja2!Y6</f>
        <v>4280</v>
      </c>
      <c r="BH5" s="7">
        <f t="shared" ref="BH5:BH38" ca="1" si="36">SUM(BA5:BG5)</f>
        <v>21429</v>
      </c>
      <c r="BI5" s="8" t="str">
        <f ca="1">IF(AND(BH5&lt;0,BH4&gt;0), "Cruce -", IF(AND(BH5&gt;0,BH4&lt;0),"Cruce +", ""))</f>
        <v/>
      </c>
      <c r="BJ5" s="3">
        <f ca="1">IF($BP$1=1,DX5,IF(RTD("tos.rtd",,BJ$2,"."&amp;$A$2&amp;$AS$1&amp;"C"&amp;$A5)="N/A",0,RTD("tos.rtd",,BJ$2,"."&amp;$A$2&amp;$AS$1&amp;"C"&amp;$A5)))</f>
        <v>2.3192475105503745E-2</v>
      </c>
      <c r="BK5" s="3">
        <f ca="1">IF($BP$1=1,DY5,-IF(RTD("tos.rtd",,BK$2,"."&amp;$A$2&amp;$AS$1&amp;"P"&amp;$A5)="N/A",0,RTD("tos.rtd",,BK$2,"."&amp;$A$2&amp;$AS$1&amp;"P"&amp;$A5)))</f>
        <v>-3.0159171921070219E-2</v>
      </c>
      <c r="BL5" s="3">
        <f ca="1">IF($BP$1=1,DZ5,IF(RTD("tos.rtd",,BL$2,"."&amp;$A$2&amp;$AU$1&amp;"C"&amp;$A5)="N/A",0,RTD("tos.rtd",,BL$2,"."&amp;$A$2&amp;$AU$1&amp;"C"&amp;$A5)))</f>
        <v>2.7095242951031346E-2</v>
      </c>
      <c r="BM5" s="3">
        <f ca="1">IF($BP$1=1,EA5,-IF(RTD("tos.rtd",,BM$2,"."&amp;$A$2&amp;$AU$1&amp;"P"&amp;$A5)="N/A",0,RTD("tos.rtd",,BM$2,"."&amp;$A$2&amp;$AU$1&amp;"P"&amp;$A5)))</f>
        <v>-2.6668390658790248E-2</v>
      </c>
      <c r="BN5" s="3">
        <f ca="1">IF($BP$1=1,EB5,IF(RTD("tos.rtd",,BN$2,"."&amp;$A$2&amp;$AW$1&amp;"C"&amp;$A5)="N/A",0,RTD("tos.rtd",,BN$2,"."&amp;$A$2&amp;$AW$1&amp;"C"&amp;$A5)))</f>
        <v>2.9514620890332292E-2</v>
      </c>
      <c r="BO5" s="3">
        <f ca="1">IF($BP$1=1,EC5,-IF(RTD("tos.rtd",,BO$2,"."&amp;$A$2&amp;$AW$1&amp;"P"&amp;$A5)="N/A",0,RTD("tos.rtd",,BO$2,"."&amp;$A$2&amp;$AW$1&amp;"P"&amp;$A5)))</f>
        <v>-2.8763258706403606E-2</v>
      </c>
      <c r="BQ5" s="3">
        <f t="shared" ref="BQ5:BQ38" ca="1" si="37">+$A$3*$A$3*AS5*BJ5-$A$3*$A$3*AT5*BK5</f>
        <v>10868609.333679782</v>
      </c>
      <c r="BR5" s="3" t="str">
        <f ca="1">IF(AND(BQ5&lt;0,BQ4&gt;0), "Cruce -", IF(AND(BQ5&gt;0,BQ4&lt;0),"Cruce +", ""))</f>
        <v/>
      </c>
      <c r="BS5" s="3">
        <f t="shared" ref="BS5:BS38" ca="1" si="38">+$A$3*$A$3*AU5*BL5-$A$3*$A$3*AV5*BM5</f>
        <v>42309965.133984968</v>
      </c>
      <c r="BT5" s="3" t="str">
        <f ca="1">IF(AND(BS5&lt;0,BS4&gt;0), "Cruce -", IF(AND(BS5&gt;0,BS4&lt;0),"Cruce +", ""))</f>
        <v/>
      </c>
      <c r="BU5" s="3">
        <f t="shared" ref="BU5:BU38" ca="1" si="39">+$A$3*$A$3*AW5*BN5-$A$3*$A$3*AX5*BO5</f>
        <v>14302743.424786674</v>
      </c>
      <c r="BV5" s="3" t="str">
        <f ca="1">IF(AND(BU5&lt;0,BU4&gt;0), "Cruce -", IF(AND(BU5&gt;0,BU4&lt;0),"Cruce +", ""))</f>
        <v/>
      </c>
      <c r="BX5" s="3">
        <f t="shared" ref="BX5:BX38" ca="1" si="40">+$A$3*$A$3*BA5*BJ5-$A$3*$A$3*BB5*BK5</f>
        <v>66208226.436831519</v>
      </c>
      <c r="BY5" s="3" t="str">
        <f ca="1">IF(AND(BX5&lt;0,BX4&gt;0), "Cruce -", IF(AND(BX5&gt;0,BX4&lt;0),"Cruce +", ""))</f>
        <v/>
      </c>
      <c r="BZ5" s="3">
        <f t="shared" ref="BZ5:BZ38" ca="1" si="41">+$A$3*$A$3*BC5*BL5-$A$3*$A$3*BD5*BM5</f>
        <v>80040263.863063246</v>
      </c>
      <c r="CA5" s="3" t="str">
        <f ca="1">IF(AND(BZ5&lt;0,BZ4&gt;0), "Cruce -", IF(AND(BZ5&gt;0,BZ4&lt;0),"Cruce +", ""))</f>
        <v/>
      </c>
      <c r="CB5" s="3">
        <f t="shared" ref="CB5:CB38" ca="1" si="42">+$A$3*$A$3*BE5*BN5-$A$3*$A$3*BF5*BO5</f>
        <v>298688.20524591021</v>
      </c>
      <c r="CC5" s="3" t="str">
        <f ca="1">IF(AND(CB5&lt;0,CB4&gt;0), "Cruce -", IF(AND(CB5&gt;0,CB4&lt;0),"Cruce +", ""))</f>
        <v/>
      </c>
      <c r="CD5" s="3">
        <f>IF(RTD("tos.rtd",,CD$2,"."&amp;$A$2&amp;$AS$1&amp;"C"&amp;$A5)="N/A",0,RTD("tos.rtd",,CD$2,"."&amp;$A$2&amp;$AS$1&amp;"C"&amp;$A5))</f>
        <v>0.01</v>
      </c>
      <c r="CE5" s="3">
        <f>-IF(RTD("tos.rtd",,CE$2,"."&amp;$A$2&amp;$AS$1&amp;"P"&amp;$A5)="N/A",0,RTD("tos.rtd",,CE$2,"."&amp;$A$2&amp;$AS$1&amp;"P"&amp;$A5))</f>
        <v>0.92</v>
      </c>
      <c r="CF5" s="3">
        <f>IF(RTD("tos.rtd",,CF$2,"."&amp;$A$2&amp;$AU$1&amp;"C"&amp;$A5)="N/A",0,RTD("tos.rtd",,CF$2,"."&amp;$A$2&amp;$AU$1&amp;"C"&amp;$A5))</f>
        <v>0.23</v>
      </c>
      <c r="CG5" s="3">
        <f>-IF(RTD("tos.rtd",,CG$2,"."&amp;$A$2&amp;$AU$1&amp;"P"&amp;$A5)="N/A",0,RTD("tos.rtd",,CG$2,"."&amp;$A$2&amp;$AU$1&amp;"P"&amp;$A5))</f>
        <v>0.77</v>
      </c>
      <c r="CH5" s="3">
        <f>IF(RTD("tos.rtd",,CH$2,"."&amp;$A$2&amp;$AW$1&amp;"C"&amp;$A5)="N/A",0,RTD("tos.rtd",,CH$2,"."&amp;$A$2&amp;$AW$1&amp;"C"&amp;$A5))</f>
        <v>0.42</v>
      </c>
      <c r="CI5" s="3">
        <f>-IF(RTD("tos.rtd",,CI$2,"."&amp;$A$2&amp;$AW$1&amp;"P"&amp;$A5)="N/A",0,RTD("tos.rtd",,CI$2,"."&amp;$A$2&amp;$AW$1&amp;"P"&amp;$A5))</f>
        <v>0.57999999999999996</v>
      </c>
      <c r="CK5" s="3">
        <f t="shared" si="17"/>
        <v>1379</v>
      </c>
      <c r="CL5" s="3"/>
      <c r="CM5" s="3">
        <f t="shared" si="18"/>
        <v>105631.00000000001</v>
      </c>
      <c r="CN5" s="3"/>
      <c r="CO5" s="3">
        <f t="shared" si="19"/>
        <v>59891.999999999993</v>
      </c>
      <c r="CP5" s="3">
        <f t="shared" ref="CP5:CP38" si="43">+CK5+CM5+CO5</f>
        <v>166902</v>
      </c>
      <c r="CQ5" s="3">
        <f t="shared" ref="CQ5:CQ38" si="44">+BA5+BB5</f>
        <v>8444</v>
      </c>
      <c r="CR5" s="3"/>
      <c r="CS5" s="3">
        <f t="shared" si="20"/>
        <v>8688</v>
      </c>
      <c r="CT5" s="3"/>
      <c r="CU5" s="3">
        <f t="shared" si="21"/>
        <v>17</v>
      </c>
      <c r="CV5" s="3">
        <f t="shared" ref="CV5:CV38" si="45">+CQ5+CS5+CU5</f>
        <v>17149</v>
      </c>
      <c r="CW5" s="3">
        <f t="shared" ref="CW5:CW38" ca="1" si="46">+BQ5+BS5+BU5</f>
        <v>67481317.89245142</v>
      </c>
      <c r="CX5" s="85" t="str">
        <f ca="1">IF(AND(CW5&lt;0,CW4&gt;0), "Cruce -", IF(AND(CW5&gt;0,CW4&lt;0),"Cruce +", ""))</f>
        <v/>
      </c>
      <c r="CY5" s="3">
        <f t="shared" ref="CY5:CY38" ca="1" si="47">+BX5+BZ5+CB5</f>
        <v>146547178.50514066</v>
      </c>
      <c r="CZ5" s="85" t="str">
        <f ca="1">IF(AND(CY5&lt;0,CY4&gt;0), "Cruce -", IF(AND(CY5&gt;0,CY4&lt;0),"Cruce +", ""))</f>
        <v/>
      </c>
      <c r="DA5" s="3">
        <f>IF(RTD("tos.rtd",,DA$2,"."&amp;$A$2&amp;$AS$1&amp;"C"&amp;$A5)="N/A",0,RTD("tos.rtd",,DA$2,"."&amp;$A$2&amp;$AS$1&amp;"C"&amp;$A5))</f>
        <v>0.01</v>
      </c>
      <c r="DB5" s="3">
        <f>IF(RTD("tos.rtd",,DB$2,"."&amp;$A$2&amp;$AS$1&amp;"P"&amp;$A5)="N/A",0,RTD("tos.rtd",,DB$2,"."&amp;$A$2&amp;$AS$1&amp;"P"&amp;$A5))</f>
        <v>9.5500000000000007</v>
      </c>
      <c r="DC5" s="3">
        <f>IF(RTD("tos.rtd",,DC$2,"."&amp;$A$2&amp;$AS$1&amp;"C"&amp;$A5)="N/A",0,RTD("tos.rtd",,DC$2,"."&amp;$A$2&amp;$AS$1&amp;"C"&amp;$A5))</f>
        <v>0.01</v>
      </c>
      <c r="DD5" s="3">
        <f>IF(RTD("tos.rtd",,DD$2,"."&amp;$A$2&amp;$AS$1&amp;"P"&amp;$A5)="N/A",0,RTD("tos.rtd",,DD$2,"."&amp;$A$2&amp;$AS$1&amp;"P"&amp;$A5))</f>
        <v>8.35</v>
      </c>
      <c r="DE5" s="3">
        <f>IF(RTD("tos.rtd",,DE$2,"."&amp;$A$2&amp;$AS$1&amp;"C"&amp;$A5)="N/A",0,RTD("tos.rtd",,DE$2,"."&amp;$A$2&amp;$AS$1&amp;"C"&amp;$A5))</f>
        <v>0</v>
      </c>
      <c r="DF5" s="3">
        <f>IF(RTD("tos.rtd",,DF$2,"."&amp;$A$2&amp;$AS$1&amp;"P"&amp;$A5)="N/A",0,RTD("tos.rtd",,DF$2,"."&amp;$A$2&amp;$AS$1&amp;"P"&amp;$A5))</f>
        <v>8.06</v>
      </c>
      <c r="DG5" s="86">
        <f t="shared" ref="DG5:DG38" si="48">+$A5-$A$3</f>
        <v>8.0499999999999545</v>
      </c>
      <c r="DH5" s="3">
        <f t="shared" si="22"/>
        <v>0</v>
      </c>
      <c r="DI5" s="3">
        <f t="shared" ref="DI5:DI38" si="49">((DB5-DF5)/(DD5-DF5))*(BB5-AQ5)</f>
        <v>0</v>
      </c>
      <c r="DJ5" s="3">
        <f t="shared" ref="DJ5:DJ38" si="50">IF(DA5&gt;=(DE5+(DC5-DE5)*0.6),(BA5-AP5),IF(DA5&lt;=(DE5+(DC5-DE5)*0.4),-(BA5-AP5),0))</f>
        <v>0</v>
      </c>
      <c r="DK5" s="3">
        <f t="shared" ref="DK5:DK38" si="51">IF(DB5&lt;=(DF5+(DD5-DF5)*0.4),-(BB5-AQ5),IF(DB5&gt;=(DF5+(DD5-DF5)*0.6),(BB5-AQ5),0))</f>
        <v>0</v>
      </c>
      <c r="DL5" s="3">
        <f t="shared" ref="DL5:DL38" si="52">+DH5+DI5</f>
        <v>0</v>
      </c>
      <c r="DM5" s="3">
        <f t="shared" ref="DM5:DM38" si="53">+DJ5+DK5</f>
        <v>0</v>
      </c>
      <c r="DN5" s="63" t="str">
        <f t="shared" ref="DN5:DN38" si="54">IF(AND(DA5&gt;=(DE5+(DC5-DE5)*0.6),BA5&gt;AP5),"BUY",IF(AND(DA5&lt;=(DE5+(DC5-DE5)*0.4),BA5&gt;AP5),"SELL","UNKNOWN"))</f>
        <v>UNKNOWN</v>
      </c>
      <c r="DO5" s="63" t="str">
        <f t="shared" ref="DO5:DO38" si="55">IF(AND(DB5&gt;=(DF5+(DD5-DF5)*0.6),ABS(BB5)&gt;ABS(AQ5)),"BUY",IF(AND(DB5&lt;=(DF5+(DD5-DF5)*0.4),ABS(BB5)&gt;ABS(AQ5)),"SELL","UNKNOWN"))</f>
        <v>UNKNOWN</v>
      </c>
      <c r="DP5" s="3">
        <f t="shared" ref="DP5:DP38" si="56">+DH5*DA5+DI5*DB5</f>
        <v>0</v>
      </c>
      <c r="DQ5" s="3">
        <f t="shared" ref="DQ5:DQ38" si="57">+DA5*DJ5+DB5*DK5</f>
        <v>0</v>
      </c>
      <c r="DR5" s="3">
        <f t="shared" ref="DR5:DR38" ca="1" si="58">+BJ5*DJ5+BK5*DK5</f>
        <v>0</v>
      </c>
      <c r="DS5" s="3">
        <f t="shared" ref="DS5:DS38" si="59">+CD5*DJ5+CE5*DK5</f>
        <v>0</v>
      </c>
      <c r="DT5" s="3">
        <f t="shared" ref="DT5:DT38" si="60">BA5-VLOOKUP(AZ5,$AO$4:$AQ$38,2,FALSE)</f>
        <v>0</v>
      </c>
      <c r="DU5" s="3">
        <f t="shared" ref="DU5:DU38" si="61">BB5-VLOOKUP(AZ5,$AO$4:$AQ$38,3,FALSE)</f>
        <v>0</v>
      </c>
      <c r="DV5" s="3">
        <f t="shared" ref="DV5:DV38" si="62">AM5+IF(DN5="BUY",DT5,IF(DN5="SELL",-DT5,0))</f>
        <v>2549</v>
      </c>
      <c r="DW5" s="3">
        <f t="shared" si="23"/>
        <v>-41</v>
      </c>
      <c r="DX5" s="3">
        <f t="shared" ca="1" si="24"/>
        <v>2.3192475105503745E-2</v>
      </c>
      <c r="DY5" s="3">
        <f t="shared" ca="1" si="25"/>
        <v>-3.0159171921070219E-2</v>
      </c>
      <c r="DZ5" s="3">
        <f t="shared" ca="1" si="26"/>
        <v>2.7095242951031346E-2</v>
      </c>
      <c r="EA5" s="3">
        <f t="shared" ca="1" si="27"/>
        <v>-2.6668390658790248E-2</v>
      </c>
      <c r="EB5" s="3">
        <f t="shared" ca="1" si="28"/>
        <v>2.9514620890332292E-2</v>
      </c>
      <c r="EC5" s="3">
        <f t="shared" ca="1" si="29"/>
        <v>-2.8763258706403606E-2</v>
      </c>
      <c r="ED5" s="63">
        <f t="shared" ref="ED5:ED38" si="63">+DV5+DW5</f>
        <v>2508</v>
      </c>
      <c r="EE5" s="59">
        <f t="shared" ref="EE5:EE38" si="64">IFERROR(VALUE(IF(OR(EL5="--",EL5="0.00%"),$EE$1,EL5)),$EE$1)</f>
        <v>0.70579999999999998</v>
      </c>
      <c r="EF5" s="59">
        <f t="shared" si="30"/>
        <v>1.2275</v>
      </c>
      <c r="EG5" s="59">
        <f t="shared" si="31"/>
        <v>0.16930000000000001</v>
      </c>
      <c r="EH5" s="59">
        <f t="shared" si="32"/>
        <v>0.17369999999999999</v>
      </c>
      <c r="EI5" s="59">
        <f t="shared" si="33"/>
        <v>0.14449999999999999</v>
      </c>
      <c r="EJ5" s="59">
        <f t="shared" si="34"/>
        <v>0.15229999999999999</v>
      </c>
      <c r="EK5" s="63">
        <f t="shared" ref="EK5:EK38" ca="1" si="65">+DV5*DX5*$A$3*$A$3+DW5*DY5*$A$3*$A$3</f>
        <v>20510191.525636766</v>
      </c>
      <c r="EL5" s="3" t="str">
        <f>RTD("tos.rtd",,EL$2,"."&amp;$A$2&amp;$AS$1&amp;"C"&amp;$A5)</f>
        <v>70.58%</v>
      </c>
      <c r="EM5" s="3" t="str">
        <f>RTD("tos.rtd",,EM$2,"."&amp;$A$2&amp;$AS$1&amp;"P"&amp;$A5)</f>
        <v>122.75%</v>
      </c>
      <c r="EN5" s="3" t="str">
        <f>RTD("tos.rtd",,EN$2,"."&amp;$A$2&amp;$AU$1&amp;"C"&amp;$A5)</f>
        <v>16.93%</v>
      </c>
      <c r="EO5" s="3" t="str">
        <f>RTD("tos.rtd",,EO$2,"."&amp;$A$2&amp;$AU$1&amp;"P"&amp;$A5)</f>
        <v>17.37%</v>
      </c>
      <c r="EP5" s="3" t="str">
        <f>RTD("tos.rtd",,EP$2,"."&amp;$A$2&amp;$AW$1&amp;"C"&amp;$A5)</f>
        <v>14.45%</v>
      </c>
      <c r="EQ5" s="3" t="str">
        <f>RTD("tos.rtd",,EQ$2,"."&amp;$A$2&amp;$AW$1&amp;"P"&amp;$A5)</f>
        <v>15.23%</v>
      </c>
      <c r="ES5" s="63" t="str">
        <f t="shared" ref="ES5:ES38" si="66">IFERROR(
    A5 &amp; "," &amp; TEXT(IF(ISNUMBER(DV5+DW5), DV5+DW5, 0), "00.00"),    "Error"
)</f>
        <v>591,2508.00</v>
      </c>
      <c r="ET5" s="63" t="str">
        <f t="shared" ref="ET5:ET38" ca="1" si="67">IF(ISERROR(
    A5 &amp; "," &amp; TEXT(
        IF($E$1="GEX-VOL", IF(ISNUMBER(BX5+BZ5+CB5), (BX5+BZ5+CB5)/1000, 0),
           IF($E$1="GEX-OI", IF(ISNUMBER(BQ5+BS5+BU5), (BQ5+BS5+BU5)/1000, 0),
               IF($E$1="DEX",IF(ISNUMBER(CK5+CM5+CO5), (CK5+CM5+CO5)/1000, 0),
                  IF($E$1="VOLPRES",IF(ISNUMBER(DJ5+DK5), (DJ5+DK5), 0),
                     IF(ISNUMBER(EK5), (EK5), 0)
        )))),
    "00.00")
), "Error",
A5 &amp; "," &amp; TEXT(
        IF($E$1="GEX-VOL", IF(ISNUMBER(BX5+BZ5+CB5), (BX5+BZ5+CB5)/1000, 0),
           IF($E$1="GEX-OI", IF(ISNUMBER(BQ5+BS5+BU5), (BQ5+BS5+BU5)/1000, 0),
               IF($E$1="DEX", IF(ISNUMBER(CK5+CM5+CO5), (CK5+CM5+CO5)/1000, 0),
                  IF($E$1="VOLPRES",IF(ISNUMBER(DJ5+DK5), (DJ5+DK5), 0),
                    IF(ISNUMBER(EK5), (EK5), 0)
        )))),
    "00.00")
)</f>
        <v>591,146547.18</v>
      </c>
      <c r="EU5" s="67">
        <v>564.79999999999995</v>
      </c>
      <c r="EV5" s="67" t="s">
        <v>59</v>
      </c>
      <c r="EW5" s="67">
        <v>487.92</v>
      </c>
      <c r="EX5" s="67" t="s">
        <v>60</v>
      </c>
      <c r="EY5" s="67">
        <v>5659.91</v>
      </c>
      <c r="EZ5" s="67" t="s">
        <v>61</v>
      </c>
      <c r="FA5" s="67">
        <v>20061.449000000001</v>
      </c>
      <c r="FB5" s="67" t="s">
        <v>62</v>
      </c>
      <c r="FC5" s="67" t="s">
        <v>63</v>
      </c>
      <c r="FD5" s="67" t="s">
        <v>64</v>
      </c>
      <c r="FE5" s="67" t="s">
        <v>65</v>
      </c>
      <c r="FF5" s="67" t="s">
        <v>66</v>
      </c>
    </row>
    <row r="6" spans="1:162" s="63" customFormat="1" ht="13.5" thickBot="1" x14ac:dyDescent="0.25">
      <c r="A6" s="2">
        <f t="shared" ref="A6:A38" si="68">+A5-$A$39</f>
        <v>590</v>
      </c>
      <c r="B6" s="3">
        <f t="shared" si="9"/>
        <v>8552</v>
      </c>
      <c r="C6" s="3">
        <f t="shared" si="10"/>
        <v>32141</v>
      </c>
      <c r="D6" s="3">
        <f t="shared" si="11"/>
        <v>37055</v>
      </c>
      <c r="E6" s="3">
        <f>SUM(B6:D6)</f>
        <v>77748</v>
      </c>
      <c r="F6" s="4">
        <f>+$F$3/$A$3*A6</f>
        <v>5936.6883952311509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v>2718</v>
      </c>
      <c r="AN6" s="1">
        <v>-79</v>
      </c>
      <c r="AO6" s="1">
        <v>590</v>
      </c>
      <c r="AP6" s="1">
        <v>36390</v>
      </c>
      <c r="AQ6" s="1">
        <v>-1305</v>
      </c>
      <c r="AR6" s="1"/>
      <c r="AS6" s="6">
        <f>IF(RTD("tos.rtd",,AS$2,"."&amp;$A$2&amp;$AS$1&amp;"C"&amp;$A6)="N/A",0,RTD("tos.rtd",,AS$2,"."&amp;$A$2&amp;$AS$1&amp;"C"&amp;$A6))</f>
        <v>8552</v>
      </c>
      <c r="AT6" s="7">
        <f>-IF(RTD("tos.rtd",,AT$2,"."&amp;$A$2&amp;$AS$1&amp;"P"&amp;$A6)="N/A",0,RTD("tos.rtd",,AT$2,"."&amp;$A$2&amp;$AS$1&amp;"P"&amp;$A6))</f>
        <v>0</v>
      </c>
      <c r="AU6" s="6">
        <f>IF(RTD("tos.rtd",,AU$2,"."&amp;$A$2&amp;$AU$1&amp;"C"&amp;$A6)="N/A",0,RTD("tos.rtd",,AU$2,"."&amp;$A$2&amp;$AU$1&amp;"C"&amp;$A6))</f>
        <v>30396</v>
      </c>
      <c r="AV6" s="7">
        <f>-IF(RTD("tos.rtd",,AV$2,"."&amp;$A$2&amp;$AU$1&amp;"P"&amp;$A6)="N/A",0,RTD("tos.rtd",,AV$2,"."&amp;$A$2&amp;$AU$1&amp;"P"&amp;$A6))</f>
        <v>-1745</v>
      </c>
      <c r="AW6" s="6">
        <f>IF(RTD("tos.rtd",,AW$2,"."&amp;$A$2&amp;$AW$1&amp;"C"&amp;$A6)="N/A",0,RTD("tos.rtd",,AW$2,"."&amp;$A$2&amp;$AW$1&amp;"C"&amp;$A6))</f>
        <v>35323</v>
      </c>
      <c r="AX6" s="7">
        <f>-IF(RTD("tos.rtd",,AX$2,"."&amp;$A$2&amp;$AW$1&amp;"P"&amp;$A6)="N/A",0,RTD("tos.rtd",,AX$2,"."&amp;$A$2&amp;$AW$1&amp;"P"&amp;$A6))</f>
        <v>-1732</v>
      </c>
      <c r="AY6" s="1">
        <f t="shared" ref="AY6:AY38" si="69">SUM(AS6:AX6)</f>
        <v>70794</v>
      </c>
      <c r="AZ6" s="8">
        <f t="shared" si="35"/>
        <v>590</v>
      </c>
      <c r="BA6" s="6">
        <f>IF(RTD("tos.rtd",,BA$2,"."&amp;$A$2&amp;$AS$1&amp;"C"&amp;$A6)="N/A",0,RTD("tos.rtd",,BA$2,"."&amp;$A$2&amp;$AS$1&amp;"C"&amp;$A6))</f>
        <v>36390</v>
      </c>
      <c r="BB6" s="7">
        <f>-IF(RTD("tos.rtd",,BB$2,"."&amp;$A$2&amp;$AS$1&amp;"P"&amp;$A6)="N/A",0,RTD("tos.rtd",,BB$2,"."&amp;$A$2&amp;$AS$1&amp;"P"&amp;$A6))</f>
        <v>-1305</v>
      </c>
      <c r="BC6" s="6">
        <f>IF(RTD("tos.rtd",,BC$2,"."&amp;$A$2&amp;$AU$1&amp;"C"&amp;$A6)="N/A",0,RTD("tos.rtd",,BC$2,"."&amp;$A$2&amp;$AU$1&amp;"C"&amp;$A6))</f>
        <v>49274</v>
      </c>
      <c r="BD6" s="7">
        <f>-IF(RTD("tos.rtd",,BD$2,"."&amp;$A$2&amp;$AU$1&amp;"P"&amp;$A6)="N/A",0,RTD("tos.rtd",,BD$2,"."&amp;$A$2&amp;$AU$1&amp;"P"&amp;$A6))</f>
        <v>-1848</v>
      </c>
      <c r="BE6" s="6">
        <f>IF(RTD("tos.rtd",,BE$2,"."&amp;$A$2&amp;$AW$1&amp;"C"&amp;$A6)="N/A",0,RTD("tos.rtd",,BE$2,"."&amp;$A$2&amp;$AW$1&amp;"C"&amp;$A6))</f>
        <v>16111</v>
      </c>
      <c r="BF6" s="83">
        <f>-IF(RTD("tos.rtd",,BF$2,"."&amp;$A$2&amp;$AW$1&amp;"P"&amp;$A6)="N/A",0,RTD("tos.rtd",,BF$2,"."&amp;$A$2&amp;$AW$1&amp;"P"&amp;$A6))</f>
        <v>-2734</v>
      </c>
      <c r="BG6" s="32">
        <f ca="1">+Hoja2!Y7</f>
        <v>25445</v>
      </c>
      <c r="BH6" s="7">
        <f t="shared" ca="1" si="36"/>
        <v>121333</v>
      </c>
      <c r="BI6" s="8" t="str">
        <f t="shared" ref="BI6" ca="1" si="70">IF(AND(BH6&lt;0,BH5&gt;0), "Cruce -", IF(AND(BH6&gt;0,BH5&lt;0),"Cruce +", ""))</f>
        <v/>
      </c>
      <c r="BJ6" s="3">
        <f ca="1">IF($BP$1=1,DX6,IF(RTD("tos.rtd",,BJ$2,"."&amp;$A$2&amp;$AS$1&amp;"C"&amp;$A6)="N/A",0,RTD("tos.rtd",,BJ$2,"."&amp;$A$2&amp;$AS$1&amp;"C"&amp;$A6)))</f>
        <v>2.6991954006833855E-2</v>
      </c>
      <c r="BK6" s="3">
        <f ca="1">IF($BP$1=1,DY6,-IF(RTD("tos.rtd",,BK$2,"."&amp;$A$2&amp;$AS$1&amp;"P"&amp;$A6)="N/A",0,RTD("tos.rtd",,BK$2,"."&amp;$A$2&amp;$AS$1&amp;"P"&amp;$A6)))</f>
        <v>-3.4176869628600788E-2</v>
      </c>
      <c r="BL6" s="3">
        <f ca="1">IF($BP$1=1,DZ6,IF(RTD("tos.rtd",,BL$2,"."&amp;$A$2&amp;$AU$1&amp;"C"&amp;$A6)="N/A",0,RTD("tos.rtd",,BL$2,"."&amp;$A$2&amp;$AU$1&amp;"C"&amp;$A6)))</f>
        <v>2.8256318269303748E-2</v>
      </c>
      <c r="BM6" s="3">
        <f ca="1">IF($BP$1=1,EA6,-IF(RTD("tos.rtd",,BM$2,"."&amp;$A$2&amp;$AU$1&amp;"P"&amp;$A6)="N/A",0,RTD("tos.rtd",,BM$2,"."&amp;$A$2&amp;$AU$1&amp;"P"&amp;$A6)))</f>
        <v>-2.645886186889607E-2</v>
      </c>
      <c r="BN6" s="3">
        <f ca="1">IF($BP$1=1,EB6,IF(RTD("tos.rtd",,BN$2,"."&amp;$A$2&amp;$AW$1&amp;"C"&amp;$A6)="N/A",0,RTD("tos.rtd",,BN$2,"."&amp;$A$2&amp;$AW$1&amp;"C"&amp;$A6)))</f>
        <v>3.131627512289719E-2</v>
      </c>
      <c r="BO6" s="3">
        <f ca="1">IF($BP$1=1,EC6,-IF(RTD("tos.rtd",,BO$2,"."&amp;$A$2&amp;$AW$1&amp;"P"&amp;$A6)="N/A",0,RTD("tos.rtd",,BO$2,"."&amp;$A$2&amp;$AW$1&amp;"P"&amp;$A6)))</f>
        <v>-3.0344958890866053E-2</v>
      </c>
      <c r="BQ6" s="3">
        <f t="shared" ca="1" si="37"/>
        <v>78444885.005898833</v>
      </c>
      <c r="BR6" s="3" t="str">
        <f t="shared" ref="BR6:BT38" ca="1" si="71">IF(AND(BQ6&lt;0,BQ5&gt;0), "Cruce -", IF(AND(BQ6&gt;0,BQ5&lt;0),"Cruce +", ""))</f>
        <v/>
      </c>
      <c r="BS6" s="3">
        <f t="shared" ca="1" si="38"/>
        <v>276183244.80232149</v>
      </c>
      <c r="BT6" s="3" t="str">
        <f t="shared" ca="1" si="71"/>
        <v/>
      </c>
      <c r="BU6" s="3">
        <f t="shared" ca="1" si="39"/>
        <v>358054911.43405807</v>
      </c>
      <c r="BV6" s="3" t="str">
        <f t="shared" ref="BV6" ca="1" si="72">IF(AND(BU6&lt;0,BU5&gt;0), "Cruce -", IF(AND(BU6&gt;0,BU5&lt;0),"Cruce +", ""))</f>
        <v/>
      </c>
      <c r="BX6" s="3">
        <f t="shared" ca="1" si="40"/>
        <v>318637633.59376204</v>
      </c>
      <c r="BY6" s="3" t="str">
        <f t="shared" ref="BY6:BY38" ca="1" si="73">IF(AND(BX6&lt;0,BX5&gt;0), "Cruce -", IF(AND(BX6&gt;0,BX5&lt;0),"Cruce +", ""))</f>
        <v/>
      </c>
      <c r="BZ6" s="3">
        <f t="shared" ca="1" si="41"/>
        <v>456530553.63527</v>
      </c>
      <c r="CA6" s="3" t="str">
        <f t="shared" ref="CA6:CA38" ca="1" si="74">IF(AND(BZ6&lt;0,BZ5&gt;0), "Cruce -", IF(AND(BZ6&gt;0,BZ5&lt;0),"Cruce +", ""))</f>
        <v/>
      </c>
      <c r="CB6" s="3">
        <f t="shared" ca="1" si="42"/>
        <v>143263581.58396</v>
      </c>
      <c r="CC6" s="3" t="str">
        <f t="shared" ref="CC6:CC38" ca="1" si="75">IF(AND(CB6&lt;0,CB5&gt;0), "Cruce -", IF(AND(CB6&gt;0,CB5&lt;0),"Cruce +", ""))</f>
        <v/>
      </c>
      <c r="CD6" s="3">
        <f>IF(RTD("tos.rtd",,CD$2,"."&amp;$A$2&amp;$AS$1&amp;"C"&amp;$A6)="N/A",0,RTD("tos.rtd",,CD$2,"."&amp;$A$2&amp;$AS$1&amp;"C"&amp;$A6))</f>
        <v>0.01</v>
      </c>
      <c r="CE6" s="3">
        <f>-IF(RTD("tos.rtd",,CE$2,"."&amp;$A$2&amp;$AS$1&amp;"P"&amp;$A6)="N/A",0,RTD("tos.rtd",,CE$2,"."&amp;$A$2&amp;$AS$1&amp;"P"&amp;$A6))</f>
        <v>0.92</v>
      </c>
      <c r="CF6" s="3">
        <f>IF(RTD("tos.rtd",,CF$2,"."&amp;$A$2&amp;$AU$1&amp;"C"&amp;$A6)="N/A",0,RTD("tos.rtd",,CF$2,"."&amp;$A$2&amp;$AU$1&amp;"C"&amp;$A6))</f>
        <v>0.26</v>
      </c>
      <c r="CG6" s="3">
        <f>-IF(RTD("tos.rtd",,CG$2,"."&amp;$A$2&amp;$AU$1&amp;"P"&amp;$A6)="N/A",0,RTD("tos.rtd",,CG$2,"."&amp;$A$2&amp;$AU$1&amp;"P"&amp;$A6))</f>
        <v>0.72</v>
      </c>
      <c r="CH6" s="3">
        <f>IF(RTD("tos.rtd",,CH$2,"."&amp;$A$2&amp;$AW$1&amp;"C"&amp;$A6)="N/A",0,RTD("tos.rtd",,CH$2,"."&amp;$A$2&amp;$AW$1&amp;"C"&amp;$A6))</f>
        <v>0.44</v>
      </c>
      <c r="CI6" s="3">
        <f>-IF(RTD("tos.rtd",,CI$2,"."&amp;$A$2&amp;$AW$1&amp;"P"&amp;$A6)="N/A",0,RTD("tos.rtd",,CI$2,"."&amp;$A$2&amp;$AW$1&amp;"P"&amp;$A6))</f>
        <v>0.56999999999999995</v>
      </c>
      <c r="CK6" s="3">
        <f t="shared" si="17"/>
        <v>8552</v>
      </c>
      <c r="CL6" s="3"/>
      <c r="CM6" s="3">
        <f t="shared" si="18"/>
        <v>664656</v>
      </c>
      <c r="CN6" s="3"/>
      <c r="CO6" s="3">
        <f t="shared" si="19"/>
        <v>1455488</v>
      </c>
      <c r="CP6" s="3">
        <f t="shared" si="43"/>
        <v>2128696</v>
      </c>
      <c r="CQ6" s="3">
        <f t="shared" si="44"/>
        <v>35085</v>
      </c>
      <c r="CR6" s="3"/>
      <c r="CS6" s="3">
        <f t="shared" si="20"/>
        <v>47426</v>
      </c>
      <c r="CT6" s="3"/>
      <c r="CU6" s="3">
        <f t="shared" si="21"/>
        <v>13377</v>
      </c>
      <c r="CV6" s="3">
        <f t="shared" si="45"/>
        <v>95888</v>
      </c>
      <c r="CW6" s="3">
        <f t="shared" ca="1" si="46"/>
        <v>712683041.24227834</v>
      </c>
      <c r="CX6" s="85" t="str">
        <f t="shared" ref="CX6:CX38" ca="1" si="76">IF(AND(CW6&lt;0,CW5&gt;0), "Cruce -", IF(AND(CW6&gt;0,CW5&lt;0),"Cruce +", ""))</f>
        <v/>
      </c>
      <c r="CY6" s="3">
        <f t="shared" ca="1" si="47"/>
        <v>918431768.8129921</v>
      </c>
      <c r="CZ6" s="85" t="str">
        <f t="shared" ref="CZ6:CZ38" ca="1" si="77">IF(AND(CY6&lt;0,CY5&gt;0), "Cruce -", IF(AND(CY6&gt;0,CY5&lt;0),"Cruce +", ""))</f>
        <v/>
      </c>
      <c r="DA6" s="3">
        <f>IF(RTD("tos.rtd",,DA$2,"."&amp;$A$2&amp;$AS$1&amp;"C"&amp;$A6)="N/A",0,RTD("tos.rtd",,DA$2,"."&amp;$A$2&amp;$AS$1&amp;"C"&amp;$A6))</f>
        <v>0.01</v>
      </c>
      <c r="DB6" s="3">
        <f>IF(RTD("tos.rtd",,DB$2,"."&amp;$A$2&amp;$AS$1&amp;"P"&amp;$A6)="N/A",0,RTD("tos.rtd",,DB$2,"."&amp;$A$2&amp;$AS$1&amp;"P"&amp;$A6))</f>
        <v>6.76</v>
      </c>
      <c r="DC6" s="3">
        <f>IF(RTD("tos.rtd",,DC$2,"."&amp;$A$2&amp;$AS$1&amp;"C"&amp;$A6)="N/A",0,RTD("tos.rtd",,DC$2,"."&amp;$A$2&amp;$AS$1&amp;"C"&amp;$A6))</f>
        <v>0.01</v>
      </c>
      <c r="DD6" s="3">
        <f>IF(RTD("tos.rtd",,DD$2,"."&amp;$A$2&amp;$AS$1&amp;"P"&amp;$A6)="N/A",0,RTD("tos.rtd",,DD$2,"."&amp;$A$2&amp;$AS$1&amp;"P"&amp;$A6))</f>
        <v>7.35</v>
      </c>
      <c r="DE6" s="3">
        <f>IF(RTD("tos.rtd",,DE$2,"."&amp;$A$2&amp;$AS$1&amp;"C"&amp;$A6)="N/A",0,RTD("tos.rtd",,DE$2,"."&amp;$A$2&amp;$AS$1&amp;"C"&amp;$A6))</f>
        <v>0</v>
      </c>
      <c r="DF6" s="3">
        <f>IF(RTD("tos.rtd",,DF$2,"."&amp;$A$2&amp;$AS$1&amp;"P"&amp;$A6)="N/A",0,RTD("tos.rtd",,DF$2,"."&amp;$A$2&amp;$AS$1&amp;"P"&amp;$A6))</f>
        <v>7.06</v>
      </c>
      <c r="DG6" s="86">
        <f t="shared" si="48"/>
        <v>7.0499999999999545</v>
      </c>
      <c r="DH6" s="3">
        <f t="shared" si="22"/>
        <v>0</v>
      </c>
      <c r="DI6" s="3">
        <f t="shared" si="49"/>
        <v>0</v>
      </c>
      <c r="DJ6" s="3">
        <f t="shared" si="50"/>
        <v>0</v>
      </c>
      <c r="DK6" s="3">
        <f t="shared" si="51"/>
        <v>0</v>
      </c>
      <c r="DL6" s="3">
        <f t="shared" si="52"/>
        <v>0</v>
      </c>
      <c r="DM6" s="3">
        <f t="shared" si="53"/>
        <v>0</v>
      </c>
      <c r="DN6" s="63" t="str">
        <f t="shared" si="54"/>
        <v>UNKNOWN</v>
      </c>
      <c r="DO6" s="63" t="str">
        <f t="shared" si="55"/>
        <v>UNKNOWN</v>
      </c>
      <c r="DP6" s="3">
        <f t="shared" si="56"/>
        <v>0</v>
      </c>
      <c r="DQ6" s="3">
        <f t="shared" si="57"/>
        <v>0</v>
      </c>
      <c r="DR6" s="3">
        <f t="shared" ca="1" si="58"/>
        <v>0</v>
      </c>
      <c r="DS6" s="3">
        <f t="shared" si="59"/>
        <v>0</v>
      </c>
      <c r="DT6" s="3">
        <f t="shared" si="60"/>
        <v>0</v>
      </c>
      <c r="DU6" s="3">
        <f t="shared" si="61"/>
        <v>0</v>
      </c>
      <c r="DV6" s="3">
        <f t="shared" si="62"/>
        <v>2718</v>
      </c>
      <c r="DW6" s="3">
        <f t="shared" si="23"/>
        <v>-79</v>
      </c>
      <c r="DX6" s="3">
        <f t="shared" ca="1" si="24"/>
        <v>2.6991954006833855E-2</v>
      </c>
      <c r="DY6" s="3">
        <f t="shared" ca="1" si="25"/>
        <v>-3.4176869628600788E-2</v>
      </c>
      <c r="DZ6" s="3">
        <f t="shared" ca="1" si="26"/>
        <v>2.8256318269303748E-2</v>
      </c>
      <c r="EA6" s="3">
        <f t="shared" ca="1" si="27"/>
        <v>-2.645886186889607E-2</v>
      </c>
      <c r="EB6" s="3">
        <f t="shared" ca="1" si="28"/>
        <v>3.131627512289719E-2</v>
      </c>
      <c r="EC6" s="3">
        <f t="shared" ca="1" si="29"/>
        <v>-3.0344958890866053E-2</v>
      </c>
      <c r="ED6" s="63">
        <f t="shared" si="63"/>
        <v>2639</v>
      </c>
      <c r="EE6" s="59">
        <f t="shared" si="64"/>
        <v>0.62780000000000002</v>
      </c>
      <c r="EF6" s="59">
        <f t="shared" si="30"/>
        <v>1.1060000000000001</v>
      </c>
      <c r="EG6" s="59">
        <f t="shared" si="31"/>
        <v>0.1704</v>
      </c>
      <c r="EH6" s="59">
        <f t="shared" si="32"/>
        <v>0.18640000000000001</v>
      </c>
      <c r="EI6" s="59">
        <f t="shared" si="33"/>
        <v>0.1457</v>
      </c>
      <c r="EJ6" s="59">
        <f t="shared" si="34"/>
        <v>0.15329999999999999</v>
      </c>
      <c r="EK6" s="63">
        <f t="shared" ca="1" si="65"/>
        <v>25848917.792424858</v>
      </c>
      <c r="EL6" s="3" t="str">
        <f>RTD("tos.rtd",,EL$2,"."&amp;$A$2&amp;$AS$1&amp;"C"&amp;$A6)</f>
        <v>62.78%</v>
      </c>
      <c r="EM6" s="3" t="str">
        <f>RTD("tos.rtd",,EM$2,"."&amp;$A$2&amp;$AS$1&amp;"P"&amp;$A6)</f>
        <v>110.60%</v>
      </c>
      <c r="EN6" s="3" t="str">
        <f>RTD("tos.rtd",,EN$2,"."&amp;$A$2&amp;$AU$1&amp;"C"&amp;$A6)</f>
        <v>17.04%</v>
      </c>
      <c r="EO6" s="3" t="str">
        <f>RTD("tos.rtd",,EO$2,"."&amp;$A$2&amp;$AU$1&amp;"P"&amp;$A6)</f>
        <v>18.64%</v>
      </c>
      <c r="EP6" s="3" t="str">
        <f>RTD("tos.rtd",,EP$2,"."&amp;$A$2&amp;$AW$1&amp;"C"&amp;$A6)</f>
        <v>14.57%</v>
      </c>
      <c r="EQ6" s="3" t="str">
        <f>RTD("tos.rtd",,EQ$2,"."&amp;$A$2&amp;$AW$1&amp;"P"&amp;$A6)</f>
        <v>15.33%</v>
      </c>
      <c r="ES6" s="63" t="str">
        <f t="shared" si="66"/>
        <v>590,2639.00</v>
      </c>
      <c r="ET6" s="63" t="str">
        <f t="shared" ca="1" si="67"/>
        <v>590,918431.77</v>
      </c>
      <c r="EU6" s="67">
        <v>564.79999999999995</v>
      </c>
      <c r="EV6" s="67" t="s">
        <v>67</v>
      </c>
      <c r="EW6" s="67">
        <v>487.92</v>
      </c>
      <c r="EX6" s="67" t="s">
        <v>68</v>
      </c>
      <c r="EY6" s="67">
        <v>5659.91</v>
      </c>
      <c r="EZ6" s="67" t="s">
        <v>69</v>
      </c>
      <c r="FA6" s="67">
        <v>20061.449000000001</v>
      </c>
      <c r="FB6" s="67" t="s">
        <v>70</v>
      </c>
      <c r="FC6" s="67" t="s">
        <v>71</v>
      </c>
      <c r="FD6" s="67" t="s">
        <v>72</v>
      </c>
      <c r="FE6" s="67" t="s">
        <v>73</v>
      </c>
      <c r="FF6" s="67" t="s">
        <v>74</v>
      </c>
    </row>
    <row r="7" spans="1:162" s="63" customFormat="1" ht="13.5" thickBot="1" x14ac:dyDescent="0.25">
      <c r="A7" s="2">
        <f t="shared" si="68"/>
        <v>589</v>
      </c>
      <c r="B7" s="3">
        <f t="shared" si="9"/>
        <v>1875</v>
      </c>
      <c r="C7" s="3">
        <f t="shared" si="10"/>
        <v>4181</v>
      </c>
      <c r="D7" s="3">
        <f t="shared" si="11"/>
        <v>484</v>
      </c>
      <c r="E7" s="3">
        <f t="shared" si="12"/>
        <v>6540</v>
      </c>
      <c r="F7" s="4">
        <f t="shared" si="13"/>
        <v>5926.6262115104209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>
        <v>2161</v>
      </c>
      <c r="AN7" s="1">
        <v>76</v>
      </c>
      <c r="AO7" s="1">
        <v>589</v>
      </c>
      <c r="AP7" s="1">
        <v>12093</v>
      </c>
      <c r="AQ7" s="1">
        <v>-316</v>
      </c>
      <c r="AR7" s="1"/>
      <c r="AS7" s="6">
        <f>IF(RTD("tos.rtd",,AS$2,"."&amp;$A$2&amp;$AS$1&amp;"C"&amp;$A7)="N/A",0,RTD("tos.rtd",,AS$2,"."&amp;$A$2&amp;$AS$1&amp;"C"&amp;$A7))</f>
        <v>1874</v>
      </c>
      <c r="AT7" s="7">
        <f>-IF(RTD("tos.rtd",,AT$2,"."&amp;$A$2&amp;$AS$1&amp;"P"&amp;$A7)="N/A",0,RTD("tos.rtd",,AT$2,"."&amp;$A$2&amp;$AS$1&amp;"P"&amp;$A7))</f>
        <v>-1</v>
      </c>
      <c r="AU7" s="6">
        <f>IF(RTD("tos.rtd",,AU$2,"."&amp;$A$2&amp;$AU$1&amp;"C"&amp;$A7)="N/A",0,RTD("tos.rtd",,AU$2,"."&amp;$A$2&amp;$AU$1&amp;"C"&amp;$A7))</f>
        <v>4147</v>
      </c>
      <c r="AV7" s="7">
        <f>-IF(RTD("tos.rtd",,AV$2,"."&amp;$A$2&amp;$AU$1&amp;"P"&amp;$A7)="N/A",0,RTD("tos.rtd",,AV$2,"."&amp;$A$2&amp;$AU$1&amp;"P"&amp;$A7))</f>
        <v>-34</v>
      </c>
      <c r="AW7" s="6">
        <f>IF(RTD("tos.rtd",,AW$2,"."&amp;$A$2&amp;$AW$1&amp;"C"&amp;$A7)="N/A",0,RTD("tos.rtd",,AW$2,"."&amp;$A$2&amp;$AW$1&amp;"C"&amp;$A7))</f>
        <v>476</v>
      </c>
      <c r="AX7" s="7">
        <f>-IF(RTD("tos.rtd",,AX$2,"."&amp;$A$2&amp;$AW$1&amp;"P"&amp;$A7)="N/A",0,RTD("tos.rtd",,AX$2,"."&amp;$A$2&amp;$AW$1&amp;"P"&amp;$A7))</f>
        <v>-8</v>
      </c>
      <c r="AY7" s="1">
        <f t="shared" si="69"/>
        <v>6454</v>
      </c>
      <c r="AZ7" s="8">
        <f t="shared" si="35"/>
        <v>589</v>
      </c>
      <c r="BA7" s="6">
        <f>IF(RTD("tos.rtd",,BA$2,"."&amp;$A$2&amp;$AS$1&amp;"C"&amp;$A7)="N/A",0,RTD("tos.rtd",,BA$2,"."&amp;$A$2&amp;$AS$1&amp;"C"&amp;$A7))</f>
        <v>12093</v>
      </c>
      <c r="BB7" s="7">
        <f>-IF(RTD("tos.rtd",,BB$2,"."&amp;$A$2&amp;$AS$1&amp;"P"&amp;$A7)="N/A",0,RTD("tos.rtd",,BB$2,"."&amp;$A$2&amp;$AS$1&amp;"P"&amp;$A7))</f>
        <v>-316</v>
      </c>
      <c r="BC7" s="6">
        <f>IF(RTD("tos.rtd",,BC$2,"."&amp;$A$2&amp;$AU$1&amp;"C"&amp;$A7)="N/A",0,RTD("tos.rtd",,BC$2,"."&amp;$A$2&amp;$AU$1&amp;"C"&amp;$A7))</f>
        <v>7100</v>
      </c>
      <c r="BD7" s="7">
        <f>-IF(RTD("tos.rtd",,BD$2,"."&amp;$A$2&amp;$AU$1&amp;"P"&amp;$A7)="N/A",0,RTD("tos.rtd",,BD$2,"."&amp;$A$2&amp;$AU$1&amp;"P"&amp;$A7))</f>
        <v>-161</v>
      </c>
      <c r="BE7" s="6">
        <f>IF(RTD("tos.rtd",,BE$2,"."&amp;$A$2&amp;$AW$1&amp;"C"&amp;$A7)="N/A",0,RTD("tos.rtd",,BE$2,"."&amp;$A$2&amp;$AW$1&amp;"C"&amp;$A7))</f>
        <v>534</v>
      </c>
      <c r="BF7" s="83">
        <f>-IF(RTD("tos.rtd",,BF$2,"."&amp;$A$2&amp;$AW$1&amp;"P"&amp;$A7)="N/A",0,RTD("tos.rtd",,BF$2,"."&amp;$A$2&amp;$AW$1&amp;"P"&amp;$A7))</f>
        <v>-536</v>
      </c>
      <c r="BG7" s="32">
        <f ca="1">+Hoja2!Y8</f>
        <v>1840</v>
      </c>
      <c r="BH7" s="7">
        <f t="shared" ca="1" si="36"/>
        <v>20554</v>
      </c>
      <c r="BI7" s="8" t="str">
        <f t="shared" ref="BI7" ca="1" si="78">IF(AND(BH7&lt;0,BH6&gt;0), "Cruce -", IF(AND(BH7&gt;0,BH6&lt;0),"Cruce +", ""))</f>
        <v/>
      </c>
      <c r="BJ7" s="3">
        <f ca="1">IF($BP$1=1,DX7,IF(RTD("tos.rtd",,BJ$2,"."&amp;$A$2&amp;$AS$1&amp;"C"&amp;$A7)="N/A",0,RTD("tos.rtd",,BJ$2,"."&amp;$A$2&amp;$AS$1&amp;"C"&amp;$A7)))</f>
        <v>3.2134468074021448E-2</v>
      </c>
      <c r="BK7" s="3">
        <f ca="1">IF($BP$1=1,DY7,-IF(RTD("tos.rtd",,BK$2,"."&amp;$A$2&amp;$AS$1&amp;"P"&amp;$A7)="N/A",0,RTD("tos.rtd",,BK$2,"."&amp;$A$2&amp;$AS$1&amp;"P"&amp;$A7)))</f>
        <v>-3.9409792233992005E-2</v>
      </c>
      <c r="BL7" s="3">
        <f ca="1">IF($BP$1=1,DZ7,IF(RTD("tos.rtd",,BL$2,"."&amp;$A$2&amp;$AU$1&amp;"C"&amp;$A7)="N/A",0,RTD("tos.rtd",,BL$2,"."&amp;$A$2&amp;$AU$1&amp;"C"&amp;$A7)))</f>
        <v>2.9286422846300522E-2</v>
      </c>
      <c r="BM7" s="3">
        <f ca="1">IF($BP$1=1,EA7,-IF(RTD("tos.rtd",,BM$2,"."&amp;$A$2&amp;$AU$1&amp;"P"&amp;$A7)="N/A",0,RTD("tos.rtd",,BM$2,"."&amp;$A$2&amp;$AU$1&amp;"P"&amp;$A7)))</f>
        <v>-2.874044647495411E-2</v>
      </c>
      <c r="BN7" s="3">
        <f ca="1">IF($BP$1=1,EB7,IF(RTD("tos.rtd",,BN$2,"."&amp;$A$2&amp;$AW$1&amp;"C"&amp;$A7)="N/A",0,RTD("tos.rtd",,BN$2,"."&amp;$A$2&amp;$AW$1&amp;"C"&amp;$A7)))</f>
        <v>3.285651721068502E-2</v>
      </c>
      <c r="BO7" s="3">
        <f ca="1">IF($BP$1=1,EC7,-IF(RTD("tos.rtd",,BO$2,"."&amp;$A$2&amp;$AW$1&amp;"P"&amp;$A7)="N/A",0,RTD("tos.rtd",,BO$2,"."&amp;$A$2&amp;$AW$1&amp;"P"&amp;$A7)))</f>
        <v>-3.168569349654915E-2</v>
      </c>
      <c r="BQ7" s="3">
        <f t="shared" ca="1" si="37"/>
        <v>20451209.926369432</v>
      </c>
      <c r="BR7" s="3" t="str">
        <f t="shared" ca="1" si="71"/>
        <v/>
      </c>
      <c r="BS7" s="3">
        <f t="shared" ca="1" si="38"/>
        <v>40940635.04083287</v>
      </c>
      <c r="BT7" s="3" t="str">
        <f t="shared" ca="1" si="71"/>
        <v/>
      </c>
      <c r="BU7" s="3">
        <f t="shared" ca="1" si="39"/>
        <v>5228708.8110543108</v>
      </c>
      <c r="BV7" s="3" t="str">
        <f t="shared" ref="BV7" ca="1" si="79">IF(AND(BU7&lt;0,BU6&gt;0), "Cruce -", IF(AND(BU7&gt;0,BU6&lt;0),"Cruce +", ""))</f>
        <v/>
      </c>
      <c r="BX7" s="3">
        <f t="shared" ca="1" si="40"/>
        <v>127826852.52252677</v>
      </c>
      <c r="BY7" s="3" t="str">
        <f t="shared" ca="1" si="73"/>
        <v/>
      </c>
      <c r="BZ7" s="3">
        <f t="shared" ca="1" si="41"/>
        <v>69089753.447314233</v>
      </c>
      <c r="CA7" s="3" t="str">
        <f t="shared" ca="1" si="74"/>
        <v/>
      </c>
      <c r="CB7" s="3">
        <f t="shared" ca="1" si="42"/>
        <v>190933.36241842993</v>
      </c>
      <c r="CC7" s="3" t="str">
        <f t="shared" ca="1" si="75"/>
        <v/>
      </c>
      <c r="CD7" s="3">
        <f>IF(RTD("tos.rtd",,CD$2,"."&amp;$A$2&amp;$AS$1&amp;"C"&amp;$A7)="N/A",0,RTD("tos.rtd",,CD$2,"."&amp;$A$2&amp;$AS$1&amp;"C"&amp;$A7))</f>
        <v>0.01</v>
      </c>
      <c r="CE7" s="3">
        <f>-IF(RTD("tos.rtd",,CE$2,"."&amp;$A$2&amp;$AS$1&amp;"P"&amp;$A7)="N/A",0,RTD("tos.rtd",,CE$2,"."&amp;$A$2&amp;$AS$1&amp;"P"&amp;$A7))</f>
        <v>0.91</v>
      </c>
      <c r="CF7" s="3">
        <f>IF(RTD("tos.rtd",,CF$2,"."&amp;$A$2&amp;$AU$1&amp;"C"&amp;$A7)="N/A",0,RTD("tos.rtd",,CF$2,"."&amp;$A$2&amp;$AU$1&amp;"C"&amp;$A7))</f>
        <v>0.28999999999999998</v>
      </c>
      <c r="CG7" s="3">
        <f>-IF(RTD("tos.rtd",,CG$2,"."&amp;$A$2&amp;$AU$1&amp;"P"&amp;$A7)="N/A",0,RTD("tos.rtd",,CG$2,"."&amp;$A$2&amp;$AU$1&amp;"P"&amp;$A7))</f>
        <v>0.71</v>
      </c>
      <c r="CH7" s="3">
        <f>IF(RTD("tos.rtd",,CH$2,"."&amp;$A$2&amp;$AW$1&amp;"C"&amp;$A7)="N/A",0,RTD("tos.rtd",,CH$2,"."&amp;$A$2&amp;$AW$1&amp;"C"&amp;$A7))</f>
        <v>0.45</v>
      </c>
      <c r="CI7" s="3">
        <f>-IF(RTD("tos.rtd",,CI$2,"."&amp;$A$2&amp;$AW$1&amp;"P"&amp;$A7)="N/A",0,RTD("tos.rtd",,CI$2,"."&amp;$A$2&amp;$AW$1&amp;"P"&amp;$A7))</f>
        <v>0.55000000000000004</v>
      </c>
      <c r="CK7" s="3">
        <f t="shared" si="17"/>
        <v>1783.0000000000002</v>
      </c>
      <c r="CL7" s="3"/>
      <c r="CM7" s="3">
        <f t="shared" si="18"/>
        <v>117848.99999999999</v>
      </c>
      <c r="CN7" s="3"/>
      <c r="CO7" s="3">
        <f t="shared" si="19"/>
        <v>20980</v>
      </c>
      <c r="CP7" s="3">
        <f t="shared" si="43"/>
        <v>140612</v>
      </c>
      <c r="CQ7" s="3">
        <f t="shared" si="44"/>
        <v>11777</v>
      </c>
      <c r="CR7" s="3"/>
      <c r="CS7" s="3">
        <f t="shared" si="20"/>
        <v>6939</v>
      </c>
      <c r="CT7" s="3"/>
      <c r="CU7" s="3">
        <f t="shared" si="21"/>
        <v>-2</v>
      </c>
      <c r="CV7" s="3">
        <f t="shared" si="45"/>
        <v>18714</v>
      </c>
      <c r="CW7" s="3">
        <f t="shared" ca="1" si="46"/>
        <v>66620553.778256617</v>
      </c>
      <c r="CX7" s="85" t="str">
        <f t="shared" ca="1" si="76"/>
        <v/>
      </c>
      <c r="CY7" s="3">
        <f t="shared" ca="1" si="47"/>
        <v>197107539.33225945</v>
      </c>
      <c r="CZ7" s="85" t="str">
        <f t="shared" ca="1" si="77"/>
        <v/>
      </c>
      <c r="DA7" s="3">
        <f>IF(RTD("tos.rtd",,DA$2,"."&amp;$A$2&amp;$AS$1&amp;"C"&amp;$A7)="N/A",0,RTD("tos.rtd",,DA$2,"."&amp;$A$2&amp;$AS$1&amp;"C"&amp;$A7))</f>
        <v>0.01</v>
      </c>
      <c r="DB7" s="3">
        <f>IF(RTD("tos.rtd",,DB$2,"."&amp;$A$2&amp;$AS$1&amp;"P"&amp;$A7)="N/A",0,RTD("tos.rtd",,DB$2,"."&amp;$A$2&amp;$AS$1&amp;"P"&amp;$A7))</f>
        <v>5.6</v>
      </c>
      <c r="DC7" s="3">
        <f>IF(RTD("tos.rtd",,DC$2,"."&amp;$A$2&amp;$AS$1&amp;"C"&amp;$A7)="N/A",0,RTD("tos.rtd",,DC$2,"."&amp;$A$2&amp;$AS$1&amp;"C"&amp;$A7))</f>
        <v>0.01</v>
      </c>
      <c r="DD7" s="3">
        <f>IF(RTD("tos.rtd",,DD$2,"."&amp;$A$2&amp;$AS$1&amp;"P"&amp;$A7)="N/A",0,RTD("tos.rtd",,DD$2,"."&amp;$A$2&amp;$AS$1&amp;"P"&amp;$A7))</f>
        <v>6.35</v>
      </c>
      <c r="DE7" s="3">
        <f>IF(RTD("tos.rtd",,DE$2,"."&amp;$A$2&amp;$AS$1&amp;"C"&amp;$A7)="N/A",0,RTD("tos.rtd",,DE$2,"."&amp;$A$2&amp;$AS$1&amp;"C"&amp;$A7))</f>
        <v>0</v>
      </c>
      <c r="DF7" s="3">
        <f>IF(RTD("tos.rtd",,DF$2,"."&amp;$A$2&amp;$AS$1&amp;"P"&amp;$A7)="N/A",0,RTD("tos.rtd",,DF$2,"."&amp;$A$2&amp;$AS$1&amp;"P"&amp;$A7))</f>
        <v>6.06</v>
      </c>
      <c r="DG7" s="86">
        <f t="shared" si="48"/>
        <v>6.0499999999999545</v>
      </c>
      <c r="DH7" s="3">
        <f t="shared" si="22"/>
        <v>0</v>
      </c>
      <c r="DI7" s="3">
        <f t="shared" si="49"/>
        <v>0</v>
      </c>
      <c r="DJ7" s="3">
        <f t="shared" si="50"/>
        <v>0</v>
      </c>
      <c r="DK7" s="3">
        <f t="shared" si="51"/>
        <v>0</v>
      </c>
      <c r="DL7" s="3">
        <f t="shared" si="52"/>
        <v>0</v>
      </c>
      <c r="DM7" s="3">
        <f t="shared" si="53"/>
        <v>0</v>
      </c>
      <c r="DN7" s="63" t="str">
        <f t="shared" si="54"/>
        <v>UNKNOWN</v>
      </c>
      <c r="DO7" s="63" t="str">
        <f t="shared" si="55"/>
        <v>UNKNOWN</v>
      </c>
      <c r="DP7" s="3">
        <f t="shared" si="56"/>
        <v>0</v>
      </c>
      <c r="DQ7" s="3">
        <f t="shared" si="57"/>
        <v>0</v>
      </c>
      <c r="DR7" s="3">
        <f t="shared" ca="1" si="58"/>
        <v>0</v>
      </c>
      <c r="DS7" s="3">
        <f t="shared" si="59"/>
        <v>0</v>
      </c>
      <c r="DT7" s="3">
        <f t="shared" si="60"/>
        <v>0</v>
      </c>
      <c r="DU7" s="3">
        <f t="shared" si="61"/>
        <v>0</v>
      </c>
      <c r="DV7" s="3">
        <f t="shared" si="62"/>
        <v>2161</v>
      </c>
      <c r="DW7" s="3">
        <f t="shared" si="23"/>
        <v>76</v>
      </c>
      <c r="DX7" s="3">
        <f t="shared" ca="1" si="24"/>
        <v>3.2134468074021448E-2</v>
      </c>
      <c r="DY7" s="3">
        <f t="shared" ca="1" si="25"/>
        <v>-3.9409792233992005E-2</v>
      </c>
      <c r="DZ7" s="3">
        <f t="shared" ca="1" si="26"/>
        <v>2.9286422846300522E-2</v>
      </c>
      <c r="EA7" s="3">
        <f t="shared" ca="1" si="27"/>
        <v>-2.874044647495411E-2</v>
      </c>
      <c r="EB7" s="3">
        <f t="shared" ca="1" si="28"/>
        <v>3.285651721068502E-2</v>
      </c>
      <c r="EC7" s="3">
        <f t="shared" ca="1" si="29"/>
        <v>-3.168569349654915E-2</v>
      </c>
      <c r="ED7" s="63">
        <f t="shared" si="63"/>
        <v>2237</v>
      </c>
      <c r="EE7" s="59">
        <f t="shared" si="64"/>
        <v>0.54859999999999998</v>
      </c>
      <c r="EF7" s="59">
        <f t="shared" si="30"/>
        <v>0.98260000000000003</v>
      </c>
      <c r="EG7" s="59">
        <f t="shared" si="31"/>
        <v>0.17119999999999999</v>
      </c>
      <c r="EH7" s="59">
        <f t="shared" si="32"/>
        <v>0.17530000000000001</v>
      </c>
      <c r="EI7" s="59">
        <f t="shared" si="33"/>
        <v>0.14699999999999999</v>
      </c>
      <c r="EJ7" s="59">
        <f t="shared" si="34"/>
        <v>0.1545</v>
      </c>
      <c r="EK7" s="63">
        <f t="shared" ca="1" si="65"/>
        <v>22580880.655686989</v>
      </c>
      <c r="EL7" s="3" t="str">
        <f>RTD("tos.rtd",,EL$2,"."&amp;$A$2&amp;$AS$1&amp;"C"&amp;$A7)</f>
        <v>54.86%</v>
      </c>
      <c r="EM7" s="3" t="str">
        <f>RTD("tos.rtd",,EM$2,"."&amp;$A$2&amp;$AS$1&amp;"P"&amp;$A7)</f>
        <v>98.26%</v>
      </c>
      <c r="EN7" s="3" t="str">
        <f>RTD("tos.rtd",,EN$2,"."&amp;$A$2&amp;$AU$1&amp;"C"&amp;$A7)</f>
        <v>17.12%</v>
      </c>
      <c r="EO7" s="3" t="str">
        <f>RTD("tos.rtd",,EO$2,"."&amp;$A$2&amp;$AU$1&amp;"P"&amp;$A7)</f>
        <v>17.53%</v>
      </c>
      <c r="EP7" s="3" t="str">
        <f>RTD("tos.rtd",,EP$2,"."&amp;$A$2&amp;$AW$1&amp;"C"&amp;$A7)</f>
        <v>14.70%</v>
      </c>
      <c r="EQ7" s="3" t="str">
        <f>RTD("tos.rtd",,EQ$2,"."&amp;$A$2&amp;$AW$1&amp;"P"&amp;$A7)</f>
        <v>15.45%</v>
      </c>
      <c r="ES7" s="63" t="str">
        <f t="shared" si="66"/>
        <v>589,2237.00</v>
      </c>
      <c r="ET7" s="63" t="str">
        <f t="shared" ca="1" si="67"/>
        <v>589,197107.54</v>
      </c>
      <c r="EU7" s="67">
        <v>564.79999999999995</v>
      </c>
      <c r="EV7" s="67" t="s">
        <v>75</v>
      </c>
      <c r="EW7" s="67">
        <v>487.92</v>
      </c>
      <c r="EX7" s="67" t="s">
        <v>76</v>
      </c>
      <c r="EY7" s="67">
        <v>5659.91</v>
      </c>
      <c r="EZ7" s="67" t="s">
        <v>77</v>
      </c>
      <c r="FA7" s="67">
        <v>20061.449000000001</v>
      </c>
      <c r="FB7" s="67" t="s">
        <v>78</v>
      </c>
      <c r="FC7" s="67" t="s">
        <v>79</v>
      </c>
      <c r="FD7" s="67" t="s">
        <v>80</v>
      </c>
      <c r="FE7" s="67" t="s">
        <v>81</v>
      </c>
      <c r="FF7" s="67" t="s">
        <v>82</v>
      </c>
    </row>
    <row r="8" spans="1:162" s="63" customFormat="1" ht="13.5" thickBot="1" x14ac:dyDescent="0.25">
      <c r="A8" s="2">
        <f t="shared" si="68"/>
        <v>588</v>
      </c>
      <c r="B8" s="3">
        <f t="shared" si="9"/>
        <v>1790</v>
      </c>
      <c r="C8" s="3">
        <f t="shared" si="10"/>
        <v>5295</v>
      </c>
      <c r="D8" s="3">
        <f t="shared" si="11"/>
        <v>1596</v>
      </c>
      <c r="E8" s="3">
        <f t="shared" si="12"/>
        <v>8681</v>
      </c>
      <c r="F8" s="4">
        <f t="shared" si="13"/>
        <v>5916.56402778969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v>3578</v>
      </c>
      <c r="AN8" s="1">
        <v>413</v>
      </c>
      <c r="AO8" s="1">
        <v>588</v>
      </c>
      <c r="AP8" s="1">
        <v>12874</v>
      </c>
      <c r="AQ8" s="1">
        <v>-1760</v>
      </c>
      <c r="AR8" s="1"/>
      <c r="AS8" s="6">
        <f>IF(RTD("tos.rtd",,AS$2,"."&amp;$A$2&amp;$AS$1&amp;"C"&amp;$A8)="N/A",0,RTD("tos.rtd",,AS$2,"."&amp;$A$2&amp;$AS$1&amp;"C"&amp;$A8))</f>
        <v>1790</v>
      </c>
      <c r="AT8" s="7">
        <f>-IF(RTD("tos.rtd",,AT$2,"."&amp;$A$2&amp;$AS$1&amp;"P"&amp;$A8)="N/A",0,RTD("tos.rtd",,AT$2,"."&amp;$A$2&amp;$AS$1&amp;"P"&amp;$A8))</f>
        <v>0</v>
      </c>
      <c r="AU8" s="6">
        <f>IF(RTD("tos.rtd",,AU$2,"."&amp;$A$2&amp;$AU$1&amp;"C"&amp;$A8)="N/A",0,RTD("tos.rtd",,AU$2,"."&amp;$A$2&amp;$AU$1&amp;"C"&amp;$A8))</f>
        <v>5200</v>
      </c>
      <c r="AV8" s="7">
        <f>-IF(RTD("tos.rtd",,AV$2,"."&amp;$A$2&amp;$AU$1&amp;"P"&amp;$A8)="N/A",0,RTD("tos.rtd",,AV$2,"."&amp;$A$2&amp;$AU$1&amp;"P"&amp;$A8))</f>
        <v>-95</v>
      </c>
      <c r="AW8" s="6">
        <f>IF(RTD("tos.rtd",,AW$2,"."&amp;$A$2&amp;$AW$1&amp;"C"&amp;$A8)="N/A",0,RTD("tos.rtd",,AW$2,"."&amp;$A$2&amp;$AW$1&amp;"C"&amp;$A8))</f>
        <v>1584</v>
      </c>
      <c r="AX8" s="7">
        <f>-IF(RTD("tos.rtd",,AX$2,"."&amp;$A$2&amp;$AW$1&amp;"P"&amp;$A8)="N/A",0,RTD("tos.rtd",,AX$2,"."&amp;$A$2&amp;$AW$1&amp;"P"&amp;$A8))</f>
        <v>-12</v>
      </c>
      <c r="AY8" s="1">
        <f t="shared" si="69"/>
        <v>8467</v>
      </c>
      <c r="AZ8" s="8">
        <f t="shared" si="35"/>
        <v>588</v>
      </c>
      <c r="BA8" s="6">
        <f>IF(RTD("tos.rtd",,BA$2,"."&amp;$A$2&amp;$AS$1&amp;"C"&amp;$A8)="N/A",0,RTD("tos.rtd",,BA$2,"."&amp;$A$2&amp;$AS$1&amp;"C"&amp;$A8))</f>
        <v>13256</v>
      </c>
      <c r="BB8" s="7">
        <f>-IF(RTD("tos.rtd",,BB$2,"."&amp;$A$2&amp;$AS$1&amp;"P"&amp;$A8)="N/A",0,RTD("tos.rtd",,BB$2,"."&amp;$A$2&amp;$AS$1&amp;"P"&amp;$A8))</f>
        <v>-1760</v>
      </c>
      <c r="BC8" s="6">
        <f>IF(RTD("tos.rtd",,BC$2,"."&amp;$A$2&amp;$AU$1&amp;"C"&amp;$A8)="N/A",0,RTD("tos.rtd",,BC$2,"."&amp;$A$2&amp;$AU$1&amp;"C"&amp;$A8))</f>
        <v>4966</v>
      </c>
      <c r="BD8" s="7">
        <f>-IF(RTD("tos.rtd",,BD$2,"."&amp;$A$2&amp;$AU$1&amp;"P"&amp;$A8)="N/A",0,RTD("tos.rtd",,BD$2,"."&amp;$A$2&amp;$AU$1&amp;"P"&amp;$A8))</f>
        <v>-347</v>
      </c>
      <c r="BE8" s="6">
        <f>IF(RTD("tos.rtd",,BE$2,"."&amp;$A$2&amp;$AW$1&amp;"C"&amp;$A8)="N/A",0,RTD("tos.rtd",,BE$2,"."&amp;$A$2&amp;$AW$1&amp;"C"&amp;$A8))</f>
        <v>1398</v>
      </c>
      <c r="BF8" s="83">
        <f>-IF(RTD("tos.rtd",,BF$2,"."&amp;$A$2&amp;$AW$1&amp;"P"&amp;$A8)="N/A",0,RTD("tos.rtd",,BF$2,"."&amp;$A$2&amp;$AW$1&amp;"P"&amp;$A8))</f>
        <v>-147</v>
      </c>
      <c r="BG8" s="32">
        <f ca="1">+Hoja2!Y9</f>
        <v>1583</v>
      </c>
      <c r="BH8" s="7">
        <f t="shared" ca="1" si="36"/>
        <v>18949</v>
      </c>
      <c r="BI8" s="8" t="str">
        <f t="shared" ref="BI8" ca="1" si="80">IF(AND(BH8&lt;0,BH7&gt;0), "Cruce -", IF(AND(BH8&gt;0,BH7&lt;0),"Cruce +", ""))</f>
        <v/>
      </c>
      <c r="BJ8" s="3">
        <f ca="1">IF($BP$1=1,DX8,IF(RTD("tos.rtd",,BJ$2,"."&amp;$A$2&amp;$AS$1&amp;"C"&amp;$A8)="N/A",0,RTD("tos.rtd",,BJ$2,"."&amp;$A$2&amp;$AS$1&amp;"C"&amp;$A8)))</f>
        <v>3.9462621733245502E-2</v>
      </c>
      <c r="BK8" s="3">
        <f ca="1">IF($BP$1=1,DY8,-IF(RTD("tos.rtd",,BK$2,"."&amp;$A$2&amp;$AS$1&amp;"P"&amp;$A8)="N/A",0,RTD("tos.rtd",,BK$2,"."&amp;$A$2&amp;$AS$1&amp;"P"&amp;$A8)))</f>
        <v>-4.6505961848504945E-2</v>
      </c>
      <c r="BL8" s="3">
        <f ca="1">IF($BP$1=1,DZ8,IF(RTD("tos.rtd",,BL$2,"."&amp;$A$2&amp;$AU$1&amp;"C"&amp;$A8)="N/A",0,RTD("tos.rtd",,BL$2,"."&amp;$A$2&amp;$AU$1&amp;"C"&amp;$A8)))</f>
        <v>3.0110215338143426E-2</v>
      </c>
      <c r="BM8" s="3">
        <f ca="1">IF($BP$1=1,EA8,-IF(RTD("tos.rtd",,BM$2,"."&amp;$A$2&amp;$AU$1&amp;"P"&amp;$A8)="N/A",0,RTD("tos.rtd",,BM$2,"."&amp;$A$2&amp;$AU$1&amp;"P"&amp;$A8)))</f>
        <v>-3.0215696909921791E-2</v>
      </c>
      <c r="BN8" s="3">
        <f ca="1">IF($BP$1=1,EB8,IF(RTD("tos.rtd",,BN$2,"."&amp;$A$2&amp;$AW$1&amp;"C"&amp;$A8)="N/A",0,RTD("tos.rtd",,BN$2,"."&amp;$A$2&amp;$AW$1&amp;"C"&amp;$A8)))</f>
        <v>3.4133812134996756E-2</v>
      </c>
      <c r="BO8" s="3">
        <f ca="1">IF($BP$1=1,EC8,-IF(RTD("tos.rtd",,BO$2,"."&amp;$A$2&amp;$AW$1&amp;"P"&amp;$A8)="N/A",0,RTD("tos.rtd",,BO$2,"."&amp;$A$2&amp;$AW$1&amp;"P"&amp;$A8)))</f>
        <v>-3.283387817642601E-2</v>
      </c>
      <c r="BQ8" s="3">
        <f t="shared" ca="1" si="37"/>
        <v>24004992.734320056</v>
      </c>
      <c r="BR8" s="3" t="str">
        <f t="shared" ca="1" si="71"/>
        <v/>
      </c>
      <c r="BS8" s="3">
        <f t="shared" ca="1" si="38"/>
        <v>52232872.236889847</v>
      </c>
      <c r="BT8" s="3" t="str">
        <f t="shared" ca="1" si="71"/>
        <v/>
      </c>
      <c r="BU8" s="3">
        <f t="shared" ca="1" si="39"/>
        <v>18240056.774595004</v>
      </c>
      <c r="BV8" s="3" t="str">
        <f t="shared" ref="BV8" ca="1" si="81">IF(AND(BU8&lt;0,BU7&gt;0), "Cruce -", IF(AND(BU8&gt;0,BU7&lt;0),"Cruce +", ""))</f>
        <v/>
      </c>
      <c r="BX8" s="3">
        <f t="shared" ca="1" si="40"/>
        <v>149955741.8522979</v>
      </c>
      <c r="BY8" s="3" t="str">
        <f t="shared" ca="1" si="73"/>
        <v/>
      </c>
      <c r="BZ8" s="3">
        <f t="shared" ca="1" si="41"/>
        <v>47250904.519414254</v>
      </c>
      <c r="CA8" s="3" t="str">
        <f t="shared" ca="1" si="74"/>
        <v/>
      </c>
      <c r="CB8" s="3">
        <f t="shared" ca="1" si="42"/>
        <v>14576184.761546228</v>
      </c>
      <c r="CC8" s="3" t="str">
        <f t="shared" ca="1" si="75"/>
        <v/>
      </c>
      <c r="CD8" s="3">
        <f>IF(RTD("tos.rtd",,CD$2,"."&amp;$A$2&amp;$AS$1&amp;"C"&amp;$A8)="N/A",0,RTD("tos.rtd",,CD$2,"."&amp;$A$2&amp;$AS$1&amp;"C"&amp;$A8))</f>
        <v>0.01</v>
      </c>
      <c r="CE8" s="3">
        <f>-IF(RTD("tos.rtd",,CE$2,"."&amp;$A$2&amp;$AS$1&amp;"P"&amp;$A8)="N/A",0,RTD("tos.rtd",,CE$2,"."&amp;$A$2&amp;$AS$1&amp;"P"&amp;$A8))</f>
        <v>0.9</v>
      </c>
      <c r="CF8" s="3">
        <f>IF(RTD("tos.rtd",,CF$2,"."&amp;$A$2&amp;$AU$1&amp;"C"&amp;$A8)="N/A",0,RTD("tos.rtd",,CF$2,"."&amp;$A$2&amp;$AU$1&amp;"C"&amp;$A8))</f>
        <v>0.33</v>
      </c>
      <c r="CG8" s="3">
        <f>-IF(RTD("tos.rtd",,CG$2,"."&amp;$A$2&amp;$AU$1&amp;"P"&amp;$A8)="N/A",0,RTD("tos.rtd",,CG$2,"."&amp;$A$2&amp;$AU$1&amp;"P"&amp;$A8))</f>
        <v>0.68</v>
      </c>
      <c r="CH8" s="3">
        <f>IF(RTD("tos.rtd",,CH$2,"."&amp;$A$2&amp;$AW$1&amp;"C"&amp;$A8)="N/A",0,RTD("tos.rtd",,CH$2,"."&amp;$A$2&amp;$AW$1&amp;"C"&amp;$A8))</f>
        <v>0.47</v>
      </c>
      <c r="CI8" s="3">
        <f>-IF(RTD("tos.rtd",,CI$2,"."&amp;$A$2&amp;$AW$1&amp;"P"&amp;$A8)="N/A",0,RTD("tos.rtd",,CI$2,"."&amp;$A$2&amp;$AW$1&amp;"P"&amp;$A8))</f>
        <v>0.54</v>
      </c>
      <c r="CK8" s="3">
        <f t="shared" si="17"/>
        <v>1790.0000000000002</v>
      </c>
      <c r="CL8" s="3"/>
      <c r="CM8" s="3">
        <f t="shared" si="18"/>
        <v>165140</v>
      </c>
      <c r="CN8" s="3"/>
      <c r="CO8" s="3">
        <f t="shared" si="19"/>
        <v>73799.999999999985</v>
      </c>
      <c r="CP8" s="3">
        <f t="shared" si="43"/>
        <v>240730</v>
      </c>
      <c r="CQ8" s="3">
        <f t="shared" si="44"/>
        <v>11496</v>
      </c>
      <c r="CR8" s="3"/>
      <c r="CS8" s="3">
        <f t="shared" si="20"/>
        <v>4619</v>
      </c>
      <c r="CT8" s="3"/>
      <c r="CU8" s="3">
        <f t="shared" si="21"/>
        <v>1251</v>
      </c>
      <c r="CV8" s="3">
        <f t="shared" si="45"/>
        <v>17366</v>
      </c>
      <c r="CW8" s="3">
        <f t="shared" ca="1" si="46"/>
        <v>94477921.745804906</v>
      </c>
      <c r="CX8" s="85" t="str">
        <f t="shared" ca="1" si="76"/>
        <v/>
      </c>
      <c r="CY8" s="3">
        <f t="shared" ca="1" si="47"/>
        <v>211782831.13325837</v>
      </c>
      <c r="CZ8" s="85" t="str">
        <f t="shared" ca="1" si="77"/>
        <v/>
      </c>
      <c r="DA8" s="3">
        <f>IF(RTD("tos.rtd",,DA$2,"."&amp;$A$2&amp;$AS$1&amp;"C"&amp;$A8)="N/A",0,RTD("tos.rtd",,DA$2,"."&amp;$A$2&amp;$AS$1&amp;"C"&amp;$A8))</f>
        <v>0.01</v>
      </c>
      <c r="DB8" s="3">
        <f>IF(RTD("tos.rtd",,DB$2,"."&amp;$A$2&amp;$AS$1&amp;"P"&amp;$A8)="N/A",0,RTD("tos.rtd",,DB$2,"."&amp;$A$2&amp;$AS$1&amp;"P"&amp;$A8))</f>
        <v>7.05</v>
      </c>
      <c r="DC8" s="3">
        <f>IF(RTD("tos.rtd",,DC$2,"."&amp;$A$2&amp;$AS$1&amp;"C"&amp;$A8)="N/A",0,RTD("tos.rtd",,DC$2,"."&amp;$A$2&amp;$AS$1&amp;"C"&amp;$A8))</f>
        <v>0.01</v>
      </c>
      <c r="DD8" s="3">
        <f>IF(RTD("tos.rtd",,DD$2,"."&amp;$A$2&amp;$AS$1&amp;"P"&amp;$A8)="N/A",0,RTD("tos.rtd",,DD$2,"."&amp;$A$2&amp;$AS$1&amp;"P"&amp;$A8))</f>
        <v>5.35</v>
      </c>
      <c r="DE8" s="3">
        <f>IF(RTD("tos.rtd",,DE$2,"."&amp;$A$2&amp;$AS$1&amp;"C"&amp;$A8)="N/A",0,RTD("tos.rtd",,DE$2,"."&amp;$A$2&amp;$AS$1&amp;"C"&amp;$A8))</f>
        <v>0</v>
      </c>
      <c r="DF8" s="3">
        <f>IF(RTD("tos.rtd",,DF$2,"."&amp;$A$2&amp;$AS$1&amp;"P"&amp;$A8)="N/A",0,RTD("tos.rtd",,DF$2,"."&amp;$A$2&amp;$AS$1&amp;"P"&amp;$A8))</f>
        <v>5.0599999999999996</v>
      </c>
      <c r="DG8" s="86">
        <f t="shared" si="48"/>
        <v>5.0499999999999545</v>
      </c>
      <c r="DH8" s="3">
        <f t="shared" si="22"/>
        <v>382</v>
      </c>
      <c r="DI8" s="3">
        <f t="shared" si="49"/>
        <v>0</v>
      </c>
      <c r="DJ8" s="3">
        <f t="shared" si="50"/>
        <v>382</v>
      </c>
      <c r="DK8" s="3">
        <f t="shared" si="51"/>
        <v>0</v>
      </c>
      <c r="DL8" s="3">
        <f t="shared" si="52"/>
        <v>382</v>
      </c>
      <c r="DM8" s="3">
        <f t="shared" si="53"/>
        <v>382</v>
      </c>
      <c r="DN8" s="63" t="str">
        <f t="shared" si="54"/>
        <v>BUY</v>
      </c>
      <c r="DO8" s="63" t="str">
        <f t="shared" si="55"/>
        <v>UNKNOWN</v>
      </c>
      <c r="DP8" s="3">
        <f t="shared" si="56"/>
        <v>3.8200000000000003</v>
      </c>
      <c r="DQ8" s="3">
        <f t="shared" si="57"/>
        <v>3.8200000000000003</v>
      </c>
      <c r="DR8" s="3">
        <f t="shared" ca="1" si="58"/>
        <v>15.074721502099782</v>
      </c>
      <c r="DS8" s="3">
        <f t="shared" si="59"/>
        <v>3.8200000000000003</v>
      </c>
      <c r="DT8" s="3">
        <f t="shared" si="60"/>
        <v>382</v>
      </c>
      <c r="DU8" s="3">
        <f t="shared" si="61"/>
        <v>0</v>
      </c>
      <c r="DV8" s="3">
        <f t="shared" si="62"/>
        <v>3960</v>
      </c>
      <c r="DW8" s="3">
        <f t="shared" si="23"/>
        <v>413</v>
      </c>
      <c r="DX8" s="3">
        <f t="shared" ca="1" si="24"/>
        <v>3.9462621733245502E-2</v>
      </c>
      <c r="DY8" s="3">
        <f t="shared" ca="1" si="25"/>
        <v>-4.6505961848504945E-2</v>
      </c>
      <c r="DZ8" s="3">
        <f t="shared" ca="1" si="26"/>
        <v>3.0110215338143426E-2</v>
      </c>
      <c r="EA8" s="3">
        <f t="shared" ca="1" si="27"/>
        <v>-3.0215696909921791E-2</v>
      </c>
      <c r="EB8" s="3">
        <f t="shared" ca="1" si="28"/>
        <v>3.4133812134996756E-2</v>
      </c>
      <c r="EC8" s="3">
        <f t="shared" ca="1" si="29"/>
        <v>-3.283387817642601E-2</v>
      </c>
      <c r="ED8" s="63">
        <f t="shared" si="63"/>
        <v>4373</v>
      </c>
      <c r="EE8" s="59">
        <f t="shared" si="64"/>
        <v>0.46810000000000002</v>
      </c>
      <c r="EF8" s="59">
        <f t="shared" si="30"/>
        <v>0.85660000000000003</v>
      </c>
      <c r="EG8" s="59">
        <f t="shared" si="31"/>
        <v>0.17219999999999999</v>
      </c>
      <c r="EH8" s="59">
        <f t="shared" si="32"/>
        <v>0.17150000000000001</v>
      </c>
      <c r="EI8" s="59">
        <f t="shared" si="33"/>
        <v>0.1482</v>
      </c>
      <c r="EJ8" s="59">
        <f t="shared" si="34"/>
        <v>0.15540000000000001</v>
      </c>
      <c r="EK8" s="63">
        <f t="shared" ca="1" si="65"/>
        <v>46578901.973681673</v>
      </c>
      <c r="EL8" s="3" t="str">
        <f>RTD("tos.rtd",,EL$2,"."&amp;$A$2&amp;$AS$1&amp;"C"&amp;$A8)</f>
        <v>46.81%</v>
      </c>
      <c r="EM8" s="3" t="str">
        <f>RTD("tos.rtd",,EM$2,"."&amp;$A$2&amp;$AS$1&amp;"P"&amp;$A8)</f>
        <v>85.66%</v>
      </c>
      <c r="EN8" s="3" t="str">
        <f>RTD("tos.rtd",,EN$2,"."&amp;$A$2&amp;$AU$1&amp;"C"&amp;$A8)</f>
        <v>17.22%</v>
      </c>
      <c r="EO8" s="3" t="str">
        <f>RTD("tos.rtd",,EO$2,"."&amp;$A$2&amp;$AU$1&amp;"P"&amp;$A8)</f>
        <v>17.15%</v>
      </c>
      <c r="EP8" s="3" t="str">
        <f>RTD("tos.rtd",,EP$2,"."&amp;$A$2&amp;$AW$1&amp;"C"&amp;$A8)</f>
        <v>14.82%</v>
      </c>
      <c r="EQ8" s="3" t="str">
        <f>RTD("tos.rtd",,EQ$2,"."&amp;$A$2&amp;$AW$1&amp;"P"&amp;$A8)</f>
        <v>15.54%</v>
      </c>
      <c r="ES8" s="63" t="str">
        <f t="shared" si="66"/>
        <v>588,4373.00</v>
      </c>
      <c r="ET8" s="63" t="str">
        <f t="shared" ca="1" si="67"/>
        <v>588,211782.83</v>
      </c>
      <c r="EU8" s="67">
        <v>564.79999999999995</v>
      </c>
      <c r="EV8" s="67" t="s">
        <v>83</v>
      </c>
      <c r="EW8" s="67">
        <v>487.92</v>
      </c>
      <c r="EX8" s="67" t="s">
        <v>84</v>
      </c>
      <c r="EY8" s="67">
        <v>5659.91</v>
      </c>
      <c r="EZ8" s="67" t="s">
        <v>85</v>
      </c>
      <c r="FA8" s="67">
        <v>20061.449000000001</v>
      </c>
      <c r="FB8" s="67" t="s">
        <v>86</v>
      </c>
      <c r="FC8" s="67" t="s">
        <v>87</v>
      </c>
      <c r="FD8" s="67" t="s">
        <v>88</v>
      </c>
      <c r="FE8" s="67" t="s">
        <v>89</v>
      </c>
      <c r="FF8" s="67" t="s">
        <v>90</v>
      </c>
    </row>
    <row r="9" spans="1:162" s="63" customFormat="1" ht="13.5" thickBot="1" x14ac:dyDescent="0.25">
      <c r="A9" s="2">
        <f t="shared" si="68"/>
        <v>587</v>
      </c>
      <c r="B9" s="3">
        <f t="shared" ref="B9:B14" si="82">+IF($A$1="ABS",AS9-AT9,AS9+AT9)</f>
        <v>2524</v>
      </c>
      <c r="C9" s="3">
        <f t="shared" ref="C9:C14" si="83">+IF($A$1="ABS",AU9-AV9,AU9+AV9)</f>
        <v>3543</v>
      </c>
      <c r="D9" s="3">
        <f t="shared" ref="D9:D14" si="84">+IF($A$1="ABS",AW9-AX9,AW9+AX9)</f>
        <v>2028</v>
      </c>
      <c r="E9" s="3">
        <f t="shared" ref="E9:E14" si="85">SUM(B9:D9)</f>
        <v>8095</v>
      </c>
      <c r="F9" s="4">
        <f t="shared" ref="F9:F14" si="86">+$F$3/$A$3*A9</f>
        <v>5906.5018440689591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>
        <v>7600</v>
      </c>
      <c r="AN9" s="1">
        <v>-120</v>
      </c>
      <c r="AO9" s="1">
        <v>587</v>
      </c>
      <c r="AP9" s="1">
        <v>41374</v>
      </c>
      <c r="AQ9" s="1">
        <v>-717</v>
      </c>
      <c r="AR9" s="1"/>
      <c r="AS9" s="6">
        <f>IF(RTD("tos.rtd",,AS$2,"."&amp;$A$2&amp;$AS$1&amp;"C"&amp;$A9)="N/A",0,RTD("tos.rtd",,AS$2,"."&amp;$A$2&amp;$AS$1&amp;"C"&amp;$A9))</f>
        <v>2524</v>
      </c>
      <c r="AT9" s="7">
        <f>-IF(RTD("tos.rtd",,AT$2,"."&amp;$A$2&amp;$AS$1&amp;"P"&amp;$A9)="N/A",0,RTD("tos.rtd",,AT$2,"."&amp;$A$2&amp;$AS$1&amp;"P"&amp;$A9))</f>
        <v>0</v>
      </c>
      <c r="AU9" s="6">
        <f>IF(RTD("tos.rtd",,AU$2,"."&amp;$A$2&amp;$AU$1&amp;"C"&amp;$A9)="N/A",0,RTD("tos.rtd",,AU$2,"."&amp;$A$2&amp;$AU$1&amp;"C"&amp;$A9))</f>
        <v>3511</v>
      </c>
      <c r="AV9" s="7">
        <f>-IF(RTD("tos.rtd",,AV$2,"."&amp;$A$2&amp;$AU$1&amp;"P"&amp;$A9)="N/A",0,RTD("tos.rtd",,AV$2,"."&amp;$A$2&amp;$AU$1&amp;"P"&amp;$A9))</f>
        <v>-32</v>
      </c>
      <c r="AW9" s="6">
        <f>IF(RTD("tos.rtd",,AW$2,"."&amp;$A$2&amp;$AW$1&amp;"C"&amp;$A9)="N/A",0,RTD("tos.rtd",,AW$2,"."&amp;$A$2&amp;$AW$1&amp;"C"&amp;$A9))</f>
        <v>2025</v>
      </c>
      <c r="AX9" s="7">
        <f>-IF(RTD("tos.rtd",,AX$2,"."&amp;$A$2&amp;$AW$1&amp;"P"&amp;$A9)="N/A",0,RTD("tos.rtd",,AX$2,"."&amp;$A$2&amp;$AW$1&amp;"P"&amp;$A9))</f>
        <v>-3</v>
      </c>
      <c r="AY9" s="1">
        <f t="shared" ref="AY9:AY14" si="87">SUM(AS9:AX9)</f>
        <v>8025</v>
      </c>
      <c r="AZ9" s="8">
        <f t="shared" si="35"/>
        <v>587</v>
      </c>
      <c r="BA9" s="6">
        <f>IF(RTD("tos.rtd",,BA$2,"."&amp;$A$2&amp;$AS$1&amp;"C"&amp;$A9)="N/A",0,RTD("tos.rtd",,BA$2,"."&amp;$A$2&amp;$AS$1&amp;"C"&amp;$A9))</f>
        <v>41674</v>
      </c>
      <c r="BB9" s="7">
        <f>-IF(RTD("tos.rtd",,BB$2,"."&amp;$A$2&amp;$AS$1&amp;"P"&amp;$A9)="N/A",0,RTD("tos.rtd",,BB$2,"."&amp;$A$2&amp;$AS$1&amp;"P"&amp;$A9))</f>
        <v>-718</v>
      </c>
      <c r="BC9" s="6">
        <f>IF(RTD("tos.rtd",,BC$2,"."&amp;$A$2&amp;$AU$1&amp;"C"&amp;$A9)="N/A",0,RTD("tos.rtd",,BC$2,"."&amp;$A$2&amp;$AU$1&amp;"C"&amp;$A9))</f>
        <v>5977</v>
      </c>
      <c r="BD9" s="7">
        <f>-IF(RTD("tos.rtd",,BD$2,"."&amp;$A$2&amp;$AU$1&amp;"P"&amp;$A9)="N/A",0,RTD("tos.rtd",,BD$2,"."&amp;$A$2&amp;$AU$1&amp;"P"&amp;$A9))</f>
        <v>-481</v>
      </c>
      <c r="BE9" s="6">
        <f>IF(RTD("tos.rtd",,BE$2,"."&amp;$A$2&amp;$AW$1&amp;"C"&amp;$A9)="N/A",0,RTD("tos.rtd",,BE$2,"."&amp;$A$2&amp;$AW$1&amp;"C"&amp;$A9))</f>
        <v>366</v>
      </c>
      <c r="BF9" s="83">
        <f>-IF(RTD("tos.rtd",,BF$2,"."&amp;$A$2&amp;$AW$1&amp;"P"&amp;$A9)="N/A",0,RTD("tos.rtd",,BF$2,"."&amp;$A$2&amp;$AW$1&amp;"P"&amp;$A9))</f>
        <v>-857</v>
      </c>
      <c r="BG9" s="32">
        <f ca="1">+Hoja2!Y10</f>
        <v>1440</v>
      </c>
      <c r="BH9" s="7">
        <f t="shared" ca="1" si="36"/>
        <v>47401</v>
      </c>
      <c r="BI9" s="8" t="str">
        <f t="shared" ref="BI9" ca="1" si="88">IF(AND(BH9&lt;0,BH8&gt;0), "Cruce -", IF(AND(BH9&gt;0,BH8&lt;0),"Cruce +", ""))</f>
        <v/>
      </c>
      <c r="BJ9" s="3">
        <f ca="1">IF($BP$1=1,DX9,IF(RTD("tos.rtd",,BJ$2,"."&amp;$A$2&amp;$AS$1&amp;"C"&amp;$A9)="N/A",0,RTD("tos.rtd",,BJ$2,"."&amp;$A$2&amp;$AS$1&amp;"C"&amp;$A9)))</f>
        <v>5.0653210276381692E-2</v>
      </c>
      <c r="BK9" s="3">
        <f ca="1">IF($BP$1=1,DY9,-IF(RTD("tos.rtd",,BK$2,"."&amp;$A$2&amp;$AS$1&amp;"P"&amp;$A9)="N/A",0,RTD("tos.rtd",,BK$2,"."&amp;$A$2&amp;$AS$1&amp;"P"&amp;$A9)))</f>
        <v>-5.6860305335419879E-2</v>
      </c>
      <c r="BL9" s="3">
        <f ca="1">IF($BP$1=1,DZ9,IF(RTD("tos.rtd",,BL$2,"."&amp;$A$2&amp;$AU$1&amp;"C"&amp;$A9)="N/A",0,RTD("tos.rtd",,BL$2,"."&amp;$A$2&amp;$AU$1&amp;"C"&amp;$A9)))</f>
        <v>3.0691867511881576E-2</v>
      </c>
      <c r="BM9" s="3">
        <f ca="1">IF($BP$1=1,EA9,-IF(RTD("tos.rtd",,BM$2,"."&amp;$A$2&amp;$AU$1&amp;"P"&amp;$A9)="N/A",0,RTD("tos.rtd",,BM$2,"."&amp;$A$2&amp;$AU$1&amp;"P"&amp;$A9)))</f>
        <v>-3.0026620045812712E-2</v>
      </c>
      <c r="BN9" s="3">
        <f ca="1">IF($BP$1=1,EB9,IF(RTD("tos.rtd",,BN$2,"."&amp;$A$2&amp;$AW$1&amp;"C"&amp;$A9)="N/A",0,RTD("tos.rtd",,BN$2,"."&amp;$A$2&amp;$AW$1&amp;"C"&amp;$A9)))</f>
        <v>3.5092238834722143E-2</v>
      </c>
      <c r="BO9" s="3">
        <f ca="1">IF($BP$1=1,EC9,-IF(RTD("tos.rtd",,BO$2,"."&amp;$A$2&amp;$AW$1&amp;"P"&amp;$A9)="N/A",0,RTD("tos.rtd",,BO$2,"."&amp;$A$2&amp;$AW$1&amp;"P"&amp;$A9)))</f>
        <v>-3.3750554266385027E-2</v>
      </c>
      <c r="BQ9" s="3">
        <f t="shared" ref="BQ9:BQ14" ca="1" si="89">+$A$3*$A$3*AS9*BJ9-$A$3*$A$3*AT9*BK9</f>
        <v>43446914.465028003</v>
      </c>
      <c r="BR9" s="3" t="str">
        <f t="shared" ca="1" si="71"/>
        <v/>
      </c>
      <c r="BS9" s="3">
        <f t="shared" ref="BS9:BS14" ca="1" si="90">+$A$3*$A$3*AU9*BL9-$A$3*$A$3*AV9*BM9</f>
        <v>36293339.613188535</v>
      </c>
      <c r="BT9" s="3" t="str">
        <f t="shared" ca="1" si="71"/>
        <v/>
      </c>
      <c r="BU9" s="3">
        <f t="shared" ref="BU9:BU14" ca="1" si="91">+$A$3*$A$3*AW9*BN9-$A$3*$A$3*AX9*BO9</f>
        <v>24114567.431692027</v>
      </c>
      <c r="BV9" s="3" t="str">
        <f t="shared" ref="BV9" ca="1" si="92">IF(AND(BU9&lt;0,BU8&gt;0), "Cruce -", IF(AND(BU9&gt;0,BU8&lt;0),"Cruce +", ""))</f>
        <v/>
      </c>
      <c r="BX9" s="3">
        <f t="shared" ref="BX9:BX14" ca="1" si="93">+$A$3*$A$3*BA9*BJ9-$A$3*$A$3*BB9*BK9</f>
        <v>703482241.07219386</v>
      </c>
      <c r="BY9" s="3" t="str">
        <f t="shared" ca="1" si="73"/>
        <v/>
      </c>
      <c r="BZ9" s="3">
        <f t="shared" ref="BZ9:BZ14" ca="1" si="94">+$A$3*$A$3*BC9*BL9-$A$3*$A$3*BD9*BM9</f>
        <v>57432234.179312035</v>
      </c>
      <c r="CA9" s="3" t="str">
        <f t="shared" ca="1" si="74"/>
        <v/>
      </c>
      <c r="CB9" s="3">
        <f t="shared" ref="CB9:CB14" ca="1" si="95">+$A$3*$A$3*BE9*BN9-$A$3*$A$3*BF9*BO9</f>
        <v>-5464635.918922754</v>
      </c>
      <c r="CC9" s="3" t="str">
        <f t="shared" ca="1" si="75"/>
        <v>Cruce -</v>
      </c>
      <c r="CD9" s="3">
        <f>IF(RTD("tos.rtd",,CD$2,"."&amp;$A$2&amp;$AS$1&amp;"C"&amp;$A9)="N/A",0,RTD("tos.rtd",,CD$2,"."&amp;$A$2&amp;$AS$1&amp;"C"&amp;$A9))</f>
        <v>0.01</v>
      </c>
      <c r="CE9" s="3">
        <f>-IF(RTD("tos.rtd",,CE$2,"."&amp;$A$2&amp;$AS$1&amp;"P"&amp;$A9)="N/A",0,RTD("tos.rtd",,CE$2,"."&amp;$A$2&amp;$AS$1&amp;"P"&amp;$A9))</f>
        <v>0.89</v>
      </c>
      <c r="CF9" s="3">
        <f>IF(RTD("tos.rtd",,CF$2,"."&amp;$A$2&amp;$AU$1&amp;"C"&amp;$A9)="N/A",0,RTD("tos.rtd",,CF$2,"."&amp;$A$2&amp;$AU$1&amp;"C"&amp;$A9))</f>
        <v>0.36</v>
      </c>
      <c r="CG9" s="3">
        <f>-IF(RTD("tos.rtd",,CG$2,"."&amp;$A$2&amp;$AU$1&amp;"P"&amp;$A9)="N/A",0,RTD("tos.rtd",,CG$2,"."&amp;$A$2&amp;$AU$1&amp;"P"&amp;$A9))</f>
        <v>0.64</v>
      </c>
      <c r="CH9" s="3">
        <f>IF(RTD("tos.rtd",,CH$2,"."&amp;$A$2&amp;$AW$1&amp;"C"&amp;$A9)="N/A",0,RTD("tos.rtd",,CH$2,"."&amp;$A$2&amp;$AW$1&amp;"C"&amp;$A9))</f>
        <v>0.48</v>
      </c>
      <c r="CI9" s="3">
        <f>-IF(RTD("tos.rtd",,CI$2,"."&amp;$A$2&amp;$AW$1&amp;"P"&amp;$A9)="N/A",0,RTD("tos.rtd",,CI$2,"."&amp;$A$2&amp;$AW$1&amp;"P"&amp;$A9))</f>
        <v>0.52</v>
      </c>
      <c r="CK9" s="3">
        <f t="shared" ref="CK9:CK14" si="96">+AS9*CD9*100+AT9*CE9*100</f>
        <v>2524</v>
      </c>
      <c r="CL9" s="3"/>
      <c r="CM9" s="3">
        <f t="shared" ref="CM9:CM14" si="97">+AU9*CF9*100+AV9*CG9*100</f>
        <v>124348</v>
      </c>
      <c r="CN9" s="3"/>
      <c r="CO9" s="3">
        <f t="shared" ref="CO9:CO14" si="98">+AW9*CH9*100+AX9*CI9*100</f>
        <v>97044</v>
      </c>
      <c r="CP9" s="3">
        <f t="shared" ref="CP9:CP14" si="99">+CK9+CM9+CO9</f>
        <v>223916</v>
      </c>
      <c r="CQ9" s="3">
        <f t="shared" ref="CQ9:CQ14" si="100">+BA9+BB9</f>
        <v>40956</v>
      </c>
      <c r="CR9" s="3"/>
      <c r="CS9" s="3">
        <f t="shared" ref="CS9:CS14" si="101">+BC9+BD9</f>
        <v>5496</v>
      </c>
      <c r="CT9" s="3"/>
      <c r="CU9" s="3">
        <f t="shared" ref="CU9:CU14" si="102">+BE9+BF9</f>
        <v>-491</v>
      </c>
      <c r="CV9" s="3">
        <f t="shared" ref="CV9:CV14" si="103">+CQ9+CS9+CU9</f>
        <v>45961</v>
      </c>
      <c r="CW9" s="3">
        <f t="shared" ref="CW9:CW14" ca="1" si="104">+BQ9+BS9+BU9</f>
        <v>103854821.50990856</v>
      </c>
      <c r="CX9" s="85" t="str">
        <f t="shared" ca="1" si="76"/>
        <v/>
      </c>
      <c r="CY9" s="3">
        <f t="shared" ref="CY9:CY14" ca="1" si="105">+BX9+BZ9+CB9</f>
        <v>755449839.33258307</v>
      </c>
      <c r="CZ9" s="85" t="str">
        <f t="shared" ca="1" si="77"/>
        <v/>
      </c>
      <c r="DA9" s="3">
        <f>IF(RTD("tos.rtd",,DA$2,"."&amp;$A$2&amp;$AS$1&amp;"C"&amp;$A9)="N/A",0,RTD("tos.rtd",,DA$2,"."&amp;$A$2&amp;$AS$1&amp;"C"&amp;$A9))</f>
        <v>0.01</v>
      </c>
      <c r="DB9" s="3">
        <f>IF(RTD("tos.rtd",,DB$2,"."&amp;$A$2&amp;$AS$1&amp;"P"&amp;$A9)="N/A",0,RTD("tos.rtd",,DB$2,"."&amp;$A$2&amp;$AS$1&amp;"P"&amp;$A9))</f>
        <v>4.07</v>
      </c>
      <c r="DC9" s="3">
        <f>IF(RTD("tos.rtd",,DC$2,"."&amp;$A$2&amp;$AS$1&amp;"C"&amp;$A9)="N/A",0,RTD("tos.rtd",,DC$2,"."&amp;$A$2&amp;$AS$1&amp;"C"&amp;$A9))</f>
        <v>0.01</v>
      </c>
      <c r="DD9" s="3">
        <f>IF(RTD("tos.rtd",,DD$2,"."&amp;$A$2&amp;$AS$1&amp;"P"&amp;$A9)="N/A",0,RTD("tos.rtd",,DD$2,"."&amp;$A$2&amp;$AS$1&amp;"P"&amp;$A9))</f>
        <v>4.3499999999999996</v>
      </c>
      <c r="DE9" s="3">
        <f>IF(RTD("tos.rtd",,DE$2,"."&amp;$A$2&amp;$AS$1&amp;"C"&amp;$A9)="N/A",0,RTD("tos.rtd",,DE$2,"."&amp;$A$2&amp;$AS$1&amp;"C"&amp;$A9))</f>
        <v>0</v>
      </c>
      <c r="DF9" s="3">
        <f>IF(RTD("tos.rtd",,DF$2,"."&amp;$A$2&amp;$AS$1&amp;"P"&amp;$A9)="N/A",0,RTD("tos.rtd",,DF$2,"."&amp;$A$2&amp;$AS$1&amp;"P"&amp;$A9))</f>
        <v>4.05</v>
      </c>
      <c r="DG9" s="86">
        <f t="shared" si="48"/>
        <v>4.0499999999999545</v>
      </c>
      <c r="DH9" s="3">
        <f t="shared" ref="DH9:DH14" si="106">((DA9-DE9)/(DC9-DE9))*(BA9-AP9)</f>
        <v>300</v>
      </c>
      <c r="DI9" s="3">
        <f t="shared" ref="DI9:DI14" si="107">((DB9-DF9)/(DD9-DF9))*(BB9-AQ9)</f>
        <v>-6.6666666666668248E-2</v>
      </c>
      <c r="DJ9" s="3">
        <f t="shared" ref="DJ9:DJ14" si="108">IF(DA9&gt;=(DE9+(DC9-DE9)*0.6),(BA9-AP9),IF(DA9&lt;=(DE9+(DC9-DE9)*0.4),-(BA9-AP9),0))</f>
        <v>300</v>
      </c>
      <c r="DK9" s="3">
        <f t="shared" si="51"/>
        <v>1</v>
      </c>
      <c r="DL9" s="3">
        <f t="shared" si="52"/>
        <v>299.93333333333334</v>
      </c>
      <c r="DM9" s="3">
        <f t="shared" si="53"/>
        <v>301</v>
      </c>
      <c r="DN9" s="63" t="str">
        <f t="shared" si="54"/>
        <v>BUY</v>
      </c>
      <c r="DO9" s="63" t="str">
        <f t="shared" si="55"/>
        <v>SELL</v>
      </c>
      <c r="DP9" s="3">
        <f t="shared" si="56"/>
        <v>2.7286666666666601</v>
      </c>
      <c r="DQ9" s="3">
        <f t="shared" si="57"/>
        <v>7.07</v>
      </c>
      <c r="DR9" s="3">
        <f t="shared" ca="1" si="58"/>
        <v>15.139102777579089</v>
      </c>
      <c r="DS9" s="3">
        <f t="shared" si="59"/>
        <v>3.89</v>
      </c>
      <c r="DT9" s="3">
        <f t="shared" si="60"/>
        <v>300</v>
      </c>
      <c r="DU9" s="3">
        <f t="shared" si="61"/>
        <v>-1</v>
      </c>
      <c r="DV9" s="3">
        <f t="shared" si="62"/>
        <v>7900</v>
      </c>
      <c r="DW9" s="3">
        <f t="shared" si="23"/>
        <v>-119</v>
      </c>
      <c r="DX9" s="3">
        <f t="shared" ca="1" si="24"/>
        <v>5.0653210276381692E-2</v>
      </c>
      <c r="DY9" s="3">
        <f t="shared" ca="1" si="25"/>
        <v>-5.6860305335419879E-2</v>
      </c>
      <c r="DZ9" s="3">
        <f t="shared" ca="1" si="26"/>
        <v>3.0691867511881576E-2</v>
      </c>
      <c r="EA9" s="3">
        <f t="shared" ca="1" si="27"/>
        <v>-3.0026620045812712E-2</v>
      </c>
      <c r="EB9" s="3">
        <f t="shared" ca="1" si="28"/>
        <v>3.5092238834722143E-2</v>
      </c>
      <c r="EC9" s="3">
        <f t="shared" ca="1" si="29"/>
        <v>-3.3750554266385027E-2</v>
      </c>
      <c r="ED9" s="63">
        <f t="shared" si="63"/>
        <v>7781</v>
      </c>
      <c r="EE9" s="59">
        <f t="shared" ref="EE9:EE14" si="109">IFERROR(VALUE(IF(OR(EL9="--",EL9="0.00%"),$EE$1,EL9)),$EE$1)</f>
        <v>0.38590000000000002</v>
      </c>
      <c r="EF9" s="59">
        <f t="shared" ref="EF9:EF14" si="110">IFERROR(VALUE(IF(OR(EM9="--",EM9="0.00%"),$EE$1,EM9)),$EE$1)</f>
        <v>0.72140000000000004</v>
      </c>
      <c r="EG9" s="59">
        <f t="shared" ref="EG9:EG14" si="111">IFERROR(VALUE(IF(OR(EN9="--",EN9="0.00%"),$EE$1,EN9)),$EE$1)</f>
        <v>0.17349999999999999</v>
      </c>
      <c r="EH9" s="59">
        <f t="shared" ref="EH9:EH14" si="112">IFERROR(VALUE(IF(OR(EO9="--",EO9="0.00%"),$EE$1,EO9)),$EE$1)</f>
        <v>0.1777</v>
      </c>
      <c r="EI9" s="59">
        <f t="shared" ref="EI9:EI14" si="113">IFERROR(VALUE(IF(OR(EP9="--",EP9="0.00%"),$EE$1,EP9)),$EE$1)</f>
        <v>0.14949999999999999</v>
      </c>
      <c r="EJ9" s="59">
        <f t="shared" ref="EJ9:EJ14" si="114">IFERROR(VALUE(IF(OR(EQ9="--",EQ9="0.00%"),$EE$1,EQ9)),$EE$1)</f>
        <v>0.15620000000000001</v>
      </c>
      <c r="EK9" s="63">
        <f t="shared" ca="1" si="65"/>
        <v>138286199.07688734</v>
      </c>
      <c r="EL9" s="3" t="str">
        <f>RTD("tos.rtd",,EL$2,"."&amp;$A$2&amp;$AS$1&amp;"C"&amp;$A9)</f>
        <v>38.59%</v>
      </c>
      <c r="EM9" s="3" t="str">
        <f>RTD("tos.rtd",,EM$2,"."&amp;$A$2&amp;$AS$1&amp;"P"&amp;$A9)</f>
        <v>72.14%</v>
      </c>
      <c r="EN9" s="3" t="str">
        <f>RTD("tos.rtd",,EN$2,"."&amp;$A$2&amp;$AU$1&amp;"C"&amp;$A9)</f>
        <v>17.35%</v>
      </c>
      <c r="EO9" s="3" t="str">
        <f>RTD("tos.rtd",,EO$2,"."&amp;$A$2&amp;$AU$1&amp;"P"&amp;$A9)</f>
        <v>17.77%</v>
      </c>
      <c r="EP9" s="3" t="str">
        <f>RTD("tos.rtd",,EP$2,"."&amp;$A$2&amp;$AW$1&amp;"C"&amp;$A9)</f>
        <v>14.95%</v>
      </c>
      <c r="EQ9" s="3" t="str">
        <f>RTD("tos.rtd",,EQ$2,"."&amp;$A$2&amp;$AW$1&amp;"P"&amp;$A9)</f>
        <v>15.62%</v>
      </c>
      <c r="ES9" s="63" t="str">
        <f t="shared" si="66"/>
        <v>587,7781.00</v>
      </c>
      <c r="ET9" s="63" t="str">
        <f t="shared" ca="1" si="67"/>
        <v>587,755449.84</v>
      </c>
      <c r="EU9" s="67">
        <v>564.79999999999995</v>
      </c>
      <c r="EV9" s="67" t="s">
        <v>91</v>
      </c>
      <c r="EW9" s="67">
        <v>487.92</v>
      </c>
      <c r="EX9" s="67" t="s">
        <v>92</v>
      </c>
      <c r="EY9" s="67">
        <v>5659.91</v>
      </c>
      <c r="EZ9" s="67" t="s">
        <v>93</v>
      </c>
      <c r="FA9" s="67">
        <v>20061.449000000001</v>
      </c>
      <c r="FB9" s="67" t="s">
        <v>94</v>
      </c>
      <c r="FC9" s="67" t="s">
        <v>95</v>
      </c>
      <c r="FD9" s="67" t="s">
        <v>96</v>
      </c>
      <c r="FE9" s="67" t="s">
        <v>97</v>
      </c>
      <c r="FF9" s="67" t="s">
        <v>98</v>
      </c>
    </row>
    <row r="10" spans="1:162" s="63" customFormat="1" ht="13.5" thickBot="1" x14ac:dyDescent="0.25">
      <c r="A10" s="2">
        <f t="shared" si="68"/>
        <v>586</v>
      </c>
      <c r="B10" s="3">
        <f t="shared" si="82"/>
        <v>5425</v>
      </c>
      <c r="C10" s="3">
        <f t="shared" si="83"/>
        <v>5299</v>
      </c>
      <c r="D10" s="3">
        <f t="shared" si="84"/>
        <v>1609</v>
      </c>
      <c r="E10" s="3">
        <f t="shared" si="85"/>
        <v>12333</v>
      </c>
      <c r="F10" s="4">
        <f t="shared" si="86"/>
        <v>5896.4396603482282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>
        <v>3122</v>
      </c>
      <c r="AN10" s="1">
        <v>-113</v>
      </c>
      <c r="AO10" s="1">
        <v>586</v>
      </c>
      <c r="AP10" s="1">
        <v>61328</v>
      </c>
      <c r="AQ10" s="1">
        <v>-1425</v>
      </c>
      <c r="AR10" s="1"/>
      <c r="AS10" s="6">
        <f>IF(RTD("tos.rtd",,AS$2,"."&amp;$A$2&amp;$AS$1&amp;"C"&amp;$A10)="N/A",0,RTD("tos.rtd",,AS$2,"."&amp;$A$2&amp;$AS$1&amp;"C"&amp;$A10))</f>
        <v>5424</v>
      </c>
      <c r="AT10" s="7">
        <f>-IF(RTD("tos.rtd",,AT$2,"."&amp;$A$2&amp;$AS$1&amp;"P"&amp;$A10)="N/A",0,RTD("tos.rtd",,AT$2,"."&amp;$A$2&amp;$AS$1&amp;"P"&amp;$A10))</f>
        <v>-1</v>
      </c>
      <c r="AU10" s="6">
        <f>IF(RTD("tos.rtd",,AU$2,"."&amp;$A$2&amp;$AU$1&amp;"C"&amp;$A10)="N/A",0,RTD("tos.rtd",,AU$2,"."&amp;$A$2&amp;$AU$1&amp;"C"&amp;$A10))</f>
        <v>5265</v>
      </c>
      <c r="AV10" s="7">
        <f>-IF(RTD("tos.rtd",,AV$2,"."&amp;$A$2&amp;$AU$1&amp;"P"&amp;$A10)="N/A",0,RTD("tos.rtd",,AV$2,"."&amp;$A$2&amp;$AU$1&amp;"P"&amp;$A10))</f>
        <v>-34</v>
      </c>
      <c r="AW10" s="6">
        <f>IF(RTD("tos.rtd",,AW$2,"."&amp;$A$2&amp;$AW$1&amp;"C"&amp;$A10)="N/A",0,RTD("tos.rtd",,AW$2,"."&amp;$A$2&amp;$AW$1&amp;"C"&amp;$A10))</f>
        <v>1599</v>
      </c>
      <c r="AX10" s="7">
        <f>-IF(RTD("tos.rtd",,AX$2,"."&amp;$A$2&amp;$AW$1&amp;"P"&amp;$A10)="N/A",0,RTD("tos.rtd",,AX$2,"."&amp;$A$2&amp;$AW$1&amp;"P"&amp;$A10))</f>
        <v>-10</v>
      </c>
      <c r="AY10" s="1">
        <f t="shared" si="87"/>
        <v>12243</v>
      </c>
      <c r="AZ10" s="8">
        <f t="shared" si="35"/>
        <v>586</v>
      </c>
      <c r="BA10" s="6">
        <f>IF(RTD("tos.rtd",,BA$2,"."&amp;$A$2&amp;$AS$1&amp;"C"&amp;$A10)="N/A",0,RTD("tos.rtd",,BA$2,"."&amp;$A$2&amp;$AS$1&amp;"C"&amp;$A10))</f>
        <v>61329</v>
      </c>
      <c r="BB10" s="7">
        <f>-IF(RTD("tos.rtd",,BB$2,"."&amp;$A$2&amp;$AS$1&amp;"P"&amp;$A10)="N/A",0,RTD("tos.rtd",,BB$2,"."&amp;$A$2&amp;$AS$1&amp;"P"&amp;$A10))</f>
        <v>-1426</v>
      </c>
      <c r="BC10" s="6">
        <f>IF(RTD("tos.rtd",,BC$2,"."&amp;$A$2&amp;$AU$1&amp;"C"&amp;$A10)="N/A",0,RTD("tos.rtd",,BC$2,"."&amp;$A$2&amp;$AU$1&amp;"C"&amp;$A10))</f>
        <v>6922</v>
      </c>
      <c r="BD10" s="7">
        <f>-IF(RTD("tos.rtd",,BD$2,"."&amp;$A$2&amp;$AU$1&amp;"P"&amp;$A10)="N/A",0,RTD("tos.rtd",,BD$2,"."&amp;$A$2&amp;$AU$1&amp;"P"&amp;$A10))</f>
        <v>-457</v>
      </c>
      <c r="BE10" s="6">
        <f>IF(RTD("tos.rtd",,BE$2,"."&amp;$A$2&amp;$AW$1&amp;"C"&amp;$A10)="N/A",0,RTD("tos.rtd",,BE$2,"."&amp;$A$2&amp;$AW$1&amp;"C"&amp;$A10))</f>
        <v>830</v>
      </c>
      <c r="BF10" s="83">
        <f>-IF(RTD("tos.rtd",,BF$2,"."&amp;$A$2&amp;$AW$1&amp;"P"&amp;$A10)="N/A",0,RTD("tos.rtd",,BF$2,"."&amp;$A$2&amp;$AW$1&amp;"P"&amp;$A10))</f>
        <v>-180</v>
      </c>
      <c r="BG10" s="32">
        <f ca="1">+Hoja2!Y11</f>
        <v>1248</v>
      </c>
      <c r="BH10" s="7">
        <f t="shared" ca="1" si="36"/>
        <v>68266</v>
      </c>
      <c r="BI10" s="8" t="str">
        <f t="shared" ref="BI10" ca="1" si="115">IF(AND(BH10&lt;0,BH9&gt;0), "Cruce -", IF(AND(BH10&gt;0,BH9&lt;0),"Cruce +", ""))</f>
        <v/>
      </c>
      <c r="BJ10" s="3">
        <f ca="1">IF($BP$1=1,DX10,IF(RTD("tos.rtd",,BJ$2,"."&amp;$A$2&amp;$AS$1&amp;"C"&amp;$A10)="N/A",0,RTD("tos.rtd",,BJ$2,"."&amp;$A$2&amp;$AS$1&amp;"C"&amp;$A10)))</f>
        <v>6.9630949225966951E-2</v>
      </c>
      <c r="BK10" s="3">
        <f ca="1">IF($BP$1=1,DY10,-IF(RTD("tos.rtd",,BK$2,"."&amp;$A$2&amp;$AS$1&amp;"P"&amp;$A10)="N/A",0,RTD("tos.rtd",,BK$2,"."&amp;$A$2&amp;$AS$1&amp;"P"&amp;$A10)))</f>
        <v>-7.3839625905801787E-2</v>
      </c>
      <c r="BL10" s="3">
        <f ca="1">IF($BP$1=1,DZ10,IF(RTD("tos.rtd",,BL$2,"."&amp;$A$2&amp;$AU$1&amp;"C"&amp;$A10)="N/A",0,RTD("tos.rtd",,BL$2,"."&amp;$A$2&amp;$AU$1&amp;"C"&amp;$A10)))</f>
        <v>3.1068318849441657E-2</v>
      </c>
      <c r="BM10" s="3">
        <f ca="1">IF($BP$1=1,EA10,-IF(RTD("tos.rtd",,BM$2,"."&amp;$A$2&amp;$AU$1&amp;"P"&amp;$A10)="N/A",0,RTD("tos.rtd",,BM$2,"."&amp;$A$2&amp;$AU$1&amp;"P"&amp;$A10)))</f>
        <v>-3.038716542529514E-2</v>
      </c>
      <c r="BN10" s="3">
        <f ca="1">IF($BP$1=1,EB10,IF(RTD("tos.rtd",,BN$2,"."&amp;$A$2&amp;$AW$1&amp;"C"&amp;$A10)="N/A",0,RTD("tos.rtd",,BN$2,"."&amp;$A$2&amp;$AW$1&amp;"C"&amp;$A10)))</f>
        <v>3.5736173130041578E-2</v>
      </c>
      <c r="BO10" s="3">
        <f ca="1">IF($BP$1=1,EC10,-IF(RTD("tos.rtd",,BO$2,"."&amp;$A$2&amp;$AW$1&amp;"P"&amp;$A10)="N/A",0,RTD("tos.rtd",,BO$2,"."&amp;$A$2&amp;$AW$1&amp;"P"&amp;$A10)))</f>
        <v>-3.4488177655664413E-2</v>
      </c>
      <c r="BQ10" s="3">
        <f t="shared" ca="1" si="89"/>
        <v>128321578.36593676</v>
      </c>
      <c r="BR10" s="3" t="str">
        <f t="shared" ca="1" si="71"/>
        <v/>
      </c>
      <c r="BS10" s="3">
        <f t="shared" ca="1" si="90"/>
        <v>55236604.064527497</v>
      </c>
      <c r="BT10" s="3" t="str">
        <f t="shared" ca="1" si="71"/>
        <v/>
      </c>
      <c r="BU10" s="3">
        <f t="shared" ca="1" si="91"/>
        <v>19301452.445883714</v>
      </c>
      <c r="BV10" s="3" t="str">
        <f t="shared" ref="BV10" ca="1" si="116">IF(AND(BU10&lt;0,BU9&gt;0), "Cruce -", IF(AND(BU10&gt;0,BU9&lt;0),"Cruce +", ""))</f>
        <v/>
      </c>
      <c r="BX10" s="3">
        <f t="shared" ca="1" si="93"/>
        <v>1415429259.4860291</v>
      </c>
      <c r="BY10" s="3" t="str">
        <f t="shared" ca="1" si="73"/>
        <v/>
      </c>
      <c r="BZ10" s="3">
        <f t="shared" ca="1" si="94"/>
        <v>68363052.047858462</v>
      </c>
      <c r="CA10" s="3" t="str">
        <f t="shared" ca="1" si="74"/>
        <v/>
      </c>
      <c r="CB10" s="3">
        <f t="shared" ca="1" si="95"/>
        <v>7970101.0248177703</v>
      </c>
      <c r="CC10" s="3" t="str">
        <f t="shared" ca="1" si="75"/>
        <v>Cruce +</v>
      </c>
      <c r="CD10" s="3">
        <f>IF(RTD("tos.rtd",,CD$2,"."&amp;$A$2&amp;$AS$1&amp;"C"&amp;$A10)="N/A",0,RTD("tos.rtd",,CD$2,"."&amp;$A$2&amp;$AS$1&amp;"C"&amp;$A10))</f>
        <v>0.01</v>
      </c>
      <c r="CE10" s="3">
        <f>-IF(RTD("tos.rtd",,CE$2,"."&amp;$A$2&amp;$AS$1&amp;"P"&amp;$A10)="N/A",0,RTD("tos.rtd",,CE$2,"."&amp;$A$2&amp;$AS$1&amp;"P"&amp;$A10))</f>
        <v>0.88</v>
      </c>
      <c r="CF10" s="3">
        <f>IF(RTD("tos.rtd",,CF$2,"."&amp;$A$2&amp;$AU$1&amp;"C"&amp;$A10)="N/A",0,RTD("tos.rtd",,CF$2,"."&amp;$A$2&amp;$AU$1&amp;"C"&amp;$A10))</f>
        <v>0.4</v>
      </c>
      <c r="CG10" s="3">
        <f>-IF(RTD("tos.rtd",,CG$2,"."&amp;$A$2&amp;$AU$1&amp;"P"&amp;$A10)="N/A",0,RTD("tos.rtd",,CG$2,"."&amp;$A$2&amp;$AU$1&amp;"P"&amp;$A10))</f>
        <v>0.6</v>
      </c>
      <c r="CH10" s="3">
        <f>IF(RTD("tos.rtd",,CH$2,"."&amp;$A$2&amp;$AW$1&amp;"C"&amp;$A10)="N/A",0,RTD("tos.rtd",,CH$2,"."&amp;$A$2&amp;$AW$1&amp;"C"&amp;$A10))</f>
        <v>0.5</v>
      </c>
      <c r="CI10" s="3">
        <f>-IF(RTD("tos.rtd",,CI$2,"."&amp;$A$2&amp;$AW$1&amp;"P"&amp;$A10)="N/A",0,RTD("tos.rtd",,CI$2,"."&amp;$A$2&amp;$AW$1&amp;"P"&amp;$A10))</f>
        <v>0.51</v>
      </c>
      <c r="CK10" s="3">
        <f t="shared" si="96"/>
        <v>5336</v>
      </c>
      <c r="CL10" s="3"/>
      <c r="CM10" s="3">
        <f t="shared" si="97"/>
        <v>208560</v>
      </c>
      <c r="CN10" s="3"/>
      <c r="CO10" s="3">
        <f t="shared" si="98"/>
        <v>79440</v>
      </c>
      <c r="CP10" s="3">
        <f t="shared" si="99"/>
        <v>293336</v>
      </c>
      <c r="CQ10" s="3">
        <f t="shared" si="100"/>
        <v>59903</v>
      </c>
      <c r="CR10" s="3"/>
      <c r="CS10" s="3">
        <f t="shared" si="101"/>
        <v>6465</v>
      </c>
      <c r="CT10" s="3"/>
      <c r="CU10" s="3">
        <f t="shared" si="102"/>
        <v>650</v>
      </c>
      <c r="CV10" s="3">
        <f t="shared" si="103"/>
        <v>67018</v>
      </c>
      <c r="CW10" s="3">
        <f t="shared" ca="1" si="104"/>
        <v>202859634.87634799</v>
      </c>
      <c r="CX10" s="85" t="str">
        <f t="shared" ca="1" si="76"/>
        <v/>
      </c>
      <c r="CY10" s="3">
        <f t="shared" ca="1" si="105"/>
        <v>1491762412.5587053</v>
      </c>
      <c r="CZ10" s="85" t="str">
        <f t="shared" ca="1" si="77"/>
        <v/>
      </c>
      <c r="DA10" s="3">
        <f>IF(RTD("tos.rtd",,DA$2,"."&amp;$A$2&amp;$AS$1&amp;"C"&amp;$A10)="N/A",0,RTD("tos.rtd",,DA$2,"."&amp;$A$2&amp;$AS$1&amp;"C"&amp;$A10))</f>
        <v>0.01</v>
      </c>
      <c r="DB10" s="3">
        <f>IF(RTD("tos.rtd",,DB$2,"."&amp;$A$2&amp;$AS$1&amp;"P"&amp;$A10)="N/A",0,RTD("tos.rtd",,DB$2,"."&amp;$A$2&amp;$AS$1&amp;"P"&amp;$A10))</f>
        <v>3.05</v>
      </c>
      <c r="DC10" s="3">
        <f>IF(RTD("tos.rtd",,DC$2,"."&amp;$A$2&amp;$AS$1&amp;"C"&amp;$A10)="N/A",0,RTD("tos.rtd",,DC$2,"."&amp;$A$2&amp;$AS$1&amp;"C"&amp;$A10))</f>
        <v>0.01</v>
      </c>
      <c r="DD10" s="3">
        <f>IF(RTD("tos.rtd",,DD$2,"."&amp;$A$2&amp;$AS$1&amp;"P"&amp;$A10)="N/A",0,RTD("tos.rtd",,DD$2,"."&amp;$A$2&amp;$AS$1&amp;"P"&amp;$A10))</f>
        <v>3.36</v>
      </c>
      <c r="DE10" s="3">
        <f>IF(RTD("tos.rtd",,DE$2,"."&amp;$A$2&amp;$AS$1&amp;"C"&amp;$A10)="N/A",0,RTD("tos.rtd",,DE$2,"."&amp;$A$2&amp;$AS$1&amp;"C"&amp;$A10))</f>
        <v>0</v>
      </c>
      <c r="DF10" s="3">
        <f>IF(RTD("tos.rtd",,DF$2,"."&amp;$A$2&amp;$AS$1&amp;"P"&amp;$A10)="N/A",0,RTD("tos.rtd",,DF$2,"."&amp;$A$2&amp;$AS$1&amp;"P"&amp;$A10))</f>
        <v>3.01</v>
      </c>
      <c r="DG10" s="86">
        <f t="shared" si="48"/>
        <v>3.0499999999999545</v>
      </c>
      <c r="DH10" s="3">
        <f t="shared" si="106"/>
        <v>1</v>
      </c>
      <c r="DI10" s="3">
        <f t="shared" si="107"/>
        <v>-0.11428571428571435</v>
      </c>
      <c r="DJ10" s="3">
        <f t="shared" si="108"/>
        <v>1</v>
      </c>
      <c r="DK10" s="3">
        <f t="shared" si="51"/>
        <v>1</v>
      </c>
      <c r="DL10" s="3">
        <f t="shared" si="52"/>
        <v>0.88571428571428568</v>
      </c>
      <c r="DM10" s="3">
        <f t="shared" si="53"/>
        <v>2</v>
      </c>
      <c r="DN10" s="63" t="str">
        <f t="shared" si="54"/>
        <v>BUY</v>
      </c>
      <c r="DO10" s="63" t="str">
        <f t="shared" si="55"/>
        <v>SELL</v>
      </c>
      <c r="DP10" s="3">
        <f t="shared" si="56"/>
        <v>-0.33857142857142875</v>
      </c>
      <c r="DQ10" s="3">
        <f t="shared" si="57"/>
        <v>3.0599999999999996</v>
      </c>
      <c r="DR10" s="3">
        <f t="shared" ca="1" si="58"/>
        <v>-4.2086766798348357E-3</v>
      </c>
      <c r="DS10" s="3">
        <f t="shared" si="59"/>
        <v>0.89</v>
      </c>
      <c r="DT10" s="3">
        <f t="shared" si="60"/>
        <v>1</v>
      </c>
      <c r="DU10" s="3">
        <f t="shared" si="61"/>
        <v>-1</v>
      </c>
      <c r="DV10" s="3">
        <f t="shared" si="62"/>
        <v>3123</v>
      </c>
      <c r="DW10" s="3">
        <f t="shared" si="23"/>
        <v>-112</v>
      </c>
      <c r="DX10" s="3">
        <f t="shared" ca="1" si="24"/>
        <v>6.9630949225966951E-2</v>
      </c>
      <c r="DY10" s="3">
        <f t="shared" ca="1" si="25"/>
        <v>-7.3839625905801787E-2</v>
      </c>
      <c r="DZ10" s="3">
        <f t="shared" ca="1" si="26"/>
        <v>3.1068318849441657E-2</v>
      </c>
      <c r="EA10" s="3">
        <f t="shared" ca="1" si="27"/>
        <v>-3.038716542529514E-2</v>
      </c>
      <c r="EB10" s="3">
        <f t="shared" ca="1" si="28"/>
        <v>3.5736173130041578E-2</v>
      </c>
      <c r="EC10" s="3">
        <f t="shared" ca="1" si="29"/>
        <v>-3.4488177655664413E-2</v>
      </c>
      <c r="ED10" s="63">
        <f t="shared" si="63"/>
        <v>3011</v>
      </c>
      <c r="EE10" s="59">
        <f t="shared" si="109"/>
        <v>0.3014</v>
      </c>
      <c r="EF10" s="59">
        <f t="shared" si="110"/>
        <v>0.57040000000000002</v>
      </c>
      <c r="EG10" s="59">
        <f t="shared" si="111"/>
        <v>0.17480000000000001</v>
      </c>
      <c r="EH10" s="59">
        <f t="shared" si="112"/>
        <v>0.1789</v>
      </c>
      <c r="EI10" s="59">
        <f t="shared" si="113"/>
        <v>0.15079999999999999</v>
      </c>
      <c r="EJ10" s="59">
        <f t="shared" si="114"/>
        <v>0.15659999999999999</v>
      </c>
      <c r="EK10" s="63">
        <f t="shared" ca="1" si="65"/>
        <v>76709132.36144188</v>
      </c>
      <c r="EL10" s="3" t="str">
        <f>RTD("tos.rtd",,EL$2,"."&amp;$A$2&amp;$AS$1&amp;"C"&amp;$A10)</f>
        <v>30.14%</v>
      </c>
      <c r="EM10" s="3" t="str">
        <f>RTD("tos.rtd",,EM$2,"."&amp;$A$2&amp;$AS$1&amp;"P"&amp;$A10)</f>
        <v>57.04%</v>
      </c>
      <c r="EN10" s="3" t="str">
        <f>RTD("tos.rtd",,EN$2,"."&amp;$A$2&amp;$AU$1&amp;"C"&amp;$A10)</f>
        <v>17.48%</v>
      </c>
      <c r="EO10" s="3" t="str">
        <f>RTD("tos.rtd",,EO$2,"."&amp;$A$2&amp;$AU$1&amp;"P"&amp;$A10)</f>
        <v>17.89%</v>
      </c>
      <c r="EP10" s="3" t="str">
        <f>RTD("tos.rtd",,EP$2,"."&amp;$A$2&amp;$AW$1&amp;"C"&amp;$A10)</f>
        <v>15.08%</v>
      </c>
      <c r="EQ10" s="3" t="str">
        <f>RTD("tos.rtd",,EQ$2,"."&amp;$A$2&amp;$AW$1&amp;"P"&amp;$A10)</f>
        <v>15.66%</v>
      </c>
      <c r="ES10" s="63" t="str">
        <f t="shared" si="66"/>
        <v>586,3011.00</v>
      </c>
      <c r="ET10" s="63" t="str">
        <f t="shared" ca="1" si="67"/>
        <v>586,1491762.41</v>
      </c>
      <c r="EU10" s="67">
        <v>564.79999999999995</v>
      </c>
      <c r="EV10" s="67" t="s">
        <v>99</v>
      </c>
      <c r="EW10" s="67">
        <v>487.92</v>
      </c>
      <c r="EX10" s="67" t="s">
        <v>100</v>
      </c>
      <c r="EY10" s="67">
        <v>5659.91</v>
      </c>
      <c r="EZ10" s="67" t="s">
        <v>101</v>
      </c>
      <c r="FA10" s="67">
        <v>20061.449000000001</v>
      </c>
      <c r="FB10" s="67" t="s">
        <v>102</v>
      </c>
      <c r="FC10" s="67" t="s">
        <v>103</v>
      </c>
      <c r="FD10" s="67" t="s">
        <v>104</v>
      </c>
      <c r="FE10" s="67" t="s">
        <v>105</v>
      </c>
      <c r="FF10" s="67" t="s">
        <v>106</v>
      </c>
    </row>
    <row r="11" spans="1:162" s="63" customFormat="1" ht="13.5" thickBot="1" x14ac:dyDescent="0.25">
      <c r="A11" s="2">
        <f t="shared" si="68"/>
        <v>585</v>
      </c>
      <c r="B11" s="3">
        <f t="shared" si="82"/>
        <v>10603</v>
      </c>
      <c r="C11" s="3">
        <f t="shared" si="83"/>
        <v>22252</v>
      </c>
      <c r="D11" s="3">
        <f t="shared" si="84"/>
        <v>33387</v>
      </c>
      <c r="E11" s="3">
        <f t="shared" si="85"/>
        <v>66242</v>
      </c>
      <c r="F11" s="4">
        <f t="shared" si="86"/>
        <v>5886.3774766274973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>
        <v>32233</v>
      </c>
      <c r="AN11" s="1">
        <v>-870</v>
      </c>
      <c r="AO11" s="1">
        <v>585</v>
      </c>
      <c r="AP11" s="1">
        <v>206040</v>
      </c>
      <c r="AQ11" s="1">
        <v>-6008</v>
      </c>
      <c r="AR11" s="1"/>
      <c r="AS11" s="6">
        <f>IF(RTD("tos.rtd",,AS$2,"."&amp;$A$2&amp;$AS$1&amp;"C"&amp;$A11)="N/A",0,RTD("tos.rtd",,AS$2,"."&amp;$A$2&amp;$AS$1&amp;"C"&amp;$A11))</f>
        <v>10600</v>
      </c>
      <c r="AT11" s="7">
        <f>-IF(RTD("tos.rtd",,AT$2,"."&amp;$A$2&amp;$AS$1&amp;"P"&amp;$A11)="N/A",0,RTD("tos.rtd",,AT$2,"."&amp;$A$2&amp;$AS$1&amp;"P"&amp;$A11))</f>
        <v>-3</v>
      </c>
      <c r="AU11" s="6">
        <f>IF(RTD("tos.rtd",,AU$2,"."&amp;$A$2&amp;$AU$1&amp;"C"&amp;$A11)="N/A",0,RTD("tos.rtd",,AU$2,"."&amp;$A$2&amp;$AU$1&amp;"C"&amp;$A11))</f>
        <v>21437</v>
      </c>
      <c r="AV11" s="7">
        <f>-IF(RTD("tos.rtd",,AV$2,"."&amp;$A$2&amp;$AU$1&amp;"P"&amp;$A11)="N/A",0,RTD("tos.rtd",,AV$2,"."&amp;$A$2&amp;$AU$1&amp;"P"&amp;$A11))</f>
        <v>-815</v>
      </c>
      <c r="AW11" s="6">
        <f>IF(RTD("tos.rtd",,AW$2,"."&amp;$A$2&amp;$AW$1&amp;"C"&amp;$A11)="N/A",0,RTD("tos.rtd",,AW$2,"."&amp;$A$2&amp;$AW$1&amp;"C"&amp;$A11))</f>
        <v>21262</v>
      </c>
      <c r="AX11" s="7">
        <f>-IF(RTD("tos.rtd",,AX$2,"."&amp;$A$2&amp;$AW$1&amp;"P"&amp;$A11)="N/A",0,RTD("tos.rtd",,AX$2,"."&amp;$A$2&amp;$AW$1&amp;"P"&amp;$A11))</f>
        <v>-12125</v>
      </c>
      <c r="AY11" s="1">
        <f t="shared" si="87"/>
        <v>40356</v>
      </c>
      <c r="AZ11" s="8">
        <f t="shared" si="35"/>
        <v>585</v>
      </c>
      <c r="BA11" s="6">
        <f>IF(RTD("tos.rtd",,BA$2,"."&amp;$A$2&amp;$AS$1&amp;"C"&amp;$A11)="N/A",0,RTD("tos.rtd",,BA$2,"."&amp;$A$2&amp;$AS$1&amp;"C"&amp;$A11))</f>
        <v>206054</v>
      </c>
      <c r="BB11" s="7">
        <f>-IF(RTD("tos.rtd",,BB$2,"."&amp;$A$2&amp;$AS$1&amp;"P"&amp;$A11)="N/A",0,RTD("tos.rtd",,BB$2,"."&amp;$A$2&amp;$AS$1&amp;"P"&amp;$A11))</f>
        <v>-6009</v>
      </c>
      <c r="BC11" s="6">
        <f>IF(RTD("tos.rtd",,BC$2,"."&amp;$A$2&amp;$AU$1&amp;"C"&amp;$A11)="N/A",0,RTD("tos.rtd",,BC$2,"."&amp;$A$2&amp;$AU$1&amp;"C"&amp;$A11))</f>
        <v>37238</v>
      </c>
      <c r="BD11" s="7">
        <f>-IF(RTD("tos.rtd",,BD$2,"."&amp;$A$2&amp;$AU$1&amp;"P"&amp;$A11)="N/A",0,RTD("tos.rtd",,BD$2,"."&amp;$A$2&amp;$AU$1&amp;"P"&amp;$A11))</f>
        <v>-2489</v>
      </c>
      <c r="BE11" s="6">
        <f>IF(RTD("tos.rtd",,BE$2,"."&amp;$A$2&amp;$AW$1&amp;"C"&amp;$A11)="N/A",0,RTD("tos.rtd",,BE$2,"."&amp;$A$2&amp;$AW$1&amp;"C"&amp;$A11))</f>
        <v>8815</v>
      </c>
      <c r="BF11" s="83">
        <f>-IF(RTD("tos.rtd",,BF$2,"."&amp;$A$2&amp;$AW$1&amp;"P"&amp;$A11)="N/A",0,RTD("tos.rtd",,BF$2,"."&amp;$A$2&amp;$AW$1&amp;"P"&amp;$A11))</f>
        <v>-1977</v>
      </c>
      <c r="BG11" s="32">
        <f ca="1">+Hoja2!Y12</f>
        <v>42081</v>
      </c>
      <c r="BH11" s="7">
        <f t="shared" ca="1" si="36"/>
        <v>283713</v>
      </c>
      <c r="BI11" s="8" t="str">
        <f t="shared" ref="BI11" ca="1" si="117">IF(AND(BH11&lt;0,BH10&gt;0), "Cruce -", IF(AND(BH11&gt;0,BH10&lt;0),"Cruce +", ""))</f>
        <v/>
      </c>
      <c r="BJ11" s="3">
        <f ca="1">IF($BP$1=1,DX11,IF(RTD("tos.rtd",,BJ$2,"."&amp;$A$2&amp;$AS$1&amp;"C"&amp;$A11)="N/A",0,RTD("tos.rtd",,BJ$2,"."&amp;$A$2&amp;$AS$1&amp;"C"&amp;$A11)))</f>
        <v>0.10828637470552745</v>
      </c>
      <c r="BK11" s="3">
        <f ca="1">IF($BP$1=1,DY11,-IF(RTD("tos.rtd",,BK$2,"."&amp;$A$2&amp;$AS$1&amp;"P"&amp;$A11)="N/A",0,RTD("tos.rtd",,BK$2,"."&amp;$A$2&amp;$AS$1&amp;"P"&amp;$A11)))</f>
        <v>-0.11684734159052697</v>
      </c>
      <c r="BL11" s="3">
        <f ca="1">IF($BP$1=1,DZ11,IF(RTD("tos.rtd",,BL$2,"."&amp;$A$2&amp;$AU$1&amp;"C"&amp;$A11)="N/A",0,RTD("tos.rtd",,BL$2,"."&amp;$A$2&amp;$AU$1&amp;"C"&amp;$A11)))</f>
        <v>3.1222747364851075E-2</v>
      </c>
      <c r="BM11" s="3">
        <f ca="1">IF($BP$1=1,EA11,-IF(RTD("tos.rtd",,BM$2,"."&amp;$A$2&amp;$AU$1&amp;"P"&amp;$A11)="N/A",0,RTD("tos.rtd",,BM$2,"."&amp;$A$2&amp;$AU$1&amp;"P"&amp;$A11)))</f>
        <v>-3.0474726472229763E-2</v>
      </c>
      <c r="BN11" s="3">
        <f ca="1">IF($BP$1=1,EB11,IF(RTD("tos.rtd",,BN$2,"."&amp;$A$2&amp;$AW$1&amp;"C"&amp;$A11)="N/A",0,RTD("tos.rtd",,BN$2,"."&amp;$A$2&amp;$AW$1&amp;"C"&amp;$A11)))</f>
        <v>3.6016778068945252E-2</v>
      </c>
      <c r="BO11" s="3">
        <f ca="1">IF($BP$1=1,EC11,-IF(RTD("tos.rtd",,BO$2,"."&amp;$A$2&amp;$AW$1&amp;"P"&amp;$A11)="N/A",0,RTD("tos.rtd",,BO$2,"."&amp;$A$2&amp;$AW$1&amp;"P"&amp;$A11)))</f>
        <v>-3.4789060728833553E-2</v>
      </c>
      <c r="BQ11" s="3">
        <f t="shared" ca="1" si="89"/>
        <v>389950643.80345702</v>
      </c>
      <c r="BR11" s="3" t="str">
        <f t="shared" ca="1" si="71"/>
        <v/>
      </c>
      <c r="BS11" s="3">
        <f t="shared" ca="1" si="90"/>
        <v>219015835.56121594</v>
      </c>
      <c r="BT11" s="3" t="str">
        <f t="shared" ca="1" si="71"/>
        <v/>
      </c>
      <c r="BU11" s="3">
        <f t="shared" ca="1" si="91"/>
        <v>116892033.65435061</v>
      </c>
      <c r="BV11" s="3" t="str">
        <f t="shared" ref="BV11" ca="1" si="118">IF(AND(BU11&lt;0,BU10&gt;0), "Cruce -", IF(AND(BU11&gt;0,BU10&lt;0),"Cruce +", ""))</f>
        <v/>
      </c>
      <c r="BX11" s="3">
        <f t="shared" ca="1" si="93"/>
        <v>7343981054.1787901</v>
      </c>
      <c r="BY11" s="3" t="str">
        <f t="shared" ca="1" si="73"/>
        <v/>
      </c>
      <c r="BZ11" s="3">
        <f t="shared" ca="1" si="94"/>
        <v>369335168.45173335</v>
      </c>
      <c r="CA11" s="3" t="str">
        <f t="shared" ca="1" si="74"/>
        <v/>
      </c>
      <c r="CB11" s="3">
        <f t="shared" ca="1" si="95"/>
        <v>84519268.741096392</v>
      </c>
      <c r="CC11" s="3" t="str">
        <f t="shared" ca="1" si="75"/>
        <v/>
      </c>
      <c r="CD11" s="3">
        <f>IF(RTD("tos.rtd",,CD$2,"."&amp;$A$2&amp;$AS$1&amp;"C"&amp;$A11)="N/A",0,RTD("tos.rtd",,CD$2,"."&amp;$A$2&amp;$AS$1&amp;"C"&amp;$A11))</f>
        <v>0.02</v>
      </c>
      <c r="CE11" s="3">
        <f>-IF(RTD("tos.rtd",,CE$2,"."&amp;$A$2&amp;$AS$1&amp;"P"&amp;$A11)="N/A",0,RTD("tos.rtd",,CE$2,"."&amp;$A$2&amp;$AS$1&amp;"P"&amp;$A11))</f>
        <v>1</v>
      </c>
      <c r="CF11" s="3">
        <f>IF(RTD("tos.rtd",,CF$2,"."&amp;$A$2&amp;$AU$1&amp;"C"&amp;$A11)="N/A",0,RTD("tos.rtd",,CF$2,"."&amp;$A$2&amp;$AU$1&amp;"C"&amp;$A11))</f>
        <v>0.44</v>
      </c>
      <c r="CG11" s="3">
        <f>-IF(RTD("tos.rtd",,CG$2,"."&amp;$A$2&amp;$AU$1&amp;"P"&amp;$A11)="N/A",0,RTD("tos.rtd",,CG$2,"."&amp;$A$2&amp;$AU$1&amp;"P"&amp;$A11))</f>
        <v>0.56000000000000005</v>
      </c>
      <c r="CH11" s="3">
        <f>IF(RTD("tos.rtd",,CH$2,"."&amp;$A$2&amp;$AW$1&amp;"C"&amp;$A11)="N/A",0,RTD("tos.rtd",,CH$2,"."&amp;$A$2&amp;$AW$1&amp;"C"&amp;$A11))</f>
        <v>0.51</v>
      </c>
      <c r="CI11" s="3">
        <f>-IF(RTD("tos.rtd",,CI$2,"."&amp;$A$2&amp;$AW$1&amp;"P"&amp;$A11)="N/A",0,RTD("tos.rtd",,CI$2,"."&amp;$A$2&amp;$AW$1&amp;"P"&amp;$A11))</f>
        <v>0.5</v>
      </c>
      <c r="CK11" s="3">
        <f t="shared" si="96"/>
        <v>20900</v>
      </c>
      <c r="CL11" s="3"/>
      <c r="CM11" s="3">
        <f t="shared" si="97"/>
        <v>897588.00000000012</v>
      </c>
      <c r="CN11" s="3"/>
      <c r="CO11" s="3">
        <f t="shared" si="98"/>
        <v>478112</v>
      </c>
      <c r="CP11" s="3">
        <f t="shared" si="99"/>
        <v>1396600</v>
      </c>
      <c r="CQ11" s="3">
        <f t="shared" si="100"/>
        <v>200045</v>
      </c>
      <c r="CR11" s="3"/>
      <c r="CS11" s="3">
        <f t="shared" si="101"/>
        <v>34749</v>
      </c>
      <c r="CT11" s="3"/>
      <c r="CU11" s="3">
        <f t="shared" si="102"/>
        <v>6838</v>
      </c>
      <c r="CV11" s="3">
        <f t="shared" si="103"/>
        <v>241632</v>
      </c>
      <c r="CW11" s="3">
        <f t="shared" ca="1" si="104"/>
        <v>725858513.01902354</v>
      </c>
      <c r="CX11" s="85" t="str">
        <f t="shared" ca="1" si="76"/>
        <v/>
      </c>
      <c r="CY11" s="3">
        <f t="shared" ca="1" si="105"/>
        <v>7797835491.3716202</v>
      </c>
      <c r="CZ11" s="85" t="str">
        <f t="shared" ca="1" si="77"/>
        <v/>
      </c>
      <c r="DA11" s="3">
        <f>IF(RTD("tos.rtd",,DA$2,"."&amp;$A$2&amp;$AS$1&amp;"C"&amp;$A11)="N/A",0,RTD("tos.rtd",,DA$2,"."&amp;$A$2&amp;$AS$1&amp;"C"&amp;$A11))</f>
        <v>0.01</v>
      </c>
      <c r="DB11" s="3">
        <f>IF(RTD("tos.rtd",,DB$2,"."&amp;$A$2&amp;$AS$1&amp;"P"&amp;$A11)="N/A",0,RTD("tos.rtd",,DB$2,"."&amp;$A$2&amp;$AS$1&amp;"P"&amp;$A11))</f>
        <v>2.23</v>
      </c>
      <c r="DC11" s="3">
        <f>IF(RTD("tos.rtd",,DC$2,"."&amp;$A$2&amp;$AS$1&amp;"C"&amp;$A11)="N/A",0,RTD("tos.rtd",,DC$2,"."&amp;$A$2&amp;$AS$1&amp;"C"&amp;$A11))</f>
        <v>0.01</v>
      </c>
      <c r="DD11" s="3">
        <f>IF(RTD("tos.rtd",,DD$2,"."&amp;$A$2&amp;$AS$1&amp;"P"&amp;$A11)="N/A",0,RTD("tos.rtd",,DD$2,"."&amp;$A$2&amp;$AS$1&amp;"P"&amp;$A11))</f>
        <v>2.37</v>
      </c>
      <c r="DE11" s="3">
        <f>IF(RTD("tos.rtd",,DE$2,"."&amp;$A$2&amp;$AS$1&amp;"C"&amp;$A11)="N/A",0,RTD("tos.rtd",,DE$2,"."&amp;$A$2&amp;$AS$1&amp;"C"&amp;$A11))</f>
        <v>0</v>
      </c>
      <c r="DF11" s="3">
        <f>IF(RTD("tos.rtd",,DF$2,"."&amp;$A$2&amp;$AS$1&amp;"P"&amp;$A11)="N/A",0,RTD("tos.rtd",,DF$2,"."&amp;$A$2&amp;$AS$1&amp;"P"&amp;$A11))</f>
        <v>1.6</v>
      </c>
      <c r="DG11" s="86">
        <f t="shared" si="48"/>
        <v>2.0499999999999545</v>
      </c>
      <c r="DH11" s="3">
        <f t="shared" si="106"/>
        <v>14</v>
      </c>
      <c r="DI11" s="3">
        <f t="shared" si="107"/>
        <v>-0.81818181818181801</v>
      </c>
      <c r="DJ11" s="3">
        <f t="shared" si="108"/>
        <v>14</v>
      </c>
      <c r="DK11" s="3">
        <f t="shared" si="51"/>
        <v>-1</v>
      </c>
      <c r="DL11" s="3">
        <f t="shared" si="52"/>
        <v>13.181818181818182</v>
      </c>
      <c r="DM11" s="3">
        <f t="shared" si="53"/>
        <v>13</v>
      </c>
      <c r="DN11" s="63" t="str">
        <f t="shared" si="54"/>
        <v>BUY</v>
      </c>
      <c r="DO11" s="63" t="str">
        <f t="shared" si="55"/>
        <v>BUY</v>
      </c>
      <c r="DP11" s="3">
        <f t="shared" si="56"/>
        <v>-1.6845454545454541</v>
      </c>
      <c r="DQ11" s="3">
        <f t="shared" si="57"/>
        <v>-2.09</v>
      </c>
      <c r="DR11" s="3">
        <f t="shared" ca="1" si="58"/>
        <v>1.6328565874679111</v>
      </c>
      <c r="DS11" s="3">
        <f t="shared" si="59"/>
        <v>-0.72</v>
      </c>
      <c r="DT11" s="3">
        <f t="shared" si="60"/>
        <v>14</v>
      </c>
      <c r="DU11" s="3">
        <f t="shared" si="61"/>
        <v>-1</v>
      </c>
      <c r="DV11" s="3">
        <f t="shared" si="62"/>
        <v>32247</v>
      </c>
      <c r="DW11" s="3">
        <f t="shared" si="23"/>
        <v>-871</v>
      </c>
      <c r="DX11" s="3">
        <f t="shared" ca="1" si="24"/>
        <v>0.10828637470552745</v>
      </c>
      <c r="DY11" s="3">
        <f t="shared" ca="1" si="25"/>
        <v>-0.11684734159052697</v>
      </c>
      <c r="DZ11" s="3">
        <f t="shared" ca="1" si="26"/>
        <v>3.1222747364851075E-2</v>
      </c>
      <c r="EA11" s="3">
        <f t="shared" ca="1" si="27"/>
        <v>-3.0474726472229763E-2</v>
      </c>
      <c r="EB11" s="3">
        <f t="shared" ca="1" si="28"/>
        <v>3.6016778068945252E-2</v>
      </c>
      <c r="EC11" s="3">
        <f t="shared" ca="1" si="29"/>
        <v>-3.4789060728833553E-2</v>
      </c>
      <c r="ED11" s="63">
        <f t="shared" si="63"/>
        <v>31376</v>
      </c>
      <c r="EE11" s="59">
        <f t="shared" si="109"/>
        <v>0.214</v>
      </c>
      <c r="EF11" s="59">
        <f t="shared" si="110"/>
        <v>0.25</v>
      </c>
      <c r="EG11" s="59">
        <f t="shared" si="111"/>
        <v>0.1762</v>
      </c>
      <c r="EH11" s="59">
        <f t="shared" si="112"/>
        <v>0.18060000000000001</v>
      </c>
      <c r="EI11" s="59">
        <f t="shared" si="113"/>
        <v>0.15229999999999999</v>
      </c>
      <c r="EJ11" s="59">
        <f t="shared" si="114"/>
        <v>0.1578</v>
      </c>
      <c r="EK11" s="63">
        <f t="shared" ca="1" si="65"/>
        <v>1221244416.4369299</v>
      </c>
      <c r="EL11" s="3" t="str">
        <f>RTD("tos.rtd",,EL$2,"."&amp;$A$2&amp;$AS$1&amp;"C"&amp;$A11)</f>
        <v>21.40%</v>
      </c>
      <c r="EM11" s="3" t="str">
        <f>RTD("tos.rtd",,EM$2,"."&amp;$A$2&amp;$AS$1&amp;"P"&amp;$A11)</f>
        <v>--</v>
      </c>
      <c r="EN11" s="3" t="str">
        <f>RTD("tos.rtd",,EN$2,"."&amp;$A$2&amp;$AU$1&amp;"C"&amp;$A11)</f>
        <v>17.62%</v>
      </c>
      <c r="EO11" s="3" t="str">
        <f>RTD("tos.rtd",,EO$2,"."&amp;$A$2&amp;$AU$1&amp;"P"&amp;$A11)</f>
        <v>18.06%</v>
      </c>
      <c r="EP11" s="3" t="str">
        <f>RTD("tos.rtd",,EP$2,"."&amp;$A$2&amp;$AW$1&amp;"C"&amp;$A11)</f>
        <v>15.23%</v>
      </c>
      <c r="EQ11" s="3" t="str">
        <f>RTD("tos.rtd",,EQ$2,"."&amp;$A$2&amp;$AW$1&amp;"P"&amp;$A11)</f>
        <v>15.78%</v>
      </c>
      <c r="ES11" s="63" t="str">
        <f t="shared" si="66"/>
        <v>585,31376.00</v>
      </c>
      <c r="ET11" s="63" t="str">
        <f t="shared" ca="1" si="67"/>
        <v>585,7797835.49</v>
      </c>
      <c r="EU11" s="67">
        <v>564.79999999999995</v>
      </c>
      <c r="EV11" s="67" t="s">
        <v>107</v>
      </c>
      <c r="EW11" s="67">
        <v>487.92</v>
      </c>
      <c r="EX11" s="67" t="s">
        <v>108</v>
      </c>
      <c r="EY11" s="67">
        <v>5659.91</v>
      </c>
      <c r="EZ11" s="67" t="s">
        <v>109</v>
      </c>
      <c r="FA11" s="67">
        <v>20061.449000000001</v>
      </c>
      <c r="FB11" s="67" t="s">
        <v>110</v>
      </c>
      <c r="FC11" s="67" t="s">
        <v>111</v>
      </c>
      <c r="FD11" s="67" t="s">
        <v>112</v>
      </c>
      <c r="FE11" s="67" t="s">
        <v>113</v>
      </c>
      <c r="FF11" s="67" t="s">
        <v>114</v>
      </c>
    </row>
    <row r="12" spans="1:162" s="63" customFormat="1" ht="13.5" thickBot="1" x14ac:dyDescent="0.25">
      <c r="A12" s="2">
        <f t="shared" si="68"/>
        <v>584</v>
      </c>
      <c r="B12" s="3">
        <f t="shared" si="82"/>
        <v>2315</v>
      </c>
      <c r="C12" s="3">
        <f t="shared" si="83"/>
        <v>5772</v>
      </c>
      <c r="D12" s="3">
        <f t="shared" si="84"/>
        <v>497</v>
      </c>
      <c r="E12" s="3">
        <f t="shared" si="85"/>
        <v>8584</v>
      </c>
      <c r="F12" s="4">
        <f t="shared" si="86"/>
        <v>5876.3152929067664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>
        <v>13425</v>
      </c>
      <c r="AN12" s="1">
        <v>-1299</v>
      </c>
      <c r="AO12" s="1">
        <v>584</v>
      </c>
      <c r="AP12" s="1">
        <v>150187</v>
      </c>
      <c r="AQ12" s="1">
        <v>-13251</v>
      </c>
      <c r="AR12" s="1"/>
      <c r="AS12" s="6">
        <f>IF(RTD("tos.rtd",,AS$2,"."&amp;$A$2&amp;$AS$1&amp;"C"&amp;$A12)="N/A",0,RTD("tos.rtd",,AS$2,"."&amp;$A$2&amp;$AS$1&amp;"C"&amp;$A12))</f>
        <v>2315</v>
      </c>
      <c r="AT12" s="7">
        <f>-IF(RTD("tos.rtd",,AT$2,"."&amp;$A$2&amp;$AS$1&amp;"P"&amp;$A12)="N/A",0,RTD("tos.rtd",,AT$2,"."&amp;$A$2&amp;$AS$1&amp;"P"&amp;$A12))</f>
        <v>0</v>
      </c>
      <c r="AU12" s="6">
        <f>IF(RTD("tos.rtd",,AU$2,"."&amp;$A$2&amp;$AU$1&amp;"C"&amp;$A12)="N/A",0,RTD("tos.rtd",,AU$2,"."&amp;$A$2&amp;$AU$1&amp;"C"&amp;$A12))</f>
        <v>5766</v>
      </c>
      <c r="AV12" s="7">
        <f>-IF(RTD("tos.rtd",,AV$2,"."&amp;$A$2&amp;$AU$1&amp;"P"&amp;$A12)="N/A",0,RTD("tos.rtd",,AV$2,"."&amp;$A$2&amp;$AU$1&amp;"P"&amp;$A12))</f>
        <v>-6</v>
      </c>
      <c r="AW12" s="6">
        <f>IF(RTD("tos.rtd",,AW$2,"."&amp;$A$2&amp;$AW$1&amp;"C"&amp;$A12)="N/A",0,RTD("tos.rtd",,AW$2,"."&amp;$A$2&amp;$AW$1&amp;"C"&amp;$A12))</f>
        <v>435</v>
      </c>
      <c r="AX12" s="7">
        <f>-IF(RTD("tos.rtd",,AX$2,"."&amp;$A$2&amp;$AW$1&amp;"P"&amp;$A12)="N/A",0,RTD("tos.rtd",,AX$2,"."&amp;$A$2&amp;$AW$1&amp;"P"&amp;$A12))</f>
        <v>-62</v>
      </c>
      <c r="AY12" s="1">
        <f t="shared" si="87"/>
        <v>8448</v>
      </c>
      <c r="AZ12" s="8">
        <f t="shared" si="35"/>
        <v>584</v>
      </c>
      <c r="BA12" s="6">
        <f>IF(RTD("tos.rtd",,BA$2,"."&amp;$A$2&amp;$AS$1&amp;"C"&amp;$A12)="N/A",0,RTD("tos.rtd",,BA$2,"."&amp;$A$2&amp;$AS$1&amp;"C"&amp;$A12))</f>
        <v>150387</v>
      </c>
      <c r="BB12" s="7">
        <f>-IF(RTD("tos.rtd",,BB$2,"."&amp;$A$2&amp;$AS$1&amp;"P"&amp;$A12)="N/A",0,RTD("tos.rtd",,BB$2,"."&amp;$A$2&amp;$AS$1&amp;"P"&amp;$A12))</f>
        <v>-13258</v>
      </c>
      <c r="BC12" s="6">
        <f>IF(RTD("tos.rtd",,BC$2,"."&amp;$A$2&amp;$AU$1&amp;"C"&amp;$A12)="N/A",0,RTD("tos.rtd",,BC$2,"."&amp;$A$2&amp;$AU$1&amp;"C"&amp;$A12))</f>
        <v>7822</v>
      </c>
      <c r="BD12" s="7">
        <f>-IF(RTD("tos.rtd",,BD$2,"."&amp;$A$2&amp;$AU$1&amp;"P"&amp;$A12)="N/A",0,RTD("tos.rtd",,BD$2,"."&amp;$A$2&amp;$AU$1&amp;"P"&amp;$A12))</f>
        <v>-2288</v>
      </c>
      <c r="BE12" s="6">
        <f>IF(RTD("tos.rtd",,BE$2,"."&amp;$A$2&amp;$AW$1&amp;"C"&amp;$A12)="N/A",0,RTD("tos.rtd",,BE$2,"."&amp;$A$2&amp;$AW$1&amp;"C"&amp;$A12))</f>
        <v>270</v>
      </c>
      <c r="BF12" s="83">
        <f>-IF(RTD("tos.rtd",,BF$2,"."&amp;$A$2&amp;$AW$1&amp;"P"&amp;$A12)="N/A",0,RTD("tos.rtd",,BF$2,"."&amp;$A$2&amp;$AW$1&amp;"P"&amp;$A12))</f>
        <v>-324</v>
      </c>
      <c r="BG12" s="32">
        <f ca="1">+Hoja2!Y13</f>
        <v>2047</v>
      </c>
      <c r="BH12" s="7">
        <f t="shared" ca="1" si="36"/>
        <v>144656</v>
      </c>
      <c r="BI12" s="8" t="str">
        <f t="shared" ref="BI12" ca="1" si="119">IF(AND(BH12&lt;0,BH11&gt;0), "Cruce -", IF(AND(BH12&gt;0,BH11&lt;0),"Cruce +", ""))</f>
        <v/>
      </c>
      <c r="BJ12" s="3">
        <f ca="1">IF($BP$1=1,DX12,IF(RTD("tos.rtd",,BJ$2,"."&amp;$A$2&amp;$AS$1&amp;"C"&amp;$A12)="N/A",0,RTD("tos.rtd",,BJ$2,"."&amp;$A$2&amp;$AS$1&amp;"C"&amp;$A12)))</f>
        <v>0.22397613349621512</v>
      </c>
      <c r="BK12" s="3">
        <f ca="1">IF($BP$1=1,DY12,-IF(RTD("tos.rtd",,BK$2,"."&amp;$A$2&amp;$AS$1&amp;"P"&amp;$A12)="N/A",0,RTD("tos.rtd",,BK$2,"."&amp;$A$2&amp;$AS$1&amp;"P"&amp;$A12)))</f>
        <v>-0.18653977471820102</v>
      </c>
      <c r="BL12" s="3">
        <f ca="1">IF($BP$1=1,DZ12,IF(RTD("tos.rtd",,BL$2,"."&amp;$A$2&amp;$AU$1&amp;"C"&amp;$A12)="N/A",0,RTD("tos.rtd",,BL$2,"."&amp;$A$2&amp;$AU$1&amp;"C"&amp;$A12)))</f>
        <v>3.107224813447838E-2</v>
      </c>
      <c r="BM12" s="3">
        <f ca="1">IF($BP$1=1,EA12,-IF(RTD("tos.rtd",,BM$2,"."&amp;$A$2&amp;$AU$1&amp;"P"&amp;$A12)="N/A",0,RTD("tos.rtd",,BM$2,"."&amp;$A$2&amp;$AU$1&amp;"P"&amp;$A12)))</f>
        <v>-3.0408485951129896E-2</v>
      </c>
      <c r="BN12" s="3">
        <f ca="1">IF($BP$1=1,EB12,IF(RTD("tos.rtd",,BN$2,"."&amp;$A$2&amp;$AW$1&amp;"C"&amp;$A12)="N/A",0,RTD("tos.rtd",,BN$2,"."&amp;$A$2&amp;$AW$1&amp;"C"&amp;$A12)))</f>
        <v>3.5892232317908349E-2</v>
      </c>
      <c r="BO12" s="3">
        <f ca="1">IF($BP$1=1,EC12,-IF(RTD("tos.rtd",,BO$2,"."&amp;$A$2&amp;$AW$1&amp;"P"&amp;$A12)="N/A",0,RTD("tos.rtd",,BO$2,"."&amp;$A$2&amp;$AW$1&amp;"P"&amp;$A12)))</f>
        <v>-3.4834262705921888E-2</v>
      </c>
      <c r="BQ12" s="3">
        <f t="shared" ca="1" si="89"/>
        <v>176203833.11711973</v>
      </c>
      <c r="BR12" s="3" t="str">
        <f t="shared" ca="1" si="71"/>
        <v/>
      </c>
      <c r="BS12" s="3">
        <f t="shared" ca="1" si="90"/>
        <v>60822943.932548404</v>
      </c>
      <c r="BT12" s="3" t="str">
        <f t="shared" ca="1" si="71"/>
        <v/>
      </c>
      <c r="BU12" s="3">
        <f t="shared" ca="1" si="91"/>
        <v>4571877.2755380543</v>
      </c>
      <c r="BV12" s="3" t="str">
        <f t="shared" ref="BV12" ca="1" si="120">IF(AND(BU12&lt;0,BU11&gt;0), "Cruce -", IF(AND(BU12&gt;0,BU11&lt;0),"Cruce +", ""))</f>
        <v/>
      </c>
      <c r="BX12" s="3">
        <f t="shared" ca="1" si="93"/>
        <v>10606100747.395351</v>
      </c>
      <c r="BY12" s="3" t="str">
        <f t="shared" ca="1" si="73"/>
        <v/>
      </c>
      <c r="BZ12" s="3">
        <f t="shared" ca="1" si="94"/>
        <v>58951284.615478419</v>
      </c>
      <c r="CA12" s="3" t="str">
        <f t="shared" ca="1" si="74"/>
        <v/>
      </c>
      <c r="CB12" s="3">
        <f t="shared" ca="1" si="95"/>
        <v>-542165.35594128864</v>
      </c>
      <c r="CC12" s="3" t="str">
        <f t="shared" ca="1" si="75"/>
        <v>Cruce -</v>
      </c>
      <c r="CD12" s="3">
        <f>IF(RTD("tos.rtd",,CD$2,"."&amp;$A$2&amp;$AS$1&amp;"C"&amp;$A12)="N/A",0,RTD("tos.rtd",,CD$2,"."&amp;$A$2&amp;$AS$1&amp;"C"&amp;$A12))</f>
        <v>0.02</v>
      </c>
      <c r="CE12" s="3">
        <f>-IF(RTD("tos.rtd",,CE$2,"."&amp;$A$2&amp;$AS$1&amp;"P"&amp;$A12)="N/A",0,RTD("tos.rtd",,CE$2,"."&amp;$A$2&amp;$AS$1&amp;"P"&amp;$A12))</f>
        <v>1</v>
      </c>
      <c r="CF12" s="3">
        <f>IF(RTD("tos.rtd",,CF$2,"."&amp;$A$2&amp;$AU$1&amp;"C"&amp;$A12)="N/A",0,RTD("tos.rtd",,CF$2,"."&amp;$A$2&amp;$AU$1&amp;"C"&amp;$A12))</f>
        <v>0.47</v>
      </c>
      <c r="CG12" s="3">
        <f>-IF(RTD("tos.rtd",,CG$2,"."&amp;$A$2&amp;$AU$1&amp;"P"&amp;$A12)="N/A",0,RTD("tos.rtd",,CG$2,"."&amp;$A$2&amp;$AU$1&amp;"P"&amp;$A12))</f>
        <v>0.53</v>
      </c>
      <c r="CH12" s="3">
        <f>IF(RTD("tos.rtd",,CH$2,"."&amp;$A$2&amp;$AW$1&amp;"C"&amp;$A12)="N/A",0,RTD("tos.rtd",,CH$2,"."&amp;$A$2&amp;$AW$1&amp;"C"&amp;$A12))</f>
        <v>0.52</v>
      </c>
      <c r="CI12" s="3">
        <f>-IF(RTD("tos.rtd",,CI$2,"."&amp;$A$2&amp;$AW$1&amp;"P"&amp;$A12)="N/A",0,RTD("tos.rtd",,CI$2,"."&amp;$A$2&amp;$AW$1&amp;"P"&amp;$A12))</f>
        <v>0.48</v>
      </c>
      <c r="CK12" s="3">
        <f t="shared" si="96"/>
        <v>4630</v>
      </c>
      <c r="CL12" s="3"/>
      <c r="CM12" s="3">
        <f t="shared" si="97"/>
        <v>270684</v>
      </c>
      <c r="CN12" s="3"/>
      <c r="CO12" s="3">
        <f t="shared" si="98"/>
        <v>19644</v>
      </c>
      <c r="CP12" s="3">
        <f t="shared" si="99"/>
        <v>294958</v>
      </c>
      <c r="CQ12" s="3">
        <f t="shared" si="100"/>
        <v>137129</v>
      </c>
      <c r="CR12" s="3"/>
      <c r="CS12" s="3">
        <f t="shared" si="101"/>
        <v>5534</v>
      </c>
      <c r="CT12" s="3"/>
      <c r="CU12" s="3">
        <f t="shared" si="102"/>
        <v>-54</v>
      </c>
      <c r="CV12" s="3">
        <f t="shared" si="103"/>
        <v>142609</v>
      </c>
      <c r="CW12" s="3">
        <f t="shared" ca="1" si="104"/>
        <v>241598654.32520619</v>
      </c>
      <c r="CX12" s="85" t="str">
        <f t="shared" ca="1" si="76"/>
        <v/>
      </c>
      <c r="CY12" s="3">
        <f t="shared" ca="1" si="105"/>
        <v>10664509866.654888</v>
      </c>
      <c r="CZ12" s="85" t="str">
        <f t="shared" ca="1" si="77"/>
        <v/>
      </c>
      <c r="DA12" s="3">
        <f>IF(RTD("tos.rtd",,DA$2,"."&amp;$A$2&amp;$AS$1&amp;"C"&amp;$A12)="N/A",0,RTD("tos.rtd",,DA$2,"."&amp;$A$2&amp;$AS$1&amp;"C"&amp;$A12))</f>
        <v>0.01</v>
      </c>
      <c r="DB12" s="3">
        <f>IF(RTD("tos.rtd",,DB$2,"."&amp;$A$2&amp;$AS$1&amp;"P"&amp;$A12)="N/A",0,RTD("tos.rtd",,DB$2,"."&amp;$A$2&amp;$AS$1&amp;"P"&amp;$A12))</f>
        <v>1.22</v>
      </c>
      <c r="DC12" s="3">
        <f>IF(RTD("tos.rtd",,DC$2,"."&amp;$A$2&amp;$AS$1&amp;"C"&amp;$A12)="N/A",0,RTD("tos.rtd",,DC$2,"."&amp;$A$2&amp;$AS$1&amp;"C"&amp;$A12))</f>
        <v>0.01</v>
      </c>
      <c r="DD12" s="3">
        <f>IF(RTD("tos.rtd",,DD$2,"."&amp;$A$2&amp;$AS$1&amp;"P"&amp;$A12)="N/A",0,RTD("tos.rtd",,DD$2,"."&amp;$A$2&amp;$AS$1&amp;"P"&amp;$A12))</f>
        <v>1.25</v>
      </c>
      <c r="DE12" s="3">
        <f>IF(RTD("tos.rtd",,DE$2,"."&amp;$A$2&amp;$AS$1&amp;"C"&amp;$A12)="N/A",0,RTD("tos.rtd",,DE$2,"."&amp;$A$2&amp;$AS$1&amp;"C"&amp;$A12))</f>
        <v>0</v>
      </c>
      <c r="DF12" s="3">
        <f>IF(RTD("tos.rtd",,DF$2,"."&amp;$A$2&amp;$AS$1&amp;"P"&amp;$A12)="N/A",0,RTD("tos.rtd",,DF$2,"."&amp;$A$2&amp;$AS$1&amp;"P"&amp;$A12))</f>
        <v>0.35</v>
      </c>
      <c r="DG12" s="86">
        <f t="shared" si="48"/>
        <v>1.0499999999999545</v>
      </c>
      <c r="DH12" s="3">
        <f t="shared" si="106"/>
        <v>200</v>
      </c>
      <c r="DI12" s="3">
        <f t="shared" si="107"/>
        <v>-6.7666666666666666</v>
      </c>
      <c r="DJ12" s="3">
        <f t="shared" si="108"/>
        <v>200</v>
      </c>
      <c r="DK12" s="3">
        <f t="shared" si="51"/>
        <v>-7</v>
      </c>
      <c r="DL12" s="3">
        <f t="shared" si="52"/>
        <v>193.23333333333332</v>
      </c>
      <c r="DM12" s="3">
        <f t="shared" si="53"/>
        <v>193</v>
      </c>
      <c r="DN12" s="63" t="str">
        <f t="shared" si="54"/>
        <v>BUY</v>
      </c>
      <c r="DO12" s="63" t="str">
        <f t="shared" si="55"/>
        <v>BUY</v>
      </c>
      <c r="DP12" s="3">
        <f t="shared" si="56"/>
        <v>-6.2553333333333327</v>
      </c>
      <c r="DQ12" s="3">
        <f t="shared" si="57"/>
        <v>-6.5399999999999991</v>
      </c>
      <c r="DR12" s="3">
        <f t="shared" ca="1" si="58"/>
        <v>46.101005122270429</v>
      </c>
      <c r="DS12" s="3">
        <f t="shared" si="59"/>
        <v>-3</v>
      </c>
      <c r="DT12" s="3">
        <f t="shared" si="60"/>
        <v>200</v>
      </c>
      <c r="DU12" s="3">
        <f t="shared" si="61"/>
        <v>-7</v>
      </c>
      <c r="DV12" s="3">
        <f t="shared" si="62"/>
        <v>13625</v>
      </c>
      <c r="DW12" s="3">
        <f t="shared" si="23"/>
        <v>-1306</v>
      </c>
      <c r="DX12" s="3">
        <f t="shared" ca="1" si="24"/>
        <v>0.22397613349621512</v>
      </c>
      <c r="DY12" s="3">
        <f t="shared" ca="1" si="25"/>
        <v>-0.18653977471820102</v>
      </c>
      <c r="DZ12" s="3">
        <f t="shared" ca="1" si="26"/>
        <v>3.107224813447838E-2</v>
      </c>
      <c r="EA12" s="3">
        <f t="shared" ca="1" si="27"/>
        <v>-3.0408485951129896E-2</v>
      </c>
      <c r="EB12" s="3">
        <f t="shared" ca="1" si="28"/>
        <v>3.5892232317908349E-2</v>
      </c>
      <c r="EC12" s="3">
        <f t="shared" ca="1" si="29"/>
        <v>-3.4834262705921888E-2</v>
      </c>
      <c r="ED12" s="63">
        <f t="shared" si="63"/>
        <v>12319</v>
      </c>
      <c r="EE12" s="59">
        <f t="shared" si="109"/>
        <v>0.1212</v>
      </c>
      <c r="EF12" s="59">
        <f t="shared" si="110"/>
        <v>0.25</v>
      </c>
      <c r="EG12" s="59">
        <f t="shared" si="111"/>
        <v>0.1782</v>
      </c>
      <c r="EH12" s="59">
        <f t="shared" si="112"/>
        <v>0.18210000000000001</v>
      </c>
      <c r="EI12" s="59">
        <f t="shared" si="113"/>
        <v>0.1542</v>
      </c>
      <c r="EJ12" s="59">
        <f t="shared" si="114"/>
        <v>0.15890000000000001</v>
      </c>
      <c r="EK12" s="63">
        <f t="shared" ca="1" si="65"/>
        <v>1119842674.6523678</v>
      </c>
      <c r="EL12" s="3" t="str">
        <f>RTD("tos.rtd",,EL$2,"."&amp;$A$2&amp;$AS$1&amp;"C"&amp;$A12)</f>
        <v>12.12%</v>
      </c>
      <c r="EM12" s="3" t="str">
        <f>RTD("tos.rtd",,EM$2,"."&amp;$A$2&amp;$AS$1&amp;"P"&amp;$A12)</f>
        <v>--</v>
      </c>
      <c r="EN12" s="3" t="str">
        <f>RTD("tos.rtd",,EN$2,"."&amp;$A$2&amp;$AU$1&amp;"C"&amp;$A12)</f>
        <v>17.82%</v>
      </c>
      <c r="EO12" s="3" t="str">
        <f>RTD("tos.rtd",,EO$2,"."&amp;$A$2&amp;$AU$1&amp;"P"&amp;$A12)</f>
        <v>18.21%</v>
      </c>
      <c r="EP12" s="3" t="str">
        <f>RTD("tos.rtd",,EP$2,"."&amp;$A$2&amp;$AW$1&amp;"C"&amp;$A12)</f>
        <v>15.42%</v>
      </c>
      <c r="EQ12" s="3" t="str">
        <f>RTD("tos.rtd",,EQ$2,"."&amp;$A$2&amp;$AW$1&amp;"P"&amp;$A12)</f>
        <v>15.89%</v>
      </c>
      <c r="ES12" s="63" t="str">
        <f t="shared" si="66"/>
        <v>584,12319.00</v>
      </c>
      <c r="ET12" s="63" t="str">
        <f t="shared" ca="1" si="67"/>
        <v>584,10664509.87</v>
      </c>
      <c r="EU12" s="67">
        <v>564.79999999999995</v>
      </c>
      <c r="EV12" s="67" t="s">
        <v>115</v>
      </c>
      <c r="EW12" s="67">
        <v>487.92</v>
      </c>
      <c r="EX12" s="67" t="s">
        <v>116</v>
      </c>
      <c r="EY12" s="67">
        <v>5659.91</v>
      </c>
      <c r="EZ12" s="67" t="s">
        <v>117</v>
      </c>
      <c r="FA12" s="67">
        <v>20061.449000000001</v>
      </c>
      <c r="FB12" s="67" t="s">
        <v>118</v>
      </c>
      <c r="FC12" s="67" t="s">
        <v>119</v>
      </c>
      <c r="FD12" s="67" t="s">
        <v>120</v>
      </c>
      <c r="FE12" s="67" t="s">
        <v>121</v>
      </c>
      <c r="FF12" s="67" t="s">
        <v>122</v>
      </c>
    </row>
    <row r="13" spans="1:162" s="63" customFormat="1" ht="13.5" thickBot="1" x14ac:dyDescent="0.25">
      <c r="A13" s="2">
        <f t="shared" si="68"/>
        <v>583</v>
      </c>
      <c r="B13" s="3">
        <f t="shared" si="82"/>
        <v>1928</v>
      </c>
      <c r="C13" s="3">
        <f t="shared" si="83"/>
        <v>4995</v>
      </c>
      <c r="D13" s="3">
        <f t="shared" si="84"/>
        <v>595</v>
      </c>
      <c r="E13" s="3">
        <f t="shared" si="85"/>
        <v>7518</v>
      </c>
      <c r="F13" s="4">
        <f t="shared" si="86"/>
        <v>5866.2531091860355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v>-14867</v>
      </c>
      <c r="AN13" s="1">
        <v>1214</v>
      </c>
      <c r="AO13" s="1">
        <v>583</v>
      </c>
      <c r="AP13" s="1">
        <v>248045</v>
      </c>
      <c r="AQ13" s="1">
        <v>-45464</v>
      </c>
      <c r="AR13" s="1"/>
      <c r="AS13" s="6">
        <f>IF(RTD("tos.rtd",,AS$2,"."&amp;$A$2&amp;$AS$1&amp;"C"&amp;$A13)="N/A",0,RTD("tos.rtd",,AS$2,"."&amp;$A$2&amp;$AS$1&amp;"C"&amp;$A13))</f>
        <v>1925</v>
      </c>
      <c r="AT13" s="7">
        <f>-IF(RTD("tos.rtd",,AT$2,"."&amp;$A$2&amp;$AS$1&amp;"P"&amp;$A13)="N/A",0,RTD("tos.rtd",,AT$2,"."&amp;$A$2&amp;$AS$1&amp;"P"&amp;$A13))</f>
        <v>-3</v>
      </c>
      <c r="AU13" s="6">
        <f>IF(RTD("tos.rtd",,AU$2,"."&amp;$A$2&amp;$AU$1&amp;"C"&amp;$A13)="N/A",0,RTD("tos.rtd",,AU$2,"."&amp;$A$2&amp;$AU$1&amp;"C"&amp;$A13))</f>
        <v>4967</v>
      </c>
      <c r="AV13" s="7">
        <f>-IF(RTD("tos.rtd",,AV$2,"."&amp;$A$2&amp;$AU$1&amp;"P"&amp;$A13)="N/A",0,RTD("tos.rtd",,AV$2,"."&amp;$A$2&amp;$AU$1&amp;"P"&amp;$A13))</f>
        <v>-28</v>
      </c>
      <c r="AW13" s="6">
        <f>IF(RTD("tos.rtd",,AW$2,"."&amp;$A$2&amp;$AW$1&amp;"C"&amp;$A13)="N/A",0,RTD("tos.rtd",,AW$2,"."&amp;$A$2&amp;$AW$1&amp;"C"&amp;$A13))</f>
        <v>567</v>
      </c>
      <c r="AX13" s="7">
        <f>-IF(RTD("tos.rtd",,AX$2,"."&amp;$A$2&amp;$AW$1&amp;"P"&amp;$A13)="N/A",0,RTD("tos.rtd",,AX$2,"."&amp;$A$2&amp;$AW$1&amp;"P"&amp;$A13))</f>
        <v>-28</v>
      </c>
      <c r="AY13" s="1">
        <f t="shared" si="87"/>
        <v>7400</v>
      </c>
      <c r="AZ13" s="8">
        <f t="shared" si="35"/>
        <v>583</v>
      </c>
      <c r="BA13" s="6">
        <f>IF(RTD("tos.rtd",,BA$2,"."&amp;$A$2&amp;$AS$1&amp;"C"&amp;$A13)="N/A",0,RTD("tos.rtd",,BA$2,"."&amp;$A$2&amp;$AS$1&amp;"C"&amp;$A13))</f>
        <v>248708</v>
      </c>
      <c r="BB13" s="7">
        <f>-IF(RTD("tos.rtd",,BB$2,"."&amp;$A$2&amp;$AS$1&amp;"P"&amp;$A13)="N/A",0,RTD("tos.rtd",,BB$2,"."&amp;$A$2&amp;$AS$1&amp;"P"&amp;$A13))</f>
        <v>-46546</v>
      </c>
      <c r="BC13" s="6">
        <f>IF(RTD("tos.rtd",,BC$2,"."&amp;$A$2&amp;$AU$1&amp;"C"&amp;$A13)="N/A",0,RTD("tos.rtd",,BC$2,"."&amp;$A$2&amp;$AU$1&amp;"C"&amp;$A13))</f>
        <v>10572</v>
      </c>
      <c r="BD13" s="7">
        <f>-IF(RTD("tos.rtd",,BD$2,"."&amp;$A$2&amp;$AU$1&amp;"P"&amp;$A13)="N/A",0,RTD("tos.rtd",,BD$2,"."&amp;$A$2&amp;$AU$1&amp;"P"&amp;$A13))</f>
        <v>-2324</v>
      </c>
      <c r="BE13" s="6">
        <f>IF(RTD("tos.rtd",,BE$2,"."&amp;$A$2&amp;$AW$1&amp;"C"&amp;$A13)="N/A",0,RTD("tos.rtd",,BE$2,"."&amp;$A$2&amp;$AW$1&amp;"C"&amp;$A13))</f>
        <v>1219</v>
      </c>
      <c r="BF13" s="83">
        <f>-IF(RTD("tos.rtd",,BF$2,"."&amp;$A$2&amp;$AW$1&amp;"P"&amp;$A13)="N/A",0,RTD("tos.rtd",,BF$2,"."&amp;$A$2&amp;$AW$1&amp;"P"&amp;$A13))</f>
        <v>-968</v>
      </c>
      <c r="BG13" s="32">
        <f ca="1">+Hoja2!Y14</f>
        <v>805</v>
      </c>
      <c r="BH13" s="7">
        <f t="shared" ca="1" si="36"/>
        <v>211466</v>
      </c>
      <c r="BI13" s="8" t="str">
        <f t="shared" ref="BI13" ca="1" si="121">IF(AND(BH13&lt;0,BH12&gt;0), "Cruce -", IF(AND(BH13&gt;0,BH12&lt;0),"Cruce +", ""))</f>
        <v/>
      </c>
      <c r="BJ13" s="3">
        <f ca="1">IF($BP$1=1,DX13,IF(RTD("tos.rtd",,BJ$2,"."&amp;$A$2&amp;$AS$1&amp;"C"&amp;$A13)="N/A",0,RTD("tos.rtd",,BJ$2,"."&amp;$A$2&amp;$AS$1&amp;"C"&amp;$A13)))</f>
        <v>0.89276363328559893</v>
      </c>
      <c r="BK13" s="3">
        <f ca="1">IF($BP$1=1,DY13,-IF(RTD("tos.rtd",,BK$2,"."&amp;$A$2&amp;$AS$1&amp;"P"&amp;$A13)="N/A",0,RTD("tos.rtd",,BK$2,"."&amp;$A$2&amp;$AS$1&amp;"P"&amp;$A13)))</f>
        <v>-0.35768170872173599</v>
      </c>
      <c r="BL13" s="3">
        <f ca="1">IF($BP$1=1,DZ13,IF(RTD("tos.rtd",,BL$2,"."&amp;$A$2&amp;$AU$1&amp;"C"&amp;$A13)="N/A",0,RTD("tos.rtd",,BL$2,"."&amp;$A$2&amp;$AU$1&amp;"C"&amp;$A13)))</f>
        <v>3.0768224722612023E-2</v>
      </c>
      <c r="BM13" s="3">
        <f ca="1">IF($BP$1=1,EA13,-IF(RTD("tos.rtd",,BM$2,"."&amp;$A$2&amp;$AU$1&amp;"P"&amp;$A13)="N/A",0,RTD("tos.rtd",,BM$2,"."&amp;$A$2&amp;$AU$1&amp;"P"&amp;$A13)))</f>
        <v>-3.0297167127798574E-2</v>
      </c>
      <c r="BN13" s="3">
        <f ca="1">IF($BP$1=1,EB13,IF(RTD("tos.rtd",,BN$2,"."&amp;$A$2&amp;$AW$1&amp;"C"&amp;$A13)="N/A",0,RTD("tos.rtd",,BN$2,"."&amp;$A$2&amp;$AW$1&amp;"C"&amp;$A13)))</f>
        <v>3.5681527507735941E-2</v>
      </c>
      <c r="BO13" s="3">
        <f ca="1">IF($BP$1=1,EC13,-IF(RTD("tos.rtd",,BO$2,"."&amp;$A$2&amp;$AW$1&amp;"P"&amp;$A13)="N/A",0,RTD("tos.rtd",,BO$2,"."&amp;$A$2&amp;$AW$1&amp;"P"&amp;$A13)))</f>
        <v>-3.459023464698243E-2</v>
      </c>
      <c r="BQ13" s="3">
        <f t="shared" ca="1" si="89"/>
        <v>583658194.70281386</v>
      </c>
      <c r="BR13" s="3" t="str">
        <f t="shared" ca="1" si="71"/>
        <v/>
      </c>
      <c r="BS13" s="3">
        <f t="shared" ca="1" si="90"/>
        <v>51646604.113397792</v>
      </c>
      <c r="BT13" s="3" t="str">
        <f t="shared" ca="1" si="71"/>
        <v/>
      </c>
      <c r="BU13" s="3">
        <f t="shared" ca="1" si="91"/>
        <v>6546124.6783694308</v>
      </c>
      <c r="BV13" s="3" t="str">
        <f t="shared" ref="BV13" ca="1" si="122">IF(AND(BU13&lt;0,BU12&gt;0), "Cruce -", IF(AND(BU13&gt;0,BU12&lt;0),"Cruce +", ""))</f>
        <v/>
      </c>
      <c r="BX13" s="3">
        <f t="shared" ca="1" si="93"/>
        <v>69797421852.434799</v>
      </c>
      <c r="BY13" s="3" t="str">
        <f t="shared" ca="1" si="73"/>
        <v/>
      </c>
      <c r="BZ13" s="3">
        <f t="shared" ca="1" si="94"/>
        <v>86613009.790737942</v>
      </c>
      <c r="CA13" s="3" t="str">
        <f t="shared" ca="1" si="74"/>
        <v/>
      </c>
      <c r="CB13" s="3">
        <f t="shared" ca="1" si="95"/>
        <v>3402532.7836449742</v>
      </c>
      <c r="CC13" s="3" t="str">
        <f t="shared" ca="1" si="75"/>
        <v>Cruce +</v>
      </c>
      <c r="CD13" s="3">
        <f>IF(RTD("tos.rtd",,CD$2,"."&amp;$A$2&amp;$AS$1&amp;"C"&amp;$A13)="N/A",0,RTD("tos.rtd",,CD$2,"."&amp;$A$2&amp;$AS$1&amp;"C"&amp;$A13))</f>
        <v>0.43</v>
      </c>
      <c r="CE13" s="3">
        <f>-IF(RTD("tos.rtd",,CE$2,"."&amp;$A$2&amp;$AS$1&amp;"P"&amp;$A13)="N/A",0,RTD("tos.rtd",,CE$2,"."&amp;$A$2&amp;$AS$1&amp;"P"&amp;$A13))</f>
        <v>0.53</v>
      </c>
      <c r="CF13" s="3">
        <f>IF(RTD("tos.rtd",,CF$2,"."&amp;$A$2&amp;$AU$1&amp;"C"&amp;$A13)="N/A",0,RTD("tos.rtd",,CF$2,"."&amp;$A$2&amp;$AU$1&amp;"C"&amp;$A13))</f>
        <v>0.51</v>
      </c>
      <c r="CG13" s="3">
        <f>-IF(RTD("tos.rtd",,CG$2,"."&amp;$A$2&amp;$AU$1&amp;"P"&amp;$A13)="N/A",0,RTD("tos.rtd",,CG$2,"."&amp;$A$2&amp;$AU$1&amp;"P"&amp;$A13))</f>
        <v>0.49</v>
      </c>
      <c r="CH13" s="3">
        <f>IF(RTD("tos.rtd",,CH$2,"."&amp;$A$2&amp;$AW$1&amp;"C"&amp;$A13)="N/A",0,RTD("tos.rtd",,CH$2,"."&amp;$A$2&amp;$AW$1&amp;"C"&amp;$A13))</f>
        <v>0.54</v>
      </c>
      <c r="CI13" s="3">
        <f>-IF(RTD("tos.rtd",,CI$2,"."&amp;$A$2&amp;$AW$1&amp;"P"&amp;$A13)="N/A",0,RTD("tos.rtd",,CI$2,"."&amp;$A$2&amp;$AW$1&amp;"P"&amp;$A13))</f>
        <v>0.47</v>
      </c>
      <c r="CK13" s="3">
        <f t="shared" si="96"/>
        <v>82616</v>
      </c>
      <c r="CL13" s="3"/>
      <c r="CM13" s="3">
        <f t="shared" si="97"/>
        <v>251945</v>
      </c>
      <c r="CN13" s="3"/>
      <c r="CO13" s="3">
        <f t="shared" si="98"/>
        <v>29302</v>
      </c>
      <c r="CP13" s="3">
        <f t="shared" si="99"/>
        <v>363863</v>
      </c>
      <c r="CQ13" s="3">
        <f t="shared" si="100"/>
        <v>202162</v>
      </c>
      <c r="CR13" s="3"/>
      <c r="CS13" s="3">
        <f t="shared" si="101"/>
        <v>8248</v>
      </c>
      <c r="CT13" s="3"/>
      <c r="CU13" s="3">
        <f t="shared" si="102"/>
        <v>251</v>
      </c>
      <c r="CV13" s="3">
        <f t="shared" si="103"/>
        <v>210661</v>
      </c>
      <c r="CW13" s="3">
        <f t="shared" ca="1" si="104"/>
        <v>641850923.4945811</v>
      </c>
      <c r="CX13" s="85" t="str">
        <f t="shared" ca="1" si="76"/>
        <v/>
      </c>
      <c r="CY13" s="3">
        <f t="shared" ca="1" si="105"/>
        <v>69887437395.009186</v>
      </c>
      <c r="CZ13" s="85" t="str">
        <f t="shared" ca="1" si="77"/>
        <v/>
      </c>
      <c r="DA13" s="3">
        <f>IF(RTD("tos.rtd",,DA$2,"."&amp;$A$2&amp;$AS$1&amp;"C"&amp;$A13)="N/A",0,RTD("tos.rtd",,DA$2,"."&amp;$A$2&amp;$AS$1&amp;"C"&amp;$A13))</f>
        <v>0.09</v>
      </c>
      <c r="DB13" s="3">
        <f>IF(RTD("tos.rtd",,DB$2,"."&amp;$A$2&amp;$AS$1&amp;"P"&amp;$A13)="N/A",0,RTD("tos.rtd",,DB$2,"."&amp;$A$2&amp;$AS$1&amp;"P"&amp;$A13))</f>
        <v>0.28000000000000003</v>
      </c>
      <c r="DC13" s="3">
        <f>IF(RTD("tos.rtd",,DC$2,"."&amp;$A$2&amp;$AS$1&amp;"C"&amp;$A13)="N/A",0,RTD("tos.rtd",,DC$2,"."&amp;$A$2&amp;$AS$1&amp;"C"&amp;$A13))</f>
        <v>0.1</v>
      </c>
      <c r="DD13" s="3">
        <f>IF(RTD("tos.rtd",,DD$2,"."&amp;$A$2&amp;$AS$1&amp;"P"&amp;$A13)="N/A",0,RTD("tos.rtd",,DD$2,"."&amp;$A$2&amp;$AS$1&amp;"P"&amp;$A13))</f>
        <v>0.32</v>
      </c>
      <c r="DE13" s="3">
        <f>IF(RTD("tos.rtd",,DE$2,"."&amp;$A$2&amp;$AS$1&amp;"C"&amp;$A13)="N/A",0,RTD("tos.rtd",,DE$2,"."&amp;$A$2&amp;$AS$1&amp;"C"&amp;$A13))</f>
        <v>7.0000000000000007E-2</v>
      </c>
      <c r="DF13" s="3">
        <f>IF(RTD("tos.rtd",,DF$2,"."&amp;$A$2&amp;$AS$1&amp;"P"&amp;$A13)="N/A",0,RTD("tos.rtd",,DF$2,"."&amp;$A$2&amp;$AS$1&amp;"P"&amp;$A13))</f>
        <v>0.27</v>
      </c>
      <c r="DG13" s="86">
        <f t="shared" si="48"/>
        <v>4.9999999999954525E-2</v>
      </c>
      <c r="DH13" s="3">
        <f t="shared" si="106"/>
        <v>441.99999999999983</v>
      </c>
      <c r="DI13" s="3">
        <f t="shared" si="107"/>
        <v>-216.40000000000026</v>
      </c>
      <c r="DJ13" s="3">
        <f t="shared" si="108"/>
        <v>663</v>
      </c>
      <c r="DK13" s="3">
        <f t="shared" si="51"/>
        <v>1082</v>
      </c>
      <c r="DL13" s="3">
        <f t="shared" si="52"/>
        <v>225.59999999999957</v>
      </c>
      <c r="DM13" s="3">
        <f t="shared" si="53"/>
        <v>1745</v>
      </c>
      <c r="DN13" s="63" t="str">
        <f t="shared" si="54"/>
        <v>BUY</v>
      </c>
      <c r="DO13" s="63" t="str">
        <f t="shared" si="55"/>
        <v>SELL</v>
      </c>
      <c r="DP13" s="3">
        <f t="shared" si="56"/>
        <v>-20.812000000000097</v>
      </c>
      <c r="DQ13" s="3">
        <f t="shared" si="57"/>
        <v>362.63000000000005</v>
      </c>
      <c r="DR13" s="3">
        <f t="shared" ca="1" si="58"/>
        <v>204.89068003143376</v>
      </c>
      <c r="DS13" s="3">
        <f t="shared" si="59"/>
        <v>858.55</v>
      </c>
      <c r="DT13" s="3">
        <f t="shared" si="60"/>
        <v>663</v>
      </c>
      <c r="DU13" s="3">
        <f t="shared" si="61"/>
        <v>-1082</v>
      </c>
      <c r="DV13" s="3">
        <f t="shared" si="62"/>
        <v>-14204</v>
      </c>
      <c r="DW13" s="3">
        <f t="shared" si="23"/>
        <v>2296</v>
      </c>
      <c r="DX13" s="3">
        <f t="shared" ca="1" si="24"/>
        <v>0.89276363328559893</v>
      </c>
      <c r="DY13" s="3">
        <f t="shared" ca="1" si="25"/>
        <v>-0.35768170872173599</v>
      </c>
      <c r="DZ13" s="3">
        <f t="shared" ca="1" si="26"/>
        <v>3.0768224722612023E-2</v>
      </c>
      <c r="EA13" s="3">
        <f t="shared" ca="1" si="27"/>
        <v>-3.0297167127798574E-2</v>
      </c>
      <c r="EB13" s="3">
        <f t="shared" ca="1" si="28"/>
        <v>3.5681527507735941E-2</v>
      </c>
      <c r="EC13" s="3">
        <f t="shared" ca="1" si="29"/>
        <v>-3.459023464698243E-2</v>
      </c>
      <c r="ED13" s="63">
        <f t="shared" si="63"/>
        <v>-11908</v>
      </c>
      <c r="EE13" s="59">
        <f t="shared" si="109"/>
        <v>6.13E-2</v>
      </c>
      <c r="EF13" s="59">
        <f t="shared" si="110"/>
        <v>0.1537</v>
      </c>
      <c r="EG13" s="59">
        <f t="shared" si="111"/>
        <v>0.18</v>
      </c>
      <c r="EH13" s="59">
        <f t="shared" si="112"/>
        <v>0.18279999999999999</v>
      </c>
      <c r="EI13" s="59">
        <f t="shared" si="113"/>
        <v>0.1552</v>
      </c>
      <c r="EJ13" s="59">
        <f t="shared" si="114"/>
        <v>0.16009999999999999</v>
      </c>
      <c r="EK13" s="63">
        <f t="shared" ca="1" si="65"/>
        <v>-4588411765.5175314</v>
      </c>
      <c r="EL13" s="3" t="str">
        <f>RTD("tos.rtd",,EL$2,"."&amp;$A$2&amp;$AS$1&amp;"C"&amp;$A13)</f>
        <v>6.13%</v>
      </c>
      <c r="EM13" s="3" t="str">
        <f>RTD("tos.rtd",,EM$2,"."&amp;$A$2&amp;$AS$1&amp;"P"&amp;$A13)</f>
        <v>15.37%</v>
      </c>
      <c r="EN13" s="3" t="str">
        <f>RTD("tos.rtd",,EN$2,"."&amp;$A$2&amp;$AU$1&amp;"C"&amp;$A13)</f>
        <v>18.00%</v>
      </c>
      <c r="EO13" s="3" t="str">
        <f>RTD("tos.rtd",,EO$2,"."&amp;$A$2&amp;$AU$1&amp;"P"&amp;$A13)</f>
        <v>18.28%</v>
      </c>
      <c r="EP13" s="3" t="str">
        <f>RTD("tos.rtd",,EP$2,"."&amp;$A$2&amp;$AW$1&amp;"C"&amp;$A13)</f>
        <v>15.52%</v>
      </c>
      <c r="EQ13" s="3" t="str">
        <f>RTD("tos.rtd",,EQ$2,"."&amp;$A$2&amp;$AW$1&amp;"P"&amp;$A13)</f>
        <v>16.01%</v>
      </c>
      <c r="ES13" s="63" t="str">
        <f t="shared" si="66"/>
        <v>583,-11908.00</v>
      </c>
      <c r="ET13" s="63" t="str">
        <f t="shared" ca="1" si="67"/>
        <v>583,69887437.40</v>
      </c>
      <c r="EU13" s="67">
        <v>564.79999999999995</v>
      </c>
      <c r="EV13" s="67" t="s">
        <v>123</v>
      </c>
      <c r="EW13" s="67">
        <v>487.92</v>
      </c>
      <c r="EX13" s="67" t="s">
        <v>124</v>
      </c>
      <c r="EY13" s="67">
        <v>5659.91</v>
      </c>
      <c r="EZ13" s="67" t="s">
        <v>125</v>
      </c>
      <c r="FA13" s="67">
        <v>20061.449000000001</v>
      </c>
      <c r="FB13" s="67" t="s">
        <v>126</v>
      </c>
      <c r="FC13" s="67" t="s">
        <v>127</v>
      </c>
      <c r="FD13" s="67" t="s">
        <v>128</v>
      </c>
      <c r="FE13" s="67" t="s">
        <v>129</v>
      </c>
      <c r="FF13" s="67" t="s">
        <v>130</v>
      </c>
    </row>
    <row r="14" spans="1:162" s="63" customFormat="1" ht="13.5" thickBot="1" x14ac:dyDescent="0.25">
      <c r="A14" s="2">
        <f t="shared" si="68"/>
        <v>582</v>
      </c>
      <c r="B14" s="3">
        <f t="shared" si="82"/>
        <v>2061</v>
      </c>
      <c r="C14" s="3">
        <f t="shared" si="83"/>
        <v>5930</v>
      </c>
      <c r="D14" s="3">
        <f t="shared" si="84"/>
        <v>944</v>
      </c>
      <c r="E14" s="3">
        <f t="shared" si="85"/>
        <v>8935</v>
      </c>
      <c r="F14" s="4">
        <f t="shared" si="86"/>
        <v>5856.1909254653056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>
        <v>8934</v>
      </c>
      <c r="AN14" s="1">
        <v>11810</v>
      </c>
      <c r="AO14" s="1">
        <v>582</v>
      </c>
      <c r="AP14" s="1">
        <v>426510</v>
      </c>
      <c r="AQ14" s="1">
        <v>-206453</v>
      </c>
      <c r="AR14" s="1"/>
      <c r="AS14" s="6">
        <f>IF(RTD("tos.rtd",,AS$2,"."&amp;$A$2&amp;$AS$1&amp;"C"&amp;$A14)="N/A",0,RTD("tos.rtd",,AS$2,"."&amp;$A$2&amp;$AS$1&amp;"C"&amp;$A14))</f>
        <v>2034</v>
      </c>
      <c r="AT14" s="7">
        <f>-IF(RTD("tos.rtd",,AT$2,"."&amp;$A$2&amp;$AS$1&amp;"P"&amp;$A14)="N/A",0,RTD("tos.rtd",,AT$2,"."&amp;$A$2&amp;$AS$1&amp;"P"&amp;$A14))</f>
        <v>-27</v>
      </c>
      <c r="AU14" s="6">
        <f>IF(RTD("tos.rtd",,AU$2,"."&amp;$A$2&amp;$AU$1&amp;"C"&amp;$A14)="N/A",0,RTD("tos.rtd",,AU$2,"."&amp;$A$2&amp;$AU$1&amp;"C"&amp;$A14))</f>
        <v>5898</v>
      </c>
      <c r="AV14" s="7">
        <f>-IF(RTD("tos.rtd",,AV$2,"."&amp;$A$2&amp;$AU$1&amp;"P"&amp;$A14)="N/A",0,RTD("tos.rtd",,AV$2,"."&amp;$A$2&amp;$AU$1&amp;"P"&amp;$A14))</f>
        <v>-32</v>
      </c>
      <c r="AW14" s="6">
        <f>IF(RTD("tos.rtd",,AW$2,"."&amp;$A$2&amp;$AW$1&amp;"C"&amp;$A14)="N/A",0,RTD("tos.rtd",,AW$2,"."&amp;$A$2&amp;$AW$1&amp;"C"&amp;$A14))</f>
        <v>927</v>
      </c>
      <c r="AX14" s="7">
        <f>-IF(RTD("tos.rtd",,AX$2,"."&amp;$A$2&amp;$AW$1&amp;"P"&amp;$A14)="N/A",0,RTD("tos.rtd",,AX$2,"."&amp;$A$2&amp;$AW$1&amp;"P"&amp;$A14))</f>
        <v>-17</v>
      </c>
      <c r="AY14" s="1">
        <f t="shared" si="87"/>
        <v>8783</v>
      </c>
      <c r="AZ14" s="8">
        <f t="shared" si="35"/>
        <v>582</v>
      </c>
      <c r="BA14" s="6">
        <f>IF(RTD("tos.rtd",,BA$2,"."&amp;$A$2&amp;$AS$1&amp;"C"&amp;$A14)="N/A",0,RTD("tos.rtd",,BA$2,"."&amp;$A$2&amp;$AS$1&amp;"C"&amp;$A14))</f>
        <v>426589</v>
      </c>
      <c r="BB14" s="7">
        <f>-IF(RTD("tos.rtd",,BB$2,"."&amp;$A$2&amp;$AS$1&amp;"P"&amp;$A14)="N/A",0,RTD("tos.rtd",,BB$2,"."&amp;$A$2&amp;$AS$1&amp;"P"&amp;$A14))</f>
        <v>-206704</v>
      </c>
      <c r="BC14" s="6">
        <f>IF(RTD("tos.rtd",,BC$2,"."&amp;$A$2&amp;$AU$1&amp;"C"&amp;$A14)="N/A",0,RTD("tos.rtd",,BC$2,"."&amp;$A$2&amp;$AU$1&amp;"C"&amp;$A14))</f>
        <v>13922</v>
      </c>
      <c r="BD14" s="7">
        <f>-IF(RTD("tos.rtd",,BD$2,"."&amp;$A$2&amp;$AU$1&amp;"P"&amp;$A14)="N/A",0,RTD("tos.rtd",,BD$2,"."&amp;$A$2&amp;$AU$1&amp;"P"&amp;$A14))</f>
        <v>-6727</v>
      </c>
      <c r="BE14" s="6">
        <f>IF(RTD("tos.rtd",,BE$2,"."&amp;$A$2&amp;$AW$1&amp;"C"&amp;$A14)="N/A",0,RTD("tos.rtd",,BE$2,"."&amp;$A$2&amp;$AW$1&amp;"C"&amp;$A14))</f>
        <v>964</v>
      </c>
      <c r="BF14" s="83">
        <f>-IF(RTD("tos.rtd",,BF$2,"."&amp;$A$2&amp;$AW$1&amp;"P"&amp;$A14)="N/A",0,RTD("tos.rtd",,BF$2,"."&amp;$A$2&amp;$AW$1&amp;"P"&amp;$A14))</f>
        <v>-879</v>
      </c>
      <c r="BG14" s="32">
        <f ca="1">+Hoja2!Y15</f>
        <v>2685</v>
      </c>
      <c r="BH14" s="7">
        <f t="shared" ca="1" si="36"/>
        <v>229850</v>
      </c>
      <c r="BI14" s="8" t="str">
        <f t="shared" ref="BI14" ca="1" si="123">IF(AND(BH14&lt;0,BH13&gt;0), "Cruce -", IF(AND(BH14&gt;0,BH13&lt;0),"Cruce +", ""))</f>
        <v/>
      </c>
      <c r="BJ14" s="3">
        <f ca="1">IF($BP$1=1,DX14,IF(RTD("tos.rtd",,BJ$2,"."&amp;$A$2&amp;$AS$1&amp;"C"&amp;$A14)="N/A",0,RTD("tos.rtd",,BJ$2,"."&amp;$A$2&amp;$AS$1&amp;"C"&amp;$A14)))</f>
        <v>0.19143181945498874</v>
      </c>
      <c r="BK14" s="3">
        <f ca="1">IF($BP$1=1,DY14,-IF(RTD("tos.rtd",,BK$2,"."&amp;$A$2&amp;$AS$1&amp;"P"&amp;$A14)="N/A",0,RTD("tos.rtd",,BK$2,"."&amp;$A$2&amp;$AS$1&amp;"P"&amp;$A14)))</f>
        <v>-0.24033378857665047</v>
      </c>
      <c r="BL14" s="3">
        <f ca="1">IF($BP$1=1,DZ14,IF(RTD("tos.rtd",,BL$2,"."&amp;$A$2&amp;$AU$1&amp;"C"&amp;$A14)="N/A",0,RTD("tos.rtd",,BL$2,"."&amp;$A$2&amp;$AU$1&amp;"C"&amp;$A14)))</f>
        <v>3.0291449366757726E-2</v>
      </c>
      <c r="BM14" s="3">
        <f ca="1">IF($BP$1=1,EA14,-IF(RTD("tos.rtd",,BM$2,"."&amp;$A$2&amp;$AU$1&amp;"P"&amp;$A14)="N/A",0,RTD("tos.rtd",,BM$2,"."&amp;$A$2&amp;$AU$1&amp;"P"&amp;$A14)))</f>
        <v>-2.9756720530795998E-2</v>
      </c>
      <c r="BN14" s="3">
        <f ca="1">IF($BP$1=1,EB14,IF(RTD("tos.rtd",,BN$2,"."&amp;$A$2&amp;$AW$1&amp;"C"&amp;$A14)="N/A",0,RTD("tos.rtd",,BN$2,"."&amp;$A$2&amp;$AW$1&amp;"C"&amp;$A14)))</f>
        <v>3.510397123937152E-2</v>
      </c>
      <c r="BO14" s="3">
        <f ca="1">IF($BP$1=1,EC14,-IF(RTD("tos.rtd",,BO$2,"."&amp;$A$2&amp;$AW$1&amp;"P"&amp;$A14)="N/A",0,RTD("tos.rtd",,BO$2,"."&amp;$A$2&amp;$AW$1&amp;"P"&amp;$A14)))</f>
        <v>-3.4073657914141971E-2</v>
      </c>
      <c r="BQ14" s="3">
        <f t="shared" ca="1" si="89"/>
        <v>130115503.69624102</v>
      </c>
      <c r="BR14" s="3" t="str">
        <f t="shared" ca="1" si="71"/>
        <v/>
      </c>
      <c r="BS14" s="3">
        <f t="shared" ca="1" si="90"/>
        <v>60390210.81570337</v>
      </c>
      <c r="BT14" s="3" t="str">
        <f t="shared" ca="1" si="71"/>
        <v/>
      </c>
      <c r="BU14" s="3">
        <f t="shared" ca="1" si="91"/>
        <v>10861712.803920869</v>
      </c>
      <c r="BV14" s="3" t="str">
        <f t="shared" ref="BV14" ca="1" si="124">IF(AND(BU14&lt;0,BU13&gt;0), "Cruce -", IF(AND(BU14&gt;0,BU13&lt;0),"Cruce +", ""))</f>
        <v/>
      </c>
      <c r="BX14" s="3">
        <f t="shared" ca="1" si="93"/>
        <v>10869401079.76206</v>
      </c>
      <c r="BY14" s="3" t="str">
        <f t="shared" ca="1" si="73"/>
        <v/>
      </c>
      <c r="BZ14" s="3">
        <f t="shared" ca="1" si="94"/>
        <v>75287486.822821528</v>
      </c>
      <c r="CA14" s="3" t="str">
        <f t="shared" ca="1" si="74"/>
        <v/>
      </c>
      <c r="CB14" s="3">
        <f t="shared" ca="1" si="95"/>
        <v>1321765.7294531278</v>
      </c>
      <c r="CC14" s="3" t="str">
        <f t="shared" ca="1" si="75"/>
        <v/>
      </c>
      <c r="CD14" s="3">
        <f>IF(RTD("tos.rtd",,CD$2,"."&amp;$A$2&amp;$AS$1&amp;"C"&amp;$A14)="N/A",0,RTD("tos.rtd",,CD$2,"."&amp;$A$2&amp;$AS$1&amp;"C"&amp;$A14))</f>
        <v>1</v>
      </c>
      <c r="CE14" s="3">
        <f>-IF(RTD("tos.rtd",,CE$2,"."&amp;$A$2&amp;$AS$1&amp;"P"&amp;$A14)="N/A",0,RTD("tos.rtd",,CE$2,"."&amp;$A$2&amp;$AS$1&amp;"P"&amp;$A14))</f>
        <v>0.1</v>
      </c>
      <c r="CF14" s="3">
        <f>IF(RTD("tos.rtd",,CF$2,"."&amp;$A$2&amp;$AU$1&amp;"C"&amp;$A14)="N/A",0,RTD("tos.rtd",,CF$2,"."&amp;$A$2&amp;$AU$1&amp;"C"&amp;$A14))</f>
        <v>0.55000000000000004</v>
      </c>
      <c r="CG14" s="3">
        <f>-IF(RTD("tos.rtd",,CG$2,"."&amp;$A$2&amp;$AU$1&amp;"P"&amp;$A14)="N/A",0,RTD("tos.rtd",,CG$2,"."&amp;$A$2&amp;$AU$1&amp;"P"&amp;$A14))</f>
        <v>0.46</v>
      </c>
      <c r="CH14" s="3">
        <f>IF(RTD("tos.rtd",,CH$2,"."&amp;$A$2&amp;$AW$1&amp;"C"&amp;$A14)="N/A",0,RTD("tos.rtd",,CH$2,"."&amp;$A$2&amp;$AW$1&amp;"C"&amp;$A14))</f>
        <v>0.55000000000000004</v>
      </c>
      <c r="CI14" s="3">
        <f>-IF(RTD("tos.rtd",,CI$2,"."&amp;$A$2&amp;$AW$1&amp;"P"&amp;$A14)="N/A",0,RTD("tos.rtd",,CI$2,"."&amp;$A$2&amp;$AW$1&amp;"P"&amp;$A14))</f>
        <v>0.45</v>
      </c>
      <c r="CK14" s="3">
        <f t="shared" si="96"/>
        <v>203130</v>
      </c>
      <c r="CL14" s="3"/>
      <c r="CM14" s="3">
        <f t="shared" si="97"/>
        <v>322918</v>
      </c>
      <c r="CN14" s="3"/>
      <c r="CO14" s="3">
        <f t="shared" si="98"/>
        <v>50220</v>
      </c>
      <c r="CP14" s="3">
        <f t="shared" si="99"/>
        <v>576268</v>
      </c>
      <c r="CQ14" s="3">
        <f t="shared" si="100"/>
        <v>219885</v>
      </c>
      <c r="CR14" s="3"/>
      <c r="CS14" s="3">
        <f t="shared" si="101"/>
        <v>7195</v>
      </c>
      <c r="CT14" s="3"/>
      <c r="CU14" s="3">
        <f t="shared" si="102"/>
        <v>85</v>
      </c>
      <c r="CV14" s="3">
        <f t="shared" si="103"/>
        <v>227165</v>
      </c>
      <c r="CW14" s="3">
        <f t="shared" ca="1" si="104"/>
        <v>201367427.31586525</v>
      </c>
      <c r="CX14" s="85" t="str">
        <f t="shared" ca="1" si="76"/>
        <v/>
      </c>
      <c r="CY14" s="3">
        <f t="shared" ca="1" si="105"/>
        <v>10946010332.314335</v>
      </c>
      <c r="CZ14" s="85" t="str">
        <f t="shared" ca="1" si="77"/>
        <v/>
      </c>
      <c r="DA14" s="3">
        <f>IF(RTD("tos.rtd",,DA$2,"."&amp;$A$2&amp;$AS$1&amp;"C"&amp;$A14)="N/A",0,RTD("tos.rtd",,DA$2,"."&amp;$A$2&amp;$AS$1&amp;"C"&amp;$A14))</f>
        <v>0.75</v>
      </c>
      <c r="DB14" s="3">
        <f>IF(RTD("tos.rtd",,DB$2,"."&amp;$A$2&amp;$AS$1&amp;"P"&amp;$A14)="N/A",0,RTD("tos.rtd",,DB$2,"."&amp;$A$2&amp;$AS$1&amp;"P"&amp;$A14))</f>
        <v>0.03</v>
      </c>
      <c r="DC14" s="3">
        <f>IF(RTD("tos.rtd",,DC$2,"."&amp;$A$2&amp;$AS$1&amp;"C"&amp;$A14)="N/A",0,RTD("tos.rtd",,DC$2,"."&amp;$A$2&amp;$AS$1&amp;"C"&amp;$A14))</f>
        <v>0.89</v>
      </c>
      <c r="DD14" s="3">
        <f>IF(RTD("tos.rtd",,DD$2,"."&amp;$A$2&amp;$AS$1&amp;"P"&amp;$A14)="N/A",0,RTD("tos.rtd",,DD$2,"."&amp;$A$2&amp;$AS$1&amp;"P"&amp;$A14))</f>
        <v>0.04</v>
      </c>
      <c r="DE14" s="3">
        <f>IF(RTD("tos.rtd",,DE$2,"."&amp;$A$2&amp;$AS$1&amp;"C"&amp;$A14)="N/A",0,RTD("tos.rtd",,DE$2,"."&amp;$A$2&amp;$AS$1&amp;"C"&amp;$A14))</f>
        <v>0.75</v>
      </c>
      <c r="DF14" s="3">
        <f>IF(RTD("tos.rtd",,DF$2,"."&amp;$A$2&amp;$AS$1&amp;"P"&amp;$A14)="N/A",0,RTD("tos.rtd",,DF$2,"."&amp;$A$2&amp;$AS$1&amp;"P"&amp;$A14))</f>
        <v>0.03</v>
      </c>
      <c r="DG14" s="86">
        <f t="shared" si="48"/>
        <v>-0.95000000000004547</v>
      </c>
      <c r="DH14" s="3">
        <f t="shared" si="106"/>
        <v>0</v>
      </c>
      <c r="DI14" s="3">
        <f t="shared" si="107"/>
        <v>0</v>
      </c>
      <c r="DJ14" s="3">
        <f t="shared" si="108"/>
        <v>-79</v>
      </c>
      <c r="DK14" s="3">
        <f t="shared" si="51"/>
        <v>251</v>
      </c>
      <c r="DL14" s="3">
        <f t="shared" si="52"/>
        <v>0</v>
      </c>
      <c r="DM14" s="3">
        <f t="shared" si="53"/>
        <v>172</v>
      </c>
      <c r="DN14" s="63" t="str">
        <f t="shared" si="54"/>
        <v>SELL</v>
      </c>
      <c r="DO14" s="63" t="str">
        <f t="shared" si="55"/>
        <v>SELL</v>
      </c>
      <c r="DP14" s="3">
        <f t="shared" si="56"/>
        <v>0</v>
      </c>
      <c r="DQ14" s="3">
        <f t="shared" si="57"/>
        <v>-51.72</v>
      </c>
      <c r="DR14" s="3">
        <f t="shared" ca="1" si="58"/>
        <v>-75.446894669683374</v>
      </c>
      <c r="DS14" s="3">
        <f t="shared" si="59"/>
        <v>-53.9</v>
      </c>
      <c r="DT14" s="3">
        <f t="shared" si="60"/>
        <v>79</v>
      </c>
      <c r="DU14" s="3">
        <f t="shared" si="61"/>
        <v>-251</v>
      </c>
      <c r="DV14" s="3">
        <f t="shared" si="62"/>
        <v>8855</v>
      </c>
      <c r="DW14" s="3">
        <f t="shared" si="23"/>
        <v>12061</v>
      </c>
      <c r="DX14" s="3">
        <f t="shared" ca="1" si="24"/>
        <v>0.19143181945498874</v>
      </c>
      <c r="DY14" s="3">
        <f t="shared" ca="1" si="25"/>
        <v>-0.24033378857665047</v>
      </c>
      <c r="DZ14" s="3">
        <f t="shared" ca="1" si="26"/>
        <v>3.0291449366757726E-2</v>
      </c>
      <c r="EA14" s="3">
        <f t="shared" ca="1" si="27"/>
        <v>-2.9756720530795998E-2</v>
      </c>
      <c r="EB14" s="3">
        <f t="shared" ca="1" si="28"/>
        <v>3.510397123937152E-2</v>
      </c>
      <c r="EC14" s="3">
        <f t="shared" ca="1" si="29"/>
        <v>-3.4073657914141971E-2</v>
      </c>
      <c r="ED14" s="63">
        <f t="shared" si="63"/>
        <v>20916</v>
      </c>
      <c r="EE14" s="59">
        <f t="shared" si="109"/>
        <v>0.25</v>
      </c>
      <c r="EF14" s="59">
        <f t="shared" si="110"/>
        <v>0.16869999999999999</v>
      </c>
      <c r="EG14" s="59">
        <f t="shared" si="111"/>
        <v>0.18179999999999999</v>
      </c>
      <c r="EH14" s="59">
        <f t="shared" si="112"/>
        <v>0.18509999999999999</v>
      </c>
      <c r="EI14" s="59">
        <f t="shared" si="113"/>
        <v>0.15659999999999999</v>
      </c>
      <c r="EJ14" s="59">
        <f t="shared" si="114"/>
        <v>0.16139999999999999</v>
      </c>
      <c r="EK14" s="63">
        <f t="shared" ca="1" si="65"/>
        <v>-408998845.51879823</v>
      </c>
      <c r="EL14" s="3" t="str">
        <f>RTD("tos.rtd",,EL$2,"."&amp;$A$2&amp;$AS$1&amp;"C"&amp;$A14)</f>
        <v>--</v>
      </c>
      <c r="EM14" s="3" t="str">
        <f>RTD("tos.rtd",,EM$2,"."&amp;$A$2&amp;$AS$1&amp;"P"&amp;$A14)</f>
        <v>16.87%</v>
      </c>
      <c r="EN14" s="3" t="str">
        <f>RTD("tos.rtd",,EN$2,"."&amp;$A$2&amp;$AU$1&amp;"C"&amp;$A14)</f>
        <v>18.18%</v>
      </c>
      <c r="EO14" s="3" t="str">
        <f>RTD("tos.rtd",,EO$2,"."&amp;$A$2&amp;$AU$1&amp;"P"&amp;$A14)</f>
        <v>18.51%</v>
      </c>
      <c r="EP14" s="3" t="str">
        <f>RTD("tos.rtd",,EP$2,"."&amp;$A$2&amp;$AW$1&amp;"C"&amp;$A14)</f>
        <v>15.66%</v>
      </c>
      <c r="EQ14" s="3" t="str">
        <f>RTD("tos.rtd",,EQ$2,"."&amp;$A$2&amp;$AW$1&amp;"P"&amp;$A14)</f>
        <v>16.14%</v>
      </c>
      <c r="ES14" s="63" t="str">
        <f t="shared" si="66"/>
        <v>582,20916.00</v>
      </c>
      <c r="ET14" s="63" t="str">
        <f t="shared" ca="1" si="67"/>
        <v>582,10946010.33</v>
      </c>
      <c r="EU14" s="67">
        <v>564.79999999999995</v>
      </c>
      <c r="EV14" s="67" t="s">
        <v>131</v>
      </c>
      <c r="EW14" s="67">
        <v>487.92</v>
      </c>
      <c r="EX14" s="67" t="s">
        <v>132</v>
      </c>
      <c r="EY14" s="67">
        <v>5659.91</v>
      </c>
      <c r="EZ14" s="67" t="s">
        <v>133</v>
      </c>
      <c r="FA14" s="67">
        <v>20061.449000000001</v>
      </c>
      <c r="FB14" s="67" t="s">
        <v>134</v>
      </c>
      <c r="FC14" s="67" t="s">
        <v>135</v>
      </c>
      <c r="FD14" s="67" t="s">
        <v>136</v>
      </c>
      <c r="FE14" s="67" t="s">
        <v>137</v>
      </c>
      <c r="FF14" s="67" t="s">
        <v>138</v>
      </c>
    </row>
    <row r="15" spans="1:162" s="63" customFormat="1" ht="13.5" thickBot="1" x14ac:dyDescent="0.25">
      <c r="A15" s="2">
        <f t="shared" si="68"/>
        <v>581</v>
      </c>
      <c r="B15" s="3">
        <f t="shared" si="9"/>
        <v>5670</v>
      </c>
      <c r="C15" s="3">
        <f t="shared" si="10"/>
        <v>6188</v>
      </c>
      <c r="D15" s="3">
        <f t="shared" si="11"/>
        <v>1698</v>
      </c>
      <c r="E15" s="3">
        <f t="shared" si="12"/>
        <v>13556</v>
      </c>
      <c r="F15" s="4">
        <f t="shared" si="13"/>
        <v>5846.1287417445747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>
        <v>-21615</v>
      </c>
      <c r="AN15" s="1">
        <v>-305</v>
      </c>
      <c r="AO15" s="1">
        <v>581</v>
      </c>
      <c r="AP15" s="1">
        <v>309646</v>
      </c>
      <c r="AQ15" s="1">
        <v>-352906</v>
      </c>
      <c r="AR15" s="1"/>
      <c r="AS15" s="6">
        <f>IF(RTD("tos.rtd",,AS$2,"."&amp;$A$2&amp;$AS$1&amp;"C"&amp;$A15)="N/A",0,RTD("tos.rtd",,AS$2,"."&amp;$A$2&amp;$AS$1&amp;"C"&amp;$A15))</f>
        <v>5430</v>
      </c>
      <c r="AT15" s="7">
        <f>-IF(RTD("tos.rtd",,AT$2,"."&amp;$A$2&amp;$AS$1&amp;"P"&amp;$A15)="N/A",0,RTD("tos.rtd",,AT$2,"."&amp;$A$2&amp;$AS$1&amp;"P"&amp;$A15))</f>
        <v>-240</v>
      </c>
      <c r="AU15" s="6">
        <f>IF(RTD("tos.rtd",,AU$2,"."&amp;$A$2&amp;$AU$1&amp;"C"&amp;$A15)="N/A",0,RTD("tos.rtd",,AU$2,"."&amp;$A$2&amp;$AU$1&amp;"C"&amp;$A15))</f>
        <v>5962</v>
      </c>
      <c r="AV15" s="7">
        <f>-IF(RTD("tos.rtd",,AV$2,"."&amp;$A$2&amp;$AU$1&amp;"P"&amp;$A15)="N/A",0,RTD("tos.rtd",,AV$2,"."&amp;$A$2&amp;$AU$1&amp;"P"&amp;$A15))</f>
        <v>-226</v>
      </c>
      <c r="AW15" s="6">
        <f>IF(RTD("tos.rtd",,AW$2,"."&amp;$A$2&amp;$AW$1&amp;"C"&amp;$A15)="N/A",0,RTD("tos.rtd",,AW$2,"."&amp;$A$2&amp;$AW$1&amp;"C"&amp;$A15))</f>
        <v>1533</v>
      </c>
      <c r="AX15" s="7">
        <f>-IF(RTD("tos.rtd",,AX$2,"."&amp;$A$2&amp;$AW$1&amp;"P"&amp;$A15)="N/A",0,RTD("tos.rtd",,AX$2,"."&amp;$A$2&amp;$AW$1&amp;"P"&amp;$A15))</f>
        <v>-165</v>
      </c>
      <c r="AY15" s="1">
        <f t="shared" si="69"/>
        <v>12294</v>
      </c>
      <c r="AZ15" s="8">
        <f t="shared" si="35"/>
        <v>581</v>
      </c>
      <c r="BA15" s="6">
        <f>IF(RTD("tos.rtd",,BA$2,"."&amp;$A$2&amp;$AS$1&amp;"C"&amp;$A15)="N/A",0,RTD("tos.rtd",,BA$2,"."&amp;$A$2&amp;$AS$1&amp;"C"&amp;$A15))</f>
        <v>309719</v>
      </c>
      <c r="BB15" s="7">
        <f>-IF(RTD("tos.rtd",,BB$2,"."&amp;$A$2&amp;$AS$1&amp;"P"&amp;$A15)="N/A",0,RTD("tos.rtd",,BB$2,"."&amp;$A$2&amp;$AS$1&amp;"P"&amp;$A15))</f>
        <v>-353033</v>
      </c>
      <c r="BC15" s="6">
        <f>IF(RTD("tos.rtd",,BC$2,"."&amp;$A$2&amp;$AU$1&amp;"C"&amp;$A15)="N/A",0,RTD("tos.rtd",,BC$2,"."&amp;$A$2&amp;$AU$1&amp;"C"&amp;$A15))</f>
        <v>12030</v>
      </c>
      <c r="BD15" s="7">
        <f>-IF(RTD("tos.rtd",,BD$2,"."&amp;$A$2&amp;$AU$1&amp;"P"&amp;$A15)="N/A",0,RTD("tos.rtd",,BD$2,"."&amp;$A$2&amp;$AU$1&amp;"P"&amp;$A15))</f>
        <v>-7973</v>
      </c>
      <c r="BE15" s="6">
        <f>IF(RTD("tos.rtd",,BE$2,"."&amp;$A$2&amp;$AW$1&amp;"C"&amp;$A15)="N/A",0,RTD("tos.rtd",,BE$2,"."&amp;$A$2&amp;$AW$1&amp;"C"&amp;$A15))</f>
        <v>1096</v>
      </c>
      <c r="BF15" s="83">
        <f>-IF(RTD("tos.rtd",,BF$2,"."&amp;$A$2&amp;$AW$1&amp;"P"&amp;$A15)="N/A",0,RTD("tos.rtd",,BF$2,"."&amp;$A$2&amp;$AW$1&amp;"P"&amp;$A15))</f>
        <v>-1407</v>
      </c>
      <c r="BG15" s="32">
        <f ca="1">+Hoja2!Y16</f>
        <v>-114</v>
      </c>
      <c r="BH15" s="7">
        <f t="shared" ca="1" si="36"/>
        <v>-39682</v>
      </c>
      <c r="BI15" s="8" t="str">
        <f t="shared" ref="BI15" ca="1" si="125">IF(AND(BH15&lt;0,BH14&gt;0), "Cruce -", IF(AND(BH15&gt;0,BH14&lt;0),"Cruce +", ""))</f>
        <v>Cruce -</v>
      </c>
      <c r="BJ15" s="3">
        <f ca="1">IF($BP$1=1,DX15,IF(RTD("tos.rtd",,BJ$2,"."&amp;$A$2&amp;$AS$1&amp;"C"&amp;$A15)="N/A",0,RTD("tos.rtd",,BJ$2,"."&amp;$A$2&amp;$AS$1&amp;"C"&amp;$A15)))</f>
        <v>0.10335300602813867</v>
      </c>
      <c r="BK15" s="3">
        <f ca="1">IF($BP$1=1,DY15,-IF(RTD("tos.rtd",,BK$2,"."&amp;$A$2&amp;$AS$1&amp;"P"&amp;$A15)="N/A",0,RTD("tos.rtd",,BK$2,"."&amp;$A$2&amp;$AS$1&amp;"P"&amp;$A15)))</f>
        <v>-0.11975613911201097</v>
      </c>
      <c r="BL15" s="3">
        <f ca="1">IF($BP$1=1,DZ15,IF(RTD("tos.rtd",,BL$2,"."&amp;$A$2&amp;$AU$1&amp;"C"&amp;$A15)="N/A",0,RTD("tos.rtd",,BL$2,"."&amp;$A$2&amp;$AU$1&amp;"C"&amp;$A15)))</f>
        <v>2.958123818947302E-2</v>
      </c>
      <c r="BM15" s="3">
        <f ca="1">IF($BP$1=1,EA15,-IF(RTD("tos.rtd",,BM$2,"."&amp;$A$2&amp;$AU$1&amp;"P"&amp;$A15)="N/A",0,RTD("tos.rtd",,BM$2,"."&amp;$A$2&amp;$AU$1&amp;"P"&amp;$A15)))</f>
        <v>-2.9166512765482811E-2</v>
      </c>
      <c r="BN15" s="3">
        <f ca="1">IF($BP$1=1,EB15,IF(RTD("tos.rtd",,BN$2,"."&amp;$A$2&amp;$AW$1&amp;"C"&amp;$A15)="N/A",0,RTD("tos.rtd",,BN$2,"."&amp;$A$2&amp;$AW$1&amp;"C"&amp;$A15)))</f>
        <v>3.4320516360015423E-2</v>
      </c>
      <c r="BO15" s="3">
        <f ca="1">IF($BP$1=1,EC15,-IF(RTD("tos.rtd",,BO$2,"."&amp;$A$2&amp;$AW$1&amp;"P"&amp;$A15)="N/A",0,RTD("tos.rtd",,BO$2,"."&amp;$A$2&amp;$AW$1&amp;"P"&amp;$A15)))</f>
        <v>-3.3347930009858646E-2</v>
      </c>
      <c r="BQ15" s="3">
        <f t="shared" ca="1" si="37"/>
        <v>180948073.72512865</v>
      </c>
      <c r="BR15" s="3" t="str">
        <f t="shared" ca="1" si="71"/>
        <v/>
      </c>
      <c r="BS15" s="3">
        <f t="shared" ca="1" si="38"/>
        <v>57693639.542109594</v>
      </c>
      <c r="BT15" s="3" t="str">
        <f t="shared" ca="1" si="71"/>
        <v/>
      </c>
      <c r="BU15" s="3">
        <f t="shared" ca="1" si="39"/>
        <v>16009744.898719914</v>
      </c>
      <c r="BV15" s="3" t="str">
        <f t="shared" ref="BV15" ca="1" si="126">IF(AND(BU15&lt;0,BU14&gt;0), "Cruce -", IF(AND(BU15&gt;0,BU14&lt;0),"Cruce +", ""))</f>
        <v/>
      </c>
      <c r="BX15" s="3">
        <f t="shared" ca="1" si="40"/>
        <v>-3489204732.3433075</v>
      </c>
      <c r="BY15" s="3" t="str">
        <f t="shared" ca="1" si="73"/>
        <v>Cruce -</v>
      </c>
      <c r="BZ15" s="3">
        <f t="shared" ca="1" si="41"/>
        <v>41907136.931179225</v>
      </c>
      <c r="CA15" s="3" t="str">
        <f t="shared" ca="1" si="74"/>
        <v/>
      </c>
      <c r="CB15" s="3">
        <f t="shared" ca="1" si="42"/>
        <v>-3162210.1858884171</v>
      </c>
      <c r="CC15" s="3" t="str">
        <f t="shared" ca="1" si="75"/>
        <v>Cruce -</v>
      </c>
      <c r="CD15" s="3">
        <f>IF(RTD("tos.rtd",,CD$2,"."&amp;$A$2&amp;$AS$1&amp;"C"&amp;$A15)="N/A",0,RTD("tos.rtd",,CD$2,"."&amp;$A$2&amp;$AS$1&amp;"C"&amp;$A15))</f>
        <v>0.84</v>
      </c>
      <c r="CE15" s="3">
        <f>-IF(RTD("tos.rtd",,CE$2,"."&amp;$A$2&amp;$AS$1&amp;"P"&amp;$A15)="N/A",0,RTD("tos.rtd",,CE$2,"."&amp;$A$2&amp;$AS$1&amp;"P"&amp;$A15))</f>
        <v>0.03</v>
      </c>
      <c r="CF15" s="3">
        <f>IF(RTD("tos.rtd",,CF$2,"."&amp;$A$2&amp;$AU$1&amp;"C"&amp;$A15)="N/A",0,RTD("tos.rtd",,CF$2,"."&amp;$A$2&amp;$AU$1&amp;"C"&amp;$A15))</f>
        <v>0.57999999999999996</v>
      </c>
      <c r="CG15" s="3">
        <f>-IF(RTD("tos.rtd",,CG$2,"."&amp;$A$2&amp;$AU$1&amp;"P"&amp;$A15)="N/A",0,RTD("tos.rtd",,CG$2,"."&amp;$A$2&amp;$AU$1&amp;"P"&amp;$A15))</f>
        <v>0.42</v>
      </c>
      <c r="CH15" s="3">
        <f>IF(RTD("tos.rtd",,CH$2,"."&amp;$A$2&amp;$AW$1&amp;"C"&amp;$A15)="N/A",0,RTD("tos.rtd",,CH$2,"."&amp;$A$2&amp;$AW$1&amp;"C"&amp;$A15))</f>
        <v>0.56000000000000005</v>
      </c>
      <c r="CI15" s="3">
        <f>-IF(RTD("tos.rtd",,CI$2,"."&amp;$A$2&amp;$AW$1&amp;"P"&amp;$A15)="N/A",0,RTD("tos.rtd",,CI$2,"."&amp;$A$2&amp;$AW$1&amp;"P"&amp;$A15))</f>
        <v>0.44</v>
      </c>
      <c r="CK15" s="3">
        <f t="shared" si="17"/>
        <v>455400</v>
      </c>
      <c r="CL15" s="3"/>
      <c r="CM15" s="3">
        <f t="shared" si="18"/>
        <v>336303.99999999994</v>
      </c>
      <c r="CN15" s="3"/>
      <c r="CO15" s="3">
        <f t="shared" si="19"/>
        <v>78588.000000000015</v>
      </c>
      <c r="CP15" s="3">
        <f t="shared" si="43"/>
        <v>870292</v>
      </c>
      <c r="CQ15" s="3">
        <f t="shared" si="44"/>
        <v>-43314</v>
      </c>
      <c r="CR15" s="3"/>
      <c r="CS15" s="3">
        <f t="shared" si="20"/>
        <v>4057</v>
      </c>
      <c r="CT15" s="3"/>
      <c r="CU15" s="3">
        <f t="shared" si="21"/>
        <v>-311</v>
      </c>
      <c r="CV15" s="3">
        <f t="shared" si="45"/>
        <v>-39568</v>
      </c>
      <c r="CW15" s="3">
        <f t="shared" ca="1" si="46"/>
        <v>254651458.16595817</v>
      </c>
      <c r="CX15" s="85" t="str">
        <f t="shared" ca="1" si="76"/>
        <v/>
      </c>
      <c r="CY15" s="3">
        <f t="shared" ca="1" si="47"/>
        <v>-3450459805.5980167</v>
      </c>
      <c r="CZ15" s="85" t="str">
        <f t="shared" ca="1" si="77"/>
        <v>Cruce -</v>
      </c>
      <c r="DA15" s="3">
        <f>IF(RTD("tos.rtd",,DA$2,"."&amp;$A$2&amp;$AS$1&amp;"C"&amp;$A15)="N/A",0,RTD("tos.rtd",,DA$2,"."&amp;$A$2&amp;$AS$1&amp;"C"&amp;$A15))</f>
        <v>1.7</v>
      </c>
      <c r="DB15" s="3">
        <f>IF(RTD("tos.rtd",,DB$2,"."&amp;$A$2&amp;$AS$1&amp;"P"&amp;$A15)="N/A",0,RTD("tos.rtd",,DB$2,"."&amp;$A$2&amp;$AS$1&amp;"P"&amp;$A15))</f>
        <v>0.01</v>
      </c>
      <c r="DC15" s="3">
        <f>IF(RTD("tos.rtd",,DC$2,"."&amp;$A$2&amp;$AS$1&amp;"C"&amp;$A15)="N/A",0,RTD("tos.rtd",,DC$2,"."&amp;$A$2&amp;$AS$1&amp;"C"&amp;$A15))</f>
        <v>2.84</v>
      </c>
      <c r="DD15" s="3">
        <f>IF(RTD("tos.rtd",,DD$2,"."&amp;$A$2&amp;$AS$1&amp;"P"&amp;$A15)="N/A",0,RTD("tos.rtd",,DD$2,"."&amp;$A$2&amp;$AS$1&amp;"P"&amp;$A15))</f>
        <v>0.02</v>
      </c>
      <c r="DE15" s="3">
        <f>IF(RTD("tos.rtd",,DE$2,"."&amp;$A$2&amp;$AS$1&amp;"C"&amp;$A15)="N/A",0,RTD("tos.rtd",,DE$2,"."&amp;$A$2&amp;$AS$1&amp;"C"&amp;$A15))</f>
        <v>1.38</v>
      </c>
      <c r="DF15" s="3">
        <f>IF(RTD("tos.rtd",,DF$2,"."&amp;$A$2&amp;$AS$1&amp;"P"&amp;$A15)="N/A",0,RTD("tos.rtd",,DF$2,"."&amp;$A$2&amp;$AS$1&amp;"P"&amp;$A15))</f>
        <v>0</v>
      </c>
      <c r="DG15" s="86">
        <f t="shared" si="48"/>
        <v>-1.9500000000000455</v>
      </c>
      <c r="DH15" s="3">
        <f t="shared" si="22"/>
        <v>16.000000000000004</v>
      </c>
      <c r="DI15" s="3">
        <f t="shared" si="49"/>
        <v>-63.5</v>
      </c>
      <c r="DJ15" s="3">
        <f t="shared" si="50"/>
        <v>-73</v>
      </c>
      <c r="DK15" s="3">
        <f t="shared" si="51"/>
        <v>0</v>
      </c>
      <c r="DL15" s="3">
        <f t="shared" si="52"/>
        <v>-47.5</v>
      </c>
      <c r="DM15" s="3">
        <f t="shared" si="53"/>
        <v>-73</v>
      </c>
      <c r="DN15" s="63" t="str">
        <f t="shared" si="54"/>
        <v>SELL</v>
      </c>
      <c r="DO15" s="63" t="str">
        <f t="shared" si="55"/>
        <v>UNKNOWN</v>
      </c>
      <c r="DP15" s="3">
        <f t="shared" si="56"/>
        <v>26.565000000000005</v>
      </c>
      <c r="DQ15" s="3">
        <f t="shared" si="57"/>
        <v>-124.1</v>
      </c>
      <c r="DR15" s="3">
        <f t="shared" ca="1" si="58"/>
        <v>-7.5447694400541225</v>
      </c>
      <c r="DS15" s="3">
        <f t="shared" si="59"/>
        <v>-61.32</v>
      </c>
      <c r="DT15" s="3">
        <f t="shared" si="60"/>
        <v>73</v>
      </c>
      <c r="DU15" s="3">
        <f t="shared" si="61"/>
        <v>-127</v>
      </c>
      <c r="DV15" s="3">
        <f t="shared" si="62"/>
        <v>-21688</v>
      </c>
      <c r="DW15" s="3">
        <f t="shared" si="23"/>
        <v>-305</v>
      </c>
      <c r="DX15" s="3">
        <f t="shared" ca="1" si="24"/>
        <v>0.10335300602813867</v>
      </c>
      <c r="DY15" s="3">
        <f t="shared" ca="1" si="25"/>
        <v>-0.11975613911201097</v>
      </c>
      <c r="DZ15" s="3">
        <f t="shared" ca="1" si="26"/>
        <v>2.958123818947302E-2</v>
      </c>
      <c r="EA15" s="3">
        <f t="shared" ca="1" si="27"/>
        <v>-2.9166512765482811E-2</v>
      </c>
      <c r="EB15" s="3">
        <f t="shared" ca="1" si="28"/>
        <v>3.4320516360015423E-2</v>
      </c>
      <c r="EC15" s="3">
        <f t="shared" ca="1" si="29"/>
        <v>-3.3347930009858646E-2</v>
      </c>
      <c r="ED15" s="63">
        <f t="shared" si="63"/>
        <v>-21993</v>
      </c>
      <c r="EE15" s="59">
        <f t="shared" si="64"/>
        <v>0.4405</v>
      </c>
      <c r="EF15" s="59">
        <f t="shared" si="30"/>
        <v>0.22900000000000001</v>
      </c>
      <c r="EG15" s="59">
        <f t="shared" si="31"/>
        <v>0.18410000000000001</v>
      </c>
      <c r="EH15" s="59">
        <f t="shared" si="32"/>
        <v>0.18679999999999999</v>
      </c>
      <c r="EI15" s="59">
        <f t="shared" si="33"/>
        <v>0.1578</v>
      </c>
      <c r="EJ15" s="59">
        <f t="shared" si="34"/>
        <v>0.16259999999999999</v>
      </c>
      <c r="EK15" s="63">
        <f t="shared" ca="1" si="65"/>
        <v>-749324786.55035102</v>
      </c>
      <c r="EL15" s="3" t="str">
        <f>RTD("tos.rtd",,EL$2,"."&amp;$A$2&amp;$AS$1&amp;"C"&amp;$A15)</f>
        <v>44.05%</v>
      </c>
      <c r="EM15" s="3" t="str">
        <f>RTD("tos.rtd",,EM$2,"."&amp;$A$2&amp;$AS$1&amp;"P"&amp;$A15)</f>
        <v>22.90%</v>
      </c>
      <c r="EN15" s="3" t="str">
        <f>RTD("tos.rtd",,EN$2,"."&amp;$A$2&amp;$AU$1&amp;"C"&amp;$A15)</f>
        <v>18.41%</v>
      </c>
      <c r="EO15" s="3" t="str">
        <f>RTD("tos.rtd",,EO$2,"."&amp;$A$2&amp;$AU$1&amp;"P"&amp;$A15)</f>
        <v>18.68%</v>
      </c>
      <c r="EP15" s="3" t="str">
        <f>RTD("tos.rtd",,EP$2,"."&amp;$A$2&amp;$AW$1&amp;"C"&amp;$A15)</f>
        <v>15.78%</v>
      </c>
      <c r="EQ15" s="3" t="str">
        <f>RTD("tos.rtd",,EQ$2,"."&amp;$A$2&amp;$AW$1&amp;"P"&amp;$A15)</f>
        <v>16.26%</v>
      </c>
      <c r="ES15" s="63" t="str">
        <f t="shared" si="66"/>
        <v>581,-21993.00</v>
      </c>
      <c r="ET15" s="63" t="str">
        <f t="shared" ca="1" si="67"/>
        <v>581,-3450459.81</v>
      </c>
      <c r="EU15" s="67">
        <v>564.79999999999995</v>
      </c>
      <c r="EV15" s="67" t="s">
        <v>139</v>
      </c>
      <c r="EW15" s="67">
        <v>487.92</v>
      </c>
      <c r="EX15" s="67" t="s">
        <v>140</v>
      </c>
      <c r="EY15" s="67">
        <v>5659.91</v>
      </c>
      <c r="EZ15" s="67" t="s">
        <v>141</v>
      </c>
      <c r="FA15" s="67">
        <v>20061.449000000001</v>
      </c>
      <c r="FB15" s="67" t="s">
        <v>142</v>
      </c>
      <c r="FC15" s="67" t="s">
        <v>143</v>
      </c>
      <c r="FD15" s="67" t="s">
        <v>144</v>
      </c>
      <c r="FE15" s="67" t="s">
        <v>145</v>
      </c>
      <c r="FF15" s="67" t="s">
        <v>146</v>
      </c>
    </row>
    <row r="16" spans="1:162" s="63" customFormat="1" ht="13.5" thickBot="1" x14ac:dyDescent="0.25">
      <c r="A16" s="2">
        <f t="shared" si="68"/>
        <v>580</v>
      </c>
      <c r="B16" s="3">
        <f t="shared" si="9"/>
        <v>57231</v>
      </c>
      <c r="C16" s="3">
        <f t="shared" si="10"/>
        <v>31958</v>
      </c>
      <c r="D16" s="3">
        <f>+IF($A$1="ABS",AW16-AX16,AW16+AX16)</f>
        <v>130538</v>
      </c>
      <c r="E16" s="3">
        <f t="shared" si="12"/>
        <v>219727</v>
      </c>
      <c r="F16" s="4">
        <f t="shared" si="13"/>
        <v>5836.0665580238438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v>25370</v>
      </c>
      <c r="AN16" s="1">
        <v>8024</v>
      </c>
      <c r="AO16" s="1">
        <v>580</v>
      </c>
      <c r="AP16" s="1">
        <v>512217</v>
      </c>
      <c r="AQ16" s="1">
        <v>-348330</v>
      </c>
      <c r="AR16" s="1"/>
      <c r="AS16" s="6">
        <f>IF(RTD("tos.rtd",,AS$2,"."&amp;$A$2&amp;$AS$1&amp;"C"&amp;$A16)="N/A",0,RTD("tos.rtd",,AS$2,"."&amp;$A$2&amp;$AS$1&amp;"C"&amp;$A16))</f>
        <v>57112</v>
      </c>
      <c r="AT16" s="7">
        <f>-IF(RTD("tos.rtd",,AT$2,"."&amp;$A$2&amp;$AS$1&amp;"P"&amp;$A16)="N/A",0,RTD("tos.rtd",,AT$2,"."&amp;$A$2&amp;$AS$1&amp;"P"&amp;$A16))</f>
        <v>-119</v>
      </c>
      <c r="AU16" s="6">
        <f>IF(RTD("tos.rtd",,AU$2,"."&amp;$A$2&amp;$AU$1&amp;"C"&amp;$A16)="N/A",0,RTD("tos.rtd",,AU$2,"."&amp;$A$2&amp;$AU$1&amp;"C"&amp;$A16))</f>
        <v>30332</v>
      </c>
      <c r="AV16" s="7">
        <f>-IF(RTD("tos.rtd",,AV$2,"."&amp;$A$2&amp;$AU$1&amp;"P"&amp;$A16)="N/A",0,RTD("tos.rtd",,AV$2,"."&amp;$A$2&amp;$AU$1&amp;"P"&amp;$A16))</f>
        <v>-1626</v>
      </c>
      <c r="AW16" s="6">
        <f>IF(RTD("tos.rtd",,AW$2,"."&amp;$A$2&amp;$AW$1&amp;"C"&amp;$A16)="N/A",0,RTD("tos.rtd",,AW$2,"."&amp;$A$2&amp;$AW$1&amp;"C"&amp;$A16))</f>
        <v>108751</v>
      </c>
      <c r="AX16" s="7">
        <f>-IF(RTD("tos.rtd",,AX$2,"."&amp;$A$2&amp;$AW$1&amp;"P"&amp;$A16)="N/A",0,RTD("tos.rtd",,AX$2,"."&amp;$A$2&amp;$AW$1&amp;"P"&amp;$A16))</f>
        <v>-21787</v>
      </c>
      <c r="AY16" s="1">
        <f t="shared" si="69"/>
        <v>172663</v>
      </c>
      <c r="AZ16" s="8">
        <f t="shared" si="35"/>
        <v>580</v>
      </c>
      <c r="BA16" s="6">
        <f>IF(RTD("tos.rtd",,BA$2,"."&amp;$A$2&amp;$AS$1&amp;"C"&amp;$A16)="N/A",0,RTD("tos.rtd",,BA$2,"."&amp;$A$2&amp;$AS$1&amp;"C"&amp;$A16))</f>
        <v>512240</v>
      </c>
      <c r="BB16" s="7">
        <f>-IF(RTD("tos.rtd",,BB$2,"."&amp;$A$2&amp;$AS$1&amp;"P"&amp;$A16)="N/A",0,RTD("tos.rtd",,BB$2,"."&amp;$A$2&amp;$AS$1&amp;"P"&amp;$A16))</f>
        <v>-349411</v>
      </c>
      <c r="BC16" s="6">
        <f>IF(RTD("tos.rtd",,BC$2,"."&amp;$A$2&amp;$AU$1&amp;"C"&amp;$A16)="N/A",0,RTD("tos.rtd",,BC$2,"."&amp;$A$2&amp;$AU$1&amp;"C"&amp;$A16))</f>
        <v>38825</v>
      </c>
      <c r="BD16" s="7">
        <f>-IF(RTD("tos.rtd",,BD$2,"."&amp;$A$2&amp;$AU$1&amp;"P"&amp;$A16)="N/A",0,RTD("tos.rtd",,BD$2,"."&amp;$A$2&amp;$AU$1&amp;"P"&amp;$A16))</f>
        <v>-36909</v>
      </c>
      <c r="BE16" s="6">
        <f>IF(RTD("tos.rtd",,BE$2,"."&amp;$A$2&amp;$AW$1&amp;"C"&amp;$A16)="N/A",0,RTD("tos.rtd",,BE$2,"."&amp;$A$2&amp;$AW$1&amp;"C"&amp;$A16))</f>
        <v>41958</v>
      </c>
      <c r="BF16" s="83">
        <f>-IF(RTD("tos.rtd",,BF$2,"."&amp;$A$2&amp;$AW$1&amp;"P"&amp;$A16)="N/A",0,RTD("tos.rtd",,BF$2,"."&amp;$A$2&amp;$AW$1&amp;"P"&amp;$A16))</f>
        <v>-7823</v>
      </c>
      <c r="BG16" s="32">
        <f ca="1">+Hoja2!Y17</f>
        <v>-6827</v>
      </c>
      <c r="BH16" s="7">
        <f t="shared" ca="1" si="36"/>
        <v>192053</v>
      </c>
      <c r="BI16" s="8" t="str">
        <f t="shared" ref="BI16" ca="1" si="127">IF(AND(BH16&lt;0,BH15&gt;0), "Cruce -", IF(AND(BH16&gt;0,BH15&lt;0),"Cruce +", ""))</f>
        <v>Cruce +</v>
      </c>
      <c r="BJ16" s="3">
        <f ca="1">IF($BP$1=1,DX16,IF(RTD("tos.rtd",,BJ$2,"."&amp;$A$2&amp;$AS$1&amp;"C"&amp;$A16)="N/A",0,RTD("tos.rtd",,BJ$2,"."&amp;$A$2&amp;$AS$1&amp;"C"&amp;$A16)))</f>
        <v>5.7805125098773023E-2</v>
      </c>
      <c r="BK16" s="3">
        <f ca="1">IF($BP$1=1,DY16,-IF(RTD("tos.rtd",,BK$2,"."&amp;$A$2&amp;$AS$1&amp;"P"&amp;$A16)="N/A",0,RTD("tos.rtd",,BK$2,"."&amp;$A$2&amp;$AS$1&amp;"P"&amp;$A16)))</f>
        <v>-7.9049197369719368E-2</v>
      </c>
      <c r="BL16" s="3">
        <f ca="1">IF($BP$1=1,DZ16,IF(RTD("tos.rtd",,BL$2,"."&amp;$A$2&amp;$AU$1&amp;"C"&amp;$A16)="N/A",0,RTD("tos.rtd",,BL$2,"."&amp;$A$2&amp;$AU$1&amp;"C"&amp;$A16)))</f>
        <v>2.8773935466427866E-2</v>
      </c>
      <c r="BM16" s="3">
        <f ca="1">IF($BP$1=1,EA16,-IF(RTD("tos.rtd",,BM$2,"."&amp;$A$2&amp;$AU$1&amp;"P"&amp;$A16)="N/A",0,RTD("tos.rtd",,BM$2,"."&amp;$A$2&amp;$AU$1&amp;"P"&amp;$A16)))</f>
        <v>-2.8458283127454857E-2</v>
      </c>
      <c r="BN16" s="3">
        <f ca="1">IF($BP$1=1,EB16,IF(RTD("tos.rtd",,BN$2,"."&amp;$A$2&amp;$AW$1&amp;"C"&amp;$A16)="N/A",0,RTD("tos.rtd",,BN$2,"."&amp;$A$2&amp;$AW$1&amp;"C"&amp;$A16)))</f>
        <v>3.3312668303122892E-2</v>
      </c>
      <c r="BO16" s="3">
        <f ca="1">IF($BP$1=1,EC16,-IF(RTD("tos.rtd",,BO$2,"."&amp;$A$2&amp;$AW$1&amp;"P"&amp;$A16)="N/A",0,RTD("tos.rtd",,BO$2,"."&amp;$A$2&amp;$AW$1&amp;"P"&amp;$A16)))</f>
        <v>-3.2379158832044619E-2</v>
      </c>
      <c r="BQ16" s="3">
        <f t="shared" ca="1" si="37"/>
        <v>1118708892.5473914</v>
      </c>
      <c r="BR16" s="3" t="str">
        <f t="shared" ca="1" si="71"/>
        <v/>
      </c>
      <c r="BS16" s="3">
        <f t="shared" ca="1" si="38"/>
        <v>280869342.33039224</v>
      </c>
      <c r="BT16" s="3" t="str">
        <f t="shared" ca="1" si="71"/>
        <v/>
      </c>
      <c r="BU16" s="3">
        <f t="shared" ca="1" si="39"/>
        <v>991402128.85263121</v>
      </c>
      <c r="BV16" s="3" t="str">
        <f t="shared" ref="BV16" ca="1" si="128">IF(AND(BU16&lt;0,BU15&gt;0), "Cruce -", IF(AND(BU16&gt;0,BU15&lt;0),"Cruce +", ""))</f>
        <v/>
      </c>
      <c r="BX16" s="3">
        <f t="shared" ca="1" si="40"/>
        <v>676072173.7611084</v>
      </c>
      <c r="BY16" s="3" t="str">
        <f t="shared" ca="1" si="73"/>
        <v>Cruce +</v>
      </c>
      <c r="BZ16" s="3">
        <f t="shared" ca="1" si="41"/>
        <v>22694326.758675754</v>
      </c>
      <c r="CA16" s="3" t="str">
        <f t="shared" ca="1" si="74"/>
        <v/>
      </c>
      <c r="CB16" s="3">
        <f t="shared" ca="1" si="42"/>
        <v>388912714.95108807</v>
      </c>
      <c r="CC16" s="3" t="str">
        <f t="shared" ca="1" si="75"/>
        <v>Cruce +</v>
      </c>
      <c r="CD16" s="3">
        <f>IF(RTD("tos.rtd",,CD$2,"."&amp;$A$2&amp;$AS$1&amp;"C"&amp;$A16)="N/A",0,RTD("tos.rtd",,CD$2,"."&amp;$A$2&amp;$AS$1&amp;"C"&amp;$A16))</f>
        <v>1</v>
      </c>
      <c r="CE16" s="3">
        <f>-IF(RTD("tos.rtd",,CE$2,"."&amp;$A$2&amp;$AS$1&amp;"P"&amp;$A16)="N/A",0,RTD("tos.rtd",,CE$2,"."&amp;$A$2&amp;$AS$1&amp;"P"&amp;$A16))</f>
        <v>0.03</v>
      </c>
      <c r="CF16" s="3">
        <f>IF(RTD("tos.rtd",,CF$2,"."&amp;$A$2&amp;$AU$1&amp;"C"&amp;$A16)="N/A",0,RTD("tos.rtd",,CF$2,"."&amp;$A$2&amp;$AU$1&amp;"C"&amp;$A16))</f>
        <v>0.61</v>
      </c>
      <c r="CG16" s="3">
        <f>-IF(RTD("tos.rtd",,CG$2,"."&amp;$A$2&amp;$AU$1&amp;"P"&amp;$A16)="N/A",0,RTD("tos.rtd",,CG$2,"."&amp;$A$2&amp;$AU$1&amp;"P"&amp;$A16))</f>
        <v>0.39</v>
      </c>
      <c r="CH16" s="3">
        <f>IF(RTD("tos.rtd",,CH$2,"."&amp;$A$2&amp;$AW$1&amp;"C"&amp;$A16)="N/A",0,RTD("tos.rtd",,CH$2,"."&amp;$A$2&amp;$AW$1&amp;"C"&amp;$A16))</f>
        <v>0.57999999999999996</v>
      </c>
      <c r="CI16" s="3">
        <f>-IF(RTD("tos.rtd",,CI$2,"."&amp;$A$2&amp;$AW$1&amp;"P"&amp;$A16)="N/A",0,RTD("tos.rtd",,CI$2,"."&amp;$A$2&amp;$AW$1&amp;"P"&amp;$A16))</f>
        <v>0.43</v>
      </c>
      <c r="CK16" s="3">
        <f t="shared" si="17"/>
        <v>5710843</v>
      </c>
      <c r="CL16" s="3"/>
      <c r="CM16" s="3">
        <f t="shared" si="18"/>
        <v>1786838</v>
      </c>
      <c r="CN16" s="3"/>
      <c r="CO16" s="3">
        <f t="shared" si="19"/>
        <v>5370716.9999999991</v>
      </c>
      <c r="CP16" s="3">
        <f t="shared" si="43"/>
        <v>12868398</v>
      </c>
      <c r="CQ16" s="3">
        <f t="shared" si="44"/>
        <v>162829</v>
      </c>
      <c r="CR16" s="3"/>
      <c r="CS16" s="3">
        <f t="shared" si="20"/>
        <v>1916</v>
      </c>
      <c r="CT16" s="3"/>
      <c r="CU16" s="3">
        <f t="shared" si="21"/>
        <v>34135</v>
      </c>
      <c r="CV16" s="3">
        <f t="shared" si="45"/>
        <v>198880</v>
      </c>
      <c r="CW16" s="3">
        <f t="shared" ca="1" si="46"/>
        <v>2390980363.7304149</v>
      </c>
      <c r="CX16" s="85" t="str">
        <f t="shared" ca="1" si="76"/>
        <v/>
      </c>
      <c r="CY16" s="3">
        <f t="shared" ca="1" si="47"/>
        <v>1087679215.4708724</v>
      </c>
      <c r="CZ16" s="85" t="str">
        <f t="shared" ca="1" si="77"/>
        <v>Cruce +</v>
      </c>
      <c r="DA16" s="3">
        <f>IF(RTD("tos.rtd",,DA$2,"."&amp;$A$2&amp;$AS$1&amp;"C"&amp;$A16)="N/A",0,RTD("tos.rtd",,DA$2,"."&amp;$A$2&amp;$AS$1&amp;"C"&amp;$A16))</f>
        <v>2.75</v>
      </c>
      <c r="DB16" s="3">
        <f>IF(RTD("tos.rtd",,DB$2,"."&amp;$A$2&amp;$AS$1&amp;"P"&amp;$A16)="N/A",0,RTD("tos.rtd",,DB$2,"."&amp;$A$2&amp;$AS$1&amp;"P"&amp;$A16))</f>
        <v>0.01</v>
      </c>
      <c r="DC16" s="3">
        <f>IF(RTD("tos.rtd",,DC$2,"."&amp;$A$2&amp;$AS$1&amp;"C"&amp;$A16)="N/A",0,RTD("tos.rtd",,DC$2,"."&amp;$A$2&amp;$AS$1&amp;"C"&amp;$A16))</f>
        <v>2.93</v>
      </c>
      <c r="DD16" s="3">
        <f>IF(RTD("tos.rtd",,DD$2,"."&amp;$A$2&amp;$AS$1&amp;"P"&amp;$A16)="N/A",0,RTD("tos.rtd",,DD$2,"."&amp;$A$2&amp;$AS$1&amp;"P"&amp;$A16))</f>
        <v>0.02</v>
      </c>
      <c r="DE16" s="3">
        <f>IF(RTD("tos.rtd",,DE$2,"."&amp;$A$2&amp;$AS$1&amp;"C"&amp;$A16)="N/A",0,RTD("tos.rtd",,DE$2,"."&amp;$A$2&amp;$AS$1&amp;"C"&amp;$A16))</f>
        <v>2.11</v>
      </c>
      <c r="DF16" s="3">
        <f>IF(RTD("tos.rtd",,DF$2,"."&amp;$A$2&amp;$AS$1&amp;"P"&amp;$A16)="N/A",0,RTD("tos.rtd",,DF$2,"."&amp;$A$2&amp;$AS$1&amp;"P"&amp;$A16))</f>
        <v>0.01</v>
      </c>
      <c r="DG16" s="86">
        <f t="shared" si="48"/>
        <v>-2.9500000000000455</v>
      </c>
      <c r="DH16" s="3">
        <f t="shared" si="22"/>
        <v>17.95121951219512</v>
      </c>
      <c r="DI16" s="3">
        <f t="shared" si="49"/>
        <v>0</v>
      </c>
      <c r="DJ16" s="3">
        <f t="shared" si="50"/>
        <v>23</v>
      </c>
      <c r="DK16" s="3">
        <f t="shared" si="51"/>
        <v>1081</v>
      </c>
      <c r="DL16" s="3">
        <f t="shared" si="52"/>
        <v>17.95121951219512</v>
      </c>
      <c r="DM16" s="3">
        <f t="shared" si="53"/>
        <v>1104</v>
      </c>
      <c r="DN16" s="63" t="str">
        <f t="shared" si="54"/>
        <v>BUY</v>
      </c>
      <c r="DO16" s="63" t="str">
        <f t="shared" si="55"/>
        <v>SELL</v>
      </c>
      <c r="DP16" s="3">
        <f t="shared" si="56"/>
        <v>49.365853658536579</v>
      </c>
      <c r="DQ16" s="3">
        <f t="shared" si="57"/>
        <v>74.06</v>
      </c>
      <c r="DR16" s="3">
        <f t="shared" ca="1" si="58"/>
        <v>-84.122664479394857</v>
      </c>
      <c r="DS16" s="3">
        <f t="shared" si="59"/>
        <v>55.43</v>
      </c>
      <c r="DT16" s="3">
        <f t="shared" si="60"/>
        <v>23</v>
      </c>
      <c r="DU16" s="3">
        <f t="shared" si="61"/>
        <v>-1081</v>
      </c>
      <c r="DV16" s="3">
        <f t="shared" si="62"/>
        <v>25393</v>
      </c>
      <c r="DW16" s="3">
        <f t="shared" si="23"/>
        <v>9105</v>
      </c>
      <c r="DX16" s="3">
        <f t="shared" ca="1" si="24"/>
        <v>5.7805125098773023E-2</v>
      </c>
      <c r="DY16" s="3">
        <f t="shared" ca="1" si="25"/>
        <v>-7.9049197369719368E-2</v>
      </c>
      <c r="DZ16" s="3">
        <f t="shared" ca="1" si="26"/>
        <v>2.8773935466427866E-2</v>
      </c>
      <c r="EA16" s="3">
        <f t="shared" ca="1" si="27"/>
        <v>-2.8458283127454857E-2</v>
      </c>
      <c r="EB16" s="3">
        <f t="shared" ca="1" si="28"/>
        <v>3.3312668303122892E-2</v>
      </c>
      <c r="EC16" s="3">
        <f t="shared" ca="1" si="29"/>
        <v>-3.2379158832044619E-2</v>
      </c>
      <c r="ED16" s="63">
        <f t="shared" si="63"/>
        <v>34498</v>
      </c>
      <c r="EE16" s="59">
        <f t="shared" si="64"/>
        <v>0.25</v>
      </c>
      <c r="EF16" s="59">
        <f t="shared" si="30"/>
        <v>0.34620000000000001</v>
      </c>
      <c r="EG16" s="59">
        <f t="shared" si="31"/>
        <v>0.1862</v>
      </c>
      <c r="EH16" s="59">
        <f t="shared" si="32"/>
        <v>0.18840000000000001</v>
      </c>
      <c r="EI16" s="59">
        <f t="shared" si="33"/>
        <v>0.159</v>
      </c>
      <c r="EJ16" s="59">
        <f t="shared" si="34"/>
        <v>0.16400000000000001</v>
      </c>
      <c r="EK16" s="63">
        <f t="shared" ca="1" si="65"/>
        <v>254228231.95797586</v>
      </c>
      <c r="EL16" s="3" t="str">
        <f>RTD("tos.rtd",,EL$2,"."&amp;$A$2&amp;$AS$1&amp;"C"&amp;$A16)</f>
        <v>--</v>
      </c>
      <c r="EM16" s="3" t="str">
        <f>RTD("tos.rtd",,EM$2,"."&amp;$A$2&amp;$AS$1&amp;"P"&amp;$A16)</f>
        <v>34.62%</v>
      </c>
      <c r="EN16" s="3" t="str">
        <f>RTD("tos.rtd",,EN$2,"."&amp;$A$2&amp;$AU$1&amp;"C"&amp;$A16)</f>
        <v>18.62%</v>
      </c>
      <c r="EO16" s="3" t="str">
        <f>RTD("tos.rtd",,EO$2,"."&amp;$A$2&amp;$AU$1&amp;"P"&amp;$A16)</f>
        <v>18.84%</v>
      </c>
      <c r="EP16" s="3" t="str">
        <f>RTD("tos.rtd",,EP$2,"."&amp;$A$2&amp;$AW$1&amp;"C"&amp;$A16)</f>
        <v>15.90%</v>
      </c>
      <c r="EQ16" s="3" t="str">
        <f>RTD("tos.rtd",,EQ$2,"."&amp;$A$2&amp;$AW$1&amp;"P"&amp;$A16)</f>
        <v>16.40%</v>
      </c>
      <c r="ES16" s="63" t="str">
        <f t="shared" si="66"/>
        <v>580,34498.00</v>
      </c>
      <c r="ET16" s="63" t="str">
        <f t="shared" ca="1" si="67"/>
        <v>580,1087679.22</v>
      </c>
      <c r="EU16" s="67">
        <v>564.79999999999995</v>
      </c>
      <c r="EV16" s="67" t="s">
        <v>147</v>
      </c>
      <c r="EW16" s="67">
        <v>487.92</v>
      </c>
      <c r="EX16" s="67" t="s">
        <v>148</v>
      </c>
      <c r="EY16" s="67">
        <v>5659.91</v>
      </c>
      <c r="EZ16" s="67" t="s">
        <v>149</v>
      </c>
      <c r="FA16" s="67">
        <v>20061.449000000001</v>
      </c>
      <c r="FB16" s="67" t="s">
        <v>150</v>
      </c>
      <c r="FC16" s="67" t="s">
        <v>151</v>
      </c>
      <c r="FD16" s="67" t="s">
        <v>152</v>
      </c>
      <c r="FE16" s="67" t="s">
        <v>153</v>
      </c>
      <c r="FF16" s="67" t="s">
        <v>154</v>
      </c>
    </row>
    <row r="17" spans="1:162" s="63" customFormat="1" ht="13.5" thickBot="1" x14ac:dyDescent="0.25">
      <c r="A17" s="2">
        <f t="shared" si="68"/>
        <v>579</v>
      </c>
      <c r="B17" s="3">
        <f t="shared" si="9"/>
        <v>14291</v>
      </c>
      <c r="C17" s="3">
        <f t="shared" si="10"/>
        <v>5147</v>
      </c>
      <c r="D17" s="3">
        <f t="shared" si="11"/>
        <v>761</v>
      </c>
      <c r="E17" s="3">
        <f t="shared" si="12"/>
        <v>20199</v>
      </c>
      <c r="F17" s="4">
        <f t="shared" si="13"/>
        <v>5826.0043743031129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>
        <v>-16894</v>
      </c>
      <c r="AN17" s="1">
        <v>3275</v>
      </c>
      <c r="AO17" s="1">
        <v>579</v>
      </c>
      <c r="AP17" s="1">
        <v>242864</v>
      </c>
      <c r="AQ17" s="1">
        <v>-355935</v>
      </c>
      <c r="AR17" s="1"/>
      <c r="AS17" s="6">
        <f>IF(RTD("tos.rtd",,AS$2,"."&amp;$A$2&amp;$AS$1&amp;"C"&amp;$A17)="N/A",0,RTD("tos.rtd",,AS$2,"."&amp;$A$2&amp;$AS$1&amp;"C"&amp;$A17))</f>
        <v>14278</v>
      </c>
      <c r="AT17" s="7">
        <f>-IF(RTD("tos.rtd",,AT$2,"."&amp;$A$2&amp;$AS$1&amp;"P"&amp;$A17)="N/A",0,RTD("tos.rtd",,AT$2,"."&amp;$A$2&amp;$AS$1&amp;"P"&amp;$A17))</f>
        <v>-13</v>
      </c>
      <c r="AU17" s="6">
        <f>IF(RTD("tos.rtd",,AU$2,"."&amp;$A$2&amp;$AU$1&amp;"C"&amp;$A17)="N/A",0,RTD("tos.rtd",,AU$2,"."&amp;$A$2&amp;$AU$1&amp;"C"&amp;$A17))</f>
        <v>5124</v>
      </c>
      <c r="AV17" s="7">
        <f>-IF(RTD("tos.rtd",,AV$2,"."&amp;$A$2&amp;$AU$1&amp;"P"&amp;$A17)="N/A",0,RTD("tos.rtd",,AV$2,"."&amp;$A$2&amp;$AU$1&amp;"P"&amp;$A17))</f>
        <v>-23</v>
      </c>
      <c r="AW17" s="6">
        <f>IF(RTD("tos.rtd",,AW$2,"."&amp;$A$2&amp;$AW$1&amp;"C"&amp;$A17)="N/A",0,RTD("tos.rtd",,AW$2,"."&amp;$A$2&amp;$AW$1&amp;"C"&amp;$A17))</f>
        <v>590</v>
      </c>
      <c r="AX17" s="7">
        <f>-IF(RTD("tos.rtd",,AX$2,"."&amp;$A$2&amp;$AW$1&amp;"P"&amp;$A17)="N/A",0,RTD("tos.rtd",,AX$2,"."&amp;$A$2&amp;$AW$1&amp;"P"&amp;$A17))</f>
        <v>-171</v>
      </c>
      <c r="AY17" s="1">
        <f t="shared" si="69"/>
        <v>19785</v>
      </c>
      <c r="AZ17" s="8">
        <f t="shared" si="35"/>
        <v>579</v>
      </c>
      <c r="BA17" s="6">
        <f>IF(RTD("tos.rtd",,BA$2,"."&amp;$A$2&amp;$AS$1&amp;"C"&amp;$A17)="N/A",0,RTD("tos.rtd",,BA$2,"."&amp;$A$2&amp;$AS$1&amp;"C"&amp;$A17))</f>
        <v>242869</v>
      </c>
      <c r="BB17" s="7">
        <f>-IF(RTD("tos.rtd",,BB$2,"."&amp;$A$2&amp;$AS$1&amp;"P"&amp;$A17)="N/A",0,RTD("tos.rtd",,BB$2,"."&amp;$A$2&amp;$AS$1&amp;"P"&amp;$A17))</f>
        <v>-356286</v>
      </c>
      <c r="BC17" s="6">
        <f>IF(RTD("tos.rtd",,BC$2,"."&amp;$A$2&amp;$AU$1&amp;"C"&amp;$A17)="N/A",0,RTD("tos.rtd",,BC$2,"."&amp;$A$2&amp;$AU$1&amp;"C"&amp;$A17))</f>
        <v>8681</v>
      </c>
      <c r="BD17" s="7">
        <f>-IF(RTD("tos.rtd",,BD$2,"."&amp;$A$2&amp;$AU$1&amp;"P"&amp;$A17)="N/A",0,RTD("tos.rtd",,BD$2,"."&amp;$A$2&amp;$AU$1&amp;"P"&amp;$A17))</f>
        <v>-11989</v>
      </c>
      <c r="BE17" s="6">
        <f>IF(RTD("tos.rtd",,BE$2,"."&amp;$A$2&amp;$AW$1&amp;"C"&amp;$A17)="N/A",0,RTD("tos.rtd",,BE$2,"."&amp;$A$2&amp;$AW$1&amp;"C"&amp;$A17))</f>
        <v>415</v>
      </c>
      <c r="BF17" s="83">
        <f>-IF(RTD("tos.rtd",,BF$2,"."&amp;$A$2&amp;$AW$1&amp;"P"&amp;$A17)="N/A",0,RTD("tos.rtd",,BF$2,"."&amp;$A$2&amp;$AW$1&amp;"P"&amp;$A17))</f>
        <v>-941</v>
      </c>
      <c r="BG17" s="32">
        <f ca="1">+Hoja2!Y18</f>
        <v>-4103</v>
      </c>
      <c r="BH17" s="7">
        <f t="shared" ca="1" si="36"/>
        <v>-121354</v>
      </c>
      <c r="BI17" s="8" t="str">
        <f t="shared" ref="BI17" ca="1" si="129">IF(AND(BH17&lt;0,BH16&gt;0), "Cruce -", IF(AND(BH17&gt;0,BH16&lt;0),"Cruce +", ""))</f>
        <v>Cruce -</v>
      </c>
      <c r="BJ17" s="3">
        <f ca="1">IF($BP$1=1,DX17,IF(RTD("tos.rtd",,BJ$2,"."&amp;$A$2&amp;$AS$1&amp;"C"&amp;$A17)="N/A",0,RTD("tos.rtd",,BJ$2,"."&amp;$A$2&amp;$AS$1&amp;"C"&amp;$A17)))</f>
        <v>1.9998145213699494E-2</v>
      </c>
      <c r="BK17" s="3">
        <f ca="1">IF($BP$1=1,DY17,-IF(RTD("tos.rtd",,BK$2,"."&amp;$A$2&amp;$AS$1&amp;"P"&amp;$A17)="N/A",0,RTD("tos.rtd",,BK$2,"."&amp;$A$2&amp;$AS$1&amp;"P"&amp;$A17)))</f>
        <v>-5.1220242310654696E-2</v>
      </c>
      <c r="BL17" s="3">
        <f ca="1">IF($BP$1=1,DZ17,IF(RTD("tos.rtd",,BL$2,"."&amp;$A$2&amp;$AU$1&amp;"C"&amp;$A17)="N/A",0,RTD("tos.rtd",,BL$2,"."&amp;$A$2&amp;$AU$1&amp;"C"&amp;$A17)))</f>
        <v>2.7883629542678912E-2</v>
      </c>
      <c r="BM17" s="3">
        <f ca="1">IF($BP$1=1,EA17,-IF(RTD("tos.rtd",,BM$2,"."&amp;$A$2&amp;$AU$1&amp;"P"&amp;$A17)="N/A",0,RTD("tos.rtd",,BM$2,"."&amp;$A$2&amp;$AU$1&amp;"P"&amp;$A17)))</f>
        <v>-2.7567671312512698E-2</v>
      </c>
      <c r="BN17" s="3">
        <f ca="1">IF($BP$1=1,EB17,IF(RTD("tos.rtd",,BN$2,"."&amp;$A$2&amp;$AW$1&amp;"C"&amp;$A17)="N/A",0,RTD("tos.rtd",,BN$2,"."&amp;$A$2&amp;$AW$1&amp;"C"&amp;$A17)))</f>
        <v>3.2024824102832805E-2</v>
      </c>
      <c r="BO17" s="3">
        <f ca="1">IF($BP$1=1,EC17,-IF(RTD("tos.rtd",,BO$2,"."&amp;$A$2&amp;$AW$1&amp;"P"&amp;$A17)="N/A",0,RTD("tos.rtd",,BO$2,"."&amp;$A$2&amp;$AW$1&amp;"P"&amp;$A17)))</f>
        <v>-3.1270248377760546E-2</v>
      </c>
      <c r="BQ17" s="3">
        <f t="shared" ca="1" si="37"/>
        <v>96806775.050106585</v>
      </c>
      <c r="BR17" s="3" t="str">
        <f t="shared" ca="1" si="71"/>
        <v/>
      </c>
      <c r="BS17" s="3">
        <f t="shared" ca="1" si="38"/>
        <v>48338083.696749538</v>
      </c>
      <c r="BT17" s="3" t="str">
        <f t="shared" ca="1" si="71"/>
        <v/>
      </c>
      <c r="BU17" s="3">
        <f t="shared" ca="1" si="39"/>
        <v>4603833.9276802987</v>
      </c>
      <c r="BV17" s="3" t="str">
        <f t="shared" ref="BV17" ca="1" si="130">IF(AND(BU17&lt;0,BU16&gt;0), "Cruce -", IF(AND(BU17&gt;0,BU16&lt;0),"Cruce +", ""))</f>
        <v/>
      </c>
      <c r="BX17" s="3">
        <f t="shared" ca="1" si="40"/>
        <v>-4551055492.0714808</v>
      </c>
      <c r="BY17" s="3" t="str">
        <f t="shared" ca="1" si="73"/>
        <v>Cruce -</v>
      </c>
      <c r="BZ17" s="3">
        <f t="shared" ca="1" si="41"/>
        <v>-30058373.386826396</v>
      </c>
      <c r="CA17" s="3" t="str">
        <f t="shared" ca="1" si="74"/>
        <v>Cruce -</v>
      </c>
      <c r="CB17" s="3">
        <f t="shared" ca="1" si="42"/>
        <v>-5483168.9696171759</v>
      </c>
      <c r="CC17" s="3" t="str">
        <f t="shared" ca="1" si="75"/>
        <v>Cruce -</v>
      </c>
      <c r="CD17" s="3">
        <f>IF(RTD("tos.rtd",,CD$2,"."&amp;$A$2&amp;$AS$1&amp;"C"&amp;$A17)="N/A",0,RTD("tos.rtd",,CD$2,"."&amp;$A$2&amp;$AS$1&amp;"C"&amp;$A17))</f>
        <v>1</v>
      </c>
      <c r="CE17" s="3">
        <f>-IF(RTD("tos.rtd",,CE$2,"."&amp;$A$2&amp;$AS$1&amp;"P"&amp;$A17)="N/A",0,RTD("tos.rtd",,CE$2,"."&amp;$A$2&amp;$AS$1&amp;"P"&amp;$A17))</f>
        <v>0.01</v>
      </c>
      <c r="CF17" s="3">
        <f>IF(RTD("tos.rtd",,CF$2,"."&amp;$A$2&amp;$AU$1&amp;"C"&amp;$A17)="N/A",0,RTD("tos.rtd",,CF$2,"."&amp;$A$2&amp;$AU$1&amp;"C"&amp;$A17))</f>
        <v>0.65</v>
      </c>
      <c r="CG17" s="3">
        <f>-IF(RTD("tos.rtd",,CG$2,"."&amp;$A$2&amp;$AU$1&amp;"P"&amp;$A17)="N/A",0,RTD("tos.rtd",,CG$2,"."&amp;$A$2&amp;$AU$1&amp;"P"&amp;$A17))</f>
        <v>0.36</v>
      </c>
      <c r="CH17" s="3">
        <f>IF(RTD("tos.rtd",,CH$2,"."&amp;$A$2&amp;$AW$1&amp;"C"&amp;$A17)="N/A",0,RTD("tos.rtd",,CH$2,"."&amp;$A$2&amp;$AW$1&amp;"C"&amp;$A17))</f>
        <v>0.59</v>
      </c>
      <c r="CI17" s="3">
        <f>-IF(RTD("tos.rtd",,CI$2,"."&amp;$A$2&amp;$AW$1&amp;"P"&amp;$A17)="N/A",0,RTD("tos.rtd",,CI$2,"."&amp;$A$2&amp;$AW$1&amp;"P"&amp;$A17))</f>
        <v>0.42</v>
      </c>
      <c r="CK17" s="3">
        <f t="shared" si="17"/>
        <v>1427787</v>
      </c>
      <c r="CL17" s="3"/>
      <c r="CM17" s="3">
        <f t="shared" si="18"/>
        <v>332232</v>
      </c>
      <c r="CN17" s="3"/>
      <c r="CO17" s="3">
        <f t="shared" si="19"/>
        <v>27628</v>
      </c>
      <c r="CP17" s="3">
        <f t="shared" si="43"/>
        <v>1787647</v>
      </c>
      <c r="CQ17" s="3">
        <f t="shared" si="44"/>
        <v>-113417</v>
      </c>
      <c r="CR17" s="3"/>
      <c r="CS17" s="3">
        <f t="shared" si="20"/>
        <v>-3308</v>
      </c>
      <c r="CT17" s="3"/>
      <c r="CU17" s="3">
        <f t="shared" si="21"/>
        <v>-526</v>
      </c>
      <c r="CV17" s="3">
        <f t="shared" si="45"/>
        <v>-117251</v>
      </c>
      <c r="CW17" s="3">
        <f t="shared" ca="1" si="46"/>
        <v>149748692.67453641</v>
      </c>
      <c r="CX17" s="85" t="str">
        <f t="shared" ca="1" si="76"/>
        <v/>
      </c>
      <c r="CY17" s="3">
        <f t="shared" ca="1" si="47"/>
        <v>-4586597034.4279242</v>
      </c>
      <c r="CZ17" s="85" t="str">
        <f t="shared" ca="1" si="77"/>
        <v>Cruce -</v>
      </c>
      <c r="DA17" s="3">
        <f>IF(RTD("tos.rtd",,DA$2,"."&amp;$A$2&amp;$AS$1&amp;"C"&amp;$A17)="N/A",0,RTD("tos.rtd",,DA$2,"."&amp;$A$2&amp;$AS$1&amp;"C"&amp;$A17))</f>
        <v>3.93</v>
      </c>
      <c r="DB17" s="3">
        <f>IF(RTD("tos.rtd",,DB$2,"."&amp;$A$2&amp;$AS$1&amp;"P"&amp;$A17)="N/A",0,RTD("tos.rtd",,DB$2,"."&amp;$A$2&amp;$AS$1&amp;"P"&amp;$A17))</f>
        <v>0.01</v>
      </c>
      <c r="DC17" s="3">
        <f>IF(RTD("tos.rtd",,DC$2,"."&amp;$A$2&amp;$AS$1&amp;"C"&amp;$A17)="N/A",0,RTD("tos.rtd",,DC$2,"."&amp;$A$2&amp;$AS$1&amp;"C"&amp;$A17))</f>
        <v>3.97</v>
      </c>
      <c r="DD17" s="3">
        <f>IF(RTD("tos.rtd",,DD$2,"."&amp;$A$2&amp;$AS$1&amp;"P"&amp;$A17)="N/A",0,RTD("tos.rtd",,DD$2,"."&amp;$A$2&amp;$AS$1&amp;"P"&amp;$A17))</f>
        <v>0.01</v>
      </c>
      <c r="DE17" s="3">
        <f>IF(RTD("tos.rtd",,DE$2,"."&amp;$A$2&amp;$AS$1&amp;"C"&amp;$A17)="N/A",0,RTD("tos.rtd",,DE$2,"."&amp;$A$2&amp;$AS$1&amp;"C"&amp;$A17))</f>
        <v>3.6</v>
      </c>
      <c r="DF17" s="3">
        <f>IF(RTD("tos.rtd",,DF$2,"."&amp;$A$2&amp;$AS$1&amp;"P"&amp;$A17)="N/A",0,RTD("tos.rtd",,DF$2,"."&amp;$A$2&amp;$AS$1&amp;"P"&amp;$A17))</f>
        <v>0</v>
      </c>
      <c r="DG17" s="86">
        <f t="shared" si="48"/>
        <v>-3.9500000000000455</v>
      </c>
      <c r="DH17" s="3">
        <f t="shared" si="22"/>
        <v>4.4594594594594588</v>
      </c>
      <c r="DI17" s="3">
        <f t="shared" si="49"/>
        <v>-351</v>
      </c>
      <c r="DJ17" s="3">
        <f t="shared" si="50"/>
        <v>5</v>
      </c>
      <c r="DK17" s="3">
        <f t="shared" si="51"/>
        <v>-351</v>
      </c>
      <c r="DL17" s="3">
        <f t="shared" si="52"/>
        <v>-346.54054054054052</v>
      </c>
      <c r="DM17" s="3">
        <f t="shared" si="53"/>
        <v>-346</v>
      </c>
      <c r="DN17" s="63" t="str">
        <f t="shared" si="54"/>
        <v>BUY</v>
      </c>
      <c r="DO17" s="63" t="str">
        <f t="shared" si="55"/>
        <v>BUY</v>
      </c>
      <c r="DP17" s="3">
        <f t="shared" si="56"/>
        <v>14.015675675675675</v>
      </c>
      <c r="DQ17" s="3">
        <f t="shared" si="57"/>
        <v>16.14</v>
      </c>
      <c r="DR17" s="3">
        <f t="shared" ca="1" si="58"/>
        <v>18.078295777108295</v>
      </c>
      <c r="DS17" s="3">
        <f t="shared" si="59"/>
        <v>1.4899999999999998</v>
      </c>
      <c r="DT17" s="3">
        <f t="shared" si="60"/>
        <v>5</v>
      </c>
      <c r="DU17" s="3">
        <f t="shared" si="61"/>
        <v>-351</v>
      </c>
      <c r="DV17" s="3">
        <f t="shared" si="62"/>
        <v>-16889</v>
      </c>
      <c r="DW17" s="3">
        <f t="shared" si="23"/>
        <v>2924</v>
      </c>
      <c r="DX17" s="3">
        <f t="shared" ca="1" si="24"/>
        <v>1.9998145213699494E-2</v>
      </c>
      <c r="DY17" s="3">
        <f t="shared" ca="1" si="25"/>
        <v>-5.1220242310654696E-2</v>
      </c>
      <c r="DZ17" s="3">
        <f t="shared" ca="1" si="26"/>
        <v>2.7883629542678912E-2</v>
      </c>
      <c r="EA17" s="3">
        <f t="shared" ca="1" si="27"/>
        <v>-2.7567671312512698E-2</v>
      </c>
      <c r="EB17" s="3">
        <f t="shared" ca="1" si="28"/>
        <v>3.2024824102832805E-2</v>
      </c>
      <c r="EC17" s="3">
        <f t="shared" ca="1" si="29"/>
        <v>-3.1270248377760546E-2</v>
      </c>
      <c r="ED17" s="63">
        <f t="shared" si="63"/>
        <v>-13965</v>
      </c>
      <c r="EE17" s="59">
        <f t="shared" si="64"/>
        <v>0.25</v>
      </c>
      <c r="EF17" s="59">
        <f t="shared" si="30"/>
        <v>0.38030000000000003</v>
      </c>
      <c r="EG17" s="59">
        <f t="shared" si="31"/>
        <v>0.18809999999999999</v>
      </c>
      <c r="EH17" s="59">
        <f t="shared" si="32"/>
        <v>0.1905</v>
      </c>
      <c r="EI17" s="59">
        <f t="shared" si="33"/>
        <v>0.16070000000000001</v>
      </c>
      <c r="EJ17" s="59">
        <f t="shared" si="34"/>
        <v>0.16520000000000001</v>
      </c>
      <c r="EK17" s="63">
        <f t="shared" ca="1" si="65"/>
        <v>-165673130.07811916</v>
      </c>
      <c r="EL17" s="3" t="str">
        <f>RTD("tos.rtd",,EL$2,"."&amp;$A$2&amp;$AS$1&amp;"C"&amp;$A17)</f>
        <v>--</v>
      </c>
      <c r="EM17" s="3" t="str">
        <f>RTD("tos.rtd",,EM$2,"."&amp;$A$2&amp;$AS$1&amp;"P"&amp;$A17)</f>
        <v>38.03%</v>
      </c>
      <c r="EN17" s="3" t="str">
        <f>RTD("tos.rtd",,EN$2,"."&amp;$A$2&amp;$AU$1&amp;"C"&amp;$A17)</f>
        <v>18.81%</v>
      </c>
      <c r="EO17" s="3" t="str">
        <f>RTD("tos.rtd",,EO$2,"."&amp;$A$2&amp;$AU$1&amp;"P"&amp;$A17)</f>
        <v>19.05%</v>
      </c>
      <c r="EP17" s="3" t="str">
        <f>RTD("tos.rtd",,EP$2,"."&amp;$A$2&amp;$AW$1&amp;"C"&amp;$A17)</f>
        <v>16.07%</v>
      </c>
      <c r="EQ17" s="3" t="str">
        <f>RTD("tos.rtd",,EQ$2,"."&amp;$A$2&amp;$AW$1&amp;"P"&amp;$A17)</f>
        <v>16.52%</v>
      </c>
      <c r="ES17" s="63" t="str">
        <f t="shared" si="66"/>
        <v>579,-13965.00</v>
      </c>
      <c r="ET17" s="63" t="str">
        <f t="shared" ca="1" si="67"/>
        <v>579,-4586597.03</v>
      </c>
      <c r="EU17" s="67">
        <v>564.79999999999995</v>
      </c>
      <c r="EV17" s="67" t="s">
        <v>155</v>
      </c>
      <c r="EW17" s="67">
        <v>487.92</v>
      </c>
      <c r="EX17" s="67" t="s">
        <v>156</v>
      </c>
      <c r="EY17" s="67">
        <v>5659.91</v>
      </c>
      <c r="EZ17" s="67" t="s">
        <v>157</v>
      </c>
      <c r="FA17" s="67">
        <v>20061.449000000001</v>
      </c>
      <c r="FB17" s="67" t="s">
        <v>158</v>
      </c>
      <c r="FC17" s="67" t="s">
        <v>159</v>
      </c>
      <c r="FD17" s="67" t="s">
        <v>160</v>
      </c>
      <c r="FE17" s="67" t="s">
        <v>161</v>
      </c>
      <c r="FF17" s="67" t="s">
        <v>162</v>
      </c>
    </row>
    <row r="18" spans="1:162" s="63" customFormat="1" ht="13.5" thickBot="1" x14ac:dyDescent="0.25">
      <c r="A18" s="2">
        <f t="shared" si="68"/>
        <v>578</v>
      </c>
      <c r="B18" s="3">
        <f t="shared" si="9"/>
        <v>4091</v>
      </c>
      <c r="C18" s="3">
        <f t="shared" si="10"/>
        <v>11089</v>
      </c>
      <c r="D18" s="3">
        <f t="shared" si="11"/>
        <v>1408</v>
      </c>
      <c r="E18" s="3">
        <f t="shared" si="12"/>
        <v>16588</v>
      </c>
      <c r="F18" s="4">
        <f t="shared" si="13"/>
        <v>5815.942190582382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>
        <v>-1647</v>
      </c>
      <c r="AN18" s="1">
        <v>18513</v>
      </c>
      <c r="AO18" s="1">
        <v>578</v>
      </c>
      <c r="AP18" s="1">
        <v>93944</v>
      </c>
      <c r="AQ18" s="1">
        <v>-342831</v>
      </c>
      <c r="AR18" s="1"/>
      <c r="AS18" s="6">
        <f>IF(RTD("tos.rtd",,AS$2,"."&amp;$A$2&amp;$AS$1&amp;"C"&amp;$A18)="N/A",0,RTD("tos.rtd",,AS$2,"."&amp;$A$2&amp;$AS$1&amp;"C"&amp;$A18))</f>
        <v>4073</v>
      </c>
      <c r="AT18" s="7">
        <f>-IF(RTD("tos.rtd",,AT$2,"."&amp;$A$2&amp;$AS$1&amp;"P"&amp;$A18)="N/A",0,RTD("tos.rtd",,AT$2,"."&amp;$A$2&amp;$AS$1&amp;"P"&amp;$A18))</f>
        <v>-18</v>
      </c>
      <c r="AU18" s="6">
        <f>IF(RTD("tos.rtd",,AU$2,"."&amp;$A$2&amp;$AU$1&amp;"C"&amp;$A18)="N/A",0,RTD("tos.rtd",,AU$2,"."&amp;$A$2&amp;$AU$1&amp;"C"&amp;$A18))</f>
        <v>10786</v>
      </c>
      <c r="AV18" s="7">
        <f>-IF(RTD("tos.rtd",,AV$2,"."&amp;$A$2&amp;$AU$1&amp;"P"&amp;$A18)="N/A",0,RTD("tos.rtd",,AV$2,"."&amp;$A$2&amp;$AU$1&amp;"P"&amp;$A18))</f>
        <v>-303</v>
      </c>
      <c r="AW18" s="6">
        <f>IF(RTD("tos.rtd",,AW$2,"."&amp;$A$2&amp;$AW$1&amp;"C"&amp;$A18)="N/A",0,RTD("tos.rtd",,AW$2,"."&amp;$A$2&amp;$AW$1&amp;"C"&amp;$A18))</f>
        <v>1243</v>
      </c>
      <c r="AX18" s="7">
        <f>-IF(RTD("tos.rtd",,AX$2,"."&amp;$A$2&amp;$AW$1&amp;"P"&amp;$A18)="N/A",0,RTD("tos.rtd",,AX$2,"."&amp;$A$2&amp;$AW$1&amp;"P"&amp;$A18))</f>
        <v>-165</v>
      </c>
      <c r="AY18" s="1">
        <f t="shared" si="69"/>
        <v>15616</v>
      </c>
      <c r="AZ18" s="8">
        <f t="shared" si="35"/>
        <v>578</v>
      </c>
      <c r="BA18" s="6">
        <f>IF(RTD("tos.rtd",,BA$2,"."&amp;$A$2&amp;$AS$1&amp;"C"&amp;$A18)="N/A",0,RTD("tos.rtd",,BA$2,"."&amp;$A$2&amp;$AS$1&amp;"C"&amp;$A18))</f>
        <v>93947</v>
      </c>
      <c r="BB18" s="7">
        <f>-IF(RTD("tos.rtd",,BB$2,"."&amp;$A$2&amp;$AS$1&amp;"P"&amp;$A18)="N/A",0,RTD("tos.rtd",,BB$2,"."&amp;$A$2&amp;$AS$1&amp;"P"&amp;$A18))</f>
        <v>-343022</v>
      </c>
      <c r="BC18" s="6">
        <f>IF(RTD("tos.rtd",,BC$2,"."&amp;$A$2&amp;$AU$1&amp;"C"&amp;$A18)="N/A",0,RTD("tos.rtd",,BC$2,"."&amp;$A$2&amp;$AU$1&amp;"C"&amp;$A18))</f>
        <v>5973</v>
      </c>
      <c r="BD18" s="7">
        <f>-IF(RTD("tos.rtd",,BD$2,"."&amp;$A$2&amp;$AU$1&amp;"P"&amp;$A18)="N/A",0,RTD("tos.rtd",,BD$2,"."&amp;$A$2&amp;$AU$1&amp;"P"&amp;$A18))</f>
        <v>-10265</v>
      </c>
      <c r="BE18" s="6">
        <f>IF(RTD("tos.rtd",,BE$2,"."&amp;$A$2&amp;$AW$1&amp;"C"&amp;$A18)="N/A",0,RTD("tos.rtd",,BE$2,"."&amp;$A$2&amp;$AW$1&amp;"C"&amp;$A18))</f>
        <v>458</v>
      </c>
      <c r="BF18" s="83">
        <f>-IF(RTD("tos.rtd",,BF$2,"."&amp;$A$2&amp;$AW$1&amp;"P"&amp;$A18)="N/A",0,RTD("tos.rtd",,BF$2,"."&amp;$A$2&amp;$AW$1&amp;"P"&amp;$A18))</f>
        <v>-1582</v>
      </c>
      <c r="BG18" s="32">
        <f ca="1">+Hoja2!Y19</f>
        <v>-1639</v>
      </c>
      <c r="BH18" s="7">
        <f t="shared" ca="1" si="36"/>
        <v>-256130</v>
      </c>
      <c r="BI18" s="8" t="str">
        <f t="shared" ref="BI18" ca="1" si="131">IF(AND(BH18&lt;0,BH17&gt;0), "Cruce -", IF(AND(BH18&gt;0,BH17&lt;0),"Cruce +", ""))</f>
        <v/>
      </c>
      <c r="BJ18" s="3">
        <f ca="1">IF($BP$1=1,DX18,IF(RTD("tos.rtd",,BJ$2,"."&amp;$A$2&amp;$AS$1&amp;"C"&amp;$A18)="N/A",0,RTD("tos.rtd",,BJ$2,"."&amp;$A$2&amp;$AS$1&amp;"C"&amp;$A18)))</f>
        <v>5.0712985953217868E-3</v>
      </c>
      <c r="BK18" s="3">
        <f ca="1">IF($BP$1=1,DY18,-IF(RTD("tos.rtd",,BK$2,"."&amp;$A$2&amp;$AS$1&amp;"P"&amp;$A18)="N/A",0,RTD("tos.rtd",,BK$2,"."&amp;$A$2&amp;$AS$1&amp;"P"&amp;$A18)))</f>
        <v>-4.5171068282606947E-2</v>
      </c>
      <c r="BL18" s="3">
        <f ca="1">IF($BP$1=1,DZ18,IF(RTD("tos.rtd",,BL$2,"."&amp;$A$2&amp;$AU$1&amp;"C"&amp;$A18)="N/A",0,RTD("tos.rtd",,BL$2,"."&amp;$A$2&amp;$AU$1&amp;"C"&amp;$A18)))</f>
        <v>2.6874502626850174E-2</v>
      </c>
      <c r="BM18" s="3">
        <f ca="1">IF($BP$1=1,EA18,-IF(RTD("tos.rtd",,BM$2,"."&amp;$A$2&amp;$AU$1&amp;"P"&amp;$A18)="N/A",0,RTD("tos.rtd",,BM$2,"."&amp;$A$2&amp;$AU$1&amp;"P"&amp;$A18)))</f>
        <v>-2.6577942049533069E-2</v>
      </c>
      <c r="BN18" s="3">
        <f ca="1">IF($BP$1=1,EB18,IF(RTD("tos.rtd",,BN$2,"."&amp;$A$2&amp;$AW$1&amp;"C"&amp;$A18)="N/A",0,RTD("tos.rtd",,BN$2,"."&amp;$A$2&amp;$AW$1&amp;"C"&amp;$A18)))</f>
        <v>3.0641574997269955E-2</v>
      </c>
      <c r="BO18" s="3">
        <f ca="1">IF($BP$1=1,EC18,-IF(RTD("tos.rtd",,BO$2,"."&amp;$A$2&amp;$AW$1&amp;"P"&amp;$A18)="N/A",0,RTD("tos.rtd",,BO$2,"."&amp;$A$2&amp;$AW$1&amp;"P"&amp;$A18)))</f>
        <v>-2.9980948711014678E-2</v>
      </c>
      <c r="BQ18" s="3">
        <f t="shared" ca="1" si="37"/>
        <v>6743029.5277222861</v>
      </c>
      <c r="BR18" s="3" t="str">
        <f t="shared" ca="1" si="71"/>
        <v/>
      </c>
      <c r="BS18" s="3">
        <f t="shared" ca="1" si="38"/>
        <v>95769480.802861884</v>
      </c>
      <c r="BT18" s="3" t="str">
        <f t="shared" ca="1" si="71"/>
        <v/>
      </c>
      <c r="BU18" s="3">
        <f t="shared" ca="1" si="39"/>
        <v>11262200.57834336</v>
      </c>
      <c r="BV18" s="3" t="str">
        <f t="shared" ref="BV18" ca="1" si="132">IF(AND(BU18&lt;0,BU17&gt;0), "Cruce -", IF(AND(BU18&gt;0,BU17&lt;0),"Cruce +", ""))</f>
        <v/>
      </c>
      <c r="BX18" s="3">
        <f t="shared" ca="1" si="40"/>
        <v>-5103657994.4417982</v>
      </c>
      <c r="BY18" s="3" t="str">
        <f t="shared" ca="1" si="73"/>
        <v/>
      </c>
      <c r="BZ18" s="3">
        <f t="shared" ca="1" si="41"/>
        <v>-38163385.814926893</v>
      </c>
      <c r="CA18" s="3" t="str">
        <f t="shared" ca="1" si="74"/>
        <v/>
      </c>
      <c r="CB18" s="3">
        <f t="shared" ca="1" si="42"/>
        <v>-11348992.771492355</v>
      </c>
      <c r="CC18" s="3" t="str">
        <f t="shared" ca="1" si="75"/>
        <v/>
      </c>
      <c r="CD18" s="3">
        <f>IF(RTD("tos.rtd",,CD$2,"."&amp;$A$2&amp;$AS$1&amp;"C"&amp;$A18)="N/A",0,RTD("tos.rtd",,CD$2,"."&amp;$A$2&amp;$AS$1&amp;"C"&amp;$A18))</f>
        <v>1</v>
      </c>
      <c r="CE18" s="3">
        <f>-IF(RTD("tos.rtd",,CE$2,"."&amp;$A$2&amp;$AS$1&amp;"P"&amp;$A18)="N/A",0,RTD("tos.rtd",,CE$2,"."&amp;$A$2&amp;$AS$1&amp;"P"&amp;$A18))</f>
        <v>0.02</v>
      </c>
      <c r="CF18" s="3">
        <f>IF(RTD("tos.rtd",,CF$2,"."&amp;$A$2&amp;$AU$1&amp;"C"&amp;$A18)="N/A",0,RTD("tos.rtd",,CF$2,"."&amp;$A$2&amp;$AU$1&amp;"C"&amp;$A18))</f>
        <v>0.68</v>
      </c>
      <c r="CG18" s="3">
        <f>-IF(RTD("tos.rtd",,CG$2,"."&amp;$A$2&amp;$AU$1&amp;"P"&amp;$A18)="N/A",0,RTD("tos.rtd",,CG$2,"."&amp;$A$2&amp;$AU$1&amp;"P"&amp;$A18))</f>
        <v>0.33</v>
      </c>
      <c r="CH18" s="3">
        <f>IF(RTD("tos.rtd",,CH$2,"."&amp;$A$2&amp;$AW$1&amp;"C"&amp;$A18)="N/A",0,RTD("tos.rtd",,CH$2,"."&amp;$A$2&amp;$AW$1&amp;"C"&amp;$A18))</f>
        <v>0.6</v>
      </c>
      <c r="CI18" s="3">
        <f>-IF(RTD("tos.rtd",,CI$2,"."&amp;$A$2&amp;$AW$1&amp;"P"&amp;$A18)="N/A",0,RTD("tos.rtd",,CI$2,"."&amp;$A$2&amp;$AW$1&amp;"P"&amp;$A18))</f>
        <v>0.4</v>
      </c>
      <c r="CK18" s="3">
        <f t="shared" si="17"/>
        <v>407264</v>
      </c>
      <c r="CL18" s="3"/>
      <c r="CM18" s="3">
        <f t="shared" si="18"/>
        <v>723449</v>
      </c>
      <c r="CN18" s="3"/>
      <c r="CO18" s="3">
        <f t="shared" si="19"/>
        <v>67980</v>
      </c>
      <c r="CP18" s="3">
        <f t="shared" si="43"/>
        <v>1198693</v>
      </c>
      <c r="CQ18" s="3">
        <f t="shared" si="44"/>
        <v>-249075</v>
      </c>
      <c r="CR18" s="3"/>
      <c r="CS18" s="3">
        <f t="shared" si="20"/>
        <v>-4292</v>
      </c>
      <c r="CT18" s="3"/>
      <c r="CU18" s="3">
        <f t="shared" si="21"/>
        <v>-1124</v>
      </c>
      <c r="CV18" s="3">
        <f t="shared" si="45"/>
        <v>-254491</v>
      </c>
      <c r="CW18" s="3">
        <f t="shared" ca="1" si="46"/>
        <v>113774710.90892753</v>
      </c>
      <c r="CX18" s="85" t="str">
        <f t="shared" ca="1" si="76"/>
        <v/>
      </c>
      <c r="CY18" s="3">
        <f t="shared" ca="1" si="47"/>
        <v>-5153170373.0282173</v>
      </c>
      <c r="CZ18" s="85" t="str">
        <f t="shared" ca="1" si="77"/>
        <v/>
      </c>
      <c r="DA18" s="3">
        <f>IF(RTD("tos.rtd",,DA$2,"."&amp;$A$2&amp;$AS$1&amp;"C"&amp;$A18)="N/A",0,RTD("tos.rtd",,DA$2,"."&amp;$A$2&amp;$AS$1&amp;"C"&amp;$A18))</f>
        <v>4.8600000000000003</v>
      </c>
      <c r="DB18" s="3">
        <f>IF(RTD("tos.rtd",,DB$2,"."&amp;$A$2&amp;$AS$1&amp;"P"&amp;$A18)="N/A",0,RTD("tos.rtd",,DB$2,"."&amp;$A$2&amp;$AS$1&amp;"P"&amp;$A18))</f>
        <v>0.01</v>
      </c>
      <c r="DC18" s="3">
        <f>IF(RTD("tos.rtd",,DC$2,"."&amp;$A$2&amp;$AS$1&amp;"C"&amp;$A18)="N/A",0,RTD("tos.rtd",,DC$2,"."&amp;$A$2&amp;$AS$1&amp;"C"&amp;$A18))</f>
        <v>4.96</v>
      </c>
      <c r="DD18" s="3">
        <f>IF(RTD("tos.rtd",,DD$2,"."&amp;$A$2&amp;$AS$1&amp;"P"&amp;$A18)="N/A",0,RTD("tos.rtd",,DD$2,"."&amp;$A$2&amp;$AS$1&amp;"P"&amp;$A18))</f>
        <v>0.02</v>
      </c>
      <c r="DE18" s="3">
        <f>IF(RTD("tos.rtd",,DE$2,"."&amp;$A$2&amp;$AS$1&amp;"C"&amp;$A18)="N/A",0,RTD("tos.rtd",,DE$2,"."&amp;$A$2&amp;$AS$1&amp;"C"&amp;$A18))</f>
        <v>4.63</v>
      </c>
      <c r="DF18" s="3">
        <f>IF(RTD("tos.rtd",,DF$2,"."&amp;$A$2&amp;$AS$1&amp;"P"&amp;$A18)="N/A",0,RTD("tos.rtd",,DF$2,"."&amp;$A$2&amp;$AS$1&amp;"P"&amp;$A18))</f>
        <v>0.01</v>
      </c>
      <c r="DG18" s="86">
        <f t="shared" si="48"/>
        <v>-4.9500000000000455</v>
      </c>
      <c r="DH18" s="3">
        <f t="shared" si="22"/>
        <v>2.0909090909090944</v>
      </c>
      <c r="DI18" s="3">
        <f t="shared" si="49"/>
        <v>0</v>
      </c>
      <c r="DJ18" s="3">
        <f t="shared" si="50"/>
        <v>3</v>
      </c>
      <c r="DK18" s="3">
        <f t="shared" si="51"/>
        <v>191</v>
      </c>
      <c r="DL18" s="3">
        <f t="shared" si="52"/>
        <v>2.0909090909090944</v>
      </c>
      <c r="DM18" s="3">
        <f t="shared" si="53"/>
        <v>194</v>
      </c>
      <c r="DN18" s="63" t="str">
        <f t="shared" si="54"/>
        <v>BUY</v>
      </c>
      <c r="DO18" s="63" t="str">
        <f t="shared" si="55"/>
        <v>SELL</v>
      </c>
      <c r="DP18" s="3">
        <f t="shared" si="56"/>
        <v>10.1618181818182</v>
      </c>
      <c r="DQ18" s="3">
        <f t="shared" si="57"/>
        <v>16.490000000000002</v>
      </c>
      <c r="DR18" s="3">
        <f t="shared" ca="1" si="58"/>
        <v>-8.6124601461919621</v>
      </c>
      <c r="DS18" s="3">
        <f t="shared" si="59"/>
        <v>6.82</v>
      </c>
      <c r="DT18" s="3">
        <f t="shared" si="60"/>
        <v>3</v>
      </c>
      <c r="DU18" s="3">
        <f t="shared" si="61"/>
        <v>-191</v>
      </c>
      <c r="DV18" s="3">
        <f t="shared" si="62"/>
        <v>-1644</v>
      </c>
      <c r="DW18" s="3">
        <f t="shared" si="23"/>
        <v>18704</v>
      </c>
      <c r="DX18" s="3">
        <f t="shared" ca="1" si="24"/>
        <v>5.0712985953217868E-3</v>
      </c>
      <c r="DY18" s="3">
        <f t="shared" ca="1" si="25"/>
        <v>-4.5171068282606947E-2</v>
      </c>
      <c r="DZ18" s="3">
        <f t="shared" ca="1" si="26"/>
        <v>2.6874502626850174E-2</v>
      </c>
      <c r="EA18" s="3">
        <f t="shared" ca="1" si="27"/>
        <v>-2.6577942049533069E-2</v>
      </c>
      <c r="EB18" s="3">
        <f t="shared" ca="1" si="28"/>
        <v>3.0641574997269955E-2</v>
      </c>
      <c r="EC18" s="3">
        <f t="shared" ca="1" si="29"/>
        <v>-2.9980948711014678E-2</v>
      </c>
      <c r="ED18" s="63">
        <f t="shared" si="63"/>
        <v>17060</v>
      </c>
      <c r="EE18" s="59">
        <f t="shared" si="64"/>
        <v>0.25</v>
      </c>
      <c r="EF18" s="59">
        <f t="shared" si="30"/>
        <v>0.5383</v>
      </c>
      <c r="EG18" s="59">
        <f t="shared" si="31"/>
        <v>0.19020000000000001</v>
      </c>
      <c r="EH18" s="59">
        <f t="shared" si="32"/>
        <v>0.19270000000000001</v>
      </c>
      <c r="EI18" s="59">
        <f t="shared" si="33"/>
        <v>0.16209999999999999</v>
      </c>
      <c r="EJ18" s="59">
        <f t="shared" si="34"/>
        <v>0.1666</v>
      </c>
      <c r="EK18" s="63">
        <f t="shared" ca="1" si="65"/>
        <v>-289949290.37244761</v>
      </c>
      <c r="EL18" s="3" t="str">
        <f>RTD("tos.rtd",,EL$2,"."&amp;$A$2&amp;$AS$1&amp;"C"&amp;$A18)</f>
        <v>--</v>
      </c>
      <c r="EM18" s="3" t="str">
        <f>RTD("tos.rtd",,EM$2,"."&amp;$A$2&amp;$AS$1&amp;"P"&amp;$A18)</f>
        <v>53.83%</v>
      </c>
      <c r="EN18" s="3" t="str">
        <f>RTD("tos.rtd",,EN$2,"."&amp;$A$2&amp;$AU$1&amp;"C"&amp;$A18)</f>
        <v>19.02%</v>
      </c>
      <c r="EO18" s="3" t="str">
        <f>RTD("tos.rtd",,EO$2,"."&amp;$A$2&amp;$AU$1&amp;"P"&amp;$A18)</f>
        <v>19.27%</v>
      </c>
      <c r="EP18" s="3" t="str">
        <f>RTD("tos.rtd",,EP$2,"."&amp;$A$2&amp;$AW$1&amp;"C"&amp;$A18)</f>
        <v>16.21%</v>
      </c>
      <c r="EQ18" s="3" t="str">
        <f>RTD("tos.rtd",,EQ$2,"."&amp;$A$2&amp;$AW$1&amp;"P"&amp;$A18)</f>
        <v>16.66%</v>
      </c>
      <c r="ES18" s="63" t="str">
        <f t="shared" si="66"/>
        <v>578,17060.00</v>
      </c>
      <c r="ET18" s="63" t="str">
        <f t="shared" ca="1" si="67"/>
        <v>578,-5153170.37</v>
      </c>
      <c r="EU18" s="67">
        <v>564.79999999999995</v>
      </c>
      <c r="EV18" s="67" t="s">
        <v>163</v>
      </c>
      <c r="EW18" s="67">
        <v>487.92</v>
      </c>
      <c r="EX18" s="67" t="s">
        <v>164</v>
      </c>
      <c r="EY18" s="67">
        <v>5659.91</v>
      </c>
      <c r="EZ18" s="67" t="s">
        <v>165</v>
      </c>
      <c r="FA18" s="67">
        <v>20061.449000000001</v>
      </c>
      <c r="FB18" s="67" t="s">
        <v>166</v>
      </c>
      <c r="FC18" s="67" t="s">
        <v>167</v>
      </c>
      <c r="FD18" s="67" t="s">
        <v>168</v>
      </c>
      <c r="FE18" s="67" t="s">
        <v>169</v>
      </c>
      <c r="FF18" s="67" t="s">
        <v>170</v>
      </c>
    </row>
    <row r="19" spans="1:162" s="63" customFormat="1" ht="13.5" thickBot="1" x14ac:dyDescent="0.25">
      <c r="A19" s="2">
        <f t="shared" si="68"/>
        <v>577</v>
      </c>
      <c r="B19" s="3">
        <f t="shared" si="9"/>
        <v>4691</v>
      </c>
      <c r="C19" s="3">
        <f t="shared" si="10"/>
        <v>4890</v>
      </c>
      <c r="D19" s="3">
        <f t="shared" si="11"/>
        <v>1732</v>
      </c>
      <c r="E19" s="3">
        <f t="shared" si="12"/>
        <v>11313</v>
      </c>
      <c r="F19" s="4">
        <f t="shared" si="13"/>
        <v>5805.8800068616511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v>908</v>
      </c>
      <c r="AN19" s="1">
        <v>-15518</v>
      </c>
      <c r="AO19" s="1">
        <v>577</v>
      </c>
      <c r="AP19" s="1">
        <v>34008</v>
      </c>
      <c r="AQ19" s="1">
        <v>-199322</v>
      </c>
      <c r="AR19" s="1"/>
      <c r="AS19" s="6">
        <f>IF(RTD("tos.rtd",,AS$2,"."&amp;$A$2&amp;$AS$1&amp;"C"&amp;$A19)="N/A",0,RTD("tos.rtd",,AS$2,"."&amp;$A$2&amp;$AS$1&amp;"C"&amp;$A19))</f>
        <v>4657</v>
      </c>
      <c r="AT19" s="7">
        <f>-IF(RTD("tos.rtd",,AT$2,"."&amp;$A$2&amp;$AS$1&amp;"P"&amp;$A19)="N/A",0,RTD("tos.rtd",,AT$2,"."&amp;$A$2&amp;$AS$1&amp;"P"&amp;$A19))</f>
        <v>-34</v>
      </c>
      <c r="AU19" s="6">
        <f>IF(RTD("tos.rtd",,AU$2,"."&amp;$A$2&amp;$AU$1&amp;"C"&amp;$A19)="N/A",0,RTD("tos.rtd",,AU$2,"."&amp;$A$2&amp;$AU$1&amp;"C"&amp;$A19))</f>
        <v>4846</v>
      </c>
      <c r="AV19" s="7">
        <f>-IF(RTD("tos.rtd",,AV$2,"."&amp;$A$2&amp;$AU$1&amp;"P"&amp;$A19)="N/A",0,RTD("tos.rtd",,AV$2,"."&amp;$A$2&amp;$AU$1&amp;"P"&amp;$A19))</f>
        <v>-44</v>
      </c>
      <c r="AW19" s="6">
        <f>IF(RTD("tos.rtd",,AW$2,"."&amp;$A$2&amp;$AW$1&amp;"C"&amp;$A19)="N/A",0,RTD("tos.rtd",,AW$2,"."&amp;$A$2&amp;$AW$1&amp;"C"&amp;$A19))</f>
        <v>1527</v>
      </c>
      <c r="AX19" s="7">
        <f>-IF(RTD("tos.rtd",,AX$2,"."&amp;$A$2&amp;$AW$1&amp;"P"&amp;$A19)="N/A",0,RTD("tos.rtd",,AX$2,"."&amp;$A$2&amp;$AW$1&amp;"P"&amp;$A19))</f>
        <v>-205</v>
      </c>
      <c r="AY19" s="1">
        <f t="shared" si="69"/>
        <v>10747</v>
      </c>
      <c r="AZ19" s="8">
        <f t="shared" si="35"/>
        <v>577</v>
      </c>
      <c r="BA19" s="6">
        <f>IF(RTD("tos.rtd",,BA$2,"."&amp;$A$2&amp;$AS$1&amp;"C"&amp;$A19)="N/A",0,RTD("tos.rtd",,BA$2,"."&amp;$A$2&amp;$AS$1&amp;"C"&amp;$A19))</f>
        <v>34010</v>
      </c>
      <c r="BB19" s="7">
        <f>-IF(RTD("tos.rtd",,BB$2,"."&amp;$A$2&amp;$AS$1&amp;"P"&amp;$A19)="N/A",0,RTD("tos.rtd",,BB$2,"."&amp;$A$2&amp;$AS$1&amp;"P"&amp;$A19))</f>
        <v>-199824</v>
      </c>
      <c r="BC19" s="6">
        <f>IF(RTD("tos.rtd",,BC$2,"."&amp;$A$2&amp;$AU$1&amp;"C"&amp;$A19)="N/A",0,RTD("tos.rtd",,BC$2,"."&amp;$A$2&amp;$AU$1&amp;"C"&amp;$A19))</f>
        <v>1782</v>
      </c>
      <c r="BD19" s="7">
        <f>-IF(RTD("tos.rtd",,BD$2,"."&amp;$A$2&amp;$AU$1&amp;"P"&amp;$A19)="N/A",0,RTD("tos.rtd",,BD$2,"."&amp;$A$2&amp;$AU$1&amp;"P"&amp;$A19))</f>
        <v>-13413</v>
      </c>
      <c r="BE19" s="6">
        <f>IF(RTD("tos.rtd",,BE$2,"."&amp;$A$2&amp;$AW$1&amp;"C"&amp;$A19)="N/A",0,RTD("tos.rtd",,BE$2,"."&amp;$A$2&amp;$AW$1&amp;"C"&amp;$A19))</f>
        <v>278</v>
      </c>
      <c r="BF19" s="83">
        <f>-IF(RTD("tos.rtd",,BF$2,"."&amp;$A$2&amp;$AW$1&amp;"P"&amp;$A19)="N/A",0,RTD("tos.rtd",,BF$2,"."&amp;$A$2&amp;$AW$1&amp;"P"&amp;$A19))</f>
        <v>-737</v>
      </c>
      <c r="BG19" s="32">
        <f ca="1">+Hoja2!Y20</f>
        <v>-1209</v>
      </c>
      <c r="BH19" s="7">
        <f t="shared" ca="1" si="36"/>
        <v>-179113</v>
      </c>
      <c r="BI19" s="8" t="str">
        <f t="shared" ref="BI19" ca="1" si="133">IF(AND(BH19&lt;0,BH18&gt;0), "Cruce -", IF(AND(BH19&gt;0,BH18&lt;0),"Cruce +", ""))</f>
        <v/>
      </c>
      <c r="BJ19" s="3">
        <f ca="1">IF($BP$1=1,DX19,IF(RTD("tos.rtd",,BJ$2,"."&amp;$A$2&amp;$AS$1&amp;"C"&amp;$A19)="N/A",0,RTD("tos.rtd",,BJ$2,"."&amp;$A$2&amp;$AS$1&amp;"C"&amp;$A19)))</f>
        <v>9.4114203303123374E-4</v>
      </c>
      <c r="BK19" s="3">
        <f ca="1">IF($BP$1=1,DY19,-IF(RTD("tos.rtd",,BK$2,"."&amp;$A$2&amp;$AS$1&amp;"P"&amp;$A19)="N/A",0,RTD("tos.rtd",,BK$2,"."&amp;$A$2&amp;$AS$1&amp;"P"&amp;$A19)))</f>
        <v>-3.2013403268655628E-2</v>
      </c>
      <c r="BL19" s="3">
        <f ca="1">IF($BP$1=1,DZ19,IF(RTD("tos.rtd",,BL$2,"."&amp;$A$2&amp;$AU$1&amp;"C"&amp;$A19)="N/A",0,RTD("tos.rtd",,BL$2,"."&amp;$A$2&amp;$AU$1&amp;"C"&amp;$A19)))</f>
        <v>2.5858476627721994E-2</v>
      </c>
      <c r="BM19" s="3">
        <f ca="1">IF($BP$1=1,EA19,-IF(RTD("tos.rtd",,BM$2,"."&amp;$A$2&amp;$AU$1&amp;"P"&amp;$A19)="N/A",0,RTD("tos.rtd",,BM$2,"."&amp;$A$2&amp;$AU$1&amp;"P"&amp;$A19)))</f>
        <v>-2.5615784996820171E-2</v>
      </c>
      <c r="BN19" s="3">
        <f ca="1">IF($BP$1=1,EB19,IF(RTD("tos.rtd",,BN$2,"."&amp;$A$2&amp;$AW$1&amp;"C"&amp;$A19)="N/A",0,RTD("tos.rtd",,BN$2,"."&amp;$A$2&amp;$AW$1&amp;"C"&amp;$A19)))</f>
        <v>2.910056870187476E-2</v>
      </c>
      <c r="BO19" s="3">
        <f ca="1">IF($BP$1=1,EC19,-IF(RTD("tos.rtd",,BO$2,"."&amp;$A$2&amp;$AW$1&amp;"P"&amp;$A19)="N/A",0,RTD("tos.rtd",,BO$2,"."&amp;$A$2&amp;$AW$1&amp;"P"&amp;$A19)))</f>
        <v>-2.8589421985147752E-2</v>
      </c>
      <c r="BQ19" s="3">
        <f t="shared" ca="1" si="37"/>
        <v>1119552.789556121</v>
      </c>
      <c r="BR19" s="3" t="str">
        <f t="shared" ca="1" si="71"/>
        <v/>
      </c>
      <c r="BS19" s="3">
        <f t="shared" ca="1" si="38"/>
        <v>42201224.401819721</v>
      </c>
      <c r="BT19" s="3" t="str">
        <f t="shared" ca="1" si="71"/>
        <v/>
      </c>
      <c r="BU19" s="3">
        <f t="shared" ca="1" si="39"/>
        <v>13109219.770456579</v>
      </c>
      <c r="BV19" s="3" t="str">
        <f t="shared" ref="BV19" ca="1" si="134">IF(AND(BU19&lt;0,BU18&gt;0), "Cruce -", IF(AND(BU19&gt;0,BU18&lt;0),"Cruce +", ""))</f>
        <v/>
      </c>
      <c r="BX19" s="3">
        <f t="shared" ca="1" si="40"/>
        <v>-2163035353.4022508</v>
      </c>
      <c r="BY19" s="3" t="str">
        <f t="shared" ca="1" si="73"/>
        <v/>
      </c>
      <c r="BZ19" s="3">
        <f t="shared" ca="1" si="41"/>
        <v>-101101237.59086142</v>
      </c>
      <c r="CA19" s="3" t="str">
        <f t="shared" ca="1" si="74"/>
        <v/>
      </c>
      <c r="CB19" s="3">
        <f t="shared" ca="1" si="42"/>
        <v>-4411154.0502967015</v>
      </c>
      <c r="CC19" s="3" t="str">
        <f t="shared" ca="1" si="75"/>
        <v/>
      </c>
      <c r="CD19" s="3">
        <f>IF(RTD("tos.rtd",,CD$2,"."&amp;$A$2&amp;$AS$1&amp;"C"&amp;$A19)="N/A",0,RTD("tos.rtd",,CD$2,"."&amp;$A$2&amp;$AS$1&amp;"C"&amp;$A19))</f>
        <v>1</v>
      </c>
      <c r="CE19" s="3">
        <f>-IF(RTD("tos.rtd",,CE$2,"."&amp;$A$2&amp;$AS$1&amp;"P"&amp;$A19)="N/A",0,RTD("tos.rtd",,CE$2,"."&amp;$A$2&amp;$AS$1&amp;"P"&amp;$A19))</f>
        <v>0.01</v>
      </c>
      <c r="CF19" s="3">
        <f>IF(RTD("tos.rtd",,CF$2,"."&amp;$A$2&amp;$AU$1&amp;"C"&amp;$A19)="N/A",0,RTD("tos.rtd",,CF$2,"."&amp;$A$2&amp;$AU$1&amp;"C"&amp;$A19))</f>
        <v>0.71</v>
      </c>
      <c r="CG19" s="3">
        <f>-IF(RTD("tos.rtd",,CG$2,"."&amp;$A$2&amp;$AU$1&amp;"P"&amp;$A19)="N/A",0,RTD("tos.rtd",,CG$2,"."&amp;$A$2&amp;$AU$1&amp;"P"&amp;$A19))</f>
        <v>0.3</v>
      </c>
      <c r="CH19" s="3">
        <f>IF(RTD("tos.rtd",,CH$2,"."&amp;$A$2&amp;$AW$1&amp;"C"&amp;$A19)="N/A",0,RTD("tos.rtd",,CH$2,"."&amp;$A$2&amp;$AW$1&amp;"C"&amp;$A19))</f>
        <v>0.61</v>
      </c>
      <c r="CI19" s="3">
        <f>-IF(RTD("tos.rtd",,CI$2,"."&amp;$A$2&amp;$AW$1&amp;"P"&amp;$A19)="N/A",0,RTD("tos.rtd",,CI$2,"."&amp;$A$2&amp;$AW$1&amp;"P"&amp;$A19))</f>
        <v>0.39</v>
      </c>
      <c r="CK19" s="3">
        <f t="shared" si="17"/>
        <v>465666</v>
      </c>
      <c r="CL19" s="3"/>
      <c r="CM19" s="3">
        <f t="shared" si="18"/>
        <v>342746</v>
      </c>
      <c r="CN19" s="3"/>
      <c r="CO19" s="3">
        <f t="shared" si="19"/>
        <v>85152</v>
      </c>
      <c r="CP19" s="3">
        <f t="shared" si="43"/>
        <v>893564</v>
      </c>
      <c r="CQ19" s="3">
        <f t="shared" si="44"/>
        <v>-165814</v>
      </c>
      <c r="CR19" s="3"/>
      <c r="CS19" s="3">
        <f t="shared" si="20"/>
        <v>-11631</v>
      </c>
      <c r="CT19" s="3"/>
      <c r="CU19" s="3">
        <f t="shared" si="21"/>
        <v>-459</v>
      </c>
      <c r="CV19" s="3">
        <f t="shared" si="45"/>
        <v>-177904</v>
      </c>
      <c r="CW19" s="3">
        <f t="shared" ca="1" si="46"/>
        <v>56429996.961832419</v>
      </c>
      <c r="CX19" s="85" t="str">
        <f t="shared" ca="1" si="76"/>
        <v/>
      </c>
      <c r="CY19" s="3">
        <f t="shared" ca="1" si="47"/>
        <v>-2268547745.0434089</v>
      </c>
      <c r="CZ19" s="85" t="str">
        <f t="shared" ca="1" si="77"/>
        <v/>
      </c>
      <c r="DA19" s="3">
        <f>IF(RTD("tos.rtd",,DA$2,"."&amp;$A$2&amp;$AS$1&amp;"C"&amp;$A19)="N/A",0,RTD("tos.rtd",,DA$2,"."&amp;$A$2&amp;$AS$1&amp;"C"&amp;$A19))</f>
        <v>5.86</v>
      </c>
      <c r="DB19" s="3">
        <f>IF(RTD("tos.rtd",,DB$2,"."&amp;$A$2&amp;$AS$1&amp;"P"&amp;$A19)="N/A",0,RTD("tos.rtd",,DB$2,"."&amp;$A$2&amp;$AS$1&amp;"P"&amp;$A19))</f>
        <v>0.01</v>
      </c>
      <c r="DC19" s="3">
        <f>IF(RTD("tos.rtd",,DC$2,"."&amp;$A$2&amp;$AS$1&amp;"C"&amp;$A19)="N/A",0,RTD("tos.rtd",,DC$2,"."&amp;$A$2&amp;$AS$1&amp;"C"&amp;$A19))</f>
        <v>5.95</v>
      </c>
      <c r="DD19" s="3">
        <f>IF(RTD("tos.rtd",,DD$2,"."&amp;$A$2&amp;$AS$1&amp;"P"&amp;$A19)="N/A",0,RTD("tos.rtd",,DD$2,"."&amp;$A$2&amp;$AS$1&amp;"P"&amp;$A19))</f>
        <v>0.01</v>
      </c>
      <c r="DE19" s="3">
        <f>IF(RTD("tos.rtd",,DE$2,"."&amp;$A$2&amp;$AS$1&amp;"C"&amp;$A19)="N/A",0,RTD("tos.rtd",,DE$2,"."&amp;$A$2&amp;$AS$1&amp;"C"&amp;$A19))</f>
        <v>5.64</v>
      </c>
      <c r="DF19" s="3">
        <f>IF(RTD("tos.rtd",,DF$2,"."&amp;$A$2&amp;$AS$1&amp;"P"&amp;$A19)="N/A",0,RTD("tos.rtd",,DF$2,"."&amp;$A$2&amp;$AS$1&amp;"P"&amp;$A19))</f>
        <v>0</v>
      </c>
      <c r="DG19" s="86">
        <f t="shared" si="48"/>
        <v>-5.9500000000000455</v>
      </c>
      <c r="DH19" s="3">
        <f t="shared" si="22"/>
        <v>1.4193548387096793</v>
      </c>
      <c r="DI19" s="3">
        <f t="shared" si="49"/>
        <v>-502</v>
      </c>
      <c r="DJ19" s="3">
        <f t="shared" si="50"/>
        <v>2</v>
      </c>
      <c r="DK19" s="3">
        <f t="shared" si="51"/>
        <v>-502</v>
      </c>
      <c r="DL19" s="3">
        <f t="shared" si="52"/>
        <v>-500.58064516129031</v>
      </c>
      <c r="DM19" s="3">
        <f t="shared" si="53"/>
        <v>-500</v>
      </c>
      <c r="DN19" s="63" t="str">
        <f t="shared" si="54"/>
        <v>BUY</v>
      </c>
      <c r="DO19" s="63" t="str">
        <f t="shared" si="55"/>
        <v>BUY</v>
      </c>
      <c r="DP19" s="3">
        <f t="shared" si="56"/>
        <v>3.2974193548387207</v>
      </c>
      <c r="DQ19" s="3">
        <f t="shared" si="57"/>
        <v>6.7</v>
      </c>
      <c r="DR19" s="3">
        <f t="shared" ca="1" si="58"/>
        <v>16.072610724931188</v>
      </c>
      <c r="DS19" s="3">
        <f t="shared" si="59"/>
        <v>-3.0200000000000005</v>
      </c>
      <c r="DT19" s="3">
        <f t="shared" si="60"/>
        <v>2</v>
      </c>
      <c r="DU19" s="3">
        <f t="shared" si="61"/>
        <v>-502</v>
      </c>
      <c r="DV19" s="3">
        <f t="shared" si="62"/>
        <v>910</v>
      </c>
      <c r="DW19" s="3">
        <f t="shared" si="23"/>
        <v>-16020</v>
      </c>
      <c r="DX19" s="3">
        <f t="shared" ca="1" si="24"/>
        <v>9.4114203303123374E-4</v>
      </c>
      <c r="DY19" s="3">
        <f t="shared" ca="1" si="25"/>
        <v>-3.2013403268655628E-2</v>
      </c>
      <c r="DZ19" s="3">
        <f t="shared" ca="1" si="26"/>
        <v>2.5858476627721994E-2</v>
      </c>
      <c r="EA19" s="3">
        <f t="shared" ca="1" si="27"/>
        <v>-2.5615784996820171E-2</v>
      </c>
      <c r="EB19" s="3">
        <f t="shared" ca="1" si="28"/>
        <v>2.910056870187476E-2</v>
      </c>
      <c r="EC19" s="3">
        <f t="shared" ca="1" si="29"/>
        <v>-2.8589421985147752E-2</v>
      </c>
      <c r="ED19" s="63">
        <f t="shared" si="63"/>
        <v>-15110</v>
      </c>
      <c r="EE19" s="59">
        <f t="shared" si="64"/>
        <v>0.25</v>
      </c>
      <c r="EF19" s="59">
        <f t="shared" si="30"/>
        <v>0.5464</v>
      </c>
      <c r="EG19" s="59">
        <f t="shared" si="31"/>
        <v>0.19170000000000001</v>
      </c>
      <c r="EH19" s="59">
        <f t="shared" si="32"/>
        <v>0.19400000000000001</v>
      </c>
      <c r="EI19" s="59">
        <f t="shared" si="33"/>
        <v>0.1638</v>
      </c>
      <c r="EJ19" s="59">
        <f t="shared" si="34"/>
        <v>0.16789999999999999</v>
      </c>
      <c r="EK19" s="63">
        <f t="shared" ca="1" si="65"/>
        <v>174574824.25368863</v>
      </c>
      <c r="EL19" s="3" t="str">
        <f>RTD("tos.rtd",,EL$2,"."&amp;$A$2&amp;$AS$1&amp;"C"&amp;$A19)</f>
        <v>--</v>
      </c>
      <c r="EM19" s="3" t="str">
        <f>RTD("tos.rtd",,EM$2,"."&amp;$A$2&amp;$AS$1&amp;"P"&amp;$A19)</f>
        <v>54.64%</v>
      </c>
      <c r="EN19" s="3" t="str">
        <f>RTD("tos.rtd",,EN$2,"."&amp;$A$2&amp;$AU$1&amp;"C"&amp;$A19)</f>
        <v>19.17%</v>
      </c>
      <c r="EO19" s="3" t="str">
        <f>RTD("tos.rtd",,EO$2,"."&amp;$A$2&amp;$AU$1&amp;"P"&amp;$A19)</f>
        <v>19.40%</v>
      </c>
      <c r="EP19" s="3" t="str">
        <f>RTD("tos.rtd",,EP$2,"."&amp;$A$2&amp;$AW$1&amp;"C"&amp;$A19)</f>
        <v>16.38%</v>
      </c>
      <c r="EQ19" s="3" t="str">
        <f>RTD("tos.rtd",,EQ$2,"."&amp;$A$2&amp;$AW$1&amp;"P"&amp;$A19)</f>
        <v>16.79%</v>
      </c>
      <c r="ES19" s="63" t="str">
        <f t="shared" si="66"/>
        <v>577,-15110.00</v>
      </c>
      <c r="ET19" s="63" t="str">
        <f t="shared" ca="1" si="67"/>
        <v>577,-2268547.75</v>
      </c>
      <c r="EU19" s="67">
        <v>564.79999999999995</v>
      </c>
      <c r="EV19" s="67" t="s">
        <v>171</v>
      </c>
      <c r="EW19" s="67">
        <v>487.92</v>
      </c>
      <c r="EX19" s="67" t="s">
        <v>172</v>
      </c>
      <c r="EY19" s="67">
        <v>5659.91</v>
      </c>
      <c r="EZ19" s="67" t="s">
        <v>173</v>
      </c>
      <c r="FA19" s="67">
        <v>20061.449000000001</v>
      </c>
      <c r="FB19" s="67" t="s">
        <v>174</v>
      </c>
      <c r="FC19" s="67" t="s">
        <v>175</v>
      </c>
      <c r="FD19" s="67" t="s">
        <v>176</v>
      </c>
      <c r="FE19" s="67" t="s">
        <v>177</v>
      </c>
      <c r="FF19" s="67" t="s">
        <v>178</v>
      </c>
    </row>
    <row r="20" spans="1:162" s="63" customFormat="1" ht="13.5" thickBot="1" x14ac:dyDescent="0.25">
      <c r="A20" s="2">
        <f t="shared" si="68"/>
        <v>576</v>
      </c>
      <c r="B20" s="3">
        <f t="shared" si="9"/>
        <v>49742</v>
      </c>
      <c r="C20" s="3">
        <f t="shared" si="10"/>
        <v>4893</v>
      </c>
      <c r="D20" s="3">
        <f t="shared" si="11"/>
        <v>1498</v>
      </c>
      <c r="E20" s="3">
        <f t="shared" si="12"/>
        <v>56133</v>
      </c>
      <c r="F20" s="4">
        <f t="shared" si="13"/>
        <v>5795.8178231409202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>
        <v>15694</v>
      </c>
      <c r="AN20" s="1">
        <v>32380</v>
      </c>
      <c r="AO20" s="1">
        <v>576</v>
      </c>
      <c r="AP20" s="1">
        <v>67201</v>
      </c>
      <c r="AQ20" s="1">
        <v>-163623</v>
      </c>
      <c r="AR20" s="1"/>
      <c r="AS20" s="6">
        <f>IF(RTD("tos.rtd",,AS$2,"."&amp;$A$2&amp;$AS$1&amp;"C"&amp;$A20)="N/A",0,RTD("tos.rtd",,AS$2,"."&amp;$A$2&amp;$AS$1&amp;"C"&amp;$A20))</f>
        <v>49710</v>
      </c>
      <c r="AT20" s="7">
        <f>-IF(RTD("tos.rtd",,AT$2,"."&amp;$A$2&amp;$AS$1&amp;"P"&amp;$A20)="N/A",0,RTD("tos.rtd",,AT$2,"."&amp;$A$2&amp;$AS$1&amp;"P"&amp;$A20))</f>
        <v>-32</v>
      </c>
      <c r="AU20" s="6">
        <f>IF(RTD("tos.rtd",,AU$2,"."&amp;$A$2&amp;$AU$1&amp;"C"&amp;$A20)="N/A",0,RTD("tos.rtd",,AU$2,"."&amp;$A$2&amp;$AU$1&amp;"C"&amp;$A20))</f>
        <v>4581</v>
      </c>
      <c r="AV20" s="7">
        <f>-IF(RTD("tos.rtd",,AV$2,"."&amp;$A$2&amp;$AU$1&amp;"P"&amp;$A20)="N/A",0,RTD("tos.rtd",,AV$2,"."&amp;$A$2&amp;$AU$1&amp;"P"&amp;$A20))</f>
        <v>-312</v>
      </c>
      <c r="AW20" s="6">
        <f>IF(RTD("tos.rtd",,AW$2,"."&amp;$A$2&amp;$AW$1&amp;"C"&amp;$A20)="N/A",0,RTD("tos.rtd",,AW$2,"."&amp;$A$2&amp;$AW$1&amp;"C"&amp;$A20))</f>
        <v>1295</v>
      </c>
      <c r="AX20" s="7">
        <f>-IF(RTD("tos.rtd",,AX$2,"."&amp;$A$2&amp;$AW$1&amp;"P"&amp;$A20)="N/A",0,RTD("tos.rtd",,AX$2,"."&amp;$A$2&amp;$AW$1&amp;"P"&amp;$A20))</f>
        <v>-203</v>
      </c>
      <c r="AY20" s="1">
        <f t="shared" si="69"/>
        <v>55039</v>
      </c>
      <c r="AZ20" s="8">
        <f t="shared" si="35"/>
        <v>576</v>
      </c>
      <c r="BA20" s="6">
        <f>IF(RTD("tos.rtd",,BA$2,"."&amp;$A$2&amp;$AS$1&amp;"C"&amp;$A20)="N/A",0,RTD("tos.rtd",,BA$2,"."&amp;$A$2&amp;$AS$1&amp;"C"&amp;$A20))</f>
        <v>67201</v>
      </c>
      <c r="BB20" s="7">
        <f>-IF(RTD("tos.rtd",,BB$2,"."&amp;$A$2&amp;$AS$1&amp;"P"&amp;$A20)="N/A",0,RTD("tos.rtd",,BB$2,"."&amp;$A$2&amp;$AS$1&amp;"P"&amp;$A20))</f>
        <v>-164123</v>
      </c>
      <c r="BC20" s="6">
        <f>IF(RTD("tos.rtd",,BC$2,"."&amp;$A$2&amp;$AU$1&amp;"C"&amp;$A20)="N/A",0,RTD("tos.rtd",,BC$2,"."&amp;$A$2&amp;$AU$1&amp;"C"&amp;$A20))</f>
        <v>2475</v>
      </c>
      <c r="BD20" s="7">
        <f>-IF(RTD("tos.rtd",,BD$2,"."&amp;$A$2&amp;$AU$1&amp;"P"&amp;$A20)="N/A",0,RTD("tos.rtd",,BD$2,"."&amp;$A$2&amp;$AU$1&amp;"P"&amp;$A20))</f>
        <v>-5416</v>
      </c>
      <c r="BE20" s="6">
        <f>IF(RTD("tos.rtd",,BE$2,"."&amp;$A$2&amp;$AW$1&amp;"C"&amp;$A20)="N/A",0,RTD("tos.rtd",,BE$2,"."&amp;$A$2&amp;$AW$1&amp;"C"&amp;$A20))</f>
        <v>60</v>
      </c>
      <c r="BF20" s="83">
        <f>-IF(RTD("tos.rtd",,BF$2,"."&amp;$A$2&amp;$AW$1&amp;"P"&amp;$A20)="N/A",0,RTD("tos.rtd",,BF$2,"."&amp;$A$2&amp;$AW$1&amp;"P"&amp;$A20))</f>
        <v>-1171</v>
      </c>
      <c r="BG20" s="32">
        <f ca="1">+Hoja2!Y21</f>
        <v>-775</v>
      </c>
      <c r="BH20" s="7">
        <f t="shared" ca="1" si="36"/>
        <v>-101749</v>
      </c>
      <c r="BI20" s="8" t="str">
        <f t="shared" ref="BI20" ca="1" si="135">IF(AND(BH20&lt;0,BH19&gt;0), "Cruce -", IF(AND(BH20&gt;0,BH19&lt;0),"Cruce +", ""))</f>
        <v/>
      </c>
      <c r="BJ20" s="3">
        <f ca="1">IF($BP$1=1,DX20,IF(RTD("tos.rtd",,BJ$2,"."&amp;$A$2&amp;$AS$1&amp;"C"&amp;$A20)="N/A",0,RTD("tos.rtd",,BJ$2,"."&amp;$A$2&amp;$AS$1&amp;"C"&amp;$A20)))</f>
        <v>1.2761263155169013E-4</v>
      </c>
      <c r="BK20" s="3">
        <f ca="1">IF($BP$1=1,DY20,-IF(RTD("tos.rtd",,BK$2,"."&amp;$A$2&amp;$AS$1&amp;"P"&amp;$A20)="N/A",0,RTD("tos.rtd",,BK$2,"."&amp;$A$2&amp;$AS$1&amp;"P"&amp;$A20)))</f>
        <v>-3.0875035660931097E-2</v>
      </c>
      <c r="BL20" s="3">
        <f ca="1">IF($BP$1=1,DZ20,IF(RTD("tos.rtd",,BL$2,"."&amp;$A$2&amp;$AU$1&amp;"C"&amp;$A20)="N/A",0,RTD("tos.rtd",,BL$2,"."&amp;$A$2&amp;$AU$1&amp;"C"&amp;$A20)))</f>
        <v>2.4717743276959529E-2</v>
      </c>
      <c r="BM20" s="3">
        <f ca="1">IF($BP$1=1,EA20,-IF(RTD("tos.rtd",,BM$2,"."&amp;$A$2&amp;$AU$1&amp;"P"&amp;$A20)="N/A",0,RTD("tos.rtd",,BM$2,"."&amp;$A$2&amp;$AU$1&amp;"P"&amp;$A20)))</f>
        <v>-2.4434673270219538E-2</v>
      </c>
      <c r="BN20" s="3">
        <f ca="1">IF($BP$1=1,EB20,IF(RTD("tos.rtd",,BN$2,"."&amp;$A$2&amp;$AW$1&amp;"C"&amp;$A20)="N/A",0,RTD("tos.rtd",,BN$2,"."&amp;$A$2&amp;$AW$1&amp;"C"&amp;$A20)))</f>
        <v>2.751643620299022E-2</v>
      </c>
      <c r="BO20" s="3">
        <f ca="1">IF($BP$1=1,EC20,-IF(RTD("tos.rtd",,BO$2,"."&amp;$A$2&amp;$AW$1&amp;"P"&amp;$A20)="N/A",0,RTD("tos.rtd",,BO$2,"."&amp;$A$2&amp;$AW$1&amp;"P"&amp;$A20)))</f>
        <v>-2.7107672774485732E-2</v>
      </c>
      <c r="BQ20" s="3">
        <f t="shared" ca="1" si="37"/>
        <v>1820005.0493703454</v>
      </c>
      <c r="BR20" s="3" t="str">
        <f t="shared" ca="1" si="71"/>
        <v/>
      </c>
      <c r="BS20" s="3">
        <f t="shared" ca="1" si="38"/>
        <v>35888964.491104752</v>
      </c>
      <c r="BT20" s="3" t="str">
        <f t="shared" ca="1" si="71"/>
        <v/>
      </c>
      <c r="BU20" s="3">
        <f t="shared" ca="1" si="39"/>
        <v>10239414.194615385</v>
      </c>
      <c r="BV20" s="3" t="str">
        <f t="shared" ref="BV20" ca="1" si="136">IF(AND(BU20&lt;0,BU19&gt;0), "Cruce -", IF(AND(BU20&gt;0,BU19&lt;0),"Cruce +", ""))</f>
        <v/>
      </c>
      <c r="BX20" s="3">
        <f t="shared" ca="1" si="40"/>
        <v>-1719111015.6843116</v>
      </c>
      <c r="BY20" s="3" t="str">
        <f t="shared" ca="1" si="73"/>
        <v/>
      </c>
      <c r="BZ20" s="3">
        <f t="shared" ca="1" si="41"/>
        <v>-24182956.268409573</v>
      </c>
      <c r="CA20" s="3" t="str">
        <f t="shared" ca="1" si="74"/>
        <v/>
      </c>
      <c r="CB20" s="3">
        <f t="shared" ca="1" si="42"/>
        <v>-10226219.022822103</v>
      </c>
      <c r="CC20" s="3" t="str">
        <f t="shared" ca="1" si="75"/>
        <v/>
      </c>
      <c r="CD20" s="3">
        <f>IF(RTD("tos.rtd",,CD$2,"."&amp;$A$2&amp;$AS$1&amp;"C"&amp;$A20)="N/A",0,RTD("tos.rtd",,CD$2,"."&amp;$A$2&amp;$AS$1&amp;"C"&amp;$A20))</f>
        <v>1</v>
      </c>
      <c r="CE20" s="3">
        <f>-IF(RTD("tos.rtd",,CE$2,"."&amp;$A$2&amp;$AS$1&amp;"P"&amp;$A20)="N/A",0,RTD("tos.rtd",,CE$2,"."&amp;$A$2&amp;$AS$1&amp;"P"&amp;$A20))</f>
        <v>0.01</v>
      </c>
      <c r="CF20" s="3">
        <f>IF(RTD("tos.rtd",,CF$2,"."&amp;$A$2&amp;$AU$1&amp;"C"&amp;$A20)="N/A",0,RTD("tos.rtd",,CF$2,"."&amp;$A$2&amp;$AU$1&amp;"C"&amp;$A20))</f>
        <v>0.73</v>
      </c>
      <c r="CG20" s="3">
        <f>-IF(RTD("tos.rtd",,CG$2,"."&amp;$A$2&amp;$AU$1&amp;"P"&amp;$A20)="N/A",0,RTD("tos.rtd",,CG$2,"."&amp;$A$2&amp;$AU$1&amp;"P"&amp;$A20))</f>
        <v>0.27</v>
      </c>
      <c r="CH20" s="3">
        <f>IF(RTD("tos.rtd",,CH$2,"."&amp;$A$2&amp;$AW$1&amp;"C"&amp;$A20)="N/A",0,RTD("tos.rtd",,CH$2,"."&amp;$A$2&amp;$AW$1&amp;"C"&amp;$A20))</f>
        <v>0.62</v>
      </c>
      <c r="CI20" s="3">
        <f>-IF(RTD("tos.rtd",,CI$2,"."&amp;$A$2&amp;$AW$1&amp;"P"&amp;$A20)="N/A",0,RTD("tos.rtd",,CI$2,"."&amp;$A$2&amp;$AW$1&amp;"P"&amp;$A20))</f>
        <v>0.38</v>
      </c>
      <c r="CK20" s="3">
        <f t="shared" si="17"/>
        <v>4970968</v>
      </c>
      <c r="CL20" s="3"/>
      <c r="CM20" s="3">
        <f t="shared" si="18"/>
        <v>325989</v>
      </c>
      <c r="CN20" s="3"/>
      <c r="CO20" s="3">
        <f t="shared" si="19"/>
        <v>72576</v>
      </c>
      <c r="CP20" s="3">
        <f t="shared" si="43"/>
        <v>5369533</v>
      </c>
      <c r="CQ20" s="3">
        <f t="shared" si="44"/>
        <v>-96922</v>
      </c>
      <c r="CR20" s="3"/>
      <c r="CS20" s="3">
        <f t="shared" si="20"/>
        <v>-2941</v>
      </c>
      <c r="CT20" s="3"/>
      <c r="CU20" s="3">
        <f t="shared" si="21"/>
        <v>-1111</v>
      </c>
      <c r="CV20" s="3">
        <f t="shared" si="45"/>
        <v>-100974</v>
      </c>
      <c r="CW20" s="3">
        <f t="shared" ca="1" si="46"/>
        <v>47948383.735090487</v>
      </c>
      <c r="CX20" s="85" t="str">
        <f t="shared" ca="1" si="76"/>
        <v/>
      </c>
      <c r="CY20" s="3">
        <f t="shared" ca="1" si="47"/>
        <v>-1753520190.9755433</v>
      </c>
      <c r="CZ20" s="85" t="str">
        <f t="shared" ca="1" si="77"/>
        <v/>
      </c>
      <c r="DA20" s="3">
        <f>IF(RTD("tos.rtd",,DA$2,"."&amp;$A$2&amp;$AS$1&amp;"C"&amp;$A20)="N/A",0,RTD("tos.rtd",,DA$2,"."&amp;$A$2&amp;$AS$1&amp;"C"&amp;$A20))</f>
        <v>7.03</v>
      </c>
      <c r="DB20" s="3">
        <f>IF(RTD("tos.rtd",,DB$2,"."&amp;$A$2&amp;$AS$1&amp;"P"&amp;$A20)="N/A",0,RTD("tos.rtd",,DB$2,"."&amp;$A$2&amp;$AS$1&amp;"P"&amp;$A20))</f>
        <v>0.01</v>
      </c>
      <c r="DC20" s="3">
        <f>IF(RTD("tos.rtd",,DC$2,"."&amp;$A$2&amp;$AS$1&amp;"C"&amp;$A20)="N/A",0,RTD("tos.rtd",,DC$2,"."&amp;$A$2&amp;$AS$1&amp;"C"&amp;$A20))</f>
        <v>6.95</v>
      </c>
      <c r="DD20" s="3">
        <f>IF(RTD("tos.rtd",,DD$2,"."&amp;$A$2&amp;$AS$1&amp;"P"&amp;$A20)="N/A",0,RTD("tos.rtd",,DD$2,"."&amp;$A$2&amp;$AS$1&amp;"P"&amp;$A20))</f>
        <v>0.02</v>
      </c>
      <c r="DE20" s="3">
        <f>IF(RTD("tos.rtd",,DE$2,"."&amp;$A$2&amp;$AS$1&amp;"C"&amp;$A20)="N/A",0,RTD("tos.rtd",,DE$2,"."&amp;$A$2&amp;$AS$1&amp;"C"&amp;$A20))</f>
        <v>6.64</v>
      </c>
      <c r="DF20" s="3">
        <f>IF(RTD("tos.rtd",,DF$2,"."&amp;$A$2&amp;$AS$1&amp;"P"&amp;$A20)="N/A",0,RTD("tos.rtd",,DF$2,"."&amp;$A$2&amp;$AS$1&amp;"P"&amp;$A20))</f>
        <v>0.01</v>
      </c>
      <c r="DG20" s="86">
        <f t="shared" si="48"/>
        <v>-6.9500000000000455</v>
      </c>
      <c r="DH20" s="3">
        <f t="shared" si="22"/>
        <v>0</v>
      </c>
      <c r="DI20" s="3">
        <f t="shared" si="49"/>
        <v>0</v>
      </c>
      <c r="DJ20" s="3">
        <f t="shared" si="50"/>
        <v>0</v>
      </c>
      <c r="DK20" s="3">
        <f t="shared" si="51"/>
        <v>500</v>
      </c>
      <c r="DL20" s="3">
        <f t="shared" si="52"/>
        <v>0</v>
      </c>
      <c r="DM20" s="3">
        <f t="shared" si="53"/>
        <v>500</v>
      </c>
      <c r="DN20" s="63" t="str">
        <f t="shared" si="54"/>
        <v>UNKNOWN</v>
      </c>
      <c r="DO20" s="63" t="str">
        <f t="shared" si="55"/>
        <v>SELL</v>
      </c>
      <c r="DP20" s="3">
        <f t="shared" si="56"/>
        <v>0</v>
      </c>
      <c r="DQ20" s="3">
        <f t="shared" si="57"/>
        <v>5</v>
      </c>
      <c r="DR20" s="3">
        <f t="shared" ca="1" si="58"/>
        <v>-15.437517830465548</v>
      </c>
      <c r="DS20" s="3">
        <f t="shared" si="59"/>
        <v>5</v>
      </c>
      <c r="DT20" s="3">
        <f t="shared" si="60"/>
        <v>0</v>
      </c>
      <c r="DU20" s="3">
        <f t="shared" si="61"/>
        <v>-500</v>
      </c>
      <c r="DV20" s="3">
        <f t="shared" si="62"/>
        <v>15694</v>
      </c>
      <c r="DW20" s="3">
        <f t="shared" si="23"/>
        <v>32880</v>
      </c>
      <c r="DX20" s="3">
        <f t="shared" ca="1" si="24"/>
        <v>1.2761263155169013E-4</v>
      </c>
      <c r="DY20" s="3">
        <f t="shared" ca="1" si="25"/>
        <v>-3.0875035660931097E-2</v>
      </c>
      <c r="DZ20" s="3">
        <f t="shared" ca="1" si="26"/>
        <v>2.4717743276959529E-2</v>
      </c>
      <c r="EA20" s="3">
        <f t="shared" ca="1" si="27"/>
        <v>-2.4434673270219538E-2</v>
      </c>
      <c r="EB20" s="3">
        <f t="shared" ca="1" si="28"/>
        <v>2.751643620299022E-2</v>
      </c>
      <c r="EC20" s="3">
        <f t="shared" ca="1" si="29"/>
        <v>-2.7107672774485732E-2</v>
      </c>
      <c r="ED20" s="63">
        <f t="shared" si="63"/>
        <v>48574</v>
      </c>
      <c r="EE20" s="59">
        <f t="shared" si="64"/>
        <v>0.25</v>
      </c>
      <c r="EF20" s="59">
        <f t="shared" si="30"/>
        <v>0.71779999999999999</v>
      </c>
      <c r="EG20" s="59">
        <f t="shared" si="31"/>
        <v>0.1938</v>
      </c>
      <c r="EH20" s="59">
        <f t="shared" si="32"/>
        <v>0.19689999999999999</v>
      </c>
      <c r="EI20" s="59">
        <f t="shared" si="33"/>
        <v>0.16520000000000001</v>
      </c>
      <c r="EJ20" s="59">
        <f t="shared" si="34"/>
        <v>0.16919999999999999</v>
      </c>
      <c r="EK20" s="63">
        <f t="shared" ca="1" si="65"/>
        <v>-344305735.88265979</v>
      </c>
      <c r="EL20" s="3" t="str">
        <f>RTD("tos.rtd",,EL$2,"."&amp;$A$2&amp;$AS$1&amp;"C"&amp;$A20)</f>
        <v>--</v>
      </c>
      <c r="EM20" s="3" t="str">
        <f>RTD("tos.rtd",,EM$2,"."&amp;$A$2&amp;$AS$1&amp;"P"&amp;$A20)</f>
        <v>71.78%</v>
      </c>
      <c r="EN20" s="3" t="str">
        <f>RTD("tos.rtd",,EN$2,"."&amp;$A$2&amp;$AU$1&amp;"C"&amp;$A20)</f>
        <v>19.38%</v>
      </c>
      <c r="EO20" s="3" t="str">
        <f>RTD("tos.rtd",,EO$2,"."&amp;$A$2&amp;$AU$1&amp;"P"&amp;$A20)</f>
        <v>19.69%</v>
      </c>
      <c r="EP20" s="3" t="str">
        <f>RTD("tos.rtd",,EP$2,"."&amp;$A$2&amp;$AW$1&amp;"C"&amp;$A20)</f>
        <v>16.52%</v>
      </c>
      <c r="EQ20" s="3" t="str">
        <f>RTD("tos.rtd",,EQ$2,"."&amp;$A$2&amp;$AW$1&amp;"P"&amp;$A20)</f>
        <v>16.92%</v>
      </c>
      <c r="ES20" s="63" t="str">
        <f t="shared" si="66"/>
        <v>576,48574.00</v>
      </c>
      <c r="ET20" s="63" t="str">
        <f t="shared" ca="1" si="67"/>
        <v>576,-1753520.19</v>
      </c>
      <c r="EU20" s="67">
        <v>564.79999999999995</v>
      </c>
      <c r="EV20" s="67" t="s">
        <v>179</v>
      </c>
      <c r="EW20" s="67">
        <v>487.92</v>
      </c>
      <c r="EX20" s="67" t="s">
        <v>180</v>
      </c>
      <c r="EY20" s="67">
        <v>5659.91</v>
      </c>
      <c r="EZ20" s="67" t="s">
        <v>181</v>
      </c>
      <c r="FA20" s="67">
        <v>20061.449000000001</v>
      </c>
      <c r="FB20" s="67" t="s">
        <v>182</v>
      </c>
      <c r="FC20" s="67" t="s">
        <v>183</v>
      </c>
      <c r="FD20" s="67" t="s">
        <v>184</v>
      </c>
      <c r="FE20" s="67" t="s">
        <v>185</v>
      </c>
      <c r="FF20" s="67" t="s">
        <v>186</v>
      </c>
    </row>
    <row r="21" spans="1:162" s="63" customFormat="1" ht="13.5" thickBot="1" x14ac:dyDescent="0.25">
      <c r="A21" s="2">
        <f t="shared" si="68"/>
        <v>575</v>
      </c>
      <c r="B21" s="33">
        <f t="shared" si="9"/>
        <v>10670</v>
      </c>
      <c r="C21" s="33">
        <f t="shared" si="10"/>
        <v>57736</v>
      </c>
      <c r="D21" s="33">
        <f t="shared" si="11"/>
        <v>43508</v>
      </c>
      <c r="E21" s="33">
        <f t="shared" si="12"/>
        <v>111914</v>
      </c>
      <c r="F21" s="34">
        <f t="shared" si="13"/>
        <v>5785.7556394201902</v>
      </c>
      <c r="G21" s="1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>
        <v>1103</v>
      </c>
      <c r="AN21" s="12">
        <v>-7451</v>
      </c>
      <c r="AO21" s="12">
        <v>575</v>
      </c>
      <c r="AP21" s="12">
        <v>22510</v>
      </c>
      <c r="AQ21" s="12">
        <v>-188683</v>
      </c>
      <c r="AR21" s="12"/>
      <c r="AS21" s="13">
        <f>IF(RTD("tos.rtd",,AS$2,"."&amp;$A$2&amp;$AS$1&amp;"C"&amp;$A21)="N/A",0,RTD("tos.rtd",,AS$2,"."&amp;$A$2&amp;$AS$1&amp;"C"&amp;$A21))</f>
        <v>10406</v>
      </c>
      <c r="AT21" s="29">
        <f>-IF(RTD("tos.rtd",,AT$2,"."&amp;$A$2&amp;$AS$1&amp;"P"&amp;$A21)="N/A",0,RTD("tos.rtd",,AT$2,"."&amp;$A$2&amp;$AS$1&amp;"P"&amp;$A21))</f>
        <v>-264</v>
      </c>
      <c r="AU21" s="13">
        <f>IF(RTD("tos.rtd",,AU$2,"."&amp;$A$2&amp;$AU$1&amp;"C"&amp;$A21)="N/A",0,RTD("tos.rtd",,AU$2,"."&amp;$A$2&amp;$AU$1&amp;"C"&amp;$A21))</f>
        <v>54791</v>
      </c>
      <c r="AV21" s="29">
        <f>-IF(RTD("tos.rtd",,AV$2,"."&amp;$A$2&amp;$AU$1&amp;"P"&amp;$A21)="N/A",0,RTD("tos.rtd",,AV$2,"."&amp;$A$2&amp;$AU$1&amp;"P"&amp;$A21))</f>
        <v>-2945</v>
      </c>
      <c r="AW21" s="13">
        <f>IF(RTD("tos.rtd",,AW$2,"."&amp;$A$2&amp;$AW$1&amp;"C"&amp;$A21)="N/A",0,RTD("tos.rtd",,AW$2,"."&amp;$A$2&amp;$AW$1&amp;"C"&amp;$A21))</f>
        <v>26643</v>
      </c>
      <c r="AX21" s="29">
        <f>-IF(RTD("tos.rtd",,AX$2,"."&amp;$A$2&amp;$AW$1&amp;"P"&amp;$A21)="N/A",0,RTD("tos.rtd",,AX$2,"."&amp;$A$2&amp;$AW$1&amp;"P"&amp;$A21))</f>
        <v>-16865</v>
      </c>
      <c r="AY21" s="1">
        <f t="shared" si="69"/>
        <v>71766</v>
      </c>
      <c r="AZ21" s="8">
        <f t="shared" si="35"/>
        <v>575</v>
      </c>
      <c r="BA21" s="13">
        <f>IF(RTD("tos.rtd",,BA$2,"."&amp;$A$2&amp;$AS$1&amp;"C"&amp;$A21)="N/A",0,RTD("tos.rtd",,BA$2,"."&amp;$A$2&amp;$AS$1&amp;"C"&amp;$A21))</f>
        <v>22510</v>
      </c>
      <c r="BB21" s="29">
        <f>-IF(RTD("tos.rtd",,BB$2,"."&amp;$A$2&amp;$AS$1&amp;"P"&amp;$A21)="N/A",0,RTD("tos.rtd",,BB$2,"."&amp;$A$2&amp;$AS$1&amp;"P"&amp;$A21))</f>
        <v>-189183</v>
      </c>
      <c r="BC21" s="13">
        <f>IF(RTD("tos.rtd",,BC$2,"."&amp;$A$2&amp;$AU$1&amp;"C"&amp;$A21)="N/A",0,RTD("tos.rtd",,BC$2,"."&amp;$A$2&amp;$AU$1&amp;"C"&amp;$A21))</f>
        <v>25969</v>
      </c>
      <c r="BD21" s="29">
        <f>-IF(RTD("tos.rtd",,BD$2,"."&amp;$A$2&amp;$AU$1&amp;"P"&amp;$A21)="N/A",0,RTD("tos.rtd",,BD$2,"."&amp;$A$2&amp;$AU$1&amp;"P"&amp;$A21))</f>
        <v>-22442</v>
      </c>
      <c r="BE21" s="13">
        <f>IF(RTD("tos.rtd",,BE$2,"."&amp;$A$2&amp;$AW$1&amp;"C"&amp;$A21)="N/A",0,RTD("tos.rtd",,BE$2,"."&amp;$A$2&amp;$AW$1&amp;"C"&amp;$A21))</f>
        <v>4568</v>
      </c>
      <c r="BF21" s="12">
        <f>-IF(RTD("tos.rtd",,BF$2,"."&amp;$A$2&amp;$AW$1&amp;"P"&amp;$A21)="N/A",0,RTD("tos.rtd",,BF$2,"."&amp;$A$2&amp;$AW$1&amp;"P"&amp;$A21))</f>
        <v>-6727</v>
      </c>
      <c r="BG21" s="100">
        <f ca="1">+Hoja2!Y22</f>
        <v>-38634</v>
      </c>
      <c r="BH21" s="29">
        <f t="shared" ca="1" si="36"/>
        <v>-203939</v>
      </c>
      <c r="BI21" s="8" t="str">
        <f t="shared" ref="BI21" ca="1" si="137">IF(AND(BH21&lt;0,BH20&gt;0), "Cruce -", IF(AND(BH21&gt;0,BH20&lt;0),"Cruce +", ""))</f>
        <v/>
      </c>
      <c r="BJ21" s="3">
        <f ca="1">IF($BP$1=1,DX21,IF(RTD("tos.rtd",,BJ$2,"."&amp;$A$2&amp;$AS$1&amp;"C"&amp;$A21)="N/A",0,RTD("tos.rtd",,BJ$2,"."&amp;$A$2&amp;$AS$1&amp;"C"&amp;$A21)))</f>
        <v>1.2621941590577179E-5</v>
      </c>
      <c r="BK21" s="3">
        <f ca="1">IF($BP$1=1,DY21,-IF(RTD("tos.rtd",,BK$2,"."&amp;$A$2&amp;$AS$1&amp;"P"&amp;$A21)="N/A",0,RTD("tos.rtd",,BK$2,"."&amp;$A$2&amp;$AS$1&amp;"P"&amp;$A21)))</f>
        <v>-2.2848446151083959E-2</v>
      </c>
      <c r="BL21" s="3">
        <f ca="1">IF($BP$1=1,DZ21,IF(RTD("tos.rtd",,BL$2,"."&amp;$A$2&amp;$AU$1&amp;"C"&amp;$A21)="N/A",0,RTD("tos.rtd",,BL$2,"."&amp;$A$2&amp;$AU$1&amp;"C"&amp;$A21)))</f>
        <v>2.3479037729015315E-2</v>
      </c>
      <c r="BM21" s="3">
        <f ca="1">IF($BP$1=1,EA21,-IF(RTD("tos.rtd",,BM$2,"."&amp;$A$2&amp;$AU$1&amp;"P"&amp;$A21)="N/A",0,RTD("tos.rtd",,BM$2,"."&amp;$A$2&amp;$AU$1&amp;"P"&amp;$A21)))</f>
        <v>-2.3301179963970402E-2</v>
      </c>
      <c r="BN21" s="3">
        <f ca="1">IF($BP$1=1,EB21,IF(RTD("tos.rtd",,BN$2,"."&amp;$A$2&amp;$AW$1&amp;"C"&amp;$A21)="N/A",0,RTD("tos.rtd",,BN$2,"."&amp;$A$2&amp;$AW$1&amp;"C"&amp;$A21)))</f>
        <v>2.5842426270141244E-2</v>
      </c>
      <c r="BO21" s="3">
        <f ca="1">IF($BP$1=1,EC21,-IF(RTD("tos.rtd",,BO$2,"."&amp;$A$2&amp;$AW$1&amp;"P"&amp;$A21)="N/A",0,RTD("tos.rtd",,BO$2,"."&amp;$A$2&amp;$AW$1&amp;"P"&amp;$A21)))</f>
        <v>-2.5562883809616428E-2</v>
      </c>
      <c r="BQ21" s="3">
        <f t="shared" ca="1" si="37"/>
        <v>-2005220.6277037393</v>
      </c>
      <c r="BR21" s="3" t="str">
        <f t="shared" ca="1" si="71"/>
        <v>Cruce -</v>
      </c>
      <c r="BS21" s="3">
        <f t="shared" ca="1" si="38"/>
        <v>413851940.07396412</v>
      </c>
      <c r="BT21" s="3" t="str">
        <f t="shared" ca="1" si="71"/>
        <v/>
      </c>
      <c r="BU21" s="3">
        <f t="shared" ca="1" si="39"/>
        <v>87473009.937515795</v>
      </c>
      <c r="BV21" s="3" t="str">
        <f t="shared" ref="BV21" ca="1" si="138">IF(AND(BU21&lt;0,BU20&gt;0), "Cruce -", IF(AND(BU21&gt;0,BU20&lt;0),"Cruce +", ""))</f>
        <v/>
      </c>
      <c r="BX21" s="3">
        <f t="shared" ca="1" si="40"/>
        <v>-1468834432.5138578</v>
      </c>
      <c r="BY21" s="3" t="str">
        <f t="shared" ca="1" si="73"/>
        <v/>
      </c>
      <c r="BZ21" s="3">
        <f t="shared" ca="1" si="41"/>
        <v>29498001.641281933</v>
      </c>
      <c r="CA21" s="3" t="str">
        <f t="shared" ca="1" si="74"/>
        <v>Cruce +</v>
      </c>
      <c r="CB21" s="3">
        <f t="shared" ca="1" si="42"/>
        <v>-18321400.113349862</v>
      </c>
      <c r="CC21" s="3" t="str">
        <f t="shared" ca="1" si="75"/>
        <v/>
      </c>
      <c r="CD21" s="3">
        <f>IF(RTD("tos.rtd",,CD$2,"."&amp;$A$2&amp;$AS$1&amp;"C"&amp;$A21)="N/A",0,RTD("tos.rtd",,CD$2,"."&amp;$A$2&amp;$AS$1&amp;"C"&amp;$A21))</f>
        <v>1</v>
      </c>
      <c r="CE21" s="3">
        <f>-IF(RTD("tos.rtd",,CE$2,"."&amp;$A$2&amp;$AS$1&amp;"P"&amp;$A21)="N/A",0,RTD("tos.rtd",,CE$2,"."&amp;$A$2&amp;$AS$1&amp;"P"&amp;$A21))</f>
        <v>0.01</v>
      </c>
      <c r="CF21" s="3">
        <f>IF(RTD("tos.rtd",,CF$2,"."&amp;$A$2&amp;$AU$1&amp;"C"&amp;$A21)="N/A",0,RTD("tos.rtd",,CF$2,"."&amp;$A$2&amp;$AU$1&amp;"C"&amp;$A21))</f>
        <v>0.76</v>
      </c>
      <c r="CG21" s="3">
        <f>-IF(RTD("tos.rtd",,CG$2,"."&amp;$A$2&amp;$AU$1&amp;"P"&amp;$A21)="N/A",0,RTD("tos.rtd",,CG$2,"."&amp;$A$2&amp;$AU$1&amp;"P"&amp;$A21))</f>
        <v>0.25</v>
      </c>
      <c r="CH21" s="3">
        <f>IF(RTD("tos.rtd",,CH$2,"."&amp;$A$2&amp;$AW$1&amp;"C"&amp;$A21)="N/A",0,RTD("tos.rtd",,CH$2,"."&amp;$A$2&amp;$AW$1&amp;"C"&amp;$A21))</f>
        <v>0.63</v>
      </c>
      <c r="CI21" s="3">
        <f>-IF(RTD("tos.rtd",,CI$2,"."&amp;$A$2&amp;$AW$1&amp;"P"&amp;$A21)="N/A",0,RTD("tos.rtd",,CI$2,"."&amp;$A$2&amp;$AW$1&amp;"P"&amp;$A21))</f>
        <v>0.37</v>
      </c>
      <c r="CK21" s="3">
        <f t="shared" si="17"/>
        <v>1040336</v>
      </c>
      <c r="CL21" s="3"/>
      <c r="CM21" s="3">
        <f t="shared" si="18"/>
        <v>4090491.0000000005</v>
      </c>
      <c r="CN21" s="3"/>
      <c r="CO21" s="3">
        <f t="shared" si="19"/>
        <v>1054504</v>
      </c>
      <c r="CP21" s="3">
        <f t="shared" si="43"/>
        <v>6185331</v>
      </c>
      <c r="CQ21" s="3">
        <f t="shared" si="44"/>
        <v>-166673</v>
      </c>
      <c r="CR21" s="3"/>
      <c r="CS21" s="3">
        <f t="shared" si="20"/>
        <v>3527</v>
      </c>
      <c r="CT21" s="3"/>
      <c r="CU21" s="3">
        <f t="shared" si="21"/>
        <v>-2159</v>
      </c>
      <c r="CV21" s="3">
        <f t="shared" si="45"/>
        <v>-165305</v>
      </c>
      <c r="CW21" s="3">
        <f t="shared" ca="1" si="46"/>
        <v>499319729.38377619</v>
      </c>
      <c r="CX21" s="85" t="str">
        <f t="shared" ca="1" si="76"/>
        <v/>
      </c>
      <c r="CY21" s="3">
        <f t="shared" ca="1" si="47"/>
        <v>-1457657830.9859259</v>
      </c>
      <c r="CZ21" s="85" t="str">
        <f t="shared" ca="1" si="77"/>
        <v/>
      </c>
      <c r="DA21" s="3">
        <f>IF(RTD("tos.rtd",,DA$2,"."&amp;$A$2&amp;$AS$1&amp;"C"&amp;$A21)="N/A",0,RTD("tos.rtd",,DA$2,"."&amp;$A$2&amp;$AS$1&amp;"C"&amp;$A21))</f>
        <v>7.89</v>
      </c>
      <c r="DB21" s="3">
        <f>IF(RTD("tos.rtd",,DB$2,"."&amp;$A$2&amp;$AS$1&amp;"P"&amp;$A21)="N/A",0,RTD("tos.rtd",,DB$2,"."&amp;$A$2&amp;$AS$1&amp;"P"&amp;$A21))</f>
        <v>0.01</v>
      </c>
      <c r="DC21" s="3">
        <f>IF(RTD("tos.rtd",,DC$2,"."&amp;$A$2&amp;$AS$1&amp;"C"&amp;$A21)="N/A",0,RTD("tos.rtd",,DC$2,"."&amp;$A$2&amp;$AS$1&amp;"C"&amp;$A21))</f>
        <v>7.96</v>
      </c>
      <c r="DD21" s="3">
        <f>IF(RTD("tos.rtd",,DD$2,"."&amp;$A$2&amp;$AS$1&amp;"P"&amp;$A21)="N/A",0,RTD("tos.rtd",,DD$2,"."&amp;$A$2&amp;$AS$1&amp;"P"&amp;$A21))</f>
        <v>0.01</v>
      </c>
      <c r="DE21" s="3">
        <f>IF(RTD("tos.rtd",,DE$2,"."&amp;$A$2&amp;$AS$1&amp;"C"&amp;$A21)="N/A",0,RTD("tos.rtd",,DE$2,"."&amp;$A$2&amp;$AS$1&amp;"C"&amp;$A21))</f>
        <v>7.64</v>
      </c>
      <c r="DF21" s="3">
        <f>IF(RTD("tos.rtd",,DF$2,"."&amp;$A$2&amp;$AS$1&amp;"P"&amp;$A21)="N/A",0,RTD("tos.rtd",,DF$2,"."&amp;$A$2&amp;$AS$1&amp;"P"&amp;$A21))</f>
        <v>0</v>
      </c>
      <c r="DG21" s="86">
        <f t="shared" si="48"/>
        <v>-7.9500000000000455</v>
      </c>
      <c r="DH21" s="3">
        <f t="shared" si="22"/>
        <v>0</v>
      </c>
      <c r="DI21" s="3">
        <f t="shared" si="49"/>
        <v>-500</v>
      </c>
      <c r="DJ21" s="3">
        <f t="shared" si="50"/>
        <v>0</v>
      </c>
      <c r="DK21" s="3">
        <f t="shared" si="51"/>
        <v>-500</v>
      </c>
      <c r="DL21" s="3">
        <f t="shared" si="52"/>
        <v>-500</v>
      </c>
      <c r="DM21" s="3">
        <f t="shared" si="53"/>
        <v>-500</v>
      </c>
      <c r="DN21" s="63" t="str">
        <f t="shared" si="54"/>
        <v>UNKNOWN</v>
      </c>
      <c r="DO21" s="63" t="str">
        <f t="shared" si="55"/>
        <v>BUY</v>
      </c>
      <c r="DP21" s="3">
        <f t="shared" si="56"/>
        <v>-5</v>
      </c>
      <c r="DQ21" s="3">
        <f t="shared" si="57"/>
        <v>-5</v>
      </c>
      <c r="DR21" s="3">
        <f t="shared" ca="1" si="58"/>
        <v>11.424223075541979</v>
      </c>
      <c r="DS21" s="3">
        <f t="shared" si="59"/>
        <v>-5</v>
      </c>
      <c r="DT21" s="3">
        <f t="shared" si="60"/>
        <v>0</v>
      </c>
      <c r="DU21" s="3">
        <f t="shared" si="61"/>
        <v>-500</v>
      </c>
      <c r="DV21" s="3">
        <f t="shared" si="62"/>
        <v>1103</v>
      </c>
      <c r="DW21" s="3">
        <f t="shared" si="23"/>
        <v>-7951</v>
      </c>
      <c r="DX21" s="3">
        <f t="shared" ca="1" si="24"/>
        <v>1.2621941590577179E-5</v>
      </c>
      <c r="DY21" s="3">
        <f t="shared" ca="1" si="25"/>
        <v>-2.2848446151083959E-2</v>
      </c>
      <c r="DZ21" s="3">
        <f t="shared" ca="1" si="26"/>
        <v>2.3479037729015315E-2</v>
      </c>
      <c r="EA21" s="3">
        <f t="shared" ca="1" si="27"/>
        <v>-2.3301179963970402E-2</v>
      </c>
      <c r="EB21" s="3">
        <f t="shared" ca="1" si="28"/>
        <v>2.5842426270141244E-2</v>
      </c>
      <c r="EC21" s="3">
        <f t="shared" ca="1" si="29"/>
        <v>-2.5562883809616428E-2</v>
      </c>
      <c r="ED21" s="63">
        <f t="shared" si="63"/>
        <v>-6848</v>
      </c>
      <c r="EE21" s="59">
        <f t="shared" si="64"/>
        <v>0.25</v>
      </c>
      <c r="EF21" s="59">
        <f t="shared" si="30"/>
        <v>0.70779999999999998</v>
      </c>
      <c r="EG21" s="59">
        <f t="shared" si="31"/>
        <v>0.19670000000000001</v>
      </c>
      <c r="EH21" s="59">
        <f t="shared" si="32"/>
        <v>0.19900000000000001</v>
      </c>
      <c r="EI21" s="59">
        <f t="shared" si="33"/>
        <v>0.16700000000000001</v>
      </c>
      <c r="EJ21" s="59">
        <f t="shared" si="34"/>
        <v>0.17050000000000001</v>
      </c>
      <c r="EK21" s="63">
        <f t="shared" ca="1" si="65"/>
        <v>61741093.60420426</v>
      </c>
      <c r="EL21" s="3" t="str">
        <f>RTD("tos.rtd",,EL$2,"."&amp;$A$2&amp;$AS$1&amp;"C"&amp;$A21)</f>
        <v>--</v>
      </c>
      <c r="EM21" s="3" t="str">
        <f>RTD("tos.rtd",,EM$2,"."&amp;$A$2&amp;$AS$1&amp;"P"&amp;$A21)</f>
        <v>70.78%</v>
      </c>
      <c r="EN21" s="3" t="str">
        <f>RTD("tos.rtd",,EN$2,"."&amp;$A$2&amp;$AU$1&amp;"C"&amp;$A21)</f>
        <v>19.67%</v>
      </c>
      <c r="EO21" s="3" t="str">
        <f>RTD("tos.rtd",,EO$2,"."&amp;$A$2&amp;$AU$1&amp;"P"&amp;$A21)</f>
        <v>19.90%</v>
      </c>
      <c r="EP21" s="3" t="str">
        <f>RTD("tos.rtd",,EP$2,"."&amp;$A$2&amp;$AW$1&amp;"C"&amp;$A21)</f>
        <v>16.70%</v>
      </c>
      <c r="EQ21" s="3" t="str">
        <f>RTD("tos.rtd",,EQ$2,"."&amp;$A$2&amp;$AW$1&amp;"P"&amp;$A21)</f>
        <v>17.05%</v>
      </c>
      <c r="ES21" s="63" t="str">
        <f t="shared" si="66"/>
        <v>575,-6848.00</v>
      </c>
      <c r="ET21" s="63" t="str">
        <f t="shared" ca="1" si="67"/>
        <v>575,-1457657.83</v>
      </c>
      <c r="EU21" s="67">
        <v>564.79999999999995</v>
      </c>
      <c r="EV21" s="67" t="s">
        <v>187</v>
      </c>
      <c r="EW21" s="67">
        <v>487.92</v>
      </c>
      <c r="EX21" s="67" t="s">
        <v>188</v>
      </c>
      <c r="EY21" s="67">
        <v>5659.91</v>
      </c>
      <c r="EZ21" s="67" t="s">
        <v>189</v>
      </c>
      <c r="FA21" s="67">
        <v>20061.449000000001</v>
      </c>
      <c r="FB21" s="67" t="s">
        <v>190</v>
      </c>
      <c r="FC21" s="67" t="s">
        <v>191</v>
      </c>
      <c r="FD21" s="67" t="s">
        <v>192</v>
      </c>
      <c r="FE21" s="67" t="s">
        <v>193</v>
      </c>
      <c r="FF21" s="67" t="s">
        <v>194</v>
      </c>
    </row>
    <row r="22" spans="1:162" s="63" customFormat="1" ht="13.5" thickBot="1" x14ac:dyDescent="0.25">
      <c r="A22" s="2">
        <f t="shared" si="68"/>
        <v>574</v>
      </c>
      <c r="B22" s="3">
        <f t="shared" si="9"/>
        <v>15820</v>
      </c>
      <c r="C22" s="3">
        <f t="shared" si="10"/>
        <v>3596</v>
      </c>
      <c r="D22" s="3">
        <f t="shared" si="11"/>
        <v>1397</v>
      </c>
      <c r="E22" s="3">
        <f t="shared" si="12"/>
        <v>20813</v>
      </c>
      <c r="F22" s="14">
        <f t="shared" si="13"/>
        <v>5775.6934556994593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>
        <v>-4967</v>
      </c>
      <c r="AN22" s="1">
        <v>14166</v>
      </c>
      <c r="AO22" s="1">
        <v>574</v>
      </c>
      <c r="AP22" s="1">
        <v>16280</v>
      </c>
      <c r="AQ22" s="1">
        <v>-71138</v>
      </c>
      <c r="AR22" s="1"/>
      <c r="AS22" s="6">
        <f>IF(RTD("tos.rtd",,AS$2,"."&amp;$A$2&amp;$AS$1&amp;"C"&amp;$A22)="N/A",0,RTD("tos.rtd",,AS$2,"."&amp;$A$2&amp;$AS$1&amp;"C"&amp;$A22))</f>
        <v>15665</v>
      </c>
      <c r="AT22" s="7">
        <f>-IF(RTD("tos.rtd",,AT$2,"."&amp;$A$2&amp;$AS$1&amp;"P"&amp;$A22)="N/A",0,RTD("tos.rtd",,AT$2,"."&amp;$A$2&amp;$AS$1&amp;"P"&amp;$A22))</f>
        <v>-155</v>
      </c>
      <c r="AU22" s="6">
        <f>IF(RTD("tos.rtd",,AU$2,"."&amp;$A$2&amp;$AU$1&amp;"C"&amp;$A22)="N/A",0,RTD("tos.rtd",,AU$2,"."&amp;$A$2&amp;$AU$1&amp;"C"&amp;$A22))</f>
        <v>3223</v>
      </c>
      <c r="AV22" s="7">
        <f>-IF(RTD("tos.rtd",,AV$2,"."&amp;$A$2&amp;$AU$1&amp;"P"&amp;$A22)="N/A",0,RTD("tos.rtd",,AV$2,"."&amp;$A$2&amp;$AU$1&amp;"P"&amp;$A22))</f>
        <v>-373</v>
      </c>
      <c r="AW22" s="6">
        <f>IF(RTD("tos.rtd",,AW$2,"."&amp;$A$2&amp;$AW$1&amp;"C"&amp;$A22)="N/A",0,RTD("tos.rtd",,AW$2,"."&amp;$A$2&amp;$AW$1&amp;"C"&amp;$A22))</f>
        <v>1083</v>
      </c>
      <c r="AX22" s="7">
        <f>-IF(RTD("tos.rtd",,AX$2,"."&amp;$A$2&amp;$AW$1&amp;"P"&amp;$A22)="N/A",0,RTD("tos.rtd",,AX$2,"."&amp;$A$2&amp;$AW$1&amp;"P"&amp;$A22))</f>
        <v>-314</v>
      </c>
      <c r="AY22" s="1">
        <f t="shared" si="69"/>
        <v>19129</v>
      </c>
      <c r="AZ22" s="8">
        <f t="shared" si="35"/>
        <v>574</v>
      </c>
      <c r="BA22" s="6">
        <f>IF(RTD("tos.rtd",,BA$2,"."&amp;$A$2&amp;$AS$1&amp;"C"&amp;$A22)="N/A",0,RTD("tos.rtd",,BA$2,"."&amp;$A$2&amp;$AS$1&amp;"C"&amp;$A22))</f>
        <v>16280</v>
      </c>
      <c r="BB22" s="7">
        <f>-IF(RTD("tos.rtd",,BB$2,"."&amp;$A$2&amp;$AS$1&amp;"P"&amp;$A22)="N/A",0,RTD("tos.rtd",,BB$2,"."&amp;$A$2&amp;$AS$1&amp;"P"&amp;$A22))</f>
        <v>-71138</v>
      </c>
      <c r="BC22" s="6">
        <f>IF(RTD("tos.rtd",,BC$2,"."&amp;$A$2&amp;$AU$1&amp;"C"&amp;$A22)="N/A",0,RTD("tos.rtd",,BC$2,"."&amp;$A$2&amp;$AU$1&amp;"C"&amp;$A22))</f>
        <v>1200</v>
      </c>
      <c r="BD22" s="7">
        <f>-IF(RTD("tos.rtd",,BD$2,"."&amp;$A$2&amp;$AU$1&amp;"P"&amp;$A22)="N/A",0,RTD("tos.rtd",,BD$2,"."&amp;$A$2&amp;$AU$1&amp;"P"&amp;$A22))</f>
        <v>-4096</v>
      </c>
      <c r="BE22" s="6">
        <f>IF(RTD("tos.rtd",,BE$2,"."&amp;$A$2&amp;$AW$1&amp;"C"&amp;$A22)="N/A",0,RTD("tos.rtd",,BE$2,"."&amp;$A$2&amp;$AW$1&amp;"C"&amp;$A22))</f>
        <v>132</v>
      </c>
      <c r="BF22" s="83">
        <f>-IF(RTD("tos.rtd",,BF$2,"."&amp;$A$2&amp;$AW$1&amp;"P"&amp;$A22)="N/A",0,RTD("tos.rtd",,BF$2,"."&amp;$A$2&amp;$AW$1&amp;"P"&amp;$A22))</f>
        <v>-432</v>
      </c>
      <c r="BG22" s="32">
        <f ca="1">+Hoja2!Y23</f>
        <v>-522</v>
      </c>
      <c r="BH22" s="7">
        <f t="shared" ca="1" si="36"/>
        <v>-58576</v>
      </c>
      <c r="BI22" s="8" t="str">
        <f t="shared" ref="BI22" ca="1" si="139">IF(AND(BH22&lt;0,BH21&gt;0), "Cruce -", IF(AND(BH22&gt;0,BH21&lt;0),"Cruce +", ""))</f>
        <v/>
      </c>
      <c r="BJ22" s="3">
        <f ca="1">IF($BP$1=1,DX22,IF(RTD("tos.rtd",,BJ$2,"."&amp;$A$2&amp;$AS$1&amp;"C"&amp;$A22)="N/A",0,RTD("tos.rtd",,BJ$2,"."&amp;$A$2&amp;$AS$1&amp;"C"&amp;$A22)))</f>
        <v>9.0915861365331759E-7</v>
      </c>
      <c r="BK22" s="3">
        <f ca="1">IF($BP$1=1,DY22,-IF(RTD("tos.rtd",,BK$2,"."&amp;$A$2&amp;$AS$1&amp;"P"&amp;$A22)="N/A",0,RTD("tos.rtd",,BK$2,"."&amp;$A$2&amp;$AS$1&amp;"P"&amp;$A22)))</f>
        <v>-1.9883083311174801E-2</v>
      </c>
      <c r="BL22" s="3">
        <f ca="1">IF($BP$1=1,DZ22,IF(RTD("tos.rtd",,BL$2,"."&amp;$A$2&amp;$AU$1&amp;"C"&amp;$A22)="N/A",0,RTD("tos.rtd",,BL$2,"."&amp;$A$2&amp;$AU$1&amp;"C"&amp;$A22)))</f>
        <v>2.2350451843810175E-2</v>
      </c>
      <c r="BM22" s="3">
        <f ca="1">IF($BP$1=1,EA22,-IF(RTD("tos.rtd",,BM$2,"."&amp;$A$2&amp;$AU$1&amp;"P"&amp;$A22)="N/A",0,RTD("tos.rtd",,BM$2,"."&amp;$A$2&amp;$AU$1&amp;"P"&amp;$A22)))</f>
        <v>-2.2127064401923215E-2</v>
      </c>
      <c r="BN22" s="3">
        <f ca="1">IF($BP$1=1,EB22,IF(RTD("tos.rtd",,BN$2,"."&amp;$A$2&amp;$AW$1&amp;"C"&amp;$A22)="N/A",0,RTD("tos.rtd",,BN$2,"."&amp;$A$2&amp;$AW$1&amp;"C"&amp;$A22)))</f>
        <v>2.4172830683117749E-2</v>
      </c>
      <c r="BO22" s="3">
        <f ca="1">IF($BP$1=1,EC22,-IF(RTD("tos.rtd",,BO$2,"."&amp;$A$2&amp;$AW$1&amp;"P"&amp;$A22)="N/A",0,RTD("tos.rtd",,BO$2,"."&amp;$A$2&amp;$AW$1&amp;"P"&amp;$A22)))</f>
        <v>-2.3962710731016891E-2</v>
      </c>
      <c r="BQ22" s="3">
        <f t="shared" ca="1" si="37"/>
        <v>-1042476.8777105802</v>
      </c>
      <c r="BR22" s="3" t="str">
        <f t="shared" ca="1" si="71"/>
        <v/>
      </c>
      <c r="BS22" s="3">
        <f t="shared" ca="1" si="38"/>
        <v>21675119.680049323</v>
      </c>
      <c r="BT22" s="3" t="str">
        <f t="shared" ca="1" si="71"/>
        <v/>
      </c>
      <c r="BU22" s="3">
        <f t="shared" ca="1" si="39"/>
        <v>6339502.4911923418</v>
      </c>
      <c r="BV22" s="3" t="str">
        <f t="shared" ref="BV22" ca="1" si="140">IF(AND(BU22&lt;0,BU21&gt;0), "Cruce -", IF(AND(BU22&gt;0,BU21&lt;0),"Cruce +", ""))</f>
        <v/>
      </c>
      <c r="BX22" s="3">
        <f t="shared" ca="1" si="40"/>
        <v>-480666053.9051044</v>
      </c>
      <c r="BY22" s="3" t="str">
        <f t="shared" ca="1" si="73"/>
        <v/>
      </c>
      <c r="BZ22" s="3">
        <f t="shared" ca="1" si="41"/>
        <v>-21685247.418980878</v>
      </c>
      <c r="CA22" s="3" t="str">
        <f t="shared" ca="1" si="74"/>
        <v>Cruce -</v>
      </c>
      <c r="CB22" s="3">
        <f t="shared" ca="1" si="42"/>
        <v>-2433553.9586147433</v>
      </c>
      <c r="CC22" s="3" t="str">
        <f t="shared" ca="1" si="75"/>
        <v/>
      </c>
      <c r="CD22" s="3">
        <f>IF(RTD("tos.rtd",,CD$2,"."&amp;$A$2&amp;$AS$1&amp;"C"&amp;$A22)="N/A",0,RTD("tos.rtd",,CD$2,"."&amp;$A$2&amp;$AS$1&amp;"C"&amp;$A22))</f>
        <v>1</v>
      </c>
      <c r="CE22" s="3">
        <f>-IF(RTD("tos.rtd",,CE$2,"."&amp;$A$2&amp;$AS$1&amp;"P"&amp;$A22)="N/A",0,RTD("tos.rtd",,CE$2,"."&amp;$A$2&amp;$AS$1&amp;"P"&amp;$A22))</f>
        <v>0</v>
      </c>
      <c r="CF22" s="3">
        <f>IF(RTD("tos.rtd",,CF$2,"."&amp;$A$2&amp;$AU$1&amp;"C"&amp;$A22)="N/A",0,RTD("tos.rtd",,CF$2,"."&amp;$A$2&amp;$AU$1&amp;"C"&amp;$A22))</f>
        <v>0.78</v>
      </c>
      <c r="CG22" s="3">
        <f>-IF(RTD("tos.rtd",,CG$2,"."&amp;$A$2&amp;$AU$1&amp;"P"&amp;$A22)="N/A",0,RTD("tos.rtd",,CG$2,"."&amp;$A$2&amp;$AU$1&amp;"P"&amp;$A22))</f>
        <v>0.22</v>
      </c>
      <c r="CH22" s="3">
        <f>IF(RTD("tos.rtd",,CH$2,"."&amp;$A$2&amp;$AW$1&amp;"C"&amp;$A22)="N/A",0,RTD("tos.rtd",,CH$2,"."&amp;$A$2&amp;$AW$1&amp;"C"&amp;$A22))</f>
        <v>0.64</v>
      </c>
      <c r="CI22" s="3">
        <f>-IF(RTD("tos.rtd",,CI$2,"."&amp;$A$2&amp;$AW$1&amp;"P"&amp;$A22)="N/A",0,RTD("tos.rtd",,CI$2,"."&amp;$A$2&amp;$AW$1&amp;"P"&amp;$A22))</f>
        <v>0.36</v>
      </c>
      <c r="CK22" s="3">
        <f t="shared" si="17"/>
        <v>1566500</v>
      </c>
      <c r="CL22" s="3"/>
      <c r="CM22" s="3">
        <f t="shared" si="18"/>
        <v>243188</v>
      </c>
      <c r="CN22" s="3"/>
      <c r="CO22" s="3">
        <f t="shared" si="19"/>
        <v>58008</v>
      </c>
      <c r="CP22" s="3">
        <f t="shared" si="43"/>
        <v>1867696</v>
      </c>
      <c r="CQ22" s="3">
        <f t="shared" si="44"/>
        <v>-54858</v>
      </c>
      <c r="CR22" s="3"/>
      <c r="CS22" s="3">
        <f t="shared" si="20"/>
        <v>-2896</v>
      </c>
      <c r="CT22" s="3"/>
      <c r="CU22" s="3">
        <f t="shared" si="21"/>
        <v>-300</v>
      </c>
      <c r="CV22" s="3">
        <f t="shared" si="45"/>
        <v>-58054</v>
      </c>
      <c r="CW22" s="3">
        <f t="shared" ca="1" si="46"/>
        <v>26972145.293531083</v>
      </c>
      <c r="CX22" s="85" t="str">
        <f t="shared" ca="1" si="76"/>
        <v/>
      </c>
      <c r="CY22" s="3">
        <f t="shared" ca="1" si="47"/>
        <v>-504784855.28270006</v>
      </c>
      <c r="CZ22" s="85" t="str">
        <f t="shared" ca="1" si="77"/>
        <v/>
      </c>
      <c r="DA22" s="3">
        <f>IF(RTD("tos.rtd",,DA$2,"."&amp;$A$2&amp;$AS$1&amp;"C"&amp;$A22)="N/A",0,RTD("tos.rtd",,DA$2,"."&amp;$A$2&amp;$AS$1&amp;"C"&amp;$A22))</f>
        <v>8.9700000000000006</v>
      </c>
      <c r="DB22" s="3">
        <f>IF(RTD("tos.rtd",,DB$2,"."&amp;$A$2&amp;$AS$1&amp;"P"&amp;$A22)="N/A",0,RTD("tos.rtd",,DB$2,"."&amp;$A$2&amp;$AS$1&amp;"P"&amp;$A22))</f>
        <v>0.02</v>
      </c>
      <c r="DC22" s="3">
        <f>IF(RTD("tos.rtd",,DC$2,"."&amp;$A$2&amp;$AS$1&amp;"C"&amp;$A22)="N/A",0,RTD("tos.rtd",,DC$2,"."&amp;$A$2&amp;$AS$1&amp;"C"&amp;$A22))</f>
        <v>8.9499999999999993</v>
      </c>
      <c r="DD22" s="3">
        <f>IF(RTD("tos.rtd",,DD$2,"."&amp;$A$2&amp;$AS$1&amp;"P"&amp;$A22)="N/A",0,RTD("tos.rtd",,DD$2,"."&amp;$A$2&amp;$AS$1&amp;"P"&amp;$A22))</f>
        <v>0.01</v>
      </c>
      <c r="DE22" s="3">
        <f>IF(RTD("tos.rtd",,DE$2,"."&amp;$A$2&amp;$AS$1&amp;"C"&amp;$A22)="N/A",0,RTD("tos.rtd",,DE$2,"."&amp;$A$2&amp;$AS$1&amp;"C"&amp;$A22))</f>
        <v>8.64</v>
      </c>
      <c r="DF22" s="3">
        <f>IF(RTD("tos.rtd",,DF$2,"."&amp;$A$2&amp;$AS$1&amp;"P"&amp;$A22)="N/A",0,RTD("tos.rtd",,DF$2,"."&amp;$A$2&amp;$AS$1&amp;"P"&amp;$A22))</f>
        <v>0</v>
      </c>
      <c r="DG22" s="86">
        <f t="shared" si="48"/>
        <v>-8.9500000000000455</v>
      </c>
      <c r="DH22" s="3">
        <f t="shared" si="22"/>
        <v>0</v>
      </c>
      <c r="DI22" s="3">
        <f t="shared" si="49"/>
        <v>0</v>
      </c>
      <c r="DJ22" s="3">
        <f t="shared" si="50"/>
        <v>0</v>
      </c>
      <c r="DK22" s="3">
        <f t="shared" si="51"/>
        <v>0</v>
      </c>
      <c r="DL22" s="3">
        <f t="shared" si="52"/>
        <v>0</v>
      </c>
      <c r="DM22" s="3">
        <f t="shared" si="53"/>
        <v>0</v>
      </c>
      <c r="DN22" s="63" t="str">
        <f t="shared" si="54"/>
        <v>UNKNOWN</v>
      </c>
      <c r="DO22" s="63" t="str">
        <f t="shared" si="55"/>
        <v>UNKNOWN</v>
      </c>
      <c r="DP22" s="3">
        <f t="shared" si="56"/>
        <v>0</v>
      </c>
      <c r="DQ22" s="3">
        <f t="shared" si="57"/>
        <v>0</v>
      </c>
      <c r="DR22" s="3">
        <f t="shared" ca="1" si="58"/>
        <v>0</v>
      </c>
      <c r="DS22" s="3">
        <f t="shared" si="59"/>
        <v>0</v>
      </c>
      <c r="DT22" s="3">
        <f t="shared" si="60"/>
        <v>0</v>
      </c>
      <c r="DU22" s="3">
        <f t="shared" si="61"/>
        <v>0</v>
      </c>
      <c r="DV22" s="3">
        <f t="shared" si="62"/>
        <v>-4967</v>
      </c>
      <c r="DW22" s="3">
        <f t="shared" si="23"/>
        <v>14166</v>
      </c>
      <c r="DX22" s="3">
        <f t="shared" ca="1" si="24"/>
        <v>9.0915861365331759E-7</v>
      </c>
      <c r="DY22" s="3">
        <f t="shared" ca="1" si="25"/>
        <v>-1.9883083311174801E-2</v>
      </c>
      <c r="DZ22" s="3">
        <f t="shared" ca="1" si="26"/>
        <v>2.2350451843810175E-2</v>
      </c>
      <c r="EA22" s="3">
        <f t="shared" ca="1" si="27"/>
        <v>-2.2127064401923215E-2</v>
      </c>
      <c r="EB22" s="3">
        <f t="shared" ca="1" si="28"/>
        <v>2.4172830683117749E-2</v>
      </c>
      <c r="EC22" s="3">
        <f t="shared" ca="1" si="29"/>
        <v>-2.3962710731016891E-2</v>
      </c>
      <c r="ED22" s="63">
        <f t="shared" si="63"/>
        <v>9199</v>
      </c>
      <c r="EE22" s="59">
        <f t="shared" si="64"/>
        <v>0.25</v>
      </c>
      <c r="EF22" s="59">
        <f t="shared" si="30"/>
        <v>0.7873</v>
      </c>
      <c r="EG22" s="59">
        <f t="shared" si="31"/>
        <v>0.19789999999999999</v>
      </c>
      <c r="EH22" s="59">
        <f t="shared" si="32"/>
        <v>0.2014</v>
      </c>
      <c r="EI22" s="59">
        <f t="shared" si="33"/>
        <v>0.16850000000000001</v>
      </c>
      <c r="EJ22" s="59">
        <f t="shared" si="34"/>
        <v>0.1721</v>
      </c>
      <c r="EK22" s="63">
        <f t="shared" ca="1" si="65"/>
        <v>-95719527.417544723</v>
      </c>
      <c r="EL22" s="3" t="str">
        <f>RTD("tos.rtd",,EL$2,"."&amp;$A$2&amp;$AS$1&amp;"C"&amp;$A22)</f>
        <v>--</v>
      </c>
      <c r="EM22" s="3" t="str">
        <f>RTD("tos.rtd",,EM$2,"."&amp;$A$2&amp;$AS$1&amp;"P"&amp;$A22)</f>
        <v>78.73%</v>
      </c>
      <c r="EN22" s="3" t="str">
        <f>RTD("tos.rtd",,EN$2,"."&amp;$A$2&amp;$AU$1&amp;"C"&amp;$A22)</f>
        <v>19.79%</v>
      </c>
      <c r="EO22" s="3" t="str">
        <f>RTD("tos.rtd",,EO$2,"."&amp;$A$2&amp;$AU$1&amp;"P"&amp;$A22)</f>
        <v>20.14%</v>
      </c>
      <c r="EP22" s="3" t="str">
        <f>RTD("tos.rtd",,EP$2,"."&amp;$A$2&amp;$AW$1&amp;"C"&amp;$A22)</f>
        <v>16.85%</v>
      </c>
      <c r="EQ22" s="3" t="str">
        <f>RTD("tos.rtd",,EQ$2,"."&amp;$A$2&amp;$AW$1&amp;"P"&amp;$A22)</f>
        <v>17.21%</v>
      </c>
      <c r="ES22" s="63" t="str">
        <f t="shared" si="66"/>
        <v>574,9199.00</v>
      </c>
      <c r="ET22" s="63" t="str">
        <f t="shared" ca="1" si="67"/>
        <v>574,-504784.86</v>
      </c>
      <c r="EU22" s="67">
        <v>564.79999999999995</v>
      </c>
      <c r="EV22" s="67" t="s">
        <v>195</v>
      </c>
      <c r="EW22" s="67">
        <v>487.92</v>
      </c>
      <c r="EX22" s="67" t="s">
        <v>196</v>
      </c>
      <c r="EY22" s="67">
        <v>5659.91</v>
      </c>
      <c r="EZ22" s="67" t="s">
        <v>197</v>
      </c>
      <c r="FA22" s="67">
        <v>20061.449000000001</v>
      </c>
      <c r="FB22" s="67" t="s">
        <v>198</v>
      </c>
      <c r="FC22" s="67" t="s">
        <v>199</v>
      </c>
      <c r="FD22" s="67" t="s">
        <v>200</v>
      </c>
      <c r="FE22" s="67" t="s">
        <v>201</v>
      </c>
      <c r="FF22" s="67" t="s">
        <v>202</v>
      </c>
    </row>
    <row r="23" spans="1:162" s="63" customFormat="1" ht="13.5" thickBot="1" x14ac:dyDescent="0.25">
      <c r="A23" s="2">
        <f t="shared" si="68"/>
        <v>573</v>
      </c>
      <c r="B23" s="3">
        <f t="shared" ref="B23:B29" si="141">+IF($A$1="ABS",AS23-AT23,AS23+AT23)</f>
        <v>21339</v>
      </c>
      <c r="C23" s="3">
        <f t="shared" ref="C23:C29" si="142">+IF($A$1="ABS",AU23-AV23,AU23+AV23)</f>
        <v>4664</v>
      </c>
      <c r="D23" s="3">
        <f t="shared" ref="D23:D29" si="143">+IF($A$1="ABS",AW23-AX23,AW23+AX23)</f>
        <v>1327</v>
      </c>
      <c r="E23" s="3">
        <f t="shared" ref="E23:E29" si="144">SUM(B23:D23)</f>
        <v>27330</v>
      </c>
      <c r="F23" s="4">
        <f t="shared" ref="F23:F29" si="145">+$F$3/$A$3*A23</f>
        <v>5765.6312719787284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>
        <v>1685</v>
      </c>
      <c r="AN23" s="1">
        <v>945</v>
      </c>
      <c r="AO23" s="1">
        <v>573</v>
      </c>
      <c r="AP23" s="1">
        <v>8675</v>
      </c>
      <c r="AQ23" s="1">
        <v>-63896</v>
      </c>
      <c r="AR23" s="1"/>
      <c r="AS23" s="6">
        <f>IF(RTD("tos.rtd",,AS$2,"."&amp;$A$2&amp;$AS$1&amp;"C"&amp;$A23)="N/A",0,RTD("tos.rtd",,AS$2,"."&amp;$A$2&amp;$AS$1&amp;"C"&amp;$A23))</f>
        <v>20695</v>
      </c>
      <c r="AT23" s="7">
        <f>-IF(RTD("tos.rtd",,AT$2,"."&amp;$A$2&amp;$AS$1&amp;"P"&amp;$A23)="N/A",0,RTD("tos.rtd",,AT$2,"."&amp;$A$2&amp;$AS$1&amp;"P"&amp;$A23))</f>
        <v>-644</v>
      </c>
      <c r="AU23" s="6">
        <f>IF(RTD("tos.rtd",,AU$2,"."&amp;$A$2&amp;$AU$1&amp;"C"&amp;$A23)="N/A",0,RTD("tos.rtd",,AU$2,"."&amp;$A$2&amp;$AU$1&amp;"C"&amp;$A23))</f>
        <v>4124</v>
      </c>
      <c r="AV23" s="7">
        <f>-IF(RTD("tos.rtd",,AV$2,"."&amp;$A$2&amp;$AU$1&amp;"P"&amp;$A23)="N/A",0,RTD("tos.rtd",,AV$2,"."&amp;$A$2&amp;$AU$1&amp;"P"&amp;$A23))</f>
        <v>-540</v>
      </c>
      <c r="AW23" s="6">
        <f>IF(RTD("tos.rtd",,AW$2,"."&amp;$A$2&amp;$AW$1&amp;"C"&amp;$A23)="N/A",0,RTD("tos.rtd",,AW$2,"."&amp;$A$2&amp;$AW$1&amp;"C"&amp;$A23))</f>
        <v>995</v>
      </c>
      <c r="AX23" s="7">
        <f>-IF(RTD("tos.rtd",,AX$2,"."&amp;$A$2&amp;$AW$1&amp;"P"&amp;$A23)="N/A",0,RTD("tos.rtd",,AX$2,"."&amp;$A$2&amp;$AW$1&amp;"P"&amp;$A23))</f>
        <v>-332</v>
      </c>
      <c r="AY23" s="1">
        <f t="shared" ref="AY23:AY29" si="146">SUM(AS23:AX23)</f>
        <v>24298</v>
      </c>
      <c r="AZ23" s="8">
        <f t="shared" si="35"/>
        <v>573</v>
      </c>
      <c r="BA23" s="6">
        <f>IF(RTD("tos.rtd",,BA$2,"."&amp;$A$2&amp;$AS$1&amp;"C"&amp;$A23)="N/A",0,RTD("tos.rtd",,BA$2,"."&amp;$A$2&amp;$AS$1&amp;"C"&amp;$A23))</f>
        <v>8675</v>
      </c>
      <c r="BB23" s="7">
        <f>-IF(RTD("tos.rtd",,BB$2,"."&amp;$A$2&amp;$AS$1&amp;"P"&amp;$A23)="N/A",0,RTD("tos.rtd",,BB$2,"."&amp;$A$2&amp;$AS$1&amp;"P"&amp;$A23))</f>
        <v>-64046</v>
      </c>
      <c r="BC23" s="6">
        <f>IF(RTD("tos.rtd",,BC$2,"."&amp;$A$2&amp;$AU$1&amp;"C"&amp;$A23)="N/A",0,RTD("tos.rtd",,BC$2,"."&amp;$A$2&amp;$AU$1&amp;"C"&amp;$A23))</f>
        <v>2633</v>
      </c>
      <c r="BD23" s="7">
        <f>-IF(RTD("tos.rtd",,BD$2,"."&amp;$A$2&amp;$AU$1&amp;"P"&amp;$A23)="N/A",0,RTD("tos.rtd",,BD$2,"."&amp;$A$2&amp;$AU$1&amp;"P"&amp;$A23))</f>
        <v>-6375</v>
      </c>
      <c r="BE23" s="6">
        <f>IF(RTD("tos.rtd",,BE$2,"."&amp;$A$2&amp;$AW$1&amp;"C"&amp;$A23)="N/A",0,RTD("tos.rtd",,BE$2,"."&amp;$A$2&amp;$AW$1&amp;"C"&amp;$A23))</f>
        <v>168</v>
      </c>
      <c r="BF23" s="83">
        <f>-IF(RTD("tos.rtd",,BF$2,"."&amp;$A$2&amp;$AW$1&amp;"P"&amp;$A23)="N/A",0,RTD("tos.rtd",,BF$2,"."&amp;$A$2&amp;$AW$1&amp;"P"&amp;$A23))</f>
        <v>-616</v>
      </c>
      <c r="BG23" s="32">
        <f ca="1">+Hoja2!Y24</f>
        <v>-2891</v>
      </c>
      <c r="BH23" s="7">
        <f t="shared" ca="1" si="36"/>
        <v>-62452</v>
      </c>
      <c r="BI23" s="8" t="str">
        <f t="shared" ref="BI23" ca="1" si="147">IF(AND(BH23&lt;0,BH22&gt;0), "Cruce -", IF(AND(BH23&gt;0,BH22&lt;0),"Cruce +", ""))</f>
        <v/>
      </c>
      <c r="BJ23" s="3">
        <f ca="1">IF($BP$1=1,DX23,IF(RTD("tos.rtd",,BJ$2,"."&amp;$A$2&amp;$AS$1&amp;"C"&amp;$A23)="N/A",0,RTD("tos.rtd",,BJ$2,"."&amp;$A$2&amp;$AS$1&amp;"C"&amp;$A23)))</f>
        <v>4.7612015735311715E-8</v>
      </c>
      <c r="BK23" s="3">
        <f ca="1">IF($BP$1=1,DY23,-IF(RTD("tos.rtd",,BK$2,"."&amp;$A$2&amp;$AS$1&amp;"P"&amp;$A23)="N/A",0,RTD("tos.rtd",,BK$2,"."&amp;$A$2&amp;$AS$1&amp;"P"&amp;$A23)))</f>
        <v>-1.7550612540284501E-2</v>
      </c>
      <c r="BL23" s="3">
        <f ca="1">IF($BP$1=1,DZ23,IF(RTD("tos.rtd",,BL$2,"."&amp;$A$2&amp;$AU$1&amp;"C"&amp;$A23)="N/A",0,RTD("tos.rtd",,BL$2,"."&amp;$A$2&amp;$AU$1&amp;"C"&amp;$A23)))</f>
        <v>2.1150087723898446E-2</v>
      </c>
      <c r="BM23" s="3">
        <f ca="1">IF($BP$1=1,EA23,-IF(RTD("tos.rtd",,BM$2,"."&amp;$A$2&amp;$AU$1&amp;"P"&amp;$A23)="N/A",0,RTD("tos.rtd",,BM$2,"."&amp;$A$2&amp;$AU$1&amp;"P"&amp;$A23)))</f>
        <v>-2.0977566881612408E-2</v>
      </c>
      <c r="BN23" s="3">
        <f ca="1">IF($BP$1=1,EB23,IF(RTD("tos.rtd",,BN$2,"."&amp;$A$2&amp;$AW$1&amp;"C"&amp;$A23)="N/A",0,RTD("tos.rtd",,BN$2,"."&amp;$A$2&amp;$AW$1&amp;"C"&amp;$A23)))</f>
        <v>2.2493677520587823E-2</v>
      </c>
      <c r="BO23" s="3">
        <f ca="1">IF($BP$1=1,EC23,-IF(RTD("tos.rtd",,BO$2,"."&amp;$A$2&amp;$AW$1&amp;"P"&amp;$A23)="N/A",0,RTD("tos.rtd",,BO$2,"."&amp;$A$2&amp;$AW$1&amp;"P"&amp;$A23)))</f>
        <v>-2.2371834063890279E-2</v>
      </c>
      <c r="BQ23" s="3">
        <f t="shared" ref="BQ23:BQ29" ca="1" si="148">+$A$3*$A$3*AS23*BJ23-$A$3*$A$3*AT23*BK23</f>
        <v>-3840633.7752201045</v>
      </c>
      <c r="BR23" s="3" t="str">
        <f t="shared" ca="1" si="71"/>
        <v/>
      </c>
      <c r="BS23" s="3">
        <f t="shared" ref="BS23:BS29" ca="1" si="149">+$A$3*$A$3*AU23*BL23-$A$3*$A$3*AV23*BM23</f>
        <v>25791476.876906324</v>
      </c>
      <c r="BT23" s="3" t="str">
        <f t="shared" ca="1" si="71"/>
        <v/>
      </c>
      <c r="BU23" s="3">
        <f t="shared" ref="BU23:BU29" ca="1" si="150">+$A$3*$A$3*AW23*BN23-$A$3*$A$3*AX23*BO23</f>
        <v>5081746.8418614427</v>
      </c>
      <c r="BV23" s="3" t="str">
        <f t="shared" ref="BV23" ca="1" si="151">IF(AND(BU23&lt;0,BU22&gt;0), "Cruce -", IF(AND(BU23&gt;0,BU22&lt;0),"Cruce +", ""))</f>
        <v/>
      </c>
      <c r="BX23" s="3">
        <f t="shared" ref="BX23:BX29" ca="1" si="152">+$A$3*$A$3*BA23*BJ23-$A$3*$A$3*BB23*BK23</f>
        <v>-381985381.82746565</v>
      </c>
      <c r="BY23" s="3" t="str">
        <f t="shared" ca="1" si="73"/>
        <v/>
      </c>
      <c r="BZ23" s="3">
        <f t="shared" ref="BZ23:BZ29" ca="1" si="153">+$A$3*$A$3*BC23*BL23-$A$3*$A$3*BD23*BM23</f>
        <v>-26521682.06213972</v>
      </c>
      <c r="CA23" s="3" t="str">
        <f t="shared" ca="1" si="74"/>
        <v/>
      </c>
      <c r="CB23" s="3">
        <f t="shared" ref="CB23:CB29" ca="1" si="154">+$A$3*$A$3*BE23*BN23-$A$3*$A$3*BF23*BO23</f>
        <v>-3399024.7338156733</v>
      </c>
      <c r="CC23" s="3" t="str">
        <f t="shared" ca="1" si="75"/>
        <v/>
      </c>
      <c r="CD23" s="3">
        <f>IF(RTD("tos.rtd",,CD$2,"."&amp;$A$2&amp;$AS$1&amp;"C"&amp;$A23)="N/A",0,RTD("tos.rtd",,CD$2,"."&amp;$A$2&amp;$AS$1&amp;"C"&amp;$A23))</f>
        <v>1</v>
      </c>
      <c r="CE23" s="3">
        <f>-IF(RTD("tos.rtd",,CE$2,"."&amp;$A$2&amp;$AS$1&amp;"P"&amp;$A23)="N/A",0,RTD("tos.rtd",,CE$2,"."&amp;$A$2&amp;$AS$1&amp;"P"&amp;$A23))</f>
        <v>0</v>
      </c>
      <c r="CF23" s="3">
        <f>IF(RTD("tos.rtd",,CF$2,"."&amp;$A$2&amp;$AU$1&amp;"C"&amp;$A23)="N/A",0,RTD("tos.rtd",,CF$2,"."&amp;$A$2&amp;$AU$1&amp;"C"&amp;$A23))</f>
        <v>0.8</v>
      </c>
      <c r="CG23" s="3">
        <f>-IF(RTD("tos.rtd",,CG$2,"."&amp;$A$2&amp;$AU$1&amp;"P"&amp;$A23)="N/A",0,RTD("tos.rtd",,CG$2,"."&amp;$A$2&amp;$AU$1&amp;"P"&amp;$A23))</f>
        <v>0.2</v>
      </c>
      <c r="CH23" s="3">
        <f>IF(RTD("tos.rtd",,CH$2,"."&amp;$A$2&amp;$AW$1&amp;"C"&amp;$A23)="N/A",0,RTD("tos.rtd",,CH$2,"."&amp;$A$2&amp;$AW$1&amp;"C"&amp;$A23))</f>
        <v>0.66</v>
      </c>
      <c r="CI23" s="3">
        <f>-IF(RTD("tos.rtd",,CI$2,"."&amp;$A$2&amp;$AW$1&amp;"P"&amp;$A23)="N/A",0,RTD("tos.rtd",,CI$2,"."&amp;$A$2&amp;$AW$1&amp;"P"&amp;$A23))</f>
        <v>0.35</v>
      </c>
      <c r="CK23" s="3">
        <f t="shared" ref="CK23:CK29" si="155">+AS23*CD23*100+AT23*CE23*100</f>
        <v>2069500</v>
      </c>
      <c r="CL23" s="3"/>
      <c r="CM23" s="3">
        <f t="shared" ref="CM23:CM29" si="156">+AU23*CF23*100+AV23*CG23*100</f>
        <v>319120</v>
      </c>
      <c r="CN23" s="3"/>
      <c r="CO23" s="3">
        <f t="shared" ref="CO23:CO29" si="157">+AW23*CH23*100+AX23*CI23*100</f>
        <v>54050</v>
      </c>
      <c r="CP23" s="3">
        <f t="shared" ref="CP23:CP29" si="158">+CK23+CM23+CO23</f>
        <v>2442670</v>
      </c>
      <c r="CQ23" s="3">
        <f t="shared" ref="CQ23:CQ29" si="159">+BA23+BB23</f>
        <v>-55371</v>
      </c>
      <c r="CR23" s="3"/>
      <c r="CS23" s="3">
        <f t="shared" ref="CS23:CS29" si="160">+BC23+BD23</f>
        <v>-3742</v>
      </c>
      <c r="CT23" s="3"/>
      <c r="CU23" s="3">
        <f t="shared" ref="CU23:CU29" si="161">+BE23+BF23</f>
        <v>-448</v>
      </c>
      <c r="CV23" s="3">
        <f t="shared" ref="CV23:CV29" si="162">+CQ23+CS23+CU23</f>
        <v>-59561</v>
      </c>
      <c r="CW23" s="3">
        <f t="shared" ref="CW23:CW29" ca="1" si="163">+BQ23+BS23+BU23</f>
        <v>27032589.943547662</v>
      </c>
      <c r="CX23" s="85" t="str">
        <f t="shared" ca="1" si="76"/>
        <v/>
      </c>
      <c r="CY23" s="3">
        <f t="shared" ref="CY23:CY29" ca="1" si="164">+BX23+BZ23+CB23</f>
        <v>-411906088.62342107</v>
      </c>
      <c r="CZ23" s="85" t="str">
        <f t="shared" ca="1" si="77"/>
        <v/>
      </c>
      <c r="DA23" s="3">
        <f>IF(RTD("tos.rtd",,DA$2,"."&amp;$A$2&amp;$AS$1&amp;"C"&amp;$A23)="N/A",0,RTD("tos.rtd",,DA$2,"."&amp;$A$2&amp;$AS$1&amp;"C"&amp;$A23))</f>
        <v>9.99</v>
      </c>
      <c r="DB23" s="3">
        <f>IF(RTD("tos.rtd",,DB$2,"."&amp;$A$2&amp;$AS$1&amp;"P"&amp;$A23)="N/A",0,RTD("tos.rtd",,DB$2,"."&amp;$A$2&amp;$AS$1&amp;"P"&amp;$A23))</f>
        <v>0.01</v>
      </c>
      <c r="DC23" s="3">
        <f>IF(RTD("tos.rtd",,DC$2,"."&amp;$A$2&amp;$AS$1&amp;"C"&amp;$A23)="N/A",0,RTD("tos.rtd",,DC$2,"."&amp;$A$2&amp;$AS$1&amp;"C"&amp;$A23))</f>
        <v>9.9499999999999993</v>
      </c>
      <c r="DD23" s="3">
        <f>IF(RTD("tos.rtd",,DD$2,"."&amp;$A$2&amp;$AS$1&amp;"P"&amp;$A23)="N/A",0,RTD("tos.rtd",,DD$2,"."&amp;$A$2&amp;$AS$1&amp;"P"&amp;$A23))</f>
        <v>0.01</v>
      </c>
      <c r="DE23" s="3">
        <f>IF(RTD("tos.rtd",,DE$2,"."&amp;$A$2&amp;$AS$1&amp;"C"&amp;$A23)="N/A",0,RTD("tos.rtd",,DE$2,"."&amp;$A$2&amp;$AS$1&amp;"C"&amp;$A23))</f>
        <v>9.64</v>
      </c>
      <c r="DF23" s="3">
        <f>IF(RTD("tos.rtd",,DF$2,"."&amp;$A$2&amp;$AS$1&amp;"P"&amp;$A23)="N/A",0,RTD("tos.rtd",,DF$2,"."&amp;$A$2&amp;$AS$1&amp;"P"&amp;$A23))</f>
        <v>0</v>
      </c>
      <c r="DG23" s="86">
        <f t="shared" si="48"/>
        <v>-9.9500000000000455</v>
      </c>
      <c r="DH23" s="3">
        <f t="shared" ref="DH23:DH29" si="165">((DA23-DE23)/(DC23-DE23))*(BA23-AP23)</f>
        <v>0</v>
      </c>
      <c r="DI23" s="3">
        <f t="shared" ref="DI23:DI29" si="166">((DB23-DF23)/(DD23-DF23))*(BB23-AQ23)</f>
        <v>-150</v>
      </c>
      <c r="DJ23" s="3">
        <f t="shared" ref="DJ23:DJ29" si="167">IF(DA23&gt;=(DE23+(DC23-DE23)*0.6),(BA23-AP23),IF(DA23&lt;=(DE23+(DC23-DE23)*0.4),-(BA23-AP23),0))</f>
        <v>0</v>
      </c>
      <c r="DK23" s="3">
        <f t="shared" si="51"/>
        <v>-150</v>
      </c>
      <c r="DL23" s="3">
        <f t="shared" si="52"/>
        <v>-150</v>
      </c>
      <c r="DM23" s="3">
        <f t="shared" si="53"/>
        <v>-150</v>
      </c>
      <c r="DN23" s="63" t="str">
        <f t="shared" si="54"/>
        <v>UNKNOWN</v>
      </c>
      <c r="DO23" s="63" t="str">
        <f t="shared" si="55"/>
        <v>BUY</v>
      </c>
      <c r="DP23" s="3">
        <f t="shared" si="56"/>
        <v>-1.5</v>
      </c>
      <c r="DQ23" s="3">
        <f t="shared" si="57"/>
        <v>-1.5</v>
      </c>
      <c r="DR23" s="3">
        <f t="shared" ca="1" si="58"/>
        <v>2.6325918810426754</v>
      </c>
      <c r="DS23" s="3">
        <f t="shared" si="59"/>
        <v>0</v>
      </c>
      <c r="DT23" s="3">
        <f t="shared" si="60"/>
        <v>0</v>
      </c>
      <c r="DU23" s="3">
        <f t="shared" si="61"/>
        <v>-150</v>
      </c>
      <c r="DV23" s="3">
        <f t="shared" si="62"/>
        <v>1685</v>
      </c>
      <c r="DW23" s="3">
        <f t="shared" si="23"/>
        <v>795</v>
      </c>
      <c r="DX23" s="3">
        <f t="shared" ca="1" si="24"/>
        <v>4.7612015735311715E-8</v>
      </c>
      <c r="DY23" s="3">
        <f t="shared" ca="1" si="25"/>
        <v>-1.7550612540284501E-2</v>
      </c>
      <c r="DZ23" s="3">
        <f t="shared" ca="1" si="26"/>
        <v>2.1150087723898446E-2</v>
      </c>
      <c r="EA23" s="3">
        <f t="shared" ca="1" si="27"/>
        <v>-2.0977566881612408E-2</v>
      </c>
      <c r="EB23" s="3">
        <f t="shared" ca="1" si="28"/>
        <v>2.2493677520587823E-2</v>
      </c>
      <c r="EC23" s="3">
        <f t="shared" ca="1" si="29"/>
        <v>-2.2371834063890279E-2</v>
      </c>
      <c r="ED23" s="63">
        <f t="shared" si="63"/>
        <v>2480</v>
      </c>
      <c r="EE23" s="59">
        <f t="shared" ref="EE23:EE29" si="168">IFERROR(VALUE(IF(OR(EL23="--",EL23="0.00%"),$EE$1,EL23)),$EE$1)</f>
        <v>0.25</v>
      </c>
      <c r="EF23" s="59">
        <f t="shared" ref="EF23:EF29" si="169">IFERROR(VALUE(IF(OR(EM23="--",EM23="0.00%"),$EE$1,EM23)),$EE$1)</f>
        <v>0.86619999999999997</v>
      </c>
      <c r="EG23" s="59">
        <f t="shared" ref="EG23:EG29" si="170">IFERROR(VALUE(IF(OR(EN23="--",EN23="0.00%"),$EE$1,EN23)),$EE$1)</f>
        <v>0.19989999999999999</v>
      </c>
      <c r="EH23" s="59">
        <f t="shared" ref="EH23:EH29" si="171">IFERROR(VALUE(IF(OR(EO23="--",EO23="0.00%"),$EE$1,EO23)),$EE$1)</f>
        <v>0.20330000000000001</v>
      </c>
      <c r="EI23" s="59">
        <f t="shared" ref="EI23:EI29" si="172">IFERROR(VALUE(IF(OR(EP23="--",EP23="0.00%"),$EE$1,EP23)),$EE$1)</f>
        <v>0.17019999999999999</v>
      </c>
      <c r="EJ23" s="59">
        <f t="shared" ref="EJ23:EJ29" si="173">IFERROR(VALUE(IF(OR(EQ23="--",EQ23="0.00%"),$EE$1,EQ23)),$EE$1)</f>
        <v>0.1734</v>
      </c>
      <c r="EK23" s="63">
        <f t="shared" ca="1" si="65"/>
        <v>-4741541.1428100914</v>
      </c>
      <c r="EL23" s="3" t="str">
        <f>RTD("tos.rtd",,EL$2,"."&amp;$A$2&amp;$AS$1&amp;"C"&amp;$A23)</f>
        <v>--</v>
      </c>
      <c r="EM23" s="3" t="str">
        <f>RTD("tos.rtd",,EM$2,"."&amp;$A$2&amp;$AS$1&amp;"P"&amp;$A23)</f>
        <v>86.62%</v>
      </c>
      <c r="EN23" s="3" t="str">
        <f>RTD("tos.rtd",,EN$2,"."&amp;$A$2&amp;$AU$1&amp;"C"&amp;$A23)</f>
        <v>19.99%</v>
      </c>
      <c r="EO23" s="3" t="str">
        <f>RTD("tos.rtd",,EO$2,"."&amp;$A$2&amp;$AU$1&amp;"P"&amp;$A23)</f>
        <v>20.33%</v>
      </c>
      <c r="EP23" s="3" t="str">
        <f>RTD("tos.rtd",,EP$2,"."&amp;$A$2&amp;$AW$1&amp;"C"&amp;$A23)</f>
        <v>17.02%</v>
      </c>
      <c r="EQ23" s="3" t="str">
        <f>RTD("tos.rtd",,EQ$2,"."&amp;$A$2&amp;$AW$1&amp;"P"&amp;$A23)</f>
        <v>17.34%</v>
      </c>
      <c r="ES23" s="63" t="str">
        <f t="shared" si="66"/>
        <v>573,2480.00</v>
      </c>
      <c r="ET23" s="63" t="str">
        <f t="shared" ca="1" si="67"/>
        <v>573,-411906.09</v>
      </c>
      <c r="EU23" s="67">
        <v>564.79999999999995</v>
      </c>
      <c r="EV23" s="67" t="s">
        <v>203</v>
      </c>
      <c r="EW23" s="67">
        <v>487.92</v>
      </c>
      <c r="EX23" s="67" t="s">
        <v>204</v>
      </c>
      <c r="EY23" s="67">
        <v>5659.91</v>
      </c>
      <c r="EZ23" s="67" t="s">
        <v>205</v>
      </c>
      <c r="FA23" s="67">
        <v>20061.449000000001</v>
      </c>
      <c r="FB23" s="67" t="s">
        <v>206</v>
      </c>
      <c r="FC23" s="67" t="s">
        <v>207</v>
      </c>
      <c r="FD23" s="67" t="s">
        <v>208</v>
      </c>
      <c r="FE23" s="67" t="s">
        <v>209</v>
      </c>
      <c r="FF23" s="67" t="s">
        <v>210</v>
      </c>
    </row>
    <row r="24" spans="1:162" s="63" customFormat="1" ht="13.5" thickBot="1" x14ac:dyDescent="0.25">
      <c r="A24" s="2">
        <f t="shared" si="68"/>
        <v>572</v>
      </c>
      <c r="B24" s="3">
        <f t="shared" si="141"/>
        <v>8336</v>
      </c>
      <c r="C24" s="3">
        <f t="shared" si="142"/>
        <v>4243</v>
      </c>
      <c r="D24" s="3">
        <f t="shared" si="143"/>
        <v>964</v>
      </c>
      <c r="E24" s="3">
        <f t="shared" si="144"/>
        <v>13543</v>
      </c>
      <c r="F24" s="4">
        <f t="shared" si="145"/>
        <v>5755.5690882579975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>
        <v>4179</v>
      </c>
      <c r="AN24" s="1">
        <v>6126</v>
      </c>
      <c r="AO24" s="1">
        <v>572</v>
      </c>
      <c r="AP24" s="1">
        <v>7767</v>
      </c>
      <c r="AQ24" s="1">
        <v>-37240</v>
      </c>
      <c r="AR24" s="1"/>
      <c r="AS24" s="6">
        <f>IF(RTD("tos.rtd",,AS$2,"."&amp;$A$2&amp;$AS$1&amp;"C"&amp;$A24)="N/A",0,RTD("tos.rtd",,AS$2,"."&amp;$A$2&amp;$AS$1&amp;"C"&amp;$A24))</f>
        <v>7732</v>
      </c>
      <c r="AT24" s="7">
        <f>-IF(RTD("tos.rtd",,AT$2,"."&amp;$A$2&amp;$AS$1&amp;"P"&amp;$A24)="N/A",0,RTD("tos.rtd",,AT$2,"."&amp;$A$2&amp;$AS$1&amp;"P"&amp;$A24))</f>
        <v>-604</v>
      </c>
      <c r="AU24" s="6">
        <f>IF(RTD("tos.rtd",,AU$2,"."&amp;$A$2&amp;$AU$1&amp;"C"&amp;$A24)="N/A",0,RTD("tos.rtd",,AU$2,"."&amp;$A$2&amp;$AU$1&amp;"C"&amp;$A24))</f>
        <v>3403</v>
      </c>
      <c r="AV24" s="7">
        <f>-IF(RTD("tos.rtd",,AV$2,"."&amp;$A$2&amp;$AU$1&amp;"P"&amp;$A24)="N/A",0,RTD("tos.rtd",,AV$2,"."&amp;$A$2&amp;$AU$1&amp;"P"&amp;$A24))</f>
        <v>-840</v>
      </c>
      <c r="AW24" s="6">
        <f>IF(RTD("tos.rtd",,AW$2,"."&amp;$A$2&amp;$AW$1&amp;"C"&amp;$A24)="N/A",0,RTD("tos.rtd",,AW$2,"."&amp;$A$2&amp;$AW$1&amp;"C"&amp;$A24))</f>
        <v>782</v>
      </c>
      <c r="AX24" s="7">
        <f>-IF(RTD("tos.rtd",,AX$2,"."&amp;$A$2&amp;$AW$1&amp;"P"&amp;$A24)="N/A",0,RTD("tos.rtd",,AX$2,"."&amp;$A$2&amp;$AW$1&amp;"P"&amp;$A24))</f>
        <v>-182</v>
      </c>
      <c r="AY24" s="1">
        <f t="shared" si="146"/>
        <v>10291</v>
      </c>
      <c r="AZ24" s="8">
        <f t="shared" si="35"/>
        <v>572</v>
      </c>
      <c r="BA24" s="6">
        <f>IF(RTD("tos.rtd",,BA$2,"."&amp;$A$2&amp;$AS$1&amp;"C"&amp;$A24)="N/A",0,RTD("tos.rtd",,BA$2,"."&amp;$A$2&amp;$AS$1&amp;"C"&amp;$A24))</f>
        <v>7767</v>
      </c>
      <c r="BB24" s="7">
        <f>-IF(RTD("tos.rtd",,BB$2,"."&amp;$A$2&amp;$AS$1&amp;"P"&amp;$A24)="N/A",0,RTD("tos.rtd",,BB$2,"."&amp;$A$2&amp;$AS$1&amp;"P"&amp;$A24))</f>
        <v>-37265</v>
      </c>
      <c r="BC24" s="6">
        <f>IF(RTD("tos.rtd",,BC$2,"."&amp;$A$2&amp;$AU$1&amp;"C"&amp;$A24)="N/A",0,RTD("tos.rtd",,BC$2,"."&amp;$A$2&amp;$AU$1&amp;"C"&amp;$A24))</f>
        <v>1400</v>
      </c>
      <c r="BD24" s="7">
        <f>-IF(RTD("tos.rtd",,BD$2,"."&amp;$A$2&amp;$AU$1&amp;"P"&amp;$A24)="N/A",0,RTD("tos.rtd",,BD$2,"."&amp;$A$2&amp;$AU$1&amp;"P"&amp;$A24))</f>
        <v>-6752</v>
      </c>
      <c r="BE24" s="6">
        <f>IF(RTD("tos.rtd",,BE$2,"."&amp;$A$2&amp;$AW$1&amp;"C"&amp;$A24)="N/A",0,RTD("tos.rtd",,BE$2,"."&amp;$A$2&amp;$AW$1&amp;"C"&amp;$A24))</f>
        <v>68</v>
      </c>
      <c r="BF24" s="83">
        <f>-IF(RTD("tos.rtd",,BF$2,"."&amp;$A$2&amp;$AW$1&amp;"P"&amp;$A24)="N/A",0,RTD("tos.rtd",,BF$2,"."&amp;$A$2&amp;$AW$1&amp;"P"&amp;$A24))</f>
        <v>-966</v>
      </c>
      <c r="BG24" s="32">
        <f ca="1">+Hoja2!Y25</f>
        <v>-981</v>
      </c>
      <c r="BH24" s="7">
        <f t="shared" ca="1" si="36"/>
        <v>-36729</v>
      </c>
      <c r="BI24" s="8" t="str">
        <f t="shared" ref="BI24" ca="1" si="174">IF(AND(BH24&lt;0,BH23&gt;0), "Cruce -", IF(AND(BH24&gt;0,BH23&lt;0),"Cruce +", ""))</f>
        <v/>
      </c>
      <c r="BJ24" s="3">
        <f ca="1">IF($BP$1=1,DX24,IF(RTD("tos.rtd",,BJ$2,"."&amp;$A$2&amp;$AS$1&amp;"C"&amp;$A24)="N/A",0,RTD("tos.rtd",,BJ$2,"."&amp;$A$2&amp;$AS$1&amp;"C"&amp;$A24)))</f>
        <v>1.809817308824655E-9</v>
      </c>
      <c r="BK24" s="3">
        <f ca="1">IF($BP$1=1,DY24,-IF(RTD("tos.rtd",,BK$2,"."&amp;$A$2&amp;$AS$1&amp;"P"&amp;$A24)="N/A",0,RTD("tos.rtd",,BK$2,"."&amp;$A$2&amp;$AS$1&amp;"P"&amp;$A24)))</f>
        <v>-1.5669225335377547E-2</v>
      </c>
      <c r="BL24" s="3">
        <f ca="1">IF($BP$1=1,DZ24,IF(RTD("tos.rtd",,BL$2,"."&amp;$A$2&amp;$AU$1&amp;"C"&amp;$A24)="N/A",0,RTD("tos.rtd",,BL$2,"."&amp;$A$2&amp;$AU$1&amp;"C"&amp;$A24)))</f>
        <v>1.9925727388618225E-2</v>
      </c>
      <c r="BM24" s="3">
        <f ca="1">IF($BP$1=1,EA24,-IF(RTD("tos.rtd",,BM$2,"."&amp;$A$2&amp;$AU$1&amp;"P"&amp;$A24)="N/A",0,RTD("tos.rtd",,BM$2,"."&amp;$A$2&amp;$AU$1&amp;"P"&amp;$A24)))</f>
        <v>-1.9775171274638403E-2</v>
      </c>
      <c r="BN24" s="3">
        <f ca="1">IF($BP$1=1,EB24,IF(RTD("tos.rtd",,BN$2,"."&amp;$A$2&amp;$AW$1&amp;"C"&amp;$A24)="N/A",0,RTD("tos.rtd",,BN$2,"."&amp;$A$2&amp;$AW$1&amp;"C"&amp;$A24)))</f>
        <v>2.0848023278227452E-2</v>
      </c>
      <c r="BO24" s="3">
        <f ca="1">IF($BP$1=1,EC24,-IF(RTD("tos.rtd",,BO$2,"."&amp;$A$2&amp;$AW$1&amp;"P"&amp;$A24)="N/A",0,RTD("tos.rtd",,BO$2,"."&amp;$A$2&amp;$AW$1&amp;"P"&amp;$A24)))</f>
        <v>-2.0782668893421685E-2</v>
      </c>
      <c r="BQ24" s="3">
        <f t="shared" ca="1" si="148"/>
        <v>-3216225.0920012379</v>
      </c>
      <c r="BR24" s="3" t="str">
        <f t="shared" ca="1" si="71"/>
        <v/>
      </c>
      <c r="BS24" s="3">
        <f t="shared" ca="1" si="149"/>
        <v>17398008.814313535</v>
      </c>
      <c r="BT24" s="3" t="str">
        <f t="shared" ca="1" si="71"/>
        <v/>
      </c>
      <c r="BU24" s="3">
        <f t="shared" ca="1" si="150"/>
        <v>4254921.1534488332</v>
      </c>
      <c r="BV24" s="3" t="str">
        <f t="shared" ref="BV24" ca="1" si="175">IF(AND(BU24&lt;0,BU23&gt;0), "Cruce -", IF(AND(BU24&gt;0,BU23&lt;0),"Cruce +", ""))</f>
        <v/>
      </c>
      <c r="BX24" s="3">
        <f t="shared" ca="1" si="152"/>
        <v>-198431792.01821834</v>
      </c>
      <c r="BY24" s="3" t="str">
        <f t="shared" ca="1" si="73"/>
        <v/>
      </c>
      <c r="BZ24" s="3">
        <f t="shared" ca="1" si="153"/>
        <v>-35894936.747523755</v>
      </c>
      <c r="CA24" s="3" t="str">
        <f t="shared" ca="1" si="74"/>
        <v/>
      </c>
      <c r="CB24" s="3">
        <f t="shared" ca="1" si="154"/>
        <v>-6340694.6539469985</v>
      </c>
      <c r="CC24" s="3" t="str">
        <f t="shared" ca="1" si="75"/>
        <v/>
      </c>
      <c r="CD24" s="3">
        <f>IF(RTD("tos.rtd",,CD$2,"."&amp;$A$2&amp;$AS$1&amp;"C"&amp;$A24)="N/A",0,RTD("tos.rtd",,CD$2,"."&amp;$A$2&amp;$AS$1&amp;"C"&amp;$A24))</f>
        <v>1</v>
      </c>
      <c r="CE24" s="3">
        <f>-IF(RTD("tos.rtd",,CE$2,"."&amp;$A$2&amp;$AS$1&amp;"P"&amp;$A24)="N/A",0,RTD("tos.rtd",,CE$2,"."&amp;$A$2&amp;$AS$1&amp;"P"&amp;$A24))</f>
        <v>0</v>
      </c>
      <c r="CF24" s="3">
        <f>IF(RTD("tos.rtd",,CF$2,"."&amp;$A$2&amp;$AU$1&amp;"C"&amp;$A24)="N/A",0,RTD("tos.rtd",,CF$2,"."&amp;$A$2&amp;$AU$1&amp;"C"&amp;$A24))</f>
        <v>0.82</v>
      </c>
      <c r="CG24" s="3">
        <f>-IF(RTD("tos.rtd",,CG$2,"."&amp;$A$2&amp;$AU$1&amp;"P"&amp;$A24)="N/A",0,RTD("tos.rtd",,CG$2,"."&amp;$A$2&amp;$AU$1&amp;"P"&amp;$A24))</f>
        <v>0.18</v>
      </c>
      <c r="CH24" s="3">
        <f>IF(RTD("tos.rtd",,CH$2,"."&amp;$A$2&amp;$AW$1&amp;"C"&amp;$A24)="N/A",0,RTD("tos.rtd",,CH$2,"."&amp;$A$2&amp;$AW$1&amp;"C"&amp;$A24))</f>
        <v>0.67</v>
      </c>
      <c r="CI24" s="3">
        <f>-IF(RTD("tos.rtd",,CI$2,"."&amp;$A$2&amp;$AW$1&amp;"P"&amp;$A24)="N/A",0,RTD("tos.rtd",,CI$2,"."&amp;$A$2&amp;$AW$1&amp;"P"&amp;$A24))</f>
        <v>0.34</v>
      </c>
      <c r="CK24" s="3">
        <f t="shared" si="155"/>
        <v>773200</v>
      </c>
      <c r="CL24" s="3"/>
      <c r="CM24" s="3">
        <f t="shared" si="156"/>
        <v>263926</v>
      </c>
      <c r="CN24" s="3"/>
      <c r="CO24" s="3">
        <f t="shared" si="157"/>
        <v>46206.000000000007</v>
      </c>
      <c r="CP24" s="3">
        <f t="shared" si="158"/>
        <v>1083332</v>
      </c>
      <c r="CQ24" s="3">
        <f t="shared" si="159"/>
        <v>-29498</v>
      </c>
      <c r="CR24" s="3"/>
      <c r="CS24" s="3">
        <f t="shared" si="160"/>
        <v>-5352</v>
      </c>
      <c r="CT24" s="3"/>
      <c r="CU24" s="3">
        <f t="shared" si="161"/>
        <v>-898</v>
      </c>
      <c r="CV24" s="3">
        <f t="shared" si="162"/>
        <v>-35748</v>
      </c>
      <c r="CW24" s="3">
        <f t="shared" ca="1" si="163"/>
        <v>18436704.875761129</v>
      </c>
      <c r="CX24" s="85" t="str">
        <f t="shared" ca="1" si="76"/>
        <v/>
      </c>
      <c r="CY24" s="3">
        <f t="shared" ca="1" si="164"/>
        <v>-240667423.41968909</v>
      </c>
      <c r="CZ24" s="85" t="str">
        <f t="shared" ca="1" si="77"/>
        <v/>
      </c>
      <c r="DA24" s="3">
        <f>IF(RTD("tos.rtd",,DA$2,"."&amp;$A$2&amp;$AS$1&amp;"C"&amp;$A24)="N/A",0,RTD("tos.rtd",,DA$2,"."&amp;$A$2&amp;$AS$1&amp;"C"&amp;$A24))</f>
        <v>11.01</v>
      </c>
      <c r="DB24" s="3">
        <f>IF(RTD("tos.rtd",,DB$2,"."&amp;$A$2&amp;$AS$1&amp;"P"&amp;$A24)="N/A",0,RTD("tos.rtd",,DB$2,"."&amp;$A$2&amp;$AS$1&amp;"P"&amp;$A24))</f>
        <v>0.01</v>
      </c>
      <c r="DC24" s="3">
        <f>IF(RTD("tos.rtd",,DC$2,"."&amp;$A$2&amp;$AS$1&amp;"C"&amp;$A24)="N/A",0,RTD("tos.rtd",,DC$2,"."&amp;$A$2&amp;$AS$1&amp;"C"&amp;$A24))</f>
        <v>10.96</v>
      </c>
      <c r="DD24" s="3">
        <f>IF(RTD("tos.rtd",,DD$2,"."&amp;$A$2&amp;$AS$1&amp;"P"&amp;$A24)="N/A",0,RTD("tos.rtd",,DD$2,"."&amp;$A$2&amp;$AS$1&amp;"P"&amp;$A24))</f>
        <v>0.01</v>
      </c>
      <c r="DE24" s="3">
        <f>IF(RTD("tos.rtd",,DE$2,"."&amp;$A$2&amp;$AS$1&amp;"C"&amp;$A24)="N/A",0,RTD("tos.rtd",,DE$2,"."&amp;$A$2&amp;$AS$1&amp;"C"&amp;$A24))</f>
        <v>10.64</v>
      </c>
      <c r="DF24" s="3">
        <f>IF(RTD("tos.rtd",,DF$2,"."&amp;$A$2&amp;$AS$1&amp;"P"&amp;$A24)="N/A",0,RTD("tos.rtd",,DF$2,"."&amp;$A$2&amp;$AS$1&amp;"P"&amp;$A24))</f>
        <v>0</v>
      </c>
      <c r="DG24" s="86">
        <f t="shared" si="48"/>
        <v>-10.950000000000045</v>
      </c>
      <c r="DH24" s="3">
        <f t="shared" si="165"/>
        <v>0</v>
      </c>
      <c r="DI24" s="3">
        <f t="shared" si="166"/>
        <v>-25</v>
      </c>
      <c r="DJ24" s="3">
        <f t="shared" si="167"/>
        <v>0</v>
      </c>
      <c r="DK24" s="3">
        <f t="shared" si="51"/>
        <v>-25</v>
      </c>
      <c r="DL24" s="3">
        <f t="shared" si="52"/>
        <v>-25</v>
      </c>
      <c r="DM24" s="3">
        <f t="shared" si="53"/>
        <v>-25</v>
      </c>
      <c r="DN24" s="63" t="str">
        <f t="shared" si="54"/>
        <v>UNKNOWN</v>
      </c>
      <c r="DO24" s="63" t="str">
        <f t="shared" si="55"/>
        <v>BUY</v>
      </c>
      <c r="DP24" s="3">
        <f t="shared" si="56"/>
        <v>-0.25</v>
      </c>
      <c r="DQ24" s="3">
        <f t="shared" si="57"/>
        <v>-0.25</v>
      </c>
      <c r="DR24" s="3">
        <f t="shared" ca="1" si="58"/>
        <v>0.3917306333844387</v>
      </c>
      <c r="DS24" s="3">
        <f t="shared" si="59"/>
        <v>0</v>
      </c>
      <c r="DT24" s="3">
        <f t="shared" si="60"/>
        <v>0</v>
      </c>
      <c r="DU24" s="3">
        <f t="shared" si="61"/>
        <v>-25</v>
      </c>
      <c r="DV24" s="3">
        <f t="shared" si="62"/>
        <v>4179</v>
      </c>
      <c r="DW24" s="3">
        <f t="shared" si="23"/>
        <v>6101</v>
      </c>
      <c r="DX24" s="3">
        <f t="shared" ca="1" si="24"/>
        <v>1.809817308824655E-9</v>
      </c>
      <c r="DY24" s="3">
        <f t="shared" ca="1" si="25"/>
        <v>-1.5669225335377547E-2</v>
      </c>
      <c r="DZ24" s="3">
        <f t="shared" ca="1" si="26"/>
        <v>1.9925727388618225E-2</v>
      </c>
      <c r="EA24" s="3">
        <f t="shared" ca="1" si="27"/>
        <v>-1.9775171274638403E-2</v>
      </c>
      <c r="EB24" s="3">
        <f t="shared" ca="1" si="28"/>
        <v>2.0848023278227452E-2</v>
      </c>
      <c r="EC24" s="3">
        <f t="shared" ca="1" si="29"/>
        <v>-2.0782668893421685E-2</v>
      </c>
      <c r="ED24" s="63">
        <f t="shared" si="63"/>
        <v>10280</v>
      </c>
      <c r="EE24" s="59">
        <f t="shared" si="168"/>
        <v>0.25</v>
      </c>
      <c r="EF24" s="59">
        <f t="shared" si="169"/>
        <v>0.94450000000000001</v>
      </c>
      <c r="EG24" s="59">
        <f t="shared" si="170"/>
        <v>0.2026</v>
      </c>
      <c r="EH24" s="59">
        <f t="shared" si="171"/>
        <v>0.20649999999999999</v>
      </c>
      <c r="EI24" s="59">
        <f t="shared" si="172"/>
        <v>0.17150000000000001</v>
      </c>
      <c r="EJ24" s="59">
        <f t="shared" si="173"/>
        <v>0.1749</v>
      </c>
      <c r="EK24" s="63">
        <f t="shared" ca="1" si="65"/>
        <v>-32487113.81908489</v>
      </c>
      <c r="EL24" s="3" t="str">
        <f>RTD("tos.rtd",,EL$2,"."&amp;$A$2&amp;$AS$1&amp;"C"&amp;$A24)</f>
        <v>--</v>
      </c>
      <c r="EM24" s="3" t="str">
        <f>RTD("tos.rtd",,EM$2,"."&amp;$A$2&amp;$AS$1&amp;"P"&amp;$A24)</f>
        <v>94.45%</v>
      </c>
      <c r="EN24" s="3" t="str">
        <f>RTD("tos.rtd",,EN$2,"."&amp;$A$2&amp;$AU$1&amp;"C"&amp;$A24)</f>
        <v>20.26%</v>
      </c>
      <c r="EO24" s="3" t="str">
        <f>RTD("tos.rtd",,EO$2,"."&amp;$A$2&amp;$AU$1&amp;"P"&amp;$A24)</f>
        <v>20.65%</v>
      </c>
      <c r="EP24" s="3" t="str">
        <f>RTD("tos.rtd",,EP$2,"."&amp;$A$2&amp;$AW$1&amp;"C"&amp;$A24)</f>
        <v>17.15%</v>
      </c>
      <c r="EQ24" s="3" t="str">
        <f>RTD("tos.rtd",,EQ$2,"."&amp;$A$2&amp;$AW$1&amp;"P"&amp;$A24)</f>
        <v>17.49%</v>
      </c>
      <c r="ES24" s="63" t="str">
        <f t="shared" si="66"/>
        <v>572,10280.00</v>
      </c>
      <c r="ET24" s="63" t="str">
        <f t="shared" ca="1" si="67"/>
        <v>572,-240667.42</v>
      </c>
      <c r="EU24" s="67">
        <v>564.79999999999995</v>
      </c>
      <c r="EV24" s="67" t="s">
        <v>211</v>
      </c>
      <c r="EW24" s="67">
        <v>487.92</v>
      </c>
      <c r="EX24" s="67" t="s">
        <v>212</v>
      </c>
      <c r="EY24" s="67">
        <v>5659.91</v>
      </c>
      <c r="EZ24" s="67" t="s">
        <v>213</v>
      </c>
      <c r="FA24" s="67">
        <v>20061.449000000001</v>
      </c>
      <c r="FB24" s="67" t="s">
        <v>214</v>
      </c>
      <c r="FC24" s="67" t="s">
        <v>215</v>
      </c>
      <c r="FD24" s="67" t="s">
        <v>216</v>
      </c>
      <c r="FE24" s="67" t="s">
        <v>217</v>
      </c>
      <c r="FF24" s="67" t="s">
        <v>218</v>
      </c>
    </row>
    <row r="25" spans="1:162" s="63" customFormat="1" ht="13.5" thickBot="1" x14ac:dyDescent="0.25">
      <c r="A25" s="2">
        <f t="shared" si="68"/>
        <v>571</v>
      </c>
      <c r="B25" s="3">
        <f t="shared" si="141"/>
        <v>5986</v>
      </c>
      <c r="C25" s="3">
        <f t="shared" si="142"/>
        <v>4452</v>
      </c>
      <c r="D25" s="3">
        <f t="shared" si="143"/>
        <v>1962</v>
      </c>
      <c r="E25" s="3">
        <f t="shared" si="144"/>
        <v>12400</v>
      </c>
      <c r="F25" s="4">
        <f t="shared" si="145"/>
        <v>5745.5069045372666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>
        <v>787</v>
      </c>
      <c r="AN25" s="1">
        <v>8847</v>
      </c>
      <c r="AO25" s="1">
        <v>571</v>
      </c>
      <c r="AP25" s="1">
        <v>3075</v>
      </c>
      <c r="AQ25" s="1">
        <v>-42115</v>
      </c>
      <c r="AR25" s="1"/>
      <c r="AS25" s="6">
        <f>IF(RTD("tos.rtd",,AS$2,"."&amp;$A$2&amp;$AS$1&amp;"C"&amp;$A25)="N/A",0,RTD("tos.rtd",,AS$2,"."&amp;$A$2&amp;$AS$1&amp;"C"&amp;$A25))</f>
        <v>5428</v>
      </c>
      <c r="AT25" s="7">
        <f>-IF(RTD("tos.rtd",,AT$2,"."&amp;$A$2&amp;$AS$1&amp;"P"&amp;$A25)="N/A",0,RTD("tos.rtd",,AT$2,"."&amp;$A$2&amp;$AS$1&amp;"P"&amp;$A25))</f>
        <v>-558</v>
      </c>
      <c r="AU25" s="6">
        <f>IF(RTD("tos.rtd",,AU$2,"."&amp;$A$2&amp;$AU$1&amp;"C"&amp;$A25)="N/A",0,RTD("tos.rtd",,AU$2,"."&amp;$A$2&amp;$AU$1&amp;"C"&amp;$A25))</f>
        <v>3580</v>
      </c>
      <c r="AV25" s="7">
        <f>-IF(RTD("tos.rtd",,AV$2,"."&amp;$A$2&amp;$AU$1&amp;"P"&amp;$A25)="N/A",0,RTD("tos.rtd",,AV$2,"."&amp;$A$2&amp;$AU$1&amp;"P"&amp;$A25))</f>
        <v>-872</v>
      </c>
      <c r="AW25" s="6">
        <f>IF(RTD("tos.rtd",,AW$2,"."&amp;$A$2&amp;$AW$1&amp;"C"&amp;$A25)="N/A",0,RTD("tos.rtd",,AW$2,"."&amp;$A$2&amp;$AW$1&amp;"C"&amp;$A25))</f>
        <v>1447</v>
      </c>
      <c r="AX25" s="7">
        <f>-IF(RTD("tos.rtd",,AX$2,"."&amp;$A$2&amp;$AW$1&amp;"P"&amp;$A25)="N/A",0,RTD("tos.rtd",,AX$2,"."&amp;$A$2&amp;$AW$1&amp;"P"&amp;$A25))</f>
        <v>-515</v>
      </c>
      <c r="AY25" s="1">
        <f t="shared" si="146"/>
        <v>8510</v>
      </c>
      <c r="AZ25" s="8">
        <f t="shared" si="35"/>
        <v>571</v>
      </c>
      <c r="BA25" s="6">
        <f>IF(RTD("tos.rtd",,BA$2,"."&amp;$A$2&amp;$AS$1&amp;"C"&amp;$A25)="N/A",0,RTD("tos.rtd",,BA$2,"."&amp;$A$2&amp;$AS$1&amp;"C"&amp;$A25))</f>
        <v>3075</v>
      </c>
      <c r="BB25" s="7">
        <f>-IF(RTD("tos.rtd",,BB$2,"."&amp;$A$2&amp;$AS$1&amp;"P"&amp;$A25)="N/A",0,RTD("tos.rtd",,BB$2,"."&amp;$A$2&amp;$AS$1&amp;"P"&amp;$A25))</f>
        <v>-42161</v>
      </c>
      <c r="BC25" s="6">
        <f>IF(RTD("tos.rtd",,BC$2,"."&amp;$A$2&amp;$AU$1&amp;"C"&amp;$A25)="N/A",0,RTD("tos.rtd",,BC$2,"."&amp;$A$2&amp;$AU$1&amp;"C"&amp;$A25))</f>
        <v>1063</v>
      </c>
      <c r="BD25" s="7">
        <f>-IF(RTD("tos.rtd",,BD$2,"."&amp;$A$2&amp;$AU$1&amp;"P"&amp;$A25)="N/A",0,RTD("tos.rtd",,BD$2,"."&amp;$A$2&amp;$AU$1&amp;"P"&amp;$A25))</f>
        <v>-5350</v>
      </c>
      <c r="BE25" s="6">
        <f>IF(RTD("tos.rtd",,BE$2,"."&amp;$A$2&amp;$AW$1&amp;"C"&amp;$A25)="N/A",0,RTD("tos.rtd",,BE$2,"."&amp;$A$2&amp;$AW$1&amp;"C"&amp;$A25))</f>
        <v>28</v>
      </c>
      <c r="BF25" s="83">
        <f>-IF(RTD("tos.rtd",,BF$2,"."&amp;$A$2&amp;$AW$1&amp;"P"&amp;$A25)="N/A",0,RTD("tos.rtd",,BF$2,"."&amp;$A$2&amp;$AW$1&amp;"P"&amp;$A25))</f>
        <v>-952</v>
      </c>
      <c r="BG25" s="32">
        <f ca="1">+Hoja2!Y26</f>
        <v>-501</v>
      </c>
      <c r="BH25" s="7">
        <f t="shared" ca="1" si="36"/>
        <v>-44798</v>
      </c>
      <c r="BI25" s="8" t="str">
        <f t="shared" ref="BI25" ca="1" si="176">IF(AND(BH25&lt;0,BH24&gt;0), "Cruce -", IF(AND(BH25&gt;0,BH24&lt;0),"Cruce +", ""))</f>
        <v/>
      </c>
      <c r="BJ25" s="3">
        <f ca="1">IF($BP$1=1,DX25,IF(RTD("tos.rtd",,BJ$2,"."&amp;$A$2&amp;$AS$1&amp;"C"&amp;$A25)="N/A",0,RTD("tos.rtd",,BJ$2,"."&amp;$A$2&amp;$AS$1&amp;"C"&amp;$A25)))</f>
        <v>4.9850254216870962E-11</v>
      </c>
      <c r="BK25" s="3">
        <f ca="1">IF($BP$1=1,DY25,-IF(RTD("tos.rtd",,BK$2,"."&amp;$A$2&amp;$AS$1&amp;"P"&amp;$A25)="N/A",0,RTD("tos.rtd",,BK$2,"."&amp;$A$2&amp;$AS$1&amp;"P"&amp;$A25)))</f>
        <v>-1.4124874788826193E-2</v>
      </c>
      <c r="BL25" s="3">
        <f ca="1">IF($BP$1=1,DZ25,IF(RTD("tos.rtd",,BL$2,"."&amp;$A$2&amp;$AU$1&amp;"C"&amp;$A25)="N/A",0,RTD("tos.rtd",,BL$2,"."&amp;$A$2&amp;$AU$1&amp;"C"&amp;$A25)))</f>
        <v>1.8671297201315041E-2</v>
      </c>
      <c r="BM25" s="3">
        <f ca="1">IF($BP$1=1,EA25,-IF(RTD("tos.rtd",,BM$2,"."&amp;$A$2&amp;$AU$1&amp;"P"&amp;$A25)="N/A",0,RTD("tos.rtd",,BM$2,"."&amp;$A$2&amp;$AU$1&amp;"P"&amp;$A25)))</f>
        <v>-1.8649152288383871E-2</v>
      </c>
      <c r="BN25" s="3">
        <f ca="1">IF($BP$1=1,EB25,IF(RTD("tos.rtd",,BN$2,"."&amp;$A$2&amp;$AW$1&amp;"C"&amp;$A25)="N/A",0,RTD("tos.rtd",,BN$2,"."&amp;$A$2&amp;$AW$1&amp;"C"&amp;$A25)))</f>
        <v>1.9230643978645382E-2</v>
      </c>
      <c r="BO25" s="3">
        <f ca="1">IF($BP$1=1,EC25,-IF(RTD("tos.rtd",,BO$2,"."&amp;$A$2&amp;$AW$1&amp;"P"&amp;$A25)="N/A",0,RTD("tos.rtd",,BO$2,"."&amp;$A$2&amp;$AW$1&amp;"P"&amp;$A25)))</f>
        <v>-1.9224529720729126E-2</v>
      </c>
      <c r="BQ25" s="3">
        <f t="shared" ca="1" si="148"/>
        <v>-2678436.8042400992</v>
      </c>
      <c r="BR25" s="3" t="str">
        <f t="shared" ca="1" si="71"/>
        <v/>
      </c>
      <c r="BS25" s="3">
        <f t="shared" ca="1" si="149"/>
        <v>17189039.01512032</v>
      </c>
      <c r="BT25" s="3" t="str">
        <f t="shared" ca="1" si="71"/>
        <v/>
      </c>
      <c r="BU25" s="3">
        <f t="shared" ca="1" si="150"/>
        <v>6091842.2250706237</v>
      </c>
      <c r="BV25" s="3" t="str">
        <f t="shared" ref="BV25" ca="1" si="177">IF(AND(BU25&lt;0,BU24&gt;0), "Cruce -", IF(AND(BU25&gt;0,BU24&lt;0),"Cruce +", ""))</f>
        <v/>
      </c>
      <c r="BX25" s="3">
        <f t="shared" ca="1" si="152"/>
        <v>-202375587.72646004</v>
      </c>
      <c r="BY25" s="3" t="str">
        <f t="shared" ca="1" si="73"/>
        <v/>
      </c>
      <c r="BZ25" s="3">
        <f t="shared" ca="1" si="153"/>
        <v>-27161096.611758467</v>
      </c>
      <c r="CA25" s="3" t="str">
        <f t="shared" ca="1" si="74"/>
        <v/>
      </c>
      <c r="CB25" s="3">
        <f t="shared" ca="1" si="154"/>
        <v>-6036512.7680184562</v>
      </c>
      <c r="CC25" s="3" t="str">
        <f t="shared" ca="1" si="75"/>
        <v/>
      </c>
      <c r="CD25" s="3">
        <f>IF(RTD("tos.rtd",,CD$2,"."&amp;$A$2&amp;$AS$1&amp;"C"&amp;$A25)="N/A",0,RTD("tos.rtd",,CD$2,"."&amp;$A$2&amp;$AS$1&amp;"C"&amp;$A25))</f>
        <v>1</v>
      </c>
      <c r="CE25" s="3">
        <f>-IF(RTD("tos.rtd",,CE$2,"."&amp;$A$2&amp;$AS$1&amp;"P"&amp;$A25)="N/A",0,RTD("tos.rtd",,CE$2,"."&amp;$A$2&amp;$AS$1&amp;"P"&amp;$A25))</f>
        <v>0</v>
      </c>
      <c r="CF25" s="3">
        <f>IF(RTD("tos.rtd",,CF$2,"."&amp;$A$2&amp;$AU$1&amp;"C"&amp;$A25)="N/A",0,RTD("tos.rtd",,CF$2,"."&amp;$A$2&amp;$AU$1&amp;"C"&amp;$A25))</f>
        <v>0.84</v>
      </c>
      <c r="CG25" s="3">
        <f>-IF(RTD("tos.rtd",,CG$2,"."&amp;$A$2&amp;$AU$1&amp;"P"&amp;$A25)="N/A",0,RTD("tos.rtd",,CG$2,"."&amp;$A$2&amp;$AU$1&amp;"P"&amp;$A25))</f>
        <v>0.16</v>
      </c>
      <c r="CH25" s="3">
        <f>IF(RTD("tos.rtd",,CH$2,"."&amp;$A$2&amp;$AW$1&amp;"C"&amp;$A25)="N/A",0,RTD("tos.rtd",,CH$2,"."&amp;$A$2&amp;$AW$1&amp;"C"&amp;$A25))</f>
        <v>0.67</v>
      </c>
      <c r="CI25" s="3">
        <f>-IF(RTD("tos.rtd",,CI$2,"."&amp;$A$2&amp;$AW$1&amp;"P"&amp;$A25)="N/A",0,RTD("tos.rtd",,CI$2,"."&amp;$A$2&amp;$AW$1&amp;"P"&amp;$A25))</f>
        <v>0.33</v>
      </c>
      <c r="CK25" s="3">
        <f t="shared" si="155"/>
        <v>542800</v>
      </c>
      <c r="CL25" s="3"/>
      <c r="CM25" s="3">
        <f t="shared" si="156"/>
        <v>286768</v>
      </c>
      <c r="CN25" s="3"/>
      <c r="CO25" s="3">
        <f t="shared" si="157"/>
        <v>79954</v>
      </c>
      <c r="CP25" s="3">
        <f t="shared" si="158"/>
        <v>909522</v>
      </c>
      <c r="CQ25" s="3">
        <f t="shared" si="159"/>
        <v>-39086</v>
      </c>
      <c r="CR25" s="3"/>
      <c r="CS25" s="3">
        <f t="shared" si="160"/>
        <v>-4287</v>
      </c>
      <c r="CT25" s="3"/>
      <c r="CU25" s="3">
        <f t="shared" si="161"/>
        <v>-924</v>
      </c>
      <c r="CV25" s="3">
        <f t="shared" si="162"/>
        <v>-44297</v>
      </c>
      <c r="CW25" s="3">
        <f t="shared" ca="1" si="163"/>
        <v>20602444.435950845</v>
      </c>
      <c r="CX25" s="85" t="str">
        <f t="shared" ca="1" si="76"/>
        <v/>
      </c>
      <c r="CY25" s="3">
        <f t="shared" ca="1" si="164"/>
        <v>-235573197.10623696</v>
      </c>
      <c r="CZ25" s="85" t="str">
        <f t="shared" ca="1" si="77"/>
        <v/>
      </c>
      <c r="DA25" s="3">
        <f>IF(RTD("tos.rtd",,DA$2,"."&amp;$A$2&amp;$AS$1&amp;"C"&amp;$A25)="N/A",0,RTD("tos.rtd",,DA$2,"."&amp;$A$2&amp;$AS$1&amp;"C"&amp;$A25))</f>
        <v>11.94</v>
      </c>
      <c r="DB25" s="3">
        <f>IF(RTD("tos.rtd",,DB$2,"."&amp;$A$2&amp;$AS$1&amp;"P"&amp;$A25)="N/A",0,RTD("tos.rtd",,DB$2,"."&amp;$A$2&amp;$AS$1&amp;"P"&amp;$A25))</f>
        <v>0.01</v>
      </c>
      <c r="DC25" s="3">
        <f>IF(RTD("tos.rtd",,DC$2,"."&amp;$A$2&amp;$AS$1&amp;"C"&amp;$A25)="N/A",0,RTD("tos.rtd",,DC$2,"."&amp;$A$2&amp;$AS$1&amp;"C"&amp;$A25))</f>
        <v>11.95</v>
      </c>
      <c r="DD25" s="3">
        <f>IF(RTD("tos.rtd",,DD$2,"."&amp;$A$2&amp;$AS$1&amp;"P"&amp;$A25)="N/A",0,RTD("tos.rtd",,DD$2,"."&amp;$A$2&amp;$AS$1&amp;"P"&amp;$A25))</f>
        <v>0.01</v>
      </c>
      <c r="DE25" s="3">
        <f>IF(RTD("tos.rtd",,DE$2,"."&amp;$A$2&amp;$AS$1&amp;"C"&amp;$A25)="N/A",0,RTD("tos.rtd",,DE$2,"."&amp;$A$2&amp;$AS$1&amp;"C"&amp;$A25))</f>
        <v>11.64</v>
      </c>
      <c r="DF25" s="3">
        <f>IF(RTD("tos.rtd",,DF$2,"."&amp;$A$2&amp;$AS$1&amp;"P"&amp;$A25)="N/A",0,RTD("tos.rtd",,DF$2,"."&amp;$A$2&amp;$AS$1&amp;"P"&amp;$A25))</f>
        <v>0</v>
      </c>
      <c r="DG25" s="86">
        <f t="shared" si="48"/>
        <v>-11.950000000000045</v>
      </c>
      <c r="DH25" s="3">
        <f t="shared" si="165"/>
        <v>0</v>
      </c>
      <c r="DI25" s="3">
        <f t="shared" si="166"/>
        <v>-46</v>
      </c>
      <c r="DJ25" s="3">
        <f t="shared" si="167"/>
        <v>0</v>
      </c>
      <c r="DK25" s="3">
        <f t="shared" si="51"/>
        <v>-46</v>
      </c>
      <c r="DL25" s="3">
        <f t="shared" si="52"/>
        <v>-46</v>
      </c>
      <c r="DM25" s="3">
        <f t="shared" si="53"/>
        <v>-46</v>
      </c>
      <c r="DN25" s="63" t="str">
        <f t="shared" si="54"/>
        <v>UNKNOWN</v>
      </c>
      <c r="DO25" s="63" t="str">
        <f t="shared" si="55"/>
        <v>BUY</v>
      </c>
      <c r="DP25" s="3">
        <f t="shared" si="56"/>
        <v>-0.46</v>
      </c>
      <c r="DQ25" s="3">
        <f t="shared" si="57"/>
        <v>-0.46</v>
      </c>
      <c r="DR25" s="3">
        <f t="shared" ca="1" si="58"/>
        <v>0.64974424028600486</v>
      </c>
      <c r="DS25" s="3">
        <f t="shared" si="59"/>
        <v>0</v>
      </c>
      <c r="DT25" s="3">
        <f t="shared" si="60"/>
        <v>0</v>
      </c>
      <c r="DU25" s="3">
        <f t="shared" si="61"/>
        <v>-46</v>
      </c>
      <c r="DV25" s="3">
        <f t="shared" si="62"/>
        <v>787</v>
      </c>
      <c r="DW25" s="3">
        <f t="shared" si="23"/>
        <v>8801</v>
      </c>
      <c r="DX25" s="3">
        <f t="shared" ca="1" si="24"/>
        <v>4.9850254216870962E-11</v>
      </c>
      <c r="DY25" s="3">
        <f t="shared" ca="1" si="25"/>
        <v>-1.4124874788826193E-2</v>
      </c>
      <c r="DZ25" s="3">
        <f t="shared" ca="1" si="26"/>
        <v>1.8671297201315041E-2</v>
      </c>
      <c r="EA25" s="3">
        <f t="shared" ca="1" si="27"/>
        <v>-1.8649152288383871E-2</v>
      </c>
      <c r="EB25" s="3">
        <f t="shared" ca="1" si="28"/>
        <v>1.9230643978645382E-2</v>
      </c>
      <c r="EC25" s="3">
        <f t="shared" ca="1" si="29"/>
        <v>-1.9224529720729126E-2</v>
      </c>
      <c r="ED25" s="63">
        <f t="shared" si="63"/>
        <v>9588</v>
      </c>
      <c r="EE25" s="59">
        <f t="shared" si="168"/>
        <v>0.25</v>
      </c>
      <c r="EF25" s="59">
        <f t="shared" si="169"/>
        <v>1.0224</v>
      </c>
      <c r="EG25" s="59">
        <f t="shared" si="170"/>
        <v>0.20749999999999999</v>
      </c>
      <c r="EH25" s="59">
        <f t="shared" si="171"/>
        <v>0.20830000000000001</v>
      </c>
      <c r="EI25" s="59">
        <f t="shared" si="172"/>
        <v>0.17419999999999999</v>
      </c>
      <c r="EJ25" s="59">
        <f t="shared" si="173"/>
        <v>0.17630000000000001</v>
      </c>
      <c r="EK25" s="63">
        <f t="shared" ca="1" si="65"/>
        <v>-42245381.928249754</v>
      </c>
      <c r="EL25" s="3" t="str">
        <f>RTD("tos.rtd",,EL$2,"."&amp;$A$2&amp;$AS$1&amp;"C"&amp;$A25)</f>
        <v>--</v>
      </c>
      <c r="EM25" s="3" t="str">
        <f>RTD("tos.rtd",,EM$2,"."&amp;$A$2&amp;$AS$1&amp;"P"&amp;$A25)</f>
        <v>102.24%</v>
      </c>
      <c r="EN25" s="3" t="str">
        <f>RTD("tos.rtd",,EN$2,"."&amp;$A$2&amp;$AU$1&amp;"C"&amp;$A25)</f>
        <v>20.75%</v>
      </c>
      <c r="EO25" s="3" t="str">
        <f>RTD("tos.rtd",,EO$2,"."&amp;$A$2&amp;$AU$1&amp;"P"&amp;$A25)</f>
        <v>20.83%</v>
      </c>
      <c r="EP25" s="3" t="str">
        <f>RTD("tos.rtd",,EP$2,"."&amp;$A$2&amp;$AW$1&amp;"C"&amp;$A25)</f>
        <v>17.42%</v>
      </c>
      <c r="EQ25" s="3" t="str">
        <f>RTD("tos.rtd",,EQ$2,"."&amp;$A$2&amp;$AW$1&amp;"P"&amp;$A25)</f>
        <v>17.63%</v>
      </c>
      <c r="ES25" s="63" t="str">
        <f t="shared" si="66"/>
        <v>571,9588.00</v>
      </c>
      <c r="ET25" s="63" t="str">
        <f t="shared" ca="1" si="67"/>
        <v>571,-235573.20</v>
      </c>
      <c r="EU25" s="67">
        <v>564.79999999999995</v>
      </c>
      <c r="EV25" s="67" t="s">
        <v>219</v>
      </c>
      <c r="EW25" s="67">
        <v>487.92</v>
      </c>
      <c r="EX25" s="67" t="s">
        <v>220</v>
      </c>
      <c r="EY25" s="67">
        <v>5659.91</v>
      </c>
      <c r="EZ25" s="67" t="s">
        <v>221</v>
      </c>
      <c r="FA25" s="67">
        <v>20061.449000000001</v>
      </c>
      <c r="FB25" s="67" t="s">
        <v>222</v>
      </c>
      <c r="FC25" s="67" t="s">
        <v>223</v>
      </c>
      <c r="FD25" s="67" t="s">
        <v>224</v>
      </c>
      <c r="FE25" s="67" t="s">
        <v>225</v>
      </c>
      <c r="FF25" s="67" t="s">
        <v>226</v>
      </c>
    </row>
    <row r="26" spans="1:162" s="63" customFormat="1" ht="13.5" thickBot="1" x14ac:dyDescent="0.25">
      <c r="A26" s="2">
        <f t="shared" si="68"/>
        <v>570</v>
      </c>
      <c r="B26" s="3">
        <f t="shared" si="141"/>
        <v>17776</v>
      </c>
      <c r="C26" s="3">
        <f t="shared" si="142"/>
        <v>46665</v>
      </c>
      <c r="D26" s="3">
        <f t="shared" si="143"/>
        <v>65344</v>
      </c>
      <c r="E26" s="3">
        <f t="shared" si="144"/>
        <v>129785</v>
      </c>
      <c r="F26" s="4">
        <f t="shared" si="145"/>
        <v>5735.4447208165357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>
        <v>376</v>
      </c>
      <c r="AN26" s="1">
        <v>-17772</v>
      </c>
      <c r="AO26" s="1">
        <v>570</v>
      </c>
      <c r="AP26" s="1">
        <v>15199</v>
      </c>
      <c r="AQ26" s="1">
        <v>-82006</v>
      </c>
      <c r="AR26" s="1"/>
      <c r="AS26" s="6">
        <f>IF(RTD("tos.rtd",,AS$2,"."&amp;$A$2&amp;$AS$1&amp;"C"&amp;$A26)="N/A",0,RTD("tos.rtd",,AS$2,"."&amp;$A$2&amp;$AS$1&amp;"C"&amp;$A26))</f>
        <v>16437</v>
      </c>
      <c r="AT26" s="7">
        <f>-IF(RTD("tos.rtd",,AT$2,"."&amp;$A$2&amp;$AS$1&amp;"P"&amp;$A26)="N/A",0,RTD("tos.rtd",,AT$2,"."&amp;$A$2&amp;$AS$1&amp;"P"&amp;$A26))</f>
        <v>-1339</v>
      </c>
      <c r="AU26" s="6">
        <f>IF(RTD("tos.rtd",,AU$2,"."&amp;$A$2&amp;$AU$1&amp;"C"&amp;$A26)="N/A",0,RTD("tos.rtd",,AU$2,"."&amp;$A$2&amp;$AU$1&amp;"C"&amp;$A26))</f>
        <v>30656</v>
      </c>
      <c r="AV26" s="7">
        <f>-IF(RTD("tos.rtd",,AV$2,"."&amp;$A$2&amp;$AU$1&amp;"P"&amp;$A26)="N/A",0,RTD("tos.rtd",,AV$2,"."&amp;$A$2&amp;$AU$1&amp;"P"&amp;$A26))</f>
        <v>-16009</v>
      </c>
      <c r="AW26" s="6">
        <f>IF(RTD("tos.rtd",,AW$2,"."&amp;$A$2&amp;$AW$1&amp;"C"&amp;$A26)="N/A",0,RTD("tos.rtd",,AW$2,"."&amp;$A$2&amp;$AW$1&amp;"C"&amp;$A26))</f>
        <v>45844</v>
      </c>
      <c r="AX26" s="7">
        <f>-IF(RTD("tos.rtd",,AX$2,"."&amp;$A$2&amp;$AW$1&amp;"P"&amp;$A26)="N/A",0,RTD("tos.rtd",,AX$2,"."&amp;$A$2&amp;$AW$1&amp;"P"&amp;$A26))</f>
        <v>-19500</v>
      </c>
      <c r="AY26" s="1">
        <f t="shared" si="146"/>
        <v>56089</v>
      </c>
      <c r="AZ26" s="8">
        <f t="shared" si="35"/>
        <v>570</v>
      </c>
      <c r="BA26" s="6">
        <f>IF(RTD("tos.rtd",,BA$2,"."&amp;$A$2&amp;$AS$1&amp;"C"&amp;$A26)="N/A",0,RTD("tos.rtd",,BA$2,"."&amp;$A$2&amp;$AS$1&amp;"C"&amp;$A26))</f>
        <v>15200</v>
      </c>
      <c r="BB26" s="7">
        <f>-IF(RTD("tos.rtd",,BB$2,"."&amp;$A$2&amp;$AS$1&amp;"P"&amp;$A26)="N/A",0,RTD("tos.rtd",,BB$2,"."&amp;$A$2&amp;$AS$1&amp;"P"&amp;$A26))</f>
        <v>-82006</v>
      </c>
      <c r="BC26" s="6">
        <f>IF(RTD("tos.rtd",,BC$2,"."&amp;$A$2&amp;$AU$1&amp;"C"&amp;$A26)="N/A",0,RTD("tos.rtd",,BC$2,"."&amp;$A$2&amp;$AU$1&amp;"C"&amp;$A26))</f>
        <v>10543</v>
      </c>
      <c r="BD26" s="7">
        <f>-IF(RTD("tos.rtd",,BD$2,"."&amp;$A$2&amp;$AU$1&amp;"P"&amp;$A26)="N/A",0,RTD("tos.rtd",,BD$2,"."&amp;$A$2&amp;$AU$1&amp;"P"&amp;$A26))</f>
        <v>-69910</v>
      </c>
      <c r="BE26" s="6">
        <f>IF(RTD("tos.rtd",,BE$2,"."&amp;$A$2&amp;$AW$1&amp;"C"&amp;$A26)="N/A",0,RTD("tos.rtd",,BE$2,"."&amp;$A$2&amp;$AW$1&amp;"C"&amp;$A26))</f>
        <v>9993</v>
      </c>
      <c r="BF26" s="83">
        <f>-IF(RTD("tos.rtd",,BF$2,"."&amp;$A$2&amp;$AW$1&amp;"P"&amp;$A26)="N/A",0,RTD("tos.rtd",,BF$2,"."&amp;$A$2&amp;$AW$1&amp;"P"&amp;$A26))</f>
        <v>-8698</v>
      </c>
      <c r="BG26" s="32">
        <f ca="1">+Hoja2!Y27</f>
        <v>-16805</v>
      </c>
      <c r="BH26" s="7">
        <f t="shared" ca="1" si="36"/>
        <v>-141683</v>
      </c>
      <c r="BI26" s="8" t="str">
        <f t="shared" ref="BI26" ca="1" si="178">IF(AND(BH26&lt;0,BH25&gt;0), "Cruce -", IF(AND(BH26&gt;0,BH25&lt;0),"Cruce +", ""))</f>
        <v/>
      </c>
      <c r="BJ26" s="3">
        <f ca="1">IF($BP$1=1,DX26,IF(RTD("tos.rtd",,BJ$2,"."&amp;$A$2&amp;$AS$1&amp;"C"&amp;$A26)="N/A",0,RTD("tos.rtd",,BJ$2,"."&amp;$A$2&amp;$AS$1&amp;"C"&amp;$A26)))</f>
        <v>9.9330595210411768E-13</v>
      </c>
      <c r="BK26" s="3">
        <f ca="1">IF($BP$1=1,DY26,-IF(RTD("tos.rtd",,BK$2,"."&amp;$A$2&amp;$AS$1&amp;"P"&amp;$A26)="N/A",0,RTD("tos.rtd",,BK$2,"."&amp;$A$2&amp;$AS$1&amp;"P"&amp;$A26)))</f>
        <v>-1.2833181476080448E-2</v>
      </c>
      <c r="BL26" s="3">
        <f ca="1">IF($BP$1=1,DZ26,IF(RTD("tos.rtd",,BL$2,"."&amp;$A$2&amp;$AU$1&amp;"C"&amp;$A26)="N/A",0,RTD("tos.rtd",,BL$2,"."&amp;$A$2&amp;$AU$1&amp;"C"&amp;$A26)))</f>
        <v>1.7672490683354608E-2</v>
      </c>
      <c r="BM26" s="3">
        <f ca="1">IF($BP$1=1,EA26,-IF(RTD("tos.rtd",,BM$2,"."&amp;$A$2&amp;$AU$1&amp;"P"&amp;$A26)="N/A",0,RTD("tos.rtd",,BM$2,"."&amp;$A$2&amp;$AU$1&amp;"P"&amp;$A26)))</f>
        <v>-1.7524744813431067E-2</v>
      </c>
      <c r="BN26" s="3">
        <f ca="1">IF($BP$1=1,EB26,IF(RTD("tos.rtd",,BN$2,"."&amp;$A$2&amp;$AW$1&amp;"C"&amp;$A26)="N/A",0,RTD("tos.rtd",,BN$2,"."&amp;$A$2&amp;$AW$1&amp;"C"&amp;$A26)))</f>
        <v>1.7675625176743783E-2</v>
      </c>
      <c r="BO26" s="3">
        <f ca="1">IF($BP$1=1,EC26,-IF(RTD("tos.rtd",,BO$2,"."&amp;$A$2&amp;$AW$1&amp;"P"&amp;$A26)="N/A",0,RTD("tos.rtd",,BO$2,"."&amp;$A$2&amp;$AW$1&amp;"P"&amp;$A26)))</f>
        <v>-1.7708243495746696E-2</v>
      </c>
      <c r="BQ26" s="3">
        <f t="shared" ca="1" si="148"/>
        <v>-5839525.0476526534</v>
      </c>
      <c r="BR26" s="3" t="str">
        <f t="shared" ca="1" si="71"/>
        <v/>
      </c>
      <c r="BS26" s="3">
        <f t="shared" ca="1" si="149"/>
        <v>88768616.871144146</v>
      </c>
      <c r="BT26" s="3" t="str">
        <f t="shared" ca="1" si="71"/>
        <v/>
      </c>
      <c r="BU26" s="3">
        <f t="shared" ca="1" si="150"/>
        <v>158024883.09393889</v>
      </c>
      <c r="BV26" s="3" t="str">
        <f t="shared" ref="BV26" ca="1" si="179">IF(AND(BU26&lt;0,BU25&gt;0), "Cruce -", IF(AND(BU26&gt;0,BU25&lt;0),"Cruce +", ""))</f>
        <v/>
      </c>
      <c r="BX26" s="3">
        <f t="shared" ca="1" si="152"/>
        <v>-357637110.9080925</v>
      </c>
      <c r="BY26" s="3" t="str">
        <f t="shared" ca="1" si="73"/>
        <v/>
      </c>
      <c r="BZ26" s="3">
        <f t="shared" ca="1" si="153"/>
        <v>-353027633.84286743</v>
      </c>
      <c r="CA26" s="3" t="str">
        <f t="shared" ca="1" si="74"/>
        <v/>
      </c>
      <c r="CB26" s="3">
        <f t="shared" ca="1" si="154"/>
        <v>7682287.7815573886</v>
      </c>
      <c r="CC26" s="3" t="str">
        <f t="shared" ca="1" si="75"/>
        <v>Cruce +</v>
      </c>
      <c r="CD26" s="3">
        <f>IF(RTD("tos.rtd",,CD$2,"."&amp;$A$2&amp;$AS$1&amp;"C"&amp;$A26)="N/A",0,RTD("tos.rtd",,CD$2,"."&amp;$A$2&amp;$AS$1&amp;"C"&amp;$A26))</f>
        <v>1</v>
      </c>
      <c r="CE26" s="3">
        <f>-IF(RTD("tos.rtd",,CE$2,"."&amp;$A$2&amp;$AS$1&amp;"P"&amp;$A26)="N/A",0,RTD("tos.rtd",,CE$2,"."&amp;$A$2&amp;$AS$1&amp;"P"&amp;$A26))</f>
        <v>0</v>
      </c>
      <c r="CF26" s="3">
        <f>IF(RTD("tos.rtd",,CF$2,"."&amp;$A$2&amp;$AU$1&amp;"C"&amp;$A26)="N/A",0,RTD("tos.rtd",,CF$2,"."&amp;$A$2&amp;$AU$1&amp;"C"&amp;$A26))</f>
        <v>0.86</v>
      </c>
      <c r="CG26" s="3">
        <f>-IF(RTD("tos.rtd",,CG$2,"."&amp;$A$2&amp;$AU$1&amp;"P"&amp;$A26)="N/A",0,RTD("tos.rtd",,CG$2,"."&amp;$A$2&amp;$AU$1&amp;"P"&amp;$A26))</f>
        <v>0.15</v>
      </c>
      <c r="CH26" s="3">
        <f>IF(RTD("tos.rtd",,CH$2,"."&amp;$A$2&amp;$AW$1&amp;"C"&amp;$A26)="N/A",0,RTD("tos.rtd",,CH$2,"."&amp;$A$2&amp;$AW$1&amp;"C"&amp;$A26))</f>
        <v>0.68</v>
      </c>
      <c r="CI26" s="3">
        <f>-IF(RTD("tos.rtd",,CI$2,"."&amp;$A$2&amp;$AW$1&amp;"P"&amp;$A26)="N/A",0,RTD("tos.rtd",,CI$2,"."&amp;$A$2&amp;$AW$1&amp;"P"&amp;$A26))</f>
        <v>0.32</v>
      </c>
      <c r="CK26" s="3">
        <f t="shared" si="155"/>
        <v>1643700</v>
      </c>
      <c r="CL26" s="3"/>
      <c r="CM26" s="3">
        <f t="shared" si="156"/>
        <v>2396281</v>
      </c>
      <c r="CN26" s="3"/>
      <c r="CO26" s="3">
        <f t="shared" si="157"/>
        <v>2493392</v>
      </c>
      <c r="CP26" s="3">
        <f t="shared" si="158"/>
        <v>6533373</v>
      </c>
      <c r="CQ26" s="3">
        <f t="shared" si="159"/>
        <v>-66806</v>
      </c>
      <c r="CR26" s="3"/>
      <c r="CS26" s="3">
        <f t="shared" si="160"/>
        <v>-59367</v>
      </c>
      <c r="CT26" s="3"/>
      <c r="CU26" s="3">
        <f t="shared" si="161"/>
        <v>1295</v>
      </c>
      <c r="CV26" s="3">
        <f t="shared" si="162"/>
        <v>-124878</v>
      </c>
      <c r="CW26" s="3">
        <f t="shared" ca="1" si="163"/>
        <v>240953974.9174304</v>
      </c>
      <c r="CX26" s="85" t="str">
        <f t="shared" ca="1" si="76"/>
        <v/>
      </c>
      <c r="CY26" s="3">
        <f t="shared" ca="1" si="164"/>
        <v>-702982456.96940243</v>
      </c>
      <c r="CZ26" s="85" t="str">
        <f t="shared" ca="1" si="77"/>
        <v/>
      </c>
      <c r="DA26" s="3">
        <f>IF(RTD("tos.rtd",,DA$2,"."&amp;$A$2&amp;$AS$1&amp;"C"&amp;$A26)="N/A",0,RTD("tos.rtd",,DA$2,"."&amp;$A$2&amp;$AS$1&amp;"C"&amp;$A26))</f>
        <v>12.8</v>
      </c>
      <c r="DB26" s="3">
        <f>IF(RTD("tos.rtd",,DB$2,"."&amp;$A$2&amp;$AS$1&amp;"P"&amp;$A26)="N/A",0,RTD("tos.rtd",,DB$2,"."&amp;$A$2&amp;$AS$1&amp;"P"&amp;$A26))</f>
        <v>0.01</v>
      </c>
      <c r="DC26" s="3">
        <f>IF(RTD("tos.rtd",,DC$2,"."&amp;$A$2&amp;$AS$1&amp;"C"&amp;$A26)="N/A",0,RTD("tos.rtd",,DC$2,"."&amp;$A$2&amp;$AS$1&amp;"C"&amp;$A26))</f>
        <v>12.95</v>
      </c>
      <c r="DD26" s="3">
        <f>IF(RTD("tos.rtd",,DD$2,"."&amp;$A$2&amp;$AS$1&amp;"P"&amp;$A26)="N/A",0,RTD("tos.rtd",,DD$2,"."&amp;$A$2&amp;$AS$1&amp;"P"&amp;$A26))</f>
        <v>0.01</v>
      </c>
      <c r="DE26" s="3">
        <f>IF(RTD("tos.rtd",,DE$2,"."&amp;$A$2&amp;$AS$1&amp;"C"&amp;$A26)="N/A",0,RTD("tos.rtd",,DE$2,"."&amp;$A$2&amp;$AS$1&amp;"C"&amp;$A26))</f>
        <v>12.63</v>
      </c>
      <c r="DF26" s="3">
        <f>IF(RTD("tos.rtd",,DF$2,"."&amp;$A$2&amp;$AS$1&amp;"P"&amp;$A26)="N/A",0,RTD("tos.rtd",,DF$2,"."&amp;$A$2&amp;$AS$1&amp;"P"&amp;$A26))</f>
        <v>0</v>
      </c>
      <c r="DG26" s="86">
        <f t="shared" si="48"/>
        <v>-12.950000000000045</v>
      </c>
      <c r="DH26" s="3">
        <f t="shared" si="165"/>
        <v>0.53125000000000222</v>
      </c>
      <c r="DI26" s="3">
        <f t="shared" si="166"/>
        <v>0</v>
      </c>
      <c r="DJ26" s="3">
        <f t="shared" si="167"/>
        <v>0</v>
      </c>
      <c r="DK26" s="3">
        <f t="shared" si="51"/>
        <v>0</v>
      </c>
      <c r="DL26" s="3">
        <f t="shared" si="52"/>
        <v>0.53125000000000222</v>
      </c>
      <c r="DM26" s="3">
        <f t="shared" si="53"/>
        <v>0</v>
      </c>
      <c r="DN26" s="63" t="str">
        <f t="shared" si="54"/>
        <v>UNKNOWN</v>
      </c>
      <c r="DO26" s="63" t="str">
        <f t="shared" si="55"/>
        <v>UNKNOWN</v>
      </c>
      <c r="DP26" s="3">
        <f t="shared" si="56"/>
        <v>6.8000000000000291</v>
      </c>
      <c r="DQ26" s="3">
        <f t="shared" si="57"/>
        <v>0</v>
      </c>
      <c r="DR26" s="3">
        <f t="shared" ca="1" si="58"/>
        <v>0</v>
      </c>
      <c r="DS26" s="3">
        <f t="shared" si="59"/>
        <v>0</v>
      </c>
      <c r="DT26" s="3">
        <f t="shared" si="60"/>
        <v>1</v>
      </c>
      <c r="DU26" s="3">
        <f t="shared" si="61"/>
        <v>0</v>
      </c>
      <c r="DV26" s="3">
        <f t="shared" si="62"/>
        <v>376</v>
      </c>
      <c r="DW26" s="3">
        <f t="shared" si="23"/>
        <v>-17772</v>
      </c>
      <c r="DX26" s="3">
        <f t="shared" ca="1" si="24"/>
        <v>9.9330595210411768E-13</v>
      </c>
      <c r="DY26" s="3">
        <f t="shared" ca="1" si="25"/>
        <v>-1.2833181476080448E-2</v>
      </c>
      <c r="DZ26" s="3">
        <f t="shared" ca="1" si="26"/>
        <v>1.7672490683354608E-2</v>
      </c>
      <c r="EA26" s="3">
        <f t="shared" ca="1" si="27"/>
        <v>-1.7524744813431067E-2</v>
      </c>
      <c r="EB26" s="3">
        <f t="shared" ca="1" si="28"/>
        <v>1.7675625176743783E-2</v>
      </c>
      <c r="EC26" s="3">
        <f t="shared" ca="1" si="29"/>
        <v>-1.7708243495746696E-2</v>
      </c>
      <c r="ED26" s="63">
        <f t="shared" si="63"/>
        <v>-17396</v>
      </c>
      <c r="EE26" s="59">
        <f t="shared" si="168"/>
        <v>0.25</v>
      </c>
      <c r="EF26" s="59">
        <f t="shared" si="169"/>
        <v>1.0998000000000001</v>
      </c>
      <c r="EG26" s="59">
        <f t="shared" si="170"/>
        <v>0.20080000000000001</v>
      </c>
      <c r="EH26" s="59">
        <f t="shared" si="171"/>
        <v>0.21079999999999999</v>
      </c>
      <c r="EI26" s="59">
        <f t="shared" si="172"/>
        <v>0.17510000000000001</v>
      </c>
      <c r="EJ26" s="59">
        <f t="shared" si="173"/>
        <v>0.1777</v>
      </c>
      <c r="EK26" s="63">
        <f t="shared" ca="1" si="65"/>
        <v>77505630.504599825</v>
      </c>
      <c r="EL26" s="3" t="str">
        <f>RTD("tos.rtd",,EL$2,"."&amp;$A$2&amp;$AS$1&amp;"C"&amp;$A26)</f>
        <v>--</v>
      </c>
      <c r="EM26" s="3" t="str">
        <f>RTD("tos.rtd",,EM$2,"."&amp;$A$2&amp;$AS$1&amp;"P"&amp;$A26)</f>
        <v>109.98%</v>
      </c>
      <c r="EN26" s="3" t="str">
        <f>RTD("tos.rtd",,EN$2,"."&amp;$A$2&amp;$AU$1&amp;"C"&amp;$A26)</f>
        <v>20.08%</v>
      </c>
      <c r="EO26" s="3" t="str">
        <f>RTD("tos.rtd",,EO$2,"."&amp;$A$2&amp;$AU$1&amp;"P"&amp;$A26)</f>
        <v>21.08%</v>
      </c>
      <c r="EP26" s="3" t="str">
        <f>RTD("tos.rtd",,EP$2,"."&amp;$A$2&amp;$AW$1&amp;"C"&amp;$A26)</f>
        <v>17.51%</v>
      </c>
      <c r="EQ26" s="3" t="str">
        <f>RTD("tos.rtd",,EQ$2,"."&amp;$A$2&amp;$AW$1&amp;"P"&amp;$A26)</f>
        <v>17.77%</v>
      </c>
      <c r="ES26" s="63" t="str">
        <f t="shared" si="66"/>
        <v>570,-17396.00</v>
      </c>
      <c r="ET26" s="63" t="str">
        <f t="shared" ca="1" si="67"/>
        <v>570,-702982.46</v>
      </c>
      <c r="EU26" s="67">
        <v>564.79999999999995</v>
      </c>
      <c r="EV26" s="67" t="s">
        <v>227</v>
      </c>
      <c r="EW26" s="67">
        <v>487.92</v>
      </c>
      <c r="EX26" s="67" t="s">
        <v>228</v>
      </c>
      <c r="EY26" s="67">
        <v>5659.91</v>
      </c>
      <c r="EZ26" s="67" t="s">
        <v>229</v>
      </c>
      <c r="FA26" s="67">
        <v>20061.449000000001</v>
      </c>
      <c r="FB26" s="67" t="s">
        <v>230</v>
      </c>
      <c r="FC26" s="67" t="s">
        <v>231</v>
      </c>
      <c r="FD26" s="67" t="s">
        <v>232</v>
      </c>
      <c r="FE26" s="67" t="s">
        <v>233</v>
      </c>
      <c r="FF26" s="67" t="s">
        <v>234</v>
      </c>
    </row>
    <row r="27" spans="1:162" s="63" customFormat="1" ht="13.5" thickBot="1" x14ac:dyDescent="0.25">
      <c r="A27" s="2">
        <f t="shared" si="68"/>
        <v>569</v>
      </c>
      <c r="B27" s="3">
        <f t="shared" si="141"/>
        <v>5084</v>
      </c>
      <c r="C27" s="3">
        <f t="shared" si="142"/>
        <v>7311</v>
      </c>
      <c r="D27" s="3">
        <f t="shared" si="143"/>
        <v>2445</v>
      </c>
      <c r="E27" s="3">
        <f t="shared" si="144"/>
        <v>14840</v>
      </c>
      <c r="F27" s="4">
        <f t="shared" si="145"/>
        <v>5725.3825370958057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>
        <v>1076</v>
      </c>
      <c r="AN27" s="1">
        <v>-2354</v>
      </c>
      <c r="AO27" s="1">
        <v>569</v>
      </c>
      <c r="AP27" s="1">
        <v>2827</v>
      </c>
      <c r="AQ27" s="1">
        <v>-19420</v>
      </c>
      <c r="AR27" s="1"/>
      <c r="AS27" s="6">
        <f>IF(RTD("tos.rtd",,AS$2,"."&amp;$A$2&amp;$AS$1&amp;"C"&amp;$A27)="N/A",0,RTD("tos.rtd",,AS$2,"."&amp;$A$2&amp;$AS$1&amp;"C"&amp;$A27))</f>
        <v>4274</v>
      </c>
      <c r="AT27" s="7">
        <f>-IF(RTD("tos.rtd",,AT$2,"."&amp;$A$2&amp;$AS$1&amp;"P"&amp;$A27)="N/A",0,RTD("tos.rtd",,AT$2,"."&amp;$A$2&amp;$AS$1&amp;"P"&amp;$A27))</f>
        <v>-810</v>
      </c>
      <c r="AU27" s="6">
        <f>IF(RTD("tos.rtd",,AU$2,"."&amp;$A$2&amp;$AU$1&amp;"C"&amp;$A27)="N/A",0,RTD("tos.rtd",,AU$2,"."&amp;$A$2&amp;$AU$1&amp;"C"&amp;$A27))</f>
        <v>5422</v>
      </c>
      <c r="AV27" s="7">
        <f>-IF(RTD("tos.rtd",,AV$2,"."&amp;$A$2&amp;$AU$1&amp;"P"&amp;$A27)="N/A",0,RTD("tos.rtd",,AV$2,"."&amp;$A$2&amp;$AU$1&amp;"P"&amp;$A27))</f>
        <v>-1889</v>
      </c>
      <c r="AW27" s="6">
        <f>IF(RTD("tos.rtd",,AW$2,"."&amp;$A$2&amp;$AW$1&amp;"C"&amp;$A27)="N/A",0,RTD("tos.rtd",,AW$2,"."&amp;$A$2&amp;$AW$1&amp;"C"&amp;$A27))</f>
        <v>1402</v>
      </c>
      <c r="AX27" s="7">
        <f>-IF(RTD("tos.rtd",,AX$2,"."&amp;$A$2&amp;$AW$1&amp;"P"&amp;$A27)="N/A",0,RTD("tos.rtd",,AX$2,"."&amp;$A$2&amp;$AW$1&amp;"P"&amp;$A27))</f>
        <v>-1043</v>
      </c>
      <c r="AY27" s="1">
        <f t="shared" si="146"/>
        <v>7356</v>
      </c>
      <c r="AZ27" s="8">
        <f t="shared" si="35"/>
        <v>569</v>
      </c>
      <c r="BA27" s="6">
        <f>IF(RTD("tos.rtd",,BA$2,"."&amp;$A$2&amp;$AS$1&amp;"C"&amp;$A27)="N/A",0,RTD("tos.rtd",,BA$2,"."&amp;$A$2&amp;$AS$1&amp;"C"&amp;$A27))</f>
        <v>2827</v>
      </c>
      <c r="BB27" s="7">
        <f>-IF(RTD("tos.rtd",,BB$2,"."&amp;$A$2&amp;$AS$1&amp;"P"&amp;$A27)="N/A",0,RTD("tos.rtd",,BB$2,"."&amp;$A$2&amp;$AS$1&amp;"P"&amp;$A27))</f>
        <v>-19420</v>
      </c>
      <c r="BC27" s="6">
        <f>IF(RTD("tos.rtd",,BC$2,"."&amp;$A$2&amp;$AU$1&amp;"C"&amp;$A27)="N/A",0,RTD("tos.rtd",,BC$2,"."&amp;$A$2&amp;$AU$1&amp;"C"&amp;$A27))</f>
        <v>2951</v>
      </c>
      <c r="BD27" s="7">
        <f>-IF(RTD("tos.rtd",,BD$2,"."&amp;$A$2&amp;$AU$1&amp;"P"&amp;$A27)="N/A",0,RTD("tos.rtd",,BD$2,"."&amp;$A$2&amp;$AU$1&amp;"P"&amp;$A27))</f>
        <v>-4545</v>
      </c>
      <c r="BE27" s="6">
        <f>IF(RTD("tos.rtd",,BE$2,"."&amp;$A$2&amp;$AW$1&amp;"C"&amp;$A27)="N/A",0,RTD("tos.rtd",,BE$2,"."&amp;$A$2&amp;$AW$1&amp;"C"&amp;$A27))</f>
        <v>196</v>
      </c>
      <c r="BF27" s="83">
        <f>-IF(RTD("tos.rtd",,BF$2,"."&amp;$A$2&amp;$AW$1&amp;"P"&amp;$A27)="N/A",0,RTD("tos.rtd",,BF$2,"."&amp;$A$2&amp;$AW$1&amp;"P"&amp;$A27))</f>
        <v>-805</v>
      </c>
      <c r="BG27" s="32">
        <f ca="1">+Hoja2!Y28</f>
        <v>-775</v>
      </c>
      <c r="BH27" s="7">
        <f t="shared" ca="1" si="36"/>
        <v>-19571</v>
      </c>
      <c r="BI27" s="8" t="str">
        <f t="shared" ref="BI27" ca="1" si="180">IF(AND(BH27&lt;0,BH26&gt;0), "Cruce -", IF(AND(BH27&gt;0,BH26&lt;0),"Cruce +", ""))</f>
        <v/>
      </c>
      <c r="BJ27" s="3">
        <f ca="1">IF($BP$1=1,DX27,IF(RTD("tos.rtd",,BJ$2,"."&amp;$A$2&amp;$AS$1&amp;"C"&amp;$A27)="N/A",0,RTD("tos.rtd",,BJ$2,"."&amp;$A$2&amp;$AS$1&amp;"C"&amp;$A27)))</f>
        <v>1.4293729792649645E-14</v>
      </c>
      <c r="BK27" s="3">
        <f ca="1">IF($BP$1=1,DY27,-IF(RTD("tos.rtd",,BK$2,"."&amp;$A$2&amp;$AS$1&amp;"P"&amp;$A27)="N/A",0,RTD("tos.rtd",,BK$2,"."&amp;$A$2&amp;$AS$1&amp;"P"&amp;$A27)))</f>
        <v>-1.1740627118162036E-2</v>
      </c>
      <c r="BL27" s="3">
        <f ca="1">IF($BP$1=1,DZ27,IF(RTD("tos.rtd",,BL$2,"."&amp;$A$2&amp;$AU$1&amp;"C"&amp;$A27)="N/A",0,RTD("tos.rtd",,BL$2,"."&amp;$A$2&amp;$AU$1&amp;"C"&amp;$A27)))</f>
        <v>1.6484647742563179E-2</v>
      </c>
      <c r="BM27" s="3">
        <f ca="1">IF($BP$1=1,EA27,-IF(RTD("tos.rtd",,BM$2,"."&amp;$A$2&amp;$AU$1&amp;"P"&amp;$A27)="N/A",0,RTD("tos.rtd",,BM$2,"."&amp;$A$2&amp;$AU$1&amp;"P"&amp;$A27)))</f>
        <v>-1.6437665232745792E-2</v>
      </c>
      <c r="BN27" s="3">
        <f ca="1">IF($BP$1=1,EB27,IF(RTD("tos.rtd",,BN$2,"."&amp;$A$2&amp;$AW$1&amp;"C"&amp;$A27)="N/A",0,RTD("tos.rtd",,BN$2,"."&amp;$A$2&amp;$AW$1&amp;"C"&amp;$A27)))</f>
        <v>1.6192610086994741E-2</v>
      </c>
      <c r="BO27" s="3">
        <f ca="1">IF($BP$1=1,EC27,-IF(RTD("tos.rtd",,BO$2,"."&amp;$A$2&amp;$AW$1&amp;"P"&amp;$A27)="N/A",0,RTD("tos.rtd",,BO$2,"."&amp;$A$2&amp;$AW$1&amp;"P"&amp;$A27)))</f>
        <v>-1.6248275567101671E-2</v>
      </c>
      <c r="BQ27" s="3">
        <f t="shared" ca="1" si="148"/>
        <v>-3231758.7046772395</v>
      </c>
      <c r="BR27" s="3" t="str">
        <f t="shared" ca="1" si="71"/>
        <v/>
      </c>
      <c r="BS27" s="3">
        <f t="shared" ca="1" si="149"/>
        <v>19821988.592432857</v>
      </c>
      <c r="BT27" s="3" t="str">
        <f t="shared" ca="1" si="71"/>
        <v/>
      </c>
      <c r="BU27" s="3">
        <f t="shared" ca="1" si="150"/>
        <v>1955755.5726649947</v>
      </c>
      <c r="BV27" s="3" t="str">
        <f t="shared" ref="BV27" ca="1" si="181">IF(AND(BU27&lt;0,BU26&gt;0), "Cruce -", IF(AND(BU27&gt;0,BU26&lt;0),"Cruce +", ""))</f>
        <v/>
      </c>
      <c r="BX27" s="3">
        <f t="shared" ca="1" si="152"/>
        <v>-77482412.401511148</v>
      </c>
      <c r="BY27" s="3" t="str">
        <f t="shared" ca="1" si="73"/>
        <v/>
      </c>
      <c r="BZ27" s="3">
        <f t="shared" ca="1" si="153"/>
        <v>-8857005.2185822446</v>
      </c>
      <c r="CA27" s="3" t="str">
        <f t="shared" ca="1" si="74"/>
        <v/>
      </c>
      <c r="CB27" s="3">
        <f t="shared" ca="1" si="154"/>
        <v>-3366400.4068175936</v>
      </c>
      <c r="CC27" s="3" t="str">
        <f t="shared" ca="1" si="75"/>
        <v>Cruce -</v>
      </c>
      <c r="CD27" s="3">
        <f>IF(RTD("tos.rtd",,CD$2,"."&amp;$A$2&amp;$AS$1&amp;"C"&amp;$A27)="N/A",0,RTD("tos.rtd",,CD$2,"."&amp;$A$2&amp;$AS$1&amp;"C"&amp;$A27))</f>
        <v>1</v>
      </c>
      <c r="CE27" s="3">
        <f>-IF(RTD("tos.rtd",,CE$2,"."&amp;$A$2&amp;$AS$1&amp;"P"&amp;$A27)="N/A",0,RTD("tos.rtd",,CE$2,"."&amp;$A$2&amp;$AS$1&amp;"P"&amp;$A27))</f>
        <v>0</v>
      </c>
      <c r="CF27" s="3">
        <f>IF(RTD("tos.rtd",,CF$2,"."&amp;$A$2&amp;$AU$1&amp;"C"&amp;$A27)="N/A",0,RTD("tos.rtd",,CF$2,"."&amp;$A$2&amp;$AU$1&amp;"C"&amp;$A27))</f>
        <v>0.88</v>
      </c>
      <c r="CG27" s="3">
        <f>-IF(RTD("tos.rtd",,CG$2,"."&amp;$A$2&amp;$AU$1&amp;"P"&amp;$A27)="N/A",0,RTD("tos.rtd",,CG$2,"."&amp;$A$2&amp;$AU$1&amp;"P"&amp;$A27))</f>
        <v>0.13</v>
      </c>
      <c r="CH27" s="3">
        <f>IF(RTD("tos.rtd",,CH$2,"."&amp;$A$2&amp;$AW$1&amp;"C"&amp;$A27)="N/A",0,RTD("tos.rtd",,CH$2,"."&amp;$A$2&amp;$AW$1&amp;"C"&amp;$A27))</f>
        <v>0.69</v>
      </c>
      <c r="CI27" s="3">
        <f>-IF(RTD("tos.rtd",,CI$2,"."&amp;$A$2&amp;$AW$1&amp;"P"&amp;$A27)="N/A",0,RTD("tos.rtd",,CI$2,"."&amp;$A$2&amp;$AW$1&amp;"P"&amp;$A27))</f>
        <v>0.31</v>
      </c>
      <c r="CK27" s="3">
        <f t="shared" si="155"/>
        <v>427400</v>
      </c>
      <c r="CL27" s="3"/>
      <c r="CM27" s="3">
        <f t="shared" si="156"/>
        <v>452578.99999999994</v>
      </c>
      <c r="CN27" s="3"/>
      <c r="CO27" s="3">
        <f t="shared" si="157"/>
        <v>64404.999999999985</v>
      </c>
      <c r="CP27" s="3">
        <f t="shared" si="158"/>
        <v>944384</v>
      </c>
      <c r="CQ27" s="3">
        <f t="shared" si="159"/>
        <v>-16593</v>
      </c>
      <c r="CR27" s="3"/>
      <c r="CS27" s="3">
        <f t="shared" si="160"/>
        <v>-1594</v>
      </c>
      <c r="CT27" s="3"/>
      <c r="CU27" s="3">
        <f t="shared" si="161"/>
        <v>-609</v>
      </c>
      <c r="CV27" s="3">
        <f t="shared" si="162"/>
        <v>-18796</v>
      </c>
      <c r="CW27" s="3">
        <f t="shared" ca="1" si="163"/>
        <v>18545985.460420612</v>
      </c>
      <c r="CX27" s="85" t="str">
        <f t="shared" ca="1" si="76"/>
        <v/>
      </c>
      <c r="CY27" s="3">
        <f t="shared" ca="1" si="164"/>
        <v>-89705818.02691099</v>
      </c>
      <c r="CZ27" s="85" t="str">
        <f t="shared" ca="1" si="77"/>
        <v/>
      </c>
      <c r="DA27" s="3">
        <f>IF(RTD("tos.rtd",,DA$2,"."&amp;$A$2&amp;$AS$1&amp;"C"&amp;$A27)="N/A",0,RTD("tos.rtd",,DA$2,"."&amp;$A$2&amp;$AS$1&amp;"C"&amp;$A27))</f>
        <v>13.93</v>
      </c>
      <c r="DB27" s="3">
        <f>IF(RTD("tos.rtd",,DB$2,"."&amp;$A$2&amp;$AS$1&amp;"P"&amp;$A27)="N/A",0,RTD("tos.rtd",,DB$2,"."&amp;$A$2&amp;$AS$1&amp;"P"&amp;$A27))</f>
        <v>0.01</v>
      </c>
      <c r="DC27" s="3">
        <f>IF(RTD("tos.rtd",,DC$2,"."&amp;$A$2&amp;$AS$1&amp;"C"&amp;$A27)="N/A",0,RTD("tos.rtd",,DC$2,"."&amp;$A$2&amp;$AS$1&amp;"C"&amp;$A27))</f>
        <v>13.96</v>
      </c>
      <c r="DD27" s="3">
        <f>IF(RTD("tos.rtd",,DD$2,"."&amp;$A$2&amp;$AS$1&amp;"P"&amp;$A27)="N/A",0,RTD("tos.rtd",,DD$2,"."&amp;$A$2&amp;$AS$1&amp;"P"&amp;$A27))</f>
        <v>0.01</v>
      </c>
      <c r="DE27" s="3">
        <f>IF(RTD("tos.rtd",,DE$2,"."&amp;$A$2&amp;$AS$1&amp;"C"&amp;$A27)="N/A",0,RTD("tos.rtd",,DE$2,"."&amp;$A$2&amp;$AS$1&amp;"C"&amp;$A27))</f>
        <v>13.64</v>
      </c>
      <c r="DF27" s="3">
        <f>IF(RTD("tos.rtd",,DF$2,"."&amp;$A$2&amp;$AS$1&amp;"P"&amp;$A27)="N/A",0,RTD("tos.rtd",,DF$2,"."&amp;$A$2&amp;$AS$1&amp;"P"&amp;$A27))</f>
        <v>0</v>
      </c>
      <c r="DG27" s="86">
        <f t="shared" si="48"/>
        <v>-13.950000000000045</v>
      </c>
      <c r="DH27" s="3">
        <f t="shared" si="165"/>
        <v>0</v>
      </c>
      <c r="DI27" s="3">
        <f t="shared" si="166"/>
        <v>0</v>
      </c>
      <c r="DJ27" s="3">
        <f t="shared" si="167"/>
        <v>0</v>
      </c>
      <c r="DK27" s="3">
        <f t="shared" si="51"/>
        <v>0</v>
      </c>
      <c r="DL27" s="3">
        <f t="shared" si="52"/>
        <v>0</v>
      </c>
      <c r="DM27" s="3">
        <f t="shared" si="53"/>
        <v>0</v>
      </c>
      <c r="DN27" s="63" t="str">
        <f t="shared" si="54"/>
        <v>UNKNOWN</v>
      </c>
      <c r="DO27" s="63" t="str">
        <f t="shared" si="55"/>
        <v>UNKNOWN</v>
      </c>
      <c r="DP27" s="3">
        <f t="shared" si="56"/>
        <v>0</v>
      </c>
      <c r="DQ27" s="3">
        <f t="shared" si="57"/>
        <v>0</v>
      </c>
      <c r="DR27" s="3">
        <f t="shared" ca="1" si="58"/>
        <v>0</v>
      </c>
      <c r="DS27" s="3">
        <f t="shared" si="59"/>
        <v>0</v>
      </c>
      <c r="DT27" s="3">
        <f t="shared" si="60"/>
        <v>0</v>
      </c>
      <c r="DU27" s="3">
        <f t="shared" si="61"/>
        <v>0</v>
      </c>
      <c r="DV27" s="3">
        <f t="shared" si="62"/>
        <v>1076</v>
      </c>
      <c r="DW27" s="3">
        <f t="shared" si="23"/>
        <v>-2354</v>
      </c>
      <c r="DX27" s="3">
        <f t="shared" ca="1" si="24"/>
        <v>1.4293729792649645E-14</v>
      </c>
      <c r="DY27" s="3">
        <f t="shared" ca="1" si="25"/>
        <v>-1.1740627118162036E-2</v>
      </c>
      <c r="DZ27" s="3">
        <f t="shared" ca="1" si="26"/>
        <v>1.6484647742563179E-2</v>
      </c>
      <c r="EA27" s="3">
        <f t="shared" ca="1" si="27"/>
        <v>-1.6437665232745792E-2</v>
      </c>
      <c r="EB27" s="3">
        <f t="shared" ca="1" si="28"/>
        <v>1.6192610086994741E-2</v>
      </c>
      <c r="EC27" s="3">
        <f t="shared" ca="1" si="29"/>
        <v>-1.6248275567101671E-2</v>
      </c>
      <c r="ED27" s="63">
        <f t="shared" si="63"/>
        <v>-1278</v>
      </c>
      <c r="EE27" s="59">
        <f t="shared" si="168"/>
        <v>0.25</v>
      </c>
      <c r="EF27" s="59">
        <f t="shared" si="169"/>
        <v>1.1769000000000001</v>
      </c>
      <c r="EG27" s="59">
        <f t="shared" si="170"/>
        <v>0.20430000000000001</v>
      </c>
      <c r="EH27" s="59">
        <f t="shared" si="171"/>
        <v>0.21299999999999999</v>
      </c>
      <c r="EI27" s="59">
        <f t="shared" si="172"/>
        <v>0.17699999999999999</v>
      </c>
      <c r="EJ27" s="59">
        <f t="shared" si="173"/>
        <v>0.1792</v>
      </c>
      <c r="EK27" s="63">
        <f t="shared" ca="1" si="65"/>
        <v>9392049.3714362048</v>
      </c>
      <c r="EL27" s="3" t="str">
        <f>RTD("tos.rtd",,EL$2,"."&amp;$A$2&amp;$AS$1&amp;"C"&amp;$A27)</f>
        <v>--</v>
      </c>
      <c r="EM27" s="3" t="str">
        <f>RTD("tos.rtd",,EM$2,"."&amp;$A$2&amp;$AS$1&amp;"P"&amp;$A27)</f>
        <v>117.69%</v>
      </c>
      <c r="EN27" s="3" t="str">
        <f>RTD("tos.rtd",,EN$2,"."&amp;$A$2&amp;$AU$1&amp;"C"&amp;$A27)</f>
        <v>20.43%</v>
      </c>
      <c r="EO27" s="3" t="str">
        <f>RTD("tos.rtd",,EO$2,"."&amp;$A$2&amp;$AU$1&amp;"P"&amp;$A27)</f>
        <v>21.30%</v>
      </c>
      <c r="EP27" s="3" t="str">
        <f>RTD("tos.rtd",,EP$2,"."&amp;$A$2&amp;$AW$1&amp;"C"&amp;$A27)</f>
        <v>17.70%</v>
      </c>
      <c r="EQ27" s="3" t="str">
        <f>RTD("tos.rtd",,EQ$2,"."&amp;$A$2&amp;$AW$1&amp;"P"&amp;$A27)</f>
        <v>17.92%</v>
      </c>
      <c r="ES27" s="63" t="str">
        <f t="shared" si="66"/>
        <v>569,-1278.00</v>
      </c>
      <c r="ET27" s="63" t="str">
        <f t="shared" ca="1" si="67"/>
        <v>569,-89705.82</v>
      </c>
      <c r="EU27" s="67">
        <v>564.79999999999995</v>
      </c>
      <c r="EV27" s="67" t="s">
        <v>235</v>
      </c>
      <c r="EW27" s="67">
        <v>487.92</v>
      </c>
      <c r="EX27" s="67" t="s">
        <v>236</v>
      </c>
      <c r="EY27" s="67">
        <v>5659.91</v>
      </c>
      <c r="EZ27" s="67" t="s">
        <v>237</v>
      </c>
      <c r="FA27" s="67">
        <v>20061.449000000001</v>
      </c>
      <c r="FB27" s="67" t="s">
        <v>238</v>
      </c>
      <c r="FC27" s="67" t="s">
        <v>239</v>
      </c>
      <c r="FD27" s="67" t="s">
        <v>240</v>
      </c>
      <c r="FE27" s="67" t="s">
        <v>241</v>
      </c>
      <c r="FF27" s="67" t="s">
        <v>242</v>
      </c>
    </row>
    <row r="28" spans="1:162" s="63" customFormat="1" ht="13.5" thickBot="1" x14ac:dyDescent="0.25">
      <c r="A28" s="2">
        <f t="shared" si="68"/>
        <v>568</v>
      </c>
      <c r="B28" s="3">
        <f t="shared" si="141"/>
        <v>9478</v>
      </c>
      <c r="C28" s="3">
        <f t="shared" si="142"/>
        <v>11555</v>
      </c>
      <c r="D28" s="3">
        <f t="shared" si="143"/>
        <v>2857</v>
      </c>
      <c r="E28" s="3">
        <f t="shared" si="144"/>
        <v>23890</v>
      </c>
      <c r="F28" s="4">
        <f t="shared" si="145"/>
        <v>5715.3203533750748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>
        <v>143</v>
      </c>
      <c r="AN28" s="1">
        <v>1067</v>
      </c>
      <c r="AO28" s="1">
        <v>568</v>
      </c>
      <c r="AP28" s="1">
        <v>5056</v>
      </c>
      <c r="AQ28" s="1">
        <v>-16531</v>
      </c>
      <c r="AR28" s="1"/>
      <c r="AS28" s="6">
        <f>IF(RTD("tos.rtd",,AS$2,"."&amp;$A$2&amp;$AS$1&amp;"C"&amp;$A28)="N/A",0,RTD("tos.rtd",,AS$2,"."&amp;$A$2&amp;$AS$1&amp;"C"&amp;$A28))</f>
        <v>7470</v>
      </c>
      <c r="AT28" s="7">
        <f>-IF(RTD("tos.rtd",,AT$2,"."&amp;$A$2&amp;$AS$1&amp;"P"&amp;$A28)="N/A",0,RTD("tos.rtd",,AT$2,"."&amp;$A$2&amp;$AS$1&amp;"P"&amp;$A28))</f>
        <v>-2008</v>
      </c>
      <c r="AU28" s="6">
        <f>IF(RTD("tos.rtd",,AU$2,"."&amp;$A$2&amp;$AU$1&amp;"C"&amp;$A28)="N/A",0,RTD("tos.rtd",,AU$2,"."&amp;$A$2&amp;$AU$1&amp;"C"&amp;$A28))</f>
        <v>8188</v>
      </c>
      <c r="AV28" s="7">
        <f>-IF(RTD("tos.rtd",,AV$2,"."&amp;$A$2&amp;$AU$1&amp;"P"&amp;$A28)="N/A",0,RTD("tos.rtd",,AV$2,"."&amp;$A$2&amp;$AU$1&amp;"P"&amp;$A28))</f>
        <v>-3367</v>
      </c>
      <c r="AW28" s="6">
        <f>IF(RTD("tos.rtd",,AW$2,"."&amp;$A$2&amp;$AW$1&amp;"C"&amp;$A28)="N/A",0,RTD("tos.rtd",,AW$2,"."&amp;$A$2&amp;$AW$1&amp;"C"&amp;$A28))</f>
        <v>1711</v>
      </c>
      <c r="AX28" s="7">
        <f>-IF(RTD("tos.rtd",,AX$2,"."&amp;$A$2&amp;$AW$1&amp;"P"&amp;$A28)="N/A",0,RTD("tos.rtd",,AX$2,"."&amp;$A$2&amp;$AW$1&amp;"P"&amp;$A28))</f>
        <v>-1146</v>
      </c>
      <c r="AY28" s="1">
        <f t="shared" si="146"/>
        <v>10848</v>
      </c>
      <c r="AZ28" s="8">
        <f t="shared" si="35"/>
        <v>568</v>
      </c>
      <c r="BA28" s="6">
        <f>IF(RTD("tos.rtd",,BA$2,"."&amp;$A$2&amp;$AS$1&amp;"C"&amp;$A28)="N/A",0,RTD("tos.rtd",,BA$2,"."&amp;$A$2&amp;$AS$1&amp;"C"&amp;$A28))</f>
        <v>5056</v>
      </c>
      <c r="BB28" s="7">
        <f>-IF(RTD("tos.rtd",,BB$2,"."&amp;$A$2&amp;$AS$1&amp;"P"&amp;$A28)="N/A",0,RTD("tos.rtd",,BB$2,"."&amp;$A$2&amp;$AS$1&amp;"P"&amp;$A28))</f>
        <v>-16531</v>
      </c>
      <c r="BC28" s="6">
        <f>IF(RTD("tos.rtd",,BC$2,"."&amp;$A$2&amp;$AU$1&amp;"C"&amp;$A28)="N/A",0,RTD("tos.rtd",,BC$2,"."&amp;$A$2&amp;$AU$1&amp;"C"&amp;$A28))</f>
        <v>1920</v>
      </c>
      <c r="BD28" s="7">
        <f>-IF(RTD("tos.rtd",,BD$2,"."&amp;$A$2&amp;$AU$1&amp;"P"&amp;$A28)="N/A",0,RTD("tos.rtd",,BD$2,"."&amp;$A$2&amp;$AU$1&amp;"P"&amp;$A28))</f>
        <v>-4065</v>
      </c>
      <c r="BE28" s="6">
        <f>IF(RTD("tos.rtd",,BE$2,"."&amp;$A$2&amp;$AW$1&amp;"C"&amp;$A28)="N/A",0,RTD("tos.rtd",,BE$2,"."&amp;$A$2&amp;$AW$1&amp;"C"&amp;$A28))</f>
        <v>493</v>
      </c>
      <c r="BF28" s="83">
        <f>-IF(RTD("tos.rtd",,BF$2,"."&amp;$A$2&amp;$AW$1&amp;"P"&amp;$A28)="N/A",0,RTD("tos.rtd",,BF$2,"."&amp;$A$2&amp;$AW$1&amp;"P"&amp;$A28))</f>
        <v>-853</v>
      </c>
      <c r="BG28" s="32">
        <f ca="1">+Hoja2!Y29</f>
        <v>-14</v>
      </c>
      <c r="BH28" s="7">
        <f t="shared" ca="1" si="36"/>
        <v>-13994</v>
      </c>
      <c r="BI28" s="8" t="str">
        <f t="shared" ref="BI28" ca="1" si="182">IF(AND(BH28&lt;0,BH27&gt;0), "Cruce -", IF(AND(BH28&gt;0,BH27&lt;0),"Cruce +", ""))</f>
        <v/>
      </c>
      <c r="BJ28" s="3">
        <f ca="1">IF($BP$1=1,DX28,IF(RTD("tos.rtd",,BJ$2,"."&amp;$A$2&amp;$AS$1&amp;"C"&amp;$A28)="N/A",0,RTD("tos.rtd",,BJ$2,"."&amp;$A$2&amp;$AS$1&amp;"C"&amp;$A28)))</f>
        <v>1.4829075587096898E-16</v>
      </c>
      <c r="BK28" s="3">
        <f ca="1">IF($BP$1=1,DY28,-IF(RTD("tos.rtd",,BK$2,"."&amp;$A$2&amp;$AS$1&amp;"P"&amp;$A28)="N/A",0,RTD("tos.rtd",,BK$2,"."&amp;$A$2&amp;$AS$1&amp;"P"&amp;$A28)))</f>
        <v>-1.0804866831395723E-2</v>
      </c>
      <c r="BL28" s="3">
        <f ca="1">IF($BP$1=1,DZ28,IF(RTD("tos.rtd",,BL$2,"."&amp;$A$2&amp;$AU$1&amp;"C"&amp;$A28)="N/A",0,RTD("tos.rtd",,BL$2,"."&amp;$A$2&amp;$AU$1&amp;"C"&amp;$A28)))</f>
        <v>1.5384608811471958E-2</v>
      </c>
      <c r="BM28" s="3">
        <f ca="1">IF($BP$1=1,EA28,-IF(RTD("tos.rtd",,BM$2,"."&amp;$A$2&amp;$AU$1&amp;"P"&amp;$A28)="N/A",0,RTD("tos.rtd",,BM$2,"."&amp;$A$2&amp;$AU$1&amp;"P"&amp;$A28)))</f>
        <v>-1.5384959667182247E-2</v>
      </c>
      <c r="BN28" s="3">
        <f ca="1">IF($BP$1=1,EB28,IF(RTD("tos.rtd",,BN$2,"."&amp;$A$2&amp;$AW$1&amp;"C"&amp;$A28)="N/A",0,RTD("tos.rtd",,BN$2,"."&amp;$A$2&amp;$AW$1&amp;"C"&amp;$A28)))</f>
        <v>1.4785344810304097E-2</v>
      </c>
      <c r="BO28" s="3">
        <f ca="1">IF($BP$1=1,EC28,-IF(RTD("tos.rtd",,BO$2,"."&amp;$A$2&amp;$AW$1&amp;"P"&amp;$A28)="N/A",0,RTD("tos.rtd",,BO$2,"."&amp;$A$2&amp;$AW$1&amp;"P"&amp;$A28)))</f>
        <v>-1.4850510727895679E-2</v>
      </c>
      <c r="BQ28" s="3">
        <f t="shared" ca="1" si="148"/>
        <v>-7373025.5753497975</v>
      </c>
      <c r="BR28" s="3" t="str">
        <f t="shared" ca="1" si="71"/>
        <v/>
      </c>
      <c r="BS28" s="3">
        <f t="shared" ca="1" si="149"/>
        <v>25204569.574651279</v>
      </c>
      <c r="BT28" s="3" t="str">
        <f t="shared" ca="1" si="71"/>
        <v/>
      </c>
      <c r="BU28" s="3">
        <f t="shared" ca="1" si="150"/>
        <v>2813471.8692094423</v>
      </c>
      <c r="BV28" s="3" t="str">
        <f t="shared" ref="BV28" ca="1" si="183">IF(AND(BU28&lt;0,BU27&gt;0), "Cruce -", IF(AND(BU28&gt;0,BU27&lt;0),"Cruce +", ""))</f>
        <v/>
      </c>
      <c r="BX28" s="3">
        <f t="shared" ca="1" si="152"/>
        <v>-60698947.104638055</v>
      </c>
      <c r="BY28" s="3" t="str">
        <f t="shared" ca="1" si="73"/>
        <v/>
      </c>
      <c r="BZ28" s="3">
        <f t="shared" ca="1" si="153"/>
        <v>-11214893.06731377</v>
      </c>
      <c r="CA28" s="3" t="str">
        <f t="shared" ca="1" si="74"/>
        <v/>
      </c>
      <c r="CB28" s="3">
        <f t="shared" ca="1" si="154"/>
        <v>-1827715.0896522705</v>
      </c>
      <c r="CC28" s="3" t="str">
        <f t="shared" ca="1" si="75"/>
        <v/>
      </c>
      <c r="CD28" s="3">
        <f>IF(RTD("tos.rtd",,CD$2,"."&amp;$A$2&amp;$AS$1&amp;"C"&amp;$A28)="N/A",0,RTD("tos.rtd",,CD$2,"."&amp;$A$2&amp;$AS$1&amp;"C"&amp;$A28))</f>
        <v>1</v>
      </c>
      <c r="CE28" s="3">
        <f>-IF(RTD("tos.rtd",,CE$2,"."&amp;$A$2&amp;$AS$1&amp;"P"&amp;$A28)="N/A",0,RTD("tos.rtd",,CE$2,"."&amp;$A$2&amp;$AS$1&amp;"P"&amp;$A28))</f>
        <v>0</v>
      </c>
      <c r="CF28" s="3">
        <f>IF(RTD("tos.rtd",,CF$2,"."&amp;$A$2&amp;$AU$1&amp;"C"&amp;$A28)="N/A",0,RTD("tos.rtd",,CF$2,"."&amp;$A$2&amp;$AU$1&amp;"C"&amp;$A28))</f>
        <v>0.88</v>
      </c>
      <c r="CG28" s="3">
        <f>-IF(RTD("tos.rtd",,CG$2,"."&amp;$A$2&amp;$AU$1&amp;"P"&amp;$A28)="N/A",0,RTD("tos.rtd",,CG$2,"."&amp;$A$2&amp;$AU$1&amp;"P"&amp;$A28))</f>
        <v>0.12</v>
      </c>
      <c r="CH28" s="3">
        <f>IF(RTD("tos.rtd",,CH$2,"."&amp;$A$2&amp;$AW$1&amp;"C"&amp;$A28)="N/A",0,RTD("tos.rtd",,CH$2,"."&amp;$A$2&amp;$AW$1&amp;"C"&amp;$A28))</f>
        <v>0.7</v>
      </c>
      <c r="CI28" s="3">
        <f>-IF(RTD("tos.rtd",,CI$2,"."&amp;$A$2&amp;$AW$1&amp;"P"&amp;$A28)="N/A",0,RTD("tos.rtd",,CI$2,"."&amp;$A$2&amp;$AW$1&amp;"P"&amp;$A28))</f>
        <v>0.3</v>
      </c>
      <c r="CK28" s="3">
        <f t="shared" si="155"/>
        <v>747000</v>
      </c>
      <c r="CL28" s="3"/>
      <c r="CM28" s="3">
        <f t="shared" si="156"/>
        <v>680140</v>
      </c>
      <c r="CN28" s="3"/>
      <c r="CO28" s="3">
        <f t="shared" si="157"/>
        <v>85389.999999999985</v>
      </c>
      <c r="CP28" s="3">
        <f t="shared" si="158"/>
        <v>1512530</v>
      </c>
      <c r="CQ28" s="3">
        <f t="shared" si="159"/>
        <v>-11475</v>
      </c>
      <c r="CR28" s="3"/>
      <c r="CS28" s="3">
        <f t="shared" si="160"/>
        <v>-2145</v>
      </c>
      <c r="CT28" s="3"/>
      <c r="CU28" s="3">
        <f t="shared" si="161"/>
        <v>-360</v>
      </c>
      <c r="CV28" s="3">
        <f t="shared" si="162"/>
        <v>-13980</v>
      </c>
      <c r="CW28" s="3">
        <f t="shared" ca="1" si="163"/>
        <v>20645015.868510924</v>
      </c>
      <c r="CX28" s="85" t="str">
        <f t="shared" ca="1" si="76"/>
        <v/>
      </c>
      <c r="CY28" s="3">
        <f t="shared" ca="1" si="164"/>
        <v>-73741555.2616041</v>
      </c>
      <c r="CZ28" s="85" t="str">
        <f t="shared" ca="1" si="77"/>
        <v/>
      </c>
      <c r="DA28" s="3">
        <f>IF(RTD("tos.rtd",,DA$2,"."&amp;$A$2&amp;$AS$1&amp;"C"&amp;$A28)="N/A",0,RTD("tos.rtd",,DA$2,"."&amp;$A$2&amp;$AS$1&amp;"C"&amp;$A28))</f>
        <v>15.29</v>
      </c>
      <c r="DB28" s="3">
        <f>IF(RTD("tos.rtd",,DB$2,"."&amp;$A$2&amp;$AS$1&amp;"P"&amp;$A28)="N/A",0,RTD("tos.rtd",,DB$2,"."&amp;$A$2&amp;$AS$1&amp;"P"&amp;$A28))</f>
        <v>0.01</v>
      </c>
      <c r="DC28" s="3">
        <f>IF(RTD("tos.rtd",,DC$2,"."&amp;$A$2&amp;$AS$1&amp;"C"&amp;$A28)="N/A",0,RTD("tos.rtd",,DC$2,"."&amp;$A$2&amp;$AS$1&amp;"C"&amp;$A28))</f>
        <v>14.95</v>
      </c>
      <c r="DD28" s="3">
        <f>IF(RTD("tos.rtd",,DD$2,"."&amp;$A$2&amp;$AS$1&amp;"P"&amp;$A28)="N/A",0,RTD("tos.rtd",,DD$2,"."&amp;$A$2&amp;$AS$1&amp;"P"&amp;$A28))</f>
        <v>0.01</v>
      </c>
      <c r="DE28" s="3">
        <f>IF(RTD("tos.rtd",,DE$2,"."&amp;$A$2&amp;$AS$1&amp;"C"&amp;$A28)="N/A",0,RTD("tos.rtd",,DE$2,"."&amp;$A$2&amp;$AS$1&amp;"C"&amp;$A28))</f>
        <v>14.64</v>
      </c>
      <c r="DF28" s="3">
        <f>IF(RTD("tos.rtd",,DF$2,"."&amp;$A$2&amp;$AS$1&amp;"P"&amp;$A28)="N/A",0,RTD("tos.rtd",,DF$2,"."&amp;$A$2&amp;$AS$1&amp;"P"&amp;$A28))</f>
        <v>0</v>
      </c>
      <c r="DG28" s="86">
        <f t="shared" si="48"/>
        <v>-14.950000000000045</v>
      </c>
      <c r="DH28" s="3">
        <f t="shared" si="165"/>
        <v>0</v>
      </c>
      <c r="DI28" s="3">
        <f t="shared" si="166"/>
        <v>0</v>
      </c>
      <c r="DJ28" s="3">
        <f t="shared" si="167"/>
        <v>0</v>
      </c>
      <c r="DK28" s="3">
        <f t="shared" si="51"/>
        <v>0</v>
      </c>
      <c r="DL28" s="3">
        <f t="shared" si="52"/>
        <v>0</v>
      </c>
      <c r="DM28" s="3">
        <f t="shared" si="53"/>
        <v>0</v>
      </c>
      <c r="DN28" s="63" t="str">
        <f t="shared" si="54"/>
        <v>UNKNOWN</v>
      </c>
      <c r="DO28" s="63" t="str">
        <f t="shared" si="55"/>
        <v>UNKNOWN</v>
      </c>
      <c r="DP28" s="3">
        <f t="shared" si="56"/>
        <v>0</v>
      </c>
      <c r="DQ28" s="3">
        <f t="shared" si="57"/>
        <v>0</v>
      </c>
      <c r="DR28" s="3">
        <f t="shared" ca="1" si="58"/>
        <v>0</v>
      </c>
      <c r="DS28" s="3">
        <f t="shared" si="59"/>
        <v>0</v>
      </c>
      <c r="DT28" s="3">
        <f t="shared" si="60"/>
        <v>0</v>
      </c>
      <c r="DU28" s="3">
        <f t="shared" si="61"/>
        <v>0</v>
      </c>
      <c r="DV28" s="3">
        <f t="shared" si="62"/>
        <v>143</v>
      </c>
      <c r="DW28" s="3">
        <f t="shared" si="23"/>
        <v>1067</v>
      </c>
      <c r="DX28" s="3">
        <f t="shared" ca="1" si="24"/>
        <v>1.4829075587096898E-16</v>
      </c>
      <c r="DY28" s="3">
        <f t="shared" ca="1" si="25"/>
        <v>-1.0804866831395723E-2</v>
      </c>
      <c r="DZ28" s="3">
        <f t="shared" ca="1" si="26"/>
        <v>1.5384608811471958E-2</v>
      </c>
      <c r="EA28" s="3">
        <f t="shared" ca="1" si="27"/>
        <v>-1.5384959667182247E-2</v>
      </c>
      <c r="EB28" s="3">
        <f t="shared" ca="1" si="28"/>
        <v>1.4785344810304097E-2</v>
      </c>
      <c r="EC28" s="3">
        <f t="shared" ca="1" si="29"/>
        <v>-1.4850510727895679E-2</v>
      </c>
      <c r="ED28" s="63">
        <f t="shared" si="63"/>
        <v>1210</v>
      </c>
      <c r="EE28" s="59">
        <f t="shared" si="168"/>
        <v>0.25</v>
      </c>
      <c r="EF28" s="59">
        <f t="shared" si="169"/>
        <v>1.2537</v>
      </c>
      <c r="EG28" s="59">
        <f t="shared" si="170"/>
        <v>0.2145</v>
      </c>
      <c r="EH28" s="59">
        <f t="shared" si="171"/>
        <v>0.21579999999999999</v>
      </c>
      <c r="EI28" s="59">
        <f t="shared" si="172"/>
        <v>0.17879999999999999</v>
      </c>
      <c r="EJ28" s="59">
        <f t="shared" si="173"/>
        <v>0.18060000000000001</v>
      </c>
      <c r="EK28" s="63">
        <f t="shared" ca="1" si="65"/>
        <v>-3917837.7932762057</v>
      </c>
      <c r="EL28" s="3" t="str">
        <f>RTD("tos.rtd",,EL$2,"."&amp;$A$2&amp;$AS$1&amp;"C"&amp;$A28)</f>
        <v>--</v>
      </c>
      <c r="EM28" s="3" t="str">
        <f>RTD("tos.rtd",,EM$2,"."&amp;$A$2&amp;$AS$1&amp;"P"&amp;$A28)</f>
        <v>125.37%</v>
      </c>
      <c r="EN28" s="3" t="str">
        <f>RTD("tos.rtd",,EN$2,"."&amp;$A$2&amp;$AU$1&amp;"C"&amp;$A28)</f>
        <v>21.45%</v>
      </c>
      <c r="EO28" s="3" t="str">
        <f>RTD("tos.rtd",,EO$2,"."&amp;$A$2&amp;$AU$1&amp;"P"&amp;$A28)</f>
        <v>21.58%</v>
      </c>
      <c r="EP28" s="3" t="str">
        <f>RTD("tos.rtd",,EP$2,"."&amp;$A$2&amp;$AW$1&amp;"C"&amp;$A28)</f>
        <v>17.88%</v>
      </c>
      <c r="EQ28" s="3" t="str">
        <f>RTD("tos.rtd",,EQ$2,"."&amp;$A$2&amp;$AW$1&amp;"P"&amp;$A28)</f>
        <v>18.06%</v>
      </c>
      <c r="ES28" s="63" t="str">
        <f t="shared" si="66"/>
        <v>568,1210.00</v>
      </c>
      <c r="ET28" s="63" t="str">
        <f t="shared" ca="1" si="67"/>
        <v>568,-73741.56</v>
      </c>
      <c r="EU28" s="67">
        <v>564.79999999999995</v>
      </c>
      <c r="EV28" s="67" t="s">
        <v>243</v>
      </c>
      <c r="EW28" s="67">
        <v>487.92</v>
      </c>
      <c r="EX28" s="67" t="s">
        <v>244</v>
      </c>
      <c r="EY28" s="67">
        <v>5659.91</v>
      </c>
      <c r="EZ28" s="67" t="s">
        <v>245</v>
      </c>
      <c r="FA28" s="67">
        <v>20061.449000000001</v>
      </c>
      <c r="FB28" s="67" t="s">
        <v>246</v>
      </c>
      <c r="FC28" s="67" t="s">
        <v>247</v>
      </c>
      <c r="FD28" s="67" t="s">
        <v>248</v>
      </c>
      <c r="FE28" s="67" t="s">
        <v>249</v>
      </c>
      <c r="FF28" s="67" t="s">
        <v>250</v>
      </c>
    </row>
    <row r="29" spans="1:162" s="63" customFormat="1" ht="13.5" thickBot="1" x14ac:dyDescent="0.25">
      <c r="A29" s="2">
        <f t="shared" si="68"/>
        <v>567</v>
      </c>
      <c r="B29" s="3">
        <f t="shared" si="141"/>
        <v>7778</v>
      </c>
      <c r="C29" s="3">
        <f t="shared" si="142"/>
        <v>10051</v>
      </c>
      <c r="D29" s="3">
        <f t="shared" si="143"/>
        <v>1694</v>
      </c>
      <c r="E29" s="3">
        <f t="shared" si="144"/>
        <v>19523</v>
      </c>
      <c r="F29" s="4">
        <f t="shared" si="145"/>
        <v>5705.2581696543439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>
        <v>2680</v>
      </c>
      <c r="AN29" s="1">
        <v>860</v>
      </c>
      <c r="AO29" s="1">
        <v>567</v>
      </c>
      <c r="AP29" s="1">
        <v>4939</v>
      </c>
      <c r="AQ29" s="1">
        <v>-11376</v>
      </c>
      <c r="AR29" s="1"/>
      <c r="AS29" s="6">
        <f>IF(RTD("tos.rtd",,AS$2,"."&amp;$A$2&amp;$AS$1&amp;"C"&amp;$A29)="N/A",0,RTD("tos.rtd",,AS$2,"."&amp;$A$2&amp;$AS$1&amp;"C"&amp;$A29))</f>
        <v>5714</v>
      </c>
      <c r="AT29" s="7">
        <f>-IF(RTD("tos.rtd",,AT$2,"."&amp;$A$2&amp;$AS$1&amp;"P"&amp;$A29)="N/A",0,RTD("tos.rtd",,AT$2,"."&amp;$A$2&amp;$AS$1&amp;"P"&amp;$A29))</f>
        <v>-2064</v>
      </c>
      <c r="AU29" s="6">
        <f>IF(RTD("tos.rtd",,AU$2,"."&amp;$A$2&amp;$AU$1&amp;"C"&amp;$A29)="N/A",0,RTD("tos.rtd",,AU$2,"."&amp;$A$2&amp;$AU$1&amp;"C"&amp;$A29))</f>
        <v>6729</v>
      </c>
      <c r="AV29" s="7">
        <f>-IF(RTD("tos.rtd",,AV$2,"."&amp;$A$2&amp;$AU$1&amp;"P"&amp;$A29)="N/A",0,RTD("tos.rtd",,AV$2,"."&amp;$A$2&amp;$AU$1&amp;"P"&amp;$A29))</f>
        <v>-3322</v>
      </c>
      <c r="AW29" s="6">
        <f>IF(RTD("tos.rtd",,AW$2,"."&amp;$A$2&amp;$AW$1&amp;"C"&amp;$A29)="N/A",0,RTD("tos.rtd",,AW$2,"."&amp;$A$2&amp;$AW$1&amp;"C"&amp;$A29))</f>
        <v>689</v>
      </c>
      <c r="AX29" s="7">
        <f>-IF(RTD("tos.rtd",,AX$2,"."&amp;$A$2&amp;$AW$1&amp;"P"&amp;$A29)="N/A",0,RTD("tos.rtd",,AX$2,"."&amp;$A$2&amp;$AW$1&amp;"P"&amp;$A29))</f>
        <v>-1005</v>
      </c>
      <c r="AY29" s="1">
        <f t="shared" si="146"/>
        <v>6741</v>
      </c>
      <c r="AZ29" s="8">
        <f t="shared" si="35"/>
        <v>567</v>
      </c>
      <c r="BA29" s="6">
        <f>IF(RTD("tos.rtd",,BA$2,"."&amp;$A$2&amp;$AS$1&amp;"C"&amp;$A29)="N/A",0,RTD("tos.rtd",,BA$2,"."&amp;$A$2&amp;$AS$1&amp;"C"&amp;$A29))</f>
        <v>4939</v>
      </c>
      <c r="BB29" s="7">
        <f>-IF(RTD("tos.rtd",,BB$2,"."&amp;$A$2&amp;$AS$1&amp;"P"&amp;$A29)="N/A",0,RTD("tos.rtd",,BB$2,"."&amp;$A$2&amp;$AS$1&amp;"P"&amp;$A29))</f>
        <v>-11376</v>
      </c>
      <c r="BC29" s="6">
        <f>IF(RTD("tos.rtd",,BC$2,"."&amp;$A$2&amp;$AU$1&amp;"C"&amp;$A29)="N/A",0,RTD("tos.rtd",,BC$2,"."&amp;$A$2&amp;$AU$1&amp;"C"&amp;$A29))</f>
        <v>2865</v>
      </c>
      <c r="BD29" s="7">
        <f>-IF(RTD("tos.rtd",,BD$2,"."&amp;$A$2&amp;$AU$1&amp;"P"&amp;$A29)="N/A",0,RTD("tos.rtd",,BD$2,"."&amp;$A$2&amp;$AU$1&amp;"P"&amp;$A29))</f>
        <v>-3114</v>
      </c>
      <c r="BE29" s="6">
        <f>IF(RTD("tos.rtd",,BE$2,"."&amp;$A$2&amp;$AW$1&amp;"C"&amp;$A29)="N/A",0,RTD("tos.rtd",,BE$2,"."&amp;$A$2&amp;$AW$1&amp;"C"&amp;$A29))</f>
        <v>86</v>
      </c>
      <c r="BF29" s="83">
        <f>-IF(RTD("tos.rtd",,BF$2,"."&amp;$A$2&amp;$AW$1&amp;"P"&amp;$A29)="N/A",0,RTD("tos.rtd",,BF$2,"."&amp;$A$2&amp;$AW$1&amp;"P"&amp;$A29))</f>
        <v>-874</v>
      </c>
      <c r="BG29" s="32">
        <f ca="1">+Hoja2!Y30</f>
        <v>-569</v>
      </c>
      <c r="BH29" s="7">
        <f t="shared" ca="1" si="36"/>
        <v>-8043</v>
      </c>
      <c r="BI29" s="8" t="str">
        <f t="shared" ref="BI29" ca="1" si="184">IF(AND(BH29&lt;0,BH28&gt;0), "Cruce -", IF(AND(BH29&gt;0,BH28&lt;0),"Cruce +", ""))</f>
        <v/>
      </c>
      <c r="BJ29" s="3">
        <f ca="1">IF($BP$1=1,DX29,IF(RTD("tos.rtd",,BJ$2,"."&amp;$A$2&amp;$AS$1&amp;"C"&amp;$A29)="N/A",0,RTD("tos.rtd",,BJ$2,"."&amp;$A$2&amp;$AS$1&amp;"C"&amp;$A29)))</f>
        <v>1.1072429043995379E-18</v>
      </c>
      <c r="BK29" s="3">
        <f ca="1">IF($BP$1=1,DY29,-IF(RTD("tos.rtd",,BK$2,"."&amp;$A$2&amp;$AS$1&amp;"P"&amp;$A29)="N/A",0,RTD("tos.rtd",,BK$2,"."&amp;$A$2&amp;$AS$1&amp;"P"&amp;$A29)))</f>
        <v>-9.9946859269891501E-3</v>
      </c>
      <c r="BL29" s="3">
        <f ca="1">IF($BP$1=1,DZ29,IF(RTD("tos.rtd",,BL$2,"."&amp;$A$2&amp;$AU$1&amp;"C"&amp;$A29)="N/A",0,RTD("tos.rtd",,BL$2,"."&amp;$A$2&amp;$AU$1&amp;"C"&amp;$A29)))</f>
        <v>1.4376786089348038E-2</v>
      </c>
      <c r="BM29" s="3">
        <f ca="1">IF($BP$1=1,EA29,-IF(RTD("tos.rtd",,BM$2,"."&amp;$A$2&amp;$AU$1&amp;"P"&amp;$A29)="N/A",0,RTD("tos.rtd",,BM$2,"."&amp;$A$2&amp;$AU$1&amp;"P"&amp;$A29)))</f>
        <v>-1.4376786089348038E-2</v>
      </c>
      <c r="BN29" s="3">
        <f ca="1">IF($BP$1=1,EB29,IF(RTD("tos.rtd",,BN$2,"."&amp;$A$2&amp;$AW$1&amp;"C"&amp;$A29)="N/A",0,RTD("tos.rtd",,BN$2,"."&amp;$A$2&amp;$AW$1&amp;"C"&amp;$A29)))</f>
        <v>1.346456133665982E-2</v>
      </c>
      <c r="BO29" s="3">
        <f ca="1">IF($BP$1=1,EC29,-IF(RTD("tos.rtd",,BO$2,"."&amp;$A$2&amp;$AW$1&amp;"P"&amp;$A29)="N/A",0,RTD("tos.rtd",,BO$2,"."&amp;$A$2&amp;$AW$1&amp;"P"&amp;$A29)))</f>
        <v>-1.3523200004732824E-2</v>
      </c>
      <c r="BQ29" s="3">
        <f t="shared" ca="1" si="148"/>
        <v>-7010378.3526206501</v>
      </c>
      <c r="BR29" s="3" t="str">
        <f t="shared" ca="1" si="71"/>
        <v/>
      </c>
      <c r="BS29" s="3">
        <f t="shared" ca="1" si="149"/>
        <v>16645488.989095315</v>
      </c>
      <c r="BT29" s="3" t="str">
        <f t="shared" ca="1" si="71"/>
        <v/>
      </c>
      <c r="BU29" s="3">
        <f t="shared" ca="1" si="150"/>
        <v>-1465938.9986374346</v>
      </c>
      <c r="BV29" s="3" t="str">
        <f t="shared" ref="BV29" ca="1" si="185">IF(AND(BU29&lt;0,BU28&gt;0), "Cruce -", IF(AND(BU29&gt;0,BU28&lt;0),"Cruce +", ""))</f>
        <v>Cruce -</v>
      </c>
      <c r="BX29" s="3">
        <f t="shared" ca="1" si="152"/>
        <v>-38638596.966769643</v>
      </c>
      <c r="BY29" s="3" t="str">
        <f t="shared" ca="1" si="73"/>
        <v/>
      </c>
      <c r="BZ29" s="3">
        <f t="shared" ca="1" si="153"/>
        <v>-1216532.6557924077</v>
      </c>
      <c r="CA29" s="3" t="str">
        <f t="shared" ca="1" si="74"/>
        <v/>
      </c>
      <c r="CB29" s="3">
        <f t="shared" ca="1" si="154"/>
        <v>-3623045.4043329945</v>
      </c>
      <c r="CC29" s="3" t="str">
        <f t="shared" ca="1" si="75"/>
        <v/>
      </c>
      <c r="CD29" s="3">
        <f>IF(RTD("tos.rtd",,CD$2,"."&amp;$A$2&amp;$AS$1&amp;"C"&amp;$A29)="N/A",0,RTD("tos.rtd",,CD$2,"."&amp;$A$2&amp;$AS$1&amp;"C"&amp;$A29))</f>
        <v>1</v>
      </c>
      <c r="CE29" s="3">
        <f>-IF(RTD("tos.rtd",,CE$2,"."&amp;$A$2&amp;$AS$1&amp;"P"&amp;$A29)="N/A",0,RTD("tos.rtd",,CE$2,"."&amp;$A$2&amp;$AS$1&amp;"P"&amp;$A29))</f>
        <v>0</v>
      </c>
      <c r="CF29" s="3">
        <f>IF(RTD("tos.rtd",,CF$2,"."&amp;$A$2&amp;$AU$1&amp;"C"&amp;$A29)="N/A",0,RTD("tos.rtd",,CF$2,"."&amp;$A$2&amp;$AU$1&amp;"C"&amp;$A29))</f>
        <v>0.89</v>
      </c>
      <c r="CG29" s="3">
        <f>-IF(RTD("tos.rtd",,CG$2,"."&amp;$A$2&amp;$AU$1&amp;"P"&amp;$A29)="N/A",0,RTD("tos.rtd",,CG$2,"."&amp;$A$2&amp;$AU$1&amp;"P"&amp;$A29))</f>
        <v>0.11</v>
      </c>
      <c r="CH29" s="3">
        <f>IF(RTD("tos.rtd",,CH$2,"."&amp;$A$2&amp;$AW$1&amp;"C"&amp;$A29)="N/A",0,RTD("tos.rtd",,CH$2,"."&amp;$A$2&amp;$AW$1&amp;"C"&amp;$A29))</f>
        <v>0.71</v>
      </c>
      <c r="CI29" s="3">
        <f>-IF(RTD("tos.rtd",,CI$2,"."&amp;$A$2&amp;$AW$1&amp;"P"&amp;$A29)="N/A",0,RTD("tos.rtd",,CI$2,"."&amp;$A$2&amp;$AW$1&amp;"P"&amp;$A29))</f>
        <v>0.28999999999999998</v>
      </c>
      <c r="CK29" s="3">
        <f t="shared" si="155"/>
        <v>571400</v>
      </c>
      <c r="CL29" s="3"/>
      <c r="CM29" s="3">
        <f t="shared" si="156"/>
        <v>562339</v>
      </c>
      <c r="CN29" s="3"/>
      <c r="CO29" s="3">
        <f t="shared" si="157"/>
        <v>19774</v>
      </c>
      <c r="CP29" s="3">
        <f t="shared" si="158"/>
        <v>1153513</v>
      </c>
      <c r="CQ29" s="3">
        <f t="shared" si="159"/>
        <v>-6437</v>
      </c>
      <c r="CR29" s="3"/>
      <c r="CS29" s="3">
        <f t="shared" si="160"/>
        <v>-249</v>
      </c>
      <c r="CT29" s="3"/>
      <c r="CU29" s="3">
        <f t="shared" si="161"/>
        <v>-788</v>
      </c>
      <c r="CV29" s="3">
        <f t="shared" si="162"/>
        <v>-7474</v>
      </c>
      <c r="CW29" s="3">
        <f t="shared" ca="1" si="163"/>
        <v>8169171.6378372312</v>
      </c>
      <c r="CX29" s="85" t="str">
        <f t="shared" ca="1" si="76"/>
        <v/>
      </c>
      <c r="CY29" s="3">
        <f t="shared" ca="1" si="164"/>
        <v>-43478175.026895046</v>
      </c>
      <c r="CZ29" s="85" t="str">
        <f t="shared" ca="1" si="77"/>
        <v/>
      </c>
      <c r="DA29" s="3">
        <f>IF(RTD("tos.rtd",,DA$2,"."&amp;$A$2&amp;$AS$1&amp;"C"&amp;$A29)="N/A",0,RTD("tos.rtd",,DA$2,"."&amp;$A$2&amp;$AS$1&amp;"C"&amp;$A29))</f>
        <v>16.07</v>
      </c>
      <c r="DB29" s="3">
        <f>IF(RTD("tos.rtd",,DB$2,"."&amp;$A$2&amp;$AS$1&amp;"P"&amp;$A29)="N/A",0,RTD("tos.rtd",,DB$2,"."&amp;$A$2&amp;$AS$1&amp;"P"&amp;$A29))</f>
        <v>0.01</v>
      </c>
      <c r="DC29" s="3">
        <f>IF(RTD("tos.rtd",,DC$2,"."&amp;$A$2&amp;$AS$1&amp;"C"&amp;$A29)="N/A",0,RTD("tos.rtd",,DC$2,"."&amp;$A$2&amp;$AS$1&amp;"C"&amp;$A29))</f>
        <v>15.96</v>
      </c>
      <c r="DD29" s="3">
        <f>IF(RTD("tos.rtd",,DD$2,"."&amp;$A$2&amp;$AS$1&amp;"P"&amp;$A29)="N/A",0,RTD("tos.rtd",,DD$2,"."&amp;$A$2&amp;$AS$1&amp;"P"&amp;$A29))</f>
        <v>0.01</v>
      </c>
      <c r="DE29" s="3">
        <f>IF(RTD("tos.rtd",,DE$2,"."&amp;$A$2&amp;$AS$1&amp;"C"&amp;$A29)="N/A",0,RTD("tos.rtd",,DE$2,"."&amp;$A$2&amp;$AS$1&amp;"C"&amp;$A29))</f>
        <v>15.64</v>
      </c>
      <c r="DF29" s="3">
        <f>IF(RTD("tos.rtd",,DF$2,"."&amp;$A$2&amp;$AS$1&amp;"P"&amp;$A29)="N/A",0,RTD("tos.rtd",,DF$2,"."&amp;$A$2&amp;$AS$1&amp;"P"&amp;$A29))</f>
        <v>0</v>
      </c>
      <c r="DG29" s="86">
        <f t="shared" si="48"/>
        <v>-15.950000000000045</v>
      </c>
      <c r="DH29" s="3">
        <f t="shared" si="165"/>
        <v>0</v>
      </c>
      <c r="DI29" s="3">
        <f t="shared" si="166"/>
        <v>0</v>
      </c>
      <c r="DJ29" s="3">
        <f t="shared" si="167"/>
        <v>0</v>
      </c>
      <c r="DK29" s="3">
        <f t="shared" si="51"/>
        <v>0</v>
      </c>
      <c r="DL29" s="3">
        <f t="shared" si="52"/>
        <v>0</v>
      </c>
      <c r="DM29" s="3">
        <f t="shared" si="53"/>
        <v>0</v>
      </c>
      <c r="DN29" s="63" t="str">
        <f t="shared" si="54"/>
        <v>UNKNOWN</v>
      </c>
      <c r="DO29" s="63" t="str">
        <f t="shared" si="55"/>
        <v>UNKNOWN</v>
      </c>
      <c r="DP29" s="3">
        <f t="shared" si="56"/>
        <v>0</v>
      </c>
      <c r="DQ29" s="3">
        <f t="shared" si="57"/>
        <v>0</v>
      </c>
      <c r="DR29" s="3">
        <f t="shared" ca="1" si="58"/>
        <v>0</v>
      </c>
      <c r="DS29" s="3">
        <f t="shared" si="59"/>
        <v>0</v>
      </c>
      <c r="DT29" s="3">
        <f t="shared" si="60"/>
        <v>0</v>
      </c>
      <c r="DU29" s="3">
        <f t="shared" si="61"/>
        <v>0</v>
      </c>
      <c r="DV29" s="3">
        <f t="shared" si="62"/>
        <v>2680</v>
      </c>
      <c r="DW29" s="3">
        <f t="shared" si="23"/>
        <v>860</v>
      </c>
      <c r="DX29" s="3">
        <f t="shared" ca="1" si="24"/>
        <v>1.1072429043995379E-18</v>
      </c>
      <c r="DY29" s="3">
        <f t="shared" ca="1" si="25"/>
        <v>-9.9946859269891501E-3</v>
      </c>
      <c r="DZ29" s="3">
        <f t="shared" ca="1" si="26"/>
        <v>1.4376786089348038E-2</v>
      </c>
      <c r="EA29" s="3">
        <f t="shared" ca="1" si="27"/>
        <v>-1.4376786089348038E-2</v>
      </c>
      <c r="EB29" s="3">
        <f t="shared" ca="1" si="28"/>
        <v>1.346456133665982E-2</v>
      </c>
      <c r="EC29" s="3">
        <f t="shared" ca="1" si="29"/>
        <v>-1.3523200004732824E-2</v>
      </c>
      <c r="ED29" s="63">
        <f t="shared" si="63"/>
        <v>3540</v>
      </c>
      <c r="EE29" s="59">
        <f t="shared" si="168"/>
        <v>0.25</v>
      </c>
      <c r="EF29" s="59">
        <f t="shared" si="169"/>
        <v>1.3302</v>
      </c>
      <c r="EG29" s="59">
        <f t="shared" si="170"/>
        <v>0.21820000000000001</v>
      </c>
      <c r="EH29" s="59">
        <f t="shared" si="171"/>
        <v>0.21820000000000001</v>
      </c>
      <c r="EI29" s="59">
        <f t="shared" si="172"/>
        <v>0.1807</v>
      </c>
      <c r="EJ29" s="59">
        <f t="shared" si="173"/>
        <v>0.182</v>
      </c>
      <c r="EK29" s="63">
        <f t="shared" ca="1" si="65"/>
        <v>-2920990.980258604</v>
      </c>
      <c r="EL29" s="3" t="str">
        <f>RTD("tos.rtd",,EL$2,"."&amp;$A$2&amp;$AS$1&amp;"C"&amp;$A29)</f>
        <v>--</v>
      </c>
      <c r="EM29" s="3" t="str">
        <f>RTD("tos.rtd",,EM$2,"."&amp;$A$2&amp;$AS$1&amp;"P"&amp;$A29)</f>
        <v>133.02%</v>
      </c>
      <c r="EN29" s="3" t="str">
        <f>RTD("tos.rtd",,EN$2,"."&amp;$A$2&amp;$AU$1&amp;"C"&amp;$A29)</f>
        <v>21.82%</v>
      </c>
      <c r="EO29" s="3" t="str">
        <f>RTD("tos.rtd",,EO$2,"."&amp;$A$2&amp;$AU$1&amp;"P"&amp;$A29)</f>
        <v>21.82%</v>
      </c>
      <c r="EP29" s="3" t="str">
        <f>RTD("tos.rtd",,EP$2,"."&amp;$A$2&amp;$AW$1&amp;"C"&amp;$A29)</f>
        <v>18.07%</v>
      </c>
      <c r="EQ29" s="3" t="str">
        <f>RTD("tos.rtd",,EQ$2,"."&amp;$A$2&amp;$AW$1&amp;"P"&amp;$A29)</f>
        <v>18.20%</v>
      </c>
      <c r="ES29" s="63" t="str">
        <f t="shared" si="66"/>
        <v>567,3540.00</v>
      </c>
      <c r="ET29" s="63" t="str">
        <f t="shared" ca="1" si="67"/>
        <v>567,-43478.18</v>
      </c>
      <c r="EU29" s="67">
        <v>564.79999999999995</v>
      </c>
      <c r="EV29" s="67" t="s">
        <v>251</v>
      </c>
      <c r="EW29" s="67">
        <v>487.92</v>
      </c>
      <c r="EX29" s="67" t="s">
        <v>252</v>
      </c>
      <c r="EY29" s="67">
        <v>5659.91</v>
      </c>
      <c r="EZ29" s="67" t="s">
        <v>253</v>
      </c>
      <c r="FA29" s="67">
        <v>20061.449000000001</v>
      </c>
      <c r="FB29" s="67" t="s">
        <v>254</v>
      </c>
      <c r="FC29" s="67" t="s">
        <v>255</v>
      </c>
      <c r="FD29" s="67" t="s">
        <v>256</v>
      </c>
      <c r="FE29" s="67" t="s">
        <v>257</v>
      </c>
      <c r="FF29" s="67" t="s">
        <v>258</v>
      </c>
    </row>
    <row r="30" spans="1:162" s="63" customFormat="1" ht="13.5" thickBot="1" x14ac:dyDescent="0.25">
      <c r="A30" s="2">
        <f t="shared" si="68"/>
        <v>566</v>
      </c>
      <c r="B30" s="3">
        <f t="shared" si="9"/>
        <v>11861</v>
      </c>
      <c r="C30" s="3">
        <f t="shared" si="10"/>
        <v>9959</v>
      </c>
      <c r="D30" s="3">
        <f t="shared" si="11"/>
        <v>1525</v>
      </c>
      <c r="E30" s="3">
        <f t="shared" si="12"/>
        <v>23345</v>
      </c>
      <c r="F30" s="4">
        <f t="shared" si="13"/>
        <v>5695.195985933613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>
        <v>-473</v>
      </c>
      <c r="AN30" s="1">
        <v>3815</v>
      </c>
      <c r="AO30" s="1">
        <v>566</v>
      </c>
      <c r="AP30" s="1">
        <v>4871</v>
      </c>
      <c r="AQ30" s="1">
        <v>-13723</v>
      </c>
      <c r="AR30" s="1"/>
      <c r="AS30" s="6">
        <f>IF(RTD("tos.rtd",,AS$2,"."&amp;$A$2&amp;$AS$1&amp;"C"&amp;$A30)="N/A",0,RTD("tos.rtd",,AS$2,"."&amp;$A$2&amp;$AS$1&amp;"C"&amp;$A30))</f>
        <v>5948</v>
      </c>
      <c r="AT30" s="7">
        <f>-IF(RTD("tos.rtd",,AT$2,"."&amp;$A$2&amp;$AS$1&amp;"P"&amp;$A30)="N/A",0,RTD("tos.rtd",,AT$2,"."&amp;$A$2&amp;$AS$1&amp;"P"&amp;$A30))</f>
        <v>-5913</v>
      </c>
      <c r="AU30" s="6">
        <f>IF(RTD("tos.rtd",,AU$2,"."&amp;$A$2&amp;$AU$1&amp;"C"&amp;$A30)="N/A",0,RTD("tos.rtd",,AU$2,"."&amp;$A$2&amp;$AU$1&amp;"C"&amp;$A30))</f>
        <v>6538</v>
      </c>
      <c r="AV30" s="7">
        <f>-IF(RTD("tos.rtd",,AV$2,"."&amp;$A$2&amp;$AU$1&amp;"P"&amp;$A30)="N/A",0,RTD("tos.rtd",,AV$2,"."&amp;$A$2&amp;$AU$1&amp;"P"&amp;$A30))</f>
        <v>-3421</v>
      </c>
      <c r="AW30" s="6">
        <f>IF(RTD("tos.rtd",,AW$2,"."&amp;$A$2&amp;$AW$1&amp;"C"&amp;$A30)="N/A",0,RTD("tos.rtd",,AW$2,"."&amp;$A$2&amp;$AW$1&amp;"C"&amp;$A30))</f>
        <v>661</v>
      </c>
      <c r="AX30" s="7">
        <f>-IF(RTD("tos.rtd",,AX$2,"."&amp;$A$2&amp;$AW$1&amp;"P"&amp;$A30)="N/A",0,RTD("tos.rtd",,AX$2,"."&amp;$A$2&amp;$AW$1&amp;"P"&amp;$A30))</f>
        <v>-864</v>
      </c>
      <c r="AY30" s="1">
        <f t="shared" si="69"/>
        <v>2949</v>
      </c>
      <c r="AZ30" s="8">
        <f t="shared" si="35"/>
        <v>566</v>
      </c>
      <c r="BA30" s="6">
        <f>IF(RTD("tos.rtd",,BA$2,"."&amp;$A$2&amp;$AS$1&amp;"C"&amp;$A30)="N/A",0,RTD("tos.rtd",,BA$2,"."&amp;$A$2&amp;$AS$1&amp;"C"&amp;$A30))</f>
        <v>4871</v>
      </c>
      <c r="BB30" s="7">
        <f>-IF(RTD("tos.rtd",,BB$2,"."&amp;$A$2&amp;$AS$1&amp;"P"&amp;$A30)="N/A",0,RTD("tos.rtd",,BB$2,"."&amp;$A$2&amp;$AS$1&amp;"P"&amp;$A30))</f>
        <v>-13723</v>
      </c>
      <c r="BC30" s="6">
        <f>IF(RTD("tos.rtd",,BC$2,"."&amp;$A$2&amp;$AU$1&amp;"C"&amp;$A30)="N/A",0,RTD("tos.rtd",,BC$2,"."&amp;$A$2&amp;$AU$1&amp;"C"&amp;$A30))</f>
        <v>2015</v>
      </c>
      <c r="BD30" s="7">
        <f>-IF(RTD("tos.rtd",,BD$2,"."&amp;$A$2&amp;$AU$1&amp;"P"&amp;$A30)="N/A",0,RTD("tos.rtd",,BD$2,"."&amp;$A$2&amp;$AU$1&amp;"P"&amp;$A30))</f>
        <v>-3553</v>
      </c>
      <c r="BE30" s="6">
        <f>IF(RTD("tos.rtd",,BE$2,"."&amp;$A$2&amp;$AW$1&amp;"C"&amp;$A30)="N/A",0,RTD("tos.rtd",,BE$2,"."&amp;$A$2&amp;$AW$1&amp;"C"&amp;$A30))</f>
        <v>127</v>
      </c>
      <c r="BF30" s="83">
        <f>-IF(RTD("tos.rtd",,BF$2,"."&amp;$A$2&amp;$AW$1&amp;"P"&amp;$A30)="N/A",0,RTD("tos.rtd",,BF$2,"."&amp;$A$2&amp;$AW$1&amp;"P"&amp;$A30))</f>
        <v>-957</v>
      </c>
      <c r="BG30" s="32">
        <f ca="1">+Hoja2!Y31</f>
        <v>-3028</v>
      </c>
      <c r="BH30" s="7">
        <f t="shared" ca="1" si="36"/>
        <v>-14248</v>
      </c>
      <c r="BI30" s="8" t="str">
        <f t="shared" ref="BI30" ca="1" si="186">IF(AND(BH30&lt;0,BH29&gt;0), "Cruce -", IF(AND(BH30&gt;0,BH29&lt;0),"Cruce +", ""))</f>
        <v/>
      </c>
      <c r="BJ30" s="3">
        <f ca="1">IF($BP$1=1,DX30,IF(RTD("tos.rtd",,BJ$2,"."&amp;$A$2&amp;$AS$1&amp;"C"&amp;$A30)="N/A",0,RTD("tos.rtd",,BJ$2,"."&amp;$A$2&amp;$AS$1&amp;"C"&amp;$A30)))</f>
        <v>5.9399333239949758E-21</v>
      </c>
      <c r="BK30" s="3">
        <f ca="1">IF($BP$1=1,DY30,-IF(RTD("tos.rtd",,BK$2,"."&amp;$A$2&amp;$AS$1&amp;"P"&amp;$A30)="N/A",0,RTD("tos.rtd",,BK$2,"."&amp;$A$2&amp;$AS$1&amp;"P"&amp;$A30)))</f>
        <v>-9.2878070755296905E-3</v>
      </c>
      <c r="BL30" s="3">
        <f ca="1">IF($BP$1=1,DZ30,IF(RTD("tos.rtd",,BL$2,"."&amp;$A$2&amp;$AU$1&amp;"C"&amp;$A30)="N/A",0,RTD("tos.rtd",,BL$2,"."&amp;$A$2&amp;$AU$1&amp;"C"&amp;$A30)))</f>
        <v>1.3376006810613553E-2</v>
      </c>
      <c r="BM30" s="3">
        <f ca="1">IF($BP$1=1,EA30,-IF(RTD("tos.rtd",,BM$2,"."&amp;$A$2&amp;$AU$1&amp;"P"&amp;$A30)="N/A",0,RTD("tos.rtd",,BM$2,"."&amp;$A$2&amp;$AU$1&amp;"P"&amp;$A30)))</f>
        <v>-1.3411071630531934E-2</v>
      </c>
      <c r="BN30" s="3">
        <f ca="1">IF($BP$1=1,EB30,IF(RTD("tos.rtd",,BN$2,"."&amp;$A$2&amp;$AW$1&amp;"C"&amp;$A30)="N/A",0,RTD("tos.rtd",,BN$2,"."&amp;$A$2&amp;$AW$1&amp;"C"&amp;$A30)))</f>
        <v>1.2224341466034344E-2</v>
      </c>
      <c r="BO30" s="3">
        <f ca="1">IF($BP$1=1,EC30,-IF(RTD("tos.rtd",,BO$2,"."&amp;$A$2&amp;$AW$1&amp;"P"&amp;$A30)="N/A",0,RTD("tos.rtd",,BO$2,"."&amp;$A$2&amp;$AW$1&amp;"P"&amp;$A30)))</f>
        <v>-1.2271376732448542E-2</v>
      </c>
      <c r="BQ30" s="3">
        <f t="shared" ca="1" si="37"/>
        <v>-18663095.484695286</v>
      </c>
      <c r="BR30" s="3" t="str">
        <f t="shared" ca="1" si="71"/>
        <v/>
      </c>
      <c r="BS30" s="3">
        <f t="shared" ca="1" si="38"/>
        <v>14127800.988582792</v>
      </c>
      <c r="BT30" s="3" t="str">
        <f t="shared" ca="1" si="71"/>
        <v/>
      </c>
      <c r="BU30" s="3">
        <f t="shared" ca="1" si="39"/>
        <v>-857114.12911490211</v>
      </c>
      <c r="BV30" s="3" t="str">
        <f t="shared" ref="BV30" ca="1" si="187">IF(AND(BU30&lt;0,BU29&gt;0), "Cruce -", IF(AND(BU30&gt;0,BU29&lt;0),"Cruce +", ""))</f>
        <v/>
      </c>
      <c r="BX30" s="3">
        <f t="shared" ca="1" si="40"/>
        <v>-43313657.929388367</v>
      </c>
      <c r="BY30" s="3" t="str">
        <f t="shared" ca="1" si="73"/>
        <v/>
      </c>
      <c r="BZ30" s="3">
        <f t="shared" ca="1" si="41"/>
        <v>-7033436.5544821173</v>
      </c>
      <c r="CA30" s="3" t="str">
        <f t="shared" ca="1" si="74"/>
        <v/>
      </c>
      <c r="CB30" s="3">
        <f t="shared" ca="1" si="42"/>
        <v>-3463288.1492817509</v>
      </c>
      <c r="CC30" s="3" t="str">
        <f t="shared" ca="1" si="75"/>
        <v/>
      </c>
      <c r="CD30" s="3">
        <f>IF(RTD("tos.rtd",,CD$2,"."&amp;$A$2&amp;$AS$1&amp;"C"&amp;$A30)="N/A",0,RTD("tos.rtd",,CD$2,"."&amp;$A$2&amp;$AS$1&amp;"C"&amp;$A30))</f>
        <v>1</v>
      </c>
      <c r="CE30" s="3">
        <f>-IF(RTD("tos.rtd",,CE$2,"."&amp;$A$2&amp;$AS$1&amp;"P"&amp;$A30)="N/A",0,RTD("tos.rtd",,CE$2,"."&amp;$A$2&amp;$AS$1&amp;"P"&amp;$A30))</f>
        <v>0</v>
      </c>
      <c r="CF30" s="3">
        <f>IF(RTD("tos.rtd",,CF$2,"."&amp;$A$2&amp;$AU$1&amp;"C"&amp;$A30)="N/A",0,RTD("tos.rtd",,CF$2,"."&amp;$A$2&amp;$AU$1&amp;"C"&amp;$A30))</f>
        <v>0.91</v>
      </c>
      <c r="CG30" s="3">
        <f>-IF(RTD("tos.rtd",,CG$2,"."&amp;$A$2&amp;$AU$1&amp;"P"&amp;$A30)="N/A",0,RTD("tos.rtd",,CG$2,"."&amp;$A$2&amp;$AU$1&amp;"P"&amp;$A30))</f>
        <v>0.1</v>
      </c>
      <c r="CH30" s="3">
        <f>IF(RTD("tos.rtd",,CH$2,"."&amp;$A$2&amp;$AW$1&amp;"C"&amp;$A30)="N/A",0,RTD("tos.rtd",,CH$2,"."&amp;$A$2&amp;$AW$1&amp;"C"&amp;$A30))</f>
        <v>0.72</v>
      </c>
      <c r="CI30" s="3">
        <f>-IF(RTD("tos.rtd",,CI$2,"."&amp;$A$2&amp;$AW$1&amp;"P"&amp;$A30)="N/A",0,RTD("tos.rtd",,CI$2,"."&amp;$A$2&amp;$AW$1&amp;"P"&amp;$A30))</f>
        <v>0.28000000000000003</v>
      </c>
      <c r="CK30" s="3">
        <f t="shared" si="17"/>
        <v>594800</v>
      </c>
      <c r="CL30" s="3"/>
      <c r="CM30" s="3">
        <f t="shared" si="18"/>
        <v>560748</v>
      </c>
      <c r="CN30" s="3"/>
      <c r="CO30" s="3">
        <f t="shared" si="19"/>
        <v>23399.999999999993</v>
      </c>
      <c r="CP30" s="3">
        <f t="shared" si="43"/>
        <v>1178948</v>
      </c>
      <c r="CQ30" s="3">
        <f t="shared" si="44"/>
        <v>-8852</v>
      </c>
      <c r="CR30" s="3"/>
      <c r="CS30" s="3">
        <f t="shared" si="20"/>
        <v>-1538</v>
      </c>
      <c r="CT30" s="3"/>
      <c r="CU30" s="3">
        <f t="shared" si="21"/>
        <v>-830</v>
      </c>
      <c r="CV30" s="3">
        <f t="shared" si="45"/>
        <v>-11220</v>
      </c>
      <c r="CW30" s="3">
        <f t="shared" ca="1" si="46"/>
        <v>-5392408.6252273954</v>
      </c>
      <c r="CX30" s="85" t="str">
        <f t="shared" ca="1" si="76"/>
        <v>Cruce -</v>
      </c>
      <c r="CY30" s="3">
        <f t="shared" ca="1" si="47"/>
        <v>-53810382.633152232</v>
      </c>
      <c r="CZ30" s="85" t="str">
        <f t="shared" ca="1" si="77"/>
        <v/>
      </c>
      <c r="DA30" s="3">
        <f>IF(RTD("tos.rtd",,DA$2,"."&amp;$A$2&amp;$AS$1&amp;"C"&amp;$A30)="N/A",0,RTD("tos.rtd",,DA$2,"."&amp;$A$2&amp;$AS$1&amp;"C"&amp;$A30))</f>
        <v>16.95</v>
      </c>
      <c r="DB30" s="3">
        <f>IF(RTD("tos.rtd",,DB$2,"."&amp;$A$2&amp;$AS$1&amp;"P"&amp;$A30)="N/A",0,RTD("tos.rtd",,DB$2,"."&amp;$A$2&amp;$AS$1&amp;"P"&amp;$A30))</f>
        <v>0.01</v>
      </c>
      <c r="DC30" s="3">
        <f>IF(RTD("tos.rtd",,DC$2,"."&amp;$A$2&amp;$AS$1&amp;"C"&amp;$A30)="N/A",0,RTD("tos.rtd",,DC$2,"."&amp;$A$2&amp;$AS$1&amp;"C"&amp;$A30))</f>
        <v>16.96</v>
      </c>
      <c r="DD30" s="3">
        <f>IF(RTD("tos.rtd",,DD$2,"."&amp;$A$2&amp;$AS$1&amp;"P"&amp;$A30)="N/A",0,RTD("tos.rtd",,DD$2,"."&amp;$A$2&amp;$AS$1&amp;"P"&amp;$A30))</f>
        <v>0.01</v>
      </c>
      <c r="DE30" s="3">
        <f>IF(RTD("tos.rtd",,DE$2,"."&amp;$A$2&amp;$AS$1&amp;"C"&amp;$A30)="N/A",0,RTD("tos.rtd",,DE$2,"."&amp;$A$2&amp;$AS$1&amp;"C"&amp;$A30))</f>
        <v>16.64</v>
      </c>
      <c r="DF30" s="3">
        <f>IF(RTD("tos.rtd",,DF$2,"."&amp;$A$2&amp;$AS$1&amp;"P"&amp;$A30)="N/A",0,RTD("tos.rtd",,DF$2,"."&amp;$A$2&amp;$AS$1&amp;"P"&amp;$A30))</f>
        <v>0</v>
      </c>
      <c r="DG30" s="86">
        <f t="shared" si="48"/>
        <v>-16.950000000000045</v>
      </c>
      <c r="DH30" s="3">
        <f t="shared" si="22"/>
        <v>0</v>
      </c>
      <c r="DI30" s="3">
        <f t="shared" si="49"/>
        <v>0</v>
      </c>
      <c r="DJ30" s="3">
        <f t="shared" si="50"/>
        <v>0</v>
      </c>
      <c r="DK30" s="3">
        <f t="shared" si="51"/>
        <v>0</v>
      </c>
      <c r="DL30" s="3">
        <f t="shared" si="52"/>
        <v>0</v>
      </c>
      <c r="DM30" s="3">
        <f t="shared" si="53"/>
        <v>0</v>
      </c>
      <c r="DN30" s="63" t="str">
        <f t="shared" si="54"/>
        <v>UNKNOWN</v>
      </c>
      <c r="DO30" s="63" t="str">
        <f t="shared" si="55"/>
        <v>UNKNOWN</v>
      </c>
      <c r="DP30" s="3">
        <f t="shared" si="56"/>
        <v>0</v>
      </c>
      <c r="DQ30" s="3">
        <f t="shared" si="57"/>
        <v>0</v>
      </c>
      <c r="DR30" s="3">
        <f t="shared" ca="1" si="58"/>
        <v>0</v>
      </c>
      <c r="DS30" s="3">
        <f t="shared" si="59"/>
        <v>0</v>
      </c>
      <c r="DT30" s="3">
        <f t="shared" si="60"/>
        <v>0</v>
      </c>
      <c r="DU30" s="3">
        <f t="shared" si="61"/>
        <v>0</v>
      </c>
      <c r="DV30" s="3">
        <f t="shared" si="62"/>
        <v>-473</v>
      </c>
      <c r="DW30" s="3">
        <f t="shared" si="23"/>
        <v>3815</v>
      </c>
      <c r="DX30" s="3">
        <f t="shared" ca="1" si="24"/>
        <v>5.9399333239949758E-21</v>
      </c>
      <c r="DY30" s="3">
        <f t="shared" ca="1" si="25"/>
        <v>-9.2878070755296905E-3</v>
      </c>
      <c r="DZ30" s="3">
        <f t="shared" ca="1" si="26"/>
        <v>1.3376006810613553E-2</v>
      </c>
      <c r="EA30" s="3">
        <f t="shared" ca="1" si="27"/>
        <v>-1.3411071630531934E-2</v>
      </c>
      <c r="EB30" s="3">
        <f t="shared" ca="1" si="28"/>
        <v>1.2224341466034344E-2</v>
      </c>
      <c r="EC30" s="3">
        <f t="shared" ca="1" si="29"/>
        <v>-1.2271376732448542E-2</v>
      </c>
      <c r="ED30" s="63">
        <f t="shared" si="63"/>
        <v>3342</v>
      </c>
      <c r="EE30" s="59">
        <f t="shared" si="64"/>
        <v>0.25</v>
      </c>
      <c r="EF30" s="59">
        <f t="shared" si="30"/>
        <v>1.4065000000000001</v>
      </c>
      <c r="EG30" s="59">
        <f t="shared" si="31"/>
        <v>0.21809999999999999</v>
      </c>
      <c r="EH30" s="59">
        <f t="shared" si="32"/>
        <v>0.2205</v>
      </c>
      <c r="EI30" s="59">
        <f t="shared" si="33"/>
        <v>0.1825</v>
      </c>
      <c r="EJ30" s="59">
        <f t="shared" si="34"/>
        <v>0.18340000000000001</v>
      </c>
      <c r="EK30" s="63">
        <f t="shared" ca="1" si="65"/>
        <v>-12041215.842061983</v>
      </c>
      <c r="EL30" s="3" t="str">
        <f>RTD("tos.rtd",,EL$2,"."&amp;$A$2&amp;$AS$1&amp;"C"&amp;$A30)</f>
        <v>--</v>
      </c>
      <c r="EM30" s="3" t="str">
        <f>RTD("tos.rtd",,EM$2,"."&amp;$A$2&amp;$AS$1&amp;"P"&amp;$A30)</f>
        <v>140.65%</v>
      </c>
      <c r="EN30" s="3" t="str">
        <f>RTD("tos.rtd",,EN$2,"."&amp;$A$2&amp;$AU$1&amp;"C"&amp;$A30)</f>
        <v>21.81%</v>
      </c>
      <c r="EO30" s="3" t="str">
        <f>RTD("tos.rtd",,EO$2,"."&amp;$A$2&amp;$AU$1&amp;"P"&amp;$A30)</f>
        <v>22.05%</v>
      </c>
      <c r="EP30" s="3" t="str">
        <f>RTD("tos.rtd",,EP$2,"."&amp;$A$2&amp;$AW$1&amp;"C"&amp;$A30)</f>
        <v>18.25%</v>
      </c>
      <c r="EQ30" s="3" t="str">
        <f>RTD("tos.rtd",,EQ$2,"."&amp;$A$2&amp;$AW$1&amp;"P"&amp;$A30)</f>
        <v>18.34%</v>
      </c>
      <c r="ES30" s="63" t="str">
        <f t="shared" si="66"/>
        <v>566,3342.00</v>
      </c>
      <c r="ET30" s="63" t="str">
        <f t="shared" ca="1" si="67"/>
        <v>566,-53810.38</v>
      </c>
      <c r="EU30" s="67">
        <v>564.79999999999995</v>
      </c>
      <c r="EV30" s="67" t="s">
        <v>259</v>
      </c>
      <c r="EW30" s="67">
        <v>487.92</v>
      </c>
      <c r="EX30" s="67" t="s">
        <v>260</v>
      </c>
      <c r="EY30" s="67">
        <v>5659.91</v>
      </c>
      <c r="EZ30" s="67" t="s">
        <v>261</v>
      </c>
      <c r="FA30" s="67">
        <v>20061.449000000001</v>
      </c>
      <c r="FB30" s="67" t="s">
        <v>262</v>
      </c>
      <c r="FC30" s="67" t="s">
        <v>263</v>
      </c>
      <c r="FD30" s="67" t="s">
        <v>264</v>
      </c>
      <c r="FE30" s="67" t="s">
        <v>265</v>
      </c>
      <c r="FF30" s="67" t="s">
        <v>266</v>
      </c>
    </row>
    <row r="31" spans="1:162" s="63" customFormat="1" ht="13.5" thickBot="1" x14ac:dyDescent="0.25">
      <c r="A31" s="2">
        <f t="shared" si="68"/>
        <v>565</v>
      </c>
      <c r="B31" s="3">
        <f t="shared" si="9"/>
        <v>17955</v>
      </c>
      <c r="C31" s="3">
        <f t="shared" si="10"/>
        <v>50494</v>
      </c>
      <c r="D31" s="3">
        <f t="shared" si="11"/>
        <v>34339</v>
      </c>
      <c r="E31" s="3">
        <f t="shared" si="12"/>
        <v>102788</v>
      </c>
      <c r="F31" s="4">
        <f t="shared" si="13"/>
        <v>5685.1338022128821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>
        <v>2007</v>
      </c>
      <c r="AN31" s="1">
        <v>10543</v>
      </c>
      <c r="AO31" s="1">
        <v>565</v>
      </c>
      <c r="AP31" s="1">
        <v>7314</v>
      </c>
      <c r="AQ31" s="1">
        <v>-25083</v>
      </c>
      <c r="AR31" s="1"/>
      <c r="AS31" s="6">
        <f>IF(RTD("tos.rtd",,AS$2,"."&amp;$A$2&amp;$AS$1&amp;"C"&amp;$A31)="N/A",0,RTD("tos.rtd",,AS$2,"."&amp;$A$2&amp;$AS$1&amp;"C"&amp;$A31))</f>
        <v>10229</v>
      </c>
      <c r="AT31" s="7">
        <f>-IF(RTD("tos.rtd",,AT$2,"."&amp;$A$2&amp;$AS$1&amp;"P"&amp;$A31)="N/A",0,RTD("tos.rtd",,AT$2,"."&amp;$A$2&amp;$AS$1&amp;"P"&amp;$A31))</f>
        <v>-7726</v>
      </c>
      <c r="AU31" s="6">
        <f>IF(RTD("tos.rtd",,AU$2,"."&amp;$A$2&amp;$AU$1&amp;"C"&amp;$A31)="N/A",0,RTD("tos.rtd",,AU$2,"."&amp;$A$2&amp;$AU$1&amp;"C"&amp;$A31))</f>
        <v>29968</v>
      </c>
      <c r="AV31" s="7">
        <f>-IF(RTD("tos.rtd",,AV$2,"."&amp;$A$2&amp;$AU$1&amp;"P"&amp;$A31)="N/A",0,RTD("tos.rtd",,AV$2,"."&amp;$A$2&amp;$AU$1&amp;"P"&amp;$A31))</f>
        <v>-20526</v>
      </c>
      <c r="AW31" s="6">
        <f>IF(RTD("tos.rtd",,AW$2,"."&amp;$A$2&amp;$AW$1&amp;"C"&amp;$A31)="N/A",0,RTD("tos.rtd",,AW$2,"."&amp;$A$2&amp;$AW$1&amp;"C"&amp;$A31))</f>
        <v>21511</v>
      </c>
      <c r="AX31" s="7">
        <f>-IF(RTD("tos.rtd",,AX$2,"."&amp;$A$2&amp;$AW$1&amp;"P"&amp;$A31)="N/A",0,RTD("tos.rtd",,AX$2,"."&amp;$A$2&amp;$AW$1&amp;"P"&amp;$A31))</f>
        <v>-12828</v>
      </c>
      <c r="AY31" s="1">
        <f t="shared" si="69"/>
        <v>20628</v>
      </c>
      <c r="AZ31" s="8">
        <f t="shared" si="35"/>
        <v>565</v>
      </c>
      <c r="BA31" s="6">
        <f>IF(RTD("tos.rtd",,BA$2,"."&amp;$A$2&amp;$AS$1&amp;"C"&amp;$A31)="N/A",0,RTD("tos.rtd",,BA$2,"."&amp;$A$2&amp;$AS$1&amp;"C"&amp;$A31))</f>
        <v>7314</v>
      </c>
      <c r="BB31" s="7">
        <f>-IF(RTD("tos.rtd",,BB$2,"."&amp;$A$2&amp;$AS$1&amp;"P"&amp;$A31)="N/A",0,RTD("tos.rtd",,BB$2,"."&amp;$A$2&amp;$AS$1&amp;"P"&amp;$A31))</f>
        <v>-25083</v>
      </c>
      <c r="BC31" s="6">
        <f>IF(RTD("tos.rtd",,BC$2,"."&amp;$A$2&amp;$AU$1&amp;"C"&amp;$A31)="N/A",0,RTD("tos.rtd",,BC$2,"."&amp;$A$2&amp;$AU$1&amp;"C"&amp;$A31))</f>
        <v>4689</v>
      </c>
      <c r="BD31" s="7">
        <f>-IF(RTD("tos.rtd",,BD$2,"."&amp;$A$2&amp;$AU$1&amp;"P"&amp;$A31)="N/A",0,RTD("tos.rtd",,BD$2,"."&amp;$A$2&amp;$AU$1&amp;"P"&amp;$A31))</f>
        <v>-15002</v>
      </c>
      <c r="BE31" s="6">
        <f>IF(RTD("tos.rtd",,BE$2,"."&amp;$A$2&amp;$AW$1&amp;"C"&amp;$A31)="N/A",0,RTD("tos.rtd",,BE$2,"."&amp;$A$2&amp;$AW$1&amp;"C"&amp;$A31))</f>
        <v>5914</v>
      </c>
      <c r="BF31" s="83">
        <f>-IF(RTD("tos.rtd",,BF$2,"."&amp;$A$2&amp;$AW$1&amp;"P"&amp;$A31)="N/A",0,RTD("tos.rtd",,BF$2,"."&amp;$A$2&amp;$AW$1&amp;"P"&amp;$A31))</f>
        <v>-7224</v>
      </c>
      <c r="BG31" s="32">
        <f ca="1">+Hoja2!Y32</f>
        <v>-15390</v>
      </c>
      <c r="BH31" s="7">
        <f t="shared" ca="1" si="36"/>
        <v>-44782</v>
      </c>
      <c r="BI31" s="8" t="str">
        <f t="shared" ref="BI31" ca="1" si="188">IF(AND(BH31&lt;0,BH30&gt;0), "Cruce -", IF(AND(BH31&gt;0,BH30&lt;0),"Cruce +", ""))</f>
        <v/>
      </c>
      <c r="BJ31" s="3">
        <f ca="1">IF($BP$1=1,DX31,IF(RTD("tos.rtd",,BJ$2,"."&amp;$A$2&amp;$AS$1&amp;"C"&amp;$A31)="N/A",0,RTD("tos.rtd",,BJ$2,"."&amp;$A$2&amp;$AS$1&amp;"C"&amp;$A31)))</f>
        <v>2.2854658680315485E-23</v>
      </c>
      <c r="BK31" s="3">
        <f ca="1">IF($BP$1=1,DY31,-IF(RTD("tos.rtd",,BK$2,"."&amp;$A$2&amp;$AS$1&amp;"P"&amp;$A31)="N/A",0,RTD("tos.rtd",,BK$2,"."&amp;$A$2&amp;$AS$1&amp;"P"&amp;$A31)))</f>
        <v>-8.6647552310374128E-3</v>
      </c>
      <c r="BL31" s="3">
        <f ca="1">IF($BP$1=1,DZ31,IF(RTD("tos.rtd",,BL$2,"."&amp;$A$2&amp;$AU$1&amp;"C"&amp;$A31)="N/A",0,RTD("tos.rtd",,BL$2,"."&amp;$A$2&amp;$AU$1&amp;"C"&amp;$A31)))</f>
        <v>1.2464005616447208E-2</v>
      </c>
      <c r="BM31" s="3">
        <f ca="1">IF($BP$1=1,EA31,-IF(RTD("tos.rtd",,BM$2,"."&amp;$A$2&amp;$AU$1&amp;"P"&amp;$A31)="N/A",0,RTD("tos.rtd",,BM$2,"."&amp;$A$2&amp;$AU$1&amp;"P"&amp;$A31)))</f>
        <v>-1.2512527359494064E-2</v>
      </c>
      <c r="BN31" s="3">
        <f ca="1">IF($BP$1=1,EB31,IF(RTD("tos.rtd",,BN$2,"."&amp;$A$2&amp;$AW$1&amp;"C"&amp;$A31)="N/A",0,RTD("tos.rtd",,BN$2,"."&amp;$A$2&amp;$AW$1&amp;"C"&amp;$A31)))</f>
        <v>1.1004662921692032E-2</v>
      </c>
      <c r="BO31" s="3">
        <f ca="1">IF($BP$1=1,EC31,-IF(RTD("tos.rtd",,BO$2,"."&amp;$A$2&amp;$AW$1&amp;"P"&amp;$A31)="N/A",0,RTD("tos.rtd",,BO$2,"."&amp;$A$2&amp;$AW$1&amp;"P"&amp;$A31)))</f>
        <v>-1.10981679118476E-2</v>
      </c>
      <c r="BQ31" s="3">
        <f t="shared" ca="1" si="37"/>
        <v>-22749592.19637176</v>
      </c>
      <c r="BR31" s="3" t="str">
        <f t="shared" ca="1" si="71"/>
        <v/>
      </c>
      <c r="BS31" s="3">
        <f t="shared" ca="1" si="38"/>
        <v>39654567.282040045</v>
      </c>
      <c r="BT31" s="3" t="str">
        <f t="shared" ca="1" si="71"/>
        <v/>
      </c>
      <c r="BU31" s="3">
        <f t="shared" ca="1" si="39"/>
        <v>32064388.188660644</v>
      </c>
      <c r="BV31" s="3" t="str">
        <f t="shared" ref="BV31" ca="1" si="189">IF(AND(BU31&lt;0,BU30&gt;0), "Cruce -", IF(AND(BU31&gt;0,BU30&lt;0),"Cruce +", ""))</f>
        <v>Cruce +</v>
      </c>
      <c r="BX31" s="3">
        <f t="shared" ca="1" si="40"/>
        <v>-73858144.066993639</v>
      </c>
      <c r="BY31" s="3" t="str">
        <f t="shared" ca="1" si="73"/>
        <v/>
      </c>
      <c r="BZ31" s="3">
        <f t="shared" ca="1" si="41"/>
        <v>-43929647.503340296</v>
      </c>
      <c r="CA31" s="3" t="str">
        <f t="shared" ca="1" si="74"/>
        <v/>
      </c>
      <c r="CB31" s="3">
        <f t="shared" ca="1" si="42"/>
        <v>-5128585.1137420647</v>
      </c>
      <c r="CC31" s="3" t="str">
        <f t="shared" ca="1" si="75"/>
        <v/>
      </c>
      <c r="CD31" s="3">
        <f>IF(RTD("tos.rtd",,CD$2,"."&amp;$A$2&amp;$AS$1&amp;"C"&amp;$A31)="N/A",0,RTD("tos.rtd",,CD$2,"."&amp;$A$2&amp;$AS$1&amp;"C"&amp;$A31))</f>
        <v>1</v>
      </c>
      <c r="CE31" s="3">
        <f>-IF(RTD("tos.rtd",,CE$2,"."&amp;$A$2&amp;$AS$1&amp;"P"&amp;$A31)="N/A",0,RTD("tos.rtd",,CE$2,"."&amp;$A$2&amp;$AS$1&amp;"P"&amp;$A31))</f>
        <v>0</v>
      </c>
      <c r="CF31" s="3">
        <f>IF(RTD("tos.rtd",,CF$2,"."&amp;$A$2&amp;$AU$1&amp;"C"&amp;$A31)="N/A",0,RTD("tos.rtd",,CF$2,"."&amp;$A$2&amp;$AU$1&amp;"C"&amp;$A31))</f>
        <v>0.92</v>
      </c>
      <c r="CG31" s="3">
        <f>-IF(RTD("tos.rtd",,CG$2,"."&amp;$A$2&amp;$AU$1&amp;"P"&amp;$A31)="N/A",0,RTD("tos.rtd",,CG$2,"."&amp;$A$2&amp;$AU$1&amp;"P"&amp;$A31))</f>
        <v>0.09</v>
      </c>
      <c r="CH31" s="3">
        <f>IF(RTD("tos.rtd",,CH$2,"."&amp;$A$2&amp;$AW$1&amp;"C"&amp;$A31)="N/A",0,RTD("tos.rtd",,CH$2,"."&amp;$A$2&amp;$AW$1&amp;"C"&amp;$A31))</f>
        <v>0.73</v>
      </c>
      <c r="CI31" s="3">
        <f>-IF(RTD("tos.rtd",,CI$2,"."&amp;$A$2&amp;$AW$1&amp;"P"&amp;$A31)="N/A",0,RTD("tos.rtd",,CI$2,"."&amp;$A$2&amp;$AW$1&amp;"P"&amp;$A31))</f>
        <v>0.27</v>
      </c>
      <c r="CK31" s="3">
        <f t="shared" si="17"/>
        <v>1022900</v>
      </c>
      <c r="CL31" s="3"/>
      <c r="CM31" s="3">
        <f t="shared" si="18"/>
        <v>2572322</v>
      </c>
      <c r="CN31" s="3"/>
      <c r="CO31" s="3">
        <f t="shared" si="19"/>
        <v>1223947</v>
      </c>
      <c r="CP31" s="3">
        <f t="shared" si="43"/>
        <v>4819169</v>
      </c>
      <c r="CQ31" s="3">
        <f t="shared" si="44"/>
        <v>-17769</v>
      </c>
      <c r="CR31" s="3"/>
      <c r="CS31" s="3">
        <f t="shared" si="20"/>
        <v>-10313</v>
      </c>
      <c r="CT31" s="3"/>
      <c r="CU31" s="3">
        <f t="shared" si="21"/>
        <v>-1310</v>
      </c>
      <c r="CV31" s="3">
        <f t="shared" si="45"/>
        <v>-29392</v>
      </c>
      <c r="CW31" s="3">
        <f t="shared" ca="1" si="46"/>
        <v>48969363.274328932</v>
      </c>
      <c r="CX31" s="85" t="str">
        <f t="shared" ca="1" si="76"/>
        <v>Cruce +</v>
      </c>
      <c r="CY31" s="3">
        <f t="shared" ca="1" si="47"/>
        <v>-122916376.684076</v>
      </c>
      <c r="CZ31" s="85" t="str">
        <f t="shared" ca="1" si="77"/>
        <v/>
      </c>
      <c r="DA31" s="3">
        <f>IF(RTD("tos.rtd",,DA$2,"."&amp;$A$2&amp;$AS$1&amp;"C"&amp;$A31)="N/A",0,RTD("tos.rtd",,DA$2,"."&amp;$A$2&amp;$AS$1&amp;"C"&amp;$A31))</f>
        <v>17.899999999999999</v>
      </c>
      <c r="DB31" s="3">
        <f>IF(RTD("tos.rtd",,DB$2,"."&amp;$A$2&amp;$AS$1&amp;"P"&amp;$A31)="N/A",0,RTD("tos.rtd",,DB$2,"."&amp;$A$2&amp;$AS$1&amp;"P"&amp;$A31))</f>
        <v>0.01</v>
      </c>
      <c r="DC31" s="3">
        <f>IF(RTD("tos.rtd",,DC$2,"."&amp;$A$2&amp;$AS$1&amp;"C"&amp;$A31)="N/A",0,RTD("tos.rtd",,DC$2,"."&amp;$A$2&amp;$AS$1&amp;"C"&amp;$A31))</f>
        <v>17.96</v>
      </c>
      <c r="DD31" s="3">
        <f>IF(RTD("tos.rtd",,DD$2,"."&amp;$A$2&amp;$AS$1&amp;"P"&amp;$A31)="N/A",0,RTD("tos.rtd",,DD$2,"."&amp;$A$2&amp;$AS$1&amp;"P"&amp;$A31))</f>
        <v>0.01</v>
      </c>
      <c r="DE31" s="3">
        <f>IF(RTD("tos.rtd",,DE$2,"."&amp;$A$2&amp;$AS$1&amp;"C"&amp;$A31)="N/A",0,RTD("tos.rtd",,DE$2,"."&amp;$A$2&amp;$AS$1&amp;"C"&amp;$A31))</f>
        <v>17.64</v>
      </c>
      <c r="DF31" s="3">
        <f>IF(RTD("tos.rtd",,DF$2,"."&amp;$A$2&amp;$AS$1&amp;"P"&amp;$A31)="N/A",0,RTD("tos.rtd",,DF$2,"."&amp;$A$2&amp;$AS$1&amp;"P"&amp;$A31))</f>
        <v>0</v>
      </c>
      <c r="DG31" s="86">
        <f t="shared" si="48"/>
        <v>-17.950000000000045</v>
      </c>
      <c r="DH31" s="3">
        <f t="shared" si="22"/>
        <v>0</v>
      </c>
      <c r="DI31" s="3">
        <f t="shared" si="49"/>
        <v>0</v>
      </c>
      <c r="DJ31" s="3">
        <f t="shared" si="50"/>
        <v>0</v>
      </c>
      <c r="DK31" s="3">
        <f t="shared" si="51"/>
        <v>0</v>
      </c>
      <c r="DL31" s="3">
        <f t="shared" si="52"/>
        <v>0</v>
      </c>
      <c r="DM31" s="3">
        <f t="shared" si="53"/>
        <v>0</v>
      </c>
      <c r="DN31" s="63" t="str">
        <f t="shared" si="54"/>
        <v>UNKNOWN</v>
      </c>
      <c r="DO31" s="63" t="str">
        <f t="shared" si="55"/>
        <v>UNKNOWN</v>
      </c>
      <c r="DP31" s="3">
        <f t="shared" si="56"/>
        <v>0</v>
      </c>
      <c r="DQ31" s="3">
        <f t="shared" si="57"/>
        <v>0</v>
      </c>
      <c r="DR31" s="3">
        <f t="shared" ca="1" si="58"/>
        <v>0</v>
      </c>
      <c r="DS31" s="3">
        <f t="shared" si="59"/>
        <v>0</v>
      </c>
      <c r="DT31" s="3">
        <f t="shared" si="60"/>
        <v>0</v>
      </c>
      <c r="DU31" s="3">
        <f t="shared" si="61"/>
        <v>0</v>
      </c>
      <c r="DV31" s="3">
        <f t="shared" si="62"/>
        <v>2007</v>
      </c>
      <c r="DW31" s="3">
        <f t="shared" si="23"/>
        <v>10543</v>
      </c>
      <c r="DX31" s="3">
        <f t="shared" ca="1" si="24"/>
        <v>2.2854658680315485E-23</v>
      </c>
      <c r="DY31" s="3">
        <f t="shared" ca="1" si="25"/>
        <v>-8.6647552310374128E-3</v>
      </c>
      <c r="DZ31" s="3">
        <f t="shared" ca="1" si="26"/>
        <v>1.2464005616447208E-2</v>
      </c>
      <c r="EA31" s="3">
        <f t="shared" ca="1" si="27"/>
        <v>-1.2512527359494064E-2</v>
      </c>
      <c r="EB31" s="3">
        <f t="shared" ca="1" si="28"/>
        <v>1.1004662921692032E-2</v>
      </c>
      <c r="EC31" s="3">
        <f t="shared" ca="1" si="29"/>
        <v>-1.10981679118476E-2</v>
      </c>
      <c r="ED31" s="63">
        <f t="shared" si="63"/>
        <v>12550</v>
      </c>
      <c r="EE31" s="59">
        <f t="shared" si="64"/>
        <v>0.25</v>
      </c>
      <c r="EF31" s="59">
        <f t="shared" si="30"/>
        <v>1.4824999999999999</v>
      </c>
      <c r="EG31" s="59">
        <f t="shared" si="31"/>
        <v>0.2215</v>
      </c>
      <c r="EH31" s="59">
        <f t="shared" si="32"/>
        <v>0.224</v>
      </c>
      <c r="EI31" s="59">
        <f t="shared" si="33"/>
        <v>0.1832</v>
      </c>
      <c r="EJ31" s="59">
        <f t="shared" si="34"/>
        <v>0.18479999999999999</v>
      </c>
      <c r="EK31" s="63">
        <f t="shared" ca="1" si="65"/>
        <v>-31044389.143974561</v>
      </c>
      <c r="EL31" s="3" t="str">
        <f>RTD("tos.rtd",,EL$2,"."&amp;$A$2&amp;$AS$1&amp;"C"&amp;$A31)</f>
        <v>--</v>
      </c>
      <c r="EM31" s="3" t="str">
        <f>RTD("tos.rtd",,EM$2,"."&amp;$A$2&amp;$AS$1&amp;"P"&amp;$A31)</f>
        <v>148.25%</v>
      </c>
      <c r="EN31" s="3" t="str">
        <f>RTD("tos.rtd",,EN$2,"."&amp;$A$2&amp;$AU$1&amp;"C"&amp;$A31)</f>
        <v>22.15%</v>
      </c>
      <c r="EO31" s="3" t="str">
        <f>RTD("tos.rtd",,EO$2,"."&amp;$A$2&amp;$AU$1&amp;"P"&amp;$A31)</f>
        <v>22.40%</v>
      </c>
      <c r="EP31" s="3" t="str">
        <f>RTD("tos.rtd",,EP$2,"."&amp;$A$2&amp;$AW$1&amp;"C"&amp;$A31)</f>
        <v>18.32%</v>
      </c>
      <c r="EQ31" s="3" t="str">
        <f>RTD("tos.rtd",,EQ$2,"."&amp;$A$2&amp;$AW$1&amp;"P"&amp;$A31)</f>
        <v>18.48%</v>
      </c>
      <c r="ES31" s="63" t="str">
        <f t="shared" si="66"/>
        <v>565,12550.00</v>
      </c>
      <c r="ET31" s="63" t="str">
        <f t="shared" ca="1" si="67"/>
        <v>565,-122916.38</v>
      </c>
      <c r="EU31" s="67">
        <v>564.79999999999995</v>
      </c>
      <c r="EV31" s="67" t="s">
        <v>267</v>
      </c>
      <c r="EW31" s="67">
        <v>487.92</v>
      </c>
      <c r="EX31" s="67" t="s">
        <v>268</v>
      </c>
      <c r="EY31" s="67">
        <v>5659.91</v>
      </c>
      <c r="EZ31" s="67" t="s">
        <v>269</v>
      </c>
      <c r="FA31" s="67">
        <v>20061.449000000001</v>
      </c>
      <c r="FB31" s="67" t="s">
        <v>270</v>
      </c>
      <c r="FC31" s="67" t="s">
        <v>271</v>
      </c>
      <c r="FD31" s="67" t="s">
        <v>272</v>
      </c>
      <c r="FE31" s="67" t="s">
        <v>273</v>
      </c>
      <c r="FF31" s="67" t="s">
        <v>274</v>
      </c>
    </row>
    <row r="32" spans="1:162" s="63" customFormat="1" ht="13.5" thickBot="1" x14ac:dyDescent="0.25">
      <c r="A32" s="2">
        <f t="shared" si="68"/>
        <v>564</v>
      </c>
      <c r="B32" s="3">
        <f t="shared" si="9"/>
        <v>9467</v>
      </c>
      <c r="C32" s="3">
        <f t="shared" si="10"/>
        <v>7894</v>
      </c>
      <c r="D32" s="3">
        <f t="shared" si="11"/>
        <v>1826</v>
      </c>
      <c r="E32" s="3">
        <f t="shared" si="12"/>
        <v>19187</v>
      </c>
      <c r="F32" s="4">
        <f t="shared" si="13"/>
        <v>5675.0716184921512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>
        <v>521</v>
      </c>
      <c r="AN32" s="1">
        <v>-1729</v>
      </c>
      <c r="AO32" s="1">
        <v>564</v>
      </c>
      <c r="AP32" s="1">
        <v>2673</v>
      </c>
      <c r="AQ32" s="1">
        <v>-10133</v>
      </c>
      <c r="AR32" s="1"/>
      <c r="AS32" s="6">
        <f>IF(RTD("tos.rtd",,AS$2,"."&amp;$A$2&amp;$AS$1&amp;"C"&amp;$A32)="N/A",0,RTD("tos.rtd",,AS$2,"."&amp;$A$2&amp;$AS$1&amp;"C"&amp;$A32))</f>
        <v>4212</v>
      </c>
      <c r="AT32" s="7">
        <f>-IF(RTD("tos.rtd",,AT$2,"."&amp;$A$2&amp;$AS$1&amp;"P"&amp;$A32)="N/A",0,RTD("tos.rtd",,AT$2,"."&amp;$A$2&amp;$AS$1&amp;"P"&amp;$A32))</f>
        <v>-5255</v>
      </c>
      <c r="AU32" s="6">
        <f>IF(RTD("tos.rtd",,AU$2,"."&amp;$A$2&amp;$AU$1&amp;"C"&amp;$A32)="N/A",0,RTD("tos.rtd",,AU$2,"."&amp;$A$2&amp;$AU$1&amp;"C"&amp;$A32))</f>
        <v>4139</v>
      </c>
      <c r="AV32" s="7">
        <f>-IF(RTD("tos.rtd",,AV$2,"."&amp;$A$2&amp;$AU$1&amp;"P"&amp;$A32)="N/A",0,RTD("tos.rtd",,AV$2,"."&amp;$A$2&amp;$AU$1&amp;"P"&amp;$A32))</f>
        <v>-3755</v>
      </c>
      <c r="AW32" s="6">
        <f>IF(RTD("tos.rtd",,AW$2,"."&amp;$A$2&amp;$AW$1&amp;"C"&amp;$A32)="N/A",0,RTD("tos.rtd",,AW$2,"."&amp;$A$2&amp;$AW$1&amp;"C"&amp;$A32))</f>
        <v>939</v>
      </c>
      <c r="AX32" s="7">
        <f>-IF(RTD("tos.rtd",,AX$2,"."&amp;$A$2&amp;$AW$1&amp;"P"&amp;$A32)="N/A",0,RTD("tos.rtd",,AX$2,"."&amp;$A$2&amp;$AW$1&amp;"P"&amp;$A32))</f>
        <v>-887</v>
      </c>
      <c r="AY32" s="1">
        <f t="shared" si="69"/>
        <v>-607</v>
      </c>
      <c r="AZ32" s="8">
        <f t="shared" si="35"/>
        <v>564</v>
      </c>
      <c r="BA32" s="6">
        <f>IF(RTD("tos.rtd",,BA$2,"."&amp;$A$2&amp;$AS$1&amp;"C"&amp;$A32)="N/A",0,RTD("tos.rtd",,BA$2,"."&amp;$A$2&amp;$AS$1&amp;"C"&amp;$A32))</f>
        <v>2673</v>
      </c>
      <c r="BB32" s="7">
        <f>-IF(RTD("tos.rtd",,BB$2,"."&amp;$A$2&amp;$AS$1&amp;"P"&amp;$A32)="N/A",0,RTD("tos.rtd",,BB$2,"."&amp;$A$2&amp;$AS$1&amp;"P"&amp;$A32))</f>
        <v>-10133</v>
      </c>
      <c r="BC32" s="6">
        <f>IF(RTD("tos.rtd",,BC$2,"."&amp;$A$2&amp;$AU$1&amp;"C"&amp;$A32)="N/A",0,RTD("tos.rtd",,BC$2,"."&amp;$A$2&amp;$AU$1&amp;"C"&amp;$A32))</f>
        <v>1313</v>
      </c>
      <c r="BD32" s="7">
        <f>-IF(RTD("tos.rtd",,BD$2,"."&amp;$A$2&amp;$AU$1&amp;"P"&amp;$A32)="N/A",0,RTD("tos.rtd",,BD$2,"."&amp;$A$2&amp;$AU$1&amp;"P"&amp;$A32))</f>
        <v>-4446</v>
      </c>
      <c r="BE32" s="6">
        <f>IF(RTD("tos.rtd",,BE$2,"."&amp;$A$2&amp;$AW$1&amp;"C"&amp;$A32)="N/A",0,RTD("tos.rtd",,BE$2,"."&amp;$A$2&amp;$AW$1&amp;"C"&amp;$A32))</f>
        <v>177</v>
      </c>
      <c r="BF32" s="83">
        <f>-IF(RTD("tos.rtd",,BF$2,"."&amp;$A$2&amp;$AW$1&amp;"P"&amp;$A32)="N/A",0,RTD("tos.rtd",,BF$2,"."&amp;$A$2&amp;$AW$1&amp;"P"&amp;$A32))</f>
        <v>-816</v>
      </c>
      <c r="BG32" s="32">
        <f ca="1">+Hoja2!Y33</f>
        <v>-1269</v>
      </c>
      <c r="BH32" s="7">
        <f t="shared" ca="1" si="36"/>
        <v>-12501</v>
      </c>
      <c r="BI32" s="8" t="str">
        <f t="shared" ref="BI32" ca="1" si="190">IF(AND(BH32&lt;0,BH31&gt;0), "Cruce -", IF(AND(BH32&gt;0,BH31&lt;0),"Cruce +", ""))</f>
        <v/>
      </c>
      <c r="BJ32" s="3">
        <f ca="1">IF($BP$1=1,DX32,IF(RTD("tos.rtd",,BJ$2,"."&amp;$A$2&amp;$AS$1&amp;"C"&amp;$A32)="N/A",0,RTD("tos.rtd",,BJ$2,"."&amp;$A$2&amp;$AS$1&amp;"C"&amp;$A32)))</f>
        <v>6.2959633546507112E-26</v>
      </c>
      <c r="BK32" s="3">
        <f ca="1">IF($BP$1=1,DY32,-IF(RTD("tos.rtd",,BK$2,"."&amp;$A$2&amp;$AS$1&amp;"P"&amp;$A32)="N/A",0,RTD("tos.rtd",,BK$2,"."&amp;$A$2&amp;$AS$1&amp;"P"&amp;$A32)))</f>
        <v>-8.1125425245483444E-3</v>
      </c>
      <c r="BL32" s="3">
        <f ca="1">IF($BP$1=1,DZ32,IF(RTD("tos.rtd",,BL$2,"."&amp;$A$2&amp;$AU$1&amp;"C"&amp;$A32)="N/A",0,RTD("tos.rtd",,BL$2,"."&amp;$A$2&amp;$AU$1&amp;"C"&amp;$A32)))</f>
        <v>1.155925273794769E-2</v>
      </c>
      <c r="BM32" s="3">
        <f ca="1">IF($BP$1=1,EA32,-IF(RTD("tos.rtd",,BM$2,"."&amp;$A$2&amp;$AU$1&amp;"P"&amp;$A32)="N/A",0,RTD("tos.rtd",,BM$2,"."&amp;$A$2&amp;$AU$1&amp;"P"&amp;$A32)))</f>
        <v>-1.1654278269390602E-2</v>
      </c>
      <c r="BN32" s="3">
        <f ca="1">IF($BP$1=1,EB32,IF(RTD("tos.rtd",,BN$2,"."&amp;$A$2&amp;$AW$1&amp;"C"&amp;$A32)="N/A",0,RTD("tos.rtd",,BN$2,"."&amp;$A$2&amp;$AW$1&amp;"C"&amp;$A32)))</f>
        <v>9.9491155883259953E-3</v>
      </c>
      <c r="BO32" s="3">
        <f ca="1">IF($BP$1=1,EC32,-IF(RTD("tos.rtd",,BO$2,"."&amp;$A$2&amp;$AW$1&amp;"P"&amp;$A32)="N/A",0,RTD("tos.rtd",,BO$2,"."&amp;$A$2&amp;$AW$1&amp;"P"&amp;$A32)))</f>
        <v>-1.0011192644151545E-2</v>
      </c>
      <c r="BQ32" s="3">
        <f t="shared" ca="1" si="37"/>
        <v>-14487462.337312428</v>
      </c>
      <c r="BR32" s="3" t="str">
        <f t="shared" ca="1" si="71"/>
        <v/>
      </c>
      <c r="BS32" s="3">
        <f t="shared" ca="1" si="38"/>
        <v>1387165.8805599045</v>
      </c>
      <c r="BT32" s="3" t="str">
        <f t="shared" ca="1" si="71"/>
        <v/>
      </c>
      <c r="BU32" s="3">
        <f t="shared" ca="1" si="39"/>
        <v>157100.90028307354</v>
      </c>
      <c r="BV32" s="3" t="str">
        <f t="shared" ref="BV32" ca="1" si="191">IF(AND(BU32&lt;0,BU31&gt;0), "Cruce -", IF(AND(BU32&gt;0,BU31&lt;0),"Cruce +", ""))</f>
        <v/>
      </c>
      <c r="BX32" s="3">
        <f t="shared" ca="1" si="40"/>
        <v>-27935576.758132607</v>
      </c>
      <c r="BY32" s="3" t="str">
        <f t="shared" ca="1" si="73"/>
        <v/>
      </c>
      <c r="BZ32" s="3">
        <f t="shared" ca="1" si="41"/>
        <v>-12450588.937998768</v>
      </c>
      <c r="CA32" s="3" t="str">
        <f t="shared" ca="1" si="74"/>
        <v/>
      </c>
      <c r="CB32" s="3">
        <f t="shared" ca="1" si="42"/>
        <v>-2177682.6290505691</v>
      </c>
      <c r="CC32" s="3" t="str">
        <f t="shared" ca="1" si="75"/>
        <v/>
      </c>
      <c r="CD32" s="3">
        <f>IF(RTD("tos.rtd",,CD$2,"."&amp;$A$2&amp;$AS$1&amp;"C"&amp;$A32)="N/A",0,RTD("tos.rtd",,CD$2,"."&amp;$A$2&amp;$AS$1&amp;"C"&amp;$A32))</f>
        <v>1</v>
      </c>
      <c r="CE32" s="3">
        <f>-IF(RTD("tos.rtd",,CE$2,"."&amp;$A$2&amp;$AS$1&amp;"P"&amp;$A32)="N/A",0,RTD("tos.rtd",,CE$2,"."&amp;$A$2&amp;$AS$1&amp;"P"&amp;$A32))</f>
        <v>0</v>
      </c>
      <c r="CF32" s="3">
        <f>IF(RTD("tos.rtd",,CF$2,"."&amp;$A$2&amp;$AU$1&amp;"C"&amp;$A32)="N/A",0,RTD("tos.rtd",,CF$2,"."&amp;$A$2&amp;$AU$1&amp;"C"&amp;$A32))</f>
        <v>0.93</v>
      </c>
      <c r="CG32" s="3">
        <f>-IF(RTD("tos.rtd",,CG$2,"."&amp;$A$2&amp;$AU$1&amp;"P"&amp;$A32)="N/A",0,RTD("tos.rtd",,CG$2,"."&amp;$A$2&amp;$AU$1&amp;"P"&amp;$A32))</f>
        <v>0.08</v>
      </c>
      <c r="CH32" s="3">
        <f>IF(RTD("tos.rtd",,CH$2,"."&amp;$A$2&amp;$AW$1&amp;"C"&amp;$A32)="N/A",0,RTD("tos.rtd",,CH$2,"."&amp;$A$2&amp;$AW$1&amp;"C"&amp;$A32))</f>
        <v>0.74</v>
      </c>
      <c r="CI32" s="3">
        <f>-IF(RTD("tos.rtd",,CI$2,"."&amp;$A$2&amp;$AW$1&amp;"P"&amp;$A32)="N/A",0,RTD("tos.rtd",,CI$2,"."&amp;$A$2&amp;$AW$1&amp;"P"&amp;$A32))</f>
        <v>0.26</v>
      </c>
      <c r="CK32" s="3">
        <f t="shared" si="17"/>
        <v>421200</v>
      </c>
      <c r="CL32" s="3"/>
      <c r="CM32" s="3">
        <f t="shared" si="18"/>
        <v>354887</v>
      </c>
      <c r="CN32" s="3"/>
      <c r="CO32" s="3">
        <f t="shared" si="19"/>
        <v>46424</v>
      </c>
      <c r="CP32" s="3">
        <f t="shared" si="43"/>
        <v>822511</v>
      </c>
      <c r="CQ32" s="3">
        <f t="shared" si="44"/>
        <v>-7460</v>
      </c>
      <c r="CR32" s="3"/>
      <c r="CS32" s="3">
        <f t="shared" si="20"/>
        <v>-3133</v>
      </c>
      <c r="CT32" s="3"/>
      <c r="CU32" s="3">
        <f t="shared" si="21"/>
        <v>-639</v>
      </c>
      <c r="CV32" s="3">
        <f t="shared" si="45"/>
        <v>-11232</v>
      </c>
      <c r="CW32" s="3">
        <f t="shared" ca="1" si="46"/>
        <v>-12943195.55646945</v>
      </c>
      <c r="CX32" s="85" t="str">
        <f t="shared" ca="1" si="76"/>
        <v>Cruce -</v>
      </c>
      <c r="CY32" s="3">
        <f t="shared" ca="1" si="47"/>
        <v>-42563848.325181946</v>
      </c>
      <c r="CZ32" s="85" t="str">
        <f t="shared" ca="1" si="77"/>
        <v/>
      </c>
      <c r="DA32" s="3">
        <f>IF(RTD("tos.rtd",,DA$2,"."&amp;$A$2&amp;$AS$1&amp;"C"&amp;$A32)="N/A",0,RTD("tos.rtd",,DA$2,"."&amp;$A$2&amp;$AS$1&amp;"C"&amp;$A32))</f>
        <v>19.25</v>
      </c>
      <c r="DB32" s="3">
        <f>IF(RTD("tos.rtd",,DB$2,"."&amp;$A$2&amp;$AS$1&amp;"P"&amp;$A32)="N/A",0,RTD("tos.rtd",,DB$2,"."&amp;$A$2&amp;$AS$1&amp;"P"&amp;$A32))</f>
        <v>0.01</v>
      </c>
      <c r="DC32" s="3">
        <f>IF(RTD("tos.rtd",,DC$2,"."&amp;$A$2&amp;$AS$1&amp;"C"&amp;$A32)="N/A",0,RTD("tos.rtd",,DC$2,"."&amp;$A$2&amp;$AS$1&amp;"C"&amp;$A32))</f>
        <v>18.96</v>
      </c>
      <c r="DD32" s="3">
        <f>IF(RTD("tos.rtd",,DD$2,"."&amp;$A$2&amp;$AS$1&amp;"P"&amp;$A32)="N/A",0,RTD("tos.rtd",,DD$2,"."&amp;$A$2&amp;$AS$1&amp;"P"&amp;$A32))</f>
        <v>0.01</v>
      </c>
      <c r="DE32" s="3">
        <f>IF(RTD("tos.rtd",,DE$2,"."&amp;$A$2&amp;$AS$1&amp;"C"&amp;$A32)="N/A",0,RTD("tos.rtd",,DE$2,"."&amp;$A$2&amp;$AS$1&amp;"C"&amp;$A32))</f>
        <v>18.64</v>
      </c>
      <c r="DF32" s="3">
        <f>IF(RTD("tos.rtd",,DF$2,"."&amp;$A$2&amp;$AS$1&amp;"P"&amp;$A32)="N/A",0,RTD("tos.rtd",,DF$2,"."&amp;$A$2&amp;$AS$1&amp;"P"&amp;$A32))</f>
        <v>0</v>
      </c>
      <c r="DG32" s="86">
        <f t="shared" si="48"/>
        <v>-18.950000000000045</v>
      </c>
      <c r="DH32" s="3">
        <f t="shared" si="22"/>
        <v>0</v>
      </c>
      <c r="DI32" s="3">
        <f t="shared" si="49"/>
        <v>0</v>
      </c>
      <c r="DJ32" s="3">
        <f t="shared" si="50"/>
        <v>0</v>
      </c>
      <c r="DK32" s="3">
        <f t="shared" si="51"/>
        <v>0</v>
      </c>
      <c r="DL32" s="3">
        <f t="shared" si="52"/>
        <v>0</v>
      </c>
      <c r="DM32" s="3">
        <f t="shared" si="53"/>
        <v>0</v>
      </c>
      <c r="DN32" s="63" t="str">
        <f t="shared" si="54"/>
        <v>UNKNOWN</v>
      </c>
      <c r="DO32" s="63" t="str">
        <f t="shared" si="55"/>
        <v>UNKNOWN</v>
      </c>
      <c r="DP32" s="3">
        <f t="shared" si="56"/>
        <v>0</v>
      </c>
      <c r="DQ32" s="3">
        <f t="shared" si="57"/>
        <v>0</v>
      </c>
      <c r="DR32" s="3">
        <f t="shared" ca="1" si="58"/>
        <v>0</v>
      </c>
      <c r="DS32" s="3">
        <f t="shared" si="59"/>
        <v>0</v>
      </c>
      <c r="DT32" s="3">
        <f t="shared" si="60"/>
        <v>0</v>
      </c>
      <c r="DU32" s="3">
        <f t="shared" si="61"/>
        <v>0</v>
      </c>
      <c r="DV32" s="3">
        <f t="shared" si="62"/>
        <v>521</v>
      </c>
      <c r="DW32" s="3">
        <f t="shared" si="23"/>
        <v>-1729</v>
      </c>
      <c r="DX32" s="3">
        <f t="shared" ca="1" si="24"/>
        <v>6.2959633546507112E-26</v>
      </c>
      <c r="DY32" s="3">
        <f t="shared" ca="1" si="25"/>
        <v>-8.1125425245483444E-3</v>
      </c>
      <c r="DZ32" s="3">
        <f t="shared" ca="1" si="26"/>
        <v>1.155925273794769E-2</v>
      </c>
      <c r="EA32" s="3">
        <f t="shared" ca="1" si="27"/>
        <v>-1.1654278269390602E-2</v>
      </c>
      <c r="EB32" s="3">
        <f t="shared" ca="1" si="28"/>
        <v>9.9491155883259953E-3</v>
      </c>
      <c r="EC32" s="3">
        <f t="shared" ca="1" si="29"/>
        <v>-1.0011192644151545E-2</v>
      </c>
      <c r="ED32" s="63">
        <f t="shared" si="63"/>
        <v>-1208</v>
      </c>
      <c r="EE32" s="59">
        <f t="shared" si="64"/>
        <v>0.25</v>
      </c>
      <c r="EF32" s="59">
        <f t="shared" si="30"/>
        <v>1.5583</v>
      </c>
      <c r="EG32" s="59">
        <f t="shared" si="31"/>
        <v>0.22289999999999999</v>
      </c>
      <c r="EH32" s="59">
        <f t="shared" si="32"/>
        <v>0.2268</v>
      </c>
      <c r="EI32" s="59">
        <f t="shared" si="33"/>
        <v>0.18529999999999999</v>
      </c>
      <c r="EJ32" s="59">
        <f t="shared" si="34"/>
        <v>0.18629999999999999</v>
      </c>
      <c r="EK32" s="63">
        <f t="shared" ca="1" si="65"/>
        <v>4766664.5825334322</v>
      </c>
      <c r="EL32" s="3" t="str">
        <f>RTD("tos.rtd",,EL$2,"."&amp;$A$2&amp;$AS$1&amp;"C"&amp;$A32)</f>
        <v>--</v>
      </c>
      <c r="EM32" s="3" t="str">
        <f>RTD("tos.rtd",,EM$2,"."&amp;$A$2&amp;$AS$1&amp;"P"&amp;$A32)</f>
        <v>155.83%</v>
      </c>
      <c r="EN32" s="3" t="str">
        <f>RTD("tos.rtd",,EN$2,"."&amp;$A$2&amp;$AU$1&amp;"C"&amp;$A32)</f>
        <v>22.29%</v>
      </c>
      <c r="EO32" s="3" t="str">
        <f>RTD("tos.rtd",,EO$2,"."&amp;$A$2&amp;$AU$1&amp;"P"&amp;$A32)</f>
        <v>22.68%</v>
      </c>
      <c r="EP32" s="3" t="str">
        <f>RTD("tos.rtd",,EP$2,"."&amp;$A$2&amp;$AW$1&amp;"C"&amp;$A32)</f>
        <v>18.53%</v>
      </c>
      <c r="EQ32" s="3" t="str">
        <f>RTD("tos.rtd",,EQ$2,"."&amp;$A$2&amp;$AW$1&amp;"P"&amp;$A32)</f>
        <v>18.63%</v>
      </c>
      <c r="ES32" s="63" t="str">
        <f t="shared" si="66"/>
        <v>564,-1208.00</v>
      </c>
      <c r="ET32" s="63" t="str">
        <f t="shared" ca="1" si="67"/>
        <v>564,-42563.85</v>
      </c>
      <c r="EU32" s="67">
        <v>564.79999999999995</v>
      </c>
      <c r="EV32" s="67" t="s">
        <v>275</v>
      </c>
      <c r="EW32" s="67">
        <v>487.92</v>
      </c>
      <c r="EX32" s="67" t="s">
        <v>276</v>
      </c>
      <c r="EY32" s="67">
        <v>5659.91</v>
      </c>
      <c r="EZ32" s="67" t="s">
        <v>277</v>
      </c>
      <c r="FA32" s="67">
        <v>20061.449000000001</v>
      </c>
      <c r="FB32" s="67" t="s">
        <v>278</v>
      </c>
      <c r="FC32" s="67" t="s">
        <v>279</v>
      </c>
      <c r="FD32" s="67" t="s">
        <v>280</v>
      </c>
      <c r="FE32" s="67" t="s">
        <v>281</v>
      </c>
      <c r="FF32" s="67" t="s">
        <v>282</v>
      </c>
    </row>
    <row r="33" spans="1:162" s="63" customFormat="1" ht="13.5" thickBot="1" x14ac:dyDescent="0.25">
      <c r="A33" s="2">
        <f t="shared" si="68"/>
        <v>563</v>
      </c>
      <c r="B33" s="3">
        <f t="shared" si="9"/>
        <v>6172</v>
      </c>
      <c r="C33" s="3">
        <f t="shared" si="10"/>
        <v>7360</v>
      </c>
      <c r="D33" s="3">
        <f t="shared" si="11"/>
        <v>2028</v>
      </c>
      <c r="E33" s="3">
        <f t="shared" si="12"/>
        <v>15560</v>
      </c>
      <c r="F33" s="4">
        <f t="shared" si="13"/>
        <v>5665.0094347714203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>
        <v>261</v>
      </c>
      <c r="AN33" s="1">
        <v>-172</v>
      </c>
      <c r="AO33" s="1">
        <v>563</v>
      </c>
      <c r="AP33" s="1">
        <v>769</v>
      </c>
      <c r="AQ33" s="1">
        <v>-3580</v>
      </c>
      <c r="AR33" s="1"/>
      <c r="AS33" s="6">
        <f>IF(RTD("tos.rtd",,AS$2,"."&amp;$A$2&amp;$AS$1&amp;"C"&amp;$A33)="N/A",0,RTD("tos.rtd",,AS$2,"."&amp;$A$2&amp;$AS$1&amp;"C"&amp;$A33))</f>
        <v>2133</v>
      </c>
      <c r="AT33" s="7">
        <f>-IF(RTD("tos.rtd",,AT$2,"."&amp;$A$2&amp;$AS$1&amp;"P"&amp;$A33)="N/A",0,RTD("tos.rtd",,AT$2,"."&amp;$A$2&amp;$AS$1&amp;"P"&amp;$A33))</f>
        <v>-4039</v>
      </c>
      <c r="AU33" s="6">
        <f>IF(RTD("tos.rtd",,AU$2,"."&amp;$A$2&amp;$AU$1&amp;"C"&amp;$A33)="N/A",0,RTD("tos.rtd",,AU$2,"."&amp;$A$2&amp;$AU$1&amp;"C"&amp;$A33))</f>
        <v>4342</v>
      </c>
      <c r="AV33" s="7">
        <f>-IF(RTD("tos.rtd",,AV$2,"."&amp;$A$2&amp;$AU$1&amp;"P"&amp;$A33)="N/A",0,RTD("tos.rtd",,AV$2,"."&amp;$A$2&amp;$AU$1&amp;"P"&amp;$A33))</f>
        <v>-3018</v>
      </c>
      <c r="AW33" s="6">
        <f>IF(RTD("tos.rtd",,AW$2,"."&amp;$A$2&amp;$AW$1&amp;"C"&amp;$A33)="N/A",0,RTD("tos.rtd",,AW$2,"."&amp;$A$2&amp;$AW$1&amp;"C"&amp;$A33))</f>
        <v>924</v>
      </c>
      <c r="AX33" s="7">
        <f>-IF(RTD("tos.rtd",,AX$2,"."&amp;$A$2&amp;$AW$1&amp;"P"&amp;$A33)="N/A",0,RTD("tos.rtd",,AX$2,"."&amp;$A$2&amp;$AW$1&amp;"P"&amp;$A33))</f>
        <v>-1104</v>
      </c>
      <c r="AY33" s="1">
        <f t="shared" si="69"/>
        <v>-762</v>
      </c>
      <c r="AZ33" s="8">
        <f t="shared" si="35"/>
        <v>563</v>
      </c>
      <c r="BA33" s="6">
        <f>IF(RTD("tos.rtd",,BA$2,"."&amp;$A$2&amp;$AS$1&amp;"C"&amp;$A33)="N/A",0,RTD("tos.rtd",,BA$2,"."&amp;$A$2&amp;$AS$1&amp;"C"&amp;$A33))</f>
        <v>769</v>
      </c>
      <c r="BB33" s="7">
        <f>-IF(RTD("tos.rtd",,BB$2,"."&amp;$A$2&amp;$AS$1&amp;"P"&amp;$A33)="N/A",0,RTD("tos.rtd",,BB$2,"."&amp;$A$2&amp;$AS$1&amp;"P"&amp;$A33))</f>
        <v>-3582</v>
      </c>
      <c r="BC33" s="6">
        <f>IF(RTD("tos.rtd",,BC$2,"."&amp;$A$2&amp;$AU$1&amp;"C"&amp;$A33)="N/A",0,RTD("tos.rtd",,BC$2,"."&amp;$A$2&amp;$AU$1&amp;"C"&amp;$A33))</f>
        <v>550</v>
      </c>
      <c r="BD33" s="7">
        <f>-IF(RTD("tos.rtd",,BD$2,"."&amp;$A$2&amp;$AU$1&amp;"P"&amp;$A33)="N/A",0,RTD("tos.rtd",,BD$2,"."&amp;$A$2&amp;$AU$1&amp;"P"&amp;$A33))</f>
        <v>-5636</v>
      </c>
      <c r="BE33" s="6">
        <f>IF(RTD("tos.rtd",,BE$2,"."&amp;$A$2&amp;$AW$1&amp;"C"&amp;$A33)="N/A",0,RTD("tos.rtd",,BE$2,"."&amp;$A$2&amp;$AW$1&amp;"C"&amp;$A33))</f>
        <v>88</v>
      </c>
      <c r="BF33" s="83">
        <f>-IF(RTD("tos.rtd",,BF$2,"."&amp;$A$2&amp;$AW$1&amp;"P"&amp;$A33)="N/A",0,RTD("tos.rtd",,BF$2,"."&amp;$A$2&amp;$AW$1&amp;"P"&amp;$A33))</f>
        <v>-1012</v>
      </c>
      <c r="BG33" s="32">
        <f ca="1">+Hoja2!Y34</f>
        <v>-1351</v>
      </c>
      <c r="BH33" s="7">
        <f t="shared" ca="1" si="36"/>
        <v>-10174</v>
      </c>
      <c r="BI33" s="8" t="str">
        <f t="shared" ref="BI33" ca="1" si="192">IF(AND(BH33&lt;0,BH32&gt;0), "Cruce -", IF(AND(BH33&gt;0,BH32&lt;0),"Cruce +", ""))</f>
        <v/>
      </c>
      <c r="BJ33" s="3">
        <f ca="1">IF($BP$1=1,DX33,IF(RTD("tos.rtd",,BJ$2,"."&amp;$A$2&amp;$AS$1&amp;"C"&amp;$A33)="N/A",0,RTD("tos.rtd",,BJ$2,"."&amp;$A$2&amp;$AS$1&amp;"C"&amp;$A33)))</f>
        <v>1.2395920171329704E-28</v>
      </c>
      <c r="BK33" s="3">
        <f ca="1">IF($BP$1=1,DY33,-IF(RTD("tos.rtd",,BK$2,"."&amp;$A$2&amp;$AS$1&amp;"P"&amp;$A33)="N/A",0,RTD("tos.rtd",,BK$2,"."&amp;$A$2&amp;$AS$1&amp;"P"&amp;$A33)))</f>
        <v>-7.6207513174672455E-3</v>
      </c>
      <c r="BL33" s="3">
        <f ca="1">IF($BP$1=1,DZ33,IF(RTD("tos.rtd",,BL$2,"."&amp;$A$2&amp;$AU$1&amp;"C"&amp;$A33)="N/A",0,RTD("tos.rtd",,BL$2,"."&amp;$A$2&amp;$AU$1&amp;"C"&amp;$A33)))</f>
        <v>1.072108104269873E-2</v>
      </c>
      <c r="BM33" s="3">
        <f ca="1">IF($BP$1=1,EA33,-IF(RTD("tos.rtd",,BM$2,"."&amp;$A$2&amp;$AU$1&amp;"P"&amp;$A33)="N/A",0,RTD("tos.rtd",,BM$2,"."&amp;$A$2&amp;$AU$1&amp;"P"&amp;$A33)))</f>
        <v>-1.082093121455132E-2</v>
      </c>
      <c r="BN33" s="3">
        <f ca="1">IF($BP$1=1,EB33,IF(RTD("tos.rtd",,BN$2,"."&amp;$A$2&amp;$AW$1&amp;"C"&amp;$A33)="N/A",0,RTD("tos.rtd",,BN$2,"."&amp;$A$2&amp;$AW$1&amp;"C"&amp;$A33)))</f>
        <v>8.9271152032893882E-3</v>
      </c>
      <c r="BO33" s="3">
        <f ca="1">IF($BP$1=1,EC33,-IF(RTD("tos.rtd",,BO$2,"."&amp;$A$2&amp;$AW$1&amp;"P"&amp;$A33)="N/A",0,RTD("tos.rtd",,BO$2,"."&amp;$A$2&amp;$AW$1&amp;"P"&amp;$A33)))</f>
        <v>-8.9984682249956323E-3</v>
      </c>
      <c r="BQ33" s="3">
        <f t="shared" ca="1" si="37"/>
        <v>-10460061.940848695</v>
      </c>
      <c r="BR33" s="3" t="str">
        <f t="shared" ca="1" si="71"/>
        <v/>
      </c>
      <c r="BS33" s="3">
        <f t="shared" ca="1" si="38"/>
        <v>4721391.4721358083</v>
      </c>
      <c r="BT33" s="3" t="str">
        <f t="shared" ca="1" si="71"/>
        <v/>
      </c>
      <c r="BU33" s="3">
        <f t="shared" ca="1" si="39"/>
        <v>-572837.14358089864</v>
      </c>
      <c r="BV33" s="3" t="str">
        <f t="shared" ref="BV33" ca="1" si="193">IF(AND(BU33&lt;0,BU32&gt;0), "Cruce -", IF(AND(BU33&gt;0,BU32&lt;0),"Cruce +", ""))</f>
        <v>Cruce -</v>
      </c>
      <c r="BX33" s="3">
        <f t="shared" ca="1" si="40"/>
        <v>-9276539.2107254341</v>
      </c>
      <c r="BY33" s="3" t="str">
        <f t="shared" ca="1" si="73"/>
        <v/>
      </c>
      <c r="BZ33" s="3">
        <f t="shared" ca="1" si="41"/>
        <v>-18721332.44689643</v>
      </c>
      <c r="CA33" s="3" t="str">
        <f t="shared" ca="1" si="74"/>
        <v/>
      </c>
      <c r="CB33" s="3">
        <f t="shared" ca="1" si="42"/>
        <v>-2827684.9585508453</v>
      </c>
      <c r="CC33" s="3" t="str">
        <f t="shared" ca="1" si="75"/>
        <v/>
      </c>
      <c r="CD33" s="3">
        <f>IF(RTD("tos.rtd",,CD$2,"."&amp;$A$2&amp;$AS$1&amp;"C"&amp;$A33)="N/A",0,RTD("tos.rtd",,CD$2,"."&amp;$A$2&amp;$AS$1&amp;"C"&amp;$A33))</f>
        <v>1</v>
      </c>
      <c r="CE33" s="3">
        <f>-IF(RTD("tos.rtd",,CE$2,"."&amp;$A$2&amp;$AS$1&amp;"P"&amp;$A33)="N/A",0,RTD("tos.rtd",,CE$2,"."&amp;$A$2&amp;$AS$1&amp;"P"&amp;$A33))</f>
        <v>0</v>
      </c>
      <c r="CF33" s="3">
        <f>IF(RTD("tos.rtd",,CF$2,"."&amp;$A$2&amp;$AU$1&amp;"C"&amp;$A33)="N/A",0,RTD("tos.rtd",,CF$2,"."&amp;$A$2&amp;$AU$1&amp;"C"&amp;$A33))</f>
        <v>0.93</v>
      </c>
      <c r="CG33" s="3">
        <f>-IF(RTD("tos.rtd",,CG$2,"."&amp;$A$2&amp;$AU$1&amp;"P"&amp;$A33)="N/A",0,RTD("tos.rtd",,CG$2,"."&amp;$A$2&amp;$AU$1&amp;"P"&amp;$A33))</f>
        <v>7.0000000000000007E-2</v>
      </c>
      <c r="CH33" s="3">
        <f>IF(RTD("tos.rtd",,CH$2,"."&amp;$A$2&amp;$AW$1&amp;"C"&amp;$A33)="N/A",0,RTD("tos.rtd",,CH$2,"."&amp;$A$2&amp;$AW$1&amp;"C"&amp;$A33))</f>
        <v>0.74</v>
      </c>
      <c r="CI33" s="3">
        <f>-IF(RTD("tos.rtd",,CI$2,"."&amp;$A$2&amp;$AW$1&amp;"P"&amp;$A33)="N/A",0,RTD("tos.rtd",,CI$2,"."&amp;$A$2&amp;$AW$1&amp;"P"&amp;$A33))</f>
        <v>0.26</v>
      </c>
      <c r="CK33" s="3">
        <f t="shared" si="17"/>
        <v>213300</v>
      </c>
      <c r="CL33" s="3"/>
      <c r="CM33" s="3">
        <f t="shared" si="18"/>
        <v>382680.00000000006</v>
      </c>
      <c r="CN33" s="3"/>
      <c r="CO33" s="3">
        <f t="shared" si="19"/>
        <v>39672</v>
      </c>
      <c r="CP33" s="3">
        <f t="shared" si="43"/>
        <v>635652</v>
      </c>
      <c r="CQ33" s="3">
        <f t="shared" si="44"/>
        <v>-2813</v>
      </c>
      <c r="CR33" s="3"/>
      <c r="CS33" s="3">
        <f t="shared" si="20"/>
        <v>-5086</v>
      </c>
      <c r="CT33" s="3"/>
      <c r="CU33" s="3">
        <f t="shared" si="21"/>
        <v>-924</v>
      </c>
      <c r="CV33" s="3">
        <f t="shared" si="45"/>
        <v>-8823</v>
      </c>
      <c r="CW33" s="3">
        <f t="shared" ca="1" si="46"/>
        <v>-6311507.6122937854</v>
      </c>
      <c r="CX33" s="85" t="str">
        <f t="shared" ca="1" si="76"/>
        <v/>
      </c>
      <c r="CY33" s="3">
        <f t="shared" ca="1" si="47"/>
        <v>-30825556.616172709</v>
      </c>
      <c r="CZ33" s="85" t="str">
        <f t="shared" ca="1" si="77"/>
        <v/>
      </c>
      <c r="DA33" s="3">
        <f>IF(RTD("tos.rtd",,DA$2,"."&amp;$A$2&amp;$AS$1&amp;"C"&amp;$A33)="N/A",0,RTD("tos.rtd",,DA$2,"."&amp;$A$2&amp;$AS$1&amp;"C"&amp;$A33))</f>
        <v>20.28</v>
      </c>
      <c r="DB33" s="3">
        <f>IF(RTD("tos.rtd",,DB$2,"."&amp;$A$2&amp;$AS$1&amp;"P"&amp;$A33)="N/A",0,RTD("tos.rtd",,DB$2,"."&amp;$A$2&amp;$AS$1&amp;"P"&amp;$A33))</f>
        <v>0.01</v>
      </c>
      <c r="DC33" s="3">
        <f>IF(RTD("tos.rtd",,DC$2,"."&amp;$A$2&amp;$AS$1&amp;"C"&amp;$A33)="N/A",0,RTD("tos.rtd",,DC$2,"."&amp;$A$2&amp;$AS$1&amp;"C"&amp;$A33))</f>
        <v>19.96</v>
      </c>
      <c r="DD33" s="3">
        <f>IF(RTD("tos.rtd",,DD$2,"."&amp;$A$2&amp;$AS$1&amp;"P"&amp;$A33)="N/A",0,RTD("tos.rtd",,DD$2,"."&amp;$A$2&amp;$AS$1&amp;"P"&amp;$A33))</f>
        <v>0.01</v>
      </c>
      <c r="DE33" s="3">
        <f>IF(RTD("tos.rtd",,DE$2,"."&amp;$A$2&amp;$AS$1&amp;"C"&amp;$A33)="N/A",0,RTD("tos.rtd",,DE$2,"."&amp;$A$2&amp;$AS$1&amp;"C"&amp;$A33))</f>
        <v>19.64</v>
      </c>
      <c r="DF33" s="3">
        <f>IF(RTD("tos.rtd",,DF$2,"."&amp;$A$2&amp;$AS$1&amp;"P"&amp;$A33)="N/A",0,RTD("tos.rtd",,DF$2,"."&amp;$A$2&amp;$AS$1&amp;"P"&amp;$A33))</f>
        <v>0</v>
      </c>
      <c r="DG33" s="86">
        <f t="shared" si="48"/>
        <v>-19.950000000000045</v>
      </c>
      <c r="DH33" s="3">
        <f t="shared" si="22"/>
        <v>0</v>
      </c>
      <c r="DI33" s="3">
        <f t="shared" si="49"/>
        <v>-2</v>
      </c>
      <c r="DJ33" s="3">
        <f t="shared" si="50"/>
        <v>0</v>
      </c>
      <c r="DK33" s="3">
        <f t="shared" si="51"/>
        <v>-2</v>
      </c>
      <c r="DL33" s="3">
        <f t="shared" si="52"/>
        <v>-2</v>
      </c>
      <c r="DM33" s="3">
        <f t="shared" si="53"/>
        <v>-2</v>
      </c>
      <c r="DN33" s="63" t="str">
        <f t="shared" si="54"/>
        <v>UNKNOWN</v>
      </c>
      <c r="DO33" s="63" t="str">
        <f t="shared" si="55"/>
        <v>BUY</v>
      </c>
      <c r="DP33" s="3">
        <f t="shared" si="56"/>
        <v>-0.02</v>
      </c>
      <c r="DQ33" s="3">
        <f t="shared" si="57"/>
        <v>-0.02</v>
      </c>
      <c r="DR33" s="3">
        <f t="shared" ca="1" si="58"/>
        <v>1.5241502634934491E-2</v>
      </c>
      <c r="DS33" s="3">
        <f t="shared" si="59"/>
        <v>0</v>
      </c>
      <c r="DT33" s="3">
        <f t="shared" si="60"/>
        <v>0</v>
      </c>
      <c r="DU33" s="3">
        <f t="shared" si="61"/>
        <v>-2</v>
      </c>
      <c r="DV33" s="3">
        <f t="shared" si="62"/>
        <v>261</v>
      </c>
      <c r="DW33" s="3">
        <f t="shared" si="23"/>
        <v>-174</v>
      </c>
      <c r="DX33" s="3">
        <f t="shared" ca="1" si="24"/>
        <v>1.2395920171329704E-28</v>
      </c>
      <c r="DY33" s="3">
        <f t="shared" ca="1" si="25"/>
        <v>-7.6207513174672455E-3</v>
      </c>
      <c r="DZ33" s="3">
        <f t="shared" ca="1" si="26"/>
        <v>1.072108104269873E-2</v>
      </c>
      <c r="EA33" s="3">
        <f t="shared" ca="1" si="27"/>
        <v>-1.082093121455132E-2</v>
      </c>
      <c r="EB33" s="3">
        <f t="shared" ca="1" si="28"/>
        <v>8.9271152032893882E-3</v>
      </c>
      <c r="EC33" s="3">
        <f t="shared" ca="1" si="29"/>
        <v>-8.9984682249956323E-3</v>
      </c>
      <c r="ED33" s="63">
        <f t="shared" si="63"/>
        <v>87</v>
      </c>
      <c r="EE33" s="59">
        <f t="shared" si="64"/>
        <v>0.25</v>
      </c>
      <c r="EF33" s="59">
        <f t="shared" si="30"/>
        <v>1.6339999999999999</v>
      </c>
      <c r="EG33" s="59">
        <f t="shared" si="31"/>
        <v>0.22520000000000001</v>
      </c>
      <c r="EH33" s="59">
        <f t="shared" si="32"/>
        <v>0.22869999999999999</v>
      </c>
      <c r="EI33" s="59">
        <f t="shared" si="33"/>
        <v>0.18659999999999999</v>
      </c>
      <c r="EJ33" s="59">
        <f t="shared" si="34"/>
        <v>0.18770000000000001</v>
      </c>
      <c r="EK33" s="63">
        <f t="shared" ca="1" si="65"/>
        <v>450619.15763992886</v>
      </c>
      <c r="EL33" s="3" t="str">
        <f>RTD("tos.rtd",,EL$2,"."&amp;$A$2&amp;$AS$1&amp;"C"&amp;$A33)</f>
        <v>--</v>
      </c>
      <c r="EM33" s="3" t="str">
        <f>RTD("tos.rtd",,EM$2,"."&amp;$A$2&amp;$AS$1&amp;"P"&amp;$A33)</f>
        <v>163.40%</v>
      </c>
      <c r="EN33" s="3" t="str">
        <f>RTD("tos.rtd",,EN$2,"."&amp;$A$2&amp;$AU$1&amp;"C"&amp;$A33)</f>
        <v>22.52%</v>
      </c>
      <c r="EO33" s="3" t="str">
        <f>RTD("tos.rtd",,EO$2,"."&amp;$A$2&amp;$AU$1&amp;"P"&amp;$A33)</f>
        <v>22.87%</v>
      </c>
      <c r="EP33" s="3" t="str">
        <f>RTD("tos.rtd",,EP$2,"."&amp;$A$2&amp;$AW$1&amp;"C"&amp;$A33)</f>
        <v>18.66%</v>
      </c>
      <c r="EQ33" s="3" t="str">
        <f>RTD("tos.rtd",,EQ$2,"."&amp;$A$2&amp;$AW$1&amp;"P"&amp;$A33)</f>
        <v>18.77%</v>
      </c>
      <c r="ES33" s="63" t="str">
        <f t="shared" si="66"/>
        <v>563,87.00</v>
      </c>
      <c r="ET33" s="63" t="str">
        <f t="shared" ca="1" si="67"/>
        <v>563,-30825.56</v>
      </c>
      <c r="EU33" s="67">
        <v>564.79999999999995</v>
      </c>
      <c r="EV33" s="67" t="s">
        <v>283</v>
      </c>
      <c r="EW33" s="67">
        <v>487.92</v>
      </c>
      <c r="EX33" s="67" t="s">
        <v>284</v>
      </c>
      <c r="EY33" s="67">
        <v>5659.91</v>
      </c>
      <c r="EZ33" s="67" t="s">
        <v>285</v>
      </c>
      <c r="FA33" s="67">
        <v>20061.449000000001</v>
      </c>
      <c r="FB33" s="67" t="s">
        <v>286</v>
      </c>
      <c r="FC33" s="67" t="s">
        <v>287</v>
      </c>
      <c r="FD33" s="67" t="s">
        <v>288</v>
      </c>
      <c r="FE33" s="67" t="s">
        <v>289</v>
      </c>
      <c r="FF33" s="67" t="s">
        <v>290</v>
      </c>
    </row>
    <row r="34" spans="1:162" s="63" customFormat="1" ht="13.5" thickBot="1" x14ac:dyDescent="0.25">
      <c r="A34" s="2">
        <f t="shared" si="68"/>
        <v>562</v>
      </c>
      <c r="B34" s="3">
        <f t="shared" si="9"/>
        <v>7845</v>
      </c>
      <c r="C34" s="3">
        <f t="shared" si="10"/>
        <v>8868</v>
      </c>
      <c r="D34" s="3">
        <f t="shared" si="11"/>
        <v>3332</v>
      </c>
      <c r="E34" s="3">
        <f t="shared" si="12"/>
        <v>20045</v>
      </c>
      <c r="F34" s="4">
        <f t="shared" si="13"/>
        <v>5654.9472510506903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>
        <v>711</v>
      </c>
      <c r="AN34" s="1">
        <v>-555</v>
      </c>
      <c r="AO34" s="1">
        <v>562</v>
      </c>
      <c r="AP34" s="1">
        <v>1327</v>
      </c>
      <c r="AQ34" s="1">
        <v>-5739</v>
      </c>
      <c r="AR34" s="1"/>
      <c r="AS34" s="6">
        <f>IF(RTD("tos.rtd",,AS$2,"."&amp;$A$2&amp;$AS$1&amp;"C"&amp;$A34)="N/A",0,RTD("tos.rtd",,AS$2,"."&amp;$A$2&amp;$AS$1&amp;"C"&amp;$A34))</f>
        <v>2346</v>
      </c>
      <c r="AT34" s="7">
        <f>-IF(RTD("tos.rtd",,AT$2,"."&amp;$A$2&amp;$AS$1&amp;"P"&amp;$A34)="N/A",0,RTD("tos.rtd",,AT$2,"."&amp;$A$2&amp;$AS$1&amp;"P"&amp;$A34))</f>
        <v>-5499</v>
      </c>
      <c r="AU34" s="6">
        <f>IF(RTD("tos.rtd",,AU$2,"."&amp;$A$2&amp;$AU$1&amp;"C"&amp;$A34)="N/A",0,RTD("tos.rtd",,AU$2,"."&amp;$A$2&amp;$AU$1&amp;"C"&amp;$A34))</f>
        <v>5375</v>
      </c>
      <c r="AV34" s="7">
        <f>-IF(RTD("tos.rtd",,AV$2,"."&amp;$A$2&amp;$AU$1&amp;"P"&amp;$A34)="N/A",0,RTD("tos.rtd",,AV$2,"."&amp;$A$2&amp;$AU$1&amp;"P"&amp;$A34))</f>
        <v>-3493</v>
      </c>
      <c r="AW34" s="6">
        <f>IF(RTD("tos.rtd",,AW$2,"."&amp;$A$2&amp;$AW$1&amp;"C"&amp;$A34)="N/A",0,RTD("tos.rtd",,AW$2,"."&amp;$A$2&amp;$AW$1&amp;"C"&amp;$A34))</f>
        <v>1466</v>
      </c>
      <c r="AX34" s="7">
        <f>-IF(RTD("tos.rtd",,AX$2,"."&amp;$A$2&amp;$AW$1&amp;"P"&amp;$A34)="N/A",0,RTD("tos.rtd",,AX$2,"."&amp;$A$2&amp;$AW$1&amp;"P"&amp;$A34))</f>
        <v>-1866</v>
      </c>
      <c r="AY34" s="1">
        <f t="shared" si="69"/>
        <v>-1671</v>
      </c>
      <c r="AZ34" s="8">
        <f t="shared" si="35"/>
        <v>562</v>
      </c>
      <c r="BA34" s="6">
        <f>IF(RTD("tos.rtd",,BA$2,"."&amp;$A$2&amp;$AS$1&amp;"C"&amp;$A34)="N/A",0,RTD("tos.rtd",,BA$2,"."&amp;$A$2&amp;$AS$1&amp;"C"&amp;$A34))</f>
        <v>1328</v>
      </c>
      <c r="BB34" s="7">
        <f>-IF(RTD("tos.rtd",,BB$2,"."&amp;$A$2&amp;$AS$1&amp;"P"&amp;$A34)="N/A",0,RTD("tos.rtd",,BB$2,"."&amp;$A$2&amp;$AS$1&amp;"P"&amp;$A34))</f>
        <v>-5739</v>
      </c>
      <c r="BC34" s="6">
        <f>IF(RTD("tos.rtd",,BC$2,"."&amp;$A$2&amp;$AU$1&amp;"C"&amp;$A34)="N/A",0,RTD("tos.rtd",,BC$2,"."&amp;$A$2&amp;$AU$1&amp;"C"&amp;$A34))</f>
        <v>698</v>
      </c>
      <c r="BD34" s="7">
        <f>-IF(RTD("tos.rtd",,BD$2,"."&amp;$A$2&amp;$AU$1&amp;"P"&amp;$A34)="N/A",0,RTD("tos.rtd",,BD$2,"."&amp;$A$2&amp;$AU$1&amp;"P"&amp;$A34))</f>
        <v>-19878</v>
      </c>
      <c r="BE34" s="6">
        <f>IF(RTD("tos.rtd",,BE$2,"."&amp;$A$2&amp;$AW$1&amp;"C"&amp;$A34)="N/A",0,RTD("tos.rtd",,BE$2,"."&amp;$A$2&amp;$AW$1&amp;"C"&amp;$A34))</f>
        <v>69</v>
      </c>
      <c r="BF34" s="83">
        <f>-IF(RTD("tos.rtd",,BF$2,"."&amp;$A$2&amp;$AW$1&amp;"P"&amp;$A34)="N/A",0,RTD("tos.rtd",,BF$2,"."&amp;$A$2&amp;$AW$1&amp;"P"&amp;$A34))</f>
        <v>-715</v>
      </c>
      <c r="BG34" s="32">
        <f ca="1">+Hoja2!Y35</f>
        <v>-1163</v>
      </c>
      <c r="BH34" s="7">
        <f t="shared" ca="1" si="36"/>
        <v>-25400</v>
      </c>
      <c r="BI34" s="8" t="str">
        <f t="shared" ref="BI34" ca="1" si="194">IF(AND(BH34&lt;0,BH33&gt;0), "Cruce -", IF(AND(BH34&gt;0,BH33&lt;0),"Cruce +", ""))</f>
        <v/>
      </c>
      <c r="BJ34" s="3">
        <f ca="1">IF($BP$1=1,DX34,IF(RTD("tos.rtd",,BJ$2,"."&amp;$A$2&amp;$AS$1&amp;"C"&amp;$A34)="N/A",0,RTD("tos.rtd",,BJ$2,"."&amp;$A$2&amp;$AS$1&amp;"C"&amp;$A34)))</f>
        <v>1.7412228254731441E-31</v>
      </c>
      <c r="BK34" s="3">
        <f ca="1">IF($BP$1=1,DY34,-IF(RTD("tos.rtd",,BK$2,"."&amp;$A$2&amp;$AS$1&amp;"P"&amp;$A34)="N/A",0,RTD("tos.rtd",,BK$2,"."&amp;$A$2&amp;$AS$1&amp;"P"&amp;$A34)))</f>
        <v>-7.1792749363047571E-3</v>
      </c>
      <c r="BL34" s="3">
        <f ca="1">IF($BP$1=1,DZ34,IF(RTD("tos.rtd",,BL$2,"."&amp;$A$2&amp;$AU$1&amp;"C"&amp;$A34)="N/A",0,RTD("tos.rtd",,BL$2,"."&amp;$A$2&amp;$AU$1&amp;"C"&amp;$A34)))</f>
        <v>9.9241098608976418E-3</v>
      </c>
      <c r="BM34" s="3">
        <f ca="1">IF($BP$1=1,EA34,-IF(RTD("tos.rtd",,BM$2,"."&amp;$A$2&amp;$AU$1&amp;"P"&amp;$A34)="N/A",0,RTD("tos.rtd",,BM$2,"."&amp;$A$2&amp;$AU$1&amp;"P"&amp;$A34)))</f>
        <v>-1.0087249848525244E-2</v>
      </c>
      <c r="BN34" s="3">
        <f ca="1">IF($BP$1=1,EB34,IF(RTD("tos.rtd",,BN$2,"."&amp;$A$2&amp;$AW$1&amp;"C"&amp;$A34)="N/A",0,RTD("tos.rtd",,BN$2,"."&amp;$A$2&amp;$AW$1&amp;"C"&amp;$A34)))</f>
        <v>8.0315833414642962E-3</v>
      </c>
      <c r="BO34" s="3">
        <f ca="1">IF($BP$1=1,EC34,-IF(RTD("tos.rtd",,BO$2,"."&amp;$A$2&amp;$AW$1&amp;"P"&amp;$A34)="N/A",0,RTD("tos.rtd",,BO$2,"."&amp;$A$2&amp;$AW$1&amp;"P"&amp;$A34)))</f>
        <v>-8.0646086459224501E-3</v>
      </c>
      <c r="BQ34" s="3">
        <f t="shared" ca="1" si="37"/>
        <v>-13416119.509702943</v>
      </c>
      <c r="BR34" s="3" t="str">
        <f t="shared" ca="1" si="71"/>
        <v/>
      </c>
      <c r="BS34" s="3">
        <f t="shared" ca="1" si="38"/>
        <v>6153425.5805291142</v>
      </c>
      <c r="BT34" s="3" t="str">
        <f t="shared" ca="1" si="71"/>
        <v/>
      </c>
      <c r="BU34" s="3">
        <f t="shared" ca="1" si="39"/>
        <v>-1112693.584811911</v>
      </c>
      <c r="BV34" s="3" t="str">
        <f t="shared" ref="BV34" ca="1" si="195">IF(AND(BU34&lt;0,BU33&gt;0), "Cruce -", IF(AND(BU34&gt;0,BU33&lt;0),"Cruce +", ""))</f>
        <v/>
      </c>
      <c r="BX34" s="3">
        <f t="shared" ca="1" si="40"/>
        <v>-14001656.640513767</v>
      </c>
      <c r="BY34" s="3" t="str">
        <f t="shared" ca="1" si="73"/>
        <v/>
      </c>
      <c r="BZ34" s="3">
        <f t="shared" ca="1" si="41"/>
        <v>-65786916.244114555</v>
      </c>
      <c r="CA34" s="3" t="str">
        <f t="shared" ca="1" si="74"/>
        <v/>
      </c>
      <c r="CB34" s="3">
        <f t="shared" ca="1" si="42"/>
        <v>-1771203.0353658707</v>
      </c>
      <c r="CC34" s="3" t="str">
        <f t="shared" ca="1" si="75"/>
        <v/>
      </c>
      <c r="CD34" s="3">
        <f>IF(RTD("tos.rtd",,CD$2,"."&amp;$A$2&amp;$AS$1&amp;"C"&amp;$A34)="N/A",0,RTD("tos.rtd",,CD$2,"."&amp;$A$2&amp;$AS$1&amp;"C"&amp;$A34))</f>
        <v>1</v>
      </c>
      <c r="CE34" s="3">
        <f>-IF(RTD("tos.rtd",,CE$2,"."&amp;$A$2&amp;$AS$1&amp;"P"&amp;$A34)="N/A",0,RTD("tos.rtd",,CE$2,"."&amp;$A$2&amp;$AS$1&amp;"P"&amp;$A34))</f>
        <v>0</v>
      </c>
      <c r="CF34" s="3">
        <f>IF(RTD("tos.rtd",,CF$2,"."&amp;$A$2&amp;$AU$1&amp;"C"&amp;$A34)="N/A",0,RTD("tos.rtd",,CF$2,"."&amp;$A$2&amp;$AU$1&amp;"C"&amp;$A34))</f>
        <v>0.94</v>
      </c>
      <c r="CG34" s="3">
        <f>-IF(RTD("tos.rtd",,CG$2,"."&amp;$A$2&amp;$AU$1&amp;"P"&amp;$A34)="N/A",0,RTD("tos.rtd",,CG$2,"."&amp;$A$2&amp;$AU$1&amp;"P"&amp;$A34))</f>
        <v>0.06</v>
      </c>
      <c r="CH34" s="3">
        <f>IF(RTD("tos.rtd",,CH$2,"."&amp;$A$2&amp;$AW$1&amp;"C"&amp;$A34)="N/A",0,RTD("tos.rtd",,CH$2,"."&amp;$A$2&amp;$AW$1&amp;"C"&amp;$A34))</f>
        <v>0.75</v>
      </c>
      <c r="CI34" s="3">
        <f>-IF(RTD("tos.rtd",,CI$2,"."&amp;$A$2&amp;$AW$1&amp;"P"&amp;$A34)="N/A",0,RTD("tos.rtd",,CI$2,"."&amp;$A$2&amp;$AW$1&amp;"P"&amp;$A34))</f>
        <v>0.25</v>
      </c>
      <c r="CK34" s="3">
        <f t="shared" si="17"/>
        <v>234600</v>
      </c>
      <c r="CL34" s="3"/>
      <c r="CM34" s="3">
        <f t="shared" si="18"/>
        <v>484292</v>
      </c>
      <c r="CN34" s="3"/>
      <c r="CO34" s="3">
        <f t="shared" si="19"/>
        <v>63300</v>
      </c>
      <c r="CP34" s="3">
        <f t="shared" si="43"/>
        <v>782192</v>
      </c>
      <c r="CQ34" s="3">
        <f t="shared" si="44"/>
        <v>-4411</v>
      </c>
      <c r="CR34" s="3"/>
      <c r="CS34" s="3">
        <f t="shared" si="20"/>
        <v>-19180</v>
      </c>
      <c r="CT34" s="3"/>
      <c r="CU34" s="3">
        <f t="shared" si="21"/>
        <v>-646</v>
      </c>
      <c r="CV34" s="3">
        <f t="shared" si="45"/>
        <v>-24237</v>
      </c>
      <c r="CW34" s="3">
        <f t="shared" ca="1" si="46"/>
        <v>-8375387.51398574</v>
      </c>
      <c r="CX34" s="85" t="str">
        <f t="shared" ca="1" si="76"/>
        <v/>
      </c>
      <c r="CY34" s="3">
        <f t="shared" ca="1" si="47"/>
        <v>-81559775.91999419</v>
      </c>
      <c r="CZ34" s="85" t="str">
        <f t="shared" ca="1" si="77"/>
        <v/>
      </c>
      <c r="DA34" s="3">
        <f>IF(RTD("tos.rtd",,DA$2,"."&amp;$A$2&amp;$AS$1&amp;"C"&amp;$A34)="N/A",0,RTD("tos.rtd",,DA$2,"."&amp;$A$2&amp;$AS$1&amp;"C"&amp;$A34))</f>
        <v>20.92</v>
      </c>
      <c r="DB34" s="3">
        <f>IF(RTD("tos.rtd",,DB$2,"."&amp;$A$2&amp;$AS$1&amp;"P"&amp;$A34)="N/A",0,RTD("tos.rtd",,DB$2,"."&amp;$A$2&amp;$AS$1&amp;"P"&amp;$A34))</f>
        <v>0.01</v>
      </c>
      <c r="DC34" s="3">
        <f>IF(RTD("tos.rtd",,DC$2,"."&amp;$A$2&amp;$AS$1&amp;"C"&amp;$A34)="N/A",0,RTD("tos.rtd",,DC$2,"."&amp;$A$2&amp;$AS$1&amp;"C"&amp;$A34))</f>
        <v>20.96</v>
      </c>
      <c r="DD34" s="3">
        <f>IF(RTD("tos.rtd",,DD$2,"."&amp;$A$2&amp;$AS$1&amp;"P"&amp;$A34)="N/A",0,RTD("tos.rtd",,DD$2,"."&amp;$A$2&amp;$AS$1&amp;"P"&amp;$A34))</f>
        <v>0.01</v>
      </c>
      <c r="DE34" s="3">
        <f>IF(RTD("tos.rtd",,DE$2,"."&amp;$A$2&amp;$AS$1&amp;"C"&amp;$A34)="N/A",0,RTD("tos.rtd",,DE$2,"."&amp;$A$2&amp;$AS$1&amp;"C"&amp;$A34))</f>
        <v>20.64</v>
      </c>
      <c r="DF34" s="3">
        <f>IF(RTD("tos.rtd",,DF$2,"."&amp;$A$2&amp;$AS$1&amp;"P"&amp;$A34)="N/A",0,RTD("tos.rtd",,DF$2,"."&amp;$A$2&amp;$AS$1&amp;"P"&amp;$A34))</f>
        <v>0</v>
      </c>
      <c r="DG34" s="86">
        <f t="shared" si="48"/>
        <v>-20.950000000000045</v>
      </c>
      <c r="DH34" s="3">
        <f t="shared" si="22"/>
        <v>0.87500000000000278</v>
      </c>
      <c r="DI34" s="3">
        <f t="shared" si="49"/>
        <v>0</v>
      </c>
      <c r="DJ34" s="3">
        <f t="shared" si="50"/>
        <v>1</v>
      </c>
      <c r="DK34" s="3">
        <f t="shared" si="51"/>
        <v>0</v>
      </c>
      <c r="DL34" s="3">
        <f t="shared" si="52"/>
        <v>0.87500000000000278</v>
      </c>
      <c r="DM34" s="3">
        <f t="shared" si="53"/>
        <v>1</v>
      </c>
      <c r="DN34" s="63" t="str">
        <f t="shared" si="54"/>
        <v>BUY</v>
      </c>
      <c r="DO34" s="63" t="str">
        <f t="shared" si="55"/>
        <v>UNKNOWN</v>
      </c>
      <c r="DP34" s="3">
        <f t="shared" si="56"/>
        <v>18.30500000000006</v>
      </c>
      <c r="DQ34" s="3">
        <f t="shared" si="57"/>
        <v>20.92</v>
      </c>
      <c r="DR34" s="3">
        <f t="shared" ca="1" si="58"/>
        <v>1.7412228254731441E-31</v>
      </c>
      <c r="DS34" s="3">
        <f t="shared" si="59"/>
        <v>1</v>
      </c>
      <c r="DT34" s="3">
        <f t="shared" si="60"/>
        <v>1</v>
      </c>
      <c r="DU34" s="3">
        <f t="shared" si="61"/>
        <v>0</v>
      </c>
      <c r="DV34" s="3">
        <f t="shared" si="62"/>
        <v>712</v>
      </c>
      <c r="DW34" s="3">
        <f t="shared" si="23"/>
        <v>-555</v>
      </c>
      <c r="DX34" s="3">
        <f t="shared" ca="1" si="24"/>
        <v>1.7412228254731441E-31</v>
      </c>
      <c r="DY34" s="3">
        <f t="shared" ca="1" si="25"/>
        <v>-7.1792749363047571E-3</v>
      </c>
      <c r="DZ34" s="3">
        <f t="shared" ca="1" si="26"/>
        <v>9.9241098608976418E-3</v>
      </c>
      <c r="EA34" s="3">
        <f t="shared" ca="1" si="27"/>
        <v>-1.0087249848525244E-2</v>
      </c>
      <c r="EB34" s="3">
        <f t="shared" ca="1" si="28"/>
        <v>8.0315833414642962E-3</v>
      </c>
      <c r="EC34" s="3">
        <f t="shared" ca="1" si="29"/>
        <v>-8.0646086459224501E-3</v>
      </c>
      <c r="ED34" s="63">
        <f t="shared" si="63"/>
        <v>157</v>
      </c>
      <c r="EE34" s="59">
        <f t="shared" si="64"/>
        <v>0.25</v>
      </c>
      <c r="EF34" s="59">
        <f t="shared" si="30"/>
        <v>1.7095</v>
      </c>
      <c r="EG34" s="59">
        <f t="shared" si="31"/>
        <v>0.2273</v>
      </c>
      <c r="EH34" s="59">
        <f t="shared" si="32"/>
        <v>0.23250000000000001</v>
      </c>
      <c r="EI34" s="59">
        <f t="shared" si="33"/>
        <v>0.18859999999999999</v>
      </c>
      <c r="EJ34" s="59">
        <f t="shared" si="34"/>
        <v>0.18909999999999999</v>
      </c>
      <c r="EK34" s="63">
        <f t="shared" ca="1" si="65"/>
        <v>1354054.6150000244</v>
      </c>
      <c r="EL34" s="3" t="str">
        <f>RTD("tos.rtd",,EL$2,"."&amp;$A$2&amp;$AS$1&amp;"C"&amp;$A34)</f>
        <v>--</v>
      </c>
      <c r="EM34" s="3" t="str">
        <f>RTD("tos.rtd",,EM$2,"."&amp;$A$2&amp;$AS$1&amp;"P"&amp;$A34)</f>
        <v>170.95%</v>
      </c>
      <c r="EN34" s="3" t="str">
        <f>RTD("tos.rtd",,EN$2,"."&amp;$A$2&amp;$AU$1&amp;"C"&amp;$A34)</f>
        <v>22.73%</v>
      </c>
      <c r="EO34" s="3" t="str">
        <f>RTD("tos.rtd",,EO$2,"."&amp;$A$2&amp;$AU$1&amp;"P"&amp;$A34)</f>
        <v>23.25%</v>
      </c>
      <c r="EP34" s="3" t="str">
        <f>RTD("tos.rtd",,EP$2,"."&amp;$A$2&amp;$AW$1&amp;"C"&amp;$A34)</f>
        <v>18.86%</v>
      </c>
      <c r="EQ34" s="3" t="str">
        <f>RTD("tos.rtd",,EQ$2,"."&amp;$A$2&amp;$AW$1&amp;"P"&amp;$A34)</f>
        <v>18.91%</v>
      </c>
      <c r="ES34" s="63" t="str">
        <f t="shared" si="66"/>
        <v>562,157.00</v>
      </c>
      <c r="ET34" s="63" t="str">
        <f t="shared" ca="1" si="67"/>
        <v>562,-81559.78</v>
      </c>
      <c r="EU34" s="67">
        <v>564.79999999999995</v>
      </c>
      <c r="EV34" s="67" t="s">
        <v>291</v>
      </c>
      <c r="EW34" s="67">
        <v>487.92</v>
      </c>
      <c r="EX34" s="67" t="s">
        <v>292</v>
      </c>
      <c r="EY34" s="67">
        <v>5659.91</v>
      </c>
      <c r="EZ34" s="67" t="s">
        <v>293</v>
      </c>
      <c r="FA34" s="67">
        <v>20061.449000000001</v>
      </c>
      <c r="FB34" s="67" t="s">
        <v>294</v>
      </c>
      <c r="FC34" s="67" t="s">
        <v>295</v>
      </c>
      <c r="FD34" s="67" t="s">
        <v>296</v>
      </c>
      <c r="FE34" s="67" t="s">
        <v>297</v>
      </c>
      <c r="FF34" s="67" t="s">
        <v>298</v>
      </c>
    </row>
    <row r="35" spans="1:162" s="63" customFormat="1" ht="13.5" thickBot="1" x14ac:dyDescent="0.25">
      <c r="A35" s="2">
        <f t="shared" si="68"/>
        <v>561</v>
      </c>
      <c r="B35" s="3">
        <f t="shared" si="9"/>
        <v>4691</v>
      </c>
      <c r="C35" s="3">
        <f t="shared" si="10"/>
        <v>4882</v>
      </c>
      <c r="D35" s="3">
        <f t="shared" si="11"/>
        <v>3010</v>
      </c>
      <c r="E35" s="3">
        <f t="shared" si="12"/>
        <v>12583</v>
      </c>
      <c r="F35" s="4">
        <f t="shared" si="13"/>
        <v>5644.8850673299594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>
        <v>1145</v>
      </c>
      <c r="AN35" s="1">
        <v>1178</v>
      </c>
      <c r="AO35" s="1">
        <v>561</v>
      </c>
      <c r="AP35" s="1">
        <v>1526</v>
      </c>
      <c r="AQ35" s="1">
        <v>-2848</v>
      </c>
      <c r="AR35" s="1"/>
      <c r="AS35" s="6">
        <f>IF(RTD("tos.rtd",,AS$2,"."&amp;$A$2&amp;$AS$1&amp;"C"&amp;$A35)="N/A",0,RTD("tos.rtd",,AS$2,"."&amp;$A$2&amp;$AS$1&amp;"C"&amp;$A35))</f>
        <v>1703</v>
      </c>
      <c r="AT35" s="7">
        <f>-IF(RTD("tos.rtd",,AT$2,"."&amp;$A$2&amp;$AS$1&amp;"P"&amp;$A35)="N/A",0,RTD("tos.rtd",,AT$2,"."&amp;$A$2&amp;$AS$1&amp;"P"&amp;$A35))</f>
        <v>-2988</v>
      </c>
      <c r="AU35" s="6">
        <f>IF(RTD("tos.rtd",,AU$2,"."&amp;$A$2&amp;$AU$1&amp;"C"&amp;$A35)="N/A",0,RTD("tos.rtd",,AU$2,"."&amp;$A$2&amp;$AU$1&amp;"C"&amp;$A35))</f>
        <v>3010</v>
      </c>
      <c r="AV35" s="7">
        <f>-IF(RTD("tos.rtd",,AV$2,"."&amp;$A$2&amp;$AU$1&amp;"P"&amp;$A35)="N/A",0,RTD("tos.rtd",,AV$2,"."&amp;$A$2&amp;$AU$1&amp;"P"&amp;$A35))</f>
        <v>-1872</v>
      </c>
      <c r="AW35" s="6">
        <f>IF(RTD("tos.rtd",,AW$2,"."&amp;$A$2&amp;$AW$1&amp;"C"&amp;$A35)="N/A",0,RTD("tos.rtd",,AW$2,"."&amp;$A$2&amp;$AW$1&amp;"C"&amp;$A35))</f>
        <v>965</v>
      </c>
      <c r="AX35" s="7">
        <f>-IF(RTD("tos.rtd",,AX$2,"."&amp;$A$2&amp;$AW$1&amp;"P"&amp;$A35)="N/A",0,RTD("tos.rtd",,AX$2,"."&amp;$A$2&amp;$AW$1&amp;"P"&amp;$A35))</f>
        <v>-2045</v>
      </c>
      <c r="AY35" s="1">
        <f t="shared" si="69"/>
        <v>-1227</v>
      </c>
      <c r="AZ35" s="8">
        <f t="shared" si="35"/>
        <v>561</v>
      </c>
      <c r="BA35" s="6">
        <f>IF(RTD("tos.rtd",,BA$2,"."&amp;$A$2&amp;$AS$1&amp;"C"&amp;$A35)="N/A",0,RTD("tos.rtd",,BA$2,"."&amp;$A$2&amp;$AS$1&amp;"C"&amp;$A35))</f>
        <v>1526</v>
      </c>
      <c r="BB35" s="7">
        <f>-IF(RTD("tos.rtd",,BB$2,"."&amp;$A$2&amp;$AS$1&amp;"P"&amp;$A35)="N/A",0,RTD("tos.rtd",,BB$2,"."&amp;$A$2&amp;$AS$1&amp;"P"&amp;$A35))</f>
        <v>-2849</v>
      </c>
      <c r="BC35" s="6">
        <f>IF(RTD("tos.rtd",,BC$2,"."&amp;$A$2&amp;$AU$1&amp;"C"&amp;$A35)="N/A",0,RTD("tos.rtd",,BC$2,"."&amp;$A$2&amp;$AU$1&amp;"C"&amp;$A35))</f>
        <v>1076</v>
      </c>
      <c r="BD35" s="7">
        <f>-IF(RTD("tos.rtd",,BD$2,"."&amp;$A$2&amp;$AU$1&amp;"P"&amp;$A35)="N/A",0,RTD("tos.rtd",,BD$2,"."&amp;$A$2&amp;$AU$1&amp;"P"&amp;$A35))</f>
        <v>-4252</v>
      </c>
      <c r="BE35" s="6">
        <f>IF(RTD("tos.rtd",,BE$2,"."&amp;$A$2&amp;$AW$1&amp;"C"&amp;$A35)="N/A",0,RTD("tos.rtd",,BE$2,"."&amp;$A$2&amp;$AW$1&amp;"C"&amp;$A35))</f>
        <v>120</v>
      </c>
      <c r="BF35" s="83">
        <f>-IF(RTD("tos.rtd",,BF$2,"."&amp;$A$2&amp;$AW$1&amp;"P"&amp;$A35)="N/A",0,RTD("tos.rtd",,BF$2,"."&amp;$A$2&amp;$AW$1&amp;"P"&amp;$A35))</f>
        <v>-2097</v>
      </c>
      <c r="BG35" s="32">
        <f ca="1">+Hoja2!Y36</f>
        <v>-3630</v>
      </c>
      <c r="BH35" s="7">
        <f t="shared" ca="1" si="36"/>
        <v>-10106</v>
      </c>
      <c r="BI35" s="8" t="str">
        <f t="shared" ref="BI35" ca="1" si="196">IF(AND(BH35&lt;0,BH34&gt;0), "Cruce -", IF(AND(BH35&gt;0,BH34&lt;0),"Cruce +", ""))</f>
        <v/>
      </c>
      <c r="BJ35" s="3">
        <f ca="1">IF($BP$1=1,DX35,IF(RTD("tos.rtd",,BJ$2,"."&amp;$A$2&amp;$AS$1&amp;"C"&amp;$A35)="N/A",0,RTD("tos.rtd",,BJ$2,"."&amp;$A$2&amp;$AS$1&amp;"C"&amp;$A35)))</f>
        <v>1.7418622106689891E-34</v>
      </c>
      <c r="BK35" s="3">
        <f ca="1">IF($BP$1=1,DY35,-IF(RTD("tos.rtd",,BK$2,"."&amp;$A$2&amp;$AS$1&amp;"P"&amp;$A35)="N/A",0,RTD("tos.rtd",,BK$2,"."&amp;$A$2&amp;$AS$1&amp;"P"&amp;$A35)))</f>
        <v>-6.7808297210452204E-3</v>
      </c>
      <c r="BL35" s="3">
        <f ca="1">IF($BP$1=1,DZ35,IF(RTD("tos.rtd",,BL$2,"."&amp;$A$2&amp;$AU$1&amp;"C"&amp;$A35)="N/A",0,RTD("tos.rtd",,BL$2,"."&amp;$A$2&amp;$AU$1&amp;"C"&amp;$A35)))</f>
        <v>9.1982272488953104E-3</v>
      </c>
      <c r="BM35" s="3">
        <f ca="1">IF($BP$1=1,EA35,-IF(RTD("tos.rtd",,BM$2,"."&amp;$A$2&amp;$AU$1&amp;"P"&amp;$A35)="N/A",0,RTD("tos.rtd",,BM$2,"."&amp;$A$2&amp;$AU$1&amp;"P"&amp;$A35)))</f>
        <v>-9.3829705569952009E-3</v>
      </c>
      <c r="BN35" s="3">
        <f ca="1">IF($BP$1=1,EB35,IF(RTD("tos.rtd",,BN$2,"."&amp;$A$2&amp;$AW$1&amp;"C"&amp;$A35)="N/A",0,RTD("tos.rtd",,BN$2,"."&amp;$A$2&amp;$AW$1&amp;"C"&amp;$A35)))</f>
        <v>7.1542577259123882E-3</v>
      </c>
      <c r="BO35" s="3">
        <f ca="1">IF($BP$1=1,EC35,-IF(RTD("tos.rtd",,BO$2,"."&amp;$A$2&amp;$AW$1&amp;"P"&amp;$A35)="N/A",0,RTD("tos.rtd",,BO$2,"."&amp;$A$2&amp;$AW$1&amp;"P"&amp;$A35)))</f>
        <v>-7.207532517066479E-3</v>
      </c>
      <c r="BQ35" s="3">
        <f t="shared" ca="1" si="37"/>
        <v>-6885350.3733754018</v>
      </c>
      <c r="BR35" s="3" t="str">
        <f t="shared" ca="1" si="71"/>
        <v/>
      </c>
      <c r="BS35" s="3">
        <f t="shared" ca="1" si="38"/>
        <v>3439679.080594508</v>
      </c>
      <c r="BT35" s="3" t="str">
        <f t="shared" ca="1" si="71"/>
        <v/>
      </c>
      <c r="BU35" s="3">
        <f t="shared" ca="1" si="39"/>
        <v>-2662758.8610154144</v>
      </c>
      <c r="BV35" s="3" t="str">
        <f t="shared" ref="BV35" ca="1" si="197">IF(AND(BU35&lt;0,BU34&gt;0), "Cruce -", IF(AND(BU35&gt;0,BU34&lt;0),"Cruce +", ""))</f>
        <v/>
      </c>
      <c r="BX35" s="3">
        <f t="shared" ca="1" si="40"/>
        <v>-6565047.929634043</v>
      </c>
      <c r="BY35" s="3" t="str">
        <f t="shared" ca="1" si="73"/>
        <v/>
      </c>
      <c r="BZ35" s="3">
        <f t="shared" ca="1" si="41"/>
        <v>-10194614.645758461</v>
      </c>
      <c r="CA35" s="3" t="str">
        <f t="shared" ca="1" si="74"/>
        <v/>
      </c>
      <c r="CB35" s="3">
        <f t="shared" ca="1" si="42"/>
        <v>-4844519.3670099787</v>
      </c>
      <c r="CC35" s="3" t="str">
        <f t="shared" ca="1" si="75"/>
        <v/>
      </c>
      <c r="CD35" s="3">
        <f>IF(RTD("tos.rtd",,CD$2,"."&amp;$A$2&amp;$AS$1&amp;"C"&amp;$A35)="N/A",0,RTD("tos.rtd",,CD$2,"."&amp;$A$2&amp;$AS$1&amp;"C"&amp;$A35))</f>
        <v>1</v>
      </c>
      <c r="CE35" s="3">
        <f>-IF(RTD("tos.rtd",,CE$2,"."&amp;$A$2&amp;$AS$1&amp;"P"&amp;$A35)="N/A",0,RTD("tos.rtd",,CE$2,"."&amp;$A$2&amp;$AS$1&amp;"P"&amp;$A35))</f>
        <v>0</v>
      </c>
      <c r="CF35" s="3">
        <f>IF(RTD("tos.rtd",,CF$2,"."&amp;$A$2&amp;$AU$1&amp;"C"&amp;$A35)="N/A",0,RTD("tos.rtd",,CF$2,"."&amp;$A$2&amp;$AU$1&amp;"C"&amp;$A35))</f>
        <v>0.95</v>
      </c>
      <c r="CG35" s="3">
        <f>-IF(RTD("tos.rtd",,CG$2,"."&amp;$A$2&amp;$AU$1&amp;"P"&amp;$A35)="N/A",0,RTD("tos.rtd",,CG$2,"."&amp;$A$2&amp;$AU$1&amp;"P"&amp;$A35))</f>
        <v>0.06</v>
      </c>
      <c r="CH35" s="3">
        <f>IF(RTD("tos.rtd",,CH$2,"."&amp;$A$2&amp;$AW$1&amp;"C"&amp;$A35)="N/A",0,RTD("tos.rtd",,CH$2,"."&amp;$A$2&amp;$AW$1&amp;"C"&amp;$A35))</f>
        <v>0.76</v>
      </c>
      <c r="CI35" s="3">
        <f>-IF(RTD("tos.rtd",,CI$2,"."&amp;$A$2&amp;$AW$1&amp;"P"&amp;$A35)="N/A",0,RTD("tos.rtd",,CI$2,"."&amp;$A$2&amp;$AW$1&amp;"P"&amp;$A35))</f>
        <v>0.24</v>
      </c>
      <c r="CK35" s="3">
        <f t="shared" si="17"/>
        <v>170300</v>
      </c>
      <c r="CL35" s="3"/>
      <c r="CM35" s="3">
        <f t="shared" si="18"/>
        <v>274718</v>
      </c>
      <c r="CN35" s="3"/>
      <c r="CO35" s="3">
        <f t="shared" si="19"/>
        <v>24260.000000000007</v>
      </c>
      <c r="CP35" s="3">
        <f t="shared" si="43"/>
        <v>469278</v>
      </c>
      <c r="CQ35" s="3">
        <f t="shared" si="44"/>
        <v>-1323</v>
      </c>
      <c r="CR35" s="3"/>
      <c r="CS35" s="3">
        <f t="shared" si="20"/>
        <v>-3176</v>
      </c>
      <c r="CT35" s="3"/>
      <c r="CU35" s="3">
        <f t="shared" si="21"/>
        <v>-1977</v>
      </c>
      <c r="CV35" s="3">
        <f t="shared" si="45"/>
        <v>-6476</v>
      </c>
      <c r="CW35" s="3">
        <f t="shared" ca="1" si="46"/>
        <v>-6108430.1537963077</v>
      </c>
      <c r="CX35" s="85" t="str">
        <f t="shared" ca="1" si="76"/>
        <v/>
      </c>
      <c r="CY35" s="3">
        <f t="shared" ca="1" si="47"/>
        <v>-21604181.942402482</v>
      </c>
      <c r="CZ35" s="85" t="str">
        <f t="shared" ca="1" si="77"/>
        <v/>
      </c>
      <c r="DA35" s="3">
        <f>IF(RTD("tos.rtd",,DA$2,"."&amp;$A$2&amp;$AS$1&amp;"C"&amp;$A35)="N/A",0,RTD("tos.rtd",,DA$2,"."&amp;$A$2&amp;$AS$1&amp;"C"&amp;$A35))</f>
        <v>20.87</v>
      </c>
      <c r="DB35" s="3">
        <f>IF(RTD("tos.rtd",,DB$2,"."&amp;$A$2&amp;$AS$1&amp;"P"&amp;$A35)="N/A",0,RTD("tos.rtd",,DB$2,"."&amp;$A$2&amp;$AS$1&amp;"P"&amp;$A35))</f>
        <v>0.01</v>
      </c>
      <c r="DC35" s="3">
        <f>IF(RTD("tos.rtd",,DC$2,"."&amp;$A$2&amp;$AS$1&amp;"C"&amp;$A35)="N/A",0,RTD("tos.rtd",,DC$2,"."&amp;$A$2&amp;$AS$1&amp;"C"&amp;$A35))</f>
        <v>21.96</v>
      </c>
      <c r="DD35" s="3">
        <f>IF(RTD("tos.rtd",,DD$2,"."&amp;$A$2&amp;$AS$1&amp;"P"&amp;$A35)="N/A",0,RTD("tos.rtd",,DD$2,"."&amp;$A$2&amp;$AS$1&amp;"P"&amp;$A35))</f>
        <v>0.01</v>
      </c>
      <c r="DE35" s="3">
        <f>IF(RTD("tos.rtd",,DE$2,"."&amp;$A$2&amp;$AS$1&amp;"C"&amp;$A35)="N/A",0,RTD("tos.rtd",,DE$2,"."&amp;$A$2&amp;$AS$1&amp;"C"&amp;$A35))</f>
        <v>21.64</v>
      </c>
      <c r="DF35" s="3">
        <f>IF(RTD("tos.rtd",,DF$2,"."&amp;$A$2&amp;$AS$1&amp;"P"&amp;$A35)="N/A",0,RTD("tos.rtd",,DF$2,"."&amp;$A$2&amp;$AS$1&amp;"P"&amp;$A35))</f>
        <v>0</v>
      </c>
      <c r="DG35" s="86">
        <f t="shared" si="48"/>
        <v>-21.950000000000045</v>
      </c>
      <c r="DH35" s="3">
        <f t="shared" si="22"/>
        <v>0</v>
      </c>
      <c r="DI35" s="3">
        <f t="shared" si="49"/>
        <v>-1</v>
      </c>
      <c r="DJ35" s="3">
        <f t="shared" si="50"/>
        <v>0</v>
      </c>
      <c r="DK35" s="3">
        <f t="shared" si="51"/>
        <v>-1</v>
      </c>
      <c r="DL35" s="3">
        <f t="shared" si="52"/>
        <v>-1</v>
      </c>
      <c r="DM35" s="3">
        <f t="shared" si="53"/>
        <v>-1</v>
      </c>
      <c r="DN35" s="63" t="str">
        <f t="shared" si="54"/>
        <v>UNKNOWN</v>
      </c>
      <c r="DO35" s="63" t="str">
        <f t="shared" si="55"/>
        <v>BUY</v>
      </c>
      <c r="DP35" s="3">
        <f t="shared" si="56"/>
        <v>-0.01</v>
      </c>
      <c r="DQ35" s="3">
        <f t="shared" si="57"/>
        <v>-0.01</v>
      </c>
      <c r="DR35" s="3">
        <f t="shared" ca="1" si="58"/>
        <v>6.7808297210452204E-3</v>
      </c>
      <c r="DS35" s="3">
        <f t="shared" si="59"/>
        <v>0</v>
      </c>
      <c r="DT35" s="3">
        <f t="shared" si="60"/>
        <v>0</v>
      </c>
      <c r="DU35" s="3">
        <f t="shared" si="61"/>
        <v>-1</v>
      </c>
      <c r="DV35" s="3">
        <f t="shared" si="62"/>
        <v>1145</v>
      </c>
      <c r="DW35" s="3">
        <f t="shared" si="23"/>
        <v>1177</v>
      </c>
      <c r="DX35" s="3">
        <f t="shared" ca="1" si="24"/>
        <v>1.7418622106689891E-34</v>
      </c>
      <c r="DY35" s="3">
        <f t="shared" ca="1" si="25"/>
        <v>-6.7808297210452204E-3</v>
      </c>
      <c r="DZ35" s="3">
        <f t="shared" ca="1" si="26"/>
        <v>9.1982272488953104E-3</v>
      </c>
      <c r="EA35" s="3">
        <f t="shared" ca="1" si="27"/>
        <v>-9.3829705569952009E-3</v>
      </c>
      <c r="EB35" s="3">
        <f t="shared" ca="1" si="28"/>
        <v>7.1542577259123882E-3</v>
      </c>
      <c r="EC35" s="3">
        <f t="shared" ca="1" si="29"/>
        <v>-7.207532517066479E-3</v>
      </c>
      <c r="ED35" s="63">
        <f t="shared" si="63"/>
        <v>2322</v>
      </c>
      <c r="EE35" s="59">
        <f t="shared" si="64"/>
        <v>0.25</v>
      </c>
      <c r="EF35" s="59">
        <f t="shared" si="30"/>
        <v>1.7847999999999999</v>
      </c>
      <c r="EG35" s="59">
        <f t="shared" si="31"/>
        <v>0.2301</v>
      </c>
      <c r="EH35" s="59">
        <f t="shared" si="32"/>
        <v>0.2356</v>
      </c>
      <c r="EI35" s="59">
        <f t="shared" si="33"/>
        <v>0.18970000000000001</v>
      </c>
      <c r="EJ35" s="59">
        <f t="shared" si="34"/>
        <v>0.1905</v>
      </c>
      <c r="EK35" s="63">
        <f t="shared" ca="1" si="65"/>
        <v>-2712201.2682271916</v>
      </c>
      <c r="EL35" s="3" t="str">
        <f>RTD("tos.rtd",,EL$2,"."&amp;$A$2&amp;$AS$1&amp;"C"&amp;$A35)</f>
        <v>--</v>
      </c>
      <c r="EM35" s="3" t="str">
        <f>RTD("tos.rtd",,EM$2,"."&amp;$A$2&amp;$AS$1&amp;"P"&amp;$A35)</f>
        <v>178.48%</v>
      </c>
      <c r="EN35" s="3" t="str">
        <f>RTD("tos.rtd",,EN$2,"."&amp;$A$2&amp;$AU$1&amp;"C"&amp;$A35)</f>
        <v>23.01%</v>
      </c>
      <c r="EO35" s="3" t="str">
        <f>RTD("tos.rtd",,EO$2,"."&amp;$A$2&amp;$AU$1&amp;"P"&amp;$A35)</f>
        <v>23.56%</v>
      </c>
      <c r="EP35" s="3" t="str">
        <f>RTD("tos.rtd",,EP$2,"."&amp;$A$2&amp;$AW$1&amp;"C"&amp;$A35)</f>
        <v>18.97%</v>
      </c>
      <c r="EQ35" s="3" t="str">
        <f>RTD("tos.rtd",,EQ$2,"."&amp;$A$2&amp;$AW$1&amp;"P"&amp;$A35)</f>
        <v>19.05%</v>
      </c>
      <c r="ES35" s="63" t="str">
        <f t="shared" si="66"/>
        <v>561,2322.00</v>
      </c>
      <c r="ET35" s="63" t="str">
        <f t="shared" ca="1" si="67"/>
        <v>561,-21604.18</v>
      </c>
      <c r="EU35" s="67">
        <v>564.79999999999995</v>
      </c>
      <c r="EV35" s="67" t="s">
        <v>299</v>
      </c>
      <c r="EW35" s="67">
        <v>487.92</v>
      </c>
      <c r="EX35" s="67" t="s">
        <v>300</v>
      </c>
      <c r="EY35" s="67">
        <v>5659.91</v>
      </c>
      <c r="EZ35" s="67" t="s">
        <v>301</v>
      </c>
      <c r="FA35" s="67">
        <v>20061.449000000001</v>
      </c>
      <c r="FB35" s="67" t="s">
        <v>302</v>
      </c>
      <c r="FC35" s="67" t="s">
        <v>303</v>
      </c>
      <c r="FD35" s="67" t="s">
        <v>304</v>
      </c>
      <c r="FE35" s="67" t="s">
        <v>305</v>
      </c>
      <c r="FF35" s="67" t="s">
        <v>306</v>
      </c>
    </row>
    <row r="36" spans="1:162" s="63" customFormat="1" ht="13.5" thickBot="1" x14ac:dyDescent="0.25">
      <c r="A36" s="2">
        <f t="shared" si="68"/>
        <v>560</v>
      </c>
      <c r="B36" s="3">
        <f t="shared" si="9"/>
        <v>14282</v>
      </c>
      <c r="C36" s="3">
        <f t="shared" si="10"/>
        <v>48518</v>
      </c>
      <c r="D36" s="3">
        <f t="shared" si="11"/>
        <v>115878</v>
      </c>
      <c r="E36" s="3">
        <f t="shared" si="12"/>
        <v>178678</v>
      </c>
      <c r="F36" s="4">
        <f t="shared" si="13"/>
        <v>5634.8228836092285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>
        <v>-758</v>
      </c>
      <c r="AN36" s="1">
        <v>-2297</v>
      </c>
      <c r="AO36" s="1">
        <v>560</v>
      </c>
      <c r="AP36" s="1">
        <v>1401</v>
      </c>
      <c r="AQ36" s="1">
        <v>-9147</v>
      </c>
      <c r="AR36" s="1"/>
      <c r="AS36" s="6">
        <f>IF(RTD("tos.rtd",,AS$2,"."&amp;$A$2&amp;$AS$1&amp;"C"&amp;$A36)="N/A",0,RTD("tos.rtd",,AS$2,"."&amp;$A$2&amp;$AS$1&amp;"C"&amp;$A36))</f>
        <v>1953</v>
      </c>
      <c r="AT36" s="7">
        <f>-IF(RTD("tos.rtd",,AT$2,"."&amp;$A$2&amp;$AS$1&amp;"P"&amp;$A36)="N/A",0,RTD("tos.rtd",,AT$2,"."&amp;$A$2&amp;$AS$1&amp;"P"&amp;$A36))</f>
        <v>-12329</v>
      </c>
      <c r="AU36" s="6">
        <f>IF(RTD("tos.rtd",,AU$2,"."&amp;$A$2&amp;$AU$1&amp;"C"&amp;$A36)="N/A",0,RTD("tos.rtd",,AU$2,"."&amp;$A$2&amp;$AU$1&amp;"C"&amp;$A36))</f>
        <v>12176</v>
      </c>
      <c r="AV36" s="7">
        <f>-IF(RTD("tos.rtd",,AV$2,"."&amp;$A$2&amp;$AU$1&amp;"P"&amp;$A36)="N/A",0,RTD("tos.rtd",,AV$2,"."&amp;$A$2&amp;$AU$1&amp;"P"&amp;$A36))</f>
        <v>-36342</v>
      </c>
      <c r="AW36" s="6">
        <f>IF(RTD("tos.rtd",,AW$2,"."&amp;$A$2&amp;$AW$1&amp;"C"&amp;$A36)="N/A",0,RTD("tos.rtd",,AW$2,"."&amp;$A$2&amp;$AW$1&amp;"C"&amp;$A36))</f>
        <v>70853</v>
      </c>
      <c r="AX36" s="7">
        <f>-IF(RTD("tos.rtd",,AX$2,"."&amp;$A$2&amp;$AW$1&amp;"P"&amp;$A36)="N/A",0,RTD("tos.rtd",,AX$2,"."&amp;$A$2&amp;$AW$1&amp;"P"&amp;$A36))</f>
        <v>-45025</v>
      </c>
      <c r="AY36" s="1">
        <f t="shared" si="69"/>
        <v>-8714</v>
      </c>
      <c r="AZ36" s="8">
        <f t="shared" si="35"/>
        <v>560</v>
      </c>
      <c r="BA36" s="6">
        <f>IF(RTD("tos.rtd",,BA$2,"."&amp;$A$2&amp;$AS$1&amp;"C"&amp;$A36)="N/A",0,RTD("tos.rtd",,BA$2,"."&amp;$A$2&amp;$AS$1&amp;"C"&amp;$A36))</f>
        <v>1401</v>
      </c>
      <c r="BB36" s="7">
        <f>-IF(RTD("tos.rtd",,BB$2,"."&amp;$A$2&amp;$AS$1&amp;"P"&amp;$A36)="N/A",0,RTD("tos.rtd",,BB$2,"."&amp;$A$2&amp;$AS$1&amp;"P"&amp;$A36))</f>
        <v>-9147</v>
      </c>
      <c r="BC36" s="6">
        <f>IF(RTD("tos.rtd",,BC$2,"."&amp;$A$2&amp;$AU$1&amp;"C"&amp;$A36)="N/A",0,RTD("tos.rtd",,BC$2,"."&amp;$A$2&amp;$AU$1&amp;"C"&amp;$A36))</f>
        <v>3233</v>
      </c>
      <c r="BD36" s="7">
        <f>-IF(RTD("tos.rtd",,BD$2,"."&amp;$A$2&amp;$AU$1&amp;"P"&amp;$A36)="N/A",0,RTD("tos.rtd",,BD$2,"."&amp;$A$2&amp;$AU$1&amp;"P"&amp;$A36))</f>
        <v>-28336</v>
      </c>
      <c r="BE36" s="6">
        <f>IF(RTD("tos.rtd",,BE$2,"."&amp;$A$2&amp;$AW$1&amp;"C"&amp;$A36)="N/A",0,RTD("tos.rtd",,BE$2,"."&amp;$A$2&amp;$AW$1&amp;"C"&amp;$A36))</f>
        <v>1664</v>
      </c>
      <c r="BF36" s="83">
        <f>-IF(RTD("tos.rtd",,BF$2,"."&amp;$A$2&amp;$AW$1&amp;"P"&amp;$A36)="N/A",0,RTD("tos.rtd",,BF$2,"."&amp;$A$2&amp;$AW$1&amp;"P"&amp;$A36))</f>
        <v>-22404</v>
      </c>
      <c r="BG36" s="32">
        <f ca="1">+Hoja2!Y37</f>
        <v>-27232</v>
      </c>
      <c r="BH36" s="7">
        <f t="shared" ca="1" si="36"/>
        <v>-80821</v>
      </c>
      <c r="BI36" s="8" t="str">
        <f t="shared" ref="BI36" ca="1" si="198">IF(AND(BH36&lt;0,BH35&gt;0), "Cruce -", IF(AND(BH36&gt;0,BH35&lt;0),"Cruce +", ""))</f>
        <v/>
      </c>
      <c r="BJ36" s="3">
        <f ca="1">IF($BP$1=1,DX36,IF(RTD("tos.rtd",,BJ$2,"."&amp;$A$2&amp;$AS$1&amp;"C"&amp;$A36)="N/A",0,RTD("tos.rtd",,BJ$2,"."&amp;$A$2&amp;$AS$1&amp;"C"&amp;$A36)))</f>
        <v>1.2387307519464806E-37</v>
      </c>
      <c r="BK36" s="3">
        <f ca="1">IF($BP$1=1,DY36,-IF(RTD("tos.rtd",,BK$2,"."&amp;$A$2&amp;$AS$1&amp;"P"&amp;$A36)="N/A",0,RTD("tos.rtd",,BK$2,"."&amp;$A$2&amp;$AS$1&amp;"P"&amp;$A36)))</f>
        <v>-6.4201607600068902E-3</v>
      </c>
      <c r="BL36" s="3">
        <f ca="1">IF($BP$1=1,DZ36,IF(RTD("tos.rtd",,BL$2,"."&amp;$A$2&amp;$AU$1&amp;"C"&amp;$A36)="N/A",0,RTD("tos.rtd",,BL$2,"."&amp;$A$2&amp;$AU$1&amp;"C"&amp;$A36)))</f>
        <v>8.549870682074346E-3</v>
      </c>
      <c r="BM36" s="3">
        <f ca="1">IF($BP$1=1,EA36,-IF(RTD("tos.rtd",,BM$2,"."&amp;$A$2&amp;$AU$1&amp;"P"&amp;$A36)="N/A",0,RTD("tos.rtd",,BM$2,"."&amp;$A$2&amp;$AU$1&amp;"P"&amp;$A36)))</f>
        <v>-8.7282526330011469E-3</v>
      </c>
      <c r="BN36" s="3">
        <f ca="1">IF($BP$1=1,EB36,IF(RTD("tos.rtd",,BN$2,"."&amp;$A$2&amp;$AW$1&amp;"C"&amp;$A36)="N/A",0,RTD("tos.rtd",,BN$2,"."&amp;$A$2&amp;$AW$1&amp;"C"&amp;$A36)))</f>
        <v>6.344957088443421E-3</v>
      </c>
      <c r="BO36" s="3">
        <f ca="1">IF($BP$1=1,EC36,-IF(RTD("tos.rtd",,BO$2,"."&amp;$A$2&amp;$AW$1&amp;"P"&amp;$A36)="N/A",0,RTD("tos.rtd",,BO$2,"."&amp;$A$2&amp;$AW$1&amp;"P"&amp;$A36)))</f>
        <v>-6.4309753637990389E-3</v>
      </c>
      <c r="BQ36" s="3">
        <f t="shared" ca="1" si="37"/>
        <v>-26899014.481699578</v>
      </c>
      <c r="BR36" s="3" t="str">
        <f t="shared" ca="1" si="71"/>
        <v/>
      </c>
      <c r="BS36" s="3">
        <f t="shared" ca="1" si="38"/>
        <v>-72417559.683220536</v>
      </c>
      <c r="BT36" s="3" t="str">
        <f t="shared" ca="1" si="71"/>
        <v>Cruce -</v>
      </c>
      <c r="BU36" s="3">
        <f t="shared" ca="1" si="39"/>
        <v>54374468.427841336</v>
      </c>
      <c r="BV36" s="3" t="str">
        <f t="shared" ref="BV36" ca="1" si="199">IF(AND(BU36&lt;0,BU35&gt;0), "Cruce -", IF(AND(BU36&gt;0,BU35&lt;0),"Cruce +", ""))</f>
        <v>Cruce +</v>
      </c>
      <c r="BX36" s="3">
        <f t="shared" ca="1" si="40"/>
        <v>-19956629.529086389</v>
      </c>
      <c r="BY36" s="3" t="str">
        <f t="shared" ca="1" si="73"/>
        <v/>
      </c>
      <c r="BZ36" s="3">
        <f t="shared" ca="1" si="41"/>
        <v>-74654700.176546693</v>
      </c>
      <c r="CA36" s="3" t="str">
        <f t="shared" ca="1" si="74"/>
        <v/>
      </c>
      <c r="CB36" s="3">
        <f t="shared" ca="1" si="42"/>
        <v>-45374726.70794142</v>
      </c>
      <c r="CC36" s="3" t="str">
        <f t="shared" ca="1" si="75"/>
        <v/>
      </c>
      <c r="CD36" s="3">
        <f>IF(RTD("tos.rtd",,CD$2,"."&amp;$A$2&amp;$AS$1&amp;"C"&amp;$A36)="N/A",0,RTD("tos.rtd",,CD$2,"."&amp;$A$2&amp;$AS$1&amp;"C"&amp;$A36))</f>
        <v>1</v>
      </c>
      <c r="CE36" s="3">
        <f>-IF(RTD("tos.rtd",,CE$2,"."&amp;$A$2&amp;$AS$1&amp;"P"&amp;$A36)="N/A",0,RTD("tos.rtd",,CE$2,"."&amp;$A$2&amp;$AS$1&amp;"P"&amp;$A36))</f>
        <v>0</v>
      </c>
      <c r="CF36" s="3">
        <f>IF(RTD("tos.rtd",,CF$2,"."&amp;$A$2&amp;$AU$1&amp;"C"&amp;$A36)="N/A",0,RTD("tos.rtd",,CF$2,"."&amp;$A$2&amp;$AU$1&amp;"C"&amp;$A36))</f>
        <v>0.95</v>
      </c>
      <c r="CG36" s="3">
        <f>-IF(RTD("tos.rtd",,CG$2,"."&amp;$A$2&amp;$AU$1&amp;"P"&amp;$A36)="N/A",0,RTD("tos.rtd",,CG$2,"."&amp;$A$2&amp;$AU$1&amp;"P"&amp;$A36))</f>
        <v>0.05</v>
      </c>
      <c r="CH36" s="3">
        <f>IF(RTD("tos.rtd",,CH$2,"."&amp;$A$2&amp;$AW$1&amp;"C"&amp;$A36)="N/A",0,RTD("tos.rtd",,CH$2,"."&amp;$A$2&amp;$AW$1&amp;"C"&amp;$A36))</f>
        <v>0.77</v>
      </c>
      <c r="CI36" s="3">
        <f>-IF(RTD("tos.rtd",,CI$2,"."&amp;$A$2&amp;$AW$1&amp;"P"&amp;$A36)="N/A",0,RTD("tos.rtd",,CI$2,"."&amp;$A$2&amp;$AW$1&amp;"P"&amp;$A36))</f>
        <v>0.23</v>
      </c>
      <c r="CK36" s="3">
        <f t="shared" si="17"/>
        <v>195300</v>
      </c>
      <c r="CL36" s="3"/>
      <c r="CM36" s="3">
        <f t="shared" si="18"/>
        <v>975010</v>
      </c>
      <c r="CN36" s="3"/>
      <c r="CO36" s="3">
        <f t="shared" si="19"/>
        <v>4420106</v>
      </c>
      <c r="CP36" s="3">
        <f t="shared" si="43"/>
        <v>5590416</v>
      </c>
      <c r="CQ36" s="3">
        <f t="shared" si="44"/>
        <v>-7746</v>
      </c>
      <c r="CR36" s="3"/>
      <c r="CS36" s="3">
        <f t="shared" si="20"/>
        <v>-25103</v>
      </c>
      <c r="CT36" s="3"/>
      <c r="CU36" s="3">
        <f t="shared" si="21"/>
        <v>-20740</v>
      </c>
      <c r="CV36" s="3">
        <f t="shared" si="45"/>
        <v>-53589</v>
      </c>
      <c r="CW36" s="3">
        <f t="shared" ca="1" si="46"/>
        <v>-44942105.737078786</v>
      </c>
      <c r="CX36" s="85" t="str">
        <f t="shared" ca="1" si="76"/>
        <v/>
      </c>
      <c r="CY36" s="3">
        <f t="shared" ca="1" si="47"/>
        <v>-139986056.41357449</v>
      </c>
      <c r="CZ36" s="85" t="str">
        <f t="shared" ca="1" si="77"/>
        <v/>
      </c>
      <c r="DA36" s="3">
        <f>IF(RTD("tos.rtd",,DA$2,"."&amp;$A$2&amp;$AS$1&amp;"C"&amp;$A36)="N/A",0,RTD("tos.rtd",,DA$2,"."&amp;$A$2&amp;$AS$1&amp;"C"&amp;$A36))</f>
        <v>23.3</v>
      </c>
      <c r="DB36" s="3">
        <f>IF(RTD("tos.rtd",,DB$2,"."&amp;$A$2&amp;$AS$1&amp;"P"&amp;$A36)="N/A",0,RTD("tos.rtd",,DB$2,"."&amp;$A$2&amp;$AS$1&amp;"P"&amp;$A36))</f>
        <v>0.01</v>
      </c>
      <c r="DC36" s="3">
        <f>IF(RTD("tos.rtd",,DC$2,"."&amp;$A$2&amp;$AS$1&amp;"C"&amp;$A36)="N/A",0,RTD("tos.rtd",,DC$2,"."&amp;$A$2&amp;$AS$1&amp;"C"&amp;$A36))</f>
        <v>22.96</v>
      </c>
      <c r="DD36" s="3">
        <f>IF(RTD("tos.rtd",,DD$2,"."&amp;$A$2&amp;$AS$1&amp;"P"&amp;$A36)="N/A",0,RTD("tos.rtd",,DD$2,"."&amp;$A$2&amp;$AS$1&amp;"P"&amp;$A36))</f>
        <v>0.01</v>
      </c>
      <c r="DE36" s="3">
        <f>IF(RTD("tos.rtd",,DE$2,"."&amp;$A$2&amp;$AS$1&amp;"C"&amp;$A36)="N/A",0,RTD("tos.rtd",,DE$2,"."&amp;$A$2&amp;$AS$1&amp;"C"&amp;$A36))</f>
        <v>22.64</v>
      </c>
      <c r="DF36" s="3">
        <f>IF(RTD("tos.rtd",,DF$2,"."&amp;$A$2&amp;$AS$1&amp;"P"&amp;$A36)="N/A",0,RTD("tos.rtd",,DF$2,"."&amp;$A$2&amp;$AS$1&amp;"P"&amp;$A36))</f>
        <v>0</v>
      </c>
      <c r="DG36" s="86">
        <f t="shared" si="48"/>
        <v>-22.950000000000045</v>
      </c>
      <c r="DH36" s="3">
        <f t="shared" si="22"/>
        <v>0</v>
      </c>
      <c r="DI36" s="3">
        <f t="shared" si="49"/>
        <v>0</v>
      </c>
      <c r="DJ36" s="3">
        <f t="shared" si="50"/>
        <v>0</v>
      </c>
      <c r="DK36" s="3">
        <f t="shared" si="51"/>
        <v>0</v>
      </c>
      <c r="DL36" s="3">
        <f t="shared" si="52"/>
        <v>0</v>
      </c>
      <c r="DM36" s="3">
        <f t="shared" si="53"/>
        <v>0</v>
      </c>
      <c r="DN36" s="63" t="str">
        <f t="shared" si="54"/>
        <v>UNKNOWN</v>
      </c>
      <c r="DO36" s="63" t="str">
        <f t="shared" si="55"/>
        <v>UNKNOWN</v>
      </c>
      <c r="DP36" s="3">
        <f t="shared" si="56"/>
        <v>0</v>
      </c>
      <c r="DQ36" s="3">
        <f t="shared" si="57"/>
        <v>0</v>
      </c>
      <c r="DR36" s="3">
        <f t="shared" ca="1" si="58"/>
        <v>0</v>
      </c>
      <c r="DS36" s="3">
        <f t="shared" si="59"/>
        <v>0</v>
      </c>
      <c r="DT36" s="3">
        <f t="shared" si="60"/>
        <v>0</v>
      </c>
      <c r="DU36" s="3">
        <f t="shared" si="61"/>
        <v>0</v>
      </c>
      <c r="DV36" s="3">
        <f t="shared" si="62"/>
        <v>-758</v>
      </c>
      <c r="DW36" s="3">
        <f t="shared" si="23"/>
        <v>-2297</v>
      </c>
      <c r="DX36" s="3">
        <f t="shared" ca="1" si="24"/>
        <v>1.2387307519464806E-37</v>
      </c>
      <c r="DY36" s="3">
        <f t="shared" ca="1" si="25"/>
        <v>-6.4201607600068902E-3</v>
      </c>
      <c r="DZ36" s="3">
        <f t="shared" ca="1" si="26"/>
        <v>8.549870682074346E-3</v>
      </c>
      <c r="EA36" s="3">
        <f t="shared" ca="1" si="27"/>
        <v>-8.7282526330011469E-3</v>
      </c>
      <c r="EB36" s="3">
        <f t="shared" ca="1" si="28"/>
        <v>6.344957088443421E-3</v>
      </c>
      <c r="EC36" s="3">
        <f t="shared" ca="1" si="29"/>
        <v>-6.4309753637990389E-3</v>
      </c>
      <c r="ED36" s="63">
        <f t="shared" si="63"/>
        <v>-3055</v>
      </c>
      <c r="EE36" s="59">
        <f t="shared" si="64"/>
        <v>0.25</v>
      </c>
      <c r="EF36" s="59">
        <f t="shared" si="30"/>
        <v>1.86</v>
      </c>
      <c r="EG36" s="59">
        <f t="shared" si="31"/>
        <v>0.23369999999999999</v>
      </c>
      <c r="EH36" s="59">
        <f t="shared" si="32"/>
        <v>0.23880000000000001</v>
      </c>
      <c r="EI36" s="59">
        <f t="shared" si="33"/>
        <v>0.19070000000000001</v>
      </c>
      <c r="EJ36" s="59">
        <f t="shared" si="34"/>
        <v>0.192</v>
      </c>
      <c r="EK36" s="63">
        <f t="shared" ca="1" si="65"/>
        <v>5011520.5016192663</v>
      </c>
      <c r="EL36" s="3" t="str">
        <f>RTD("tos.rtd",,EL$2,"."&amp;$A$2&amp;$AS$1&amp;"C"&amp;$A36)</f>
        <v>--</v>
      </c>
      <c r="EM36" s="3" t="str">
        <f>RTD("tos.rtd",,EM$2,"."&amp;$A$2&amp;$AS$1&amp;"P"&amp;$A36)</f>
        <v>186.00%</v>
      </c>
      <c r="EN36" s="3" t="str">
        <f>RTD("tos.rtd",,EN$2,"."&amp;$A$2&amp;$AU$1&amp;"C"&amp;$A36)</f>
        <v>23.37%</v>
      </c>
      <c r="EO36" s="3" t="str">
        <f>RTD("tos.rtd",,EO$2,"."&amp;$A$2&amp;$AU$1&amp;"P"&amp;$A36)</f>
        <v>23.88%</v>
      </c>
      <c r="EP36" s="3" t="str">
        <f>RTD("tos.rtd",,EP$2,"."&amp;$A$2&amp;$AW$1&amp;"C"&amp;$A36)</f>
        <v>19.07%</v>
      </c>
      <c r="EQ36" s="3" t="str">
        <f>RTD("tos.rtd",,EQ$2,"."&amp;$A$2&amp;$AW$1&amp;"P"&amp;$A36)</f>
        <v>19.20%</v>
      </c>
      <c r="ES36" s="63" t="str">
        <f t="shared" si="66"/>
        <v>560,-3055.00</v>
      </c>
      <c r="ET36" s="63" t="str">
        <f t="shared" ca="1" si="67"/>
        <v>560,-139986.06</v>
      </c>
      <c r="EU36" s="67">
        <v>564.79999999999995</v>
      </c>
      <c r="EV36" s="67" t="s">
        <v>307</v>
      </c>
      <c r="EW36" s="67">
        <v>487.92</v>
      </c>
      <c r="EX36" s="67" t="s">
        <v>308</v>
      </c>
      <c r="EY36" s="67">
        <v>5659.91</v>
      </c>
      <c r="EZ36" s="67" t="s">
        <v>309</v>
      </c>
      <c r="FA36" s="67">
        <v>20061.449000000001</v>
      </c>
      <c r="FB36" s="67" t="s">
        <v>310</v>
      </c>
      <c r="FC36" s="67" t="s">
        <v>311</v>
      </c>
      <c r="FD36" s="67" t="s">
        <v>312</v>
      </c>
      <c r="FE36" s="67" t="s">
        <v>313</v>
      </c>
      <c r="FF36" s="67" t="s">
        <v>314</v>
      </c>
    </row>
    <row r="37" spans="1:162" s="63" customFormat="1" ht="13.5" thickBot="1" x14ac:dyDescent="0.25">
      <c r="A37" s="2">
        <f t="shared" si="68"/>
        <v>559</v>
      </c>
      <c r="B37" s="3">
        <f t="shared" si="9"/>
        <v>3778</v>
      </c>
      <c r="C37" s="3">
        <f t="shared" si="10"/>
        <v>6239</v>
      </c>
      <c r="D37" s="3">
        <f t="shared" si="11"/>
        <v>1438</v>
      </c>
      <c r="E37" s="3">
        <f t="shared" si="12"/>
        <v>11455</v>
      </c>
      <c r="F37" s="4">
        <f t="shared" si="13"/>
        <v>5624.7606998884976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>
        <v>64</v>
      </c>
      <c r="AN37" s="1">
        <v>399</v>
      </c>
      <c r="AO37" s="1">
        <v>559</v>
      </c>
      <c r="AP37" s="1">
        <v>142</v>
      </c>
      <c r="AQ37" s="1">
        <v>-4373</v>
      </c>
      <c r="AR37" s="1"/>
      <c r="AS37" s="6">
        <f>IF(RTD("tos.rtd",,AS$2,"."&amp;$A$2&amp;$AS$1&amp;"C"&amp;$A37)="N/A",0,RTD("tos.rtd",,AS$2,"."&amp;$A$2&amp;$AS$1&amp;"C"&amp;$A37))</f>
        <v>750</v>
      </c>
      <c r="AT37" s="7">
        <f>-IF(RTD("tos.rtd",,AT$2,"."&amp;$A$2&amp;$AS$1&amp;"P"&amp;$A37)="N/A",0,RTD("tos.rtd",,AT$2,"."&amp;$A$2&amp;$AS$1&amp;"P"&amp;$A37))</f>
        <v>-3028</v>
      </c>
      <c r="AU37" s="6">
        <f>IF(RTD("tos.rtd",,AU$2,"."&amp;$A$2&amp;$AU$1&amp;"C"&amp;$A37)="N/A",0,RTD("tos.rtd",,AU$2,"."&amp;$A$2&amp;$AU$1&amp;"C"&amp;$A37))</f>
        <v>3400</v>
      </c>
      <c r="AV37" s="7">
        <f>-IF(RTD("tos.rtd",,AV$2,"."&amp;$A$2&amp;$AU$1&amp;"P"&amp;$A37)="N/A",0,RTD("tos.rtd",,AV$2,"."&amp;$A$2&amp;$AU$1&amp;"P"&amp;$A37))</f>
        <v>-2839</v>
      </c>
      <c r="AW37" s="6">
        <f>IF(RTD("tos.rtd",,AW$2,"."&amp;$A$2&amp;$AW$1&amp;"C"&amp;$A37)="N/A",0,RTD("tos.rtd",,AW$2,"."&amp;$A$2&amp;$AW$1&amp;"C"&amp;$A37))</f>
        <v>190</v>
      </c>
      <c r="AX37" s="7">
        <f>-IF(RTD("tos.rtd",,AX$2,"."&amp;$A$2&amp;$AW$1&amp;"P"&amp;$A37)="N/A",0,RTD("tos.rtd",,AX$2,"."&amp;$A$2&amp;$AW$1&amp;"P"&amp;$A37))</f>
        <v>-1248</v>
      </c>
      <c r="AY37" s="1">
        <f t="shared" si="69"/>
        <v>-2775</v>
      </c>
      <c r="AZ37" s="8">
        <f t="shared" si="35"/>
        <v>559</v>
      </c>
      <c r="BA37" s="6">
        <f>IF(RTD("tos.rtd",,BA$2,"."&amp;$A$2&amp;$AS$1&amp;"C"&amp;$A37)="N/A",0,RTD("tos.rtd",,BA$2,"."&amp;$A$2&amp;$AS$1&amp;"C"&amp;$A37))</f>
        <v>142</v>
      </c>
      <c r="BB37" s="7">
        <f>-IF(RTD("tos.rtd",,BB$2,"."&amp;$A$2&amp;$AS$1&amp;"P"&amp;$A37)="N/A",0,RTD("tos.rtd",,BB$2,"."&amp;$A$2&amp;$AS$1&amp;"P"&amp;$A37))</f>
        <v>-4373</v>
      </c>
      <c r="BC37" s="6">
        <f>IF(RTD("tos.rtd",,BC$2,"."&amp;$A$2&amp;$AU$1&amp;"C"&amp;$A37)="N/A",0,RTD("tos.rtd",,BC$2,"."&amp;$A$2&amp;$AU$1&amp;"C"&amp;$A37))</f>
        <v>165</v>
      </c>
      <c r="BD37" s="7">
        <f>-IF(RTD("tos.rtd",,BD$2,"."&amp;$A$2&amp;$AU$1&amp;"P"&amp;$A37)="N/A",0,RTD("tos.rtd",,BD$2,"."&amp;$A$2&amp;$AU$1&amp;"P"&amp;$A37))</f>
        <v>-1400</v>
      </c>
      <c r="BE37" s="6">
        <f>IF(RTD("tos.rtd",,BE$2,"."&amp;$A$2&amp;$AW$1&amp;"C"&amp;$A37)="N/A",0,RTD("tos.rtd",,BE$2,"."&amp;$A$2&amp;$AW$1&amp;"C"&amp;$A37))</f>
        <v>17</v>
      </c>
      <c r="BF37" s="83">
        <f>-IF(RTD("tos.rtd",,BF$2,"."&amp;$A$2&amp;$AW$1&amp;"P"&amp;$A37)="N/A",0,RTD("tos.rtd",,BF$2,"."&amp;$A$2&amp;$AW$1&amp;"P"&amp;$A37))</f>
        <v>-589</v>
      </c>
      <c r="BG37" s="32">
        <f ca="1">+Hoja2!Y38</f>
        <v>-2414</v>
      </c>
      <c r="BH37" s="7">
        <f t="shared" ca="1" si="36"/>
        <v>-8452</v>
      </c>
      <c r="BI37" s="8" t="str">
        <f t="shared" ref="BI37" ca="1" si="200">IF(AND(BH37&lt;0,BH36&gt;0), "Cruce -", IF(AND(BH37&gt;0,BH36&lt;0),"Cruce +", ""))</f>
        <v/>
      </c>
      <c r="BJ37" s="3">
        <f ca="1">IF($BP$1=1,DX37,IF(RTD("tos.rtd",,BJ$2,"."&amp;$A$2&amp;$AS$1&amp;"C"&amp;$A37)="N/A",0,RTD("tos.rtd",,BJ$2,"."&amp;$A$2&amp;$AS$1&amp;"C"&amp;$A37)))</f>
        <v>6.2511286380129552E-41</v>
      </c>
      <c r="BK37" s="3">
        <f ca="1">IF($BP$1=1,DY37,-IF(RTD("tos.rtd",,BK$2,"."&amp;$A$2&amp;$AS$1&amp;"P"&amp;$A37)="N/A",0,RTD("tos.rtd",,BK$2,"."&amp;$A$2&amp;$AS$1&amp;"P"&amp;$A37)))</f>
        <v>-6.0921998913344658E-3</v>
      </c>
      <c r="BL37" s="3">
        <f ca="1">IF($BP$1=1,DZ37,IF(RTD("tos.rtd",,BL$2,"."&amp;$A$2&amp;$AU$1&amp;"C"&amp;$A37)="N/A",0,RTD("tos.rtd",,BL$2,"."&amp;$A$2&amp;$AU$1&amp;"C"&amp;$A37)))</f>
        <v>7.8617002972038372E-3</v>
      </c>
      <c r="BM37" s="3">
        <f ca="1">IF($BP$1=1,EA37,-IF(RTD("tos.rtd",,BM$2,"."&amp;$A$2&amp;$AU$1&amp;"P"&amp;$A37)="N/A",0,RTD("tos.rtd",,BM$2,"."&amp;$A$2&amp;$AU$1&amp;"P"&amp;$A37)))</f>
        <v>-8.1281153351120457E-3</v>
      </c>
      <c r="BN37" s="3">
        <f ca="1">IF($BP$1=1,EB37,IF(RTD("tos.rtd",,BN$2,"."&amp;$A$2&amp;$AW$1&amp;"C"&amp;$A37)="N/A",0,RTD("tos.rtd",,BN$2,"."&amp;$A$2&amp;$AW$1&amp;"C"&amp;$A37)))</f>
        <v>5.7439909741990956E-3</v>
      </c>
      <c r="BO37" s="3">
        <f ca="1">IF($BP$1=1,EC37,-IF(RTD("tos.rtd",,BO$2,"."&amp;$A$2&amp;$AW$1&amp;"P"&amp;$A37)="N/A",0,RTD("tos.rtd",,BO$2,"."&amp;$A$2&amp;$AW$1&amp;"P"&amp;$A37)))</f>
        <v>-5.7182496025890367E-3</v>
      </c>
      <c r="BQ37" s="3">
        <f t="shared" ca="1" si="37"/>
        <v>-6268918.5704554403</v>
      </c>
      <c r="BR37" s="3" t="str">
        <f t="shared" ca="1" si="71"/>
        <v/>
      </c>
      <c r="BS37" s="3">
        <f t="shared" ca="1" si="38"/>
        <v>1241762.3117080396</v>
      </c>
      <c r="BT37" s="3" t="str">
        <f t="shared" ca="1" si="71"/>
        <v>Cruce +</v>
      </c>
      <c r="BU37" s="3">
        <f t="shared" ca="1" si="39"/>
        <v>-2054282.4481346963</v>
      </c>
      <c r="BV37" s="3" t="str">
        <f t="shared" ref="BV37" ca="1" si="201">IF(AND(BU37&lt;0,BU36&gt;0), "Cruce -", IF(AND(BU37&gt;0,BU36&lt;0),"Cruce +", ""))</f>
        <v>Cruce -</v>
      </c>
      <c r="BX37" s="3">
        <f t="shared" ca="1" si="40"/>
        <v>-9053494.3555487581</v>
      </c>
      <c r="BY37" s="3" t="str">
        <f t="shared" ca="1" si="73"/>
        <v/>
      </c>
      <c r="BZ37" s="3">
        <f t="shared" ca="1" si="41"/>
        <v>-3426234.6248158757</v>
      </c>
      <c r="CA37" s="3" t="str">
        <f t="shared" ca="1" si="74"/>
        <v/>
      </c>
      <c r="CB37" s="3">
        <f t="shared" ca="1" si="42"/>
        <v>-1111382.7268416395</v>
      </c>
      <c r="CC37" s="3" t="str">
        <f t="shared" ca="1" si="75"/>
        <v/>
      </c>
      <c r="CD37" s="3">
        <f>IF(RTD("tos.rtd",,CD$2,"."&amp;$A$2&amp;$AS$1&amp;"C"&amp;$A37)="N/A",0,RTD("tos.rtd",,CD$2,"."&amp;$A$2&amp;$AS$1&amp;"C"&amp;$A37))</f>
        <v>1</v>
      </c>
      <c r="CE37" s="3">
        <f>-IF(RTD("tos.rtd",,CE$2,"."&amp;$A$2&amp;$AS$1&amp;"P"&amp;$A37)="N/A",0,RTD("tos.rtd",,CE$2,"."&amp;$A$2&amp;$AS$1&amp;"P"&amp;$A37))</f>
        <v>0</v>
      </c>
      <c r="CF37" s="3">
        <f>IF(RTD("tos.rtd",,CF$2,"."&amp;$A$2&amp;$AU$1&amp;"C"&amp;$A37)="N/A",0,RTD("tos.rtd",,CF$2,"."&amp;$A$2&amp;$AU$1&amp;"C"&amp;$A37))</f>
        <v>0.96</v>
      </c>
      <c r="CG37" s="3">
        <f>-IF(RTD("tos.rtd",,CG$2,"."&amp;$A$2&amp;$AU$1&amp;"P"&amp;$A37)="N/A",0,RTD("tos.rtd",,CG$2,"."&amp;$A$2&amp;$AU$1&amp;"P"&amp;$A37))</f>
        <v>0.05</v>
      </c>
      <c r="CH37" s="3">
        <f>IF(RTD("tos.rtd",,CH$2,"."&amp;$A$2&amp;$AW$1&amp;"C"&amp;$A37)="N/A",0,RTD("tos.rtd",,CH$2,"."&amp;$A$2&amp;$AW$1&amp;"C"&amp;$A37))</f>
        <v>0.77</v>
      </c>
      <c r="CI37" s="3">
        <f>-IF(RTD("tos.rtd",,CI$2,"."&amp;$A$2&amp;$AW$1&amp;"P"&amp;$A37)="N/A",0,RTD("tos.rtd",,CI$2,"."&amp;$A$2&amp;$AW$1&amp;"P"&amp;$A37))</f>
        <v>0.23</v>
      </c>
      <c r="CK37" s="3">
        <f t="shared" si="17"/>
        <v>75000</v>
      </c>
      <c r="CL37" s="3"/>
      <c r="CM37" s="3">
        <f t="shared" si="18"/>
        <v>312205</v>
      </c>
      <c r="CN37" s="3"/>
      <c r="CO37" s="3">
        <f t="shared" si="19"/>
        <v>-14074.000000000002</v>
      </c>
      <c r="CP37" s="3">
        <f t="shared" si="43"/>
        <v>373131</v>
      </c>
      <c r="CQ37" s="3">
        <f t="shared" si="44"/>
        <v>-4231</v>
      </c>
      <c r="CR37" s="3"/>
      <c r="CS37" s="3">
        <f t="shared" si="20"/>
        <v>-1235</v>
      </c>
      <c r="CT37" s="3"/>
      <c r="CU37" s="3">
        <f t="shared" si="21"/>
        <v>-572</v>
      </c>
      <c r="CV37" s="3">
        <f t="shared" si="45"/>
        <v>-6038</v>
      </c>
      <c r="CW37" s="3">
        <f t="shared" ca="1" si="46"/>
        <v>-7081438.7068820968</v>
      </c>
      <c r="CX37" s="85" t="str">
        <f t="shared" ca="1" si="76"/>
        <v/>
      </c>
      <c r="CY37" s="3">
        <f t="shared" ca="1" si="47"/>
        <v>-13591111.707206273</v>
      </c>
      <c r="CZ37" s="85" t="str">
        <f t="shared" ca="1" si="77"/>
        <v/>
      </c>
      <c r="DA37" s="3">
        <f>IF(RTD("tos.rtd",,DA$2,"."&amp;$A$2&amp;$AS$1&amp;"C"&amp;$A37)="N/A",0,RTD("tos.rtd",,DA$2,"."&amp;$A$2&amp;$AS$1&amp;"C"&amp;$A37))</f>
        <v>23.24</v>
      </c>
      <c r="DB37" s="3">
        <f>IF(RTD("tos.rtd",,DB$2,"."&amp;$A$2&amp;$AS$1&amp;"P"&amp;$A37)="N/A",0,RTD("tos.rtd",,DB$2,"."&amp;$A$2&amp;$AS$1&amp;"P"&amp;$A37))</f>
        <v>0.01</v>
      </c>
      <c r="DC37" s="3">
        <f>IF(RTD("tos.rtd",,DC$2,"."&amp;$A$2&amp;$AS$1&amp;"C"&amp;$A37)="N/A",0,RTD("tos.rtd",,DC$2,"."&amp;$A$2&amp;$AS$1&amp;"C"&amp;$A37))</f>
        <v>23.96</v>
      </c>
      <c r="DD37" s="3">
        <f>IF(RTD("tos.rtd",,DD$2,"."&amp;$A$2&amp;$AS$1&amp;"P"&amp;$A37)="N/A",0,RTD("tos.rtd",,DD$2,"."&amp;$A$2&amp;$AS$1&amp;"P"&amp;$A37))</f>
        <v>0.01</v>
      </c>
      <c r="DE37" s="3">
        <f>IF(RTD("tos.rtd",,DE$2,"."&amp;$A$2&amp;$AS$1&amp;"C"&amp;$A37)="N/A",0,RTD("tos.rtd",,DE$2,"."&amp;$A$2&amp;$AS$1&amp;"C"&amp;$A37))</f>
        <v>23.64</v>
      </c>
      <c r="DF37" s="3">
        <f>IF(RTD("tos.rtd",,DF$2,"."&amp;$A$2&amp;$AS$1&amp;"P"&amp;$A37)="N/A",0,RTD("tos.rtd",,DF$2,"."&amp;$A$2&amp;$AS$1&amp;"P"&amp;$A37))</f>
        <v>0</v>
      </c>
      <c r="DG37" s="86">
        <f t="shared" si="48"/>
        <v>-23.950000000000045</v>
      </c>
      <c r="DH37" s="3">
        <f t="shared" si="22"/>
        <v>0</v>
      </c>
      <c r="DI37" s="3">
        <f t="shared" si="49"/>
        <v>0</v>
      </c>
      <c r="DJ37" s="3">
        <f t="shared" si="50"/>
        <v>0</v>
      </c>
      <c r="DK37" s="3">
        <f t="shared" si="51"/>
        <v>0</v>
      </c>
      <c r="DL37" s="3">
        <f t="shared" si="52"/>
        <v>0</v>
      </c>
      <c r="DM37" s="3">
        <f t="shared" si="53"/>
        <v>0</v>
      </c>
      <c r="DN37" s="63" t="str">
        <f t="shared" si="54"/>
        <v>UNKNOWN</v>
      </c>
      <c r="DO37" s="63" t="str">
        <f t="shared" si="55"/>
        <v>UNKNOWN</v>
      </c>
      <c r="DP37" s="3">
        <f t="shared" si="56"/>
        <v>0</v>
      </c>
      <c r="DQ37" s="3">
        <f t="shared" si="57"/>
        <v>0</v>
      </c>
      <c r="DR37" s="3">
        <f t="shared" ca="1" si="58"/>
        <v>0</v>
      </c>
      <c r="DS37" s="3">
        <f t="shared" si="59"/>
        <v>0</v>
      </c>
      <c r="DT37" s="3">
        <f t="shared" si="60"/>
        <v>0</v>
      </c>
      <c r="DU37" s="3">
        <f t="shared" si="61"/>
        <v>0</v>
      </c>
      <c r="DV37" s="3">
        <f t="shared" si="62"/>
        <v>64</v>
      </c>
      <c r="DW37" s="3">
        <f t="shared" si="23"/>
        <v>399</v>
      </c>
      <c r="DX37" s="3">
        <f t="shared" ca="1" si="24"/>
        <v>6.2511286380129552E-41</v>
      </c>
      <c r="DY37" s="3">
        <f t="shared" ca="1" si="25"/>
        <v>-6.0921998913344658E-3</v>
      </c>
      <c r="DZ37" s="3">
        <f t="shared" ca="1" si="26"/>
        <v>7.8617002972038372E-3</v>
      </c>
      <c r="EA37" s="3">
        <f t="shared" ca="1" si="27"/>
        <v>-8.1281153351120457E-3</v>
      </c>
      <c r="EB37" s="3">
        <f t="shared" ca="1" si="28"/>
        <v>5.7439909741990956E-3</v>
      </c>
      <c r="EC37" s="3">
        <f t="shared" ca="1" si="29"/>
        <v>-5.7182496025890367E-3</v>
      </c>
      <c r="ED37" s="63">
        <f t="shared" si="63"/>
        <v>463</v>
      </c>
      <c r="EE37" s="59">
        <f t="shared" si="64"/>
        <v>0.25</v>
      </c>
      <c r="EF37" s="59">
        <f t="shared" si="30"/>
        <v>1.9351</v>
      </c>
      <c r="EG37" s="59">
        <f t="shared" si="31"/>
        <v>0.23499999999999999</v>
      </c>
      <c r="EH37" s="59">
        <f t="shared" si="32"/>
        <v>0.24229999999999999</v>
      </c>
      <c r="EI37" s="59">
        <f t="shared" si="33"/>
        <v>0.1938</v>
      </c>
      <c r="EJ37" s="59">
        <f t="shared" si="34"/>
        <v>0.19339999999999999</v>
      </c>
      <c r="EK37" s="63">
        <f t="shared" ca="1" si="65"/>
        <v>-826056.31096820359</v>
      </c>
      <c r="EL37" s="3" t="str">
        <f>RTD("tos.rtd",,EL$2,"."&amp;$A$2&amp;$AS$1&amp;"C"&amp;$A37)</f>
        <v>--</v>
      </c>
      <c r="EM37" s="3" t="str">
        <f>RTD("tos.rtd",,EM$2,"."&amp;$A$2&amp;$AS$1&amp;"P"&amp;$A37)</f>
        <v>193.51%</v>
      </c>
      <c r="EN37" s="3" t="str">
        <f>RTD("tos.rtd",,EN$2,"."&amp;$A$2&amp;$AU$1&amp;"C"&amp;$A37)</f>
        <v>23.50%</v>
      </c>
      <c r="EO37" s="3" t="str">
        <f>RTD("tos.rtd",,EO$2,"."&amp;$A$2&amp;$AU$1&amp;"P"&amp;$A37)</f>
        <v>24.23%</v>
      </c>
      <c r="EP37" s="3" t="str">
        <f>RTD("tos.rtd",,EP$2,"."&amp;$A$2&amp;$AW$1&amp;"C"&amp;$A37)</f>
        <v>19.38%</v>
      </c>
      <c r="EQ37" s="3" t="str">
        <f>RTD("tos.rtd",,EQ$2,"."&amp;$A$2&amp;$AW$1&amp;"P"&amp;$A37)</f>
        <v>19.34%</v>
      </c>
      <c r="ES37" s="63" t="str">
        <f t="shared" si="66"/>
        <v>559,463.00</v>
      </c>
      <c r="ET37" s="63" t="str">
        <f t="shared" ca="1" si="67"/>
        <v>559,-13591.11</v>
      </c>
      <c r="EU37" s="67">
        <v>564.79999999999995</v>
      </c>
      <c r="EV37" s="67" t="s">
        <v>315</v>
      </c>
      <c r="EW37" s="67">
        <v>487.92</v>
      </c>
      <c r="EX37" s="67" t="s">
        <v>316</v>
      </c>
      <c r="EY37" s="67">
        <v>5659.91</v>
      </c>
      <c r="EZ37" s="67" t="s">
        <v>317</v>
      </c>
      <c r="FA37" s="67">
        <v>20061.449000000001</v>
      </c>
      <c r="FB37" s="67" t="s">
        <v>318</v>
      </c>
      <c r="FC37" s="67" t="s">
        <v>319</v>
      </c>
      <c r="FD37" s="67" t="s">
        <v>320</v>
      </c>
      <c r="FE37" s="67" t="s">
        <v>321</v>
      </c>
      <c r="FF37" s="67" t="s">
        <v>322</v>
      </c>
    </row>
    <row r="38" spans="1:162" s="63" customFormat="1" ht="13.5" thickBot="1" x14ac:dyDescent="0.25">
      <c r="A38" s="2">
        <f t="shared" si="68"/>
        <v>558</v>
      </c>
      <c r="B38" s="35">
        <f t="shared" si="9"/>
        <v>4336</v>
      </c>
      <c r="C38" s="35">
        <f t="shared" si="10"/>
        <v>15911</v>
      </c>
      <c r="D38" s="35">
        <f t="shared" si="11"/>
        <v>2009</v>
      </c>
      <c r="E38" s="35">
        <f t="shared" si="12"/>
        <v>22256</v>
      </c>
      <c r="F38" s="11">
        <f t="shared" si="13"/>
        <v>5614.6985161677667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>
        <v>43</v>
      </c>
      <c r="AN38" s="1">
        <v>1761</v>
      </c>
      <c r="AO38" s="1">
        <v>558</v>
      </c>
      <c r="AP38" s="1">
        <v>158</v>
      </c>
      <c r="AQ38" s="1">
        <v>-5945</v>
      </c>
      <c r="AR38" s="1"/>
      <c r="AS38" s="15">
        <f>IF(RTD("tos.rtd",,AS$2,"."&amp;$A$2&amp;$AS$1&amp;"C"&amp;$A38)="N/A",0,RTD("tos.rtd",,AS$2,"."&amp;$A$2&amp;$AS$1&amp;"C"&amp;$A38))</f>
        <v>748</v>
      </c>
      <c r="AT38" s="36">
        <f>-IF(RTD("tos.rtd",,AT$2,"."&amp;$A$2&amp;$AS$1&amp;"P"&amp;$A38)="N/A",0,RTD("tos.rtd",,AT$2,"."&amp;$A$2&amp;$AS$1&amp;"P"&amp;$A38))</f>
        <v>-3588</v>
      </c>
      <c r="AU38" s="15">
        <f>IF(RTD("tos.rtd",,AU$2,"."&amp;$A$2&amp;$AU$1&amp;"C"&amp;$A38)="N/A",0,RTD("tos.rtd",,AU$2,"."&amp;$A$2&amp;$AU$1&amp;"C"&amp;$A38))</f>
        <v>11356</v>
      </c>
      <c r="AV38" s="36">
        <f>-IF(RTD("tos.rtd",,AV$2,"."&amp;$A$2&amp;$AU$1&amp;"P"&amp;$A38)="N/A",0,RTD("tos.rtd",,AV$2,"."&amp;$A$2&amp;$AU$1&amp;"P"&amp;$A38))</f>
        <v>-4555</v>
      </c>
      <c r="AW38" s="15">
        <f>IF(RTD("tos.rtd",,AW$2,"."&amp;$A$2&amp;$AW$1&amp;"C"&amp;$A38)="N/A",0,RTD("tos.rtd",,AW$2,"."&amp;$A$2&amp;$AW$1&amp;"C"&amp;$A38))</f>
        <v>201</v>
      </c>
      <c r="AX38" s="36">
        <f>-IF(RTD("tos.rtd",,AX$2,"."&amp;$A$2&amp;$AW$1&amp;"P"&amp;$A38)="N/A",0,RTD("tos.rtd",,AX$2,"."&amp;$A$2&amp;$AW$1&amp;"P"&amp;$A38))</f>
        <v>-1808</v>
      </c>
      <c r="AY38" s="1">
        <f t="shared" si="69"/>
        <v>2354</v>
      </c>
      <c r="AZ38" s="8">
        <f t="shared" si="35"/>
        <v>558</v>
      </c>
      <c r="BA38" s="15">
        <f>IF(RTD("tos.rtd",,BA$2,"."&amp;$A$2&amp;$AS$1&amp;"C"&amp;$A38)="N/A",0,RTD("tos.rtd",,BA$2,"."&amp;$A$2&amp;$AS$1&amp;"C"&amp;$A38))</f>
        <v>158</v>
      </c>
      <c r="BB38" s="36">
        <f>-IF(RTD("tos.rtd",,BB$2,"."&amp;$A$2&amp;$AS$1&amp;"P"&amp;$A38)="N/A",0,RTD("tos.rtd",,BB$2,"."&amp;$A$2&amp;$AS$1&amp;"P"&amp;$A38))</f>
        <v>-5945</v>
      </c>
      <c r="BC38" s="15">
        <f>IF(RTD("tos.rtd",,BC$2,"."&amp;$A$2&amp;$AU$1&amp;"C"&amp;$A38)="N/A",0,RTD("tos.rtd",,BC$2,"."&amp;$A$2&amp;$AU$1&amp;"C"&amp;$A38))</f>
        <v>982</v>
      </c>
      <c r="BD38" s="36">
        <f>-IF(RTD("tos.rtd",,BD$2,"."&amp;$A$2&amp;$AU$1&amp;"P"&amp;$A38)="N/A",0,RTD("tos.rtd",,BD$2,"."&amp;$A$2&amp;$AU$1&amp;"P"&amp;$A38))</f>
        <v>-1574</v>
      </c>
      <c r="BE38" s="15">
        <f>IF(RTD("tos.rtd",,BE$2,"."&amp;$A$2&amp;$AW$1&amp;"C"&amp;$A38)="N/A",0,RTD("tos.rtd",,BE$2,"."&amp;$A$2&amp;$AW$1&amp;"C"&amp;$A38))</f>
        <v>34</v>
      </c>
      <c r="BF38" s="16">
        <f>-IF(RTD("tos.rtd",,BF$2,"."&amp;$A$2&amp;$AW$1&amp;"P"&amp;$A38)="N/A",0,RTD("tos.rtd",,BF$2,"."&amp;$A$2&amp;$AW$1&amp;"P"&amp;$A38))</f>
        <v>-1636</v>
      </c>
      <c r="BG38" s="32">
        <f ca="1">+Hoja2!Y39</f>
        <v>-1719</v>
      </c>
      <c r="BH38" s="36">
        <f t="shared" ca="1" si="36"/>
        <v>-9700</v>
      </c>
      <c r="BI38" s="8" t="str">
        <f t="shared" ref="BI38" ca="1" si="202">IF(AND(BH38&lt;0,BH37&gt;0), "Cruce -", IF(AND(BH38&gt;0,BH37&lt;0),"Cruce +", ""))</f>
        <v/>
      </c>
      <c r="BJ38" s="3">
        <f ca="1">IF($BP$1=1,DX38,IF(RTD("tos.rtd",,BJ$2,"."&amp;$A$2&amp;$AS$1&amp;"C"&amp;$A38)="N/A",0,RTD("tos.rtd",,BJ$2,"."&amp;$A$2&amp;$AS$1&amp;"C"&amp;$A38)))</f>
        <v>9.1550745922326354E-3</v>
      </c>
      <c r="BK38" s="3">
        <f ca="1">IF($BP$1=1,DY38,-IF(RTD("tos.rtd",,BK$2,"."&amp;$A$2&amp;$AS$1&amp;"P"&amp;$A38)="N/A",0,RTD("tos.rtd",,BK$2,"."&amp;$A$2&amp;$AS$1&amp;"P"&amp;$A38)))</f>
        <v>-5.7927395535342686E-3</v>
      </c>
      <c r="BL38" s="3">
        <f ca="1">IF($BP$1=1,DZ38,IF(RTD("tos.rtd",,BL$2,"."&amp;$A$2&amp;$AU$1&amp;"C"&amp;$A38)="N/A",0,RTD("tos.rtd",,BL$2,"."&amp;$A$2&amp;$AU$1&amp;"C"&amp;$A38)))</f>
        <v>7.292640109352465E-3</v>
      </c>
      <c r="BM38" s="3">
        <f ca="1">IF($BP$1=1,EA38,-IF(RTD("tos.rtd",,BM$2,"."&amp;$A$2&amp;$AU$1&amp;"P"&amp;$A38)="N/A",0,RTD("tos.rtd",,BM$2,"."&amp;$A$2&amp;$AU$1&amp;"P"&amp;$A38)))</f>
        <v>-7.5490972701647762E-3</v>
      </c>
      <c r="BN38" s="3">
        <f ca="1">IF($BP$1=1,EB38,IF(RTD("tos.rtd",,BN$2,"."&amp;$A$2&amp;$AW$1&amp;"C"&amp;$A38)="N/A",0,RTD("tos.rtd",,BN$2,"."&amp;$A$2&amp;$AW$1&amp;"C"&amp;$A38)))</f>
        <v>5.0971677047118441E-3</v>
      </c>
      <c r="BO38" s="3">
        <f ca="1">IF($BP$1=1,EC38,-IF(RTD("tos.rtd",,BO$2,"."&amp;$A$2&amp;$AW$1&amp;"P"&amp;$A38)="N/A",0,RTD("tos.rtd",,BO$2,"."&amp;$A$2&amp;$AW$1&amp;"P"&amp;$A38)))</f>
        <v>-5.0721662984320754E-3</v>
      </c>
      <c r="BQ38" s="3">
        <f t="shared" ca="1" si="37"/>
        <v>-4736000.8760064868</v>
      </c>
      <c r="BR38" s="3" t="str">
        <f t="shared" ca="1" si="71"/>
        <v/>
      </c>
      <c r="BS38" s="3">
        <f t="shared" ca="1" si="38"/>
        <v>16457689.302828118</v>
      </c>
      <c r="BT38" s="3" t="str">
        <f t="shared" ca="1" si="71"/>
        <v/>
      </c>
      <c r="BU38" s="3">
        <f t="shared" ca="1" si="39"/>
        <v>-2768242.5377461785</v>
      </c>
      <c r="BV38" s="3" t="str">
        <f t="shared" ref="BV38" ca="1" si="203">IF(AND(BU38&lt;0,BU37&gt;0), "Cruce -", IF(AND(BU38&gt;0,BU37&lt;0),"Cruce +", ""))</f>
        <v/>
      </c>
      <c r="BX38" s="3">
        <f t="shared" ca="1" si="40"/>
        <v>-11211468.50195059</v>
      </c>
      <c r="BY38" s="3" t="str">
        <f t="shared" ca="1" si="73"/>
        <v/>
      </c>
      <c r="BZ38" s="3">
        <f t="shared" ca="1" si="41"/>
        <v>-1604308.9777199132</v>
      </c>
      <c r="CA38" s="3" t="str">
        <f t="shared" ca="1" si="74"/>
        <v/>
      </c>
      <c r="CB38" s="3">
        <f t="shared" ca="1" si="42"/>
        <v>-2761043.0215559569</v>
      </c>
      <c r="CC38" s="3" t="str">
        <f t="shared" ca="1" si="75"/>
        <v/>
      </c>
      <c r="CD38" s="3">
        <f>IF(RTD("tos.rtd",,CD$2,"."&amp;$A$2&amp;$AS$1&amp;"C"&amp;$A38)="N/A",0,RTD("tos.rtd",,CD$2,"."&amp;$A$2&amp;$AS$1&amp;"C"&amp;$A38))</f>
        <v>0.97</v>
      </c>
      <c r="CE38" s="3">
        <f>-IF(RTD("tos.rtd",,CE$2,"."&amp;$A$2&amp;$AS$1&amp;"P"&amp;$A38)="N/A",0,RTD("tos.rtd",,CE$2,"."&amp;$A$2&amp;$AS$1&amp;"P"&amp;$A38))</f>
        <v>0</v>
      </c>
      <c r="CF38" s="3">
        <f>IF(RTD("tos.rtd",,CF$2,"."&amp;$A$2&amp;$AU$1&amp;"C"&amp;$A38)="N/A",0,RTD("tos.rtd",,CF$2,"."&amp;$A$2&amp;$AU$1&amp;"C"&amp;$A38))</f>
        <v>0.96</v>
      </c>
      <c r="CG38" s="3">
        <f>-IF(RTD("tos.rtd",,CG$2,"."&amp;$A$2&amp;$AU$1&amp;"P"&amp;$A38)="N/A",0,RTD("tos.rtd",,CG$2,"."&amp;$A$2&amp;$AU$1&amp;"P"&amp;$A38))</f>
        <v>0.04</v>
      </c>
      <c r="CH38" s="3">
        <f>IF(RTD("tos.rtd",,CH$2,"."&amp;$A$2&amp;$AW$1&amp;"C"&amp;$A38)="N/A",0,RTD("tos.rtd",,CH$2,"."&amp;$A$2&amp;$AW$1&amp;"C"&amp;$A38))</f>
        <v>0.78</v>
      </c>
      <c r="CI38" s="3">
        <f>-IF(RTD("tos.rtd",,CI$2,"."&amp;$A$2&amp;$AW$1&amp;"P"&amp;$A38)="N/A",0,RTD("tos.rtd",,CI$2,"."&amp;$A$2&amp;$AW$1&amp;"P"&amp;$A38))</f>
        <v>0.22</v>
      </c>
      <c r="CK38" s="3">
        <f t="shared" si="17"/>
        <v>72556</v>
      </c>
      <c r="CL38" s="3"/>
      <c r="CM38" s="3">
        <f t="shared" si="18"/>
        <v>1071956</v>
      </c>
      <c r="CN38" s="3"/>
      <c r="CO38" s="3">
        <f t="shared" si="19"/>
        <v>-24098</v>
      </c>
      <c r="CP38" s="3">
        <f t="shared" si="43"/>
        <v>1120414</v>
      </c>
      <c r="CQ38" s="3">
        <f t="shared" si="44"/>
        <v>-5787</v>
      </c>
      <c r="CR38" s="3"/>
      <c r="CS38" s="3">
        <f t="shared" si="20"/>
        <v>-592</v>
      </c>
      <c r="CT38" s="3"/>
      <c r="CU38" s="3">
        <f t="shared" si="21"/>
        <v>-1602</v>
      </c>
      <c r="CV38" s="3">
        <f t="shared" si="45"/>
        <v>-7981</v>
      </c>
      <c r="CW38" s="3">
        <f t="shared" ca="1" si="46"/>
        <v>8953445.8890754525</v>
      </c>
      <c r="CX38" s="85" t="str">
        <f t="shared" ca="1" si="76"/>
        <v>Cruce +</v>
      </c>
      <c r="CY38" s="3">
        <f t="shared" ca="1" si="47"/>
        <v>-15576820.501226459</v>
      </c>
      <c r="CZ38" s="85" t="str">
        <f t="shared" ca="1" si="77"/>
        <v/>
      </c>
      <c r="DA38" s="3">
        <f>IF(RTD("tos.rtd",,DA$2,"."&amp;$A$2&amp;$AS$1&amp;"C"&amp;$A38)="N/A",0,RTD("tos.rtd",,DA$2,"."&amp;$A$2&amp;$AS$1&amp;"C"&amp;$A38))</f>
        <v>25.29</v>
      </c>
      <c r="DB38" s="3">
        <f>IF(RTD("tos.rtd",,DB$2,"."&amp;$A$2&amp;$AS$1&amp;"P"&amp;$A38)="N/A",0,RTD("tos.rtd",,DB$2,"."&amp;$A$2&amp;$AS$1&amp;"P"&amp;$A38))</f>
        <v>0.01</v>
      </c>
      <c r="DC38" s="3">
        <f>IF(RTD("tos.rtd",,DC$2,"."&amp;$A$2&amp;$AS$1&amp;"C"&amp;$A38)="N/A",0,RTD("tos.rtd",,DC$2,"."&amp;$A$2&amp;$AS$1&amp;"C"&amp;$A38))</f>
        <v>25.89</v>
      </c>
      <c r="DD38" s="3">
        <f>IF(RTD("tos.rtd",,DD$2,"."&amp;$A$2&amp;$AS$1&amp;"P"&amp;$A38)="N/A",0,RTD("tos.rtd",,DD$2,"."&amp;$A$2&amp;$AS$1&amp;"P"&amp;$A38))</f>
        <v>0.01</v>
      </c>
      <c r="DE38" s="3">
        <f>IF(RTD("tos.rtd",,DE$2,"."&amp;$A$2&amp;$AS$1&amp;"C"&amp;$A38)="N/A",0,RTD("tos.rtd",,DE$2,"."&amp;$A$2&amp;$AS$1&amp;"C"&amp;$A38))</f>
        <v>24.36</v>
      </c>
      <c r="DF38" s="3">
        <f>IF(RTD("tos.rtd",,DF$2,"."&amp;$A$2&amp;$AS$1&amp;"P"&amp;$A38)="N/A",0,RTD("tos.rtd",,DF$2,"."&amp;$A$2&amp;$AS$1&amp;"P"&amp;$A38))</f>
        <v>0</v>
      </c>
      <c r="DG38" s="86">
        <f t="shared" si="48"/>
        <v>-24.950000000000045</v>
      </c>
      <c r="DH38" s="3">
        <f t="shared" si="22"/>
        <v>0</v>
      </c>
      <c r="DI38" s="3">
        <f t="shared" si="49"/>
        <v>0</v>
      </c>
      <c r="DJ38" s="3">
        <f t="shared" si="50"/>
        <v>0</v>
      </c>
      <c r="DK38" s="3">
        <f t="shared" si="51"/>
        <v>0</v>
      </c>
      <c r="DL38" s="3">
        <f t="shared" si="52"/>
        <v>0</v>
      </c>
      <c r="DM38" s="3">
        <f t="shared" si="53"/>
        <v>0</v>
      </c>
      <c r="DN38" s="63" t="str">
        <f t="shared" si="54"/>
        <v>UNKNOWN</v>
      </c>
      <c r="DO38" s="63" t="str">
        <f t="shared" si="55"/>
        <v>UNKNOWN</v>
      </c>
      <c r="DP38" s="3">
        <f t="shared" si="56"/>
        <v>0</v>
      </c>
      <c r="DQ38" s="3">
        <f t="shared" si="57"/>
        <v>0</v>
      </c>
      <c r="DR38" s="3">
        <f t="shared" ca="1" si="58"/>
        <v>0</v>
      </c>
      <c r="DS38" s="3">
        <f t="shared" si="59"/>
        <v>0</v>
      </c>
      <c r="DT38" s="3">
        <f t="shared" si="60"/>
        <v>0</v>
      </c>
      <c r="DU38" s="3">
        <f t="shared" si="61"/>
        <v>0</v>
      </c>
      <c r="DV38" s="3">
        <f t="shared" si="62"/>
        <v>43</v>
      </c>
      <c r="DW38" s="3">
        <f t="shared" si="23"/>
        <v>1761</v>
      </c>
      <c r="DX38" s="3">
        <f t="shared" ca="1" si="24"/>
        <v>9.1550745922326354E-3</v>
      </c>
      <c r="DY38" s="3">
        <f t="shared" ca="1" si="25"/>
        <v>-5.7927395535342686E-3</v>
      </c>
      <c r="DZ38" s="3">
        <f t="shared" ca="1" si="26"/>
        <v>7.292640109352465E-3</v>
      </c>
      <c r="EA38" s="3">
        <f t="shared" ca="1" si="27"/>
        <v>-7.5490972701647762E-3</v>
      </c>
      <c r="EB38" s="3">
        <f t="shared" ca="1" si="28"/>
        <v>5.0971677047118441E-3</v>
      </c>
      <c r="EC38" s="3">
        <f t="shared" ca="1" si="29"/>
        <v>-5.0721662984320754E-3</v>
      </c>
      <c r="ED38" s="63">
        <f t="shared" si="63"/>
        <v>1804</v>
      </c>
      <c r="EE38" s="59">
        <f t="shared" si="64"/>
        <v>3.1435</v>
      </c>
      <c r="EF38" s="59">
        <f t="shared" si="30"/>
        <v>2.0101</v>
      </c>
      <c r="EG38" s="59">
        <f t="shared" si="31"/>
        <v>0.23830000000000001</v>
      </c>
      <c r="EH38" s="59">
        <f t="shared" si="32"/>
        <v>0.2452</v>
      </c>
      <c r="EI38" s="59">
        <f t="shared" si="33"/>
        <v>0.19520000000000001</v>
      </c>
      <c r="EJ38" s="59">
        <f t="shared" si="34"/>
        <v>0.1948</v>
      </c>
      <c r="EK38" s="63">
        <f t="shared" ca="1" si="65"/>
        <v>-3332837.3305604625</v>
      </c>
      <c r="EL38" s="3" t="str">
        <f>RTD("tos.rtd",,EL$2,"."&amp;$A$2&amp;$AS$1&amp;"C"&amp;$A38)</f>
        <v>314.35%</v>
      </c>
      <c r="EM38" s="3" t="str">
        <f>RTD("tos.rtd",,EM$2,"."&amp;$A$2&amp;$AS$1&amp;"P"&amp;$A38)</f>
        <v>201.01%</v>
      </c>
      <c r="EN38" s="3" t="str">
        <f>RTD("tos.rtd",,EN$2,"."&amp;$A$2&amp;$AU$1&amp;"C"&amp;$A38)</f>
        <v>23.83%</v>
      </c>
      <c r="EO38" s="3" t="str">
        <f>RTD("tos.rtd",,EO$2,"."&amp;$A$2&amp;$AU$1&amp;"P"&amp;$A38)</f>
        <v>24.52%</v>
      </c>
      <c r="EP38" s="3" t="str">
        <f>RTD("tos.rtd",,EP$2,"."&amp;$A$2&amp;$AW$1&amp;"C"&amp;$A38)</f>
        <v>19.52%</v>
      </c>
      <c r="EQ38" s="3" t="str">
        <f>RTD("tos.rtd",,EQ$2,"."&amp;$A$2&amp;$AW$1&amp;"P"&amp;$A38)</f>
        <v>19.48%</v>
      </c>
      <c r="ES38" s="63" t="str">
        <f t="shared" si="66"/>
        <v>558,1804.00</v>
      </c>
      <c r="ET38" s="63" t="str">
        <f t="shared" ca="1" si="67"/>
        <v>558,-15576.82</v>
      </c>
      <c r="EU38" s="67">
        <v>564.79999999999995</v>
      </c>
      <c r="EV38" s="67" t="s">
        <v>323</v>
      </c>
      <c r="EW38" s="67">
        <v>487.92</v>
      </c>
      <c r="EX38" s="67" t="s">
        <v>324</v>
      </c>
      <c r="EY38" s="67">
        <v>5659.91</v>
      </c>
      <c r="EZ38" s="67" t="s">
        <v>325</v>
      </c>
      <c r="FA38" s="67">
        <v>20061.449000000001</v>
      </c>
      <c r="FB38" s="67" t="s">
        <v>326</v>
      </c>
      <c r="FC38" s="67" t="s">
        <v>327</v>
      </c>
      <c r="FD38" s="67" t="s">
        <v>328</v>
      </c>
      <c r="FE38" s="67" t="s">
        <v>329</v>
      </c>
      <c r="FF38" s="67" t="s">
        <v>330</v>
      </c>
    </row>
    <row r="39" spans="1:162" ht="14.25" customHeight="1" x14ac:dyDescent="0.2">
      <c r="A39" s="37">
        <v>1</v>
      </c>
      <c r="B39" s="38"/>
      <c r="C39" s="39"/>
      <c r="D39" s="40"/>
      <c r="E39" s="40"/>
      <c r="F39" s="40"/>
      <c r="G39" s="41"/>
      <c r="AP39" s="1" t="s">
        <v>17</v>
      </c>
      <c r="AQ39" s="1" t="s">
        <v>18</v>
      </c>
      <c r="AS39" s="25" t="s">
        <v>17</v>
      </c>
      <c r="AT39" s="25" t="s">
        <v>18</v>
      </c>
      <c r="AU39" s="25" t="s">
        <v>17</v>
      </c>
      <c r="AV39" s="25" t="s">
        <v>18</v>
      </c>
      <c r="AW39" s="25" t="s">
        <v>17</v>
      </c>
      <c r="AX39" s="25" t="s">
        <v>18</v>
      </c>
      <c r="AY39" s="25"/>
      <c r="BA39" s="25" t="s">
        <v>17</v>
      </c>
      <c r="BB39" s="25" t="s">
        <v>18</v>
      </c>
      <c r="BC39" s="25" t="s">
        <v>17</v>
      </c>
      <c r="BD39" s="25" t="s">
        <v>18</v>
      </c>
      <c r="BE39" s="25" t="s">
        <v>17</v>
      </c>
      <c r="BF39" s="25" t="s">
        <v>18</v>
      </c>
      <c r="BG39" s="23"/>
      <c r="BH39" s="25">
        <f ca="1">MIN(BH4:BH38)</f>
        <v>-256130</v>
      </c>
      <c r="BI39" s="1">
        <f ca="1">IFERROR(IF(MIN(BH4:BH38)&lt;&gt;0,INDEX(A4:A38,MATCH(MIN(BH4:BH38),BH4:BH38,0)),""),"")</f>
        <v>578</v>
      </c>
      <c r="BJ39" s="23"/>
      <c r="BK39" s="23"/>
      <c r="BL39" s="23"/>
      <c r="BM39" s="23"/>
      <c r="BN39" s="23"/>
      <c r="BO39" s="23"/>
      <c r="BP39" s="64">
        <f ca="1">INDEX(BQ39:BU39,MATCH(MAX(BQ3:BU3),BQ3:BU3,0))</f>
        <v>580</v>
      </c>
      <c r="BQ39" s="23">
        <f ca="1">IF(AND(BQ3&gt;0,ABS(MAX(BQ4:BQ38))&gt;ABS(MIN(BQ4:BQ38))),IF(MAX(BQ4:BQ38)&lt;&gt;0,INDEX($A4:$A38,MATCH(MAX(BQ4:BQ38),BQ4:BQ38,0)),""),"")</f>
        <v>580</v>
      </c>
      <c r="BR39" s="23"/>
      <c r="BS39" s="23">
        <f ca="1">IF(AND(BS3&gt;0,ABS(MAX(BS4:BS38))&gt;ABS(MIN(BS4:BS38))),IF(MAX(BS4:BS38)&lt;&gt;0,INDEX($A4:$A38,MATCH(MAX(BS4:BS38),BS4:BS38,0)),""),"")</f>
        <v>575</v>
      </c>
      <c r="BT39" s="23"/>
      <c r="BU39" s="23">
        <f ca="1">IF(AND(BU3&gt;0,ABS(MAX(BU4:BU38))&gt;ABS(MIN(BU4:BU38))),IF(MAX(BU4:BU38)&lt;&gt;0,INDEX($A4:$A38,MATCH(MAX(BU4:BU38),BU4:BU38,0)),""),"")</f>
        <v>580</v>
      </c>
      <c r="BV39" s="23"/>
      <c r="BW39" s="64">
        <f ca="1">INDEX(BX39:CB39,MATCH(MAX(BX3:CB3),BX3:CB3,0))</f>
        <v>583</v>
      </c>
      <c r="BX39" s="23">
        <f ca="1">IF(AND(BX3&gt;0,ABS(MAX(BX4:BX38))&gt;ABS(MIN(BX4:BX38))),IF(MAX(BX4:BX38)&lt;&gt;0,INDEX($A4:$A38,MATCH(MAX(BX4:BX38),BX4:BX38,0)),""),"")</f>
        <v>583</v>
      </c>
      <c r="BY39" s="23">
        <f ca="1">INDEX($A$4:$A$38,1+MATCH("Cruce -",BY4:BY38,))</f>
        <v>580</v>
      </c>
      <c r="BZ39" s="23">
        <f ca="1">IF(AND(BZ3&gt;0,ABS(MAX(BZ4:BZ38))&gt;ABS(MIN(BZ4:BZ38))),IF(MAX(BZ4:BZ38)&lt;&gt;0,INDEX($A4:$A38,MATCH(MAX(BZ4:BZ38),BZ4:BZ38,0)),""),"")</f>
        <v>590</v>
      </c>
      <c r="CA39" s="23"/>
      <c r="CB39" s="23">
        <f ca="1">IF(AND(CB3&gt;0,ABS(MAX(CB4:CB38))&gt;ABS(MIN(CB4:CB38))),IF(MAX(CB4:CB38)&lt;&gt;0,INDEX($A4:$A38,MATCH(MAX(CB4:CB38),CB4:CB38,0)),""),"")</f>
        <v>580</v>
      </c>
      <c r="CC39" s="23"/>
      <c r="CD39" s="23"/>
      <c r="CE39" s="23"/>
      <c r="CF39" s="23"/>
      <c r="CG39" s="23"/>
      <c r="CH39" s="23"/>
      <c r="CI39" s="23"/>
      <c r="CJ39" s="64">
        <f>IFERROR(INDEX(CK39:CO39,MATCH(MAX(CK3:CO3),CK3:CO3,0)),"")</f>
        <v>580</v>
      </c>
      <c r="CK39" s="23">
        <f>IF(AND(CK3&gt;0,ABS(MAX(CK4:CK38))&gt;ABS(MIN(CK4:CK38))),IF(MAX(CK4:CK38)&lt;&gt;0,INDEX($A4:$A38,MATCH(MAX(CK4:CK38),CK4:CK38,0)),""),"")</f>
        <v>580</v>
      </c>
      <c r="CL39" s="23"/>
      <c r="CM39" s="23">
        <f>IF(AND(CM3&gt;0,ABS(MAX(CM4:CM38))&gt;ABS(MIN(CM4:CM38))),IF(MAX(CM4:CM38)&lt;&gt;0,INDEX($A4:$A38,MATCH(MAX(CM4:CM38),CM4:CM38,0)),""),"")</f>
        <v>575</v>
      </c>
      <c r="CN39" s="23"/>
      <c r="CO39" s="23">
        <f>IF(AND(CO3&gt;0,ABS(MAX(CO4:CO38))&gt;ABS(MIN(CO4:CO38))),IF(MAX(CO4:CO38)&lt;&gt;0,INDEX($A4:$A38,MATCH(MAX(CO4:CO38),CO4:CO38,0)),""),"")</f>
        <v>580</v>
      </c>
      <c r="CP39" s="23">
        <f>IF(ABS(MAX(CP4:CP38))&gt;ABS(MIN(CP4:CP38)),IF(MAX(CP4:CP38)&lt;&gt;0,INDEX($A4:$A38,MATCH(MAX(CP4:CP38),CP4:CP38,0)),""),"")</f>
        <v>580</v>
      </c>
      <c r="CQ39" s="23"/>
      <c r="CR39" s="23"/>
      <c r="CS39" s="23"/>
      <c r="CT39" s="23"/>
      <c r="CU39" s="23"/>
      <c r="CV39" s="23"/>
      <c r="CW39" s="23">
        <f ca="1">IF(AND(CW3&gt;0,ABS(MAX(CW4:CW38))&gt;ABS(MIN(CW4:CW38))),IF(MAX(CW4:CW38)&lt;&gt;0,INDEX($A4:$A38,MATCH(MAX(CW4:CW38),CW4:CW38,0)),""),"")</f>
        <v>580</v>
      </c>
      <c r="CY39" s="23">
        <f ca="1">IF(AND(CY3&gt;0,ABS(MAX(CY4:CY38))&gt;ABS(MIN(CY4:CY38))),IF(MAX(CY4:CY38)&lt;&gt;0,INDEX($A4:$A38,MATCH(MAX(CY4:CY38),CY4:CY38,0)),""),"")</f>
        <v>583</v>
      </c>
      <c r="DA39" s="23" t="s">
        <v>17</v>
      </c>
      <c r="DB39" s="23" t="s">
        <v>18</v>
      </c>
      <c r="DC39" s="23" t="s">
        <v>17</v>
      </c>
      <c r="DD39" s="23" t="s">
        <v>18</v>
      </c>
      <c r="DE39" s="23" t="s">
        <v>17</v>
      </c>
      <c r="DF39" s="23" t="s">
        <v>18</v>
      </c>
      <c r="DG39" s="71" t="s">
        <v>24</v>
      </c>
      <c r="DH39" s="23">
        <f t="shared" ref="DH39:DM39" si="204">IF(AND(DH3&gt;0,ABS(MAX(DH4:DH38))&gt;ABS(MIN(DH4:DH38))),IF(MAX(DH4:DH38)&lt;&gt;0,INDEX($A4:$A38,MATCH(MAX(DH4:DH38),DH4:DH38,0)),""),"")</f>
        <v>583</v>
      </c>
      <c r="DI39" s="23" t="str">
        <f t="shared" si="204"/>
        <v/>
      </c>
      <c r="DJ39" s="89" t="str">
        <f>IFERROR(IF(AND(ABS(MAX(DJ4:DJ38))&gt;$DG$2,ABS(INDEX($DG$4:$DG$38,MATCH(MAX(DJ4:DJ38),DJ4:DJ38,0)))&lt;0.5,1),IF(MAX(DJ4:DJ38)&lt;&gt;0,INDEX($A4:$A38,MATCH(MAX(DJ4:DJ38),DJ4:DJ38,0)),""),""),"")</f>
        <v/>
      </c>
      <c r="DK39" s="89" t="str">
        <f>IFERROR(IF(AND(ABS(MAX(DK4:DK38))&gt;$DG$2,ABS(INDEX($DG$4:$DG$38,MATCH(MAX(DK4:DK38),DK4:DK38,0)))&lt;0.5,1),IF(MAX(DK4:DK38)&lt;&gt;0,INDEX($A4:$A38,MATCH(MAX(DK4:DK38),DK4:DK38,0)),""),""),"")</f>
        <v/>
      </c>
      <c r="DL39" s="23" t="str">
        <f t="shared" si="204"/>
        <v/>
      </c>
      <c r="DM39" s="23">
        <f t="shared" si="204"/>
        <v>583</v>
      </c>
      <c r="DN39" s="64" t="str">
        <f>DJ39&amp;","&amp;DJ40&amp;","&amp;DK39&amp;","&amp;DK40</f>
        <v>,,,</v>
      </c>
      <c r="DP39" s="23">
        <f t="shared" ref="DP39:DS39" si="205">IF(AND(DP3&gt;0,ABS(MAX(DP4:DP38))&gt;ABS(MIN(DP4:DP38))),IF(MAX(DP4:DP38)&lt;&gt;0,INDEX($A4:$A38,MATCH(MAX(DP4:DP38),DP4:DP38,0)),""),"")</f>
        <v>580</v>
      </c>
      <c r="DQ39" s="23">
        <f t="shared" si="205"/>
        <v>583</v>
      </c>
      <c r="DR39" s="23">
        <f t="shared" ca="1" si="205"/>
        <v>583</v>
      </c>
      <c r="DS39" s="23">
        <f t="shared" si="205"/>
        <v>583</v>
      </c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103">
        <f>IFERROR(IF(MAX(ED4:ED38)&lt;&gt;0,INDEX($A4:$A38,MATCH(MAX(ED4:ED38),ED4:ED38,0)),""),"")</f>
        <v>576</v>
      </c>
      <c r="EE39" s="23"/>
      <c r="EF39" s="23"/>
      <c r="EG39" s="23"/>
      <c r="EH39" s="23"/>
      <c r="EI39" s="23"/>
      <c r="EJ39" s="23"/>
      <c r="EL39" s="23"/>
      <c r="EM39" s="23"/>
      <c r="EN39" s="23"/>
      <c r="EO39" s="23"/>
      <c r="EP39" s="23"/>
      <c r="EQ39" s="23"/>
      <c r="EU39" s="67">
        <v>564.79999999999995</v>
      </c>
      <c r="EV39" s="67" t="s">
        <v>331</v>
      </c>
      <c r="EW39" s="67">
        <v>487.92</v>
      </c>
      <c r="EX39" s="67" t="s">
        <v>332</v>
      </c>
      <c r="EY39" s="67">
        <v>5659.91</v>
      </c>
      <c r="EZ39" s="67" t="s">
        <v>333</v>
      </c>
      <c r="FA39" s="67">
        <v>20061.449000000001</v>
      </c>
      <c r="FB39" s="67" t="s">
        <v>334</v>
      </c>
      <c r="FC39" s="67" t="s">
        <v>335</v>
      </c>
      <c r="FD39" s="67" t="s">
        <v>336</v>
      </c>
      <c r="FE39" s="68" t="s">
        <v>337</v>
      </c>
      <c r="FF39" s="68" t="s">
        <v>338</v>
      </c>
    </row>
    <row r="40" spans="1:162" x14ac:dyDescent="0.2">
      <c r="A40" s="40"/>
      <c r="B40" s="38"/>
      <c r="C40" s="39"/>
      <c r="D40" s="40"/>
      <c r="E40" s="40"/>
      <c r="F40" s="40"/>
      <c r="G40" s="41"/>
      <c r="BP40" s="64" t="str">
        <f ca="1">INDEX(BQ40:BU40,MATCH(MIN(BQ3:BU3),BQ3:BU3,0))</f>
        <v/>
      </c>
      <c r="BQ40" s="1" t="str">
        <f ca="1">IF(AND(BQ3&lt;0,ABS(MIN(BQ4:BQ38))&gt;ABS(MAX(BQ4:BQ38))),IF(MIN(BQ4:BQ38)&lt;&gt;0,INDEX($A4:$A38,MATCH(MIN(BQ4:BQ38),BQ4:BQ38,0)),""),"")</f>
        <v/>
      </c>
      <c r="BS40" s="1" t="str">
        <f ca="1">IF(AND(BS3&lt;0,ABS(MIN(BS4:BS38))&gt;ABS(MAX(BS4:BS38))),IF(MIN(BS4:BS38)&lt;&gt;0,INDEX($A4:$A38,MATCH(MIN(BS4:BS38),BS4:BS38,0)),""),"")</f>
        <v/>
      </c>
      <c r="BU40" s="1" t="str">
        <f ca="1">IF(AND(BU3&lt;0,ABS(MIN(BU4:BU38))&gt;ABS(MAX(BU4:BU38))),IF(MIN(BU4:BU38)&lt;&gt;0,INDEX($A4:$A38,MATCH(MIN(BU4:BU38),BU4:BU38,0)),""),"")</f>
        <v/>
      </c>
      <c r="BW40" s="64" t="str">
        <f ca="1">INDEX(BX40:CB40,MATCH(MIN(BX3:CB3),BX3:CB3,0))</f>
        <v/>
      </c>
      <c r="BX40" s="1" t="str">
        <f ca="1">IF(AND(BX3&lt;0,ABS(MIN(BX4:BX38))&gt;ABS(MAX(BX4:BX38))),IF(MIN(BX4:BX38)&lt;&gt;0,INDEX($A4:$A38,MATCH(MIN(BX4:BX38),BX4:BX38,0)),""),"")</f>
        <v/>
      </c>
      <c r="BY40" s="1">
        <f ca="1">INDEX($A$4:$A$38,1+MATCH("Cruce -",BY4:BY38,)-1)</f>
        <v>581</v>
      </c>
      <c r="BZ40" s="1" t="str">
        <f ca="1">IF(AND(BZ3&lt;0,ABS(MIN(BZ4:BZ38))&gt;ABS(MAX(BZ4:BZ38))),IF(MIN(BZ4:BZ38)&lt;&gt;0,INDEX($A4:$A38,MATCH(MIN(BZ4:BZ38),BZ4:BZ38,0)),""),"")</f>
        <v/>
      </c>
      <c r="CB40" s="1" t="str">
        <f ca="1">IF(AND(CB3&lt;0,ABS(MIN(CB4:CB38))&gt;ABS(MAX(CB4:CB38))),IF(MIN(CB4:CB38)&lt;&gt;0,INDEX($A4:$A38,MATCH(MIN(CB4:CB38),CB4:CB38,0)),""),"")</f>
        <v/>
      </c>
      <c r="CJ40" s="64" t="str">
        <f>IFERROR(INDEX(CK40:CO40,MATCH(MIN(CK3:CO3),CK3:CO3,0)),"")</f>
        <v/>
      </c>
      <c r="CK40" s="1" t="str">
        <f>IF(AND(CK3&lt;0,ABS(MIN(CK4:CK38))&gt;ABS(MAX(CK4:CK38))),IF(MIN(CK4:CK38)&lt;&gt;0,INDEX($A4:$A38,MATCH(MIN(CK4:CK38),CK4:CK38,0)),""),"")</f>
        <v/>
      </c>
      <c r="CM40" s="1" t="str">
        <f>IF(AND(CM3&lt;0,ABS(MIN(CM4:CM38))&gt;ABS(MAX(CM4:CM38))),IF(MIN(CM4:CM38)&lt;&gt;0,INDEX($A4:$A38,MATCH(MIN(CM4:CM38),CM4:CM38,0)),""),"")</f>
        <v/>
      </c>
      <c r="CO40" s="1" t="str">
        <f>IF(AND(CO3&lt;0,ABS(MIN(CO4:CO38))&gt;ABS(MAX(CO4:CO38))),IF(MIN(CO4:CO38)&lt;&gt;0,INDEX($A4:$A38,MATCH(MIN(CO4:CO38),CO4:CO38,0)),""),"")</f>
        <v/>
      </c>
      <c r="CP40" s="1" t="str">
        <f>IF(ABS(MIN(CP4:CP38))&gt;ABS(MAX(CP4:CP38)),IF(MIN(CP4:CP38)&lt;&gt;0,INDEX($A4:$A38,MATCH(MIN(CP4:CP38),CP4:CP38,0)),""),"")</f>
        <v/>
      </c>
      <c r="CW40" s="1" t="str">
        <f ca="1">IF(AND(CW3&lt;0,ABS(MIN(CW4:CW38))&gt;ABS(MAX(CW4:CW38))),IF(MIN(CW4:CW38)&lt;&gt;0,INDEX($A4:$A38,MATCH(MIN(CW4:CW38),CW4:CW38,0)),""),"")</f>
        <v/>
      </c>
      <c r="CY40" s="1" t="str">
        <f ca="1">IF(AND(CY3&lt;0,ABS(MIN(CY4:CY38))&gt;ABS(MAX(CY4:CY38))),IF(MIN(CY4:CY38)&lt;&gt;0,INDEX($A4:$A38,MATCH(MIN(CY4:CY38),CY4:CY38,0)),""),"")</f>
        <v/>
      </c>
      <c r="DG40" s="72" t="s">
        <v>23</v>
      </c>
      <c r="DH40" s="23" t="str">
        <f t="shared" ref="DH40:DM40" si="206">IF(AND(DH3&lt;0,ABS(MIN(DH4:DH38))&gt;ABS(MAX(DH4:DH38))),IF(MIN(DH4:DH38)&lt;&gt;0,INDEX($A4:$A38,MATCH(MIN(DH4:DH38),DH4:DH38,0)),""),"")</f>
        <v/>
      </c>
      <c r="DI40" s="23">
        <f t="shared" si="206"/>
        <v>577</v>
      </c>
      <c r="DJ40" s="89" t="str">
        <f>IFERROR(IF(AND(ABS(MIN(DJ4:DJ38))&gt;$DG$2,ABS(INDEX($DG$4:$DG$38,MATCH(MIN(DJ4:DJ38),DJ4:DJ38,0)))&lt;0.5,1),IF(MIN(DJ4:DJ38)&lt;&gt;0,INDEX($A4:$A38,MATCH(MIN(DJ4:DJ38),DJ4:DJ38,0)),""),""),"")</f>
        <v/>
      </c>
      <c r="DK40" s="89" t="str">
        <f>IFERROR(IF(AND(ABS(MIN(DK4:DK38))&gt;$DG$2,ABS(INDEX($DG$4:$DG$38,MATCH(MIN(DK4:DK38),DK4:DK38,0)))&lt;0.5,1),IF(MIN(DK4:DK38)&lt;&gt;0,INDEX($A4:$A38,MATCH(MIN(DK4:DK38),DK4:DK38,0)),""),""),"")</f>
        <v/>
      </c>
      <c r="DL40" s="23">
        <f t="shared" si="206"/>
        <v>577</v>
      </c>
      <c r="DM40" s="23" t="str">
        <f t="shared" si="206"/>
        <v/>
      </c>
      <c r="DN40" s="64" t="str">
        <f ca="1">BI1&amp;","&amp;BI39&amp;","&amp;ED39&amp;","&amp;ED40</f>
        <v>585,578,576,581</v>
      </c>
      <c r="DP40" s="23" t="str">
        <f t="shared" ref="DP40:DS40" si="207">IF(AND(DP3&lt;0,ABS(MIN(DP4:DP38))&gt;ABS(MAX(DP4:DP38))),IF(MIN(DP4:DP38)&lt;&gt;0,INDEX($A4:$A38,MATCH(MIN(DP4:DP38),DP4:DP38,0)),""),"")</f>
        <v/>
      </c>
      <c r="DQ40" s="23" t="str">
        <f t="shared" si="207"/>
        <v/>
      </c>
      <c r="DR40" s="23" t="str">
        <f t="shared" ca="1" si="207"/>
        <v/>
      </c>
      <c r="DS40" s="23" t="str">
        <f t="shared" si="207"/>
        <v/>
      </c>
      <c r="ED40" s="103">
        <f>IFERROR(IF(MIN(ED4:ED38)&lt;&gt;0,INDEX($A4:$A38,MATCH(MIN(ED4:ED38),ED4:ED38,0)),""),"")</f>
        <v>581</v>
      </c>
      <c r="EU40" s="67">
        <v>564.79999999999995</v>
      </c>
      <c r="EV40" s="67" t="s">
        <v>339</v>
      </c>
      <c r="EW40" s="67">
        <v>487.92</v>
      </c>
      <c r="EX40" s="67" t="s">
        <v>340</v>
      </c>
      <c r="EY40" s="67">
        <v>5659.91</v>
      </c>
      <c r="EZ40" s="67" t="s">
        <v>341</v>
      </c>
      <c r="FA40" s="67">
        <v>20061.449000000001</v>
      </c>
      <c r="FB40" s="67" t="s">
        <v>342</v>
      </c>
      <c r="FC40" s="67" t="s">
        <v>343</v>
      </c>
      <c r="FD40" s="67" t="s">
        <v>344</v>
      </c>
      <c r="FE40" s="68" t="s">
        <v>345</v>
      </c>
      <c r="FF40" s="68" t="s">
        <v>346</v>
      </c>
    </row>
    <row r="41" spans="1:162" ht="13.5" thickBot="1" x14ac:dyDescent="0.25">
      <c r="A41" s="40"/>
      <c r="C41" s="39"/>
      <c r="D41" s="40"/>
      <c r="E41" s="40"/>
      <c r="F41" s="40"/>
      <c r="G41" s="41"/>
      <c r="EU41" s="67">
        <v>564.79999999999995</v>
      </c>
      <c r="EV41" s="67" t="s">
        <v>347</v>
      </c>
      <c r="EW41" s="67">
        <v>487.92</v>
      </c>
      <c r="EX41" s="67" t="s">
        <v>348</v>
      </c>
      <c r="EY41" s="67">
        <v>5659.91</v>
      </c>
      <c r="EZ41" s="67" t="s">
        <v>349</v>
      </c>
      <c r="FA41" s="67">
        <v>20061.449000000001</v>
      </c>
      <c r="FB41" s="67" t="s">
        <v>350</v>
      </c>
      <c r="FC41" s="67" t="s">
        <v>351</v>
      </c>
      <c r="FD41" s="67" t="s">
        <v>352</v>
      </c>
      <c r="FE41" s="68" t="s">
        <v>353</v>
      </c>
      <c r="FF41" s="68" t="s">
        <v>354</v>
      </c>
    </row>
    <row r="42" spans="1:162" ht="13.5" thickBot="1" x14ac:dyDescent="0.25">
      <c r="A42" s="40"/>
      <c r="B42" s="43">
        <v>45789</v>
      </c>
      <c r="C42" s="44">
        <v>45793</v>
      </c>
      <c r="D42" s="44">
        <v>45828</v>
      </c>
      <c r="E42" s="40"/>
      <c r="F42" s="40">
        <f>+[2]Sheet1!$AD$2</f>
        <v>469.81373794456613</v>
      </c>
      <c r="G42" s="41"/>
      <c r="AP42" s="1">
        <v>250512</v>
      </c>
      <c r="AQ42" s="1">
        <v>0</v>
      </c>
      <c r="AS42" s="22" t="str">
        <f>+B43</f>
        <v>250512</v>
      </c>
      <c r="AT42" s="22"/>
      <c r="AU42" s="22" t="str">
        <f>+C43</f>
        <v>250516</v>
      </c>
      <c r="AV42" s="22"/>
      <c r="AW42" s="22" t="str">
        <f>+D43</f>
        <v>250620</v>
      </c>
      <c r="AX42" s="22"/>
      <c r="BA42" s="22" t="str">
        <f>+AS42</f>
        <v>250512</v>
      </c>
      <c r="BB42" s="22">
        <f t="shared" ref="BB42" si="208">+AT42</f>
        <v>0</v>
      </c>
      <c r="BC42" s="22" t="str">
        <f t="shared" ref="BC42" si="209">+AU42</f>
        <v>250516</v>
      </c>
      <c r="BD42" s="22">
        <f t="shared" ref="BD42" si="210">+AV42</f>
        <v>0</v>
      </c>
      <c r="BE42" s="22" t="str">
        <f t="shared" ref="BE42" si="211">+AW42</f>
        <v>250620</v>
      </c>
      <c r="BF42" s="22">
        <f t="shared" ref="BF42" si="212">+AX42</f>
        <v>0</v>
      </c>
      <c r="BG42" s="96"/>
      <c r="BH42" s="1">
        <f ca="1">MAX(BH45:BH79)</f>
        <v>118941</v>
      </c>
      <c r="BI42" s="1">
        <f ca="1">IFERROR(IF(MAX(BH45:BH79)&lt;&gt;0,INDEX(A45:A79,MATCH(MAX(BH45:BH79),BH45:BH79,0)),""),"")</f>
        <v>508</v>
      </c>
      <c r="BJ42" s="22" t="str">
        <f>+AS42</f>
        <v>250512</v>
      </c>
      <c r="BK42" s="22">
        <f t="shared" ref="BK42" si="213">+AT42</f>
        <v>0</v>
      </c>
      <c r="BL42" s="22" t="str">
        <f t="shared" ref="BL42" si="214">+AU42</f>
        <v>250516</v>
      </c>
      <c r="BM42" s="22">
        <f t="shared" ref="BM42" si="215">+AV42</f>
        <v>0</v>
      </c>
      <c r="BN42" s="22" t="str">
        <f t="shared" ref="BN42" si="216">+AW42</f>
        <v>250620</v>
      </c>
      <c r="BO42" s="22">
        <f t="shared" ref="BO42" si="217">+AX42</f>
        <v>0</v>
      </c>
      <c r="BQ42" s="22">
        <f ca="1">IF(BR42&gt;BR43,IF(MAX(BQ45:BQ79)&lt;&gt;0,INDEX(A45:A79,MATCH(MAX(BQ45:BQ79),BQ45:BQ79,0)),A44),IF(MIN(BQ45:BQ79)&lt;&gt;0,INDEX(A45:A79,MATCH(MIN(BQ45:BQ79),BQ45:BQ79,0))))</f>
        <v>510</v>
      </c>
      <c r="BR42" s="22">
        <f ca="1">+MAX(BQ45:BQ79)</f>
        <v>60850462.094527125</v>
      </c>
      <c r="BS42" s="22">
        <f ca="1">IF(BT42&gt;BT43,IF(MAX(BS45:BS79)&lt;&gt;0,INDEX(A45:A79,MATCH(MAX(BS45:BS79),BS45:BS79,0)),A44),IF(MIN(BS45:BS79)&lt;&gt;0,INDEX(A45:A79,MATCH(MIN(BS45:BS79),BS45:BS79,0))))</f>
        <v>500</v>
      </c>
      <c r="BT42" s="22">
        <f ca="1">+MAX(BS45:BS79)</f>
        <v>303916507.84948289</v>
      </c>
      <c r="BU42" s="22">
        <f ca="1">IF(BV42&gt;BV43,IF(MAX(BU45:BU79)&lt;&gt;0,INDEX(A45:A79,MATCH(MAX(BU45:BU79),BU45:BU79,0)),A44),IF(MIN(BU45:BU79)&lt;&gt;0,INDEX(A45:A79,MATCH(MIN(BU45:BU79),BU45:BU79,0))))</f>
        <v>500</v>
      </c>
      <c r="BV42" s="22">
        <f ca="1">+MAX(BU45:BU79)</f>
        <v>222073795.53745505</v>
      </c>
      <c r="BX42" s="22">
        <f ca="1">IF(BY42&gt;BZ42,IF(MAX(BX45:BX79)&lt;&gt;0,INDEX(G45:G79,MATCH(MAX(BX45:BX79),BX45:BX79,0)),G44),IF(MIN(BX45:BX79)&lt;&gt;0,INDEX(G45:G79,MATCH(MIN(BX45:BX79),BX45:BX79,0))))</f>
        <v>0</v>
      </c>
      <c r="BY42" s="22">
        <f ca="1">+MAX(BX45:BX79)</f>
        <v>14129069946.927069</v>
      </c>
      <c r="BZ42" s="22">
        <f ca="1">ABS(+MIN(BX45:BX79))</f>
        <v>1226965300.3099802</v>
      </c>
      <c r="CA42" s="22"/>
      <c r="CB42" s="22"/>
      <c r="CC42" s="22">
        <f ca="1">+AVERAGE(BY80:BY81,CA80:CA81,CC80:CC81)</f>
        <v>505</v>
      </c>
      <c r="CD42" s="22"/>
      <c r="CE42" s="22"/>
      <c r="CF42" s="22"/>
      <c r="CG42" s="22"/>
      <c r="CH42" s="22"/>
      <c r="CI42" s="22"/>
      <c r="CK42" s="22">
        <f>IF(CL42&gt;CM42,IF(MAX(CK45:CK79)&lt;&gt;0,INDEX(N45:N79,MATCH(MAX(CK45:CK79),CK45:CK79,0)),N44),IF(MIN(CK45:CK79)&lt;&gt;0,INDEX(N45:N79,MATCH(MIN(CK45:CK79),CK45:CK79,0))))</f>
        <v>0</v>
      </c>
      <c r="CL42" s="22">
        <f>+MAX(CK45:CK79)</f>
        <v>817200</v>
      </c>
      <c r="CM42" s="22">
        <f>ABS(+MIN(CK45:CK79))</f>
        <v>94</v>
      </c>
      <c r="CN42" s="22"/>
      <c r="CO42" s="22"/>
      <c r="CP42" s="22"/>
      <c r="CQ42" s="22">
        <f>IF(CR42&gt;CS42,IF(MAX(CQ45:CQ79)&lt;&gt;0,INDEX(A45:A79,MATCH(MAX(CQ45:CQ79),CQ45:CQ79,0)),A44),IF(MIN(CQ45:CQ79)&lt;&gt;0,INDEX(A45:A79,MATCH(MIN(CQ45:CQ79),CQ45:CQ79,0))))</f>
        <v>508</v>
      </c>
      <c r="CR42" s="22">
        <f>+MAX(CQ45:CQ79)</f>
        <v>113534</v>
      </c>
      <c r="CS42" s="22">
        <f>ABS(+MIN(CQ45:CQ79))</f>
        <v>106117</v>
      </c>
      <c r="CT42" s="22"/>
      <c r="CU42" s="22"/>
      <c r="CV42" s="22"/>
      <c r="CW42" s="22">
        <f ca="1">IF(CX42&gt;CY42,IF(MAX(CW45:CW79)&lt;&gt;0,INDEX(A45:A79,MATCH(MAX(CW45:CW79),CW45:CW79,0)),M44),IF(MIN(CW45:CW79)&lt;&gt;0,INDEX(A45:A79,MATCH(MIN(CW45:CW79),CW45:CW79,0))))</f>
        <v>500</v>
      </c>
      <c r="CX42" s="61">
        <f ca="1">+MAX(CW45:CW79)</f>
        <v>525200997.54754138</v>
      </c>
      <c r="CY42" s="22">
        <f ca="1">ABS(+MIN(CW45:CW79))</f>
        <v>9889140.1555138528</v>
      </c>
      <c r="DA42" s="22"/>
      <c r="DB42" s="22"/>
      <c r="DC42" s="22"/>
      <c r="DD42" s="22"/>
      <c r="DE42" s="22"/>
      <c r="DF42" s="22"/>
      <c r="DG42" s="22">
        <v>2500</v>
      </c>
      <c r="DH42" s="22"/>
      <c r="DI42" s="22"/>
      <c r="DJ42" s="22"/>
      <c r="DK42" s="22"/>
      <c r="DL42" s="22"/>
      <c r="DM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E42" s="22">
        <f>+DA42</f>
        <v>0</v>
      </c>
      <c r="EF42" s="22">
        <f t="shared" ref="EF42" si="218">+DB42</f>
        <v>0</v>
      </c>
      <c r="EG42" s="22">
        <f t="shared" ref="EG42" si="219">+DC42</f>
        <v>0</v>
      </c>
      <c r="EH42" s="22">
        <f t="shared" ref="EH42" si="220">+DD42</f>
        <v>0</v>
      </c>
      <c r="EI42" s="22">
        <f t="shared" ref="EI42" si="221">+DE42</f>
        <v>0</v>
      </c>
      <c r="EJ42" s="22">
        <f t="shared" ref="EJ42" si="222">+DF42</f>
        <v>0</v>
      </c>
      <c r="EL42" s="22">
        <f>+DH42</f>
        <v>0</v>
      </c>
      <c r="EM42" s="22">
        <f t="shared" ref="EM42" si="223">+DI42</f>
        <v>0</v>
      </c>
      <c r="EN42" s="22">
        <f>+DJ42</f>
        <v>0</v>
      </c>
      <c r="EO42" s="22">
        <f t="shared" ref="EO42" si="224">+DK42</f>
        <v>0</v>
      </c>
      <c r="EP42" s="22">
        <f t="shared" ref="EP42" si="225">+DL42</f>
        <v>0</v>
      </c>
      <c r="EQ42" s="22">
        <f t="shared" ref="EQ42" si="226">+DM42</f>
        <v>0</v>
      </c>
      <c r="EU42" s="67">
        <v>564.79999999999995</v>
      </c>
      <c r="EV42" s="67" t="s">
        <v>355</v>
      </c>
      <c r="EW42" s="67">
        <v>487.92</v>
      </c>
      <c r="EX42" s="67" t="s">
        <v>356</v>
      </c>
      <c r="EY42" s="67">
        <v>5659.91</v>
      </c>
      <c r="EZ42" s="67" t="s">
        <v>357</v>
      </c>
      <c r="FA42" s="67">
        <v>20061.449000000001</v>
      </c>
      <c r="FB42" s="67" t="s">
        <v>358</v>
      </c>
      <c r="FC42" s="67" t="s">
        <v>359</v>
      </c>
      <c r="FD42" s="67" t="s">
        <v>360</v>
      </c>
      <c r="FE42" s="68" t="s">
        <v>361</v>
      </c>
      <c r="FF42" s="68" t="s">
        <v>362</v>
      </c>
    </row>
    <row r="43" spans="1:162" ht="13.5" thickBot="1" x14ac:dyDescent="0.25">
      <c r="A43" s="45" t="s">
        <v>2</v>
      </c>
      <c r="B43" s="45" t="str">
        <f>+B$2</f>
        <v>250512</v>
      </c>
      <c r="C43" s="45" t="str">
        <f>+C2</f>
        <v>250516</v>
      </c>
      <c r="D43" s="45" t="str">
        <f>+D2</f>
        <v>250620</v>
      </c>
      <c r="E43" s="45"/>
      <c r="F43" s="18" t="s">
        <v>3</v>
      </c>
      <c r="AP43" s="1" t="s">
        <v>7</v>
      </c>
      <c r="AQ43" s="1" t="s">
        <v>7</v>
      </c>
      <c r="AS43" s="22" t="s">
        <v>1</v>
      </c>
      <c r="AT43" s="22" t="s">
        <v>1</v>
      </c>
      <c r="AU43" s="22" t="s">
        <v>1</v>
      </c>
      <c r="AV43" s="22" t="s">
        <v>1</v>
      </c>
      <c r="AW43" s="22" t="s">
        <v>1</v>
      </c>
      <c r="AX43" s="25" t="s">
        <v>1</v>
      </c>
      <c r="AY43" s="23" t="s">
        <v>12</v>
      </c>
      <c r="BA43" s="22" t="s">
        <v>7</v>
      </c>
      <c r="BB43" s="22" t="s">
        <v>7</v>
      </c>
      <c r="BC43" s="22" t="s">
        <v>7</v>
      </c>
      <c r="BD43" s="22" t="s">
        <v>7</v>
      </c>
      <c r="BE43" s="22" t="s">
        <v>7</v>
      </c>
      <c r="BF43" s="25" t="s">
        <v>7</v>
      </c>
      <c r="BG43" s="23"/>
      <c r="BH43" s="23" t="s">
        <v>15</v>
      </c>
      <c r="BJ43" s="22" t="str">
        <f t="shared" ref="BJ43:BO43" si="227">+BJ2</f>
        <v>GAMMA</v>
      </c>
      <c r="BK43" s="22" t="str">
        <f t="shared" si="227"/>
        <v>GAMMA</v>
      </c>
      <c r="BL43" s="22" t="str">
        <f t="shared" si="227"/>
        <v>GAMMA</v>
      </c>
      <c r="BM43" s="22" t="str">
        <f t="shared" si="227"/>
        <v>GAMMA</v>
      </c>
      <c r="BN43" s="22" t="str">
        <f t="shared" si="227"/>
        <v>GAMMA</v>
      </c>
      <c r="BO43" s="25" t="str">
        <f t="shared" si="227"/>
        <v>GAMMA</v>
      </c>
      <c r="BQ43" s="22" t="s">
        <v>11</v>
      </c>
      <c r="BR43" s="22">
        <f ca="1">ABS(+MIN(BQ45:BQ79))</f>
        <v>11291951.922206584</v>
      </c>
      <c r="BS43" s="22" t="s">
        <v>11</v>
      </c>
      <c r="BT43" s="22">
        <f ca="1">ABS(+MIN(BS45:BS79))</f>
        <v>28333.457951491753</v>
      </c>
      <c r="BU43" s="22" t="s">
        <v>11</v>
      </c>
      <c r="BV43" s="25">
        <f ca="1">ABS(+MIN(BU45:BU79))</f>
        <v>22318721.700033173</v>
      </c>
      <c r="BX43" s="22" t="s">
        <v>11</v>
      </c>
      <c r="BY43" s="22"/>
      <c r="BZ43" s="22" t="s">
        <v>11</v>
      </c>
      <c r="CA43" s="22"/>
      <c r="CB43" s="22" t="s">
        <v>11</v>
      </c>
      <c r="CC43" s="25"/>
      <c r="CD43" s="22" t="str">
        <f t="shared" ref="CD43:CI43" si="228">+CD2</f>
        <v>DELTA</v>
      </c>
      <c r="CE43" s="22" t="str">
        <f t="shared" si="228"/>
        <v>DELTA</v>
      </c>
      <c r="CF43" s="22" t="str">
        <f t="shared" si="228"/>
        <v>DELTA</v>
      </c>
      <c r="CG43" s="22" t="str">
        <f t="shared" si="228"/>
        <v>DELTA</v>
      </c>
      <c r="CH43" s="22" t="str">
        <f t="shared" si="228"/>
        <v>DELTA</v>
      </c>
      <c r="CI43" s="25" t="str">
        <f t="shared" si="228"/>
        <v>DELTA</v>
      </c>
      <c r="CK43" s="22" t="s">
        <v>20</v>
      </c>
      <c r="CL43" s="22"/>
      <c r="CM43" s="22" t="s">
        <v>20</v>
      </c>
      <c r="CN43" s="22"/>
      <c r="CO43" s="22" t="s">
        <v>20</v>
      </c>
      <c r="CP43" s="25"/>
      <c r="CQ43" s="22" t="s">
        <v>16</v>
      </c>
      <c r="CR43" s="22"/>
      <c r="CS43" s="22" t="s">
        <v>16</v>
      </c>
      <c r="CT43" s="22"/>
      <c r="CU43" s="22" t="s">
        <v>16</v>
      </c>
      <c r="CV43" s="25"/>
      <c r="CW43" s="25" t="s">
        <v>11</v>
      </c>
      <c r="CX43" s="60"/>
      <c r="CY43" s="25" t="s">
        <v>11</v>
      </c>
      <c r="DA43" s="22" t="s">
        <v>25</v>
      </c>
      <c r="DB43" s="22" t="s">
        <v>25</v>
      </c>
      <c r="DC43" s="22" t="s">
        <v>27</v>
      </c>
      <c r="DD43" s="22" t="s">
        <v>27</v>
      </c>
      <c r="DE43" s="22" t="s">
        <v>26</v>
      </c>
      <c r="DF43" s="22" t="s">
        <v>26</v>
      </c>
      <c r="DH43" s="22"/>
      <c r="DI43" s="22"/>
      <c r="DJ43" s="22"/>
      <c r="DK43" s="22"/>
      <c r="DL43" s="22"/>
      <c r="DM43" s="22"/>
      <c r="DN43" s="60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E43" s="22" t="str">
        <f t="shared" ref="EE43:EJ43" si="229">+EE2</f>
        <v>IMPL_VOL</v>
      </c>
      <c r="EF43" s="22" t="str">
        <f t="shared" si="229"/>
        <v>IMPL_VOL</v>
      </c>
      <c r="EG43" s="22" t="str">
        <f t="shared" si="229"/>
        <v>IMPL_VOL</v>
      </c>
      <c r="EH43" s="22" t="str">
        <f t="shared" si="229"/>
        <v>IMPL_VOL</v>
      </c>
      <c r="EI43" s="22" t="str">
        <f t="shared" si="229"/>
        <v>IMPL_VOL</v>
      </c>
      <c r="EJ43" s="22" t="str">
        <f t="shared" si="229"/>
        <v>IMPL_VOL</v>
      </c>
      <c r="EL43" s="22" t="str">
        <f t="shared" ref="EL43:EQ43" si="230">+EL2</f>
        <v>IMPL_VOL</v>
      </c>
      <c r="EM43" s="22" t="str">
        <f t="shared" si="230"/>
        <v>IMPL_VOL</v>
      </c>
      <c r="EN43" s="22" t="str">
        <f t="shared" si="230"/>
        <v>IMPL_VOL</v>
      </c>
      <c r="EO43" s="22" t="str">
        <f t="shared" si="230"/>
        <v>IMPL_VOL</v>
      </c>
      <c r="EP43" s="22" t="str">
        <f t="shared" si="230"/>
        <v>IMPL_VOL</v>
      </c>
      <c r="EQ43" s="22" t="str">
        <f t="shared" si="230"/>
        <v>IMPL_VOL</v>
      </c>
      <c r="EU43" s="67">
        <v>564.79999999999995</v>
      </c>
      <c r="EV43" s="67" t="s">
        <v>363</v>
      </c>
      <c r="EW43" s="67">
        <v>487.92</v>
      </c>
      <c r="EX43" s="67" t="s">
        <v>364</v>
      </c>
      <c r="EY43" s="67">
        <v>5659.91</v>
      </c>
      <c r="EZ43" s="67" t="s">
        <v>365</v>
      </c>
      <c r="FA43" s="67">
        <v>20061.449000000001</v>
      </c>
      <c r="FB43" s="67" t="s">
        <v>366</v>
      </c>
      <c r="FC43" s="67" t="s">
        <v>367</v>
      </c>
      <c r="FD43" s="67" t="s">
        <v>368</v>
      </c>
      <c r="FE43" s="68" t="s">
        <v>369</v>
      </c>
      <c r="FF43" s="68" t="s">
        <v>370</v>
      </c>
    </row>
    <row r="44" spans="1:162" ht="13.5" thickBot="1" x14ac:dyDescent="0.25">
      <c r="A44" s="46">
        <f>RTD("tos.rtd", ,"MARK", A43)</f>
        <v>507.66</v>
      </c>
      <c r="B44" s="27">
        <f>+AS44/AT44</f>
        <v>-6.2459811950257809</v>
      </c>
      <c r="C44" s="27">
        <f>+AU44/AV44</f>
        <v>-10.397853107344632</v>
      </c>
      <c r="D44" s="27">
        <f>+AW44/AX44</f>
        <v>-1.5658833121755376</v>
      </c>
      <c r="E44" s="28">
        <v>0</v>
      </c>
      <c r="F44" s="47">
        <f>RTD("tos.rtd", ,"MARK", F43)</f>
        <v>20943.75</v>
      </c>
      <c r="G44" s="48" t="e">
        <f>RTD("tos.rtd", ,"MARK", G43)</f>
        <v>#N/A</v>
      </c>
      <c r="AO44" s="1">
        <v>0</v>
      </c>
      <c r="AP44" s="1">
        <v>1055993</v>
      </c>
      <c r="AQ44" s="1">
        <v>-1122207</v>
      </c>
      <c r="AS44" s="13">
        <f t="shared" ref="AS44:AY44" si="231">SUM(AS45:AS79)</f>
        <v>82372</v>
      </c>
      <c r="AT44" s="29">
        <f t="shared" si="231"/>
        <v>-13188</v>
      </c>
      <c r="AU44" s="13">
        <f t="shared" si="231"/>
        <v>276063</v>
      </c>
      <c r="AV44" s="29">
        <f t="shared" si="231"/>
        <v>-26550</v>
      </c>
      <c r="AW44" s="13">
        <f t="shared" si="231"/>
        <v>151720</v>
      </c>
      <c r="AX44" s="29">
        <f t="shared" si="231"/>
        <v>-96891</v>
      </c>
      <c r="AY44" s="29">
        <f t="shared" si="231"/>
        <v>373526</v>
      </c>
      <c r="AZ44" s="1">
        <v>0</v>
      </c>
      <c r="BA44" s="13">
        <f t="shared" ref="BA44:BH44" si="232">SUM(BA45:BA79)</f>
        <v>1058670</v>
      </c>
      <c r="BB44" s="29">
        <f t="shared" si="232"/>
        <v>-1125431</v>
      </c>
      <c r="BC44" s="13">
        <f t="shared" si="232"/>
        <v>152243</v>
      </c>
      <c r="BD44" s="29">
        <f t="shared" si="232"/>
        <v>-170449</v>
      </c>
      <c r="BE44" s="13">
        <f t="shared" si="232"/>
        <v>45881</v>
      </c>
      <c r="BF44" s="29">
        <f t="shared" si="232"/>
        <v>-24145</v>
      </c>
      <c r="BG44" s="29"/>
      <c r="BH44" s="29">
        <f t="shared" ca="1" si="232"/>
        <v>-78605</v>
      </c>
      <c r="BJ44" s="30">
        <f t="shared" ref="BJ44:BO44" ca="1" si="233">SUM(BJ45:BJ79)</f>
        <v>1.5433898464619527</v>
      </c>
      <c r="BK44" s="31">
        <f t="shared" ca="1" si="233"/>
        <v>-1.7914189783781176</v>
      </c>
      <c r="BL44" s="30">
        <f t="shared" ca="1" si="233"/>
        <v>0.76219073357629186</v>
      </c>
      <c r="BM44" s="31">
        <f t="shared" ca="1" si="233"/>
        <v>-0.76681473643857723</v>
      </c>
      <c r="BN44" s="30">
        <f t="shared" ca="1" si="233"/>
        <v>0.74509336003326987</v>
      </c>
      <c r="BO44" s="31">
        <f t="shared" ca="1" si="233"/>
        <v>-0.746020961287722</v>
      </c>
      <c r="BQ44" s="30">
        <f ca="1">SUM(BQ45:BQ79)</f>
        <v>325705369.79503149</v>
      </c>
      <c r="BR44" s="31"/>
      <c r="BS44" s="30">
        <f ca="1">SUM(BS45:BS79)</f>
        <v>1330075608.1278751</v>
      </c>
      <c r="BT44" s="31"/>
      <c r="BU44" s="30">
        <f ca="1">SUM(BU45:BU79)</f>
        <v>390683885.77514124</v>
      </c>
      <c r="BV44" s="31"/>
      <c r="BW44" s="69"/>
      <c r="BX44" s="30">
        <f ca="1">SUM(BX45:BX79)</f>
        <v>17661427851.015625</v>
      </c>
      <c r="BY44" s="31"/>
      <c r="BZ44" s="30">
        <f ca="1">SUM(BZ45:BZ79)</f>
        <v>25753671.704641625</v>
      </c>
      <c r="CA44" s="31"/>
      <c r="CB44" s="30">
        <f ca="1">SUM(CB45:CB79)</f>
        <v>162188624.24512541</v>
      </c>
      <c r="CC44" s="31"/>
      <c r="CD44" s="30">
        <f t="shared" ref="CD44:CI44" si="234">SUM(CD45:CD79)</f>
        <v>19.88</v>
      </c>
      <c r="CE44" s="31">
        <f t="shared" si="234"/>
        <v>13.839999999999996</v>
      </c>
      <c r="CF44" s="30">
        <f t="shared" si="234"/>
        <v>19.729999999999997</v>
      </c>
      <c r="CG44" s="31">
        <f t="shared" si="234"/>
        <v>15.609999999999998</v>
      </c>
      <c r="CH44" s="30">
        <f t="shared" si="234"/>
        <v>3.92</v>
      </c>
      <c r="CI44" s="31">
        <f t="shared" si="234"/>
        <v>3.12</v>
      </c>
      <c r="CK44" s="30">
        <f>SUM(CK45:CK79)</f>
        <v>6655519</v>
      </c>
      <c r="CL44" s="31"/>
      <c r="CM44" s="30">
        <f>SUM(CM45:CM79)</f>
        <v>18417989</v>
      </c>
      <c r="CN44" s="31"/>
      <c r="CO44" s="30">
        <f>SUM(CO45:CO79)</f>
        <v>5278156</v>
      </c>
      <c r="CP44" s="31">
        <f t="shared" ref="CP44:CP79" si="235">+CK44+CM44+CO44</f>
        <v>30351664</v>
      </c>
      <c r="CQ44" s="30">
        <f>SUM(CQ45:CQ79)</f>
        <v>-66761</v>
      </c>
      <c r="CR44" s="31"/>
      <c r="CS44" s="30">
        <f>SUM(CS45:CS79)</f>
        <v>-18206</v>
      </c>
      <c r="CT44" s="31"/>
      <c r="CU44" s="30">
        <f>SUM(CU45:CU79)</f>
        <v>21736</v>
      </c>
      <c r="CV44" s="31"/>
      <c r="CW44" s="31">
        <f ca="1">SUM(CW45:CW79)</f>
        <v>2046464863.6980484</v>
      </c>
      <c r="CY44" s="31">
        <f ca="1">SUM(CY45:CY79)</f>
        <v>17849370146.965389</v>
      </c>
      <c r="DA44" s="30">
        <f t="shared" ref="DA44:DB44" si="236">SUM(DA45:DA79)</f>
        <v>204.71999999999997</v>
      </c>
      <c r="DB44" s="31">
        <f t="shared" si="236"/>
        <v>128.1399999999999</v>
      </c>
      <c r="DC44" s="30">
        <f t="shared" ref="DC44:DF44" si="237">SUM(DC45:DC79)</f>
        <v>208.17999999999998</v>
      </c>
      <c r="DD44" s="31">
        <f t="shared" si="237"/>
        <v>114.25000000000007</v>
      </c>
      <c r="DE44" s="30">
        <f t="shared" si="237"/>
        <v>198</v>
      </c>
      <c r="DF44" s="30">
        <f t="shared" si="237"/>
        <v>109.87000000000003</v>
      </c>
      <c r="DG44" s="64">
        <v>750</v>
      </c>
      <c r="DH44" s="30">
        <f t="shared" ref="DH44:DM44" si="238">SUM(DH45:DH79)</f>
        <v>2889.5836759406493</v>
      </c>
      <c r="DI44" s="31">
        <f t="shared" si="238"/>
        <v>-457.17793103448275</v>
      </c>
      <c r="DJ44" s="30">
        <f t="shared" si="238"/>
        <v>2407</v>
      </c>
      <c r="DK44" s="31">
        <f t="shared" si="238"/>
        <v>2306</v>
      </c>
      <c r="DL44" s="30">
        <f t="shared" si="238"/>
        <v>2432.4057449061665</v>
      </c>
      <c r="DM44" s="30">
        <f t="shared" si="238"/>
        <v>4713</v>
      </c>
      <c r="DP44" s="30">
        <f>SUM(DP45:DP79)</f>
        <v>2040.3726271936598</v>
      </c>
      <c r="DQ44" s="31">
        <f>SUM(DQ45:DQ79)</f>
        <v>2035.01</v>
      </c>
      <c r="DR44" s="30">
        <f ca="1">SUM(DR45:DR79)</f>
        <v>23.136667759940064</v>
      </c>
      <c r="DS44" s="31">
        <f>SUM(DS45:DS79)</f>
        <v>761.84</v>
      </c>
      <c r="DT44" s="30"/>
      <c r="DU44" s="30"/>
      <c r="DV44" s="30"/>
      <c r="DW44" s="31"/>
      <c r="DX44" s="30"/>
      <c r="DY44" s="31"/>
      <c r="DZ44" s="30"/>
      <c r="EA44" s="31"/>
      <c r="EB44" s="30"/>
      <c r="EC44" s="30"/>
      <c r="EE44" s="30">
        <f t="shared" ref="EE44:EJ44" si="239">SUM(EE45:EE79)</f>
        <v>18.497299999999999</v>
      </c>
      <c r="EF44" s="31">
        <f t="shared" si="239"/>
        <v>38.536899999999989</v>
      </c>
      <c r="EG44" s="30">
        <f t="shared" si="239"/>
        <v>8.3797000000000015</v>
      </c>
      <c r="EH44" s="31">
        <f t="shared" si="239"/>
        <v>8.1549999999999994</v>
      </c>
      <c r="EI44" s="30">
        <f t="shared" si="239"/>
        <v>8.432500000000001</v>
      </c>
      <c r="EJ44" s="30">
        <f t="shared" si="239"/>
        <v>8.3975000000000009</v>
      </c>
      <c r="EK44" s="63">
        <f ca="1">SUM(EK45:EK79)</f>
        <v>3024876297.280848</v>
      </c>
      <c r="EL44" s="30">
        <f t="shared" ref="EL44:EQ44" si="240">SUM(EL45:EL79)</f>
        <v>0</v>
      </c>
      <c r="EM44" s="31">
        <f t="shared" si="240"/>
        <v>0</v>
      </c>
      <c r="EN44" s="30">
        <f t="shared" si="240"/>
        <v>0</v>
      </c>
      <c r="EO44" s="31">
        <f t="shared" si="240"/>
        <v>0</v>
      </c>
      <c r="EP44" s="30">
        <f t="shared" si="240"/>
        <v>0</v>
      </c>
      <c r="EQ44" s="30">
        <f t="shared" si="240"/>
        <v>0</v>
      </c>
      <c r="EU44" s="67">
        <v>564.79999999999995</v>
      </c>
      <c r="EV44" s="67" t="s">
        <v>371</v>
      </c>
      <c r="EW44" s="67">
        <v>487.92</v>
      </c>
      <c r="EX44" s="67" t="s">
        <v>372</v>
      </c>
      <c r="EY44" s="67">
        <v>5659.91</v>
      </c>
      <c r="EZ44" s="67" t="s">
        <v>373</v>
      </c>
      <c r="FA44" s="67">
        <v>20061.449000000001</v>
      </c>
      <c r="FB44" s="67" t="s">
        <v>374</v>
      </c>
      <c r="FC44" s="67" t="s">
        <v>375</v>
      </c>
      <c r="FD44" s="67" t="s">
        <v>376</v>
      </c>
      <c r="FE44" s="68" t="s">
        <v>377</v>
      </c>
      <c r="FF44" s="68" t="s">
        <v>378</v>
      </c>
    </row>
    <row r="45" spans="1:162" ht="13.5" thickBot="1" x14ac:dyDescent="0.25">
      <c r="A45" s="2">
        <f>ROUND(505/$A$39,0)*$A$39+17*$A$39</f>
        <v>522</v>
      </c>
      <c r="B45" s="3">
        <f t="shared" ref="B45:B79" si="241">+IF($A$1="ABS",AS45-AT45,AS45+AT45)</f>
        <v>384</v>
      </c>
      <c r="C45" s="3">
        <f t="shared" ref="C45:C71" si="242">+IF($A$1="ABS",AU45-AV45,AU45+AV45)</f>
        <v>2334</v>
      </c>
      <c r="D45" s="3">
        <f t="shared" ref="D45:D79" si="243">+IF($A$1="ABS",AW45-AX45,AW45+AX45)</f>
        <v>0</v>
      </c>
      <c r="E45" s="3">
        <f t="shared" ref="E45:E79" si="244">SUM(B45:D45)</f>
        <v>2718</v>
      </c>
      <c r="F45" s="4">
        <f>+$F$44/$A$44*A45</f>
        <v>21535.353386124571</v>
      </c>
      <c r="AM45" s="1">
        <v>1518</v>
      </c>
      <c r="AN45" s="1">
        <v>-2</v>
      </c>
      <c r="AO45" s="1">
        <v>522</v>
      </c>
      <c r="AP45" s="1">
        <v>2760</v>
      </c>
      <c r="AQ45" s="1">
        <v>-2</v>
      </c>
      <c r="AS45" s="30">
        <f>IF(RTD("tos.rtd",,AS$43,"."&amp;$A$43&amp;$AS$42&amp;"C"&amp;$A45)="N/A",0,RTD("tos.rtd",,AS$43,"."&amp;$A$43&amp;$AS$42&amp;"C"&amp;$A45))</f>
        <v>384</v>
      </c>
      <c r="AT45" s="31">
        <f>-IF(RTD("tos.rtd",,AT$43,"."&amp;$A$43&amp;$AS$42&amp;"P"&amp;$A45)="N/A",0,RTD("tos.rtd",,AT$43,"."&amp;$A$43&amp;$AS$42&amp;"P"&amp;$A45))</f>
        <v>0</v>
      </c>
      <c r="AU45" s="30">
        <f>IF(RTD("tos.rtd",,AU$2,"."&amp;$A$43&amp;$AU$1&amp;"C"&amp;$A45)="N/A",0,RTD("tos.rtd",,AU$2,"."&amp;$A$43&amp;$AU$1&amp;"C"&amp;$A45))</f>
        <v>2329</v>
      </c>
      <c r="AV45" s="31">
        <f>-IF(RTD("tos.rtd",,AV$2,"."&amp;$A$43&amp;$AU$1&amp;"P"&amp;$A45)="N/A",0,RTD("tos.rtd",,AV$2,"."&amp;$A$43&amp;$AU$1&amp;"P"&amp;$A45))</f>
        <v>-5</v>
      </c>
      <c r="AW45" s="30">
        <f>IF(RTD("tos.rtd",,AW$2,"."&amp;$A$43&amp;$AW$1&amp;"C"&amp;$A45)="N/A",0,RTD("tos.rtd",,AW$2,"."&amp;$A$43&amp;$AW$1&amp;"C"&amp;$A45))</f>
        <v>0</v>
      </c>
      <c r="AX45" s="31">
        <f>-IF(RTD("tos.rtd",,AX$2,"."&amp;$A$43&amp;$AW$1&amp;"P"&amp;$A45)="N/A",0,RTD("tos.rtd",,AX$2,"."&amp;$A$43&amp;$AW$1&amp;"P"&amp;$A45))</f>
        <v>0</v>
      </c>
      <c r="AY45" s="31">
        <f>SUM(AS45:AX45)</f>
        <v>2708</v>
      </c>
      <c r="AZ45" s="8">
        <f t="shared" ref="AZ45:AZ79" si="245">+A45</f>
        <v>522</v>
      </c>
      <c r="BA45" s="30">
        <f>IF(RTD("tos.rtd",,BA$43,"."&amp;$A$43&amp;$AS$42&amp;"C"&amp;$A45)="N/A",0,RTD("tos.rtd",,BA$43,"."&amp;$A$43&amp;$AS$42&amp;"C"&amp;$A45))</f>
        <v>2760</v>
      </c>
      <c r="BB45" s="31">
        <f>-IF(RTD("tos.rtd",,BB$43,"."&amp;$A$43&amp;$AS$42&amp;"P"&amp;$A45)="N/A",0,RTD("tos.rtd",,BB$43,"."&amp;$A$43&amp;$AS$42&amp;"P"&amp;$A45))</f>
        <v>-2</v>
      </c>
      <c r="BC45" s="30">
        <f>IF(RTD("tos.rtd",,BC$2,"."&amp;$A$43&amp;$AU$1&amp;"C"&amp;$A45)="N/A",0,RTD("tos.rtd",,BC$2,"."&amp;$A$43&amp;$AU$1&amp;"C"&amp;$A45))</f>
        <v>1026</v>
      </c>
      <c r="BD45" s="31">
        <f>-IF(RTD("tos.rtd",,BD$2,"."&amp;$A$43&amp;$AU$1&amp;"P"&amp;$A45)="N/A",0,RTD("tos.rtd",,BD$2,"."&amp;$A$43&amp;$AU$1&amp;"P"&amp;$A45))</f>
        <v>-13</v>
      </c>
      <c r="BE45" s="30">
        <f>IF(RTD("tos.rtd",,BE$2,"."&amp;$A$43&amp;$AW$1&amp;"C"&amp;$A45)="N/A",0,RTD("tos.rtd",,BE$2,"."&amp;$A$43&amp;$AW$1&amp;"C"&amp;$A45))</f>
        <v>0</v>
      </c>
      <c r="BF45" s="31">
        <f>-IF(RTD("tos.rtd",,BF$2,"."&amp;$A$43&amp;$AW$1&amp;"P"&amp;$A45)="N/A",0,RTD("tos.rtd",,BF$2,"."&amp;$A$43&amp;$AW$1&amp;"P"&amp;$A45))</f>
        <v>0</v>
      </c>
      <c r="BG45" s="32">
        <f ca="1">+Hoja2!Y46</f>
        <v>376</v>
      </c>
      <c r="BH45" s="31">
        <f ca="1">SUM(BA45:BG45)</f>
        <v>4147</v>
      </c>
      <c r="BI45" s="8"/>
      <c r="BJ45" s="83">
        <f ca="1">IF($BP$1=1,DX45,IF(RTD("tos.rtd",,BJ$43,"."&amp;$A$43&amp;$AS$42&amp;"C"&amp;$A45)="N/A",0,RTD("tos.rtd",,BJ$43,"."&amp;$A$43&amp;$AS$42&amp;"C"&amp;$A45)))</f>
        <v>1.1987755605387238E-2</v>
      </c>
      <c r="BK45" s="83">
        <f ca="1">IF($BP$1=1,DY45,-IF(RTD("tos.rtd",,BK$43,"."&amp;$A$43&amp;$AS$42&amp;"P"&amp;$A45)="N/A",0,RTD("tos.rtd",,BK$43,"."&amp;$A$43&amp;$AS$42&amp;"P"&amp;$A45)))</f>
        <v>-1.7334055972032487E-2</v>
      </c>
      <c r="BL45" s="83">
        <f ca="1">IF($BP$1=1,DZ45,IF(RTD("tos.rtd",,BL$2,"."&amp;$A$43&amp;$AU$1&amp;"C"&amp;$A45)="N/A",0,RTD("tos.rtd",,BL$2,"."&amp;$A$43&amp;$AU$1&amp;"C"&amp;$A45)))</f>
        <v>1.7745975447365708E-2</v>
      </c>
      <c r="BM45" s="83">
        <f ca="1">IF($BP$1=1,EA45,-IF(RTD("tos.rtd",,BM$2,"."&amp;$A$43&amp;$AU$1&amp;"P"&amp;$A45)="N/A",0,RTD("tos.rtd",,BM$2,"."&amp;$A$43&amp;$AU$1&amp;"P"&amp;$A45)))</f>
        <v>-1.7122062762213175E-2</v>
      </c>
      <c r="BN45" s="83">
        <f ca="1">IF($BP$1=1,EB45,IF(RTD("tos.rtd",,BN$2,"."&amp;$A$43&amp;$AW$1&amp;"C"&amp;$A45)="N/A",0,RTD("tos.rtd",,BN$2,"."&amp;$A$43&amp;$AW$1&amp;"C"&amp;$A45)))</f>
        <v>1.7493614842462941E-2</v>
      </c>
      <c r="BO45" s="83">
        <f ca="1">IF($BP$1=1,EC45,-IF(RTD("tos.rtd",,BO$2,"."&amp;$A$43&amp;$AW$1&amp;"P"&amp;$A45)="N/A",0,RTD("tos.rtd",,BO$2,"."&amp;$A$43&amp;$AW$1&amp;"P"&amp;$A45)))</f>
        <v>-1.7493614842462941E-2</v>
      </c>
      <c r="BQ45" s="83">
        <f ca="1">+$A$44*$A$44*AS45*BJ45-$A$44*$A$44*AT45*BK45</f>
        <v>1186355.9032461601</v>
      </c>
      <c r="BR45" s="83"/>
      <c r="BS45" s="83">
        <f ca="1">+$A$44*$A$44*AU45*BL45-$A$44*$A$44*AV45*BM45</f>
        <v>10629546.598611122</v>
      </c>
      <c r="BT45" s="83"/>
      <c r="BU45" s="83">
        <f ca="1">+$A$44*$A$44*AW45*BN45-$A$44*$A$44*AX45*BO45</f>
        <v>0</v>
      </c>
      <c r="BV45" s="83"/>
      <c r="BX45" s="83">
        <f t="shared" ref="BX45" ca="1" si="246">+$A$44*$A$44*BA45*BJ45-$A$44*$A$44*BB45*BK45</f>
        <v>8517998.4346859995</v>
      </c>
      <c r="BY45" s="83"/>
      <c r="BZ45" s="83">
        <f t="shared" ref="BZ45" ca="1" si="247">+$A$44*$A$44*BC45*BL45-$A$44*$A$44*BD45*BM45</f>
        <v>4635014.7116508335</v>
      </c>
      <c r="CA45" s="83"/>
      <c r="CB45" s="83">
        <f t="shared" ref="CB45" ca="1" si="248">+$A$44*$A$44*BE45*BN45-$A$44*$A$44*BF45*BO45</f>
        <v>0</v>
      </c>
      <c r="CC45" s="83"/>
      <c r="CD45" s="83">
        <f>IF(RTD("tos.rtd",,CD$43,"."&amp;$A$43&amp;$AS$42&amp;"C"&amp;$A45)="N/A",0,RTD("tos.rtd",,CD$43,"."&amp;$A$43&amp;$AS$42&amp;"C"&amp;$A45))</f>
        <v>0</v>
      </c>
      <c r="CE45" s="83">
        <f>-IF(RTD("tos.rtd",,CE$43,"."&amp;$A$43&amp;$AS$42&amp;"P"&amp;$A45)="N/A",0,RTD("tos.rtd",,CE$43,"."&amp;$A$43&amp;$AS$42&amp;"P"&amp;$A45))</f>
        <v>0.94</v>
      </c>
      <c r="CF45" s="83">
        <f>IF(RTD("tos.rtd",,CF$2,"."&amp;$A$43&amp;$AU$1&amp;"C"&amp;$A45)="N/A",0,RTD("tos.rtd",,CF$2,"."&amp;$A$43&amp;$AU$1&amp;"C"&amp;$A45))</f>
        <v>0.12</v>
      </c>
      <c r="CG45" s="83">
        <f>-IF(RTD("tos.rtd",,CG$2,"."&amp;$A$43&amp;$AU$1&amp;"P"&amp;$A45)="N/A",0,RTD("tos.rtd",,CG$2,"."&amp;$A$43&amp;$AU$1&amp;"P"&amp;$A45))</f>
        <v>0.93</v>
      </c>
      <c r="CH45" s="83">
        <f>IF(RTD("tos.rtd",,CH$2,"."&amp;$A$43&amp;$AW$1&amp;"C"&amp;$A45)="N/A",0,RTD("tos.rtd",,CH$2,"."&amp;$A$43&amp;$AW$1&amp;"C"&amp;$A45))</f>
        <v>0</v>
      </c>
      <c r="CI45" s="83">
        <f>-IF(RTD("tos.rtd",,CI$2,"."&amp;$A$43&amp;$AW$1&amp;"P"&amp;$A45)="N/A",0,RTD("tos.rtd",,CI$2,"."&amp;$A$43&amp;$AW$1&amp;"P"&amp;$A45))</f>
        <v>0</v>
      </c>
      <c r="CK45" s="83">
        <f>+AS45*CD45*100+AT45*CE45*100</f>
        <v>0</v>
      </c>
      <c r="CL45" s="83"/>
      <c r="CM45" s="83">
        <f>+AU45*CF45*100+AV45*CG45*100</f>
        <v>27482.999999999996</v>
      </c>
      <c r="CN45" s="83"/>
      <c r="CO45" s="83">
        <f>+AW45*CH45*100+AX45*CI45*100</f>
        <v>0</v>
      </c>
      <c r="CP45" s="83">
        <f t="shared" si="235"/>
        <v>27482.999999999996</v>
      </c>
      <c r="CQ45" s="83">
        <f t="shared" ref="CQ45:CQ79" si="249">+BA45+BB45</f>
        <v>2758</v>
      </c>
      <c r="CR45" s="83"/>
      <c r="CS45" s="83">
        <f t="shared" ref="CS45:CS79" si="250">+BC45+BD45</f>
        <v>1013</v>
      </c>
      <c r="CT45" s="83"/>
      <c r="CU45" s="83">
        <f t="shared" ref="CU45:CU79" si="251">+BE45+BF45</f>
        <v>0</v>
      </c>
      <c r="CV45" s="83"/>
      <c r="CW45" s="83">
        <f t="shared" ref="CW45:CW79" ca="1" si="252">+BQ45+BS45+BU45</f>
        <v>11815902.501857283</v>
      </c>
      <c r="CY45" s="83">
        <f t="shared" ref="CY45:CY79" ca="1" si="253">+BX45+BZ45+CB45</f>
        <v>13153013.146336833</v>
      </c>
      <c r="CZ45" s="70"/>
      <c r="DA45" s="83">
        <f>IF(RTD("tos.rtd",,DA$43,"."&amp;$A$43&amp;$AS$42&amp;"C"&amp;$A45)="N/A",0,RTD("tos.rtd",,DA$43,"."&amp;$A$43&amp;$AS$42&amp;"C"&amp;$A45))</f>
        <v>0.01</v>
      </c>
      <c r="DB45" s="83">
        <f>IF(RTD("tos.rtd",,DB$43,"."&amp;$A$43&amp;$AS$42&amp;"P"&amp;$A45)="N/A",0,RTD("tos.rtd",,DB$43,"."&amp;$A$43&amp;$AS$42&amp;"P"&amp;$A45))</f>
        <v>18.77</v>
      </c>
      <c r="DC45" s="83">
        <f>IF(RTD("tos.rtd",,DC$43,"."&amp;$A$43&amp;$AS$42&amp;"C"&amp;$A45)="N/A",0,RTD("tos.rtd",,DC$43,"."&amp;$A$43&amp;$AS$42&amp;"C"&amp;$A45))</f>
        <v>0.01</v>
      </c>
      <c r="DD45" s="83">
        <f>IF(RTD("tos.rtd",,DD$43,"."&amp;$A$43&amp;$AS$42&amp;"P"&amp;$A45)="N/A",0,RTD("tos.rtd",,DD$43,"."&amp;$A$43&amp;$AS$42&amp;"P"&amp;$A45))</f>
        <v>14.6</v>
      </c>
      <c r="DE45" s="83">
        <f>IF(RTD("tos.rtd",,DE$43,"."&amp;$A$43&amp;$AS$42&amp;"C"&amp;$A45)="N/A",0,RTD("tos.rtd",,DE$43,"."&amp;$A$43&amp;$AS$42&amp;"C"&amp;$A45))</f>
        <v>0</v>
      </c>
      <c r="DF45" s="83">
        <f>IF(RTD("tos.rtd",,DF$43,"."&amp;$A$43&amp;$AS$42&amp;"P"&amp;$A45)="N/A",0,RTD("tos.rtd",,DF$43,"."&amp;$A$43&amp;$AS$42&amp;"P"&amp;$A45))</f>
        <v>14.31</v>
      </c>
      <c r="DG45" s="86">
        <f>+$A45-$A$44</f>
        <v>14.339999999999975</v>
      </c>
      <c r="DH45" s="83">
        <f t="shared" ref="DH45:DH79" si="254">((DA45-DE45)/(DC45-DE45))*(BA45-AP45)</f>
        <v>0</v>
      </c>
      <c r="DI45" s="83">
        <f t="shared" ref="DI45:DI79" si="255">((DB45-DF45)/(DD45-DF45))*(BB45-AQ45)</f>
        <v>0</v>
      </c>
      <c r="DJ45" s="83">
        <f t="shared" ref="DJ45:DJ79" si="256">IF(DA45&gt;=(DE45+(DC45-DE45)*0.6),(BA45-AP45),IF(DA45&lt;=(DE45+(DC45-DE45)*0.4),-(BA45-AP45),0))</f>
        <v>0</v>
      </c>
      <c r="DK45" s="83">
        <f t="shared" ref="DK45:DK79" si="257">IF(DB45&lt;=(DF45+(DD45-DF45)*0.4),-(BB45-AQ45),IF(DB45&gt;=(DF45+(DD45-DF45)*0.6),(BB45-AQ45),0))</f>
        <v>0</v>
      </c>
      <c r="DL45" s="83">
        <f t="shared" ref="DL45:DL79" si="258">+DH45+DI45</f>
        <v>0</v>
      </c>
      <c r="DM45" s="83">
        <f t="shared" ref="DM45:DM79" si="259">+DJ45+DK45</f>
        <v>0</v>
      </c>
      <c r="DN45" s="64" t="str">
        <f t="shared" ref="DN45:DN79" si="260">IF(AND(DA45&gt;=(DE45+(DC45-DE45)*0.6),BA45&gt;AP45),"BUY",IF(AND(DA45&lt;=(DE45+(DC45-DE45)*0.4),BA45&gt;AP45),"SELL","UNKNOWN"))</f>
        <v>UNKNOWN</v>
      </c>
      <c r="DO45" s="64" t="str">
        <f t="shared" ref="DO45:DO79" si="261">IF(AND(DB45&gt;=(DF45+(DD45-DF45)*0.6),ABS(BB45)&gt;ABS(AQ45)),"BUY",IF(AND(DB45&lt;=(DF45+(DD45-DF45)*0.4),ABS(BB45)&gt;ABS(AQ45)),"SELL","UNKNOWN"))</f>
        <v>UNKNOWN</v>
      </c>
      <c r="DP45" s="83">
        <f t="shared" ref="DP45:DP79" si="262">+DH45*DA45+DI45*DB45</f>
        <v>0</v>
      </c>
      <c r="DQ45" s="83">
        <f t="shared" ref="DQ45:DQ79" si="263">+DA45*DJ45+DB45*DK45</f>
        <v>0</v>
      </c>
      <c r="DR45" s="83">
        <f t="shared" ref="DR45:DR79" ca="1" si="264">+BJ45*DJ45+BK45*DK45</f>
        <v>0</v>
      </c>
      <c r="DS45" s="83">
        <f t="shared" ref="DS45:DS79" si="265">+CD45*DJ45+CE45*DK45</f>
        <v>0</v>
      </c>
      <c r="DT45" s="83">
        <f>BA45-VLOOKUP(AZ45,$AO$45:$AQ$79,2,FALSE)</f>
        <v>0</v>
      </c>
      <c r="DU45" s="83">
        <f>BB45-VLOOKUP(AZ45,$AO$45:$AQ$79,3,FALSE)</f>
        <v>0</v>
      </c>
      <c r="DV45" s="83">
        <f t="shared" ref="DV45:DV79" si="266">AM45+IF(DN45="BUY",DT45,IF(DN45="SELL",-DT45,0))</f>
        <v>1518</v>
      </c>
      <c r="DW45" s="83">
        <f t="shared" ref="DW45:DW79" si="267">AN45+IF(DO45="BUY",DU45,IF(DO45="SELL",-DU45,0))</f>
        <v>-2</v>
      </c>
      <c r="DX45" s="83">
        <f ca="1">(EXP(-POWER((LN($A$44/$A45)+($EC$1+POWER($EE45,2)/2)*($EM$1/$DY$1))/($EE45*SQRT($EM$1/$DY$1)),2)/2)/SQRT(2*PI())/($A$44*$EE45*SQRT($EM$1/$DY$1)))</f>
        <v>1.1987755605387238E-2</v>
      </c>
      <c r="DY45" s="83">
        <f ca="1">-(EXP(-POWER((LN($A$44/$A45)+($EC$1+POWER($EF45,2)/2)*($EM$1/$DY$1))/($EF45*SQRT($EM$1/$DY$1)),2)/2)/SQRT(2*PI())/($A$44*$EF45*SQRT($EM$1/$DY$1)))</f>
        <v>-1.7334055972032487E-2</v>
      </c>
      <c r="DZ45" s="83">
        <f ca="1">(EXP(-POWER((LN($A$44/$A45)+($EC$1+POWER($EG45,2)/2)*($EO$1/$DY$1))/($EG45*SQRT($EO$1/$DY$1)),2)/2)/SQRT(2*PI())/($A$44*$EG45*SQRT($EO$1/$DY$1)))</f>
        <v>1.7745975447365708E-2</v>
      </c>
      <c r="EA45" s="83">
        <f ca="1">-(EXP(-POWER((LN($A$44/$A45)+($EC$1+POWER($EH45,2)/2)*($EO$1/$DY$1))/($EH45*SQRT($EO$1/$DY$1)),2)/2)/SQRT(2*PI())/($A$44*$EH45*SQRT($EO$1/$DY$1)))</f>
        <v>-1.7122062762213175E-2</v>
      </c>
      <c r="EB45" s="83">
        <f ca="1">(EXP(-POWER((LN($A$44/$A45)+($EC$1+POWER($EI45,2)/2)*($EO$1/$DY$1))/($EI45*SQRT($EO$1/$DY$1)),2)/2)/SQRT(2*PI())/($A$44*$EI45*SQRT($EO$1/$DY$1)))</f>
        <v>1.7493614842462941E-2</v>
      </c>
      <c r="EC45" s="83">
        <f ca="1">-(EXP(-POWER((LN($A$44/$A45)+($EC$1+POWER($EJ45,2)/2)*($EO$1/$DY$1))/($EJ45*SQRT($EO$1/$DY$1)),2)/2)/SQRT(2*PI())/($A$44*$EJ45*SQRT($EO$1/$DY$1)))</f>
        <v>-1.7493614842462941E-2</v>
      </c>
      <c r="ED45" s="63">
        <f>+DV45+DW45</f>
        <v>1516</v>
      </c>
      <c r="EE45" s="84">
        <f t="shared" ref="EE45:EE79" si="268">IFERROR(VALUE(IF(OR(EL45="--",EL45="0.00%"),$EE$1,EL45)),$EE$1)</f>
        <v>1.3495999999999999</v>
      </c>
      <c r="EF45" s="84">
        <f t="shared" ref="EF45:EF79" si="269">IFERROR(VALUE(IF(OR(EM45="--",EM45="0.00%"),$EE$1,EM45)),$EE$1)</f>
        <v>2.1661999999999999</v>
      </c>
      <c r="EG45" s="84">
        <f t="shared" ref="EG45:EG79" si="270">IFERROR(VALUE(IF(OR(EN45="--",EN45="0.00%"),$EE$1,EN45)),$EE$1)</f>
        <v>0.22450000000000001</v>
      </c>
      <c r="EH45" s="84">
        <f t="shared" ref="EH45:EH79" si="271">IFERROR(VALUE(IF(OR(EO45="--",EO45="0.00%"),$EE$1,EO45)),$EE$1)</f>
        <v>0.18429999999999999</v>
      </c>
      <c r="EI45" s="84">
        <f t="shared" ref="EI45:EI79" si="272">IFERROR(VALUE(IF(OR(EP45="--",EP45="0.00%"),$EE$1,EP45)),$EE$1)</f>
        <v>0.25</v>
      </c>
      <c r="EJ45" s="84">
        <f t="shared" ref="EJ45:EJ79" si="273">IFERROR(VALUE(IF(OR(EQ45="--",EQ45="0.00%"),$EE$1,EQ45)),$EE$1)</f>
        <v>0.25</v>
      </c>
      <c r="EK45" s="63">
        <f ca="1">+DV45*DX45*$A$44*$A$44+DW45*DY45*$A$44*$A$44</f>
        <v>4698747.7999157533</v>
      </c>
      <c r="EL45" s="83" t="str">
        <f>RTD("tos.rtd",,EL$43,"."&amp;$A$43&amp;$AS$42&amp;"C"&amp;$A45)</f>
        <v>134.96%</v>
      </c>
      <c r="EM45" s="83" t="str">
        <f>RTD("tos.rtd",,EM$43,"."&amp;$A$43&amp;$AS$42&amp;"P"&amp;$A45)</f>
        <v>216.62%</v>
      </c>
      <c r="EN45" s="83" t="str">
        <f>RTD("tos.rtd",,EN$2,"."&amp;$A$43&amp;$AU$1&amp;"C"&amp;$A45)</f>
        <v>22.45%</v>
      </c>
      <c r="EO45" s="83" t="str">
        <f>RTD("tos.rtd",,EO$2,"."&amp;$A$43&amp;$AU$1&amp;"P"&amp;$A45)</f>
        <v>18.43%</v>
      </c>
      <c r="EP45" s="83" t="str">
        <f>RTD("tos.rtd",,EP$2,"."&amp;$A$43&amp;$AW$1&amp;"C"&amp;$A45)</f>
        <v>N/A</v>
      </c>
      <c r="EQ45" s="83" t="str">
        <f>RTD("tos.rtd",,EQ$2,"."&amp;$A$43&amp;$AW$1&amp;"P"&amp;$A45)</f>
        <v>N/A</v>
      </c>
      <c r="ES45" s="63" t="str">
        <f t="shared" ref="ES45:ES79" si="274">IFERROR(
    A45 &amp; "," &amp; TEXT(IF(ISNUMBER(DV45+DW45), DV45+DW45, 0), "00.00"),    "Error"
)</f>
        <v>522,1516.00</v>
      </c>
      <c r="ET45" s="63" t="str">
        <f t="shared" ref="ET45:ET79" ca="1" si="275">IF(ISERROR(
    A45 &amp; "," &amp; TEXT(
        IF($E$1="GEX-VOL", IF(ISNUMBER(BX45+BZ45+CB45), (BX45+BZ45+CB45)/1000, 0),
           IF($E$1="GEX-OI", IF(ISNUMBER(BQ45+BS45+BU45), (BQ45+BS45+BU45)/1000, 0),
               IF($E$1="DEX",IF(ISNUMBER(CK45+CM45+CO45), (CK45+CM45+CO45)/1000, 0),
                  IF($E$1="VOLPRES",IF(ISNUMBER(DJ45+DK45), (DJ45+DK45), 0),
                     IF(ISNUMBER(EK45), (EK45), 0)
        )))),
    "00.00")
), "Error",
A45 &amp; "," &amp; TEXT(
        IF($E$1="GEX-VOL", IF(ISNUMBER(BX45+BZ45+CB45), (BX45+BZ45+CB45)/1000, 0),
           IF($E$1="GEX-OI", IF(ISNUMBER(BQ45+BS45+BU45), (BQ45+BS45+BU45)/1000, 0),
               IF($E$1="DEX", IF(ISNUMBER(CK45+CM45+CO45), (CK45+CM45+CO45)/1000, 0),
                  IF($E$1="VOLPRES",IF(ISNUMBER(DJ45+DK45), (DJ45+DK45), 0),
                    IF(ISNUMBER(EK45), (EK45), 0)
        )))),
    "00.00")
)</f>
        <v>522,13153.01</v>
      </c>
      <c r="EU45" s="67">
        <v>564.79999999999995</v>
      </c>
      <c r="EV45" s="67" t="s">
        <v>379</v>
      </c>
      <c r="EW45" s="67">
        <v>487.92</v>
      </c>
      <c r="EX45" s="67" t="s">
        <v>380</v>
      </c>
      <c r="EY45" s="67">
        <v>5659.91</v>
      </c>
      <c r="EZ45" s="67" t="s">
        <v>381</v>
      </c>
      <c r="FA45" s="67">
        <v>20061.449000000001</v>
      </c>
      <c r="FB45" s="67" t="s">
        <v>382</v>
      </c>
      <c r="FC45" s="67" t="s">
        <v>383</v>
      </c>
      <c r="FD45" s="67" t="s">
        <v>384</v>
      </c>
      <c r="FE45" s="68" t="s">
        <v>385</v>
      </c>
      <c r="FF45" s="68" t="s">
        <v>386</v>
      </c>
    </row>
    <row r="46" spans="1:162" ht="13.5" thickBot="1" x14ac:dyDescent="0.25">
      <c r="A46" s="2">
        <f>+A45-$A$39</f>
        <v>521</v>
      </c>
      <c r="B46" s="3">
        <f t="shared" si="241"/>
        <v>1438</v>
      </c>
      <c r="C46" s="3">
        <f t="shared" si="242"/>
        <v>1090</v>
      </c>
      <c r="D46" s="3">
        <f t="shared" si="243"/>
        <v>0</v>
      </c>
      <c r="E46" s="3">
        <f>SUM(B46:D46)</f>
        <v>2528</v>
      </c>
      <c r="F46" s="4">
        <f>+$F$44/$A$44*A46</f>
        <v>21494.097919867625</v>
      </c>
      <c r="AM46" s="1">
        <v>1201</v>
      </c>
      <c r="AN46" s="1">
        <v>-30</v>
      </c>
      <c r="AO46" s="1">
        <v>521</v>
      </c>
      <c r="AP46" s="1">
        <v>3837</v>
      </c>
      <c r="AQ46" s="1">
        <v>-34</v>
      </c>
      <c r="AS46" s="6">
        <f>IF(RTD("tos.rtd",,AS$43,"."&amp;$A$43&amp;$AS$42&amp;"C"&amp;$A46)="N/A",0,RTD("tos.rtd",,AS$43,"."&amp;$A$43&amp;$AS$42&amp;"C"&amp;$A46))</f>
        <v>1438</v>
      </c>
      <c r="AT46" s="7">
        <f>-IF(RTD("tos.rtd",,AT$43,"."&amp;$A$43&amp;$AS$42&amp;"P"&amp;$A46)="N/A",0,RTD("tos.rtd",,AT$43,"."&amp;$A$43&amp;$AS$42&amp;"P"&amp;$A46))</f>
        <v>0</v>
      </c>
      <c r="AU46" s="6">
        <f>IF(RTD("tos.rtd",,AU$2,"."&amp;$A$43&amp;$AU$1&amp;"C"&amp;$A46)="N/A",0,RTD("tos.rtd",,AU$2,"."&amp;$A$43&amp;$AU$1&amp;"C"&amp;$A46))</f>
        <v>1090</v>
      </c>
      <c r="AV46" s="7">
        <f>-IF(RTD("tos.rtd",,AV$2,"."&amp;$A$43&amp;$AU$1&amp;"P"&amp;$A46)="N/A",0,RTD("tos.rtd",,AV$2,"."&amp;$A$43&amp;$AU$1&amp;"P"&amp;$A46))</f>
        <v>0</v>
      </c>
      <c r="AW46" s="6">
        <f>IF(RTD("tos.rtd",,AW$2,"."&amp;$A$43&amp;$AW$1&amp;"C"&amp;$A46)="N/A",0,RTD("tos.rtd",,AW$2,"."&amp;$A$43&amp;$AW$1&amp;"C"&amp;$A46))</f>
        <v>0</v>
      </c>
      <c r="AX46" s="7">
        <f>-IF(RTD("tos.rtd",,AX$2,"."&amp;$A$43&amp;$AW$1&amp;"P"&amp;$A46)="N/A",0,RTD("tos.rtd",,AX$2,"."&amp;$A$43&amp;$AW$1&amp;"P"&amp;$A46))</f>
        <v>0</v>
      </c>
      <c r="AY46" s="7">
        <f t="shared" ref="AY46:AY79" si="276">SUM(AS46:AX46)</f>
        <v>2528</v>
      </c>
      <c r="AZ46" s="8">
        <f t="shared" si="245"/>
        <v>521</v>
      </c>
      <c r="BA46" s="6">
        <f>IF(RTD("tos.rtd",,BA$43,"."&amp;$A$43&amp;$AS$42&amp;"C"&amp;$A46)="N/A",0,RTD("tos.rtd",,BA$43,"."&amp;$A$43&amp;$AS$42&amp;"C"&amp;$A46))</f>
        <v>3837</v>
      </c>
      <c r="BB46" s="7">
        <f>-IF(RTD("tos.rtd",,BB$43,"."&amp;$A$43&amp;$AS$42&amp;"P"&amp;$A46)="N/A",0,RTD("tos.rtd",,BB$43,"."&amp;$A$43&amp;$AS$42&amp;"P"&amp;$A46))</f>
        <v>-34</v>
      </c>
      <c r="BC46" s="6">
        <f>IF(RTD("tos.rtd",,BC$2,"."&amp;$A$43&amp;$AU$1&amp;"C"&amp;$A46)="N/A",0,RTD("tos.rtd",,BC$2,"."&amp;$A$43&amp;$AU$1&amp;"C"&amp;$A46))</f>
        <v>991</v>
      </c>
      <c r="BD46" s="7">
        <f>-IF(RTD("tos.rtd",,BD$2,"."&amp;$A$43&amp;$AU$1&amp;"P"&amp;$A46)="N/A",0,RTD("tos.rtd",,BD$2,"."&amp;$A$43&amp;$AU$1&amp;"P"&amp;$A46))</f>
        <v>-98</v>
      </c>
      <c r="BE46" s="6">
        <f>IF(RTD("tos.rtd",,BE$2,"."&amp;$A$43&amp;$AW$1&amp;"C"&amp;$A46)="N/A",0,RTD("tos.rtd",,BE$2,"."&amp;$A$43&amp;$AW$1&amp;"C"&amp;$A46))</f>
        <v>0</v>
      </c>
      <c r="BF46" s="7">
        <f>-IF(RTD("tos.rtd",,BF$2,"."&amp;$A$43&amp;$AW$1&amp;"P"&amp;$A46)="N/A",0,RTD("tos.rtd",,BF$2,"."&amp;$A$43&amp;$AW$1&amp;"P"&amp;$A46))</f>
        <v>0</v>
      </c>
      <c r="BG46" s="32">
        <f ca="1">+Hoja2!Y47</f>
        <v>528</v>
      </c>
      <c r="BH46" s="7">
        <f t="shared" ref="BH46:BH79" ca="1" si="277">SUM(BA46:BG46)</f>
        <v>5224</v>
      </c>
      <c r="BI46" s="8" t="str">
        <f ca="1">IF(AND(BH46&lt;0,BH45&gt;0), "Cruce -", IF(AND(BH46&gt;0,BH45&lt;0),"Cruce +", ""))</f>
        <v/>
      </c>
      <c r="BJ46" s="83">
        <f ca="1">IF($BP$1=1,DX46,IF(RTD("tos.rtd",,BJ$43,"."&amp;$A$43&amp;$AS$42&amp;"C"&amp;$A46)="N/A",0,RTD("tos.rtd",,BJ$43,"."&amp;$A$43&amp;$AS$42&amp;"C"&amp;$A46)))</f>
        <v>1.3025949342835389E-2</v>
      </c>
      <c r="BK46" s="83">
        <f ca="1">IF($BP$1=1,DY46,-IF(RTD("tos.rtd",,BK$43,"."&amp;$A$43&amp;$AS$42&amp;"P"&amp;$A46)="N/A",0,RTD("tos.rtd",,BK$43,"."&amp;$A$43&amp;$AS$42&amp;"P"&amp;$A46)))</f>
        <v>-1.860783250561588E-2</v>
      </c>
      <c r="BL46" s="83">
        <f ca="1">IF($BP$1=1,DZ46,IF(RTD("tos.rtd",,BL$2,"."&amp;$A$43&amp;$AU$1&amp;"C"&amp;$A46)="N/A",0,RTD("tos.rtd",,BL$2,"."&amp;$A$43&amp;$AU$1&amp;"C"&amp;$A46)))</f>
        <v>1.8937650518844551E-2</v>
      </c>
      <c r="BM46" s="83">
        <f ca="1">IF($BP$1=1,EA46,-IF(RTD("tos.rtd",,BM$2,"."&amp;$A$43&amp;$AU$1&amp;"P"&amp;$A46)="N/A",0,RTD("tos.rtd",,BM$2,"."&amp;$A$43&amp;$AU$1&amp;"P"&amp;$A46)))</f>
        <v>-1.8957994409137657E-2</v>
      </c>
      <c r="BN46" s="83">
        <f ca="1">IF($BP$1=1,EB46,IF(RTD("tos.rtd",,BN$2,"."&amp;$A$43&amp;$AW$1&amp;"C"&amp;$A46)="N/A",0,RTD("tos.rtd",,BN$2,"."&amp;$A$43&amp;$AW$1&amp;"C"&amp;$A46)))</f>
        <v>1.8424927693928093E-2</v>
      </c>
      <c r="BO46" s="83">
        <f ca="1">IF($BP$1=1,EC46,-IF(RTD("tos.rtd",,BO$2,"."&amp;$A$43&amp;$AW$1&amp;"P"&amp;$A46)="N/A",0,RTD("tos.rtd",,BO$2,"."&amp;$A$43&amp;$AW$1&amp;"P"&amp;$A46)))</f>
        <v>-1.8424927693928093E-2</v>
      </c>
      <c r="BQ46" s="83">
        <f t="shared" ref="BQ46:BQ79" ca="1" si="278">+$A$44*$A$44*AS46*BJ46-$A$44*$A$44*AT46*BK46</f>
        <v>4827409.7339921109</v>
      </c>
      <c r="BR46" s="3" t="str">
        <f t="shared" ref="BR46:BR79" ca="1" si="279">IF(AND(BQ46&lt;0,BQ45&gt;0), "Cruce -", IF(AND(BQ46&gt;0,BQ45&lt;0),"Cruce +", ""))</f>
        <v/>
      </c>
      <c r="BS46" s="83">
        <f t="shared" ref="BS46:BS79" ca="1" si="280">+$A$44*$A$44*AU46*BL46-$A$44*$A$44*AV46*BM46</f>
        <v>5319838.9696545759</v>
      </c>
      <c r="BT46" s="3" t="str">
        <f t="shared" ref="BT46:BT79" ca="1" si="281">IF(AND(BS46&lt;0,BS45&gt;0), "Cruce -", IF(AND(BS46&gt;0,BS45&lt;0),"Cruce +", ""))</f>
        <v/>
      </c>
      <c r="BU46" s="83">
        <f t="shared" ref="BU46:BU79" ca="1" si="282">+$A$44*$A$44*AW46*BN46-$A$44*$A$44*AX46*BO46</f>
        <v>0</v>
      </c>
      <c r="BV46" s="83"/>
      <c r="BX46" s="83">
        <f t="shared" ref="BX46:BX79" ca="1" si="283">+$A$44*$A$44*BA46*BJ46-$A$44*$A$44*BB46*BK46</f>
        <v>12717875.772672232</v>
      </c>
      <c r="BY46" s="83" t="str">
        <f ca="1">IF(AND(BX46&lt;0,BX45&gt;0), "Cruce -", IF(AND(BX46&gt;0,BX45&lt;0),"Cruce +", ""))</f>
        <v/>
      </c>
      <c r="BZ46" s="83">
        <f t="shared" ref="BZ46:BZ79" ca="1" si="284">+$A$44*$A$44*BC46*BL46-$A$44*$A$44*BD46*BM46</f>
        <v>4357849.6721028341</v>
      </c>
      <c r="CA46" s="83" t="str">
        <f ca="1">IF(AND(BZ46&lt;0,BZ45&gt;0), "Cruce -", IF(AND(BZ46&gt;0,BZ45&lt;0),"Cruce +", ""))</f>
        <v/>
      </c>
      <c r="CB46" s="83">
        <f t="shared" ref="CB46:CB79" ca="1" si="285">+$A$44*$A$44*BE46*BN46-$A$44*$A$44*BF46*BO46</f>
        <v>0</v>
      </c>
      <c r="CC46" s="83" t="str">
        <f ca="1">IF(AND(CB46&lt;0,CB45&gt;0), "Cruce -", IF(AND(CB46&gt;0,CB45&lt;0),"Cruce +", ""))</f>
        <v/>
      </c>
      <c r="CD46" s="83">
        <f>IF(RTD("tos.rtd",,CD$43,"."&amp;$A$43&amp;$AS$42&amp;"C"&amp;$A46)="N/A",0,RTD("tos.rtd",,CD$43,"."&amp;$A$43&amp;$AS$42&amp;"C"&amp;$A46))</f>
        <v>0</v>
      </c>
      <c r="CE46" s="83">
        <f>-IF(RTD("tos.rtd",,CE$43,"."&amp;$A$43&amp;$AS$42&amp;"P"&amp;$A46)="N/A",0,RTD("tos.rtd",,CE$43,"."&amp;$A$43&amp;$AS$42&amp;"P"&amp;$A46))</f>
        <v>0.94</v>
      </c>
      <c r="CF46" s="83">
        <f>IF(RTD("tos.rtd",,CF$2,"."&amp;$A$43&amp;$AU$1&amp;"C"&amp;$A46)="N/A",0,RTD("tos.rtd",,CF$2,"."&amp;$A$43&amp;$AU$1&amp;"C"&amp;$A46))</f>
        <v>0.14000000000000001</v>
      </c>
      <c r="CG46" s="83">
        <f>-IF(RTD("tos.rtd",,CG$2,"."&amp;$A$43&amp;$AU$1&amp;"P"&amp;$A46)="N/A",0,RTD("tos.rtd",,CG$2,"."&amp;$A$43&amp;$AU$1&amp;"P"&amp;$A46))</f>
        <v>0.91</v>
      </c>
      <c r="CH46" s="83">
        <f>IF(RTD("tos.rtd",,CH$2,"."&amp;$A$43&amp;$AW$1&amp;"C"&amp;$A46)="N/A",0,RTD("tos.rtd",,CH$2,"."&amp;$A$43&amp;$AW$1&amp;"C"&amp;$A46))</f>
        <v>0</v>
      </c>
      <c r="CI46" s="83">
        <f>-IF(RTD("tos.rtd",,CI$2,"."&amp;$A$43&amp;$AW$1&amp;"P"&amp;$A46)="N/A",0,RTD("tos.rtd",,CI$2,"."&amp;$A$43&amp;$AW$1&amp;"P"&amp;$A46))</f>
        <v>0</v>
      </c>
      <c r="CK46" s="83">
        <f t="shared" ref="CK46:CK79" si="286">+AS46*CD46*100+AT46*CE46*100</f>
        <v>0</v>
      </c>
      <c r="CL46" s="83"/>
      <c r="CM46" s="83">
        <f t="shared" ref="CM46:CM79" si="287">+AU46*CF46*100+AV46*CG46*100</f>
        <v>15260.000000000002</v>
      </c>
      <c r="CN46" s="83"/>
      <c r="CO46" s="83">
        <f t="shared" ref="CO46:CO79" si="288">+AW46*CH46*100+AX46*CI46*100</f>
        <v>0</v>
      </c>
      <c r="CP46" s="83">
        <f t="shared" si="235"/>
        <v>15260.000000000002</v>
      </c>
      <c r="CQ46" s="83">
        <f t="shared" si="249"/>
        <v>3803</v>
      </c>
      <c r="CR46" s="83"/>
      <c r="CS46" s="83">
        <f t="shared" si="250"/>
        <v>893</v>
      </c>
      <c r="CT46" s="83"/>
      <c r="CU46" s="83">
        <f t="shared" si="251"/>
        <v>0</v>
      </c>
      <c r="CV46" s="83"/>
      <c r="CW46" s="83">
        <f t="shared" ca="1" si="252"/>
        <v>10147248.703646686</v>
      </c>
      <c r="CY46" s="83">
        <f t="shared" ca="1" si="253"/>
        <v>17075725.444775067</v>
      </c>
      <c r="CZ46" s="70" t="str">
        <f ca="1">IF(AND(CY46&lt;0,CY45&gt;0), "Cruce -", IF(AND(CY46&gt;0,CY45&lt;0),"Cruce +", ""))</f>
        <v/>
      </c>
      <c r="DA46" s="83">
        <f>IF(RTD("tos.rtd",,DA$43,"."&amp;$A$43&amp;$AS$42&amp;"C"&amp;$A46)="N/A",0,RTD("tos.rtd",,DA$43,"."&amp;$A$43&amp;$AS$42&amp;"C"&amp;$A46))</f>
        <v>0.01</v>
      </c>
      <c r="DB46" s="83">
        <f>IF(RTD("tos.rtd",,DB$43,"."&amp;$A$43&amp;$AS$42&amp;"P"&amp;$A46)="N/A",0,RTD("tos.rtd",,DB$43,"."&amp;$A$43&amp;$AS$42&amp;"P"&amp;$A46))</f>
        <v>15.21</v>
      </c>
      <c r="DC46" s="83">
        <f>IF(RTD("tos.rtd",,DC$43,"."&amp;$A$43&amp;$AS$42&amp;"C"&amp;$A46)="N/A",0,RTD("tos.rtd",,DC$43,"."&amp;$A$43&amp;$AS$42&amp;"C"&amp;$A46))</f>
        <v>0.01</v>
      </c>
      <c r="DD46" s="83">
        <f>IF(RTD("tos.rtd",,DD$43,"."&amp;$A$43&amp;$AS$42&amp;"P"&amp;$A46)="N/A",0,RTD("tos.rtd",,DD$43,"."&amp;$A$43&amp;$AS$42&amp;"P"&amp;$A46))</f>
        <v>13.6</v>
      </c>
      <c r="DE46" s="83">
        <f>IF(RTD("tos.rtd",,DE$43,"."&amp;$A$43&amp;$AS$42&amp;"C"&amp;$A46)="N/A",0,RTD("tos.rtd",,DE$43,"."&amp;$A$43&amp;$AS$42&amp;"C"&amp;$A46))</f>
        <v>0</v>
      </c>
      <c r="DF46" s="83">
        <f>IF(RTD("tos.rtd",,DF$43,"."&amp;$A$43&amp;$AS$42&amp;"P"&amp;$A46)="N/A",0,RTD("tos.rtd",,DF$43,"."&amp;$A$43&amp;$AS$42&amp;"P"&amp;$A46))</f>
        <v>13.31</v>
      </c>
      <c r="DG46" s="86">
        <f t="shared" ref="DG46:DG79" si="289">+$A46-$A$44</f>
        <v>13.339999999999975</v>
      </c>
      <c r="DH46" s="83">
        <f t="shared" si="254"/>
        <v>0</v>
      </c>
      <c r="DI46" s="83">
        <f t="shared" si="255"/>
        <v>0</v>
      </c>
      <c r="DJ46" s="83">
        <f t="shared" si="256"/>
        <v>0</v>
      </c>
      <c r="DK46" s="83">
        <f t="shared" si="257"/>
        <v>0</v>
      </c>
      <c r="DL46" s="83">
        <f t="shared" si="258"/>
        <v>0</v>
      </c>
      <c r="DM46" s="83">
        <f t="shared" si="259"/>
        <v>0</v>
      </c>
      <c r="DN46" s="64" t="str">
        <f t="shared" si="260"/>
        <v>UNKNOWN</v>
      </c>
      <c r="DO46" s="64" t="str">
        <f t="shared" si="261"/>
        <v>UNKNOWN</v>
      </c>
      <c r="DP46" s="83">
        <f t="shared" si="262"/>
        <v>0</v>
      </c>
      <c r="DQ46" s="83">
        <f t="shared" si="263"/>
        <v>0</v>
      </c>
      <c r="DR46" s="83">
        <f t="shared" ca="1" si="264"/>
        <v>0</v>
      </c>
      <c r="DS46" s="83">
        <f t="shared" si="265"/>
        <v>0</v>
      </c>
      <c r="DT46" s="83">
        <f t="shared" ref="DT46:DT79" si="290">BA46-VLOOKUP(AZ46,$AO$45:$AQ$79,2,FALSE)</f>
        <v>0</v>
      </c>
      <c r="DU46" s="83">
        <f t="shared" ref="DU46:DU79" si="291">BB46-VLOOKUP(AZ46,$AO$45:$AQ$79,3,FALSE)</f>
        <v>0</v>
      </c>
      <c r="DV46" s="83">
        <f t="shared" si="266"/>
        <v>1201</v>
      </c>
      <c r="DW46" s="83">
        <f t="shared" si="267"/>
        <v>-30</v>
      </c>
      <c r="DX46" s="83">
        <f ca="1">(EXP(-POWER((LN($A$44/$A46)+($EC$1+POWER($EE46,2)/2)*($EM$1/$DY$1))/($EE46*SQRT($EM$1/$DY$1)),2)/2)/SQRT(2*PI())/($A$44*$EE46*SQRT($EM$1/$DY$1)))</f>
        <v>1.3025949342835389E-2</v>
      </c>
      <c r="DY46" s="83">
        <f ca="1">-(EXP(-POWER((LN($A$44/$A46)+($EC$1+POWER($EF46,2)/2)*($EM$1/$DY$1))/($EF46*SQRT($EM$1/$DY$1)),2)/2)/SQRT(2*PI())/($A$44*$EF46*SQRT($EM$1/$DY$1)))</f>
        <v>-1.860783250561588E-2</v>
      </c>
      <c r="DZ46" s="83">
        <f ca="1">(EXP(-POWER((LN($A$44/$A46)+($EC$1+POWER($EG46,2)/2)*($EO$1/$DY$1))/($EG46*SQRT($EO$1/$DY$1)),2)/2)/SQRT(2*PI())/($A$44*$EG46*SQRT($EO$1/$DY$1)))</f>
        <v>1.8937650518844551E-2</v>
      </c>
      <c r="EA46" s="83">
        <f ca="1">-(EXP(-POWER((LN($A$44/$A46)+($EC$1+POWER($EH46,2)/2)*($EO$1/$DY$1))/($EH46*SQRT($EO$1/$DY$1)),2)/2)/SQRT(2*PI())/($A$44*$EH46*SQRT($EO$1/$DY$1)))</f>
        <v>-1.8957994409137657E-2</v>
      </c>
      <c r="EB46" s="83">
        <f ca="1">(EXP(-POWER((LN($A$44/$A46)+($EC$1+POWER($EI46,2)/2)*($EO$1/$DY$1))/($EI46*SQRT($EO$1/$DY$1)),2)/2)/SQRT(2*PI())/($A$44*$EI46*SQRT($EO$1/$DY$1)))</f>
        <v>1.8424927693928093E-2</v>
      </c>
      <c r="EC46" s="83">
        <f ca="1">-(EXP(-POWER((LN($A$44/$A46)+($EC$1+POWER($EJ46,2)/2)*($EO$1/$DY$1))/($EJ46*SQRT($EO$1/$DY$1)),2)/2)/SQRT(2*PI())/($A$44*$EJ46*SQRT($EO$1/$DY$1)))</f>
        <v>-1.8424927693928093E-2</v>
      </c>
      <c r="ED46" s="63">
        <f t="shared" ref="ED46:ED79" si="292">+DV46+DW46</f>
        <v>1171</v>
      </c>
      <c r="EE46" s="84">
        <f t="shared" si="268"/>
        <v>1.2659</v>
      </c>
      <c r="EF46" s="84">
        <f t="shared" si="269"/>
        <v>2.0348000000000002</v>
      </c>
      <c r="EG46" s="84">
        <f t="shared" si="270"/>
        <v>0.22389999999999999</v>
      </c>
      <c r="EH46" s="84">
        <f t="shared" si="271"/>
        <v>0.1895</v>
      </c>
      <c r="EI46" s="84">
        <f t="shared" si="272"/>
        <v>0.25</v>
      </c>
      <c r="EJ46" s="84">
        <f t="shared" si="273"/>
        <v>0.25</v>
      </c>
      <c r="EK46" s="63">
        <f t="shared" ref="EK46:EK79" ca="1" si="293">+DV46*DX46*$A$44*$A$44+DW46*DY46*$A$44*$A$44</f>
        <v>4175661.1045689597</v>
      </c>
      <c r="EL46" s="83" t="str">
        <f>RTD("tos.rtd",,EL$43,"."&amp;$A$43&amp;$AS$42&amp;"C"&amp;$A46)</f>
        <v>126.59%</v>
      </c>
      <c r="EM46" s="83" t="str">
        <f>RTD("tos.rtd",,EM$43,"."&amp;$A$43&amp;$AS$42&amp;"P"&amp;$A46)</f>
        <v>203.48%</v>
      </c>
      <c r="EN46" s="83" t="str">
        <f>RTD("tos.rtd",,EN$2,"."&amp;$A$43&amp;$AU$1&amp;"C"&amp;$A46)</f>
        <v>22.39%</v>
      </c>
      <c r="EO46" s="83" t="str">
        <f>RTD("tos.rtd",,EO$2,"."&amp;$A$43&amp;$AU$1&amp;"P"&amp;$A46)</f>
        <v>18.95%</v>
      </c>
      <c r="EP46" s="83" t="str">
        <f>RTD("tos.rtd",,EP$2,"."&amp;$A$43&amp;$AW$1&amp;"C"&amp;$A46)</f>
        <v>N/A</v>
      </c>
      <c r="EQ46" s="83" t="str">
        <f>RTD("tos.rtd",,EQ$2,"."&amp;$A$43&amp;$AW$1&amp;"P"&amp;$A46)</f>
        <v>N/A</v>
      </c>
      <c r="ES46" s="63" t="str">
        <f t="shared" si="274"/>
        <v>521,1171.00</v>
      </c>
      <c r="ET46" s="63" t="str">
        <f t="shared" ca="1" si="275"/>
        <v>521,17075.73</v>
      </c>
      <c r="EU46" s="67">
        <v>564.79999999999995</v>
      </c>
      <c r="EV46" s="67" t="s">
        <v>387</v>
      </c>
      <c r="EW46" s="67">
        <v>487.92</v>
      </c>
      <c r="EX46" s="67" t="s">
        <v>388</v>
      </c>
      <c r="EY46" s="67">
        <v>5659.91</v>
      </c>
      <c r="EZ46" s="67" t="s">
        <v>389</v>
      </c>
      <c r="FA46" s="67">
        <v>20061.449000000001</v>
      </c>
      <c r="FB46" s="67" t="s">
        <v>390</v>
      </c>
      <c r="FC46" s="67" t="s">
        <v>391</v>
      </c>
      <c r="FD46" s="67" t="s">
        <v>392</v>
      </c>
      <c r="FE46" s="68" t="s">
        <v>393</v>
      </c>
      <c r="FF46" s="68" t="s">
        <v>394</v>
      </c>
    </row>
    <row r="47" spans="1:162" ht="13.5" thickBot="1" x14ac:dyDescent="0.25">
      <c r="A47" s="2">
        <f t="shared" ref="A47:A79" si="294">+A46-$A$39</f>
        <v>520</v>
      </c>
      <c r="B47" s="3">
        <f t="shared" si="241"/>
        <v>4174</v>
      </c>
      <c r="C47" s="3">
        <f t="shared" si="242"/>
        <v>11678</v>
      </c>
      <c r="D47" s="3">
        <f t="shared" si="243"/>
        <v>8360</v>
      </c>
      <c r="E47" s="3">
        <f>SUM(B47:D47)</f>
        <v>24212</v>
      </c>
      <c r="F47" s="4">
        <f>+$F$44/$A$44*A47</f>
        <v>21452.842453610683</v>
      </c>
      <c r="AM47" s="1">
        <v>-438</v>
      </c>
      <c r="AN47" s="1">
        <v>-277</v>
      </c>
      <c r="AO47" s="1">
        <v>520</v>
      </c>
      <c r="AP47" s="1">
        <v>5448</v>
      </c>
      <c r="AQ47" s="1">
        <v>-565</v>
      </c>
      <c r="AS47" s="6">
        <f>IF(RTD("tos.rtd",,AS$43,"."&amp;$A$43&amp;$AS$42&amp;"C"&amp;$A47)="N/A",0,RTD("tos.rtd",,AS$43,"."&amp;$A$43&amp;$AS$42&amp;"C"&amp;$A47))</f>
        <v>4173</v>
      </c>
      <c r="AT47" s="7">
        <f>-IF(RTD("tos.rtd",,AT$43,"."&amp;$A$43&amp;$AS$42&amp;"P"&amp;$A47)="N/A",0,RTD("tos.rtd",,AT$43,"."&amp;$A$43&amp;$AS$42&amp;"P"&amp;$A47))</f>
        <v>-1</v>
      </c>
      <c r="AU47" s="6">
        <f>IF(RTD("tos.rtd",,AU$2,"."&amp;$A$43&amp;$AU$1&amp;"C"&amp;$A47)="N/A",0,RTD("tos.rtd",,AU$2,"."&amp;$A$43&amp;$AU$1&amp;"C"&amp;$A47))</f>
        <v>11662</v>
      </c>
      <c r="AV47" s="7">
        <f>-IF(RTD("tos.rtd",,AV$2,"."&amp;$A$43&amp;$AU$1&amp;"P"&amp;$A47)="N/A",0,RTD("tos.rtd",,AV$2,"."&amp;$A$43&amp;$AU$1&amp;"P"&amp;$A47))</f>
        <v>-16</v>
      </c>
      <c r="AW47" s="6">
        <f>IF(RTD("tos.rtd",,AW$2,"."&amp;$A$43&amp;$AW$1&amp;"C"&amp;$A47)="N/A",0,RTD("tos.rtd",,AW$2,"."&amp;$A$43&amp;$AW$1&amp;"C"&amp;$A47))</f>
        <v>8014</v>
      </c>
      <c r="AX47" s="7">
        <f>-IF(RTD("tos.rtd",,AX$2,"."&amp;$A$43&amp;$AW$1&amp;"P"&amp;$A47)="N/A",0,RTD("tos.rtd",,AX$2,"."&amp;$A$43&amp;$AW$1&amp;"P"&amp;$A47))</f>
        <v>-346</v>
      </c>
      <c r="AY47" s="7">
        <f t="shared" si="276"/>
        <v>23486</v>
      </c>
      <c r="AZ47" s="8">
        <f t="shared" si="245"/>
        <v>520</v>
      </c>
      <c r="BA47" s="6">
        <f>IF(RTD("tos.rtd",,BA$43,"."&amp;$A$43&amp;$AS$42&amp;"C"&amp;$A47)="N/A",0,RTD("tos.rtd",,BA$43,"."&amp;$A$43&amp;$AS$42&amp;"C"&amp;$A47))</f>
        <v>5448</v>
      </c>
      <c r="BB47" s="7">
        <f>-IF(RTD("tos.rtd",,BB$43,"."&amp;$A$43&amp;$AS$42&amp;"P"&amp;$A47)="N/A",0,RTD("tos.rtd",,BB$43,"."&amp;$A$43&amp;$AS$42&amp;"P"&amp;$A47))</f>
        <v>-565</v>
      </c>
      <c r="BC47" s="6">
        <f>IF(RTD("tos.rtd",,BC$2,"."&amp;$A$43&amp;$AU$1&amp;"C"&amp;$A47)="N/A",0,RTD("tos.rtd",,BC$2,"."&amp;$A$43&amp;$AU$1&amp;"C"&amp;$A47))</f>
        <v>12062</v>
      </c>
      <c r="BD47" s="7">
        <f>-IF(RTD("tos.rtd",,BD$2,"."&amp;$A$43&amp;$AU$1&amp;"P"&amp;$A47)="N/A",0,RTD("tos.rtd",,BD$2,"."&amp;$A$43&amp;$AU$1&amp;"P"&amp;$A47))</f>
        <v>-649</v>
      </c>
      <c r="BE47" s="6">
        <f>IF(RTD("tos.rtd",,BE$2,"."&amp;$A$43&amp;$AW$1&amp;"C"&amp;$A47)="N/A",0,RTD("tos.rtd",,BE$2,"."&amp;$A$43&amp;$AW$1&amp;"C"&amp;$A47))</f>
        <v>12389</v>
      </c>
      <c r="BF47" s="7">
        <f>-IF(RTD("tos.rtd",,BF$2,"."&amp;$A$43&amp;$AW$1&amp;"P"&amp;$A47)="N/A",0,RTD("tos.rtd",,BF$2,"."&amp;$A$43&amp;$AW$1&amp;"P"&amp;$A47))</f>
        <v>-184</v>
      </c>
      <c r="BG47" s="32">
        <f ca="1">+Hoja2!Y48</f>
        <v>18795</v>
      </c>
      <c r="BH47" s="7">
        <f t="shared" ca="1" si="277"/>
        <v>47296</v>
      </c>
      <c r="BI47" s="8" t="str">
        <f t="shared" ref="BI47:BI79" ca="1" si="295">IF(AND(BH47&lt;0,BH46&gt;0), "Cruce -", IF(AND(BH47&gt;0,BH46&lt;0),"Cruce +", ""))</f>
        <v/>
      </c>
      <c r="BJ47" s="83">
        <f ca="1">IF($BP$1=1,DX47,IF(RTD("tos.rtd",,BJ$43,"."&amp;$A$43&amp;$AS$42&amp;"C"&amp;$A47)="N/A",0,RTD("tos.rtd",,BJ$43,"."&amp;$A$43&amp;$AS$42&amp;"C"&amp;$A47)))</f>
        <v>1.4243658916788578E-2</v>
      </c>
      <c r="BK47" s="83">
        <f ca="1">IF($BP$1=1,DY47,-IF(RTD("tos.rtd",,BK$43,"."&amp;$A$43&amp;$AS$42&amp;"P"&amp;$A47)="N/A",0,RTD("tos.rtd",,BK$43,"."&amp;$A$43&amp;$AS$42&amp;"P"&amp;$A47)))</f>
        <v>-2.008831782289499E-2</v>
      </c>
      <c r="BL47" s="83">
        <f ca="1">IF($BP$1=1,DZ47,IF(RTD("tos.rtd",,BL$2,"."&amp;$A$43&amp;$AU$1&amp;"C"&amp;$A47)="N/A",0,RTD("tos.rtd",,BL$2,"."&amp;$A$43&amp;$AU$1&amp;"C"&amp;$A47)))</f>
        <v>2.0133149763166644E-2</v>
      </c>
      <c r="BM47" s="83">
        <f ca="1">IF($BP$1=1,EA47,-IF(RTD("tos.rtd",,BM$2,"."&amp;$A$43&amp;$AU$1&amp;"P"&amp;$A47)="N/A",0,RTD("tos.rtd",,BM$2,"."&amp;$A$43&amp;$AU$1&amp;"P"&amp;$A47)))</f>
        <v>-2.0615282773124945E-2</v>
      </c>
      <c r="BN47" s="83">
        <f ca="1">IF($BP$1=1,EB47,IF(RTD("tos.rtd",,BN$2,"."&amp;$A$43&amp;$AW$1&amp;"C"&amp;$A47)="N/A",0,RTD("tos.rtd",,BN$2,"."&amp;$A$43&amp;$AW$1&amp;"C"&amp;$A47)))</f>
        <v>2.0625737969346167E-2</v>
      </c>
      <c r="BO47" s="83">
        <f ca="1">IF($BP$1=1,EC47,-IF(RTD("tos.rtd",,BO$2,"."&amp;$A$43&amp;$AW$1&amp;"P"&amp;$A47)="N/A",0,RTD("tos.rtd",,BO$2,"."&amp;$A$43&amp;$AW$1&amp;"P"&amp;$A47)))</f>
        <v>-2.0427050664966979E-2</v>
      </c>
      <c r="BQ47" s="83">
        <f t="shared" ca="1" si="278"/>
        <v>15313308.757996973</v>
      </c>
      <c r="BR47" s="3" t="str">
        <f t="shared" ca="1" si="279"/>
        <v/>
      </c>
      <c r="BS47" s="83">
        <f t="shared" ca="1" si="280"/>
        <v>60425480.439357117</v>
      </c>
      <c r="BT47" s="3" t="str">
        <f t="shared" ca="1" si="281"/>
        <v/>
      </c>
      <c r="BU47" s="83">
        <f t="shared" ca="1" si="282"/>
        <v>40778028.286527351</v>
      </c>
      <c r="BV47" s="83"/>
      <c r="BX47" s="83">
        <f t="shared" ca="1" si="283"/>
        <v>17073747.369763918</v>
      </c>
      <c r="BY47" s="83" t="str">
        <f t="shared" ref="BY47:CC79" ca="1" si="296">IF(AND(BX47&lt;0,BX46&gt;0), "Cruce -", IF(AND(BX47&gt;0,BX46&lt;0),"Cruce +", ""))</f>
        <v/>
      </c>
      <c r="BZ47" s="83">
        <f t="shared" ca="1" si="284"/>
        <v>59137862.761036955</v>
      </c>
      <c r="CA47" s="83" t="str">
        <f t="shared" ca="1" si="296"/>
        <v/>
      </c>
      <c r="CB47" s="83">
        <f t="shared" ca="1" si="285"/>
        <v>64886782.035626046</v>
      </c>
      <c r="CC47" s="83" t="str">
        <f t="shared" ca="1" si="296"/>
        <v/>
      </c>
      <c r="CD47" s="83">
        <f>IF(RTD("tos.rtd",,CD$43,"."&amp;$A$43&amp;$AS$42&amp;"C"&amp;$A47)="N/A",0,RTD("tos.rtd",,CD$43,"."&amp;$A$43&amp;$AS$42&amp;"C"&amp;$A47))</f>
        <v>0</v>
      </c>
      <c r="CE47" s="83">
        <f>-IF(RTD("tos.rtd",,CE$43,"."&amp;$A$43&amp;$AS$42&amp;"P"&amp;$A47)="N/A",0,RTD("tos.rtd",,CE$43,"."&amp;$A$43&amp;$AS$42&amp;"P"&amp;$A47))</f>
        <v>0.94</v>
      </c>
      <c r="CF47" s="83">
        <f>IF(RTD("tos.rtd",,CF$2,"."&amp;$A$43&amp;$AU$1&amp;"C"&amp;$A47)="N/A",0,RTD("tos.rtd",,CF$2,"."&amp;$A$43&amp;$AU$1&amp;"C"&amp;$A47))</f>
        <v>0.16</v>
      </c>
      <c r="CG47" s="83">
        <f>-IF(RTD("tos.rtd",,CG$2,"."&amp;$A$43&amp;$AU$1&amp;"P"&amp;$A47)="N/A",0,RTD("tos.rtd",,CG$2,"."&amp;$A$43&amp;$AU$1&amp;"P"&amp;$A47))</f>
        <v>0.88</v>
      </c>
      <c r="CH47" s="83">
        <f>IF(RTD("tos.rtd",,CH$2,"."&amp;$A$43&amp;$AW$1&amp;"C"&amp;$A47)="N/A",0,RTD("tos.rtd",,CH$2,"."&amp;$A$43&amp;$AW$1&amp;"C"&amp;$A47))</f>
        <v>0.38</v>
      </c>
      <c r="CI47" s="83">
        <f>-IF(RTD("tos.rtd",,CI$2,"."&amp;$A$43&amp;$AW$1&amp;"P"&amp;$A47)="N/A",0,RTD("tos.rtd",,CI$2,"."&amp;$A$43&amp;$AW$1&amp;"P"&amp;$A47))</f>
        <v>0.64</v>
      </c>
      <c r="CK47" s="83">
        <f t="shared" si="286"/>
        <v>-94</v>
      </c>
      <c r="CL47" s="83"/>
      <c r="CM47" s="83">
        <f t="shared" si="287"/>
        <v>185184</v>
      </c>
      <c r="CN47" s="83"/>
      <c r="CO47" s="83">
        <f t="shared" si="288"/>
        <v>282388</v>
      </c>
      <c r="CP47" s="83">
        <f t="shared" si="235"/>
        <v>467478</v>
      </c>
      <c r="CQ47" s="83">
        <f t="shared" si="249"/>
        <v>4883</v>
      </c>
      <c r="CR47" s="83"/>
      <c r="CS47" s="83">
        <f t="shared" si="250"/>
        <v>11413</v>
      </c>
      <c r="CT47" s="83"/>
      <c r="CU47" s="83">
        <f t="shared" si="251"/>
        <v>12205</v>
      </c>
      <c r="CV47" s="83"/>
      <c r="CW47" s="83">
        <f t="shared" ca="1" si="252"/>
        <v>116516817.48388144</v>
      </c>
      <c r="CY47" s="83">
        <f t="shared" ca="1" si="253"/>
        <v>141098392.16642693</v>
      </c>
      <c r="CZ47" s="70" t="str">
        <f t="shared" ref="CZ47:CZ79" ca="1" si="297">IF(AND(CY47&lt;0,CY46&gt;0), "Cruce -", IF(AND(CY47&gt;0,CY46&lt;0),"Cruce +", ""))</f>
        <v/>
      </c>
      <c r="DA47" s="83">
        <f>IF(RTD("tos.rtd",,DA$43,"."&amp;$A$43&amp;$AS$42&amp;"C"&amp;$A47)="N/A",0,RTD("tos.rtd",,DA$43,"."&amp;$A$43&amp;$AS$42&amp;"C"&amp;$A47))</f>
        <v>0.01</v>
      </c>
      <c r="DB47" s="83">
        <f>IF(RTD("tos.rtd",,DB$43,"."&amp;$A$43&amp;$AS$42&amp;"P"&amp;$A47)="N/A",0,RTD("tos.rtd",,DB$43,"."&amp;$A$43&amp;$AS$42&amp;"P"&amp;$A47))</f>
        <v>12.17</v>
      </c>
      <c r="DC47" s="83">
        <f>IF(RTD("tos.rtd",,DC$43,"."&amp;$A$43&amp;$AS$42&amp;"C"&amp;$A47)="N/A",0,RTD("tos.rtd",,DC$43,"."&amp;$A$43&amp;$AS$42&amp;"C"&amp;$A47))</f>
        <v>0.01</v>
      </c>
      <c r="DD47" s="83">
        <f>IF(RTD("tos.rtd",,DD$43,"."&amp;$A$43&amp;$AS$42&amp;"P"&amp;$A47)="N/A",0,RTD("tos.rtd",,DD$43,"."&amp;$A$43&amp;$AS$42&amp;"P"&amp;$A47))</f>
        <v>12.61</v>
      </c>
      <c r="DE47" s="83">
        <f>IF(RTD("tos.rtd",,DE$43,"."&amp;$A$43&amp;$AS$42&amp;"C"&amp;$A47)="N/A",0,RTD("tos.rtd",,DE$43,"."&amp;$A$43&amp;$AS$42&amp;"C"&amp;$A47))</f>
        <v>0</v>
      </c>
      <c r="DF47" s="83">
        <f>IF(RTD("tos.rtd",,DF$43,"."&amp;$A$43&amp;$AS$42&amp;"P"&amp;$A47)="N/A",0,RTD("tos.rtd",,DF$43,"."&amp;$A$43&amp;$AS$42&amp;"P"&amp;$A47))</f>
        <v>12.31</v>
      </c>
      <c r="DG47" s="86">
        <f t="shared" si="289"/>
        <v>12.339999999999975</v>
      </c>
      <c r="DH47" s="83">
        <f t="shared" si="254"/>
        <v>0</v>
      </c>
      <c r="DI47" s="83">
        <f t="shared" si="255"/>
        <v>0</v>
      </c>
      <c r="DJ47" s="83">
        <f t="shared" si="256"/>
        <v>0</v>
      </c>
      <c r="DK47" s="83">
        <f t="shared" si="257"/>
        <v>0</v>
      </c>
      <c r="DL47" s="83">
        <f t="shared" si="258"/>
        <v>0</v>
      </c>
      <c r="DM47" s="83">
        <f t="shared" si="259"/>
        <v>0</v>
      </c>
      <c r="DN47" s="64" t="str">
        <f t="shared" si="260"/>
        <v>UNKNOWN</v>
      </c>
      <c r="DO47" s="64" t="str">
        <f t="shared" si="261"/>
        <v>UNKNOWN</v>
      </c>
      <c r="DP47" s="83">
        <f t="shared" si="262"/>
        <v>0</v>
      </c>
      <c r="DQ47" s="83">
        <f t="shared" si="263"/>
        <v>0</v>
      </c>
      <c r="DR47" s="83">
        <f t="shared" ca="1" si="264"/>
        <v>0</v>
      </c>
      <c r="DS47" s="83">
        <f t="shared" si="265"/>
        <v>0</v>
      </c>
      <c r="DT47" s="83">
        <f t="shared" si="290"/>
        <v>0</v>
      </c>
      <c r="DU47" s="83">
        <f t="shared" si="291"/>
        <v>0</v>
      </c>
      <c r="DV47" s="83">
        <f t="shared" si="266"/>
        <v>-438</v>
      </c>
      <c r="DW47" s="83">
        <f t="shared" si="267"/>
        <v>-277</v>
      </c>
      <c r="DX47" s="83">
        <f ca="1">(EXP(-POWER((LN($A$44/$A47)+($EC$1+POWER($EE47,2)/2)*($EM$1/$DY$1))/($EE47*SQRT($EM$1/$DY$1)),2)/2)/SQRT(2*PI())/($A$44*$EE47*SQRT($EM$1/$DY$1)))</f>
        <v>1.4243658916788578E-2</v>
      </c>
      <c r="DY47" s="83">
        <f ca="1">-(EXP(-POWER((LN($A$44/$A47)+($EC$1+POWER($EF47,2)/2)*($EM$1/$DY$1))/($EF47*SQRT($EM$1/$DY$1)),2)/2)/SQRT(2*PI())/($A$44*$EF47*SQRT($EM$1/$DY$1)))</f>
        <v>-2.008831782289499E-2</v>
      </c>
      <c r="DZ47" s="83">
        <f ca="1">(EXP(-POWER((LN($A$44/$A47)+($EC$1+POWER($EG47,2)/2)*($EO$1/$DY$1))/($EG47*SQRT($EO$1/$DY$1)),2)/2)/SQRT(2*PI())/($A$44*$EG47*SQRT($EO$1/$DY$1)))</f>
        <v>2.0133149763166644E-2</v>
      </c>
      <c r="EA47" s="83">
        <f ca="1">-(EXP(-POWER((LN($A$44/$A47)+($EC$1+POWER($EH47,2)/2)*($EO$1/$DY$1))/($EH47*SQRT($EO$1/$DY$1)),2)/2)/SQRT(2*PI())/($A$44*$EH47*SQRT($EO$1/$DY$1)))</f>
        <v>-2.0615282773124945E-2</v>
      </c>
      <c r="EB47" s="83">
        <f ca="1">(EXP(-POWER((LN($A$44/$A47)+($EC$1+POWER($EI47,2)/2)*($EO$1/$DY$1))/($EI47*SQRT($EO$1/$DY$1)),2)/2)/SQRT(2*PI())/($A$44*$EI47*SQRT($EO$1/$DY$1)))</f>
        <v>2.0625737969346167E-2</v>
      </c>
      <c r="EC47" s="83">
        <f ca="1">-(EXP(-POWER((LN($A$44/$A47)+($EC$1+POWER($EJ47,2)/2)*($EO$1/$DY$1))/($EJ47*SQRT($EO$1/$DY$1)),2)/2)/SQRT(2*PI())/($A$44*$EJ47*SQRT($EO$1/$DY$1)))</f>
        <v>-2.0427050664966979E-2</v>
      </c>
      <c r="ED47" s="63">
        <f t="shared" si="292"/>
        <v>-715</v>
      </c>
      <c r="EE47" s="84">
        <f t="shared" si="268"/>
        <v>1.1814</v>
      </c>
      <c r="EF47" s="84">
        <f t="shared" si="269"/>
        <v>1.9144000000000001</v>
      </c>
      <c r="EG47" s="84">
        <f t="shared" si="270"/>
        <v>0.22309999999999999</v>
      </c>
      <c r="EH47" s="84">
        <f t="shared" si="271"/>
        <v>0.19409999999999999</v>
      </c>
      <c r="EI47" s="84">
        <f t="shared" si="272"/>
        <v>0.18729999999999999</v>
      </c>
      <c r="EJ47" s="84">
        <f t="shared" si="273"/>
        <v>0.17199999999999999</v>
      </c>
      <c r="EK47" s="63">
        <f t="shared" ca="1" si="293"/>
        <v>-173769.02531450405</v>
      </c>
      <c r="EL47" s="83" t="str">
        <f>RTD("tos.rtd",,EL$43,"."&amp;$A$43&amp;$AS$42&amp;"C"&amp;$A47)</f>
        <v>118.14%</v>
      </c>
      <c r="EM47" s="83" t="str">
        <f>RTD("tos.rtd",,EM$43,"."&amp;$A$43&amp;$AS$42&amp;"P"&amp;$A47)</f>
        <v>191.44%</v>
      </c>
      <c r="EN47" s="83" t="str">
        <f>RTD("tos.rtd",,EN$2,"."&amp;$A$43&amp;$AU$1&amp;"C"&amp;$A47)</f>
        <v>22.31%</v>
      </c>
      <c r="EO47" s="83" t="str">
        <f>RTD("tos.rtd",,EO$2,"."&amp;$A$43&amp;$AU$1&amp;"P"&amp;$A47)</f>
        <v>19.41%</v>
      </c>
      <c r="EP47" s="83" t="str">
        <f>RTD("tos.rtd",,EP$2,"."&amp;$A$43&amp;$AW$1&amp;"C"&amp;$A47)</f>
        <v>18.73%</v>
      </c>
      <c r="EQ47" s="83" t="str">
        <f>RTD("tos.rtd",,EQ$2,"."&amp;$A$43&amp;$AW$1&amp;"P"&amp;$A47)</f>
        <v>17.20%</v>
      </c>
      <c r="ES47" s="63" t="str">
        <f t="shared" si="274"/>
        <v>520,-715.00</v>
      </c>
      <c r="ET47" s="63" t="str">
        <f t="shared" ca="1" si="275"/>
        <v>520,141098.39</v>
      </c>
      <c r="EU47" s="67">
        <v>564.79999999999995</v>
      </c>
      <c r="EV47" s="67" t="s">
        <v>395</v>
      </c>
      <c r="EW47" s="67">
        <v>487.92</v>
      </c>
      <c r="EX47" s="67" t="s">
        <v>396</v>
      </c>
      <c r="EY47" s="67">
        <v>5659.91</v>
      </c>
      <c r="EZ47" s="67" t="s">
        <v>397</v>
      </c>
      <c r="FA47" s="67">
        <v>20061.449000000001</v>
      </c>
      <c r="FB47" s="67" t="s">
        <v>398</v>
      </c>
      <c r="FC47" s="67" t="s">
        <v>399</v>
      </c>
      <c r="FD47" s="67" t="s">
        <v>400</v>
      </c>
      <c r="FE47" s="68" t="s">
        <v>401</v>
      </c>
      <c r="FF47" s="68" t="s">
        <v>402</v>
      </c>
    </row>
    <row r="48" spans="1:162" ht="13.5" thickBot="1" x14ac:dyDescent="0.25">
      <c r="A48" s="2">
        <f t="shared" si="294"/>
        <v>519</v>
      </c>
      <c r="B48" s="3">
        <f t="shared" si="241"/>
        <v>1631</v>
      </c>
      <c r="C48" s="3">
        <f t="shared" si="242"/>
        <v>1739</v>
      </c>
      <c r="D48" s="3">
        <f t="shared" si="243"/>
        <v>0</v>
      </c>
      <c r="E48" s="3">
        <f t="shared" si="244"/>
        <v>3370</v>
      </c>
      <c r="F48" s="4">
        <f t="shared" ref="F48:F79" si="298">+$F$44/$A$44*A48</f>
        <v>21411.586987353738</v>
      </c>
      <c r="AM48" s="1">
        <v>707</v>
      </c>
      <c r="AN48" s="1">
        <v>4</v>
      </c>
      <c r="AO48" s="1">
        <v>519</v>
      </c>
      <c r="AP48" s="1">
        <v>2577</v>
      </c>
      <c r="AQ48" s="1">
        <v>-16</v>
      </c>
      <c r="AS48" s="6">
        <f>IF(RTD("tos.rtd",,AS$43,"."&amp;$A$43&amp;$AS$42&amp;"C"&amp;$A48)="N/A",0,RTD("tos.rtd",,AS$43,"."&amp;$A$43&amp;$AS$42&amp;"C"&amp;$A48))</f>
        <v>1631</v>
      </c>
      <c r="AT48" s="7">
        <f>-IF(RTD("tos.rtd",,AT$43,"."&amp;$A$43&amp;$AS$42&amp;"P"&amp;$A48)="N/A",0,RTD("tos.rtd",,AT$43,"."&amp;$A$43&amp;$AS$42&amp;"P"&amp;$A48))</f>
        <v>0</v>
      </c>
      <c r="AU48" s="6">
        <f>IF(RTD("tos.rtd",,AU$2,"."&amp;$A$43&amp;$AU$1&amp;"C"&amp;$A48)="N/A",0,RTD("tos.rtd",,AU$2,"."&amp;$A$43&amp;$AU$1&amp;"C"&amp;$A48))</f>
        <v>1739</v>
      </c>
      <c r="AV48" s="7">
        <f>-IF(RTD("tos.rtd",,AV$2,"."&amp;$A$43&amp;$AU$1&amp;"P"&amp;$A48)="N/A",0,RTD("tos.rtd",,AV$2,"."&amp;$A$43&amp;$AU$1&amp;"P"&amp;$A48))</f>
        <v>0</v>
      </c>
      <c r="AW48" s="6">
        <f>IF(RTD("tos.rtd",,AW$2,"."&amp;$A$43&amp;$AW$1&amp;"C"&amp;$A48)="N/A",0,RTD("tos.rtd",,AW$2,"."&amp;$A$43&amp;$AW$1&amp;"C"&amp;$A48))</f>
        <v>0</v>
      </c>
      <c r="AX48" s="7">
        <f>-IF(RTD("tos.rtd",,AX$2,"."&amp;$A$43&amp;$AW$1&amp;"P"&amp;$A48)="N/A",0,RTD("tos.rtd",,AX$2,"."&amp;$A$43&amp;$AW$1&amp;"P"&amp;$A48))</f>
        <v>0</v>
      </c>
      <c r="AY48" s="7">
        <f t="shared" si="276"/>
        <v>3370</v>
      </c>
      <c r="AZ48" s="8">
        <f t="shared" si="245"/>
        <v>519</v>
      </c>
      <c r="BA48" s="6">
        <f>IF(RTD("tos.rtd",,BA$43,"."&amp;$A$43&amp;$AS$42&amp;"C"&amp;$A48)="N/A",0,RTD("tos.rtd",,BA$43,"."&amp;$A$43&amp;$AS$42&amp;"C"&amp;$A48))</f>
        <v>2577</v>
      </c>
      <c r="BB48" s="7">
        <f>-IF(RTD("tos.rtd",,BB$43,"."&amp;$A$43&amp;$AS$42&amp;"P"&amp;$A48)="N/A",0,RTD("tos.rtd",,BB$43,"."&amp;$A$43&amp;$AS$42&amp;"P"&amp;$A48))</f>
        <v>-16</v>
      </c>
      <c r="BC48" s="6">
        <f>IF(RTD("tos.rtd",,BC$2,"."&amp;$A$43&amp;$AU$1&amp;"C"&amp;$A48)="N/A",0,RTD("tos.rtd",,BC$2,"."&amp;$A$43&amp;$AU$1&amp;"C"&amp;$A48))</f>
        <v>1234</v>
      </c>
      <c r="BD48" s="7">
        <f>-IF(RTD("tos.rtd",,BD$2,"."&amp;$A$43&amp;$AU$1&amp;"P"&amp;$A48)="N/A",0,RTD("tos.rtd",,BD$2,"."&amp;$A$43&amp;$AU$1&amp;"P"&amp;$A48))</f>
        <v>-36</v>
      </c>
      <c r="BE48" s="6">
        <f>IF(RTD("tos.rtd",,BE$2,"."&amp;$A$43&amp;$AW$1&amp;"C"&amp;$A48)="N/A",0,RTD("tos.rtd",,BE$2,"."&amp;$A$43&amp;$AW$1&amp;"C"&amp;$A48))</f>
        <v>0</v>
      </c>
      <c r="BF48" s="7">
        <f>-IF(RTD("tos.rtd",,BF$2,"."&amp;$A$43&amp;$AW$1&amp;"P"&amp;$A48)="N/A",0,RTD("tos.rtd",,BF$2,"."&amp;$A$43&amp;$AW$1&amp;"P"&amp;$A48))</f>
        <v>0</v>
      </c>
      <c r="BG48" s="32">
        <f ca="1">+Hoja2!Y49</f>
        <v>980</v>
      </c>
      <c r="BH48" s="7">
        <f t="shared" ca="1" si="277"/>
        <v>4739</v>
      </c>
      <c r="BI48" s="8" t="str">
        <f t="shared" ca="1" si="295"/>
        <v/>
      </c>
      <c r="BJ48" s="83">
        <f ca="1">IF($BP$1=1,DX48,IF(RTD("tos.rtd",,BJ$43,"."&amp;$A$43&amp;$AS$42&amp;"C"&amp;$A48)="N/A",0,RTD("tos.rtd",,BJ$43,"."&amp;$A$43&amp;$AS$42&amp;"C"&amp;$A48)))</f>
        <v>1.569394128572188E-2</v>
      </c>
      <c r="BK48" s="83">
        <f ca="1">IF($BP$1=1,DY48,-IF(RTD("tos.rtd",,BK$43,"."&amp;$A$43&amp;$AS$42&amp;"P"&amp;$A48)="N/A",0,RTD("tos.rtd",,BK$43,"."&amp;$A$43&amp;$AS$42&amp;"P"&amp;$A48)))</f>
        <v>-2.1819757050785996E-2</v>
      </c>
      <c r="BL48" s="83">
        <f ca="1">IF($BP$1=1,DZ48,IF(RTD("tos.rtd",,BL$2,"."&amp;$A$43&amp;$AU$1&amp;"C"&amp;$A48)="N/A",0,RTD("tos.rtd",,BL$2,"."&amp;$A$43&amp;$AU$1&amp;"C"&amp;$A48)))</f>
        <v>2.1323983919226578E-2</v>
      </c>
      <c r="BM48" s="83">
        <f ca="1">IF($BP$1=1,EA48,-IF(RTD("tos.rtd",,BM$2,"."&amp;$A$43&amp;$AU$1&amp;"P"&amp;$A48)="N/A",0,RTD("tos.rtd",,BM$2,"."&amp;$A$43&amp;$AU$1&amp;"P"&amp;$A48)))</f>
        <v>-2.2161860044403112E-2</v>
      </c>
      <c r="BN48" s="83">
        <f ca="1">IF($BP$1=1,EB48,IF(RTD("tos.rtd",,BN$2,"."&amp;$A$43&amp;$AW$1&amp;"C"&amp;$A48)="N/A",0,RTD("tos.rtd",,BN$2,"."&amp;$A$43&amp;$AW$1&amp;"C"&amp;$A48)))</f>
        <v>2.0208656962823982E-2</v>
      </c>
      <c r="BO48" s="83">
        <f ca="1">IF($BP$1=1,EC48,-IF(RTD("tos.rtd",,BO$2,"."&amp;$A$43&amp;$AW$1&amp;"P"&amp;$A48)="N/A",0,RTD("tos.rtd",,BO$2,"."&amp;$A$43&amp;$AW$1&amp;"P"&amp;$A48)))</f>
        <v>-2.0208656962823982E-2</v>
      </c>
      <c r="BQ48" s="83">
        <f t="shared" ca="1" si="278"/>
        <v>6596778.0956167597</v>
      </c>
      <c r="BR48" s="3" t="str">
        <f t="shared" ca="1" si="279"/>
        <v/>
      </c>
      <c r="BS48" s="83">
        <f t="shared" ca="1" si="280"/>
        <v>9556829.0869768839</v>
      </c>
      <c r="BT48" s="3" t="str">
        <f t="shared" ca="1" si="281"/>
        <v/>
      </c>
      <c r="BU48" s="83">
        <f t="shared" ca="1" si="282"/>
        <v>0</v>
      </c>
      <c r="BV48" s="83"/>
      <c r="BX48" s="83">
        <f t="shared" ca="1" si="283"/>
        <v>10333016.541285066</v>
      </c>
      <c r="BY48" s="83" t="str">
        <f t="shared" ca="1" si="296"/>
        <v/>
      </c>
      <c r="BZ48" s="83">
        <f t="shared" ca="1" si="284"/>
        <v>6575941.7875154624</v>
      </c>
      <c r="CA48" s="83" t="str">
        <f t="shared" ca="1" si="296"/>
        <v/>
      </c>
      <c r="CB48" s="83">
        <f t="shared" ca="1" si="285"/>
        <v>0</v>
      </c>
      <c r="CC48" s="83" t="str">
        <f t="shared" ca="1" si="296"/>
        <v/>
      </c>
      <c r="CD48" s="83">
        <f>IF(RTD("tos.rtd",,CD$43,"."&amp;$A$43&amp;$AS$42&amp;"C"&amp;$A48)="N/A",0,RTD("tos.rtd",,CD$43,"."&amp;$A$43&amp;$AS$42&amp;"C"&amp;$A48))</f>
        <v>0</v>
      </c>
      <c r="CE48" s="83">
        <f>-IF(RTD("tos.rtd",,CE$43,"."&amp;$A$43&amp;$AS$42&amp;"P"&amp;$A48)="N/A",0,RTD("tos.rtd",,CE$43,"."&amp;$A$43&amp;$AS$42&amp;"P"&amp;$A48))</f>
        <v>0.94</v>
      </c>
      <c r="CF48" s="83">
        <f>IF(RTD("tos.rtd",,CF$2,"."&amp;$A$43&amp;$AU$1&amp;"C"&amp;$A48)="N/A",0,RTD("tos.rtd",,CF$2,"."&amp;$A$43&amp;$AU$1&amp;"C"&amp;$A48))</f>
        <v>0.18</v>
      </c>
      <c r="CG48" s="83">
        <f>-IF(RTD("tos.rtd",,CG$2,"."&amp;$A$43&amp;$AU$1&amp;"P"&amp;$A48)="N/A",0,RTD("tos.rtd",,CG$2,"."&amp;$A$43&amp;$AU$1&amp;"P"&amp;$A48))</f>
        <v>0.86</v>
      </c>
      <c r="CH48" s="83">
        <f>IF(RTD("tos.rtd",,CH$2,"."&amp;$A$43&amp;$AW$1&amp;"C"&amp;$A48)="N/A",0,RTD("tos.rtd",,CH$2,"."&amp;$A$43&amp;$AW$1&amp;"C"&amp;$A48))</f>
        <v>0</v>
      </c>
      <c r="CI48" s="83">
        <f>-IF(RTD("tos.rtd",,CI$2,"."&amp;$A$43&amp;$AW$1&amp;"P"&amp;$A48)="N/A",0,RTD("tos.rtd",,CI$2,"."&amp;$A$43&amp;$AW$1&amp;"P"&amp;$A48))</f>
        <v>0</v>
      </c>
      <c r="CK48" s="83">
        <f t="shared" si="286"/>
        <v>0</v>
      </c>
      <c r="CL48" s="83"/>
      <c r="CM48" s="83">
        <f t="shared" si="287"/>
        <v>31302</v>
      </c>
      <c r="CN48" s="83"/>
      <c r="CO48" s="83">
        <f t="shared" si="288"/>
        <v>0</v>
      </c>
      <c r="CP48" s="83">
        <f t="shared" si="235"/>
        <v>31302</v>
      </c>
      <c r="CQ48" s="83">
        <f t="shared" si="249"/>
        <v>2561</v>
      </c>
      <c r="CR48" s="83"/>
      <c r="CS48" s="83">
        <f t="shared" si="250"/>
        <v>1198</v>
      </c>
      <c r="CT48" s="83"/>
      <c r="CU48" s="83">
        <f t="shared" si="251"/>
        <v>0</v>
      </c>
      <c r="CV48" s="83"/>
      <c r="CW48" s="83">
        <f t="shared" ca="1" si="252"/>
        <v>16153607.182593644</v>
      </c>
      <c r="CY48" s="83">
        <f t="shared" ca="1" si="253"/>
        <v>16908958.328800529</v>
      </c>
      <c r="CZ48" s="70" t="str">
        <f t="shared" ca="1" si="297"/>
        <v/>
      </c>
      <c r="DA48" s="83">
        <f>IF(RTD("tos.rtd",,DA$43,"."&amp;$A$43&amp;$AS$42&amp;"C"&amp;$A48)="N/A",0,RTD("tos.rtd",,DA$43,"."&amp;$A$43&amp;$AS$42&amp;"C"&amp;$A48))</f>
        <v>0.01</v>
      </c>
      <c r="DB48" s="83">
        <f>IF(RTD("tos.rtd",,DB$43,"."&amp;$A$43&amp;$AS$42&amp;"P"&amp;$A48)="N/A",0,RTD("tos.rtd",,DB$43,"."&amp;$A$43&amp;$AS$42&amp;"P"&amp;$A48))</f>
        <v>15.23</v>
      </c>
      <c r="DC48" s="83">
        <f>IF(RTD("tos.rtd",,DC$43,"."&amp;$A$43&amp;$AS$42&amp;"C"&amp;$A48)="N/A",0,RTD("tos.rtd",,DC$43,"."&amp;$A$43&amp;$AS$42&amp;"C"&amp;$A48))</f>
        <v>0.01</v>
      </c>
      <c r="DD48" s="83">
        <f>IF(RTD("tos.rtd",,DD$43,"."&amp;$A$43&amp;$AS$42&amp;"P"&amp;$A48)="N/A",0,RTD("tos.rtd",,DD$43,"."&amp;$A$43&amp;$AS$42&amp;"P"&amp;$A48))</f>
        <v>11.6</v>
      </c>
      <c r="DE48" s="83">
        <f>IF(RTD("tos.rtd",,DE$43,"."&amp;$A$43&amp;$AS$42&amp;"C"&amp;$A48)="N/A",0,RTD("tos.rtd",,DE$43,"."&amp;$A$43&amp;$AS$42&amp;"C"&amp;$A48))</f>
        <v>0</v>
      </c>
      <c r="DF48" s="83">
        <f>IF(RTD("tos.rtd",,DF$43,"."&amp;$A$43&amp;$AS$42&amp;"P"&amp;$A48)="N/A",0,RTD("tos.rtd",,DF$43,"."&amp;$A$43&amp;$AS$42&amp;"P"&amp;$A48))</f>
        <v>11.31</v>
      </c>
      <c r="DG48" s="86">
        <f t="shared" si="289"/>
        <v>11.339999999999975</v>
      </c>
      <c r="DH48" s="83">
        <f t="shared" si="254"/>
        <v>0</v>
      </c>
      <c r="DI48" s="83">
        <f t="shared" si="255"/>
        <v>0</v>
      </c>
      <c r="DJ48" s="83">
        <f t="shared" si="256"/>
        <v>0</v>
      </c>
      <c r="DK48" s="83">
        <f t="shared" si="257"/>
        <v>0</v>
      </c>
      <c r="DL48" s="83">
        <f t="shared" si="258"/>
        <v>0</v>
      </c>
      <c r="DM48" s="83">
        <f t="shared" si="259"/>
        <v>0</v>
      </c>
      <c r="DN48" s="64" t="str">
        <f t="shared" si="260"/>
        <v>UNKNOWN</v>
      </c>
      <c r="DO48" s="64" t="str">
        <f t="shared" si="261"/>
        <v>UNKNOWN</v>
      </c>
      <c r="DP48" s="83">
        <f t="shared" si="262"/>
        <v>0</v>
      </c>
      <c r="DQ48" s="83">
        <f t="shared" si="263"/>
        <v>0</v>
      </c>
      <c r="DR48" s="83">
        <f t="shared" ca="1" si="264"/>
        <v>0</v>
      </c>
      <c r="DS48" s="83">
        <f t="shared" si="265"/>
        <v>0</v>
      </c>
      <c r="DT48" s="83">
        <f t="shared" si="290"/>
        <v>0</v>
      </c>
      <c r="DU48" s="83">
        <f t="shared" si="291"/>
        <v>0</v>
      </c>
      <c r="DV48" s="83">
        <f t="shared" si="266"/>
        <v>707</v>
      </c>
      <c r="DW48" s="83">
        <f t="shared" si="267"/>
        <v>4</v>
      </c>
      <c r="DX48" s="83">
        <f ca="1">(EXP(-POWER((LN($A$44/$A48)+($EC$1+POWER($EE48,2)/2)*($EM$1/$DY$1))/($EE48*SQRT($EM$1/$DY$1)),2)/2)/SQRT(2*PI())/($A$44*$EE48*SQRT($EM$1/$DY$1)))</f>
        <v>1.569394128572188E-2</v>
      </c>
      <c r="DY48" s="83">
        <f ca="1">-(EXP(-POWER((LN($A$44/$A48)+($EC$1+POWER($EF48,2)/2)*($EM$1/$DY$1))/($EF48*SQRT($EM$1/$DY$1)),2)/2)/SQRT(2*PI())/($A$44*$EF48*SQRT($EM$1/$DY$1)))</f>
        <v>-2.1819757050785996E-2</v>
      </c>
      <c r="DZ48" s="83">
        <f ca="1">(EXP(-POWER((LN($A$44/$A48)+($EC$1+POWER($EG48,2)/2)*($EO$1/$DY$1))/($EG48*SQRT($EO$1/$DY$1)),2)/2)/SQRT(2*PI())/($A$44*$EG48*SQRT($EO$1/$DY$1)))</f>
        <v>2.1323983919226578E-2</v>
      </c>
      <c r="EA48" s="83">
        <f ca="1">-(EXP(-POWER((LN($A$44/$A48)+($EC$1+POWER($EH48,2)/2)*($EO$1/$DY$1))/($EH48*SQRT($EO$1/$DY$1)),2)/2)/SQRT(2*PI())/($A$44*$EH48*SQRT($EO$1/$DY$1)))</f>
        <v>-2.2161860044403112E-2</v>
      </c>
      <c r="EB48" s="83">
        <f ca="1">(EXP(-POWER((LN($A$44/$A48)+($EC$1+POWER($EI48,2)/2)*($EO$1/$DY$1))/($EI48*SQRT($EO$1/$DY$1)),2)/2)/SQRT(2*PI())/($A$44*$EI48*SQRT($EO$1/$DY$1)))</f>
        <v>2.0208656962823982E-2</v>
      </c>
      <c r="EC48" s="83">
        <f ca="1">-(EXP(-POWER((LN($A$44/$A48)+($EC$1+POWER($EJ48,2)/2)*($EO$1/$DY$1))/($EJ48*SQRT($EO$1/$DY$1)),2)/2)/SQRT(2*PI())/($A$44*$EJ48*SQRT($EO$1/$DY$1)))</f>
        <v>-2.0208656962823982E-2</v>
      </c>
      <c r="ED48" s="63">
        <f t="shared" si="292"/>
        <v>711</v>
      </c>
      <c r="EE48" s="84">
        <f t="shared" si="268"/>
        <v>1.0962000000000001</v>
      </c>
      <c r="EF48" s="84">
        <f t="shared" si="269"/>
        <v>1.7708999999999999</v>
      </c>
      <c r="EG48" s="84">
        <f t="shared" si="270"/>
        <v>0.22220000000000001</v>
      </c>
      <c r="EH48" s="84">
        <f t="shared" si="271"/>
        <v>0.1958</v>
      </c>
      <c r="EI48" s="84">
        <f t="shared" si="272"/>
        <v>0.25</v>
      </c>
      <c r="EJ48" s="84">
        <f t="shared" si="273"/>
        <v>0.25</v>
      </c>
      <c r="EK48" s="63">
        <f t="shared" ca="1" si="293"/>
        <v>2837054.1509558172</v>
      </c>
      <c r="EL48" s="83" t="str">
        <f>RTD("tos.rtd",,EL$43,"."&amp;$A$43&amp;$AS$42&amp;"C"&amp;$A48)</f>
        <v>109.62%</v>
      </c>
      <c r="EM48" s="83" t="str">
        <f>RTD("tos.rtd",,EM$43,"."&amp;$A$43&amp;$AS$42&amp;"P"&amp;$A48)</f>
        <v>177.09%</v>
      </c>
      <c r="EN48" s="83" t="str">
        <f>RTD("tos.rtd",,EN$2,"."&amp;$A$43&amp;$AU$1&amp;"C"&amp;$A48)</f>
        <v>22.22%</v>
      </c>
      <c r="EO48" s="83" t="str">
        <f>RTD("tos.rtd",,EO$2,"."&amp;$A$43&amp;$AU$1&amp;"P"&amp;$A48)</f>
        <v>19.58%</v>
      </c>
      <c r="EP48" s="83" t="str">
        <f>RTD("tos.rtd",,EP$2,"."&amp;$A$43&amp;$AW$1&amp;"C"&amp;$A48)</f>
        <v>N/A</v>
      </c>
      <c r="EQ48" s="83" t="str">
        <f>RTD("tos.rtd",,EQ$2,"."&amp;$A$43&amp;$AW$1&amp;"P"&amp;$A48)</f>
        <v>N/A</v>
      </c>
      <c r="ES48" s="63" t="str">
        <f t="shared" si="274"/>
        <v>519,711.00</v>
      </c>
      <c r="ET48" s="63" t="str">
        <f t="shared" ca="1" si="275"/>
        <v>519,16908.96</v>
      </c>
      <c r="EU48" s="67">
        <v>564.79999999999995</v>
      </c>
      <c r="EV48" s="67" t="s">
        <v>403</v>
      </c>
      <c r="EW48" s="67">
        <v>487.92</v>
      </c>
      <c r="EX48" s="67" t="s">
        <v>404</v>
      </c>
      <c r="EY48" s="67">
        <v>5659.91</v>
      </c>
      <c r="EZ48" s="67" t="s">
        <v>405</v>
      </c>
      <c r="FA48" s="67">
        <v>20061.449000000001</v>
      </c>
      <c r="FB48" s="67" t="s">
        <v>406</v>
      </c>
      <c r="FC48" s="67" t="s">
        <v>407</v>
      </c>
      <c r="FD48" s="67" t="s">
        <v>408</v>
      </c>
      <c r="FE48" s="68" t="s">
        <v>409</v>
      </c>
      <c r="FF48" s="68" t="s">
        <v>410</v>
      </c>
    </row>
    <row r="49" spans="1:162" ht="13.5" thickBot="1" x14ac:dyDescent="0.25">
      <c r="A49" s="2">
        <f t="shared" si="294"/>
        <v>518</v>
      </c>
      <c r="B49" s="3">
        <f t="shared" ref="B49:B56" si="299">+IF($A$1="ABS",AS49-AT49,AS49+AT49)</f>
        <v>265</v>
      </c>
      <c r="C49" s="3">
        <f t="shared" ref="C49:C56" si="300">+IF($A$1="ABS",AU49-AV49,AU49+AV49)</f>
        <v>1724</v>
      </c>
      <c r="D49" s="3">
        <f t="shared" ref="D49:D56" si="301">+IF($A$1="ABS",AW49-AX49,AW49+AX49)</f>
        <v>0</v>
      </c>
      <c r="E49" s="3">
        <f t="shared" ref="E49:E56" si="302">SUM(B49:D49)</f>
        <v>1989</v>
      </c>
      <c r="F49" s="4">
        <f t="shared" ref="F49:F56" si="303">+$F$44/$A$44*A49</f>
        <v>21370.331521096796</v>
      </c>
      <c r="AM49" s="1">
        <v>-450</v>
      </c>
      <c r="AN49" s="1">
        <v>-24</v>
      </c>
      <c r="AO49" s="1">
        <v>518</v>
      </c>
      <c r="AP49" s="1">
        <v>2632</v>
      </c>
      <c r="AQ49" s="1">
        <v>-38</v>
      </c>
      <c r="AS49" s="6">
        <f>IF(RTD("tos.rtd",,AS$43,"."&amp;$A$43&amp;$AS$42&amp;"C"&amp;$A49)="N/A",0,RTD("tos.rtd",,AS$43,"."&amp;$A$43&amp;$AS$42&amp;"C"&amp;$A49))</f>
        <v>265</v>
      </c>
      <c r="AT49" s="7">
        <f>-IF(RTD("tos.rtd",,AT$43,"."&amp;$A$43&amp;$AS$42&amp;"P"&amp;$A49)="N/A",0,RTD("tos.rtd",,AT$43,"."&amp;$A$43&amp;$AS$42&amp;"P"&amp;$A49))</f>
        <v>0</v>
      </c>
      <c r="AU49" s="6">
        <f>IF(RTD("tos.rtd",,AU$2,"."&amp;$A$43&amp;$AU$1&amp;"C"&amp;$A49)="N/A",0,RTD("tos.rtd",,AU$2,"."&amp;$A$43&amp;$AU$1&amp;"C"&amp;$A49))</f>
        <v>1721</v>
      </c>
      <c r="AV49" s="7">
        <f>-IF(RTD("tos.rtd",,AV$2,"."&amp;$A$43&amp;$AU$1&amp;"P"&amp;$A49)="N/A",0,RTD("tos.rtd",,AV$2,"."&amp;$A$43&amp;$AU$1&amp;"P"&amp;$A49))</f>
        <v>-3</v>
      </c>
      <c r="AW49" s="6">
        <f>IF(RTD("tos.rtd",,AW$2,"."&amp;$A$43&amp;$AW$1&amp;"C"&amp;$A49)="N/A",0,RTD("tos.rtd",,AW$2,"."&amp;$A$43&amp;$AW$1&amp;"C"&amp;$A49))</f>
        <v>0</v>
      </c>
      <c r="AX49" s="7">
        <f>-IF(RTD("tos.rtd",,AX$2,"."&amp;$A$43&amp;$AW$1&amp;"P"&amp;$A49)="N/A",0,RTD("tos.rtd",,AX$2,"."&amp;$A$43&amp;$AW$1&amp;"P"&amp;$A49))</f>
        <v>0</v>
      </c>
      <c r="AY49" s="7">
        <f t="shared" ref="AY49:AY56" si="304">SUM(AS49:AX49)</f>
        <v>1983</v>
      </c>
      <c r="AZ49" s="8">
        <f t="shared" si="245"/>
        <v>518</v>
      </c>
      <c r="BA49" s="6">
        <f>IF(RTD("tos.rtd",,BA$43,"."&amp;$A$43&amp;$AS$42&amp;"C"&amp;$A49)="N/A",0,RTD("tos.rtd",,BA$43,"."&amp;$A$43&amp;$AS$42&amp;"C"&amp;$A49))</f>
        <v>2632</v>
      </c>
      <c r="BB49" s="7">
        <f>-IF(RTD("tos.rtd",,BB$43,"."&amp;$A$43&amp;$AS$42&amp;"P"&amp;$A49)="N/A",0,RTD("tos.rtd",,BB$43,"."&amp;$A$43&amp;$AS$42&amp;"P"&amp;$A49))</f>
        <v>-38</v>
      </c>
      <c r="BC49" s="6">
        <f>IF(RTD("tos.rtd",,BC$2,"."&amp;$A$43&amp;$AU$1&amp;"C"&amp;$A49)="N/A",0,RTD("tos.rtd",,BC$2,"."&amp;$A$43&amp;$AU$1&amp;"C"&amp;$A49))</f>
        <v>1877</v>
      </c>
      <c r="BD49" s="7">
        <f>-IF(RTD("tos.rtd",,BD$2,"."&amp;$A$43&amp;$AU$1&amp;"P"&amp;$A49)="N/A",0,RTD("tos.rtd",,BD$2,"."&amp;$A$43&amp;$AU$1&amp;"P"&amp;$A49))</f>
        <v>-144</v>
      </c>
      <c r="BE49" s="6">
        <f>IF(RTD("tos.rtd",,BE$2,"."&amp;$A$43&amp;$AW$1&amp;"C"&amp;$A49)="N/A",0,RTD("tos.rtd",,BE$2,"."&amp;$A$43&amp;$AW$1&amp;"C"&amp;$A49))</f>
        <v>0</v>
      </c>
      <c r="BF49" s="7">
        <f>-IF(RTD("tos.rtd",,BF$2,"."&amp;$A$43&amp;$AW$1&amp;"P"&amp;$A49)="N/A",0,RTD("tos.rtd",,BF$2,"."&amp;$A$43&amp;$AW$1&amp;"P"&amp;$A49))</f>
        <v>0</v>
      </c>
      <c r="BG49" s="32">
        <f ca="1">+Hoja2!Y50</f>
        <v>247</v>
      </c>
      <c r="BH49" s="7">
        <f t="shared" ca="1" si="277"/>
        <v>4574</v>
      </c>
      <c r="BI49" s="8" t="str">
        <f t="shared" ca="1" si="295"/>
        <v/>
      </c>
      <c r="BJ49" s="83">
        <f ca="1">IF($BP$1=1,DX49,IF(RTD("tos.rtd",,BJ$43,"."&amp;$A$43&amp;$AS$42&amp;"C"&amp;$A49)="N/A",0,RTD("tos.rtd",,BJ$43,"."&amp;$A$43&amp;$AS$42&amp;"C"&amp;$A49)))</f>
        <v>1.7446826468238318E-2</v>
      </c>
      <c r="BK49" s="83">
        <f ca="1">IF($BP$1=1,DY49,-IF(RTD("tos.rtd",,BK$43,"."&amp;$A$43&amp;$AS$42&amp;"P"&amp;$A49)="N/A",0,RTD("tos.rtd",,BK$43,"."&amp;$A$43&amp;$AS$42&amp;"P"&amp;$A49)))</f>
        <v>-2.3877646148894253E-2</v>
      </c>
      <c r="BL49" s="83">
        <f ca="1">IF($BP$1=1,DZ49,IF(RTD("tos.rtd",,BL$2,"."&amp;$A$43&amp;$AU$1&amp;"C"&amp;$A49)="N/A",0,RTD("tos.rtd",,BL$2,"."&amp;$A$43&amp;$AU$1&amp;"C"&amp;$A49)))</f>
        <v>2.2446323468857485E-2</v>
      </c>
      <c r="BM49" s="83">
        <f ca="1">IF($BP$1=1,EA49,-IF(RTD("tos.rtd",,BM$2,"."&amp;$A$43&amp;$AU$1&amp;"P"&amp;$A49)="N/A",0,RTD("tos.rtd",,BM$2,"."&amp;$A$43&amp;$AU$1&amp;"P"&amp;$A49)))</f>
        <v>-2.3616303735332494E-2</v>
      </c>
      <c r="BN49" s="83">
        <f ca="1">IF($BP$1=1,EB49,IF(RTD("tos.rtd",,BN$2,"."&amp;$A$43&amp;$AW$1&amp;"C"&amp;$A49)="N/A",0,RTD("tos.rtd",,BN$2,"."&amp;$A$43&amp;$AW$1&amp;"C"&amp;$A49)))</f>
        <v>2.1043778970401793E-2</v>
      </c>
      <c r="BO49" s="83">
        <f ca="1">IF($BP$1=1,EC49,-IF(RTD("tos.rtd",,BO$2,"."&amp;$A$43&amp;$AW$1&amp;"P"&amp;$A49)="N/A",0,RTD("tos.rtd",,BO$2,"."&amp;$A$43&amp;$AW$1&amp;"P"&amp;$A49)))</f>
        <v>-2.1043778970401793E-2</v>
      </c>
      <c r="BQ49" s="83">
        <f t="shared" ref="BQ49:BQ56" ca="1" si="305">+$A$44*$A$44*AS49*BJ49-$A$44*$A$44*AT49*BK49</f>
        <v>1191538.8478666125</v>
      </c>
      <c r="BR49" s="3" t="str">
        <f t="shared" ca="1" si="279"/>
        <v/>
      </c>
      <c r="BS49" s="83">
        <f t="shared" ref="BS49:BS56" ca="1" si="306">+$A$44*$A$44*AU49*BL49-$A$44*$A$44*AV49*BM49</f>
        <v>9937444.9703437891</v>
      </c>
      <c r="BT49" s="3" t="str">
        <f t="shared" ca="1" si="281"/>
        <v/>
      </c>
      <c r="BU49" s="83">
        <f t="shared" ref="BU49:BU56" ca="1" si="307">+$A$44*$A$44*AW49*BN49-$A$44*$A$44*AX49*BO49</f>
        <v>0</v>
      </c>
      <c r="BV49" s="83"/>
      <c r="BX49" s="83">
        <f t="shared" ref="BX49:BX56" ca="1" si="308">+$A$44*$A$44*BA49*BJ49-$A$44*$A$44*BB49*BK49</f>
        <v>11600612.581477748</v>
      </c>
      <c r="BY49" s="83" t="str">
        <f t="shared" ca="1" si="296"/>
        <v/>
      </c>
      <c r="BZ49" s="83">
        <f t="shared" ref="BZ49:BZ56" ca="1" si="309">+$A$44*$A$44*BC49*BL49-$A$44*$A$44*BD49*BM49</f>
        <v>9981702.38886071</v>
      </c>
      <c r="CA49" s="83" t="str">
        <f t="shared" ca="1" si="296"/>
        <v/>
      </c>
      <c r="CB49" s="83">
        <f t="shared" ref="CB49:CB56" ca="1" si="310">+$A$44*$A$44*BE49*BN49-$A$44*$A$44*BF49*BO49</f>
        <v>0</v>
      </c>
      <c r="CC49" s="83" t="str">
        <f t="shared" ca="1" si="296"/>
        <v/>
      </c>
      <c r="CD49" s="83">
        <f>IF(RTD("tos.rtd",,CD$43,"."&amp;$A$43&amp;$AS$42&amp;"C"&amp;$A49)="N/A",0,RTD("tos.rtd",,CD$43,"."&amp;$A$43&amp;$AS$42&amp;"C"&amp;$A49))</f>
        <v>0</v>
      </c>
      <c r="CE49" s="83">
        <f>-IF(RTD("tos.rtd",,CE$43,"."&amp;$A$43&amp;$AS$42&amp;"P"&amp;$A49)="N/A",0,RTD("tos.rtd",,CE$43,"."&amp;$A$43&amp;$AS$42&amp;"P"&amp;$A49))</f>
        <v>0.94</v>
      </c>
      <c r="CF49" s="83">
        <f>IF(RTD("tos.rtd",,CF$2,"."&amp;$A$43&amp;$AU$1&amp;"C"&amp;$A49)="N/A",0,RTD("tos.rtd",,CF$2,"."&amp;$A$43&amp;$AU$1&amp;"C"&amp;$A49))</f>
        <v>0.2</v>
      </c>
      <c r="CG49" s="83">
        <f>-IF(RTD("tos.rtd",,CG$2,"."&amp;$A$43&amp;$AU$1&amp;"P"&amp;$A49)="N/A",0,RTD("tos.rtd",,CG$2,"."&amp;$A$43&amp;$AU$1&amp;"P"&amp;$A49))</f>
        <v>0.83</v>
      </c>
      <c r="CH49" s="83">
        <f>IF(RTD("tos.rtd",,CH$2,"."&amp;$A$43&amp;$AW$1&amp;"C"&amp;$A49)="N/A",0,RTD("tos.rtd",,CH$2,"."&amp;$A$43&amp;$AW$1&amp;"C"&amp;$A49))</f>
        <v>0</v>
      </c>
      <c r="CI49" s="83">
        <f>-IF(RTD("tos.rtd",,CI$2,"."&amp;$A$43&amp;$AW$1&amp;"P"&amp;$A49)="N/A",0,RTD("tos.rtd",,CI$2,"."&amp;$A$43&amp;$AW$1&amp;"P"&amp;$A49))</f>
        <v>0</v>
      </c>
      <c r="CK49" s="83">
        <f t="shared" ref="CK49:CK56" si="311">+AS49*CD49*100+AT49*CE49*100</f>
        <v>0</v>
      </c>
      <c r="CL49" s="83"/>
      <c r="CM49" s="83">
        <f t="shared" ref="CM49:CM56" si="312">+AU49*CF49*100+AV49*CG49*100</f>
        <v>34171.000000000007</v>
      </c>
      <c r="CN49" s="83"/>
      <c r="CO49" s="83">
        <f t="shared" ref="CO49:CO56" si="313">+AW49*CH49*100+AX49*CI49*100</f>
        <v>0</v>
      </c>
      <c r="CP49" s="83">
        <f t="shared" ref="CP49:CP56" si="314">+CK49+CM49+CO49</f>
        <v>34171.000000000007</v>
      </c>
      <c r="CQ49" s="83">
        <f t="shared" ref="CQ49:CQ56" si="315">+BA49+BB49</f>
        <v>2594</v>
      </c>
      <c r="CR49" s="83"/>
      <c r="CS49" s="83">
        <f t="shared" ref="CS49:CS56" si="316">+BC49+BD49</f>
        <v>1733</v>
      </c>
      <c r="CT49" s="83"/>
      <c r="CU49" s="83">
        <f t="shared" ref="CU49:CU56" si="317">+BE49+BF49</f>
        <v>0</v>
      </c>
      <c r="CV49" s="83"/>
      <c r="CW49" s="83">
        <f t="shared" ref="CW49:CW56" ca="1" si="318">+BQ49+BS49+BU49</f>
        <v>11128983.818210401</v>
      </c>
      <c r="CY49" s="83">
        <f t="shared" ref="CY49:CY56" ca="1" si="319">+BX49+BZ49+CB49</f>
        <v>21582314.970338456</v>
      </c>
      <c r="CZ49" s="70" t="str">
        <f t="shared" ca="1" si="297"/>
        <v/>
      </c>
      <c r="DA49" s="83">
        <f>IF(RTD("tos.rtd",,DA$43,"."&amp;$A$43&amp;$AS$42&amp;"C"&amp;$A49)="N/A",0,RTD("tos.rtd",,DA$43,"."&amp;$A$43&amp;$AS$42&amp;"C"&amp;$A49))</f>
        <v>0.01</v>
      </c>
      <c r="DB49" s="83">
        <f>IF(RTD("tos.rtd",,DB$43,"."&amp;$A$43&amp;$AS$42&amp;"P"&amp;$A49)="N/A",0,RTD("tos.rtd",,DB$43,"."&amp;$A$43&amp;$AS$42&amp;"P"&amp;$A49))</f>
        <v>14.23</v>
      </c>
      <c r="DC49" s="83">
        <f>IF(RTD("tos.rtd",,DC$43,"."&amp;$A$43&amp;$AS$42&amp;"C"&amp;$A49)="N/A",0,RTD("tos.rtd",,DC$43,"."&amp;$A$43&amp;$AS$42&amp;"C"&amp;$A49))</f>
        <v>0.01</v>
      </c>
      <c r="DD49" s="83">
        <f>IF(RTD("tos.rtd",,DD$43,"."&amp;$A$43&amp;$AS$42&amp;"P"&amp;$A49)="N/A",0,RTD("tos.rtd",,DD$43,"."&amp;$A$43&amp;$AS$42&amp;"P"&amp;$A49))</f>
        <v>10.61</v>
      </c>
      <c r="DE49" s="83">
        <f>IF(RTD("tos.rtd",,DE$43,"."&amp;$A$43&amp;$AS$42&amp;"C"&amp;$A49)="N/A",0,RTD("tos.rtd",,DE$43,"."&amp;$A$43&amp;$AS$42&amp;"C"&amp;$A49))</f>
        <v>0</v>
      </c>
      <c r="DF49" s="83">
        <f>IF(RTD("tos.rtd",,DF$43,"."&amp;$A$43&amp;$AS$42&amp;"P"&amp;$A49)="N/A",0,RTD("tos.rtd",,DF$43,"."&amp;$A$43&amp;$AS$42&amp;"P"&amp;$A49))</f>
        <v>10.31</v>
      </c>
      <c r="DG49" s="86">
        <f t="shared" si="289"/>
        <v>10.339999999999975</v>
      </c>
      <c r="DH49" s="83">
        <f t="shared" ref="DH49:DH56" si="320">((DA49-DE49)/(DC49-DE49))*(BA49-AP49)</f>
        <v>0</v>
      </c>
      <c r="DI49" s="83">
        <f t="shared" ref="DI49:DI56" si="321">((DB49-DF49)/(DD49-DF49))*(BB49-AQ49)</f>
        <v>0</v>
      </c>
      <c r="DJ49" s="83">
        <f t="shared" ref="DJ49:DJ56" si="322">IF(DA49&gt;=(DE49+(DC49-DE49)*0.6),(BA49-AP49),IF(DA49&lt;=(DE49+(DC49-DE49)*0.4),-(BA49-AP49),0))</f>
        <v>0</v>
      </c>
      <c r="DK49" s="83">
        <f t="shared" si="257"/>
        <v>0</v>
      </c>
      <c r="DL49" s="83">
        <f t="shared" si="258"/>
        <v>0</v>
      </c>
      <c r="DM49" s="83">
        <f t="shared" si="259"/>
        <v>0</v>
      </c>
      <c r="DN49" s="64" t="str">
        <f t="shared" si="260"/>
        <v>UNKNOWN</v>
      </c>
      <c r="DO49" s="64" t="str">
        <f t="shared" si="261"/>
        <v>UNKNOWN</v>
      </c>
      <c r="DP49" s="83">
        <f t="shared" si="262"/>
        <v>0</v>
      </c>
      <c r="DQ49" s="83">
        <f t="shared" si="263"/>
        <v>0</v>
      </c>
      <c r="DR49" s="83">
        <f t="shared" ca="1" si="264"/>
        <v>0</v>
      </c>
      <c r="DS49" s="83">
        <f t="shared" si="265"/>
        <v>0</v>
      </c>
      <c r="DT49" s="83">
        <f t="shared" si="290"/>
        <v>0</v>
      </c>
      <c r="DU49" s="83">
        <f t="shared" si="291"/>
        <v>0</v>
      </c>
      <c r="DV49" s="83">
        <f t="shared" si="266"/>
        <v>-450</v>
      </c>
      <c r="DW49" s="83">
        <f t="shared" si="267"/>
        <v>-24</v>
      </c>
      <c r="DX49" s="83">
        <f t="shared" ref="DX49:DX56" ca="1" si="323">(EXP(-POWER((LN($A$44/$A49)+($EC$1+POWER($EE49,2)/2)*($EM$1/$DY$1))/($EE49*SQRT($EM$1/$DY$1)),2)/2)/SQRT(2*PI())/($A$44*$EE49*SQRT($EM$1/$DY$1)))</f>
        <v>1.7446826468238318E-2</v>
      </c>
      <c r="DY49" s="83">
        <f t="shared" ref="DY49:DY56" ca="1" si="324">-(EXP(-POWER((LN($A$44/$A49)+($EC$1+POWER($EF49,2)/2)*($EM$1/$DY$1))/($EF49*SQRT($EM$1/$DY$1)),2)/2)/SQRT(2*PI())/($A$44*$EF49*SQRT($EM$1/$DY$1)))</f>
        <v>-2.3877646148894253E-2</v>
      </c>
      <c r="DZ49" s="83">
        <f t="shared" ref="DZ49:DZ56" ca="1" si="325">(EXP(-POWER((LN($A$44/$A49)+($EC$1+POWER($EG49,2)/2)*($EO$1/$DY$1))/($EG49*SQRT($EO$1/$DY$1)),2)/2)/SQRT(2*PI())/($A$44*$EG49*SQRT($EO$1/$DY$1)))</f>
        <v>2.2446323468857485E-2</v>
      </c>
      <c r="EA49" s="83">
        <f t="shared" ref="EA49:EA56" ca="1" si="326">-(EXP(-POWER((LN($A$44/$A49)+($EC$1+POWER($EH49,2)/2)*($EO$1/$DY$1))/($EH49*SQRT($EO$1/$DY$1)),2)/2)/SQRT(2*PI())/($A$44*$EH49*SQRT($EO$1/$DY$1)))</f>
        <v>-2.3616303735332494E-2</v>
      </c>
      <c r="EB49" s="83">
        <f t="shared" ref="EB49:EB56" ca="1" si="327">(EXP(-POWER((LN($A$44/$A49)+($EC$1+POWER($EI49,2)/2)*($EO$1/$DY$1))/($EI49*SQRT($EO$1/$DY$1)),2)/2)/SQRT(2*PI())/($A$44*$EI49*SQRT($EO$1/$DY$1)))</f>
        <v>2.1043778970401793E-2</v>
      </c>
      <c r="EC49" s="83">
        <f t="shared" ref="EC49:EC56" ca="1" si="328">-(EXP(-POWER((LN($A$44/$A49)+($EC$1+POWER($EJ49,2)/2)*($EO$1/$DY$1))/($EJ49*SQRT($EO$1/$DY$1)),2)/2)/SQRT(2*PI())/($A$44*$EJ49*SQRT($EO$1/$DY$1)))</f>
        <v>-2.1043778970401793E-2</v>
      </c>
      <c r="ED49" s="63">
        <f t="shared" si="292"/>
        <v>-474</v>
      </c>
      <c r="EE49" s="84">
        <f t="shared" ref="EE49:EE56" si="329">IFERROR(VALUE(IF(OR(EL49="--",EL49="0.00%"),$EE$1,EL49)),$EE$1)</f>
        <v>1.0102</v>
      </c>
      <c r="EF49" s="84">
        <f t="shared" ref="EF49:EF56" si="330">IFERROR(VALUE(IF(OR(EM49="--",EM49="0.00%"),$EE$1,EM49)),$EE$1)</f>
        <v>1.6491</v>
      </c>
      <c r="EG49" s="84">
        <f t="shared" ref="EG49:EG56" si="331">IFERROR(VALUE(IF(OR(EN49="--",EN49="0.00%"),$EE$1,EN49)),$EE$1)</f>
        <v>0.2223</v>
      </c>
      <c r="EH49" s="84">
        <f t="shared" ref="EH49:EH56" si="332">IFERROR(VALUE(IF(OR(EO49="--",EO49="0.00%"),$EE$1,EO49)),$EE$1)</f>
        <v>0.19750000000000001</v>
      </c>
      <c r="EI49" s="84">
        <f t="shared" ref="EI49:EI56" si="333">IFERROR(VALUE(IF(OR(EP49="--",EP49="0.00%"),$EE$1,EP49)),$EE$1)</f>
        <v>0.25</v>
      </c>
      <c r="EJ49" s="84">
        <f t="shared" ref="EJ49:EJ56" si="334">IFERROR(VALUE(IF(OR(EQ49="--",EQ49="0.00%"),$EE$1,EQ49)),$EE$1)</f>
        <v>0.25</v>
      </c>
      <c r="EK49" s="63">
        <f t="shared" ca="1" si="293"/>
        <v>-1875678.6866613091</v>
      </c>
      <c r="EL49" s="83" t="str">
        <f>RTD("tos.rtd",,EL$43,"."&amp;$A$43&amp;$AS$42&amp;"C"&amp;$A49)</f>
        <v>101.02%</v>
      </c>
      <c r="EM49" s="83" t="str">
        <f>RTD("tos.rtd",,EM$43,"."&amp;$A$43&amp;$AS$42&amp;"P"&amp;$A49)</f>
        <v>164.91%</v>
      </c>
      <c r="EN49" s="83" t="str">
        <f>RTD("tos.rtd",,EN$2,"."&amp;$A$43&amp;$AU$1&amp;"C"&amp;$A49)</f>
        <v>22.23%</v>
      </c>
      <c r="EO49" s="83" t="str">
        <f>RTD("tos.rtd",,EO$2,"."&amp;$A$43&amp;$AU$1&amp;"P"&amp;$A49)</f>
        <v>19.75%</v>
      </c>
      <c r="EP49" s="83" t="str">
        <f>RTD("tos.rtd",,EP$2,"."&amp;$A$43&amp;$AW$1&amp;"C"&amp;$A49)</f>
        <v>N/A</v>
      </c>
      <c r="EQ49" s="83" t="str">
        <f>RTD("tos.rtd",,EQ$2,"."&amp;$A$43&amp;$AW$1&amp;"P"&amp;$A49)</f>
        <v>N/A</v>
      </c>
      <c r="ES49" s="63" t="str">
        <f t="shared" si="274"/>
        <v>518,-474.00</v>
      </c>
      <c r="ET49" s="63" t="str">
        <f t="shared" ca="1" si="275"/>
        <v>518,21582.31</v>
      </c>
      <c r="EU49" s="68">
        <v>564.79999999999995</v>
      </c>
      <c r="EV49" s="68" t="s">
        <v>411</v>
      </c>
      <c r="EW49" s="68">
        <v>487.92</v>
      </c>
      <c r="EX49" s="68" t="s">
        <v>412</v>
      </c>
      <c r="EY49" s="68">
        <v>5659.91</v>
      </c>
      <c r="EZ49" s="68" t="s">
        <v>413</v>
      </c>
      <c r="FA49" s="68">
        <v>20061.449000000001</v>
      </c>
      <c r="FB49" s="68" t="s">
        <v>414</v>
      </c>
      <c r="FC49" s="68" t="s">
        <v>415</v>
      </c>
      <c r="FD49" s="68" t="s">
        <v>416</v>
      </c>
      <c r="FE49" s="68" t="s">
        <v>417</v>
      </c>
      <c r="FF49" s="68" t="s">
        <v>418</v>
      </c>
    </row>
    <row r="50" spans="1:162" ht="13.5" thickBot="1" x14ac:dyDescent="0.25">
      <c r="A50" s="2">
        <f t="shared" si="294"/>
        <v>517</v>
      </c>
      <c r="B50" s="3">
        <f t="shared" si="299"/>
        <v>313</v>
      </c>
      <c r="C50" s="3">
        <f t="shared" si="300"/>
        <v>3616</v>
      </c>
      <c r="D50" s="3">
        <f t="shared" si="301"/>
        <v>0</v>
      </c>
      <c r="E50" s="3">
        <f t="shared" si="302"/>
        <v>3929</v>
      </c>
      <c r="F50" s="4">
        <f t="shared" si="303"/>
        <v>21329.07605483985</v>
      </c>
      <c r="AM50" s="1">
        <v>-2541</v>
      </c>
      <c r="AN50" s="1">
        <v>32</v>
      </c>
      <c r="AO50" s="1">
        <v>517</v>
      </c>
      <c r="AP50" s="1">
        <v>4375</v>
      </c>
      <c r="AQ50" s="1">
        <v>-185</v>
      </c>
      <c r="AS50" s="6">
        <f>IF(RTD("tos.rtd",,AS$43,"."&amp;$A$43&amp;$AS$42&amp;"C"&amp;$A50)="N/A",0,RTD("tos.rtd",,AS$43,"."&amp;$A$43&amp;$AS$42&amp;"C"&amp;$A50))</f>
        <v>313</v>
      </c>
      <c r="AT50" s="7">
        <f>-IF(RTD("tos.rtd",,AT$43,"."&amp;$A$43&amp;$AS$42&amp;"P"&amp;$A50)="N/A",0,RTD("tos.rtd",,AT$43,"."&amp;$A$43&amp;$AS$42&amp;"P"&amp;$A50))</f>
        <v>0</v>
      </c>
      <c r="AU50" s="6">
        <f>IF(RTD("tos.rtd",,AU$2,"."&amp;$A$43&amp;$AU$1&amp;"C"&amp;$A50)="N/A",0,RTD("tos.rtd",,AU$2,"."&amp;$A$43&amp;$AU$1&amp;"C"&amp;$A50))</f>
        <v>3610</v>
      </c>
      <c r="AV50" s="7">
        <f>-IF(RTD("tos.rtd",,AV$2,"."&amp;$A$43&amp;$AU$1&amp;"P"&amp;$A50)="N/A",0,RTD("tos.rtd",,AV$2,"."&amp;$A$43&amp;$AU$1&amp;"P"&amp;$A50))</f>
        <v>-6</v>
      </c>
      <c r="AW50" s="6">
        <f>IF(RTD("tos.rtd",,AW$2,"."&amp;$A$43&amp;$AW$1&amp;"C"&amp;$A50)="N/A",0,RTD("tos.rtd",,AW$2,"."&amp;$A$43&amp;$AW$1&amp;"C"&amp;$A50))</f>
        <v>0</v>
      </c>
      <c r="AX50" s="7">
        <f>-IF(RTD("tos.rtd",,AX$2,"."&amp;$A$43&amp;$AW$1&amp;"P"&amp;$A50)="N/A",0,RTD("tos.rtd",,AX$2,"."&amp;$A$43&amp;$AW$1&amp;"P"&amp;$A50))</f>
        <v>0</v>
      </c>
      <c r="AY50" s="7">
        <f t="shared" si="304"/>
        <v>3917</v>
      </c>
      <c r="AZ50" s="8">
        <f t="shared" si="245"/>
        <v>517</v>
      </c>
      <c r="BA50" s="6">
        <f>IF(RTD("tos.rtd",,BA$43,"."&amp;$A$43&amp;$AS$42&amp;"C"&amp;$A50)="N/A",0,RTD("tos.rtd",,BA$43,"."&amp;$A$43&amp;$AS$42&amp;"C"&amp;$A50))</f>
        <v>4375</v>
      </c>
      <c r="BB50" s="7">
        <f>-IF(RTD("tos.rtd",,BB$43,"."&amp;$A$43&amp;$AS$42&amp;"P"&amp;$A50)="N/A",0,RTD("tos.rtd",,BB$43,"."&amp;$A$43&amp;$AS$42&amp;"P"&amp;$A50))</f>
        <v>-185</v>
      </c>
      <c r="BC50" s="6">
        <f>IF(RTD("tos.rtd",,BC$2,"."&amp;$A$43&amp;$AU$1&amp;"C"&amp;$A50)="N/A",0,RTD("tos.rtd",,BC$2,"."&amp;$A$43&amp;$AU$1&amp;"C"&amp;$A50))</f>
        <v>2460</v>
      </c>
      <c r="BD50" s="7">
        <f>-IF(RTD("tos.rtd",,BD$2,"."&amp;$A$43&amp;$AU$1&amp;"P"&amp;$A50)="N/A",0,RTD("tos.rtd",,BD$2,"."&amp;$A$43&amp;$AU$1&amp;"P"&amp;$A50))</f>
        <v>-87</v>
      </c>
      <c r="BE50" s="6">
        <f>IF(RTD("tos.rtd",,BE$2,"."&amp;$A$43&amp;$AW$1&amp;"C"&amp;$A50)="N/A",0,RTD("tos.rtd",,BE$2,"."&amp;$A$43&amp;$AW$1&amp;"C"&amp;$A50))</f>
        <v>0</v>
      </c>
      <c r="BF50" s="7">
        <f>-IF(RTD("tos.rtd",,BF$2,"."&amp;$A$43&amp;$AW$1&amp;"P"&amp;$A50)="N/A",0,RTD("tos.rtd",,BF$2,"."&amp;$A$43&amp;$AW$1&amp;"P"&amp;$A50))</f>
        <v>0</v>
      </c>
      <c r="BG50" s="32">
        <f ca="1">+Hoja2!Y51</f>
        <v>542</v>
      </c>
      <c r="BH50" s="7">
        <f t="shared" ca="1" si="277"/>
        <v>7105</v>
      </c>
      <c r="BI50" s="8" t="str">
        <f t="shared" ca="1" si="295"/>
        <v/>
      </c>
      <c r="BJ50" s="83">
        <f ca="1">IF($BP$1=1,DX50,IF(RTD("tos.rtd",,BJ$43,"."&amp;$A$43&amp;$AS$42&amp;"C"&amp;$A50)="N/A",0,RTD("tos.rtd",,BJ$43,"."&amp;$A$43&amp;$AS$42&amp;"C"&amp;$A50)))</f>
        <v>1.9603603316067461E-2</v>
      </c>
      <c r="BK50" s="83">
        <f ca="1">IF($BP$1=1,DY50,-IF(RTD("tos.rtd",,BK$43,"."&amp;$A$43&amp;$AS$42&amp;"P"&amp;$A50)="N/A",0,RTD("tos.rtd",,BK$43,"."&amp;$A$43&amp;$AS$42&amp;"P"&amp;$A50)))</f>
        <v>-2.6373683145206866E-2</v>
      </c>
      <c r="BL50" s="83">
        <f ca="1">IF($BP$1=1,DZ50,IF(RTD("tos.rtd",,BL$2,"."&amp;$A$43&amp;$AU$1&amp;"C"&amp;$A50)="N/A",0,RTD("tos.rtd",,BL$2,"."&amp;$A$43&amp;$AU$1&amp;"C"&amp;$A50)))</f>
        <v>2.3486335539423059E-2</v>
      </c>
      <c r="BM50" s="83">
        <f ca="1">IF($BP$1=1,EA50,-IF(RTD("tos.rtd",,BM$2,"."&amp;$A$43&amp;$AU$1&amp;"P"&amp;$A50)="N/A",0,RTD("tos.rtd",,BM$2,"."&amp;$A$43&amp;$AU$1&amp;"P"&amp;$A50)))</f>
        <v>-2.4931264604208553E-2</v>
      </c>
      <c r="BN50" s="83">
        <f ca="1">IF($BP$1=1,EB50,IF(RTD("tos.rtd",,BN$2,"."&amp;$A$43&amp;$AW$1&amp;"C"&amp;$A50)="N/A",0,RTD("tos.rtd",,BN$2,"."&amp;$A$43&amp;$AW$1&amp;"C"&amp;$A50)))</f>
        <v>2.1829515610917883E-2</v>
      </c>
      <c r="BO50" s="83">
        <f ca="1">IF($BP$1=1,EC50,-IF(RTD("tos.rtd",,BO$2,"."&amp;$A$43&amp;$AW$1&amp;"P"&amp;$A50)="N/A",0,RTD("tos.rtd",,BO$2,"."&amp;$A$43&amp;$AW$1&amp;"P"&amp;$A50)))</f>
        <v>-2.1829515610917883E-2</v>
      </c>
      <c r="BQ50" s="83">
        <f t="shared" ca="1" si="305"/>
        <v>1581343.1959682633</v>
      </c>
      <c r="BR50" s="3" t="str">
        <f t="shared" ca="1" si="279"/>
        <v/>
      </c>
      <c r="BS50" s="83">
        <f t="shared" ca="1" si="306"/>
        <v>21812299.401632555</v>
      </c>
      <c r="BT50" s="3" t="str">
        <f t="shared" ca="1" si="281"/>
        <v/>
      </c>
      <c r="BU50" s="83">
        <f t="shared" ca="1" si="307"/>
        <v>0</v>
      </c>
      <c r="BV50" s="83"/>
      <c r="BX50" s="83">
        <f t="shared" ca="1" si="308"/>
        <v>20845995.96295825</v>
      </c>
      <c r="BY50" s="83" t="str">
        <f t="shared" ca="1" si="296"/>
        <v/>
      </c>
      <c r="BZ50" s="83">
        <f t="shared" ca="1" si="309"/>
        <v>14331056.566146424</v>
      </c>
      <c r="CA50" s="83" t="str">
        <f t="shared" ca="1" si="296"/>
        <v/>
      </c>
      <c r="CB50" s="83">
        <f t="shared" ca="1" si="310"/>
        <v>0</v>
      </c>
      <c r="CC50" s="83" t="str">
        <f t="shared" ca="1" si="296"/>
        <v/>
      </c>
      <c r="CD50" s="83">
        <f>IF(RTD("tos.rtd",,CD$43,"."&amp;$A$43&amp;$AS$42&amp;"C"&amp;$A50)="N/A",0,RTD("tos.rtd",,CD$43,"."&amp;$A$43&amp;$AS$42&amp;"C"&amp;$A50))</f>
        <v>0</v>
      </c>
      <c r="CE50" s="83">
        <f>-IF(RTD("tos.rtd",,CE$43,"."&amp;$A$43&amp;$AS$42&amp;"P"&amp;$A50)="N/A",0,RTD("tos.rtd",,CE$43,"."&amp;$A$43&amp;$AS$42&amp;"P"&amp;$A50))</f>
        <v>0.94</v>
      </c>
      <c r="CF50" s="83">
        <f>IF(RTD("tos.rtd",,CF$2,"."&amp;$A$43&amp;$AU$1&amp;"C"&amp;$A50)="N/A",0,RTD("tos.rtd",,CF$2,"."&amp;$A$43&amp;$AU$1&amp;"C"&amp;$A50))</f>
        <v>0.23</v>
      </c>
      <c r="CG50" s="83">
        <f>-IF(RTD("tos.rtd",,CG$2,"."&amp;$A$43&amp;$AU$1&amp;"P"&amp;$A50)="N/A",0,RTD("tos.rtd",,CG$2,"."&amp;$A$43&amp;$AU$1&amp;"P"&amp;$A50))</f>
        <v>0.8</v>
      </c>
      <c r="CH50" s="83">
        <f>IF(RTD("tos.rtd",,CH$2,"."&amp;$A$43&amp;$AW$1&amp;"C"&amp;$A50)="N/A",0,RTD("tos.rtd",,CH$2,"."&amp;$A$43&amp;$AW$1&amp;"C"&amp;$A50))</f>
        <v>0</v>
      </c>
      <c r="CI50" s="83">
        <f>-IF(RTD("tos.rtd",,CI$2,"."&amp;$A$43&amp;$AW$1&amp;"P"&amp;$A50)="N/A",0,RTD("tos.rtd",,CI$2,"."&amp;$A$43&amp;$AW$1&amp;"P"&amp;$A50))</f>
        <v>0</v>
      </c>
      <c r="CK50" s="83">
        <f t="shared" si="311"/>
        <v>0</v>
      </c>
      <c r="CL50" s="83"/>
      <c r="CM50" s="83">
        <f t="shared" si="312"/>
        <v>82550</v>
      </c>
      <c r="CN50" s="83"/>
      <c r="CO50" s="83">
        <f t="shared" si="313"/>
        <v>0</v>
      </c>
      <c r="CP50" s="83">
        <f t="shared" si="314"/>
        <v>82550</v>
      </c>
      <c r="CQ50" s="83">
        <f t="shared" si="315"/>
        <v>4190</v>
      </c>
      <c r="CR50" s="83"/>
      <c r="CS50" s="83">
        <f t="shared" si="316"/>
        <v>2373</v>
      </c>
      <c r="CT50" s="83"/>
      <c r="CU50" s="83">
        <f t="shared" si="317"/>
        <v>0</v>
      </c>
      <c r="CV50" s="83"/>
      <c r="CW50" s="83">
        <f t="shared" ca="1" si="318"/>
        <v>23393642.597600818</v>
      </c>
      <c r="CY50" s="83">
        <f t="shared" ca="1" si="319"/>
        <v>35177052.529104672</v>
      </c>
      <c r="CZ50" s="70" t="str">
        <f t="shared" ca="1" si="297"/>
        <v/>
      </c>
      <c r="DA50" s="83">
        <f>IF(RTD("tos.rtd",,DA$43,"."&amp;$A$43&amp;$AS$42&amp;"C"&amp;$A50)="N/A",0,RTD("tos.rtd",,DA$43,"."&amp;$A$43&amp;$AS$42&amp;"C"&amp;$A50))</f>
        <v>0.01</v>
      </c>
      <c r="DB50" s="83">
        <f>IF(RTD("tos.rtd",,DB$43,"."&amp;$A$43&amp;$AS$42&amp;"P"&amp;$A50)="N/A",0,RTD("tos.rtd",,DB$43,"."&amp;$A$43&amp;$AS$42&amp;"P"&amp;$A50))</f>
        <v>10.85</v>
      </c>
      <c r="DC50" s="83">
        <f>IF(RTD("tos.rtd",,DC$43,"."&amp;$A$43&amp;$AS$42&amp;"C"&amp;$A50)="N/A",0,RTD("tos.rtd",,DC$43,"."&amp;$A$43&amp;$AS$42&amp;"C"&amp;$A50))</f>
        <v>0.01</v>
      </c>
      <c r="DD50" s="83">
        <f>IF(RTD("tos.rtd",,DD$43,"."&amp;$A$43&amp;$AS$42&amp;"P"&amp;$A50)="N/A",0,RTD("tos.rtd",,DD$43,"."&amp;$A$43&amp;$AS$42&amp;"P"&amp;$A50))</f>
        <v>9.61</v>
      </c>
      <c r="DE50" s="83">
        <f>IF(RTD("tos.rtd",,DE$43,"."&amp;$A$43&amp;$AS$42&amp;"C"&amp;$A50)="N/A",0,RTD("tos.rtd",,DE$43,"."&amp;$A$43&amp;$AS$42&amp;"C"&amp;$A50))</f>
        <v>0</v>
      </c>
      <c r="DF50" s="83">
        <f>IF(RTD("tos.rtd",,DF$43,"."&amp;$A$43&amp;$AS$42&amp;"P"&amp;$A50)="N/A",0,RTD("tos.rtd",,DF$43,"."&amp;$A$43&amp;$AS$42&amp;"P"&amp;$A50))</f>
        <v>9.3000000000000007</v>
      </c>
      <c r="DG50" s="86">
        <f t="shared" si="289"/>
        <v>9.339999999999975</v>
      </c>
      <c r="DH50" s="83">
        <f t="shared" si="320"/>
        <v>0</v>
      </c>
      <c r="DI50" s="83">
        <f t="shared" si="321"/>
        <v>0</v>
      </c>
      <c r="DJ50" s="83">
        <f t="shared" si="322"/>
        <v>0</v>
      </c>
      <c r="DK50" s="83">
        <f t="shared" si="257"/>
        <v>0</v>
      </c>
      <c r="DL50" s="83">
        <f t="shared" si="258"/>
        <v>0</v>
      </c>
      <c r="DM50" s="83">
        <f t="shared" si="259"/>
        <v>0</v>
      </c>
      <c r="DN50" s="64" t="str">
        <f t="shared" si="260"/>
        <v>UNKNOWN</v>
      </c>
      <c r="DO50" s="64" t="str">
        <f t="shared" si="261"/>
        <v>UNKNOWN</v>
      </c>
      <c r="DP50" s="83">
        <f t="shared" si="262"/>
        <v>0</v>
      </c>
      <c r="DQ50" s="83">
        <f t="shared" si="263"/>
        <v>0</v>
      </c>
      <c r="DR50" s="83">
        <f t="shared" ca="1" si="264"/>
        <v>0</v>
      </c>
      <c r="DS50" s="83">
        <f t="shared" si="265"/>
        <v>0</v>
      </c>
      <c r="DT50" s="83">
        <f t="shared" si="290"/>
        <v>0</v>
      </c>
      <c r="DU50" s="83">
        <f t="shared" si="291"/>
        <v>0</v>
      </c>
      <c r="DV50" s="83">
        <f t="shared" si="266"/>
        <v>-2541</v>
      </c>
      <c r="DW50" s="83">
        <f t="shared" si="267"/>
        <v>32</v>
      </c>
      <c r="DX50" s="83">
        <f t="shared" ca="1" si="323"/>
        <v>1.9603603316067461E-2</v>
      </c>
      <c r="DY50" s="83">
        <f t="shared" ca="1" si="324"/>
        <v>-2.6373683145206866E-2</v>
      </c>
      <c r="DZ50" s="83">
        <f t="shared" ca="1" si="325"/>
        <v>2.3486335539423059E-2</v>
      </c>
      <c r="EA50" s="83">
        <f t="shared" ca="1" si="326"/>
        <v>-2.4931264604208553E-2</v>
      </c>
      <c r="EB50" s="83">
        <f t="shared" ca="1" si="327"/>
        <v>2.1829515610917883E-2</v>
      </c>
      <c r="EC50" s="83">
        <f t="shared" ca="1" si="328"/>
        <v>-2.1829515610917883E-2</v>
      </c>
      <c r="ED50" s="63">
        <f t="shared" si="292"/>
        <v>-2509</v>
      </c>
      <c r="EE50" s="84">
        <f t="shared" si="329"/>
        <v>0.92330000000000001</v>
      </c>
      <c r="EF50" s="84">
        <f t="shared" si="330"/>
        <v>1.5047999999999999</v>
      </c>
      <c r="EG50" s="84">
        <f t="shared" si="331"/>
        <v>0.2228</v>
      </c>
      <c r="EH50" s="84">
        <f t="shared" si="332"/>
        <v>0.1996</v>
      </c>
      <c r="EI50" s="84">
        <f t="shared" si="333"/>
        <v>0.25</v>
      </c>
      <c r="EJ50" s="84">
        <f t="shared" si="334"/>
        <v>0.25</v>
      </c>
      <c r="EK50" s="63">
        <f t="shared" ca="1" si="293"/>
        <v>-13055181.213147534</v>
      </c>
      <c r="EL50" s="83" t="str">
        <f>RTD("tos.rtd",,EL$43,"."&amp;$A$43&amp;$AS$42&amp;"C"&amp;$A50)</f>
        <v>92.33%</v>
      </c>
      <c r="EM50" s="83" t="str">
        <f>RTD("tos.rtd",,EM$43,"."&amp;$A$43&amp;$AS$42&amp;"P"&amp;$A50)</f>
        <v>150.48%</v>
      </c>
      <c r="EN50" s="83" t="str">
        <f>RTD("tos.rtd",,EN$2,"."&amp;$A$43&amp;$AU$1&amp;"C"&amp;$A50)</f>
        <v>22.28%</v>
      </c>
      <c r="EO50" s="83" t="str">
        <f>RTD("tos.rtd",,EO$2,"."&amp;$A$43&amp;$AU$1&amp;"P"&amp;$A50)</f>
        <v>19.96%</v>
      </c>
      <c r="EP50" s="83" t="str">
        <f>RTD("tos.rtd",,EP$2,"."&amp;$A$43&amp;$AW$1&amp;"C"&amp;$A50)</f>
        <v>N/A</v>
      </c>
      <c r="EQ50" s="83" t="str">
        <f>RTD("tos.rtd",,EQ$2,"."&amp;$A$43&amp;$AW$1&amp;"P"&amp;$A50)</f>
        <v>N/A</v>
      </c>
      <c r="ES50" s="63" t="str">
        <f t="shared" si="274"/>
        <v>517,-2509.00</v>
      </c>
      <c r="ET50" s="63" t="str">
        <f t="shared" ca="1" si="275"/>
        <v>517,35177.05</v>
      </c>
      <c r="EU50" s="68">
        <v>564.79999999999995</v>
      </c>
      <c r="EV50" s="68" t="s">
        <v>419</v>
      </c>
      <c r="EW50" s="68">
        <v>487.92</v>
      </c>
      <c r="EX50" s="68" t="s">
        <v>420</v>
      </c>
      <c r="EY50" s="68">
        <v>5659.91</v>
      </c>
      <c r="EZ50" s="68" t="s">
        <v>421</v>
      </c>
      <c r="FA50" s="68">
        <v>20061.449000000001</v>
      </c>
      <c r="FB50" s="68" t="s">
        <v>422</v>
      </c>
      <c r="FC50" s="68" t="s">
        <v>423</v>
      </c>
      <c r="FD50" s="68" t="s">
        <v>424</v>
      </c>
      <c r="FE50" s="68" t="s">
        <v>425</v>
      </c>
      <c r="FF50" s="68" t="s">
        <v>426</v>
      </c>
    </row>
    <row r="51" spans="1:162" ht="13.5" thickBot="1" x14ac:dyDescent="0.25">
      <c r="A51" s="2">
        <f t="shared" si="294"/>
        <v>516</v>
      </c>
      <c r="B51" s="3">
        <f t="shared" si="299"/>
        <v>539</v>
      </c>
      <c r="C51" s="3">
        <f t="shared" si="300"/>
        <v>1362</v>
      </c>
      <c r="D51" s="3">
        <f t="shared" si="301"/>
        <v>0</v>
      </c>
      <c r="E51" s="3">
        <f t="shared" si="302"/>
        <v>1901</v>
      </c>
      <c r="F51" s="4">
        <f t="shared" si="303"/>
        <v>21287.820588582908</v>
      </c>
      <c r="AM51" s="1">
        <v>852</v>
      </c>
      <c r="AN51" s="1">
        <v>-43</v>
      </c>
      <c r="AO51" s="1">
        <v>516</v>
      </c>
      <c r="AP51" s="1">
        <v>3714</v>
      </c>
      <c r="AQ51" s="1">
        <v>-143</v>
      </c>
      <c r="AS51" s="6">
        <f>IF(RTD("tos.rtd",,AS$43,"."&amp;$A$43&amp;$AS$42&amp;"C"&amp;$A51)="N/A",0,RTD("tos.rtd",,AS$43,"."&amp;$A$43&amp;$AS$42&amp;"C"&amp;$A51))</f>
        <v>539</v>
      </c>
      <c r="AT51" s="7">
        <f>-IF(RTD("tos.rtd",,AT$43,"."&amp;$A$43&amp;$AS$42&amp;"P"&amp;$A51)="N/A",0,RTD("tos.rtd",,AT$43,"."&amp;$A$43&amp;$AS$42&amp;"P"&amp;$A51))</f>
        <v>0</v>
      </c>
      <c r="AU51" s="6">
        <f>IF(RTD("tos.rtd",,AU$2,"."&amp;$A$43&amp;$AU$1&amp;"C"&amp;$A51)="N/A",0,RTD("tos.rtd",,AU$2,"."&amp;$A$43&amp;$AU$1&amp;"C"&amp;$A51))</f>
        <v>1362</v>
      </c>
      <c r="AV51" s="7">
        <f>-IF(RTD("tos.rtd",,AV$2,"."&amp;$A$43&amp;$AU$1&amp;"P"&amp;$A51)="N/A",0,RTD("tos.rtd",,AV$2,"."&amp;$A$43&amp;$AU$1&amp;"P"&amp;$A51))</f>
        <v>0</v>
      </c>
      <c r="AW51" s="6">
        <f>IF(RTD("tos.rtd",,AW$2,"."&amp;$A$43&amp;$AW$1&amp;"C"&amp;$A51)="N/A",0,RTD("tos.rtd",,AW$2,"."&amp;$A$43&amp;$AW$1&amp;"C"&amp;$A51))</f>
        <v>0</v>
      </c>
      <c r="AX51" s="7">
        <f>-IF(RTD("tos.rtd",,AX$2,"."&amp;$A$43&amp;$AW$1&amp;"P"&amp;$A51)="N/A",0,RTD("tos.rtd",,AX$2,"."&amp;$A$43&amp;$AW$1&amp;"P"&amp;$A51))</f>
        <v>0</v>
      </c>
      <c r="AY51" s="7">
        <f t="shared" si="304"/>
        <v>1901</v>
      </c>
      <c r="AZ51" s="8">
        <f t="shared" si="245"/>
        <v>516</v>
      </c>
      <c r="BA51" s="6">
        <f>IF(RTD("tos.rtd",,BA$43,"."&amp;$A$43&amp;$AS$42&amp;"C"&amp;$A51)="N/A",0,RTD("tos.rtd",,BA$43,"."&amp;$A$43&amp;$AS$42&amp;"C"&amp;$A51))</f>
        <v>3714</v>
      </c>
      <c r="BB51" s="7">
        <f>-IF(RTD("tos.rtd",,BB$43,"."&amp;$A$43&amp;$AS$42&amp;"P"&amp;$A51)="N/A",0,RTD("tos.rtd",,BB$43,"."&amp;$A$43&amp;$AS$42&amp;"P"&amp;$A51))</f>
        <v>-143</v>
      </c>
      <c r="BC51" s="6">
        <f>IF(RTD("tos.rtd",,BC$2,"."&amp;$A$43&amp;$AU$1&amp;"C"&amp;$A51)="N/A",0,RTD("tos.rtd",,BC$2,"."&amp;$A$43&amp;$AU$1&amp;"C"&amp;$A51))</f>
        <v>3199</v>
      </c>
      <c r="BD51" s="7">
        <f>-IF(RTD("tos.rtd",,BD$2,"."&amp;$A$43&amp;$AU$1&amp;"P"&amp;$A51)="N/A",0,RTD("tos.rtd",,BD$2,"."&amp;$A$43&amp;$AU$1&amp;"P"&amp;$A51))</f>
        <v>-78</v>
      </c>
      <c r="BE51" s="6">
        <f>IF(RTD("tos.rtd",,BE$2,"."&amp;$A$43&amp;$AW$1&amp;"C"&amp;$A51)="N/A",0,RTD("tos.rtd",,BE$2,"."&amp;$A$43&amp;$AW$1&amp;"C"&amp;$A51))</f>
        <v>0</v>
      </c>
      <c r="BF51" s="7">
        <f>-IF(RTD("tos.rtd",,BF$2,"."&amp;$A$43&amp;$AW$1&amp;"P"&amp;$A51)="N/A",0,RTD("tos.rtd",,BF$2,"."&amp;$A$43&amp;$AW$1&amp;"P"&amp;$A51))</f>
        <v>0</v>
      </c>
      <c r="BG51" s="32">
        <f ca="1">+Hoja2!Y52</f>
        <v>368</v>
      </c>
      <c r="BH51" s="7">
        <f t="shared" ca="1" si="277"/>
        <v>7060</v>
      </c>
      <c r="BI51" s="8" t="str">
        <f t="shared" ca="1" si="295"/>
        <v/>
      </c>
      <c r="BJ51" s="83">
        <f ca="1">IF($BP$1=1,DX51,IF(RTD("tos.rtd",,BJ$43,"."&amp;$A$43&amp;$AS$42&amp;"C"&amp;$A51)="N/A",0,RTD("tos.rtd",,BJ$43,"."&amp;$A$43&amp;$AS$42&amp;"C"&amp;$A51)))</f>
        <v>2.2312435669611091E-2</v>
      </c>
      <c r="BK51" s="83">
        <f ca="1">IF($BP$1=1,DY51,-IF(RTD("tos.rtd",,BK$43,"."&amp;$A$43&amp;$AS$42&amp;"P"&amp;$A51)="N/A",0,RTD("tos.rtd",,BK$43,"."&amp;$A$43&amp;$AS$42&amp;"P"&amp;$A51)))</f>
        <v>-2.9441858705976709E-2</v>
      </c>
      <c r="BL51" s="83">
        <f ca="1">IF($BP$1=1,DZ51,IF(RTD("tos.rtd",,BL$2,"."&amp;$A$43&amp;$AU$1&amp;"C"&amp;$A51)="N/A",0,RTD("tos.rtd",,BL$2,"."&amp;$A$43&amp;$AU$1&amp;"C"&amp;$A51)))</f>
        <v>2.446783524907609E-2</v>
      </c>
      <c r="BM51" s="83">
        <f ca="1">IF($BP$1=1,EA51,-IF(RTD("tos.rtd",,BM$2,"."&amp;$A$43&amp;$AU$1&amp;"P"&amp;$A51)="N/A",0,RTD("tos.rtd",,BM$2,"."&amp;$A$43&amp;$AU$1&amp;"P"&amp;$A51)))</f>
        <v>-2.6356429258208344E-2</v>
      </c>
      <c r="BN51" s="83">
        <f ca="1">IF($BP$1=1,EB51,IF(RTD("tos.rtd",,BN$2,"."&amp;$A$43&amp;$AW$1&amp;"C"&amp;$A51)="N/A",0,RTD("tos.rtd",,BN$2,"."&amp;$A$43&amp;$AW$1&amp;"C"&amp;$A51)))</f>
        <v>2.2557387954754593E-2</v>
      </c>
      <c r="BO51" s="83">
        <f ca="1">IF($BP$1=1,EC51,-IF(RTD("tos.rtd",,BO$2,"."&amp;$A$43&amp;$AW$1&amp;"P"&amp;$A51)="N/A",0,RTD("tos.rtd",,BO$2,"."&amp;$A$43&amp;$AW$1&amp;"P"&amp;$A51)))</f>
        <v>-2.2557387954754593E-2</v>
      </c>
      <c r="BQ51" s="83">
        <f t="shared" ca="1" si="305"/>
        <v>3099428.6085282974</v>
      </c>
      <c r="BR51" s="3" t="str">
        <f t="shared" ca="1" si="279"/>
        <v/>
      </c>
      <c r="BS51" s="83">
        <f t="shared" ca="1" si="306"/>
        <v>8588524.2456499878</v>
      </c>
      <c r="BT51" s="3" t="str">
        <f t="shared" ca="1" si="281"/>
        <v/>
      </c>
      <c r="BU51" s="83">
        <f t="shared" ca="1" si="307"/>
        <v>0</v>
      </c>
      <c r="BV51" s="83"/>
      <c r="BX51" s="83">
        <f t="shared" ca="1" si="308"/>
        <v>20271687.201751668</v>
      </c>
      <c r="BY51" s="83" t="str">
        <f t="shared" ca="1" si="296"/>
        <v/>
      </c>
      <c r="BZ51" s="83">
        <f t="shared" ca="1" si="309"/>
        <v>19642493.651241943</v>
      </c>
      <c r="CA51" s="83" t="str">
        <f t="shared" ca="1" si="296"/>
        <v/>
      </c>
      <c r="CB51" s="83">
        <f t="shared" ca="1" si="310"/>
        <v>0</v>
      </c>
      <c r="CC51" s="83" t="str">
        <f t="shared" ca="1" si="296"/>
        <v/>
      </c>
      <c r="CD51" s="83">
        <f>IF(RTD("tos.rtd",,CD$43,"."&amp;$A$43&amp;$AS$42&amp;"C"&amp;$A51)="N/A",0,RTD("tos.rtd",,CD$43,"."&amp;$A$43&amp;$AS$42&amp;"C"&amp;$A51))</f>
        <v>0</v>
      </c>
      <c r="CE51" s="83">
        <f>-IF(RTD("tos.rtd",,CE$43,"."&amp;$A$43&amp;$AS$42&amp;"P"&amp;$A51)="N/A",0,RTD("tos.rtd",,CE$43,"."&amp;$A$43&amp;$AS$42&amp;"P"&amp;$A51))</f>
        <v>0.93</v>
      </c>
      <c r="CF51" s="83">
        <f>IF(RTD("tos.rtd",,CF$2,"."&amp;$A$43&amp;$AU$1&amp;"C"&amp;$A51)="N/A",0,RTD("tos.rtd",,CF$2,"."&amp;$A$43&amp;$AU$1&amp;"C"&amp;$A51))</f>
        <v>0.25</v>
      </c>
      <c r="CG51" s="83">
        <f>-IF(RTD("tos.rtd",,CG$2,"."&amp;$A$43&amp;$AU$1&amp;"P"&amp;$A51)="N/A",0,RTD("tos.rtd",,CG$2,"."&amp;$A$43&amp;$AU$1&amp;"P"&amp;$A51))</f>
        <v>0.78</v>
      </c>
      <c r="CH51" s="83">
        <f>IF(RTD("tos.rtd",,CH$2,"."&amp;$A$43&amp;$AW$1&amp;"C"&amp;$A51)="N/A",0,RTD("tos.rtd",,CH$2,"."&amp;$A$43&amp;$AW$1&amp;"C"&amp;$A51))</f>
        <v>0</v>
      </c>
      <c r="CI51" s="83">
        <f>-IF(RTD("tos.rtd",,CI$2,"."&amp;$A$43&amp;$AW$1&amp;"P"&amp;$A51)="N/A",0,RTD("tos.rtd",,CI$2,"."&amp;$A$43&amp;$AW$1&amp;"P"&amp;$A51))</f>
        <v>0</v>
      </c>
      <c r="CK51" s="83">
        <f t="shared" si="311"/>
        <v>0</v>
      </c>
      <c r="CL51" s="83"/>
      <c r="CM51" s="83">
        <f t="shared" si="312"/>
        <v>34050</v>
      </c>
      <c r="CN51" s="83"/>
      <c r="CO51" s="83">
        <f t="shared" si="313"/>
        <v>0</v>
      </c>
      <c r="CP51" s="83">
        <f t="shared" si="314"/>
        <v>34050</v>
      </c>
      <c r="CQ51" s="83">
        <f t="shared" si="315"/>
        <v>3571</v>
      </c>
      <c r="CR51" s="83"/>
      <c r="CS51" s="83">
        <f t="shared" si="316"/>
        <v>3121</v>
      </c>
      <c r="CT51" s="83"/>
      <c r="CU51" s="83">
        <f t="shared" si="317"/>
        <v>0</v>
      </c>
      <c r="CV51" s="83"/>
      <c r="CW51" s="83">
        <f t="shared" ca="1" si="318"/>
        <v>11687952.854178285</v>
      </c>
      <c r="CY51" s="83">
        <f t="shared" ca="1" si="319"/>
        <v>39914180.852993608</v>
      </c>
      <c r="CZ51" s="70" t="str">
        <f t="shared" ca="1" si="297"/>
        <v/>
      </c>
      <c r="DA51" s="83">
        <f>IF(RTD("tos.rtd",,DA$43,"."&amp;$A$43&amp;$AS$42&amp;"C"&amp;$A51)="N/A",0,RTD("tos.rtd",,DA$43,"."&amp;$A$43&amp;$AS$42&amp;"C"&amp;$A51))</f>
        <v>0.01</v>
      </c>
      <c r="DB51" s="83">
        <f>IF(RTD("tos.rtd",,DB$43,"."&amp;$A$43&amp;$AS$42&amp;"P"&amp;$A51)="N/A",0,RTD("tos.rtd",,DB$43,"."&amp;$A$43&amp;$AS$42&amp;"P"&amp;$A51))</f>
        <v>7.93</v>
      </c>
      <c r="DC51" s="83">
        <f>IF(RTD("tos.rtd",,DC$43,"."&amp;$A$43&amp;$AS$42&amp;"C"&amp;$A51)="N/A",0,RTD("tos.rtd",,DC$43,"."&amp;$A$43&amp;$AS$42&amp;"C"&amp;$A51))</f>
        <v>0.01</v>
      </c>
      <c r="DD51" s="83">
        <f>IF(RTD("tos.rtd",,DD$43,"."&amp;$A$43&amp;$AS$42&amp;"P"&amp;$A51)="N/A",0,RTD("tos.rtd",,DD$43,"."&amp;$A$43&amp;$AS$42&amp;"P"&amp;$A51))</f>
        <v>8.61</v>
      </c>
      <c r="DE51" s="83">
        <f>IF(RTD("tos.rtd",,DE$43,"."&amp;$A$43&amp;$AS$42&amp;"C"&amp;$A51)="N/A",0,RTD("tos.rtd",,DE$43,"."&amp;$A$43&amp;$AS$42&amp;"C"&amp;$A51))</f>
        <v>0</v>
      </c>
      <c r="DF51" s="83">
        <f>IF(RTD("tos.rtd",,DF$43,"."&amp;$A$43&amp;$AS$42&amp;"P"&amp;$A51)="N/A",0,RTD("tos.rtd",,DF$43,"."&amp;$A$43&amp;$AS$42&amp;"P"&amp;$A51))</f>
        <v>8.3000000000000007</v>
      </c>
      <c r="DG51" s="86">
        <f t="shared" si="289"/>
        <v>8.339999999999975</v>
      </c>
      <c r="DH51" s="83">
        <f t="shared" si="320"/>
        <v>0</v>
      </c>
      <c r="DI51" s="83">
        <f t="shared" si="321"/>
        <v>0</v>
      </c>
      <c r="DJ51" s="83">
        <f t="shared" si="322"/>
        <v>0</v>
      </c>
      <c r="DK51" s="83">
        <f t="shared" si="257"/>
        <v>0</v>
      </c>
      <c r="DL51" s="83">
        <f t="shared" si="258"/>
        <v>0</v>
      </c>
      <c r="DM51" s="83">
        <f t="shared" si="259"/>
        <v>0</v>
      </c>
      <c r="DN51" s="64" t="str">
        <f t="shared" si="260"/>
        <v>UNKNOWN</v>
      </c>
      <c r="DO51" s="64" t="str">
        <f t="shared" si="261"/>
        <v>UNKNOWN</v>
      </c>
      <c r="DP51" s="83">
        <f t="shared" si="262"/>
        <v>0</v>
      </c>
      <c r="DQ51" s="83">
        <f t="shared" si="263"/>
        <v>0</v>
      </c>
      <c r="DR51" s="83">
        <f t="shared" ca="1" si="264"/>
        <v>0</v>
      </c>
      <c r="DS51" s="83">
        <f t="shared" si="265"/>
        <v>0</v>
      </c>
      <c r="DT51" s="83">
        <f t="shared" si="290"/>
        <v>0</v>
      </c>
      <c r="DU51" s="83">
        <f t="shared" si="291"/>
        <v>0</v>
      </c>
      <c r="DV51" s="83">
        <f t="shared" si="266"/>
        <v>852</v>
      </c>
      <c r="DW51" s="83">
        <f t="shared" si="267"/>
        <v>-43</v>
      </c>
      <c r="DX51" s="83">
        <f t="shared" ca="1" si="323"/>
        <v>2.2312435669611091E-2</v>
      </c>
      <c r="DY51" s="83">
        <f t="shared" ca="1" si="324"/>
        <v>-2.9441858705976709E-2</v>
      </c>
      <c r="DZ51" s="83">
        <f t="shared" ca="1" si="325"/>
        <v>2.446783524907609E-2</v>
      </c>
      <c r="EA51" s="83">
        <f t="shared" ca="1" si="326"/>
        <v>-2.6356429258208344E-2</v>
      </c>
      <c r="EB51" s="83">
        <f t="shared" ca="1" si="327"/>
        <v>2.2557387954754593E-2</v>
      </c>
      <c r="EC51" s="83">
        <f t="shared" ca="1" si="328"/>
        <v>-2.2557387954754593E-2</v>
      </c>
      <c r="ED51" s="63">
        <f t="shared" si="292"/>
        <v>809</v>
      </c>
      <c r="EE51" s="84">
        <f t="shared" si="329"/>
        <v>0.83530000000000004</v>
      </c>
      <c r="EF51" s="84">
        <f t="shared" si="330"/>
        <v>1.3704000000000001</v>
      </c>
      <c r="EG51" s="84">
        <f t="shared" si="331"/>
        <v>0.223</v>
      </c>
      <c r="EH51" s="84">
        <f t="shared" si="332"/>
        <v>0.19839999999999999</v>
      </c>
      <c r="EI51" s="84">
        <f t="shared" si="333"/>
        <v>0.25</v>
      </c>
      <c r="EJ51" s="84">
        <f t="shared" si="334"/>
        <v>0.25</v>
      </c>
      <c r="EK51" s="63">
        <f t="shared" ca="1" si="293"/>
        <v>5225554.1512103649</v>
      </c>
      <c r="EL51" s="83" t="str">
        <f>RTD("tos.rtd",,EL$43,"."&amp;$A$43&amp;$AS$42&amp;"C"&amp;$A51)</f>
        <v>83.53%</v>
      </c>
      <c r="EM51" s="83" t="str">
        <f>RTD("tos.rtd",,EM$43,"."&amp;$A$43&amp;$AS$42&amp;"P"&amp;$A51)</f>
        <v>137.04%</v>
      </c>
      <c r="EN51" s="83" t="str">
        <f>RTD("tos.rtd",,EN$2,"."&amp;$A$43&amp;$AU$1&amp;"C"&amp;$A51)</f>
        <v>22.30%</v>
      </c>
      <c r="EO51" s="83" t="str">
        <f>RTD("tos.rtd",,EO$2,"."&amp;$A$43&amp;$AU$1&amp;"P"&amp;$A51)</f>
        <v>19.84%</v>
      </c>
      <c r="EP51" s="83" t="str">
        <f>RTD("tos.rtd",,EP$2,"."&amp;$A$43&amp;$AW$1&amp;"C"&amp;$A51)</f>
        <v>N/A</v>
      </c>
      <c r="EQ51" s="83" t="str">
        <f>RTD("tos.rtd",,EQ$2,"."&amp;$A$43&amp;$AW$1&amp;"P"&amp;$A51)</f>
        <v>N/A</v>
      </c>
      <c r="ES51" s="63" t="str">
        <f t="shared" si="274"/>
        <v>516,809.00</v>
      </c>
      <c r="ET51" s="63" t="str">
        <f t="shared" ca="1" si="275"/>
        <v>516,39914.18</v>
      </c>
      <c r="EU51" s="68">
        <v>564.79999999999995</v>
      </c>
      <c r="EV51" s="68" t="s">
        <v>427</v>
      </c>
      <c r="EW51" s="68">
        <v>487.92</v>
      </c>
      <c r="EX51" s="68" t="s">
        <v>428</v>
      </c>
      <c r="EY51" s="68">
        <v>5659.91</v>
      </c>
      <c r="EZ51" s="68" t="s">
        <v>429</v>
      </c>
      <c r="FA51" s="68">
        <v>20061.449000000001</v>
      </c>
      <c r="FB51" s="68" t="s">
        <v>430</v>
      </c>
      <c r="FC51" s="68" t="s">
        <v>431</v>
      </c>
      <c r="FD51" s="68" t="s">
        <v>432</v>
      </c>
      <c r="FE51" s="68" t="s">
        <v>433</v>
      </c>
      <c r="FF51" s="68" t="s">
        <v>434</v>
      </c>
    </row>
    <row r="52" spans="1:162" ht="13.5" thickBot="1" x14ac:dyDescent="0.25">
      <c r="A52" s="2">
        <f t="shared" si="294"/>
        <v>515</v>
      </c>
      <c r="B52" s="3">
        <f t="shared" si="299"/>
        <v>1189</v>
      </c>
      <c r="C52" s="3">
        <f t="shared" si="300"/>
        <v>11317</v>
      </c>
      <c r="D52" s="3">
        <f t="shared" si="301"/>
        <v>2046</v>
      </c>
      <c r="E52" s="3">
        <f t="shared" si="302"/>
        <v>14552</v>
      </c>
      <c r="F52" s="4">
        <f t="shared" si="303"/>
        <v>21246.565122325963</v>
      </c>
      <c r="AM52" s="1">
        <v>200</v>
      </c>
      <c r="AN52" s="1">
        <v>-33</v>
      </c>
      <c r="AO52" s="1">
        <v>515</v>
      </c>
      <c r="AP52" s="1">
        <v>9848</v>
      </c>
      <c r="AQ52" s="1">
        <v>-283</v>
      </c>
      <c r="AS52" s="6">
        <f>IF(RTD("tos.rtd",,AS$43,"."&amp;$A$43&amp;$AS$42&amp;"C"&amp;$A52)="N/A",0,RTD("tos.rtd",,AS$43,"."&amp;$A$43&amp;$AS$42&amp;"C"&amp;$A52))</f>
        <v>1189</v>
      </c>
      <c r="AT52" s="7">
        <f>-IF(RTD("tos.rtd",,AT$43,"."&amp;$A$43&amp;$AS$42&amp;"P"&amp;$A52)="N/A",0,RTD("tos.rtd",,AT$43,"."&amp;$A$43&amp;$AS$42&amp;"P"&amp;$A52))</f>
        <v>0</v>
      </c>
      <c r="AU52" s="6">
        <f>IF(RTD("tos.rtd",,AU$2,"."&amp;$A$43&amp;$AU$1&amp;"C"&amp;$A52)="N/A",0,RTD("tos.rtd",,AU$2,"."&amp;$A$43&amp;$AU$1&amp;"C"&amp;$A52))</f>
        <v>11187</v>
      </c>
      <c r="AV52" s="7">
        <f>-IF(RTD("tos.rtd",,AV$2,"."&amp;$A$43&amp;$AU$1&amp;"P"&amp;$A52)="N/A",0,RTD("tos.rtd",,AV$2,"."&amp;$A$43&amp;$AU$1&amp;"P"&amp;$A52))</f>
        <v>-130</v>
      </c>
      <c r="AW52" s="6">
        <f>IF(RTD("tos.rtd",,AW$2,"."&amp;$A$43&amp;$AW$1&amp;"C"&amp;$A52)="N/A",0,RTD("tos.rtd",,AW$2,"."&amp;$A$43&amp;$AW$1&amp;"C"&amp;$A52))</f>
        <v>2038</v>
      </c>
      <c r="AX52" s="7">
        <f>-IF(RTD("tos.rtd",,AX$2,"."&amp;$A$43&amp;$AW$1&amp;"P"&amp;$A52)="N/A",0,RTD("tos.rtd",,AX$2,"."&amp;$A$43&amp;$AW$1&amp;"P"&amp;$A52))</f>
        <v>-8</v>
      </c>
      <c r="AY52" s="7">
        <f t="shared" si="304"/>
        <v>14276</v>
      </c>
      <c r="AZ52" s="8">
        <f t="shared" si="245"/>
        <v>515</v>
      </c>
      <c r="BA52" s="6">
        <f>IF(RTD("tos.rtd",,BA$43,"."&amp;$A$43&amp;$AS$42&amp;"C"&amp;$A52)="N/A",0,RTD("tos.rtd",,BA$43,"."&amp;$A$43&amp;$AS$42&amp;"C"&amp;$A52))</f>
        <v>9848</v>
      </c>
      <c r="BB52" s="7">
        <f>-IF(RTD("tos.rtd",,BB$43,"."&amp;$A$43&amp;$AS$42&amp;"P"&amp;$A52)="N/A",0,RTD("tos.rtd",,BB$43,"."&amp;$A$43&amp;$AS$42&amp;"P"&amp;$A52))</f>
        <v>-283</v>
      </c>
      <c r="BC52" s="6">
        <f>IF(RTD("tos.rtd",,BC$2,"."&amp;$A$43&amp;$AU$1&amp;"C"&amp;$A52)="N/A",0,RTD("tos.rtd",,BC$2,"."&amp;$A$43&amp;$AU$1&amp;"C"&amp;$A52))</f>
        <v>14620</v>
      </c>
      <c r="BD52" s="7">
        <f>-IF(RTD("tos.rtd",,BD$2,"."&amp;$A$43&amp;$AU$1&amp;"P"&amp;$A52)="N/A",0,RTD("tos.rtd",,BD$2,"."&amp;$A$43&amp;$AU$1&amp;"P"&amp;$A52))</f>
        <v>-485</v>
      </c>
      <c r="BE52" s="6">
        <f>IF(RTD("tos.rtd",,BE$2,"."&amp;$A$43&amp;$AW$1&amp;"C"&amp;$A52)="N/A",0,RTD("tos.rtd",,BE$2,"."&amp;$A$43&amp;$AW$1&amp;"C"&amp;$A52))</f>
        <v>2806</v>
      </c>
      <c r="BF52" s="7">
        <f>-IF(RTD("tos.rtd",,BF$2,"."&amp;$A$43&amp;$AW$1&amp;"P"&amp;$A52)="N/A",0,RTD("tos.rtd",,BF$2,"."&amp;$A$43&amp;$AW$1&amp;"P"&amp;$A52))</f>
        <v>-33</v>
      </c>
      <c r="BG52" s="32">
        <f ca="1">+Hoja2!Y53</f>
        <v>12720</v>
      </c>
      <c r="BH52" s="7">
        <f t="shared" ca="1" si="277"/>
        <v>39193</v>
      </c>
      <c r="BI52" s="8" t="str">
        <f t="shared" ca="1" si="295"/>
        <v/>
      </c>
      <c r="BJ52" s="83">
        <f ca="1">IF($BP$1=1,DX52,IF(RTD("tos.rtd",,BJ$43,"."&amp;$A$43&amp;$AS$42&amp;"C"&amp;$A52)="N/A",0,RTD("tos.rtd",,BJ$43,"."&amp;$A$43&amp;$AS$42&amp;"C"&amp;$A52)))</f>
        <v>2.5819095797387271E-2</v>
      </c>
      <c r="BK52" s="83">
        <f ca="1">IF($BP$1=1,DY52,-IF(RTD("tos.rtd",,BK$43,"."&amp;$A$43&amp;$AS$42&amp;"P"&amp;$A52)="N/A",0,RTD("tos.rtd",,BK$43,"."&amp;$A$43&amp;$AS$42&amp;"P"&amp;$A52)))</f>
        <v>-3.3273636364041403E-2</v>
      </c>
      <c r="BL52" s="83">
        <f ca="1">IF($BP$1=1,DZ52,IF(RTD("tos.rtd",,BL$2,"."&amp;$A$43&amp;$AU$1&amp;"C"&amp;$A52)="N/A",0,RTD("tos.rtd",,BL$2,"."&amp;$A$43&amp;$AU$1&amp;"C"&amp;$A52)))</f>
        <v>2.537124935141204E-2</v>
      </c>
      <c r="BM52" s="83">
        <f ca="1">IF($BP$1=1,EA52,-IF(RTD("tos.rtd",,BM$2,"."&amp;$A$43&amp;$AU$1&amp;"P"&amp;$A52)="N/A",0,RTD("tos.rtd",,BM$2,"."&amp;$A$43&amp;$AU$1&amp;"P"&amp;$A52)))</f>
        <v>-2.743916178212065E-2</v>
      </c>
      <c r="BN52" s="83">
        <f ca="1">IF($BP$1=1,EB52,IF(RTD("tos.rtd",,BN$2,"."&amp;$A$43&amp;$AW$1&amp;"C"&amp;$A52)="N/A",0,RTD("tos.rtd",,BN$2,"."&amp;$A$43&amp;$AW$1&amp;"C"&amp;$A52)))</f>
        <v>2.822971029250881E-2</v>
      </c>
      <c r="BO52" s="83">
        <f ca="1">IF($BP$1=1,EC52,-IF(RTD("tos.rtd",,BO$2,"."&amp;$A$43&amp;$AW$1&amp;"P"&amp;$A52)="N/A",0,RTD("tos.rtd",,BO$2,"."&amp;$A$43&amp;$AW$1&amp;"P"&amp;$A52)))</f>
        <v>-2.8357203892766053E-2</v>
      </c>
      <c r="BQ52" s="83">
        <f t="shared" ca="1" si="305"/>
        <v>7911681.113995594</v>
      </c>
      <c r="BR52" s="3" t="str">
        <f t="shared" ca="1" si="279"/>
        <v/>
      </c>
      <c r="BS52" s="83">
        <f t="shared" ca="1" si="306"/>
        <v>72228513.190445408</v>
      </c>
      <c r="BT52" s="3" t="str">
        <f t="shared" ca="1" si="281"/>
        <v/>
      </c>
      <c r="BU52" s="83">
        <f t="shared" ca="1" si="307"/>
        <v>14768643.944934385</v>
      </c>
      <c r="BV52" s="83"/>
      <c r="BX52" s="83">
        <f t="shared" ca="1" si="308"/>
        <v>63102421.927053027</v>
      </c>
      <c r="BY52" s="83" t="str">
        <f t="shared" ca="1" si="296"/>
        <v/>
      </c>
      <c r="BZ52" s="83">
        <f t="shared" ca="1" si="309"/>
        <v>92165268.250086814</v>
      </c>
      <c r="CA52" s="83" t="str">
        <f t="shared" ca="1" si="296"/>
        <v/>
      </c>
      <c r="CB52" s="83">
        <f t="shared" ca="1" si="310"/>
        <v>20173387.904912934</v>
      </c>
      <c r="CC52" s="83" t="str">
        <f t="shared" ca="1" si="296"/>
        <v/>
      </c>
      <c r="CD52" s="83">
        <f>IF(RTD("tos.rtd",,CD$43,"."&amp;$A$43&amp;$AS$42&amp;"C"&amp;$A52)="N/A",0,RTD("tos.rtd",,CD$43,"."&amp;$A$43&amp;$AS$42&amp;"C"&amp;$A52))</f>
        <v>0.01</v>
      </c>
      <c r="CE52" s="83">
        <f>-IF(RTD("tos.rtd",,CE$43,"."&amp;$A$43&amp;$AS$42&amp;"P"&amp;$A52)="N/A",0,RTD("tos.rtd",,CE$43,"."&amp;$A$43&amp;$AS$42&amp;"P"&amp;$A52))</f>
        <v>0.93</v>
      </c>
      <c r="CF52" s="83">
        <f>IF(RTD("tos.rtd",,CF$2,"."&amp;$A$43&amp;$AU$1&amp;"C"&amp;$A52)="N/A",0,RTD("tos.rtd",,CF$2,"."&amp;$A$43&amp;$AU$1&amp;"C"&amp;$A52))</f>
        <v>0.28000000000000003</v>
      </c>
      <c r="CG52" s="83">
        <f>-IF(RTD("tos.rtd",,CG$2,"."&amp;$A$43&amp;$AU$1&amp;"P"&amp;$A52)="N/A",0,RTD("tos.rtd",,CG$2,"."&amp;$A$43&amp;$AU$1&amp;"P"&amp;$A52))</f>
        <v>0.75</v>
      </c>
      <c r="CH52" s="83">
        <f>IF(RTD("tos.rtd",,CH$2,"."&amp;$A$43&amp;$AW$1&amp;"C"&amp;$A52)="N/A",0,RTD("tos.rtd",,CH$2,"."&amp;$A$43&amp;$AW$1&amp;"C"&amp;$A52))</f>
        <v>0.45</v>
      </c>
      <c r="CI52" s="83">
        <f>-IF(RTD("tos.rtd",,CI$2,"."&amp;$A$43&amp;$AW$1&amp;"P"&amp;$A52)="N/A",0,RTD("tos.rtd",,CI$2,"."&amp;$A$43&amp;$AW$1&amp;"P"&amp;$A52))</f>
        <v>0.56000000000000005</v>
      </c>
      <c r="CK52" s="83">
        <f t="shared" si="311"/>
        <v>1189</v>
      </c>
      <c r="CL52" s="83"/>
      <c r="CM52" s="83">
        <f t="shared" si="312"/>
        <v>303486</v>
      </c>
      <c r="CN52" s="83"/>
      <c r="CO52" s="83">
        <f t="shared" si="313"/>
        <v>91262</v>
      </c>
      <c r="CP52" s="83">
        <f t="shared" si="314"/>
        <v>395937</v>
      </c>
      <c r="CQ52" s="83">
        <f t="shared" si="315"/>
        <v>9565</v>
      </c>
      <c r="CR52" s="83"/>
      <c r="CS52" s="83">
        <f t="shared" si="316"/>
        <v>14135</v>
      </c>
      <c r="CT52" s="83"/>
      <c r="CU52" s="83">
        <f t="shared" si="317"/>
        <v>2773</v>
      </c>
      <c r="CV52" s="83"/>
      <c r="CW52" s="83">
        <f t="shared" ca="1" si="318"/>
        <v>94908838.249375388</v>
      </c>
      <c r="CY52" s="83">
        <f t="shared" ca="1" si="319"/>
        <v>175441078.08205277</v>
      </c>
      <c r="CZ52" s="70" t="str">
        <f t="shared" ca="1" si="297"/>
        <v/>
      </c>
      <c r="DA52" s="83">
        <f>IF(RTD("tos.rtd",,DA$43,"."&amp;$A$43&amp;$AS$42&amp;"C"&amp;$A52)="N/A",0,RTD("tos.rtd",,DA$43,"."&amp;$A$43&amp;$AS$42&amp;"C"&amp;$A52))</f>
        <v>0.01</v>
      </c>
      <c r="DB52" s="83">
        <f>IF(RTD("tos.rtd",,DB$43,"."&amp;$A$43&amp;$AS$42&amp;"P"&amp;$A52)="N/A",0,RTD("tos.rtd",,DB$43,"."&amp;$A$43&amp;$AS$42&amp;"P"&amp;$A52))</f>
        <v>8.9</v>
      </c>
      <c r="DC52" s="83">
        <f>IF(RTD("tos.rtd",,DC$43,"."&amp;$A$43&amp;$AS$42&amp;"C"&amp;$A52)="N/A",0,RTD("tos.rtd",,DC$43,"."&amp;$A$43&amp;$AS$42&amp;"C"&amp;$A52))</f>
        <v>0.01</v>
      </c>
      <c r="DD52" s="83">
        <f>IF(RTD("tos.rtd",,DD$43,"."&amp;$A$43&amp;$AS$42&amp;"P"&amp;$A52)="N/A",0,RTD("tos.rtd",,DD$43,"."&amp;$A$43&amp;$AS$42&amp;"P"&amp;$A52))</f>
        <v>7.61</v>
      </c>
      <c r="DE52" s="83">
        <f>IF(RTD("tos.rtd",,DE$43,"."&amp;$A$43&amp;$AS$42&amp;"C"&amp;$A52)="N/A",0,RTD("tos.rtd",,DE$43,"."&amp;$A$43&amp;$AS$42&amp;"C"&amp;$A52))</f>
        <v>0</v>
      </c>
      <c r="DF52" s="83">
        <f>IF(RTD("tos.rtd",,DF$43,"."&amp;$A$43&amp;$AS$42&amp;"P"&amp;$A52)="N/A",0,RTD("tos.rtd",,DF$43,"."&amp;$A$43&amp;$AS$42&amp;"P"&amp;$A52))</f>
        <v>7.31</v>
      </c>
      <c r="DG52" s="86">
        <f t="shared" si="289"/>
        <v>7.339999999999975</v>
      </c>
      <c r="DH52" s="83">
        <f t="shared" si="320"/>
        <v>0</v>
      </c>
      <c r="DI52" s="83">
        <f t="shared" si="321"/>
        <v>0</v>
      </c>
      <c r="DJ52" s="83">
        <f t="shared" si="322"/>
        <v>0</v>
      </c>
      <c r="DK52" s="83">
        <f t="shared" si="257"/>
        <v>0</v>
      </c>
      <c r="DL52" s="83">
        <f t="shared" si="258"/>
        <v>0</v>
      </c>
      <c r="DM52" s="83">
        <f t="shared" si="259"/>
        <v>0</v>
      </c>
      <c r="DN52" s="64" t="str">
        <f t="shared" si="260"/>
        <v>UNKNOWN</v>
      </c>
      <c r="DO52" s="64" t="str">
        <f t="shared" si="261"/>
        <v>UNKNOWN</v>
      </c>
      <c r="DP52" s="83">
        <f t="shared" si="262"/>
        <v>0</v>
      </c>
      <c r="DQ52" s="83">
        <f t="shared" si="263"/>
        <v>0</v>
      </c>
      <c r="DR52" s="83">
        <f t="shared" ca="1" si="264"/>
        <v>0</v>
      </c>
      <c r="DS52" s="83">
        <f t="shared" si="265"/>
        <v>0</v>
      </c>
      <c r="DT52" s="83">
        <f t="shared" si="290"/>
        <v>0</v>
      </c>
      <c r="DU52" s="83">
        <f t="shared" si="291"/>
        <v>0</v>
      </c>
      <c r="DV52" s="83">
        <f t="shared" si="266"/>
        <v>200</v>
      </c>
      <c r="DW52" s="83">
        <f t="shared" si="267"/>
        <v>-33</v>
      </c>
      <c r="DX52" s="83">
        <f t="shared" ca="1" si="323"/>
        <v>2.5819095797387271E-2</v>
      </c>
      <c r="DY52" s="83">
        <f t="shared" ca="1" si="324"/>
        <v>-3.3273636364041403E-2</v>
      </c>
      <c r="DZ52" s="83">
        <f t="shared" ca="1" si="325"/>
        <v>2.537124935141204E-2</v>
      </c>
      <c r="EA52" s="83">
        <f t="shared" ca="1" si="326"/>
        <v>-2.743916178212065E-2</v>
      </c>
      <c r="EB52" s="83">
        <f t="shared" ca="1" si="327"/>
        <v>2.822971029250881E-2</v>
      </c>
      <c r="EC52" s="83">
        <f t="shared" ca="1" si="328"/>
        <v>-2.8357203892766053E-2</v>
      </c>
      <c r="ED52" s="63">
        <f t="shared" si="292"/>
        <v>167</v>
      </c>
      <c r="EE52" s="84">
        <f t="shared" si="329"/>
        <v>0.74629999999999996</v>
      </c>
      <c r="EF52" s="84">
        <f t="shared" si="330"/>
        <v>1.2446999999999999</v>
      </c>
      <c r="EG52" s="84">
        <f t="shared" si="331"/>
        <v>0.22309999999999999</v>
      </c>
      <c r="EH52" s="84">
        <f t="shared" si="332"/>
        <v>0.20019999999999999</v>
      </c>
      <c r="EI52" s="84">
        <f t="shared" si="333"/>
        <v>0.192</v>
      </c>
      <c r="EJ52" s="84">
        <f t="shared" si="334"/>
        <v>0.19070000000000001</v>
      </c>
      <c r="EK52" s="63">
        <f t="shared" ca="1" si="293"/>
        <v>1613795.4721909477</v>
      </c>
      <c r="EL52" s="83" t="str">
        <f>RTD("tos.rtd",,EL$43,"."&amp;$A$43&amp;$AS$42&amp;"C"&amp;$A52)</f>
        <v>74.63%</v>
      </c>
      <c r="EM52" s="83" t="str">
        <f>RTD("tos.rtd",,EM$43,"."&amp;$A$43&amp;$AS$42&amp;"P"&amp;$A52)</f>
        <v>124.47%</v>
      </c>
      <c r="EN52" s="83" t="str">
        <f>RTD("tos.rtd",,EN$2,"."&amp;$A$43&amp;$AU$1&amp;"C"&amp;$A52)</f>
        <v>22.31%</v>
      </c>
      <c r="EO52" s="83" t="str">
        <f>RTD("tos.rtd",,EO$2,"."&amp;$A$43&amp;$AU$1&amp;"P"&amp;$A52)</f>
        <v>20.02%</v>
      </c>
      <c r="EP52" s="83" t="str">
        <f>RTD("tos.rtd",,EP$2,"."&amp;$A$43&amp;$AW$1&amp;"C"&amp;$A52)</f>
        <v>19.20%</v>
      </c>
      <c r="EQ52" s="83" t="str">
        <f>RTD("tos.rtd",,EQ$2,"."&amp;$A$43&amp;$AW$1&amp;"P"&amp;$A52)</f>
        <v>19.07%</v>
      </c>
      <c r="ES52" s="63" t="str">
        <f t="shared" si="274"/>
        <v>515,167.00</v>
      </c>
      <c r="ET52" s="63" t="str">
        <f t="shared" ca="1" si="275"/>
        <v>515,175441.08</v>
      </c>
      <c r="EU52" s="68">
        <v>564.79999999999995</v>
      </c>
      <c r="EV52" s="68" t="s">
        <v>435</v>
      </c>
      <c r="EW52" s="68">
        <v>487.92</v>
      </c>
      <c r="EX52" s="68" t="s">
        <v>436</v>
      </c>
      <c r="EY52" s="68">
        <v>5659.91</v>
      </c>
      <c r="EZ52" s="68" t="s">
        <v>437</v>
      </c>
      <c r="FA52" s="68">
        <v>20061.449000000001</v>
      </c>
      <c r="FB52" s="68" t="s">
        <v>438</v>
      </c>
      <c r="FC52" s="68" t="s">
        <v>439</v>
      </c>
      <c r="FD52" s="68" t="s">
        <v>440</v>
      </c>
      <c r="FE52" s="68" t="s">
        <v>441</v>
      </c>
      <c r="FF52" s="68" t="s">
        <v>442</v>
      </c>
    </row>
    <row r="53" spans="1:162" ht="13.5" thickBot="1" x14ac:dyDescent="0.25">
      <c r="A53" s="2">
        <f t="shared" si="294"/>
        <v>514</v>
      </c>
      <c r="B53" s="3">
        <f t="shared" si="299"/>
        <v>515</v>
      </c>
      <c r="C53" s="3">
        <f t="shared" si="300"/>
        <v>1799</v>
      </c>
      <c r="D53" s="3">
        <f t="shared" si="301"/>
        <v>0</v>
      </c>
      <c r="E53" s="3">
        <f t="shared" si="302"/>
        <v>2314</v>
      </c>
      <c r="F53" s="4">
        <f t="shared" si="303"/>
        <v>21205.309656069021</v>
      </c>
      <c r="AM53" s="1">
        <v>631</v>
      </c>
      <c r="AN53" s="1">
        <v>-37</v>
      </c>
      <c r="AO53" s="1">
        <v>514</v>
      </c>
      <c r="AP53" s="1">
        <v>5085</v>
      </c>
      <c r="AQ53" s="1">
        <v>-146</v>
      </c>
      <c r="AS53" s="6">
        <f>IF(RTD("tos.rtd",,AS$43,"."&amp;$A$43&amp;$AS$42&amp;"C"&amp;$A53)="N/A",0,RTD("tos.rtd",,AS$43,"."&amp;$A$43&amp;$AS$42&amp;"C"&amp;$A53))</f>
        <v>515</v>
      </c>
      <c r="AT53" s="7">
        <f>-IF(RTD("tos.rtd",,AT$43,"."&amp;$A$43&amp;$AS$42&amp;"P"&amp;$A53)="N/A",0,RTD("tos.rtd",,AT$43,"."&amp;$A$43&amp;$AS$42&amp;"P"&amp;$A53))</f>
        <v>0</v>
      </c>
      <c r="AU53" s="6">
        <f>IF(RTD("tos.rtd",,AU$2,"."&amp;$A$43&amp;$AU$1&amp;"C"&amp;$A53)="N/A",0,RTD("tos.rtd",,AU$2,"."&amp;$A$43&amp;$AU$1&amp;"C"&amp;$A53))</f>
        <v>1796</v>
      </c>
      <c r="AV53" s="7">
        <f>-IF(RTD("tos.rtd",,AV$2,"."&amp;$A$43&amp;$AU$1&amp;"P"&amp;$A53)="N/A",0,RTD("tos.rtd",,AV$2,"."&amp;$A$43&amp;$AU$1&amp;"P"&amp;$A53))</f>
        <v>-3</v>
      </c>
      <c r="AW53" s="6">
        <f>IF(RTD("tos.rtd",,AW$2,"."&amp;$A$43&amp;$AW$1&amp;"C"&amp;$A53)="N/A",0,RTD("tos.rtd",,AW$2,"."&amp;$A$43&amp;$AW$1&amp;"C"&amp;$A53))</f>
        <v>0</v>
      </c>
      <c r="AX53" s="7">
        <f>-IF(RTD("tos.rtd",,AX$2,"."&amp;$A$43&amp;$AW$1&amp;"P"&amp;$A53)="N/A",0,RTD("tos.rtd",,AX$2,"."&amp;$A$43&amp;$AW$1&amp;"P"&amp;$A53))</f>
        <v>0</v>
      </c>
      <c r="AY53" s="7">
        <f t="shared" si="304"/>
        <v>2308</v>
      </c>
      <c r="AZ53" s="8">
        <f t="shared" si="245"/>
        <v>514</v>
      </c>
      <c r="BA53" s="6">
        <f>IF(RTD("tos.rtd",,BA$43,"."&amp;$A$43&amp;$AS$42&amp;"C"&amp;$A53)="N/A",0,RTD("tos.rtd",,BA$43,"."&amp;$A$43&amp;$AS$42&amp;"C"&amp;$A53))</f>
        <v>5085</v>
      </c>
      <c r="BB53" s="7">
        <f>-IF(RTD("tos.rtd",,BB$43,"."&amp;$A$43&amp;$AS$42&amp;"P"&amp;$A53)="N/A",0,RTD("tos.rtd",,BB$43,"."&amp;$A$43&amp;$AS$42&amp;"P"&amp;$A53))</f>
        <v>-146</v>
      </c>
      <c r="BC53" s="6">
        <f>IF(RTD("tos.rtd",,BC$2,"."&amp;$A$43&amp;$AU$1&amp;"C"&amp;$A53)="N/A",0,RTD("tos.rtd",,BC$2,"."&amp;$A$43&amp;$AU$1&amp;"C"&amp;$A53))</f>
        <v>2630</v>
      </c>
      <c r="BD53" s="7">
        <f>-IF(RTD("tos.rtd",,BD$2,"."&amp;$A$43&amp;$AU$1&amp;"P"&amp;$A53)="N/A",0,RTD("tos.rtd",,BD$2,"."&amp;$A$43&amp;$AU$1&amp;"P"&amp;$A53))</f>
        <v>-111</v>
      </c>
      <c r="BE53" s="6">
        <f>IF(RTD("tos.rtd",,BE$2,"."&amp;$A$43&amp;$AW$1&amp;"C"&amp;$A53)="N/A",0,RTD("tos.rtd",,BE$2,"."&amp;$A$43&amp;$AW$1&amp;"C"&amp;$A53))</f>
        <v>0</v>
      </c>
      <c r="BF53" s="7">
        <f>-IF(RTD("tos.rtd",,BF$2,"."&amp;$A$43&amp;$AW$1&amp;"P"&amp;$A53)="N/A",0,RTD("tos.rtd",,BF$2,"."&amp;$A$43&amp;$AW$1&amp;"P"&amp;$A53))</f>
        <v>0</v>
      </c>
      <c r="BG53" s="32">
        <f ca="1">+Hoja2!Y54</f>
        <v>825</v>
      </c>
      <c r="BH53" s="7">
        <f t="shared" ca="1" si="277"/>
        <v>8283</v>
      </c>
      <c r="BI53" s="8" t="str">
        <f t="shared" ca="1" si="295"/>
        <v/>
      </c>
      <c r="BJ53" s="83">
        <f ca="1">IF($BP$1=1,DX53,IF(RTD("tos.rtd",,BJ$43,"."&amp;$A$43&amp;$AS$42&amp;"C"&amp;$A53)="N/A",0,RTD("tos.rtd",,BJ$43,"."&amp;$A$43&amp;$AS$42&amp;"C"&amp;$A53)))</f>
        <v>3.0511424111129545E-2</v>
      </c>
      <c r="BK53" s="83">
        <f ca="1">IF($BP$1=1,DY53,-IF(RTD("tos.rtd",,BK$43,"."&amp;$A$43&amp;$AS$42&amp;"P"&amp;$A53)="N/A",0,RTD("tos.rtd",,BK$43,"."&amp;$A$43&amp;$AS$42&amp;"P"&amp;$A53)))</f>
        <v>-3.8436666085702481E-2</v>
      </c>
      <c r="BL53" s="83">
        <f ca="1">IF($BP$1=1,DZ53,IF(RTD("tos.rtd",,BL$2,"."&amp;$A$43&amp;$AU$1&amp;"C"&amp;$A53)="N/A",0,RTD("tos.rtd",,BL$2,"."&amp;$A$43&amp;$AU$1&amp;"C"&amp;$A53)))</f>
        <v>2.6110748761768787E-2</v>
      </c>
      <c r="BM53" s="83">
        <f ca="1">IF($BP$1=1,EA53,-IF(RTD("tos.rtd",,BM$2,"."&amp;$A$43&amp;$AU$1&amp;"P"&amp;$A53)="N/A",0,RTD("tos.rtd",,BM$2,"."&amp;$A$43&amp;$AU$1&amp;"P"&amp;$A53)))</f>
        <v>-2.5883221873156566E-2</v>
      </c>
      <c r="BN53" s="83">
        <f ca="1">IF($BP$1=1,EB53,IF(RTD("tos.rtd",,BN$2,"."&amp;$A$43&amp;$AW$1&amp;"C"&amp;$A53)="N/A",0,RTD("tos.rtd",,BN$2,"."&amp;$A$43&amp;$AW$1&amp;"C"&amp;$A53)))</f>
        <v>2.3807397729071943E-2</v>
      </c>
      <c r="BO53" s="83">
        <f ca="1">IF($BP$1=1,EC53,-IF(RTD("tos.rtd",,BO$2,"."&amp;$A$43&amp;$AW$1&amp;"P"&amp;$A53)="N/A",0,RTD("tos.rtd",,BO$2,"."&amp;$A$43&amp;$AW$1&amp;"P"&amp;$A53)))</f>
        <v>-2.3807397729071943E-2</v>
      </c>
      <c r="BQ53" s="83">
        <f t="shared" ca="1" si="305"/>
        <v>4049632.3634839603</v>
      </c>
      <c r="BR53" s="3" t="str">
        <f t="shared" ca="1" si="279"/>
        <v/>
      </c>
      <c r="BS53" s="83">
        <f t="shared" ca="1" si="306"/>
        <v>12065680.982309844</v>
      </c>
      <c r="BT53" s="3" t="str">
        <f t="shared" ca="1" si="281"/>
        <v/>
      </c>
      <c r="BU53" s="83">
        <f t="shared" ca="1" si="307"/>
        <v>0</v>
      </c>
      <c r="BV53" s="83"/>
      <c r="BX53" s="83">
        <f t="shared" ca="1" si="308"/>
        <v>38538951.37202058</v>
      </c>
      <c r="BY53" s="83" t="str">
        <f t="shared" ca="1" si="296"/>
        <v/>
      </c>
      <c r="BZ53" s="83">
        <f t="shared" ca="1" si="309"/>
        <v>16957433.108776834</v>
      </c>
      <c r="CA53" s="83" t="str">
        <f t="shared" ca="1" si="296"/>
        <v/>
      </c>
      <c r="CB53" s="83">
        <f t="shared" ca="1" si="310"/>
        <v>0</v>
      </c>
      <c r="CC53" s="83" t="str">
        <f t="shared" ca="1" si="296"/>
        <v/>
      </c>
      <c r="CD53" s="83">
        <f>IF(RTD("tos.rtd",,CD$43,"."&amp;$A$43&amp;$AS$42&amp;"C"&amp;$A53)="N/A",0,RTD("tos.rtd",,CD$43,"."&amp;$A$43&amp;$AS$42&amp;"C"&amp;$A53))</f>
        <v>0.01</v>
      </c>
      <c r="CE53" s="83">
        <f>-IF(RTD("tos.rtd",,CE$43,"."&amp;$A$43&amp;$AS$42&amp;"P"&amp;$A53)="N/A",0,RTD("tos.rtd",,CE$43,"."&amp;$A$43&amp;$AS$42&amp;"P"&amp;$A53))</f>
        <v>0.93</v>
      </c>
      <c r="CF53" s="83">
        <f>IF(RTD("tos.rtd",,CF$2,"."&amp;$A$43&amp;$AU$1&amp;"C"&amp;$A53)="N/A",0,RTD("tos.rtd",,CF$2,"."&amp;$A$43&amp;$AU$1&amp;"C"&amp;$A53))</f>
        <v>0.31</v>
      </c>
      <c r="CG53" s="83">
        <f>-IF(RTD("tos.rtd",,CG$2,"."&amp;$A$43&amp;$AU$1&amp;"P"&amp;$A53)="N/A",0,RTD("tos.rtd",,CG$2,"."&amp;$A$43&amp;$AU$1&amp;"P"&amp;$A53))</f>
        <v>0.69</v>
      </c>
      <c r="CH53" s="83">
        <f>IF(RTD("tos.rtd",,CH$2,"."&amp;$A$43&amp;$AW$1&amp;"C"&amp;$A53)="N/A",0,RTD("tos.rtd",,CH$2,"."&amp;$A$43&amp;$AW$1&amp;"C"&amp;$A53))</f>
        <v>0</v>
      </c>
      <c r="CI53" s="83">
        <f>-IF(RTD("tos.rtd",,CI$2,"."&amp;$A$43&amp;$AW$1&amp;"P"&amp;$A53)="N/A",0,RTD("tos.rtd",,CI$2,"."&amp;$A$43&amp;$AW$1&amp;"P"&amp;$A53))</f>
        <v>0</v>
      </c>
      <c r="CK53" s="83">
        <f t="shared" si="311"/>
        <v>515</v>
      </c>
      <c r="CL53" s="83"/>
      <c r="CM53" s="83">
        <f t="shared" si="312"/>
        <v>55469</v>
      </c>
      <c r="CN53" s="83"/>
      <c r="CO53" s="83">
        <f t="shared" si="313"/>
        <v>0</v>
      </c>
      <c r="CP53" s="83">
        <f t="shared" si="314"/>
        <v>55984</v>
      </c>
      <c r="CQ53" s="83">
        <f t="shared" si="315"/>
        <v>4939</v>
      </c>
      <c r="CR53" s="83"/>
      <c r="CS53" s="83">
        <f t="shared" si="316"/>
        <v>2519</v>
      </c>
      <c r="CT53" s="83"/>
      <c r="CU53" s="83">
        <f t="shared" si="317"/>
        <v>0</v>
      </c>
      <c r="CV53" s="83"/>
      <c r="CW53" s="83">
        <f t="shared" ca="1" si="318"/>
        <v>16115313.345793804</v>
      </c>
      <c r="CY53" s="83">
        <f t="shared" ca="1" si="319"/>
        <v>55496384.48079741</v>
      </c>
      <c r="CZ53" s="70" t="str">
        <f t="shared" ca="1" si="297"/>
        <v/>
      </c>
      <c r="DA53" s="83">
        <f>IF(RTD("tos.rtd",,DA$43,"."&amp;$A$43&amp;$AS$42&amp;"C"&amp;$A53)="N/A",0,RTD("tos.rtd",,DA$43,"."&amp;$A$43&amp;$AS$42&amp;"C"&amp;$A53))</f>
        <v>0.01</v>
      </c>
      <c r="DB53" s="83">
        <f>IF(RTD("tos.rtd",,DB$43,"."&amp;$A$43&amp;$AS$42&amp;"P"&amp;$A53)="N/A",0,RTD("tos.rtd",,DB$43,"."&amp;$A$43&amp;$AS$42&amp;"P"&amp;$A53))</f>
        <v>5.75</v>
      </c>
      <c r="DC53" s="83">
        <f>IF(RTD("tos.rtd",,DC$43,"."&amp;$A$43&amp;$AS$42&amp;"C"&amp;$A53)="N/A",0,RTD("tos.rtd",,DC$43,"."&amp;$A$43&amp;$AS$42&amp;"C"&amp;$A53))</f>
        <v>0.01</v>
      </c>
      <c r="DD53" s="83">
        <f>IF(RTD("tos.rtd",,DD$43,"."&amp;$A$43&amp;$AS$42&amp;"P"&amp;$A53)="N/A",0,RTD("tos.rtd",,DD$43,"."&amp;$A$43&amp;$AS$42&amp;"P"&amp;$A53))</f>
        <v>6.59</v>
      </c>
      <c r="DE53" s="83">
        <f>IF(RTD("tos.rtd",,DE$43,"."&amp;$A$43&amp;$AS$42&amp;"C"&amp;$A53)="N/A",0,RTD("tos.rtd",,DE$43,"."&amp;$A$43&amp;$AS$42&amp;"C"&amp;$A53))</f>
        <v>0</v>
      </c>
      <c r="DF53" s="83">
        <f>IF(RTD("tos.rtd",,DF$43,"."&amp;$A$43&amp;$AS$42&amp;"P"&amp;$A53)="N/A",0,RTD("tos.rtd",,DF$43,"."&amp;$A$43&amp;$AS$42&amp;"P"&amp;$A53))</f>
        <v>6.3</v>
      </c>
      <c r="DG53" s="86">
        <f t="shared" si="289"/>
        <v>6.339999999999975</v>
      </c>
      <c r="DH53" s="83">
        <f t="shared" si="320"/>
        <v>0</v>
      </c>
      <c r="DI53" s="83">
        <f t="shared" si="321"/>
        <v>0</v>
      </c>
      <c r="DJ53" s="83">
        <f t="shared" si="322"/>
        <v>0</v>
      </c>
      <c r="DK53" s="83">
        <f t="shared" si="257"/>
        <v>0</v>
      </c>
      <c r="DL53" s="83">
        <f t="shared" si="258"/>
        <v>0</v>
      </c>
      <c r="DM53" s="83">
        <f t="shared" si="259"/>
        <v>0</v>
      </c>
      <c r="DN53" s="64" t="str">
        <f t="shared" si="260"/>
        <v>UNKNOWN</v>
      </c>
      <c r="DO53" s="64" t="str">
        <f t="shared" si="261"/>
        <v>UNKNOWN</v>
      </c>
      <c r="DP53" s="83">
        <f t="shared" si="262"/>
        <v>0</v>
      </c>
      <c r="DQ53" s="83">
        <f t="shared" si="263"/>
        <v>0</v>
      </c>
      <c r="DR53" s="83">
        <f t="shared" ca="1" si="264"/>
        <v>0</v>
      </c>
      <c r="DS53" s="83">
        <f t="shared" si="265"/>
        <v>0</v>
      </c>
      <c r="DT53" s="83">
        <f t="shared" si="290"/>
        <v>0</v>
      </c>
      <c r="DU53" s="83">
        <f t="shared" si="291"/>
        <v>0</v>
      </c>
      <c r="DV53" s="83">
        <f t="shared" si="266"/>
        <v>631</v>
      </c>
      <c r="DW53" s="83">
        <f t="shared" si="267"/>
        <v>-37</v>
      </c>
      <c r="DX53" s="83">
        <f t="shared" ca="1" si="323"/>
        <v>3.0511424111129545E-2</v>
      </c>
      <c r="DY53" s="83">
        <f t="shared" ca="1" si="324"/>
        <v>-3.8436666085702481E-2</v>
      </c>
      <c r="DZ53" s="83">
        <f t="shared" ca="1" si="325"/>
        <v>2.6110748761768787E-2</v>
      </c>
      <c r="EA53" s="83">
        <f t="shared" ca="1" si="326"/>
        <v>-2.5883221873156566E-2</v>
      </c>
      <c r="EB53" s="83">
        <f t="shared" ca="1" si="327"/>
        <v>2.3807397729071943E-2</v>
      </c>
      <c r="EC53" s="83">
        <f t="shared" ca="1" si="328"/>
        <v>-2.3807397729071943E-2</v>
      </c>
      <c r="ED53" s="63">
        <f t="shared" si="292"/>
        <v>594</v>
      </c>
      <c r="EE53" s="84">
        <f t="shared" si="329"/>
        <v>0.65600000000000003</v>
      </c>
      <c r="EF53" s="84">
        <f t="shared" si="330"/>
        <v>1.0787</v>
      </c>
      <c r="EG53" s="84">
        <f t="shared" si="331"/>
        <v>0.22389999999999999</v>
      </c>
      <c r="EH53" s="84">
        <f t="shared" si="332"/>
        <v>0.2263</v>
      </c>
      <c r="EI53" s="84">
        <f t="shared" si="333"/>
        <v>0.25</v>
      </c>
      <c r="EJ53" s="84">
        <f t="shared" si="334"/>
        <v>0.25</v>
      </c>
      <c r="EK53" s="63">
        <f t="shared" ca="1" si="293"/>
        <v>5328298.8928336324</v>
      </c>
      <c r="EL53" s="83" t="str">
        <f>RTD("tos.rtd",,EL$43,"."&amp;$A$43&amp;$AS$42&amp;"C"&amp;$A53)</f>
        <v>65.60%</v>
      </c>
      <c r="EM53" s="83" t="str">
        <f>RTD("tos.rtd",,EM$43,"."&amp;$A$43&amp;$AS$42&amp;"P"&amp;$A53)</f>
        <v>107.87%</v>
      </c>
      <c r="EN53" s="83" t="str">
        <f>RTD("tos.rtd",,EN$2,"."&amp;$A$43&amp;$AU$1&amp;"C"&amp;$A53)</f>
        <v>22.39%</v>
      </c>
      <c r="EO53" s="83" t="str">
        <f>RTD("tos.rtd",,EO$2,"."&amp;$A$43&amp;$AU$1&amp;"P"&amp;$A53)</f>
        <v>22.63%</v>
      </c>
      <c r="EP53" s="83" t="str">
        <f>RTD("tos.rtd",,EP$2,"."&amp;$A$43&amp;$AW$1&amp;"C"&amp;$A53)</f>
        <v>N/A</v>
      </c>
      <c r="EQ53" s="83" t="str">
        <f>RTD("tos.rtd",,EQ$2,"."&amp;$A$43&amp;$AW$1&amp;"P"&amp;$A53)</f>
        <v>N/A</v>
      </c>
      <c r="ES53" s="63" t="str">
        <f t="shared" si="274"/>
        <v>514,594.00</v>
      </c>
      <c r="ET53" s="63" t="str">
        <f t="shared" ca="1" si="275"/>
        <v>514,55496.38</v>
      </c>
      <c r="EU53" s="68">
        <v>564.79999999999995</v>
      </c>
      <c r="EV53" s="68" t="s">
        <v>443</v>
      </c>
      <c r="EW53" s="68">
        <v>487.92</v>
      </c>
      <c r="EX53" s="68" t="s">
        <v>444</v>
      </c>
      <c r="EY53" s="68">
        <v>5659.91</v>
      </c>
      <c r="EZ53" s="68" t="s">
        <v>445</v>
      </c>
      <c r="FA53" s="68">
        <v>20061.449000000001</v>
      </c>
      <c r="FB53" s="68" t="s">
        <v>446</v>
      </c>
      <c r="FC53" s="68" t="s">
        <v>447</v>
      </c>
      <c r="FD53" s="68" t="s">
        <v>448</v>
      </c>
      <c r="FE53" s="68" t="s">
        <v>449</v>
      </c>
      <c r="FF53" s="68" t="s">
        <v>450</v>
      </c>
    </row>
    <row r="54" spans="1:162" ht="13.5" thickBot="1" x14ac:dyDescent="0.25">
      <c r="A54" s="2">
        <f t="shared" si="294"/>
        <v>513</v>
      </c>
      <c r="B54" s="3">
        <f t="shared" si="299"/>
        <v>345</v>
      </c>
      <c r="C54" s="3">
        <f t="shared" si="300"/>
        <v>1332</v>
      </c>
      <c r="D54" s="3">
        <f t="shared" si="301"/>
        <v>0</v>
      </c>
      <c r="E54" s="3">
        <f t="shared" si="302"/>
        <v>1677</v>
      </c>
      <c r="F54" s="4">
        <f t="shared" si="303"/>
        <v>21164.054189812075</v>
      </c>
      <c r="AM54" s="1">
        <v>1215</v>
      </c>
      <c r="AN54" s="1">
        <v>-61</v>
      </c>
      <c r="AO54" s="1">
        <v>513</v>
      </c>
      <c r="AP54" s="1">
        <v>10344</v>
      </c>
      <c r="AQ54" s="1">
        <v>-325</v>
      </c>
      <c r="AS54" s="6">
        <f>IF(RTD("tos.rtd",,AS$43,"."&amp;$A$43&amp;$AS$42&amp;"C"&amp;$A54)="N/A",0,RTD("tos.rtd",,AS$43,"."&amp;$A$43&amp;$AS$42&amp;"C"&amp;$A54))</f>
        <v>345</v>
      </c>
      <c r="AT54" s="7">
        <f>-IF(RTD("tos.rtd",,AT$43,"."&amp;$A$43&amp;$AS$42&amp;"P"&amp;$A54)="N/A",0,RTD("tos.rtd",,AT$43,"."&amp;$A$43&amp;$AS$42&amp;"P"&amp;$A54))</f>
        <v>0</v>
      </c>
      <c r="AU54" s="6">
        <f>IF(RTD("tos.rtd",,AU$2,"."&amp;$A$43&amp;$AU$1&amp;"C"&amp;$A54)="N/A",0,RTD("tos.rtd",,AU$2,"."&amp;$A$43&amp;$AU$1&amp;"C"&amp;$A54))</f>
        <v>1326</v>
      </c>
      <c r="AV54" s="7">
        <f>-IF(RTD("tos.rtd",,AV$2,"."&amp;$A$43&amp;$AU$1&amp;"P"&amp;$A54)="N/A",0,RTD("tos.rtd",,AV$2,"."&amp;$A$43&amp;$AU$1&amp;"P"&amp;$A54))</f>
        <v>-6</v>
      </c>
      <c r="AW54" s="6">
        <f>IF(RTD("tos.rtd",,AW$2,"."&amp;$A$43&amp;$AW$1&amp;"C"&amp;$A54)="N/A",0,RTD("tos.rtd",,AW$2,"."&amp;$A$43&amp;$AW$1&amp;"C"&amp;$A54))</f>
        <v>0</v>
      </c>
      <c r="AX54" s="7">
        <f>-IF(RTD("tos.rtd",,AX$2,"."&amp;$A$43&amp;$AW$1&amp;"P"&amp;$A54)="N/A",0,RTD("tos.rtd",,AX$2,"."&amp;$A$43&amp;$AW$1&amp;"P"&amp;$A54))</f>
        <v>0</v>
      </c>
      <c r="AY54" s="7">
        <f t="shared" si="304"/>
        <v>1665</v>
      </c>
      <c r="AZ54" s="8">
        <f t="shared" si="245"/>
        <v>513</v>
      </c>
      <c r="BA54" s="6">
        <f>IF(RTD("tos.rtd",,BA$43,"."&amp;$A$43&amp;$AS$42&amp;"C"&amp;$A54)="N/A",0,RTD("tos.rtd",,BA$43,"."&amp;$A$43&amp;$AS$42&amp;"C"&amp;$A54))</f>
        <v>10344</v>
      </c>
      <c r="BB54" s="7">
        <f>-IF(RTD("tos.rtd",,BB$43,"."&amp;$A$43&amp;$AS$42&amp;"P"&amp;$A54)="N/A",0,RTD("tos.rtd",,BB$43,"."&amp;$A$43&amp;$AS$42&amp;"P"&amp;$A54))</f>
        <v>-325</v>
      </c>
      <c r="BC54" s="6">
        <f>IF(RTD("tos.rtd",,BC$2,"."&amp;$A$43&amp;$AU$1&amp;"C"&amp;$A54)="N/A",0,RTD("tos.rtd",,BC$2,"."&amp;$A$43&amp;$AU$1&amp;"C"&amp;$A54))</f>
        <v>3333</v>
      </c>
      <c r="BD54" s="7">
        <f>-IF(RTD("tos.rtd",,BD$2,"."&amp;$A$43&amp;$AU$1&amp;"P"&amp;$A54)="N/A",0,RTD("tos.rtd",,BD$2,"."&amp;$A$43&amp;$AU$1&amp;"P"&amp;$A54))</f>
        <v>-335</v>
      </c>
      <c r="BE54" s="6">
        <f>IF(RTD("tos.rtd",,BE$2,"."&amp;$A$43&amp;$AW$1&amp;"C"&amp;$A54)="N/A",0,RTD("tos.rtd",,BE$2,"."&amp;$A$43&amp;$AW$1&amp;"C"&amp;$A54))</f>
        <v>0</v>
      </c>
      <c r="BF54" s="7">
        <f>-IF(RTD("tos.rtd",,BF$2,"."&amp;$A$43&amp;$AW$1&amp;"P"&amp;$A54)="N/A",0,RTD("tos.rtd",,BF$2,"."&amp;$A$43&amp;$AW$1&amp;"P"&amp;$A54))</f>
        <v>0</v>
      </c>
      <c r="BG54" s="32">
        <f ca="1">+Hoja2!Y55</f>
        <v>440</v>
      </c>
      <c r="BH54" s="7">
        <f t="shared" ca="1" si="277"/>
        <v>13457</v>
      </c>
      <c r="BI54" s="8" t="str">
        <f t="shared" ca="1" si="295"/>
        <v/>
      </c>
      <c r="BJ54" s="83">
        <f ca="1">IF($BP$1=1,DX54,IF(RTD("tos.rtd",,BJ$43,"."&amp;$A$43&amp;$AS$42&amp;"C"&amp;$A54)="N/A",0,RTD("tos.rtd",,BJ$43,"."&amp;$A$43&amp;$AS$42&amp;"C"&amp;$A54)))</f>
        <v>3.7078287229888707E-2</v>
      </c>
      <c r="BK54" s="83">
        <f ca="1">IF($BP$1=1,DY54,-IF(RTD("tos.rtd",,BK$43,"."&amp;$A$43&amp;$AS$42&amp;"P"&amp;$A54)="N/A",0,RTD("tos.rtd",,BK$43,"."&amp;$A$43&amp;$AS$42&amp;"P"&amp;$A54)))</f>
        <v>-4.5193401640753042E-2</v>
      </c>
      <c r="BL54" s="83">
        <f ca="1">IF($BP$1=1,DZ54,IF(RTD("tos.rtd",,BL$2,"."&amp;$A$43&amp;$AU$1&amp;"C"&amp;$A54)="N/A",0,RTD("tos.rtd",,BL$2,"."&amp;$A$43&amp;$AU$1&amp;"C"&amp;$A54)))</f>
        <v>2.6729292963010964E-2</v>
      </c>
      <c r="BM54" s="83">
        <f ca="1">IF($BP$1=1,EA54,-IF(RTD("tos.rtd",,BM$2,"."&amp;$A$43&amp;$AU$1&amp;"P"&amp;$A54)="N/A",0,RTD("tos.rtd",,BM$2,"."&amp;$A$43&amp;$AU$1&amp;"P"&amp;$A54)))</f>
        <v>-2.6512359871539076E-2</v>
      </c>
      <c r="BN54" s="83">
        <f ca="1">IF($BP$1=1,EB54,IF(RTD("tos.rtd",,BN$2,"."&amp;$A$43&amp;$AW$1&amp;"C"&amp;$A54)="N/A",0,RTD("tos.rtd",,BN$2,"."&amp;$A$43&amp;$AW$1&amp;"C"&amp;$A54)))</f>
        <v>2.4314788471050692E-2</v>
      </c>
      <c r="BO54" s="83">
        <f ca="1">IF($BP$1=1,EC54,-IF(RTD("tos.rtd",,BO$2,"."&amp;$A$43&amp;$AW$1&amp;"P"&amp;$A54)="N/A",0,RTD("tos.rtd",,BO$2,"."&amp;$A$43&amp;$AW$1&amp;"P"&amp;$A54)))</f>
        <v>-2.4314788471050692E-2</v>
      </c>
      <c r="BQ54" s="83">
        <f t="shared" ca="1" si="305"/>
        <v>3296739.6420491422</v>
      </c>
      <c r="BR54" s="3" t="str">
        <f t="shared" ca="1" si="279"/>
        <v/>
      </c>
      <c r="BS54" s="83">
        <f t="shared" ca="1" si="306"/>
        <v>9093337.5826942623</v>
      </c>
      <c r="BT54" s="3" t="str">
        <f t="shared" ca="1" si="281"/>
        <v/>
      </c>
      <c r="BU54" s="83">
        <f t="shared" ca="1" si="307"/>
        <v>0</v>
      </c>
      <c r="BV54" s="83"/>
      <c r="BX54" s="83">
        <f t="shared" ca="1" si="308"/>
        <v>95059519.983571887</v>
      </c>
      <c r="BY54" s="83" t="str">
        <f t="shared" ca="1" si="296"/>
        <v/>
      </c>
      <c r="BZ54" s="83">
        <f t="shared" ca="1" si="309"/>
        <v>20670865.753014818</v>
      </c>
      <c r="CA54" s="83" t="str">
        <f t="shared" ca="1" si="296"/>
        <v/>
      </c>
      <c r="CB54" s="83">
        <f t="shared" ca="1" si="310"/>
        <v>0</v>
      </c>
      <c r="CC54" s="83" t="str">
        <f t="shared" ca="1" si="296"/>
        <v/>
      </c>
      <c r="CD54" s="83">
        <f>IF(RTD("tos.rtd",,CD$43,"."&amp;$A$43&amp;$AS$42&amp;"C"&amp;$A54)="N/A",0,RTD("tos.rtd",,CD$43,"."&amp;$A$43&amp;$AS$42&amp;"C"&amp;$A54))</f>
        <v>0.01</v>
      </c>
      <c r="CE54" s="83">
        <f>-IF(RTD("tos.rtd",,CE$43,"."&amp;$A$43&amp;$AS$42&amp;"P"&amp;$A54)="N/A",0,RTD("tos.rtd",,CE$43,"."&amp;$A$43&amp;$AS$42&amp;"P"&amp;$A54))</f>
        <v>0.92</v>
      </c>
      <c r="CF54" s="83">
        <f>IF(RTD("tos.rtd",,CF$2,"."&amp;$A$43&amp;$AU$1&amp;"C"&amp;$A54)="N/A",0,RTD("tos.rtd",,CF$2,"."&amp;$A$43&amp;$AU$1&amp;"C"&amp;$A54))</f>
        <v>0.34</v>
      </c>
      <c r="CG54" s="83">
        <f>-IF(RTD("tos.rtd",,CG$2,"."&amp;$A$43&amp;$AU$1&amp;"P"&amp;$A54)="N/A",0,RTD("tos.rtd",,CG$2,"."&amp;$A$43&amp;$AU$1&amp;"P"&amp;$A54))</f>
        <v>0.66</v>
      </c>
      <c r="CH54" s="83">
        <f>IF(RTD("tos.rtd",,CH$2,"."&amp;$A$43&amp;$AW$1&amp;"C"&amp;$A54)="N/A",0,RTD("tos.rtd",,CH$2,"."&amp;$A$43&amp;$AW$1&amp;"C"&amp;$A54))</f>
        <v>0</v>
      </c>
      <c r="CI54" s="83">
        <f>-IF(RTD("tos.rtd",,CI$2,"."&amp;$A$43&amp;$AW$1&amp;"P"&amp;$A54)="N/A",0,RTD("tos.rtd",,CI$2,"."&amp;$A$43&amp;$AW$1&amp;"P"&amp;$A54))</f>
        <v>0</v>
      </c>
      <c r="CK54" s="83">
        <f t="shared" si="311"/>
        <v>345</v>
      </c>
      <c r="CL54" s="83"/>
      <c r="CM54" s="83">
        <f t="shared" si="312"/>
        <v>44688</v>
      </c>
      <c r="CN54" s="83"/>
      <c r="CO54" s="83">
        <f t="shared" si="313"/>
        <v>0</v>
      </c>
      <c r="CP54" s="83">
        <f t="shared" si="314"/>
        <v>45033</v>
      </c>
      <c r="CQ54" s="83">
        <f t="shared" si="315"/>
        <v>10019</v>
      </c>
      <c r="CR54" s="83"/>
      <c r="CS54" s="83">
        <f t="shared" si="316"/>
        <v>2998</v>
      </c>
      <c r="CT54" s="83"/>
      <c r="CU54" s="83">
        <f t="shared" si="317"/>
        <v>0</v>
      </c>
      <c r="CV54" s="83"/>
      <c r="CW54" s="83">
        <f t="shared" ca="1" si="318"/>
        <v>12390077.224743403</v>
      </c>
      <c r="CY54" s="83">
        <f t="shared" ca="1" si="319"/>
        <v>115730385.7365867</v>
      </c>
      <c r="CZ54" s="70" t="str">
        <f t="shared" ca="1" si="297"/>
        <v/>
      </c>
      <c r="DA54" s="83">
        <f>IF(RTD("tos.rtd",,DA$43,"."&amp;$A$43&amp;$AS$42&amp;"C"&amp;$A54)="N/A",0,RTD("tos.rtd",,DA$43,"."&amp;$A$43&amp;$AS$42&amp;"C"&amp;$A54))</f>
        <v>0.01</v>
      </c>
      <c r="DB54" s="83">
        <f>IF(RTD("tos.rtd",,DB$43,"."&amp;$A$43&amp;$AS$42&amp;"P"&amp;$A54)="N/A",0,RTD("tos.rtd",,DB$43,"."&amp;$A$43&amp;$AS$42&amp;"P"&amp;$A54))</f>
        <v>6.95</v>
      </c>
      <c r="DC54" s="83">
        <f>IF(RTD("tos.rtd",,DC$43,"."&amp;$A$43&amp;$AS$42&amp;"C"&amp;$A54)="N/A",0,RTD("tos.rtd",,DC$43,"."&amp;$A$43&amp;$AS$42&amp;"C"&amp;$A54))</f>
        <v>0.01</v>
      </c>
      <c r="DD54" s="83">
        <f>IF(RTD("tos.rtd",,DD$43,"."&amp;$A$43&amp;$AS$42&amp;"P"&amp;$A54)="N/A",0,RTD("tos.rtd",,DD$43,"."&amp;$A$43&amp;$AS$42&amp;"P"&amp;$A54))</f>
        <v>5.59</v>
      </c>
      <c r="DE54" s="83">
        <f>IF(RTD("tos.rtd",,DE$43,"."&amp;$A$43&amp;$AS$42&amp;"C"&amp;$A54)="N/A",0,RTD("tos.rtd",,DE$43,"."&amp;$A$43&amp;$AS$42&amp;"C"&amp;$A54))</f>
        <v>0</v>
      </c>
      <c r="DF54" s="83">
        <f>IF(RTD("tos.rtd",,DF$43,"."&amp;$A$43&amp;$AS$42&amp;"P"&amp;$A54)="N/A",0,RTD("tos.rtd",,DF$43,"."&amp;$A$43&amp;$AS$42&amp;"P"&amp;$A54))</f>
        <v>5.31</v>
      </c>
      <c r="DG54" s="86">
        <f t="shared" si="289"/>
        <v>5.339999999999975</v>
      </c>
      <c r="DH54" s="83">
        <f t="shared" si="320"/>
        <v>0</v>
      </c>
      <c r="DI54" s="83">
        <f t="shared" si="321"/>
        <v>0</v>
      </c>
      <c r="DJ54" s="83">
        <f t="shared" si="322"/>
        <v>0</v>
      </c>
      <c r="DK54" s="83">
        <f t="shared" si="257"/>
        <v>0</v>
      </c>
      <c r="DL54" s="83">
        <f t="shared" si="258"/>
        <v>0</v>
      </c>
      <c r="DM54" s="83">
        <f t="shared" si="259"/>
        <v>0</v>
      </c>
      <c r="DN54" s="64" t="str">
        <f t="shared" si="260"/>
        <v>UNKNOWN</v>
      </c>
      <c r="DO54" s="64" t="str">
        <f t="shared" si="261"/>
        <v>UNKNOWN</v>
      </c>
      <c r="DP54" s="83">
        <f t="shared" si="262"/>
        <v>0</v>
      </c>
      <c r="DQ54" s="83">
        <f t="shared" si="263"/>
        <v>0</v>
      </c>
      <c r="DR54" s="83">
        <f t="shared" ca="1" si="264"/>
        <v>0</v>
      </c>
      <c r="DS54" s="83">
        <f t="shared" si="265"/>
        <v>0</v>
      </c>
      <c r="DT54" s="83">
        <f t="shared" si="290"/>
        <v>0</v>
      </c>
      <c r="DU54" s="83">
        <f t="shared" si="291"/>
        <v>0</v>
      </c>
      <c r="DV54" s="83">
        <f t="shared" si="266"/>
        <v>1215</v>
      </c>
      <c r="DW54" s="83">
        <f t="shared" si="267"/>
        <v>-61</v>
      </c>
      <c r="DX54" s="83">
        <f t="shared" ca="1" si="323"/>
        <v>3.7078287229888707E-2</v>
      </c>
      <c r="DY54" s="83">
        <f t="shared" ca="1" si="324"/>
        <v>-4.5193401640753042E-2</v>
      </c>
      <c r="DZ54" s="83">
        <f t="shared" ca="1" si="325"/>
        <v>2.6729292963010964E-2</v>
      </c>
      <c r="EA54" s="83">
        <f t="shared" ca="1" si="326"/>
        <v>-2.6512359871539076E-2</v>
      </c>
      <c r="EB54" s="83">
        <f t="shared" ca="1" si="327"/>
        <v>2.4314788471050692E-2</v>
      </c>
      <c r="EC54" s="83">
        <f t="shared" ca="1" si="328"/>
        <v>-2.4314788471050692E-2</v>
      </c>
      <c r="ED54" s="63">
        <f t="shared" si="292"/>
        <v>1154</v>
      </c>
      <c r="EE54" s="84">
        <f t="shared" si="329"/>
        <v>0.56410000000000005</v>
      </c>
      <c r="EF54" s="84">
        <f t="shared" si="330"/>
        <v>0.94969999999999999</v>
      </c>
      <c r="EG54" s="84">
        <f t="shared" si="331"/>
        <v>0.22470000000000001</v>
      </c>
      <c r="EH54" s="84">
        <f t="shared" si="332"/>
        <v>0.2268</v>
      </c>
      <c r="EI54" s="84">
        <f t="shared" si="333"/>
        <v>0.25</v>
      </c>
      <c r="EJ54" s="84">
        <f t="shared" si="334"/>
        <v>0.25</v>
      </c>
      <c r="EK54" s="63">
        <f t="shared" ca="1" si="293"/>
        <v>12320735.200879559</v>
      </c>
      <c r="EL54" s="83" t="str">
        <f>RTD("tos.rtd",,EL$43,"."&amp;$A$43&amp;$AS$42&amp;"C"&amp;$A54)</f>
        <v>56.41%</v>
      </c>
      <c r="EM54" s="83" t="str">
        <f>RTD("tos.rtd",,EM$43,"."&amp;$A$43&amp;$AS$42&amp;"P"&amp;$A54)</f>
        <v>94.97%</v>
      </c>
      <c r="EN54" s="83" t="str">
        <f>RTD("tos.rtd",,EN$2,"."&amp;$A$43&amp;$AU$1&amp;"C"&amp;$A54)</f>
        <v>22.47%</v>
      </c>
      <c r="EO54" s="83" t="str">
        <f>RTD("tos.rtd",,EO$2,"."&amp;$A$43&amp;$AU$1&amp;"P"&amp;$A54)</f>
        <v>22.68%</v>
      </c>
      <c r="EP54" s="83" t="str">
        <f>RTD("tos.rtd",,EP$2,"."&amp;$A$43&amp;$AW$1&amp;"C"&amp;$A54)</f>
        <v>N/A</v>
      </c>
      <c r="EQ54" s="83" t="str">
        <f>RTD("tos.rtd",,EQ$2,"."&amp;$A$43&amp;$AW$1&amp;"P"&amp;$A54)</f>
        <v>N/A</v>
      </c>
      <c r="ES54" s="63" t="str">
        <f t="shared" si="274"/>
        <v>513,1154.00</v>
      </c>
      <c r="ET54" s="63" t="str">
        <f t="shared" ca="1" si="275"/>
        <v>513,115730.39</v>
      </c>
      <c r="EU54" s="68">
        <v>564.79999999999995</v>
      </c>
      <c r="EV54" s="68" t="s">
        <v>451</v>
      </c>
      <c r="EW54" s="68">
        <v>487.92</v>
      </c>
      <c r="EX54" s="68" t="s">
        <v>452</v>
      </c>
      <c r="EY54" s="68">
        <v>5659.91</v>
      </c>
      <c r="EZ54" s="68" t="s">
        <v>453</v>
      </c>
      <c r="FA54" s="68">
        <v>20061.449000000001</v>
      </c>
      <c r="FB54" s="68" t="s">
        <v>454</v>
      </c>
      <c r="FC54" s="68" t="s">
        <v>455</v>
      </c>
      <c r="FD54" s="68" t="s">
        <v>456</v>
      </c>
      <c r="FE54" s="68" t="s">
        <v>457</v>
      </c>
      <c r="FF54" s="68" t="s">
        <v>458</v>
      </c>
    </row>
    <row r="55" spans="1:162" ht="13.5" thickBot="1" x14ac:dyDescent="0.25">
      <c r="A55" s="2">
        <f t="shared" si="294"/>
        <v>512</v>
      </c>
      <c r="B55" s="3">
        <f t="shared" ref="B55" si="335">+IF($A$1="ABS",AS55-AT55,AS55+AT55)</f>
        <v>506</v>
      </c>
      <c r="C55" s="3">
        <f t="shared" ref="C55" si="336">+IF($A$1="ABS",AU55-AV55,AU55+AV55)</f>
        <v>2486</v>
      </c>
      <c r="D55" s="3">
        <f t="shared" ref="D55" si="337">+IF($A$1="ABS",AW55-AX55,AW55+AX55)</f>
        <v>0</v>
      </c>
      <c r="E55" s="3">
        <f t="shared" ref="E55" si="338">SUM(B55:D55)</f>
        <v>2992</v>
      </c>
      <c r="F55" s="4">
        <f t="shared" ref="F55" si="339">+$F$44/$A$44*A55</f>
        <v>21122.798723555134</v>
      </c>
      <c r="AM55" s="1">
        <v>-1231</v>
      </c>
      <c r="AN55" s="1">
        <v>104</v>
      </c>
      <c r="AO55" s="1">
        <v>512</v>
      </c>
      <c r="AP55" s="1">
        <v>19172</v>
      </c>
      <c r="AQ55" s="1">
        <v>-435</v>
      </c>
      <c r="AS55" s="6">
        <f>IF(RTD("tos.rtd",,AS$43,"."&amp;$A$43&amp;$AS$42&amp;"C"&amp;$A55)="N/A",0,RTD("tos.rtd",,AS$43,"."&amp;$A$43&amp;$AS$42&amp;"C"&amp;$A55))</f>
        <v>506</v>
      </c>
      <c r="AT55" s="7">
        <f>-IF(RTD("tos.rtd",,AT$43,"."&amp;$A$43&amp;$AS$42&amp;"P"&amp;$A55)="N/A",0,RTD("tos.rtd",,AT$43,"."&amp;$A$43&amp;$AS$42&amp;"P"&amp;$A55))</f>
        <v>0</v>
      </c>
      <c r="AU55" s="6">
        <f>IF(RTD("tos.rtd",,AU$2,"."&amp;$A$43&amp;$AU$1&amp;"C"&amp;$A55)="N/A",0,RTD("tos.rtd",,AU$2,"."&amp;$A$43&amp;$AU$1&amp;"C"&amp;$A55))</f>
        <v>2379</v>
      </c>
      <c r="AV55" s="7">
        <f>-IF(RTD("tos.rtd",,AV$2,"."&amp;$A$43&amp;$AU$1&amp;"P"&amp;$A55)="N/A",0,RTD("tos.rtd",,AV$2,"."&amp;$A$43&amp;$AU$1&amp;"P"&amp;$A55))</f>
        <v>-107</v>
      </c>
      <c r="AW55" s="6">
        <f>IF(RTD("tos.rtd",,AW$2,"."&amp;$A$43&amp;$AW$1&amp;"C"&amp;$A55)="N/A",0,RTD("tos.rtd",,AW$2,"."&amp;$A$43&amp;$AW$1&amp;"C"&amp;$A55))</f>
        <v>0</v>
      </c>
      <c r="AX55" s="7">
        <f>-IF(RTD("tos.rtd",,AX$2,"."&amp;$A$43&amp;$AW$1&amp;"P"&amp;$A55)="N/A",0,RTD("tos.rtd",,AX$2,"."&amp;$A$43&amp;$AW$1&amp;"P"&amp;$A55))</f>
        <v>0</v>
      </c>
      <c r="AY55" s="7">
        <f t="shared" ref="AY55" si="340">SUM(AS55:AX55)</f>
        <v>2778</v>
      </c>
      <c r="AZ55" s="8">
        <f t="shared" si="245"/>
        <v>512</v>
      </c>
      <c r="BA55" s="6">
        <f>IF(RTD("tos.rtd",,BA$43,"."&amp;$A$43&amp;$AS$42&amp;"C"&amp;$A55)="N/A",0,RTD("tos.rtd",,BA$43,"."&amp;$A$43&amp;$AS$42&amp;"C"&amp;$A55))</f>
        <v>19735</v>
      </c>
      <c r="BB55" s="7">
        <f>-IF(RTD("tos.rtd",,BB$43,"."&amp;$A$43&amp;$AS$42&amp;"P"&amp;$A55)="N/A",0,RTD("tos.rtd",,BB$43,"."&amp;$A$43&amp;$AS$42&amp;"P"&amp;$A55))</f>
        <v>-435</v>
      </c>
      <c r="BC55" s="6">
        <f>IF(RTD("tos.rtd",,BC$2,"."&amp;$A$43&amp;$AU$1&amp;"C"&amp;$A55)="N/A",0,RTD("tos.rtd",,BC$2,"."&amp;$A$43&amp;$AU$1&amp;"C"&amp;$A55))</f>
        <v>3186</v>
      </c>
      <c r="BD55" s="7">
        <f>-IF(RTD("tos.rtd",,BD$2,"."&amp;$A$43&amp;$AU$1&amp;"P"&amp;$A55)="N/A",0,RTD("tos.rtd",,BD$2,"."&amp;$A$43&amp;$AU$1&amp;"P"&amp;$A55))</f>
        <v>-142</v>
      </c>
      <c r="BE55" s="6">
        <f>IF(RTD("tos.rtd",,BE$2,"."&amp;$A$43&amp;$AW$1&amp;"C"&amp;$A55)="N/A",0,RTD("tos.rtd",,BE$2,"."&amp;$A$43&amp;$AW$1&amp;"C"&amp;$A55))</f>
        <v>0</v>
      </c>
      <c r="BF55" s="7">
        <f>-IF(RTD("tos.rtd",,BF$2,"."&amp;$A$43&amp;$AW$1&amp;"P"&amp;$A55)="N/A",0,RTD("tos.rtd",,BF$2,"."&amp;$A$43&amp;$AW$1&amp;"P"&amp;$A55))</f>
        <v>0</v>
      </c>
      <c r="BG55" s="32">
        <f ca="1">+Hoja2!Y56</f>
        <v>554</v>
      </c>
      <c r="BH55" s="7">
        <f t="shared" ca="1" si="277"/>
        <v>22898</v>
      </c>
      <c r="BI55" s="8" t="str">
        <f t="shared" ca="1" si="295"/>
        <v/>
      </c>
      <c r="BJ55" s="83">
        <f ca="1">IF($BP$1=1,DX55,IF(RTD("tos.rtd",,BJ$43,"."&amp;$A$43&amp;$AS$42&amp;"C"&amp;$A55)="N/A",0,RTD("tos.rtd",,BJ$43,"."&amp;$A$43&amp;$AS$42&amp;"C"&amp;$A55)))</f>
        <v>4.6891422844393314E-2</v>
      </c>
      <c r="BK55" s="83">
        <f ca="1">IF($BP$1=1,DY55,-IF(RTD("tos.rtd",,BK$43,"."&amp;$A$43&amp;$AS$42&amp;"P"&amp;$A55)="N/A",0,RTD("tos.rtd",,BK$43,"."&amp;$A$43&amp;$AS$42&amp;"P"&amp;$A55)))</f>
        <v>-5.4877491482332535E-2</v>
      </c>
      <c r="BL55" s="83">
        <f ca="1">IF($BP$1=1,DZ55,IF(RTD("tos.rtd",,BL$2,"."&amp;$A$43&amp;$AU$1&amp;"C"&amp;$A55)="N/A",0,RTD("tos.rtd",,BL$2,"."&amp;$A$43&amp;$AU$1&amp;"C"&amp;$A55)))</f>
        <v>2.7142067926990227E-2</v>
      </c>
      <c r="BM55" s="83">
        <f ca="1">IF($BP$1=1,EA55,-IF(RTD("tos.rtd",,BM$2,"."&amp;$A$43&amp;$AU$1&amp;"P"&amp;$A55)="N/A",0,RTD("tos.rtd",,BM$2,"."&amp;$A$43&amp;$AU$1&amp;"P"&amp;$A55)))</f>
        <v>-2.6999156345038324E-2</v>
      </c>
      <c r="BN55" s="83">
        <f ca="1">IF($BP$1=1,EB55,IF(RTD("tos.rtd",,BN$2,"."&amp;$A$43&amp;$AW$1&amp;"C"&amp;$A55)="N/A",0,RTD("tos.rtd",,BN$2,"."&amp;$A$43&amp;$AW$1&amp;"C"&amp;$A55)))</f>
        <v>2.4735103090092463E-2</v>
      </c>
      <c r="BO55" s="83">
        <f ca="1">IF($BP$1=1,EC55,-IF(RTD("tos.rtd",,BO$2,"."&amp;$A$43&amp;$AW$1&amp;"P"&amp;$A55)="N/A",0,RTD("tos.rtd",,BO$2,"."&amp;$A$43&amp;$AW$1&amp;"P"&amp;$A55)))</f>
        <v>-2.4735103090092463E-2</v>
      </c>
      <c r="BQ55" s="83">
        <f t="shared" ref="BQ55" ca="1" si="341">+$A$44*$A$44*AS55*BJ55-$A$44*$A$44*AT55*BK55</f>
        <v>6114906.4685830548</v>
      </c>
      <c r="BR55" s="3" t="str">
        <f t="shared" ca="1" si="279"/>
        <v/>
      </c>
      <c r="BS55" s="83">
        <f t="shared" ref="BS55" ca="1" si="342">+$A$44*$A$44*AU55*BL55-$A$44*$A$44*AV55*BM55</f>
        <v>15896621.355006024</v>
      </c>
      <c r="BT55" s="3" t="str">
        <f t="shared" ca="1" si="281"/>
        <v/>
      </c>
      <c r="BU55" s="83">
        <f t="shared" ref="BU55" ca="1" si="343">+$A$44*$A$44*AW55*BN55-$A$44*$A$44*AX55*BO55</f>
        <v>0</v>
      </c>
      <c r="BV55" s="83"/>
      <c r="BX55" s="83">
        <f t="shared" ref="BX55" ca="1" si="344">+$A$44*$A$44*BA55*BJ55-$A$44*$A$44*BB55*BK55</f>
        <v>232341251.89522311</v>
      </c>
      <c r="BY55" s="83" t="str">
        <f t="shared" ca="1" si="296"/>
        <v/>
      </c>
      <c r="BZ55" s="83">
        <f t="shared" ref="BZ55" ca="1" si="345">+$A$44*$A$44*BC55*BL55-$A$44*$A$44*BD55*BM55</f>
        <v>21298064.180407051</v>
      </c>
      <c r="CA55" s="83" t="str">
        <f t="shared" ca="1" si="296"/>
        <v/>
      </c>
      <c r="CB55" s="83">
        <f t="shared" ref="CB55" ca="1" si="346">+$A$44*$A$44*BE55*BN55-$A$44*$A$44*BF55*BO55</f>
        <v>0</v>
      </c>
      <c r="CC55" s="83" t="str">
        <f t="shared" ca="1" si="296"/>
        <v/>
      </c>
      <c r="CD55" s="83">
        <f>IF(RTD("tos.rtd",,CD$43,"."&amp;$A$43&amp;$AS$42&amp;"C"&amp;$A55)="N/A",0,RTD("tos.rtd",,CD$43,"."&amp;$A$43&amp;$AS$42&amp;"C"&amp;$A55))</f>
        <v>0.01</v>
      </c>
      <c r="CE55" s="83">
        <f>-IF(RTD("tos.rtd",,CE$43,"."&amp;$A$43&amp;$AS$42&amp;"P"&amp;$A55)="N/A",0,RTD("tos.rtd",,CE$43,"."&amp;$A$43&amp;$AS$42&amp;"P"&amp;$A55))</f>
        <v>0.91</v>
      </c>
      <c r="CF55" s="83">
        <f>IF(RTD("tos.rtd",,CF$2,"."&amp;$A$43&amp;$AU$1&amp;"C"&amp;$A55)="N/A",0,RTD("tos.rtd",,CF$2,"."&amp;$A$43&amp;$AU$1&amp;"C"&amp;$A55))</f>
        <v>0.37</v>
      </c>
      <c r="CG55" s="83">
        <f>-IF(RTD("tos.rtd",,CG$2,"."&amp;$A$43&amp;$AU$1&amp;"P"&amp;$A55)="N/A",0,RTD("tos.rtd",,CG$2,"."&amp;$A$43&amp;$AU$1&amp;"P"&amp;$A55))</f>
        <v>0.63</v>
      </c>
      <c r="CH55" s="83">
        <f>IF(RTD("tos.rtd",,CH$2,"."&amp;$A$43&amp;$AW$1&amp;"C"&amp;$A55)="N/A",0,RTD("tos.rtd",,CH$2,"."&amp;$A$43&amp;$AW$1&amp;"C"&amp;$A55))</f>
        <v>0</v>
      </c>
      <c r="CI55" s="83">
        <f>-IF(RTD("tos.rtd",,CI$2,"."&amp;$A$43&amp;$AW$1&amp;"P"&amp;$A55)="N/A",0,RTD("tos.rtd",,CI$2,"."&amp;$A$43&amp;$AW$1&amp;"P"&amp;$A55))</f>
        <v>0</v>
      </c>
      <c r="CK55" s="83">
        <f t="shared" ref="CK55" si="347">+AS55*CD55*100+AT55*CE55*100</f>
        <v>506.00000000000006</v>
      </c>
      <c r="CL55" s="83"/>
      <c r="CM55" s="83">
        <f t="shared" ref="CM55" si="348">+AU55*CF55*100+AV55*CG55*100</f>
        <v>81282</v>
      </c>
      <c r="CN55" s="83"/>
      <c r="CO55" s="83">
        <f t="shared" ref="CO55" si="349">+AW55*CH55*100+AX55*CI55*100</f>
        <v>0</v>
      </c>
      <c r="CP55" s="83">
        <f t="shared" ref="CP55" si="350">+CK55+CM55+CO55</f>
        <v>81788</v>
      </c>
      <c r="CQ55" s="83">
        <f t="shared" ref="CQ55" si="351">+BA55+BB55</f>
        <v>19300</v>
      </c>
      <c r="CR55" s="83"/>
      <c r="CS55" s="83">
        <f t="shared" ref="CS55" si="352">+BC55+BD55</f>
        <v>3044</v>
      </c>
      <c r="CT55" s="83"/>
      <c r="CU55" s="83">
        <f t="shared" ref="CU55" si="353">+BE55+BF55</f>
        <v>0</v>
      </c>
      <c r="CV55" s="83"/>
      <c r="CW55" s="83">
        <f t="shared" ref="CW55" ca="1" si="354">+BQ55+BS55+BU55</f>
        <v>22011527.823589079</v>
      </c>
      <c r="CY55" s="83">
        <f t="shared" ref="CY55" ca="1" si="355">+BX55+BZ55+CB55</f>
        <v>253639316.07563016</v>
      </c>
      <c r="CZ55" s="70" t="str">
        <f t="shared" ca="1" si="297"/>
        <v/>
      </c>
      <c r="DA55" s="83">
        <f>IF(RTD("tos.rtd",,DA$43,"."&amp;$A$43&amp;$AS$42&amp;"C"&amp;$A55)="N/A",0,RTD("tos.rtd",,DA$43,"."&amp;$A$43&amp;$AS$42&amp;"C"&amp;$A55))</f>
        <v>0.01</v>
      </c>
      <c r="DB55" s="83">
        <f>IF(RTD("tos.rtd",,DB$43,"."&amp;$A$43&amp;$AS$42&amp;"P"&amp;$A55)="N/A",0,RTD("tos.rtd",,DB$43,"."&amp;$A$43&amp;$AS$42&amp;"P"&amp;$A55))</f>
        <v>4.22</v>
      </c>
      <c r="DC55" s="83">
        <f>IF(RTD("tos.rtd",,DC$43,"."&amp;$A$43&amp;$AS$42&amp;"C"&amp;$A55)="N/A",0,RTD("tos.rtd",,DC$43,"."&amp;$A$43&amp;$AS$42&amp;"C"&amp;$A55))</f>
        <v>0.01</v>
      </c>
      <c r="DD55" s="83">
        <f>IF(RTD("tos.rtd",,DD$43,"."&amp;$A$43&amp;$AS$42&amp;"P"&amp;$A55)="N/A",0,RTD("tos.rtd",,DD$43,"."&amp;$A$43&amp;$AS$42&amp;"P"&amp;$A55))</f>
        <v>4.59</v>
      </c>
      <c r="DE55" s="83">
        <f>IF(RTD("tos.rtd",,DE$43,"."&amp;$A$43&amp;$AS$42&amp;"C"&amp;$A55)="N/A",0,RTD("tos.rtd",,DE$43,"."&amp;$A$43&amp;$AS$42&amp;"C"&amp;$A55))</f>
        <v>0</v>
      </c>
      <c r="DF55" s="83">
        <f>IF(RTD("tos.rtd",,DF$43,"."&amp;$A$43&amp;$AS$42&amp;"P"&amp;$A55)="N/A",0,RTD("tos.rtd",,DF$43,"."&amp;$A$43&amp;$AS$42&amp;"P"&amp;$A55))</f>
        <v>4.3099999999999996</v>
      </c>
      <c r="DG55" s="86">
        <f t="shared" si="289"/>
        <v>4.339999999999975</v>
      </c>
      <c r="DH55" s="83">
        <f t="shared" ref="DH55" si="356">((DA55-DE55)/(DC55-DE55))*(BA55-AP55)</f>
        <v>563</v>
      </c>
      <c r="DI55" s="83">
        <f t="shared" ref="DI55" si="357">((DB55-DF55)/(DD55-DF55))*(BB55-AQ55)</f>
        <v>0</v>
      </c>
      <c r="DJ55" s="83">
        <f t="shared" ref="DJ55" si="358">IF(DA55&gt;=(DE55+(DC55-DE55)*0.6),(BA55-AP55),IF(DA55&lt;=(DE55+(DC55-DE55)*0.4),-(BA55-AP55),0))</f>
        <v>563</v>
      </c>
      <c r="DK55" s="83">
        <f t="shared" si="257"/>
        <v>0</v>
      </c>
      <c r="DL55" s="83">
        <f t="shared" si="258"/>
        <v>563</v>
      </c>
      <c r="DM55" s="83">
        <f t="shared" si="259"/>
        <v>563</v>
      </c>
      <c r="DN55" s="64" t="str">
        <f t="shared" si="260"/>
        <v>BUY</v>
      </c>
      <c r="DO55" s="64" t="str">
        <f t="shared" si="261"/>
        <v>UNKNOWN</v>
      </c>
      <c r="DP55" s="83">
        <f t="shared" si="262"/>
        <v>5.63</v>
      </c>
      <c r="DQ55" s="83">
        <f t="shared" si="263"/>
        <v>5.63</v>
      </c>
      <c r="DR55" s="83">
        <f t="shared" ca="1" si="264"/>
        <v>26.399871061393437</v>
      </c>
      <c r="DS55" s="83">
        <f t="shared" si="265"/>
        <v>5.63</v>
      </c>
      <c r="DT55" s="83">
        <f t="shared" si="290"/>
        <v>563</v>
      </c>
      <c r="DU55" s="83">
        <f t="shared" si="291"/>
        <v>0</v>
      </c>
      <c r="DV55" s="83">
        <f t="shared" si="266"/>
        <v>-668</v>
      </c>
      <c r="DW55" s="83">
        <f t="shared" si="267"/>
        <v>104</v>
      </c>
      <c r="DX55" s="83">
        <f t="shared" ca="1" si="323"/>
        <v>4.6891422844393314E-2</v>
      </c>
      <c r="DY55" s="83">
        <f t="shared" ca="1" si="324"/>
        <v>-5.4877491482332535E-2</v>
      </c>
      <c r="DZ55" s="83">
        <f t="shared" ca="1" si="325"/>
        <v>2.7142067926990227E-2</v>
      </c>
      <c r="EA55" s="83">
        <f t="shared" ca="1" si="326"/>
        <v>-2.6999156345038324E-2</v>
      </c>
      <c r="EB55" s="83">
        <f t="shared" ca="1" si="327"/>
        <v>2.4735103090092463E-2</v>
      </c>
      <c r="EC55" s="83">
        <f t="shared" ca="1" si="328"/>
        <v>-2.4735103090092463E-2</v>
      </c>
      <c r="ED55" s="63">
        <f t="shared" si="292"/>
        <v>-564</v>
      </c>
      <c r="EE55" s="84">
        <f t="shared" ref="EE55" si="359">IFERROR(VALUE(IF(OR(EL55="--",EL55="0.00%"),$EE$1,EL55)),$EE$1)</f>
        <v>0.47049999999999997</v>
      </c>
      <c r="EF55" s="84">
        <f t="shared" ref="EF55" si="360">IFERROR(VALUE(IF(OR(EM55="--",EM55="0.00%"),$EE$1,EM55)),$EE$1)</f>
        <v>0.80840000000000001</v>
      </c>
      <c r="EG55" s="84">
        <f t="shared" ref="EG55" si="361">IFERROR(VALUE(IF(OR(EN55="--",EN55="0.00%"),$EE$1,EN55)),$EE$1)</f>
        <v>0.22620000000000001</v>
      </c>
      <c r="EH55" s="84">
        <f t="shared" ref="EH55" si="362">IFERROR(VALUE(IF(OR(EO55="--",EO55="0.00%"),$EE$1,EO55)),$EE$1)</f>
        <v>0.22750000000000001</v>
      </c>
      <c r="EI55" s="84">
        <f t="shared" ref="EI55" si="363">IFERROR(VALUE(IF(OR(EP55="--",EP55="0.00%"),$EE$1,EP55)),$EE$1)</f>
        <v>0.25</v>
      </c>
      <c r="EJ55" s="84">
        <f t="shared" ref="EJ55" si="364">IFERROR(VALUE(IF(OR(EQ55="--",EQ55="0.00%"),$EE$1,EQ55)),$EE$1)</f>
        <v>0.25</v>
      </c>
      <c r="EK55" s="63">
        <f t="shared" ca="1" si="293"/>
        <v>-9543510.5823690388</v>
      </c>
      <c r="EL55" s="83" t="str">
        <f>RTD("tos.rtd",,EL$43,"."&amp;$A$43&amp;$AS$42&amp;"C"&amp;$A55)</f>
        <v>47.05%</v>
      </c>
      <c r="EM55" s="83" t="str">
        <f>RTD("tos.rtd",,EM$43,"."&amp;$A$43&amp;$AS$42&amp;"P"&amp;$A55)</f>
        <v>80.84%</v>
      </c>
      <c r="EN55" s="83" t="str">
        <f>RTD("tos.rtd",,EN$2,"."&amp;$A$43&amp;$AU$1&amp;"C"&amp;$A55)</f>
        <v>22.62%</v>
      </c>
      <c r="EO55" s="83" t="str">
        <f>RTD("tos.rtd",,EO$2,"."&amp;$A$43&amp;$AU$1&amp;"P"&amp;$A55)</f>
        <v>22.75%</v>
      </c>
      <c r="EP55" s="83" t="str">
        <f>RTD("tos.rtd",,EP$2,"."&amp;$A$43&amp;$AW$1&amp;"C"&amp;$A55)</f>
        <v>N/A</v>
      </c>
      <c r="EQ55" s="83" t="str">
        <f>RTD("tos.rtd",,EQ$2,"."&amp;$A$43&amp;$AW$1&amp;"P"&amp;$A55)</f>
        <v>N/A</v>
      </c>
      <c r="ES55" s="63" t="str">
        <f t="shared" si="274"/>
        <v>512,-564.00</v>
      </c>
      <c r="ET55" s="63" t="str">
        <f t="shared" ca="1" si="275"/>
        <v>512,253639.32</v>
      </c>
      <c r="EU55" s="68">
        <v>564.79999999999995</v>
      </c>
      <c r="EV55" s="68" t="s">
        <v>459</v>
      </c>
      <c r="EW55" s="68">
        <v>487.92</v>
      </c>
      <c r="EX55" s="68" t="s">
        <v>460</v>
      </c>
      <c r="EY55" s="68">
        <v>5659.91</v>
      </c>
      <c r="EZ55" s="68" t="s">
        <v>461</v>
      </c>
      <c r="FA55" s="68">
        <v>20061.449000000001</v>
      </c>
      <c r="FB55" s="68" t="s">
        <v>462</v>
      </c>
      <c r="FC55" s="68" t="s">
        <v>463</v>
      </c>
      <c r="FD55" s="68" t="s">
        <v>464</v>
      </c>
      <c r="FE55" s="68" t="s">
        <v>465</v>
      </c>
      <c r="FF55" s="68" t="s">
        <v>466</v>
      </c>
    </row>
    <row r="56" spans="1:162" ht="13.5" thickBot="1" x14ac:dyDescent="0.25">
      <c r="A56" s="2">
        <f t="shared" si="294"/>
        <v>511</v>
      </c>
      <c r="B56" s="3">
        <f t="shared" si="299"/>
        <v>494</v>
      </c>
      <c r="C56" s="3">
        <f t="shared" si="300"/>
        <v>1611</v>
      </c>
      <c r="D56" s="3">
        <f t="shared" si="301"/>
        <v>0</v>
      </c>
      <c r="E56" s="3">
        <f t="shared" si="302"/>
        <v>2105</v>
      </c>
      <c r="F56" s="4">
        <f t="shared" si="303"/>
        <v>21081.543257298192</v>
      </c>
      <c r="AM56" s="1">
        <v>1735</v>
      </c>
      <c r="AN56" s="1">
        <v>491</v>
      </c>
      <c r="AO56" s="1">
        <v>511</v>
      </c>
      <c r="AP56" s="1">
        <v>16009</v>
      </c>
      <c r="AQ56" s="1">
        <v>-1161</v>
      </c>
      <c r="AS56" s="6">
        <f>IF(RTD("tos.rtd",,AS$43,"."&amp;$A$43&amp;$AS$42&amp;"C"&amp;$A56)="N/A",0,RTD("tos.rtd",,AS$43,"."&amp;$A$43&amp;$AS$42&amp;"C"&amp;$A56))</f>
        <v>494</v>
      </c>
      <c r="AT56" s="7">
        <f>-IF(RTD("tos.rtd",,AT$43,"."&amp;$A$43&amp;$AS$42&amp;"P"&amp;$A56)="N/A",0,RTD("tos.rtd",,AT$43,"."&amp;$A$43&amp;$AS$42&amp;"P"&amp;$A56))</f>
        <v>0</v>
      </c>
      <c r="AU56" s="6">
        <f>IF(RTD("tos.rtd",,AU$2,"."&amp;$A$43&amp;$AU$1&amp;"C"&amp;$A56)="N/A",0,RTD("tos.rtd",,AU$2,"."&amp;$A$43&amp;$AU$1&amp;"C"&amp;$A56))</f>
        <v>1609</v>
      </c>
      <c r="AV56" s="7">
        <f>-IF(RTD("tos.rtd",,AV$2,"."&amp;$A$43&amp;$AU$1&amp;"P"&amp;$A56)="N/A",0,RTD("tos.rtd",,AV$2,"."&amp;$A$43&amp;$AU$1&amp;"P"&amp;$A56))</f>
        <v>-2</v>
      </c>
      <c r="AW56" s="6">
        <f>IF(RTD("tos.rtd",,AW$2,"."&amp;$A$43&amp;$AW$1&amp;"C"&amp;$A56)="N/A",0,RTD("tos.rtd",,AW$2,"."&amp;$A$43&amp;$AW$1&amp;"C"&amp;$A56))</f>
        <v>0</v>
      </c>
      <c r="AX56" s="7">
        <f>-IF(RTD("tos.rtd",,AX$2,"."&amp;$A$43&amp;$AW$1&amp;"P"&amp;$A56)="N/A",0,RTD("tos.rtd",,AX$2,"."&amp;$A$43&amp;$AW$1&amp;"P"&amp;$A56))</f>
        <v>0</v>
      </c>
      <c r="AY56" s="7">
        <f t="shared" si="304"/>
        <v>2101</v>
      </c>
      <c r="AZ56" s="8">
        <f t="shared" si="245"/>
        <v>511</v>
      </c>
      <c r="BA56" s="6">
        <f>IF(RTD("tos.rtd",,BA$43,"."&amp;$A$43&amp;$AS$42&amp;"C"&amp;$A56)="N/A",0,RTD("tos.rtd",,BA$43,"."&amp;$A$43&amp;$AS$42&amp;"C"&amp;$A56))</f>
        <v>16049</v>
      </c>
      <c r="BB56" s="7">
        <f>-IF(RTD("tos.rtd",,BB$43,"."&amp;$A$43&amp;$AS$42&amp;"P"&amp;$A56)="N/A",0,RTD("tos.rtd",,BB$43,"."&amp;$A$43&amp;$AS$42&amp;"P"&amp;$A56))</f>
        <v>-1179</v>
      </c>
      <c r="BC56" s="6">
        <f>IF(RTD("tos.rtd",,BC$2,"."&amp;$A$43&amp;$AU$1&amp;"C"&amp;$A56)="N/A",0,RTD("tos.rtd",,BC$2,"."&amp;$A$43&amp;$AU$1&amp;"C"&amp;$A56))</f>
        <v>2520</v>
      </c>
      <c r="BD56" s="7">
        <f>-IF(RTD("tos.rtd",,BD$2,"."&amp;$A$43&amp;$AU$1&amp;"P"&amp;$A56)="N/A",0,RTD("tos.rtd",,BD$2,"."&amp;$A$43&amp;$AU$1&amp;"P"&amp;$A56))</f>
        <v>-526</v>
      </c>
      <c r="BE56" s="6">
        <f>IF(RTD("tos.rtd",,BE$2,"."&amp;$A$43&amp;$AW$1&amp;"C"&amp;$A56)="N/A",0,RTD("tos.rtd",,BE$2,"."&amp;$A$43&amp;$AW$1&amp;"C"&amp;$A56))</f>
        <v>0</v>
      </c>
      <c r="BF56" s="7">
        <f>-IF(RTD("tos.rtd",,BF$2,"."&amp;$A$43&amp;$AW$1&amp;"P"&amp;$A56)="N/A",0,RTD("tos.rtd",,BF$2,"."&amp;$A$43&amp;$AW$1&amp;"P"&amp;$A56))</f>
        <v>0</v>
      </c>
      <c r="BG56" s="32">
        <f ca="1">+Hoja2!Y57</f>
        <v>1547</v>
      </c>
      <c r="BH56" s="7">
        <f t="shared" ca="1" si="277"/>
        <v>18411</v>
      </c>
      <c r="BI56" s="8" t="str">
        <f t="shared" ca="1" si="295"/>
        <v/>
      </c>
      <c r="BJ56" s="83">
        <f ca="1">IF($BP$1=1,DX56,IF(RTD("tos.rtd",,BJ$43,"."&amp;$A$43&amp;$AS$42&amp;"C"&amp;$A56)="N/A",0,RTD("tos.rtd",,BJ$43,"."&amp;$A$43&amp;$AS$42&amp;"C"&amp;$A56)))</f>
        <v>6.2939207559954025E-2</v>
      </c>
      <c r="BK56" s="83">
        <f ca="1">IF($BP$1=1,DY56,-IF(RTD("tos.rtd",,BK$43,"."&amp;$A$43&amp;$AS$42&amp;"P"&amp;$A56)="N/A",0,RTD("tos.rtd",,BK$43,"."&amp;$A$43&amp;$AS$42&amp;"P"&amp;$A56)))</f>
        <v>-7.0002905559455222E-2</v>
      </c>
      <c r="BL56" s="83">
        <f ca="1">IF($BP$1=1,DZ56,IF(RTD("tos.rtd",,BL$2,"."&amp;$A$43&amp;$AU$1&amp;"C"&amp;$A56)="N/A",0,RTD("tos.rtd",,BL$2,"."&amp;$A$43&amp;$AU$1&amp;"C"&amp;$A56)))</f>
        <v>2.7553155873509701E-2</v>
      </c>
      <c r="BM56" s="83">
        <f ca="1">IF($BP$1=1,EA56,-IF(RTD("tos.rtd",,BM$2,"."&amp;$A$43&amp;$AU$1&amp;"P"&amp;$A56)="N/A",0,RTD("tos.rtd",,BM$2,"."&amp;$A$43&amp;$AU$1&amp;"P"&amp;$A56)))</f>
        <v>-2.7368407817488359E-2</v>
      </c>
      <c r="BN56" s="83">
        <f ca="1">IF($BP$1=1,EB56,IF(RTD("tos.rtd",,BN$2,"."&amp;$A$43&amp;$AW$1&amp;"C"&amp;$A56)="N/A",0,RTD("tos.rtd",,BN$2,"."&amp;$A$43&amp;$AW$1&amp;"C"&amp;$A56)))</f>
        <v>2.5062911208045074E-2</v>
      </c>
      <c r="BO56" s="83">
        <f ca="1">IF($BP$1=1,EC56,-IF(RTD("tos.rtd",,BO$2,"."&amp;$A$43&amp;$AW$1&amp;"P"&amp;$A56)="N/A",0,RTD("tos.rtd",,BO$2,"."&amp;$A$43&amp;$AW$1&amp;"P"&amp;$A56)))</f>
        <v>-2.5062911208045074E-2</v>
      </c>
      <c r="BQ56" s="83">
        <f t="shared" ca="1" si="305"/>
        <v>8012980.9525384409</v>
      </c>
      <c r="BR56" s="3" t="str">
        <f t="shared" ca="1" si="279"/>
        <v/>
      </c>
      <c r="BS56" s="83">
        <f t="shared" ca="1" si="306"/>
        <v>11411342.510444935</v>
      </c>
      <c r="BT56" s="3" t="str">
        <f t="shared" ca="1" si="281"/>
        <v/>
      </c>
      <c r="BU56" s="83">
        <f t="shared" ca="1" si="307"/>
        <v>0</v>
      </c>
      <c r="BV56" s="83"/>
      <c r="BX56" s="83">
        <f t="shared" ca="1" si="308"/>
        <v>239054152.14977133</v>
      </c>
      <c r="BY56" s="83" t="str">
        <f t="shared" ca="1" si="296"/>
        <v/>
      </c>
      <c r="BZ56" s="83">
        <f t="shared" ca="1" si="309"/>
        <v>14184364.354391638</v>
      </c>
      <c r="CA56" s="83" t="str">
        <f t="shared" ca="1" si="296"/>
        <v/>
      </c>
      <c r="CB56" s="83">
        <f t="shared" ca="1" si="310"/>
        <v>0</v>
      </c>
      <c r="CC56" s="83" t="str">
        <f t="shared" ca="1" si="296"/>
        <v/>
      </c>
      <c r="CD56" s="83">
        <f>IF(RTD("tos.rtd",,CD$43,"."&amp;$A$43&amp;$AS$42&amp;"C"&amp;$A56)="N/A",0,RTD("tos.rtd",,CD$43,"."&amp;$A$43&amp;$AS$42&amp;"C"&amp;$A56))</f>
        <v>0.01</v>
      </c>
      <c r="CE56" s="83">
        <f>-IF(RTD("tos.rtd",,CE$43,"."&amp;$A$43&amp;$AS$42&amp;"P"&amp;$A56)="N/A",0,RTD("tos.rtd",,CE$43,"."&amp;$A$43&amp;$AS$42&amp;"P"&amp;$A56))</f>
        <v>0.9</v>
      </c>
      <c r="CF56" s="83">
        <f>IF(RTD("tos.rtd",,CF$2,"."&amp;$A$43&amp;$AU$1&amp;"C"&amp;$A56)="N/A",0,RTD("tos.rtd",,CF$2,"."&amp;$A$43&amp;$AU$1&amp;"C"&amp;$A56))</f>
        <v>0.4</v>
      </c>
      <c r="CG56" s="83">
        <f>-IF(RTD("tos.rtd",,CG$2,"."&amp;$A$43&amp;$AU$1&amp;"P"&amp;$A56)="N/A",0,RTD("tos.rtd",,CG$2,"."&amp;$A$43&amp;$AU$1&amp;"P"&amp;$A56))</f>
        <v>0.6</v>
      </c>
      <c r="CH56" s="83">
        <f>IF(RTD("tos.rtd",,CH$2,"."&amp;$A$43&amp;$AW$1&amp;"C"&amp;$A56)="N/A",0,RTD("tos.rtd",,CH$2,"."&amp;$A$43&amp;$AW$1&amp;"C"&amp;$A56))</f>
        <v>0</v>
      </c>
      <c r="CI56" s="83">
        <f>-IF(RTD("tos.rtd",,CI$2,"."&amp;$A$43&amp;$AW$1&amp;"P"&amp;$A56)="N/A",0,RTD("tos.rtd",,CI$2,"."&amp;$A$43&amp;$AW$1&amp;"P"&amp;$A56))</f>
        <v>0</v>
      </c>
      <c r="CK56" s="83">
        <f t="shared" si="311"/>
        <v>494.00000000000006</v>
      </c>
      <c r="CL56" s="83"/>
      <c r="CM56" s="83">
        <f t="shared" si="312"/>
        <v>64240</v>
      </c>
      <c r="CN56" s="83"/>
      <c r="CO56" s="83">
        <f t="shared" si="313"/>
        <v>0</v>
      </c>
      <c r="CP56" s="83">
        <f t="shared" si="314"/>
        <v>64734</v>
      </c>
      <c r="CQ56" s="83">
        <f t="shared" si="315"/>
        <v>14870</v>
      </c>
      <c r="CR56" s="83"/>
      <c r="CS56" s="83">
        <f t="shared" si="316"/>
        <v>1994</v>
      </c>
      <c r="CT56" s="83"/>
      <c r="CU56" s="83">
        <f t="shared" si="317"/>
        <v>0</v>
      </c>
      <c r="CV56" s="83"/>
      <c r="CW56" s="83">
        <f t="shared" ca="1" si="318"/>
        <v>19424323.462983377</v>
      </c>
      <c r="CY56" s="83">
        <f t="shared" ca="1" si="319"/>
        <v>253238516.50416297</v>
      </c>
      <c r="CZ56" s="70" t="str">
        <f t="shared" ca="1" si="297"/>
        <v/>
      </c>
      <c r="DA56" s="83">
        <f>IF(RTD("tos.rtd",,DA$43,"."&amp;$A$43&amp;$AS$42&amp;"C"&amp;$A56)="N/A",0,RTD("tos.rtd",,DA$43,"."&amp;$A$43&amp;$AS$42&amp;"C"&amp;$A56))</f>
        <v>0.01</v>
      </c>
      <c r="DB56" s="83">
        <f>IF(RTD("tos.rtd",,DB$43,"."&amp;$A$43&amp;$AS$42&amp;"P"&amp;$A56)="N/A",0,RTD("tos.rtd",,DB$43,"."&amp;$A$43&amp;$AS$42&amp;"P"&amp;$A56))</f>
        <v>3.56</v>
      </c>
      <c r="DC56" s="83">
        <f>IF(RTD("tos.rtd",,DC$43,"."&amp;$A$43&amp;$AS$42&amp;"C"&amp;$A56)="N/A",0,RTD("tos.rtd",,DC$43,"."&amp;$A$43&amp;$AS$42&amp;"C"&amp;$A56))</f>
        <v>0.01</v>
      </c>
      <c r="DD56" s="83">
        <f>IF(RTD("tos.rtd",,DD$43,"."&amp;$A$43&amp;$AS$42&amp;"P"&amp;$A56)="N/A",0,RTD("tos.rtd",,DD$43,"."&amp;$A$43&amp;$AS$42&amp;"P"&amp;$A56))</f>
        <v>3.59</v>
      </c>
      <c r="DE56" s="83">
        <f>IF(RTD("tos.rtd",,DE$43,"."&amp;$A$43&amp;$AS$42&amp;"C"&amp;$A56)="N/A",0,RTD("tos.rtd",,DE$43,"."&amp;$A$43&amp;$AS$42&amp;"C"&amp;$A56))</f>
        <v>0</v>
      </c>
      <c r="DF56" s="83">
        <f>IF(RTD("tos.rtd",,DF$43,"."&amp;$A$43&amp;$AS$42&amp;"P"&amp;$A56)="N/A",0,RTD("tos.rtd",,DF$43,"."&amp;$A$43&amp;$AS$42&amp;"P"&amp;$A56))</f>
        <v>3.3</v>
      </c>
      <c r="DG56" s="86">
        <f t="shared" si="289"/>
        <v>3.339999999999975</v>
      </c>
      <c r="DH56" s="83">
        <f t="shared" si="320"/>
        <v>40</v>
      </c>
      <c r="DI56" s="83">
        <f t="shared" si="321"/>
        <v>-16.137931034482772</v>
      </c>
      <c r="DJ56" s="83">
        <f t="shared" si="322"/>
        <v>40</v>
      </c>
      <c r="DK56" s="83">
        <f t="shared" si="257"/>
        <v>-18</v>
      </c>
      <c r="DL56" s="83">
        <f t="shared" si="258"/>
        <v>23.862068965517228</v>
      </c>
      <c r="DM56" s="83">
        <f t="shared" si="259"/>
        <v>22</v>
      </c>
      <c r="DN56" s="64" t="str">
        <f t="shared" si="260"/>
        <v>BUY</v>
      </c>
      <c r="DO56" s="64" t="str">
        <f t="shared" si="261"/>
        <v>BUY</v>
      </c>
      <c r="DP56" s="83">
        <f t="shared" si="262"/>
        <v>-57.051034482758674</v>
      </c>
      <c r="DQ56" s="83">
        <f t="shared" si="263"/>
        <v>-63.68</v>
      </c>
      <c r="DR56" s="83">
        <f t="shared" ca="1" si="264"/>
        <v>3.777620602468355</v>
      </c>
      <c r="DS56" s="83">
        <f t="shared" si="265"/>
        <v>-15.799999999999999</v>
      </c>
      <c r="DT56" s="83">
        <f t="shared" si="290"/>
        <v>40</v>
      </c>
      <c r="DU56" s="83">
        <f t="shared" si="291"/>
        <v>-18</v>
      </c>
      <c r="DV56" s="83">
        <f t="shared" si="266"/>
        <v>1775</v>
      </c>
      <c r="DW56" s="83">
        <f t="shared" si="267"/>
        <v>473</v>
      </c>
      <c r="DX56" s="83">
        <f t="shared" ca="1" si="323"/>
        <v>6.2939207559954025E-2</v>
      </c>
      <c r="DY56" s="83">
        <f t="shared" ca="1" si="324"/>
        <v>-7.0002905559455222E-2</v>
      </c>
      <c r="DZ56" s="83">
        <f t="shared" ca="1" si="325"/>
        <v>2.7553155873509701E-2</v>
      </c>
      <c r="EA56" s="83">
        <f t="shared" ca="1" si="326"/>
        <v>-2.7368407817488359E-2</v>
      </c>
      <c r="EB56" s="83">
        <f t="shared" ca="1" si="327"/>
        <v>2.5062911208045074E-2</v>
      </c>
      <c r="EC56" s="83">
        <f t="shared" ca="1" si="328"/>
        <v>-2.5062911208045074E-2</v>
      </c>
      <c r="ED56" s="63">
        <f t="shared" si="292"/>
        <v>2248</v>
      </c>
      <c r="EE56" s="84">
        <f t="shared" si="329"/>
        <v>0.37440000000000001</v>
      </c>
      <c r="EF56" s="84">
        <f t="shared" si="330"/>
        <v>0.65600000000000003</v>
      </c>
      <c r="EG56" s="84">
        <f t="shared" si="331"/>
        <v>0.22650000000000001</v>
      </c>
      <c r="EH56" s="84">
        <f t="shared" si="332"/>
        <v>0.2281</v>
      </c>
      <c r="EI56" s="84">
        <f t="shared" si="333"/>
        <v>0.25</v>
      </c>
      <c r="EJ56" s="84">
        <f t="shared" si="334"/>
        <v>0.25</v>
      </c>
      <c r="EK56" s="63">
        <f t="shared" ca="1" si="293"/>
        <v>20258161.818279028</v>
      </c>
      <c r="EL56" s="83" t="str">
        <f>RTD("tos.rtd",,EL$43,"."&amp;$A$43&amp;$AS$42&amp;"C"&amp;$A56)</f>
        <v>37.44%</v>
      </c>
      <c r="EM56" s="83" t="str">
        <f>RTD("tos.rtd",,EM$43,"."&amp;$A$43&amp;$AS$42&amp;"P"&amp;$A56)</f>
        <v>65.60%</v>
      </c>
      <c r="EN56" s="83" t="str">
        <f>RTD("tos.rtd",,EN$2,"."&amp;$A$43&amp;$AU$1&amp;"C"&amp;$A56)</f>
        <v>22.65%</v>
      </c>
      <c r="EO56" s="83" t="str">
        <f>RTD("tos.rtd",,EO$2,"."&amp;$A$43&amp;$AU$1&amp;"P"&amp;$A56)</f>
        <v>22.81%</v>
      </c>
      <c r="EP56" s="83" t="str">
        <f>RTD("tos.rtd",,EP$2,"."&amp;$A$43&amp;$AW$1&amp;"C"&amp;$A56)</f>
        <v>N/A</v>
      </c>
      <c r="EQ56" s="83" t="str">
        <f>RTD("tos.rtd",,EQ$2,"."&amp;$A$43&amp;$AW$1&amp;"P"&amp;$A56)</f>
        <v>N/A</v>
      </c>
      <c r="ES56" s="63" t="str">
        <f t="shared" si="274"/>
        <v>511,2248.00</v>
      </c>
      <c r="ET56" s="63" t="str">
        <f t="shared" ca="1" si="275"/>
        <v>511,253238.52</v>
      </c>
      <c r="EU56" s="68">
        <v>564.79999999999995</v>
      </c>
      <c r="EV56" s="68" t="s">
        <v>467</v>
      </c>
      <c r="EW56" s="68">
        <v>487.92</v>
      </c>
      <c r="EX56" s="68" t="s">
        <v>468</v>
      </c>
      <c r="EY56" s="68">
        <v>5659.91</v>
      </c>
      <c r="EZ56" s="68" t="s">
        <v>469</v>
      </c>
      <c r="FA56" s="68">
        <v>20061.449000000001</v>
      </c>
      <c r="FB56" s="68" t="s">
        <v>470</v>
      </c>
      <c r="FC56" s="68" t="s">
        <v>471</v>
      </c>
      <c r="FD56" s="68" t="s">
        <v>472</v>
      </c>
      <c r="FE56" s="68" t="s">
        <v>473</v>
      </c>
      <c r="FF56" s="68" t="s">
        <v>474</v>
      </c>
    </row>
    <row r="57" spans="1:162" ht="13.5" thickBot="1" x14ac:dyDescent="0.25">
      <c r="A57" s="2">
        <f t="shared" si="294"/>
        <v>510</v>
      </c>
      <c r="B57" s="3">
        <f t="shared" si="241"/>
        <v>2568</v>
      </c>
      <c r="C57" s="3">
        <f t="shared" si="242"/>
        <v>16257</v>
      </c>
      <c r="D57" s="3">
        <f t="shared" si="243"/>
        <v>70375</v>
      </c>
      <c r="E57" s="3">
        <f t="shared" si="244"/>
        <v>89200</v>
      </c>
      <c r="F57" s="4">
        <f t="shared" si="298"/>
        <v>21040.287791041246</v>
      </c>
      <c r="AM57" s="1">
        <v>3392</v>
      </c>
      <c r="AN57" s="1">
        <v>133</v>
      </c>
      <c r="AO57" s="1">
        <v>510</v>
      </c>
      <c r="AP57" s="1">
        <v>67496</v>
      </c>
      <c r="AQ57" s="1">
        <v>-4939</v>
      </c>
      <c r="AS57" s="6">
        <f>IF(RTD("tos.rtd",,AS$43,"."&amp;$A$43&amp;$AS$42&amp;"C"&amp;$A57)="N/A",0,RTD("tos.rtd",,AS$43,"."&amp;$A$43&amp;$AS$42&amp;"C"&amp;$A57))</f>
        <v>2546</v>
      </c>
      <c r="AT57" s="7">
        <f>-IF(RTD("tos.rtd",,AT$43,"."&amp;$A$43&amp;$AS$42&amp;"P"&amp;$A57)="N/A",0,RTD("tos.rtd",,AT$43,"."&amp;$A$43&amp;$AS$42&amp;"P"&amp;$A57))</f>
        <v>-22</v>
      </c>
      <c r="AU57" s="6">
        <f>IF(RTD("tos.rtd",,AU$2,"."&amp;$A$43&amp;$AU$1&amp;"C"&amp;$A57)="N/A",0,RTD("tos.rtd",,AU$2,"."&amp;$A$43&amp;$AU$1&amp;"C"&amp;$A57))</f>
        <v>15443</v>
      </c>
      <c r="AV57" s="7">
        <f>-IF(RTD("tos.rtd",,AV$2,"."&amp;$A$43&amp;$AU$1&amp;"P"&amp;$A57)="N/A",0,RTD("tos.rtd",,AV$2,"."&amp;$A$43&amp;$AU$1&amp;"P"&amp;$A57))</f>
        <v>-814</v>
      </c>
      <c r="AW57" s="6">
        <f>IF(RTD("tos.rtd",,AW$2,"."&amp;$A$43&amp;$AW$1&amp;"C"&amp;$A57)="N/A",0,RTD("tos.rtd",,AW$2,"."&amp;$A$43&amp;$AW$1&amp;"C"&amp;$A57))</f>
        <v>41696</v>
      </c>
      <c r="AX57" s="7">
        <f>-IF(RTD("tos.rtd",,AX$2,"."&amp;$A$43&amp;$AW$1&amp;"P"&amp;$A57)="N/A",0,RTD("tos.rtd",,AX$2,"."&amp;$A$43&amp;$AW$1&amp;"P"&amp;$A57))</f>
        <v>-28679</v>
      </c>
      <c r="AY57" s="7">
        <f t="shared" si="276"/>
        <v>30170</v>
      </c>
      <c r="AZ57" s="8">
        <f t="shared" si="245"/>
        <v>510</v>
      </c>
      <c r="BA57" s="6">
        <f>IF(RTD("tos.rtd",,BA$43,"."&amp;$A$43&amp;$AS$42&amp;"C"&amp;$A57)="N/A",0,RTD("tos.rtd",,BA$43,"."&amp;$A$43&amp;$AS$42&amp;"C"&amp;$A57))</f>
        <v>67741</v>
      </c>
      <c r="BB57" s="7">
        <f>-IF(RTD("tos.rtd",,BB$43,"."&amp;$A$43&amp;$AS$42&amp;"P"&amp;$A57)="N/A",0,RTD("tos.rtd",,BB$43,"."&amp;$A$43&amp;$AS$42&amp;"P"&amp;$A57))</f>
        <v>-4939</v>
      </c>
      <c r="BC57" s="6">
        <f>IF(RTD("tos.rtd",,BC$2,"."&amp;$A$43&amp;$AU$1&amp;"C"&amp;$A57)="N/A",0,RTD("tos.rtd",,BC$2,"."&amp;$A$43&amp;$AU$1&amp;"C"&amp;$A57))</f>
        <v>19044</v>
      </c>
      <c r="BD57" s="7">
        <f>-IF(RTD("tos.rtd",,BD$2,"."&amp;$A$43&amp;$AU$1&amp;"P"&amp;$A57)="N/A",0,RTD("tos.rtd",,BD$2,"."&amp;$A$43&amp;$AU$1&amp;"P"&amp;$A57))</f>
        <v>-3727</v>
      </c>
      <c r="BE57" s="6">
        <f>IF(RTD("tos.rtd",,BE$2,"."&amp;$A$43&amp;$AW$1&amp;"C"&amp;$A57)="N/A",0,RTD("tos.rtd",,BE$2,"."&amp;$A$43&amp;$AW$1&amp;"C"&amp;$A57))</f>
        <v>16090</v>
      </c>
      <c r="BF57" s="7">
        <f>-IF(RTD("tos.rtd",,BF$2,"."&amp;$A$43&amp;$AW$1&amp;"P"&amp;$A57)="N/A",0,RTD("tos.rtd",,BF$2,"."&amp;$A$43&amp;$AW$1&amp;"P"&amp;$A57))</f>
        <v>-2337</v>
      </c>
      <c r="BG57" s="32">
        <f ca="1">+Hoja2!Y58</f>
        <v>7620</v>
      </c>
      <c r="BH57" s="7">
        <f t="shared" ca="1" si="277"/>
        <v>99492</v>
      </c>
      <c r="BI57" s="8" t="str">
        <f t="shared" ca="1" si="295"/>
        <v/>
      </c>
      <c r="BJ57" s="83">
        <f ca="1">IF($BP$1=1,DX57,IF(RTD("tos.rtd",,BJ$43,"."&amp;$A$43&amp;$AS$42&amp;"C"&amp;$A57)="N/A",0,RTD("tos.rtd",,BJ$43,"."&amp;$A$43&amp;$AS$42&amp;"C"&amp;$A57)))</f>
        <v>9.3557875385892317E-2</v>
      </c>
      <c r="BK57" s="83">
        <f ca="1">IF($BP$1=1,DY57,-IF(RTD("tos.rtd",,BK$43,"."&amp;$A$43&amp;$AS$42&amp;"P"&amp;$A57)="N/A",0,RTD("tos.rtd",,BK$43,"."&amp;$A$43&amp;$AS$42&amp;"P"&amp;$A57)))</f>
        <v>-9.4835859489131411E-2</v>
      </c>
      <c r="BL57" s="83">
        <f ca="1">IF($BP$1=1,DZ57,IF(RTD("tos.rtd",,BL$2,"."&amp;$A$43&amp;$AU$1&amp;"C"&amp;$A57)="N/A",0,RTD("tos.rtd",,BL$2,"."&amp;$A$43&amp;$AU$1&amp;"C"&amp;$A57)))</f>
        <v>2.7629473790755654E-2</v>
      </c>
      <c r="BM57" s="83">
        <f ca="1">IF($BP$1=1,EA57,-IF(RTD("tos.rtd",,BM$2,"."&amp;$A$43&amp;$AU$1&amp;"P"&amp;$A57)="N/A",0,RTD("tos.rtd",,BM$2,"."&amp;$A$43&amp;$AU$1&amp;"P"&amp;$A57)))</f>
        <v>-2.7558517774563269E-2</v>
      </c>
      <c r="BN57" s="83">
        <f ca="1">IF($BP$1=1,EB57,IF(RTD("tos.rtd",,BN$2,"."&amp;$A$43&amp;$AW$1&amp;"C"&amp;$A57)="N/A",0,RTD("tos.rtd",,BN$2,"."&amp;$A$43&amp;$AW$1&amp;"C"&amp;$A57)))</f>
        <v>3.1876458302416789E-2</v>
      </c>
      <c r="BO57" s="83">
        <f ca="1">IF($BP$1=1,EC57,-IF(RTD("tos.rtd",,BO$2,"."&amp;$A$43&amp;$AW$1&amp;"P"&amp;$A57)="N/A",0,RTD("tos.rtd",,BO$2,"."&amp;$A$43&amp;$AW$1&amp;"P"&amp;$A57)))</f>
        <v>-3.2290534603676736E-2</v>
      </c>
      <c r="BQ57" s="83">
        <f t="shared" ca="1" si="278"/>
        <v>60850462.094527125</v>
      </c>
      <c r="BR57" s="3" t="str">
        <f t="shared" ca="1" si="279"/>
        <v/>
      </c>
      <c r="BS57" s="83">
        <f t="shared" ca="1" si="280"/>
        <v>104182602.0125014</v>
      </c>
      <c r="BT57" s="3" t="str">
        <f t="shared" ca="1" si="281"/>
        <v/>
      </c>
      <c r="BU57" s="83">
        <f t="shared" ca="1" si="282"/>
        <v>103876234.60632682</v>
      </c>
      <c r="BV57" s="83"/>
      <c r="BX57" s="83">
        <f t="shared" ca="1" si="283"/>
        <v>1512630729.399498</v>
      </c>
      <c r="BY57" s="83" t="str">
        <f t="shared" ca="1" si="296"/>
        <v/>
      </c>
      <c r="BZ57" s="83">
        <f t="shared" ca="1" si="284"/>
        <v>109134865.5402835</v>
      </c>
      <c r="CA57" s="83" t="str">
        <f t="shared" ca="1" si="296"/>
        <v/>
      </c>
      <c r="CB57" s="83">
        <f t="shared" ca="1" si="285"/>
        <v>112733683.04001091</v>
      </c>
      <c r="CC57" s="83" t="str">
        <f t="shared" ca="1" si="296"/>
        <v/>
      </c>
      <c r="CD57" s="83">
        <f>IF(RTD("tos.rtd",,CD$43,"."&amp;$A$43&amp;$AS$42&amp;"C"&amp;$A57)="N/A",0,RTD("tos.rtd",,CD$43,"."&amp;$A$43&amp;$AS$42&amp;"C"&amp;$A57))</f>
        <v>0.01</v>
      </c>
      <c r="CE57" s="83">
        <f>-IF(RTD("tos.rtd",,CE$43,"."&amp;$A$43&amp;$AS$42&amp;"P"&amp;$A57)="N/A",0,RTD("tos.rtd",,CE$43,"."&amp;$A$43&amp;$AS$42&amp;"P"&amp;$A57))</f>
        <v>0.88</v>
      </c>
      <c r="CF57" s="83">
        <f>IF(RTD("tos.rtd",,CF$2,"."&amp;$A$43&amp;$AU$1&amp;"C"&amp;$A57)="N/A",0,RTD("tos.rtd",,CF$2,"."&amp;$A$43&amp;$AU$1&amp;"C"&amp;$A57))</f>
        <v>0.44</v>
      </c>
      <c r="CG57" s="83">
        <f>-IF(RTD("tos.rtd",,CG$2,"."&amp;$A$43&amp;$AU$1&amp;"P"&amp;$A57)="N/A",0,RTD("tos.rtd",,CG$2,"."&amp;$A$43&amp;$AU$1&amp;"P"&amp;$A57))</f>
        <v>0.56999999999999995</v>
      </c>
      <c r="CH57" s="83">
        <f>IF(RTD("tos.rtd",,CH$2,"."&amp;$A$43&amp;$AW$1&amp;"C"&amp;$A57)="N/A",0,RTD("tos.rtd",,CH$2,"."&amp;$A$43&amp;$AW$1&amp;"C"&amp;$A57))</f>
        <v>0.51</v>
      </c>
      <c r="CI57" s="83">
        <f>-IF(RTD("tos.rtd",,CI$2,"."&amp;$A$43&amp;$AW$1&amp;"P"&amp;$A57)="N/A",0,RTD("tos.rtd",,CI$2,"."&amp;$A$43&amp;$AW$1&amp;"P"&amp;$A57))</f>
        <v>0.5</v>
      </c>
      <c r="CK57" s="83">
        <f t="shared" si="286"/>
        <v>610</v>
      </c>
      <c r="CL57" s="83"/>
      <c r="CM57" s="83">
        <f t="shared" si="287"/>
        <v>633094</v>
      </c>
      <c r="CN57" s="83"/>
      <c r="CO57" s="83">
        <f t="shared" si="288"/>
        <v>692546</v>
      </c>
      <c r="CP57" s="83">
        <f t="shared" si="235"/>
        <v>1326250</v>
      </c>
      <c r="CQ57" s="83">
        <f t="shared" si="249"/>
        <v>62802</v>
      </c>
      <c r="CR57" s="83"/>
      <c r="CS57" s="83">
        <f t="shared" si="250"/>
        <v>15317</v>
      </c>
      <c r="CT57" s="83"/>
      <c r="CU57" s="83">
        <f t="shared" si="251"/>
        <v>13753</v>
      </c>
      <c r="CV57" s="83"/>
      <c r="CW57" s="83">
        <f t="shared" ca="1" si="252"/>
        <v>268909298.71335536</v>
      </c>
      <c r="CY57" s="83">
        <f t="shared" ca="1" si="253"/>
        <v>1734499277.9797924</v>
      </c>
      <c r="CZ57" s="70" t="str">
        <f t="shared" ca="1" si="297"/>
        <v/>
      </c>
      <c r="DA57" s="83">
        <f>IF(RTD("tos.rtd",,DA$43,"."&amp;$A$43&amp;$AS$42&amp;"C"&amp;$A57)="N/A",0,RTD("tos.rtd",,DA$43,"."&amp;$A$43&amp;$AS$42&amp;"C"&amp;$A57))</f>
        <v>0.01</v>
      </c>
      <c r="DB57" s="83">
        <f>IF(RTD("tos.rtd",,DB$43,"."&amp;$A$43&amp;$AS$42&amp;"P"&amp;$A57)="N/A",0,RTD("tos.rtd",,DB$43,"."&amp;$A$43&amp;$AS$42&amp;"P"&amp;$A57))</f>
        <v>2.3199999999999998</v>
      </c>
      <c r="DC57" s="83">
        <f>IF(RTD("tos.rtd",,DC$43,"."&amp;$A$43&amp;$AS$42&amp;"C"&amp;$A57)="N/A",0,RTD("tos.rtd",,DC$43,"."&amp;$A$43&amp;$AS$42&amp;"C"&amp;$A57))</f>
        <v>0.01</v>
      </c>
      <c r="DD57" s="83">
        <f>IF(RTD("tos.rtd",,DD$43,"."&amp;$A$43&amp;$AS$42&amp;"P"&amp;$A57)="N/A",0,RTD("tos.rtd",,DD$43,"."&amp;$A$43&amp;$AS$42&amp;"P"&amp;$A57))</f>
        <v>2.6</v>
      </c>
      <c r="DE57" s="83">
        <f>IF(RTD("tos.rtd",,DE$43,"."&amp;$A$43&amp;$AS$42&amp;"C"&amp;$A57)="N/A",0,RTD("tos.rtd",,DE$43,"."&amp;$A$43&amp;$AS$42&amp;"C"&amp;$A57))</f>
        <v>0</v>
      </c>
      <c r="DF57" s="83">
        <f>IF(RTD("tos.rtd",,DF$43,"."&amp;$A$43&amp;$AS$42&amp;"P"&amp;$A57)="N/A",0,RTD("tos.rtd",,DF$43,"."&amp;$A$43&amp;$AS$42&amp;"P"&amp;$A57))</f>
        <v>2.31</v>
      </c>
      <c r="DG57" s="86">
        <f t="shared" si="289"/>
        <v>2.339999999999975</v>
      </c>
      <c r="DH57" s="83">
        <f t="shared" si="254"/>
        <v>245</v>
      </c>
      <c r="DI57" s="83">
        <f t="shared" si="255"/>
        <v>0</v>
      </c>
      <c r="DJ57" s="83">
        <f t="shared" si="256"/>
        <v>245</v>
      </c>
      <c r="DK57" s="83">
        <f t="shared" si="257"/>
        <v>0</v>
      </c>
      <c r="DL57" s="83">
        <f t="shared" si="258"/>
        <v>245</v>
      </c>
      <c r="DM57" s="83">
        <f t="shared" si="259"/>
        <v>245</v>
      </c>
      <c r="DN57" s="64" t="str">
        <f t="shared" si="260"/>
        <v>BUY</v>
      </c>
      <c r="DO57" s="64" t="str">
        <f t="shared" si="261"/>
        <v>UNKNOWN</v>
      </c>
      <c r="DP57" s="83">
        <f t="shared" si="262"/>
        <v>2.4500000000000002</v>
      </c>
      <c r="DQ57" s="83">
        <f t="shared" si="263"/>
        <v>2.4500000000000002</v>
      </c>
      <c r="DR57" s="83">
        <f t="shared" ca="1" si="264"/>
        <v>22.921679469543619</v>
      </c>
      <c r="DS57" s="83">
        <f t="shared" si="265"/>
        <v>2.4500000000000002</v>
      </c>
      <c r="DT57" s="83">
        <f t="shared" si="290"/>
        <v>245</v>
      </c>
      <c r="DU57" s="83">
        <f t="shared" si="291"/>
        <v>0</v>
      </c>
      <c r="DV57" s="83">
        <f t="shared" si="266"/>
        <v>3637</v>
      </c>
      <c r="DW57" s="83">
        <f t="shared" si="267"/>
        <v>133</v>
      </c>
      <c r="DX57" s="83">
        <f t="shared" ref="DX57:DX64" ca="1" si="365">(EXP(-POWER((LN($A$44/$A57)+($EC$1+POWER($EE57,2)/2)*($EM$1/$DY$1))/($EE57*SQRT($EM$1/$DY$1)),2)/2)/SQRT(2*PI())/($A$44*$EE57*SQRT($EM$1/$DY$1)))</f>
        <v>9.3557875385892317E-2</v>
      </c>
      <c r="DY57" s="83">
        <f t="shared" ref="DY57:DY64" ca="1" si="366">-(EXP(-POWER((LN($A$44/$A57)+($EC$1+POWER($EF57,2)/2)*($EM$1/$DY$1))/($EF57*SQRT($EM$1/$DY$1)),2)/2)/SQRT(2*PI())/($A$44*$EF57*SQRT($EM$1/$DY$1)))</f>
        <v>-9.4835859489131411E-2</v>
      </c>
      <c r="DZ57" s="83">
        <f t="shared" ref="DZ57:DZ64" ca="1" si="367">(EXP(-POWER((LN($A$44/$A57)+($EC$1+POWER($EG57,2)/2)*($EO$1/$DY$1))/($EG57*SQRT($EO$1/$DY$1)),2)/2)/SQRT(2*PI())/($A$44*$EG57*SQRT($EO$1/$DY$1)))</f>
        <v>2.7629473790755654E-2</v>
      </c>
      <c r="EA57" s="83">
        <f t="shared" ref="EA57:EA64" ca="1" si="368">-(EXP(-POWER((LN($A$44/$A57)+($EC$1+POWER($EH57,2)/2)*($EO$1/$DY$1))/($EH57*SQRT($EO$1/$DY$1)),2)/2)/SQRT(2*PI())/($A$44*$EH57*SQRT($EO$1/$DY$1)))</f>
        <v>-2.7558517774563269E-2</v>
      </c>
      <c r="EB57" s="83">
        <f t="shared" ref="EB57:EB64" ca="1" si="369">(EXP(-POWER((LN($A$44/$A57)+($EC$1+POWER($EI57,2)/2)*($EO$1/$DY$1))/($EI57*SQRT($EO$1/$DY$1)),2)/2)/SQRT(2*PI())/($A$44*$EI57*SQRT($EO$1/$DY$1)))</f>
        <v>3.1876458302416789E-2</v>
      </c>
      <c r="EC57" s="83">
        <f t="shared" ref="EC57:EC64" ca="1" si="370">-(EXP(-POWER((LN($A$44/$A57)+($EC$1+POWER($EJ57,2)/2)*($EO$1/$DY$1))/($EJ57*SQRT($EO$1/$DY$1)),2)/2)/SQRT(2*PI())/($A$44*$EJ57*SQRT($EO$1/$DY$1)))</f>
        <v>-3.2290534603676736E-2</v>
      </c>
      <c r="ED57" s="63">
        <f t="shared" si="292"/>
        <v>3770</v>
      </c>
      <c r="EE57" s="84">
        <f t="shared" si="268"/>
        <v>0.2752</v>
      </c>
      <c r="EF57" s="84">
        <f t="shared" si="269"/>
        <v>0.51790000000000003</v>
      </c>
      <c r="EG57" s="84">
        <f t="shared" si="270"/>
        <v>0.22850000000000001</v>
      </c>
      <c r="EH57" s="84">
        <f t="shared" si="271"/>
        <v>0.2291</v>
      </c>
      <c r="EI57" s="84">
        <f t="shared" si="272"/>
        <v>0.19739999999999999</v>
      </c>
      <c r="EJ57" s="84">
        <f t="shared" si="273"/>
        <v>0.1948</v>
      </c>
      <c r="EK57" s="63">
        <f t="shared" ca="1" si="293"/>
        <v>84443282.595072865</v>
      </c>
      <c r="EL57" s="83" t="str">
        <f>RTD("tos.rtd",,EL$43,"."&amp;$A$43&amp;$AS$42&amp;"C"&amp;$A57)</f>
        <v>27.52%</v>
      </c>
      <c r="EM57" s="83" t="str">
        <f>RTD("tos.rtd",,EM$43,"."&amp;$A$43&amp;$AS$42&amp;"P"&amp;$A57)</f>
        <v>51.79%</v>
      </c>
      <c r="EN57" s="83" t="str">
        <f>RTD("tos.rtd",,EN$2,"."&amp;$A$43&amp;$AU$1&amp;"C"&amp;$A57)</f>
        <v>22.85%</v>
      </c>
      <c r="EO57" s="83" t="str">
        <f>RTD("tos.rtd",,EO$2,"."&amp;$A$43&amp;$AU$1&amp;"P"&amp;$A57)</f>
        <v>22.91%</v>
      </c>
      <c r="EP57" s="83" t="str">
        <f>RTD("tos.rtd",,EP$2,"."&amp;$A$43&amp;$AW$1&amp;"C"&amp;$A57)</f>
        <v>19.74%</v>
      </c>
      <c r="EQ57" s="83" t="str">
        <f>RTD("tos.rtd",,EQ$2,"."&amp;$A$43&amp;$AW$1&amp;"P"&amp;$A57)</f>
        <v>19.48%</v>
      </c>
      <c r="ES57" s="63" t="str">
        <f t="shared" si="274"/>
        <v>510,3770.00</v>
      </c>
      <c r="ET57" s="63" t="str">
        <f t="shared" ca="1" si="275"/>
        <v>510,1734499.28</v>
      </c>
      <c r="EU57" s="68">
        <v>564.79999999999995</v>
      </c>
      <c r="EV57" s="68" t="s">
        <v>475</v>
      </c>
      <c r="EW57" s="68">
        <v>487.92</v>
      </c>
      <c r="EX57" s="68" t="s">
        <v>476</v>
      </c>
      <c r="EY57" s="68">
        <v>5659.91</v>
      </c>
      <c r="EZ57" s="68" t="s">
        <v>477</v>
      </c>
      <c r="FA57" s="68">
        <v>20061.449000000001</v>
      </c>
      <c r="FB57" s="68" t="s">
        <v>478</v>
      </c>
      <c r="FC57" s="68" t="s">
        <v>479</v>
      </c>
      <c r="FD57" s="68" t="s">
        <v>480</v>
      </c>
      <c r="FE57" s="68" t="s">
        <v>481</v>
      </c>
      <c r="FF57" s="68" t="s">
        <v>482</v>
      </c>
    </row>
    <row r="58" spans="1:162" ht="13.5" thickBot="1" x14ac:dyDescent="0.25">
      <c r="A58" s="2">
        <f t="shared" si="294"/>
        <v>509</v>
      </c>
      <c r="B58" s="3">
        <f t="shared" si="241"/>
        <v>392</v>
      </c>
      <c r="C58" s="3">
        <f t="shared" si="242"/>
        <v>6</v>
      </c>
      <c r="D58" s="3">
        <f t="shared" si="243"/>
        <v>0</v>
      </c>
      <c r="E58" s="3">
        <f t="shared" si="244"/>
        <v>398</v>
      </c>
      <c r="F58" s="4">
        <f t="shared" si="298"/>
        <v>20999.032324784304</v>
      </c>
      <c r="AM58" s="1">
        <v>1617</v>
      </c>
      <c r="AN58" s="1">
        <v>-669</v>
      </c>
      <c r="AO58" s="1">
        <v>509</v>
      </c>
      <c r="AP58" s="1">
        <v>52079</v>
      </c>
      <c r="AQ58" s="1">
        <v>-8509</v>
      </c>
      <c r="AS58" s="6">
        <f>IF(RTD("tos.rtd",,AS$43,"."&amp;$A$43&amp;$AS$42&amp;"C"&amp;$A58)="N/A",0,RTD("tos.rtd",,AS$43,"."&amp;$A$43&amp;$AS$42&amp;"C"&amp;$A58))</f>
        <v>392</v>
      </c>
      <c r="AT58" s="7">
        <f>-IF(RTD("tos.rtd",,AT$43,"."&amp;$A$43&amp;$AS$42&amp;"P"&amp;$A58)="N/A",0,RTD("tos.rtd",,AT$43,"."&amp;$A$43&amp;$AS$42&amp;"P"&amp;$A58))</f>
        <v>0</v>
      </c>
      <c r="AU58" s="6">
        <v>1</v>
      </c>
      <c r="AV58" s="7">
        <f>-IF(RTD("tos.rtd",,AV$2,"."&amp;$A$43&amp;$AU$1&amp;"P"&amp;$A58)="N/A",0,RTD("tos.rtd",,AV$2,"."&amp;$A$43&amp;$AU$1&amp;"P"&amp;$A58))</f>
        <v>-5</v>
      </c>
      <c r="AW58" s="6">
        <f>IF(RTD("tos.rtd",,AW$2,"."&amp;$A$43&amp;$AW$1&amp;"C"&amp;$A58)="N/A",0,RTD("tos.rtd",,AW$2,"."&amp;$A$43&amp;$AW$1&amp;"C"&amp;$A58))</f>
        <v>0</v>
      </c>
      <c r="AX58" s="7">
        <f>-IF(RTD("tos.rtd",,AX$2,"."&amp;$A$43&amp;$AW$1&amp;"P"&amp;$A58)="N/A",0,RTD("tos.rtd",,AX$2,"."&amp;$A$43&amp;$AW$1&amp;"P"&amp;$A58))</f>
        <v>0</v>
      </c>
      <c r="AY58" s="7">
        <f t="shared" si="276"/>
        <v>388</v>
      </c>
      <c r="AZ58" s="8">
        <f t="shared" si="245"/>
        <v>509</v>
      </c>
      <c r="BA58" s="6">
        <f>IF(RTD("tos.rtd",,BA$43,"."&amp;$A$43&amp;$AS$42&amp;"C"&amp;$A58)="N/A",0,RTD("tos.rtd",,BA$43,"."&amp;$A$43&amp;$AS$42&amp;"C"&amp;$A58))</f>
        <v>52721</v>
      </c>
      <c r="BB58" s="7">
        <f>-IF(RTD("tos.rtd",,BB$43,"."&amp;$A$43&amp;$AS$42&amp;"P"&amp;$A58)="N/A",0,RTD("tos.rtd",,BB$43,"."&amp;$A$43&amp;$AS$42&amp;"P"&amp;$A58))</f>
        <v>-8510</v>
      </c>
      <c r="BC58" s="6">
        <f>IF(RTD("tos.rtd",,BC$2,"."&amp;$A$43&amp;$AU$1&amp;"C"&amp;$A58)="N/A",0,RTD("tos.rtd",,BC$2,"."&amp;$A$43&amp;$AU$1&amp;"C"&amp;$A58))</f>
        <v>2069</v>
      </c>
      <c r="BD58" s="7">
        <f>-IF(RTD("tos.rtd",,BD$2,"."&amp;$A$43&amp;$AU$1&amp;"P"&amp;$A58)="N/A",0,RTD("tos.rtd",,BD$2,"."&amp;$A$43&amp;$AU$1&amp;"P"&amp;$A58))</f>
        <v>-538</v>
      </c>
      <c r="BE58" s="6">
        <f>IF(RTD("tos.rtd",,BE$2,"."&amp;$A$43&amp;$AW$1&amp;"C"&amp;$A58)="N/A",0,RTD("tos.rtd",,BE$2,"."&amp;$A$43&amp;$AW$1&amp;"C"&amp;$A58))</f>
        <v>0</v>
      </c>
      <c r="BF58" s="7">
        <f>-IF(RTD("tos.rtd",,BF$2,"."&amp;$A$43&amp;$AW$1&amp;"P"&amp;$A58)="N/A",0,RTD("tos.rtd",,BF$2,"."&amp;$A$43&amp;$AW$1&amp;"P"&amp;$A58))</f>
        <v>0</v>
      </c>
      <c r="BG58" s="32">
        <f ca="1">+Hoja2!Y59</f>
        <v>361</v>
      </c>
      <c r="BH58" s="7">
        <f t="shared" ca="1" si="277"/>
        <v>46103</v>
      </c>
      <c r="BI58" s="8" t="str">
        <f t="shared" ca="1" si="295"/>
        <v/>
      </c>
      <c r="BJ58" s="83">
        <f ca="1">IF($BP$1=1,DX58,IF(RTD("tos.rtd",,BJ$43,"."&amp;$A$43&amp;$AS$42&amp;"C"&amp;$A58)="N/A",0,RTD("tos.rtd",,BJ$43,"."&amp;$A$43&amp;$AS$42&amp;"C"&amp;$A58)))</f>
        <v>0.17222865638247792</v>
      </c>
      <c r="BK58" s="83">
        <f ca="1">IF($BP$1=1,DY58,-IF(RTD("tos.rtd",,BK$43,"."&amp;$A$43&amp;$AS$42&amp;"P"&amp;$A58)="N/A",0,RTD("tos.rtd",,BK$43,"."&amp;$A$43&amp;$AS$42&amp;"P"&amp;$A58)))</f>
        <v>-0.1554162581177381</v>
      </c>
      <c r="BL58" s="83">
        <f ca="1">IF($BP$1=1,DZ58,IF(RTD("tos.rtd",,BL$2,"."&amp;$A$43&amp;$AU$1&amp;"C"&amp;$A58)="N/A",0,RTD("tos.rtd",,BL$2,"."&amp;$A$43&amp;$AU$1&amp;"C"&amp;$A58)))</f>
        <v>2.77693985208236E-2</v>
      </c>
      <c r="BM58" s="83">
        <f ca="1">IF($BP$1=1,EA58,-IF(RTD("tos.rtd",,BM$2,"."&amp;$A$43&amp;$AU$1&amp;"P"&amp;$A58)="N/A",0,RTD("tos.rtd",,BM$2,"."&amp;$A$43&amp;$AU$1&amp;"P"&amp;$A58)))</f>
        <v>-2.754177630151302E-2</v>
      </c>
      <c r="BN58" s="83">
        <f ca="1">IF($BP$1=1,EB58,IF(RTD("tos.rtd",,BN$2,"."&amp;$A$43&amp;$AW$1&amp;"C"&amp;$A58)="N/A",0,RTD("tos.rtd",,BN$2,"."&amp;$A$43&amp;$AW$1&amp;"C"&amp;$A58)))</f>
        <v>2.5424359616728617E-2</v>
      </c>
      <c r="BO58" s="83">
        <f ca="1">IF($BP$1=1,EC58,-IF(RTD("tos.rtd",,BO$2,"."&amp;$A$43&amp;$AW$1&amp;"P"&amp;$A58)="N/A",0,RTD("tos.rtd",,BO$2,"."&amp;$A$43&amp;$AW$1&amp;"P"&amp;$A58)))</f>
        <v>-2.5424359616728617E-2</v>
      </c>
      <c r="BQ58" s="83">
        <f t="shared" ca="1" si="278"/>
        <v>17399524.159517802</v>
      </c>
      <c r="BR58" s="3" t="str">
        <f t="shared" ca="1" si="279"/>
        <v/>
      </c>
      <c r="BS58" s="83">
        <f t="shared" ca="1" si="280"/>
        <v>-28333.457951491753</v>
      </c>
      <c r="BT58" s="3" t="str">
        <f t="shared" ca="1" si="281"/>
        <v>Cruce -</v>
      </c>
      <c r="BU58" s="83">
        <f t="shared" ca="1" si="282"/>
        <v>0</v>
      </c>
      <c r="BV58" s="83"/>
      <c r="BX58" s="83">
        <f t="shared" ca="1" si="283"/>
        <v>1999246089.3344908</v>
      </c>
      <c r="BY58" s="83" t="str">
        <f t="shared" ca="1" si="296"/>
        <v/>
      </c>
      <c r="BZ58" s="83">
        <f t="shared" ca="1" si="284"/>
        <v>10988456.807702785</v>
      </c>
      <c r="CA58" s="83" t="str">
        <f t="shared" ca="1" si="296"/>
        <v/>
      </c>
      <c r="CB58" s="83">
        <f t="shared" ca="1" si="285"/>
        <v>0</v>
      </c>
      <c r="CC58" s="83" t="str">
        <f t="shared" ca="1" si="296"/>
        <v/>
      </c>
      <c r="CD58" s="83">
        <f>IF(RTD("tos.rtd",,CD$43,"."&amp;$A$43&amp;$AS$42&amp;"C"&amp;$A58)="N/A",0,RTD("tos.rtd",,CD$43,"."&amp;$A$43&amp;$AS$42&amp;"C"&amp;$A58))</f>
        <v>0.02</v>
      </c>
      <c r="CE58" s="83">
        <f>-IF(RTD("tos.rtd",,CE$43,"."&amp;$A$43&amp;$AS$42&amp;"P"&amp;$A58)="N/A",0,RTD("tos.rtd",,CE$43,"."&amp;$A$43&amp;$AS$42&amp;"P"&amp;$A58))</f>
        <v>0.85</v>
      </c>
      <c r="CF58" s="83">
        <f>IF(RTD("tos.rtd",,CF$2,"."&amp;$A$43&amp;$AU$1&amp;"C"&amp;$A58)="N/A",0,RTD("tos.rtd",,CF$2,"."&amp;$A$43&amp;$AU$1&amp;"C"&amp;$A58))</f>
        <v>0.47</v>
      </c>
      <c r="CG58" s="83">
        <f>-IF(RTD("tos.rtd",,CG$2,"."&amp;$A$43&amp;$AU$1&amp;"P"&amp;$A58)="N/A",0,RTD("tos.rtd",,CG$2,"."&amp;$A$43&amp;$AU$1&amp;"P"&amp;$A58))</f>
        <v>0.53</v>
      </c>
      <c r="CH58" s="83">
        <f>IF(RTD("tos.rtd",,CH$2,"."&amp;$A$43&amp;$AW$1&amp;"C"&amp;$A58)="N/A",0,RTD("tos.rtd",,CH$2,"."&amp;$A$43&amp;$AW$1&amp;"C"&amp;$A58))</f>
        <v>0</v>
      </c>
      <c r="CI58" s="83">
        <f>-IF(RTD("tos.rtd",,CI$2,"."&amp;$A$43&amp;$AW$1&amp;"P"&amp;$A58)="N/A",0,RTD("tos.rtd",,CI$2,"."&amp;$A$43&amp;$AW$1&amp;"P"&amp;$A58))</f>
        <v>0</v>
      </c>
      <c r="CK58" s="83">
        <f t="shared" si="286"/>
        <v>784</v>
      </c>
      <c r="CL58" s="83"/>
      <c r="CM58" s="83">
        <f t="shared" si="287"/>
        <v>-218.00000000000006</v>
      </c>
      <c r="CN58" s="83"/>
      <c r="CO58" s="83">
        <f t="shared" si="288"/>
        <v>0</v>
      </c>
      <c r="CP58" s="83">
        <f t="shared" si="235"/>
        <v>566</v>
      </c>
      <c r="CQ58" s="83">
        <f t="shared" si="249"/>
        <v>44211</v>
      </c>
      <c r="CR58" s="83"/>
      <c r="CS58" s="83">
        <f t="shared" si="250"/>
        <v>1531</v>
      </c>
      <c r="CT58" s="83"/>
      <c r="CU58" s="83">
        <f t="shared" si="251"/>
        <v>0</v>
      </c>
      <c r="CV58" s="83"/>
      <c r="CW58" s="83">
        <f t="shared" ca="1" si="252"/>
        <v>17371190.701566309</v>
      </c>
      <c r="CY58" s="83">
        <f t="shared" ca="1" si="253"/>
        <v>2010234546.1421936</v>
      </c>
      <c r="CZ58" s="70" t="str">
        <f t="shared" ca="1" si="297"/>
        <v/>
      </c>
      <c r="DA58" s="83">
        <f>IF(RTD("tos.rtd",,DA$43,"."&amp;$A$43&amp;$AS$42&amp;"C"&amp;$A58)="N/A",0,RTD("tos.rtd",,DA$43,"."&amp;$A$43&amp;$AS$42&amp;"C"&amp;$A58))</f>
        <v>0.01</v>
      </c>
      <c r="DB58" s="83">
        <f>IF(RTD("tos.rtd",,DB$43,"."&amp;$A$43&amp;$AS$42&amp;"P"&amp;$A58)="N/A",0,RTD("tos.rtd",,DB$43,"."&amp;$A$43&amp;$AS$42&amp;"P"&amp;$A58))</f>
        <v>1.32</v>
      </c>
      <c r="DC58" s="83">
        <f>IF(RTD("tos.rtd",,DC$43,"."&amp;$A$43&amp;$AS$42&amp;"C"&amp;$A58)="N/A",0,RTD("tos.rtd",,DC$43,"."&amp;$A$43&amp;$AS$42&amp;"C"&amp;$A58))</f>
        <v>0.01</v>
      </c>
      <c r="DD58" s="83">
        <f>IF(RTD("tos.rtd",,DD$43,"."&amp;$A$43&amp;$AS$42&amp;"P"&amp;$A58)="N/A",0,RTD("tos.rtd",,DD$43,"."&amp;$A$43&amp;$AS$42&amp;"P"&amp;$A58))</f>
        <v>1.56</v>
      </c>
      <c r="DE58" s="83">
        <f>IF(RTD("tos.rtd",,DE$43,"."&amp;$A$43&amp;$AS$42&amp;"C"&amp;$A58)="N/A",0,RTD("tos.rtd",,DE$43,"."&amp;$A$43&amp;$AS$42&amp;"C"&amp;$A58))</f>
        <v>0</v>
      </c>
      <c r="DF58" s="83">
        <f>IF(RTD("tos.rtd",,DF$43,"."&amp;$A$43&amp;$AS$42&amp;"P"&amp;$A58)="N/A",0,RTD("tos.rtd",,DF$43,"."&amp;$A$43&amp;$AS$42&amp;"P"&amp;$A58))</f>
        <v>1.31</v>
      </c>
      <c r="DG58" s="86">
        <f t="shared" si="289"/>
        <v>1.339999999999975</v>
      </c>
      <c r="DH58" s="83">
        <f t="shared" si="254"/>
        <v>642</v>
      </c>
      <c r="DI58" s="83">
        <f t="shared" si="255"/>
        <v>-4.0000000000000036E-2</v>
      </c>
      <c r="DJ58" s="83">
        <f t="shared" si="256"/>
        <v>642</v>
      </c>
      <c r="DK58" s="83">
        <f t="shared" si="257"/>
        <v>1</v>
      </c>
      <c r="DL58" s="83">
        <f t="shared" si="258"/>
        <v>641.96</v>
      </c>
      <c r="DM58" s="83">
        <f t="shared" si="259"/>
        <v>643</v>
      </c>
      <c r="DN58" s="64" t="str">
        <f t="shared" si="260"/>
        <v>BUY</v>
      </c>
      <c r="DO58" s="64" t="str">
        <f t="shared" si="261"/>
        <v>SELL</v>
      </c>
      <c r="DP58" s="83">
        <f t="shared" si="262"/>
        <v>6.3671999999999995</v>
      </c>
      <c r="DQ58" s="83">
        <f t="shared" si="263"/>
        <v>7.74</v>
      </c>
      <c r="DR58" s="83">
        <f t="shared" ca="1" si="264"/>
        <v>110.41538113943308</v>
      </c>
      <c r="DS58" s="83">
        <f t="shared" si="265"/>
        <v>13.69</v>
      </c>
      <c r="DT58" s="83">
        <f t="shared" si="290"/>
        <v>642</v>
      </c>
      <c r="DU58" s="83">
        <f t="shared" si="291"/>
        <v>-1</v>
      </c>
      <c r="DV58" s="83">
        <f t="shared" si="266"/>
        <v>2259</v>
      </c>
      <c r="DW58" s="83">
        <f t="shared" si="267"/>
        <v>-668</v>
      </c>
      <c r="DX58" s="83">
        <f t="shared" ca="1" si="365"/>
        <v>0.17222865638247792</v>
      </c>
      <c r="DY58" s="83">
        <f t="shared" ca="1" si="366"/>
        <v>-0.1554162581177381</v>
      </c>
      <c r="DZ58" s="83">
        <f t="shared" ca="1" si="367"/>
        <v>2.77693985208236E-2</v>
      </c>
      <c r="EA58" s="83">
        <f t="shared" ca="1" si="368"/>
        <v>-2.754177630151302E-2</v>
      </c>
      <c r="EB58" s="83">
        <f t="shared" ca="1" si="369"/>
        <v>2.5424359616728617E-2</v>
      </c>
      <c r="EC58" s="83">
        <f t="shared" ca="1" si="370"/>
        <v>-2.5424359616728617E-2</v>
      </c>
      <c r="ED58" s="63">
        <f t="shared" si="292"/>
        <v>1591</v>
      </c>
      <c r="EE58" s="84">
        <f t="shared" si="268"/>
        <v>0.1709</v>
      </c>
      <c r="EF58" s="84">
        <f t="shared" si="269"/>
        <v>0.33260000000000001</v>
      </c>
      <c r="EG58" s="84">
        <f t="shared" si="270"/>
        <v>0.2288</v>
      </c>
      <c r="EH58" s="84">
        <f t="shared" si="271"/>
        <v>0.23069999999999999</v>
      </c>
      <c r="EI58" s="84">
        <f t="shared" si="272"/>
        <v>0.25</v>
      </c>
      <c r="EJ58" s="84">
        <f t="shared" si="273"/>
        <v>0.25</v>
      </c>
      <c r="EK58" s="63">
        <f t="shared" ca="1" si="293"/>
        <v>127025049.65882955</v>
      </c>
      <c r="EL58" s="83" t="str">
        <f>RTD("tos.rtd",,EL$43,"."&amp;$A$43&amp;$AS$42&amp;"C"&amp;$A58)</f>
        <v>17.09%</v>
      </c>
      <c r="EM58" s="83" t="str">
        <f>RTD("tos.rtd",,EM$43,"."&amp;$A$43&amp;$AS$42&amp;"P"&amp;$A58)</f>
        <v>33.26%</v>
      </c>
      <c r="EN58" s="83" t="str">
        <f>RTD("tos.rtd",,EN$2,"."&amp;$A$43&amp;$AU$1&amp;"C"&amp;$A58)</f>
        <v>22.88%</v>
      </c>
      <c r="EO58" s="83" t="str">
        <f>RTD("tos.rtd",,EO$2,"."&amp;$A$43&amp;$AU$1&amp;"P"&amp;$A58)</f>
        <v>23.07%</v>
      </c>
      <c r="EP58" s="83" t="str">
        <f>RTD("tos.rtd",,EP$2,"."&amp;$A$43&amp;$AW$1&amp;"C"&amp;$A58)</f>
        <v>N/A</v>
      </c>
      <c r="EQ58" s="83" t="str">
        <f>RTD("tos.rtd",,EQ$2,"."&amp;$A$43&amp;$AW$1&amp;"P"&amp;$A58)</f>
        <v>N/A</v>
      </c>
      <c r="ES58" s="63" t="str">
        <f t="shared" si="274"/>
        <v>509,1591.00</v>
      </c>
      <c r="ET58" s="63" t="str">
        <f t="shared" ca="1" si="275"/>
        <v>509,2010234.55</v>
      </c>
      <c r="EU58" s="68">
        <v>564.79999999999995</v>
      </c>
      <c r="EV58" s="68" t="s">
        <v>483</v>
      </c>
      <c r="EW58" s="68">
        <v>487.92</v>
      </c>
      <c r="EX58" s="68" t="s">
        <v>484</v>
      </c>
      <c r="EY58" s="68">
        <v>5659.91</v>
      </c>
      <c r="EZ58" s="68" t="s">
        <v>485</v>
      </c>
      <c r="FA58" s="68">
        <v>20061.449000000001</v>
      </c>
      <c r="FB58" s="68" t="s">
        <v>486</v>
      </c>
      <c r="FC58" s="68" t="s">
        <v>487</v>
      </c>
      <c r="FD58" s="68" t="s">
        <v>488</v>
      </c>
      <c r="FE58" s="68" t="s">
        <v>489</v>
      </c>
      <c r="FF58" s="68" t="s">
        <v>490</v>
      </c>
    </row>
    <row r="59" spans="1:162" ht="13.5" thickBot="1" x14ac:dyDescent="0.25">
      <c r="A59" s="2">
        <f t="shared" si="294"/>
        <v>508</v>
      </c>
      <c r="B59" s="3">
        <f t="shared" si="241"/>
        <v>449</v>
      </c>
      <c r="C59" s="3">
        <f t="shared" si="242"/>
        <v>3777</v>
      </c>
      <c r="D59" s="3">
        <f t="shared" si="243"/>
        <v>0</v>
      </c>
      <c r="E59" s="3">
        <f>SUM(B59:D59)</f>
        <v>4226</v>
      </c>
      <c r="F59" s="4">
        <f>+$F$44/$A$44*A59</f>
        <v>20957.776858527359</v>
      </c>
      <c r="AM59" s="1">
        <v>22400</v>
      </c>
      <c r="AN59" s="1">
        <v>-380</v>
      </c>
      <c r="AO59" s="1">
        <v>508</v>
      </c>
      <c r="AP59" s="1">
        <v>139198</v>
      </c>
      <c r="AQ59" s="1">
        <v>-26060</v>
      </c>
      <c r="AS59" s="6">
        <f>IF(RTD("tos.rtd",,AS$43,"."&amp;$A$43&amp;$AS$42&amp;"C"&amp;$A59)="N/A",0,RTD("tos.rtd",,AS$43,"."&amp;$A$43&amp;$AS$42&amp;"C"&amp;$A59))</f>
        <v>449</v>
      </c>
      <c r="AT59" s="7">
        <f>-IF(RTD("tos.rtd",,AT$43,"."&amp;$A$43&amp;$AS$42&amp;"P"&amp;$A59)="N/A",0,RTD("tos.rtd",,AT$43,"."&amp;$A$43&amp;$AS$42&amp;"P"&amp;$A59))</f>
        <v>0</v>
      </c>
      <c r="AU59" s="6">
        <f>IF(RTD("tos.rtd",,AU$2,"."&amp;$A$43&amp;$AU$1&amp;"C"&amp;$A59)="N/A",0,RTD("tos.rtd",,AU$2,"."&amp;$A$43&amp;$AU$1&amp;"C"&amp;$A59))</f>
        <v>3767</v>
      </c>
      <c r="AV59" s="7">
        <f>-IF(RTD("tos.rtd",,AV$2,"."&amp;$A$43&amp;$AU$1&amp;"P"&amp;$A59)="N/A",0,RTD("tos.rtd",,AV$2,"."&amp;$A$43&amp;$AU$1&amp;"P"&amp;$A59))</f>
        <v>-10</v>
      </c>
      <c r="AW59" s="6">
        <f>IF(RTD("tos.rtd",,AW$2,"."&amp;$A$43&amp;$AW$1&amp;"C"&amp;$A59)="N/A",0,RTD("tos.rtd",,AW$2,"."&amp;$A$43&amp;$AW$1&amp;"C"&amp;$A59))</f>
        <v>0</v>
      </c>
      <c r="AX59" s="7">
        <f>-IF(RTD("tos.rtd",,AX$2,"."&amp;$A$43&amp;$AW$1&amp;"P"&amp;$A59)="N/A",0,RTD("tos.rtd",,AX$2,"."&amp;$A$43&amp;$AW$1&amp;"P"&amp;$A59))</f>
        <v>0</v>
      </c>
      <c r="AY59" s="7">
        <f>SUM(AS59:AX59)</f>
        <v>4206</v>
      </c>
      <c r="AZ59" s="8">
        <f t="shared" si="245"/>
        <v>508</v>
      </c>
      <c r="BA59" s="6">
        <f>IF(RTD("tos.rtd",,BA$43,"."&amp;$A$43&amp;$AS$42&amp;"C"&amp;$A59)="N/A",0,RTD("tos.rtd",,BA$43,"."&amp;$A$43&amp;$AS$42&amp;"C"&amp;$A59))</f>
        <v>140133</v>
      </c>
      <c r="BB59" s="7">
        <f>-IF(RTD("tos.rtd",,BB$43,"."&amp;$A$43&amp;$AS$42&amp;"P"&amp;$A59)="N/A",0,RTD("tos.rtd",,BB$43,"."&amp;$A$43&amp;$AS$42&amp;"P"&amp;$A59))</f>
        <v>-26599</v>
      </c>
      <c r="BC59" s="6">
        <f>IF(RTD("tos.rtd",,BC$2,"."&amp;$A$43&amp;$AU$1&amp;"C"&amp;$A59)="N/A",0,RTD("tos.rtd",,BC$2,"."&amp;$A$43&amp;$AU$1&amp;"C"&amp;$A59))</f>
        <v>5196</v>
      </c>
      <c r="BD59" s="7">
        <f>-IF(RTD("tos.rtd",,BD$2,"."&amp;$A$43&amp;$AU$1&amp;"P"&amp;$A59)="N/A",0,RTD("tos.rtd",,BD$2,"."&amp;$A$43&amp;$AU$1&amp;"P"&amp;$A59))</f>
        <v>-1800</v>
      </c>
      <c r="BE59" s="6">
        <f>IF(RTD("tos.rtd",,BE$2,"."&amp;$A$43&amp;$AW$1&amp;"C"&amp;$A59)="N/A",0,RTD("tos.rtd",,BE$2,"."&amp;$A$43&amp;$AW$1&amp;"C"&amp;$A59))</f>
        <v>0</v>
      </c>
      <c r="BF59" s="7">
        <f>-IF(RTD("tos.rtd",,BF$2,"."&amp;$A$43&amp;$AW$1&amp;"P"&amp;$A59)="N/A",0,RTD("tos.rtd",,BF$2,"."&amp;$A$43&amp;$AW$1&amp;"P"&amp;$A59))</f>
        <v>0</v>
      </c>
      <c r="BG59" s="32">
        <f ca="1">+Hoja2!Y60</f>
        <v>2011</v>
      </c>
      <c r="BH59" s="7">
        <f t="shared" ca="1" si="277"/>
        <v>118941</v>
      </c>
      <c r="BI59" s="8" t="str">
        <f t="shared" ca="1" si="295"/>
        <v/>
      </c>
      <c r="BJ59" s="83">
        <f ca="1">IF($BP$1=1,DX59,IF(RTD("tos.rtd",,BJ$43,"."&amp;$A$43&amp;$AS$42&amp;"C"&amp;$A59)="N/A",0,RTD("tos.rtd",,BJ$43,"."&amp;$A$43&amp;$AS$42&amp;"C"&amp;$A59)))</f>
        <v>0.44383988687362164</v>
      </c>
      <c r="BK59" s="83">
        <f ca="1">IF($BP$1=1,DY59,-IF(RTD("tos.rtd",,BK$43,"."&amp;$A$43&amp;$AS$42&amp;"P"&amp;$A59)="N/A",0,RTD("tos.rtd",,BK$43,"."&amp;$A$43&amp;$AS$42&amp;"P"&amp;$A59)))</f>
        <v>-0.27719079426945997</v>
      </c>
      <c r="BL59" s="83">
        <f ca="1">IF($BP$1=1,DZ59,IF(RTD("tos.rtd",,BL$2,"."&amp;$A$43&amp;$AU$1&amp;"C"&amp;$A59)="N/A",0,RTD("tos.rtd",,BL$2,"."&amp;$A$43&amp;$AU$1&amp;"C"&amp;$A59)))</f>
        <v>2.7606222070721779E-2</v>
      </c>
      <c r="BM59" s="83">
        <f ca="1">IF($BP$1=1,EA59,-IF(RTD("tos.rtd",,BM$2,"."&amp;$A$43&amp;$AU$1&amp;"P"&amp;$A59)="N/A",0,RTD("tos.rtd",,BM$2,"."&amp;$A$43&amp;$AU$1&amp;"P"&amp;$A59)))</f>
        <v>-2.7522622350025269E-2</v>
      </c>
      <c r="BN59" s="83">
        <f ca="1">IF($BP$1=1,EB59,IF(RTD("tos.rtd",,BN$2,"."&amp;$A$43&amp;$AW$1&amp;"C"&amp;$A59)="N/A",0,RTD("tos.rtd",,BN$2,"."&amp;$A$43&amp;$AW$1&amp;"C"&amp;$A59)))</f>
        <v>2.5452484152687534E-2</v>
      </c>
      <c r="BO59" s="83">
        <f ca="1">IF($BP$1=1,EC59,-IF(RTD("tos.rtd",,BO$2,"."&amp;$A$43&amp;$AW$1&amp;"P"&amp;$A59)="N/A",0,RTD("tos.rtd",,BO$2,"."&amp;$A$43&amp;$AW$1&amp;"P"&amp;$A59)))</f>
        <v>-2.5452484152687534E-2</v>
      </c>
      <c r="BQ59" s="83">
        <f t="shared" ca="1" si="278"/>
        <v>51359236.692762092</v>
      </c>
      <c r="BR59" s="3" t="str">
        <f t="shared" ca="1" si="279"/>
        <v/>
      </c>
      <c r="BS59" s="83">
        <f t="shared" ca="1" si="280"/>
        <v>26729914.138972834</v>
      </c>
      <c r="BT59" s="3" t="str">
        <f t="shared" ca="1" si="281"/>
        <v>Cruce +</v>
      </c>
      <c r="BU59" s="83">
        <f t="shared" ca="1" si="282"/>
        <v>0</v>
      </c>
      <c r="BV59" s="83"/>
      <c r="BX59" s="83">
        <f t="shared" ca="1" si="283"/>
        <v>14129069946.927069</v>
      </c>
      <c r="BY59" s="83" t="str">
        <f t="shared" ca="1" si="296"/>
        <v/>
      </c>
      <c r="BZ59" s="83">
        <f t="shared" ca="1" si="284"/>
        <v>24200095.38808772</v>
      </c>
      <c r="CA59" s="83" t="str">
        <f t="shared" ca="1" si="296"/>
        <v/>
      </c>
      <c r="CB59" s="83">
        <f t="shared" ca="1" si="285"/>
        <v>0</v>
      </c>
      <c r="CC59" s="83" t="str">
        <f t="shared" ca="1" si="296"/>
        <v/>
      </c>
      <c r="CD59" s="83">
        <f>IF(RTD("tos.rtd",,CD$43,"."&amp;$A$43&amp;$AS$42&amp;"C"&amp;$A59)="N/A",0,RTD("tos.rtd",,CD$43,"."&amp;$A$43&amp;$AS$42&amp;"C"&amp;$A59))</f>
        <v>0.25</v>
      </c>
      <c r="CE59" s="83">
        <f>-IF(RTD("tos.rtd",,CE$43,"."&amp;$A$43&amp;$AS$42&amp;"P"&amp;$A59)="N/A",0,RTD("tos.rtd",,CE$43,"."&amp;$A$43&amp;$AS$42&amp;"P"&amp;$A59))</f>
        <v>0.65</v>
      </c>
      <c r="CF59" s="83">
        <f>IF(RTD("tos.rtd",,CF$2,"."&amp;$A$43&amp;$AU$1&amp;"C"&amp;$A59)="N/A",0,RTD("tos.rtd",,CF$2,"."&amp;$A$43&amp;$AU$1&amp;"C"&amp;$A59))</f>
        <v>0.5</v>
      </c>
      <c r="CG59" s="83">
        <f>-IF(RTD("tos.rtd",,CG$2,"."&amp;$A$43&amp;$AU$1&amp;"P"&amp;$A59)="N/A",0,RTD("tos.rtd",,CG$2,"."&amp;$A$43&amp;$AU$1&amp;"P"&amp;$A59))</f>
        <v>0.5</v>
      </c>
      <c r="CH59" s="83">
        <f>IF(RTD("tos.rtd",,CH$2,"."&amp;$A$43&amp;$AW$1&amp;"C"&amp;$A59)="N/A",0,RTD("tos.rtd",,CH$2,"."&amp;$A$43&amp;$AW$1&amp;"C"&amp;$A59))</f>
        <v>0</v>
      </c>
      <c r="CI59" s="83">
        <f>-IF(RTD("tos.rtd",,CI$2,"."&amp;$A$43&amp;$AW$1&amp;"P"&amp;$A59)="N/A",0,RTD("tos.rtd",,CI$2,"."&amp;$A$43&amp;$AW$1&amp;"P"&amp;$A59))</f>
        <v>0</v>
      </c>
      <c r="CK59" s="83">
        <f t="shared" si="286"/>
        <v>11225</v>
      </c>
      <c r="CL59" s="83"/>
      <c r="CM59" s="83">
        <f t="shared" si="287"/>
        <v>187850</v>
      </c>
      <c r="CN59" s="83"/>
      <c r="CO59" s="83">
        <f t="shared" si="288"/>
        <v>0</v>
      </c>
      <c r="CP59" s="83">
        <f t="shared" si="235"/>
        <v>199075</v>
      </c>
      <c r="CQ59" s="83">
        <f t="shared" si="249"/>
        <v>113534</v>
      </c>
      <c r="CR59" s="83"/>
      <c r="CS59" s="83">
        <f t="shared" si="250"/>
        <v>3396</v>
      </c>
      <c r="CT59" s="83"/>
      <c r="CU59" s="83">
        <f t="shared" si="251"/>
        <v>0</v>
      </c>
      <c r="CV59" s="83"/>
      <c r="CW59" s="83">
        <f ca="1">+BQ59+BS59+BU59</f>
        <v>78089150.831734926</v>
      </c>
      <c r="CY59" s="83">
        <f t="shared" ca="1" si="253"/>
        <v>14153270042.315157</v>
      </c>
      <c r="CZ59" s="70" t="str">
        <f t="shared" ca="1" si="297"/>
        <v/>
      </c>
      <c r="DA59" s="83">
        <f>IF(RTD("tos.rtd",,DA$43,"."&amp;$A$43&amp;$AS$42&amp;"C"&amp;$A59)="N/A",0,RTD("tos.rtd",,DA$43,"."&amp;$A$43&amp;$AS$42&amp;"C"&amp;$A59))</f>
        <v>0.1</v>
      </c>
      <c r="DB59" s="83">
        <f>IF(RTD("tos.rtd",,DB$43,"."&amp;$A$43&amp;$AS$42&amp;"P"&amp;$A59)="N/A",0,RTD("tos.rtd",,DB$43,"."&amp;$A$43&amp;$AS$42&amp;"P"&amp;$A59))</f>
        <v>0.48</v>
      </c>
      <c r="DC59" s="83">
        <f>IF(RTD("tos.rtd",,DC$43,"."&amp;$A$43&amp;$AS$42&amp;"C"&amp;$A59)="N/A",0,RTD("tos.rtd",,DC$43,"."&amp;$A$43&amp;$AS$42&amp;"C"&amp;$A59))</f>
        <v>0.09</v>
      </c>
      <c r="DD59" s="83">
        <f>IF(RTD("tos.rtd",,DD$43,"."&amp;$A$43&amp;$AS$42&amp;"P"&amp;$A59)="N/A",0,RTD("tos.rtd",,DD$43,"."&amp;$A$43&amp;$AS$42&amp;"P"&amp;$A59))</f>
        <v>0.59</v>
      </c>
      <c r="DE59" s="83">
        <f>IF(RTD("tos.rtd",,DE$43,"."&amp;$A$43&amp;$AS$42&amp;"C"&amp;$A59)="N/A",0,RTD("tos.rtd",,DE$43,"."&amp;$A$43&amp;$AS$42&amp;"C"&amp;$A59))</f>
        <v>0.06</v>
      </c>
      <c r="DF59" s="83">
        <f>IF(RTD("tos.rtd",,DF$43,"."&amp;$A$43&amp;$AS$42&amp;"P"&amp;$A59)="N/A",0,RTD("tos.rtd",,DF$43,"."&amp;$A$43&amp;$AS$42&amp;"P"&amp;$A59))</f>
        <v>0.48</v>
      </c>
      <c r="DG59" s="86">
        <f t="shared" si="289"/>
        <v>0.33999999999997499</v>
      </c>
      <c r="DH59" s="83">
        <f t="shared" si="254"/>
        <v>1246.666666666667</v>
      </c>
      <c r="DI59" s="83">
        <f t="shared" si="255"/>
        <v>0</v>
      </c>
      <c r="DJ59" s="83">
        <f t="shared" si="256"/>
        <v>935</v>
      </c>
      <c r="DK59" s="83">
        <f t="shared" si="257"/>
        <v>539</v>
      </c>
      <c r="DL59" s="83">
        <f t="shared" si="258"/>
        <v>1246.666666666667</v>
      </c>
      <c r="DM59" s="83">
        <f t="shared" si="259"/>
        <v>1474</v>
      </c>
      <c r="DN59" s="64" t="str">
        <f t="shared" si="260"/>
        <v>BUY</v>
      </c>
      <c r="DO59" s="64" t="str">
        <f t="shared" si="261"/>
        <v>SELL</v>
      </c>
      <c r="DP59" s="83">
        <f t="shared" si="262"/>
        <v>124.6666666666667</v>
      </c>
      <c r="DQ59" s="83">
        <f t="shared" si="263"/>
        <v>352.21999999999997</v>
      </c>
      <c r="DR59" s="83">
        <f t="shared" ca="1" si="264"/>
        <v>265.58445611559728</v>
      </c>
      <c r="DS59" s="83">
        <f t="shared" si="265"/>
        <v>584.1</v>
      </c>
      <c r="DT59" s="83">
        <f t="shared" si="290"/>
        <v>935</v>
      </c>
      <c r="DU59" s="83">
        <f t="shared" si="291"/>
        <v>-539</v>
      </c>
      <c r="DV59" s="83">
        <f t="shared" si="266"/>
        <v>23335</v>
      </c>
      <c r="DW59" s="83">
        <f t="shared" si="267"/>
        <v>159</v>
      </c>
      <c r="DX59" s="83">
        <f t="shared" ca="1" si="365"/>
        <v>0.44383988687362164</v>
      </c>
      <c r="DY59" s="83">
        <f t="shared" ca="1" si="366"/>
        <v>-0.27719079426945997</v>
      </c>
      <c r="DZ59" s="83">
        <f t="shared" ca="1" si="367"/>
        <v>2.7606222070721779E-2</v>
      </c>
      <c r="EA59" s="83">
        <f t="shared" ca="1" si="368"/>
        <v>-2.7522622350025269E-2</v>
      </c>
      <c r="EB59" s="83">
        <f t="shared" ca="1" si="369"/>
        <v>2.5452484152687534E-2</v>
      </c>
      <c r="EC59" s="83">
        <f t="shared" ca="1" si="370"/>
        <v>-2.5452484152687534E-2</v>
      </c>
      <c r="ED59" s="63">
        <f t="shared" si="292"/>
        <v>23494</v>
      </c>
      <c r="EE59" s="84">
        <f t="shared" si="268"/>
        <v>0.13109999999999999</v>
      </c>
      <c r="EF59" s="84">
        <f t="shared" si="269"/>
        <v>0.2215</v>
      </c>
      <c r="EG59" s="84">
        <f t="shared" si="270"/>
        <v>0.23050000000000001</v>
      </c>
      <c r="EH59" s="84">
        <f t="shared" si="271"/>
        <v>0.23119999999999999</v>
      </c>
      <c r="EI59" s="84">
        <f t="shared" si="272"/>
        <v>0.25</v>
      </c>
      <c r="EJ59" s="84">
        <f t="shared" si="273"/>
        <v>0.25</v>
      </c>
      <c r="EK59" s="63">
        <f t="shared" ca="1" si="293"/>
        <v>2657834770.4042888</v>
      </c>
      <c r="EL59" s="83" t="str">
        <f>RTD("tos.rtd",,EL$43,"."&amp;$A$43&amp;$AS$42&amp;"C"&amp;$A59)</f>
        <v>13.11%</v>
      </c>
      <c r="EM59" s="83" t="str">
        <f>RTD("tos.rtd",,EM$43,"."&amp;$A$43&amp;$AS$42&amp;"P"&amp;$A59)</f>
        <v>22.15%</v>
      </c>
      <c r="EN59" s="83" t="str">
        <f>RTD("tos.rtd",,EN$2,"."&amp;$A$43&amp;$AU$1&amp;"C"&amp;$A59)</f>
        <v>23.05%</v>
      </c>
      <c r="EO59" s="83" t="str">
        <f>RTD("tos.rtd",,EO$2,"."&amp;$A$43&amp;$AU$1&amp;"P"&amp;$A59)</f>
        <v>23.12%</v>
      </c>
      <c r="EP59" s="83" t="str">
        <f>RTD("tos.rtd",,EP$2,"."&amp;$A$43&amp;$AW$1&amp;"C"&amp;$A59)</f>
        <v>N/A</v>
      </c>
      <c r="EQ59" s="83" t="str">
        <f>RTD("tos.rtd",,EQ$2,"."&amp;$A$43&amp;$AW$1&amp;"P"&amp;$A59)</f>
        <v>N/A</v>
      </c>
      <c r="ES59" s="63" t="str">
        <f t="shared" si="274"/>
        <v>508,23494.00</v>
      </c>
      <c r="ET59" s="63" t="str">
        <f t="shared" ca="1" si="275"/>
        <v>508,14153270.04</v>
      </c>
      <c r="EU59" s="68">
        <v>570.97</v>
      </c>
      <c r="EV59" s="68" t="s">
        <v>491</v>
      </c>
      <c r="EW59" s="68">
        <v>495.6</v>
      </c>
      <c r="EX59" s="68" t="s">
        <v>492</v>
      </c>
      <c r="EY59" s="68">
        <v>5659.91</v>
      </c>
      <c r="EZ59" s="68" t="s">
        <v>493</v>
      </c>
      <c r="FA59" s="68">
        <v>20061.449000000001</v>
      </c>
      <c r="FB59" s="68" t="s">
        <v>494</v>
      </c>
      <c r="FC59" s="68" t="s">
        <v>495</v>
      </c>
      <c r="FD59" s="68" t="s">
        <v>496</v>
      </c>
      <c r="FE59" s="68" t="s">
        <v>497</v>
      </c>
      <c r="FF59" s="68" t="s">
        <v>498</v>
      </c>
    </row>
    <row r="60" spans="1:162" ht="13.5" thickBot="1" x14ac:dyDescent="0.25">
      <c r="A60" s="2">
        <f t="shared" si="294"/>
        <v>507</v>
      </c>
      <c r="B60" s="3">
        <f t="shared" si="241"/>
        <v>410</v>
      </c>
      <c r="C60" s="3">
        <f t="shared" si="242"/>
        <v>3122</v>
      </c>
      <c r="D60" s="3">
        <f t="shared" si="243"/>
        <v>0</v>
      </c>
      <c r="E60" s="3">
        <f t="shared" si="244"/>
        <v>3532</v>
      </c>
      <c r="F60" s="4">
        <f t="shared" si="298"/>
        <v>20916.521392270417</v>
      </c>
      <c r="AM60" s="1">
        <v>561</v>
      </c>
      <c r="AN60" s="1">
        <v>-1862</v>
      </c>
      <c r="AO60" s="1">
        <v>507</v>
      </c>
      <c r="AP60" s="1">
        <v>163104</v>
      </c>
      <c r="AQ60" s="1">
        <v>-79437</v>
      </c>
      <c r="AS60" s="6">
        <f>IF(RTD("tos.rtd",,AS$43,"."&amp;$A$43&amp;$AS$42&amp;"C"&amp;$A60)="N/A",0,RTD("tos.rtd",,AS$43,"."&amp;$A$43&amp;$AS$42&amp;"C"&amp;$A60))</f>
        <v>409</v>
      </c>
      <c r="AT60" s="7">
        <f>-IF(RTD("tos.rtd",,AT$43,"."&amp;$A$43&amp;$AS$42&amp;"P"&amp;$A60)="N/A",0,RTD("tos.rtd",,AT$43,"."&amp;$A$43&amp;$AS$42&amp;"P"&amp;$A60))</f>
        <v>-1</v>
      </c>
      <c r="AU60" s="6">
        <f>IF(RTD("tos.rtd",,AU$2,"."&amp;$A$43&amp;$AU$1&amp;"C"&amp;$A60)="N/A",0,RTD("tos.rtd",,AU$2,"."&amp;$A$43&amp;$AU$1&amp;"C"&amp;$A60))</f>
        <v>3050</v>
      </c>
      <c r="AV60" s="7">
        <f>-IF(RTD("tos.rtd",,AV$2,"."&amp;$A$43&amp;$AU$1&amp;"P"&amp;$A60)="N/A",0,RTD("tos.rtd",,AV$2,"."&amp;$A$43&amp;$AU$1&amp;"P"&amp;$A60))</f>
        <v>-72</v>
      </c>
      <c r="AW60" s="6">
        <f>IF(RTD("tos.rtd",,AW$2,"."&amp;$A$43&amp;$AW$1&amp;"C"&amp;$A60)="N/A",0,RTD("tos.rtd",,AW$2,"."&amp;$A$43&amp;$AW$1&amp;"C"&amp;$A60))</f>
        <v>0</v>
      </c>
      <c r="AX60" s="7">
        <f>-IF(RTD("tos.rtd",,AX$2,"."&amp;$A$43&amp;$AW$1&amp;"P"&amp;$A60)="N/A",0,RTD("tos.rtd",,AX$2,"."&amp;$A$43&amp;$AW$1&amp;"P"&amp;$A60))</f>
        <v>0</v>
      </c>
      <c r="AY60" s="7">
        <f t="shared" si="276"/>
        <v>3386</v>
      </c>
      <c r="AZ60" s="8">
        <f t="shared" si="245"/>
        <v>507</v>
      </c>
      <c r="BA60" s="6">
        <f>IF(RTD("tos.rtd",,BA$43,"."&amp;$A$43&amp;$AS$42&amp;"C"&amp;$A60)="N/A",0,RTD("tos.rtd",,BA$43,"."&amp;$A$43&amp;$AS$42&amp;"C"&amp;$A60))</f>
        <v>163159</v>
      </c>
      <c r="BB60" s="7">
        <f>-IF(RTD("tos.rtd",,BB$43,"."&amp;$A$43&amp;$AS$42&amp;"P"&amp;$A60)="N/A",0,RTD("tos.rtd",,BB$43,"."&amp;$A$43&amp;$AS$42&amp;"P"&amp;$A60))</f>
        <v>-80266</v>
      </c>
      <c r="BC60" s="6">
        <f>IF(RTD("tos.rtd",,BC$2,"."&amp;$A$43&amp;$AU$1&amp;"C"&amp;$A60)="N/A",0,RTD("tos.rtd",,BC$2,"."&amp;$A$43&amp;$AU$1&amp;"C"&amp;$A60))</f>
        <v>6505</v>
      </c>
      <c r="BD60" s="7">
        <f>-IF(RTD("tos.rtd",,BD$2,"."&amp;$A$43&amp;$AU$1&amp;"P"&amp;$A60)="N/A",0,RTD("tos.rtd",,BD$2,"."&amp;$A$43&amp;$AU$1&amp;"P"&amp;$A60))</f>
        <v>-4569</v>
      </c>
      <c r="BE60" s="6">
        <f>IF(RTD("tos.rtd",,BE$2,"."&amp;$A$43&amp;$AW$1&amp;"C"&amp;$A60)="N/A",0,RTD("tos.rtd",,BE$2,"."&amp;$A$43&amp;$AW$1&amp;"C"&amp;$A60))</f>
        <v>0</v>
      </c>
      <c r="BF60" s="7">
        <f>-IF(RTD("tos.rtd",,BF$2,"."&amp;$A$43&amp;$AW$1&amp;"P"&amp;$A60)="N/A",0,RTD("tos.rtd",,BF$2,"."&amp;$A$43&amp;$AW$1&amp;"P"&amp;$A60))</f>
        <v>0</v>
      </c>
      <c r="BG60" s="32">
        <f ca="1">+Hoja2!Y61</f>
        <v>332</v>
      </c>
      <c r="BH60" s="7">
        <f t="shared" ca="1" si="277"/>
        <v>85161</v>
      </c>
      <c r="BI60" s="8" t="str">
        <f t="shared" ca="1" si="295"/>
        <v/>
      </c>
      <c r="BJ60" s="83">
        <f ca="1">IF($BP$1=1,DX60,IF(RTD("tos.rtd",,BJ$43,"."&amp;$A$43&amp;$AS$42&amp;"C"&amp;$A60)="N/A",0,RTD("tos.rtd",,BJ$43,"."&amp;$A$43&amp;$AS$42&amp;"C"&amp;$A60)))</f>
        <v>0.23119158132911932</v>
      </c>
      <c r="BK60" s="83">
        <f ca="1">IF($BP$1=1,DY60,-IF(RTD("tos.rtd",,BK$43,"."&amp;$A$43&amp;$AS$42&amp;"P"&amp;$A60)="N/A",0,RTD("tos.rtd",,BK$43,"."&amp;$A$43&amp;$AS$42&amp;"P"&amp;$A60)))</f>
        <v>-0.2925536511152142</v>
      </c>
      <c r="BL60" s="83">
        <f ca="1">IF($BP$1=1,DZ60,IF(RTD("tos.rtd",,BL$2,"."&amp;$A$43&amp;$AU$1&amp;"C"&amp;$A60)="N/A",0,RTD("tos.rtd",,BL$2,"."&amp;$A$43&amp;$AU$1&amp;"C"&amp;$A60)))</f>
        <v>2.7326135178321404E-2</v>
      </c>
      <c r="BM60" s="83">
        <f ca="1">IF($BP$1=1,EA60,-IF(RTD("tos.rtd",,BM$2,"."&amp;$A$43&amp;$AU$1&amp;"P"&amp;$A60)="N/A",0,RTD("tos.rtd",,BM$2,"."&amp;$A$43&amp;$AU$1&amp;"P"&amp;$A60)))</f>
        <v>-2.726765112464697E-2</v>
      </c>
      <c r="BN60" s="83">
        <f ca="1">IF($BP$1=1,EB60,IF(RTD("tos.rtd",,BN$2,"."&amp;$A$43&amp;$AW$1&amp;"C"&amp;$A60)="N/A",0,RTD("tos.rtd",,BN$2,"."&amp;$A$43&amp;$AW$1&amp;"C"&amp;$A60)))</f>
        <v>2.5377203468431614E-2</v>
      </c>
      <c r="BO60" s="83">
        <f ca="1">IF($BP$1=1,EC60,-IF(RTD("tos.rtd",,BO$2,"."&amp;$A$43&amp;$AW$1&amp;"P"&amp;$A60)="N/A",0,RTD("tos.rtd",,BO$2,"."&amp;$A$43&amp;$AW$1&amp;"P"&amp;$A60)))</f>
        <v>-2.5377203468431614E-2</v>
      </c>
      <c r="BQ60" s="83">
        <f t="shared" ca="1" si="278"/>
        <v>24293800.213846862</v>
      </c>
      <c r="BR60" s="3" t="str">
        <f t="shared" ca="1" si="279"/>
        <v/>
      </c>
      <c r="BS60" s="83">
        <f t="shared" ca="1" si="280"/>
        <v>20973517.299353052</v>
      </c>
      <c r="BT60" s="3" t="str">
        <f t="shared" ca="1" si="281"/>
        <v/>
      </c>
      <c r="BU60" s="83">
        <f t="shared" ca="1" si="282"/>
        <v>0</v>
      </c>
      <c r="BV60" s="83"/>
      <c r="BX60" s="83">
        <f t="shared" ca="1" si="283"/>
        <v>3669624228.0699806</v>
      </c>
      <c r="BY60" s="83" t="str">
        <f t="shared" ca="1" si="296"/>
        <v/>
      </c>
      <c r="BZ60" s="83">
        <f t="shared" ca="1" si="284"/>
        <v>13703059.537054259</v>
      </c>
      <c r="CA60" s="83" t="str">
        <f t="shared" ca="1" si="296"/>
        <v/>
      </c>
      <c r="CB60" s="83">
        <f t="shared" ca="1" si="285"/>
        <v>0</v>
      </c>
      <c r="CC60" s="83" t="str">
        <f t="shared" ca="1" si="296"/>
        <v/>
      </c>
      <c r="CD60" s="83">
        <f>IF(RTD("tos.rtd",,CD$43,"."&amp;$A$43&amp;$AS$42&amp;"C"&amp;$A60)="N/A",0,RTD("tos.rtd",,CD$43,"."&amp;$A$43&amp;$AS$42&amp;"C"&amp;$A60))</f>
        <v>1</v>
      </c>
      <c r="CE60" s="83">
        <f>-IF(RTD("tos.rtd",,CE$43,"."&amp;$A$43&amp;$AS$42&amp;"P"&amp;$A60)="N/A",0,RTD("tos.rtd",,CE$43,"."&amp;$A$43&amp;$AS$42&amp;"P"&amp;$A60))</f>
        <v>0.17</v>
      </c>
      <c r="CF60" s="83">
        <f>IF(RTD("tos.rtd",,CF$2,"."&amp;$A$43&amp;$AU$1&amp;"C"&amp;$A60)="N/A",0,RTD("tos.rtd",,CF$2,"."&amp;$A$43&amp;$AU$1&amp;"C"&amp;$A60))</f>
        <v>0.53</v>
      </c>
      <c r="CG60" s="83">
        <f>-IF(RTD("tos.rtd",,CG$2,"."&amp;$A$43&amp;$AU$1&amp;"P"&amp;$A60)="N/A",0,RTD("tos.rtd",,CG$2,"."&amp;$A$43&amp;$AU$1&amp;"P"&amp;$A60))</f>
        <v>0.47</v>
      </c>
      <c r="CH60" s="83">
        <f>IF(RTD("tos.rtd",,CH$2,"."&amp;$A$43&amp;$AW$1&amp;"C"&amp;$A60)="N/A",0,RTD("tos.rtd",,CH$2,"."&amp;$A$43&amp;$AW$1&amp;"C"&amp;$A60))</f>
        <v>0</v>
      </c>
      <c r="CI60" s="83">
        <f>-IF(RTD("tos.rtd",,CI$2,"."&amp;$A$43&amp;$AW$1&amp;"P"&amp;$A60)="N/A",0,RTD("tos.rtd",,CI$2,"."&amp;$A$43&amp;$AW$1&amp;"P"&amp;$A60))</f>
        <v>0</v>
      </c>
      <c r="CK60" s="83">
        <f t="shared" si="286"/>
        <v>40883</v>
      </c>
      <c r="CL60" s="83"/>
      <c r="CM60" s="83">
        <f t="shared" si="287"/>
        <v>158266</v>
      </c>
      <c r="CN60" s="83"/>
      <c r="CO60" s="83">
        <f t="shared" si="288"/>
        <v>0</v>
      </c>
      <c r="CP60" s="83">
        <f t="shared" si="235"/>
        <v>199149</v>
      </c>
      <c r="CQ60" s="83">
        <f t="shared" si="249"/>
        <v>82893</v>
      </c>
      <c r="CR60" s="83"/>
      <c r="CS60" s="83">
        <f t="shared" si="250"/>
        <v>1936</v>
      </c>
      <c r="CT60" s="83"/>
      <c r="CU60" s="83">
        <f t="shared" si="251"/>
        <v>0</v>
      </c>
      <c r="CV60" s="83"/>
      <c r="CW60" s="83">
        <f t="shared" ca="1" si="252"/>
        <v>45267317.513199911</v>
      </c>
      <c r="CY60" s="83">
        <f t="shared" ca="1" si="253"/>
        <v>3683327287.6070347</v>
      </c>
      <c r="CZ60" s="70" t="str">
        <f t="shared" ca="1" si="297"/>
        <v/>
      </c>
      <c r="DA60" s="83">
        <f>IF(RTD("tos.rtd",,DA$43,"."&amp;$A$43&amp;$AS$42&amp;"C"&amp;$A60)="N/A",0,RTD("tos.rtd",,DA$43,"."&amp;$A$43&amp;$AS$42&amp;"C"&amp;$A60))</f>
        <v>0.62</v>
      </c>
      <c r="DB60" s="83">
        <f>IF(RTD("tos.rtd",,DB$43,"."&amp;$A$43&amp;$AS$42&amp;"P"&amp;$A60)="N/A",0,RTD("tos.rtd",,DB$43,"."&amp;$A$43&amp;$AS$42&amp;"P"&amp;$A60))</f>
        <v>0.06</v>
      </c>
      <c r="DC60" s="83">
        <f>IF(RTD("tos.rtd",,DC$43,"."&amp;$A$43&amp;$AS$42&amp;"C"&amp;$A60)="N/A",0,RTD("tos.rtd",,DC$43,"."&amp;$A$43&amp;$AS$42&amp;"C"&amp;$A60))</f>
        <v>0.68</v>
      </c>
      <c r="DD60" s="83">
        <f>IF(RTD("tos.rtd",,DD$43,"."&amp;$A$43&amp;$AS$42&amp;"P"&amp;$A60)="N/A",0,RTD("tos.rtd",,DD$43,"."&amp;$A$43&amp;$AS$42&amp;"P"&amp;$A60))</f>
        <v>7.0000000000000007E-2</v>
      </c>
      <c r="DE60" s="83">
        <f>IF(RTD("tos.rtd",,DE$43,"."&amp;$A$43&amp;$AS$42&amp;"C"&amp;$A60)="N/A",0,RTD("tos.rtd",,DE$43,"."&amp;$A$43&amp;$AS$42&amp;"C"&amp;$A60))</f>
        <v>0.6</v>
      </c>
      <c r="DF60" s="83">
        <f>IF(RTD("tos.rtd",,DF$43,"."&amp;$A$43&amp;$AS$42&amp;"P"&amp;$A60)="N/A",0,RTD("tos.rtd",,DF$43,"."&amp;$A$43&amp;$AS$42&amp;"P"&amp;$A60))</f>
        <v>0.06</v>
      </c>
      <c r="DG60" s="86">
        <f t="shared" si="289"/>
        <v>-0.66000000000002501</v>
      </c>
      <c r="DH60" s="83">
        <f t="shared" si="254"/>
        <v>13.75</v>
      </c>
      <c r="DI60" s="83">
        <f t="shared" si="255"/>
        <v>0</v>
      </c>
      <c r="DJ60" s="83">
        <f t="shared" si="256"/>
        <v>-55</v>
      </c>
      <c r="DK60" s="83">
        <f t="shared" si="257"/>
        <v>829</v>
      </c>
      <c r="DL60" s="83">
        <f t="shared" si="258"/>
        <v>13.75</v>
      </c>
      <c r="DM60" s="83">
        <f t="shared" si="259"/>
        <v>774</v>
      </c>
      <c r="DN60" s="64" t="str">
        <f t="shared" si="260"/>
        <v>SELL</v>
      </c>
      <c r="DO60" s="64" t="str">
        <f t="shared" si="261"/>
        <v>SELL</v>
      </c>
      <c r="DP60" s="83">
        <f t="shared" si="262"/>
        <v>8.5250000000000004</v>
      </c>
      <c r="DQ60" s="83">
        <f t="shared" si="263"/>
        <v>15.639999999999993</v>
      </c>
      <c r="DR60" s="83">
        <f t="shared" ca="1" si="264"/>
        <v>-255.24251374761414</v>
      </c>
      <c r="DS60" s="83">
        <f t="shared" si="265"/>
        <v>85.93</v>
      </c>
      <c r="DT60" s="83">
        <f t="shared" si="290"/>
        <v>55</v>
      </c>
      <c r="DU60" s="83">
        <f t="shared" si="291"/>
        <v>-829</v>
      </c>
      <c r="DV60" s="83">
        <f t="shared" si="266"/>
        <v>506</v>
      </c>
      <c r="DW60" s="83">
        <f t="shared" si="267"/>
        <v>-1033</v>
      </c>
      <c r="DX60" s="83">
        <f t="shared" ca="1" si="365"/>
        <v>0.23119158132911932</v>
      </c>
      <c r="DY60" s="83">
        <f t="shared" ca="1" si="366"/>
        <v>-0.2925536511152142</v>
      </c>
      <c r="DZ60" s="83">
        <f t="shared" ca="1" si="367"/>
        <v>2.7326135178321404E-2</v>
      </c>
      <c r="EA60" s="83">
        <f t="shared" ca="1" si="368"/>
        <v>-2.726765112464697E-2</v>
      </c>
      <c r="EB60" s="83">
        <f t="shared" ca="1" si="369"/>
        <v>2.5377203468431614E-2</v>
      </c>
      <c r="EC60" s="83">
        <f t="shared" ca="1" si="370"/>
        <v>-2.5377203468431614E-2</v>
      </c>
      <c r="ED60" s="63">
        <f t="shared" si="292"/>
        <v>-527</v>
      </c>
      <c r="EE60" s="84">
        <f t="shared" si="268"/>
        <v>0.25</v>
      </c>
      <c r="EF60" s="84">
        <f t="shared" si="269"/>
        <v>0.183</v>
      </c>
      <c r="EG60" s="84">
        <f t="shared" si="270"/>
        <v>0.2321</v>
      </c>
      <c r="EH60" s="84">
        <f t="shared" si="271"/>
        <v>0.2326</v>
      </c>
      <c r="EI60" s="84">
        <f t="shared" si="272"/>
        <v>0.25</v>
      </c>
      <c r="EJ60" s="84">
        <f t="shared" si="273"/>
        <v>0.25</v>
      </c>
      <c r="EK60" s="63">
        <f t="shared" ca="1" si="293"/>
        <v>108033313.7150055</v>
      </c>
      <c r="EL60" s="83" t="str">
        <f>RTD("tos.rtd",,EL$43,"."&amp;$A$43&amp;$AS$42&amp;"C"&amp;$A60)</f>
        <v>--</v>
      </c>
      <c r="EM60" s="83" t="str">
        <f>RTD("tos.rtd",,EM$43,"."&amp;$A$43&amp;$AS$42&amp;"P"&amp;$A60)</f>
        <v>18.30%</v>
      </c>
      <c r="EN60" s="83" t="str">
        <f>RTD("tos.rtd",,EN$2,"."&amp;$A$43&amp;$AU$1&amp;"C"&amp;$A60)</f>
        <v>23.21%</v>
      </c>
      <c r="EO60" s="83" t="str">
        <f>RTD("tos.rtd",,EO$2,"."&amp;$A$43&amp;$AU$1&amp;"P"&amp;$A60)</f>
        <v>23.26%</v>
      </c>
      <c r="EP60" s="83" t="str">
        <f>RTD("tos.rtd",,EP$2,"."&amp;$A$43&amp;$AW$1&amp;"C"&amp;$A60)</f>
        <v>N/A</v>
      </c>
      <c r="EQ60" s="83" t="str">
        <f>RTD("tos.rtd",,EQ$2,"."&amp;$A$43&amp;$AW$1&amp;"P"&amp;$A60)</f>
        <v>N/A</v>
      </c>
      <c r="ES60" s="63" t="str">
        <f t="shared" si="274"/>
        <v>507,-527.00</v>
      </c>
      <c r="ET60" s="63" t="str">
        <f t="shared" ca="1" si="275"/>
        <v>507,3683327.29</v>
      </c>
      <c r="EU60" s="68">
        <v>571.14</v>
      </c>
      <c r="EV60" s="68" t="s">
        <v>499</v>
      </c>
      <c r="EW60" s="68">
        <v>495.78</v>
      </c>
      <c r="EX60" s="68" t="s">
        <v>500</v>
      </c>
      <c r="EY60" s="68">
        <v>5659.91</v>
      </c>
      <c r="EZ60" s="68" t="s">
        <v>501</v>
      </c>
      <c r="FA60" s="68">
        <v>20061.449000000001</v>
      </c>
      <c r="FB60" s="68" t="s">
        <v>502</v>
      </c>
      <c r="FC60" s="68" t="s">
        <v>503</v>
      </c>
      <c r="FD60" s="68" t="s">
        <v>504</v>
      </c>
      <c r="FE60" s="68" t="s">
        <v>505</v>
      </c>
      <c r="FF60" s="68" t="s">
        <v>506</v>
      </c>
    </row>
    <row r="61" spans="1:162" ht="13.5" thickBot="1" x14ac:dyDescent="0.25">
      <c r="A61" s="2">
        <f t="shared" si="294"/>
        <v>506</v>
      </c>
      <c r="B61" s="3">
        <f t="shared" si="241"/>
        <v>1448</v>
      </c>
      <c r="C61" s="3">
        <f t="shared" si="242"/>
        <v>3217</v>
      </c>
      <c r="D61" s="3">
        <f t="shared" si="243"/>
        <v>0</v>
      </c>
      <c r="E61" s="3">
        <f t="shared" si="244"/>
        <v>4665</v>
      </c>
      <c r="F61" s="4">
        <f t="shared" si="298"/>
        <v>20875.265926013471</v>
      </c>
      <c r="AM61" s="1">
        <v>9968</v>
      </c>
      <c r="AN61" s="1">
        <v>5069</v>
      </c>
      <c r="AO61" s="1">
        <v>506</v>
      </c>
      <c r="AP61" s="1">
        <v>132266</v>
      </c>
      <c r="AQ61" s="1">
        <v>-99913</v>
      </c>
      <c r="AS61" s="6">
        <f>IF(RTD("tos.rtd",,AS$43,"."&amp;$A$43&amp;$AS$42&amp;"C"&amp;$A61)="N/A",0,RTD("tos.rtd",,AS$43,"."&amp;$A$43&amp;$AS$42&amp;"C"&amp;$A61))</f>
        <v>1437</v>
      </c>
      <c r="AT61" s="7">
        <f>-IF(RTD("tos.rtd",,AT$43,"."&amp;$A$43&amp;$AS$42&amp;"P"&amp;$A61)="N/A",0,RTD("tos.rtd",,AT$43,"."&amp;$A$43&amp;$AS$42&amp;"P"&amp;$A61))</f>
        <v>-11</v>
      </c>
      <c r="AU61" s="6">
        <f>IF(RTD("tos.rtd",,AU$2,"."&amp;$A$43&amp;$AU$1&amp;"C"&amp;$A61)="N/A",0,RTD("tos.rtd",,AU$2,"."&amp;$A$43&amp;$AU$1&amp;"C"&amp;$A61))</f>
        <v>3209</v>
      </c>
      <c r="AV61" s="7">
        <f>-IF(RTD("tos.rtd",,AV$2,"."&amp;$A$43&amp;$AU$1&amp;"P"&amp;$A61)="N/A",0,RTD("tos.rtd",,AV$2,"."&amp;$A$43&amp;$AU$1&amp;"P"&amp;$A61))</f>
        <v>-8</v>
      </c>
      <c r="AW61" s="6">
        <f>IF(RTD("tos.rtd",,AW$2,"."&amp;$A$43&amp;$AW$1&amp;"C"&amp;$A61)="N/A",0,RTD("tos.rtd",,AW$2,"."&amp;$A$43&amp;$AW$1&amp;"C"&amp;$A61))</f>
        <v>0</v>
      </c>
      <c r="AX61" s="7">
        <f>-IF(RTD("tos.rtd",,AX$2,"."&amp;$A$43&amp;$AW$1&amp;"P"&amp;$A61)="N/A",0,RTD("tos.rtd",,AX$2,"."&amp;$A$43&amp;$AW$1&amp;"P"&amp;$A61))</f>
        <v>0</v>
      </c>
      <c r="AY61" s="7">
        <f t="shared" si="276"/>
        <v>4627</v>
      </c>
      <c r="AZ61" s="8">
        <f t="shared" si="245"/>
        <v>506</v>
      </c>
      <c r="BA61" s="6">
        <f>IF(RTD("tos.rtd",,BA$43,"."&amp;$A$43&amp;$AS$42&amp;"C"&amp;$A61)="N/A",0,RTD("tos.rtd",,BA$43,"."&amp;$A$43&amp;$AS$42&amp;"C"&amp;$A61))</f>
        <v>132325</v>
      </c>
      <c r="BB61" s="7">
        <f>-IF(RTD("tos.rtd",,BB$43,"."&amp;$A$43&amp;$AS$42&amp;"P"&amp;$A61)="N/A",0,RTD("tos.rtd",,BB$43,"."&amp;$A$43&amp;$AS$42&amp;"P"&amp;$A61))</f>
        <v>-100655</v>
      </c>
      <c r="BC61" s="6">
        <f>IF(RTD("tos.rtd",,BC$2,"."&amp;$A$43&amp;$AU$1&amp;"C"&amp;$A61)="N/A",0,RTD("tos.rtd",,BC$2,"."&amp;$A$43&amp;$AU$1&amp;"C"&amp;$A61))</f>
        <v>3987</v>
      </c>
      <c r="BD61" s="7">
        <f>-IF(RTD("tos.rtd",,BD$2,"."&amp;$A$43&amp;$AU$1&amp;"P"&amp;$A61)="N/A",0,RTD("tos.rtd",,BD$2,"."&amp;$A$43&amp;$AU$1&amp;"P"&amp;$A61))</f>
        <v>-4215</v>
      </c>
      <c r="BE61" s="6">
        <f>IF(RTD("tos.rtd",,BE$2,"."&amp;$A$43&amp;$AW$1&amp;"C"&amp;$A61)="N/A",0,RTD("tos.rtd",,BE$2,"."&amp;$A$43&amp;$AW$1&amp;"C"&amp;$A61))</f>
        <v>0</v>
      </c>
      <c r="BF61" s="7">
        <f>-IF(RTD("tos.rtd",,BF$2,"."&amp;$A$43&amp;$AW$1&amp;"P"&amp;$A61)="N/A",0,RTD("tos.rtd",,BF$2,"."&amp;$A$43&amp;$AW$1&amp;"P"&amp;$A61))</f>
        <v>0</v>
      </c>
      <c r="BG61" s="32">
        <f ca="1">+Hoja2!Y62</f>
        <v>219</v>
      </c>
      <c r="BH61" s="7">
        <f t="shared" ca="1" si="277"/>
        <v>31661</v>
      </c>
      <c r="BI61" s="8" t="str">
        <f t="shared" ca="1" si="295"/>
        <v/>
      </c>
      <c r="BJ61" s="83">
        <f ca="1">IF($BP$1=1,DX61,IF(RTD("tos.rtd",,BJ$43,"."&amp;$A$43&amp;$AS$42&amp;"C"&amp;$A61)="N/A",0,RTD("tos.rtd",,BJ$43,"."&amp;$A$43&amp;$AS$42&amp;"C"&amp;$A61)))</f>
        <v>0.14456421348443604</v>
      </c>
      <c r="BK61" s="83">
        <f ca="1">IF($BP$1=1,DY61,-IF(RTD("tos.rtd",,BK$43,"."&amp;$A$43&amp;$AS$42&amp;"P"&amp;$A61)="N/A",0,RTD("tos.rtd",,BK$43,"."&amp;$A$43&amp;$AS$42&amp;"P"&amp;$A61)))</f>
        <v>-0.14440616010301208</v>
      </c>
      <c r="BL61" s="83">
        <f ca="1">IF($BP$1=1,DZ61,IF(RTD("tos.rtd",,BL$2,"."&amp;$A$43&amp;$AU$1&amp;"C"&amp;$A61)="N/A",0,RTD("tos.rtd",,BL$2,"."&amp;$A$43&amp;$AU$1&amp;"C"&amp;$A61)))</f>
        <v>2.6948144901886968E-2</v>
      </c>
      <c r="BM61" s="83">
        <f ca="1">IF($BP$1=1,EA61,-IF(RTD("tos.rtd",,BM$2,"."&amp;$A$43&amp;$AU$1&amp;"P"&amp;$A61)="N/A",0,RTD("tos.rtd",,BM$2,"."&amp;$A$43&amp;$AU$1&amp;"P"&amp;$A61)))</f>
        <v>-2.6891609950384525E-2</v>
      </c>
      <c r="BN61" s="83">
        <f ca="1">IF($BP$1=1,EB61,IF(RTD("tos.rtd",,BN$2,"."&amp;$A$43&amp;$AW$1&amp;"C"&amp;$A61)="N/A",0,RTD("tos.rtd",,BN$2,"."&amp;$A$43&amp;$AW$1&amp;"C"&amp;$A61)))</f>
        <v>2.5198826264468305E-2</v>
      </c>
      <c r="BO61" s="83">
        <f ca="1">IF($BP$1=1,EC61,-IF(RTD("tos.rtd",,BO$2,"."&amp;$A$43&amp;$AW$1&amp;"P"&amp;$A61)="N/A",0,RTD("tos.rtd",,BO$2,"."&amp;$A$43&amp;$AW$1&amp;"P"&amp;$A61)))</f>
        <v>-2.5198826264468305E-2</v>
      </c>
      <c r="BQ61" s="83">
        <f t="shared" ca="1" si="278"/>
        <v>53128784.09869729</v>
      </c>
      <c r="BR61" s="3" t="str">
        <f t="shared" ca="1" si="279"/>
        <v/>
      </c>
      <c r="BS61" s="83">
        <f t="shared" ca="1" si="280"/>
        <v>22231190.285888448</v>
      </c>
      <c r="BT61" s="3" t="str">
        <f t="shared" ca="1" si="281"/>
        <v/>
      </c>
      <c r="BU61" s="83">
        <f t="shared" ca="1" si="282"/>
        <v>0</v>
      </c>
      <c r="BV61" s="83"/>
      <c r="BX61" s="83">
        <f t="shared" ca="1" si="283"/>
        <v>1184025959.3373008</v>
      </c>
      <c r="BY61" s="83" t="str">
        <f t="shared" ca="1" si="296"/>
        <v/>
      </c>
      <c r="BZ61" s="83">
        <f t="shared" ca="1" si="284"/>
        <v>-1522056.1432270557</v>
      </c>
      <c r="CA61" s="83" t="str">
        <f t="shared" ca="1" si="296"/>
        <v>Cruce -</v>
      </c>
      <c r="CB61" s="83">
        <f t="shared" ca="1" si="285"/>
        <v>0</v>
      </c>
      <c r="CC61" s="83" t="str">
        <f t="shared" ca="1" si="296"/>
        <v/>
      </c>
      <c r="CD61" s="83">
        <f>IF(RTD("tos.rtd",,CD$43,"."&amp;$A$43&amp;$AS$42&amp;"C"&amp;$A61)="N/A",0,RTD("tos.rtd",,CD$43,"."&amp;$A$43&amp;$AS$42&amp;"C"&amp;$A61))</f>
        <v>1</v>
      </c>
      <c r="CE61" s="83">
        <f>-IF(RTD("tos.rtd",,CE$43,"."&amp;$A$43&amp;$AS$42&amp;"P"&amp;$A61)="N/A",0,RTD("tos.rtd",,CE$43,"."&amp;$A$43&amp;$AS$42&amp;"P"&amp;$A61))</f>
        <v>0.04</v>
      </c>
      <c r="CF61" s="83">
        <f>IF(RTD("tos.rtd",,CF$2,"."&amp;$A$43&amp;$AU$1&amp;"C"&amp;$A61)="N/A",0,RTD("tos.rtd",,CF$2,"."&amp;$A$43&amp;$AU$1&amp;"C"&amp;$A61))</f>
        <v>0.56999999999999995</v>
      </c>
      <c r="CG61" s="83">
        <f>-IF(RTD("tos.rtd",,CG$2,"."&amp;$A$43&amp;$AU$1&amp;"P"&amp;$A61)="N/A",0,RTD("tos.rtd",,CG$2,"."&amp;$A$43&amp;$AU$1&amp;"P"&amp;$A61))</f>
        <v>0.44</v>
      </c>
      <c r="CH61" s="83">
        <f>IF(RTD("tos.rtd",,CH$2,"."&amp;$A$43&amp;$AW$1&amp;"C"&amp;$A61)="N/A",0,RTD("tos.rtd",,CH$2,"."&amp;$A$43&amp;$AW$1&amp;"C"&amp;$A61))</f>
        <v>0</v>
      </c>
      <c r="CI61" s="83">
        <f>-IF(RTD("tos.rtd",,CI$2,"."&amp;$A$43&amp;$AW$1&amp;"P"&amp;$A61)="N/A",0,RTD("tos.rtd",,CI$2,"."&amp;$A$43&amp;$AW$1&amp;"P"&amp;$A61))</f>
        <v>0</v>
      </c>
      <c r="CK61" s="83">
        <f t="shared" si="286"/>
        <v>143656</v>
      </c>
      <c r="CL61" s="83"/>
      <c r="CM61" s="83">
        <f t="shared" si="287"/>
        <v>182561</v>
      </c>
      <c r="CN61" s="83"/>
      <c r="CO61" s="83">
        <f t="shared" si="288"/>
        <v>0</v>
      </c>
      <c r="CP61" s="83">
        <f t="shared" si="235"/>
        <v>326217</v>
      </c>
      <c r="CQ61" s="83">
        <f t="shared" si="249"/>
        <v>31670</v>
      </c>
      <c r="CR61" s="83"/>
      <c r="CS61" s="83">
        <f t="shared" si="250"/>
        <v>-228</v>
      </c>
      <c r="CT61" s="83"/>
      <c r="CU61" s="83">
        <f t="shared" si="251"/>
        <v>0</v>
      </c>
      <c r="CV61" s="83"/>
      <c r="CW61" s="83">
        <f t="shared" ca="1" si="252"/>
        <v>75359974.384585738</v>
      </c>
      <c r="CY61" s="83">
        <f t="shared" ca="1" si="253"/>
        <v>1182503903.1940737</v>
      </c>
      <c r="CZ61" s="70" t="str">
        <f t="shared" ca="1" si="297"/>
        <v/>
      </c>
      <c r="DA61" s="83">
        <f>IF(RTD("tos.rtd",,DA$43,"."&amp;$A$43&amp;$AS$42&amp;"C"&amp;$A61)="N/A",0,RTD("tos.rtd",,DA$43,"."&amp;$A$43&amp;$AS$42&amp;"C"&amp;$A61))</f>
        <v>1.56</v>
      </c>
      <c r="DB61" s="83">
        <f>IF(RTD("tos.rtd",,DB$43,"."&amp;$A$43&amp;$AS$42&amp;"P"&amp;$A61)="N/A",0,RTD("tos.rtd",,DB$43,"."&amp;$A$43&amp;$AS$42&amp;"P"&amp;$A61))</f>
        <v>0.01</v>
      </c>
      <c r="DC61" s="83">
        <f>IF(RTD("tos.rtd",,DC$43,"."&amp;$A$43&amp;$AS$42&amp;"C"&amp;$A61)="N/A",0,RTD("tos.rtd",,DC$43,"."&amp;$A$43&amp;$AS$42&amp;"C"&amp;$A61))</f>
        <v>1.69</v>
      </c>
      <c r="DD61" s="83">
        <f>IF(RTD("tos.rtd",,DD$43,"."&amp;$A$43&amp;$AS$42&amp;"P"&amp;$A61)="N/A",0,RTD("tos.rtd",,DD$43,"."&amp;$A$43&amp;$AS$42&amp;"P"&amp;$A61))</f>
        <v>0.02</v>
      </c>
      <c r="DE61" s="83">
        <f>IF(RTD("tos.rtd",,DE$43,"."&amp;$A$43&amp;$AS$42&amp;"C"&amp;$A61)="N/A",0,RTD("tos.rtd",,DE$43,"."&amp;$A$43&amp;$AS$42&amp;"C"&amp;$A61))</f>
        <v>1.5</v>
      </c>
      <c r="DF61" s="83">
        <f>IF(RTD("tos.rtd",,DF$43,"."&amp;$A$43&amp;$AS$42&amp;"P"&amp;$A61)="N/A",0,RTD("tos.rtd",,DF$43,"."&amp;$A$43&amp;$AS$42&amp;"P"&amp;$A61))</f>
        <v>0.01</v>
      </c>
      <c r="DG61" s="86">
        <f t="shared" si="289"/>
        <v>-1.660000000000025</v>
      </c>
      <c r="DH61" s="83">
        <f t="shared" si="254"/>
        <v>18.631578947368443</v>
      </c>
      <c r="DI61" s="83">
        <f t="shared" si="255"/>
        <v>0</v>
      </c>
      <c r="DJ61" s="83">
        <f t="shared" si="256"/>
        <v>-59</v>
      </c>
      <c r="DK61" s="83">
        <f t="shared" si="257"/>
        <v>742</v>
      </c>
      <c r="DL61" s="83">
        <f t="shared" si="258"/>
        <v>18.631578947368443</v>
      </c>
      <c r="DM61" s="83">
        <f t="shared" si="259"/>
        <v>683</v>
      </c>
      <c r="DN61" s="64" t="str">
        <f t="shared" si="260"/>
        <v>SELL</v>
      </c>
      <c r="DO61" s="64" t="str">
        <f t="shared" si="261"/>
        <v>SELL</v>
      </c>
      <c r="DP61" s="83">
        <f t="shared" si="262"/>
        <v>29.065263157894773</v>
      </c>
      <c r="DQ61" s="83">
        <f t="shared" si="263"/>
        <v>-84.62</v>
      </c>
      <c r="DR61" s="83">
        <f t="shared" ca="1" si="264"/>
        <v>-115.6786593920167</v>
      </c>
      <c r="DS61" s="83">
        <f t="shared" si="265"/>
        <v>-29.32</v>
      </c>
      <c r="DT61" s="83">
        <f t="shared" si="290"/>
        <v>59</v>
      </c>
      <c r="DU61" s="83">
        <f t="shared" si="291"/>
        <v>-742</v>
      </c>
      <c r="DV61" s="83">
        <f t="shared" si="266"/>
        <v>9909</v>
      </c>
      <c r="DW61" s="83">
        <f t="shared" si="267"/>
        <v>5811</v>
      </c>
      <c r="DX61" s="83">
        <f t="shared" ca="1" si="365"/>
        <v>0.14456421348443604</v>
      </c>
      <c r="DY61" s="83">
        <f t="shared" ca="1" si="366"/>
        <v>-0.14440616010301208</v>
      </c>
      <c r="DZ61" s="83">
        <f t="shared" ca="1" si="367"/>
        <v>2.6948144901886968E-2</v>
      </c>
      <c r="EA61" s="83">
        <f t="shared" ca="1" si="368"/>
        <v>-2.6891609950384525E-2</v>
      </c>
      <c r="EB61" s="83">
        <f t="shared" ca="1" si="369"/>
        <v>2.5198826264468305E-2</v>
      </c>
      <c r="EC61" s="83">
        <f t="shared" ca="1" si="370"/>
        <v>-2.5198826264468305E-2</v>
      </c>
      <c r="ED61" s="63">
        <f t="shared" si="292"/>
        <v>15720</v>
      </c>
      <c r="EE61" s="84">
        <f t="shared" si="268"/>
        <v>0.25</v>
      </c>
      <c r="EF61" s="84">
        <f t="shared" si="269"/>
        <v>0.24779999999999999</v>
      </c>
      <c r="EG61" s="84">
        <f t="shared" si="270"/>
        <v>0.23350000000000001</v>
      </c>
      <c r="EH61" s="84">
        <f t="shared" si="271"/>
        <v>0.23400000000000001</v>
      </c>
      <c r="EI61" s="84">
        <f t="shared" si="272"/>
        <v>0.25</v>
      </c>
      <c r="EJ61" s="84">
        <f t="shared" si="273"/>
        <v>0.25</v>
      </c>
      <c r="EK61" s="63">
        <f t="shared" ca="1" si="293"/>
        <v>152915467.77558845</v>
      </c>
      <c r="EL61" s="83" t="str">
        <f>RTD("tos.rtd",,EL$43,"."&amp;$A$43&amp;$AS$42&amp;"C"&amp;$A61)</f>
        <v>--</v>
      </c>
      <c r="EM61" s="83" t="str">
        <f>RTD("tos.rtd",,EM$43,"."&amp;$A$43&amp;$AS$42&amp;"P"&amp;$A61)</f>
        <v>24.78%</v>
      </c>
      <c r="EN61" s="83" t="str">
        <f>RTD("tos.rtd",,EN$2,"."&amp;$A$43&amp;$AU$1&amp;"C"&amp;$A61)</f>
        <v>23.35%</v>
      </c>
      <c r="EO61" s="83" t="str">
        <f>RTD("tos.rtd",,EO$2,"."&amp;$A$43&amp;$AU$1&amp;"P"&amp;$A61)</f>
        <v>23.40%</v>
      </c>
      <c r="EP61" s="83" t="str">
        <f>RTD("tos.rtd",,EP$2,"."&amp;$A$43&amp;$AW$1&amp;"C"&amp;$A61)</f>
        <v>N/A</v>
      </c>
      <c r="EQ61" s="83" t="str">
        <f>RTD("tos.rtd",,EQ$2,"."&amp;$A$43&amp;$AW$1&amp;"P"&amp;$A61)</f>
        <v>N/A</v>
      </c>
      <c r="ES61" s="63" t="str">
        <f t="shared" si="274"/>
        <v>506,15720.00</v>
      </c>
      <c r="ET61" s="63" t="str">
        <f t="shared" ca="1" si="275"/>
        <v>506,1182503.90</v>
      </c>
      <c r="EU61" s="68">
        <v>571.29999999999995</v>
      </c>
      <c r="EV61" s="68" t="s">
        <v>507</v>
      </c>
      <c r="EW61" s="68">
        <v>495.99</v>
      </c>
      <c r="EX61" s="68" t="s">
        <v>508</v>
      </c>
      <c r="EY61" s="68">
        <v>5659.91</v>
      </c>
      <c r="EZ61" s="68" t="s">
        <v>509</v>
      </c>
      <c r="FA61" s="68">
        <v>20061.449000000001</v>
      </c>
      <c r="FB61" s="68" t="s">
        <v>510</v>
      </c>
      <c r="FC61" s="68" t="s">
        <v>511</v>
      </c>
      <c r="FD61" s="68" t="s">
        <v>512</v>
      </c>
      <c r="FE61" s="68" t="s">
        <v>513</v>
      </c>
      <c r="FF61" s="68" t="s">
        <v>514</v>
      </c>
    </row>
    <row r="62" spans="1:162" ht="13.5" thickBot="1" x14ac:dyDescent="0.25">
      <c r="A62" s="2">
        <f t="shared" si="294"/>
        <v>505</v>
      </c>
      <c r="B62" s="33">
        <f t="shared" si="241"/>
        <v>3261</v>
      </c>
      <c r="C62" s="33">
        <f t="shared" si="242"/>
        <v>19995</v>
      </c>
      <c r="D62" s="33">
        <f t="shared" si="243"/>
        <v>2919</v>
      </c>
      <c r="E62" s="33">
        <f t="shared" si="244"/>
        <v>26175</v>
      </c>
      <c r="F62" s="4">
        <f t="shared" si="298"/>
        <v>20834.01045975653</v>
      </c>
      <c r="AM62" s="1">
        <v>885</v>
      </c>
      <c r="AN62" s="1">
        <v>-6093</v>
      </c>
      <c r="AO62" s="1">
        <v>505</v>
      </c>
      <c r="AP62" s="1">
        <v>173138</v>
      </c>
      <c r="AQ62" s="1">
        <v>-165300</v>
      </c>
      <c r="AS62" s="13">
        <f>IF(RTD("tos.rtd",,AS$43,"."&amp;$A$43&amp;$AS$42&amp;"C"&amp;$A62)="N/A",0,RTD("tos.rtd",,AS$43,"."&amp;$A$43&amp;$AS$42&amp;"C"&amp;$A62))</f>
        <v>3237</v>
      </c>
      <c r="AT62" s="29">
        <f>-IF(RTD("tos.rtd",,AT$43,"."&amp;$A$43&amp;$AS$42&amp;"P"&amp;$A62)="N/A",0,RTD("tos.rtd",,AT$43,"."&amp;$A$43&amp;$AS$42&amp;"P"&amp;$A62))</f>
        <v>-24</v>
      </c>
      <c r="AU62" s="13">
        <f>IF(RTD("tos.rtd",,AU$2,"."&amp;$A$43&amp;$AU$1&amp;"C"&amp;$A62)="N/A",0,RTD("tos.rtd",,AU$2,"."&amp;$A$43&amp;$AU$1&amp;"C"&amp;$A62))</f>
        <v>19878</v>
      </c>
      <c r="AV62" s="29">
        <f>-IF(RTD("tos.rtd",,AV$2,"."&amp;$A$43&amp;$AU$1&amp;"P"&amp;$A62)="N/A",0,RTD("tos.rtd",,AV$2,"."&amp;$A$43&amp;$AU$1&amp;"P"&amp;$A62))</f>
        <v>-117</v>
      </c>
      <c r="AW62" s="13">
        <f>IF(RTD("tos.rtd",,AW$2,"."&amp;$A$43&amp;$AW$1&amp;"C"&amp;$A62)="N/A",0,RTD("tos.rtd",,AW$2,"."&amp;$A$43&amp;$AW$1&amp;"C"&amp;$A62))</f>
        <v>2820</v>
      </c>
      <c r="AX62" s="29">
        <f>-IF(RTD("tos.rtd",,AX$2,"."&amp;$A$43&amp;$AW$1&amp;"P"&amp;$A62)="N/A",0,RTD("tos.rtd",,AX$2,"."&amp;$A$43&amp;$AW$1&amp;"P"&amp;$A62))</f>
        <v>-99</v>
      </c>
      <c r="AY62" s="7">
        <f t="shared" si="276"/>
        <v>25695</v>
      </c>
      <c r="AZ62" s="8">
        <f t="shared" si="245"/>
        <v>505</v>
      </c>
      <c r="BA62" s="13">
        <f>IF(RTD("tos.rtd",,BA$43,"."&amp;$A$43&amp;$AS$42&amp;"C"&amp;$A62)="N/A",0,RTD("tos.rtd",,BA$43,"."&amp;$A$43&amp;$AS$42&amp;"C"&amp;$A62))</f>
        <v>173146</v>
      </c>
      <c r="BB62" s="29">
        <f>-IF(RTD("tos.rtd",,BB$43,"."&amp;$A$43&amp;$AS$42&amp;"P"&amp;$A62)="N/A",0,RTD("tos.rtd",,BB$43,"."&amp;$A$43&amp;$AS$42&amp;"P"&amp;$A62))</f>
        <v>-165759</v>
      </c>
      <c r="BC62" s="13">
        <f>IF(RTD("tos.rtd",,BC$2,"."&amp;$A$43&amp;$AU$1&amp;"C"&amp;$A62)="N/A",0,RTD("tos.rtd",,BC$2,"."&amp;$A$43&amp;$AU$1&amp;"C"&amp;$A62))</f>
        <v>14506</v>
      </c>
      <c r="BD62" s="29">
        <f>-IF(RTD("tos.rtd",,BD$2,"."&amp;$A$43&amp;$AU$1&amp;"P"&amp;$A62)="N/A",0,RTD("tos.rtd",,BD$2,"."&amp;$A$43&amp;$AU$1&amp;"P"&amp;$A62))</f>
        <v>-14586</v>
      </c>
      <c r="BE62" s="13">
        <f>IF(RTD("tos.rtd",,BE$2,"."&amp;$A$43&amp;$AW$1&amp;"C"&amp;$A62)="N/A",0,RTD("tos.rtd",,BE$2,"."&amp;$A$43&amp;$AW$1&amp;"C"&amp;$A62))</f>
        <v>2195</v>
      </c>
      <c r="BF62" s="29">
        <f>-IF(RTD("tos.rtd",,BF$2,"."&amp;$A$43&amp;$AW$1&amp;"P"&amp;$A62)="N/A",0,RTD("tos.rtd",,BF$2,"."&amp;$A$43&amp;$AW$1&amp;"P"&amp;$A62))</f>
        <v>-1338</v>
      </c>
      <c r="BG62" s="100">
        <f ca="1">+Hoja2!Y63</f>
        <v>993</v>
      </c>
      <c r="BH62" s="7">
        <f t="shared" ca="1" si="277"/>
        <v>9157</v>
      </c>
      <c r="BI62" s="8" t="str">
        <f t="shared" ca="1" si="295"/>
        <v/>
      </c>
      <c r="BJ62" s="83">
        <f ca="1">IF($BP$1=1,DX62,IF(RTD("tos.rtd",,BJ$43,"."&amp;$A$43&amp;$AS$42&amp;"C"&amp;$A62)="N/A",0,RTD("tos.rtd",,BJ$43,"."&amp;$A$43&amp;$AS$42&amp;"C"&amp;$A62)))</f>
        <v>6.0275956190368504E-2</v>
      </c>
      <c r="BK62" s="83">
        <f ca="1">IF($BP$1=1,DY62,-IF(RTD("tos.rtd",,BK$43,"."&amp;$A$43&amp;$AS$42&amp;"P"&amp;$A62)="N/A",0,RTD("tos.rtd",,BK$43,"."&amp;$A$43&amp;$AS$42&amp;"P"&amp;$A62)))</f>
        <v>-8.8023945317734636E-2</v>
      </c>
      <c r="BL62" s="83">
        <f ca="1">IF($BP$1=1,DZ62,IF(RTD("tos.rtd",,BL$2,"."&amp;$A$43&amp;$AU$1&amp;"C"&amp;$A62)="N/A",0,RTD("tos.rtd",,BL$2,"."&amp;$A$43&amp;$AU$1&amp;"C"&amp;$A62)))</f>
        <v>2.6403193173502787E-2</v>
      </c>
      <c r="BM62" s="83">
        <f ca="1">IF($BP$1=1,EA62,-IF(RTD("tos.rtd",,BM$2,"."&amp;$A$43&amp;$AU$1&amp;"P"&amp;$A62)="N/A",0,RTD("tos.rtd",,BM$2,"."&amp;$A$43&amp;$AU$1&amp;"P"&amp;$A62)))</f>
        <v>-2.6370958952198854E-2</v>
      </c>
      <c r="BN62" s="83">
        <f ca="1">IF($BP$1=1,EB62,IF(RTD("tos.rtd",,BN$2,"."&amp;$A$43&amp;$AW$1&amp;"C"&amp;$A62)="N/A",0,RTD("tos.rtd",,BN$2,"."&amp;$A$43&amp;$AW$1&amp;"C"&amp;$A62)))</f>
        <v>3.0331363740549764E-2</v>
      </c>
      <c r="BO62" s="83">
        <f ca="1">IF($BP$1=1,EC62,-IF(RTD("tos.rtd",,BO$2,"."&amp;$A$43&amp;$AW$1&amp;"P"&amp;$A62)="N/A",0,RTD("tos.rtd",,BO$2,"."&amp;$A$43&amp;$AW$1&amp;"P"&amp;$A62)))</f>
        <v>-3.0803235292609792E-2</v>
      </c>
      <c r="BQ62" s="83">
        <f t="shared" ca="1" si="278"/>
        <v>49739883.634292804</v>
      </c>
      <c r="BR62" s="3" t="str">
        <f t="shared" ca="1" si="279"/>
        <v/>
      </c>
      <c r="BS62" s="83">
        <f t="shared" ca="1" si="280"/>
        <v>134466593.04860598</v>
      </c>
      <c r="BT62" s="3" t="str">
        <f t="shared" ca="1" si="281"/>
        <v/>
      </c>
      <c r="BU62" s="83">
        <f t="shared" ca="1" si="282"/>
        <v>21257905.745068051</v>
      </c>
      <c r="BV62" s="83"/>
      <c r="BX62" s="83">
        <f t="shared" ca="1" si="283"/>
        <v>-1070620190.3041463</v>
      </c>
      <c r="BY62" s="83" t="str">
        <f t="shared" ca="1" si="296"/>
        <v>Cruce -</v>
      </c>
      <c r="BZ62" s="83">
        <f t="shared" ca="1" si="284"/>
        <v>-423196.51313209534</v>
      </c>
      <c r="CA62" s="83" t="str">
        <f t="shared" ca="1" si="296"/>
        <v/>
      </c>
      <c r="CB62" s="83">
        <f t="shared" ca="1" si="285"/>
        <v>6536419.441628987</v>
      </c>
      <c r="CC62" s="83" t="str">
        <f t="shared" ca="1" si="296"/>
        <v/>
      </c>
      <c r="CD62" s="83">
        <f>IF(RTD("tos.rtd",,CD$43,"."&amp;$A$43&amp;$AS$42&amp;"C"&amp;$A62)="N/A",0,RTD("tos.rtd",,CD$43,"."&amp;$A$43&amp;$AS$42&amp;"C"&amp;$A62))</f>
        <v>1</v>
      </c>
      <c r="CE62" s="83">
        <f>-IF(RTD("tos.rtd",,CE$43,"."&amp;$A$43&amp;$AS$42&amp;"P"&amp;$A62)="N/A",0,RTD("tos.rtd",,CE$43,"."&amp;$A$43&amp;$AS$42&amp;"P"&amp;$A62))</f>
        <v>0.03</v>
      </c>
      <c r="CF62" s="83">
        <f>IF(RTD("tos.rtd",,CF$2,"."&amp;$A$43&amp;$AU$1&amp;"C"&amp;$A62)="N/A",0,RTD("tos.rtd",,CF$2,"."&amp;$A$43&amp;$AU$1&amp;"C"&amp;$A62))</f>
        <v>0.6</v>
      </c>
      <c r="CG62" s="83">
        <f>-IF(RTD("tos.rtd",,CG$2,"."&amp;$A$43&amp;$AU$1&amp;"P"&amp;$A62)="N/A",0,RTD("tos.rtd",,CG$2,"."&amp;$A$43&amp;$AU$1&amp;"P"&amp;$A62))</f>
        <v>0.4</v>
      </c>
      <c r="CH62" s="83">
        <f>IF(RTD("tos.rtd",,CH$2,"."&amp;$A$43&amp;$AW$1&amp;"C"&amp;$A62)="N/A",0,RTD("tos.rtd",,CH$2,"."&amp;$A$43&amp;$AW$1&amp;"C"&amp;$A62))</f>
        <v>0.56999999999999995</v>
      </c>
      <c r="CI62" s="83">
        <f>-IF(RTD("tos.rtd",,CI$2,"."&amp;$A$43&amp;$AW$1&amp;"P"&amp;$A62)="N/A",0,RTD("tos.rtd",,CI$2,"."&amp;$A$43&amp;$AW$1&amp;"P"&amp;$A62))</f>
        <v>0.43</v>
      </c>
      <c r="CK62" s="83">
        <f t="shared" si="286"/>
        <v>323628</v>
      </c>
      <c r="CL62" s="83"/>
      <c r="CM62" s="83">
        <f t="shared" si="287"/>
        <v>1188000</v>
      </c>
      <c r="CN62" s="83"/>
      <c r="CO62" s="83">
        <f t="shared" si="288"/>
        <v>156483</v>
      </c>
      <c r="CP62" s="83">
        <f t="shared" si="235"/>
        <v>1668111</v>
      </c>
      <c r="CQ62" s="83">
        <f t="shared" si="249"/>
        <v>7387</v>
      </c>
      <c r="CR62" s="83"/>
      <c r="CS62" s="83">
        <f t="shared" si="250"/>
        <v>-80</v>
      </c>
      <c r="CT62" s="83"/>
      <c r="CU62" s="83">
        <f t="shared" si="251"/>
        <v>857</v>
      </c>
      <c r="CV62" s="83"/>
      <c r="CW62" s="83">
        <f t="shared" ca="1" si="252"/>
        <v>205464382.42796683</v>
      </c>
      <c r="CY62" s="83">
        <f t="shared" ca="1" si="253"/>
        <v>-1064506967.3756495</v>
      </c>
      <c r="CZ62" s="70" t="str">
        <f t="shared" ca="1" si="297"/>
        <v>Cruce -</v>
      </c>
      <c r="DA62" s="83">
        <f>IF(RTD("tos.rtd",,DA$43,"."&amp;$A$43&amp;$AS$42&amp;"C"&amp;$A62)="N/A",0,RTD("tos.rtd",,DA$43,"."&amp;$A$43&amp;$AS$42&amp;"C"&amp;$A62))</f>
        <v>2.5499999999999998</v>
      </c>
      <c r="DB62" s="83">
        <f>IF(RTD("tos.rtd",,DB$43,"."&amp;$A$43&amp;$AS$42&amp;"P"&amp;$A62)="N/A",0,RTD("tos.rtd",,DB$43,"."&amp;$A$43&amp;$AS$42&amp;"P"&amp;$A62))</f>
        <v>0.01</v>
      </c>
      <c r="DC62" s="83">
        <f>IF(RTD("tos.rtd",,DC$43,"."&amp;$A$43&amp;$AS$42&amp;"C"&amp;$A62)="N/A",0,RTD("tos.rtd",,DC$43,"."&amp;$A$43&amp;$AS$42&amp;"C"&amp;$A62))</f>
        <v>3</v>
      </c>
      <c r="DD62" s="83">
        <f>IF(RTD("tos.rtd",,DD$43,"."&amp;$A$43&amp;$AS$42&amp;"P"&amp;$A62)="N/A",0,RTD("tos.rtd",,DD$43,"."&amp;$A$43&amp;$AS$42&amp;"P"&amp;$A62))</f>
        <v>0.02</v>
      </c>
      <c r="DE62" s="83">
        <f>IF(RTD("tos.rtd",,DE$43,"."&amp;$A$43&amp;$AS$42&amp;"C"&amp;$A62)="N/A",0,RTD("tos.rtd",,DE$43,"."&amp;$A$43&amp;$AS$42&amp;"C"&amp;$A62))</f>
        <v>1.75</v>
      </c>
      <c r="DF62" s="83">
        <f>IF(RTD("tos.rtd",,DF$43,"."&amp;$A$43&amp;$AS$42&amp;"P"&amp;$A62)="N/A",0,RTD("tos.rtd",,DF$43,"."&amp;$A$43&amp;$AS$42&amp;"P"&amp;$A62))</f>
        <v>0.01</v>
      </c>
      <c r="DG62" s="86">
        <f t="shared" si="289"/>
        <v>-2.660000000000025</v>
      </c>
      <c r="DH62" s="83">
        <f t="shared" si="254"/>
        <v>5.1199999999999992</v>
      </c>
      <c r="DI62" s="83">
        <f t="shared" si="255"/>
        <v>0</v>
      </c>
      <c r="DJ62" s="83">
        <f t="shared" si="256"/>
        <v>8</v>
      </c>
      <c r="DK62" s="83">
        <f t="shared" si="257"/>
        <v>459</v>
      </c>
      <c r="DL62" s="83">
        <f t="shared" si="258"/>
        <v>5.1199999999999992</v>
      </c>
      <c r="DM62" s="83">
        <f t="shared" si="259"/>
        <v>467</v>
      </c>
      <c r="DN62" s="64" t="str">
        <f t="shared" si="260"/>
        <v>BUY</v>
      </c>
      <c r="DO62" s="64" t="str">
        <f t="shared" si="261"/>
        <v>SELL</v>
      </c>
      <c r="DP62" s="83">
        <f t="shared" si="262"/>
        <v>13.055999999999997</v>
      </c>
      <c r="DQ62" s="83">
        <f t="shared" si="263"/>
        <v>24.99</v>
      </c>
      <c r="DR62" s="83">
        <f t="shared" ca="1" si="264"/>
        <v>-39.920783251317253</v>
      </c>
      <c r="DS62" s="83">
        <f t="shared" si="265"/>
        <v>21.77</v>
      </c>
      <c r="DT62" s="83">
        <f t="shared" si="290"/>
        <v>8</v>
      </c>
      <c r="DU62" s="83">
        <f t="shared" si="291"/>
        <v>-459</v>
      </c>
      <c r="DV62" s="83">
        <f t="shared" si="266"/>
        <v>893</v>
      </c>
      <c r="DW62" s="83">
        <f t="shared" si="267"/>
        <v>-5634</v>
      </c>
      <c r="DX62" s="83">
        <f t="shared" ca="1" si="365"/>
        <v>6.0275956190368504E-2</v>
      </c>
      <c r="DY62" s="83">
        <f t="shared" ca="1" si="366"/>
        <v>-8.8023945317734636E-2</v>
      </c>
      <c r="DZ62" s="83">
        <f t="shared" ca="1" si="367"/>
        <v>2.6403193173502787E-2</v>
      </c>
      <c r="EA62" s="83">
        <f t="shared" ca="1" si="368"/>
        <v>-2.6370958952198854E-2</v>
      </c>
      <c r="EB62" s="83">
        <f t="shared" ca="1" si="369"/>
        <v>3.0331363740549764E-2</v>
      </c>
      <c r="EC62" s="83">
        <f t="shared" ca="1" si="370"/>
        <v>-3.0803235292609792E-2</v>
      </c>
      <c r="ED62" s="63">
        <f t="shared" si="292"/>
        <v>-4741</v>
      </c>
      <c r="EE62" s="84">
        <f t="shared" si="268"/>
        <v>0.25</v>
      </c>
      <c r="EF62" s="84">
        <f t="shared" si="269"/>
        <v>0.36249999999999999</v>
      </c>
      <c r="EG62" s="84">
        <f t="shared" si="270"/>
        <v>0.2354</v>
      </c>
      <c r="EH62" s="84">
        <f t="shared" si="271"/>
        <v>0.23569999999999999</v>
      </c>
      <c r="EI62" s="84">
        <f t="shared" si="272"/>
        <v>0.20349999999999999</v>
      </c>
      <c r="EJ62" s="84">
        <f t="shared" si="273"/>
        <v>0.20019999999999999</v>
      </c>
      <c r="EK62" s="63">
        <f t="shared" ca="1" si="293"/>
        <v>141681701.86629122</v>
      </c>
      <c r="EL62" s="83" t="str">
        <f>RTD("tos.rtd",,EL$43,"."&amp;$A$43&amp;$AS$42&amp;"C"&amp;$A62)</f>
        <v>--</v>
      </c>
      <c r="EM62" s="83" t="str">
        <f>RTD("tos.rtd",,EM$43,"."&amp;$A$43&amp;$AS$42&amp;"P"&amp;$A62)</f>
        <v>36.25%</v>
      </c>
      <c r="EN62" s="83" t="str">
        <f>RTD("tos.rtd",,EN$2,"."&amp;$A$43&amp;$AU$1&amp;"C"&amp;$A62)</f>
        <v>23.54%</v>
      </c>
      <c r="EO62" s="83" t="str">
        <f>RTD("tos.rtd",,EO$2,"."&amp;$A$43&amp;$AU$1&amp;"P"&amp;$A62)</f>
        <v>23.57%</v>
      </c>
      <c r="EP62" s="83" t="str">
        <f>RTD("tos.rtd",,EP$2,"."&amp;$A$43&amp;$AW$1&amp;"C"&amp;$A62)</f>
        <v>20.35%</v>
      </c>
      <c r="EQ62" s="83" t="str">
        <f>RTD("tos.rtd",,EQ$2,"."&amp;$A$43&amp;$AW$1&amp;"P"&amp;$A62)</f>
        <v>20.02%</v>
      </c>
      <c r="ES62" s="63" t="str">
        <f t="shared" si="274"/>
        <v>505,-4741.00</v>
      </c>
      <c r="ET62" s="63" t="str">
        <f t="shared" ca="1" si="275"/>
        <v>505,-1064506.97</v>
      </c>
      <c r="EU62" s="68">
        <v>571.14</v>
      </c>
      <c r="EV62" s="68" t="s">
        <v>515</v>
      </c>
      <c r="EW62" s="68">
        <v>495.86</v>
      </c>
      <c r="EX62" s="68" t="s">
        <v>516</v>
      </c>
      <c r="EY62" s="68">
        <v>5659.91</v>
      </c>
      <c r="EZ62" s="68" t="s">
        <v>517</v>
      </c>
      <c r="FA62" s="68">
        <v>20061.449000000001</v>
      </c>
      <c r="FB62" s="68" t="s">
        <v>518</v>
      </c>
      <c r="FC62" s="68" t="s">
        <v>519</v>
      </c>
      <c r="FD62" s="68" t="s">
        <v>520</v>
      </c>
      <c r="FE62" s="68" t="s">
        <v>521</v>
      </c>
      <c r="FF62" s="68" t="s">
        <v>522</v>
      </c>
    </row>
    <row r="63" spans="1:162" ht="13.5" thickBot="1" x14ac:dyDescent="0.25">
      <c r="A63" s="2">
        <f t="shared" si="294"/>
        <v>504</v>
      </c>
      <c r="B63" s="3">
        <f t="shared" si="241"/>
        <v>1981</v>
      </c>
      <c r="C63" s="3">
        <f t="shared" si="242"/>
        <v>8031</v>
      </c>
      <c r="D63" s="3">
        <f t="shared" si="243"/>
        <v>0</v>
      </c>
      <c r="E63" s="3">
        <f t="shared" si="244"/>
        <v>10012</v>
      </c>
      <c r="F63" s="4">
        <f>+$F$44/$A$44*A63</f>
        <v>20792.754993499584</v>
      </c>
      <c r="AM63" s="1">
        <v>-479</v>
      </c>
      <c r="AN63" s="1">
        <v>11112</v>
      </c>
      <c r="AO63" s="1">
        <v>504</v>
      </c>
      <c r="AP63" s="1">
        <v>106819</v>
      </c>
      <c r="AQ63" s="1">
        <v>-134256</v>
      </c>
      <c r="AS63" s="6">
        <f>IF(RTD("tos.rtd",,AS$43,"."&amp;$A$43&amp;$AS$42&amp;"C"&amp;$A63)="N/A",0,RTD("tos.rtd",,AS$43,"."&amp;$A$43&amp;$AS$42&amp;"C"&amp;$A63))</f>
        <v>1980</v>
      </c>
      <c r="AT63" s="7">
        <f>-IF(RTD("tos.rtd",,AT$43,"."&amp;$A$43&amp;$AS$42&amp;"P"&amp;$A63)="N/A",0,RTD("tos.rtd",,AT$43,"."&amp;$A$43&amp;$AS$42&amp;"P"&amp;$A63))</f>
        <v>-1</v>
      </c>
      <c r="AU63" s="6">
        <f>IF(RTD("tos.rtd",,AU$2,"."&amp;$A$43&amp;$AU$1&amp;"C"&amp;$A63)="N/A",0,RTD("tos.rtd",,AU$2,"."&amp;$A$43&amp;$AU$1&amp;"C"&amp;$A63))</f>
        <v>8009</v>
      </c>
      <c r="AV63" s="7">
        <f>-IF(RTD("tos.rtd",,AV$2,"."&amp;$A$43&amp;$AU$1&amp;"P"&amp;$A63)="N/A",0,RTD("tos.rtd",,AV$2,"."&amp;$A$43&amp;$AU$1&amp;"P"&amp;$A63))</f>
        <v>-22</v>
      </c>
      <c r="AW63" s="6">
        <f>IF(RTD("tos.rtd",,AW$2,"."&amp;$A$43&amp;$AW$1&amp;"C"&amp;$A63)="N/A",0,RTD("tos.rtd",,AW$2,"."&amp;$A$43&amp;$AW$1&amp;"C"&amp;$A63))</f>
        <v>0</v>
      </c>
      <c r="AX63" s="7">
        <f>-IF(RTD("tos.rtd",,AX$2,"."&amp;$A$43&amp;$AW$1&amp;"P"&amp;$A63)="N/A",0,RTD("tos.rtd",,AX$2,"."&amp;$A$43&amp;$AW$1&amp;"P"&amp;$A63))</f>
        <v>0</v>
      </c>
      <c r="AY63" s="7">
        <f t="shared" si="276"/>
        <v>9966</v>
      </c>
      <c r="AZ63" s="8">
        <f t="shared" si="245"/>
        <v>504</v>
      </c>
      <c r="BA63" s="6">
        <f>IF(RTD("tos.rtd",,BA$43,"."&amp;$A$43&amp;$AS$42&amp;"C"&amp;$A63)="N/A",0,RTD("tos.rtd",,BA$43,"."&amp;$A$43&amp;$AS$42&amp;"C"&amp;$A63))</f>
        <v>106832</v>
      </c>
      <c r="BB63" s="7">
        <f>-IF(RTD("tos.rtd",,BB$43,"."&amp;$A$43&amp;$AS$42&amp;"P"&amp;$A63)="N/A",0,RTD("tos.rtd",,BB$43,"."&amp;$A$43&amp;$AS$42&amp;"P"&amp;$A63))</f>
        <v>-134459</v>
      </c>
      <c r="BC63" s="6">
        <f>IF(RTD("tos.rtd",,BC$2,"."&amp;$A$43&amp;$AU$1&amp;"C"&amp;$A63)="N/A",0,RTD("tos.rtd",,BC$2,"."&amp;$A$43&amp;$AU$1&amp;"C"&amp;$A63))</f>
        <v>12360</v>
      </c>
      <c r="BD63" s="7">
        <f>-IF(RTD("tos.rtd",,BD$2,"."&amp;$A$43&amp;$AU$1&amp;"P"&amp;$A63)="N/A",0,RTD("tos.rtd",,BD$2,"."&amp;$A$43&amp;$AU$1&amp;"P"&amp;$A63))</f>
        <v>-6851</v>
      </c>
      <c r="BE63" s="6">
        <f>IF(RTD("tos.rtd",,BE$2,"."&amp;$A$43&amp;$AW$1&amp;"C"&amp;$A63)="N/A",0,RTD("tos.rtd",,BE$2,"."&amp;$A$43&amp;$AW$1&amp;"C"&amp;$A63))</f>
        <v>0</v>
      </c>
      <c r="BF63" s="7">
        <f>-IF(RTD("tos.rtd",,BF$2,"."&amp;$A$43&amp;$AW$1&amp;"P"&amp;$A63)="N/A",0,RTD("tos.rtd",,BF$2,"."&amp;$A$43&amp;$AW$1&amp;"P"&amp;$A63))</f>
        <v>0</v>
      </c>
      <c r="BG63" s="32">
        <f ca="1">+Hoja2!Y64</f>
        <v>-2107</v>
      </c>
      <c r="BH63" s="7">
        <f t="shared" ca="1" si="277"/>
        <v>-24225</v>
      </c>
      <c r="BI63" s="8" t="str">
        <f t="shared" ca="1" si="295"/>
        <v>Cruce -</v>
      </c>
      <c r="BJ63" s="83">
        <f ca="1">IF($BP$1=1,DX63,IF(RTD("tos.rtd",,BJ$43,"."&amp;$A$43&amp;$AS$42&amp;"C"&amp;$A63)="N/A",0,RTD("tos.rtd",,BJ$43,"."&amp;$A$43&amp;$AS$42&amp;"C"&amp;$A63)))</f>
        <v>4.7133410380418156E-2</v>
      </c>
      <c r="BK63" s="83">
        <f ca="1">IF($BP$1=1,DY63,-IF(RTD("tos.rtd",,BK$43,"."&amp;$A$43&amp;$AS$42&amp;"P"&amp;$A63)="N/A",0,RTD("tos.rtd",,BK$43,"."&amp;$A$43&amp;$AS$42&amp;"P"&amp;$A63)))</f>
        <v>-5.5816406620203984E-2</v>
      </c>
      <c r="BL63" s="83">
        <f ca="1">IF($BP$1=1,DZ63,IF(RTD("tos.rtd",,BL$2,"."&amp;$A$43&amp;$AU$1&amp;"C"&amp;$A63)="N/A",0,RTD("tos.rtd",,BL$2,"."&amp;$A$43&amp;$AU$1&amp;"C"&amp;$A63)))</f>
        <v>2.5781840063507432E-2</v>
      </c>
      <c r="BM63" s="83">
        <f ca="1">IF($BP$1=1,EA63,-IF(RTD("tos.rtd",,BM$2,"."&amp;$A$43&amp;$AU$1&amp;"P"&amp;$A63)="N/A",0,RTD("tos.rtd",,BM$2,"."&amp;$A$43&amp;$AU$1&amp;"P"&amp;$A63)))</f>
        <v>-2.5781840063507432E-2</v>
      </c>
      <c r="BN63" s="83">
        <f ca="1">IF($BP$1=1,EB63,IF(RTD("tos.rtd",,BN$2,"."&amp;$A$43&amp;$AW$1&amp;"C"&amp;$A63)="N/A",0,RTD("tos.rtd",,BN$2,"."&amp;$A$43&amp;$AW$1&amp;"C"&amp;$A63)))</f>
        <v>2.4540310381074418E-2</v>
      </c>
      <c r="BO63" s="83">
        <f ca="1">IF($BP$1=1,EC63,-IF(RTD("tos.rtd",,BO$2,"."&amp;$A$43&amp;$AW$1&amp;"P"&amp;$A63)="N/A",0,RTD("tos.rtd",,BO$2,"."&amp;$A$43&amp;$AW$1&amp;"P"&amp;$A63)))</f>
        <v>-2.4540310381074418E-2</v>
      </c>
      <c r="BQ63" s="83">
        <f t="shared" ca="1" si="278"/>
        <v>24036992.067119356</v>
      </c>
      <c r="BR63" s="3" t="str">
        <f t="shared" ca="1" si="279"/>
        <v/>
      </c>
      <c r="BS63" s="83">
        <f t="shared" ca="1" si="280"/>
        <v>53069315.403801173</v>
      </c>
      <c r="BT63" s="3" t="str">
        <f t="shared" ca="1" si="281"/>
        <v/>
      </c>
      <c r="BU63" s="83">
        <f t="shared" ca="1" si="282"/>
        <v>0</v>
      </c>
      <c r="BV63" s="83"/>
      <c r="BX63" s="83">
        <f t="shared" ca="1" si="283"/>
        <v>-636477947.65459752</v>
      </c>
      <c r="BY63" s="83" t="str">
        <f t="shared" ca="1" si="296"/>
        <v/>
      </c>
      <c r="BZ63" s="83">
        <f t="shared" ca="1" si="284"/>
        <v>36604339.371421136</v>
      </c>
      <c r="CA63" s="83" t="str">
        <f t="shared" ca="1" si="296"/>
        <v>Cruce +</v>
      </c>
      <c r="CB63" s="83">
        <f t="shared" ca="1" si="285"/>
        <v>0</v>
      </c>
      <c r="CC63" s="83" t="str">
        <f t="shared" ca="1" si="296"/>
        <v/>
      </c>
      <c r="CD63" s="83">
        <f>IF(RTD("tos.rtd",,CD$43,"."&amp;$A$43&amp;$AS$42&amp;"C"&amp;$A63)="N/A",0,RTD("tos.rtd",,CD$43,"."&amp;$A$43&amp;$AS$42&amp;"C"&amp;$A63))</f>
        <v>0.79</v>
      </c>
      <c r="CE63" s="83">
        <f>-IF(RTD("tos.rtd",,CE$43,"."&amp;$A$43&amp;$AS$42&amp;"P"&amp;$A63)="N/A",0,RTD("tos.rtd",,CE$43,"."&amp;$A$43&amp;$AS$42&amp;"P"&amp;$A63))</f>
        <v>0.01</v>
      </c>
      <c r="CF63" s="83">
        <f>IF(RTD("tos.rtd",,CF$2,"."&amp;$A$43&amp;$AU$1&amp;"C"&amp;$A63)="N/A",0,RTD("tos.rtd",,CF$2,"."&amp;$A$43&amp;$AU$1&amp;"C"&amp;$A63))</f>
        <v>0.63</v>
      </c>
      <c r="CG63" s="83">
        <f>-IF(RTD("tos.rtd",,CG$2,"."&amp;$A$43&amp;$AU$1&amp;"P"&amp;$A63)="N/A",0,RTD("tos.rtd",,CG$2,"."&amp;$A$43&amp;$AU$1&amp;"P"&amp;$A63))</f>
        <v>0.37</v>
      </c>
      <c r="CH63" s="83">
        <f>IF(RTD("tos.rtd",,CH$2,"."&amp;$A$43&amp;$AW$1&amp;"C"&amp;$A63)="N/A",0,RTD("tos.rtd",,CH$2,"."&amp;$A$43&amp;$AW$1&amp;"C"&amp;$A63))</f>
        <v>0</v>
      </c>
      <c r="CI63" s="83">
        <f>-IF(RTD("tos.rtd",,CI$2,"."&amp;$A$43&amp;$AW$1&amp;"P"&amp;$A63)="N/A",0,RTD("tos.rtd",,CI$2,"."&amp;$A$43&amp;$AW$1&amp;"P"&amp;$A63))</f>
        <v>0</v>
      </c>
      <c r="CK63" s="83">
        <f t="shared" si="286"/>
        <v>156419</v>
      </c>
      <c r="CL63" s="83"/>
      <c r="CM63" s="83">
        <f t="shared" si="287"/>
        <v>503753</v>
      </c>
      <c r="CN63" s="83"/>
      <c r="CO63" s="83">
        <f t="shared" si="288"/>
        <v>0</v>
      </c>
      <c r="CP63" s="83">
        <f t="shared" si="235"/>
        <v>660172</v>
      </c>
      <c r="CQ63" s="83">
        <f t="shared" si="249"/>
        <v>-27627</v>
      </c>
      <c r="CR63" s="83"/>
      <c r="CS63" s="83">
        <f t="shared" si="250"/>
        <v>5509</v>
      </c>
      <c r="CT63" s="83"/>
      <c r="CU63" s="83">
        <f t="shared" si="251"/>
        <v>0</v>
      </c>
      <c r="CV63" s="83"/>
      <c r="CW63" s="83">
        <f t="shared" ca="1" si="252"/>
        <v>77106307.470920533</v>
      </c>
      <c r="CY63" s="83">
        <f t="shared" ca="1" si="253"/>
        <v>-599873608.28317642</v>
      </c>
      <c r="CZ63" s="70" t="str">
        <f t="shared" ca="1" si="297"/>
        <v/>
      </c>
      <c r="DA63" s="83">
        <f>IF(RTD("tos.rtd",,DA$43,"."&amp;$A$43&amp;$AS$42&amp;"C"&amp;$A63)="N/A",0,RTD("tos.rtd",,DA$43,"."&amp;$A$43&amp;$AS$42&amp;"C"&amp;$A63))</f>
        <v>3.75</v>
      </c>
      <c r="DB63" s="83">
        <f>IF(RTD("tos.rtd",,DB$43,"."&amp;$A$43&amp;$AS$42&amp;"P"&amp;$A63)="N/A",0,RTD("tos.rtd",,DB$43,"."&amp;$A$43&amp;$AS$42&amp;"P"&amp;$A63))</f>
        <v>0.01</v>
      </c>
      <c r="DC63" s="83">
        <f>IF(RTD("tos.rtd",,DC$43,"."&amp;$A$43&amp;$AS$42&amp;"C"&amp;$A63)="N/A",0,RTD("tos.rtd",,DC$43,"."&amp;$A$43&amp;$AS$42&amp;"C"&amp;$A63))</f>
        <v>5</v>
      </c>
      <c r="DD63" s="83">
        <f>IF(RTD("tos.rtd",,DD$43,"."&amp;$A$43&amp;$AS$42&amp;"P"&amp;$A63)="N/A",0,RTD("tos.rtd",,DD$43,"."&amp;$A$43&amp;$AS$42&amp;"P"&amp;$A63))</f>
        <v>0.01</v>
      </c>
      <c r="DE63" s="83">
        <f>IF(RTD("tos.rtd",,DE$43,"."&amp;$A$43&amp;$AS$42&amp;"C"&amp;$A63)="N/A",0,RTD("tos.rtd",,DE$43,"."&amp;$A$43&amp;$AS$42&amp;"C"&amp;$A63))</f>
        <v>3.39</v>
      </c>
      <c r="DF63" s="83">
        <f>IF(RTD("tos.rtd",,DF$43,"."&amp;$A$43&amp;$AS$42&amp;"P"&amp;$A63)="N/A",0,RTD("tos.rtd",,DF$43,"."&amp;$A$43&amp;$AS$42&amp;"P"&amp;$A63))</f>
        <v>0</v>
      </c>
      <c r="DG63" s="86">
        <f t="shared" si="289"/>
        <v>-3.660000000000025</v>
      </c>
      <c r="DH63" s="83">
        <f t="shared" si="254"/>
        <v>2.9068322981366452</v>
      </c>
      <c r="DI63" s="83">
        <f t="shared" si="255"/>
        <v>-203</v>
      </c>
      <c r="DJ63" s="83">
        <f t="shared" si="256"/>
        <v>-13</v>
      </c>
      <c r="DK63" s="83">
        <f t="shared" si="257"/>
        <v>-203</v>
      </c>
      <c r="DL63" s="83">
        <f t="shared" si="258"/>
        <v>-200.09316770186336</v>
      </c>
      <c r="DM63" s="83">
        <f t="shared" si="259"/>
        <v>-216</v>
      </c>
      <c r="DN63" s="64" t="str">
        <f t="shared" si="260"/>
        <v>SELL</v>
      </c>
      <c r="DO63" s="64" t="str">
        <f t="shared" si="261"/>
        <v>BUY</v>
      </c>
      <c r="DP63" s="83">
        <f t="shared" si="262"/>
        <v>8.8706211180124193</v>
      </c>
      <c r="DQ63" s="83">
        <f t="shared" si="263"/>
        <v>-50.78</v>
      </c>
      <c r="DR63" s="83">
        <f t="shared" ca="1" si="264"/>
        <v>10.717996208955972</v>
      </c>
      <c r="DS63" s="83">
        <f t="shared" si="265"/>
        <v>-12.3</v>
      </c>
      <c r="DT63" s="83">
        <f t="shared" si="290"/>
        <v>13</v>
      </c>
      <c r="DU63" s="83">
        <f t="shared" si="291"/>
        <v>-203</v>
      </c>
      <c r="DV63" s="83">
        <f t="shared" si="266"/>
        <v>-492</v>
      </c>
      <c r="DW63" s="83">
        <f t="shared" si="267"/>
        <v>10909</v>
      </c>
      <c r="DX63" s="83">
        <f t="shared" ca="1" si="365"/>
        <v>4.7133410380418156E-2</v>
      </c>
      <c r="DY63" s="83">
        <f t="shared" ca="1" si="366"/>
        <v>-5.5816406620203984E-2</v>
      </c>
      <c r="DZ63" s="83">
        <f t="shared" ca="1" si="367"/>
        <v>2.5781840063507432E-2</v>
      </c>
      <c r="EA63" s="83">
        <f t="shared" ca="1" si="368"/>
        <v>-2.5781840063507432E-2</v>
      </c>
      <c r="EB63" s="83">
        <f t="shared" ca="1" si="369"/>
        <v>2.4540310381074418E-2</v>
      </c>
      <c r="EC63" s="83">
        <f t="shared" ca="1" si="370"/>
        <v>-2.4540310381074418E-2</v>
      </c>
      <c r="ED63" s="63">
        <f t="shared" si="292"/>
        <v>10417</v>
      </c>
      <c r="EE63" s="84">
        <f t="shared" si="268"/>
        <v>1.1833</v>
      </c>
      <c r="EF63" s="84">
        <f t="shared" si="269"/>
        <v>0.40860000000000002</v>
      </c>
      <c r="EG63" s="84">
        <f t="shared" si="270"/>
        <v>0.23710000000000001</v>
      </c>
      <c r="EH63" s="84">
        <f t="shared" si="271"/>
        <v>0.23710000000000001</v>
      </c>
      <c r="EI63" s="84">
        <f t="shared" si="272"/>
        <v>0.25</v>
      </c>
      <c r="EJ63" s="84">
        <f t="shared" si="273"/>
        <v>0.25</v>
      </c>
      <c r="EK63" s="63">
        <f t="shared" ca="1" si="293"/>
        <v>-162901608.40351599</v>
      </c>
      <c r="EL63" s="83" t="str">
        <f>RTD("tos.rtd",,EL$43,"."&amp;$A$43&amp;$AS$42&amp;"C"&amp;$A63)</f>
        <v>118.33%</v>
      </c>
      <c r="EM63" s="83" t="str">
        <f>RTD("tos.rtd",,EM$43,"."&amp;$A$43&amp;$AS$42&amp;"P"&amp;$A63)</f>
        <v>40.86%</v>
      </c>
      <c r="EN63" s="83" t="str">
        <f>RTD("tos.rtd",,EN$2,"."&amp;$A$43&amp;$AU$1&amp;"C"&amp;$A63)</f>
        <v>23.71%</v>
      </c>
      <c r="EO63" s="83" t="str">
        <f>RTD("tos.rtd",,EO$2,"."&amp;$A$43&amp;$AU$1&amp;"P"&amp;$A63)</f>
        <v>23.71%</v>
      </c>
      <c r="EP63" s="83" t="str">
        <f>RTD("tos.rtd",,EP$2,"."&amp;$A$43&amp;$AW$1&amp;"C"&amp;$A63)</f>
        <v>N/A</v>
      </c>
      <c r="EQ63" s="83" t="str">
        <f>RTD("tos.rtd",,EQ$2,"."&amp;$A$43&amp;$AW$1&amp;"P"&amp;$A63)</f>
        <v>N/A</v>
      </c>
      <c r="ES63" s="63" t="str">
        <f t="shared" si="274"/>
        <v>504,10417.00</v>
      </c>
      <c r="ET63" s="63" t="str">
        <f t="shared" ca="1" si="275"/>
        <v>504,-599873.61</v>
      </c>
      <c r="EU63" s="68">
        <v>571.24</v>
      </c>
      <c r="EV63" s="68" t="s">
        <v>523</v>
      </c>
      <c r="EW63" s="68">
        <v>496</v>
      </c>
      <c r="EX63" s="68" t="s">
        <v>524</v>
      </c>
      <c r="EY63" s="68">
        <v>5659.91</v>
      </c>
      <c r="EZ63" s="68" t="s">
        <v>525</v>
      </c>
      <c r="FA63" s="68">
        <v>20061.449000000001</v>
      </c>
      <c r="FB63" s="68" t="s">
        <v>526</v>
      </c>
      <c r="FC63" s="68" t="s">
        <v>527</v>
      </c>
      <c r="FD63" s="68" t="s">
        <v>528</v>
      </c>
      <c r="FE63" s="68" t="s">
        <v>529</v>
      </c>
      <c r="FF63" s="68" t="s">
        <v>530</v>
      </c>
    </row>
    <row r="64" spans="1:162" ht="13.5" thickBot="1" x14ac:dyDescent="0.25">
      <c r="A64" s="2">
        <f t="shared" si="294"/>
        <v>503</v>
      </c>
      <c r="B64" s="3">
        <f t="shared" si="241"/>
        <v>1579</v>
      </c>
      <c r="C64" s="3">
        <f t="shared" si="242"/>
        <v>3764</v>
      </c>
      <c r="D64" s="3">
        <f t="shared" si="243"/>
        <v>0</v>
      </c>
      <c r="E64" s="3">
        <f t="shared" si="244"/>
        <v>5343</v>
      </c>
      <c r="F64" s="34">
        <f t="shared" si="298"/>
        <v>20751.499527242642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>
        <v>-6101</v>
      </c>
      <c r="AN64" s="12">
        <v>-4168</v>
      </c>
      <c r="AO64" s="12">
        <v>503</v>
      </c>
      <c r="AP64" s="12">
        <v>53593</v>
      </c>
      <c r="AQ64" s="12">
        <v>-134889</v>
      </c>
      <c r="AR64" s="12"/>
      <c r="AS64" s="6">
        <f>IF(RTD("tos.rtd",,AS$43,"."&amp;$A$43&amp;$AS$42&amp;"C"&amp;$A64)="N/A",0,RTD("tos.rtd",,AS$43,"."&amp;$A$43&amp;$AS$42&amp;"C"&amp;$A64))</f>
        <v>1561</v>
      </c>
      <c r="AT64" s="7">
        <f>-IF(RTD("tos.rtd",,AT$43,"."&amp;$A$43&amp;$AS$42&amp;"P"&amp;$A64)="N/A",0,RTD("tos.rtd",,AT$43,"."&amp;$A$43&amp;$AS$42&amp;"P"&amp;$A64))</f>
        <v>-18</v>
      </c>
      <c r="AU64" s="6">
        <f>IF(RTD("tos.rtd",,AU$2,"."&amp;$A$43&amp;$AU$1&amp;"C"&amp;$A64)="N/A",0,RTD("tos.rtd",,AU$2,"."&amp;$A$43&amp;$AU$1&amp;"C"&amp;$A64))</f>
        <v>3684</v>
      </c>
      <c r="AV64" s="7">
        <f>-IF(RTD("tos.rtd",,AV$2,"."&amp;$A$43&amp;$AU$1&amp;"P"&amp;$A64)="N/A",0,RTD("tos.rtd",,AV$2,"."&amp;$A$43&amp;$AU$1&amp;"P"&amp;$A64))</f>
        <v>-80</v>
      </c>
      <c r="AW64" s="6">
        <f>IF(RTD("tos.rtd",,AW$2,"."&amp;$A$43&amp;$AW$1&amp;"C"&amp;$A64)="N/A",0,RTD("tos.rtd",,AW$2,"."&amp;$A$43&amp;$AW$1&amp;"C"&amp;$A64))</f>
        <v>0</v>
      </c>
      <c r="AX64" s="7">
        <f>-IF(RTD("tos.rtd",,AX$2,"."&amp;$A$43&amp;$AW$1&amp;"P"&amp;$A64)="N/A",0,RTD("tos.rtd",,AX$2,"."&amp;$A$43&amp;$AW$1&amp;"P"&amp;$A64))</f>
        <v>0</v>
      </c>
      <c r="AY64" s="7">
        <f t="shared" si="276"/>
        <v>5147</v>
      </c>
      <c r="AZ64" s="8">
        <f t="shared" si="245"/>
        <v>503</v>
      </c>
      <c r="BA64" s="6">
        <f>IF(RTD("tos.rtd",,BA$43,"."&amp;$A$43&amp;$AS$42&amp;"C"&amp;$A64)="N/A",0,RTD("tos.rtd",,BA$43,"."&amp;$A$43&amp;$AS$42&amp;"C"&amp;$A64))</f>
        <v>53597</v>
      </c>
      <c r="BB64" s="7">
        <f>-IF(RTD("tos.rtd",,BB$43,"."&amp;$A$43&amp;$AS$42&amp;"P"&amp;$A64)="N/A",0,RTD("tos.rtd",,BB$43,"."&amp;$A$43&amp;$AS$42&amp;"P"&amp;$A64))</f>
        <v>-135084</v>
      </c>
      <c r="BC64" s="6">
        <f>IF(RTD("tos.rtd",,BC$2,"."&amp;$A$43&amp;$AU$1&amp;"C"&amp;$A64)="N/A",0,RTD("tos.rtd",,BC$2,"."&amp;$A$43&amp;$AU$1&amp;"C"&amp;$A64))</f>
        <v>3319</v>
      </c>
      <c r="BD64" s="7">
        <f>-IF(RTD("tos.rtd",,BD$2,"."&amp;$A$43&amp;$AU$1&amp;"P"&amp;$A64)="N/A",0,RTD("tos.rtd",,BD$2,"."&amp;$A$43&amp;$AU$1&amp;"P"&amp;$A64))</f>
        <v>-7323</v>
      </c>
      <c r="BE64" s="6">
        <f>IF(RTD("tos.rtd",,BE$2,"."&amp;$A$43&amp;$AW$1&amp;"C"&amp;$A64)="N/A",0,RTD("tos.rtd",,BE$2,"."&amp;$A$43&amp;$AW$1&amp;"C"&amp;$A64))</f>
        <v>0</v>
      </c>
      <c r="BF64" s="7">
        <f>-IF(RTD("tos.rtd",,BF$2,"."&amp;$A$43&amp;$AW$1&amp;"P"&amp;$A64)="N/A",0,RTD("tos.rtd",,BF$2,"."&amp;$A$43&amp;$AW$1&amp;"P"&amp;$A64))</f>
        <v>0</v>
      </c>
      <c r="BG64" s="32">
        <f ca="1">+Hoja2!Y65</f>
        <v>-353</v>
      </c>
      <c r="BH64" s="7">
        <f t="shared" ca="1" si="277"/>
        <v>-85844</v>
      </c>
      <c r="BI64" s="8" t="str">
        <f t="shared" ca="1" si="295"/>
        <v/>
      </c>
      <c r="BJ64" s="83">
        <f ca="1">IF($BP$1=1,DX64,IF(RTD("tos.rtd",,BJ$43,"."&amp;$A$43&amp;$AS$42&amp;"C"&amp;$A64)="N/A",0,RTD("tos.rtd",,BJ$43,"."&amp;$A$43&amp;$AS$42&amp;"C"&amp;$A64)))</f>
        <v>3.2637993126400026E-2</v>
      </c>
      <c r="BK64" s="83">
        <f ca="1">IF($BP$1=1,DY64,-IF(RTD("tos.rtd",,BK$43,"."&amp;$A$43&amp;$AS$42&amp;"P"&amp;$A64)="N/A",0,RTD("tos.rtd",,BK$43,"."&amp;$A$43&amp;$AS$42&amp;"P"&amp;$A64)))</f>
        <v>-4.8193488879168418E-2</v>
      </c>
      <c r="BL64" s="83">
        <f ca="1">IF($BP$1=1,DZ64,IF(RTD("tos.rtd",,BL$2,"."&amp;$A$43&amp;$AU$1&amp;"C"&amp;$A64)="N/A",0,RTD("tos.rtd",,BL$2,"."&amp;$A$43&amp;$AU$1&amp;"C"&amp;$A64)))</f>
        <v>2.5100917330001388E-2</v>
      </c>
      <c r="BM64" s="83">
        <f ca="1">IF($BP$1=1,EA64,-IF(RTD("tos.rtd",,BM$2,"."&amp;$A$43&amp;$AU$1&amp;"P"&amp;$A64)="N/A",0,RTD("tos.rtd",,BM$2,"."&amp;$A$43&amp;$AU$1&amp;"P"&amp;$A64)))</f>
        <v>-2.5044952610632613E-2</v>
      </c>
      <c r="BN64" s="83">
        <f ca="1">IF($BP$1=1,EB64,IF(RTD("tos.rtd",,BN$2,"."&amp;$A$43&amp;$AW$1&amp;"C"&amp;$A64)="N/A",0,RTD("tos.rtd",,BN$2,"."&amp;$A$43&amp;$AW$1&amp;"C"&amp;$A64)))</f>
        <v>2.4066997889229138E-2</v>
      </c>
      <c r="BO64" s="83">
        <f ca="1">IF($BP$1=1,EC64,-IF(RTD("tos.rtd",,BO$2,"."&amp;$A$43&amp;$AW$1&amp;"P"&amp;$A64)="N/A",0,RTD("tos.rtd",,BO$2,"."&amp;$A$43&amp;$AW$1&amp;"P"&amp;$A64)))</f>
        <v>-2.4066997889229138E-2</v>
      </c>
      <c r="BQ64" s="83">
        <f t="shared" ca="1" si="278"/>
        <v>12906660.668019332</v>
      </c>
      <c r="BR64" s="3" t="str">
        <f t="shared" ca="1" si="279"/>
        <v/>
      </c>
      <c r="BS64" s="83">
        <f t="shared" ca="1" si="280"/>
        <v>23315340.367229979</v>
      </c>
      <c r="BT64" s="3" t="str">
        <f t="shared" ca="1" si="281"/>
        <v/>
      </c>
      <c r="BU64" s="83">
        <f t="shared" ca="1" si="282"/>
        <v>0</v>
      </c>
      <c r="BV64" s="83"/>
      <c r="BX64" s="83">
        <f t="shared" ca="1" si="283"/>
        <v>-1226965300.3099802</v>
      </c>
      <c r="BY64" s="83" t="str">
        <f t="shared" ca="1" si="296"/>
        <v/>
      </c>
      <c r="BZ64" s="83">
        <f t="shared" ca="1" si="284"/>
        <v>-25796155.831188388</v>
      </c>
      <c r="CA64" s="83" t="str">
        <f t="shared" ca="1" si="296"/>
        <v>Cruce -</v>
      </c>
      <c r="CB64" s="83">
        <f t="shared" ca="1" si="285"/>
        <v>0</v>
      </c>
      <c r="CC64" s="83" t="str">
        <f t="shared" ca="1" si="296"/>
        <v/>
      </c>
      <c r="CD64" s="83">
        <f>IF(RTD("tos.rtd",,CD$43,"."&amp;$A$43&amp;$AS$42&amp;"C"&amp;$A64)="N/A",0,RTD("tos.rtd",,CD$43,"."&amp;$A$43&amp;$AS$42&amp;"C"&amp;$A64))</f>
        <v>0.76</v>
      </c>
      <c r="CE64" s="83">
        <f>-IF(RTD("tos.rtd",,CE$43,"."&amp;$A$43&amp;$AS$42&amp;"P"&amp;$A64)="N/A",0,RTD("tos.rtd",,CE$43,"."&amp;$A$43&amp;$AS$42&amp;"P"&amp;$A64))</f>
        <v>0.02</v>
      </c>
      <c r="CF64" s="83">
        <f>IF(RTD("tos.rtd",,CF$2,"."&amp;$A$43&amp;$AU$1&amp;"C"&amp;$A64)="N/A",0,RTD("tos.rtd",,CF$2,"."&amp;$A$43&amp;$AU$1&amp;"C"&amp;$A64))</f>
        <v>0.66</v>
      </c>
      <c r="CG64" s="83">
        <f>-IF(RTD("tos.rtd",,CG$2,"."&amp;$A$43&amp;$AU$1&amp;"P"&amp;$A64)="N/A",0,RTD("tos.rtd",,CG$2,"."&amp;$A$43&amp;$AU$1&amp;"P"&amp;$A64))</f>
        <v>0.35</v>
      </c>
      <c r="CH64" s="83">
        <f>IF(RTD("tos.rtd",,CH$2,"."&amp;$A$43&amp;$AW$1&amp;"C"&amp;$A64)="N/A",0,RTD("tos.rtd",,CH$2,"."&amp;$A$43&amp;$AW$1&amp;"C"&amp;$A64))</f>
        <v>0</v>
      </c>
      <c r="CI64" s="83">
        <f>-IF(RTD("tos.rtd",,CI$2,"."&amp;$A$43&amp;$AW$1&amp;"P"&amp;$A64)="N/A",0,RTD("tos.rtd",,CI$2,"."&amp;$A$43&amp;$AW$1&amp;"P"&amp;$A64))</f>
        <v>0</v>
      </c>
      <c r="CK64" s="83">
        <f t="shared" si="286"/>
        <v>118600.00000000001</v>
      </c>
      <c r="CL64" s="83"/>
      <c r="CM64" s="83">
        <f t="shared" si="287"/>
        <v>240344</v>
      </c>
      <c r="CN64" s="83"/>
      <c r="CO64" s="83">
        <f t="shared" si="288"/>
        <v>0</v>
      </c>
      <c r="CP64" s="83">
        <f t="shared" si="235"/>
        <v>358944</v>
      </c>
      <c r="CQ64" s="83">
        <f t="shared" si="249"/>
        <v>-81487</v>
      </c>
      <c r="CR64" s="83"/>
      <c r="CS64" s="83">
        <f t="shared" si="250"/>
        <v>-4004</v>
      </c>
      <c r="CT64" s="83"/>
      <c r="CU64" s="83">
        <f t="shared" si="251"/>
        <v>0</v>
      </c>
      <c r="CV64" s="83"/>
      <c r="CW64" s="83">
        <f t="shared" ca="1" si="252"/>
        <v>36222001.035249308</v>
      </c>
      <c r="CY64" s="83">
        <f t="shared" ca="1" si="253"/>
        <v>-1252761456.1411686</v>
      </c>
      <c r="CZ64" s="70" t="str">
        <f t="shared" ca="1" si="297"/>
        <v/>
      </c>
      <c r="DA64" s="83">
        <f>IF(RTD("tos.rtd",,DA$43,"."&amp;$A$43&amp;$AS$42&amp;"C"&amp;$A64)="N/A",0,RTD("tos.rtd",,DA$43,"."&amp;$A$43&amp;$AS$42&amp;"C"&amp;$A64))</f>
        <v>4.7</v>
      </c>
      <c r="DB64" s="83">
        <f>IF(RTD("tos.rtd",,DB$43,"."&amp;$A$43&amp;$AS$42&amp;"P"&amp;$A64)="N/A",0,RTD("tos.rtd",,DB$43,"."&amp;$A$43&amp;$AS$42&amp;"P"&amp;$A64))</f>
        <v>0.01</v>
      </c>
      <c r="DC64" s="83">
        <f>IF(RTD("tos.rtd",,DC$43,"."&amp;$A$43&amp;$AS$42&amp;"C"&amp;$A64)="N/A",0,RTD("tos.rtd",,DC$43,"."&amp;$A$43&amp;$AS$42&amp;"C"&amp;$A64))</f>
        <v>6.88</v>
      </c>
      <c r="DD64" s="83">
        <f>IF(RTD("tos.rtd",,DD$43,"."&amp;$A$43&amp;$AS$42&amp;"P"&amp;$A64)="N/A",0,RTD("tos.rtd",,DD$43,"."&amp;$A$43&amp;$AS$42&amp;"P"&amp;$A64))</f>
        <v>0.02</v>
      </c>
      <c r="DE64" s="83">
        <f>IF(RTD("tos.rtd",,DE$43,"."&amp;$A$43&amp;$AS$42&amp;"C"&amp;$A64)="N/A",0,RTD("tos.rtd",,DE$43,"."&amp;$A$43&amp;$AS$42&amp;"C"&amp;$A64))</f>
        <v>4.3899999999999997</v>
      </c>
      <c r="DF64" s="83">
        <f>IF(RTD("tos.rtd",,DF$43,"."&amp;$A$43&amp;$AS$42&amp;"P"&amp;$A64)="N/A",0,RTD("tos.rtd",,DF$43,"."&amp;$A$43&amp;$AS$42&amp;"P"&amp;$A64))</f>
        <v>0.01</v>
      </c>
      <c r="DG64" s="86">
        <f t="shared" si="289"/>
        <v>-4.660000000000025</v>
      </c>
      <c r="DH64" s="83">
        <f t="shared" si="254"/>
        <v>0.4979919678714867</v>
      </c>
      <c r="DI64" s="83">
        <f t="shared" si="255"/>
        <v>0</v>
      </c>
      <c r="DJ64" s="83">
        <f t="shared" si="256"/>
        <v>-4</v>
      </c>
      <c r="DK64" s="83">
        <f t="shared" si="257"/>
        <v>195</v>
      </c>
      <c r="DL64" s="83">
        <f t="shared" si="258"/>
        <v>0.4979919678714867</v>
      </c>
      <c r="DM64" s="83">
        <f t="shared" si="259"/>
        <v>191</v>
      </c>
      <c r="DN64" s="64" t="str">
        <f t="shared" si="260"/>
        <v>SELL</v>
      </c>
      <c r="DO64" s="64" t="str">
        <f t="shared" si="261"/>
        <v>SELL</v>
      </c>
      <c r="DP64" s="83">
        <f t="shared" si="262"/>
        <v>2.3405622489959876</v>
      </c>
      <c r="DQ64" s="83">
        <f t="shared" si="263"/>
        <v>-16.850000000000001</v>
      </c>
      <c r="DR64" s="83">
        <f t="shared" ca="1" si="264"/>
        <v>-9.5282823039434419</v>
      </c>
      <c r="DS64" s="83">
        <f t="shared" si="265"/>
        <v>0.85999999999999988</v>
      </c>
      <c r="DT64" s="83">
        <f t="shared" si="290"/>
        <v>4</v>
      </c>
      <c r="DU64" s="83">
        <f t="shared" si="291"/>
        <v>-195</v>
      </c>
      <c r="DV64" s="83">
        <f t="shared" si="266"/>
        <v>-6105</v>
      </c>
      <c r="DW64" s="83">
        <f t="shared" si="267"/>
        <v>-3973</v>
      </c>
      <c r="DX64" s="83">
        <f t="shared" ca="1" si="365"/>
        <v>3.2637993126400026E-2</v>
      </c>
      <c r="DY64" s="83">
        <f t="shared" ca="1" si="366"/>
        <v>-4.8193488879168418E-2</v>
      </c>
      <c r="DZ64" s="83">
        <f t="shared" ca="1" si="367"/>
        <v>2.5100917330001388E-2</v>
      </c>
      <c r="EA64" s="83">
        <f t="shared" ca="1" si="368"/>
        <v>-2.5044952610632613E-2</v>
      </c>
      <c r="EB64" s="83">
        <f t="shared" ca="1" si="369"/>
        <v>2.4066997889229138E-2</v>
      </c>
      <c r="EC64" s="83">
        <f t="shared" ca="1" si="370"/>
        <v>-2.4066997889229138E-2</v>
      </c>
      <c r="ED64" s="63">
        <f t="shared" si="292"/>
        <v>-10078</v>
      </c>
      <c r="EE64" s="84">
        <f t="shared" si="268"/>
        <v>1.7636000000000001</v>
      </c>
      <c r="EF64" s="84">
        <f t="shared" si="269"/>
        <v>0.58689999999999998</v>
      </c>
      <c r="EG64" s="84">
        <f t="shared" si="270"/>
        <v>0.23849999999999999</v>
      </c>
      <c r="EH64" s="84">
        <f t="shared" si="271"/>
        <v>0.23910000000000001</v>
      </c>
      <c r="EI64" s="84">
        <f t="shared" si="272"/>
        <v>0.25</v>
      </c>
      <c r="EJ64" s="84">
        <f t="shared" si="273"/>
        <v>0.25</v>
      </c>
      <c r="EK64" s="63">
        <f t="shared" ca="1" si="293"/>
        <v>-2005622.5862425566</v>
      </c>
      <c r="EL64" s="83" t="str">
        <f>RTD("tos.rtd",,EL$43,"."&amp;$A$43&amp;$AS$42&amp;"C"&amp;$A64)</f>
        <v>176.36%</v>
      </c>
      <c r="EM64" s="83" t="str">
        <f>RTD("tos.rtd",,EM$43,"."&amp;$A$43&amp;$AS$42&amp;"P"&amp;$A64)</f>
        <v>58.69%</v>
      </c>
      <c r="EN64" s="83" t="str">
        <f>RTD("tos.rtd",,EN$2,"."&amp;$A$43&amp;$AU$1&amp;"C"&amp;$A64)</f>
        <v>23.85%</v>
      </c>
      <c r="EO64" s="83" t="str">
        <f>RTD("tos.rtd",,EO$2,"."&amp;$A$43&amp;$AU$1&amp;"P"&amp;$A64)</f>
        <v>23.91%</v>
      </c>
      <c r="EP64" s="83" t="str">
        <f>RTD("tos.rtd",,EP$2,"."&amp;$A$43&amp;$AW$1&amp;"C"&amp;$A64)</f>
        <v>N/A</v>
      </c>
      <c r="EQ64" s="83" t="str">
        <f>RTD("tos.rtd",,EQ$2,"."&amp;$A$43&amp;$AW$1&amp;"P"&amp;$A64)</f>
        <v>N/A</v>
      </c>
      <c r="ES64" s="63" t="str">
        <f t="shared" si="274"/>
        <v>503,-10078.00</v>
      </c>
      <c r="ET64" s="63" t="str">
        <f t="shared" ca="1" si="275"/>
        <v>503,-1252761.46</v>
      </c>
      <c r="EU64" s="68">
        <v>571.27</v>
      </c>
      <c r="EV64" s="68" t="s">
        <v>531</v>
      </c>
      <c r="EW64" s="68">
        <v>496.04</v>
      </c>
      <c r="EX64" s="68" t="s">
        <v>532</v>
      </c>
      <c r="EY64" s="68">
        <v>5659.91</v>
      </c>
      <c r="EZ64" s="68" t="s">
        <v>533</v>
      </c>
      <c r="FA64" s="68">
        <v>20061.449000000001</v>
      </c>
      <c r="FB64" s="68" t="s">
        <v>534</v>
      </c>
      <c r="FC64" s="68" t="s">
        <v>535</v>
      </c>
      <c r="FD64" s="68" t="s">
        <v>536</v>
      </c>
      <c r="FE64" s="68" t="s">
        <v>537</v>
      </c>
      <c r="FF64" s="68" t="s">
        <v>538</v>
      </c>
    </row>
    <row r="65" spans="1:162" ht="13.5" thickBot="1" x14ac:dyDescent="0.25">
      <c r="A65" s="2">
        <f t="shared" si="294"/>
        <v>502</v>
      </c>
      <c r="B65" s="3">
        <f t="shared" ref="B65:B69" si="371">+IF($A$1="ABS",AS65-AT65,AS65+AT65)</f>
        <v>1913</v>
      </c>
      <c r="C65" s="3">
        <f t="shared" si="242"/>
        <v>3246</v>
      </c>
      <c r="D65" s="3">
        <f t="shared" ref="D65:D69" si="372">+IF($A$1="ABS",AW65-AX65,AW65+AX65)</f>
        <v>0</v>
      </c>
      <c r="E65" s="3">
        <f t="shared" ref="E65:E69" si="373">SUM(B65:D65)</f>
        <v>5159</v>
      </c>
      <c r="F65" s="4">
        <f t="shared" ref="F65:F69" si="374">+$F$44/$A$44*A65</f>
        <v>20710.244060985697</v>
      </c>
      <c r="AM65" s="1">
        <v>2494</v>
      </c>
      <c r="AN65" s="1">
        <v>1904</v>
      </c>
      <c r="AO65" s="1">
        <v>502</v>
      </c>
      <c r="AP65" s="1">
        <v>19523</v>
      </c>
      <c r="AQ65" s="1">
        <v>-84649</v>
      </c>
      <c r="AS65" s="6">
        <f>IF(RTD("tos.rtd",,AS$43,"."&amp;$A$43&amp;$AS$42&amp;"C"&amp;$A65)="N/A",0,RTD("tos.rtd",,AS$43,"."&amp;$A$43&amp;$AS$42&amp;"C"&amp;$A65))</f>
        <v>1901</v>
      </c>
      <c r="AT65" s="7">
        <f>-IF(RTD("tos.rtd",,AT$43,"."&amp;$A$43&amp;$AS$42&amp;"P"&amp;$A65)="N/A",0,RTD("tos.rtd",,AT$43,"."&amp;$A$43&amp;$AS$42&amp;"P"&amp;$A65))</f>
        <v>-12</v>
      </c>
      <c r="AU65" s="6">
        <f>IF(RTD("tos.rtd",,AU$2,"."&amp;$A$43&amp;$AU$1&amp;"C"&amp;$A65)="N/A",0,RTD("tos.rtd",,AU$2,"."&amp;$A$43&amp;$AU$1&amp;"C"&amp;$A65))</f>
        <v>3120</v>
      </c>
      <c r="AV65" s="7">
        <f>-IF(RTD("tos.rtd",,AV$2,"."&amp;$A$43&amp;$AU$1&amp;"P"&amp;$A65)="N/A",0,RTD("tos.rtd",,AV$2,"."&amp;$A$43&amp;$AU$1&amp;"P"&amp;$A65))</f>
        <v>-126</v>
      </c>
      <c r="AW65" s="6">
        <f>IF(RTD("tos.rtd",,AW$2,"."&amp;$A$43&amp;$AW$1&amp;"C"&amp;$A65)="N/A",0,RTD("tos.rtd",,AW$2,"."&amp;$A$43&amp;$AW$1&amp;"C"&amp;$A65))</f>
        <v>0</v>
      </c>
      <c r="AX65" s="7">
        <f>-IF(RTD("tos.rtd",,AX$2,"."&amp;$A$43&amp;$AW$1&amp;"P"&amp;$A65)="N/A",0,RTD("tos.rtd",,AX$2,"."&amp;$A$43&amp;$AW$1&amp;"P"&amp;$A65))</f>
        <v>0</v>
      </c>
      <c r="AY65" s="7">
        <f t="shared" ref="AY65:AY69" si="375">SUM(AS65:AX65)</f>
        <v>4883</v>
      </c>
      <c r="AZ65" s="8">
        <f t="shared" si="245"/>
        <v>502</v>
      </c>
      <c r="BA65" s="6">
        <f>IF(RTD("tos.rtd",,BA$43,"."&amp;$A$43&amp;$AS$42&amp;"C"&amp;$A65)="N/A",0,RTD("tos.rtd",,BA$43,"."&amp;$A$43&amp;$AS$42&amp;"C"&amp;$A65))</f>
        <v>19523</v>
      </c>
      <c r="BB65" s="7">
        <f>-IF(RTD("tos.rtd",,BB$43,"."&amp;$A$43&amp;$AS$42&amp;"P"&amp;$A65)="N/A",0,RTD("tos.rtd",,BB$43,"."&amp;$A$43&amp;$AS$42&amp;"P"&amp;$A65))</f>
        <v>-84660</v>
      </c>
      <c r="BC65" s="6">
        <f>IF(RTD("tos.rtd",,BC$2,"."&amp;$A$43&amp;$AU$1&amp;"C"&amp;$A65)="N/A",0,RTD("tos.rtd",,BC$2,"."&amp;$A$43&amp;$AU$1&amp;"C"&amp;$A65))</f>
        <v>2234</v>
      </c>
      <c r="BD65" s="7">
        <f>-IF(RTD("tos.rtd",,BD$2,"."&amp;$A$43&amp;$AU$1&amp;"P"&amp;$A65)="N/A",0,RTD("tos.rtd",,BD$2,"."&amp;$A$43&amp;$AU$1&amp;"P"&amp;$A65))</f>
        <v>-3893</v>
      </c>
      <c r="BE65" s="6">
        <f>IF(RTD("tos.rtd",,BE$2,"."&amp;$A$43&amp;$AW$1&amp;"C"&amp;$A65)="N/A",0,RTD("tos.rtd",,BE$2,"."&amp;$A$43&amp;$AW$1&amp;"C"&amp;$A65))</f>
        <v>0</v>
      </c>
      <c r="BF65" s="7">
        <f>-IF(RTD("tos.rtd",,BF$2,"."&amp;$A$43&amp;$AW$1&amp;"P"&amp;$A65)="N/A",0,RTD("tos.rtd",,BF$2,"."&amp;$A$43&amp;$AW$1&amp;"P"&amp;$A65))</f>
        <v>0</v>
      </c>
      <c r="BG65" s="32">
        <f ca="1">+Hoja2!Y66</f>
        <v>499</v>
      </c>
      <c r="BH65" s="7">
        <f t="shared" ca="1" si="277"/>
        <v>-66297</v>
      </c>
      <c r="BI65" s="8" t="str">
        <f t="shared" ca="1" si="295"/>
        <v/>
      </c>
      <c r="BJ65" s="83">
        <f ca="1">IF($BP$1=1,DX65,IF(RTD("tos.rtd",,BJ$43,"."&amp;$A$43&amp;$AS$42&amp;"C"&amp;$A65)="N/A",0,RTD("tos.rtd",,BJ$43,"."&amp;$A$43&amp;$AS$42&amp;"C"&amp;$A65)))</f>
        <v>3.7485339889843032E-4</v>
      </c>
      <c r="BK65" s="83">
        <f ca="1">IF($BP$1=1,DY65,-IF(RTD("tos.rtd",,BK$43,"."&amp;$A$43&amp;$AS$42&amp;"P"&amp;$A65)="N/A",0,RTD("tos.rtd",,BK$43,"."&amp;$A$43&amp;$AS$42&amp;"P"&amp;$A65)))</f>
        <v>-3.3873144873969828E-2</v>
      </c>
      <c r="BL65" s="83">
        <f ca="1">IF($BP$1=1,DZ65,IF(RTD("tos.rtd",,BL$2,"."&amp;$A$43&amp;$AU$1&amp;"C"&amp;$A65)="N/A",0,RTD("tos.rtd",,BL$2,"."&amp;$A$43&amp;$AU$1&amp;"C"&amp;$A65)))</f>
        <v>2.4279657510484512E-2</v>
      </c>
      <c r="BM65" s="83">
        <f ca="1">IF($BP$1=1,EA65,-IF(RTD("tos.rtd",,BM$2,"."&amp;$A$43&amp;$AU$1&amp;"P"&amp;$A65)="N/A",0,RTD("tos.rtd",,BM$2,"."&amp;$A$43&amp;$AU$1&amp;"P"&amp;$A65)))</f>
        <v>-2.4279657510484512E-2</v>
      </c>
      <c r="BN65" s="83">
        <f ca="1">IF($BP$1=1,EB65,IF(RTD("tos.rtd",,BN$2,"."&amp;$A$43&amp;$AW$1&amp;"C"&amp;$A65)="N/A",0,RTD("tos.rtd",,BN$2,"."&amp;$A$43&amp;$AW$1&amp;"C"&amp;$A65)))</f>
        <v>2.3504126270119316E-2</v>
      </c>
      <c r="BO65" s="83">
        <f ca="1">IF($BP$1=1,EC65,-IF(RTD("tos.rtd",,BO$2,"."&amp;$A$43&amp;$AW$1&amp;"P"&amp;$A65)="N/A",0,RTD("tos.rtd",,BO$2,"."&amp;$A$43&amp;$AW$1&amp;"P"&amp;$A65)))</f>
        <v>-2.3504126270119316E-2</v>
      </c>
      <c r="BQ65" s="83">
        <f t="shared" ref="BQ65:BQ69" ca="1" si="376">+$A$44*$A$44*AS65*BJ65-$A$44*$A$44*AT65*BK65</f>
        <v>78892.473163288785</v>
      </c>
      <c r="BR65" s="3" t="str">
        <f t="shared" ca="1" si="279"/>
        <v/>
      </c>
      <c r="BS65" s="83">
        <f t="shared" ref="BS65:BS69" ca="1" si="377">+$A$44*$A$44*AU65*BL65-$A$44*$A$44*AV65*BM65</f>
        <v>18734419.605805244</v>
      </c>
      <c r="BT65" s="3" t="str">
        <f t="shared" ca="1" si="281"/>
        <v/>
      </c>
      <c r="BU65" s="83">
        <f t="shared" ref="BU65:BU69" ca="1" si="378">+$A$44*$A$44*AW65*BN65-$A$44*$A$44*AX65*BO65</f>
        <v>0</v>
      </c>
      <c r="BV65" s="83"/>
      <c r="BX65" s="83">
        <f t="shared" ref="BX65:BX69" ca="1" si="379">+$A$44*$A$44*BA65*BJ65-$A$44*$A$44*BB65*BK65</f>
        <v>-737173907.68673015</v>
      </c>
      <c r="BY65" s="83" t="str">
        <f t="shared" ca="1" si="296"/>
        <v/>
      </c>
      <c r="BZ65" s="83">
        <f t="shared" ref="BZ65:BZ69" ca="1" si="380">+$A$44*$A$44*BC65*BL65-$A$44*$A$44*BD65*BM65</f>
        <v>-10380895.833677655</v>
      </c>
      <c r="CA65" s="83" t="str">
        <f t="shared" ca="1" si="296"/>
        <v/>
      </c>
      <c r="CB65" s="83">
        <f t="shared" ref="CB65:CB69" ca="1" si="381">+$A$44*$A$44*BE65*BN65-$A$44*$A$44*BF65*BO65</f>
        <v>0</v>
      </c>
      <c r="CC65" s="83" t="str">
        <f t="shared" ca="1" si="296"/>
        <v/>
      </c>
      <c r="CD65" s="83">
        <f>IF(RTD("tos.rtd",,CD$43,"."&amp;$A$43&amp;$AS$42&amp;"C"&amp;$A65)="N/A",0,RTD("tos.rtd",,CD$43,"."&amp;$A$43&amp;$AS$42&amp;"C"&amp;$A65))</f>
        <v>1</v>
      </c>
      <c r="CE65" s="83">
        <f>-IF(RTD("tos.rtd",,CE$43,"."&amp;$A$43&amp;$AS$42&amp;"P"&amp;$A65)="N/A",0,RTD("tos.rtd",,CE$43,"."&amp;$A$43&amp;$AS$42&amp;"P"&amp;$A65))</f>
        <v>0.01</v>
      </c>
      <c r="CF65" s="83">
        <f>IF(RTD("tos.rtd",,CF$2,"."&amp;$A$43&amp;$AU$1&amp;"C"&amp;$A65)="N/A",0,RTD("tos.rtd",,CF$2,"."&amp;$A$43&amp;$AU$1&amp;"C"&amp;$A65))</f>
        <v>0.68</v>
      </c>
      <c r="CG65" s="83">
        <f>-IF(RTD("tos.rtd",,CG$2,"."&amp;$A$43&amp;$AU$1&amp;"P"&amp;$A65)="N/A",0,RTD("tos.rtd",,CG$2,"."&amp;$A$43&amp;$AU$1&amp;"P"&amp;$A65))</f>
        <v>0.32</v>
      </c>
      <c r="CH65" s="83">
        <f>IF(RTD("tos.rtd",,CH$2,"."&amp;$A$43&amp;$AW$1&amp;"C"&amp;$A65)="N/A",0,RTD("tos.rtd",,CH$2,"."&amp;$A$43&amp;$AW$1&amp;"C"&amp;$A65))</f>
        <v>0</v>
      </c>
      <c r="CI65" s="83">
        <f>-IF(RTD("tos.rtd",,CI$2,"."&amp;$A$43&amp;$AW$1&amp;"P"&amp;$A65)="N/A",0,RTD("tos.rtd",,CI$2,"."&amp;$A$43&amp;$AW$1&amp;"P"&amp;$A65))</f>
        <v>0</v>
      </c>
      <c r="CK65" s="83">
        <f t="shared" ref="CK65:CK69" si="382">+AS65*CD65*100+AT65*CE65*100</f>
        <v>190088</v>
      </c>
      <c r="CL65" s="83"/>
      <c r="CM65" s="83">
        <f t="shared" ref="CM65:CM69" si="383">+AU65*CF65*100+AV65*CG65*100</f>
        <v>208128.00000000003</v>
      </c>
      <c r="CN65" s="83"/>
      <c r="CO65" s="83">
        <f t="shared" ref="CO65:CO69" si="384">+AW65*CH65*100+AX65*CI65*100</f>
        <v>0</v>
      </c>
      <c r="CP65" s="83">
        <f t="shared" ref="CP65:CP69" si="385">+CK65+CM65+CO65</f>
        <v>398216</v>
      </c>
      <c r="CQ65" s="83">
        <f t="shared" ref="CQ65:CQ69" si="386">+BA65+BB65</f>
        <v>-65137</v>
      </c>
      <c r="CR65" s="83"/>
      <c r="CS65" s="83">
        <f t="shared" ref="CS65:CS69" si="387">+BC65+BD65</f>
        <v>-1659</v>
      </c>
      <c r="CT65" s="83"/>
      <c r="CU65" s="83">
        <f t="shared" ref="CU65:CU69" si="388">+BE65+BF65</f>
        <v>0</v>
      </c>
      <c r="CV65" s="83"/>
      <c r="CW65" s="83">
        <f t="shared" ref="CW65:CW69" ca="1" si="389">+BQ65+BS65+BU65</f>
        <v>18813312.078968532</v>
      </c>
      <c r="CY65" s="83">
        <f t="shared" ref="CY65:CY69" ca="1" si="390">+BX65+BZ65+CB65</f>
        <v>-747554803.5204078</v>
      </c>
      <c r="CZ65" s="70" t="str">
        <f t="shared" ca="1" si="297"/>
        <v/>
      </c>
      <c r="DA65" s="83">
        <f>IF(RTD("tos.rtd",,DA$43,"."&amp;$A$43&amp;$AS$42&amp;"C"&amp;$A65)="N/A",0,RTD("tos.rtd",,DA$43,"."&amp;$A$43&amp;$AS$42&amp;"C"&amp;$A65))</f>
        <v>5.75</v>
      </c>
      <c r="DB65" s="83">
        <f>IF(RTD("tos.rtd",,DB$43,"."&amp;$A$43&amp;$AS$42&amp;"P"&amp;$A65)="N/A",0,RTD("tos.rtd",,DB$43,"."&amp;$A$43&amp;$AS$42&amp;"P"&amp;$A65))</f>
        <v>0.01</v>
      </c>
      <c r="DC65" s="83">
        <f>IF(RTD("tos.rtd",,DC$43,"."&amp;$A$43&amp;$AS$42&amp;"C"&amp;$A65)="N/A",0,RTD("tos.rtd",,DC$43,"."&amp;$A$43&amp;$AS$42&amp;"C"&amp;$A65))</f>
        <v>5.74</v>
      </c>
      <c r="DD65" s="83">
        <f>IF(RTD("tos.rtd",,DD$43,"."&amp;$A$43&amp;$AS$42&amp;"P"&amp;$A65)="N/A",0,RTD("tos.rtd",,DD$43,"."&amp;$A$43&amp;$AS$42&amp;"P"&amp;$A65))</f>
        <v>0.01</v>
      </c>
      <c r="DE65" s="83">
        <f>IF(RTD("tos.rtd",,DE$43,"."&amp;$A$43&amp;$AS$42&amp;"C"&amp;$A65)="N/A",0,RTD("tos.rtd",,DE$43,"."&amp;$A$43&amp;$AS$42&amp;"C"&amp;$A65))</f>
        <v>5.42</v>
      </c>
      <c r="DF65" s="83">
        <f>IF(RTD("tos.rtd",,DF$43,"."&amp;$A$43&amp;$AS$42&amp;"P"&amp;$A65)="N/A",0,RTD("tos.rtd",,DF$43,"."&amp;$A$43&amp;$AS$42&amp;"P"&amp;$A65))</f>
        <v>0</v>
      </c>
      <c r="DG65" s="86">
        <f t="shared" si="289"/>
        <v>-5.660000000000025</v>
      </c>
      <c r="DH65" s="83">
        <f t="shared" ref="DH65:DH69" si="391">((DA65-DE65)/(DC65-DE65))*(BA65-AP65)</f>
        <v>0</v>
      </c>
      <c r="DI65" s="83">
        <f t="shared" ref="DI65:DI69" si="392">((DB65-DF65)/(DD65-DF65))*(BB65-AQ65)</f>
        <v>-11</v>
      </c>
      <c r="DJ65" s="83">
        <f t="shared" ref="DJ65:DJ69" si="393">IF(DA65&gt;=(DE65+(DC65-DE65)*0.6),(BA65-AP65),IF(DA65&lt;=(DE65+(DC65-DE65)*0.4),-(BA65-AP65),0))</f>
        <v>0</v>
      </c>
      <c r="DK65" s="83">
        <f t="shared" si="257"/>
        <v>-11</v>
      </c>
      <c r="DL65" s="83">
        <f t="shared" si="258"/>
        <v>-11</v>
      </c>
      <c r="DM65" s="83">
        <f t="shared" si="259"/>
        <v>-11</v>
      </c>
      <c r="DN65" s="64" t="str">
        <f t="shared" si="260"/>
        <v>UNKNOWN</v>
      </c>
      <c r="DO65" s="64" t="str">
        <f t="shared" si="261"/>
        <v>BUY</v>
      </c>
      <c r="DP65" s="83">
        <f t="shared" si="262"/>
        <v>-0.11</v>
      </c>
      <c r="DQ65" s="83">
        <f t="shared" si="263"/>
        <v>-0.11</v>
      </c>
      <c r="DR65" s="83">
        <f t="shared" ca="1" si="264"/>
        <v>0.3726045936136681</v>
      </c>
      <c r="DS65" s="83">
        <f t="shared" si="265"/>
        <v>-0.11</v>
      </c>
      <c r="DT65" s="83">
        <f t="shared" si="290"/>
        <v>0</v>
      </c>
      <c r="DU65" s="83">
        <f t="shared" si="291"/>
        <v>-11</v>
      </c>
      <c r="DV65" s="83">
        <f t="shared" si="266"/>
        <v>2494</v>
      </c>
      <c r="DW65" s="83">
        <f t="shared" si="267"/>
        <v>1893</v>
      </c>
      <c r="DX65" s="83">
        <f t="shared" ref="DX65:DX69" ca="1" si="394">(EXP(-POWER((LN($A$44/$A65)+($EC$1+POWER($EE65,2)/2)*($EM$1/$DY$1))/($EE65*SQRT($EM$1/$DY$1)),2)/2)/SQRT(2*PI())/($A$44*$EE65*SQRT($EM$1/$DY$1)))</f>
        <v>3.7485339889843032E-4</v>
      </c>
      <c r="DY65" s="83">
        <f t="shared" ref="DY65:DY69" ca="1" si="395">-(EXP(-POWER((LN($A$44/$A65)+($EC$1+POWER($EF65,2)/2)*($EM$1/$DY$1))/($EF65*SQRT($EM$1/$DY$1)),2)/2)/SQRT(2*PI())/($A$44*$EF65*SQRT($EM$1/$DY$1)))</f>
        <v>-3.3873144873969828E-2</v>
      </c>
      <c r="DZ65" s="83">
        <f t="shared" ref="DZ65:DZ69" ca="1" si="396">(EXP(-POWER((LN($A$44/$A65)+($EC$1+POWER($EG65,2)/2)*($EO$1/$DY$1))/($EG65*SQRT($EO$1/$DY$1)),2)/2)/SQRT(2*PI())/($A$44*$EG65*SQRT($EO$1/$DY$1)))</f>
        <v>2.4279657510484512E-2</v>
      </c>
      <c r="EA65" s="83">
        <f t="shared" ref="EA65:EA69" ca="1" si="397">-(EXP(-POWER((LN($A$44/$A65)+($EC$1+POWER($EH65,2)/2)*($EO$1/$DY$1))/($EH65*SQRT($EO$1/$DY$1)),2)/2)/SQRT(2*PI())/($A$44*$EH65*SQRT($EO$1/$DY$1)))</f>
        <v>-2.4279657510484512E-2</v>
      </c>
      <c r="EB65" s="83">
        <f t="shared" ref="EB65:EB69" ca="1" si="398">(EXP(-POWER((LN($A$44/$A65)+($EC$1+POWER($EI65,2)/2)*($EO$1/$DY$1))/($EI65*SQRT($EO$1/$DY$1)),2)/2)/SQRT(2*PI())/($A$44*$EI65*SQRT($EO$1/$DY$1)))</f>
        <v>2.3504126270119316E-2</v>
      </c>
      <c r="EC65" s="83">
        <f t="shared" ref="EC65:EC69" ca="1" si="399">-(EXP(-POWER((LN($A$44/$A65)+($EC$1+POWER($EJ65,2)/2)*($EO$1/$DY$1))/($EJ65*SQRT($EO$1/$DY$1)),2)/2)/SQRT(2*PI())/($A$44*$EJ65*SQRT($EO$1/$DY$1)))</f>
        <v>-2.3504126270119316E-2</v>
      </c>
      <c r="ED65" s="63">
        <f t="shared" si="292"/>
        <v>4387</v>
      </c>
      <c r="EE65" s="84">
        <f t="shared" ref="EE65:EE69" si="400">IFERROR(VALUE(IF(OR(EL65="--",EL65="0.00%"),$EE$1,EL65)),$EE$1)</f>
        <v>0.25</v>
      </c>
      <c r="EF65" s="84">
        <f t="shared" ref="EF65:EF69" si="401">IFERROR(VALUE(IF(OR(EM65="--",EM65="0.00%"),$EE$1,EM65)),$EE$1)</f>
        <v>0.60060000000000002</v>
      </c>
      <c r="EG65" s="84">
        <f t="shared" ref="EG65:EG69" si="402">IFERROR(VALUE(IF(OR(EN65="--",EN65="0.00%"),$EE$1,EN65)),$EE$1)</f>
        <v>0.24060000000000001</v>
      </c>
      <c r="EH65" s="84">
        <f t="shared" ref="EH65:EH69" si="403">IFERROR(VALUE(IF(OR(EO65="--",EO65="0.00%"),$EE$1,EO65)),$EE$1)</f>
        <v>0.24060000000000001</v>
      </c>
      <c r="EI65" s="84">
        <f t="shared" ref="EI65:EI69" si="404">IFERROR(VALUE(IF(OR(EP65="--",EP65="0.00%"),$EE$1,EP65)),$EE$1)</f>
        <v>0.25</v>
      </c>
      <c r="EJ65" s="84">
        <f t="shared" ref="EJ65:EJ69" si="405">IFERROR(VALUE(IF(OR(EQ65="--",EQ65="0.00%"),$EE$1,EQ65)),$EE$1)</f>
        <v>0.25</v>
      </c>
      <c r="EK65" s="63">
        <f t="shared" ca="1" si="293"/>
        <v>-16284464.509431332</v>
      </c>
      <c r="EL65" s="83" t="str">
        <f>RTD("tos.rtd",,EL$43,"."&amp;$A$43&amp;$AS$42&amp;"C"&amp;$A65)</f>
        <v>--</v>
      </c>
      <c r="EM65" s="83" t="str">
        <f>RTD("tos.rtd",,EM$43,"."&amp;$A$43&amp;$AS$42&amp;"P"&amp;$A65)</f>
        <v>60.06%</v>
      </c>
      <c r="EN65" s="83" t="str">
        <f>RTD("tos.rtd",,EN$2,"."&amp;$A$43&amp;$AU$1&amp;"C"&amp;$A65)</f>
        <v>24.06%</v>
      </c>
      <c r="EO65" s="83" t="str">
        <f>RTD("tos.rtd",,EO$2,"."&amp;$A$43&amp;$AU$1&amp;"P"&amp;$A65)</f>
        <v>24.06%</v>
      </c>
      <c r="EP65" s="83" t="str">
        <f>RTD("tos.rtd",,EP$2,"."&amp;$A$43&amp;$AW$1&amp;"C"&amp;$A65)</f>
        <v>N/A</v>
      </c>
      <c r="EQ65" s="83" t="str">
        <f>RTD("tos.rtd",,EQ$2,"."&amp;$A$43&amp;$AW$1&amp;"P"&amp;$A65)</f>
        <v>N/A</v>
      </c>
      <c r="ES65" s="63" t="str">
        <f t="shared" si="274"/>
        <v>502,4387.00</v>
      </c>
      <c r="ET65" s="63" t="str">
        <f t="shared" ca="1" si="275"/>
        <v>502,-747554.80</v>
      </c>
      <c r="EU65" s="68">
        <v>571.35</v>
      </c>
      <c r="EV65" s="68" t="s">
        <v>539</v>
      </c>
      <c r="EW65" s="68">
        <v>496</v>
      </c>
      <c r="EX65" s="68" t="s">
        <v>540</v>
      </c>
      <c r="EY65" s="68">
        <v>5659.91</v>
      </c>
      <c r="EZ65" s="68" t="s">
        <v>541</v>
      </c>
      <c r="FA65" s="68">
        <v>20061.449000000001</v>
      </c>
      <c r="FB65" s="68" t="s">
        <v>542</v>
      </c>
      <c r="FC65" s="68" t="s">
        <v>543</v>
      </c>
      <c r="FD65" s="68" t="s">
        <v>544</v>
      </c>
      <c r="FE65" s="68" t="s">
        <v>545</v>
      </c>
      <c r="FF65" s="68" t="s">
        <v>546</v>
      </c>
    </row>
    <row r="66" spans="1:162" ht="13.5" thickBot="1" x14ac:dyDescent="0.25">
      <c r="A66" s="2">
        <f t="shared" si="294"/>
        <v>501</v>
      </c>
      <c r="B66" s="3">
        <f t="shared" si="371"/>
        <v>786</v>
      </c>
      <c r="C66" s="3">
        <f t="shared" si="242"/>
        <v>2575</v>
      </c>
      <c r="D66" s="3">
        <f t="shared" si="372"/>
        <v>0</v>
      </c>
      <c r="E66" s="3">
        <f t="shared" si="373"/>
        <v>3361</v>
      </c>
      <c r="F66" s="4">
        <f t="shared" si="374"/>
        <v>20668.988594728755</v>
      </c>
      <c r="AM66" s="1">
        <v>-1194</v>
      </c>
      <c r="AN66" s="1">
        <v>-2301</v>
      </c>
      <c r="AO66" s="1">
        <v>501</v>
      </c>
      <c r="AP66" s="1">
        <v>5775</v>
      </c>
      <c r="AQ66" s="1">
        <v>-51483</v>
      </c>
      <c r="AS66" s="6">
        <f>IF(RTD("tos.rtd",,AS$43,"."&amp;$A$43&amp;$AS$42&amp;"C"&amp;$A66)="N/A",0,RTD("tos.rtd",,AS$43,"."&amp;$A$43&amp;$AS$42&amp;"C"&amp;$A66))</f>
        <v>786</v>
      </c>
      <c r="AT66" s="7">
        <f>-IF(RTD("tos.rtd",,AT$43,"."&amp;$A$43&amp;$AS$42&amp;"P"&amp;$A66)="N/A",0,RTD("tos.rtd",,AT$43,"."&amp;$A$43&amp;$AS$42&amp;"P"&amp;$A66))</f>
        <v>0</v>
      </c>
      <c r="AU66" s="6">
        <f>IF(RTD("tos.rtd",,AU$2,"."&amp;$A$43&amp;$AU$1&amp;"C"&amp;$A66)="N/A",0,RTD("tos.rtd",,AU$2,"."&amp;$A$43&amp;$AU$1&amp;"C"&amp;$A66))</f>
        <v>2541</v>
      </c>
      <c r="AV66" s="7">
        <f>-IF(RTD("tos.rtd",,AV$2,"."&amp;$A$43&amp;$AU$1&amp;"P"&amp;$A66)="N/A",0,RTD("tos.rtd",,AV$2,"."&amp;$A$43&amp;$AU$1&amp;"P"&amp;$A66))</f>
        <v>-34</v>
      </c>
      <c r="AW66" s="6">
        <f>IF(RTD("tos.rtd",,AW$2,"."&amp;$A$43&amp;$AW$1&amp;"C"&amp;$A66)="N/A",0,RTD("tos.rtd",,AW$2,"."&amp;$A$43&amp;$AW$1&amp;"C"&amp;$A66))</f>
        <v>0</v>
      </c>
      <c r="AX66" s="7">
        <f>-IF(RTD("tos.rtd",,AX$2,"."&amp;$A$43&amp;$AW$1&amp;"P"&amp;$A66)="N/A",0,RTD("tos.rtd",,AX$2,"."&amp;$A$43&amp;$AW$1&amp;"P"&amp;$A66))</f>
        <v>0</v>
      </c>
      <c r="AY66" s="7">
        <f t="shared" si="375"/>
        <v>3293</v>
      </c>
      <c r="AZ66" s="8">
        <f t="shared" si="245"/>
        <v>501</v>
      </c>
      <c r="BA66" s="6">
        <f>IF(RTD("tos.rtd",,BA$43,"."&amp;$A$43&amp;$AS$42&amp;"C"&amp;$A66)="N/A",0,RTD("tos.rtd",,BA$43,"."&amp;$A$43&amp;$AS$42&amp;"C"&amp;$A66))</f>
        <v>5777</v>
      </c>
      <c r="BB66" s="7">
        <f>-IF(RTD("tos.rtd",,BB$43,"."&amp;$A$43&amp;$AS$42&amp;"P"&amp;$A66)="N/A",0,RTD("tos.rtd",,BB$43,"."&amp;$A$43&amp;$AS$42&amp;"P"&amp;$A66))</f>
        <v>-51484</v>
      </c>
      <c r="BC66" s="6">
        <f>IF(RTD("tos.rtd",,BC$2,"."&amp;$A$43&amp;$AU$1&amp;"C"&amp;$A66)="N/A",0,RTD("tos.rtd",,BC$2,"."&amp;$A$43&amp;$AU$1&amp;"C"&amp;$A66))</f>
        <v>1523</v>
      </c>
      <c r="BD66" s="7">
        <f>-IF(RTD("tos.rtd",,BD$2,"."&amp;$A$43&amp;$AU$1&amp;"P"&amp;$A66)="N/A",0,RTD("tos.rtd",,BD$2,"."&amp;$A$43&amp;$AU$1&amp;"P"&amp;$A66))</f>
        <v>-2461</v>
      </c>
      <c r="BE66" s="6">
        <f>IF(RTD("tos.rtd",,BE$2,"."&amp;$A$43&amp;$AW$1&amp;"C"&amp;$A66)="N/A",0,RTD("tos.rtd",,BE$2,"."&amp;$A$43&amp;$AW$1&amp;"C"&amp;$A66))</f>
        <v>0</v>
      </c>
      <c r="BF66" s="7">
        <f>-IF(RTD("tos.rtd",,BF$2,"."&amp;$A$43&amp;$AW$1&amp;"P"&amp;$A66)="N/A",0,RTD("tos.rtd",,BF$2,"."&amp;$A$43&amp;$AW$1&amp;"P"&amp;$A66))</f>
        <v>0</v>
      </c>
      <c r="BG66" s="32">
        <f ca="1">+Hoja2!Y67</f>
        <v>513</v>
      </c>
      <c r="BH66" s="7">
        <f t="shared" ca="1" si="277"/>
        <v>-46132</v>
      </c>
      <c r="BI66" s="8" t="str">
        <f t="shared" ca="1" si="295"/>
        <v/>
      </c>
      <c r="BJ66" s="83">
        <f ca="1">IF($BP$1=1,DX66,IF(RTD("tos.rtd",,BJ$43,"."&amp;$A$43&amp;$AS$42&amp;"C"&amp;$A66)="N/A",0,RTD("tos.rtd",,BJ$43,"."&amp;$A$43&amp;$AS$42&amp;"C"&amp;$A66)))</f>
        <v>3.015676479762887E-5</v>
      </c>
      <c r="BK66" s="83">
        <f ca="1">IF($BP$1=1,DY66,-IF(RTD("tos.rtd",,BK$43,"."&amp;$A$43&amp;$AS$42&amp;"P"&amp;$A66)="N/A",0,RTD("tos.rtd",,BK$43,"."&amp;$A$43&amp;$AS$42&amp;"P"&amp;$A66)))</f>
        <v>-2.8046001848937477E-2</v>
      </c>
      <c r="BL66" s="83">
        <f ca="1">IF($BP$1=1,DZ66,IF(RTD("tos.rtd",,BL$2,"."&amp;$A$43&amp;$AU$1&amp;"C"&amp;$A66)="N/A",0,RTD("tos.rtd",,BL$2,"."&amp;$A$43&amp;$AU$1&amp;"C"&amp;$A66)))</f>
        <v>2.3295567179547706E-2</v>
      </c>
      <c r="BM66" s="83">
        <f ca="1">IF($BP$1=1,EA66,-IF(RTD("tos.rtd",,BM$2,"."&amp;$A$43&amp;$AU$1&amp;"P"&amp;$A66)="N/A",0,RTD("tos.rtd",,BM$2,"."&amp;$A$43&amp;$AU$1&amp;"P"&amp;$A66)))</f>
        <v>-2.3424170027118978E-2</v>
      </c>
      <c r="BN66" s="83">
        <f ca="1">IF($BP$1=1,EB66,IF(RTD("tos.rtd",,BN$2,"."&amp;$A$43&amp;$AW$1&amp;"C"&amp;$A66)="N/A",0,RTD("tos.rtd",,BN$2,"."&amp;$A$43&amp;$AW$1&amp;"C"&amp;$A66)))</f>
        <v>2.2857870662617474E-2</v>
      </c>
      <c r="BO66" s="83">
        <f ca="1">IF($BP$1=1,EC66,-IF(RTD("tos.rtd",,BO$2,"."&amp;$A$43&amp;$AW$1&amp;"P"&amp;$A66)="N/A",0,RTD("tos.rtd",,BO$2,"."&amp;$A$43&amp;$AW$1&amp;"P"&amp;$A66)))</f>
        <v>-2.2857870662617474E-2</v>
      </c>
      <c r="BQ66" s="83">
        <f t="shared" ca="1" si="376"/>
        <v>6108.7617264441333</v>
      </c>
      <c r="BR66" s="3" t="str">
        <f t="shared" ca="1" si="279"/>
        <v/>
      </c>
      <c r="BS66" s="83">
        <f t="shared" ca="1" si="377"/>
        <v>15050155.847116854</v>
      </c>
      <c r="BT66" s="3" t="str">
        <f t="shared" ca="1" si="281"/>
        <v/>
      </c>
      <c r="BU66" s="83">
        <f t="shared" ca="1" si="378"/>
        <v>0</v>
      </c>
      <c r="BV66" s="83"/>
      <c r="BX66" s="83">
        <f t="shared" ca="1" si="379"/>
        <v>-372080344.0210095</v>
      </c>
      <c r="BY66" s="83" t="str">
        <f t="shared" ca="1" si="296"/>
        <v/>
      </c>
      <c r="BZ66" s="83">
        <f t="shared" ca="1" si="380"/>
        <v>-5713038.9501898196</v>
      </c>
      <c r="CA66" s="83" t="str">
        <f t="shared" ca="1" si="296"/>
        <v/>
      </c>
      <c r="CB66" s="83">
        <f t="shared" ca="1" si="381"/>
        <v>0</v>
      </c>
      <c r="CC66" s="83" t="str">
        <f t="shared" ca="1" si="296"/>
        <v/>
      </c>
      <c r="CD66" s="83">
        <f>IF(RTD("tos.rtd",,CD$43,"."&amp;$A$43&amp;$AS$42&amp;"C"&amp;$A66)="N/A",0,RTD("tos.rtd",,CD$43,"."&amp;$A$43&amp;$AS$42&amp;"C"&amp;$A66))</f>
        <v>1</v>
      </c>
      <c r="CE66" s="83">
        <f>-IF(RTD("tos.rtd",,CE$43,"."&amp;$A$43&amp;$AS$42&amp;"P"&amp;$A66)="N/A",0,RTD("tos.rtd",,CE$43,"."&amp;$A$43&amp;$AS$42&amp;"P"&amp;$A66))</f>
        <v>0.01</v>
      </c>
      <c r="CF66" s="83">
        <f>IF(RTD("tos.rtd",,CF$2,"."&amp;$A$43&amp;$AU$1&amp;"C"&amp;$A66)="N/A",0,RTD("tos.rtd",,CF$2,"."&amp;$A$43&amp;$AU$1&amp;"C"&amp;$A66))</f>
        <v>0.71</v>
      </c>
      <c r="CG66" s="83">
        <f>-IF(RTD("tos.rtd",,CG$2,"."&amp;$A$43&amp;$AU$1&amp;"P"&amp;$A66)="N/A",0,RTD("tos.rtd",,CG$2,"."&amp;$A$43&amp;$AU$1&amp;"P"&amp;$A66))</f>
        <v>0.28999999999999998</v>
      </c>
      <c r="CH66" s="83">
        <f>IF(RTD("tos.rtd",,CH$2,"."&amp;$A$43&amp;$AW$1&amp;"C"&amp;$A66)="N/A",0,RTD("tos.rtd",,CH$2,"."&amp;$A$43&amp;$AW$1&amp;"C"&amp;$A66))</f>
        <v>0</v>
      </c>
      <c r="CI66" s="83">
        <f>-IF(RTD("tos.rtd",,CI$2,"."&amp;$A$43&amp;$AW$1&amp;"P"&amp;$A66)="N/A",0,RTD("tos.rtd",,CI$2,"."&amp;$A$43&amp;$AW$1&amp;"P"&amp;$A66))</f>
        <v>0</v>
      </c>
      <c r="CK66" s="83">
        <f t="shared" si="382"/>
        <v>78600</v>
      </c>
      <c r="CL66" s="83"/>
      <c r="CM66" s="83">
        <f t="shared" si="383"/>
        <v>179425</v>
      </c>
      <c r="CN66" s="83"/>
      <c r="CO66" s="83">
        <f t="shared" si="384"/>
        <v>0</v>
      </c>
      <c r="CP66" s="83">
        <f t="shared" si="385"/>
        <v>258025</v>
      </c>
      <c r="CQ66" s="83">
        <f t="shared" si="386"/>
        <v>-45707</v>
      </c>
      <c r="CR66" s="83"/>
      <c r="CS66" s="83">
        <f t="shared" si="387"/>
        <v>-938</v>
      </c>
      <c r="CT66" s="83"/>
      <c r="CU66" s="83">
        <f t="shared" si="388"/>
        <v>0</v>
      </c>
      <c r="CV66" s="83"/>
      <c r="CW66" s="83">
        <f t="shared" ca="1" si="389"/>
        <v>15056264.608843299</v>
      </c>
      <c r="CY66" s="83">
        <f t="shared" ca="1" si="390"/>
        <v>-377793382.97119933</v>
      </c>
      <c r="CZ66" s="70" t="str">
        <f t="shared" ca="1" si="297"/>
        <v/>
      </c>
      <c r="DA66" s="83">
        <f>IF(RTD("tos.rtd",,DA$43,"."&amp;$A$43&amp;$AS$42&amp;"C"&amp;$A66)="N/A",0,RTD("tos.rtd",,DA$43,"."&amp;$A$43&amp;$AS$42&amp;"C"&amp;$A66))</f>
        <v>6.5</v>
      </c>
      <c r="DB66" s="83">
        <f>IF(RTD("tos.rtd",,DB$43,"."&amp;$A$43&amp;$AS$42&amp;"P"&amp;$A66)="N/A",0,RTD("tos.rtd",,DB$43,"."&amp;$A$43&amp;$AS$42&amp;"P"&amp;$A66))</f>
        <v>0.01</v>
      </c>
      <c r="DC66" s="83">
        <f>IF(RTD("tos.rtd",,DC$43,"."&amp;$A$43&amp;$AS$42&amp;"C"&amp;$A66)="N/A",0,RTD("tos.rtd",,DC$43,"."&amp;$A$43&amp;$AS$42&amp;"C"&amp;$A66))</f>
        <v>6.72</v>
      </c>
      <c r="DD66" s="83">
        <f>IF(RTD("tos.rtd",,DD$43,"."&amp;$A$43&amp;$AS$42&amp;"P"&amp;$A66)="N/A",0,RTD("tos.rtd",,DD$43,"."&amp;$A$43&amp;$AS$42&amp;"P"&amp;$A66))</f>
        <v>0.01</v>
      </c>
      <c r="DE66" s="83">
        <f>IF(RTD("tos.rtd",,DE$43,"."&amp;$A$43&amp;$AS$42&amp;"C"&amp;$A66)="N/A",0,RTD("tos.rtd",,DE$43,"."&amp;$A$43&amp;$AS$42&amp;"C"&amp;$A66))</f>
        <v>6.42</v>
      </c>
      <c r="DF66" s="83">
        <f>IF(RTD("tos.rtd",,DF$43,"."&amp;$A$43&amp;$AS$42&amp;"P"&amp;$A66)="N/A",0,RTD("tos.rtd",,DF$43,"."&amp;$A$43&amp;$AS$42&amp;"P"&amp;$A66))</f>
        <v>0</v>
      </c>
      <c r="DG66" s="86">
        <f t="shared" si="289"/>
        <v>-6.660000000000025</v>
      </c>
      <c r="DH66" s="83">
        <f t="shared" si="391"/>
        <v>0.5333333333333341</v>
      </c>
      <c r="DI66" s="83">
        <f t="shared" si="392"/>
        <v>-1</v>
      </c>
      <c r="DJ66" s="83">
        <f t="shared" si="393"/>
        <v>-2</v>
      </c>
      <c r="DK66" s="83">
        <f t="shared" si="257"/>
        <v>-1</v>
      </c>
      <c r="DL66" s="83">
        <f t="shared" si="258"/>
        <v>-0.4666666666666659</v>
      </c>
      <c r="DM66" s="83">
        <f t="shared" si="259"/>
        <v>-3</v>
      </c>
      <c r="DN66" s="64" t="str">
        <f t="shared" si="260"/>
        <v>SELL</v>
      </c>
      <c r="DO66" s="64" t="str">
        <f t="shared" si="261"/>
        <v>BUY</v>
      </c>
      <c r="DP66" s="83">
        <f t="shared" si="262"/>
        <v>3.4566666666666719</v>
      </c>
      <c r="DQ66" s="83">
        <f t="shared" si="263"/>
        <v>-13.01</v>
      </c>
      <c r="DR66" s="83">
        <f t="shared" ca="1" si="264"/>
        <v>2.7985688319342217E-2</v>
      </c>
      <c r="DS66" s="83">
        <f t="shared" si="265"/>
        <v>-2.0099999999999998</v>
      </c>
      <c r="DT66" s="83">
        <f t="shared" si="290"/>
        <v>2</v>
      </c>
      <c r="DU66" s="83">
        <f t="shared" si="291"/>
        <v>-1</v>
      </c>
      <c r="DV66" s="83">
        <f t="shared" si="266"/>
        <v>-1196</v>
      </c>
      <c r="DW66" s="83">
        <f t="shared" si="267"/>
        <v>-2302</v>
      </c>
      <c r="DX66" s="83">
        <f t="shared" ca="1" si="394"/>
        <v>3.015676479762887E-5</v>
      </c>
      <c r="DY66" s="83">
        <f t="shared" ca="1" si="395"/>
        <v>-2.8046001848937477E-2</v>
      </c>
      <c r="DZ66" s="83">
        <f t="shared" ca="1" si="396"/>
        <v>2.3295567179547706E-2</v>
      </c>
      <c r="EA66" s="83">
        <f t="shared" ca="1" si="397"/>
        <v>-2.3424170027118978E-2</v>
      </c>
      <c r="EB66" s="83">
        <f t="shared" ca="1" si="398"/>
        <v>2.2857870662617474E-2</v>
      </c>
      <c r="EC66" s="83">
        <f t="shared" ca="1" si="399"/>
        <v>-2.2857870662617474E-2</v>
      </c>
      <c r="ED66" s="63">
        <f t="shared" si="292"/>
        <v>-3498</v>
      </c>
      <c r="EE66" s="84">
        <f t="shared" si="400"/>
        <v>0.25</v>
      </c>
      <c r="EF66" s="84">
        <f t="shared" si="401"/>
        <v>0.69430000000000003</v>
      </c>
      <c r="EG66" s="84">
        <f t="shared" si="402"/>
        <v>0.24410000000000001</v>
      </c>
      <c r="EH66" s="84">
        <f t="shared" si="403"/>
        <v>0.2424</v>
      </c>
      <c r="EI66" s="84">
        <f t="shared" si="404"/>
        <v>0.25</v>
      </c>
      <c r="EJ66" s="84">
        <f t="shared" si="405"/>
        <v>0.25</v>
      </c>
      <c r="EK66" s="63">
        <f t="shared" ca="1" si="293"/>
        <v>16629511.131451504</v>
      </c>
      <c r="EL66" s="83" t="str">
        <f>RTD("tos.rtd",,EL$43,"."&amp;$A$43&amp;$AS$42&amp;"C"&amp;$A66)</f>
        <v>--</v>
      </c>
      <c r="EM66" s="83" t="str">
        <f>RTD("tos.rtd",,EM$43,"."&amp;$A$43&amp;$AS$42&amp;"P"&amp;$A66)</f>
        <v>69.43%</v>
      </c>
      <c r="EN66" s="83" t="str">
        <f>RTD("tos.rtd",,EN$2,"."&amp;$A$43&amp;$AU$1&amp;"C"&amp;$A66)</f>
        <v>24.41%</v>
      </c>
      <c r="EO66" s="83" t="str">
        <f>RTD("tos.rtd",,EO$2,"."&amp;$A$43&amp;$AU$1&amp;"P"&amp;$A66)</f>
        <v>24.24%</v>
      </c>
      <c r="EP66" s="83" t="str">
        <f>RTD("tos.rtd",,EP$2,"."&amp;$A$43&amp;$AW$1&amp;"C"&amp;$A66)</f>
        <v>N/A</v>
      </c>
      <c r="EQ66" s="83" t="str">
        <f>RTD("tos.rtd",,EQ$2,"."&amp;$A$43&amp;$AW$1&amp;"P"&amp;$A66)</f>
        <v>N/A</v>
      </c>
      <c r="ES66" s="63" t="str">
        <f t="shared" si="274"/>
        <v>501,-3498.00</v>
      </c>
      <c r="ET66" s="63" t="str">
        <f t="shared" ca="1" si="275"/>
        <v>501,-377793.38</v>
      </c>
      <c r="EU66" s="68">
        <v>571.35</v>
      </c>
      <c r="EV66" s="68" t="s">
        <v>547</v>
      </c>
      <c r="EW66" s="68">
        <v>496.11</v>
      </c>
      <c r="EX66" s="68" t="s">
        <v>548</v>
      </c>
      <c r="EY66" s="68">
        <v>5659.91</v>
      </c>
      <c r="EZ66" s="68" t="s">
        <v>549</v>
      </c>
      <c r="FA66" s="68">
        <v>20061.449000000001</v>
      </c>
      <c r="FB66" s="68" t="s">
        <v>550</v>
      </c>
      <c r="FC66" s="68" t="s">
        <v>551</v>
      </c>
      <c r="FD66" s="68" t="s">
        <v>552</v>
      </c>
      <c r="FE66" s="68" t="s">
        <v>553</v>
      </c>
      <c r="FF66" s="68" t="s">
        <v>554</v>
      </c>
    </row>
    <row r="67" spans="1:162" ht="13.5" thickBot="1" x14ac:dyDescent="0.25">
      <c r="A67" s="2">
        <f t="shared" si="294"/>
        <v>500</v>
      </c>
      <c r="B67" s="3">
        <f t="shared" si="371"/>
        <v>6389</v>
      </c>
      <c r="C67" s="3">
        <f t="shared" si="242"/>
        <v>58493</v>
      </c>
      <c r="D67" s="3">
        <f t="shared" si="372"/>
        <v>101435</v>
      </c>
      <c r="E67" s="3">
        <f t="shared" si="373"/>
        <v>166317</v>
      </c>
      <c r="F67" s="4">
        <f t="shared" si="374"/>
        <v>20627.733128471809</v>
      </c>
      <c r="AM67" s="1">
        <v>-1183</v>
      </c>
      <c r="AN67" s="1">
        <v>8276</v>
      </c>
      <c r="AO67" s="1">
        <v>500</v>
      </c>
      <c r="AP67" s="1">
        <v>14549</v>
      </c>
      <c r="AQ67" s="1">
        <v>-120663</v>
      </c>
      <c r="AS67" s="6">
        <f>IF(RTD("tos.rtd",,AS$43,"."&amp;$A$43&amp;$AS$42&amp;"C"&amp;$A67)="N/A",0,RTD("tos.rtd",,AS$43,"."&amp;$A$43&amp;$AS$42&amp;"C"&amp;$A67))</f>
        <v>6260</v>
      </c>
      <c r="AT67" s="7">
        <f>-IF(RTD("tos.rtd",,AT$43,"."&amp;$A$43&amp;$AS$42&amp;"P"&amp;$A67)="N/A",0,RTD("tos.rtd",,AT$43,"."&amp;$A$43&amp;$AS$42&amp;"P"&amp;$A67))</f>
        <v>-129</v>
      </c>
      <c r="AU67" s="6">
        <f>IF(RTD("tos.rtd",,AU$2,"."&amp;$A$43&amp;$AU$1&amp;"C"&amp;$A67)="N/A",0,RTD("tos.rtd",,AU$2,"."&amp;$A$43&amp;$AU$1&amp;"C"&amp;$A67))</f>
        <v>55479</v>
      </c>
      <c r="AV67" s="7">
        <f>-IF(RTD("tos.rtd",,AV$2,"."&amp;$A$43&amp;$AU$1&amp;"P"&amp;$A67)="N/A",0,RTD("tos.rtd",,AV$2,"."&amp;$A$43&amp;$AU$1&amp;"P"&amp;$A67))</f>
        <v>-3014</v>
      </c>
      <c r="AW67" s="6">
        <f>IF(RTD("tos.rtd",,AW$2,"."&amp;$A$43&amp;$AW$1&amp;"C"&amp;$A67)="N/A",0,RTD("tos.rtd",,AW$2,"."&amp;$A$43&amp;$AW$1&amp;"C"&amp;$A67))</f>
        <v>68185</v>
      </c>
      <c r="AX67" s="7">
        <f>-IF(RTD("tos.rtd",,AX$2,"."&amp;$A$43&amp;$AW$1&amp;"P"&amp;$A67)="N/A",0,RTD("tos.rtd",,AX$2,"."&amp;$A$43&amp;$AW$1&amp;"P"&amp;$A67))</f>
        <v>-33250</v>
      </c>
      <c r="AY67" s="7">
        <f t="shared" si="375"/>
        <v>93531</v>
      </c>
      <c r="AZ67" s="8">
        <f t="shared" si="245"/>
        <v>500</v>
      </c>
      <c r="BA67" s="6">
        <f>IF(RTD("tos.rtd",,BA$43,"."&amp;$A$43&amp;$AS$42&amp;"C"&amp;$A67)="N/A",0,RTD("tos.rtd",,BA$43,"."&amp;$A$43&amp;$AS$42&amp;"C"&amp;$A67))</f>
        <v>14551</v>
      </c>
      <c r="BB67" s="7">
        <f>-IF(RTD("tos.rtd",,BB$43,"."&amp;$A$43&amp;$AS$42&amp;"P"&amp;$A67)="N/A",0,RTD("tos.rtd",,BB$43,"."&amp;$A$43&amp;$AS$42&amp;"P"&amp;$A67))</f>
        <v>-120668</v>
      </c>
      <c r="BC67" s="6">
        <f>IF(RTD("tos.rtd",,BC$2,"."&amp;$A$43&amp;$AU$1&amp;"C"&amp;$A67)="N/A",0,RTD("tos.rtd",,BC$2,"."&amp;$A$43&amp;$AU$1&amp;"C"&amp;$A67))</f>
        <v>11968</v>
      </c>
      <c r="BD67" s="7">
        <f>-IF(RTD("tos.rtd",,BD$2,"."&amp;$A$43&amp;$AU$1&amp;"P"&amp;$A67)="N/A",0,RTD("tos.rtd",,BD$2,"."&amp;$A$43&amp;$AU$1&amp;"P"&amp;$A67))</f>
        <v>-46524</v>
      </c>
      <c r="BE67" s="6">
        <f>IF(RTD("tos.rtd",,BE$2,"."&amp;$A$43&amp;$AW$1&amp;"C"&amp;$A67)="N/A",0,RTD("tos.rtd",,BE$2,"."&amp;$A$43&amp;$AW$1&amp;"C"&amp;$A67))</f>
        <v>4472</v>
      </c>
      <c r="BF67" s="7">
        <f>-IF(RTD("tos.rtd",,BF$2,"."&amp;$A$43&amp;$AW$1&amp;"P"&amp;$A67)="N/A",0,RTD("tos.rtd",,BF$2,"."&amp;$A$43&amp;$AW$1&amp;"P"&amp;$A67))</f>
        <v>-9808</v>
      </c>
      <c r="BG67" s="32">
        <f ca="1">+Hoja2!Y68</f>
        <v>-31976</v>
      </c>
      <c r="BH67" s="7">
        <f t="shared" ca="1" si="277"/>
        <v>-177985</v>
      </c>
      <c r="BI67" s="8" t="str">
        <f t="shared" ca="1" si="295"/>
        <v/>
      </c>
      <c r="BJ67" s="83">
        <f ca="1">IF($BP$1=1,DX67,IF(RTD("tos.rtd",,BJ$43,"."&amp;$A$43&amp;$AS$42&amp;"C"&amp;$A67)="N/A",0,RTD("tos.rtd",,BJ$43,"."&amp;$A$43&amp;$AS$42&amp;"C"&amp;$A67)))</f>
        <v>1.598066673110075E-6</v>
      </c>
      <c r="BK67" s="83">
        <f ca="1">IF($BP$1=1,DY67,-IF(RTD("tos.rtd",,BK$43,"."&amp;$A$43&amp;$AS$42&amp;"P"&amp;$A67)="N/A",0,RTD("tos.rtd",,BK$43,"."&amp;$A$43&amp;$AS$42&amp;"P"&amp;$A67)))</f>
        <v>-2.3819134882896373E-2</v>
      </c>
      <c r="BL67" s="83">
        <f ca="1">IF($BP$1=1,DZ67,IF(RTD("tos.rtd",,BL$2,"."&amp;$A$43&amp;$AU$1&amp;"C"&amp;$A67)="N/A",0,RTD("tos.rtd",,BL$2,"."&amp;$A$43&amp;$AU$1&amp;"C"&amp;$A67)))</f>
        <v>2.2478168303880771E-2</v>
      </c>
      <c r="BM67" s="83">
        <f ca="1">IF($BP$1=1,EA67,-IF(RTD("tos.rtd",,BM$2,"."&amp;$A$43&amp;$AU$1&amp;"P"&amp;$A67)="N/A",0,RTD("tos.rtd",,BM$2,"."&amp;$A$43&amp;$AU$1&amp;"P"&amp;$A67)))</f>
        <v>-2.2498165741259641E-2</v>
      </c>
      <c r="BN67" s="83">
        <f ca="1">IF($BP$1=1,EB67,IF(RTD("tos.rtd",,BN$2,"."&amp;$A$43&amp;$AW$1&amp;"C"&amp;$A67)="N/A",0,RTD("tos.rtd",,BN$2,"."&amp;$A$43&amp;$AW$1&amp;"C"&amp;$A67)))</f>
        <v>2.4928598840131884E-2</v>
      </c>
      <c r="BO67" s="83">
        <f ca="1">IF($BP$1=1,EC67,-IF(RTD("tos.rtd",,BO$2,"."&amp;$A$43&amp;$AW$1&amp;"P"&amp;$A67)="N/A",0,RTD("tos.rtd",,BO$2,"."&amp;$A$43&amp;$AW$1&amp;"P"&amp;$A67)))</f>
        <v>-2.5204985709257232E-2</v>
      </c>
      <c r="BQ67" s="83">
        <f t="shared" ca="1" si="376"/>
        <v>-789305.83939657779</v>
      </c>
      <c r="BR67" s="3" t="str">
        <f t="shared" ca="1" si="279"/>
        <v>Cruce -</v>
      </c>
      <c r="BS67" s="83">
        <f t="shared" ca="1" si="377"/>
        <v>303916507.84948289</v>
      </c>
      <c r="BT67" s="3" t="str">
        <f t="shared" ca="1" si="281"/>
        <v/>
      </c>
      <c r="BU67" s="83">
        <f t="shared" ca="1" si="378"/>
        <v>222073795.53745505</v>
      </c>
      <c r="BV67" s="83"/>
      <c r="BX67" s="83">
        <f t="shared" ca="1" si="379"/>
        <v>-740730923.44042015</v>
      </c>
      <c r="BY67" s="83" t="str">
        <f t="shared" ca="1" si="296"/>
        <v/>
      </c>
      <c r="BZ67" s="83">
        <f t="shared" ca="1" si="380"/>
        <v>-200424191.69708669</v>
      </c>
      <c r="CA67" s="83" t="str">
        <f t="shared" ca="1" si="296"/>
        <v/>
      </c>
      <c r="CB67" s="83">
        <f t="shared" ca="1" si="381"/>
        <v>-34980105.796232522</v>
      </c>
      <c r="CC67" s="83" t="str">
        <f t="shared" ca="1" si="296"/>
        <v/>
      </c>
      <c r="CD67" s="83">
        <f>IF(RTD("tos.rtd",,CD$43,"."&amp;$A$43&amp;$AS$42&amp;"C"&amp;$A67)="N/A",0,RTD("tos.rtd",,CD$43,"."&amp;$A$43&amp;$AS$42&amp;"C"&amp;$A67))</f>
        <v>1</v>
      </c>
      <c r="CE67" s="83">
        <f>-IF(RTD("tos.rtd",,CE$43,"."&amp;$A$43&amp;$AS$42&amp;"P"&amp;$A67)="N/A",0,RTD("tos.rtd",,CE$43,"."&amp;$A$43&amp;$AS$42&amp;"P"&amp;$A67))</f>
        <v>0.01</v>
      </c>
      <c r="CF67" s="83">
        <f>IF(RTD("tos.rtd",,CF$2,"."&amp;$A$43&amp;$AU$1&amp;"C"&amp;$A67)="N/A",0,RTD("tos.rtd",,CF$2,"."&amp;$A$43&amp;$AU$1&amp;"C"&amp;$A67))</f>
        <v>0.73</v>
      </c>
      <c r="CG67" s="83">
        <f>-IF(RTD("tos.rtd",,CG$2,"."&amp;$A$43&amp;$AU$1&amp;"P"&amp;$A67)="N/A",0,RTD("tos.rtd",,CG$2,"."&amp;$A$43&amp;$AU$1&amp;"P"&amp;$A67))</f>
        <v>0.27</v>
      </c>
      <c r="CH67" s="83">
        <f>IF(RTD("tos.rtd",,CH$2,"."&amp;$A$43&amp;$AW$1&amp;"C"&amp;$A67)="N/A",0,RTD("tos.rtd",,CH$2,"."&amp;$A$43&amp;$AW$1&amp;"C"&amp;$A67))</f>
        <v>0.62</v>
      </c>
      <c r="CI67" s="83">
        <f>-IF(RTD("tos.rtd",,CI$2,"."&amp;$A$43&amp;$AW$1&amp;"P"&amp;$A67)="N/A",0,RTD("tos.rtd",,CI$2,"."&amp;$A$43&amp;$AW$1&amp;"P"&amp;$A67))</f>
        <v>0.38</v>
      </c>
      <c r="CK67" s="83">
        <f t="shared" si="382"/>
        <v>625871</v>
      </c>
      <c r="CL67" s="83"/>
      <c r="CM67" s="83">
        <f t="shared" si="383"/>
        <v>3968589</v>
      </c>
      <c r="CN67" s="83"/>
      <c r="CO67" s="83">
        <f t="shared" si="384"/>
        <v>2963970</v>
      </c>
      <c r="CP67" s="83">
        <f t="shared" si="385"/>
        <v>7558430</v>
      </c>
      <c r="CQ67" s="83">
        <f t="shared" si="386"/>
        <v>-106117</v>
      </c>
      <c r="CR67" s="83"/>
      <c r="CS67" s="83">
        <f t="shared" si="387"/>
        <v>-34556</v>
      </c>
      <c r="CT67" s="83"/>
      <c r="CU67" s="83">
        <f t="shared" si="388"/>
        <v>-5336</v>
      </c>
      <c r="CV67" s="83"/>
      <c r="CW67" s="83">
        <f t="shared" ca="1" si="389"/>
        <v>525200997.54754138</v>
      </c>
      <c r="CY67" s="83">
        <f t="shared" ca="1" si="390"/>
        <v>-976135220.93373942</v>
      </c>
      <c r="CZ67" s="70" t="str">
        <f t="shared" ca="1" si="297"/>
        <v/>
      </c>
      <c r="DA67" s="83">
        <f>IF(RTD("tos.rtd",,DA$43,"."&amp;$A$43&amp;$AS$42&amp;"C"&amp;$A67)="N/A",0,RTD("tos.rtd",,DA$43,"."&amp;$A$43&amp;$AS$42&amp;"C"&amp;$A67))</f>
        <v>7.56</v>
      </c>
      <c r="DB67" s="83">
        <f>IF(RTD("tos.rtd",,DB$43,"."&amp;$A$43&amp;$AS$42&amp;"P"&amp;$A67)="N/A",0,RTD("tos.rtd",,DB$43,"."&amp;$A$43&amp;$AS$42&amp;"P"&amp;$A67))</f>
        <v>0.01</v>
      </c>
      <c r="DC67" s="83">
        <f>IF(RTD("tos.rtd",,DC$43,"."&amp;$A$43&amp;$AS$42&amp;"C"&amp;$A67)="N/A",0,RTD("tos.rtd",,DC$43,"."&amp;$A$43&amp;$AS$42&amp;"C"&amp;$A67))</f>
        <v>7.7</v>
      </c>
      <c r="DD67" s="83">
        <f>IF(RTD("tos.rtd",,DD$43,"."&amp;$A$43&amp;$AS$42&amp;"P"&amp;$A67)="N/A",0,RTD("tos.rtd",,DD$43,"."&amp;$A$43&amp;$AS$42&amp;"P"&amp;$A67))</f>
        <v>0.01</v>
      </c>
      <c r="DE67" s="83">
        <f>IF(RTD("tos.rtd",,DE$43,"."&amp;$A$43&amp;$AS$42&amp;"C"&amp;$A67)="N/A",0,RTD("tos.rtd",,DE$43,"."&amp;$A$43&amp;$AS$42&amp;"C"&amp;$A67))</f>
        <v>7.48</v>
      </c>
      <c r="DF67" s="83">
        <f>IF(RTD("tos.rtd",,DF$43,"."&amp;$A$43&amp;$AS$42&amp;"P"&amp;$A67)="N/A",0,RTD("tos.rtd",,DF$43,"."&amp;$A$43&amp;$AS$42&amp;"P"&amp;$A67))</f>
        <v>0</v>
      </c>
      <c r="DG67" s="86">
        <f t="shared" si="289"/>
        <v>-7.660000000000025</v>
      </c>
      <c r="DH67" s="83">
        <f t="shared" si="391"/>
        <v>0.72727272727272063</v>
      </c>
      <c r="DI67" s="83">
        <f t="shared" si="392"/>
        <v>-5</v>
      </c>
      <c r="DJ67" s="83">
        <f t="shared" si="393"/>
        <v>-2</v>
      </c>
      <c r="DK67" s="83">
        <f t="shared" si="257"/>
        <v>-5</v>
      </c>
      <c r="DL67" s="83">
        <f t="shared" si="258"/>
        <v>-4.2727272727272796</v>
      </c>
      <c r="DM67" s="83">
        <f t="shared" si="259"/>
        <v>-7</v>
      </c>
      <c r="DN67" s="64" t="str">
        <f t="shared" si="260"/>
        <v>SELL</v>
      </c>
      <c r="DO67" s="64" t="str">
        <f t="shared" si="261"/>
        <v>BUY</v>
      </c>
      <c r="DP67" s="83">
        <f t="shared" si="262"/>
        <v>5.4481818181817676</v>
      </c>
      <c r="DQ67" s="83">
        <f t="shared" si="263"/>
        <v>-15.17</v>
      </c>
      <c r="DR67" s="83">
        <f t="shared" ca="1" si="264"/>
        <v>0.11909247828113564</v>
      </c>
      <c r="DS67" s="83">
        <f t="shared" si="265"/>
        <v>-2.0499999999999998</v>
      </c>
      <c r="DT67" s="83">
        <f t="shared" si="290"/>
        <v>2</v>
      </c>
      <c r="DU67" s="83">
        <f t="shared" si="291"/>
        <v>-5</v>
      </c>
      <c r="DV67" s="83">
        <f t="shared" si="266"/>
        <v>-1185</v>
      </c>
      <c r="DW67" s="83">
        <f t="shared" si="267"/>
        <v>8271</v>
      </c>
      <c r="DX67" s="83">
        <f t="shared" ca="1" si="394"/>
        <v>1.598066673110075E-6</v>
      </c>
      <c r="DY67" s="83">
        <f t="shared" ca="1" si="395"/>
        <v>-2.3819134882896373E-2</v>
      </c>
      <c r="DZ67" s="83">
        <f t="shared" ca="1" si="396"/>
        <v>2.2478168303880771E-2</v>
      </c>
      <c r="EA67" s="83">
        <f t="shared" ca="1" si="397"/>
        <v>-2.2498165741259641E-2</v>
      </c>
      <c r="EB67" s="83">
        <f t="shared" ca="1" si="398"/>
        <v>2.4928598840131884E-2</v>
      </c>
      <c r="EC67" s="83">
        <f t="shared" ca="1" si="399"/>
        <v>-2.5204985709257232E-2</v>
      </c>
      <c r="ED67" s="63">
        <f t="shared" si="292"/>
        <v>7086</v>
      </c>
      <c r="EE67" s="84">
        <f t="shared" si="400"/>
        <v>0.25</v>
      </c>
      <c r="EF67" s="84">
        <f t="shared" si="401"/>
        <v>0.78690000000000004</v>
      </c>
      <c r="EG67" s="84">
        <f t="shared" si="402"/>
        <v>0.24479999999999999</v>
      </c>
      <c r="EH67" s="84">
        <f t="shared" si="403"/>
        <v>0.2445</v>
      </c>
      <c r="EI67" s="84">
        <f t="shared" si="404"/>
        <v>0.2102</v>
      </c>
      <c r="EJ67" s="84">
        <f t="shared" si="405"/>
        <v>0.20649999999999999</v>
      </c>
      <c r="EK67" s="63">
        <f t="shared" ca="1" si="293"/>
        <v>-50773145.53964451</v>
      </c>
      <c r="EL67" s="83" t="str">
        <f>RTD("tos.rtd",,EL$43,"."&amp;$A$43&amp;$AS$42&amp;"C"&amp;$A67)</f>
        <v>--</v>
      </c>
      <c r="EM67" s="83" t="str">
        <f>RTD("tos.rtd",,EM$43,"."&amp;$A$43&amp;$AS$42&amp;"P"&amp;$A67)</f>
        <v>78.69%</v>
      </c>
      <c r="EN67" s="83" t="str">
        <f>RTD("tos.rtd",,EN$2,"."&amp;$A$43&amp;$AU$1&amp;"C"&amp;$A67)</f>
        <v>24.48%</v>
      </c>
      <c r="EO67" s="83" t="str">
        <f>RTD("tos.rtd",,EO$2,"."&amp;$A$43&amp;$AU$1&amp;"P"&amp;$A67)</f>
        <v>24.45%</v>
      </c>
      <c r="EP67" s="83" t="str">
        <f>RTD("tos.rtd",,EP$2,"."&amp;$A$43&amp;$AW$1&amp;"C"&amp;$A67)</f>
        <v>21.02%</v>
      </c>
      <c r="EQ67" s="83" t="str">
        <f>RTD("tos.rtd",,EQ$2,"."&amp;$A$43&amp;$AW$1&amp;"P"&amp;$A67)</f>
        <v>20.65%</v>
      </c>
      <c r="ES67" s="63" t="str">
        <f t="shared" si="274"/>
        <v>500,7086.00</v>
      </c>
      <c r="ET67" s="63" t="str">
        <f t="shared" ca="1" si="275"/>
        <v>500,-976135.22</v>
      </c>
      <c r="EU67" s="68">
        <v>571.49</v>
      </c>
      <c r="EV67" s="68" t="s">
        <v>555</v>
      </c>
      <c r="EW67" s="68">
        <v>496.27</v>
      </c>
      <c r="EX67" s="68" t="s">
        <v>556</v>
      </c>
      <c r="EY67" s="68">
        <v>5659.91</v>
      </c>
      <c r="EZ67" s="68" t="s">
        <v>557</v>
      </c>
      <c r="FA67" s="68">
        <v>20061.449000000001</v>
      </c>
      <c r="FB67" s="68" t="s">
        <v>558</v>
      </c>
      <c r="FC67" s="68" t="s">
        <v>559</v>
      </c>
      <c r="FD67" s="68" t="s">
        <v>560</v>
      </c>
      <c r="FE67" s="68" t="s">
        <v>561</v>
      </c>
      <c r="FF67" s="68" t="s">
        <v>562</v>
      </c>
    </row>
    <row r="68" spans="1:162" ht="13.5" thickBot="1" x14ac:dyDescent="0.25">
      <c r="A68" s="2">
        <f t="shared" si="294"/>
        <v>499</v>
      </c>
      <c r="B68" s="3">
        <f t="shared" si="371"/>
        <v>6577</v>
      </c>
      <c r="C68" s="3">
        <f t="shared" si="242"/>
        <v>469</v>
      </c>
      <c r="D68" s="3">
        <f t="shared" si="372"/>
        <v>0</v>
      </c>
      <c r="E68" s="3">
        <f t="shared" si="373"/>
        <v>7046</v>
      </c>
      <c r="F68" s="4">
        <f t="shared" si="374"/>
        <v>20586.477662214867</v>
      </c>
      <c r="AM68" s="1">
        <v>-220</v>
      </c>
      <c r="AN68" s="1">
        <v>871</v>
      </c>
      <c r="AO68" s="1">
        <v>499</v>
      </c>
      <c r="AP68" s="1">
        <v>7533</v>
      </c>
      <c r="AQ68" s="1">
        <v>-34777</v>
      </c>
      <c r="AS68" s="6">
        <f>IF(RTD("tos.rtd",,AS$43,"."&amp;$A$43&amp;$AS$42&amp;"C"&amp;$A68)="N/A",0,RTD("tos.rtd",,AS$43,"."&amp;$A$43&amp;$AS$42&amp;"C"&amp;$A68))</f>
        <v>6520</v>
      </c>
      <c r="AT68" s="7">
        <f>-IF(RTD("tos.rtd",,AT$43,"."&amp;$A$43&amp;$AS$42&amp;"P"&amp;$A68)="N/A",0,RTD("tos.rtd",,AT$43,"."&amp;$A$43&amp;$AS$42&amp;"P"&amp;$A68))</f>
        <v>-57</v>
      </c>
      <c r="AU68" s="6">
        <f>IF(RTD("tos.rtd",,AU$2,"."&amp;$A$43&amp;$AU$1&amp;"C"&amp;$A68)="N/A",0,RTD("tos.rtd",,AU$2,"."&amp;$A$43&amp;$AU$1&amp;"C"&amp;$A68))</f>
        <v>453</v>
      </c>
      <c r="AV68" s="7">
        <f>-IF(RTD("tos.rtd",,AV$2,"."&amp;$A$43&amp;$AU$1&amp;"P"&amp;$A68)="N/A",0,RTD("tos.rtd",,AV$2,"."&amp;$A$43&amp;$AU$1&amp;"P"&amp;$A68))</f>
        <v>-16</v>
      </c>
      <c r="AW68" s="6">
        <f>IF(RTD("tos.rtd",,AW$2,"."&amp;$A$43&amp;$AW$1&amp;"C"&amp;$A68)="N/A",0,RTD("tos.rtd",,AW$2,"."&amp;$A$43&amp;$AW$1&amp;"C"&amp;$A68))</f>
        <v>0</v>
      </c>
      <c r="AX68" s="7">
        <f>-IF(RTD("tos.rtd",,AX$2,"."&amp;$A$43&amp;$AW$1&amp;"P"&amp;$A68)="N/A",0,RTD("tos.rtd",,AX$2,"."&amp;$A$43&amp;$AW$1&amp;"P"&amp;$A68))</f>
        <v>0</v>
      </c>
      <c r="AY68" s="7">
        <f t="shared" si="375"/>
        <v>6900</v>
      </c>
      <c r="AZ68" s="8">
        <f t="shared" si="245"/>
        <v>499</v>
      </c>
      <c r="BA68" s="6">
        <f>IF(RTD("tos.rtd",,BA$43,"."&amp;$A$43&amp;$AS$42&amp;"C"&amp;$A68)="N/A",0,RTD("tos.rtd",,BA$43,"."&amp;$A$43&amp;$AS$42&amp;"C"&amp;$A68))</f>
        <v>7533</v>
      </c>
      <c r="BB68" s="7">
        <f>-IF(RTD("tos.rtd",,BB$43,"."&amp;$A$43&amp;$AS$42&amp;"P"&amp;$A68)="N/A",0,RTD("tos.rtd",,BB$43,"."&amp;$A$43&amp;$AS$42&amp;"P"&amp;$A68))</f>
        <v>-34778</v>
      </c>
      <c r="BC68" s="6">
        <f>IF(RTD("tos.rtd",,BC$2,"."&amp;$A$43&amp;$AU$1&amp;"C"&amp;$A68)="N/A",0,RTD("tos.rtd",,BC$2,"."&amp;$A$43&amp;$AU$1&amp;"C"&amp;$A68))</f>
        <v>741</v>
      </c>
      <c r="BD68" s="7">
        <f>-IF(RTD("tos.rtd",,BD$2,"."&amp;$A$43&amp;$AU$1&amp;"P"&amp;$A68)="N/A",0,RTD("tos.rtd",,BD$2,"."&amp;$A$43&amp;$AU$1&amp;"P"&amp;$A68))</f>
        <v>-3734</v>
      </c>
      <c r="BE68" s="6">
        <f>IF(RTD("tos.rtd",,BE$2,"."&amp;$A$43&amp;$AW$1&amp;"C"&amp;$A68)="N/A",0,RTD("tos.rtd",,BE$2,"."&amp;$A$43&amp;$AW$1&amp;"C"&amp;$A68))</f>
        <v>0</v>
      </c>
      <c r="BF68" s="7">
        <f>-IF(RTD("tos.rtd",,BF$2,"."&amp;$A$43&amp;$AW$1&amp;"P"&amp;$A68)="N/A",0,RTD("tos.rtd",,BF$2,"."&amp;$A$43&amp;$AW$1&amp;"P"&amp;$A68))</f>
        <v>0</v>
      </c>
      <c r="BG68" s="32">
        <f ca="1">+Hoja2!Y69</f>
        <v>-616</v>
      </c>
      <c r="BH68" s="7">
        <f t="shared" ca="1" si="277"/>
        <v>-30854</v>
      </c>
      <c r="BI68" s="8" t="str">
        <f t="shared" ca="1" si="295"/>
        <v/>
      </c>
      <c r="BJ68" s="83">
        <f ca="1">IF($BP$1=1,DX68,IF(RTD("tos.rtd",,BJ$43,"."&amp;$A$43&amp;$AS$42&amp;"C"&amp;$A68)="N/A",0,RTD("tos.rtd",,BJ$43,"."&amp;$A$43&amp;$AS$42&amp;"C"&amp;$A68)))</f>
        <v>5.5642539201981583E-8</v>
      </c>
      <c r="BK68" s="83">
        <f ca="1">IF($BP$1=1,DY68,-IF(RTD("tos.rtd",,BK$43,"."&amp;$A$43&amp;$AS$42&amp;"P"&amp;$A68)="N/A",0,RTD("tos.rtd",,BK$43,"."&amp;$A$43&amp;$AS$42&amp;"P"&amp;$A68)))</f>
        <v>-2.062633952626507E-2</v>
      </c>
      <c r="BL68" s="83">
        <f ca="1">IF($BP$1=1,DZ68,IF(RTD("tos.rtd",,BL$2,"."&amp;$A$43&amp;$AU$1&amp;"C"&amp;$A68)="N/A",0,RTD("tos.rtd",,BL$2,"."&amp;$A$43&amp;$AU$1&amp;"C"&amp;$A68)))</f>
        <v>2.2454618418140272E-2</v>
      </c>
      <c r="BM68" s="83">
        <f ca="1">IF($BP$1=1,EA68,-IF(RTD("tos.rtd",,BM$2,"."&amp;$A$43&amp;$AU$1&amp;"P"&amp;$A68)="N/A",0,RTD("tos.rtd",,BM$2,"."&amp;$A$43&amp;$AU$1&amp;"P"&amp;$A68)))</f>
        <v>-2.1584524772026801E-2</v>
      </c>
      <c r="BN68" s="83">
        <f ca="1">IF($BP$1=1,EB68,IF(RTD("tos.rtd",,BN$2,"."&amp;$A$43&amp;$AW$1&amp;"C"&amp;$A68)="N/A",0,RTD("tos.rtd",,BN$2,"."&amp;$A$43&amp;$AW$1&amp;"C"&amp;$A68)))</f>
        <v>2.1344386338744772E-2</v>
      </c>
      <c r="BO68" s="83">
        <f ca="1">IF($BP$1=1,EC68,-IF(RTD("tos.rtd",,BO$2,"."&amp;$A$43&amp;$AW$1&amp;"P"&amp;$A68)="N/A",0,RTD("tos.rtd",,BO$2,"."&amp;$A$43&amp;$AW$1&amp;"P"&amp;$A68)))</f>
        <v>-2.1344386338744772E-2</v>
      </c>
      <c r="BQ68" s="83">
        <f t="shared" ca="1" si="376"/>
        <v>-302906.69800329686</v>
      </c>
      <c r="BR68" s="3" t="str">
        <f t="shared" ca="1" si="279"/>
        <v/>
      </c>
      <c r="BS68" s="83">
        <f t="shared" ca="1" si="377"/>
        <v>2532495.6952781603</v>
      </c>
      <c r="BT68" s="3" t="str">
        <f t="shared" ca="1" si="281"/>
        <v/>
      </c>
      <c r="BU68" s="83">
        <f t="shared" ca="1" si="378"/>
        <v>0</v>
      </c>
      <c r="BV68" s="83"/>
      <c r="BX68" s="83">
        <f t="shared" ca="1" si="379"/>
        <v>-184872537.6323874</v>
      </c>
      <c r="BY68" s="83" t="str">
        <f t="shared" ca="1" si="296"/>
        <v/>
      </c>
      <c r="BZ68" s="83">
        <f t="shared" ca="1" si="380"/>
        <v>-16483104.884988368</v>
      </c>
      <c r="CA68" s="83" t="str">
        <f t="shared" ca="1" si="296"/>
        <v/>
      </c>
      <c r="CB68" s="83">
        <f t="shared" ca="1" si="381"/>
        <v>0</v>
      </c>
      <c r="CC68" s="83" t="str">
        <f t="shared" ca="1" si="296"/>
        <v/>
      </c>
      <c r="CD68" s="83">
        <f>IF(RTD("tos.rtd",,CD$43,"."&amp;$A$43&amp;$AS$42&amp;"C"&amp;$A68)="N/A",0,RTD("tos.rtd",,CD$43,"."&amp;$A$43&amp;$AS$42&amp;"C"&amp;$A68))</f>
        <v>1</v>
      </c>
      <c r="CE68" s="83">
        <f>-IF(RTD("tos.rtd",,CE$43,"."&amp;$A$43&amp;$AS$42&amp;"P"&amp;$A68)="N/A",0,RTD("tos.rtd",,CE$43,"."&amp;$A$43&amp;$AS$42&amp;"P"&amp;$A68))</f>
        <v>0</v>
      </c>
      <c r="CF68" s="83">
        <f>IF(RTD("tos.rtd",,CF$2,"."&amp;$A$43&amp;$AU$1&amp;"C"&amp;$A68)="N/A",0,RTD("tos.rtd",,CF$2,"."&amp;$A$43&amp;$AU$1&amp;"C"&amp;$A68))</f>
        <v>0.77</v>
      </c>
      <c r="CG68" s="83">
        <f>-IF(RTD("tos.rtd",,CG$2,"."&amp;$A$43&amp;$AU$1&amp;"P"&amp;$A68)="N/A",0,RTD("tos.rtd",,CG$2,"."&amp;$A$43&amp;$AU$1&amp;"P"&amp;$A68))</f>
        <v>0.24</v>
      </c>
      <c r="CH68" s="83">
        <f>IF(RTD("tos.rtd",,CH$2,"."&amp;$A$43&amp;$AW$1&amp;"C"&amp;$A68)="N/A",0,RTD("tos.rtd",,CH$2,"."&amp;$A$43&amp;$AW$1&amp;"C"&amp;$A68))</f>
        <v>0</v>
      </c>
      <c r="CI68" s="83">
        <f>-IF(RTD("tos.rtd",,CI$2,"."&amp;$A$43&amp;$AW$1&amp;"P"&amp;$A68)="N/A",0,RTD("tos.rtd",,CI$2,"."&amp;$A$43&amp;$AW$1&amp;"P"&amp;$A68))</f>
        <v>0</v>
      </c>
      <c r="CK68" s="83">
        <f t="shared" si="382"/>
        <v>652000</v>
      </c>
      <c r="CL68" s="83"/>
      <c r="CM68" s="83">
        <f t="shared" si="383"/>
        <v>34497</v>
      </c>
      <c r="CN68" s="83"/>
      <c r="CO68" s="83">
        <f t="shared" si="384"/>
        <v>0</v>
      </c>
      <c r="CP68" s="83">
        <f t="shared" si="385"/>
        <v>686497</v>
      </c>
      <c r="CQ68" s="83">
        <f t="shared" si="386"/>
        <v>-27245</v>
      </c>
      <c r="CR68" s="83"/>
      <c r="CS68" s="83">
        <f t="shared" si="387"/>
        <v>-2993</v>
      </c>
      <c r="CT68" s="83"/>
      <c r="CU68" s="83">
        <f t="shared" si="388"/>
        <v>0</v>
      </c>
      <c r="CV68" s="83"/>
      <c r="CW68" s="83">
        <f t="shared" ca="1" si="389"/>
        <v>2229588.9972748635</v>
      </c>
      <c r="CY68" s="83">
        <f t="shared" ca="1" si="390"/>
        <v>-201355642.51737577</v>
      </c>
      <c r="CZ68" s="70" t="str">
        <f t="shared" ca="1" si="297"/>
        <v/>
      </c>
      <c r="DA68" s="83">
        <f>IF(RTD("tos.rtd",,DA$43,"."&amp;$A$43&amp;$AS$42&amp;"C"&amp;$A68)="N/A",0,RTD("tos.rtd",,DA$43,"."&amp;$A$43&amp;$AS$42&amp;"C"&amp;$A68))</f>
        <v>8.8699999999999992</v>
      </c>
      <c r="DB68" s="83">
        <f>IF(RTD("tos.rtd",,DB$43,"."&amp;$A$43&amp;$AS$42&amp;"P"&amp;$A68)="N/A",0,RTD("tos.rtd",,DB$43,"."&amp;$A$43&amp;$AS$42&amp;"P"&amp;$A68))</f>
        <v>0.01</v>
      </c>
      <c r="DC68" s="83">
        <f>IF(RTD("tos.rtd",,DC$43,"."&amp;$A$43&amp;$AS$42&amp;"C"&amp;$A68)="N/A",0,RTD("tos.rtd",,DC$43,"."&amp;$A$43&amp;$AS$42&amp;"C"&amp;$A68))</f>
        <v>8.6999999999999993</v>
      </c>
      <c r="DD68" s="83">
        <f>IF(RTD("tos.rtd",,DD$43,"."&amp;$A$43&amp;$AS$42&amp;"P"&amp;$A68)="N/A",0,RTD("tos.rtd",,DD$43,"."&amp;$A$43&amp;$AS$42&amp;"P"&amp;$A68))</f>
        <v>0.01</v>
      </c>
      <c r="DE68" s="83">
        <f>IF(RTD("tos.rtd",,DE$43,"."&amp;$A$43&amp;$AS$42&amp;"C"&amp;$A68)="N/A",0,RTD("tos.rtd",,DE$43,"."&amp;$A$43&amp;$AS$42&amp;"C"&amp;$A68))</f>
        <v>8.42</v>
      </c>
      <c r="DF68" s="83">
        <f>IF(RTD("tos.rtd",,DF$43,"."&amp;$A$43&amp;$AS$42&amp;"P"&amp;$A68)="N/A",0,RTD("tos.rtd",,DF$43,"."&amp;$A$43&amp;$AS$42&amp;"P"&amp;$A68))</f>
        <v>0</v>
      </c>
      <c r="DG68" s="86">
        <f t="shared" si="289"/>
        <v>-8.660000000000025</v>
      </c>
      <c r="DH68" s="83">
        <f t="shared" si="391"/>
        <v>0</v>
      </c>
      <c r="DI68" s="83">
        <f t="shared" si="392"/>
        <v>-1</v>
      </c>
      <c r="DJ68" s="83">
        <f t="shared" si="393"/>
        <v>0</v>
      </c>
      <c r="DK68" s="83">
        <f t="shared" si="257"/>
        <v>-1</v>
      </c>
      <c r="DL68" s="83">
        <f t="shared" si="258"/>
        <v>-1</v>
      </c>
      <c r="DM68" s="83">
        <f t="shared" si="259"/>
        <v>-1</v>
      </c>
      <c r="DN68" s="64" t="str">
        <f t="shared" si="260"/>
        <v>UNKNOWN</v>
      </c>
      <c r="DO68" s="64" t="str">
        <f t="shared" si="261"/>
        <v>BUY</v>
      </c>
      <c r="DP68" s="83">
        <f t="shared" si="262"/>
        <v>-0.01</v>
      </c>
      <c r="DQ68" s="83">
        <f t="shared" si="263"/>
        <v>-0.01</v>
      </c>
      <c r="DR68" s="83">
        <f t="shared" ca="1" si="264"/>
        <v>2.062633952626507E-2</v>
      </c>
      <c r="DS68" s="83">
        <f t="shared" si="265"/>
        <v>0</v>
      </c>
      <c r="DT68" s="83">
        <f t="shared" si="290"/>
        <v>0</v>
      </c>
      <c r="DU68" s="83">
        <f t="shared" si="291"/>
        <v>-1</v>
      </c>
      <c r="DV68" s="83">
        <f t="shared" si="266"/>
        <v>-220</v>
      </c>
      <c r="DW68" s="83">
        <f t="shared" si="267"/>
        <v>870</v>
      </c>
      <c r="DX68" s="83">
        <f t="shared" ca="1" si="394"/>
        <v>5.5642539201981583E-8</v>
      </c>
      <c r="DY68" s="83">
        <f t="shared" ca="1" si="395"/>
        <v>-2.062633952626507E-2</v>
      </c>
      <c r="DZ68" s="83">
        <f t="shared" ca="1" si="396"/>
        <v>2.2454618418140272E-2</v>
      </c>
      <c r="EA68" s="83">
        <f t="shared" ca="1" si="397"/>
        <v>-2.1584524772026801E-2</v>
      </c>
      <c r="EB68" s="83">
        <f t="shared" ca="1" si="398"/>
        <v>2.1344386338744772E-2</v>
      </c>
      <c r="EC68" s="83">
        <f t="shared" ca="1" si="399"/>
        <v>-2.1344386338744772E-2</v>
      </c>
      <c r="ED68" s="63">
        <f t="shared" si="292"/>
        <v>650</v>
      </c>
      <c r="EE68" s="84">
        <f t="shared" si="400"/>
        <v>0.25</v>
      </c>
      <c r="EF68" s="84">
        <f t="shared" si="401"/>
        <v>0.87870000000000004</v>
      </c>
      <c r="EG68" s="84">
        <f t="shared" si="402"/>
        <v>0.23089999999999999</v>
      </c>
      <c r="EH68" s="84">
        <f t="shared" si="403"/>
        <v>0.24579999999999999</v>
      </c>
      <c r="EI68" s="84">
        <f t="shared" si="404"/>
        <v>0.25</v>
      </c>
      <c r="EJ68" s="84">
        <f t="shared" si="405"/>
        <v>0.25</v>
      </c>
      <c r="EK68" s="63">
        <f t="shared" ca="1" si="293"/>
        <v>-4624742.9823376527</v>
      </c>
      <c r="EL68" s="83" t="str">
        <f>RTD("tos.rtd",,EL$43,"."&amp;$A$43&amp;$AS$42&amp;"C"&amp;$A68)</f>
        <v>--</v>
      </c>
      <c r="EM68" s="83" t="str">
        <f>RTD("tos.rtd",,EM$43,"."&amp;$A$43&amp;$AS$42&amp;"P"&amp;$A68)</f>
        <v>87.87%</v>
      </c>
      <c r="EN68" s="83" t="str">
        <f>RTD("tos.rtd",,EN$2,"."&amp;$A$43&amp;$AU$1&amp;"C"&amp;$A68)</f>
        <v>23.09%</v>
      </c>
      <c r="EO68" s="83" t="str">
        <f>RTD("tos.rtd",,EO$2,"."&amp;$A$43&amp;$AU$1&amp;"P"&amp;$A68)</f>
        <v>24.58%</v>
      </c>
      <c r="EP68" s="83" t="str">
        <f>RTD("tos.rtd",,EP$2,"."&amp;$A$43&amp;$AW$1&amp;"C"&amp;$A68)</f>
        <v>N/A</v>
      </c>
      <c r="EQ68" s="83" t="str">
        <f>RTD("tos.rtd",,EQ$2,"."&amp;$A$43&amp;$AW$1&amp;"P"&amp;$A68)</f>
        <v>N/A</v>
      </c>
      <c r="ES68" s="63" t="str">
        <f t="shared" si="274"/>
        <v>499,650.00</v>
      </c>
      <c r="ET68" s="63" t="str">
        <f t="shared" ca="1" si="275"/>
        <v>499,-201355.64</v>
      </c>
      <c r="EU68" s="68">
        <v>571.58000000000004</v>
      </c>
      <c r="EV68" s="68" t="s">
        <v>563</v>
      </c>
      <c r="EW68" s="68">
        <v>496.25</v>
      </c>
      <c r="EX68" s="68" t="s">
        <v>564</v>
      </c>
      <c r="EY68" s="68">
        <v>5659.91</v>
      </c>
      <c r="EZ68" s="68" t="s">
        <v>565</v>
      </c>
      <c r="FA68" s="68">
        <v>20061.449000000001</v>
      </c>
      <c r="FB68" s="68" t="s">
        <v>566</v>
      </c>
      <c r="FC68" s="68" t="s">
        <v>567</v>
      </c>
      <c r="FD68" s="68" t="s">
        <v>568</v>
      </c>
      <c r="FE68" s="68" t="s">
        <v>569</v>
      </c>
      <c r="FF68" s="68" t="s">
        <v>570</v>
      </c>
    </row>
    <row r="69" spans="1:162" ht="13.5" thickBot="1" x14ac:dyDescent="0.25">
      <c r="A69" s="2">
        <f t="shared" si="294"/>
        <v>498</v>
      </c>
      <c r="B69" s="3">
        <f t="shared" si="371"/>
        <v>2193</v>
      </c>
      <c r="C69" s="3">
        <f t="shared" si="242"/>
        <v>1931</v>
      </c>
      <c r="D69" s="3">
        <f t="shared" si="372"/>
        <v>0</v>
      </c>
      <c r="E69" s="3">
        <f t="shared" si="373"/>
        <v>4124</v>
      </c>
      <c r="F69" s="4">
        <f t="shared" si="374"/>
        <v>20545.222195957922</v>
      </c>
      <c r="AM69" s="1">
        <v>-313</v>
      </c>
      <c r="AN69" s="1">
        <v>9054</v>
      </c>
      <c r="AO69" s="1">
        <v>498</v>
      </c>
      <c r="AP69" s="1">
        <v>3571</v>
      </c>
      <c r="AQ69" s="1">
        <v>-39446</v>
      </c>
      <c r="AS69" s="6">
        <f>IF(RTD("tos.rtd",,AS$43,"."&amp;$A$43&amp;$AS$42&amp;"C"&amp;$A69)="N/A",0,RTD("tos.rtd",,AS$43,"."&amp;$A$43&amp;$AS$42&amp;"C"&amp;$A69))</f>
        <v>1964</v>
      </c>
      <c r="AT69" s="7">
        <f>-IF(RTD("tos.rtd",,AT$43,"."&amp;$A$43&amp;$AS$42&amp;"P"&amp;$A69)="N/A",0,RTD("tos.rtd",,AT$43,"."&amp;$A$43&amp;$AS$42&amp;"P"&amp;$A69))</f>
        <v>-229</v>
      </c>
      <c r="AU69" s="6">
        <f>IF(RTD("tos.rtd",,AU$2,"."&amp;$A$43&amp;$AU$1&amp;"C"&amp;$A69)="N/A",0,RTD("tos.rtd",,AU$2,"."&amp;$A$43&amp;$AU$1&amp;"C"&amp;$A69))</f>
        <v>1884</v>
      </c>
      <c r="AV69" s="7">
        <f>-IF(RTD("tos.rtd",,AV$2,"."&amp;$A$43&amp;$AU$1&amp;"P"&amp;$A69)="N/A",0,RTD("tos.rtd",,AV$2,"."&amp;$A$43&amp;$AU$1&amp;"P"&amp;$A69))</f>
        <v>-47</v>
      </c>
      <c r="AW69" s="6">
        <f>IF(RTD("tos.rtd",,AW$2,"."&amp;$A$43&amp;$AW$1&amp;"C"&amp;$A69)="N/A",0,RTD("tos.rtd",,AW$2,"."&amp;$A$43&amp;$AW$1&amp;"C"&amp;$A69))</f>
        <v>0</v>
      </c>
      <c r="AX69" s="7">
        <f>-IF(RTD("tos.rtd",,AX$2,"."&amp;$A$43&amp;$AW$1&amp;"P"&amp;$A69)="N/A",0,RTD("tos.rtd",,AX$2,"."&amp;$A$43&amp;$AW$1&amp;"P"&amp;$A69))</f>
        <v>0</v>
      </c>
      <c r="AY69" s="7">
        <f t="shared" si="375"/>
        <v>3572</v>
      </c>
      <c r="AZ69" s="8">
        <f t="shared" si="245"/>
        <v>498</v>
      </c>
      <c r="BA69" s="6">
        <f>IF(RTD("tos.rtd",,BA$43,"."&amp;$A$43&amp;$AS$42&amp;"C"&amp;$A69)="N/A",0,RTD("tos.rtd",,BA$43,"."&amp;$A$43&amp;$AS$42&amp;"C"&amp;$A69))</f>
        <v>3578</v>
      </c>
      <c r="BB69" s="7">
        <f>-IF(RTD("tos.rtd",,BB$43,"."&amp;$A$43&amp;$AS$42&amp;"P"&amp;$A69)="N/A",0,RTD("tos.rtd",,BB$43,"."&amp;$A$43&amp;$AS$42&amp;"P"&amp;$A69))</f>
        <v>-39446</v>
      </c>
      <c r="BC69" s="6">
        <f>IF(RTD("tos.rtd",,BC$2,"."&amp;$A$43&amp;$AU$1&amp;"C"&amp;$A69)="N/A",0,RTD("tos.rtd",,BC$2,"."&amp;$A$43&amp;$AU$1&amp;"C"&amp;$A69))</f>
        <v>831</v>
      </c>
      <c r="BD69" s="7">
        <f>-IF(RTD("tos.rtd",,BD$2,"."&amp;$A$43&amp;$AU$1&amp;"P"&amp;$A69)="N/A",0,RTD("tos.rtd",,BD$2,"."&amp;$A$43&amp;$AU$1&amp;"P"&amp;$A69))</f>
        <v>-4251</v>
      </c>
      <c r="BE69" s="6">
        <f>IF(RTD("tos.rtd",,BE$2,"."&amp;$A$43&amp;$AW$1&amp;"C"&amp;$A69)="N/A",0,RTD("tos.rtd",,BE$2,"."&amp;$A$43&amp;$AW$1&amp;"C"&amp;$A69))</f>
        <v>0</v>
      </c>
      <c r="BF69" s="7">
        <f>-IF(RTD("tos.rtd",,BF$2,"."&amp;$A$43&amp;$AW$1&amp;"P"&amp;$A69)="N/A",0,RTD("tos.rtd",,BF$2,"."&amp;$A$43&amp;$AW$1&amp;"P"&amp;$A69))</f>
        <v>0</v>
      </c>
      <c r="BG69" s="32">
        <f ca="1">+Hoja2!Y70</f>
        <v>-224</v>
      </c>
      <c r="BH69" s="7">
        <f t="shared" ca="1" si="277"/>
        <v>-39512</v>
      </c>
      <c r="BI69" s="8" t="str">
        <f t="shared" ca="1" si="295"/>
        <v/>
      </c>
      <c r="BJ69" s="83">
        <f ca="1">IF($BP$1=1,DX69,IF(RTD("tos.rtd",,BJ$43,"."&amp;$A$43&amp;$AS$42&amp;"C"&amp;$A69)="N/A",0,RTD("tos.rtd",,BJ$43,"."&amp;$A$43&amp;$AS$42&amp;"C"&amp;$A69)))</f>
        <v>1.2697784885871083E-9</v>
      </c>
      <c r="BK69" s="83">
        <f ca="1">IF($BP$1=1,DY69,-IF(RTD("tos.rtd",,BK$43,"."&amp;$A$43&amp;$AS$42&amp;"P"&amp;$A69)="N/A",0,RTD("tos.rtd",,BK$43,"."&amp;$A$43&amp;$AS$42&amp;"P"&amp;$A69)))</f>
        <v>-1.8131809487190124E-2</v>
      </c>
      <c r="BL69" s="83">
        <f ca="1">IF($BP$1=1,DZ69,IF(RTD("tos.rtd",,BL$2,"."&amp;$A$43&amp;$AU$1&amp;"C"&amp;$A69)="N/A",0,RTD("tos.rtd",,BL$2,"."&amp;$A$43&amp;$AU$1&amp;"C"&amp;$A69)))</f>
        <v>1.9901002569435444E-2</v>
      </c>
      <c r="BM69" s="83">
        <f ca="1">IF($BP$1=1,EA69,-IF(RTD("tos.rtd",,BM$2,"."&amp;$A$43&amp;$AU$1&amp;"P"&amp;$A69)="N/A",0,RTD("tos.rtd",,BM$2,"."&amp;$A$43&amp;$AU$1&amp;"P"&amp;$A69)))</f>
        <v>-2.0594647686948107E-2</v>
      </c>
      <c r="BN69" s="83">
        <f ca="1">IF($BP$1=1,EB69,IF(RTD("tos.rtd",,BN$2,"."&amp;$A$43&amp;$AW$1&amp;"C"&amp;$A69)="N/A",0,RTD("tos.rtd",,BN$2,"."&amp;$A$43&amp;$AW$1&amp;"C"&amp;$A69)))</f>
        <v>2.049357874301359E-2</v>
      </c>
      <c r="BO69" s="83">
        <f ca="1">IF($BP$1=1,EC69,-IF(RTD("tos.rtd",,BO$2,"."&amp;$A$43&amp;$AW$1&amp;"P"&amp;$A69)="N/A",0,RTD("tos.rtd",,BO$2,"."&amp;$A$43&amp;$AW$1&amp;"P"&amp;$A69)))</f>
        <v>-2.049357874301359E-2</v>
      </c>
      <c r="BQ69" s="83">
        <f t="shared" ca="1" si="376"/>
        <v>-1070094.8146344475</v>
      </c>
      <c r="BR69" s="3" t="str">
        <f t="shared" ca="1" si="279"/>
        <v/>
      </c>
      <c r="BS69" s="83">
        <f t="shared" ca="1" si="377"/>
        <v>9413313.897341121</v>
      </c>
      <c r="BT69" s="3" t="str">
        <f t="shared" ca="1" si="281"/>
        <v/>
      </c>
      <c r="BU69" s="83">
        <f t="shared" ca="1" si="378"/>
        <v>0</v>
      </c>
      <c r="BV69" s="83"/>
      <c r="BX69" s="83">
        <f t="shared" ca="1" si="379"/>
        <v>-184327446.03621361</v>
      </c>
      <c r="BY69" s="83" t="str">
        <f t="shared" ca="1" si="296"/>
        <v/>
      </c>
      <c r="BZ69" s="83">
        <f t="shared" ca="1" si="380"/>
        <v>-18300632.581193827</v>
      </c>
      <c r="CA69" s="83" t="str">
        <f t="shared" ca="1" si="296"/>
        <v/>
      </c>
      <c r="CB69" s="83">
        <f t="shared" ca="1" si="381"/>
        <v>0</v>
      </c>
      <c r="CC69" s="83" t="str">
        <f t="shared" ca="1" si="296"/>
        <v/>
      </c>
      <c r="CD69" s="83">
        <f>IF(RTD("tos.rtd",,CD$43,"."&amp;$A$43&amp;$AS$42&amp;"C"&amp;$A69)="N/A",0,RTD("tos.rtd",,CD$43,"."&amp;$A$43&amp;$AS$42&amp;"C"&amp;$A69))</f>
        <v>1</v>
      </c>
      <c r="CE69" s="83">
        <f>-IF(RTD("tos.rtd",,CE$43,"."&amp;$A$43&amp;$AS$42&amp;"P"&amp;$A69)="N/A",0,RTD("tos.rtd",,CE$43,"."&amp;$A$43&amp;$AS$42&amp;"P"&amp;$A69))</f>
        <v>0</v>
      </c>
      <c r="CF69" s="83">
        <f>IF(RTD("tos.rtd",,CF$2,"."&amp;$A$43&amp;$AU$1&amp;"C"&amp;$A69)="N/A",0,RTD("tos.rtd",,CF$2,"."&amp;$A$43&amp;$AU$1&amp;"C"&amp;$A69))</f>
        <v>0.77</v>
      </c>
      <c r="CG69" s="83">
        <f>-IF(RTD("tos.rtd",,CG$2,"."&amp;$A$43&amp;$AU$1&amp;"P"&amp;$A69)="N/A",0,RTD("tos.rtd",,CG$2,"."&amp;$A$43&amp;$AU$1&amp;"P"&amp;$A69))</f>
        <v>0.22</v>
      </c>
      <c r="CH69" s="83">
        <f>IF(RTD("tos.rtd",,CH$2,"."&amp;$A$43&amp;$AW$1&amp;"C"&amp;$A69)="N/A",0,RTD("tos.rtd",,CH$2,"."&amp;$A$43&amp;$AW$1&amp;"C"&amp;$A69))</f>
        <v>0</v>
      </c>
      <c r="CI69" s="83">
        <f>-IF(RTD("tos.rtd",,CI$2,"."&amp;$A$43&amp;$AW$1&amp;"P"&amp;$A69)="N/A",0,RTD("tos.rtd",,CI$2,"."&amp;$A$43&amp;$AW$1&amp;"P"&amp;$A69))</f>
        <v>0</v>
      </c>
      <c r="CK69" s="83">
        <f t="shared" si="382"/>
        <v>196400</v>
      </c>
      <c r="CL69" s="83"/>
      <c r="CM69" s="83">
        <f t="shared" si="383"/>
        <v>144034</v>
      </c>
      <c r="CN69" s="83"/>
      <c r="CO69" s="83">
        <f t="shared" si="384"/>
        <v>0</v>
      </c>
      <c r="CP69" s="83">
        <f t="shared" si="385"/>
        <v>340434</v>
      </c>
      <c r="CQ69" s="83">
        <f t="shared" si="386"/>
        <v>-35868</v>
      </c>
      <c r="CR69" s="83"/>
      <c r="CS69" s="83">
        <f t="shared" si="387"/>
        <v>-3420</v>
      </c>
      <c r="CT69" s="83"/>
      <c r="CU69" s="83">
        <f t="shared" si="388"/>
        <v>0</v>
      </c>
      <c r="CV69" s="83"/>
      <c r="CW69" s="83">
        <f t="shared" ca="1" si="389"/>
        <v>8343219.0827066731</v>
      </c>
      <c r="CY69" s="83">
        <f t="shared" ca="1" si="390"/>
        <v>-202628078.61740744</v>
      </c>
      <c r="CZ69" s="70" t="str">
        <f t="shared" ca="1" si="297"/>
        <v/>
      </c>
      <c r="DA69" s="83">
        <f>IF(RTD("tos.rtd",,DA$43,"."&amp;$A$43&amp;$AS$42&amp;"C"&amp;$A69)="N/A",0,RTD("tos.rtd",,DA$43,"."&amp;$A$43&amp;$AS$42&amp;"C"&amp;$A69))</f>
        <v>9.77</v>
      </c>
      <c r="DB69" s="83">
        <f>IF(RTD("tos.rtd",,DB$43,"."&amp;$A$43&amp;$AS$42&amp;"P"&amp;$A69)="N/A",0,RTD("tos.rtd",,DB$43,"."&amp;$A$43&amp;$AS$42&amp;"P"&amp;$A69))</f>
        <v>0.01</v>
      </c>
      <c r="DC69" s="83">
        <f>IF(RTD("tos.rtd",,DC$43,"."&amp;$A$43&amp;$AS$42&amp;"C"&amp;$A69)="N/A",0,RTD("tos.rtd",,DC$43,"."&amp;$A$43&amp;$AS$42&amp;"C"&amp;$A69))</f>
        <v>9.6999999999999993</v>
      </c>
      <c r="DD69" s="83">
        <f>IF(RTD("tos.rtd",,DD$43,"."&amp;$A$43&amp;$AS$42&amp;"P"&amp;$A69)="N/A",0,RTD("tos.rtd",,DD$43,"."&amp;$A$43&amp;$AS$42&amp;"P"&amp;$A69))</f>
        <v>0.01</v>
      </c>
      <c r="DE69" s="83">
        <f>IF(RTD("tos.rtd",,DE$43,"."&amp;$A$43&amp;$AS$42&amp;"C"&amp;$A69)="N/A",0,RTD("tos.rtd",,DE$43,"."&amp;$A$43&amp;$AS$42&amp;"C"&amp;$A69))</f>
        <v>9.42</v>
      </c>
      <c r="DF69" s="83">
        <f>IF(RTD("tos.rtd",,DF$43,"."&amp;$A$43&amp;$AS$42&amp;"P"&amp;$A69)="N/A",0,RTD("tos.rtd",,DF$43,"."&amp;$A$43&amp;$AS$42&amp;"P"&amp;$A69))</f>
        <v>0</v>
      </c>
      <c r="DG69" s="86">
        <f t="shared" si="289"/>
        <v>-9.660000000000025</v>
      </c>
      <c r="DH69" s="83">
        <f t="shared" si="391"/>
        <v>8.7500000000000107</v>
      </c>
      <c r="DI69" s="83">
        <f t="shared" si="392"/>
        <v>0</v>
      </c>
      <c r="DJ69" s="83">
        <f t="shared" si="393"/>
        <v>7</v>
      </c>
      <c r="DK69" s="83">
        <f t="shared" si="257"/>
        <v>0</v>
      </c>
      <c r="DL69" s="83">
        <f t="shared" si="258"/>
        <v>8.7500000000000107</v>
      </c>
      <c r="DM69" s="83">
        <f t="shared" si="259"/>
        <v>7</v>
      </c>
      <c r="DN69" s="64" t="str">
        <f t="shared" si="260"/>
        <v>BUY</v>
      </c>
      <c r="DO69" s="64" t="str">
        <f t="shared" si="261"/>
        <v>UNKNOWN</v>
      </c>
      <c r="DP69" s="83">
        <f t="shared" si="262"/>
        <v>85.487500000000097</v>
      </c>
      <c r="DQ69" s="83">
        <f t="shared" si="263"/>
        <v>68.39</v>
      </c>
      <c r="DR69" s="83">
        <f t="shared" ca="1" si="264"/>
        <v>8.8884494201097575E-9</v>
      </c>
      <c r="DS69" s="83">
        <f t="shared" si="265"/>
        <v>7</v>
      </c>
      <c r="DT69" s="83">
        <f t="shared" si="290"/>
        <v>7</v>
      </c>
      <c r="DU69" s="83">
        <f t="shared" si="291"/>
        <v>0</v>
      </c>
      <c r="DV69" s="83">
        <f t="shared" si="266"/>
        <v>-306</v>
      </c>
      <c r="DW69" s="83">
        <f t="shared" si="267"/>
        <v>9054</v>
      </c>
      <c r="DX69" s="83">
        <f t="shared" ca="1" si="394"/>
        <v>1.2697784885871083E-9</v>
      </c>
      <c r="DY69" s="83">
        <f t="shared" ca="1" si="395"/>
        <v>-1.8131809487190124E-2</v>
      </c>
      <c r="DZ69" s="83">
        <f t="shared" ca="1" si="396"/>
        <v>1.9901002569435444E-2</v>
      </c>
      <c r="EA69" s="83">
        <f t="shared" ca="1" si="397"/>
        <v>-2.0594647686948107E-2</v>
      </c>
      <c r="EB69" s="83">
        <f t="shared" ca="1" si="398"/>
        <v>2.049357874301359E-2</v>
      </c>
      <c r="EC69" s="83">
        <f t="shared" ca="1" si="399"/>
        <v>-2.049357874301359E-2</v>
      </c>
      <c r="ED69" s="63">
        <f t="shared" si="292"/>
        <v>8748</v>
      </c>
      <c r="EE69" s="84">
        <f t="shared" si="400"/>
        <v>0.25</v>
      </c>
      <c r="EF69" s="84">
        <f t="shared" si="401"/>
        <v>0.96970000000000001</v>
      </c>
      <c r="EG69" s="84">
        <f t="shared" si="402"/>
        <v>0.26240000000000002</v>
      </c>
      <c r="EH69" s="84">
        <f t="shared" si="403"/>
        <v>0.24790000000000001</v>
      </c>
      <c r="EI69" s="84">
        <f t="shared" si="404"/>
        <v>0.25</v>
      </c>
      <c r="EJ69" s="84">
        <f t="shared" si="405"/>
        <v>0.25</v>
      </c>
      <c r="EK69" s="63">
        <f t="shared" ca="1" si="293"/>
        <v>-42308490.365641139</v>
      </c>
      <c r="EL69" s="83" t="str">
        <f>RTD("tos.rtd",,EL$43,"."&amp;$A$43&amp;$AS$42&amp;"C"&amp;$A69)</f>
        <v>--</v>
      </c>
      <c r="EM69" s="83" t="str">
        <f>RTD("tos.rtd",,EM$43,"."&amp;$A$43&amp;$AS$42&amp;"P"&amp;$A69)</f>
        <v>96.97%</v>
      </c>
      <c r="EN69" s="83" t="str">
        <f>RTD("tos.rtd",,EN$2,"."&amp;$A$43&amp;$AU$1&amp;"C"&amp;$A69)</f>
        <v>26.24%</v>
      </c>
      <c r="EO69" s="83" t="str">
        <f>RTD("tos.rtd",,EO$2,"."&amp;$A$43&amp;$AU$1&amp;"P"&amp;$A69)</f>
        <v>24.79%</v>
      </c>
      <c r="EP69" s="83" t="str">
        <f>RTD("tos.rtd",,EP$2,"."&amp;$A$43&amp;$AW$1&amp;"C"&amp;$A69)</f>
        <v>N/A</v>
      </c>
      <c r="EQ69" s="83" t="str">
        <f>RTD("tos.rtd",,EQ$2,"."&amp;$A$43&amp;$AW$1&amp;"P"&amp;$A69)</f>
        <v>N/A</v>
      </c>
      <c r="ES69" s="63" t="str">
        <f t="shared" si="274"/>
        <v>498,8748.00</v>
      </c>
      <c r="ET69" s="63" t="str">
        <f t="shared" ca="1" si="275"/>
        <v>498,-202628.08</v>
      </c>
      <c r="EU69" s="68">
        <v>571.58000000000004</v>
      </c>
      <c r="EV69" s="68" t="s">
        <v>571</v>
      </c>
      <c r="EW69" s="68">
        <v>496.19</v>
      </c>
      <c r="EX69" s="68" t="s">
        <v>572</v>
      </c>
      <c r="EY69" s="68">
        <v>5659.91</v>
      </c>
      <c r="EZ69" s="68" t="s">
        <v>573</v>
      </c>
      <c r="FA69" s="68">
        <v>20061.449000000001</v>
      </c>
      <c r="FB69" s="68" t="s">
        <v>574</v>
      </c>
      <c r="FC69" s="68" t="s">
        <v>575</v>
      </c>
      <c r="FD69" s="68" t="s">
        <v>576</v>
      </c>
      <c r="FE69" s="68" t="s">
        <v>577</v>
      </c>
      <c r="FF69" s="68" t="s">
        <v>578</v>
      </c>
    </row>
    <row r="70" spans="1:162" ht="13.5" thickBot="1" x14ac:dyDescent="0.25">
      <c r="A70" s="2">
        <f t="shared" si="294"/>
        <v>497</v>
      </c>
      <c r="B70" s="3">
        <f t="shared" si="241"/>
        <v>2826</v>
      </c>
      <c r="C70" s="3">
        <f t="shared" si="242"/>
        <v>911</v>
      </c>
      <c r="D70" s="3">
        <f t="shared" si="243"/>
        <v>0</v>
      </c>
      <c r="E70" s="3">
        <f t="shared" si="244"/>
        <v>3737</v>
      </c>
      <c r="F70" s="4">
        <f t="shared" si="298"/>
        <v>20503.96672970098</v>
      </c>
      <c r="AM70" s="1">
        <v>172</v>
      </c>
      <c r="AN70" s="1">
        <v>3832</v>
      </c>
      <c r="AO70" s="1">
        <v>497</v>
      </c>
      <c r="AP70" s="1">
        <v>3530</v>
      </c>
      <c r="AQ70" s="1">
        <v>-36987</v>
      </c>
      <c r="AS70" s="6">
        <f>IF(RTD("tos.rtd",,AS$43,"."&amp;$A$43&amp;$AS$42&amp;"C"&amp;$A70)="N/A",0,RTD("tos.rtd",,AS$43,"."&amp;$A$43&amp;$AS$42&amp;"C"&amp;$A70))</f>
        <v>2626</v>
      </c>
      <c r="AT70" s="7">
        <f>-IF(RTD("tos.rtd",,AT$43,"."&amp;$A$43&amp;$AS$42&amp;"P"&amp;$A70)="N/A",0,RTD("tos.rtd",,AT$43,"."&amp;$A$43&amp;$AS$42&amp;"P"&amp;$A70))</f>
        <v>-200</v>
      </c>
      <c r="AU70" s="6">
        <f>IF(RTD("tos.rtd",,AU$2,"."&amp;$A$43&amp;$AU$1&amp;"C"&amp;$A70)="N/A",0,RTD("tos.rtd",,AU$2,"."&amp;$A$43&amp;$AU$1&amp;"C"&amp;$A70))</f>
        <v>831</v>
      </c>
      <c r="AV70" s="7">
        <f>-IF(RTD("tos.rtd",,AV$2,"."&amp;$A$43&amp;$AU$1&amp;"P"&amp;$A70)="N/A",0,RTD("tos.rtd",,AV$2,"."&amp;$A$43&amp;$AU$1&amp;"P"&amp;$A70))</f>
        <v>-80</v>
      </c>
      <c r="AW70" s="6">
        <f>IF(RTD("tos.rtd",,AW$2,"."&amp;$A$43&amp;$AW$1&amp;"C"&amp;$A70)="N/A",0,RTD("tos.rtd",,AW$2,"."&amp;$A$43&amp;$AW$1&amp;"C"&amp;$A70))</f>
        <v>0</v>
      </c>
      <c r="AX70" s="7">
        <f>-IF(RTD("tos.rtd",,AX$2,"."&amp;$A$43&amp;$AW$1&amp;"P"&amp;$A70)="N/A",0,RTD("tos.rtd",,AX$2,"."&amp;$A$43&amp;$AW$1&amp;"P"&amp;$A70))</f>
        <v>0</v>
      </c>
      <c r="AY70" s="7">
        <f t="shared" si="276"/>
        <v>3177</v>
      </c>
      <c r="AZ70" s="8">
        <f t="shared" si="245"/>
        <v>497</v>
      </c>
      <c r="BA70" s="6">
        <f>IF(RTD("tos.rtd",,BA$43,"."&amp;$A$43&amp;$AS$42&amp;"C"&amp;$A70)="N/A",0,RTD("tos.rtd",,BA$43,"."&amp;$A$43&amp;$AS$42&amp;"C"&amp;$A70))</f>
        <v>3530</v>
      </c>
      <c r="BB70" s="7">
        <f>-IF(RTD("tos.rtd",,BB$43,"."&amp;$A$43&amp;$AS$42&amp;"P"&amp;$A70)="N/A",0,RTD("tos.rtd",,BB$43,"."&amp;$A$43&amp;$AS$42&amp;"P"&amp;$A70))</f>
        <v>-36987</v>
      </c>
      <c r="BC70" s="6">
        <f>IF(RTD("tos.rtd",,BC$2,"."&amp;$A$43&amp;$AU$1&amp;"C"&amp;$A70)="N/A",0,RTD("tos.rtd",,BC$2,"."&amp;$A$43&amp;$AU$1&amp;"C"&amp;$A70))</f>
        <v>1029</v>
      </c>
      <c r="BD70" s="7">
        <f>-IF(RTD("tos.rtd",,BD$2,"."&amp;$A$43&amp;$AU$1&amp;"P"&amp;$A70)="N/A",0,RTD("tos.rtd",,BD$2,"."&amp;$A$43&amp;$AU$1&amp;"P"&amp;$A70))</f>
        <v>-1857</v>
      </c>
      <c r="BE70" s="6">
        <f>IF(RTD("tos.rtd",,BE$2,"."&amp;$A$43&amp;$AW$1&amp;"C"&amp;$A70)="N/A",0,RTD("tos.rtd",,BE$2,"."&amp;$A$43&amp;$AW$1&amp;"C"&amp;$A70))</f>
        <v>0</v>
      </c>
      <c r="BF70" s="7">
        <f>-IF(RTD("tos.rtd",,BF$2,"."&amp;$A$43&amp;$AW$1&amp;"P"&amp;$A70)="N/A",0,RTD("tos.rtd",,BF$2,"."&amp;$A$43&amp;$AW$1&amp;"P"&amp;$A70))</f>
        <v>0</v>
      </c>
      <c r="BG70" s="32">
        <f ca="1">+Hoja2!Y71</f>
        <v>-260</v>
      </c>
      <c r="BH70" s="7">
        <f t="shared" ca="1" si="277"/>
        <v>-34545</v>
      </c>
      <c r="BI70" s="8" t="str">
        <f t="shared" ca="1" si="295"/>
        <v/>
      </c>
      <c r="BJ70" s="83">
        <f ca="1">IF($BP$1=1,DX70,IF(RTD("tos.rtd",,BJ$43,"."&amp;$A$43&amp;$AS$42&amp;"C"&amp;$A70)="N/A",0,RTD("tos.rtd",,BJ$43,"."&amp;$A$43&amp;$AS$42&amp;"C"&amp;$A70)))</f>
        <v>1.894335965271809E-11</v>
      </c>
      <c r="BK70" s="83">
        <f ca="1">IF($BP$1=1,DY70,-IF(RTD("tos.rtd",,BK$43,"."&amp;$A$43&amp;$AS$42&amp;"P"&amp;$A70)="N/A",0,RTD("tos.rtd",,BK$43,"."&amp;$A$43&amp;$AS$42&amp;"P"&amp;$A70)))</f>
        <v>-1.6132638393399061E-2</v>
      </c>
      <c r="BL70" s="83">
        <f ca="1">IF($BP$1=1,DZ70,IF(RTD("tos.rtd",,BL$2,"."&amp;$A$43&amp;$AU$1&amp;"C"&amp;$A70)="N/A",0,RTD("tos.rtd",,BL$2,"."&amp;$A$43&amp;$AU$1&amp;"C"&amp;$A70)))</f>
        <v>2.1186966733006973E-2</v>
      </c>
      <c r="BM70" s="83">
        <f ca="1">IF($BP$1=1,EA70,-IF(RTD("tos.rtd",,BM$2,"."&amp;$A$43&amp;$AU$1&amp;"P"&amp;$A70)="N/A",0,RTD("tos.rtd",,BM$2,"."&amp;$A$43&amp;$AU$1&amp;"P"&amp;$A70)))</f>
        <v>-1.9599743568685796E-2</v>
      </c>
      <c r="BN70" s="83">
        <f ca="1">IF($BP$1=1,EB70,IF(RTD("tos.rtd",,BN$2,"."&amp;$A$43&amp;$AW$1&amp;"C"&amp;$A70)="N/A",0,RTD("tos.rtd",,BN$2,"."&amp;$A$43&amp;$AW$1&amp;"C"&amp;$A70)))</f>
        <v>1.9591928199320794E-2</v>
      </c>
      <c r="BO70" s="83">
        <f ca="1">IF($BP$1=1,EC70,-IF(RTD("tos.rtd",,BO$2,"."&amp;$A$43&amp;$AW$1&amp;"P"&amp;$A70)="N/A",0,RTD("tos.rtd",,BO$2,"."&amp;$A$43&amp;$AW$1&amp;"P"&amp;$A70)))</f>
        <v>-1.9591928199320794E-2</v>
      </c>
      <c r="BQ70" s="83">
        <f t="shared" ca="1" si="278"/>
        <v>-831536.42731582047</v>
      </c>
      <c r="BR70" s="3" t="str">
        <f t="shared" ca="1" si="279"/>
        <v/>
      </c>
      <c r="BS70" s="83">
        <f t="shared" ca="1" si="280"/>
        <v>4133392.5959585137</v>
      </c>
      <c r="BT70" s="3" t="str">
        <f t="shared" ca="1" si="281"/>
        <v/>
      </c>
      <c r="BU70" s="83">
        <f t="shared" ca="1" si="282"/>
        <v>0</v>
      </c>
      <c r="BV70" s="83"/>
      <c r="BX70" s="83">
        <f t="shared" ca="1" si="283"/>
        <v>-153780191.53933665</v>
      </c>
      <c r="BY70" s="83" t="str">
        <f t="shared" ca="1" si="296"/>
        <v/>
      </c>
      <c r="BZ70" s="83">
        <f t="shared" ca="1" si="284"/>
        <v>-3761490.4161340334</v>
      </c>
      <c r="CA70" s="83" t="str">
        <f t="shared" ca="1" si="296"/>
        <v/>
      </c>
      <c r="CB70" s="83">
        <f t="shared" ca="1" si="285"/>
        <v>0</v>
      </c>
      <c r="CC70" s="83" t="str">
        <f t="shared" ca="1" si="296"/>
        <v/>
      </c>
      <c r="CD70" s="83">
        <f>IF(RTD("tos.rtd",,CD$43,"."&amp;$A$43&amp;$AS$42&amp;"C"&amp;$A70)="N/A",0,RTD("tos.rtd",,CD$43,"."&amp;$A$43&amp;$AS$42&amp;"C"&amp;$A70))</f>
        <v>1</v>
      </c>
      <c r="CE70" s="83">
        <f>-IF(RTD("tos.rtd",,CE$43,"."&amp;$A$43&amp;$AS$42&amp;"P"&amp;$A70)="N/A",0,RTD("tos.rtd",,CE$43,"."&amp;$A$43&amp;$AS$42&amp;"P"&amp;$A70))</f>
        <v>0</v>
      </c>
      <c r="CF70" s="83">
        <f>IF(RTD("tos.rtd",,CF$2,"."&amp;$A$43&amp;$AU$1&amp;"C"&amp;$A70)="N/A",0,RTD("tos.rtd",,CF$2,"."&amp;$A$43&amp;$AU$1&amp;"C"&amp;$A70))</f>
        <v>0.85</v>
      </c>
      <c r="CG70" s="83">
        <f>-IF(RTD("tos.rtd",,CG$2,"."&amp;$A$43&amp;$AU$1&amp;"P"&amp;$A70)="N/A",0,RTD("tos.rtd",,CG$2,"."&amp;$A$43&amp;$AU$1&amp;"P"&amp;$A70))</f>
        <v>0.2</v>
      </c>
      <c r="CH70" s="83">
        <f>IF(RTD("tos.rtd",,CH$2,"."&amp;$A$43&amp;$AW$1&amp;"C"&amp;$A70)="N/A",0,RTD("tos.rtd",,CH$2,"."&amp;$A$43&amp;$AW$1&amp;"C"&amp;$A70))</f>
        <v>0</v>
      </c>
      <c r="CI70" s="83">
        <f>-IF(RTD("tos.rtd",,CI$2,"."&amp;$A$43&amp;$AW$1&amp;"P"&amp;$A70)="N/A",0,RTD("tos.rtd",,CI$2,"."&amp;$A$43&amp;$AW$1&amp;"P"&amp;$A70))</f>
        <v>0</v>
      </c>
      <c r="CK70" s="83">
        <f t="shared" si="286"/>
        <v>262600</v>
      </c>
      <c r="CL70" s="83"/>
      <c r="CM70" s="83">
        <f t="shared" si="287"/>
        <v>69035</v>
      </c>
      <c r="CN70" s="83"/>
      <c r="CO70" s="83">
        <f t="shared" si="288"/>
        <v>0</v>
      </c>
      <c r="CP70" s="83">
        <f t="shared" si="235"/>
        <v>331635</v>
      </c>
      <c r="CQ70" s="83">
        <f t="shared" si="249"/>
        <v>-33457</v>
      </c>
      <c r="CR70" s="83"/>
      <c r="CS70" s="83">
        <f t="shared" si="250"/>
        <v>-828</v>
      </c>
      <c r="CT70" s="83"/>
      <c r="CU70" s="83">
        <f t="shared" si="251"/>
        <v>0</v>
      </c>
      <c r="CV70" s="83"/>
      <c r="CW70" s="83">
        <f t="shared" ca="1" si="252"/>
        <v>3301856.1686426932</v>
      </c>
      <c r="CY70" s="83">
        <f t="shared" ca="1" si="253"/>
        <v>-157541681.95547068</v>
      </c>
      <c r="CZ70" s="70" t="str">
        <f t="shared" ca="1" si="297"/>
        <v/>
      </c>
      <c r="DA70" s="83">
        <f>IF(RTD("tos.rtd",,DA$43,"."&amp;$A$43&amp;$AS$42&amp;"C"&amp;$A70)="N/A",0,RTD("tos.rtd",,DA$43,"."&amp;$A$43&amp;$AS$42&amp;"C"&amp;$A70))</f>
        <v>10.76</v>
      </c>
      <c r="DB70" s="83">
        <f>IF(RTD("tos.rtd",,DB$43,"."&amp;$A$43&amp;$AS$42&amp;"P"&amp;$A70)="N/A",0,RTD("tos.rtd",,DB$43,"."&amp;$A$43&amp;$AS$42&amp;"P"&amp;$A70))</f>
        <v>0.01</v>
      </c>
      <c r="DC70" s="83">
        <f>IF(RTD("tos.rtd",,DC$43,"."&amp;$A$43&amp;$AS$42&amp;"C"&amp;$A70)="N/A",0,RTD("tos.rtd",,DC$43,"."&amp;$A$43&amp;$AS$42&amp;"C"&amp;$A70))</f>
        <v>10.75</v>
      </c>
      <c r="DD70" s="83">
        <f>IF(RTD("tos.rtd",,DD$43,"."&amp;$A$43&amp;$AS$42&amp;"P"&amp;$A70)="N/A",0,RTD("tos.rtd",,DD$43,"."&amp;$A$43&amp;$AS$42&amp;"P"&amp;$A70))</f>
        <v>0.01</v>
      </c>
      <c r="DE70" s="83">
        <f>IF(RTD("tos.rtd",,DE$43,"."&amp;$A$43&amp;$AS$42&amp;"C"&amp;$A70)="N/A",0,RTD("tos.rtd",,DE$43,"."&amp;$A$43&amp;$AS$42&amp;"C"&amp;$A70))</f>
        <v>10.42</v>
      </c>
      <c r="DF70" s="83">
        <f>IF(RTD("tos.rtd",,DF$43,"."&amp;$A$43&amp;$AS$42&amp;"P"&amp;$A70)="N/A",0,RTD("tos.rtd",,DF$43,"."&amp;$A$43&amp;$AS$42&amp;"P"&amp;$A70))</f>
        <v>0</v>
      </c>
      <c r="DG70" s="86">
        <f t="shared" si="289"/>
        <v>-10.660000000000025</v>
      </c>
      <c r="DH70" s="83">
        <f t="shared" si="254"/>
        <v>0</v>
      </c>
      <c r="DI70" s="83">
        <f t="shared" si="255"/>
        <v>0</v>
      </c>
      <c r="DJ70" s="83">
        <f t="shared" si="256"/>
        <v>0</v>
      </c>
      <c r="DK70" s="83">
        <f t="shared" si="257"/>
        <v>0</v>
      </c>
      <c r="DL70" s="83">
        <f t="shared" si="258"/>
        <v>0</v>
      </c>
      <c r="DM70" s="83">
        <f t="shared" si="259"/>
        <v>0</v>
      </c>
      <c r="DN70" s="64" t="str">
        <f t="shared" si="260"/>
        <v>UNKNOWN</v>
      </c>
      <c r="DO70" s="64" t="str">
        <f t="shared" si="261"/>
        <v>UNKNOWN</v>
      </c>
      <c r="DP70" s="83">
        <f t="shared" si="262"/>
        <v>0</v>
      </c>
      <c r="DQ70" s="83">
        <f t="shared" si="263"/>
        <v>0</v>
      </c>
      <c r="DR70" s="83">
        <f t="shared" ca="1" si="264"/>
        <v>0</v>
      </c>
      <c r="DS70" s="83">
        <f t="shared" si="265"/>
        <v>0</v>
      </c>
      <c r="DT70" s="83">
        <f t="shared" si="290"/>
        <v>0</v>
      </c>
      <c r="DU70" s="83">
        <f t="shared" si="291"/>
        <v>0</v>
      </c>
      <c r="DV70" s="83">
        <f t="shared" si="266"/>
        <v>172</v>
      </c>
      <c r="DW70" s="83">
        <f t="shared" si="267"/>
        <v>3832</v>
      </c>
      <c r="DX70" s="83">
        <f t="shared" ref="DX70:DX79" ca="1" si="406">(EXP(-POWER((LN($A$44/$A70)+($EC$1+POWER($EE70,2)/2)*($EM$1/$DY$1))/($EE70*SQRT($EM$1/$DY$1)),2)/2)/SQRT(2*PI())/($A$44*$EE70*SQRT($EM$1/$DY$1)))</f>
        <v>1.894335965271809E-11</v>
      </c>
      <c r="DY70" s="83">
        <f t="shared" ref="DY70:DY79" ca="1" si="407">-(EXP(-POWER((LN($A$44/$A70)+($EC$1+POWER($EF70,2)/2)*($EM$1/$DY$1))/($EF70*SQRT($EM$1/$DY$1)),2)/2)/SQRT(2*PI())/($A$44*$EF70*SQRT($EM$1/$DY$1)))</f>
        <v>-1.6132638393399061E-2</v>
      </c>
      <c r="DZ70" s="83">
        <f t="shared" ref="DZ70:DZ79" ca="1" si="408">(EXP(-POWER((LN($A$44/$A70)+($EC$1+POWER($EG70,2)/2)*($EO$1/$DY$1))/($EG70*SQRT($EO$1/$DY$1)),2)/2)/SQRT(2*PI())/($A$44*$EG70*SQRT($EO$1/$DY$1)))</f>
        <v>2.1186966733006973E-2</v>
      </c>
      <c r="EA70" s="83">
        <f t="shared" ref="EA70:EA79" ca="1" si="409">-(EXP(-POWER((LN($A$44/$A70)+($EC$1+POWER($EH70,2)/2)*($EO$1/$DY$1))/($EH70*SQRT($EO$1/$DY$1)),2)/2)/SQRT(2*PI())/($A$44*$EH70*SQRT($EO$1/$DY$1)))</f>
        <v>-1.9599743568685796E-2</v>
      </c>
      <c r="EB70" s="83">
        <f t="shared" ref="EB70:EB79" ca="1" si="410">(EXP(-POWER((LN($A$44/$A70)+($EC$1+POWER($EI70,2)/2)*($EO$1/$DY$1))/($EI70*SQRT($EO$1/$DY$1)),2)/2)/SQRT(2*PI())/($A$44*$EI70*SQRT($EO$1/$DY$1)))</f>
        <v>1.9591928199320794E-2</v>
      </c>
      <c r="EC70" s="83">
        <f t="shared" ref="EC70:EC79" ca="1" si="411">-(EXP(-POWER((LN($A$44/$A70)+($EC$1+POWER($EJ70,2)/2)*($EO$1/$DY$1))/($EJ70*SQRT($EO$1/$DY$1)),2)/2)/SQRT(2*PI())/($A$44*$EJ70*SQRT($EO$1/$DY$1)))</f>
        <v>-1.9591928199320794E-2</v>
      </c>
      <c r="ED70" s="63">
        <f t="shared" si="292"/>
        <v>4004</v>
      </c>
      <c r="EE70" s="84">
        <f t="shared" si="268"/>
        <v>0.25</v>
      </c>
      <c r="EF70" s="84">
        <f t="shared" si="269"/>
        <v>1.06</v>
      </c>
      <c r="EG70" s="84">
        <f t="shared" si="270"/>
        <v>0.2034</v>
      </c>
      <c r="EH70" s="84">
        <f t="shared" si="271"/>
        <v>0.24979999999999999</v>
      </c>
      <c r="EI70" s="84">
        <f t="shared" si="272"/>
        <v>0.25</v>
      </c>
      <c r="EJ70" s="84">
        <f t="shared" si="273"/>
        <v>0.25</v>
      </c>
      <c r="EK70" s="63">
        <f t="shared" ca="1" si="293"/>
        <v>-15932238.192168033</v>
      </c>
      <c r="EL70" s="83" t="str">
        <f>RTD("tos.rtd",,EL$43,"."&amp;$A$43&amp;$AS$42&amp;"C"&amp;$A70)</f>
        <v>--</v>
      </c>
      <c r="EM70" s="83" t="str">
        <f>RTD("tos.rtd",,EM$43,"."&amp;$A$43&amp;$AS$42&amp;"P"&amp;$A70)</f>
        <v>106.00%</v>
      </c>
      <c r="EN70" s="83" t="str">
        <f>RTD("tos.rtd",,EN$2,"."&amp;$A$43&amp;$AU$1&amp;"C"&amp;$A70)</f>
        <v>20.34%</v>
      </c>
      <c r="EO70" s="83" t="str">
        <f>RTD("tos.rtd",,EO$2,"."&amp;$A$43&amp;$AU$1&amp;"P"&amp;$A70)</f>
        <v>24.98%</v>
      </c>
      <c r="EP70" s="83" t="str">
        <f>RTD("tos.rtd",,EP$2,"."&amp;$A$43&amp;$AW$1&amp;"C"&amp;$A70)</f>
        <v>N/A</v>
      </c>
      <c r="EQ70" s="83" t="str">
        <f>RTD("tos.rtd",,EQ$2,"."&amp;$A$43&amp;$AW$1&amp;"P"&amp;$A70)</f>
        <v>N/A</v>
      </c>
      <c r="ES70" s="63" t="str">
        <f t="shared" si="274"/>
        <v>497,4004.00</v>
      </c>
      <c r="ET70" s="63" t="str">
        <f t="shared" ca="1" si="275"/>
        <v>497,-157541.68</v>
      </c>
      <c r="EU70" s="68">
        <v>571.38</v>
      </c>
      <c r="EV70" s="68" t="s">
        <v>579</v>
      </c>
      <c r="EW70" s="68">
        <v>496.08</v>
      </c>
      <c r="EX70" s="68" t="s">
        <v>580</v>
      </c>
      <c r="EY70" s="68">
        <v>5659.91</v>
      </c>
      <c r="EZ70" s="68" t="s">
        <v>581</v>
      </c>
      <c r="FA70" s="68">
        <v>20061.449000000001</v>
      </c>
      <c r="FB70" s="68" t="s">
        <v>582</v>
      </c>
      <c r="FC70" s="68" t="s">
        <v>583</v>
      </c>
      <c r="FD70" s="68" t="s">
        <v>584</v>
      </c>
      <c r="FE70" s="68" t="s">
        <v>585</v>
      </c>
      <c r="FF70" s="68" t="s">
        <v>586</v>
      </c>
    </row>
    <row r="71" spans="1:162" ht="13.5" thickBot="1" x14ac:dyDescent="0.25">
      <c r="A71" s="2">
        <f t="shared" si="294"/>
        <v>496</v>
      </c>
      <c r="B71" s="3">
        <f t="shared" si="241"/>
        <v>2025</v>
      </c>
      <c r="C71" s="3">
        <f t="shared" si="242"/>
        <v>1302</v>
      </c>
      <c r="D71" s="3">
        <f t="shared" si="243"/>
        <v>0</v>
      </c>
      <c r="E71" s="3">
        <f t="shared" si="244"/>
        <v>3327</v>
      </c>
      <c r="F71" s="4">
        <f t="shared" si="298"/>
        <v>20462.711263444035</v>
      </c>
      <c r="AM71" s="1">
        <v>-154</v>
      </c>
      <c r="AN71" s="1">
        <v>2619</v>
      </c>
      <c r="AO71" s="1">
        <v>496</v>
      </c>
      <c r="AP71" s="1">
        <v>2109</v>
      </c>
      <c r="AQ71" s="1">
        <v>-20835</v>
      </c>
      <c r="AS71" s="6">
        <f>IF(RTD("tos.rtd",,AS$43,"."&amp;$A$43&amp;$AS$42&amp;"C"&amp;$A71)="N/A",0,RTD("tos.rtd",,AS$43,"."&amp;$A$43&amp;$AS$42&amp;"C"&amp;$A71))</f>
        <v>1863</v>
      </c>
      <c r="AT71" s="7">
        <f>-IF(RTD("tos.rtd",,AT$43,"."&amp;$A$43&amp;$AS$42&amp;"P"&amp;$A71)="N/A",0,RTD("tos.rtd",,AT$43,"."&amp;$A$43&amp;$AS$42&amp;"P"&amp;$A71))</f>
        <v>-162</v>
      </c>
      <c r="AU71" s="6">
        <f>IF(RTD("tos.rtd",,AU$2,"."&amp;$A$43&amp;$AU$1&amp;"C"&amp;$A71)="N/A",0,RTD("tos.rtd",,AU$2,"."&amp;$A$43&amp;$AU$1&amp;"C"&amp;$A71))</f>
        <v>1252</v>
      </c>
      <c r="AV71" s="7">
        <f>-IF(RTD("tos.rtd",,AV$2,"."&amp;$A$43&amp;$AU$1&amp;"P"&amp;$A71)="N/A",0,RTD("tos.rtd",,AV$2,"."&amp;$A$43&amp;$AU$1&amp;"P"&amp;$A71))</f>
        <v>-50</v>
      </c>
      <c r="AW71" s="6">
        <f>IF(RTD("tos.rtd",,AW$2,"."&amp;$A$43&amp;$AW$1&amp;"C"&amp;$A71)="N/A",0,RTD("tos.rtd",,AW$2,"."&amp;$A$43&amp;$AW$1&amp;"C"&amp;$A71))</f>
        <v>0</v>
      </c>
      <c r="AX71" s="7">
        <f>-IF(RTD("tos.rtd",,AX$2,"."&amp;$A$43&amp;$AW$1&amp;"P"&amp;$A71)="N/A",0,RTD("tos.rtd",,AX$2,"."&amp;$A$43&amp;$AW$1&amp;"P"&amp;$A71))</f>
        <v>0</v>
      </c>
      <c r="AY71" s="7">
        <f t="shared" si="276"/>
        <v>2903</v>
      </c>
      <c r="AZ71" s="8">
        <f t="shared" si="245"/>
        <v>496</v>
      </c>
      <c r="BA71" s="6">
        <f>IF(RTD("tos.rtd",,BA$43,"."&amp;$A$43&amp;$AS$42&amp;"C"&amp;$A71)="N/A",0,RTD("tos.rtd",,BA$43,"."&amp;$A$43&amp;$AS$42&amp;"C"&amp;$A71))</f>
        <v>2109</v>
      </c>
      <c r="BB71" s="7">
        <f>-IF(RTD("tos.rtd",,BB$43,"."&amp;$A$43&amp;$AS$42&amp;"P"&amp;$A71)="N/A",0,RTD("tos.rtd",,BB$43,"."&amp;$A$43&amp;$AS$42&amp;"P"&amp;$A71))</f>
        <v>-21025</v>
      </c>
      <c r="BC71" s="6">
        <f>IF(RTD("tos.rtd",,BC$2,"."&amp;$A$43&amp;$AU$1&amp;"C"&amp;$A71)="N/A",0,RTD("tos.rtd",,BC$2,"."&amp;$A$43&amp;$AU$1&amp;"C"&amp;$A71))</f>
        <v>986</v>
      </c>
      <c r="BD71" s="7">
        <f>-IF(RTD("tos.rtd",,BD$2,"."&amp;$A$43&amp;$AU$1&amp;"P"&amp;$A71)="N/A",0,RTD("tos.rtd",,BD$2,"."&amp;$A$43&amp;$AU$1&amp;"P"&amp;$A71))</f>
        <v>-2503</v>
      </c>
      <c r="BE71" s="6">
        <f>IF(RTD("tos.rtd",,BE$2,"."&amp;$A$43&amp;$AW$1&amp;"C"&amp;$A71)="N/A",0,RTD("tos.rtd",,BE$2,"."&amp;$A$43&amp;$AW$1&amp;"C"&amp;$A71))</f>
        <v>0</v>
      </c>
      <c r="BF71" s="7">
        <f>-IF(RTD("tos.rtd",,BF$2,"."&amp;$A$43&amp;$AW$1&amp;"P"&amp;$A71)="N/A",0,RTD("tos.rtd",,BF$2,"."&amp;$A$43&amp;$AW$1&amp;"P"&amp;$A71))</f>
        <v>0</v>
      </c>
      <c r="BG71" s="32">
        <f ca="1">+Hoja2!Y72</f>
        <v>327</v>
      </c>
      <c r="BH71" s="7">
        <f t="shared" ca="1" si="277"/>
        <v>-20106</v>
      </c>
      <c r="BI71" s="8" t="str">
        <f t="shared" ca="1" si="295"/>
        <v/>
      </c>
      <c r="BJ71" s="83">
        <f ca="1">IF($BP$1=1,DX71,IF(RTD("tos.rtd",,BJ$43,"."&amp;$A$43&amp;$AS$42&amp;"C"&amp;$A71)="N/A",0,RTD("tos.rtd",,BJ$43,"."&amp;$A$43&amp;$AS$42&amp;"C"&amp;$A71)))</f>
        <v>1.8428287388247065E-13</v>
      </c>
      <c r="BK71" s="83">
        <f ca="1">IF($BP$1=1,DY71,-IF(RTD("tos.rtd",,BK$43,"."&amp;$A$43&amp;$AS$42&amp;"P"&amp;$A71)="N/A",0,RTD("tos.rtd",,BK$43,"."&amp;$A$43&amp;$AS$42&amp;"P"&amp;$A71)))</f>
        <v>-1.4501605259203933E-2</v>
      </c>
      <c r="BL71" s="83">
        <f ca="1">IF($BP$1=1,DZ71,IF(RTD("tos.rtd",,BL$2,"."&amp;$A$43&amp;$AU$1&amp;"C"&amp;$A71)="N/A",0,RTD("tos.rtd",,BL$2,"."&amp;$A$43&amp;$AU$1&amp;"C"&amp;$A71)))</f>
        <v>1.8308938054713435E-2</v>
      </c>
      <c r="BM71" s="83">
        <f ca="1">IF($BP$1=1,EA71,-IF(RTD("tos.rtd",,BM$2,"."&amp;$A$43&amp;$AU$1&amp;"P"&amp;$A71)="N/A",0,RTD("tos.rtd",,BM$2,"."&amp;$A$43&amp;$AU$1&amp;"P"&amp;$A71)))</f>
        <v>-1.8597529614823569E-2</v>
      </c>
      <c r="BN71" s="83">
        <f ca="1">IF($BP$1=1,EB71,IF(RTD("tos.rtd",,BN$2,"."&amp;$A$43&amp;$AW$1&amp;"C"&amp;$A71)="N/A",0,RTD("tos.rtd",,BN$2,"."&amp;$A$43&amp;$AW$1&amp;"C"&amp;$A71)))</f>
        <v>1.864878492276351E-2</v>
      </c>
      <c r="BO71" s="83">
        <f ca="1">IF($BP$1=1,EC71,-IF(RTD("tos.rtd",,BO$2,"."&amp;$A$43&amp;$AW$1&amp;"P"&amp;$A71)="N/A",0,RTD("tos.rtd",,BO$2,"."&amp;$A$43&amp;$AW$1&amp;"P"&amp;$A71)))</f>
        <v>-1.864878492276351E-2</v>
      </c>
      <c r="BQ71" s="83">
        <f t="shared" ca="1" si="278"/>
        <v>-605448.18915063748</v>
      </c>
      <c r="BR71" s="3" t="str">
        <f t="shared" ca="1" si="279"/>
        <v/>
      </c>
      <c r="BS71" s="83">
        <f t="shared" ca="1" si="280"/>
        <v>5667984.659324985</v>
      </c>
      <c r="BT71" s="3" t="str">
        <f t="shared" ca="1" si="281"/>
        <v/>
      </c>
      <c r="BU71" s="83">
        <f t="shared" ca="1" si="282"/>
        <v>0</v>
      </c>
      <c r="BV71" s="83"/>
      <c r="BX71" s="83">
        <f t="shared" ca="1" si="283"/>
        <v>-78577457.893433422</v>
      </c>
      <c r="BY71" s="83" t="str">
        <f t="shared" ca="1" si="296"/>
        <v/>
      </c>
      <c r="BZ71" s="83">
        <f t="shared" ca="1" si="284"/>
        <v>-7344210.0531518208</v>
      </c>
      <c r="CA71" s="83" t="str">
        <f t="shared" ca="1" si="296"/>
        <v/>
      </c>
      <c r="CB71" s="83">
        <f t="shared" ca="1" si="285"/>
        <v>0</v>
      </c>
      <c r="CC71" s="83" t="str">
        <f t="shared" ca="1" si="296"/>
        <v/>
      </c>
      <c r="CD71" s="83">
        <f>IF(RTD("tos.rtd",,CD$43,"."&amp;$A$43&amp;$AS$42&amp;"C"&amp;$A71)="N/A",0,RTD("tos.rtd",,CD$43,"."&amp;$A$43&amp;$AS$42&amp;"C"&amp;$A71))</f>
        <v>1</v>
      </c>
      <c r="CE71" s="83">
        <f>-IF(RTD("tos.rtd",,CE$43,"."&amp;$A$43&amp;$AS$42&amp;"P"&amp;$A71)="N/A",0,RTD("tos.rtd",,CE$43,"."&amp;$A$43&amp;$AS$42&amp;"P"&amp;$A71))</f>
        <v>0</v>
      </c>
      <c r="CF71" s="83">
        <f>IF(RTD("tos.rtd",,CF$2,"."&amp;$A$43&amp;$AU$1&amp;"C"&amp;$A71)="N/A",0,RTD("tos.rtd",,CF$2,"."&amp;$A$43&amp;$AU$1&amp;"C"&amp;$A71))</f>
        <v>0.81</v>
      </c>
      <c r="CG71" s="83">
        <f>-IF(RTD("tos.rtd",,CG$2,"."&amp;$A$43&amp;$AU$1&amp;"P"&amp;$A71)="N/A",0,RTD("tos.rtd",,CG$2,"."&amp;$A$43&amp;$AU$1&amp;"P"&amp;$A71))</f>
        <v>0.18</v>
      </c>
      <c r="CH71" s="83">
        <f>IF(RTD("tos.rtd",,CH$2,"."&amp;$A$43&amp;$AW$1&amp;"C"&amp;$A71)="N/A",0,RTD("tos.rtd",,CH$2,"."&amp;$A$43&amp;$AW$1&amp;"C"&amp;$A71))</f>
        <v>0</v>
      </c>
      <c r="CI71" s="83">
        <f>-IF(RTD("tos.rtd",,CI$2,"."&amp;$A$43&amp;$AW$1&amp;"P"&amp;$A71)="N/A",0,RTD("tos.rtd",,CI$2,"."&amp;$A$43&amp;$AW$1&amp;"P"&amp;$A71))</f>
        <v>0</v>
      </c>
      <c r="CK71" s="83">
        <f t="shared" si="286"/>
        <v>186300</v>
      </c>
      <c r="CL71" s="83"/>
      <c r="CM71" s="83">
        <f t="shared" si="287"/>
        <v>100512.00000000001</v>
      </c>
      <c r="CN71" s="83"/>
      <c r="CO71" s="83">
        <f t="shared" si="288"/>
        <v>0</v>
      </c>
      <c r="CP71" s="83">
        <f t="shared" si="235"/>
        <v>286812</v>
      </c>
      <c r="CQ71" s="83">
        <f t="shared" si="249"/>
        <v>-18916</v>
      </c>
      <c r="CR71" s="83"/>
      <c r="CS71" s="83">
        <f t="shared" si="250"/>
        <v>-1517</v>
      </c>
      <c r="CT71" s="83"/>
      <c r="CU71" s="83">
        <f t="shared" si="251"/>
        <v>0</v>
      </c>
      <c r="CV71" s="83"/>
      <c r="CW71" s="83">
        <f t="shared" ca="1" si="252"/>
        <v>5062536.470174348</v>
      </c>
      <c r="CY71" s="83">
        <f t="shared" ca="1" si="253"/>
        <v>-85921667.946585238</v>
      </c>
      <c r="CZ71" s="70" t="str">
        <f t="shared" ca="1" si="297"/>
        <v/>
      </c>
      <c r="DA71" s="83">
        <f>IF(RTD("tos.rtd",,DA$43,"."&amp;$A$43&amp;$AS$42&amp;"C"&amp;$A71)="N/A",0,RTD("tos.rtd",,DA$43,"."&amp;$A$43&amp;$AS$42&amp;"C"&amp;$A71))</f>
        <v>12.14</v>
      </c>
      <c r="DB71" s="83">
        <f>IF(RTD("tos.rtd",,DB$43,"."&amp;$A$43&amp;$AS$42&amp;"P"&amp;$A71)="N/A",0,RTD("tos.rtd",,DB$43,"."&amp;$A$43&amp;$AS$42&amp;"P"&amp;$A71))</f>
        <v>0.01</v>
      </c>
      <c r="DC71" s="83">
        <f>IF(RTD("tos.rtd",,DC$43,"."&amp;$A$43&amp;$AS$42&amp;"C"&amp;$A71)="N/A",0,RTD("tos.rtd",,DC$43,"."&amp;$A$43&amp;$AS$42&amp;"C"&amp;$A71))</f>
        <v>11.74</v>
      </c>
      <c r="DD71" s="83">
        <f>IF(RTD("tos.rtd",,DD$43,"."&amp;$A$43&amp;$AS$42&amp;"P"&amp;$A71)="N/A",0,RTD("tos.rtd",,DD$43,"."&amp;$A$43&amp;$AS$42&amp;"P"&amp;$A71))</f>
        <v>0.01</v>
      </c>
      <c r="DE71" s="83">
        <f>IF(RTD("tos.rtd",,DE$43,"."&amp;$A$43&amp;$AS$42&amp;"C"&amp;$A71)="N/A",0,RTD("tos.rtd",,DE$43,"."&amp;$A$43&amp;$AS$42&amp;"C"&amp;$A71))</f>
        <v>11.42</v>
      </c>
      <c r="DF71" s="83">
        <f>IF(RTD("tos.rtd",,DF$43,"."&amp;$A$43&amp;$AS$42&amp;"P"&amp;$A71)="N/A",0,RTD("tos.rtd",,DF$43,"."&amp;$A$43&amp;$AS$42&amp;"P"&amp;$A71))</f>
        <v>0</v>
      </c>
      <c r="DG71" s="86">
        <f t="shared" si="289"/>
        <v>-11.660000000000025</v>
      </c>
      <c r="DH71" s="83">
        <f t="shared" si="254"/>
        <v>0</v>
      </c>
      <c r="DI71" s="83">
        <f t="shared" si="255"/>
        <v>-190</v>
      </c>
      <c r="DJ71" s="83">
        <f t="shared" si="256"/>
        <v>0</v>
      </c>
      <c r="DK71" s="83">
        <f t="shared" si="257"/>
        <v>-190</v>
      </c>
      <c r="DL71" s="83">
        <f t="shared" si="258"/>
        <v>-190</v>
      </c>
      <c r="DM71" s="83">
        <f t="shared" si="259"/>
        <v>-190</v>
      </c>
      <c r="DN71" s="64" t="str">
        <f t="shared" si="260"/>
        <v>UNKNOWN</v>
      </c>
      <c r="DO71" s="64" t="str">
        <f t="shared" si="261"/>
        <v>BUY</v>
      </c>
      <c r="DP71" s="83">
        <f t="shared" si="262"/>
        <v>-1.9000000000000001</v>
      </c>
      <c r="DQ71" s="83">
        <f t="shared" si="263"/>
        <v>-1.9000000000000001</v>
      </c>
      <c r="DR71" s="83">
        <f t="shared" ca="1" si="264"/>
        <v>2.7553049992487475</v>
      </c>
      <c r="DS71" s="83">
        <f t="shared" si="265"/>
        <v>0</v>
      </c>
      <c r="DT71" s="83">
        <f t="shared" si="290"/>
        <v>0</v>
      </c>
      <c r="DU71" s="83">
        <f t="shared" si="291"/>
        <v>-190</v>
      </c>
      <c r="DV71" s="83">
        <f t="shared" si="266"/>
        <v>-154</v>
      </c>
      <c r="DW71" s="83">
        <f t="shared" si="267"/>
        <v>2429</v>
      </c>
      <c r="DX71" s="83">
        <f t="shared" ca="1" si="406"/>
        <v>1.8428287388247065E-13</v>
      </c>
      <c r="DY71" s="83">
        <f t="shared" ca="1" si="407"/>
        <v>-1.4501605259203933E-2</v>
      </c>
      <c r="DZ71" s="83">
        <f t="shared" ca="1" si="408"/>
        <v>1.8308938054713435E-2</v>
      </c>
      <c r="EA71" s="83">
        <f t="shared" ca="1" si="409"/>
        <v>-1.8597529614823569E-2</v>
      </c>
      <c r="EB71" s="83">
        <f t="shared" ca="1" si="410"/>
        <v>1.864878492276351E-2</v>
      </c>
      <c r="EC71" s="83">
        <f t="shared" ca="1" si="411"/>
        <v>-1.864878492276351E-2</v>
      </c>
      <c r="ED71" s="63">
        <f t="shared" si="292"/>
        <v>2275</v>
      </c>
      <c r="EE71" s="84">
        <f t="shared" si="268"/>
        <v>0.25</v>
      </c>
      <c r="EF71" s="84">
        <f t="shared" si="269"/>
        <v>1.1498999999999999</v>
      </c>
      <c r="EG71" s="84">
        <f t="shared" si="270"/>
        <v>0.26100000000000001</v>
      </c>
      <c r="EH71" s="84">
        <f t="shared" si="271"/>
        <v>0.25169999999999998</v>
      </c>
      <c r="EI71" s="84">
        <f t="shared" si="272"/>
        <v>0.25</v>
      </c>
      <c r="EJ71" s="84">
        <f t="shared" si="273"/>
        <v>0.25</v>
      </c>
      <c r="EK71" s="63">
        <f t="shared" ca="1" si="293"/>
        <v>-9077985.5040925983</v>
      </c>
      <c r="EL71" s="83" t="str">
        <f>RTD("tos.rtd",,EL$43,"."&amp;$A$43&amp;$AS$42&amp;"C"&amp;$A71)</f>
        <v>--</v>
      </c>
      <c r="EM71" s="83" t="str">
        <f>RTD("tos.rtd",,EM$43,"."&amp;$A$43&amp;$AS$42&amp;"P"&amp;$A71)</f>
        <v>114.99%</v>
      </c>
      <c r="EN71" s="83" t="str">
        <f>RTD("tos.rtd",,EN$2,"."&amp;$A$43&amp;$AU$1&amp;"C"&amp;$A71)</f>
        <v>26.10%</v>
      </c>
      <c r="EO71" s="83" t="str">
        <f>RTD("tos.rtd",,EO$2,"."&amp;$A$43&amp;$AU$1&amp;"P"&amp;$A71)</f>
        <v>25.17%</v>
      </c>
      <c r="EP71" s="83" t="str">
        <f>RTD("tos.rtd",,EP$2,"."&amp;$A$43&amp;$AW$1&amp;"C"&amp;$A71)</f>
        <v>N/A</v>
      </c>
      <c r="EQ71" s="83" t="str">
        <f>RTD("tos.rtd",,EQ$2,"."&amp;$A$43&amp;$AW$1&amp;"P"&amp;$A71)</f>
        <v>N/A</v>
      </c>
      <c r="ES71" s="63" t="str">
        <f t="shared" si="274"/>
        <v>496,2275.00</v>
      </c>
      <c r="ET71" s="63" t="str">
        <f t="shared" ca="1" si="275"/>
        <v>496,-85921.67</v>
      </c>
      <c r="EU71" s="68">
        <v>571.53</v>
      </c>
      <c r="EV71" s="68" t="s">
        <v>587</v>
      </c>
      <c r="EW71" s="68">
        <v>496.27</v>
      </c>
      <c r="EX71" s="68" t="s">
        <v>588</v>
      </c>
      <c r="EY71" s="68">
        <v>5659.91</v>
      </c>
      <c r="EZ71" s="68" t="s">
        <v>589</v>
      </c>
      <c r="FA71" s="68">
        <v>20061.449000000001</v>
      </c>
      <c r="FB71" s="68" t="s">
        <v>590</v>
      </c>
      <c r="FC71" s="68" t="s">
        <v>591</v>
      </c>
      <c r="FD71" s="68" t="s">
        <v>592</v>
      </c>
      <c r="FE71" s="68" t="s">
        <v>593</v>
      </c>
      <c r="FF71" s="68" t="s">
        <v>594</v>
      </c>
    </row>
    <row r="72" spans="1:162" ht="13.5" thickBot="1" x14ac:dyDescent="0.25">
      <c r="A72" s="2">
        <f t="shared" si="294"/>
        <v>495</v>
      </c>
      <c r="B72" s="3">
        <f t="shared" si="241"/>
        <v>8693</v>
      </c>
      <c r="C72" s="3">
        <f t="shared" ref="C72:C79" si="412">+IF($A$1="ABS",AU72-AV72,AU72+AV72)</f>
        <v>41466</v>
      </c>
      <c r="D72" s="3">
        <f t="shared" si="243"/>
        <v>5573</v>
      </c>
      <c r="E72" s="3">
        <f t="shared" si="244"/>
        <v>55732</v>
      </c>
      <c r="F72" s="4">
        <f t="shared" si="298"/>
        <v>20421.455797187093</v>
      </c>
      <c r="AM72" s="1">
        <v>68</v>
      </c>
      <c r="AN72" s="1">
        <v>-4321</v>
      </c>
      <c r="AO72" s="1">
        <v>495</v>
      </c>
      <c r="AP72" s="1">
        <v>5580</v>
      </c>
      <c r="AQ72" s="1">
        <v>-19272</v>
      </c>
      <c r="AS72" s="6">
        <f>IF(RTD("tos.rtd",,AS$43,"."&amp;$A$43&amp;$AS$42&amp;"C"&amp;$A72)="N/A",0,RTD("tos.rtd",,AS$43,"."&amp;$A$43&amp;$AS$42&amp;"C"&amp;$A72))</f>
        <v>8172</v>
      </c>
      <c r="AT72" s="7">
        <f>-IF(RTD("tos.rtd",,AT$43,"."&amp;$A$43&amp;$AS$42&amp;"P"&amp;$A72)="N/A",0,RTD("tos.rtd",,AT$43,"."&amp;$A$43&amp;$AS$42&amp;"P"&amp;$A72))</f>
        <v>-521</v>
      </c>
      <c r="AU72" s="6">
        <f>IF(RTD("tos.rtd",,AU$2,"."&amp;$A$43&amp;$AU$1&amp;"C"&amp;$A72)="N/A",0,RTD("tos.rtd",,AU$2,"."&amp;$A$43&amp;$AU$1&amp;"C"&amp;$A72))</f>
        <v>38919</v>
      </c>
      <c r="AV72" s="7">
        <f>-IF(RTD("tos.rtd",,AV$2,"."&amp;$A$43&amp;$AU$1&amp;"P"&amp;$A72)="N/A",0,RTD("tos.rtd",,AV$2,"."&amp;$A$43&amp;$AU$1&amp;"P"&amp;$A72))</f>
        <v>-2547</v>
      </c>
      <c r="AW72" s="6">
        <f>IF(RTD("tos.rtd",,AW$2,"."&amp;$A$43&amp;$AW$1&amp;"C"&amp;$A72)="N/A",0,RTD("tos.rtd",,AW$2,"."&amp;$A$43&amp;$AW$1&amp;"C"&amp;$A72))</f>
        <v>3883</v>
      </c>
      <c r="AX72" s="7">
        <f>-IF(RTD("tos.rtd",,AX$2,"."&amp;$A$43&amp;$AW$1&amp;"P"&amp;$A72)="N/A",0,RTD("tos.rtd",,AX$2,"."&amp;$A$43&amp;$AW$1&amp;"P"&amp;$A72))</f>
        <v>-1690</v>
      </c>
      <c r="AY72" s="7">
        <f t="shared" si="276"/>
        <v>46216</v>
      </c>
      <c r="AZ72" s="8">
        <f t="shared" si="245"/>
        <v>495</v>
      </c>
      <c r="BA72" s="6">
        <f>IF(RTD("tos.rtd",,BA$43,"."&amp;$A$43&amp;$AS$42&amp;"C"&amp;$A72)="N/A",0,RTD("tos.rtd",,BA$43,"."&amp;$A$43&amp;$AS$42&amp;"C"&amp;$A72))</f>
        <v>5580</v>
      </c>
      <c r="BB72" s="7">
        <f>-IF(RTD("tos.rtd",,BB$43,"."&amp;$A$43&amp;$AS$42&amp;"P"&amp;$A72)="N/A",0,RTD("tos.rtd",,BB$43,"."&amp;$A$43&amp;$AS$42&amp;"P"&amp;$A72))</f>
        <v>-19302</v>
      </c>
      <c r="BC72" s="6">
        <f>IF(RTD("tos.rtd",,BC$2,"."&amp;$A$43&amp;$AU$1&amp;"C"&amp;$A72)="N/A",0,RTD("tos.rtd",,BC$2,"."&amp;$A$43&amp;$AU$1&amp;"C"&amp;$A72))</f>
        <v>2989</v>
      </c>
      <c r="BD72" s="7">
        <f>-IF(RTD("tos.rtd",,BD$2,"."&amp;$A$43&amp;$AU$1&amp;"P"&amp;$A72)="N/A",0,RTD("tos.rtd",,BD$2,"."&amp;$A$43&amp;$AU$1&amp;"P"&amp;$A72))</f>
        <v>-17253</v>
      </c>
      <c r="BE72" s="6">
        <f>IF(RTD("tos.rtd",,BE$2,"."&amp;$A$43&amp;$AW$1&amp;"C"&amp;$A72)="N/A",0,RTD("tos.rtd",,BE$2,"."&amp;$A$43&amp;$AW$1&amp;"C"&amp;$A72))</f>
        <v>1308</v>
      </c>
      <c r="BF72" s="7">
        <f>-IF(RTD("tos.rtd",,BF$2,"."&amp;$A$43&amp;$AW$1&amp;"P"&amp;$A72)="N/A",0,RTD("tos.rtd",,BF$2,"."&amp;$A$43&amp;$AW$1&amp;"P"&amp;$A72))</f>
        <v>-1201</v>
      </c>
      <c r="BG72" s="32">
        <f ca="1">+Hoja2!Y73</f>
        <v>-6394</v>
      </c>
      <c r="BH72" s="7">
        <f t="shared" ca="1" si="277"/>
        <v>-34273</v>
      </c>
      <c r="BI72" s="8" t="str">
        <f t="shared" ca="1" si="295"/>
        <v/>
      </c>
      <c r="BJ72" s="83">
        <f ca="1">IF($BP$1=1,DX72,IF(RTD("tos.rtd",,BJ$43,"."&amp;$A$43&amp;$AS$42&amp;"C"&amp;$A72)="N/A",0,RTD("tos.rtd",,BJ$43,"."&amp;$A$43&amp;$AS$42&amp;"C"&amp;$A72)))</f>
        <v>1.16598941204858E-15</v>
      </c>
      <c r="BK72" s="83">
        <f ca="1">IF($BP$1=1,DY72,-IF(RTD("tos.rtd",,BK$43,"."&amp;$A$43&amp;$AS$42&amp;"P"&amp;$A72)="N/A",0,RTD("tos.rtd",,BK$43,"."&amp;$A$43&amp;$AS$42&amp;"P"&amp;$A72)))</f>
        <v>-1.3142924985407853E-2</v>
      </c>
      <c r="BL72" s="83">
        <f ca="1">IF($BP$1=1,DZ72,IF(RTD("tos.rtd",,BL$2,"."&amp;$A$43&amp;$AU$1&amp;"C"&amp;$A72)="N/A",0,RTD("tos.rtd",,BL$2,"."&amp;$A$43&amp;$AU$1&amp;"C"&amp;$A72)))</f>
        <v>1.7424828496915606E-2</v>
      </c>
      <c r="BM72" s="83">
        <f ca="1">IF($BP$1=1,EA72,-IF(RTD("tos.rtd",,BM$2,"."&amp;$A$43&amp;$AU$1&amp;"P"&amp;$A72)="N/A",0,RTD("tos.rtd",,BM$2,"."&amp;$A$43&amp;$AU$1&amp;"P"&amp;$A72)))</f>
        <v>-1.7591947032160524E-2</v>
      </c>
      <c r="BN72" s="83">
        <f ca="1">IF($BP$1=1,EB72,IF(RTD("tos.rtd",,BN$2,"."&amp;$A$43&amp;$AW$1&amp;"C"&amp;$A72)="N/A",0,RTD("tos.rtd",,BN$2,"."&amp;$A$43&amp;$AW$1&amp;"C"&amp;$A72)))</f>
        <v>1.8145955836833726E-2</v>
      </c>
      <c r="BO72" s="83">
        <f ca="1">IF($BP$1=1,EC72,-IF(RTD("tos.rtd",,BO$2,"."&amp;$A$43&amp;$AW$1&amp;"P"&amp;$A72)="N/A",0,RTD("tos.rtd",,BO$2,"."&amp;$A$43&amp;$AW$1&amp;"P"&amp;$A72)))</f>
        <v>-1.8163585573383476E-2</v>
      </c>
      <c r="BQ72" s="83">
        <f t="shared" ca="1" si="278"/>
        <v>-1764719.3320080135</v>
      </c>
      <c r="BR72" s="3" t="str">
        <f t="shared" ca="1" si="279"/>
        <v/>
      </c>
      <c r="BS72" s="83">
        <f t="shared" ca="1" si="280"/>
        <v>163226177.61643052</v>
      </c>
      <c r="BT72" s="3" t="str">
        <f t="shared" ca="1" si="281"/>
        <v/>
      </c>
      <c r="BU72" s="83">
        <f t="shared" ca="1" si="282"/>
        <v>10247999.3548628</v>
      </c>
      <c r="BV72" s="83"/>
      <c r="BX72" s="83">
        <f t="shared" ca="1" si="283"/>
        <v>-65379294.71490442</v>
      </c>
      <c r="BY72" s="83" t="str">
        <f t="shared" ca="1" si="296"/>
        <v/>
      </c>
      <c r="BZ72" s="83">
        <f t="shared" ca="1" si="284"/>
        <v>-64798477.151077367</v>
      </c>
      <c r="CA72" s="83" t="str">
        <f t="shared" ca="1" si="296"/>
        <v/>
      </c>
      <c r="CB72" s="83">
        <f t="shared" ca="1" si="285"/>
        <v>494934.27417875268</v>
      </c>
      <c r="CC72" s="83" t="str">
        <f t="shared" ca="1" si="296"/>
        <v/>
      </c>
      <c r="CD72" s="83">
        <f>IF(RTD("tos.rtd",,CD$43,"."&amp;$A$43&amp;$AS$42&amp;"C"&amp;$A72)="N/A",0,RTD("tos.rtd",,CD$43,"."&amp;$A$43&amp;$AS$42&amp;"C"&amp;$A72))</f>
        <v>1</v>
      </c>
      <c r="CE72" s="83">
        <f>-IF(RTD("tos.rtd",,CE$43,"."&amp;$A$43&amp;$AS$42&amp;"P"&amp;$A72)="N/A",0,RTD("tos.rtd",,CE$43,"."&amp;$A$43&amp;$AS$42&amp;"P"&amp;$A72))</f>
        <v>0</v>
      </c>
      <c r="CF72" s="83">
        <f>IF(RTD("tos.rtd",,CF$2,"."&amp;$A$43&amp;$AU$1&amp;"C"&amp;$A72)="N/A",0,RTD("tos.rtd",,CF$2,"."&amp;$A$43&amp;$AU$1&amp;"C"&amp;$A72))</f>
        <v>0.83</v>
      </c>
      <c r="CG72" s="83">
        <f>-IF(RTD("tos.rtd",,CG$2,"."&amp;$A$43&amp;$AU$1&amp;"P"&amp;$A72)="N/A",0,RTD("tos.rtd",,CG$2,"."&amp;$A$43&amp;$AU$1&amp;"P"&amp;$A72))</f>
        <v>0.16</v>
      </c>
      <c r="CH72" s="83">
        <f>IF(RTD("tos.rtd",,CH$2,"."&amp;$A$43&amp;$AW$1&amp;"C"&amp;$A72)="N/A",0,RTD("tos.rtd",,CH$2,"."&amp;$A$43&amp;$AW$1&amp;"C"&amp;$A72))</f>
        <v>0.67</v>
      </c>
      <c r="CI72" s="83">
        <f>-IF(RTD("tos.rtd",,CI$2,"."&amp;$A$43&amp;$AW$1&amp;"P"&amp;$A72)="N/A",0,RTD("tos.rtd",,CI$2,"."&amp;$A$43&amp;$AW$1&amp;"P"&amp;$A72))</f>
        <v>0.33</v>
      </c>
      <c r="CK72" s="83">
        <f t="shared" si="286"/>
        <v>817200</v>
      </c>
      <c r="CL72" s="83"/>
      <c r="CM72" s="83">
        <f t="shared" si="287"/>
        <v>3189524.9999999995</v>
      </c>
      <c r="CN72" s="83"/>
      <c r="CO72" s="83">
        <f t="shared" si="288"/>
        <v>204391</v>
      </c>
      <c r="CP72" s="83">
        <f t="shared" si="235"/>
        <v>4211116</v>
      </c>
      <c r="CQ72" s="83">
        <f t="shared" si="249"/>
        <v>-13722</v>
      </c>
      <c r="CR72" s="83"/>
      <c r="CS72" s="83">
        <f t="shared" si="250"/>
        <v>-14264</v>
      </c>
      <c r="CT72" s="83"/>
      <c r="CU72" s="83">
        <f t="shared" si="251"/>
        <v>107</v>
      </c>
      <c r="CV72" s="83"/>
      <c r="CW72" s="83">
        <f t="shared" ca="1" si="252"/>
        <v>171709457.63928533</v>
      </c>
      <c r="CY72" s="83">
        <f t="shared" ca="1" si="253"/>
        <v>-129682837.59180303</v>
      </c>
      <c r="CZ72" s="70" t="str">
        <f t="shared" ca="1" si="297"/>
        <v/>
      </c>
      <c r="DA72" s="83">
        <f>IF(RTD("tos.rtd",,DA$43,"."&amp;$A$43&amp;$AS$42&amp;"C"&amp;$A72)="N/A",0,RTD("tos.rtd",,DA$43,"."&amp;$A$43&amp;$AS$42&amp;"C"&amp;$A72))</f>
        <v>12.7</v>
      </c>
      <c r="DB72" s="83">
        <f>IF(RTD("tos.rtd",,DB$43,"."&amp;$A$43&amp;$AS$42&amp;"P"&amp;$A72)="N/A",0,RTD("tos.rtd",,DB$43,"."&amp;$A$43&amp;$AS$42&amp;"P"&amp;$A72))</f>
        <v>0.01</v>
      </c>
      <c r="DC72" s="83">
        <f>IF(RTD("tos.rtd",,DC$43,"."&amp;$A$43&amp;$AS$42&amp;"C"&amp;$A72)="N/A",0,RTD("tos.rtd",,DC$43,"."&amp;$A$43&amp;$AS$42&amp;"C"&amp;$A72))</f>
        <v>12.7</v>
      </c>
      <c r="DD72" s="83">
        <f>IF(RTD("tos.rtd",,DD$43,"."&amp;$A$43&amp;$AS$42&amp;"P"&amp;$A72)="N/A",0,RTD("tos.rtd",,DD$43,"."&amp;$A$43&amp;$AS$42&amp;"P"&amp;$A72))</f>
        <v>0.01</v>
      </c>
      <c r="DE72" s="83">
        <f>IF(RTD("tos.rtd",,DE$43,"."&amp;$A$43&amp;$AS$42&amp;"C"&amp;$A72)="N/A",0,RTD("tos.rtd",,DE$43,"."&amp;$A$43&amp;$AS$42&amp;"C"&amp;$A72))</f>
        <v>12.41</v>
      </c>
      <c r="DF72" s="83">
        <f>IF(RTD("tos.rtd",,DF$43,"."&amp;$A$43&amp;$AS$42&amp;"P"&amp;$A72)="N/A",0,RTD("tos.rtd",,DF$43,"."&amp;$A$43&amp;$AS$42&amp;"P"&amp;$A72))</f>
        <v>0</v>
      </c>
      <c r="DG72" s="86">
        <f t="shared" si="289"/>
        <v>-12.660000000000025</v>
      </c>
      <c r="DH72" s="83">
        <f t="shared" si="254"/>
        <v>0</v>
      </c>
      <c r="DI72" s="83">
        <f t="shared" si="255"/>
        <v>-30</v>
      </c>
      <c r="DJ72" s="83">
        <f t="shared" si="256"/>
        <v>0</v>
      </c>
      <c r="DK72" s="83">
        <f t="shared" si="257"/>
        <v>-30</v>
      </c>
      <c r="DL72" s="83">
        <f t="shared" si="258"/>
        <v>-30</v>
      </c>
      <c r="DM72" s="83">
        <f t="shared" si="259"/>
        <v>-30</v>
      </c>
      <c r="DN72" s="64" t="str">
        <f t="shared" si="260"/>
        <v>UNKNOWN</v>
      </c>
      <c r="DO72" s="64" t="str">
        <f t="shared" si="261"/>
        <v>BUY</v>
      </c>
      <c r="DP72" s="83">
        <f t="shared" si="262"/>
        <v>-0.3</v>
      </c>
      <c r="DQ72" s="83">
        <f t="shared" si="263"/>
        <v>-0.3</v>
      </c>
      <c r="DR72" s="83">
        <f t="shared" ca="1" si="264"/>
        <v>0.39428774956223556</v>
      </c>
      <c r="DS72" s="83">
        <f t="shared" si="265"/>
        <v>0</v>
      </c>
      <c r="DT72" s="83">
        <f t="shared" si="290"/>
        <v>0</v>
      </c>
      <c r="DU72" s="83">
        <f t="shared" si="291"/>
        <v>-30</v>
      </c>
      <c r="DV72" s="83">
        <f t="shared" si="266"/>
        <v>68</v>
      </c>
      <c r="DW72" s="83">
        <f t="shared" si="267"/>
        <v>-4351</v>
      </c>
      <c r="DX72" s="83">
        <f t="shared" ca="1" si="406"/>
        <v>1.16598941204858E-15</v>
      </c>
      <c r="DY72" s="83">
        <f t="shared" ca="1" si="407"/>
        <v>-1.3142924985407853E-2</v>
      </c>
      <c r="DZ72" s="83">
        <f t="shared" ca="1" si="408"/>
        <v>1.7424828496915606E-2</v>
      </c>
      <c r="EA72" s="83">
        <f t="shared" ca="1" si="409"/>
        <v>-1.7591947032160524E-2</v>
      </c>
      <c r="EB72" s="83">
        <f t="shared" ca="1" si="410"/>
        <v>1.8145955836833726E-2</v>
      </c>
      <c r="EC72" s="83">
        <f t="shared" ca="1" si="411"/>
        <v>-1.8163585573383476E-2</v>
      </c>
      <c r="ED72" s="63">
        <f t="shared" si="292"/>
        <v>-4283</v>
      </c>
      <c r="EE72" s="84">
        <f t="shared" si="268"/>
        <v>0.25</v>
      </c>
      <c r="EF72" s="84">
        <f t="shared" si="269"/>
        <v>1.2392000000000001</v>
      </c>
      <c r="EG72" s="84">
        <f t="shared" si="270"/>
        <v>0.2611</v>
      </c>
      <c r="EH72" s="84">
        <f t="shared" si="271"/>
        <v>0.25380000000000003</v>
      </c>
      <c r="EI72" s="84">
        <f t="shared" si="272"/>
        <v>0.21729999999999999</v>
      </c>
      <c r="EJ72" s="84">
        <f t="shared" si="273"/>
        <v>0.2132</v>
      </c>
      <c r="EK72" s="63">
        <f t="shared" ca="1" si="293"/>
        <v>14737608.087480927</v>
      </c>
      <c r="EL72" s="83" t="str">
        <f>RTD("tos.rtd",,EL$43,"."&amp;$A$43&amp;$AS$42&amp;"C"&amp;$A72)</f>
        <v>--</v>
      </c>
      <c r="EM72" s="83" t="str">
        <f>RTD("tos.rtd",,EM$43,"."&amp;$A$43&amp;$AS$42&amp;"P"&amp;$A72)</f>
        <v>123.92%</v>
      </c>
      <c r="EN72" s="83" t="str">
        <f>RTD("tos.rtd",,EN$2,"."&amp;$A$43&amp;$AU$1&amp;"C"&amp;$A72)</f>
        <v>26.11%</v>
      </c>
      <c r="EO72" s="83" t="str">
        <f>RTD("tos.rtd",,EO$2,"."&amp;$A$43&amp;$AU$1&amp;"P"&amp;$A72)</f>
        <v>25.38%</v>
      </c>
      <c r="EP72" s="83" t="str">
        <f>RTD("tos.rtd",,EP$2,"."&amp;$A$43&amp;$AW$1&amp;"C"&amp;$A72)</f>
        <v>21.73%</v>
      </c>
      <c r="EQ72" s="83" t="str">
        <f>RTD("tos.rtd",,EQ$2,"."&amp;$A$43&amp;$AW$1&amp;"P"&amp;$A72)</f>
        <v>21.32%</v>
      </c>
      <c r="ES72" s="63" t="str">
        <f t="shared" si="274"/>
        <v>495,-4283.00</v>
      </c>
      <c r="ET72" s="63" t="str">
        <f t="shared" ca="1" si="275"/>
        <v>495,-129682.84</v>
      </c>
      <c r="EU72" s="68">
        <v>571.15</v>
      </c>
      <c r="EV72" s="68" t="s">
        <v>595</v>
      </c>
      <c r="EW72" s="68">
        <v>496</v>
      </c>
      <c r="EX72" s="68" t="s">
        <v>596</v>
      </c>
      <c r="EY72" s="68">
        <v>5659.91</v>
      </c>
      <c r="EZ72" s="68" t="s">
        <v>597</v>
      </c>
      <c r="FA72" s="68">
        <v>20061.449000000001</v>
      </c>
      <c r="FB72" s="68" t="s">
        <v>598</v>
      </c>
      <c r="FC72" s="68" t="s">
        <v>599</v>
      </c>
      <c r="FD72" s="68" t="s">
        <v>600</v>
      </c>
      <c r="FE72" s="68" t="s">
        <v>601</v>
      </c>
      <c r="FF72" s="68" t="s">
        <v>602</v>
      </c>
    </row>
    <row r="73" spans="1:162" ht="13.5" thickBot="1" x14ac:dyDescent="0.25">
      <c r="A73" s="2">
        <f t="shared" si="294"/>
        <v>494</v>
      </c>
      <c r="B73" s="3">
        <f t="shared" si="241"/>
        <v>2548</v>
      </c>
      <c r="C73" s="3">
        <f t="shared" si="412"/>
        <v>967</v>
      </c>
      <c r="D73" s="3">
        <f t="shared" si="243"/>
        <v>0</v>
      </c>
      <c r="E73" s="3">
        <f t="shared" si="244"/>
        <v>3515</v>
      </c>
      <c r="F73" s="4">
        <f t="shared" si="298"/>
        <v>20380.200330930147</v>
      </c>
      <c r="AM73" s="1">
        <v>192</v>
      </c>
      <c r="AN73" s="1">
        <v>3602</v>
      </c>
      <c r="AO73" s="1">
        <v>494</v>
      </c>
      <c r="AP73" s="1">
        <v>2276</v>
      </c>
      <c r="AQ73" s="1">
        <v>-17776</v>
      </c>
      <c r="AS73" s="6">
        <f>IF(RTD("tos.rtd",,AS$43,"."&amp;$A$43&amp;$AS$42&amp;"C"&amp;$A73)="N/A",0,RTD("tos.rtd",,AS$43,"."&amp;$A$43&amp;$AS$42&amp;"C"&amp;$A73))</f>
        <v>2382</v>
      </c>
      <c r="AT73" s="7">
        <f>-IF(RTD("tos.rtd",,AT$43,"."&amp;$A$43&amp;$AS$42&amp;"P"&amp;$A73)="N/A",0,RTD("tos.rtd",,AT$43,"."&amp;$A$43&amp;$AS$42&amp;"P"&amp;$A73))</f>
        <v>-166</v>
      </c>
      <c r="AU73" s="6">
        <f>IF(RTD("tos.rtd",,AU$2,"."&amp;$A$43&amp;$AU$1&amp;"C"&amp;$A73)="N/A",0,RTD("tos.rtd",,AU$2,"."&amp;$A$43&amp;$AU$1&amp;"C"&amp;$A73))</f>
        <v>750</v>
      </c>
      <c r="AV73" s="7">
        <f>-IF(RTD("tos.rtd",,AV$2,"."&amp;$A$43&amp;$AU$1&amp;"P"&amp;$A73)="N/A",0,RTD("tos.rtd",,AV$2,"."&amp;$A$43&amp;$AU$1&amp;"P"&amp;$A73))</f>
        <v>-217</v>
      </c>
      <c r="AW73" s="6">
        <f>IF(RTD("tos.rtd",,AW$2,"."&amp;$A$43&amp;$AW$1&amp;"C"&amp;$A73)="N/A",0,RTD("tos.rtd",,AW$2,"."&amp;$A$43&amp;$AW$1&amp;"C"&amp;$A73))</f>
        <v>0</v>
      </c>
      <c r="AX73" s="7">
        <f>-IF(RTD("tos.rtd",,AX$2,"."&amp;$A$43&amp;$AW$1&amp;"P"&amp;$A73)="N/A",0,RTD("tos.rtd",,AX$2,"."&amp;$A$43&amp;$AW$1&amp;"P"&amp;$A73))</f>
        <v>0</v>
      </c>
      <c r="AY73" s="7">
        <f t="shared" si="276"/>
        <v>2749</v>
      </c>
      <c r="AZ73" s="8">
        <f t="shared" si="245"/>
        <v>494</v>
      </c>
      <c r="BA73" s="6">
        <f>IF(RTD("tos.rtd",,BA$43,"."&amp;$A$43&amp;$AS$42&amp;"C"&amp;$A73)="N/A",0,RTD("tos.rtd",,BA$43,"."&amp;$A$43&amp;$AS$42&amp;"C"&amp;$A73))</f>
        <v>2276</v>
      </c>
      <c r="BB73" s="7">
        <f>-IF(RTD("tos.rtd",,BB$43,"."&amp;$A$43&amp;$AS$42&amp;"P"&amp;$A73)="N/A",0,RTD("tos.rtd",,BB$43,"."&amp;$A$43&amp;$AS$42&amp;"P"&amp;$A73))</f>
        <v>-17776</v>
      </c>
      <c r="BC73" s="6">
        <f>IF(RTD("tos.rtd",,BC$2,"."&amp;$A$43&amp;$AU$1&amp;"C"&amp;$A73)="N/A",0,RTD("tos.rtd",,BC$2,"."&amp;$A$43&amp;$AU$1&amp;"C"&amp;$A73))</f>
        <v>819</v>
      </c>
      <c r="BD73" s="7">
        <f>-IF(RTD("tos.rtd",,BD$2,"."&amp;$A$43&amp;$AU$1&amp;"P"&amp;$A73)="N/A",0,RTD("tos.rtd",,BD$2,"."&amp;$A$43&amp;$AU$1&amp;"P"&amp;$A73))</f>
        <v>-2782</v>
      </c>
      <c r="BE73" s="6">
        <f>IF(RTD("tos.rtd",,BE$2,"."&amp;$A$43&amp;$AW$1&amp;"C"&amp;$A73)="N/A",0,RTD("tos.rtd",,BE$2,"."&amp;$A$43&amp;$AW$1&amp;"C"&amp;$A73))</f>
        <v>0</v>
      </c>
      <c r="BF73" s="7">
        <f>-IF(RTD("tos.rtd",,BF$2,"."&amp;$A$43&amp;$AW$1&amp;"P"&amp;$A73)="N/A",0,RTD("tos.rtd",,BF$2,"."&amp;$A$43&amp;$AW$1&amp;"P"&amp;$A73))</f>
        <v>0</v>
      </c>
      <c r="BG73" s="32">
        <f ca="1">+Hoja2!Y74</f>
        <v>73</v>
      </c>
      <c r="BH73" s="7">
        <f t="shared" ca="1" si="277"/>
        <v>-17390</v>
      </c>
      <c r="BI73" s="8" t="str">
        <f t="shared" ca="1" si="295"/>
        <v/>
      </c>
      <c r="BJ73" s="83">
        <f ca="1">IF($BP$1=1,DX73,IF(RTD("tos.rtd",,BJ$43,"."&amp;$A$43&amp;$AS$42&amp;"C"&amp;$A73)="N/A",0,RTD("tos.rtd",,BJ$43,"."&amp;$A$43&amp;$AS$42&amp;"C"&amp;$A73)))</f>
        <v>4.7858640206348378E-18</v>
      </c>
      <c r="BK73" s="83">
        <f ca="1">IF($BP$1=1,DY73,-IF(RTD("tos.rtd",,BK$43,"."&amp;$A$43&amp;$AS$42&amp;"P"&amp;$A73)="N/A",0,RTD("tos.rtd",,BK$43,"."&amp;$A$43&amp;$AS$42&amp;"P"&amp;$A73)))</f>
        <v>-1.1998651834006195E-2</v>
      </c>
      <c r="BL73" s="83">
        <f ca="1">IF($BP$1=1,DZ73,IF(RTD("tos.rtd",,BL$2,"."&amp;$A$43&amp;$AU$1&amp;"C"&amp;$A73)="N/A",0,RTD("tos.rtd",,BL$2,"."&amp;$A$43&amp;$AU$1&amp;"C"&amp;$A73)))</f>
        <v>1.6436865961522013E-2</v>
      </c>
      <c r="BM73" s="83">
        <f ca="1">IF($BP$1=1,EA73,-IF(RTD("tos.rtd",,BM$2,"."&amp;$A$43&amp;$AU$1&amp;"P"&amp;$A73)="N/A",0,RTD("tos.rtd",,BM$2,"."&amp;$A$43&amp;$AU$1&amp;"P"&amp;$A73)))</f>
        <v>-1.6597955672144581E-2</v>
      </c>
      <c r="BN73" s="83">
        <f ca="1">IF($BP$1=1,EB73,IF(RTD("tos.rtd",,BN$2,"."&amp;$A$43&amp;$AW$1&amp;"C"&amp;$A73)="N/A",0,RTD("tos.rtd",,BN$2,"."&amp;$A$43&amp;$AW$1&amp;"C"&amp;$A73)))</f>
        <v>1.6676071748189754E-2</v>
      </c>
      <c r="BO73" s="83">
        <f ca="1">IF($BP$1=1,EC73,-IF(RTD("tos.rtd",,BO$2,"."&amp;$A$43&amp;$AW$1&amp;"P"&amp;$A73)="N/A",0,RTD("tos.rtd",,BO$2,"."&amp;$A$43&amp;$AW$1&amp;"P"&amp;$A73)))</f>
        <v>-1.6676071748189754E-2</v>
      </c>
      <c r="BQ73" s="83">
        <f t="shared" ca="1" si="278"/>
        <v>-513317.92550116463</v>
      </c>
      <c r="BR73" s="3" t="str">
        <f t="shared" ca="1" si="279"/>
        <v/>
      </c>
      <c r="BS73" s="83">
        <f t="shared" ca="1" si="280"/>
        <v>2248825.6106557343</v>
      </c>
      <c r="BT73" s="3" t="str">
        <f t="shared" ca="1" si="281"/>
        <v/>
      </c>
      <c r="BU73" s="83">
        <f t="shared" ca="1" si="282"/>
        <v>0</v>
      </c>
      <c r="BV73" s="83"/>
      <c r="BX73" s="83">
        <f t="shared" ca="1" si="283"/>
        <v>-54968309.901859961</v>
      </c>
      <c r="BY73" s="83" t="str">
        <f t="shared" ca="1" si="296"/>
        <v/>
      </c>
      <c r="BZ73" s="83">
        <f t="shared" ca="1" si="284"/>
        <v>-8430936.4525161572</v>
      </c>
      <c r="CA73" s="83" t="str">
        <f t="shared" ca="1" si="296"/>
        <v/>
      </c>
      <c r="CB73" s="83">
        <f t="shared" ca="1" si="285"/>
        <v>0</v>
      </c>
      <c r="CC73" s="83" t="str">
        <f t="shared" ca="1" si="296"/>
        <v/>
      </c>
      <c r="CD73" s="83">
        <f>IF(RTD("tos.rtd",,CD$43,"."&amp;$A$43&amp;$AS$42&amp;"C"&amp;$A73)="N/A",0,RTD("tos.rtd",,CD$43,"."&amp;$A$43&amp;$AS$42&amp;"C"&amp;$A73))</f>
        <v>1</v>
      </c>
      <c r="CE73" s="83">
        <f>-IF(RTD("tos.rtd",,CE$43,"."&amp;$A$43&amp;$AS$42&amp;"P"&amp;$A73)="N/A",0,RTD("tos.rtd",,CE$43,"."&amp;$A$43&amp;$AS$42&amp;"P"&amp;$A73))</f>
        <v>0</v>
      </c>
      <c r="CF73" s="83">
        <f>IF(RTD("tos.rtd",,CF$2,"."&amp;$A$43&amp;$AU$1&amp;"C"&amp;$A73)="N/A",0,RTD("tos.rtd",,CF$2,"."&amp;$A$43&amp;$AU$1&amp;"C"&amp;$A73))</f>
        <v>0.84</v>
      </c>
      <c r="CG73" s="83">
        <f>-IF(RTD("tos.rtd",,CG$2,"."&amp;$A$43&amp;$AU$1&amp;"P"&amp;$A73)="N/A",0,RTD("tos.rtd",,CG$2,"."&amp;$A$43&amp;$AU$1&amp;"P"&amp;$A73))</f>
        <v>0.15</v>
      </c>
      <c r="CH73" s="83">
        <f>IF(RTD("tos.rtd",,CH$2,"."&amp;$A$43&amp;$AW$1&amp;"C"&amp;$A73)="N/A",0,RTD("tos.rtd",,CH$2,"."&amp;$A$43&amp;$AW$1&amp;"C"&amp;$A73))</f>
        <v>0</v>
      </c>
      <c r="CI73" s="83">
        <f>-IF(RTD("tos.rtd",,CI$2,"."&amp;$A$43&amp;$AW$1&amp;"P"&amp;$A73)="N/A",0,RTD("tos.rtd",,CI$2,"."&amp;$A$43&amp;$AW$1&amp;"P"&amp;$A73))</f>
        <v>0</v>
      </c>
      <c r="CK73" s="83">
        <f t="shared" si="286"/>
        <v>238200</v>
      </c>
      <c r="CL73" s="83"/>
      <c r="CM73" s="83">
        <f t="shared" si="287"/>
        <v>59745</v>
      </c>
      <c r="CN73" s="83"/>
      <c r="CO73" s="83">
        <f t="shared" si="288"/>
        <v>0</v>
      </c>
      <c r="CP73" s="83">
        <f t="shared" si="235"/>
        <v>297945</v>
      </c>
      <c r="CQ73" s="83">
        <f t="shared" si="249"/>
        <v>-15500</v>
      </c>
      <c r="CR73" s="83"/>
      <c r="CS73" s="83">
        <f t="shared" si="250"/>
        <v>-1963</v>
      </c>
      <c r="CT73" s="83"/>
      <c r="CU73" s="83">
        <f t="shared" si="251"/>
        <v>0</v>
      </c>
      <c r="CV73" s="83"/>
      <c r="CW73" s="83">
        <f t="shared" ca="1" si="252"/>
        <v>1735507.6851545698</v>
      </c>
      <c r="CY73" s="83">
        <f t="shared" ca="1" si="253"/>
        <v>-63399246.354376122</v>
      </c>
      <c r="CZ73" s="70" t="str">
        <f t="shared" ca="1" si="297"/>
        <v/>
      </c>
      <c r="DA73" s="83">
        <f>IF(RTD("tos.rtd",,DA$43,"."&amp;$A$43&amp;$AS$42&amp;"C"&amp;$A73)="N/A",0,RTD("tos.rtd",,DA$43,"."&amp;$A$43&amp;$AS$42&amp;"C"&amp;$A73))</f>
        <v>13.73</v>
      </c>
      <c r="DB73" s="83">
        <f>IF(RTD("tos.rtd",,DB$43,"."&amp;$A$43&amp;$AS$42&amp;"P"&amp;$A73)="N/A",0,RTD("tos.rtd",,DB$43,"."&amp;$A$43&amp;$AS$42&amp;"P"&amp;$A73))</f>
        <v>0.01</v>
      </c>
      <c r="DC73" s="83">
        <f>IF(RTD("tos.rtd",,DC$43,"."&amp;$A$43&amp;$AS$42&amp;"C"&amp;$A73)="N/A",0,RTD("tos.rtd",,DC$43,"."&amp;$A$43&amp;$AS$42&amp;"C"&amp;$A73))</f>
        <v>13.72</v>
      </c>
      <c r="DD73" s="83">
        <f>IF(RTD("tos.rtd",,DD$43,"."&amp;$A$43&amp;$AS$42&amp;"P"&amp;$A73)="N/A",0,RTD("tos.rtd",,DD$43,"."&amp;$A$43&amp;$AS$42&amp;"P"&amp;$A73))</f>
        <v>0.01</v>
      </c>
      <c r="DE73" s="83">
        <f>IF(RTD("tos.rtd",,DE$43,"."&amp;$A$43&amp;$AS$42&amp;"C"&amp;$A73)="N/A",0,RTD("tos.rtd",,DE$43,"."&amp;$A$43&amp;$AS$42&amp;"C"&amp;$A73))</f>
        <v>13.42</v>
      </c>
      <c r="DF73" s="83">
        <f>IF(RTD("tos.rtd",,DF$43,"."&amp;$A$43&amp;$AS$42&amp;"P"&amp;$A73)="N/A",0,RTD("tos.rtd",,DF$43,"."&amp;$A$43&amp;$AS$42&amp;"P"&amp;$A73))</f>
        <v>0</v>
      </c>
      <c r="DG73" s="86">
        <f t="shared" si="289"/>
        <v>-13.660000000000025</v>
      </c>
      <c r="DH73" s="83">
        <f t="shared" si="254"/>
        <v>0</v>
      </c>
      <c r="DI73" s="83">
        <f t="shared" si="255"/>
        <v>0</v>
      </c>
      <c r="DJ73" s="83">
        <f t="shared" si="256"/>
        <v>0</v>
      </c>
      <c r="DK73" s="83">
        <f t="shared" si="257"/>
        <v>0</v>
      </c>
      <c r="DL73" s="83">
        <f t="shared" si="258"/>
        <v>0</v>
      </c>
      <c r="DM73" s="83">
        <f t="shared" si="259"/>
        <v>0</v>
      </c>
      <c r="DN73" s="64" t="str">
        <f t="shared" si="260"/>
        <v>UNKNOWN</v>
      </c>
      <c r="DO73" s="64" t="str">
        <f t="shared" si="261"/>
        <v>UNKNOWN</v>
      </c>
      <c r="DP73" s="83">
        <f t="shared" si="262"/>
        <v>0</v>
      </c>
      <c r="DQ73" s="83">
        <f t="shared" si="263"/>
        <v>0</v>
      </c>
      <c r="DR73" s="83">
        <f t="shared" ca="1" si="264"/>
        <v>0</v>
      </c>
      <c r="DS73" s="83">
        <f t="shared" si="265"/>
        <v>0</v>
      </c>
      <c r="DT73" s="83">
        <f t="shared" si="290"/>
        <v>0</v>
      </c>
      <c r="DU73" s="83">
        <f t="shared" si="291"/>
        <v>0</v>
      </c>
      <c r="DV73" s="83">
        <f t="shared" si="266"/>
        <v>192</v>
      </c>
      <c r="DW73" s="83">
        <f t="shared" si="267"/>
        <v>3602</v>
      </c>
      <c r="DX73" s="83">
        <f t="shared" ca="1" si="406"/>
        <v>4.7858640206348378E-18</v>
      </c>
      <c r="DY73" s="83">
        <f t="shared" ca="1" si="407"/>
        <v>-1.1998651834006195E-2</v>
      </c>
      <c r="DZ73" s="83">
        <f t="shared" ca="1" si="408"/>
        <v>1.6436865961522013E-2</v>
      </c>
      <c r="EA73" s="83">
        <f t="shared" ca="1" si="409"/>
        <v>-1.6597955672144581E-2</v>
      </c>
      <c r="EB73" s="83">
        <f t="shared" ca="1" si="410"/>
        <v>1.6676071748189754E-2</v>
      </c>
      <c r="EC73" s="83">
        <f t="shared" ca="1" si="411"/>
        <v>-1.6676071748189754E-2</v>
      </c>
      <c r="ED73" s="63">
        <f t="shared" si="292"/>
        <v>3794</v>
      </c>
      <c r="EE73" s="84">
        <f t="shared" si="268"/>
        <v>0.25</v>
      </c>
      <c r="EF73" s="84">
        <f t="shared" si="269"/>
        <v>1.3282</v>
      </c>
      <c r="EG73" s="84">
        <f t="shared" si="270"/>
        <v>0.2661</v>
      </c>
      <c r="EH73" s="84">
        <f t="shared" si="271"/>
        <v>0.25590000000000002</v>
      </c>
      <c r="EI73" s="84">
        <f t="shared" si="272"/>
        <v>0.25</v>
      </c>
      <c r="EJ73" s="84">
        <f t="shared" si="273"/>
        <v>0.25</v>
      </c>
      <c r="EK73" s="63">
        <f t="shared" ca="1" si="293"/>
        <v>-11138380.528043408</v>
      </c>
      <c r="EL73" s="83" t="str">
        <f>RTD("tos.rtd",,EL$43,"."&amp;$A$43&amp;$AS$42&amp;"C"&amp;$A73)</f>
        <v>--</v>
      </c>
      <c r="EM73" s="83" t="str">
        <f>RTD("tos.rtd",,EM$43,"."&amp;$A$43&amp;$AS$42&amp;"P"&amp;$A73)</f>
        <v>132.82%</v>
      </c>
      <c r="EN73" s="83" t="str">
        <f>RTD("tos.rtd",,EN$2,"."&amp;$A$43&amp;$AU$1&amp;"C"&amp;$A73)</f>
        <v>26.61%</v>
      </c>
      <c r="EO73" s="83" t="str">
        <f>RTD("tos.rtd",,EO$2,"."&amp;$A$43&amp;$AU$1&amp;"P"&amp;$A73)</f>
        <v>25.59%</v>
      </c>
      <c r="EP73" s="83" t="str">
        <f>RTD("tos.rtd",,EP$2,"."&amp;$A$43&amp;$AW$1&amp;"C"&amp;$A73)</f>
        <v>N/A</v>
      </c>
      <c r="EQ73" s="83" t="str">
        <f>RTD("tos.rtd",,EQ$2,"."&amp;$A$43&amp;$AW$1&amp;"P"&amp;$A73)</f>
        <v>N/A</v>
      </c>
      <c r="ES73" s="63" t="str">
        <f t="shared" si="274"/>
        <v>494,3794.00</v>
      </c>
      <c r="ET73" s="63" t="str">
        <f t="shared" ca="1" si="275"/>
        <v>494,-63399.25</v>
      </c>
      <c r="EU73" s="68">
        <v>571.26</v>
      </c>
      <c r="EV73" s="68" t="s">
        <v>603</v>
      </c>
      <c r="EW73" s="68">
        <v>495.87</v>
      </c>
      <c r="EX73" s="68" t="s">
        <v>604</v>
      </c>
      <c r="EY73" s="68">
        <v>5659.91</v>
      </c>
      <c r="EZ73" s="68" t="s">
        <v>605</v>
      </c>
      <c r="FA73" s="68">
        <v>20061.449000000001</v>
      </c>
      <c r="FB73" s="68" t="s">
        <v>606</v>
      </c>
      <c r="FC73" s="68" t="s">
        <v>607</v>
      </c>
      <c r="FD73" s="68" t="s">
        <v>608</v>
      </c>
      <c r="FE73" s="68" t="s">
        <v>609</v>
      </c>
      <c r="FF73" s="68" t="s">
        <v>610</v>
      </c>
    </row>
    <row r="74" spans="1:162" ht="13.5" thickBot="1" x14ac:dyDescent="0.25">
      <c r="A74" s="2">
        <f t="shared" si="294"/>
        <v>493</v>
      </c>
      <c r="B74" s="3">
        <f t="shared" si="241"/>
        <v>8512</v>
      </c>
      <c r="C74" s="3">
        <f t="shared" si="412"/>
        <v>1176</v>
      </c>
      <c r="D74" s="3">
        <f t="shared" si="243"/>
        <v>0</v>
      </c>
      <c r="E74" s="3">
        <f>SUM(B74:D74)</f>
        <v>9688</v>
      </c>
      <c r="F74" s="4">
        <f>+$F$44/$A$44*A74</f>
        <v>20338.944864673205</v>
      </c>
      <c r="AM74" s="1">
        <v>353</v>
      </c>
      <c r="AN74" s="1">
        <v>1334</v>
      </c>
      <c r="AO74" s="1">
        <v>493</v>
      </c>
      <c r="AP74" s="1">
        <v>2416</v>
      </c>
      <c r="AQ74" s="1">
        <v>-10947</v>
      </c>
      <c r="AS74" s="6">
        <f>IF(RTD("tos.rtd",,AS$43,"."&amp;$A$43&amp;$AS$42&amp;"C"&amp;$A74)="N/A",0,RTD("tos.rtd",,AS$43,"."&amp;$A$43&amp;$AS$42&amp;"C"&amp;$A74))</f>
        <v>7888</v>
      </c>
      <c r="AT74" s="7">
        <f>-IF(RTD("tos.rtd",,AT$43,"."&amp;$A$43&amp;$AS$42&amp;"P"&amp;$A74)="N/A",0,RTD("tos.rtd",,AT$43,"."&amp;$A$43&amp;$AS$42&amp;"P"&amp;$A74))</f>
        <v>-624</v>
      </c>
      <c r="AU74" s="6">
        <f>IF(RTD("tos.rtd",,AU$2,"."&amp;$A$43&amp;$AU$1&amp;"C"&amp;$A74)="N/A",0,RTD("tos.rtd",,AU$2,"."&amp;$A$43&amp;$AU$1&amp;"C"&amp;$A74))</f>
        <v>897</v>
      </c>
      <c r="AV74" s="7">
        <f>-IF(RTD("tos.rtd",,AV$2,"."&amp;$A$43&amp;$AU$1&amp;"P"&amp;$A74)="N/A",0,RTD("tos.rtd",,AV$2,"."&amp;$A$43&amp;$AU$1&amp;"P"&amp;$A74))</f>
        <v>-279</v>
      </c>
      <c r="AW74" s="6">
        <f>IF(RTD("tos.rtd",,AW$2,"."&amp;$A$43&amp;$AW$1&amp;"C"&amp;$A74)="N/A",0,RTD("tos.rtd",,AW$2,"."&amp;$A$43&amp;$AW$1&amp;"C"&amp;$A74))</f>
        <v>0</v>
      </c>
      <c r="AX74" s="7">
        <f>-IF(RTD("tos.rtd",,AX$2,"."&amp;$A$43&amp;$AW$1&amp;"P"&amp;$A74)="N/A",0,RTD("tos.rtd",,AX$2,"."&amp;$A$43&amp;$AW$1&amp;"P"&amp;$A74))</f>
        <v>0</v>
      </c>
      <c r="AY74" s="7">
        <f>SUM(AS74:AX74)</f>
        <v>7882</v>
      </c>
      <c r="AZ74" s="8">
        <f t="shared" si="245"/>
        <v>493</v>
      </c>
      <c r="BA74" s="6">
        <f>IF(RTD("tos.rtd",,BA$43,"."&amp;$A$43&amp;$AS$42&amp;"C"&amp;$A74)="N/A",0,RTD("tos.rtd",,BA$43,"."&amp;$A$43&amp;$AS$42&amp;"C"&amp;$A74))</f>
        <v>2416</v>
      </c>
      <c r="BB74" s="7">
        <f>-IF(RTD("tos.rtd",,BB$43,"."&amp;$A$43&amp;$AS$42&amp;"P"&amp;$A74)="N/A",0,RTD("tos.rtd",,BB$43,"."&amp;$A$43&amp;$AS$42&amp;"P"&amp;$A74))</f>
        <v>-10947</v>
      </c>
      <c r="BC74" s="6">
        <f>IF(RTD("tos.rtd",,BC$2,"."&amp;$A$43&amp;$AU$1&amp;"C"&amp;$A74)="N/A",0,RTD("tos.rtd",,BC$2,"."&amp;$A$43&amp;$AU$1&amp;"C"&amp;$A74))</f>
        <v>554</v>
      </c>
      <c r="BD74" s="7">
        <f>-IF(RTD("tos.rtd",,BD$2,"."&amp;$A$43&amp;$AU$1&amp;"P"&amp;$A74)="N/A",0,RTD("tos.rtd",,BD$2,"."&amp;$A$43&amp;$AU$1&amp;"P"&amp;$A74))</f>
        <v>-3422</v>
      </c>
      <c r="BE74" s="6">
        <f>IF(RTD("tos.rtd",,BE$2,"."&amp;$A$43&amp;$AW$1&amp;"C"&amp;$A74)="N/A",0,RTD("tos.rtd",,BE$2,"."&amp;$A$43&amp;$AW$1&amp;"C"&amp;$A74))</f>
        <v>0</v>
      </c>
      <c r="BF74" s="7">
        <f>-IF(RTD("tos.rtd",,BF$2,"."&amp;$A$43&amp;$AW$1&amp;"P"&amp;$A74)="N/A",0,RTD("tos.rtd",,BF$2,"."&amp;$A$43&amp;$AW$1&amp;"P"&amp;$A74))</f>
        <v>0</v>
      </c>
      <c r="BG74" s="32">
        <f ca="1">+Hoja2!Y75</f>
        <v>-916</v>
      </c>
      <c r="BH74" s="7">
        <f t="shared" ca="1" si="277"/>
        <v>-12315</v>
      </c>
      <c r="BI74" s="8" t="str">
        <f t="shared" ca="1" si="295"/>
        <v/>
      </c>
      <c r="BJ74" s="83">
        <f ca="1">IF($BP$1=1,DX74,IF(RTD("tos.rtd",,BJ$43,"."&amp;$A$43&amp;$AS$42&amp;"C"&amp;$A74)="N/A",0,RTD("tos.rtd",,BJ$43,"."&amp;$A$43&amp;$AS$42&amp;"C"&amp;$A74)))</f>
        <v>1.2710081556599314E-20</v>
      </c>
      <c r="BK74" s="83">
        <f ca="1">IF($BP$1=1,DY74,-IF(RTD("tos.rtd",,BK$43,"."&amp;$A$43&amp;$AS$42&amp;"P"&amp;$A74)="N/A",0,RTD("tos.rtd",,BK$43,"."&amp;$A$43&amp;$AS$42&amp;"P"&amp;$A74)))</f>
        <v>-1.1020860353270292E-2</v>
      </c>
      <c r="BL74" s="83">
        <f ca="1">IF($BP$1=1,DZ74,IF(RTD("tos.rtd",,BL$2,"."&amp;$A$43&amp;$AU$1&amp;"C"&amp;$A74)="N/A",0,RTD("tos.rtd",,BL$2,"."&amp;$A$43&amp;$AU$1&amp;"C"&amp;$A74)))</f>
        <v>1.5641816920701473E-2</v>
      </c>
      <c r="BM74" s="83">
        <f ca="1">IF($BP$1=1,EA74,-IF(RTD("tos.rtd",,BM$2,"."&amp;$A$43&amp;$AU$1&amp;"P"&amp;$A74)="N/A",0,RTD("tos.rtd",,BM$2,"."&amp;$A$43&amp;$AU$1&amp;"P"&amp;$A74)))</f>
        <v>-1.5621044381336071E-2</v>
      </c>
      <c r="BN74" s="83">
        <f ca="1">IF($BP$1=1,EB74,IF(RTD("tos.rtd",,BN$2,"."&amp;$A$43&amp;$AW$1&amp;"C"&amp;$A74)="N/A",0,RTD("tos.rtd",,BN$2,"."&amp;$A$43&amp;$AW$1&amp;"C"&amp;$A74)))</f>
        <v>1.5665370509708034E-2</v>
      </c>
      <c r="BO74" s="83">
        <f ca="1">IF($BP$1=1,EC74,-IF(RTD("tos.rtd",,BO$2,"."&amp;$A$43&amp;$AW$1&amp;"P"&amp;$A74)="N/A",0,RTD("tos.rtd",,BO$2,"."&amp;$A$43&amp;$AW$1&amp;"P"&amp;$A74)))</f>
        <v>-1.5665370509708034E-2</v>
      </c>
      <c r="BQ74" s="83">
        <f t="shared" ca="1" si="278"/>
        <v>-1772335.6773516375</v>
      </c>
      <c r="BR74" s="3" t="str">
        <f t="shared" ca="1" si="279"/>
        <v/>
      </c>
      <c r="BS74" s="83">
        <f t="shared" ca="1" si="280"/>
        <v>2492768.013104782</v>
      </c>
      <c r="BT74" s="3" t="str">
        <f t="shared" ca="1" si="281"/>
        <v/>
      </c>
      <c r="BU74" s="83">
        <f t="shared" ca="1" si="282"/>
        <v>0</v>
      </c>
      <c r="BV74" s="83"/>
      <c r="BX74" s="83">
        <f t="shared" ca="1" si="283"/>
        <v>-31092561.955077525</v>
      </c>
      <c r="BY74" s="83" t="str">
        <f t="shared" ca="1" si="296"/>
        <v/>
      </c>
      <c r="BZ74" s="83">
        <f t="shared" ca="1" si="284"/>
        <v>-11543128.582454199</v>
      </c>
      <c r="CA74" s="83" t="str">
        <f t="shared" ca="1" si="296"/>
        <v/>
      </c>
      <c r="CB74" s="83">
        <f t="shared" ca="1" si="285"/>
        <v>0</v>
      </c>
      <c r="CC74" s="83" t="str">
        <f t="shared" ca="1" si="296"/>
        <v/>
      </c>
      <c r="CD74" s="83">
        <f>IF(RTD("tos.rtd",,CD$43,"."&amp;$A$43&amp;$AS$42&amp;"C"&amp;$A74)="N/A",0,RTD("tos.rtd",,CD$43,"."&amp;$A$43&amp;$AS$42&amp;"C"&amp;$A74))</f>
        <v>1</v>
      </c>
      <c r="CE74" s="83">
        <f>-IF(RTD("tos.rtd",,CE$43,"."&amp;$A$43&amp;$AS$42&amp;"P"&amp;$A74)="N/A",0,RTD("tos.rtd",,CE$43,"."&amp;$A$43&amp;$AS$42&amp;"P"&amp;$A74))</f>
        <v>0</v>
      </c>
      <c r="CF74" s="83">
        <f>IF(RTD("tos.rtd",,CF$2,"."&amp;$A$43&amp;$AU$1&amp;"C"&amp;$A74)="N/A",0,RTD("tos.rtd",,CF$2,"."&amp;$A$43&amp;$AU$1&amp;"C"&amp;$A74))</f>
        <v>0.87</v>
      </c>
      <c r="CG74" s="83">
        <f>-IF(RTD("tos.rtd",,CG$2,"."&amp;$A$43&amp;$AU$1&amp;"P"&amp;$A74)="N/A",0,RTD("tos.rtd",,CG$2,"."&amp;$A$43&amp;$AU$1&amp;"P"&amp;$A74))</f>
        <v>0.13</v>
      </c>
      <c r="CH74" s="83">
        <f>IF(RTD("tos.rtd",,CH$2,"."&amp;$A$43&amp;$AW$1&amp;"C"&amp;$A74)="N/A",0,RTD("tos.rtd",,CH$2,"."&amp;$A$43&amp;$AW$1&amp;"C"&amp;$A74))</f>
        <v>0</v>
      </c>
      <c r="CI74" s="83">
        <f>-IF(RTD("tos.rtd",,CI$2,"."&amp;$A$43&amp;$AW$1&amp;"P"&amp;$A74)="N/A",0,RTD("tos.rtd",,CI$2,"."&amp;$A$43&amp;$AW$1&amp;"P"&amp;$A74))</f>
        <v>0</v>
      </c>
      <c r="CK74" s="83">
        <f t="shared" si="286"/>
        <v>788800</v>
      </c>
      <c r="CL74" s="83"/>
      <c r="CM74" s="83">
        <f t="shared" si="287"/>
        <v>74412</v>
      </c>
      <c r="CN74" s="83"/>
      <c r="CO74" s="83">
        <f t="shared" si="288"/>
        <v>0</v>
      </c>
      <c r="CP74" s="83">
        <f t="shared" si="235"/>
        <v>863212</v>
      </c>
      <c r="CQ74" s="83">
        <f t="shared" si="249"/>
        <v>-8531</v>
      </c>
      <c r="CR74" s="83"/>
      <c r="CS74" s="83">
        <f t="shared" si="250"/>
        <v>-2868</v>
      </c>
      <c r="CT74" s="83"/>
      <c r="CU74" s="83">
        <f t="shared" si="251"/>
        <v>0</v>
      </c>
      <c r="CV74" s="83"/>
      <c r="CW74" s="83">
        <f ca="1">+BQ74+BS74+BU74</f>
        <v>720432.33575314446</v>
      </c>
      <c r="CY74" s="83">
        <f t="shared" ca="1" si="253"/>
        <v>-42635690.537531726</v>
      </c>
      <c r="CZ74" s="70" t="str">
        <f t="shared" ca="1" si="297"/>
        <v/>
      </c>
      <c r="DA74" s="83">
        <f>IF(RTD("tos.rtd",,DA$43,"."&amp;$A$43&amp;$AS$42&amp;"C"&amp;$A74)="N/A",0,RTD("tos.rtd",,DA$43,"."&amp;$A$43&amp;$AS$42&amp;"C"&amp;$A74))</f>
        <v>14.69</v>
      </c>
      <c r="DB74" s="83">
        <f>IF(RTD("tos.rtd",,DB$43,"."&amp;$A$43&amp;$AS$42&amp;"P"&amp;$A74)="N/A",0,RTD("tos.rtd",,DB$43,"."&amp;$A$43&amp;$AS$42&amp;"P"&amp;$A74))</f>
        <v>0.01</v>
      </c>
      <c r="DC74" s="83">
        <f>IF(RTD("tos.rtd",,DC$43,"."&amp;$A$43&amp;$AS$42&amp;"C"&amp;$A74)="N/A",0,RTD("tos.rtd",,DC$43,"."&amp;$A$43&amp;$AS$42&amp;"C"&amp;$A74))</f>
        <v>14.7</v>
      </c>
      <c r="DD74" s="83">
        <f>IF(RTD("tos.rtd",,DD$43,"."&amp;$A$43&amp;$AS$42&amp;"P"&amp;$A74)="N/A",0,RTD("tos.rtd",,DD$43,"."&amp;$A$43&amp;$AS$42&amp;"P"&amp;$A74))</f>
        <v>0.01</v>
      </c>
      <c r="DE74" s="83">
        <f>IF(RTD("tos.rtd",,DE$43,"."&amp;$A$43&amp;$AS$42&amp;"C"&amp;$A74)="N/A",0,RTD("tos.rtd",,DE$43,"."&amp;$A$43&amp;$AS$42&amp;"C"&amp;$A74))</f>
        <v>14.41</v>
      </c>
      <c r="DF74" s="83">
        <f>IF(RTD("tos.rtd",,DF$43,"."&amp;$A$43&amp;$AS$42&amp;"P"&amp;$A74)="N/A",0,RTD("tos.rtd",,DF$43,"."&amp;$A$43&amp;$AS$42&amp;"P"&amp;$A74))</f>
        <v>0</v>
      </c>
      <c r="DG74" s="86">
        <f t="shared" si="289"/>
        <v>-14.660000000000025</v>
      </c>
      <c r="DH74" s="83">
        <f t="shared" si="254"/>
        <v>0</v>
      </c>
      <c r="DI74" s="83">
        <f t="shared" si="255"/>
        <v>0</v>
      </c>
      <c r="DJ74" s="83">
        <f t="shared" si="256"/>
        <v>0</v>
      </c>
      <c r="DK74" s="83">
        <f t="shared" si="257"/>
        <v>0</v>
      </c>
      <c r="DL74" s="83">
        <f t="shared" si="258"/>
        <v>0</v>
      </c>
      <c r="DM74" s="83">
        <f t="shared" si="259"/>
        <v>0</v>
      </c>
      <c r="DN74" s="64" t="str">
        <f t="shared" si="260"/>
        <v>UNKNOWN</v>
      </c>
      <c r="DO74" s="64" t="str">
        <f t="shared" si="261"/>
        <v>UNKNOWN</v>
      </c>
      <c r="DP74" s="83">
        <f t="shared" si="262"/>
        <v>0</v>
      </c>
      <c r="DQ74" s="83">
        <f t="shared" si="263"/>
        <v>0</v>
      </c>
      <c r="DR74" s="83">
        <f t="shared" ca="1" si="264"/>
        <v>0</v>
      </c>
      <c r="DS74" s="83">
        <f t="shared" si="265"/>
        <v>0</v>
      </c>
      <c r="DT74" s="83">
        <f t="shared" si="290"/>
        <v>0</v>
      </c>
      <c r="DU74" s="83">
        <f t="shared" si="291"/>
        <v>0</v>
      </c>
      <c r="DV74" s="83">
        <f t="shared" si="266"/>
        <v>353</v>
      </c>
      <c r="DW74" s="83">
        <f t="shared" si="267"/>
        <v>1334</v>
      </c>
      <c r="DX74" s="83">
        <f t="shared" ca="1" si="406"/>
        <v>1.2710081556599314E-20</v>
      </c>
      <c r="DY74" s="83">
        <f t="shared" ca="1" si="407"/>
        <v>-1.1020860353270292E-2</v>
      </c>
      <c r="DZ74" s="83">
        <f t="shared" ca="1" si="408"/>
        <v>1.5641816920701473E-2</v>
      </c>
      <c r="EA74" s="83">
        <f t="shared" ca="1" si="409"/>
        <v>-1.5621044381336071E-2</v>
      </c>
      <c r="EB74" s="83">
        <f t="shared" ca="1" si="410"/>
        <v>1.5665370509708034E-2</v>
      </c>
      <c r="EC74" s="83">
        <f t="shared" ca="1" si="411"/>
        <v>-1.5665370509708034E-2</v>
      </c>
      <c r="ED74" s="63">
        <f t="shared" si="292"/>
        <v>1687</v>
      </c>
      <c r="EE74" s="84">
        <f t="shared" si="268"/>
        <v>0.25</v>
      </c>
      <c r="EF74" s="84">
        <f t="shared" si="269"/>
        <v>1.4168000000000001</v>
      </c>
      <c r="EG74" s="84">
        <f t="shared" si="270"/>
        <v>0.25490000000000002</v>
      </c>
      <c r="EH74" s="84">
        <f t="shared" si="271"/>
        <v>0.2581</v>
      </c>
      <c r="EI74" s="84">
        <f t="shared" si="272"/>
        <v>0.25</v>
      </c>
      <c r="EJ74" s="84">
        <f t="shared" si="273"/>
        <v>0.25</v>
      </c>
      <c r="EK74" s="63">
        <f t="shared" ca="1" si="293"/>
        <v>-3788935.5666459687</v>
      </c>
      <c r="EL74" s="83" t="str">
        <f>RTD("tos.rtd",,EL$43,"."&amp;$A$43&amp;$AS$42&amp;"C"&amp;$A74)</f>
        <v>--</v>
      </c>
      <c r="EM74" s="83" t="str">
        <f>RTD("tos.rtd",,EM$43,"."&amp;$A$43&amp;$AS$42&amp;"P"&amp;$A74)</f>
        <v>141.68%</v>
      </c>
      <c r="EN74" s="83" t="str">
        <f>RTD("tos.rtd",,EN$2,"."&amp;$A$43&amp;$AU$1&amp;"C"&amp;$A74)</f>
        <v>25.49%</v>
      </c>
      <c r="EO74" s="83" t="str">
        <f>RTD("tos.rtd",,EO$2,"."&amp;$A$43&amp;$AU$1&amp;"P"&amp;$A74)</f>
        <v>25.81%</v>
      </c>
      <c r="EP74" s="83" t="str">
        <f>RTD("tos.rtd",,EP$2,"."&amp;$A$43&amp;$AW$1&amp;"C"&amp;$A74)</f>
        <v>N/A</v>
      </c>
      <c r="EQ74" s="83" t="str">
        <f>RTD("tos.rtd",,EQ$2,"."&amp;$A$43&amp;$AW$1&amp;"P"&amp;$A74)</f>
        <v>N/A</v>
      </c>
      <c r="ES74" s="63" t="str">
        <f t="shared" si="274"/>
        <v>493,1687.00</v>
      </c>
      <c r="ET74" s="63" t="str">
        <f t="shared" ca="1" si="275"/>
        <v>493,-42635.69</v>
      </c>
      <c r="EU74" s="68">
        <v>571.25</v>
      </c>
      <c r="EV74" s="68" t="s">
        <v>611</v>
      </c>
      <c r="EW74" s="68">
        <v>495.93</v>
      </c>
      <c r="EX74" s="68" t="s">
        <v>612</v>
      </c>
      <c r="EY74" s="68">
        <v>5659.91</v>
      </c>
      <c r="EZ74" s="68" t="s">
        <v>613</v>
      </c>
      <c r="FA74" s="68">
        <v>20061.449000000001</v>
      </c>
      <c r="FB74" s="68" t="s">
        <v>614</v>
      </c>
      <c r="FC74" s="68" t="s">
        <v>615</v>
      </c>
      <c r="FD74" s="68" t="s">
        <v>616</v>
      </c>
      <c r="FE74" s="68" t="s">
        <v>617</v>
      </c>
      <c r="FF74" s="68" t="s">
        <v>618</v>
      </c>
    </row>
    <row r="75" spans="1:162" ht="13.5" thickBot="1" x14ac:dyDescent="0.25">
      <c r="A75" s="2">
        <f t="shared" si="294"/>
        <v>492</v>
      </c>
      <c r="B75" s="3">
        <f t="shared" si="241"/>
        <v>3739</v>
      </c>
      <c r="C75" s="3">
        <f t="shared" si="412"/>
        <v>2074</v>
      </c>
      <c r="D75" s="3">
        <f t="shared" si="243"/>
        <v>0</v>
      </c>
      <c r="E75" s="3">
        <f t="shared" si="244"/>
        <v>5813</v>
      </c>
      <c r="F75" s="4">
        <f t="shared" si="298"/>
        <v>20297.68939841626</v>
      </c>
      <c r="AM75" s="1">
        <v>-289</v>
      </c>
      <c r="AN75" s="1">
        <v>-727</v>
      </c>
      <c r="AO75" s="1">
        <v>492</v>
      </c>
      <c r="AP75" s="1">
        <v>2133</v>
      </c>
      <c r="AQ75" s="1">
        <v>-4874</v>
      </c>
      <c r="AS75" s="6">
        <f>IF(RTD("tos.rtd",,AS$43,"."&amp;$A$43&amp;$AS$42&amp;"C"&amp;$A75)="N/A",0,RTD("tos.rtd",,AS$43,"."&amp;$A$43&amp;$AS$42&amp;"C"&amp;$A75))</f>
        <v>2982</v>
      </c>
      <c r="AT75" s="7">
        <f>-IF(RTD("tos.rtd",,AT$43,"."&amp;$A$43&amp;$AS$42&amp;"P"&amp;$A75)="N/A",0,RTD("tos.rtd",,AT$43,"."&amp;$A$43&amp;$AS$42&amp;"P"&amp;$A75))</f>
        <v>-757</v>
      </c>
      <c r="AU75" s="6">
        <f>IF(RTD("tos.rtd",,AU$2,"."&amp;$A$43&amp;$AU$1&amp;"C"&amp;$A75)="N/A",0,RTD("tos.rtd",,AU$2,"."&amp;$A$43&amp;$AU$1&amp;"C"&amp;$A75))</f>
        <v>1424</v>
      </c>
      <c r="AV75" s="7">
        <f>-IF(RTD("tos.rtd",,AV$2,"."&amp;$A$43&amp;$AU$1&amp;"P"&amp;$A75)="N/A",0,RTD("tos.rtd",,AV$2,"."&amp;$A$43&amp;$AU$1&amp;"P"&amp;$A75))</f>
        <v>-650</v>
      </c>
      <c r="AW75" s="6">
        <f>IF(RTD("tos.rtd",,AW$2,"."&amp;$A$43&amp;$AW$1&amp;"C"&amp;$A75)="N/A",0,RTD("tos.rtd",,AW$2,"."&amp;$A$43&amp;$AW$1&amp;"C"&amp;$A75))</f>
        <v>0</v>
      </c>
      <c r="AX75" s="7">
        <f>-IF(RTD("tos.rtd",,AX$2,"."&amp;$A$43&amp;$AW$1&amp;"P"&amp;$A75)="N/A",0,RTD("tos.rtd",,AX$2,"."&amp;$A$43&amp;$AW$1&amp;"P"&amp;$A75))</f>
        <v>0</v>
      </c>
      <c r="AY75" s="7">
        <f t="shared" si="276"/>
        <v>2999</v>
      </c>
      <c r="AZ75" s="8">
        <f t="shared" si="245"/>
        <v>492</v>
      </c>
      <c r="BA75" s="6">
        <f>IF(RTD("tos.rtd",,BA$43,"."&amp;$A$43&amp;$AS$42&amp;"C"&amp;$A75)="N/A",0,RTD("tos.rtd",,BA$43,"."&amp;$A$43&amp;$AS$42&amp;"C"&amp;$A75))</f>
        <v>2133</v>
      </c>
      <c r="BB75" s="7">
        <f>-IF(RTD("tos.rtd",,BB$43,"."&amp;$A$43&amp;$AS$42&amp;"P"&amp;$A75)="N/A",0,RTD("tos.rtd",,BB$43,"."&amp;$A$43&amp;$AS$42&amp;"P"&amp;$A75))</f>
        <v>-4874</v>
      </c>
      <c r="BC75" s="6">
        <f>IF(RTD("tos.rtd",,BC$2,"."&amp;$A$43&amp;$AU$1&amp;"C"&amp;$A75)="N/A",0,RTD("tos.rtd",,BC$2,"."&amp;$A$43&amp;$AU$1&amp;"C"&amp;$A75))</f>
        <v>905</v>
      </c>
      <c r="BD75" s="7">
        <f>-IF(RTD("tos.rtd",,BD$2,"."&amp;$A$43&amp;$AU$1&amp;"P"&amp;$A75)="N/A",0,RTD("tos.rtd",,BD$2,"."&amp;$A$43&amp;$AU$1&amp;"P"&amp;$A75))</f>
        <v>-4974</v>
      </c>
      <c r="BE75" s="6">
        <f>IF(RTD("tos.rtd",,BE$2,"."&amp;$A$43&amp;$AW$1&amp;"C"&amp;$A75)="N/A",0,RTD("tos.rtd",,BE$2,"."&amp;$A$43&amp;$AW$1&amp;"C"&amp;$A75))</f>
        <v>0</v>
      </c>
      <c r="BF75" s="7">
        <f>-IF(RTD("tos.rtd",,BF$2,"."&amp;$A$43&amp;$AW$1&amp;"P"&amp;$A75)="N/A",0,RTD("tos.rtd",,BF$2,"."&amp;$A$43&amp;$AW$1&amp;"P"&amp;$A75))</f>
        <v>0</v>
      </c>
      <c r="BG75" s="32">
        <f ca="1">+Hoja2!Y76</f>
        <v>-1168</v>
      </c>
      <c r="BH75" s="7">
        <f t="shared" ca="1" si="277"/>
        <v>-7978</v>
      </c>
      <c r="BI75" s="8" t="str">
        <f t="shared" ca="1" si="295"/>
        <v/>
      </c>
      <c r="BJ75" s="83">
        <f ca="1">IF($BP$1=1,DX75,IF(RTD("tos.rtd",,BJ$43,"."&amp;$A$43&amp;$AS$42&amp;"C"&amp;$A75)="N/A",0,RTD("tos.rtd",,BJ$43,"."&amp;$A$43&amp;$AS$42&amp;"C"&amp;$A75)))</f>
        <v>2.1782927700672576E-23</v>
      </c>
      <c r="BK75" s="83">
        <f ca="1">IF($BP$1=1,DY75,-IF(RTD("tos.rtd",,BK$43,"."&amp;$A$43&amp;$AS$42&amp;"P"&amp;$A75)="N/A",0,RTD("tos.rtd",,BK$43,"."&amp;$A$43&amp;$AS$42&amp;"P"&amp;$A75)))</f>
        <v>-1.0177154166762341E-2</v>
      </c>
      <c r="BL75" s="83">
        <f ca="1">IF($BP$1=1,DZ75,IF(RTD("tos.rtd",,BL$2,"."&amp;$A$43&amp;$AU$1&amp;"C"&amp;$A75)="N/A",0,RTD("tos.rtd",,BL$2,"."&amp;$A$43&amp;$AU$1&amp;"C"&amp;$A75)))</f>
        <v>1.466082873047911E-2</v>
      </c>
      <c r="BM75" s="83">
        <f ca="1">IF($BP$1=1,EA75,-IF(RTD("tos.rtd",,BM$2,"."&amp;$A$43&amp;$AU$1&amp;"P"&amp;$A75)="N/A",0,RTD("tos.rtd",,BM$2,"."&amp;$A$43&amp;$AU$1&amp;"P"&amp;$A75)))</f>
        <v>-1.4668381732232505E-2</v>
      </c>
      <c r="BN75" s="83">
        <f ca="1">IF($BP$1=1,EB75,IF(RTD("tos.rtd",,BN$2,"."&amp;$A$43&amp;$AW$1&amp;"C"&amp;$A75)="N/A",0,RTD("tos.rtd",,BN$2,"."&amp;$A$43&amp;$AW$1&amp;"C"&amp;$A75)))</f>
        <v>1.4650609464321398E-2</v>
      </c>
      <c r="BO75" s="83">
        <f ca="1">IF($BP$1=1,EC75,-IF(RTD("tos.rtd",,BO$2,"."&amp;$A$43&amp;$AW$1&amp;"P"&amp;$A75)="N/A",0,RTD("tos.rtd",,BO$2,"."&amp;$A$43&amp;$AW$1&amp;"P"&amp;$A75)))</f>
        <v>-1.4650609464321398E-2</v>
      </c>
      <c r="BQ75" s="83">
        <f t="shared" ca="1" si="278"/>
        <v>-1985491.9187789042</v>
      </c>
      <c r="BR75" s="3" t="str">
        <f t="shared" ca="1" si="279"/>
        <v/>
      </c>
      <c r="BS75" s="83">
        <f t="shared" ca="1" si="280"/>
        <v>2923192.6301943013</v>
      </c>
      <c r="BT75" s="3" t="str">
        <f t="shared" ca="1" si="281"/>
        <v/>
      </c>
      <c r="BU75" s="83">
        <f t="shared" ca="1" si="282"/>
        <v>0</v>
      </c>
      <c r="BV75" s="83"/>
      <c r="BX75" s="83">
        <f t="shared" ca="1" si="283"/>
        <v>-12783735.286827451</v>
      </c>
      <c r="BY75" s="83" t="str">
        <f t="shared" ca="1" si="296"/>
        <v/>
      </c>
      <c r="BZ75" s="83">
        <f t="shared" ca="1" si="284"/>
        <v>-15383867.078313254</v>
      </c>
      <c r="CA75" s="83" t="str">
        <f t="shared" ca="1" si="296"/>
        <v/>
      </c>
      <c r="CB75" s="83">
        <f t="shared" ca="1" si="285"/>
        <v>0</v>
      </c>
      <c r="CC75" s="83" t="str">
        <f t="shared" ca="1" si="296"/>
        <v/>
      </c>
      <c r="CD75" s="83">
        <f>IF(RTD("tos.rtd",,CD$43,"."&amp;$A$43&amp;$AS$42&amp;"C"&amp;$A75)="N/A",0,RTD("tos.rtd",,CD$43,"."&amp;$A$43&amp;$AS$42&amp;"C"&amp;$A75))</f>
        <v>1</v>
      </c>
      <c r="CE75" s="83">
        <f>-IF(RTD("tos.rtd",,CE$43,"."&amp;$A$43&amp;$AS$42&amp;"P"&amp;$A75)="N/A",0,RTD("tos.rtd",,CE$43,"."&amp;$A$43&amp;$AS$42&amp;"P"&amp;$A75))</f>
        <v>0</v>
      </c>
      <c r="CF75" s="83">
        <f>IF(RTD("tos.rtd",,CF$2,"."&amp;$A$43&amp;$AU$1&amp;"C"&amp;$A75)="N/A",0,RTD("tos.rtd",,CF$2,"."&amp;$A$43&amp;$AU$1&amp;"C"&amp;$A75))</f>
        <v>0.88</v>
      </c>
      <c r="CG75" s="83">
        <f>-IF(RTD("tos.rtd",,CG$2,"."&amp;$A$43&amp;$AU$1&amp;"P"&amp;$A75)="N/A",0,RTD("tos.rtd",,CG$2,"."&amp;$A$43&amp;$AU$1&amp;"P"&amp;$A75))</f>
        <v>0.12</v>
      </c>
      <c r="CH75" s="83">
        <f>IF(RTD("tos.rtd",,CH$2,"."&amp;$A$43&amp;$AW$1&amp;"C"&amp;$A75)="N/A",0,RTD("tos.rtd",,CH$2,"."&amp;$A$43&amp;$AW$1&amp;"C"&amp;$A75))</f>
        <v>0</v>
      </c>
      <c r="CI75" s="83">
        <f>-IF(RTD("tos.rtd",,CI$2,"."&amp;$A$43&amp;$AW$1&amp;"P"&amp;$A75)="N/A",0,RTD("tos.rtd",,CI$2,"."&amp;$A$43&amp;$AW$1&amp;"P"&amp;$A75))</f>
        <v>0</v>
      </c>
      <c r="CK75" s="83">
        <f t="shared" si="286"/>
        <v>298200</v>
      </c>
      <c r="CL75" s="83"/>
      <c r="CM75" s="83">
        <f t="shared" si="287"/>
        <v>117512.00000000001</v>
      </c>
      <c r="CN75" s="83"/>
      <c r="CO75" s="83">
        <f t="shared" si="288"/>
        <v>0</v>
      </c>
      <c r="CP75" s="83">
        <f t="shared" si="235"/>
        <v>415712</v>
      </c>
      <c r="CQ75" s="83">
        <f t="shared" si="249"/>
        <v>-2741</v>
      </c>
      <c r="CR75" s="83"/>
      <c r="CS75" s="83">
        <f t="shared" si="250"/>
        <v>-4069</v>
      </c>
      <c r="CT75" s="83"/>
      <c r="CU75" s="83">
        <f t="shared" si="251"/>
        <v>0</v>
      </c>
      <c r="CV75" s="83"/>
      <c r="CW75" s="83">
        <f t="shared" ca="1" si="252"/>
        <v>937700.711415397</v>
      </c>
      <c r="CY75" s="83">
        <f t="shared" ca="1" si="253"/>
        <v>-28167602.365140706</v>
      </c>
      <c r="CZ75" s="70" t="str">
        <f t="shared" ca="1" si="297"/>
        <v/>
      </c>
      <c r="DA75" s="83">
        <f>IF(RTD("tos.rtd",,DA$43,"."&amp;$A$43&amp;$AS$42&amp;"C"&amp;$A75)="N/A",0,RTD("tos.rtd",,DA$43,"."&amp;$A$43&amp;$AS$42&amp;"C"&amp;$A75))</f>
        <v>15.7</v>
      </c>
      <c r="DB75" s="83">
        <f>IF(RTD("tos.rtd",,DB$43,"."&amp;$A$43&amp;$AS$42&amp;"P"&amp;$A75)="N/A",0,RTD("tos.rtd",,DB$43,"."&amp;$A$43&amp;$AS$42&amp;"P"&amp;$A75))</f>
        <v>0.01</v>
      </c>
      <c r="DC75" s="83">
        <f>IF(RTD("tos.rtd",,DC$43,"."&amp;$A$43&amp;$AS$42&amp;"C"&amp;$A75)="N/A",0,RTD("tos.rtd",,DC$43,"."&amp;$A$43&amp;$AS$42&amp;"C"&amp;$A75))</f>
        <v>15.7</v>
      </c>
      <c r="DD75" s="83">
        <f>IF(RTD("tos.rtd",,DD$43,"."&amp;$A$43&amp;$AS$42&amp;"P"&amp;$A75)="N/A",0,RTD("tos.rtd",,DD$43,"."&amp;$A$43&amp;$AS$42&amp;"P"&amp;$A75))</f>
        <v>0.01</v>
      </c>
      <c r="DE75" s="83">
        <f>IF(RTD("tos.rtd",,DE$43,"."&amp;$A$43&amp;$AS$42&amp;"C"&amp;$A75)="N/A",0,RTD("tos.rtd",,DE$43,"."&amp;$A$43&amp;$AS$42&amp;"C"&amp;$A75))</f>
        <v>15.41</v>
      </c>
      <c r="DF75" s="83">
        <f>IF(RTD("tos.rtd",,DF$43,"."&amp;$A$43&amp;$AS$42&amp;"P"&amp;$A75)="N/A",0,RTD("tos.rtd",,DF$43,"."&amp;$A$43&amp;$AS$42&amp;"P"&amp;$A75))</f>
        <v>0</v>
      </c>
      <c r="DG75" s="86">
        <f t="shared" si="289"/>
        <v>-15.660000000000025</v>
      </c>
      <c r="DH75" s="83">
        <f t="shared" si="254"/>
        <v>0</v>
      </c>
      <c r="DI75" s="83">
        <f t="shared" si="255"/>
        <v>0</v>
      </c>
      <c r="DJ75" s="83">
        <f t="shared" si="256"/>
        <v>0</v>
      </c>
      <c r="DK75" s="83">
        <f t="shared" si="257"/>
        <v>0</v>
      </c>
      <c r="DL75" s="83">
        <f t="shared" si="258"/>
        <v>0</v>
      </c>
      <c r="DM75" s="83">
        <f t="shared" si="259"/>
        <v>0</v>
      </c>
      <c r="DN75" s="64" t="str">
        <f t="shared" si="260"/>
        <v>UNKNOWN</v>
      </c>
      <c r="DO75" s="64" t="str">
        <f t="shared" si="261"/>
        <v>UNKNOWN</v>
      </c>
      <c r="DP75" s="83">
        <f t="shared" si="262"/>
        <v>0</v>
      </c>
      <c r="DQ75" s="83">
        <f t="shared" si="263"/>
        <v>0</v>
      </c>
      <c r="DR75" s="83">
        <f t="shared" ca="1" si="264"/>
        <v>0</v>
      </c>
      <c r="DS75" s="83">
        <f t="shared" si="265"/>
        <v>0</v>
      </c>
      <c r="DT75" s="83">
        <f t="shared" si="290"/>
        <v>0</v>
      </c>
      <c r="DU75" s="83">
        <f t="shared" si="291"/>
        <v>0</v>
      </c>
      <c r="DV75" s="83">
        <f t="shared" si="266"/>
        <v>-289</v>
      </c>
      <c r="DW75" s="83">
        <f t="shared" si="267"/>
        <v>-727</v>
      </c>
      <c r="DX75" s="83">
        <f t="shared" ca="1" si="406"/>
        <v>2.1782927700672576E-23</v>
      </c>
      <c r="DY75" s="83">
        <f t="shared" ca="1" si="407"/>
        <v>-1.0177154166762341E-2</v>
      </c>
      <c r="DZ75" s="83">
        <f t="shared" ca="1" si="408"/>
        <v>1.466082873047911E-2</v>
      </c>
      <c r="EA75" s="83">
        <f t="shared" ca="1" si="409"/>
        <v>-1.4668381732232505E-2</v>
      </c>
      <c r="EB75" s="83">
        <f t="shared" ca="1" si="410"/>
        <v>1.4650609464321398E-2</v>
      </c>
      <c r="EC75" s="83">
        <f t="shared" ca="1" si="411"/>
        <v>-1.4650609464321398E-2</v>
      </c>
      <c r="ED75" s="63">
        <f t="shared" si="292"/>
        <v>-1016</v>
      </c>
      <c r="EE75" s="84">
        <f t="shared" si="268"/>
        <v>0.25</v>
      </c>
      <c r="EF75" s="84">
        <f t="shared" si="269"/>
        <v>1.5051000000000001</v>
      </c>
      <c r="EG75" s="84">
        <f t="shared" si="270"/>
        <v>0.2651</v>
      </c>
      <c r="EH75" s="84">
        <f t="shared" si="271"/>
        <v>0.26050000000000001</v>
      </c>
      <c r="EI75" s="84">
        <f t="shared" si="272"/>
        <v>0.25</v>
      </c>
      <c r="EJ75" s="84">
        <f t="shared" si="273"/>
        <v>0.25</v>
      </c>
      <c r="EK75" s="63">
        <f t="shared" ca="1" si="293"/>
        <v>1906806.6379818539</v>
      </c>
      <c r="EL75" s="83" t="str">
        <f>RTD("tos.rtd",,EL$43,"."&amp;$A$43&amp;$AS$42&amp;"C"&amp;$A75)</f>
        <v>--</v>
      </c>
      <c r="EM75" s="83" t="str">
        <f>RTD("tos.rtd",,EM$43,"."&amp;$A$43&amp;$AS$42&amp;"P"&amp;$A75)</f>
        <v>150.51%</v>
      </c>
      <c r="EN75" s="83" t="str">
        <f>RTD("tos.rtd",,EN$2,"."&amp;$A$43&amp;$AU$1&amp;"C"&amp;$A75)</f>
        <v>26.51%</v>
      </c>
      <c r="EO75" s="83" t="str">
        <f>RTD("tos.rtd",,EO$2,"."&amp;$A$43&amp;$AU$1&amp;"P"&amp;$A75)</f>
        <v>26.05%</v>
      </c>
      <c r="EP75" s="83" t="str">
        <f>RTD("tos.rtd",,EP$2,"."&amp;$A$43&amp;$AW$1&amp;"C"&amp;$A75)</f>
        <v>N/A</v>
      </c>
      <c r="EQ75" s="83" t="str">
        <f>RTD("tos.rtd",,EQ$2,"."&amp;$A$43&amp;$AW$1&amp;"P"&amp;$A75)</f>
        <v>N/A</v>
      </c>
      <c r="ES75" s="63" t="str">
        <f t="shared" si="274"/>
        <v>492,-1016.00</v>
      </c>
      <c r="ET75" s="63" t="str">
        <f t="shared" ca="1" si="275"/>
        <v>492,-28167.60</v>
      </c>
      <c r="EU75" s="68">
        <v>571.08000000000004</v>
      </c>
      <c r="EV75" s="68" t="s">
        <v>619</v>
      </c>
      <c r="EW75" s="68">
        <v>495.77</v>
      </c>
      <c r="EX75" s="68" t="s">
        <v>620</v>
      </c>
      <c r="EY75" s="68">
        <v>5659.91</v>
      </c>
      <c r="EZ75" s="68" t="s">
        <v>621</v>
      </c>
      <c r="FA75" s="68">
        <v>20061.449000000001</v>
      </c>
      <c r="FB75" s="68" t="s">
        <v>622</v>
      </c>
      <c r="FC75" s="68" t="s">
        <v>623</v>
      </c>
      <c r="FD75" s="68" t="s">
        <v>624</v>
      </c>
      <c r="FE75" s="68" t="s">
        <v>625</v>
      </c>
      <c r="FF75" s="68" t="s">
        <v>626</v>
      </c>
    </row>
    <row r="76" spans="1:162" ht="13.5" thickBot="1" x14ac:dyDescent="0.25">
      <c r="A76" s="2">
        <f t="shared" si="294"/>
        <v>491</v>
      </c>
      <c r="B76" s="3">
        <f t="shared" si="241"/>
        <v>3944</v>
      </c>
      <c r="C76" s="3">
        <f t="shared" si="412"/>
        <v>2040</v>
      </c>
      <c r="D76" s="3">
        <f t="shared" si="243"/>
        <v>0</v>
      </c>
      <c r="E76" s="3">
        <f t="shared" si="244"/>
        <v>5984</v>
      </c>
      <c r="F76" s="4">
        <f t="shared" si="298"/>
        <v>20256.433932159318</v>
      </c>
      <c r="AM76" s="1">
        <v>443</v>
      </c>
      <c r="AN76" s="1">
        <v>518</v>
      </c>
      <c r="AO76" s="1">
        <v>491</v>
      </c>
      <c r="AP76" s="1">
        <v>1863</v>
      </c>
      <c r="AQ76" s="1">
        <v>-3800</v>
      </c>
      <c r="AS76" s="6">
        <f>IF(RTD("tos.rtd",,AS$43,"."&amp;$A$43&amp;$AS$42&amp;"C"&amp;$A76)="N/A",0,RTD("tos.rtd",,AS$43,"."&amp;$A$43&amp;$AS$42&amp;"C"&amp;$A76))</f>
        <v>3124</v>
      </c>
      <c r="AT76" s="7">
        <f>-IF(RTD("tos.rtd",,AT$43,"."&amp;$A$43&amp;$AS$42&amp;"P"&amp;$A76)="N/A",0,RTD("tos.rtd",,AT$43,"."&amp;$A$43&amp;$AS$42&amp;"P"&amp;$A76))</f>
        <v>-820</v>
      </c>
      <c r="AU76" s="6">
        <f>IF(RTD("tos.rtd",,AU$2,"."&amp;$A$43&amp;$AU$1&amp;"C"&amp;$A76)="N/A",0,RTD("tos.rtd",,AU$2,"."&amp;$A$43&amp;$AU$1&amp;"C"&amp;$A76))</f>
        <v>1268</v>
      </c>
      <c r="AV76" s="7">
        <f>-IF(RTD("tos.rtd",,AV$2,"."&amp;$A$43&amp;$AU$1&amp;"P"&amp;$A76)="N/A",0,RTD("tos.rtd",,AV$2,"."&amp;$A$43&amp;$AU$1&amp;"P"&amp;$A76))</f>
        <v>-772</v>
      </c>
      <c r="AW76" s="6">
        <f>IF(RTD("tos.rtd",,AW$2,"."&amp;$A$43&amp;$AW$1&amp;"C"&amp;$A76)="N/A",0,RTD("tos.rtd",,AW$2,"."&amp;$A$43&amp;$AW$1&amp;"C"&amp;$A76))</f>
        <v>0</v>
      </c>
      <c r="AX76" s="7">
        <f>-IF(RTD("tos.rtd",,AX$2,"."&amp;$A$43&amp;$AW$1&amp;"P"&amp;$A76)="N/A",0,RTD("tos.rtd",,AX$2,"."&amp;$A$43&amp;$AW$1&amp;"P"&amp;$A76))</f>
        <v>0</v>
      </c>
      <c r="AY76" s="7">
        <f t="shared" si="276"/>
        <v>2800</v>
      </c>
      <c r="AZ76" s="8">
        <f t="shared" si="245"/>
        <v>491</v>
      </c>
      <c r="BA76" s="6">
        <f>IF(RTD("tos.rtd",,BA$43,"."&amp;$A$43&amp;$AS$42&amp;"C"&amp;$A76)="N/A",0,RTD("tos.rtd",,BA$43,"."&amp;$A$43&amp;$AS$42&amp;"C"&amp;$A76))</f>
        <v>1863</v>
      </c>
      <c r="BB76" s="7">
        <f>-IF(RTD("tos.rtd",,BB$43,"."&amp;$A$43&amp;$AS$42&amp;"P"&amp;$A76)="N/A",0,RTD("tos.rtd",,BB$43,"."&amp;$A$43&amp;$AS$42&amp;"P"&amp;$A76))</f>
        <v>-3800</v>
      </c>
      <c r="BC76" s="6">
        <f>IF(RTD("tos.rtd",,BC$2,"."&amp;$A$43&amp;$AU$1&amp;"C"&amp;$A76)="N/A",0,RTD("tos.rtd",,BC$2,"."&amp;$A$43&amp;$AU$1&amp;"C"&amp;$A76))</f>
        <v>666</v>
      </c>
      <c r="BD76" s="7">
        <f>-IF(RTD("tos.rtd",,BD$2,"."&amp;$A$43&amp;$AU$1&amp;"P"&amp;$A76)="N/A",0,RTD("tos.rtd",,BD$2,"."&amp;$A$43&amp;$AU$1&amp;"P"&amp;$A76))</f>
        <v>-1854</v>
      </c>
      <c r="BE76" s="6">
        <f>IF(RTD("tos.rtd",,BE$2,"."&amp;$A$43&amp;$AW$1&amp;"C"&amp;$A76)="N/A",0,RTD("tos.rtd",,BE$2,"."&amp;$A$43&amp;$AW$1&amp;"C"&amp;$A76))</f>
        <v>0</v>
      </c>
      <c r="BF76" s="7">
        <f>-IF(RTD("tos.rtd",,BF$2,"."&amp;$A$43&amp;$AW$1&amp;"P"&amp;$A76)="N/A",0,RTD("tos.rtd",,BF$2,"."&amp;$A$43&amp;$AW$1&amp;"P"&amp;$A76))</f>
        <v>0</v>
      </c>
      <c r="BG76" s="32">
        <f ca="1">+Hoja2!Y77</f>
        <v>-580</v>
      </c>
      <c r="BH76" s="7">
        <f t="shared" ca="1" si="277"/>
        <v>-3705</v>
      </c>
      <c r="BI76" s="8" t="str">
        <f t="shared" ca="1" si="295"/>
        <v/>
      </c>
      <c r="BJ76" s="83">
        <f ca="1">IF($BP$1=1,DX76,IF(RTD("tos.rtd",,BJ$43,"."&amp;$A$43&amp;$AS$42&amp;"C"&amp;$A76)="N/A",0,RTD("tos.rtd",,BJ$43,"."&amp;$A$43&amp;$AS$42&amp;"C"&amp;$A76)))</f>
        <v>2.4027760351135053E-26</v>
      </c>
      <c r="BK76" s="83">
        <f ca="1">IF($BP$1=1,DY76,-IF(RTD("tos.rtd",,BK$43,"."&amp;$A$43&amp;$AS$42&amp;"P"&amp;$A76)="N/A",0,RTD("tos.rtd",,BK$43,"."&amp;$A$43&amp;$AS$42&amp;"P"&amp;$A76)))</f>
        <v>-9.4430471235365711E-3</v>
      </c>
      <c r="BL76" s="83">
        <f ca="1">IF($BP$1=1,DZ76,IF(RTD("tos.rtd",,BL$2,"."&amp;$A$43&amp;$AU$1&amp;"C"&amp;$A76)="N/A",0,RTD("tos.rtd",,BL$2,"."&amp;$A$43&amp;$AU$1&amp;"C"&amp;$A76)))</f>
        <v>1.3664648034326444E-2</v>
      </c>
      <c r="BM76" s="83">
        <f ca="1">IF($BP$1=1,EA76,-IF(RTD("tos.rtd",,BM$2,"."&amp;$A$43&amp;$AU$1&amp;"P"&amp;$A76)="N/A",0,RTD("tos.rtd",,BM$2,"."&amp;$A$43&amp;$AU$1&amp;"P"&amp;$A76)))</f>
        <v>-1.3746134468634645E-2</v>
      </c>
      <c r="BN76" s="83">
        <f ca="1">IF($BP$1=1,EB76,IF(RTD("tos.rtd",,BN$2,"."&amp;$A$43&amp;$AW$1&amp;"C"&amp;$A76)="N/A",0,RTD("tos.rtd",,BN$2,"."&amp;$A$43&amp;$AW$1&amp;"C"&amp;$A76)))</f>
        <v>1.3640400856520643E-2</v>
      </c>
      <c r="BO76" s="83">
        <f ca="1">IF($BP$1=1,EC76,-IF(RTD("tos.rtd",,BO$2,"."&amp;$A$43&amp;$AW$1&amp;"P"&amp;$A76)="N/A",0,RTD("tos.rtd",,BO$2,"."&amp;$A$43&amp;$AW$1&amp;"P"&amp;$A76)))</f>
        <v>-1.3640400856520643E-2</v>
      </c>
      <c r="BQ76" s="83">
        <f t="shared" ca="1" si="278"/>
        <v>-1995592.6706111126</v>
      </c>
      <c r="BR76" s="3" t="str">
        <f t="shared" ca="1" si="279"/>
        <v/>
      </c>
      <c r="BS76" s="83">
        <f t="shared" ca="1" si="280"/>
        <v>1730518.5123801893</v>
      </c>
      <c r="BT76" s="3" t="str">
        <f t="shared" ca="1" si="281"/>
        <v/>
      </c>
      <c r="BU76" s="83">
        <f t="shared" ca="1" si="282"/>
        <v>0</v>
      </c>
      <c r="BV76" s="83"/>
      <c r="BX76" s="83">
        <f t="shared" ca="1" si="283"/>
        <v>-9247868.4735636935</v>
      </c>
      <c r="BY76" s="83" t="str">
        <f t="shared" ca="1" si="296"/>
        <v/>
      </c>
      <c r="BZ76" s="83">
        <f t="shared" ca="1" si="284"/>
        <v>-4222637.4405816225</v>
      </c>
      <c r="CA76" s="83" t="str">
        <f t="shared" ca="1" si="296"/>
        <v/>
      </c>
      <c r="CB76" s="83">
        <f t="shared" ca="1" si="285"/>
        <v>0</v>
      </c>
      <c r="CC76" s="83" t="str">
        <f t="shared" ca="1" si="296"/>
        <v/>
      </c>
      <c r="CD76" s="83">
        <f>IF(RTD("tos.rtd",,CD$43,"."&amp;$A$43&amp;$AS$42&amp;"C"&amp;$A76)="N/A",0,RTD("tos.rtd",,CD$43,"."&amp;$A$43&amp;$AS$42&amp;"C"&amp;$A76))</f>
        <v>1</v>
      </c>
      <c r="CE76" s="83">
        <f>-IF(RTD("tos.rtd",,CE$43,"."&amp;$A$43&amp;$AS$42&amp;"P"&amp;$A76)="N/A",0,RTD("tos.rtd",,CE$43,"."&amp;$A$43&amp;$AS$42&amp;"P"&amp;$A76))</f>
        <v>0</v>
      </c>
      <c r="CF76" s="83">
        <f>IF(RTD("tos.rtd",,CF$2,"."&amp;$A$43&amp;$AU$1&amp;"C"&amp;$A76)="N/A",0,RTD("tos.rtd",,CF$2,"."&amp;$A$43&amp;$AU$1&amp;"C"&amp;$A76))</f>
        <v>0.9</v>
      </c>
      <c r="CG76" s="83">
        <f>-IF(RTD("tos.rtd",,CG$2,"."&amp;$A$43&amp;$AU$1&amp;"P"&amp;$A76)="N/A",0,RTD("tos.rtd",,CG$2,"."&amp;$A$43&amp;$AU$1&amp;"P"&amp;$A76))</f>
        <v>0.11</v>
      </c>
      <c r="CH76" s="83">
        <f>IF(RTD("tos.rtd",,CH$2,"."&amp;$A$43&amp;$AW$1&amp;"C"&amp;$A76)="N/A",0,RTD("tos.rtd",,CH$2,"."&amp;$A$43&amp;$AW$1&amp;"C"&amp;$A76))</f>
        <v>0</v>
      </c>
      <c r="CI76" s="83">
        <f>-IF(RTD("tos.rtd",,CI$2,"."&amp;$A$43&amp;$AW$1&amp;"P"&amp;$A76)="N/A",0,RTD("tos.rtd",,CI$2,"."&amp;$A$43&amp;$AW$1&amp;"P"&amp;$A76))</f>
        <v>0</v>
      </c>
      <c r="CK76" s="83">
        <f t="shared" si="286"/>
        <v>312400</v>
      </c>
      <c r="CL76" s="83"/>
      <c r="CM76" s="83">
        <f t="shared" si="287"/>
        <v>105628</v>
      </c>
      <c r="CN76" s="83"/>
      <c r="CO76" s="83">
        <f t="shared" si="288"/>
        <v>0</v>
      </c>
      <c r="CP76" s="83">
        <f t="shared" si="235"/>
        <v>418028</v>
      </c>
      <c r="CQ76" s="83">
        <f t="shared" si="249"/>
        <v>-1937</v>
      </c>
      <c r="CR76" s="83"/>
      <c r="CS76" s="83">
        <f t="shared" si="250"/>
        <v>-1188</v>
      </c>
      <c r="CT76" s="83"/>
      <c r="CU76" s="83">
        <f t="shared" si="251"/>
        <v>0</v>
      </c>
      <c r="CV76" s="83"/>
      <c r="CW76" s="83">
        <f t="shared" ca="1" si="252"/>
        <v>-265074.15823092335</v>
      </c>
      <c r="CY76" s="83">
        <f t="shared" ca="1" si="253"/>
        <v>-13470505.914145317</v>
      </c>
      <c r="CZ76" s="70" t="str">
        <f t="shared" ca="1" si="297"/>
        <v/>
      </c>
      <c r="DA76" s="83">
        <f>IF(RTD("tos.rtd",,DA$43,"."&amp;$A$43&amp;$AS$42&amp;"C"&amp;$A76)="N/A",0,RTD("tos.rtd",,DA$43,"."&amp;$A$43&amp;$AS$42&amp;"C"&amp;$A76))</f>
        <v>16.850000000000001</v>
      </c>
      <c r="DB76" s="83">
        <f>IF(RTD("tos.rtd",,DB$43,"."&amp;$A$43&amp;$AS$42&amp;"P"&amp;$A76)="N/A",0,RTD("tos.rtd",,DB$43,"."&amp;$A$43&amp;$AS$42&amp;"P"&amp;$A76))</f>
        <v>0.01</v>
      </c>
      <c r="DC76" s="83">
        <f>IF(RTD("tos.rtd",,DC$43,"."&amp;$A$43&amp;$AS$42&amp;"C"&amp;$A76)="N/A",0,RTD("tos.rtd",,DC$43,"."&amp;$A$43&amp;$AS$42&amp;"C"&amp;$A76))</f>
        <v>16.72</v>
      </c>
      <c r="DD76" s="83">
        <f>IF(RTD("tos.rtd",,DD$43,"."&amp;$A$43&amp;$AS$42&amp;"P"&amp;$A76)="N/A",0,RTD("tos.rtd",,DD$43,"."&amp;$A$43&amp;$AS$42&amp;"P"&amp;$A76))</f>
        <v>0.01</v>
      </c>
      <c r="DE76" s="83">
        <f>IF(RTD("tos.rtd",,DE$43,"."&amp;$A$43&amp;$AS$42&amp;"C"&amp;$A76)="N/A",0,RTD("tos.rtd",,DE$43,"."&amp;$A$43&amp;$AS$42&amp;"C"&amp;$A76))</f>
        <v>16.41</v>
      </c>
      <c r="DF76" s="83">
        <f>IF(RTD("tos.rtd",,DF$43,"."&amp;$A$43&amp;$AS$42&amp;"P"&amp;$A76)="N/A",0,RTD("tos.rtd",,DF$43,"."&amp;$A$43&amp;$AS$42&amp;"P"&amp;$A76))</f>
        <v>0</v>
      </c>
      <c r="DG76" s="86">
        <f t="shared" si="289"/>
        <v>-16.660000000000025</v>
      </c>
      <c r="DH76" s="83">
        <f t="shared" si="254"/>
        <v>0</v>
      </c>
      <c r="DI76" s="83">
        <f t="shared" si="255"/>
        <v>0</v>
      </c>
      <c r="DJ76" s="83">
        <f t="shared" si="256"/>
        <v>0</v>
      </c>
      <c r="DK76" s="83">
        <f t="shared" si="257"/>
        <v>0</v>
      </c>
      <c r="DL76" s="83">
        <f t="shared" si="258"/>
        <v>0</v>
      </c>
      <c r="DM76" s="83">
        <f t="shared" si="259"/>
        <v>0</v>
      </c>
      <c r="DN76" s="64" t="str">
        <f t="shared" si="260"/>
        <v>UNKNOWN</v>
      </c>
      <c r="DO76" s="64" t="str">
        <f t="shared" si="261"/>
        <v>UNKNOWN</v>
      </c>
      <c r="DP76" s="83">
        <f t="shared" si="262"/>
        <v>0</v>
      </c>
      <c r="DQ76" s="83">
        <f t="shared" si="263"/>
        <v>0</v>
      </c>
      <c r="DR76" s="83">
        <f t="shared" ca="1" si="264"/>
        <v>0</v>
      </c>
      <c r="DS76" s="83">
        <f t="shared" si="265"/>
        <v>0</v>
      </c>
      <c r="DT76" s="83">
        <f t="shared" si="290"/>
        <v>0</v>
      </c>
      <c r="DU76" s="83">
        <f t="shared" si="291"/>
        <v>0</v>
      </c>
      <c r="DV76" s="83">
        <f t="shared" si="266"/>
        <v>443</v>
      </c>
      <c r="DW76" s="83">
        <f t="shared" si="267"/>
        <v>518</v>
      </c>
      <c r="DX76" s="83">
        <f t="shared" ca="1" si="406"/>
        <v>2.4027760351135053E-26</v>
      </c>
      <c r="DY76" s="83">
        <f t="shared" ca="1" si="407"/>
        <v>-9.4430471235365711E-3</v>
      </c>
      <c r="DZ76" s="83">
        <f t="shared" ca="1" si="408"/>
        <v>1.3664648034326444E-2</v>
      </c>
      <c r="EA76" s="83">
        <f t="shared" ca="1" si="409"/>
        <v>-1.3746134468634645E-2</v>
      </c>
      <c r="EB76" s="83">
        <f t="shared" ca="1" si="410"/>
        <v>1.3640400856520643E-2</v>
      </c>
      <c r="EC76" s="83">
        <f t="shared" ca="1" si="411"/>
        <v>-1.3640400856520643E-2</v>
      </c>
      <c r="ED76" s="63">
        <f t="shared" si="292"/>
        <v>961</v>
      </c>
      <c r="EE76" s="84">
        <f t="shared" si="268"/>
        <v>0.25</v>
      </c>
      <c r="EF76" s="84">
        <f t="shared" si="269"/>
        <v>1.5931999999999999</v>
      </c>
      <c r="EG76" s="84">
        <f t="shared" si="270"/>
        <v>0.25219999999999998</v>
      </c>
      <c r="EH76" s="84">
        <f t="shared" si="271"/>
        <v>0.26279999999999998</v>
      </c>
      <c r="EI76" s="84">
        <f t="shared" si="272"/>
        <v>0.25</v>
      </c>
      <c r="EJ76" s="84">
        <f t="shared" si="273"/>
        <v>0.25</v>
      </c>
      <c r="EK76" s="63">
        <f t="shared" ca="1" si="293"/>
        <v>-1260630.4919226298</v>
      </c>
      <c r="EL76" s="83" t="str">
        <f>RTD("tos.rtd",,EL$43,"."&amp;$A$43&amp;$AS$42&amp;"C"&amp;$A76)</f>
        <v>--</v>
      </c>
      <c r="EM76" s="83" t="str">
        <f>RTD("tos.rtd",,EM$43,"."&amp;$A$43&amp;$AS$42&amp;"P"&amp;$A76)</f>
        <v>159.32%</v>
      </c>
      <c r="EN76" s="83" t="str">
        <f>RTD("tos.rtd",,EN$2,"."&amp;$A$43&amp;$AU$1&amp;"C"&amp;$A76)</f>
        <v>25.22%</v>
      </c>
      <c r="EO76" s="83" t="str">
        <f>RTD("tos.rtd",,EO$2,"."&amp;$A$43&amp;$AU$1&amp;"P"&amp;$A76)</f>
        <v>26.28%</v>
      </c>
      <c r="EP76" s="83" t="str">
        <f>RTD("tos.rtd",,EP$2,"."&amp;$A$43&amp;$AW$1&amp;"C"&amp;$A76)</f>
        <v>N/A</v>
      </c>
      <c r="EQ76" s="83" t="str">
        <f>RTD("tos.rtd",,EQ$2,"."&amp;$A$43&amp;$AW$1&amp;"P"&amp;$A76)</f>
        <v>N/A</v>
      </c>
      <c r="ES76" s="63" t="str">
        <f t="shared" si="274"/>
        <v>491,961.00</v>
      </c>
      <c r="ET76" s="63" t="str">
        <f t="shared" ca="1" si="275"/>
        <v>491,-13470.51</v>
      </c>
      <c r="EU76" s="68">
        <v>571.01</v>
      </c>
      <c r="EV76" s="68" t="s">
        <v>627</v>
      </c>
      <c r="EW76" s="68">
        <v>495.74</v>
      </c>
      <c r="EX76" s="68" t="s">
        <v>628</v>
      </c>
      <c r="EY76" s="68">
        <v>5659.91</v>
      </c>
      <c r="EZ76" s="68" t="s">
        <v>629</v>
      </c>
      <c r="FA76" s="68">
        <v>20061.449000000001</v>
      </c>
      <c r="FB76" s="68" t="s">
        <v>630</v>
      </c>
      <c r="FC76" s="68" t="s">
        <v>631</v>
      </c>
      <c r="FD76" s="68" t="s">
        <v>632</v>
      </c>
      <c r="FE76" s="68" t="s">
        <v>633</v>
      </c>
      <c r="FF76" s="68" t="s">
        <v>634</v>
      </c>
    </row>
    <row r="77" spans="1:162" ht="13.5" thickBot="1" x14ac:dyDescent="0.25">
      <c r="A77" s="2">
        <f t="shared" si="294"/>
        <v>490</v>
      </c>
      <c r="B77" s="3">
        <f t="shared" si="241"/>
        <v>6364</v>
      </c>
      <c r="C77" s="3">
        <f t="shared" si="412"/>
        <v>79956</v>
      </c>
      <c r="D77" s="3">
        <f t="shared" si="243"/>
        <v>57903</v>
      </c>
      <c r="E77" s="3">
        <f t="shared" si="244"/>
        <v>144223</v>
      </c>
      <c r="F77" s="4">
        <f t="shared" si="298"/>
        <v>20215.178465902372</v>
      </c>
      <c r="AM77" s="1">
        <v>773</v>
      </c>
      <c r="AN77" s="1">
        <v>-533</v>
      </c>
      <c r="AO77" s="1">
        <v>490</v>
      </c>
      <c r="AP77" s="1">
        <v>3389</v>
      </c>
      <c r="AQ77" s="1">
        <v>-11881</v>
      </c>
      <c r="AS77" s="6">
        <f>IF(RTD("tos.rtd",,AS$43,"."&amp;$A$43&amp;$AS$42&amp;"C"&amp;$A77)="N/A",0,RTD("tos.rtd",,AS$43,"."&amp;$A$43&amp;$AS$42&amp;"C"&amp;$A77))</f>
        <v>3706</v>
      </c>
      <c r="AT77" s="7">
        <f>-IF(RTD("tos.rtd",,AT$43,"."&amp;$A$43&amp;$AS$42&amp;"P"&amp;$A77)="N/A",0,RTD("tos.rtd",,AT$43,"."&amp;$A$43&amp;$AS$42&amp;"P"&amp;$A77))</f>
        <v>-2658</v>
      </c>
      <c r="AU77" s="6">
        <f>IF(RTD("tos.rtd",,AU$2,"."&amp;$A$43&amp;$AU$1&amp;"C"&amp;$A77)="N/A",0,RTD("tos.rtd",,AU$2,"."&amp;$A$43&amp;$AU$1&amp;"C"&amp;$A77))</f>
        <v>64949</v>
      </c>
      <c r="AV77" s="7">
        <f>-IF(RTD("tos.rtd",,AV$2,"."&amp;$A$43&amp;$AU$1&amp;"P"&amp;$A77)="N/A",0,RTD("tos.rtd",,AV$2,"."&amp;$A$43&amp;$AU$1&amp;"P"&amp;$A77))</f>
        <v>-15007</v>
      </c>
      <c r="AW77" s="6">
        <f>IF(RTD("tos.rtd",,AW$2,"."&amp;$A$43&amp;$AW$1&amp;"C"&amp;$A77)="N/A",0,RTD("tos.rtd",,AW$2,"."&amp;$A$43&amp;$AW$1&amp;"C"&amp;$A77))</f>
        <v>25084</v>
      </c>
      <c r="AX77" s="7">
        <f>-IF(RTD("tos.rtd",,AX$2,"."&amp;$A$43&amp;$AW$1&amp;"P"&amp;$A77)="N/A",0,RTD("tos.rtd",,AX$2,"."&amp;$A$43&amp;$AW$1&amp;"P"&amp;$A77))</f>
        <v>-32819</v>
      </c>
      <c r="AY77" s="7">
        <f t="shared" si="276"/>
        <v>43255</v>
      </c>
      <c r="AZ77" s="8">
        <f t="shared" si="245"/>
        <v>490</v>
      </c>
      <c r="BA77" s="6">
        <f>IF(RTD("tos.rtd",,BA$43,"."&amp;$A$43&amp;$AS$42&amp;"C"&amp;$A77)="N/A",0,RTD("tos.rtd",,BA$43,"."&amp;$A$43&amp;$AS$42&amp;"C"&amp;$A77))</f>
        <v>3491</v>
      </c>
      <c r="BB77" s="7">
        <f>-IF(RTD("tos.rtd",,BB$43,"."&amp;$A$43&amp;$AS$42&amp;"P"&amp;$A77)="N/A",0,RTD("tos.rtd",,BB$43,"."&amp;$A$43&amp;$AS$42&amp;"P"&amp;$A77))</f>
        <v>-11881</v>
      </c>
      <c r="BC77" s="6">
        <f>IF(RTD("tos.rtd",,BC$2,"."&amp;$A$43&amp;$AU$1&amp;"C"&amp;$A77)="N/A",0,RTD("tos.rtd",,BC$2,"."&amp;$A$43&amp;$AU$1&amp;"C"&amp;$A77))</f>
        <v>9904</v>
      </c>
      <c r="BD77" s="7">
        <f>-IF(RTD("tos.rtd",,BD$2,"."&amp;$A$43&amp;$AU$1&amp;"P"&amp;$A77)="N/A",0,RTD("tos.rtd",,BD$2,"."&amp;$A$43&amp;$AU$1&amp;"P"&amp;$A77))</f>
        <v>-24459</v>
      </c>
      <c r="BE77" s="6">
        <f>IF(RTD("tos.rtd",,BE$2,"."&amp;$A$43&amp;$AW$1&amp;"C"&amp;$A77)="N/A",0,RTD("tos.rtd",,BE$2,"."&amp;$A$43&amp;$AW$1&amp;"C"&amp;$A77))</f>
        <v>6621</v>
      </c>
      <c r="BF77" s="7">
        <f>-IF(RTD("tos.rtd",,BF$2,"."&amp;$A$43&amp;$AW$1&amp;"P"&amp;$A77)="N/A",0,RTD("tos.rtd",,BF$2,"."&amp;$A$43&amp;$AW$1&amp;"P"&amp;$A77))</f>
        <v>-9244</v>
      </c>
      <c r="BG77" s="32">
        <f ca="1">+Hoja2!Y78</f>
        <v>-21441</v>
      </c>
      <c r="BH77" s="7">
        <f t="shared" ca="1" si="277"/>
        <v>-47009</v>
      </c>
      <c r="BI77" s="8" t="str">
        <f t="shared" ca="1" si="295"/>
        <v/>
      </c>
      <c r="BJ77" s="83">
        <f ca="1">IF($BP$1=1,DX77,IF(RTD("tos.rtd",,BJ$43,"."&amp;$A$43&amp;$AS$42&amp;"C"&amp;$A77)="N/A",0,RTD("tos.rtd",,BJ$43,"."&amp;$A$43&amp;$AS$42&amp;"C"&amp;$A77)))</f>
        <v>1.7012967978948932E-29</v>
      </c>
      <c r="BK77" s="83">
        <f ca="1">IF($BP$1=1,DY77,-IF(RTD("tos.rtd",,BK$43,"."&amp;$A$43&amp;$AS$42&amp;"P"&amp;$A77)="N/A",0,RTD("tos.rtd",,BK$43,"."&amp;$A$43&amp;$AS$42&amp;"P"&amp;$A77)))</f>
        <v>-8.797729352796527E-3</v>
      </c>
      <c r="BL77" s="83">
        <f ca="1">IF($BP$1=1,DZ77,IF(RTD("tos.rtd",,BL$2,"."&amp;$A$43&amp;$AU$1&amp;"C"&amp;$A77)="N/A",0,RTD("tos.rtd",,BL$2,"."&amp;$A$43&amp;$AU$1&amp;"C"&amp;$A77)))</f>
        <v>1.2673160596123273E-2</v>
      </c>
      <c r="BM77" s="83">
        <f ca="1">IF($BP$1=1,EA77,-IF(RTD("tos.rtd",,BM$2,"."&amp;$A$43&amp;$AU$1&amp;"P"&amp;$A77)="N/A",0,RTD("tos.rtd",,BM$2,"."&amp;$A$43&amp;$AU$1&amp;"P"&amp;$A77)))</f>
        <v>-1.2861882290983158E-2</v>
      </c>
      <c r="BN77" s="83">
        <f ca="1">IF($BP$1=1,EB77,IF(RTD("tos.rtd",,BN$2,"."&amp;$A$43&amp;$AW$1&amp;"C"&amp;$A77)="N/A",0,RTD("tos.rtd",,BN$2,"."&amp;$A$43&amp;$AW$1&amp;"C"&amp;$A77)))</f>
        <v>1.196469364399614E-2</v>
      </c>
      <c r="BO77" s="83">
        <f ca="1">IF($BP$1=1,EC77,-IF(RTD("tos.rtd",,BO$2,"."&amp;$A$43&amp;$AW$1&amp;"P"&amp;$A77)="N/A",0,RTD("tos.rtd",,BO$2,"."&amp;$A$43&amp;$AW$1&amp;"P"&amp;$A77)))</f>
        <v>-1.1783524143575249E-2</v>
      </c>
      <c r="BQ77" s="83">
        <f t="shared" ca="1" si="278"/>
        <v>-6026587.4795451304</v>
      </c>
      <c r="BR77" s="3" t="str">
        <f t="shared" ca="1" si="279"/>
        <v/>
      </c>
      <c r="BS77" s="83">
        <f t="shared" ca="1" si="280"/>
        <v>162386176.79682794</v>
      </c>
      <c r="BT77" s="3" t="str">
        <f t="shared" ca="1" si="281"/>
        <v/>
      </c>
      <c r="BU77" s="83">
        <f t="shared" ca="1" si="282"/>
        <v>-22318721.700033173</v>
      </c>
      <c r="BV77" s="83"/>
      <c r="BX77" s="83">
        <f t="shared" ca="1" si="283"/>
        <v>-26938256.52538589</v>
      </c>
      <c r="BY77" s="83" t="str">
        <f t="shared" ca="1" si="296"/>
        <v/>
      </c>
      <c r="BZ77" s="83">
        <f t="shared" ca="1" si="284"/>
        <v>-48727848.401746176</v>
      </c>
      <c r="CA77" s="83" t="str">
        <f t="shared" ca="1" si="296"/>
        <v/>
      </c>
      <c r="CB77" s="83">
        <f t="shared" ca="1" si="285"/>
        <v>-7656476.6549996585</v>
      </c>
      <c r="CC77" s="83" t="str">
        <f t="shared" ca="1" si="296"/>
        <v/>
      </c>
      <c r="CD77" s="83">
        <f>IF(RTD("tos.rtd",,CD$43,"."&amp;$A$43&amp;$AS$42&amp;"C"&amp;$A77)="N/A",0,RTD("tos.rtd",,CD$43,"."&amp;$A$43&amp;$AS$42&amp;"C"&amp;$A77))</f>
        <v>1</v>
      </c>
      <c r="CE77" s="83">
        <f>-IF(RTD("tos.rtd",,CE$43,"."&amp;$A$43&amp;$AS$42&amp;"P"&amp;$A77)="N/A",0,RTD("tos.rtd",,CE$43,"."&amp;$A$43&amp;$AS$42&amp;"P"&amp;$A77))</f>
        <v>0</v>
      </c>
      <c r="CF77" s="83">
        <f>IF(RTD("tos.rtd",,CF$2,"."&amp;$A$43&amp;$AU$1&amp;"C"&amp;$A77)="N/A",0,RTD("tos.rtd",,CF$2,"."&amp;$A$43&amp;$AU$1&amp;"C"&amp;$A77))</f>
        <v>0.92</v>
      </c>
      <c r="CG77" s="83">
        <f>-IF(RTD("tos.rtd",,CG$2,"."&amp;$A$43&amp;$AU$1&amp;"P"&amp;$A77)="N/A",0,RTD("tos.rtd",,CG$2,"."&amp;$A$43&amp;$AU$1&amp;"P"&amp;$A77))</f>
        <v>0.1</v>
      </c>
      <c r="CH77" s="83">
        <f>IF(RTD("tos.rtd",,CH$2,"."&amp;$A$43&amp;$AW$1&amp;"C"&amp;$A77)="N/A",0,RTD("tos.rtd",,CH$2,"."&amp;$A$43&amp;$AW$1&amp;"C"&amp;$A77))</f>
        <v>0.72</v>
      </c>
      <c r="CI77" s="83">
        <f>-IF(RTD("tos.rtd",,CI$2,"."&amp;$A$43&amp;$AW$1&amp;"P"&amp;$A77)="N/A",0,RTD("tos.rtd",,CI$2,"."&amp;$A$43&amp;$AW$1&amp;"P"&amp;$A77))</f>
        <v>0.28000000000000003</v>
      </c>
      <c r="CK77" s="83">
        <f t="shared" si="286"/>
        <v>370600</v>
      </c>
      <c r="CL77" s="83"/>
      <c r="CM77" s="83">
        <f t="shared" si="287"/>
        <v>5825238</v>
      </c>
      <c r="CN77" s="83"/>
      <c r="CO77" s="83">
        <f t="shared" si="288"/>
        <v>887115.99999999988</v>
      </c>
      <c r="CP77" s="83">
        <f t="shared" si="235"/>
        <v>7082954</v>
      </c>
      <c r="CQ77" s="83">
        <f t="shared" si="249"/>
        <v>-8390</v>
      </c>
      <c r="CR77" s="83"/>
      <c r="CS77" s="83">
        <f t="shared" si="250"/>
        <v>-14555</v>
      </c>
      <c r="CT77" s="83"/>
      <c r="CU77" s="83">
        <f t="shared" si="251"/>
        <v>-2623</v>
      </c>
      <c r="CV77" s="83"/>
      <c r="CW77" s="83">
        <f t="shared" ca="1" si="252"/>
        <v>134040867.61724965</v>
      </c>
      <c r="CY77" s="83">
        <f t="shared" ca="1" si="253"/>
        <v>-83322581.582131729</v>
      </c>
      <c r="CZ77" s="70" t="str">
        <f t="shared" ca="1" si="297"/>
        <v/>
      </c>
      <c r="DA77" s="83">
        <f>IF(RTD("tos.rtd",,DA$43,"."&amp;$A$43&amp;$AS$42&amp;"C"&amp;$A77)="N/A",0,RTD("tos.rtd",,DA$43,"."&amp;$A$43&amp;$AS$42&amp;"C"&amp;$A77))</f>
        <v>17.690000000000001</v>
      </c>
      <c r="DB77" s="83">
        <f>IF(RTD("tos.rtd",,DB$43,"."&amp;$A$43&amp;$AS$42&amp;"P"&amp;$A77)="N/A",0,RTD("tos.rtd",,DB$43,"."&amp;$A$43&amp;$AS$42&amp;"P"&amp;$A77))</f>
        <v>0.01</v>
      </c>
      <c r="DC77" s="83">
        <f>IF(RTD("tos.rtd",,DC$43,"."&amp;$A$43&amp;$AS$42&amp;"C"&amp;$A77)="N/A",0,RTD("tos.rtd",,DC$43,"."&amp;$A$43&amp;$AS$42&amp;"C"&amp;$A77))</f>
        <v>17.690000000000001</v>
      </c>
      <c r="DD77" s="83">
        <f>IF(RTD("tos.rtd",,DD$43,"."&amp;$A$43&amp;$AS$42&amp;"P"&amp;$A77)="N/A",0,RTD("tos.rtd",,DD$43,"."&amp;$A$43&amp;$AS$42&amp;"P"&amp;$A77))</f>
        <v>0.01</v>
      </c>
      <c r="DE77" s="83">
        <f>IF(RTD("tos.rtd",,DE$43,"."&amp;$A$43&amp;$AS$42&amp;"C"&amp;$A77)="N/A",0,RTD("tos.rtd",,DE$43,"."&amp;$A$43&amp;$AS$42&amp;"C"&amp;$A77))</f>
        <v>17.41</v>
      </c>
      <c r="DF77" s="83">
        <f>IF(RTD("tos.rtd",,DF$43,"."&amp;$A$43&amp;$AS$42&amp;"P"&amp;$A77)="N/A",0,RTD("tos.rtd",,DF$43,"."&amp;$A$43&amp;$AS$42&amp;"P"&amp;$A77))</f>
        <v>0</v>
      </c>
      <c r="DG77" s="86">
        <f t="shared" si="289"/>
        <v>-17.660000000000025</v>
      </c>
      <c r="DH77" s="83">
        <f t="shared" si="254"/>
        <v>102</v>
      </c>
      <c r="DI77" s="83">
        <f t="shared" si="255"/>
        <v>0</v>
      </c>
      <c r="DJ77" s="83">
        <f t="shared" si="256"/>
        <v>102</v>
      </c>
      <c r="DK77" s="83">
        <f t="shared" si="257"/>
        <v>0</v>
      </c>
      <c r="DL77" s="83">
        <f t="shared" si="258"/>
        <v>102</v>
      </c>
      <c r="DM77" s="83">
        <f t="shared" si="259"/>
        <v>102</v>
      </c>
      <c r="DN77" s="64" t="str">
        <f t="shared" si="260"/>
        <v>BUY</v>
      </c>
      <c r="DO77" s="64" t="str">
        <f t="shared" si="261"/>
        <v>UNKNOWN</v>
      </c>
      <c r="DP77" s="83">
        <f t="shared" si="262"/>
        <v>1804.38</v>
      </c>
      <c r="DQ77" s="83">
        <f t="shared" si="263"/>
        <v>1804.38</v>
      </c>
      <c r="DR77" s="83">
        <f t="shared" ca="1" si="264"/>
        <v>1.735322733852791E-27</v>
      </c>
      <c r="DS77" s="83">
        <f t="shared" si="265"/>
        <v>102</v>
      </c>
      <c r="DT77" s="83">
        <f t="shared" si="290"/>
        <v>102</v>
      </c>
      <c r="DU77" s="83">
        <f t="shared" si="291"/>
        <v>0</v>
      </c>
      <c r="DV77" s="83">
        <f t="shared" si="266"/>
        <v>875</v>
      </c>
      <c r="DW77" s="83">
        <f t="shared" si="267"/>
        <v>-533</v>
      </c>
      <c r="DX77" s="83">
        <f t="shared" ca="1" si="406"/>
        <v>1.7012967978948932E-29</v>
      </c>
      <c r="DY77" s="83">
        <f t="shared" ca="1" si="407"/>
        <v>-8.797729352796527E-3</v>
      </c>
      <c r="DZ77" s="83">
        <f t="shared" ca="1" si="408"/>
        <v>1.2673160596123273E-2</v>
      </c>
      <c r="EA77" s="83">
        <f t="shared" ca="1" si="409"/>
        <v>-1.2861882290983158E-2</v>
      </c>
      <c r="EB77" s="83">
        <f t="shared" ca="1" si="410"/>
        <v>1.196469364399614E-2</v>
      </c>
      <c r="EC77" s="83">
        <f t="shared" ca="1" si="411"/>
        <v>-1.1783524143575249E-2</v>
      </c>
      <c r="ED77" s="63">
        <f t="shared" si="292"/>
        <v>342</v>
      </c>
      <c r="EE77" s="84">
        <f t="shared" si="268"/>
        <v>0.25</v>
      </c>
      <c r="EF77" s="84">
        <f t="shared" si="269"/>
        <v>1.681</v>
      </c>
      <c r="EG77" s="84">
        <f t="shared" si="270"/>
        <v>0.25169999999999998</v>
      </c>
      <c r="EH77" s="84">
        <f t="shared" si="271"/>
        <v>0.2656</v>
      </c>
      <c r="EI77" s="84">
        <f t="shared" si="272"/>
        <v>0.2248</v>
      </c>
      <c r="EJ77" s="84">
        <f t="shared" si="273"/>
        <v>0.22009999999999999</v>
      </c>
      <c r="EK77" s="63">
        <f t="shared" ca="1" si="293"/>
        <v>1208491.770728952</v>
      </c>
      <c r="EL77" s="83" t="str">
        <f>RTD("tos.rtd",,EL$43,"."&amp;$A$43&amp;$AS$42&amp;"C"&amp;$A77)</f>
        <v>--</v>
      </c>
      <c r="EM77" s="83" t="str">
        <f>RTD("tos.rtd",,EM$43,"."&amp;$A$43&amp;$AS$42&amp;"P"&amp;$A77)</f>
        <v>168.10%</v>
      </c>
      <c r="EN77" s="83" t="str">
        <f>RTD("tos.rtd",,EN$2,"."&amp;$A$43&amp;$AU$1&amp;"C"&amp;$A77)</f>
        <v>25.17%</v>
      </c>
      <c r="EO77" s="83" t="str">
        <f>RTD("tos.rtd",,EO$2,"."&amp;$A$43&amp;$AU$1&amp;"P"&amp;$A77)</f>
        <v>26.56%</v>
      </c>
      <c r="EP77" s="83" t="str">
        <f>RTD("tos.rtd",,EP$2,"."&amp;$A$43&amp;$AW$1&amp;"C"&amp;$A77)</f>
        <v>22.48%</v>
      </c>
      <c r="EQ77" s="83" t="str">
        <f>RTD("tos.rtd",,EQ$2,"."&amp;$A$43&amp;$AW$1&amp;"P"&amp;$A77)</f>
        <v>22.01%</v>
      </c>
      <c r="ES77" s="63" t="str">
        <f t="shared" si="274"/>
        <v>490,342.00</v>
      </c>
      <c r="ET77" s="63" t="str">
        <f t="shared" ca="1" si="275"/>
        <v>490,-83322.58</v>
      </c>
      <c r="EU77" s="68">
        <v>571.08000000000004</v>
      </c>
      <c r="EV77" s="68" t="s">
        <v>635</v>
      </c>
      <c r="EW77" s="68">
        <v>495.75</v>
      </c>
      <c r="EX77" s="68" t="s">
        <v>636</v>
      </c>
      <c r="EY77" s="68">
        <v>5659.91</v>
      </c>
      <c r="EZ77" s="68" t="s">
        <v>637</v>
      </c>
      <c r="FA77" s="68">
        <v>20061.449000000001</v>
      </c>
      <c r="FB77" s="68" t="s">
        <v>638</v>
      </c>
      <c r="FC77" s="68" t="s">
        <v>639</v>
      </c>
      <c r="FD77" s="68" t="s">
        <v>640</v>
      </c>
      <c r="FE77" s="68" t="s">
        <v>641</v>
      </c>
      <c r="FF77" s="68" t="s">
        <v>642</v>
      </c>
    </row>
    <row r="78" spans="1:162" ht="13.5" thickBot="1" x14ac:dyDescent="0.25">
      <c r="A78" s="2">
        <f t="shared" si="294"/>
        <v>489</v>
      </c>
      <c r="B78" s="3">
        <f t="shared" si="241"/>
        <v>6616</v>
      </c>
      <c r="C78" s="3">
        <f t="shared" si="412"/>
        <v>2049</v>
      </c>
      <c r="D78" s="3">
        <f t="shared" si="243"/>
        <v>0</v>
      </c>
      <c r="E78" s="3">
        <f t="shared" si="244"/>
        <v>8665</v>
      </c>
      <c r="F78" s="4">
        <f t="shared" si="298"/>
        <v>20173.922999645431</v>
      </c>
      <c r="AM78" s="1">
        <v>-756</v>
      </c>
      <c r="AN78" s="1">
        <v>-317</v>
      </c>
      <c r="AO78" s="1">
        <v>489</v>
      </c>
      <c r="AP78" s="1">
        <v>5533</v>
      </c>
      <c r="AQ78" s="1">
        <v>-2577</v>
      </c>
      <c r="AS78" s="6">
        <f>IF(RTD("tos.rtd",,AS$43,"."&amp;$A$43&amp;$AS$42&amp;"C"&amp;$A78)="N/A",0,RTD("tos.rtd",,AS$43,"."&amp;$A$43&amp;$AS$42&amp;"C"&amp;$A78))</f>
        <v>5518</v>
      </c>
      <c r="AT78" s="7">
        <f>-IF(RTD("tos.rtd",,AT$43,"."&amp;$A$43&amp;$AS$42&amp;"P"&amp;$A78)="N/A",0,RTD("tos.rtd",,AT$43,"."&amp;$A$43&amp;$AS$42&amp;"P"&amp;$A78))</f>
        <v>-1098</v>
      </c>
      <c r="AU78" s="6">
        <f>IF(RTD("tos.rtd",,AU$2,"."&amp;$A$43&amp;$AU$1&amp;"C"&amp;$A78)="N/A",0,RTD("tos.rtd",,AU$2,"."&amp;$A$43&amp;$AU$1&amp;"C"&amp;$A78))</f>
        <v>1389</v>
      </c>
      <c r="AV78" s="7">
        <f>-IF(RTD("tos.rtd",,AV$2,"."&amp;$A$43&amp;$AU$1&amp;"P"&amp;$A78)="N/A",0,RTD("tos.rtd",,AV$2,"."&amp;$A$43&amp;$AU$1&amp;"P"&amp;$A78))</f>
        <v>-660</v>
      </c>
      <c r="AW78" s="6">
        <f>IF(RTD("tos.rtd",,AW$2,"."&amp;$A$43&amp;$AW$1&amp;"C"&amp;$A78)="N/A",0,RTD("tos.rtd",,AW$2,"."&amp;$A$43&amp;$AW$1&amp;"C"&amp;$A78))</f>
        <v>0</v>
      </c>
      <c r="AX78" s="7">
        <f>-IF(RTD("tos.rtd",,AX$2,"."&amp;$A$43&amp;$AW$1&amp;"P"&amp;$A78)="N/A",0,RTD("tos.rtd",,AX$2,"."&amp;$A$43&amp;$AW$1&amp;"P"&amp;$A78))</f>
        <v>0</v>
      </c>
      <c r="AY78" s="7">
        <f t="shared" si="276"/>
        <v>5149</v>
      </c>
      <c r="AZ78" s="8">
        <f t="shared" si="245"/>
        <v>489</v>
      </c>
      <c r="BA78" s="6">
        <f>IF(RTD("tos.rtd",,BA$43,"."&amp;$A$43&amp;$AS$42&amp;"C"&amp;$A78)="N/A",0,RTD("tos.rtd",,BA$43,"."&amp;$A$43&amp;$AS$42&amp;"C"&amp;$A78))</f>
        <v>5533</v>
      </c>
      <c r="BB78" s="7">
        <f>-IF(RTD("tos.rtd",,BB$43,"."&amp;$A$43&amp;$AS$42&amp;"P"&amp;$A78)="N/A",0,RTD("tos.rtd",,BB$43,"."&amp;$A$43&amp;$AS$42&amp;"P"&amp;$A78))</f>
        <v>-2577</v>
      </c>
      <c r="BC78" s="6">
        <f>IF(RTD("tos.rtd",,BC$2,"."&amp;$A$43&amp;$AU$1&amp;"C"&amp;$A78)="N/A",0,RTD("tos.rtd",,BC$2,"."&amp;$A$43&amp;$AU$1&amp;"C"&amp;$A78))</f>
        <v>453</v>
      </c>
      <c r="BD78" s="7">
        <f>-IF(RTD("tos.rtd",,BD$2,"."&amp;$A$43&amp;$AU$1&amp;"P"&amp;$A78)="N/A",0,RTD("tos.rtd",,BD$2,"."&amp;$A$43&amp;$AU$1&amp;"P"&amp;$A78))</f>
        <v>-2373</v>
      </c>
      <c r="BE78" s="6">
        <f>IF(RTD("tos.rtd",,BE$2,"."&amp;$A$43&amp;$AW$1&amp;"C"&amp;$A78)="N/A",0,RTD("tos.rtd",,BE$2,"."&amp;$A$43&amp;$AW$1&amp;"C"&amp;$A78))</f>
        <v>0</v>
      </c>
      <c r="BF78" s="7">
        <f>-IF(RTD("tos.rtd",,BF$2,"."&amp;$A$43&amp;$AW$1&amp;"P"&amp;$A78)="N/A",0,RTD("tos.rtd",,BF$2,"."&amp;$A$43&amp;$AW$1&amp;"P"&amp;$A78))</f>
        <v>0</v>
      </c>
      <c r="BG78" s="32">
        <f ca="1">+Hoja2!Y79</f>
        <v>-200</v>
      </c>
      <c r="BH78" s="7">
        <f t="shared" ca="1" si="277"/>
        <v>836</v>
      </c>
      <c r="BI78" s="8" t="str">
        <f t="shared" ca="1" si="295"/>
        <v>Cruce +</v>
      </c>
      <c r="BJ78" s="83">
        <f ca="1">IF($BP$1=1,DX78,IF(RTD("tos.rtd",,BJ$43,"."&amp;$A$43&amp;$AS$42&amp;"C"&amp;$A78)="N/A",0,RTD("tos.rtd",,BJ$43,"."&amp;$A$43&amp;$AS$42&amp;"C"&amp;$A78)))</f>
        <v>7.7116728085129178E-33</v>
      </c>
      <c r="BK78" s="83">
        <f ca="1">IF($BP$1=1,DY78,-IF(RTD("tos.rtd",,BK$43,"."&amp;$A$43&amp;$AS$42&amp;"P"&amp;$A78)="N/A",0,RTD("tos.rtd",,BK$43,"."&amp;$A$43&amp;$AS$42&amp;"P"&amp;$A78)))</f>
        <v>-8.2261294729433204E-3</v>
      </c>
      <c r="BL78" s="83">
        <f ca="1">IF($BP$1=1,DZ78,IF(RTD("tos.rtd",,BL$2,"."&amp;$A$43&amp;$AU$1&amp;"C"&amp;$A78)="N/A",0,RTD("tos.rtd",,BL$2,"."&amp;$A$43&amp;$AU$1&amp;"C"&amp;$A78)))</f>
        <v>1.2159862367703876E-2</v>
      </c>
      <c r="BM78" s="83">
        <f ca="1">IF($BP$1=1,EA78,-IF(RTD("tos.rtd",,BM$2,"."&amp;$A$43&amp;$AU$1&amp;"P"&amp;$A78)="N/A",0,RTD("tos.rtd",,BM$2,"."&amp;$A$43&amp;$AU$1&amp;"P"&amp;$A78)))</f>
        <v>-1.2002824929368763E-2</v>
      </c>
      <c r="BN78" s="83">
        <f ca="1">IF($BP$1=1,EB78,IF(RTD("tos.rtd",,BN$2,"."&amp;$A$43&amp;$AW$1&amp;"C"&amp;$A78)="N/A",0,RTD("tos.rtd",,BN$2,"."&amp;$A$43&amp;$AW$1&amp;"C"&amp;$A78)))</f>
        <v>1.1665197852733563E-2</v>
      </c>
      <c r="BO78" s="83">
        <f ca="1">IF($BP$1=1,EC78,-IF(RTD("tos.rtd",,BO$2,"."&amp;$A$43&amp;$AW$1&amp;"P"&amp;$A78)="N/A",0,RTD("tos.rtd",,BO$2,"."&amp;$A$43&amp;$AW$1&amp;"P"&amp;$A78)))</f>
        <v>-1.1665197852733563E-2</v>
      </c>
      <c r="BQ78" s="83">
        <f t="shared" ca="1" si="278"/>
        <v>-2327789.8580030245</v>
      </c>
      <c r="BR78" s="3" t="str">
        <f t="shared" ca="1" si="279"/>
        <v/>
      </c>
      <c r="BS78" s="83">
        <f t="shared" ca="1" si="280"/>
        <v>2311268.5997536974</v>
      </c>
      <c r="BT78" s="3" t="str">
        <f t="shared" ca="1" si="281"/>
        <v/>
      </c>
      <c r="BU78" s="83">
        <f t="shared" ca="1" si="282"/>
        <v>0</v>
      </c>
      <c r="BV78" s="83"/>
      <c r="BX78" s="83">
        <f t="shared" ca="1" si="283"/>
        <v>-5463310.07656994</v>
      </c>
      <c r="BY78" s="83" t="str">
        <f t="shared" ca="1" si="296"/>
        <v/>
      </c>
      <c r="BZ78" s="83">
        <f t="shared" ca="1" si="284"/>
        <v>-5920902.5362465307</v>
      </c>
      <c r="CA78" s="83" t="str">
        <f t="shared" ca="1" si="296"/>
        <v/>
      </c>
      <c r="CB78" s="83">
        <f t="shared" ca="1" si="285"/>
        <v>0</v>
      </c>
      <c r="CC78" s="83" t="str">
        <f t="shared" ca="1" si="296"/>
        <v/>
      </c>
      <c r="CD78" s="83">
        <f>IF(RTD("tos.rtd",,CD$43,"."&amp;$A$43&amp;$AS$42&amp;"C"&amp;$A78)="N/A",0,RTD("tos.rtd",,CD$43,"."&amp;$A$43&amp;$AS$42&amp;"C"&amp;$A78))</f>
        <v>1</v>
      </c>
      <c r="CE78" s="83">
        <f>-IF(RTD("tos.rtd",,CE$43,"."&amp;$A$43&amp;$AS$42&amp;"P"&amp;$A78)="N/A",0,RTD("tos.rtd",,CE$43,"."&amp;$A$43&amp;$AS$42&amp;"P"&amp;$A78))</f>
        <v>0</v>
      </c>
      <c r="CF78" s="83">
        <f>IF(RTD("tos.rtd",,CF$2,"."&amp;$A$43&amp;$AU$1&amp;"C"&amp;$A78)="N/A",0,RTD("tos.rtd",,CF$2,"."&amp;$A$43&amp;$AU$1&amp;"C"&amp;$A78))</f>
        <v>0.9</v>
      </c>
      <c r="CG78" s="83">
        <f>-IF(RTD("tos.rtd",,CG$2,"."&amp;$A$43&amp;$AU$1&amp;"P"&amp;$A78)="N/A",0,RTD("tos.rtd",,CG$2,"."&amp;$A$43&amp;$AU$1&amp;"P"&amp;$A78))</f>
        <v>0.09</v>
      </c>
      <c r="CH78" s="83">
        <f>IF(RTD("tos.rtd",,CH$2,"."&amp;$A$43&amp;$AW$1&amp;"C"&amp;$A78)="N/A",0,RTD("tos.rtd",,CH$2,"."&amp;$A$43&amp;$AW$1&amp;"C"&amp;$A78))</f>
        <v>0</v>
      </c>
      <c r="CI78" s="83">
        <f>-IF(RTD("tos.rtd",,CI$2,"."&amp;$A$43&amp;$AW$1&amp;"P"&amp;$A78)="N/A",0,RTD("tos.rtd",,CI$2,"."&amp;$A$43&amp;$AW$1&amp;"P"&amp;$A78))</f>
        <v>0</v>
      </c>
      <c r="CK78" s="83">
        <f t="shared" si="286"/>
        <v>551800</v>
      </c>
      <c r="CL78" s="83"/>
      <c r="CM78" s="83">
        <f t="shared" si="287"/>
        <v>119070.00000000001</v>
      </c>
      <c r="CN78" s="83"/>
      <c r="CO78" s="83">
        <f t="shared" si="288"/>
        <v>0</v>
      </c>
      <c r="CP78" s="83">
        <f t="shared" si="235"/>
        <v>670870</v>
      </c>
      <c r="CQ78" s="83">
        <f t="shared" si="249"/>
        <v>2956</v>
      </c>
      <c r="CR78" s="83"/>
      <c r="CS78" s="83">
        <f t="shared" si="250"/>
        <v>-1920</v>
      </c>
      <c r="CT78" s="83"/>
      <c r="CU78" s="83">
        <f t="shared" si="251"/>
        <v>0</v>
      </c>
      <c r="CV78" s="83"/>
      <c r="CW78" s="83">
        <f t="shared" ca="1" si="252"/>
        <v>-16521.258249327075</v>
      </c>
      <c r="CY78" s="83">
        <f t="shared" ca="1" si="253"/>
        <v>-11384212.612816472</v>
      </c>
      <c r="CZ78" s="70" t="str">
        <f t="shared" ca="1" si="297"/>
        <v/>
      </c>
      <c r="DA78" s="83">
        <f>IF(RTD("tos.rtd",,DA$43,"."&amp;$A$43&amp;$AS$42&amp;"C"&amp;$A78)="N/A",0,RTD("tos.rtd",,DA$43,"."&amp;$A$43&amp;$AS$42&amp;"C"&amp;$A78))</f>
        <v>18.690000000000001</v>
      </c>
      <c r="DB78" s="83">
        <f>IF(RTD("tos.rtd",,DB$43,"."&amp;$A$43&amp;$AS$42&amp;"P"&amp;$A78)="N/A",0,RTD("tos.rtd",,DB$43,"."&amp;$A$43&amp;$AS$42&amp;"P"&amp;$A78))</f>
        <v>0.01</v>
      </c>
      <c r="DC78" s="83">
        <f>IF(RTD("tos.rtd",,DC$43,"."&amp;$A$43&amp;$AS$42&amp;"C"&amp;$A78)="N/A",0,RTD("tos.rtd",,DC$43,"."&amp;$A$43&amp;$AS$42&amp;"C"&amp;$A78))</f>
        <v>18.7</v>
      </c>
      <c r="DD78" s="83">
        <f>IF(RTD("tos.rtd",,DD$43,"."&amp;$A$43&amp;$AS$42&amp;"P"&amp;$A78)="N/A",0,RTD("tos.rtd",,DD$43,"."&amp;$A$43&amp;$AS$42&amp;"P"&amp;$A78))</f>
        <v>0.01</v>
      </c>
      <c r="DE78" s="83">
        <f>IF(RTD("tos.rtd",,DE$43,"."&amp;$A$43&amp;$AS$42&amp;"C"&amp;$A78)="N/A",0,RTD("tos.rtd",,DE$43,"."&amp;$A$43&amp;$AS$42&amp;"C"&amp;$A78))</f>
        <v>18.420000000000002</v>
      </c>
      <c r="DF78" s="83">
        <f>IF(RTD("tos.rtd",,DF$43,"."&amp;$A$43&amp;$AS$42&amp;"P"&amp;$A78)="N/A",0,RTD("tos.rtd",,DF$43,"."&amp;$A$43&amp;$AS$42&amp;"P"&amp;$A78))</f>
        <v>0</v>
      </c>
      <c r="DG78" s="86">
        <f t="shared" si="289"/>
        <v>-18.660000000000025</v>
      </c>
      <c r="DH78" s="83">
        <f t="shared" si="254"/>
        <v>0</v>
      </c>
      <c r="DI78" s="83">
        <f t="shared" si="255"/>
        <v>0</v>
      </c>
      <c r="DJ78" s="83">
        <f t="shared" si="256"/>
        <v>0</v>
      </c>
      <c r="DK78" s="83">
        <f t="shared" si="257"/>
        <v>0</v>
      </c>
      <c r="DL78" s="83">
        <f t="shared" si="258"/>
        <v>0</v>
      </c>
      <c r="DM78" s="83">
        <f t="shared" si="259"/>
        <v>0</v>
      </c>
      <c r="DN78" s="64" t="str">
        <f t="shared" si="260"/>
        <v>UNKNOWN</v>
      </c>
      <c r="DO78" s="64" t="str">
        <f t="shared" si="261"/>
        <v>UNKNOWN</v>
      </c>
      <c r="DP78" s="83">
        <f t="shared" si="262"/>
        <v>0</v>
      </c>
      <c r="DQ78" s="83">
        <f t="shared" si="263"/>
        <v>0</v>
      </c>
      <c r="DR78" s="83">
        <f t="shared" ca="1" si="264"/>
        <v>0</v>
      </c>
      <c r="DS78" s="83">
        <f t="shared" si="265"/>
        <v>0</v>
      </c>
      <c r="DT78" s="83">
        <f t="shared" si="290"/>
        <v>0</v>
      </c>
      <c r="DU78" s="83">
        <f t="shared" si="291"/>
        <v>0</v>
      </c>
      <c r="DV78" s="83">
        <f t="shared" si="266"/>
        <v>-756</v>
      </c>
      <c r="DW78" s="83">
        <f t="shared" si="267"/>
        <v>-317</v>
      </c>
      <c r="DX78" s="83">
        <f t="shared" ca="1" si="406"/>
        <v>7.7116728085129178E-33</v>
      </c>
      <c r="DY78" s="83">
        <f t="shared" ca="1" si="407"/>
        <v>-8.2261294729433204E-3</v>
      </c>
      <c r="DZ78" s="83">
        <f t="shared" ca="1" si="408"/>
        <v>1.2159862367703876E-2</v>
      </c>
      <c r="EA78" s="83">
        <f t="shared" ca="1" si="409"/>
        <v>-1.2002824929368763E-2</v>
      </c>
      <c r="EB78" s="83">
        <f t="shared" ca="1" si="410"/>
        <v>1.1665197852733563E-2</v>
      </c>
      <c r="EC78" s="83">
        <f t="shared" ca="1" si="411"/>
        <v>-1.1665197852733563E-2</v>
      </c>
      <c r="ED78" s="63">
        <f t="shared" si="292"/>
        <v>-1073</v>
      </c>
      <c r="EE78" s="84">
        <f t="shared" si="268"/>
        <v>0.25</v>
      </c>
      <c r="EF78" s="84">
        <f t="shared" si="269"/>
        <v>1.7685</v>
      </c>
      <c r="EG78" s="84">
        <f t="shared" si="270"/>
        <v>0.28070000000000001</v>
      </c>
      <c r="EH78" s="84">
        <f t="shared" si="271"/>
        <v>0.26740000000000003</v>
      </c>
      <c r="EI78" s="84">
        <f t="shared" si="272"/>
        <v>0.25</v>
      </c>
      <c r="EJ78" s="84">
        <f t="shared" si="273"/>
        <v>0.25</v>
      </c>
      <c r="EK78" s="63">
        <f t="shared" ca="1" si="293"/>
        <v>672048.62020670192</v>
      </c>
      <c r="EL78" s="83" t="str">
        <f>RTD("tos.rtd",,EL$43,"."&amp;$A$43&amp;$AS$42&amp;"C"&amp;$A78)</f>
        <v>--</v>
      </c>
      <c r="EM78" s="83" t="str">
        <f>RTD("tos.rtd",,EM$43,"."&amp;$A$43&amp;$AS$42&amp;"P"&amp;$A78)</f>
        <v>176.85%</v>
      </c>
      <c r="EN78" s="83" t="str">
        <f>RTD("tos.rtd",,EN$2,"."&amp;$A$43&amp;$AU$1&amp;"C"&amp;$A78)</f>
        <v>28.07%</v>
      </c>
      <c r="EO78" s="83" t="str">
        <f>RTD("tos.rtd",,EO$2,"."&amp;$A$43&amp;$AU$1&amp;"P"&amp;$A78)</f>
        <v>26.74%</v>
      </c>
      <c r="EP78" s="83" t="str">
        <f>RTD("tos.rtd",,EP$2,"."&amp;$A$43&amp;$AW$1&amp;"C"&amp;$A78)</f>
        <v>N/A</v>
      </c>
      <c r="EQ78" s="83" t="str">
        <f>RTD("tos.rtd",,EQ$2,"."&amp;$A$43&amp;$AW$1&amp;"P"&amp;$A78)</f>
        <v>N/A</v>
      </c>
      <c r="ES78" s="63" t="str">
        <f t="shared" si="274"/>
        <v>489,-1073.00</v>
      </c>
      <c r="ET78" s="63" t="str">
        <f t="shared" ca="1" si="275"/>
        <v>489,-11384.21</v>
      </c>
      <c r="EU78" s="68">
        <v>571.08000000000004</v>
      </c>
      <c r="EV78" s="68" t="s">
        <v>643</v>
      </c>
      <c r="EW78" s="68">
        <v>495.76</v>
      </c>
      <c r="EX78" s="68" t="s">
        <v>644</v>
      </c>
      <c r="EY78" s="68">
        <v>5659.91</v>
      </c>
      <c r="EZ78" s="68" t="s">
        <v>645</v>
      </c>
      <c r="FA78" s="68">
        <v>20061.449000000001</v>
      </c>
      <c r="FB78" s="68" t="s">
        <v>646</v>
      </c>
      <c r="FC78" s="68" t="s">
        <v>647</v>
      </c>
      <c r="FD78" s="68" t="s">
        <v>648</v>
      </c>
      <c r="FE78" s="68" t="s">
        <v>649</v>
      </c>
      <c r="FF78" s="68" t="s">
        <v>650</v>
      </c>
    </row>
    <row r="79" spans="1:162" ht="13.5" thickBot="1" x14ac:dyDescent="0.25">
      <c r="A79" s="2">
        <f t="shared" si="294"/>
        <v>488</v>
      </c>
      <c r="B79" s="35">
        <f t="shared" si="241"/>
        <v>8554</v>
      </c>
      <c r="C79" s="35">
        <f t="shared" si="412"/>
        <v>3701</v>
      </c>
      <c r="D79" s="35">
        <f t="shared" si="243"/>
        <v>0</v>
      </c>
      <c r="E79" s="35">
        <f t="shared" si="244"/>
        <v>12255</v>
      </c>
      <c r="F79" s="11">
        <f t="shared" si="298"/>
        <v>20132.667533388485</v>
      </c>
      <c r="AM79" s="1">
        <v>-187</v>
      </c>
      <c r="AN79" s="1">
        <v>-3054</v>
      </c>
      <c r="AO79" s="1">
        <v>488</v>
      </c>
      <c r="AP79" s="1">
        <v>2719</v>
      </c>
      <c r="AQ79" s="1">
        <v>-5604</v>
      </c>
      <c r="AS79" s="15">
        <f>IF(RTD("tos.rtd",,AS$43,"."&amp;$A$43&amp;$AS$42&amp;"C"&amp;$A79)="N/A",0,RTD("tos.rtd",,AS$43,"."&amp;$A$43&amp;$AS$42&amp;"C"&amp;$A79))</f>
        <v>2877</v>
      </c>
      <c r="AT79" s="36">
        <f>-IF(RTD("tos.rtd",,AT$43,"."&amp;$A$43&amp;$AS$42&amp;"P"&amp;$A79)="N/A",0,RTD("tos.rtd",,AT$43,"."&amp;$A$43&amp;$AS$42&amp;"P"&amp;$A79))</f>
        <v>-5677</v>
      </c>
      <c r="AU79" s="15">
        <f>IF(RTD("tos.rtd",,AU$2,"."&amp;$A$43&amp;$AU$1&amp;"C"&amp;$A79)="N/A",0,RTD("tos.rtd",,AU$2,"."&amp;$A$43&amp;$AU$1&amp;"C"&amp;$A79))</f>
        <v>2056</v>
      </c>
      <c r="AV79" s="36">
        <f>-IF(RTD("tos.rtd",,AV$2,"."&amp;$A$43&amp;$AU$1&amp;"P"&amp;$A79)="N/A",0,RTD("tos.rtd",,AV$2,"."&amp;$A$43&amp;$AU$1&amp;"P"&amp;$A79))</f>
        <v>-1645</v>
      </c>
      <c r="AW79" s="15">
        <f>IF(RTD("tos.rtd",,AW$2,"."&amp;$A$43&amp;$AW$1&amp;"C"&amp;$A79)="N/A",0,RTD("tos.rtd",,AW$2,"."&amp;$A$43&amp;$AW$1&amp;"C"&amp;$A79))</f>
        <v>0</v>
      </c>
      <c r="AX79" s="36">
        <f>-IF(RTD("tos.rtd",,AX$2,"."&amp;$A$43&amp;$AW$1&amp;"P"&amp;$A79)="N/A",0,RTD("tos.rtd",,AX$2,"."&amp;$A$43&amp;$AW$1&amp;"P"&amp;$A79))</f>
        <v>0</v>
      </c>
      <c r="AY79" s="36">
        <f t="shared" si="276"/>
        <v>-2389</v>
      </c>
      <c r="AZ79" s="8">
        <f t="shared" si="245"/>
        <v>488</v>
      </c>
      <c r="BA79" s="15">
        <f>IF(RTD("tos.rtd",,BA$43,"."&amp;$A$43&amp;$AS$42&amp;"C"&amp;$A79)="N/A",0,RTD("tos.rtd",,BA$43,"."&amp;$A$43&amp;$AS$42&amp;"C"&amp;$A79))</f>
        <v>2719</v>
      </c>
      <c r="BB79" s="36">
        <f>-IF(RTD("tos.rtd",,BB$43,"."&amp;$A$43&amp;$AS$42&amp;"P"&amp;$A79)="N/A",0,RTD("tos.rtd",,BB$43,"."&amp;$A$43&amp;$AS$42&amp;"P"&amp;$A79))</f>
        <v>-5604</v>
      </c>
      <c r="BC79" s="15">
        <f>IF(RTD("tos.rtd",,BC$2,"."&amp;$A$43&amp;$AU$1&amp;"C"&amp;$A79)="N/A",0,RTD("tos.rtd",,BC$2,"."&amp;$A$43&amp;$AU$1&amp;"C"&amp;$A79))</f>
        <v>517</v>
      </c>
      <c r="BD79" s="36">
        <f>-IF(RTD("tos.rtd",,BD$2,"."&amp;$A$43&amp;$AU$1&amp;"P"&amp;$A79)="N/A",0,RTD("tos.rtd",,BD$2,"."&amp;$A$43&amp;$AU$1&amp;"P"&amp;$A79))</f>
        <v>-1796</v>
      </c>
      <c r="BE79" s="15">
        <f>IF(RTD("tos.rtd",,BE$2,"."&amp;$A$43&amp;$AW$1&amp;"C"&amp;$A79)="N/A",0,RTD("tos.rtd",,BE$2,"."&amp;$A$43&amp;$AW$1&amp;"C"&amp;$A79))</f>
        <v>0</v>
      </c>
      <c r="BF79" s="36">
        <f>-IF(RTD("tos.rtd",,BF$2,"."&amp;$A$43&amp;$AW$1&amp;"P"&amp;$A79)="N/A",0,RTD("tos.rtd",,BF$2,"."&amp;$A$43&amp;$AW$1&amp;"P"&amp;$A79))</f>
        <v>0</v>
      </c>
      <c r="BG79" s="32">
        <f ca="1">+Hoja2!Y80</f>
        <v>-9</v>
      </c>
      <c r="BH79" s="36">
        <f t="shared" ca="1" si="277"/>
        <v>-4173</v>
      </c>
      <c r="BI79" s="8" t="str">
        <f t="shared" ca="1" si="295"/>
        <v>Cruce -</v>
      </c>
      <c r="BJ79" s="83">
        <f ca="1">IF($BP$1=1,DX79,IF(RTD("tos.rtd",,BJ$43,"."&amp;$A$43&amp;$AS$42&amp;"C"&amp;$A79)="N/A",0,RTD("tos.rtd",,BJ$43,"."&amp;$A$43&amp;$AS$42&amp;"C"&amp;$A79)))</f>
        <v>2.2317320633891343E-36</v>
      </c>
      <c r="BK79" s="83">
        <f ca="1">IF($BP$1=1,DY79,-IF(RTD("tos.rtd",,BK$43,"."&amp;$A$43&amp;$AS$42&amp;"P"&amp;$A79)="N/A",0,RTD("tos.rtd",,BK$43,"."&amp;$A$43&amp;$AS$42&amp;"P"&amp;$A79)))</f>
        <v>-7.7179904221781259E-3</v>
      </c>
      <c r="BL79" s="83">
        <f ca="1">IF($BP$1=1,DZ79,IF(RTD("tos.rtd",,BL$2,"."&amp;$A$43&amp;$AU$1&amp;"C"&amp;$A79)="N/A",0,RTD("tos.rtd",,BL$2,"."&amp;$A$43&amp;$AU$1&amp;"C"&amp;$A79)))</f>
        <v>1.1610709887138115E-2</v>
      </c>
      <c r="BM79" s="83">
        <f ca="1">IF($BP$1=1,EA79,-IF(RTD("tos.rtd",,BM$2,"."&amp;$A$43&amp;$AU$1&amp;"P"&amp;$A79)="N/A",0,RTD("tos.rtd",,BM$2,"."&amp;$A$43&amp;$AU$1&amp;"P"&amp;$A79)))</f>
        <v>-1.1202692606926658E-2</v>
      </c>
      <c r="BN79" s="83">
        <f ca="1">IF($BP$1=1,EB79,IF(RTD("tos.rtd",,BN$2,"."&amp;$A$43&amp;$AW$1&amp;"C"&amp;$A79)="N/A",0,RTD("tos.rtd",,BN$2,"."&amp;$A$43&amp;$AW$1&amp;"C"&amp;$A79)))</f>
        <v>1.0714251533264543E-2</v>
      </c>
      <c r="BO79" s="83">
        <f ca="1">IF($BP$1=1,EC79,-IF(RTD("tos.rtd",,BO$2,"."&amp;$A$43&amp;$AW$1&amp;"P"&amp;$A79)="N/A",0,RTD("tos.rtd",,BO$2,"."&amp;$A$43&amp;$AW$1&amp;"P"&amp;$A79)))</f>
        <v>-1.0714251533264543E-2</v>
      </c>
      <c r="BQ79" s="83">
        <f t="shared" ca="1" si="278"/>
        <v>-11291951.922206584</v>
      </c>
      <c r="BR79" s="3" t="str">
        <f t="shared" ca="1" si="279"/>
        <v/>
      </c>
      <c r="BS79" s="83">
        <f t="shared" ca="1" si="280"/>
        <v>1402811.7666927315</v>
      </c>
      <c r="BT79" s="3" t="str">
        <f t="shared" ca="1" si="281"/>
        <v/>
      </c>
      <c r="BU79" s="83">
        <f t="shared" ca="1" si="282"/>
        <v>0</v>
      </c>
      <c r="BV79" s="83"/>
      <c r="BX79" s="83">
        <f t="shared" ca="1" si="283"/>
        <v>-11146749.792504085</v>
      </c>
      <c r="BY79" s="83" t="str">
        <f t="shared" ca="1" si="296"/>
        <v/>
      </c>
      <c r="BZ79" s="83">
        <f t="shared" ca="1" si="284"/>
        <v>-3638291.5782350004</v>
      </c>
      <c r="CA79" s="83" t="str">
        <f t="shared" ca="1" si="296"/>
        <v/>
      </c>
      <c r="CB79" s="83">
        <f t="shared" ca="1" si="285"/>
        <v>0</v>
      </c>
      <c r="CC79" s="83" t="str">
        <f t="shared" ca="1" si="296"/>
        <v/>
      </c>
      <c r="CD79" s="83">
        <f>IF(RTD("tos.rtd",,CD$43,"."&amp;$A$43&amp;$AS$42&amp;"C"&amp;$A79)="N/A",0,RTD("tos.rtd",,CD$43,"."&amp;$A$43&amp;$AS$42&amp;"C"&amp;$A79))</f>
        <v>1</v>
      </c>
      <c r="CE79" s="83">
        <f>-IF(RTD("tos.rtd",,CE$43,"."&amp;$A$43&amp;$AS$42&amp;"P"&amp;$A79)="N/A",0,RTD("tos.rtd",,CE$43,"."&amp;$A$43&amp;$AS$42&amp;"P"&amp;$A79))</f>
        <v>0</v>
      </c>
      <c r="CF79" s="83">
        <f>IF(RTD("tos.rtd",,CF$2,"."&amp;$A$43&amp;$AU$1&amp;"C"&amp;$A79)="N/A",0,RTD("tos.rtd",,CF$2,"."&amp;$A$43&amp;$AU$1&amp;"C"&amp;$A79))</f>
        <v>0.89</v>
      </c>
      <c r="CG79" s="83">
        <f>-IF(RTD("tos.rtd",,CG$2,"."&amp;$A$43&amp;$AU$1&amp;"P"&amp;$A79)="N/A",0,RTD("tos.rtd",,CG$2,"."&amp;$A$43&amp;$AU$1&amp;"P"&amp;$A79))</f>
        <v>0.08</v>
      </c>
      <c r="CH79" s="83">
        <f>IF(RTD("tos.rtd",,CH$2,"."&amp;$A$43&amp;$AW$1&amp;"C"&amp;$A79)="N/A",0,RTD("tos.rtd",,CH$2,"."&amp;$A$43&amp;$AW$1&amp;"C"&amp;$A79))</f>
        <v>0</v>
      </c>
      <c r="CI79" s="83">
        <f>-IF(RTD("tos.rtd",,CI$2,"."&amp;$A$43&amp;$AW$1&amp;"P"&amp;$A79)="N/A",0,RTD("tos.rtd",,CI$2,"."&amp;$A$43&amp;$AW$1&amp;"P"&amp;$A79))</f>
        <v>0</v>
      </c>
      <c r="CK79" s="83">
        <f t="shared" si="286"/>
        <v>287700</v>
      </c>
      <c r="CL79" s="83"/>
      <c r="CM79" s="83">
        <f t="shared" si="287"/>
        <v>169824</v>
      </c>
      <c r="CN79" s="83"/>
      <c r="CO79" s="83">
        <f t="shared" si="288"/>
        <v>0</v>
      </c>
      <c r="CP79" s="83">
        <f t="shared" si="235"/>
        <v>457524</v>
      </c>
      <c r="CQ79" s="83">
        <f t="shared" si="249"/>
        <v>-2885</v>
      </c>
      <c r="CR79" s="83"/>
      <c r="CS79" s="83">
        <f t="shared" si="250"/>
        <v>-1279</v>
      </c>
      <c r="CT79" s="83"/>
      <c r="CU79" s="83">
        <f t="shared" si="251"/>
        <v>0</v>
      </c>
      <c r="CV79" s="83"/>
      <c r="CW79" s="83">
        <f t="shared" ca="1" si="252"/>
        <v>-9889140.1555138528</v>
      </c>
      <c r="CY79" s="83">
        <f t="shared" ca="1" si="253"/>
        <v>-14785041.370739086</v>
      </c>
      <c r="CZ79" s="70" t="str">
        <f t="shared" ca="1" si="297"/>
        <v/>
      </c>
      <c r="DA79" s="83">
        <f>IF(RTD("tos.rtd",,DA$43,"."&amp;$A$43&amp;$AS$42&amp;"C"&amp;$A79)="N/A",0,RTD("tos.rtd",,DA$43,"."&amp;$A$43&amp;$AS$42&amp;"C"&amp;$A79))</f>
        <v>19.899999999999999</v>
      </c>
      <c r="DB79" s="83">
        <f>IF(RTD("tos.rtd",,DB$43,"."&amp;$A$43&amp;$AS$42&amp;"P"&amp;$A79)="N/A",0,RTD("tos.rtd",,DB$43,"."&amp;$A$43&amp;$AS$42&amp;"P"&amp;$A79))</f>
        <v>0.01</v>
      </c>
      <c r="DC79" s="83">
        <f>IF(RTD("tos.rtd",,DC$43,"."&amp;$A$43&amp;$AS$42&amp;"C"&amp;$A79)="N/A",0,RTD("tos.rtd",,DC$43,"."&amp;$A$43&amp;$AS$42&amp;"C"&amp;$A79))</f>
        <v>19.72</v>
      </c>
      <c r="DD79" s="83">
        <f>IF(RTD("tos.rtd",,DD$43,"."&amp;$A$43&amp;$AS$42&amp;"P"&amp;$A79)="N/A",0,RTD("tos.rtd",,DD$43,"."&amp;$A$43&amp;$AS$42&amp;"P"&amp;$A79))</f>
        <v>0.01</v>
      </c>
      <c r="DE79" s="83">
        <f>IF(RTD("tos.rtd",,DE$43,"."&amp;$A$43&amp;$AS$42&amp;"C"&amp;$A79)="N/A",0,RTD("tos.rtd",,DE$43,"."&amp;$A$43&amp;$AS$42&amp;"C"&amp;$A79))</f>
        <v>19.420000000000002</v>
      </c>
      <c r="DF79" s="83">
        <f>IF(RTD("tos.rtd",,DF$43,"."&amp;$A$43&amp;$AS$42&amp;"P"&amp;$A79)="N/A",0,RTD("tos.rtd",,DF$43,"."&amp;$A$43&amp;$AS$42&amp;"P"&amp;$A79))</f>
        <v>0</v>
      </c>
      <c r="DG79" s="86">
        <f t="shared" si="289"/>
        <v>-19.660000000000025</v>
      </c>
      <c r="DH79" s="83">
        <f t="shared" si="254"/>
        <v>0</v>
      </c>
      <c r="DI79" s="83">
        <f t="shared" si="255"/>
        <v>0</v>
      </c>
      <c r="DJ79" s="83">
        <f t="shared" si="256"/>
        <v>0</v>
      </c>
      <c r="DK79" s="83">
        <f t="shared" si="257"/>
        <v>0</v>
      </c>
      <c r="DL79" s="83">
        <f t="shared" si="258"/>
        <v>0</v>
      </c>
      <c r="DM79" s="83">
        <f t="shared" si="259"/>
        <v>0</v>
      </c>
      <c r="DN79" s="64" t="str">
        <f t="shared" si="260"/>
        <v>UNKNOWN</v>
      </c>
      <c r="DO79" s="64" t="str">
        <f t="shared" si="261"/>
        <v>UNKNOWN</v>
      </c>
      <c r="DP79" s="83">
        <f t="shared" si="262"/>
        <v>0</v>
      </c>
      <c r="DQ79" s="83">
        <f t="shared" si="263"/>
        <v>0</v>
      </c>
      <c r="DR79" s="83">
        <f t="shared" ca="1" si="264"/>
        <v>0</v>
      </c>
      <c r="DS79" s="83">
        <f t="shared" si="265"/>
        <v>0</v>
      </c>
      <c r="DT79" s="83">
        <f t="shared" si="290"/>
        <v>0</v>
      </c>
      <c r="DU79" s="83">
        <f t="shared" si="291"/>
        <v>0</v>
      </c>
      <c r="DV79" s="83">
        <f t="shared" si="266"/>
        <v>-187</v>
      </c>
      <c r="DW79" s="83">
        <f t="shared" si="267"/>
        <v>-3054</v>
      </c>
      <c r="DX79" s="83">
        <f t="shared" ca="1" si="406"/>
        <v>2.2317320633891343E-36</v>
      </c>
      <c r="DY79" s="83">
        <f t="shared" ca="1" si="407"/>
        <v>-7.7179904221781259E-3</v>
      </c>
      <c r="DZ79" s="83">
        <f t="shared" ca="1" si="408"/>
        <v>1.1610709887138115E-2</v>
      </c>
      <c r="EA79" s="83">
        <f t="shared" ca="1" si="409"/>
        <v>-1.1202692606926658E-2</v>
      </c>
      <c r="EB79" s="83">
        <f t="shared" ca="1" si="410"/>
        <v>1.0714251533264543E-2</v>
      </c>
      <c r="EC79" s="83">
        <f t="shared" ca="1" si="411"/>
        <v>-1.0714251533264543E-2</v>
      </c>
      <c r="ED79" s="63">
        <f t="shared" si="292"/>
        <v>-3241</v>
      </c>
      <c r="EE79" s="84">
        <f t="shared" si="268"/>
        <v>0.25</v>
      </c>
      <c r="EF79" s="84">
        <f t="shared" si="269"/>
        <v>1.8559000000000001</v>
      </c>
      <c r="EG79" s="84">
        <f t="shared" si="270"/>
        <v>0.31009999999999999</v>
      </c>
      <c r="EH79" s="84">
        <f t="shared" si="271"/>
        <v>0.27060000000000001</v>
      </c>
      <c r="EI79" s="84">
        <f t="shared" si="272"/>
        <v>0.25</v>
      </c>
      <c r="EJ79" s="84">
        <f t="shared" si="273"/>
        <v>0.25</v>
      </c>
      <c r="EK79" s="63">
        <f t="shared" ca="1" si="293"/>
        <v>6074620.6042661443</v>
      </c>
      <c r="EL79" s="83" t="str">
        <f>RTD("tos.rtd",,EL$43,"."&amp;$A$43&amp;$AS$42&amp;"C"&amp;$A79)</f>
        <v>--</v>
      </c>
      <c r="EM79" s="83" t="str">
        <f>RTD("tos.rtd",,EM$43,"."&amp;$A$43&amp;$AS$42&amp;"P"&amp;$A79)</f>
        <v>185.59%</v>
      </c>
      <c r="EN79" s="83" t="str">
        <f>RTD("tos.rtd",,EN$2,"."&amp;$A$43&amp;$AU$1&amp;"C"&amp;$A79)</f>
        <v>31.01%</v>
      </c>
      <c r="EO79" s="83" t="str">
        <f>RTD("tos.rtd",,EO$2,"."&amp;$A$43&amp;$AU$1&amp;"P"&amp;$A79)</f>
        <v>27.06%</v>
      </c>
      <c r="EP79" s="83" t="str">
        <f>RTD("tos.rtd",,EP$2,"."&amp;$A$43&amp;$AW$1&amp;"C"&amp;$A79)</f>
        <v>N/A</v>
      </c>
      <c r="EQ79" s="83" t="str">
        <f>RTD("tos.rtd",,EQ$2,"."&amp;$A$43&amp;$AW$1&amp;"P"&amp;$A79)</f>
        <v>N/A</v>
      </c>
      <c r="ES79" s="63" t="str">
        <f t="shared" si="274"/>
        <v>488,-3241.00</v>
      </c>
      <c r="ET79" s="63" t="str">
        <f t="shared" ca="1" si="275"/>
        <v>488,-14785.04</v>
      </c>
      <c r="EU79" s="68">
        <v>571.25</v>
      </c>
      <c r="EV79" s="68" t="s">
        <v>651</v>
      </c>
      <c r="EW79" s="68">
        <v>495.94</v>
      </c>
      <c r="EX79" s="68" t="s">
        <v>652</v>
      </c>
      <c r="EY79" s="68">
        <v>5659.91</v>
      </c>
      <c r="EZ79" s="68" t="s">
        <v>653</v>
      </c>
      <c r="FA79" s="68">
        <v>20061.449000000001</v>
      </c>
      <c r="FB79" s="68" t="s">
        <v>654</v>
      </c>
      <c r="FC79" s="68" t="s">
        <v>655</v>
      </c>
      <c r="FD79" s="68" t="s">
        <v>656</v>
      </c>
      <c r="FE79" s="68" t="s">
        <v>657</v>
      </c>
      <c r="FF79" s="68" t="s">
        <v>658</v>
      </c>
    </row>
    <row r="80" spans="1:162" x14ac:dyDescent="0.2">
      <c r="A80" s="49"/>
      <c r="AP80" s="1" t="s">
        <v>17</v>
      </c>
      <c r="AQ80" s="1" t="s">
        <v>18</v>
      </c>
      <c r="AS80" s="42" t="s">
        <v>17</v>
      </c>
      <c r="AT80" s="42" t="s">
        <v>18</v>
      </c>
      <c r="AU80" s="42" t="s">
        <v>17</v>
      </c>
      <c r="AV80" s="42" t="s">
        <v>18</v>
      </c>
      <c r="AW80" s="42" t="s">
        <v>17</v>
      </c>
      <c r="AX80" s="42" t="s">
        <v>18</v>
      </c>
      <c r="BA80" s="42" t="s">
        <v>17</v>
      </c>
      <c r="BB80" s="42" t="s">
        <v>18</v>
      </c>
      <c r="BC80" s="42" t="s">
        <v>17</v>
      </c>
      <c r="BD80" s="42" t="s">
        <v>18</v>
      </c>
      <c r="BE80" s="42" t="s">
        <v>17</v>
      </c>
      <c r="BF80" s="42" t="s">
        <v>18</v>
      </c>
      <c r="BG80" s="90"/>
      <c r="BH80" s="1">
        <f ca="1">MIN(BH45:BH79)</f>
        <v>-177985</v>
      </c>
      <c r="BI80" s="1">
        <f ca="1">IFERROR(IF(MIN(BH45:BH79)&lt;&gt;0,INDEX(A45:A79,MATCH(MIN(BH45:BH79),BH45:BH79,0)),""),"")</f>
        <v>500</v>
      </c>
      <c r="BJ80" s="42"/>
      <c r="BK80" s="42"/>
      <c r="BL80" s="42"/>
      <c r="BM80" s="42"/>
      <c r="BN80" s="42"/>
      <c r="BO80" s="42"/>
      <c r="BP80" s="64">
        <f ca="1">INDEX(BQ80:BU80,MATCH(MAX(BQ44:BU44),BQ44:BU44,0))</f>
        <v>500</v>
      </c>
      <c r="BQ80" s="42">
        <f ca="1">IF(AND(BQ44&gt;0,ABS(MAX(BQ45:BQ79))&gt;ABS(MIN(BQ45:BQ79))),IF(MAX(BQ45:BQ79)&lt;&gt;0,INDEX($A45:$A79,MATCH(MAX(BQ45:BQ79),BQ45:BQ79,0)),""),"")</f>
        <v>510</v>
      </c>
      <c r="BR80" s="42"/>
      <c r="BS80" s="42">
        <f ca="1">IF(AND(BS44&gt;0,ABS(MAX(BS45:BS79))&gt;ABS(MIN(BS45:BS79))),IF(MAX(BS45:BS79)&lt;&gt;0,INDEX($A45:$A79,MATCH(MAX(BS45:BS79),BS45:BS79,0)),""),"")</f>
        <v>500</v>
      </c>
      <c r="BT80" s="42"/>
      <c r="BU80" s="42">
        <f ca="1">IF(AND(BU44&gt;0,ABS(MAX(BU45:BU79))&gt;ABS(MIN(BU45:BU79))),IF(MAX(BU45:BU79)&lt;&gt;0,INDEX($A45:$A79,MATCH(MAX(BU45:BU79),BU45:BU79,0)),""),"")</f>
        <v>500</v>
      </c>
      <c r="BV80" s="42"/>
      <c r="BW80" s="64">
        <f ca="1">INDEX(BX80:CB80,MATCH(MAX(BX44:CB44),BX44:CB44,0))</f>
        <v>508</v>
      </c>
      <c r="BX80" s="42">
        <f ca="1">IF(AND(BX44&gt;0,ABS(MAX(BX45:BX79))&gt;ABS(MIN(BX45:BX79))),IF(MAX(BX45:BX79)&lt;&gt;0,INDEX($A45:$A79,MATCH(MAX(BX45:BX79),BX45:BX79,0)),""),"")</f>
        <v>508</v>
      </c>
      <c r="BY80" s="42">
        <f ca="1">INDEX($A$45:$A$79,MATCH("Cruce -",BY45:BY79,)+1)</f>
        <v>504</v>
      </c>
      <c r="BZ80" s="42" t="str">
        <f ca="1">IF(AND(BZ44&gt;0,ABS(MAX(BZ45:BZ79))&gt;ABS(MIN(BZ45:BZ79))),IF(MAX(BZ45:BZ79)&lt;&gt;0,INDEX($A45:$A79,MATCH(MAX(BZ45:BZ79),BZ45:BZ79,0)),""),"")</f>
        <v/>
      </c>
      <c r="CA80" s="42"/>
      <c r="CB80" s="42">
        <f ca="1">IF(AND(CB44&gt;0,ABS(MAX(CB45:CB79))&gt;ABS(MIN(CB45:CB79))),IF(MAX(CB45:CB79)&lt;&gt;0,INDEX($A45:$A79,MATCH(MAX(CB45:CB79),CB45:CB79,0)),""),"")</f>
        <v>510</v>
      </c>
      <c r="CC80" s="42"/>
      <c r="CD80" s="42"/>
      <c r="CE80" s="42"/>
      <c r="CF80" s="42"/>
      <c r="CG80" s="42"/>
      <c r="CH80" s="42"/>
      <c r="CI80" s="42"/>
      <c r="CJ80" s="64">
        <f>INDEX(CK80:CO80,MATCH(MAX(CK44:CO44),CK44:CO44,0))</f>
        <v>490</v>
      </c>
      <c r="CK80" s="42">
        <f>IF(AND(CK44&gt;0,ABS(MAX(CK45:CK79))&gt;ABS(MIN(CK45:CK79))),IF(MAX(CK45:CK79)&lt;&gt;0,INDEX($A45:$A79,MATCH(MAX(CK45:CK79),CK45:CK79,0)),""),"")</f>
        <v>495</v>
      </c>
      <c r="CL80" s="42"/>
      <c r="CM80" s="42">
        <f>IF(AND(CM44&gt;0,ABS(MAX(CM45:CM79))&gt;ABS(MIN(CM45:CM79))),IF(MAX(CM45:CM79)&lt;&gt;0,INDEX($A45:$A79,MATCH(MAX(CM45:CM79),CM45:CM79,0)),""),"")</f>
        <v>490</v>
      </c>
      <c r="CN80" s="42"/>
      <c r="CO80" s="42">
        <f>IF(AND(CO44&gt;0,ABS(MAX(CO45:CO79))&gt;ABS(MIN(CO45:CO79))),IF(MAX(CO45:CO79)&lt;&gt;0,INDEX($A45:$A79,MATCH(MAX(CO45:CO79),CO45:CO79,0)),""),"")</f>
        <v>500</v>
      </c>
      <c r="CP80" s="42">
        <f>IF(ABS(MAX(CP45:CP79))&gt;ABS(MIN(CP45:CP79)),IF(MAX(CP45:CP79)&lt;&gt;0,INDEX($A45:$A79,MATCH(MAX(CP45:CP79),CP45:CP79,0)),""),"")</f>
        <v>500</v>
      </c>
      <c r="CQ80" s="42"/>
      <c r="CR80" s="42"/>
      <c r="CS80" s="42"/>
      <c r="CT80" s="42"/>
      <c r="CU80" s="42"/>
      <c r="CV80" s="42"/>
      <c r="CW80" s="42">
        <f ca="1">IF(ABS(MAX(CW45:CW79))&gt;ABS(MIN(CW45:CW79)),IF(MAX(CW45:CW79)&lt;&gt;0,INDEX($A45:$A79,MATCH(MAX(CW45:CW79),CW45:CW79,0)),""),"")</f>
        <v>500</v>
      </c>
      <c r="CY80" s="42">
        <f ca="1">IF(ABS(MAX(CY45:CY79))&gt;ABS(MIN(CY45:CY79)),IF(MAX(CY45:CY79)&lt;&gt;0,INDEX($A45:$A79,MATCH(MAX(CY45:CY79),CY45:CY79,0)),""),"")</f>
        <v>508</v>
      </c>
      <c r="DA80" s="42" t="s">
        <v>17</v>
      </c>
      <c r="DB80" s="42" t="s">
        <v>18</v>
      </c>
      <c r="DC80" s="42" t="s">
        <v>17</v>
      </c>
      <c r="DD80" s="42" t="s">
        <v>18</v>
      </c>
      <c r="DE80" s="42" t="s">
        <v>17</v>
      </c>
      <c r="DF80" s="42" t="s">
        <v>18</v>
      </c>
      <c r="DH80" s="42">
        <f t="shared" ref="DH80:DM80" si="413">IF(AND(DH44&gt;0,ABS(MAX(DH45:DH79))&gt;ABS(MIN(DH45:DH79))),IF(MAX(DH45:DH79)&lt;&gt;0,INDEX($A45:$A79,MATCH(MAX(DH45:DH79),DH45:DH79,0)),""),"")</f>
        <v>508</v>
      </c>
      <c r="DI80" s="42" t="str">
        <f t="shared" si="413"/>
        <v/>
      </c>
      <c r="DJ80" s="89">
        <f>IFERROR(IF(AND(ABS(MAX(DJ45:DJ79))&gt;$DG$44,ABS(INDEX($DG$45:$DG$79,MATCH(MAX(DJ45:DJ79),DJ45:DJ79,0)))&lt;0.5,1),IF(MAX(DJ45:DJ79)&lt;&gt;0,INDEX($A45:$A79,MATCH(MAX(DJ45:DJ79),DJ45:DJ79,0)),""),""),"")</f>
        <v>508</v>
      </c>
      <c r="DK80" s="89" t="str">
        <f>IFERROR(IF(AND(ABS(MAX(DK45:DK79))&gt;$DG$44,ABS(INDEX($DG$45:$DG$79,MATCH(MAX(DK45:DK79),DK45:DK79,0)))&lt;0.5,1),IF(MAX(DK45:DK79)&lt;&gt;0,INDEX($A45:$A79,MATCH(MAX(DK45:DK79),DK45:DK79,0)),""),""),"")</f>
        <v/>
      </c>
      <c r="DL80" s="42">
        <f t="shared" si="413"/>
        <v>508</v>
      </c>
      <c r="DM80" s="42">
        <f t="shared" si="413"/>
        <v>508</v>
      </c>
      <c r="DN80" s="64" t="str">
        <f>DJ80&amp;","&amp;DJ81&amp;","&amp;DK80&amp;","&amp;DK81</f>
        <v>508,,,</v>
      </c>
      <c r="DP80" s="42">
        <f>IF(AND(DP44&gt;0,ABS(MAX(DP45:DP79))&gt;ABS(MIN(DP45:DP79))),IF(MAX(DP45:DP79)&lt;&gt;0,INDEX($A45:$A79,MATCH(MAX(DP45:DP79),DP45:DP79,0)),""),"")</f>
        <v>490</v>
      </c>
      <c r="DQ80" s="42">
        <f>IF(AND(DQ44&gt;0,ABS(MAX(DQ45:DQ79))&gt;ABS(MIN(DQ45:DQ79))),IF(MAX(DQ45:DQ79)&lt;&gt;0,INDEX($A45:$A79,MATCH(MAX(DQ45:DQ79),DQ45:DQ79,0)),""),"")</f>
        <v>490</v>
      </c>
      <c r="DR80" s="42">
        <f ca="1">IF(AND(DR44&gt;0,ABS(MAX(DR45:DR79))&gt;ABS(MIN(DR45:DR79))),IF(MAX(DR45:DR79)&lt;&gt;0,INDEX($A45:$A79,MATCH(MAX(DR45:DR79),DR45:DR79,0)),""),"")</f>
        <v>508</v>
      </c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103">
        <f>IFERROR(IF(MAX(ED45:ED79)&lt;&gt;0,INDEX($A45:$A79,MATCH(MAX(ED45:ED79),ED45:ED79,0)),""),"")</f>
        <v>508</v>
      </c>
      <c r="EE80" s="42"/>
      <c r="EF80" s="42"/>
      <c r="EG80" s="42"/>
      <c r="EH80" s="42"/>
      <c r="EI80" s="42"/>
      <c r="EJ80" s="42"/>
      <c r="EL80" s="42"/>
      <c r="EM80" s="42"/>
      <c r="EN80" s="42"/>
      <c r="EO80" s="42"/>
      <c r="EP80" s="42"/>
      <c r="EQ80" s="42"/>
      <c r="EU80" s="68">
        <v>571.27</v>
      </c>
      <c r="EV80" s="68" t="s">
        <v>659</v>
      </c>
      <c r="EW80" s="68">
        <v>496</v>
      </c>
      <c r="EX80" s="68" t="s">
        <v>660</v>
      </c>
      <c r="EY80" s="68">
        <v>5659.91</v>
      </c>
      <c r="EZ80" s="68" t="s">
        <v>661</v>
      </c>
      <c r="FA80" s="68">
        <v>20061.449000000001</v>
      </c>
      <c r="FB80" s="68" t="s">
        <v>662</v>
      </c>
      <c r="FC80" s="68" t="s">
        <v>663</v>
      </c>
      <c r="FD80" s="68" t="s">
        <v>664</v>
      </c>
      <c r="FE80" s="68" t="s">
        <v>665</v>
      </c>
      <c r="FF80" s="68" t="s">
        <v>666</v>
      </c>
    </row>
    <row r="81" spans="1:162" ht="13.5" thickBot="1" x14ac:dyDescent="0.25">
      <c r="A81" s="49">
        <v>10</v>
      </c>
      <c r="D81" s="50">
        <f>+F84-24</f>
        <v>5841.75</v>
      </c>
      <c r="E81" s="82">
        <v>5800</v>
      </c>
      <c r="BP81" s="64" t="str">
        <f ca="1">INDEX(BQ81:BU81,MATCH(MIN(BQ44:BU44),BQ44:BU44,0))</f>
        <v/>
      </c>
      <c r="BQ81" s="1" t="str">
        <f ca="1">IF(AND(BQ44&lt;0,ABS(MIN(BQ45:BQ79))&gt;ABS(MAX(BQ45:BQ79))),IF(MIN(BQ45:BQ79)&lt;&gt;0,INDEX($A45:$A79,MATCH(MIN(BQ45:BQ79),BQ45:BQ79,0)),""),"")</f>
        <v/>
      </c>
      <c r="BS81" s="1" t="str">
        <f ca="1">IF(AND(BS44&lt;0,ABS(MIN(BS45:BS79))&gt;ABS(MAX(BS45:BS79))),IF(MIN(BS45:BS79)&lt;&gt;0,INDEX($A45:$A79,MATCH(MIN(BS45:BS79),BS45:BS79,0)),""),"")</f>
        <v/>
      </c>
      <c r="BU81" s="1" t="str">
        <f ca="1">IF(AND(BU44&lt;0,ABS(MIN(BU45:BU79))&gt;ABS(MAX(BU45:BU79))),IF(MIN(BU45:BU79)&lt;&gt;0,INDEX($A45:$A79,MATCH(MIN(BU45:BU79),BU45:BU79,0)),""),"")</f>
        <v/>
      </c>
      <c r="BW81" s="64" t="str">
        <f ca="1">INDEX(BX81:CB81,MATCH(MIN(BX44:CB44),BX44:CB44,0))</f>
        <v/>
      </c>
      <c r="BX81" s="1" t="str">
        <f ca="1">IF(AND(BX44&lt;0,ABS(MIN(BX45:BX79))&gt;ABS(MAX(BX45:BX79))),IF(MIN(BX45:BX79)&lt;&gt;0,INDEX($A45:$A79,MATCH(MIN(BX45:BX79),BX45:BX79,0)),""),"")</f>
        <v/>
      </c>
      <c r="BY81" s="1">
        <f ca="1">INDEX($A$45:$A$79,MATCH("Cruce -",BY45:BY79,)-1)</f>
        <v>506</v>
      </c>
      <c r="BZ81" s="1" t="str">
        <f ca="1">IF(AND(BZ44&lt;0,ABS(MIN(BZ45:BZ79))&gt;ABS(MAX(BZ45:BZ79))),IF(MIN(BZ45:BZ79)&lt;&gt;0,INDEX($A45:$A79,MATCH(MIN(BZ45:BZ79),BZ45:BZ79,0)),""),"")</f>
        <v/>
      </c>
      <c r="CB81" s="1" t="str">
        <f ca="1">IF(AND(CB44&lt;0,ABS(MIN(CB45:CB79))&gt;ABS(MAX(CB45:CB79))),IF(MIN(CB45:CB79)&lt;&gt;0,INDEX($A45:$A79,MATCH(MIN(CB45:CB79),CB45:CB79,0)),""),"")</f>
        <v/>
      </c>
      <c r="CJ81" s="64" t="str">
        <f>INDEX(CK81:CO81,MATCH(MIN(CK44:CO44),CK44:CO44,0))</f>
        <v/>
      </c>
      <c r="CK81" s="1" t="str">
        <f>IF(AND(CK44&lt;0,ABS(MIN(CK45:CK79))&gt;ABS(MAX(CK45:CK79))),IF(MIN(CK45:CK79)&lt;&gt;0,INDEX($A45:$A79,MATCH(MIN(CK45:CK79),CK45:CK79,0)),""),"")</f>
        <v/>
      </c>
      <c r="CM81" s="1" t="str">
        <f>IF(AND(CM44&lt;0,ABS(MIN(CM45:CM79))&gt;ABS(MAX(CM45:CM79))),IF(MIN(CM45:CM79)&lt;&gt;0,INDEX($A45:$A79,MATCH(MIN(CM45:CM79),CM45:CM79,0)),""),"")</f>
        <v/>
      </c>
      <c r="CO81" s="1" t="str">
        <f>IF(AND(CO44&lt;0,ABS(MIN(CO45:CO79))&gt;ABS(MAX(CO45:CO79))),IF(MIN(CO45:CO79)&lt;&gt;0,INDEX($A45:$A79,MATCH(MIN(CO45:CO79),CO45:CO79,0)),""),"")</f>
        <v/>
      </c>
      <c r="CP81" s="1" t="str">
        <f>IF(ABS(MIN(CP45:CP79))&gt;ABS(MAX(CP45:CP79)),IF(MIN(CP45:CP79)&lt;&gt;0,INDEX($A45:$A79,MATCH(MIN(CP45:CP79),CP45:CP79,0)),""),"")</f>
        <v/>
      </c>
      <c r="CW81" s="1" t="str">
        <f ca="1">IF(ABS(MIN(CW45:CW79))&gt;ABS(MAX(CW45:CW79)),IF(MIN(CW45:CW79)&lt;&gt;0,INDEX($A45:$A79,MATCH(MIN(CW45:CW79),CW45:CW79,0)),""),"")</f>
        <v/>
      </c>
      <c r="CY81" s="1" t="str">
        <f ca="1">IF(ABS(MIN(CY45:CY79))&gt;ABS(MAX(CY45:CY79)),IF(MIN(CY45:CY79)&lt;&gt;0,INDEX($A45:$A79,MATCH(MIN(CY45:CY79),CY45:CY79,0)),""),"")</f>
        <v/>
      </c>
      <c r="DH81" s="1" t="str">
        <f t="shared" ref="DH81:DM81" si="414">IF(AND(DH44&lt;0,ABS(MIN(DH45:DH79))&gt;ABS(MAX(DH45:DH79))),IF(MIN(DH45:DH79)&lt;&gt;0,INDEX($A45:$A79,MATCH(MIN(DH45:DH79),DH45:DH79,0)),""),"")</f>
        <v/>
      </c>
      <c r="DI81" s="1">
        <f t="shared" si="414"/>
        <v>504</v>
      </c>
      <c r="DJ81" s="89" t="str">
        <f>IFERROR(IF(AND(ABS(MIN(DJ45:DJ79))&gt;$DG$44,ABS(INDEX($DG$45:$DG$79,MATCH(MIN(DJ45:DJ79),DJ45:DJ79,0)))&lt;0.5,1),IF(MIN(DJ45:DJ79)&lt;&gt;0,INDEX($A45:$A79,MATCH(MIN(DJ45:DJ79),DJ45:DJ79,0)),""),""),"")</f>
        <v/>
      </c>
      <c r="DK81" s="89" t="str">
        <f>IFERROR(IF(AND(ABS(MIN(DK45:DK79))&gt;$DG$44,ABS(INDEX($DG$45:$DG$79,MATCH(MIN(DK45:DK79),DK45:DK79,0)))&lt;0.5,1),IF(MIN(DK45:DK79)&lt;&gt;0,INDEX($A45:$A79,MATCH(MIN(DK45:DK79),DK45:DK79,0)),""),""),"")</f>
        <v/>
      </c>
      <c r="DL81" s="1" t="str">
        <f t="shared" si="414"/>
        <v/>
      </c>
      <c r="DM81" s="1" t="str">
        <f t="shared" si="414"/>
        <v/>
      </c>
      <c r="DN81" s="64" t="str">
        <f ca="1">BI42&amp;","&amp;BI80&amp;","&amp;ED80&amp;","&amp;ED81</f>
        <v>508,500,508,503</v>
      </c>
      <c r="DP81" s="1" t="str">
        <f>IF(AND(DP44&lt;0,ABS(MIN(DP45:DP79))&gt;ABS(MAX(DP45:DP79))),IF(MIN(DP45:DP79)&lt;&gt;0,INDEX($A45:$A79,MATCH(MIN(DP45:DP79),DP45:DP79,0)),""),"")</f>
        <v/>
      </c>
      <c r="DQ81" s="1" t="str">
        <f>IF(AND(DQ44&lt;0,ABS(MIN(DQ45:DQ79))&gt;ABS(MAX(DQ45:DQ79))),IF(MIN(DQ45:DQ79)&lt;&gt;0,INDEX($A45:$A79,MATCH(MIN(DQ45:DQ79),DQ45:DQ79,0)),""),"")</f>
        <v/>
      </c>
      <c r="DR81" s="1" t="str">
        <f ca="1">IF(AND(DR44&lt;0,ABS(MIN(DR45:DR79))&gt;ABS(MAX(DR45:DR79))),IF(MIN(DR45:DR79)&lt;&gt;0,INDEX($A45:$A79,MATCH(MIN(DR45:DR79),DR45:DR79,0)),""),"")</f>
        <v/>
      </c>
      <c r="ED81" s="103">
        <f>IFERROR(IF(MIN(ED45:ED79)&lt;&gt;0,INDEX($A45:$A79,MATCH(MIN(ED45:ED79),ED45:ED79,0)),""),)</f>
        <v>503</v>
      </c>
      <c r="EU81" s="67">
        <v>571.15</v>
      </c>
      <c r="EV81" s="67" t="s">
        <v>667</v>
      </c>
      <c r="EW81" s="67">
        <v>495.74</v>
      </c>
      <c r="EX81" s="67" t="s">
        <v>668</v>
      </c>
      <c r="EY81" s="67">
        <v>5659.91</v>
      </c>
      <c r="EZ81" s="67" t="s">
        <v>669</v>
      </c>
      <c r="FA81" s="67">
        <v>20061.449000000001</v>
      </c>
      <c r="FB81" s="67" t="s">
        <v>670</v>
      </c>
      <c r="FC81" s="67" t="s">
        <v>671</v>
      </c>
      <c r="FD81" s="67" t="s">
        <v>672</v>
      </c>
      <c r="FE81" s="68" t="s">
        <v>673</v>
      </c>
      <c r="FF81" s="68" t="s">
        <v>674</v>
      </c>
    </row>
    <row r="82" spans="1:162" ht="13.5" thickBot="1" x14ac:dyDescent="0.25">
      <c r="A82" s="20" t="s">
        <v>9</v>
      </c>
      <c r="B82" s="45" t="s">
        <v>10</v>
      </c>
      <c r="C82" s="45" t="s">
        <v>9</v>
      </c>
      <c r="D82" s="45" t="s">
        <v>9</v>
      </c>
      <c r="E82" s="20">
        <f>RTD("tos.rtd", ,"MARK", A83)</f>
        <v>5844.19</v>
      </c>
      <c r="F82" s="20">
        <f>+[3]Sheet1!$AD$2</f>
        <v>5826.8235213891576</v>
      </c>
      <c r="AS82" s="22" t="str">
        <f>+B83</f>
        <v>250512</v>
      </c>
      <c r="AT82" s="22"/>
      <c r="AU82" s="22" t="str">
        <f>+C83</f>
        <v>250516</v>
      </c>
      <c r="AV82" s="22"/>
      <c r="AW82" s="22" t="str">
        <f>+D83</f>
        <v>250620</v>
      </c>
      <c r="AX82" s="22"/>
      <c r="BA82" s="22"/>
      <c r="BB82" s="22"/>
      <c r="BC82" s="22"/>
      <c r="BD82" s="22"/>
      <c r="BE82" s="22"/>
      <c r="BF82" s="22"/>
      <c r="BG82" s="96"/>
      <c r="BH82" s="1">
        <f ca="1">MAX(BH85:BH130)</f>
        <v>159030</v>
      </c>
      <c r="BI82" s="1">
        <f ca="1">IFERROR(IF(MAX(BH85:BH130)&lt;&gt;0,INDEX(A85:A130,MATCH(MAX(BH85:BH130),BH85:BH130,0)),""),"")</f>
        <v>5850</v>
      </c>
      <c r="BJ82" s="22"/>
      <c r="BK82" s="22"/>
      <c r="BL82" s="22"/>
      <c r="BM82" s="22"/>
      <c r="BN82" s="22"/>
      <c r="BO82" s="22"/>
      <c r="BQ82" s="22">
        <f ca="1">IF(BR82&gt;BS82,IF(MAX(BQ85:BQ130)&lt;&gt;0,INDEX(A85:A130,MATCH(MAX(BQ85:BQ130),BQ85:BQ130,0)),A84),IF(MIN(BQ85:BQ130)&lt;&gt;0,INDEX(A85:A130,MATCH(MIN(BQ85:BQ130),BQ85:BQ130,0))))</f>
        <v>5840</v>
      </c>
      <c r="BR82" s="22">
        <f ca="1">+MAX(BQ85:BQ130)</f>
        <v>31866667.309905265</v>
      </c>
      <c r="BS82" s="22">
        <f ca="1">ABS(MIN(BQ85:BQ130))</f>
        <v>523300.85219451599</v>
      </c>
      <c r="BT82" s="22"/>
      <c r="BU82" s="22"/>
      <c r="BV82" s="22"/>
      <c r="BX82" s="22">
        <f ca="1">IF(BY82&gt;BZ82,IF(MAX(BX85:BX130)&lt;&gt;0,INDEX(G85:G130,MATCH(MAX(BX85:BX130),BX85:BX130,0)),G84),IF(MIN(BX85:BX130)&lt;&gt;0,INDEX(G85:G130,MATCH(MIN(BX85:BX130),BX85:BX130,0))))</f>
        <v>582.77536697051403</v>
      </c>
      <c r="BY82" s="22">
        <f ca="1">+MAX(BX85:BX130)</f>
        <v>1792732927.9649959</v>
      </c>
      <c r="BZ82" s="22">
        <f ca="1">ABS(MIN(BX85:BX130))</f>
        <v>57509030.002128378</v>
      </c>
      <c r="CA82" s="22"/>
      <c r="CB82" s="22"/>
      <c r="CC82" s="22">
        <f ca="1">+AVERAGE(BY131:BY132,CA131:CA132,CC131:CC132)</f>
        <v>5820</v>
      </c>
      <c r="CD82" s="22"/>
      <c r="CE82" s="22"/>
      <c r="CF82" s="22"/>
      <c r="CG82" s="22"/>
      <c r="CH82" s="22"/>
      <c r="CI82" s="22"/>
      <c r="CK82" s="22">
        <f>IF(CL82&gt;CM82,IF(MAX(CK85:CK130)&lt;&gt;0,INDEX(N85:N130,MATCH(MAX(CK85:CK130),CK85:CK130,0)),N84),IF(MIN(CK85:CK130)&lt;&gt;0,INDEX(N85:N130,MATCH(MIN(CK85:CK130),CK85:CK130,0))))</f>
        <v>0</v>
      </c>
      <c r="CL82" s="22">
        <f>+MAX(CK85:CK130)</f>
        <v>465108</v>
      </c>
      <c r="CM82" s="22">
        <f>ABS(MIN(CK85:CK130))</f>
        <v>12460</v>
      </c>
      <c r="CN82" s="22"/>
      <c r="CO82" s="22"/>
      <c r="CP82" s="22"/>
      <c r="CQ82" s="22">
        <f>IF(CR82&gt;CS82,IF(MAX(CQ85:CQ130)&lt;&gt;0,INDEX(G85:G130,MATCH(MAX(CQ85:CQ130),CQ85:CQ130,0)),G84),IF(MIN(CQ85:CQ130)&lt;&gt;0,INDEX(G85:G130,MATCH(MIN(CQ85:CQ130),CQ85:CQ130,0))))</f>
        <v>583.77326999614843</v>
      </c>
      <c r="CR82" s="22">
        <f>+MAX(CQ85:CQ130)</f>
        <v>152318</v>
      </c>
      <c r="CS82" s="22">
        <f>ABS(MIN(CQ85:CQ130))</f>
        <v>42132</v>
      </c>
      <c r="CT82" s="22"/>
      <c r="CU82" s="22"/>
      <c r="CV82" s="22"/>
      <c r="CW82" s="22">
        <f ca="1">IF(CX82&gt;CY82,IF(MAX(CW85:CW130)&lt;&gt;0,INDEX(M85:M130,MATCH(MAX(CW85:CW130),CW85:CW130,0)),M84),IF(MIN(CW85:CW130)&lt;&gt;0,INDEX(M85:M130,MATCH(MIN(CW85:CW130),CW85:CW130,0))))</f>
        <v>0</v>
      </c>
      <c r="CX82" s="61">
        <f ca="1">+MAX(CW85:CW130)</f>
        <v>31420818.938673411</v>
      </c>
      <c r="CY82" s="22">
        <f ca="1">ABS(MIN(CW85:CW130))</f>
        <v>2953159.0092027644</v>
      </c>
      <c r="DA82" s="22"/>
      <c r="DB82" s="22"/>
      <c r="DC82" s="22"/>
      <c r="DD82" s="22"/>
      <c r="DE82" s="22"/>
      <c r="DF82" s="22"/>
      <c r="DH82" s="22"/>
      <c r="DI82" s="22"/>
      <c r="DJ82" s="22"/>
      <c r="DK82" s="22"/>
      <c r="DL82" s="22"/>
      <c r="DM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E82" s="22"/>
      <c r="EF82" s="22"/>
      <c r="EG82" s="22"/>
      <c r="EH82" s="22"/>
      <c r="EI82" s="22"/>
      <c r="EJ82" s="22"/>
      <c r="EL82" s="22"/>
      <c r="EM82" s="22"/>
      <c r="EN82" s="22"/>
      <c r="EO82" s="22"/>
      <c r="EP82" s="22"/>
      <c r="EQ82" s="22"/>
      <c r="EU82" s="67">
        <v>571.17999999999995</v>
      </c>
      <c r="EV82" s="67" t="s">
        <v>675</v>
      </c>
      <c r="EW82" s="67">
        <v>495.88</v>
      </c>
      <c r="EX82" s="67" t="s">
        <v>676</v>
      </c>
      <c r="EY82" s="67">
        <v>5659.91</v>
      </c>
      <c r="EZ82" s="67" t="s">
        <v>677</v>
      </c>
      <c r="FA82" s="67">
        <v>20061.449000000001</v>
      </c>
      <c r="FB82" s="67" t="s">
        <v>678</v>
      </c>
      <c r="FC82" s="67" t="s">
        <v>679</v>
      </c>
      <c r="FD82" s="67" t="s">
        <v>680</v>
      </c>
      <c r="FE82" s="68" t="s">
        <v>681</v>
      </c>
      <c r="FF82" s="68" t="s">
        <v>682</v>
      </c>
    </row>
    <row r="83" spans="1:162" s="63" customFormat="1" ht="13.5" thickBot="1" x14ac:dyDescent="0.25">
      <c r="A83" s="45" t="s">
        <v>9</v>
      </c>
      <c r="B83" s="45" t="str">
        <f>+B2</f>
        <v>250512</v>
      </c>
      <c r="C83" s="45" t="str">
        <f>+C2</f>
        <v>250516</v>
      </c>
      <c r="D83" s="45" t="str">
        <f>+D2</f>
        <v>250620</v>
      </c>
      <c r="E83" s="45"/>
      <c r="F83" s="18" t="s">
        <v>0</v>
      </c>
      <c r="G83" s="18" t="s">
        <v>13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 t="s">
        <v>7</v>
      </c>
      <c r="AQ83" s="20" t="s">
        <v>7</v>
      </c>
      <c r="AR83" s="20"/>
      <c r="AS83" s="18" t="s">
        <v>1</v>
      </c>
      <c r="AT83" s="18" t="s">
        <v>1</v>
      </c>
      <c r="AU83" s="18" t="s">
        <v>1</v>
      </c>
      <c r="AV83" s="18" t="s">
        <v>1</v>
      </c>
      <c r="AW83" s="18" t="s">
        <v>1</v>
      </c>
      <c r="AX83" s="51" t="s">
        <v>1</v>
      </c>
      <c r="AY83" s="20"/>
      <c r="AZ83" s="20"/>
      <c r="BA83" s="18" t="s">
        <v>7</v>
      </c>
      <c r="BB83" s="18" t="s">
        <v>7</v>
      </c>
      <c r="BC83" s="18" t="s">
        <v>7</v>
      </c>
      <c r="BD83" s="18" t="s">
        <v>7</v>
      </c>
      <c r="BE83" s="18" t="s">
        <v>7</v>
      </c>
      <c r="BF83" s="51" t="s">
        <v>7</v>
      </c>
      <c r="BG83" s="97"/>
      <c r="BH83" s="20" t="s">
        <v>15</v>
      </c>
      <c r="BI83" s="20"/>
      <c r="BJ83" s="18" t="str">
        <f>+BJ43</f>
        <v>GAMMA</v>
      </c>
      <c r="BK83" s="18" t="str">
        <f>+BJ83</f>
        <v>GAMMA</v>
      </c>
      <c r="BL83" s="18" t="str">
        <f>+BK83</f>
        <v>GAMMA</v>
      </c>
      <c r="BM83" s="18" t="str">
        <f>+BL83</f>
        <v>GAMMA</v>
      </c>
      <c r="BN83" s="18" t="str">
        <f>+BM83</f>
        <v>GAMMA</v>
      </c>
      <c r="BO83" s="51" t="str">
        <f>+BN83</f>
        <v>GAMMA</v>
      </c>
      <c r="BQ83" s="18" t="s">
        <v>11</v>
      </c>
      <c r="BR83" s="18"/>
      <c r="BS83" s="18" t="s">
        <v>11</v>
      </c>
      <c r="BT83" s="18"/>
      <c r="BU83" s="18" t="s">
        <v>11</v>
      </c>
      <c r="BV83" s="51"/>
      <c r="BX83" s="18" t="s">
        <v>11</v>
      </c>
      <c r="BY83" s="18"/>
      <c r="BZ83" s="18" t="s">
        <v>11</v>
      </c>
      <c r="CA83" s="18"/>
      <c r="CB83" s="18" t="s">
        <v>11</v>
      </c>
      <c r="CC83" s="51"/>
      <c r="CD83" s="18" t="str">
        <f>+CD43</f>
        <v>DELTA</v>
      </c>
      <c r="CE83" s="18" t="str">
        <f>+CD83</f>
        <v>DELTA</v>
      </c>
      <c r="CF83" s="18" t="str">
        <f>+CE83</f>
        <v>DELTA</v>
      </c>
      <c r="CG83" s="18" t="str">
        <f>+CF83</f>
        <v>DELTA</v>
      </c>
      <c r="CH83" s="18" t="str">
        <f>+CG83</f>
        <v>DELTA</v>
      </c>
      <c r="CI83" s="51" t="str">
        <f>+CH83</f>
        <v>DELTA</v>
      </c>
      <c r="CK83" s="18" t="s">
        <v>20</v>
      </c>
      <c r="CL83" s="18"/>
      <c r="CM83" s="18" t="s">
        <v>20</v>
      </c>
      <c r="CN83" s="18"/>
      <c r="CO83" s="18" t="s">
        <v>20</v>
      </c>
      <c r="CP83" s="51"/>
      <c r="CQ83" s="18" t="s">
        <v>16</v>
      </c>
      <c r="CR83" s="18"/>
      <c r="CS83" s="18" t="s">
        <v>16</v>
      </c>
      <c r="CT83" s="18"/>
      <c r="CU83" s="18" t="s">
        <v>16</v>
      </c>
      <c r="CV83" s="51"/>
      <c r="CW83" s="51" t="s">
        <v>11</v>
      </c>
      <c r="CY83" s="51" t="s">
        <v>11</v>
      </c>
      <c r="DA83" s="18" t="s">
        <v>25</v>
      </c>
      <c r="DB83" s="18" t="s">
        <v>25</v>
      </c>
      <c r="DC83" s="18" t="s">
        <v>27</v>
      </c>
      <c r="DD83" s="18" t="s">
        <v>27</v>
      </c>
      <c r="DE83" s="18" t="s">
        <v>26</v>
      </c>
      <c r="DF83" s="18" t="s">
        <v>26</v>
      </c>
      <c r="DG83" s="63">
        <v>350</v>
      </c>
      <c r="DH83" s="18"/>
      <c r="DI83" s="18"/>
      <c r="DJ83" s="18"/>
      <c r="DK83" s="18"/>
      <c r="DL83" s="18"/>
      <c r="DM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E83" s="18" t="str">
        <f>+EE43</f>
        <v>IMPL_VOL</v>
      </c>
      <c r="EF83" s="18" t="str">
        <f>+EE83</f>
        <v>IMPL_VOL</v>
      </c>
      <c r="EG83" s="18" t="str">
        <f>+EF83</f>
        <v>IMPL_VOL</v>
      </c>
      <c r="EH83" s="18" t="str">
        <f>+EG83</f>
        <v>IMPL_VOL</v>
      </c>
      <c r="EI83" s="18" t="str">
        <f>+EH83</f>
        <v>IMPL_VOL</v>
      </c>
      <c r="EJ83" s="18" t="str">
        <f>+EI83</f>
        <v>IMPL_VOL</v>
      </c>
      <c r="EL83" s="18" t="str">
        <f>+EL43</f>
        <v>IMPL_VOL</v>
      </c>
      <c r="EM83" s="18" t="str">
        <f>+EL83</f>
        <v>IMPL_VOL</v>
      </c>
      <c r="EN83" s="18" t="str">
        <f>+EM83</f>
        <v>IMPL_VOL</v>
      </c>
      <c r="EO83" s="18" t="str">
        <f>+EN83</f>
        <v>IMPL_VOL</v>
      </c>
      <c r="EP83" s="18" t="str">
        <f>+EO83</f>
        <v>IMPL_VOL</v>
      </c>
      <c r="EQ83" s="18" t="str">
        <f>+EP83</f>
        <v>IMPL_VOL</v>
      </c>
      <c r="EU83" s="67">
        <v>571.12</v>
      </c>
      <c r="EV83" s="67" t="s">
        <v>683</v>
      </c>
      <c r="EW83" s="67">
        <v>495.8</v>
      </c>
      <c r="EX83" s="67" t="s">
        <v>684</v>
      </c>
      <c r="EY83" s="67">
        <v>5659.91</v>
      </c>
      <c r="EZ83" s="67" t="s">
        <v>685</v>
      </c>
      <c r="FA83" s="67">
        <v>20061.449000000001</v>
      </c>
      <c r="FB83" s="67" t="s">
        <v>686</v>
      </c>
      <c r="FC83" s="67" t="s">
        <v>687</v>
      </c>
      <c r="FD83" s="67" t="s">
        <v>688</v>
      </c>
      <c r="FE83" s="68" t="s">
        <v>689</v>
      </c>
      <c r="FF83" s="68" t="s">
        <v>690</v>
      </c>
    </row>
    <row r="84" spans="1:162" s="63" customFormat="1" ht="13.5" thickBot="1" x14ac:dyDescent="0.25">
      <c r="A84" s="46">
        <f>+D81</f>
        <v>5841.75</v>
      </c>
      <c r="B84" s="27">
        <f>+AS84/AT84</f>
        <v>-3.0566636446056212</v>
      </c>
      <c r="C84" s="27">
        <f>+AU84/AV84</f>
        <v>-1.201932516407453</v>
      </c>
      <c r="D84" s="27">
        <f>+AW84/AX84</f>
        <v>-1.0661643563701326</v>
      </c>
      <c r="E84" s="28">
        <v>0</v>
      </c>
      <c r="F84" s="47">
        <f>RTD("tos.rtd", ,"MARK", F83)</f>
        <v>5865.75</v>
      </c>
      <c r="G84" s="47">
        <f>RTD("tos.rtd", ,"MARK", G83)</f>
        <v>582.95000000000005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>
        <v>0</v>
      </c>
      <c r="AP84" s="20">
        <v>814471</v>
      </c>
      <c r="AQ84" s="20">
        <v>-617484</v>
      </c>
      <c r="AR84" s="20"/>
      <c r="AS84" s="52">
        <f t="shared" ref="AS84:AX84" si="415">SUM(AS85:AS130)</f>
        <v>53944</v>
      </c>
      <c r="AT84" s="53">
        <f t="shared" si="415"/>
        <v>-17648</v>
      </c>
      <c r="AU84" s="52">
        <f t="shared" si="415"/>
        <v>241193</v>
      </c>
      <c r="AV84" s="53">
        <f t="shared" si="415"/>
        <v>-200671</v>
      </c>
      <c r="AW84" s="52">
        <f t="shared" si="415"/>
        <v>644539</v>
      </c>
      <c r="AX84" s="53">
        <f t="shared" si="415"/>
        <v>-604540</v>
      </c>
      <c r="AY84" s="53">
        <f>SUM(AY85:AY130)</f>
        <v>116817</v>
      </c>
      <c r="AZ84" s="20">
        <v>0</v>
      </c>
      <c r="BA84" s="52">
        <f t="shared" ref="BA84:BF84" si="416">SUM(BA85:BA130)</f>
        <v>814471</v>
      </c>
      <c r="BB84" s="53">
        <f t="shared" si="416"/>
        <v>-617484</v>
      </c>
      <c r="BC84" s="52">
        <f t="shared" si="416"/>
        <v>55185</v>
      </c>
      <c r="BD84" s="53">
        <f t="shared" si="416"/>
        <v>-39168</v>
      </c>
      <c r="BE84" s="52">
        <f t="shared" si="416"/>
        <v>66712</v>
      </c>
      <c r="BF84" s="53">
        <f t="shared" si="416"/>
        <v>-56708</v>
      </c>
      <c r="BG84" s="53"/>
      <c r="BH84" s="53">
        <f ca="1">SUM(BH85:BH130)</f>
        <v>205412</v>
      </c>
      <c r="BI84" s="20"/>
      <c r="BJ84" s="73">
        <f t="shared" ref="BJ84:BU84" ca="1" si="417">SUM(BJ85:BJ130)</f>
        <v>0.20074034237226362</v>
      </c>
      <c r="BK84" s="74">
        <f t="shared" ref="BK84" ca="1" si="418">SUM(BK85:BK130)</f>
        <v>-0.21030614294515426</v>
      </c>
      <c r="BL84" s="73">
        <f t="shared" ref="BL84" ca="1" si="419">SUM(BL85:BL130)</f>
        <v>9.3041537685803324E-2</v>
      </c>
      <c r="BM84" s="74">
        <f t="shared" ref="BM84" ca="1" si="420">SUM(BM85:BM130)</f>
        <v>-9.2991377317111795E-2</v>
      </c>
      <c r="BN84" s="73">
        <f t="shared" ref="BN84" ca="1" si="421">SUM(BN85:BN130)</f>
        <v>9.6244999665466818E-2</v>
      </c>
      <c r="BO84" s="74">
        <f t="shared" ref="BO84" ca="1" si="422">SUM(BO85:BO130)</f>
        <v>-9.5273577447869767E-2</v>
      </c>
      <c r="BQ84" s="73">
        <f t="shared" ca="1" si="417"/>
        <v>85505847.098479509</v>
      </c>
      <c r="BR84" s="74"/>
      <c r="BS84" s="73">
        <f t="shared" ca="1" si="417"/>
        <v>26808501.223330986</v>
      </c>
      <c r="BT84" s="74"/>
      <c r="BU84" s="73">
        <f t="shared" ca="1" si="417"/>
        <v>22329557.108153213</v>
      </c>
      <c r="BV84" s="74"/>
      <c r="BX84" s="73">
        <f t="shared" ref="BX84" ca="1" si="423">SUM(BX85:BX130)</f>
        <v>2678145953.9960499</v>
      </c>
      <c r="BY84" s="74"/>
      <c r="BZ84" s="73">
        <f t="shared" ref="BZ84" ca="1" si="424">SUM(BZ85:BZ130)</f>
        <v>12082867.049389491</v>
      </c>
      <c r="CA84" s="74"/>
      <c r="CB84" s="73">
        <f t="shared" ref="CB84" ca="1" si="425">SUM(CB85:CB130)</f>
        <v>7987778.8637263048</v>
      </c>
      <c r="CC84" s="74"/>
      <c r="CD84" s="73">
        <f t="shared" ref="CD84:CI84" si="426">SUM(CD85:CD130)</f>
        <v>27.389999999999997</v>
      </c>
      <c r="CE84" s="74">
        <f t="shared" si="426"/>
        <v>8.02</v>
      </c>
      <c r="CF84" s="73">
        <f t="shared" si="426"/>
        <v>27.63</v>
      </c>
      <c r="CG84" s="74">
        <f t="shared" si="426"/>
        <v>18.609999999999992</v>
      </c>
      <c r="CH84" s="73">
        <f t="shared" si="426"/>
        <v>27.159999999999993</v>
      </c>
      <c r="CI84" s="74">
        <f t="shared" si="426"/>
        <v>18.989999999999998</v>
      </c>
      <c r="CK84" s="73">
        <f t="shared" ref="CK84" si="427">SUM(CK85:CK130)</f>
        <v>3477369</v>
      </c>
      <c r="CL84" s="74"/>
      <c r="CM84" s="73">
        <f t="shared" ref="CM84" si="428">SUM(CM85:CM130)</f>
        <v>2772652</v>
      </c>
      <c r="CN84" s="74"/>
      <c r="CO84" s="73">
        <f t="shared" ref="CO84" si="429">SUM(CO85:CO130)</f>
        <v>8443981.9999999981</v>
      </c>
      <c r="CP84" s="74"/>
      <c r="CQ84" s="73">
        <f t="shared" ref="CQ84" si="430">SUM(CQ85:CQ130)</f>
        <v>196987</v>
      </c>
      <c r="CR84" s="74"/>
      <c r="CS84" s="73">
        <f t="shared" ref="CS84" si="431">SUM(CS85:CS130)</f>
        <v>16017</v>
      </c>
      <c r="CT84" s="74">
        <f t="shared" ref="CT84:CU84" si="432">SUM(CT85:CT130)</f>
        <v>0</v>
      </c>
      <c r="CU84" s="73">
        <f t="shared" si="432"/>
        <v>10004</v>
      </c>
      <c r="CV84" s="74"/>
      <c r="CW84" s="74">
        <f t="shared" ref="CW84" ca="1" si="433">SUM(CW85:CW130)</f>
        <v>134643905.42996374</v>
      </c>
      <c r="CY84" s="74">
        <f t="shared" ref="CY84" ca="1" si="434">SUM(CY85:CY130)</f>
        <v>2698216599.9091659</v>
      </c>
      <c r="DA84" s="73">
        <f t="shared" ref="DA84:DB84" si="435">SUM(DA85:DA130)</f>
        <v>3709.1699999999996</v>
      </c>
      <c r="DB84" s="74">
        <f t="shared" si="435"/>
        <v>495.08999999999992</v>
      </c>
      <c r="DC84" s="73">
        <f t="shared" ref="DC84:DF84" si="436">SUM(DC85:DC130)</f>
        <v>4018.1</v>
      </c>
      <c r="DD84" s="74">
        <f t="shared" si="436"/>
        <v>461.80000000000024</v>
      </c>
      <c r="DE84" s="73">
        <f t="shared" si="436"/>
        <v>3799.0999999999995</v>
      </c>
      <c r="DF84" s="73">
        <f t="shared" si="436"/>
        <v>427.30000000000013</v>
      </c>
      <c r="DH84" s="73" t="e">
        <f t="shared" ref="DH84:DM84" si="437">SUM(DH85:DH130)</f>
        <v>#DIV/0!</v>
      </c>
      <c r="DI84" s="74" t="e">
        <f t="shared" si="437"/>
        <v>#DIV/0!</v>
      </c>
      <c r="DJ84" s="73">
        <f t="shared" si="437"/>
        <v>0</v>
      </c>
      <c r="DK84" s="74">
        <f t="shared" si="437"/>
        <v>0</v>
      </c>
      <c r="DL84" s="73" t="e">
        <f t="shared" si="437"/>
        <v>#DIV/0!</v>
      </c>
      <c r="DM84" s="73">
        <f t="shared" si="437"/>
        <v>0</v>
      </c>
      <c r="DP84" s="73" t="e">
        <f t="shared" ref="DP84:DS84" si="438">SUM(DP85:DP130)</f>
        <v>#DIV/0!</v>
      </c>
      <c r="DQ84" s="74">
        <f t="shared" si="438"/>
        <v>0</v>
      </c>
      <c r="DR84" s="73">
        <f t="shared" ca="1" si="438"/>
        <v>0</v>
      </c>
      <c r="DS84" s="74">
        <f t="shared" si="438"/>
        <v>0</v>
      </c>
      <c r="DT84" s="73"/>
      <c r="DU84" s="73"/>
      <c r="DV84" s="73"/>
      <c r="DW84" s="74"/>
      <c r="DX84" s="73"/>
      <c r="DY84" s="74"/>
      <c r="DZ84" s="73"/>
      <c r="EA84" s="74"/>
      <c r="EB84" s="73"/>
      <c r="EC84" s="73"/>
      <c r="EE84" s="73">
        <f t="shared" ref="EE84" si="439">SUM(EE85:EE130)</f>
        <v>36.222699999999996</v>
      </c>
      <c r="EF84" s="74">
        <f t="shared" ref="EF84" si="440">SUM(EF85:EF130)</f>
        <v>34.955899999999993</v>
      </c>
      <c r="EG84" s="73">
        <f t="shared" ref="EG84" si="441">SUM(EG85:EG130)</f>
        <v>8.6137999999999995</v>
      </c>
      <c r="EH84" s="74">
        <f t="shared" ref="EH84" si="442">SUM(EH85:EH130)</f>
        <v>8.9895000000000032</v>
      </c>
      <c r="EI84" s="73">
        <f t="shared" ref="EI84" si="443">SUM(EI85:EI130)</f>
        <v>7.1894000000000009</v>
      </c>
      <c r="EJ84" s="73">
        <f t="shared" ref="EJ84" si="444">SUM(EJ85:EJ130)</f>
        <v>7.6626000000000012</v>
      </c>
      <c r="EK84" s="63">
        <f ca="1">SUM(EK85:EK130)</f>
        <v>7681740510.462429</v>
      </c>
      <c r="EL84" s="73">
        <f t="shared" ref="EL84" si="445">SUM(EL85:EL130)</f>
        <v>0</v>
      </c>
      <c r="EM84" s="74">
        <f t="shared" ref="EM84" si="446">SUM(EM85:EM130)</f>
        <v>0</v>
      </c>
      <c r="EN84" s="73">
        <f t="shared" ref="EN84" si="447">SUM(EN85:EN130)</f>
        <v>0</v>
      </c>
      <c r="EO84" s="74">
        <f t="shared" ref="EO84" si="448">SUM(EO85:EO130)</f>
        <v>0</v>
      </c>
      <c r="EP84" s="73">
        <f t="shared" ref="EP84" si="449">SUM(EP85:EP130)</f>
        <v>0</v>
      </c>
      <c r="EQ84" s="73">
        <f t="shared" ref="EQ84" si="450">SUM(EQ85:EQ130)</f>
        <v>0</v>
      </c>
      <c r="EU84" s="67">
        <v>571.54999999999995</v>
      </c>
      <c r="EV84" s="67" t="s">
        <v>691</v>
      </c>
      <c r="EW84" s="67">
        <v>496.27</v>
      </c>
      <c r="EX84" s="67" t="s">
        <v>692</v>
      </c>
      <c r="EY84" s="67">
        <v>5659.91</v>
      </c>
      <c r="EZ84" s="67" t="s">
        <v>693</v>
      </c>
      <c r="FA84" s="67">
        <v>20061.449000000001</v>
      </c>
      <c r="FB84" s="67" t="s">
        <v>694</v>
      </c>
      <c r="FC84" s="67" t="s">
        <v>695</v>
      </c>
      <c r="FD84" s="67" t="s">
        <v>696</v>
      </c>
      <c r="FE84" s="68" t="s">
        <v>697</v>
      </c>
      <c r="FF84" s="68" t="s">
        <v>698</v>
      </c>
    </row>
    <row r="85" spans="1:162" s="63" customFormat="1" ht="12" customHeight="1" thickBot="1" x14ac:dyDescent="0.25">
      <c r="A85" s="2">
        <f>ROUND(E81/A81,0)*A81+22*A81</f>
        <v>6020</v>
      </c>
      <c r="B85" s="3">
        <f t="shared" ref="B85:B130" si="451">+IF($A$1="ABS",AS85-AT85,AS85+AT85)</f>
        <v>0</v>
      </c>
      <c r="C85" s="3">
        <f t="shared" ref="C85:C130" si="452">+IF($A$1="ABS",AU85-AV85,AU85+AV85)</f>
        <v>987</v>
      </c>
      <c r="D85" s="3">
        <f t="shared" ref="D85:D130" si="453">+IF($A$1="ABS",AW85-AX85,AW85+AX85)</f>
        <v>797</v>
      </c>
      <c r="E85" s="3">
        <f t="shared" ref="E85:E96" si="454">SUM(B85:D85)</f>
        <v>1784</v>
      </c>
      <c r="F85" s="4">
        <f>+$F$84/$A$84*A85</f>
        <v>6044.7323148029272</v>
      </c>
      <c r="G85" s="4">
        <f>+$G$84/$A$84*A85</f>
        <v>600.73762143193392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>
        <v>-6</v>
      </c>
      <c r="AN85" s="20">
        <v>0</v>
      </c>
      <c r="AO85" s="20">
        <v>6020</v>
      </c>
      <c r="AP85" s="20">
        <v>0</v>
      </c>
      <c r="AQ85" s="20">
        <v>0</v>
      </c>
      <c r="AR85" s="20"/>
      <c r="AS85" s="73">
        <f>IF(RTD("tos.rtd",,AS$83,"."&amp;$B$82&amp;$AS$82&amp;"C"&amp;$A85)="N/A",0,RTD("tos.rtd",,AS$83,"."&amp;$B$82&amp;$AS$82&amp;"C"&amp;$A85))</f>
        <v>0</v>
      </c>
      <c r="AT85" s="28">
        <f>-IF(RTD("tos.rtd",,AT$83,"."&amp;$B$82&amp;$AS$82&amp;"P"&amp;$A85)="N/A",0,RTD("tos.rtd",,AT$83,"."&amp;$B$82&amp;$AS$82&amp;"P"&amp;$A85))</f>
        <v>0</v>
      </c>
      <c r="AU85" s="73">
        <f>IF(RTD("tos.rtd",,AU$83,"."&amp;$C$82&amp;$AU$82&amp;"C"&amp;$A85)="N/A",0,RTD("tos.rtd",,AU$83,"."&amp;$C$82&amp;$AU$82&amp;"C"&amp;$A85))</f>
        <v>639</v>
      </c>
      <c r="AV85" s="28">
        <f>-IF(RTD("tos.rtd",,AV$83,"."&amp;$C$82&amp;$AU$82&amp;"P"&amp;$A85)="N/A",0,RTD("tos.rtd",,AV$83,"."&amp;$C$82&amp;$AU$82&amp;"P"&amp;$A85))</f>
        <v>-348</v>
      </c>
      <c r="AW85" s="73">
        <f>IF(RTD("tos.rtd",,AW$83,"."&amp;$D$82&amp;$AW$82&amp;"C"&amp;$A85)="N/A",0,RTD("tos.rtd",,AW$83,"."&amp;$D$82&amp;$AW$82&amp;"C"&amp;$A85))</f>
        <v>375</v>
      </c>
      <c r="AX85" s="28">
        <f>-IF(RTD("tos.rtd",,AX$83,"."&amp;$D$82&amp;$AW$82&amp;"P"&amp;$A85)="N/A",0,RTD("tos.rtd",,AX$83,"."&amp;$D$82&amp;$AW$82&amp;"P"&amp;$A85))</f>
        <v>-422</v>
      </c>
      <c r="AY85" s="78">
        <f>SUM(AS85:AX85)</f>
        <v>244</v>
      </c>
      <c r="AZ85" s="8">
        <f t="shared" ref="AZ85:AZ130" si="455">+A85</f>
        <v>6020</v>
      </c>
      <c r="BA85" s="73">
        <f>IF(RTD("tos.rtd",,BA$83,"."&amp;$B$82&amp;$AS$82&amp;"C"&amp;$A85)="N/A",0,RTD("tos.rtd",,BA$83,"."&amp;$B$82&amp;$AS$82&amp;"C"&amp;$A85))</f>
        <v>0</v>
      </c>
      <c r="BB85" s="28">
        <f>-IF(RTD("tos.rtd",,BB$83,"."&amp;$B$82&amp;$AS$82&amp;"P"&amp;$A85)="N/A",0,RTD("tos.rtd",,BB$83,"."&amp;$B$82&amp;$AS$82&amp;"P"&amp;$A85))</f>
        <v>0</v>
      </c>
      <c r="BC85" s="73">
        <f>IF(RTD("tos.rtd",,BC$83,"."&amp;$C$82&amp;$AU$82&amp;"C"&amp;$A85)="N/A",0,RTD("tos.rtd",,BC$83,"."&amp;$C$82&amp;$AU$82&amp;"C"&amp;$A85))</f>
        <v>110</v>
      </c>
      <c r="BD85" s="28">
        <f>-IF(RTD("tos.rtd",,BD$83,"."&amp;$C$82&amp;$AU$82&amp;"P"&amp;$A85)="N/A",0,RTD("tos.rtd",,BD$83,"."&amp;$C$82&amp;$AU$82&amp;"P"&amp;$A85))</f>
        <v>0</v>
      </c>
      <c r="BE85" s="73">
        <f>IF(RTD("tos.rtd",,BE$83,"."&amp;$D$82&amp;$AW$82&amp;"C"&amp;$A85)="N/A",0,RTD("tos.rtd",,BE$83,"."&amp;$D$82&amp;$AW$82&amp;"C"&amp;$A85))</f>
        <v>1675</v>
      </c>
      <c r="BF85" s="28">
        <f>-IF(RTD("tos.rtd",,BF$83,"."&amp;$D$82&amp;$AW$82&amp;"P"&amp;$A85)="N/A",0,RTD("tos.rtd",,BF$83,"."&amp;$D$82&amp;$AW$82&amp;"P"&amp;$A85))</f>
        <v>0</v>
      </c>
      <c r="BG85" s="28">
        <f ca="1">+Hoja2!Y86</f>
        <v>298</v>
      </c>
      <c r="BH85" s="74">
        <f>SUM(BA85:BF85)</f>
        <v>1785</v>
      </c>
      <c r="BI85" s="1"/>
      <c r="BJ85" s="3">
        <f ca="1">IF($BP$1=1,DX85,IF(RTD("tos.rtd",,BJ$83,"."&amp;$B$82&amp;$AS$82&amp;"C"&amp;$A85)="N/A",0,RTD("tos.rtd",,BJ$83,"."&amp;$B$82&amp;$AS$82&amp;"C"&amp;$A85)))</f>
        <v>1.1698084100903416E-22</v>
      </c>
      <c r="BK85" s="3">
        <f ca="1">IF($BP$1=1,DY85,-IF(RTD("tos.rtd",,BK$83,"."&amp;$B$82&amp;$AS$82&amp;"P"&amp;$A85)="N/A",0,RTD("tos.rtd",,BK$83,"."&amp;$B$82&amp;$AS$82&amp;"P"&amp;$A85)))</f>
        <v>-1.1698084100903416E-22</v>
      </c>
      <c r="BL85" s="3">
        <f ca="1">IF($BP$1=1,DZ85,IF(RTD("tos.rtd",,BL$83,"."&amp;$C$82&amp;$AU$82&amp;"C"&amp;$A85)="N/A",0,RTD("tos.rtd",,BL$83,"."&amp;$C$82&amp;$AU$82&amp;"C"&amp;$A85)))</f>
        <v>1.251106288153741E-3</v>
      </c>
      <c r="BM85" s="3">
        <f ca="1">IF($BP$1=1,EA85,-IF(RTD("tos.rtd",,BM$83,"."&amp;$C$82&amp;$AU$82&amp;"P"&amp;$A85)="N/A",0,RTD("tos.rtd",,BM$83,"."&amp;$C$82&amp;$AU$82&amp;"P"&amp;$A85)))</f>
        <v>-1.2887265886965783E-3</v>
      </c>
      <c r="BN85" s="3">
        <f ca="1">IF($BP$1=1,EB85,IF(RTD("tos.rtd",,BN$83,"."&amp;$D$82&amp;$AW$82&amp;"C"&amp;$A85)="N/A",0,RTD("tos.rtd",,BN$83,"."&amp;$D$82&amp;$AW$82&amp;"C"&amp;$A85)))</f>
        <v>8.3719224544089932E-4</v>
      </c>
      <c r="BO85" s="3">
        <f ca="1">IF($BP$1=1,EC85,-IF(RTD("tos.rtd",,BO$83,"."&amp;$D$82&amp;$AW$82&amp;"P"&amp;$A85)="N/A",0,RTD("tos.rtd",,BO$83,"."&amp;$D$82&amp;$AW$82&amp;"P"&amp;$A85)))</f>
        <v>-9.7259710634749587E-4</v>
      </c>
      <c r="BQ85" s="3">
        <f t="shared" ref="BQ85:BQ130" ca="1" si="456">+$A$44*$A$44*AS85*BJ85-$A$44*$A$44*AT85*BK85</f>
        <v>0</v>
      </c>
      <c r="BR85" s="3"/>
      <c r="BS85" s="3">
        <f t="shared" ref="BS85:BS130" ca="1" si="457">+$A$44*$A$44*AU85*BL85-$A$44*$A$44*AV85*BM85</f>
        <v>90454.117581796163</v>
      </c>
      <c r="BT85" s="3"/>
      <c r="BU85" s="3">
        <f t="shared" ref="BU85:BU130" ca="1" si="458">+$A$44*$A$44*AW85*BN85-$A$44*$A$44*AX85*BO85</f>
        <v>-24866.988126086493</v>
      </c>
      <c r="BV85" s="3"/>
      <c r="BX85" s="3">
        <f t="shared" ref="BX85:BX130" ca="1" si="459">+$A$44*$A$44*BA85*BJ85-$A$44*$A$44*BB85*BK85</f>
        <v>0</v>
      </c>
      <c r="BY85" s="3"/>
      <c r="BZ85" s="3">
        <f t="shared" ref="BZ85:BZ130" ca="1" si="460">+$A$44*$A$44*BC85*BL85-$A$44*$A$44*BD85*BM85</f>
        <v>35467.680117959557</v>
      </c>
      <c r="CA85" s="3"/>
      <c r="CB85" s="3">
        <f t="shared" ref="CB85:CB130" ca="1" si="461">+$A$44*$A$44*BE85*BN85-$A$44*$A$44*BF85*BO85</f>
        <v>361398.12850201142</v>
      </c>
      <c r="CC85" s="3"/>
      <c r="CD85" s="3">
        <f>IF(RTD("tos.rtd",,CD$83,"."&amp;$B$82&amp;$AS$82&amp;"C"&amp;$A85)="N/A",0,RTD("tos.rtd",,CD$83,"."&amp;$B$82&amp;$AS$82&amp;"C"&amp;$A85))</f>
        <v>0</v>
      </c>
      <c r="CE85" s="3">
        <f>-IF(RTD("tos.rtd",,CE$83,"."&amp;$B$82&amp;$AS$82&amp;"P"&amp;$A85)="N/A",0,RTD("tos.rtd",,CE$83,"."&amp;$B$82&amp;$AS$82&amp;"P"&amp;$A85))</f>
        <v>0</v>
      </c>
      <c r="CF85" s="3">
        <f>IF(RTD("tos.rtd",,CF$83,"."&amp;$C$82&amp;$AU$82&amp;"C"&amp;$A85)="N/A",0,RTD("tos.rtd",,CF$83,"."&amp;$C$82&amp;$AU$82&amp;"C"&amp;$A85))</f>
        <v>0.05</v>
      </c>
      <c r="CG85" s="3">
        <f>-IF(RTD("tos.rtd",,CG$83,"."&amp;$C$82&amp;$AU$82&amp;"P"&amp;$A85)="N/A",0,RTD("tos.rtd",,CG$83,"."&amp;$C$82&amp;$AU$82&amp;"P"&amp;$A85))</f>
        <v>0.95</v>
      </c>
      <c r="CH85" s="3">
        <f>IF(RTD("tos.rtd",,CH$83,"."&amp;$D$82&amp;$AW$82&amp;"C"&amp;$A85)="N/A",0,RTD("tos.rtd",,CH$83,"."&amp;$D$82&amp;$AW$82&amp;"C"&amp;$A85))</f>
        <v>0.28999999999999998</v>
      </c>
      <c r="CI85" s="3">
        <f>-IF(RTD("tos.rtd",,CI$83,"."&amp;$D$82&amp;$AW$82&amp;"P"&amp;$A85)="N/A",0,RTD("tos.rtd",,CI$83,"."&amp;$D$82&amp;$AW$82&amp;"P"&amp;$A85))</f>
        <v>0.7</v>
      </c>
      <c r="CK85" s="3">
        <f>+AS85*CD85*100+AT85*CE85*100</f>
        <v>0</v>
      </c>
      <c r="CL85" s="3"/>
      <c r="CM85" s="3">
        <f>+AU85*CF85*100+AV85*CG85*100</f>
        <v>-29865</v>
      </c>
      <c r="CN85" s="3"/>
      <c r="CO85" s="3">
        <f>+AW85*CH85*100+AX85*CI85*100</f>
        <v>-18665</v>
      </c>
      <c r="CP85" s="3">
        <f t="shared" ref="CP85:CP130" si="462">+CK85+CM85+CO85</f>
        <v>-48530</v>
      </c>
      <c r="CQ85" s="3">
        <f t="shared" ref="CQ85:CQ130" si="463">+BA85+BB85</f>
        <v>0</v>
      </c>
      <c r="CR85" s="3"/>
      <c r="CS85" s="3">
        <f t="shared" ref="CS85:CS130" si="464">+BC85+BD85</f>
        <v>110</v>
      </c>
      <c r="CT85" s="3"/>
      <c r="CU85" s="3">
        <f t="shared" ref="CU85:CU130" si="465">+BE85+BF85</f>
        <v>1675</v>
      </c>
      <c r="CV85" s="3"/>
      <c r="CW85" s="3">
        <f t="shared" ref="CW85:CW130" ca="1" si="466">+BQ85+BS85+BU85</f>
        <v>65587.12945570967</v>
      </c>
      <c r="CY85" s="3">
        <f t="shared" ref="CY85:CY130" ca="1" si="467">+BX85+BZ85+CB85</f>
        <v>396865.80861997098</v>
      </c>
      <c r="CZ85" s="70"/>
      <c r="DA85" s="3">
        <f>IF(RTD("tos.rtd",,DA$83,"."&amp;$B$82&amp;$AS$82&amp;"C"&amp;$A85)="N/A",0,RTD("tos.rtd",,DA$83,"."&amp;$B$82&amp;$AS$82&amp;"C"&amp;$A85))</f>
        <v>0</v>
      </c>
      <c r="DB85" s="3">
        <f>IF(RTD("tos.rtd",,DB$83,"."&amp;$B$82&amp;$AS$82&amp;"P"&amp;$A85)="N/A",0,RTD("tos.rtd",,DB$83,"."&amp;$B$82&amp;$AS$82&amp;"P"&amp;$A85))</f>
        <v>0</v>
      </c>
      <c r="DC85" s="3">
        <f>IF(RTD("tos.rtd",,DC$83,"."&amp;$B$82&amp;$AS$82&amp;"C"&amp;$A85)="N/A",0,RTD("tos.rtd",,DC$83,"."&amp;$B$82&amp;$AS$82&amp;"C"&amp;$A85))</f>
        <v>0</v>
      </c>
      <c r="DD85" s="3">
        <f>IF(RTD("tos.rtd",,DD$83,"."&amp;$B$82&amp;$AS$82&amp;"P"&amp;$A85)="N/A",0,RTD("tos.rtd",,DD$83,"."&amp;$B$82&amp;$AS$82&amp;"P"&amp;$A85))</f>
        <v>0</v>
      </c>
      <c r="DE85" s="3">
        <f>IF(RTD("tos.rtd",,DE$83,"."&amp;$B$82&amp;$AS$82&amp;"C"&amp;$A85)="N/A",0,RTD("tos.rtd",,DE$83,"."&amp;$B$82&amp;$AS$82&amp;"C"&amp;$A85))</f>
        <v>0</v>
      </c>
      <c r="DF85" s="3">
        <f>IF(RTD("tos.rtd",,DF$83,"."&amp;$B$82&amp;$AS$82&amp;"P"&amp;$A85)="N/A",0,RTD("tos.rtd",,DF$83,"."&amp;$B$82&amp;$AS$82&amp;"P"&amp;$A85))</f>
        <v>0</v>
      </c>
      <c r="DG85" s="86">
        <f>+$A85-$A$84</f>
        <v>178.25</v>
      </c>
      <c r="DH85" s="3" t="e">
        <f t="shared" ref="DH85:DH130" si="468">((DA85-DE85)/(DC85-DE85))*(BA85-AP85)</f>
        <v>#DIV/0!</v>
      </c>
      <c r="DI85" s="3" t="e">
        <f t="shared" ref="DI85:DI130" si="469">((DB85-DF85)/(DD85-DF85))*(BB85-AQ85)</f>
        <v>#DIV/0!</v>
      </c>
      <c r="DJ85" s="3">
        <f t="shared" ref="DJ85:DJ130" si="470">IF(DA85&gt;=(DE85+(DC85-DE85)*0.6),(BA85-AP85),IF(DA85&lt;=(DE85+(DC85-DE85)*0.4),-(BA85-AP85),0))</f>
        <v>0</v>
      </c>
      <c r="DK85" s="3">
        <f t="shared" ref="DK85:DK130" si="471">IF(DB85&lt;=(DF85+(DD85-DF85)*0.4),-(BB85-AQ85),IF(DB85&gt;=(DF85+(DD85-DF85)*0.6),(BB85-AQ85),0))</f>
        <v>0</v>
      </c>
      <c r="DL85" s="3" t="e">
        <f t="shared" ref="DL85:DL130" si="472">+DH85+DI85</f>
        <v>#DIV/0!</v>
      </c>
      <c r="DM85" s="3">
        <f t="shared" ref="DM85:DM130" si="473">+DJ85+DK85</f>
        <v>0</v>
      </c>
      <c r="DN85" s="64" t="str">
        <f t="shared" ref="DN85:DN130" si="474">IF(AND(DA85&gt;=(DE85+(DC85-DE85)*0.6),BA85&gt;AP85),"BUY",IF(AND(DA85&lt;=(DE85+(DC85-DE85)*0.4),BA85&gt;AP85),"SELL","UNKNOWN"))</f>
        <v>UNKNOWN</v>
      </c>
      <c r="DO85" s="64" t="str">
        <f t="shared" ref="DO85:DO130" si="475">IF(AND(DB85&gt;=(DF85+(DD85-DF85)*0.6),ABS(BB85)&gt;ABS(AQ85)),"BUY",IF(AND(DB85&lt;=(DF85+(DD85-DF85)*0.4),ABS(BB85)&gt;ABS(AQ85)),"SELL","UNKNOWN"))</f>
        <v>UNKNOWN</v>
      </c>
      <c r="DP85" s="3" t="e">
        <f t="shared" ref="DP85:DP130" si="476">+DH85*DA85+DI85*DB85</f>
        <v>#DIV/0!</v>
      </c>
      <c r="DQ85" s="3">
        <f t="shared" ref="DQ85:DQ130" si="477">+DA85*DJ85+DB85*DK85</f>
        <v>0</v>
      </c>
      <c r="DR85" s="3">
        <f t="shared" ref="DR85:DR130" ca="1" si="478">+BJ85*DJ85+BK85*DK85</f>
        <v>0</v>
      </c>
      <c r="DS85" s="3">
        <f t="shared" ref="DS85:DS130" si="479">+CD85*DJ85+CE85*DK85</f>
        <v>0</v>
      </c>
      <c r="DT85" s="3">
        <f>BA85-VLOOKUP(AZ85,$AO$85:$AQ$130,2,FALSE)</f>
        <v>0</v>
      </c>
      <c r="DU85" s="3">
        <f>BB85-VLOOKUP(AZ85,$AO$85:$AQ$130,3,FALSE)</f>
        <v>0</v>
      </c>
      <c r="DV85" s="3">
        <f>AM85+IF(DN85="BUY",DT85,IF(DN85="SELL",-DT85,0))</f>
        <v>-6</v>
      </c>
      <c r="DW85" s="3">
        <f>AN85+IF(DO85="BUY",DU85,IF(DO85="SELL",-DU85,0))</f>
        <v>0</v>
      </c>
      <c r="DX85" s="3">
        <f ca="1">(EXP(-POWER((LN($A$84/$A85)+($EC$1+POWER($EE85,2)/2)*($EM$1/$DY$1))/($EE85*SQRT($EM$1/$DY$1)),2)/2)/SQRT(2*PI())/($A$84*$EE85*SQRT($EM$1/$DY$1)))</f>
        <v>1.1698084100903416E-22</v>
      </c>
      <c r="DY85" s="3">
        <f t="shared" ref="DY85:DY130" ca="1" si="480">-(EXP(-POWER((LN($A$84/$A85)+($EC$1+POWER($EF85,2)/2)*($EM$1/$DY$1))/($EF85*SQRT($EM$1/$DY$1)),2)/2)/SQRT(2*PI())/($A$84*$EF85*SQRT($EM$1/$DY$1)))</f>
        <v>-1.1698084100903416E-22</v>
      </c>
      <c r="DZ85" s="3">
        <f ca="1">(EXP(-POWER((LN($A$84/$A85)+($EC$1+POWER($EG85,2)/2)*($EO$1/$DY$1))/($EG85*SQRT($EO$1/$DY$1)),2)/2)/SQRT(2*PI())/($A$84*$EG85*SQRT($EO$1/$DY$1)))</f>
        <v>1.251106288153741E-3</v>
      </c>
      <c r="EA85" s="3">
        <f ca="1">-(EXP(-POWER((LN($A$84/$A85)+($EC$1+POWER($EH85,2)/2)*($EO$1/$DY$1))/($EH85*SQRT($EO$1/$DY$1)),2)/2)/SQRT(2*PI())/($A$84*$EH85*SQRT($EO$1/$DY$1)))</f>
        <v>-1.2887265886965783E-3</v>
      </c>
      <c r="EB85" s="3">
        <f t="shared" ref="EB85:EB130" ca="1" si="481">(EXP(-POWER((LN($A$84/$A85)+($EC$1+POWER($EI85,2)/2)*($EO$1/$DY$1))/($EI85*SQRT($EO$1/$DY$1)),2)/2)/SQRT(2*PI())/($A$84*$EI85*SQRT($EO$1/$DY$1)))</f>
        <v>8.3719224544089932E-4</v>
      </c>
      <c r="EC85" s="3">
        <f t="shared" ref="EC85:EC130" ca="1" si="482">-(EXP(-POWER((LN($A$84/$A85)+($EC$1+POWER($EJ85,2)/2)*($EO$1/$DY$1))/($EJ85*SQRT($EO$1/$DY$1)),2)/2)/SQRT(2*PI())/($A$84*$EJ85*SQRT($EO$1/$DY$1)))</f>
        <v>-9.7259710634749587E-4</v>
      </c>
      <c r="ED85" s="63">
        <f>+DV85+DW85</f>
        <v>-6</v>
      </c>
      <c r="EE85" s="59">
        <f t="shared" ref="EE85:EE130" si="483">IFERROR(VALUE(IF(OR(EL85="--",EL85="0.00%"),$EE$1,EL85)),$EE$1)</f>
        <v>0.25</v>
      </c>
      <c r="EF85" s="59">
        <f t="shared" ref="EF85:EF130" si="484">IFERROR(VALUE(IF(OR(EM85="--",EM85="0.00%"),$EE$1,EM85)),$EE$1)</f>
        <v>0.25</v>
      </c>
      <c r="EG85" s="59">
        <f t="shared" ref="EG85:EG130" si="485">IFERROR(VALUE(IF(OR(EN85="--",EN85="0.00%"),$EE$1,EN85)),$EE$1)</f>
        <v>0.1721</v>
      </c>
      <c r="EH85" s="59">
        <f t="shared" ref="EH85:EH130" si="486">IFERROR(VALUE(IF(OR(EO85="--",EO85="0.00%"),$EE$1,EO85)),$EE$1)</f>
        <v>0.1782</v>
      </c>
      <c r="EI85" s="59">
        <f t="shared" ref="EI85:EI130" si="487">IFERROR(VALUE(IF(OR(EP85="--",EP85="0.00%"),$EE$1,EP85)),$EE$1)</f>
        <v>0.13220000000000001</v>
      </c>
      <c r="EJ85" s="59">
        <f t="shared" ref="EJ85:EJ130" si="488">IFERROR(VALUE(IF(OR(EQ85="--",EQ85="0.00%"),$EE$1,EQ85)),$EE$1)</f>
        <v>0.1424</v>
      </c>
      <c r="EK85" s="63">
        <f ca="1">+DV85*DX85*$A$84*$A$84+DW85*DY85*$A$84*$A$84</f>
        <v>-2.3952559306570594E-14</v>
      </c>
      <c r="EL85" s="3" t="str">
        <f>RTD("tos.rtd",,EL$83,"."&amp;$B$82&amp;$AS$82&amp;"C"&amp;$A85)</f>
        <v>N/A</v>
      </c>
      <c r="EM85" s="3" t="str">
        <f>RTD("tos.rtd",,EM$83,"."&amp;$B$82&amp;$AS$82&amp;"P"&amp;$A85)</f>
        <v>N/A</v>
      </c>
      <c r="EN85" s="3" t="str">
        <f>RTD("tos.rtd",,EN$83,"."&amp;$C$82&amp;$AU$82&amp;"C"&amp;$A85)</f>
        <v>17.21%</v>
      </c>
      <c r="EO85" s="3" t="str">
        <f>RTD("tos.rtd",,EO$83,"."&amp;$C$82&amp;$AU$82&amp;"P"&amp;$A85)</f>
        <v>17.82%</v>
      </c>
      <c r="EP85" s="3" t="str">
        <f>RTD("tos.rtd",,EP$83,"."&amp;$D$82&amp;$AW$82&amp;"C"&amp;$A85)</f>
        <v>13.22%</v>
      </c>
      <c r="EQ85" s="3" t="str">
        <f>RTD("tos.rtd",,EQ$83,"."&amp;$D$82&amp;$AW$82&amp;"P"&amp;$A85)</f>
        <v>14.24%</v>
      </c>
      <c r="ES85" s="63" t="str">
        <f t="shared" ref="ES85:ES130" si="489">IFERROR(
    A85 &amp; "," &amp; TEXT(IF(ISNUMBER(DV85+DW85), DV85+DW85, 0), "00.00"),    "Error"
)</f>
        <v>6020,-06.00</v>
      </c>
      <c r="ET85" s="63" t="str">
        <f t="shared" ref="ET85:ET130" ca="1" si="490">IF(ISERROR(
    A85 &amp; "," &amp; TEXT(
        IF($E$1="GEX-VOL", IF(ISNUMBER(BX85+BZ85+CB85), (BX85+BZ85+CB85)/1000, 0),
           IF($E$1="GEX-OI", IF(ISNUMBER(BQ85+BS85+BU85), (BQ85+BS85+BU85)/1000, 0),
               IF($E$1="DEX",IF(ISNUMBER(CK85+CM85+CO85), (CK85+CM85+CO85)/1000, 0),
                  IF($E$1="VOLPRES",IF(ISNUMBER(DJ85+DK85), (DJ85+DK85), 0),
                     IF(ISNUMBER(EK85), (EK85), 0)
        )))),
    "00.00")
), "Error",
A85 &amp; "," &amp; TEXT(
        IF($E$1="GEX-VOL", IF(ISNUMBER(BX85+BZ85+CB85), (BX85+BZ85+CB85)/1000, 0),
           IF($E$1="GEX-OI", IF(ISNUMBER(BQ85+BS85+BU85), (BQ85+BS85+BU85)/1000, 0),
               IF($E$1="DEX", IF(ISNUMBER(CK85+CM85+CO85), (CK85+CM85+CO85)/1000, 0),
                  IF($E$1="VOLPRES",IF(ISNUMBER(DJ85+DK85), (DJ85+DK85), 0),
                    IF(ISNUMBER(EK85), (EK85), 0)
        )))),
    "00.00")
)</f>
        <v>6020,396.87</v>
      </c>
      <c r="EU85" s="67">
        <v>571.35</v>
      </c>
      <c r="EV85" s="67" t="s">
        <v>699</v>
      </c>
      <c r="EW85" s="67">
        <v>496.1</v>
      </c>
      <c r="EX85" s="67" t="s">
        <v>700</v>
      </c>
      <c r="EY85" s="67">
        <v>5659.91</v>
      </c>
      <c r="EZ85" s="67" t="s">
        <v>701</v>
      </c>
      <c r="FA85" s="67">
        <v>20061.449000000001</v>
      </c>
      <c r="FB85" s="67" t="s">
        <v>702</v>
      </c>
      <c r="FC85" s="67" t="s">
        <v>703</v>
      </c>
      <c r="FD85" s="67" t="s">
        <v>704</v>
      </c>
      <c r="FE85" s="68" t="s">
        <v>705</v>
      </c>
      <c r="FF85" s="68" t="s">
        <v>706</v>
      </c>
    </row>
    <row r="86" spans="1:162" s="63" customFormat="1" ht="12" customHeight="1" thickBot="1" x14ac:dyDescent="0.25">
      <c r="A86" s="2">
        <f>+A85-$A$81</f>
        <v>6010</v>
      </c>
      <c r="B86" s="3">
        <f t="shared" si="451"/>
        <v>0</v>
      </c>
      <c r="C86" s="3">
        <f t="shared" si="452"/>
        <v>766</v>
      </c>
      <c r="D86" s="3">
        <f t="shared" si="453"/>
        <v>557</v>
      </c>
      <c r="E86" s="3">
        <f t="shared" si="454"/>
        <v>1323</v>
      </c>
      <c r="F86" s="4">
        <f>+$F$84/$A$84*A86</f>
        <v>6034.6912312235199</v>
      </c>
      <c r="G86" s="4">
        <f t="shared" ref="G86:G98" si="491">+$G$84/$A$84*A86</f>
        <v>599.73971840629952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>
        <v>-3</v>
      </c>
      <c r="AN86" s="20">
        <v>0</v>
      </c>
      <c r="AO86" s="20">
        <v>6010</v>
      </c>
      <c r="AP86" s="20">
        <v>0</v>
      </c>
      <c r="AQ86" s="20">
        <v>0</v>
      </c>
      <c r="AR86" s="20"/>
      <c r="AS86" s="54">
        <f>IF(RTD("tos.rtd",,AS$83,"."&amp;$B$82&amp;$AS$82&amp;"C"&amp;$A86)="N/A",0,RTD("tos.rtd",,AS$83,"."&amp;$B$82&amp;$AS$82&amp;"C"&amp;$A86))</f>
        <v>0</v>
      </c>
      <c r="AT86" s="3">
        <f>-IF(RTD("tos.rtd",,AT$83,"."&amp;$B$82&amp;$AS$82&amp;"P"&amp;$A86)="N/A",0,RTD("tos.rtd",,AT$83,"."&amp;$B$82&amp;$AS$82&amp;"P"&amp;$A86))</f>
        <v>0</v>
      </c>
      <c r="AU86" s="54">
        <f>IF(RTD("tos.rtd",,AU$83,"."&amp;$C$82&amp;$AU$82&amp;"C"&amp;$A86)="N/A",0,RTD("tos.rtd",,AU$83,"."&amp;$C$82&amp;$AU$82&amp;"C"&amp;$A86))</f>
        <v>338</v>
      </c>
      <c r="AV86" s="3">
        <f>-IF(RTD("tos.rtd",,AV$83,"."&amp;$C$82&amp;$AU$82&amp;"P"&amp;$A86)="N/A",0,RTD("tos.rtd",,AV$83,"."&amp;$C$82&amp;$AU$82&amp;"P"&amp;$A86))</f>
        <v>-428</v>
      </c>
      <c r="AW86" s="54">
        <f>IF(RTD("tos.rtd",,AW$83,"."&amp;$D$82&amp;$AW$82&amp;"C"&amp;$A86)="N/A",0,RTD("tos.rtd",,AW$83,"."&amp;$D$82&amp;$AW$82&amp;"C"&amp;$A86))</f>
        <v>358</v>
      </c>
      <c r="AX86" s="3">
        <f>-IF(RTD("tos.rtd",,AX$83,"."&amp;$D$82&amp;$AW$82&amp;"P"&amp;$A86)="N/A",0,RTD("tos.rtd",,AX$83,"."&amp;$D$82&amp;$AW$82&amp;"P"&amp;$A86))</f>
        <v>-199</v>
      </c>
      <c r="AY86" s="79">
        <f t="shared" ref="AY86:AY98" si="492">SUM(AS86:AX86)</f>
        <v>69</v>
      </c>
      <c r="AZ86" s="8">
        <f t="shared" si="455"/>
        <v>6010</v>
      </c>
      <c r="BA86" s="54">
        <f>IF(RTD("tos.rtd",,BA$83,"."&amp;$B$82&amp;$AS$82&amp;"C"&amp;$A86)="N/A",0,RTD("tos.rtd",,BA$83,"."&amp;$B$82&amp;$AS$82&amp;"C"&amp;$A86))</f>
        <v>0</v>
      </c>
      <c r="BB86" s="3">
        <f>-IF(RTD("tos.rtd",,BB$83,"."&amp;$B$82&amp;$AS$82&amp;"P"&amp;$A86)="N/A",0,RTD("tos.rtd",,BB$83,"."&amp;$B$82&amp;$AS$82&amp;"P"&amp;$A86))</f>
        <v>0</v>
      </c>
      <c r="BC86" s="54">
        <f>IF(RTD("tos.rtd",,BC$83,"."&amp;$C$82&amp;$AU$82&amp;"C"&amp;$A86)="N/A",0,RTD("tos.rtd",,BC$83,"."&amp;$C$82&amp;$AU$82&amp;"C"&amp;$A86))</f>
        <v>42</v>
      </c>
      <c r="BD86" s="3">
        <f>-IF(RTD("tos.rtd",,BD$83,"."&amp;$C$82&amp;$AU$82&amp;"P"&amp;$A86)="N/A",0,RTD("tos.rtd",,BD$83,"."&amp;$C$82&amp;$AU$82&amp;"P"&amp;$A86))</f>
        <v>0</v>
      </c>
      <c r="BE86" s="54">
        <f>IF(RTD("tos.rtd",,BE$83,"."&amp;$D$82&amp;$AW$82&amp;"C"&amp;$A86)="N/A",0,RTD("tos.rtd",,BE$83,"."&amp;$D$82&amp;$AW$82&amp;"C"&amp;$A86))</f>
        <v>38</v>
      </c>
      <c r="BF86" s="3">
        <f>-IF(RTD("tos.rtd",,BF$83,"."&amp;$D$82&amp;$AW$82&amp;"P"&amp;$A86)="N/A",0,RTD("tos.rtd",,BF$83,"."&amp;$D$82&amp;$AW$82&amp;"P"&amp;$A86))</f>
        <v>-1</v>
      </c>
      <c r="BG86" s="3">
        <f ca="1">+Hoja2!Y87</f>
        <v>839</v>
      </c>
      <c r="BH86" s="55">
        <f t="shared" ref="BH86:BH130" ca="1" si="493">SUM(BA86:BG86)</f>
        <v>918</v>
      </c>
      <c r="BI86" s="32"/>
      <c r="BJ86" s="3">
        <f ca="1">IF($BP$1=1,DX86,IF(RTD("tos.rtd",,BJ$83,"."&amp;$B$82&amp;$AS$82&amp;"C"&amp;$A86)="N/A",0,RTD("tos.rtd",,BJ$83,"."&amp;$B$82&amp;$AS$82&amp;"C"&amp;$A86)))</f>
        <v>1.7768015722196066E-20</v>
      </c>
      <c r="BK86" s="3">
        <f ca="1">IF($BP$1=1,DY86,-IF(RTD("tos.rtd",,BK$83,"."&amp;$B$82&amp;$AS$82&amp;"P"&amp;$A86)="N/A",0,RTD("tos.rtd",,BK$83,"."&amp;$B$82&amp;$AS$82&amp;"P"&amp;$A86)))</f>
        <v>-1.7768015722196066E-20</v>
      </c>
      <c r="BL86" s="3">
        <f ca="1">IF($BP$1=1,DZ86,IF(RTD("tos.rtd",,BL$83,"."&amp;$C$82&amp;$AU$82&amp;"C"&amp;$A86)="N/A",0,RTD("tos.rtd",,BL$83,"."&amp;$C$82&amp;$AU$82&amp;"C"&amp;$A86)))</f>
        <v>1.3776445584516271E-3</v>
      </c>
      <c r="BM86" s="3">
        <f ca="1">IF($BP$1=1,EA86,-IF(RTD("tos.rtd",,BM$83,"."&amp;$C$82&amp;$AU$82&amp;"P"&amp;$A86)="N/A",0,RTD("tos.rtd",,BM$83,"."&amp;$C$82&amp;$AU$82&amp;"P"&amp;$A86)))</f>
        <v>-1.4471636459959681E-3</v>
      </c>
      <c r="BN86" s="3">
        <f ca="1">IF($BP$1=1,EB86,IF(RTD("tos.rtd",,BN$83,"."&amp;$D$82&amp;$AW$82&amp;"C"&amp;$A86)="N/A",0,RTD("tos.rtd",,BN$83,"."&amp;$D$82&amp;$AW$82&amp;"C"&amp;$A86)))</f>
        <v>1.0097359493696238E-3</v>
      </c>
      <c r="BO86" s="3">
        <f ca="1">IF($BP$1=1,EC86,-IF(RTD("tos.rtd",,BO$83,"."&amp;$D$82&amp;$AW$82&amp;"P"&amp;$A86)="N/A",0,RTD("tos.rtd",,BO$83,"."&amp;$D$82&amp;$AW$82&amp;"P"&amp;$A86)))</f>
        <v>-1.1426465858365882E-3</v>
      </c>
      <c r="BQ86" s="3">
        <f t="shared" ca="1" si="456"/>
        <v>0</v>
      </c>
      <c r="BR86" s="3" t="str">
        <f t="shared" ref="BR86:BV130" ca="1" si="494">IF(AND(BQ86&lt;0,BQ85&gt;0), "Cruce -", IF(AND(BQ86&gt;0,BQ85&lt;0),"Cruce +", ""))</f>
        <v/>
      </c>
      <c r="BS86" s="3">
        <f t="shared" ca="1" si="457"/>
        <v>-39622.23094377594</v>
      </c>
      <c r="BT86" s="3" t="str">
        <f t="shared" ca="1" si="494"/>
        <v>Cruce -</v>
      </c>
      <c r="BU86" s="3">
        <f t="shared" ca="1" si="458"/>
        <v>34559.764953302045</v>
      </c>
      <c r="BV86" s="3" t="str">
        <f t="shared" ca="1" si="494"/>
        <v>Cruce +</v>
      </c>
      <c r="BX86" s="3">
        <f t="shared" ca="1" si="459"/>
        <v>0</v>
      </c>
      <c r="BY86" s="3" t="str">
        <f ca="1">IF(AND(BX86&lt;0,BX85&gt;0), "Cruce -", IF(AND(BX86&gt;0,BX85&lt;0),"Cruce +", ""))</f>
        <v/>
      </c>
      <c r="BZ86" s="3">
        <f t="shared" ca="1" si="460"/>
        <v>14911.878704171408</v>
      </c>
      <c r="CA86" s="3" t="str">
        <f ca="1">IF(AND(BZ86&lt;0,BZ85&gt;0), "Cruce -", IF(AND(BZ86&gt;0,BZ85&lt;0),"Cruce +", ""))</f>
        <v/>
      </c>
      <c r="CB86" s="3">
        <f t="shared" ca="1" si="461"/>
        <v>9594.1754751547614</v>
      </c>
      <c r="CC86" s="3" t="str">
        <f ca="1">IF(AND(CB86&lt;0,CB85&gt;0), "Cruce -", IF(AND(CB86&gt;0,CB85&lt;0),"Cruce +", ""))</f>
        <v/>
      </c>
      <c r="CD86" s="3">
        <f>IF(RTD("tos.rtd",,CD$83,"."&amp;$B$82&amp;$AS$82&amp;"C"&amp;$A86)="N/A",0,RTD("tos.rtd",,CD$83,"."&amp;$B$82&amp;$AS$82&amp;"C"&amp;$A86))</f>
        <v>0</v>
      </c>
      <c r="CE86" s="3">
        <f>-IF(RTD("tos.rtd",,CE$83,"."&amp;$B$82&amp;$AS$82&amp;"P"&amp;$A86)="N/A",0,RTD("tos.rtd",,CE$83,"."&amp;$B$82&amp;$AS$82&amp;"P"&amp;$A86))</f>
        <v>0</v>
      </c>
      <c r="CF86" s="3">
        <f>IF(RTD("tos.rtd",,CF$83,"."&amp;$C$82&amp;$AU$82&amp;"C"&amp;$A86)="N/A",0,RTD("tos.rtd",,CF$83,"."&amp;$C$82&amp;$AU$82&amp;"C"&amp;$A86))</f>
        <v>0.06</v>
      </c>
      <c r="CG86" s="3">
        <f>-IF(RTD("tos.rtd",,CG$83,"."&amp;$C$82&amp;$AU$82&amp;"P"&amp;$A86)="N/A",0,RTD("tos.rtd",,CG$83,"."&amp;$C$82&amp;$AU$82&amp;"P"&amp;$A86))</f>
        <v>0.93</v>
      </c>
      <c r="CH86" s="3">
        <f>IF(RTD("tos.rtd",,CH$83,"."&amp;$D$82&amp;$AW$82&amp;"C"&amp;$A86)="N/A",0,RTD("tos.rtd",,CH$83,"."&amp;$D$82&amp;$AW$82&amp;"C"&amp;$A86))</f>
        <v>0.3</v>
      </c>
      <c r="CI86" s="3">
        <f>-IF(RTD("tos.rtd",,CI$83,"."&amp;$D$82&amp;$AW$82&amp;"P"&amp;$A86)="N/A",0,RTD("tos.rtd",,CI$83,"."&amp;$D$82&amp;$AW$82&amp;"P"&amp;$A86))</f>
        <v>0.68</v>
      </c>
      <c r="CK86" s="3">
        <f t="shared" ref="CK86:CK130" si="495">+AS86*CD86*100+AT86*CE86*100</f>
        <v>0</v>
      </c>
      <c r="CL86" s="3"/>
      <c r="CM86" s="3">
        <f t="shared" ref="CM86:CM130" si="496">+AU86*CF86*100+AV86*CG86*100</f>
        <v>-37776</v>
      </c>
      <c r="CN86" s="3"/>
      <c r="CO86" s="3">
        <f t="shared" ref="CO86:CO130" si="497">+AW86*CH86*100+AX86*CI86*100</f>
        <v>-2792.0000000000018</v>
      </c>
      <c r="CP86" s="3">
        <f t="shared" si="462"/>
        <v>-40568</v>
      </c>
      <c r="CQ86" s="3">
        <f t="shared" si="463"/>
        <v>0</v>
      </c>
      <c r="CR86" s="3"/>
      <c r="CS86" s="3">
        <f t="shared" si="464"/>
        <v>42</v>
      </c>
      <c r="CT86" s="3"/>
      <c r="CU86" s="3">
        <f t="shared" si="465"/>
        <v>37</v>
      </c>
      <c r="CV86" s="3"/>
      <c r="CW86" s="3">
        <f t="shared" ref="CW86:CW98" ca="1" si="498">+BQ86+BS86+BU86</f>
        <v>-5062.4659904738946</v>
      </c>
      <c r="CY86" s="3">
        <f t="shared" ca="1" si="467"/>
        <v>24506.054179326169</v>
      </c>
      <c r="CZ86" s="70" t="str">
        <f ca="1">IF(AND(CY86&lt;0,CY85&gt;0), "Cruce -", IF(AND(CY86&gt;0,CY85&lt;0),"Cruce +", ""))</f>
        <v/>
      </c>
      <c r="DA86" s="3">
        <f>IF(RTD("tos.rtd",,DA$83,"."&amp;$B$82&amp;$AS$82&amp;"C"&amp;$A86)="N/A",0,RTD("tos.rtd",,DA$83,"."&amp;$B$82&amp;$AS$82&amp;"C"&amp;$A86))</f>
        <v>0</v>
      </c>
      <c r="DB86" s="3">
        <f>IF(RTD("tos.rtd",,DB$83,"."&amp;$B$82&amp;$AS$82&amp;"P"&amp;$A86)="N/A",0,RTD("tos.rtd",,DB$83,"."&amp;$B$82&amp;$AS$82&amp;"P"&amp;$A86))</f>
        <v>0</v>
      </c>
      <c r="DC86" s="3">
        <f>IF(RTD("tos.rtd",,DC$83,"."&amp;$B$82&amp;$AS$82&amp;"C"&amp;$A86)="N/A",0,RTD("tos.rtd",,DC$83,"."&amp;$B$82&amp;$AS$82&amp;"C"&amp;$A86))</f>
        <v>0</v>
      </c>
      <c r="DD86" s="3">
        <f>IF(RTD("tos.rtd",,DD$83,"."&amp;$B$82&amp;$AS$82&amp;"P"&amp;$A86)="N/A",0,RTD("tos.rtd",,DD$83,"."&amp;$B$82&amp;$AS$82&amp;"P"&amp;$A86))</f>
        <v>0</v>
      </c>
      <c r="DE86" s="3">
        <f>IF(RTD("tos.rtd",,DE$83,"."&amp;$B$82&amp;$AS$82&amp;"C"&amp;$A86)="N/A",0,RTD("tos.rtd",,DE$83,"."&amp;$B$82&amp;$AS$82&amp;"C"&amp;$A86))</f>
        <v>0</v>
      </c>
      <c r="DF86" s="3">
        <f>IF(RTD("tos.rtd",,DF$83,"."&amp;$B$82&amp;$AS$82&amp;"P"&amp;$A86)="N/A",0,RTD("tos.rtd",,DF$83,"."&amp;$B$82&amp;$AS$82&amp;"P"&amp;$A86))</f>
        <v>0</v>
      </c>
      <c r="DG86" s="86">
        <f t="shared" ref="DG86:DG130" si="499">+$A86-$A$84</f>
        <v>168.25</v>
      </c>
      <c r="DH86" s="3" t="e">
        <f t="shared" si="468"/>
        <v>#DIV/0!</v>
      </c>
      <c r="DI86" s="3" t="e">
        <f t="shared" si="469"/>
        <v>#DIV/0!</v>
      </c>
      <c r="DJ86" s="3">
        <f t="shared" si="470"/>
        <v>0</v>
      </c>
      <c r="DK86" s="3">
        <f t="shared" si="471"/>
        <v>0</v>
      </c>
      <c r="DL86" s="3" t="e">
        <f t="shared" si="472"/>
        <v>#DIV/0!</v>
      </c>
      <c r="DM86" s="3">
        <f t="shared" si="473"/>
        <v>0</v>
      </c>
      <c r="DN86" s="64" t="str">
        <f t="shared" si="474"/>
        <v>UNKNOWN</v>
      </c>
      <c r="DO86" s="64" t="str">
        <f t="shared" si="475"/>
        <v>UNKNOWN</v>
      </c>
      <c r="DP86" s="3" t="e">
        <f t="shared" si="476"/>
        <v>#DIV/0!</v>
      </c>
      <c r="DQ86" s="3">
        <f t="shared" si="477"/>
        <v>0</v>
      </c>
      <c r="DR86" s="3">
        <f t="shared" ca="1" si="478"/>
        <v>0</v>
      </c>
      <c r="DS86" s="3">
        <f t="shared" si="479"/>
        <v>0</v>
      </c>
      <c r="DT86" s="3">
        <f t="shared" ref="DT86:DT130" si="500">BA86-VLOOKUP(AZ86,$AO$85:$AQ$130,2,FALSE)</f>
        <v>0</v>
      </c>
      <c r="DU86" s="3">
        <f t="shared" ref="DU86:DU130" si="501">BB86-VLOOKUP(AZ86,$AO$85:$AQ$130,3,FALSE)</f>
        <v>0</v>
      </c>
      <c r="DV86" s="3">
        <f t="shared" ref="DV86:DV130" si="502">AM86+IF(DN86="BUY",DT86,IF(DN86="SELL",-DT86,0))</f>
        <v>-3</v>
      </c>
      <c r="DW86" s="3">
        <f t="shared" ref="DW86:DW130" si="503">AN86+IF(DO86="BUY",DU86,IF(DO86="SELL",-DU86,0))</f>
        <v>0</v>
      </c>
      <c r="DX86" s="3">
        <f ca="1">(EXP(-POWER((LN($A$84/$A86)+($EC$1+POWER($EE86,2)/2)*($EM$1/$DY$1))/($EE86*SQRT($EM$1/$DY$1)),2)/2)/SQRT(2*PI())/($A$84*$EE86*SQRT($EM$1/$DY$1)))</f>
        <v>1.7768015722196066E-20</v>
      </c>
      <c r="DY86" s="3">
        <f t="shared" ca="1" si="480"/>
        <v>-1.7768015722196066E-20</v>
      </c>
      <c r="DZ86" s="3">
        <f t="shared" ref="DZ86:DZ130" ca="1" si="504">(EXP(-POWER((LN($A$84/$A86)+($EC$1+POWER($EG86,2)/2)*($EO$1/$DY$1))/($EG86*SQRT($EO$1/$DY$1)),2)/2)/SQRT(2*PI())/($A$84*$EG86*SQRT($EO$1/$DY$1)))</f>
        <v>1.3776445584516271E-3</v>
      </c>
      <c r="EA86" s="3">
        <f t="shared" ref="EA86:EA130" ca="1" si="505">-(EXP(-POWER((LN($A$84/$A86)+($EC$1+POWER($EH86,2)/2)*($EO$1/$DY$1))/($EH86*SQRT($EO$1/$DY$1)),2)/2)/SQRT(2*PI())/($A$84*$EH86*SQRT($EO$1/$DY$1)))</f>
        <v>-1.4471636459959681E-3</v>
      </c>
      <c r="EB86" s="3">
        <f t="shared" ca="1" si="481"/>
        <v>1.0097359493696238E-3</v>
      </c>
      <c r="EC86" s="3">
        <f t="shared" ca="1" si="482"/>
        <v>-1.1426465858365882E-3</v>
      </c>
      <c r="ED86" s="63">
        <f t="shared" ref="ED86:ED130" si="506">+DV86+DW86</f>
        <v>-3</v>
      </c>
      <c r="EE86" s="59">
        <f t="shared" si="483"/>
        <v>0.25</v>
      </c>
      <c r="EF86" s="59">
        <f t="shared" si="484"/>
        <v>0.25</v>
      </c>
      <c r="EG86" s="59">
        <f t="shared" si="485"/>
        <v>0.17019999999999999</v>
      </c>
      <c r="EH86" s="59">
        <f t="shared" si="486"/>
        <v>0.1845</v>
      </c>
      <c r="EI86" s="59">
        <f t="shared" si="487"/>
        <v>0.13289999999999999</v>
      </c>
      <c r="EJ86" s="59">
        <f t="shared" si="488"/>
        <v>0.14319999999999999</v>
      </c>
      <c r="EK86" s="63">
        <f t="shared" ref="EK86:EK130" ca="1" si="507">+DV86*DX86*$A$84*$A$84+DW86*DY86*$A$84*$A$84</f>
        <v>-1.8190562090125201E-12</v>
      </c>
      <c r="EL86" s="3" t="str">
        <f>RTD("tos.rtd",,EL$83,"."&amp;$B$82&amp;$AS$82&amp;"C"&amp;$A86)</f>
        <v>N/A</v>
      </c>
      <c r="EM86" s="3" t="str">
        <f>RTD("tos.rtd",,EM$83,"."&amp;$B$82&amp;$AS$82&amp;"P"&amp;$A86)</f>
        <v>N/A</v>
      </c>
      <c r="EN86" s="3" t="str">
        <f>RTD("tos.rtd",,EN$83,"."&amp;$C$82&amp;$AU$82&amp;"C"&amp;$A86)</f>
        <v>17.02%</v>
      </c>
      <c r="EO86" s="3" t="str">
        <f>RTD("tos.rtd",,EO$83,"."&amp;$C$82&amp;$AU$82&amp;"P"&amp;$A86)</f>
        <v>18.45%</v>
      </c>
      <c r="EP86" s="3" t="str">
        <f>RTD("tos.rtd",,EP$83,"."&amp;$D$82&amp;$AW$82&amp;"C"&amp;$A86)</f>
        <v>13.29%</v>
      </c>
      <c r="EQ86" s="3" t="str">
        <f>RTD("tos.rtd",,EQ$83,"."&amp;$D$82&amp;$AW$82&amp;"P"&amp;$A86)</f>
        <v>14.32%</v>
      </c>
      <c r="ES86" s="63" t="str">
        <f t="shared" si="489"/>
        <v>6010,-03.00</v>
      </c>
      <c r="ET86" s="63" t="str">
        <f t="shared" ca="1" si="490"/>
        <v>6010,24.51</v>
      </c>
      <c r="EU86" s="67">
        <v>571.36</v>
      </c>
      <c r="EV86" s="67" t="s">
        <v>707</v>
      </c>
      <c r="EW86" s="67">
        <v>496.06</v>
      </c>
      <c r="EX86" s="67" t="s">
        <v>708</v>
      </c>
      <c r="EY86" s="67">
        <v>5659.91</v>
      </c>
      <c r="EZ86" s="67" t="s">
        <v>709</v>
      </c>
      <c r="FA86" s="67">
        <v>20061.449000000001</v>
      </c>
      <c r="FB86" s="67" t="s">
        <v>710</v>
      </c>
      <c r="FC86" s="67" t="s">
        <v>711</v>
      </c>
      <c r="FD86" s="67" t="s">
        <v>712</v>
      </c>
      <c r="FE86" s="68" t="s">
        <v>713</v>
      </c>
      <c r="FF86" s="68" t="s">
        <v>714</v>
      </c>
    </row>
    <row r="87" spans="1:162" s="63" customFormat="1" ht="12" customHeight="1" thickBot="1" x14ac:dyDescent="0.25">
      <c r="A87" s="2">
        <f t="shared" ref="A87:A130" si="508">+A86-$A$81</f>
        <v>6000</v>
      </c>
      <c r="B87" s="3">
        <f t="shared" si="451"/>
        <v>4993</v>
      </c>
      <c r="C87" s="3">
        <f t="shared" si="452"/>
        <v>143622</v>
      </c>
      <c r="D87" s="3">
        <f t="shared" si="453"/>
        <v>448307</v>
      </c>
      <c r="E87" s="3">
        <f t="shared" si="454"/>
        <v>596922</v>
      </c>
      <c r="F87" s="4">
        <f t="shared" ref="F87:F92" si="509">+$F$84/$A$84*A87</f>
        <v>6024.6501476441135</v>
      </c>
      <c r="G87" s="4">
        <f t="shared" si="491"/>
        <v>598.74181538066512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>
        <v>-16555</v>
      </c>
      <c r="AN87" s="20">
        <v>50</v>
      </c>
      <c r="AO87" s="20">
        <v>6000</v>
      </c>
      <c r="AP87" s="20">
        <v>52288</v>
      </c>
      <c r="AQ87" s="20">
        <v>-108</v>
      </c>
      <c r="AR87" s="20"/>
      <c r="AS87" s="54">
        <f>IF(RTD("tos.rtd",,AS$83,"."&amp;$B$82&amp;$AS$82&amp;"C"&amp;$A87)="N/A",0,RTD("tos.rtd",,AS$83,"."&amp;$B$82&amp;$AS$82&amp;"C"&amp;$A87))</f>
        <v>4967</v>
      </c>
      <c r="AT87" s="3">
        <f>-IF(RTD("tos.rtd",,AT$83,"."&amp;$B$82&amp;$AS$82&amp;"P"&amp;$A87)="N/A",0,RTD("tos.rtd",,AT$83,"."&amp;$B$82&amp;$AS$82&amp;"P"&amp;$A87))</f>
        <v>-26</v>
      </c>
      <c r="AU87" s="54">
        <f>IF(RTD("tos.rtd",,AU$83,"."&amp;$C$82&amp;$AU$82&amp;"C"&amp;$A87)="N/A",0,RTD("tos.rtd",,AU$83,"."&amp;$C$82&amp;$AU$82&amp;"C"&amp;$A87))</f>
        <v>78973</v>
      </c>
      <c r="AV87" s="3">
        <f>-IF(RTD("tos.rtd",,AV$83,"."&amp;$C$82&amp;$AU$82&amp;"P"&amp;$A87)="N/A",0,RTD("tos.rtd",,AV$83,"."&amp;$C$82&amp;$AU$82&amp;"P"&amp;$A87))</f>
        <v>-64649</v>
      </c>
      <c r="AW87" s="54">
        <f>IF(RTD("tos.rtd",,AW$83,"."&amp;$D$82&amp;$AW$82&amp;"C"&amp;$A87)="N/A",0,RTD("tos.rtd",,AW$83,"."&amp;$D$82&amp;$AW$82&amp;"C"&amp;$A87))</f>
        <v>230233</v>
      </c>
      <c r="AX87" s="3">
        <f>-IF(RTD("tos.rtd",,AX$83,"."&amp;$D$82&amp;$AW$82&amp;"P"&amp;$A87)="N/A",0,RTD("tos.rtd",,AX$83,"."&amp;$D$82&amp;$AW$82&amp;"P"&amp;$A87))</f>
        <v>-218074</v>
      </c>
      <c r="AY87" s="79">
        <f t="shared" si="492"/>
        <v>31424</v>
      </c>
      <c r="AZ87" s="8">
        <f t="shared" si="455"/>
        <v>6000</v>
      </c>
      <c r="BA87" s="54">
        <f>IF(RTD("tos.rtd",,BA$83,"."&amp;$B$82&amp;$AS$82&amp;"C"&amp;$A87)="N/A",0,RTD("tos.rtd",,BA$83,"."&amp;$B$82&amp;$AS$82&amp;"C"&amp;$A87))</f>
        <v>52288</v>
      </c>
      <c r="BB87" s="3">
        <f>-IF(RTD("tos.rtd",,BB$83,"."&amp;$B$82&amp;$AS$82&amp;"P"&amp;$A87)="N/A",0,RTD("tos.rtd",,BB$83,"."&amp;$B$82&amp;$AS$82&amp;"P"&amp;$A87))</f>
        <v>-108</v>
      </c>
      <c r="BC87" s="54">
        <f>IF(RTD("tos.rtd",,BC$83,"."&amp;$C$82&amp;$AU$82&amp;"C"&amp;$A87)="N/A",0,RTD("tos.rtd",,BC$83,"."&amp;$C$82&amp;$AU$82&amp;"C"&amp;$A87))</f>
        <v>10451</v>
      </c>
      <c r="BD87" s="3">
        <f>-IF(RTD("tos.rtd",,BD$83,"."&amp;$C$82&amp;$AU$82&amp;"P"&amp;$A87)="N/A",0,RTD("tos.rtd",,BD$83,"."&amp;$C$82&amp;$AU$82&amp;"P"&amp;$A87))</f>
        <v>-1410</v>
      </c>
      <c r="BE87" s="54">
        <f>IF(RTD("tos.rtd",,BE$83,"."&amp;$D$82&amp;$AW$82&amp;"C"&amp;$A87)="N/A",0,RTD("tos.rtd",,BE$83,"."&amp;$D$82&amp;$AW$82&amp;"C"&amp;$A87))</f>
        <v>11949</v>
      </c>
      <c r="BF87" s="3">
        <f>-IF(RTD("tos.rtd",,BF$83,"."&amp;$D$82&amp;$AW$82&amp;"P"&amp;$A87)="N/A",0,RTD("tos.rtd",,BF$83,"."&amp;$D$82&amp;$AW$82&amp;"P"&amp;$A87))</f>
        <v>-3912</v>
      </c>
      <c r="BG87" s="3">
        <f ca="1">+Hoja2!Y88</f>
        <v>13670</v>
      </c>
      <c r="BH87" s="55">
        <f t="shared" ca="1" si="493"/>
        <v>82928</v>
      </c>
      <c r="BI87" s="32" t="str">
        <f ca="1">IF(AND(BH87&lt;0,BH86&gt;0), "Cruce -", IF(AND(BH87&gt;0,BH86&lt;0),"Cruce +", ""))</f>
        <v/>
      </c>
      <c r="BJ87" s="3">
        <f ca="1">IF($BP$1=1,DX87,IF(RTD("tos.rtd",,BJ$83,"."&amp;$B$82&amp;$AS$82&amp;"C"&amp;$A87)="N/A",0,RTD("tos.rtd",,BJ$83,"."&amp;$B$82&amp;$AS$82&amp;"C"&amp;$A87)))</f>
        <v>9.0743291816010069E-4</v>
      </c>
      <c r="BK87" s="3">
        <f ca="1">IF($BP$1=1,DY87,-IF(RTD("tos.rtd",,BK$83,"."&amp;$B$82&amp;$AS$82&amp;"P"&amp;$A87)="N/A",0,RTD("tos.rtd",,BK$83,"."&amp;$B$82&amp;$AS$82&amp;"P"&amp;$A87)))</f>
        <v>-2.0433397958348655E-18</v>
      </c>
      <c r="BL87" s="3">
        <f ca="1">IF($BP$1=1,DZ87,IF(RTD("tos.rtd",,BL$83,"."&amp;$C$82&amp;$AU$82&amp;"C"&amp;$A87)="N/A",0,RTD("tos.rtd",,BL$83,"."&amp;$C$82&amp;$AU$82&amp;"C"&amp;$A87)))</f>
        <v>1.5160743463242276E-3</v>
      </c>
      <c r="BM87" s="3">
        <f ca="1">IF($BP$1=1,EA87,-IF(RTD("tos.rtd",,BM$83,"."&amp;$C$82&amp;$AU$82&amp;"P"&amp;$A87)="N/A",0,RTD("tos.rtd",,BM$83,"."&amp;$C$82&amp;$AU$82&amp;"P"&amp;$A87)))</f>
        <v>-1.526405304548619E-3</v>
      </c>
      <c r="BN87" s="3">
        <f ca="1">IF($BP$1=1,EB87,IF(RTD("tos.rtd",,BN$83,"."&amp;$D$82&amp;$AW$82&amp;"C"&amp;$A87)="N/A",0,RTD("tos.rtd",,BN$83,"."&amp;$D$82&amp;$AW$82&amp;"C"&amp;$A87)))</f>
        <v>1.2024748535331138E-3</v>
      </c>
      <c r="BO87" s="3">
        <f ca="1">IF($BP$1=1,EC87,-IF(RTD("tos.rtd",,BO$83,"."&amp;$D$82&amp;$AW$82&amp;"P"&amp;$A87)="N/A",0,RTD("tos.rtd",,BO$83,"."&amp;$D$82&amp;$AW$82&amp;"P"&amp;$A87)))</f>
        <v>-1.3220026140781048E-3</v>
      </c>
      <c r="BQ87" s="3">
        <f t="shared" ca="1" si="456"/>
        <v>1161594.5897948078</v>
      </c>
      <c r="BR87" s="3" t="str">
        <f t="shared" ca="1" si="494"/>
        <v/>
      </c>
      <c r="BS87" s="3">
        <f t="shared" ca="1" si="457"/>
        <v>5424556.1891319938</v>
      </c>
      <c r="BT87" s="3" t="str">
        <f t="shared" ca="1" si="494"/>
        <v>Cruce +</v>
      </c>
      <c r="BU87" s="3">
        <f t="shared" ca="1" si="458"/>
        <v>-2949591.558921352</v>
      </c>
      <c r="BV87" s="3" t="str">
        <f t="shared" ca="1" si="494"/>
        <v>Cruce -</v>
      </c>
      <c r="BX87" s="3">
        <f t="shared" ca="1" si="459"/>
        <v>12228197.686972197</v>
      </c>
      <c r="BY87" s="3" t="str">
        <f t="shared" ref="BY87:CC130" ca="1" si="510">IF(AND(BX87&lt;0,BX86&gt;0), "Cruce -", IF(AND(BX87&gt;0,BX86&lt;0),"Cruce +", ""))</f>
        <v/>
      </c>
      <c r="BZ87" s="3">
        <f t="shared" ca="1" si="460"/>
        <v>3528751.5033623297</v>
      </c>
      <c r="CA87" s="3" t="str">
        <f t="shared" ca="1" si="510"/>
        <v/>
      </c>
      <c r="CB87" s="3">
        <f t="shared" ca="1" si="461"/>
        <v>2370160.7765469858</v>
      </c>
      <c r="CC87" s="3" t="str">
        <f t="shared" ca="1" si="510"/>
        <v/>
      </c>
      <c r="CD87" s="3">
        <f>IF(RTD("tos.rtd",,CD$83,"."&amp;$B$82&amp;$AS$82&amp;"C"&amp;$A87)="N/A",0,RTD("tos.rtd",,CD$83,"."&amp;$B$82&amp;$AS$82&amp;"C"&amp;$A87))</f>
        <v>0</v>
      </c>
      <c r="CE87" s="3">
        <f>-IF(RTD("tos.rtd",,CE$83,"."&amp;$B$82&amp;$AS$82&amp;"P"&amp;$A87)="N/A",0,RTD("tos.rtd",,CE$83,"."&amp;$B$82&amp;$AS$82&amp;"P"&amp;$A87))</f>
        <v>1</v>
      </c>
      <c r="CF87" s="3">
        <f>IF(RTD("tos.rtd",,CF$83,"."&amp;$C$82&amp;$AU$82&amp;"C"&amp;$A87)="N/A",0,RTD("tos.rtd",,CF$83,"."&amp;$C$82&amp;$AU$82&amp;"C"&amp;$A87))</f>
        <v>7.0000000000000007E-2</v>
      </c>
      <c r="CG87" s="3">
        <f>-IF(RTD("tos.rtd",,CG$83,"."&amp;$C$82&amp;$AU$82&amp;"P"&amp;$A87)="N/A",0,RTD("tos.rtd",,CG$83,"."&amp;$C$82&amp;$AU$82&amp;"P"&amp;$A87))</f>
        <v>0.93</v>
      </c>
      <c r="CH87" s="3">
        <f>IF(RTD("tos.rtd",,CH$83,"."&amp;$D$82&amp;$AW$82&amp;"C"&amp;$A87)="N/A",0,RTD("tos.rtd",,CH$83,"."&amp;$D$82&amp;$AW$82&amp;"C"&amp;$A87))</f>
        <v>0.32</v>
      </c>
      <c r="CI87" s="3">
        <f>-IF(RTD("tos.rtd",,CI$83,"."&amp;$D$82&amp;$AW$82&amp;"P"&amp;$A87)="N/A",0,RTD("tos.rtd",,CI$83,"."&amp;$D$82&amp;$AW$82&amp;"P"&amp;$A87))</f>
        <v>0.67</v>
      </c>
      <c r="CK87" s="3">
        <f t="shared" si="495"/>
        <v>-2600</v>
      </c>
      <c r="CL87" s="3"/>
      <c r="CM87" s="3">
        <f t="shared" si="496"/>
        <v>-5459546</v>
      </c>
      <c r="CN87" s="3"/>
      <c r="CO87" s="3">
        <f t="shared" si="497"/>
        <v>-7243502.0000000019</v>
      </c>
      <c r="CP87" s="3">
        <f t="shared" si="462"/>
        <v>-12705648.000000002</v>
      </c>
      <c r="CQ87" s="3">
        <f t="shared" si="463"/>
        <v>52180</v>
      </c>
      <c r="CR87" s="3"/>
      <c r="CS87" s="3">
        <f t="shared" si="464"/>
        <v>9041</v>
      </c>
      <c r="CT87" s="3"/>
      <c r="CU87" s="3">
        <f t="shared" si="465"/>
        <v>8037</v>
      </c>
      <c r="CV87" s="3"/>
      <c r="CW87" s="3">
        <f t="shared" ca="1" si="498"/>
        <v>3636559.2200054498</v>
      </c>
      <c r="CY87" s="3">
        <f t="shared" ca="1" si="467"/>
        <v>18127109.966881514</v>
      </c>
      <c r="CZ87" s="70" t="str">
        <f t="shared" ref="CZ87:CZ130" ca="1" si="511">IF(AND(CY87&lt;0,CY86&gt;0), "Cruce -", IF(AND(CY87&gt;0,CY86&lt;0),"Cruce +", ""))</f>
        <v/>
      </c>
      <c r="DA87" s="3">
        <f>IF(RTD("tos.rtd",,DA$83,"."&amp;$B$82&amp;$AS$82&amp;"C"&amp;$A87)="N/A",0,RTD("tos.rtd",,DA$83,"."&amp;$B$82&amp;$AS$82&amp;"C"&amp;$A87))</f>
        <v>0.05</v>
      </c>
      <c r="DB87" s="3">
        <f>IF(RTD("tos.rtd",,DB$83,"."&amp;$B$82&amp;$AS$82&amp;"P"&amp;$A87)="N/A",0,RTD("tos.rtd",,DB$83,"."&amp;$B$82&amp;$AS$82&amp;"P"&amp;$A87))</f>
        <v>170.2</v>
      </c>
      <c r="DC87" s="3">
        <f>IF(RTD("tos.rtd",,DC$83,"."&amp;$B$82&amp;$AS$82&amp;"C"&amp;$A87)="N/A",0,RTD("tos.rtd",,DC$83,"."&amp;$B$82&amp;$AS$82&amp;"C"&amp;$A87))</f>
        <v>0.05</v>
      </c>
      <c r="DD87" s="3">
        <f>IF(RTD("tos.rtd",,DD$83,"."&amp;$B$82&amp;$AS$82&amp;"P"&amp;$A87)="N/A",0,RTD("tos.rtd",,DD$83,"."&amp;$B$82&amp;$AS$82&amp;"P"&amp;$A87))</f>
        <v>157.9</v>
      </c>
      <c r="DE87" s="3">
        <f>IF(RTD("tos.rtd",,DE$83,"."&amp;$B$82&amp;$AS$82&amp;"C"&amp;$A87)="N/A",0,RTD("tos.rtd",,DE$83,"."&amp;$B$82&amp;$AS$82&amp;"C"&amp;$A87))</f>
        <v>0</v>
      </c>
      <c r="DF87" s="3">
        <f>IF(RTD("tos.rtd",,DF$83,"."&amp;$B$82&amp;$AS$82&amp;"P"&amp;$A87)="N/A",0,RTD("tos.rtd",,DF$83,"."&amp;$B$82&amp;$AS$82&amp;"P"&amp;$A87))</f>
        <v>153.30000000000001</v>
      </c>
      <c r="DG87" s="86">
        <f t="shared" si="499"/>
        <v>158.25</v>
      </c>
      <c r="DH87" s="3">
        <f t="shared" si="468"/>
        <v>0</v>
      </c>
      <c r="DI87" s="3">
        <f t="shared" si="469"/>
        <v>0</v>
      </c>
      <c r="DJ87" s="3">
        <f t="shared" si="470"/>
        <v>0</v>
      </c>
      <c r="DK87" s="3">
        <f t="shared" si="471"/>
        <v>0</v>
      </c>
      <c r="DL87" s="3">
        <f t="shared" si="472"/>
        <v>0</v>
      </c>
      <c r="DM87" s="3">
        <f t="shared" si="473"/>
        <v>0</v>
      </c>
      <c r="DN87" s="64" t="str">
        <f t="shared" si="474"/>
        <v>UNKNOWN</v>
      </c>
      <c r="DO87" s="64" t="str">
        <f t="shared" si="475"/>
        <v>UNKNOWN</v>
      </c>
      <c r="DP87" s="3">
        <f t="shared" si="476"/>
        <v>0</v>
      </c>
      <c r="DQ87" s="3">
        <f t="shared" si="477"/>
        <v>0</v>
      </c>
      <c r="DR87" s="3">
        <f t="shared" ca="1" si="478"/>
        <v>0</v>
      </c>
      <c r="DS87" s="3">
        <f t="shared" si="479"/>
        <v>0</v>
      </c>
      <c r="DT87" s="3">
        <f t="shared" si="500"/>
        <v>0</v>
      </c>
      <c r="DU87" s="3">
        <f t="shared" si="501"/>
        <v>0</v>
      </c>
      <c r="DV87" s="3">
        <f t="shared" si="502"/>
        <v>-16555</v>
      </c>
      <c r="DW87" s="3">
        <f t="shared" si="503"/>
        <v>50</v>
      </c>
      <c r="DX87" s="3">
        <f t="shared" ref="DX87:DX130" ca="1" si="512">(EXP(-POWER((LN($A$84/$A87)+($EC$1+POWER($EE87,2)/2)*($EM$1/$DY$1))/($EE87*SQRT($EM$1/$DY$1)),2)/2)/SQRT(2*PI())/($A$84*$EE87*SQRT($EM$1/$DY$1)))</f>
        <v>9.0743291816010069E-4</v>
      </c>
      <c r="DY87" s="3">
        <f t="shared" ca="1" si="480"/>
        <v>-2.0433397958348655E-18</v>
      </c>
      <c r="DZ87" s="3">
        <f t="shared" ca="1" si="504"/>
        <v>1.5160743463242276E-3</v>
      </c>
      <c r="EA87" s="3">
        <f t="shared" ca="1" si="505"/>
        <v>-1.526405304548619E-3</v>
      </c>
      <c r="EB87" s="3">
        <f t="shared" ca="1" si="481"/>
        <v>1.2024748535331138E-3</v>
      </c>
      <c r="EC87" s="3">
        <f t="shared" ca="1" si="482"/>
        <v>-1.3220026140781048E-3</v>
      </c>
      <c r="ED87" s="63">
        <f t="shared" si="506"/>
        <v>-16505</v>
      </c>
      <c r="EE87" s="59">
        <f t="shared" si="483"/>
        <v>1.1849000000000001</v>
      </c>
      <c r="EF87" s="59">
        <f t="shared" si="484"/>
        <v>0.25</v>
      </c>
      <c r="EG87" s="59">
        <f t="shared" si="485"/>
        <v>0.16869999999999999</v>
      </c>
      <c r="EH87" s="59">
        <f t="shared" si="486"/>
        <v>0.17080000000000001</v>
      </c>
      <c r="EI87" s="59">
        <f t="shared" si="487"/>
        <v>0.13370000000000001</v>
      </c>
      <c r="EJ87" s="59">
        <f t="shared" si="488"/>
        <v>0.14360000000000001</v>
      </c>
      <c r="EK87" s="63">
        <f t="shared" ca="1" si="507"/>
        <v>-512660255.10039741</v>
      </c>
      <c r="EL87" s="3" t="str">
        <f>RTD("tos.rtd",,EL$83,"."&amp;$B$82&amp;$AS$82&amp;"C"&amp;$A87)</f>
        <v>118.49%</v>
      </c>
      <c r="EM87" s="3" t="str">
        <f>RTD("tos.rtd",,EM$83,"."&amp;$B$82&amp;$AS$82&amp;"P"&amp;$A87)</f>
        <v>--</v>
      </c>
      <c r="EN87" s="3" t="str">
        <f>RTD("tos.rtd",,EN$83,"."&amp;$C$82&amp;$AU$82&amp;"C"&amp;$A87)</f>
        <v>16.87%</v>
      </c>
      <c r="EO87" s="3" t="str">
        <f>RTD("tos.rtd",,EO$83,"."&amp;$C$82&amp;$AU$82&amp;"P"&amp;$A87)</f>
        <v>17.08%</v>
      </c>
      <c r="EP87" s="3" t="str">
        <f>RTD("tos.rtd",,EP$83,"."&amp;$D$82&amp;$AW$82&amp;"C"&amp;$A87)</f>
        <v>13.37%</v>
      </c>
      <c r="EQ87" s="3" t="str">
        <f>RTD("tos.rtd",,EQ$83,"."&amp;$D$82&amp;$AW$82&amp;"P"&amp;$A87)</f>
        <v>14.36%</v>
      </c>
      <c r="ES87" s="63" t="str">
        <f t="shared" si="489"/>
        <v>6000,-16505.00</v>
      </c>
      <c r="ET87" s="63" t="str">
        <f t="shared" ca="1" si="490"/>
        <v>6000,18127.11</v>
      </c>
      <c r="EU87" s="67">
        <v>571.44000000000005</v>
      </c>
      <c r="EV87" s="67" t="s">
        <v>715</v>
      </c>
      <c r="EW87" s="67">
        <v>496.15</v>
      </c>
      <c r="EX87" s="67" t="s">
        <v>716</v>
      </c>
      <c r="EY87" s="67">
        <v>5659.91</v>
      </c>
      <c r="EZ87" s="67" t="s">
        <v>717</v>
      </c>
      <c r="FA87" s="67">
        <v>20061.449000000001</v>
      </c>
      <c r="FB87" s="67" t="s">
        <v>718</v>
      </c>
      <c r="FC87" s="67" t="s">
        <v>719</v>
      </c>
      <c r="FD87" s="67" t="s">
        <v>720</v>
      </c>
      <c r="FE87" s="68" t="s">
        <v>721</v>
      </c>
      <c r="FF87" s="68" t="s">
        <v>722</v>
      </c>
    </row>
    <row r="88" spans="1:162" s="63" customFormat="1" ht="12" customHeight="1" thickBot="1" x14ac:dyDescent="0.25">
      <c r="A88" s="2">
        <f t="shared" si="508"/>
        <v>5990</v>
      </c>
      <c r="B88" s="3">
        <f t="shared" si="451"/>
        <v>0</v>
      </c>
      <c r="C88" s="3">
        <f t="shared" si="452"/>
        <v>661</v>
      </c>
      <c r="D88" s="3">
        <f t="shared" si="453"/>
        <v>637</v>
      </c>
      <c r="E88" s="3">
        <f t="shared" si="454"/>
        <v>1298</v>
      </c>
      <c r="F88" s="4">
        <f t="shared" si="509"/>
        <v>6014.6090640647062</v>
      </c>
      <c r="G88" s="4">
        <f t="shared" si="491"/>
        <v>597.7439123550306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>
        <v>-82</v>
      </c>
      <c r="AN88" s="20">
        <v>0</v>
      </c>
      <c r="AO88" s="20">
        <v>5990</v>
      </c>
      <c r="AP88" s="20">
        <v>0</v>
      </c>
      <c r="AQ88" s="20">
        <v>0</v>
      </c>
      <c r="AR88" s="20"/>
      <c r="AS88" s="54">
        <f>IF(RTD("tos.rtd",,AS$83,"."&amp;$B$82&amp;$AS$82&amp;"C"&amp;$A88)="N/A",0,RTD("tos.rtd",,AS$83,"."&amp;$B$82&amp;$AS$82&amp;"C"&amp;$A88))</f>
        <v>0</v>
      </c>
      <c r="AT88" s="3">
        <f>-IF(RTD("tos.rtd",,AT$83,"."&amp;$B$82&amp;$AS$82&amp;"P"&amp;$A88)="N/A",0,RTD("tos.rtd",,AT$83,"."&amp;$B$82&amp;$AS$82&amp;"P"&amp;$A88))</f>
        <v>0</v>
      </c>
      <c r="AU88" s="54">
        <f>IF(RTD("tos.rtd",,AU$83,"."&amp;$C$82&amp;$AU$82&amp;"C"&amp;$A88)="N/A",0,RTD("tos.rtd",,AU$83,"."&amp;$C$82&amp;$AU$82&amp;"C"&amp;$A88))</f>
        <v>315</v>
      </c>
      <c r="AV88" s="3">
        <f>-IF(RTD("tos.rtd",,AV$83,"."&amp;$C$82&amp;$AU$82&amp;"P"&amp;$A88)="N/A",0,RTD("tos.rtd",,AV$83,"."&amp;$C$82&amp;$AU$82&amp;"P"&amp;$A88))</f>
        <v>-346</v>
      </c>
      <c r="AW88" s="54">
        <f>IF(RTD("tos.rtd",,AW$83,"."&amp;$D$82&amp;$AW$82&amp;"C"&amp;$A88)="N/A",0,RTD("tos.rtd",,AW$83,"."&amp;$D$82&amp;$AW$82&amp;"C"&amp;$A88))</f>
        <v>482</v>
      </c>
      <c r="AX88" s="3">
        <f>-IF(RTD("tos.rtd",,AX$83,"."&amp;$D$82&amp;$AW$82&amp;"P"&amp;$A88)="N/A",0,RTD("tos.rtd",,AX$83,"."&amp;$D$82&amp;$AW$82&amp;"P"&amp;$A88))</f>
        <v>-155</v>
      </c>
      <c r="AY88" s="79">
        <f t="shared" si="492"/>
        <v>296</v>
      </c>
      <c r="AZ88" s="8">
        <f t="shared" si="455"/>
        <v>5990</v>
      </c>
      <c r="BA88" s="54">
        <f>IF(RTD("tos.rtd",,BA$83,"."&amp;$B$82&amp;$AS$82&amp;"C"&amp;$A88)="N/A",0,RTD("tos.rtd",,BA$83,"."&amp;$B$82&amp;$AS$82&amp;"C"&amp;$A88))</f>
        <v>0</v>
      </c>
      <c r="BB88" s="3">
        <f>-IF(RTD("tos.rtd",,BB$83,"."&amp;$B$82&amp;$AS$82&amp;"P"&amp;$A88)="N/A",0,RTD("tos.rtd",,BB$83,"."&amp;$B$82&amp;$AS$82&amp;"P"&amp;$A88))</f>
        <v>0</v>
      </c>
      <c r="BC88" s="54">
        <f>IF(RTD("tos.rtd",,BC$83,"."&amp;$C$82&amp;$AU$82&amp;"C"&amp;$A88)="N/A",0,RTD("tos.rtd",,BC$83,"."&amp;$C$82&amp;$AU$82&amp;"C"&amp;$A88))</f>
        <v>49</v>
      </c>
      <c r="BD88" s="3">
        <f>-IF(RTD("tos.rtd",,BD$83,"."&amp;$C$82&amp;$AU$82&amp;"P"&amp;$A88)="N/A",0,RTD("tos.rtd",,BD$83,"."&amp;$C$82&amp;$AU$82&amp;"P"&amp;$A88))</f>
        <v>0</v>
      </c>
      <c r="BE88" s="54">
        <f>IF(RTD("tos.rtd",,BE$83,"."&amp;$D$82&amp;$AW$82&amp;"C"&amp;$A88)="N/A",0,RTD("tos.rtd",,BE$83,"."&amp;$D$82&amp;$AW$82&amp;"C"&amp;$A88))</f>
        <v>102</v>
      </c>
      <c r="BF88" s="3">
        <f>-IF(RTD("tos.rtd",,BF$83,"."&amp;$D$82&amp;$AW$82&amp;"P"&amp;$A88)="N/A",0,RTD("tos.rtd",,BF$83,"."&amp;$D$82&amp;$AW$82&amp;"P"&amp;$A88))</f>
        <v>-3</v>
      </c>
      <c r="BG88" s="3">
        <f ca="1">+Hoja2!Y89</f>
        <v>91</v>
      </c>
      <c r="BH88" s="55">
        <f t="shared" ca="1" si="493"/>
        <v>239</v>
      </c>
      <c r="BI88" s="32" t="str">
        <f t="shared" ref="BI88:BI130" ca="1" si="513">IF(AND(BH88&lt;0,BH87&gt;0), "Cruce -", IF(AND(BH88&gt;0,BH87&lt;0),"Cruce +", ""))</f>
        <v/>
      </c>
      <c r="BJ88" s="3">
        <f ca="1">IF($BP$1=1,DX88,IF(RTD("tos.rtd",,BJ$83,"."&amp;$B$82&amp;$AS$82&amp;"C"&amp;$A88)="N/A",0,RTD("tos.rtd",,BJ$83,"."&amp;$B$82&amp;$AS$82&amp;"C"&amp;$A88)))</f>
        <v>1.7766786355937724E-16</v>
      </c>
      <c r="BK88" s="3">
        <f ca="1">IF($BP$1=1,DY88,-IF(RTD("tos.rtd",,BK$83,"."&amp;$B$82&amp;$AS$82&amp;"P"&amp;$A88)="N/A",0,RTD("tos.rtd",,BK$83,"."&amp;$B$82&amp;$AS$82&amp;"P"&amp;$A88)))</f>
        <v>-1.7766786355937724E-16</v>
      </c>
      <c r="BL88" s="3">
        <f ca="1">IF($BP$1=1,DZ88,IF(RTD("tos.rtd",,BL$83,"."&amp;$C$82&amp;$AU$82&amp;"C"&amp;$A88)="N/A",0,RTD("tos.rtd",,BL$83,"."&amp;$C$82&amp;$AU$82&amp;"C"&amp;$A88)))</f>
        <v>1.6634731891858193E-3</v>
      </c>
      <c r="BM88" s="3">
        <f ca="1">IF($BP$1=1,EA88,-IF(RTD("tos.rtd",,BM$83,"."&amp;$C$82&amp;$AU$82&amp;"P"&amp;$A88)="N/A",0,RTD("tos.rtd",,BM$83,"."&amp;$C$82&amp;$AU$82&amp;"P"&amp;$A88)))</f>
        <v>-1.6956708123092717E-3</v>
      </c>
      <c r="BN88" s="3">
        <f ca="1">IF($BP$1=1,EB88,IF(RTD("tos.rtd",,BN$83,"."&amp;$D$82&amp;$AW$82&amp;"C"&amp;$A88)="N/A",0,RTD("tos.rtd",,BN$83,"."&amp;$D$82&amp;$AW$82&amp;"C"&amp;$A88)))</f>
        <v>1.4109061516039557E-3</v>
      </c>
      <c r="BO88" s="3">
        <f ca="1">IF($BP$1=1,EC88,-IF(RTD("tos.rtd",,BO$83,"."&amp;$D$82&amp;$AW$82&amp;"P"&amp;$A88)="N/A",0,RTD("tos.rtd",,BO$83,"."&amp;$D$82&amp;$AW$82&amp;"P"&amp;$A88)))</f>
        <v>-1.5167891985984963E-3</v>
      </c>
      <c r="BQ88" s="3">
        <f t="shared" ca="1" si="456"/>
        <v>0</v>
      </c>
      <c r="BR88" s="3" t="str">
        <f t="shared" ca="1" si="494"/>
        <v/>
      </c>
      <c r="BS88" s="3">
        <f t="shared" ca="1" si="457"/>
        <v>-16161.034684545477</v>
      </c>
      <c r="BT88" s="3" t="str">
        <f t="shared" ca="1" si="494"/>
        <v>Cruce -</v>
      </c>
      <c r="BU88" s="3">
        <f t="shared" ca="1" si="458"/>
        <v>114673.06879624695</v>
      </c>
      <c r="BV88" s="3" t="str">
        <f t="shared" ca="1" si="494"/>
        <v>Cruce +</v>
      </c>
      <c r="BX88" s="3">
        <f t="shared" ca="1" si="459"/>
        <v>0</v>
      </c>
      <c r="BY88" s="3" t="str">
        <f t="shared" ca="1" si="510"/>
        <v/>
      </c>
      <c r="BZ88" s="3">
        <f t="shared" ca="1" si="460"/>
        <v>21006.697253440805</v>
      </c>
      <c r="CA88" s="3" t="str">
        <f t="shared" ca="1" si="510"/>
        <v/>
      </c>
      <c r="CB88" s="3">
        <f t="shared" ca="1" si="461"/>
        <v>35916.205498019386</v>
      </c>
      <c r="CC88" s="3" t="str">
        <f t="shared" ca="1" si="510"/>
        <v/>
      </c>
      <c r="CD88" s="3">
        <f>IF(RTD("tos.rtd",,CD$83,"."&amp;$B$82&amp;$AS$82&amp;"C"&amp;$A88)="N/A",0,RTD("tos.rtd",,CD$83,"."&amp;$B$82&amp;$AS$82&amp;"C"&amp;$A88))</f>
        <v>0</v>
      </c>
      <c r="CE88" s="3">
        <f>-IF(RTD("tos.rtd",,CE$83,"."&amp;$B$82&amp;$AS$82&amp;"P"&amp;$A88)="N/A",0,RTD("tos.rtd",,CE$83,"."&amp;$B$82&amp;$AS$82&amp;"P"&amp;$A88))</f>
        <v>0</v>
      </c>
      <c r="CF88" s="3">
        <f>IF(RTD("tos.rtd",,CF$83,"."&amp;$C$82&amp;$AU$82&amp;"C"&amp;$A88)="N/A",0,RTD("tos.rtd",,CF$83,"."&amp;$C$82&amp;$AU$82&amp;"C"&amp;$A88))</f>
        <v>0.08</v>
      </c>
      <c r="CG88" s="3">
        <f>-IF(RTD("tos.rtd",,CG$83,"."&amp;$C$82&amp;$AU$82&amp;"P"&amp;$A88)="N/A",0,RTD("tos.rtd",,CG$83,"."&amp;$C$82&amp;$AU$82&amp;"P"&amp;$A88))</f>
        <v>0.91</v>
      </c>
      <c r="CH88" s="3">
        <f>IF(RTD("tos.rtd",,CH$83,"."&amp;$D$82&amp;$AW$82&amp;"C"&amp;$A88)="N/A",0,RTD("tos.rtd",,CH$83,"."&amp;$D$82&amp;$AW$82&amp;"C"&amp;$A88))</f>
        <v>0.33</v>
      </c>
      <c r="CI88" s="3">
        <f>-IF(RTD("tos.rtd",,CI$83,"."&amp;$D$82&amp;$AW$82&amp;"P"&amp;$A88)="N/A",0,RTD("tos.rtd",,CI$83,"."&amp;$D$82&amp;$AW$82&amp;"P"&amp;$A88))</f>
        <v>0.66</v>
      </c>
      <c r="CK88" s="3">
        <f t="shared" si="495"/>
        <v>0</v>
      </c>
      <c r="CL88" s="3"/>
      <c r="CM88" s="3">
        <f t="shared" si="496"/>
        <v>-28966</v>
      </c>
      <c r="CN88" s="3"/>
      <c r="CO88" s="3">
        <f t="shared" si="497"/>
        <v>5675.9999999999982</v>
      </c>
      <c r="CP88" s="3">
        <f t="shared" si="462"/>
        <v>-23290</v>
      </c>
      <c r="CQ88" s="3">
        <f t="shared" si="463"/>
        <v>0</v>
      </c>
      <c r="CR88" s="3"/>
      <c r="CS88" s="3">
        <f t="shared" si="464"/>
        <v>49</v>
      </c>
      <c r="CT88" s="3"/>
      <c r="CU88" s="3">
        <f t="shared" si="465"/>
        <v>99</v>
      </c>
      <c r="CV88" s="3"/>
      <c r="CW88" s="3">
        <f t="shared" ca="1" si="498"/>
        <v>98512.034111701476</v>
      </c>
      <c r="CY88" s="3">
        <f t="shared" ca="1" si="467"/>
        <v>56922.902751460191</v>
      </c>
      <c r="CZ88" s="70" t="str">
        <f t="shared" ca="1" si="511"/>
        <v/>
      </c>
      <c r="DA88" s="3">
        <f>IF(RTD("tos.rtd",,DA$83,"."&amp;$B$82&amp;$AS$82&amp;"C"&amp;$A88)="N/A",0,RTD("tos.rtd",,DA$83,"."&amp;$B$82&amp;$AS$82&amp;"C"&amp;$A88))</f>
        <v>0</v>
      </c>
      <c r="DB88" s="3">
        <f>IF(RTD("tos.rtd",,DB$83,"."&amp;$B$82&amp;$AS$82&amp;"P"&amp;$A88)="N/A",0,RTD("tos.rtd",,DB$83,"."&amp;$B$82&amp;$AS$82&amp;"P"&amp;$A88))</f>
        <v>0</v>
      </c>
      <c r="DC88" s="3">
        <f>IF(RTD("tos.rtd",,DC$83,"."&amp;$B$82&amp;$AS$82&amp;"C"&amp;$A88)="N/A",0,RTD("tos.rtd",,DC$83,"."&amp;$B$82&amp;$AS$82&amp;"C"&amp;$A88))</f>
        <v>0</v>
      </c>
      <c r="DD88" s="3">
        <f>IF(RTD("tos.rtd",,DD$83,"."&amp;$B$82&amp;$AS$82&amp;"P"&amp;$A88)="N/A",0,RTD("tos.rtd",,DD$83,"."&amp;$B$82&amp;$AS$82&amp;"P"&amp;$A88))</f>
        <v>0</v>
      </c>
      <c r="DE88" s="3">
        <f>IF(RTD("tos.rtd",,DE$83,"."&amp;$B$82&amp;$AS$82&amp;"C"&amp;$A88)="N/A",0,RTD("tos.rtd",,DE$83,"."&amp;$B$82&amp;$AS$82&amp;"C"&amp;$A88))</f>
        <v>0</v>
      </c>
      <c r="DF88" s="3">
        <f>IF(RTD("tos.rtd",,DF$83,"."&amp;$B$82&amp;$AS$82&amp;"P"&amp;$A88)="N/A",0,RTD("tos.rtd",,DF$83,"."&amp;$B$82&amp;$AS$82&amp;"P"&amp;$A88))</f>
        <v>0</v>
      </c>
      <c r="DG88" s="86">
        <f t="shared" si="499"/>
        <v>148.25</v>
      </c>
      <c r="DH88" s="3" t="e">
        <f t="shared" si="468"/>
        <v>#DIV/0!</v>
      </c>
      <c r="DI88" s="3" t="e">
        <f t="shared" si="469"/>
        <v>#DIV/0!</v>
      </c>
      <c r="DJ88" s="3">
        <f t="shared" si="470"/>
        <v>0</v>
      </c>
      <c r="DK88" s="3">
        <f t="shared" si="471"/>
        <v>0</v>
      </c>
      <c r="DL88" s="3" t="e">
        <f t="shared" si="472"/>
        <v>#DIV/0!</v>
      </c>
      <c r="DM88" s="3">
        <f t="shared" si="473"/>
        <v>0</v>
      </c>
      <c r="DN88" s="64" t="str">
        <f t="shared" si="474"/>
        <v>UNKNOWN</v>
      </c>
      <c r="DO88" s="64" t="str">
        <f t="shared" si="475"/>
        <v>UNKNOWN</v>
      </c>
      <c r="DP88" s="3" t="e">
        <f t="shared" si="476"/>
        <v>#DIV/0!</v>
      </c>
      <c r="DQ88" s="3">
        <f t="shared" si="477"/>
        <v>0</v>
      </c>
      <c r="DR88" s="3">
        <f t="shared" ca="1" si="478"/>
        <v>0</v>
      </c>
      <c r="DS88" s="3">
        <f t="shared" si="479"/>
        <v>0</v>
      </c>
      <c r="DT88" s="3">
        <f t="shared" si="500"/>
        <v>0</v>
      </c>
      <c r="DU88" s="3">
        <f t="shared" si="501"/>
        <v>0</v>
      </c>
      <c r="DV88" s="3">
        <f t="shared" si="502"/>
        <v>-82</v>
      </c>
      <c r="DW88" s="3">
        <f t="shared" si="503"/>
        <v>0</v>
      </c>
      <c r="DX88" s="3">
        <f t="shared" ca="1" si="512"/>
        <v>1.7766786355937724E-16</v>
      </c>
      <c r="DY88" s="3">
        <f t="shared" ca="1" si="480"/>
        <v>-1.7766786355937724E-16</v>
      </c>
      <c r="DZ88" s="3">
        <f t="shared" ca="1" si="504"/>
        <v>1.6634731891858193E-3</v>
      </c>
      <c r="EA88" s="3">
        <f t="shared" ca="1" si="505"/>
        <v>-1.6956708123092717E-3</v>
      </c>
      <c r="EB88" s="3">
        <f t="shared" ca="1" si="481"/>
        <v>1.4109061516039557E-3</v>
      </c>
      <c r="EC88" s="3">
        <f t="shared" ca="1" si="482"/>
        <v>-1.5167891985984963E-3</v>
      </c>
      <c r="ED88" s="63">
        <f t="shared" si="506"/>
        <v>-82</v>
      </c>
      <c r="EE88" s="59">
        <f t="shared" si="483"/>
        <v>0.25</v>
      </c>
      <c r="EF88" s="59">
        <f t="shared" si="484"/>
        <v>0.25</v>
      </c>
      <c r="EG88" s="59">
        <f t="shared" si="485"/>
        <v>0.16719999999999999</v>
      </c>
      <c r="EH88" s="59">
        <f t="shared" si="486"/>
        <v>0.17760000000000001</v>
      </c>
      <c r="EI88" s="59">
        <f t="shared" si="487"/>
        <v>0.13439999999999999</v>
      </c>
      <c r="EJ88" s="59">
        <f t="shared" si="488"/>
        <v>0.14430000000000001</v>
      </c>
      <c r="EK88" s="63">
        <f t="shared" ca="1" si="507"/>
        <v>-4.9717429533727392E-7</v>
      </c>
      <c r="EL88" s="3" t="str">
        <f>RTD("tos.rtd",,EL$83,"."&amp;$B$82&amp;$AS$82&amp;"C"&amp;$A88)</f>
        <v>N/A</v>
      </c>
      <c r="EM88" s="3" t="str">
        <f>RTD("tos.rtd",,EM$83,"."&amp;$B$82&amp;$AS$82&amp;"P"&amp;$A88)</f>
        <v>N/A</v>
      </c>
      <c r="EN88" s="3" t="str">
        <f>RTD("tos.rtd",,EN$83,"."&amp;$C$82&amp;$AU$82&amp;"C"&amp;$A88)</f>
        <v>16.72%</v>
      </c>
      <c r="EO88" s="3" t="str">
        <f>RTD("tos.rtd",,EO$83,"."&amp;$C$82&amp;$AU$82&amp;"P"&amp;$A88)</f>
        <v>17.76%</v>
      </c>
      <c r="EP88" s="3" t="str">
        <f>RTD("tos.rtd",,EP$83,"."&amp;$D$82&amp;$AW$82&amp;"C"&amp;$A88)</f>
        <v>13.44%</v>
      </c>
      <c r="EQ88" s="3" t="str">
        <f>RTD("tos.rtd",,EQ$83,"."&amp;$D$82&amp;$AW$82&amp;"P"&amp;$A88)</f>
        <v>14.43%</v>
      </c>
      <c r="ES88" s="63" t="str">
        <f t="shared" si="489"/>
        <v>5990,-82.00</v>
      </c>
      <c r="ET88" s="63" t="str">
        <f t="shared" ca="1" si="490"/>
        <v>5990,56.92</v>
      </c>
      <c r="EU88" s="67">
        <v>571.41</v>
      </c>
      <c r="EV88" s="67" t="s">
        <v>723</v>
      </c>
      <c r="EW88" s="67">
        <v>496.14</v>
      </c>
      <c r="EX88" s="67" t="s">
        <v>724</v>
      </c>
      <c r="EY88" s="67">
        <v>5659.91</v>
      </c>
      <c r="EZ88" s="67" t="s">
        <v>725</v>
      </c>
      <c r="FA88" s="67">
        <v>20061.449000000001</v>
      </c>
      <c r="FB88" s="67" t="s">
        <v>726</v>
      </c>
      <c r="FC88" s="67" t="s">
        <v>727</v>
      </c>
      <c r="FD88" s="67" t="s">
        <v>728</v>
      </c>
      <c r="FE88" s="68" t="s">
        <v>729</v>
      </c>
      <c r="FF88" s="68" t="s">
        <v>730</v>
      </c>
    </row>
    <row r="89" spans="1:162" s="63" customFormat="1" ht="12" customHeight="1" thickBot="1" x14ac:dyDescent="0.25">
      <c r="A89" s="2">
        <f t="shared" si="508"/>
        <v>5980</v>
      </c>
      <c r="B89" s="3">
        <f t="shared" si="451"/>
        <v>0</v>
      </c>
      <c r="C89" s="3">
        <f t="shared" si="452"/>
        <v>768</v>
      </c>
      <c r="D89" s="3">
        <f t="shared" si="453"/>
        <v>631</v>
      </c>
      <c r="E89" s="3">
        <f t="shared" si="454"/>
        <v>1399</v>
      </c>
      <c r="F89" s="4">
        <f t="shared" si="509"/>
        <v>6004.5679804852998</v>
      </c>
      <c r="G89" s="4">
        <f t="shared" si="491"/>
        <v>596.7460093293962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>
        <v>-43</v>
      </c>
      <c r="AN89" s="20">
        <v>0</v>
      </c>
      <c r="AO89" s="20">
        <v>5980</v>
      </c>
      <c r="AP89" s="20">
        <v>0</v>
      </c>
      <c r="AQ89" s="20">
        <v>0</v>
      </c>
      <c r="AR89" s="20"/>
      <c r="AS89" s="54">
        <f>IF(RTD("tos.rtd",,AS$83,"."&amp;$B$82&amp;$AS$82&amp;"C"&amp;$A89)="N/A",0,RTD("tos.rtd",,AS$83,"."&amp;$B$82&amp;$AS$82&amp;"C"&amp;$A89))</f>
        <v>0</v>
      </c>
      <c r="AT89" s="3">
        <f>-IF(RTD("tos.rtd",,AT$83,"."&amp;$B$82&amp;$AS$82&amp;"P"&amp;$A89)="N/A",0,RTD("tos.rtd",,AT$83,"."&amp;$B$82&amp;$AS$82&amp;"P"&amp;$A89))</f>
        <v>0</v>
      </c>
      <c r="AU89" s="54">
        <f>IF(RTD("tos.rtd",,AU$83,"."&amp;$C$82&amp;$AU$82&amp;"C"&amp;$A89)="N/A",0,RTD("tos.rtd",,AU$83,"."&amp;$C$82&amp;$AU$82&amp;"C"&amp;$A89))</f>
        <v>435</v>
      </c>
      <c r="AV89" s="3">
        <f>-IF(RTD("tos.rtd",,AV$83,"."&amp;$C$82&amp;$AU$82&amp;"P"&amp;$A89)="N/A",0,RTD("tos.rtd",,AV$83,"."&amp;$C$82&amp;$AU$82&amp;"P"&amp;$A89))</f>
        <v>-333</v>
      </c>
      <c r="AW89" s="54">
        <f>IF(RTD("tos.rtd",,AW$83,"."&amp;$D$82&amp;$AW$82&amp;"C"&amp;$A89)="N/A",0,RTD("tos.rtd",,AW$83,"."&amp;$D$82&amp;$AW$82&amp;"C"&amp;$A89))</f>
        <v>437</v>
      </c>
      <c r="AX89" s="3">
        <f>-IF(RTD("tos.rtd",,AX$83,"."&amp;$D$82&amp;$AW$82&amp;"P"&amp;$A89)="N/A",0,RTD("tos.rtd",,AX$83,"."&amp;$D$82&amp;$AW$82&amp;"P"&amp;$A89))</f>
        <v>-194</v>
      </c>
      <c r="AY89" s="79">
        <f t="shared" si="492"/>
        <v>345</v>
      </c>
      <c r="AZ89" s="8">
        <f t="shared" si="455"/>
        <v>5980</v>
      </c>
      <c r="BA89" s="54">
        <f>IF(RTD("tos.rtd",,BA$83,"."&amp;$B$82&amp;$AS$82&amp;"C"&amp;$A89)="N/A",0,RTD("tos.rtd",,BA$83,"."&amp;$B$82&amp;$AS$82&amp;"C"&amp;$A89))</f>
        <v>0</v>
      </c>
      <c r="BB89" s="3">
        <f>-IF(RTD("tos.rtd",,BB$83,"."&amp;$B$82&amp;$AS$82&amp;"P"&amp;$A89)="N/A",0,RTD("tos.rtd",,BB$83,"."&amp;$B$82&amp;$AS$82&amp;"P"&amp;$A89))</f>
        <v>0</v>
      </c>
      <c r="BC89" s="54">
        <f>IF(RTD("tos.rtd",,BC$83,"."&amp;$C$82&amp;$AU$82&amp;"C"&amp;$A89)="N/A",0,RTD("tos.rtd",,BC$83,"."&amp;$C$82&amp;$AU$82&amp;"C"&amp;$A89))</f>
        <v>90</v>
      </c>
      <c r="BD89" s="3">
        <f>-IF(RTD("tos.rtd",,BD$83,"."&amp;$C$82&amp;$AU$82&amp;"P"&amp;$A89)="N/A",0,RTD("tos.rtd",,BD$83,"."&amp;$C$82&amp;$AU$82&amp;"P"&amp;$A89))</f>
        <v>0</v>
      </c>
      <c r="BE89" s="54">
        <f>IF(RTD("tos.rtd",,BE$83,"."&amp;$D$82&amp;$AW$82&amp;"C"&amp;$A89)="N/A",0,RTD("tos.rtd",,BE$83,"."&amp;$D$82&amp;$AW$82&amp;"C"&amp;$A89))</f>
        <v>0</v>
      </c>
      <c r="BF89" s="3">
        <f>-IF(RTD("tos.rtd",,BF$83,"."&amp;$D$82&amp;$AW$82&amp;"P"&amp;$A89)="N/A",0,RTD("tos.rtd",,BF$83,"."&amp;$D$82&amp;$AW$82&amp;"P"&amp;$A89))</f>
        <v>0</v>
      </c>
      <c r="BG89" s="3">
        <f ca="1">+Hoja2!Y90</f>
        <v>209</v>
      </c>
      <c r="BH89" s="55">
        <f t="shared" ca="1" si="493"/>
        <v>299</v>
      </c>
      <c r="BI89" s="32" t="str">
        <f t="shared" ca="1" si="513"/>
        <v/>
      </c>
      <c r="BJ89" s="3">
        <f ca="1">IF($BP$1=1,DX89,IF(RTD("tos.rtd",,BJ$83,"."&amp;$B$82&amp;$AS$82&amp;"C"&amp;$A89)="N/A",0,RTD("tos.rtd",,BJ$83,"."&amp;$B$82&amp;$AS$82&amp;"C"&amp;$A89)))</f>
        <v>1.1663507774991743E-14</v>
      </c>
      <c r="BK89" s="3">
        <f ca="1">IF($BP$1=1,DY89,-IF(RTD("tos.rtd",,BK$83,"."&amp;$B$82&amp;$AS$82&amp;"P"&amp;$A89)="N/A",0,RTD("tos.rtd",,BK$83,"."&amp;$B$82&amp;$AS$82&amp;"P"&amp;$A89)))</f>
        <v>-1.1663507774991743E-14</v>
      </c>
      <c r="BL89" s="3">
        <f ca="1">IF($BP$1=1,DZ89,IF(RTD("tos.rtd",,BL$83,"."&amp;$C$82&amp;$AU$82&amp;"C"&amp;$A89)="N/A",0,RTD("tos.rtd",,BL$83,"."&amp;$C$82&amp;$AU$82&amp;"C"&amp;$A89)))</f>
        <v>1.820129674459691E-3</v>
      </c>
      <c r="BM89" s="3">
        <f ca="1">IF($BP$1=1,EA89,-IF(RTD("tos.rtd",,BM$83,"."&amp;$C$82&amp;$AU$82&amp;"P"&amp;$A89)="N/A",0,RTD("tos.rtd",,BM$83,"."&amp;$C$82&amp;$AU$82&amp;"P"&amp;$A89)))</f>
        <v>-1.8257306029204341E-3</v>
      </c>
      <c r="BN89" s="3">
        <f ca="1">IF($BP$1=1,EB89,IF(RTD("tos.rtd",,BN$83,"."&amp;$D$82&amp;$AW$82&amp;"C"&amp;$A89)="N/A",0,RTD("tos.rtd",,BN$83,"."&amp;$D$82&amp;$AW$82&amp;"C"&amp;$A89)))</f>
        <v>1.6359829889658058E-3</v>
      </c>
      <c r="BO89" s="3">
        <f ca="1">IF($BP$1=1,EC89,-IF(RTD("tos.rtd",,BO$83,"."&amp;$D$82&amp;$AW$82&amp;"P"&amp;$A89)="N/A",0,RTD("tos.rtd",,BO$83,"."&amp;$D$82&amp;$AW$82&amp;"P"&amp;$A89)))</f>
        <v>-1.7187532206288827E-3</v>
      </c>
      <c r="BQ89" s="3">
        <f t="shared" ca="1" si="456"/>
        <v>0</v>
      </c>
      <c r="BR89" s="3" t="str">
        <f t="shared" ca="1" si="494"/>
        <v/>
      </c>
      <c r="BS89" s="3">
        <f t="shared" ca="1" si="457"/>
        <v>47365.630263389088</v>
      </c>
      <c r="BT89" s="3" t="str">
        <f t="shared" ca="1" si="494"/>
        <v>Cruce +</v>
      </c>
      <c r="BU89" s="3">
        <f t="shared" ca="1" si="458"/>
        <v>98316.18043079364</v>
      </c>
      <c r="BV89" s="3" t="str">
        <f t="shared" ca="1" si="494"/>
        <v/>
      </c>
      <c r="BX89" s="3">
        <f t="shared" ca="1" si="459"/>
        <v>0</v>
      </c>
      <c r="BY89" s="3" t="str">
        <f t="shared" ca="1" si="510"/>
        <v/>
      </c>
      <c r="BZ89" s="3">
        <f t="shared" ca="1" si="460"/>
        <v>42217.326820980968</v>
      </c>
      <c r="CA89" s="3" t="str">
        <f t="shared" ca="1" si="510"/>
        <v/>
      </c>
      <c r="CB89" s="3">
        <f t="shared" ca="1" si="461"/>
        <v>0</v>
      </c>
      <c r="CC89" s="3" t="str">
        <f t="shared" ca="1" si="510"/>
        <v/>
      </c>
      <c r="CD89" s="3">
        <f>IF(RTD("tos.rtd",,CD$83,"."&amp;$B$82&amp;$AS$82&amp;"C"&amp;$A89)="N/A",0,RTD("tos.rtd",,CD$83,"."&amp;$B$82&amp;$AS$82&amp;"C"&amp;$A89))</f>
        <v>0</v>
      </c>
      <c r="CE89" s="3">
        <f>-IF(RTD("tos.rtd",,CE$83,"."&amp;$B$82&amp;$AS$82&amp;"P"&amp;$A89)="N/A",0,RTD("tos.rtd",,CE$83,"."&amp;$B$82&amp;$AS$82&amp;"P"&amp;$A89))</f>
        <v>0</v>
      </c>
      <c r="CF89" s="3">
        <f>IF(RTD("tos.rtd",,CF$83,"."&amp;$C$82&amp;$AU$82&amp;"C"&amp;$A89)="N/A",0,RTD("tos.rtd",,CF$83,"."&amp;$C$82&amp;$AU$82&amp;"C"&amp;$A89))</f>
        <v>0.09</v>
      </c>
      <c r="CG89" s="3">
        <f>-IF(RTD("tos.rtd",,CG$83,"."&amp;$C$82&amp;$AU$82&amp;"P"&amp;$A89)="N/A",0,RTD("tos.rtd",,CG$83,"."&amp;$C$82&amp;$AU$82&amp;"P"&amp;$A89))</f>
        <v>0.91</v>
      </c>
      <c r="CH89" s="3">
        <f>IF(RTD("tos.rtd",,CH$83,"."&amp;$D$82&amp;$AW$82&amp;"C"&amp;$A89)="N/A",0,RTD("tos.rtd",,CH$83,"."&amp;$D$82&amp;$AW$82&amp;"C"&amp;$A89))</f>
        <v>0.35</v>
      </c>
      <c r="CI89" s="3">
        <f>-IF(RTD("tos.rtd",,CI$83,"."&amp;$D$82&amp;$AW$82&amp;"P"&amp;$A89)="N/A",0,RTD("tos.rtd",,CI$83,"."&amp;$D$82&amp;$AW$82&amp;"P"&amp;$A89))</f>
        <v>0.64</v>
      </c>
      <c r="CK89" s="3">
        <f t="shared" si="495"/>
        <v>0</v>
      </c>
      <c r="CL89" s="3"/>
      <c r="CM89" s="3">
        <f t="shared" si="496"/>
        <v>-26388.000000000004</v>
      </c>
      <c r="CN89" s="3"/>
      <c r="CO89" s="3">
        <f t="shared" si="497"/>
        <v>2878.9999999999982</v>
      </c>
      <c r="CP89" s="3">
        <f t="shared" si="462"/>
        <v>-23509.000000000007</v>
      </c>
      <c r="CQ89" s="3">
        <f t="shared" si="463"/>
        <v>0</v>
      </c>
      <c r="CR89" s="3"/>
      <c r="CS89" s="3">
        <f t="shared" si="464"/>
        <v>90</v>
      </c>
      <c r="CT89" s="3"/>
      <c r="CU89" s="3">
        <f t="shared" si="465"/>
        <v>0</v>
      </c>
      <c r="CV89" s="3"/>
      <c r="CW89" s="3">
        <f t="shared" ca="1" si="498"/>
        <v>145681.81069418273</v>
      </c>
      <c r="CY89" s="3">
        <f t="shared" ca="1" si="467"/>
        <v>42217.326820980968</v>
      </c>
      <c r="CZ89" s="70" t="str">
        <f t="shared" ca="1" si="511"/>
        <v/>
      </c>
      <c r="DA89" s="3">
        <f>IF(RTD("tos.rtd",,DA$83,"."&amp;$B$82&amp;$AS$82&amp;"C"&amp;$A89)="N/A",0,RTD("tos.rtd",,DA$83,"."&amp;$B$82&amp;$AS$82&amp;"C"&amp;$A89))</f>
        <v>0</v>
      </c>
      <c r="DB89" s="3">
        <f>IF(RTD("tos.rtd",,DB$83,"."&amp;$B$82&amp;$AS$82&amp;"P"&amp;$A89)="N/A",0,RTD("tos.rtd",,DB$83,"."&amp;$B$82&amp;$AS$82&amp;"P"&amp;$A89))</f>
        <v>0</v>
      </c>
      <c r="DC89" s="3">
        <f>IF(RTD("tos.rtd",,DC$83,"."&amp;$B$82&amp;$AS$82&amp;"C"&amp;$A89)="N/A",0,RTD("tos.rtd",,DC$83,"."&amp;$B$82&amp;$AS$82&amp;"C"&amp;$A89))</f>
        <v>0</v>
      </c>
      <c r="DD89" s="3">
        <f>IF(RTD("tos.rtd",,DD$83,"."&amp;$B$82&amp;$AS$82&amp;"P"&amp;$A89)="N/A",0,RTD("tos.rtd",,DD$83,"."&amp;$B$82&amp;$AS$82&amp;"P"&amp;$A89))</f>
        <v>0</v>
      </c>
      <c r="DE89" s="3">
        <f>IF(RTD("tos.rtd",,DE$83,"."&amp;$B$82&amp;$AS$82&amp;"C"&amp;$A89)="N/A",0,RTD("tos.rtd",,DE$83,"."&amp;$B$82&amp;$AS$82&amp;"C"&amp;$A89))</f>
        <v>0</v>
      </c>
      <c r="DF89" s="3">
        <f>IF(RTD("tos.rtd",,DF$83,"."&amp;$B$82&amp;$AS$82&amp;"P"&amp;$A89)="N/A",0,RTD("tos.rtd",,DF$83,"."&amp;$B$82&amp;$AS$82&amp;"P"&amp;$A89))</f>
        <v>0</v>
      </c>
      <c r="DG89" s="86">
        <f t="shared" si="499"/>
        <v>138.25</v>
      </c>
      <c r="DH89" s="3" t="e">
        <f t="shared" si="468"/>
        <v>#DIV/0!</v>
      </c>
      <c r="DI89" s="3" t="e">
        <f t="shared" si="469"/>
        <v>#DIV/0!</v>
      </c>
      <c r="DJ89" s="3">
        <f t="shared" si="470"/>
        <v>0</v>
      </c>
      <c r="DK89" s="3">
        <f t="shared" si="471"/>
        <v>0</v>
      </c>
      <c r="DL89" s="3" t="e">
        <f t="shared" si="472"/>
        <v>#DIV/0!</v>
      </c>
      <c r="DM89" s="3">
        <f t="shared" si="473"/>
        <v>0</v>
      </c>
      <c r="DN89" s="64" t="str">
        <f t="shared" si="474"/>
        <v>UNKNOWN</v>
      </c>
      <c r="DO89" s="64" t="str">
        <f t="shared" si="475"/>
        <v>UNKNOWN</v>
      </c>
      <c r="DP89" s="3" t="e">
        <f t="shared" si="476"/>
        <v>#DIV/0!</v>
      </c>
      <c r="DQ89" s="3">
        <f t="shared" si="477"/>
        <v>0</v>
      </c>
      <c r="DR89" s="3">
        <f t="shared" ca="1" si="478"/>
        <v>0</v>
      </c>
      <c r="DS89" s="3">
        <f t="shared" si="479"/>
        <v>0</v>
      </c>
      <c r="DT89" s="3">
        <f t="shared" si="500"/>
        <v>0</v>
      </c>
      <c r="DU89" s="3">
        <f t="shared" si="501"/>
        <v>0</v>
      </c>
      <c r="DV89" s="3">
        <f t="shared" si="502"/>
        <v>-43</v>
      </c>
      <c r="DW89" s="3">
        <f t="shared" si="503"/>
        <v>0</v>
      </c>
      <c r="DX89" s="3">
        <f t="shared" ca="1" si="512"/>
        <v>1.1663507774991743E-14</v>
      </c>
      <c r="DY89" s="3">
        <f t="shared" ca="1" si="480"/>
        <v>-1.1663507774991743E-14</v>
      </c>
      <c r="DZ89" s="3">
        <f t="shared" ca="1" si="504"/>
        <v>1.820129674459691E-3</v>
      </c>
      <c r="EA89" s="3">
        <f t="shared" ca="1" si="505"/>
        <v>-1.8257306029204341E-3</v>
      </c>
      <c r="EB89" s="3">
        <f t="shared" ca="1" si="481"/>
        <v>1.6359829889658058E-3</v>
      </c>
      <c r="EC89" s="3">
        <f t="shared" ca="1" si="482"/>
        <v>-1.7187532206288827E-3</v>
      </c>
      <c r="ED89" s="63">
        <f t="shared" si="506"/>
        <v>-43</v>
      </c>
      <c r="EE89" s="59">
        <f t="shared" si="483"/>
        <v>0.25</v>
      </c>
      <c r="EF89" s="59">
        <f t="shared" si="484"/>
        <v>0.25</v>
      </c>
      <c r="EG89" s="59">
        <f t="shared" si="485"/>
        <v>0.16600000000000001</v>
      </c>
      <c r="EH89" s="59">
        <f t="shared" si="486"/>
        <v>0.16839999999999999</v>
      </c>
      <c r="EI89" s="59">
        <f t="shared" si="487"/>
        <v>0.1353</v>
      </c>
      <c r="EJ89" s="59">
        <f t="shared" si="488"/>
        <v>0.1447</v>
      </c>
      <c r="EK89" s="63">
        <f t="shared" ca="1" si="507"/>
        <v>-1.7115262849334385E-5</v>
      </c>
      <c r="EL89" s="3" t="str">
        <f>RTD("tos.rtd",,EL$83,"."&amp;$B$82&amp;$AS$82&amp;"C"&amp;$A89)</f>
        <v>N/A</v>
      </c>
      <c r="EM89" s="3" t="str">
        <f>RTD("tos.rtd",,EM$83,"."&amp;$B$82&amp;$AS$82&amp;"P"&amp;$A89)</f>
        <v>N/A</v>
      </c>
      <c r="EN89" s="3" t="str">
        <f>RTD("tos.rtd",,EN$83,"."&amp;$C$82&amp;$AU$82&amp;"C"&amp;$A89)</f>
        <v>16.60%</v>
      </c>
      <c r="EO89" s="3" t="str">
        <f>RTD("tos.rtd",,EO$83,"."&amp;$C$82&amp;$AU$82&amp;"P"&amp;$A89)</f>
        <v>16.84%</v>
      </c>
      <c r="EP89" s="3" t="str">
        <f>RTD("tos.rtd",,EP$83,"."&amp;$D$82&amp;$AW$82&amp;"C"&amp;$A89)</f>
        <v>13.53%</v>
      </c>
      <c r="EQ89" s="3" t="str">
        <f>RTD("tos.rtd",,EQ$83,"."&amp;$D$82&amp;$AW$82&amp;"P"&amp;$A89)</f>
        <v>14.47%</v>
      </c>
      <c r="ES89" s="63" t="str">
        <f t="shared" si="489"/>
        <v>5980,-43.00</v>
      </c>
      <c r="ET89" s="63" t="str">
        <f t="shared" ca="1" si="490"/>
        <v>5980,42.22</v>
      </c>
      <c r="EU89" s="67">
        <v>571.46</v>
      </c>
      <c r="EV89" s="67" t="s">
        <v>731</v>
      </c>
      <c r="EW89" s="67">
        <v>496.17</v>
      </c>
      <c r="EX89" s="67" t="s">
        <v>732</v>
      </c>
      <c r="EY89" s="67">
        <v>5659.91</v>
      </c>
      <c r="EZ89" s="67" t="s">
        <v>733</v>
      </c>
      <c r="FA89" s="67">
        <v>20061.449000000001</v>
      </c>
      <c r="FB89" s="67" t="s">
        <v>734</v>
      </c>
      <c r="FC89" s="67" t="s">
        <v>735</v>
      </c>
      <c r="FD89" s="67" t="s">
        <v>736</v>
      </c>
      <c r="FE89" s="68" t="s">
        <v>737</v>
      </c>
      <c r="FF89" s="68" t="s">
        <v>738</v>
      </c>
    </row>
    <row r="90" spans="1:162" s="63" customFormat="1" ht="12" customHeight="1" thickBot="1" x14ac:dyDescent="0.25">
      <c r="A90" s="2">
        <f t="shared" si="508"/>
        <v>5970</v>
      </c>
      <c r="B90" s="3">
        <f t="shared" si="451"/>
        <v>0</v>
      </c>
      <c r="C90" s="3">
        <f t="shared" si="452"/>
        <v>802</v>
      </c>
      <c r="D90" s="3">
        <f t="shared" si="453"/>
        <v>492</v>
      </c>
      <c r="E90" s="3">
        <f t="shared" si="454"/>
        <v>1294</v>
      </c>
      <c r="F90" s="4">
        <f t="shared" si="509"/>
        <v>5994.5268969058925</v>
      </c>
      <c r="G90" s="4">
        <f t="shared" si="491"/>
        <v>595.74810630376169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>
        <v>-6</v>
      </c>
      <c r="AN90" s="20">
        <v>0</v>
      </c>
      <c r="AO90" s="20">
        <v>5970</v>
      </c>
      <c r="AP90" s="20">
        <v>0</v>
      </c>
      <c r="AQ90" s="20">
        <v>0</v>
      </c>
      <c r="AR90" s="20"/>
      <c r="AS90" s="54">
        <f>IF(RTD("tos.rtd",,AS$83,"."&amp;$B$82&amp;$AS$82&amp;"C"&amp;$A90)="N/A",0,RTD("tos.rtd",,AS$83,"."&amp;$B$82&amp;$AS$82&amp;"C"&amp;$A90))</f>
        <v>0</v>
      </c>
      <c r="AT90" s="3">
        <f>-IF(RTD("tos.rtd",,AT$83,"."&amp;$B$82&amp;$AS$82&amp;"P"&amp;$A90)="N/A",0,RTD("tos.rtd",,AT$83,"."&amp;$B$82&amp;$AS$82&amp;"P"&amp;$A90))</f>
        <v>0</v>
      </c>
      <c r="AU90" s="54">
        <f>IF(RTD("tos.rtd",,AU$83,"."&amp;$C$82&amp;$AU$82&amp;"C"&amp;$A90)="N/A",0,RTD("tos.rtd",,AU$83,"."&amp;$C$82&amp;$AU$82&amp;"C"&amp;$A90))</f>
        <v>415</v>
      </c>
      <c r="AV90" s="3">
        <f>-IF(RTD("tos.rtd",,AV$83,"."&amp;$C$82&amp;$AU$82&amp;"P"&amp;$A90)="N/A",0,RTD("tos.rtd",,AV$83,"."&amp;$C$82&amp;$AU$82&amp;"P"&amp;$A90))</f>
        <v>-387</v>
      </c>
      <c r="AW90" s="54">
        <f>IF(RTD("tos.rtd",,AW$83,"."&amp;$D$82&amp;$AW$82&amp;"C"&amp;$A90)="N/A",0,RTD("tos.rtd",,AW$83,"."&amp;$D$82&amp;$AW$82&amp;"C"&amp;$A90))</f>
        <v>375</v>
      </c>
      <c r="AX90" s="3">
        <f>-IF(RTD("tos.rtd",,AX$83,"."&amp;$D$82&amp;$AW$82&amp;"P"&amp;$A90)="N/A",0,RTD("tos.rtd",,AX$83,"."&amp;$D$82&amp;$AW$82&amp;"P"&amp;$A90))</f>
        <v>-117</v>
      </c>
      <c r="AY90" s="79">
        <f t="shared" si="492"/>
        <v>286</v>
      </c>
      <c r="AZ90" s="8">
        <f t="shared" si="455"/>
        <v>5970</v>
      </c>
      <c r="BA90" s="54">
        <f>IF(RTD("tos.rtd",,BA$83,"."&amp;$B$82&amp;$AS$82&amp;"C"&amp;$A90)="N/A",0,RTD("tos.rtd",,BA$83,"."&amp;$B$82&amp;$AS$82&amp;"C"&amp;$A90))</f>
        <v>0</v>
      </c>
      <c r="BB90" s="3">
        <f>-IF(RTD("tos.rtd",,BB$83,"."&amp;$B$82&amp;$AS$82&amp;"P"&amp;$A90)="N/A",0,RTD("tos.rtd",,BB$83,"."&amp;$B$82&amp;$AS$82&amp;"P"&amp;$A90))</f>
        <v>0</v>
      </c>
      <c r="BC90" s="54">
        <f>IF(RTD("tos.rtd",,BC$83,"."&amp;$C$82&amp;$AU$82&amp;"C"&amp;$A90)="N/A",0,RTD("tos.rtd",,BC$83,"."&amp;$C$82&amp;$AU$82&amp;"C"&amp;$A90))</f>
        <v>224</v>
      </c>
      <c r="BD90" s="3">
        <f>-IF(RTD("tos.rtd",,BD$83,"."&amp;$C$82&amp;$AU$82&amp;"P"&amp;$A90)="N/A",0,RTD("tos.rtd",,BD$83,"."&amp;$C$82&amp;$AU$82&amp;"P"&amp;$A90))</f>
        <v>-3</v>
      </c>
      <c r="BE90" s="54">
        <f>IF(RTD("tos.rtd",,BE$83,"."&amp;$D$82&amp;$AW$82&amp;"C"&amp;$A90)="N/A",0,RTD("tos.rtd",,BE$83,"."&amp;$D$82&amp;$AW$82&amp;"C"&amp;$A90))</f>
        <v>17</v>
      </c>
      <c r="BF90" s="3">
        <f>-IF(RTD("tos.rtd",,BF$83,"."&amp;$D$82&amp;$AW$82&amp;"P"&amp;$A90)="N/A",0,RTD("tos.rtd",,BF$83,"."&amp;$D$82&amp;$AW$82&amp;"P"&amp;$A90))</f>
        <v>0</v>
      </c>
      <c r="BG90" s="3">
        <f ca="1">+Hoja2!Y91</f>
        <v>12</v>
      </c>
      <c r="BH90" s="55">
        <f t="shared" ca="1" si="493"/>
        <v>250</v>
      </c>
      <c r="BI90" s="32" t="str">
        <f t="shared" ca="1" si="513"/>
        <v/>
      </c>
      <c r="BJ90" s="3">
        <f ca="1">IF($BP$1=1,DX90,IF(RTD("tos.rtd",,BJ$83,"."&amp;$B$82&amp;$AS$82&amp;"C"&amp;$A90)="N/A",0,RTD("tos.rtd",,BJ$83,"."&amp;$B$82&amp;$AS$82&amp;"C"&amp;$A90)))</f>
        <v>5.7727547966552883E-13</v>
      </c>
      <c r="BK90" s="3">
        <f ca="1">IF($BP$1=1,DY90,-IF(RTD("tos.rtd",,BK$83,"."&amp;$B$82&amp;$AS$82&amp;"P"&amp;$A90)="N/A",0,RTD("tos.rtd",,BK$83,"."&amp;$B$82&amp;$AS$82&amp;"P"&amp;$A90)))</f>
        <v>-5.7727547966552883E-13</v>
      </c>
      <c r="BL90" s="3">
        <f ca="1">IF($BP$1=1,DZ90,IF(RTD("tos.rtd",,BL$83,"."&amp;$C$82&amp;$AU$82&amp;"C"&amp;$A90)="N/A",0,RTD("tos.rtd",,BL$83,"."&amp;$C$82&amp;$AU$82&amp;"C"&amp;$A90)))</f>
        <v>1.98439443584785E-3</v>
      </c>
      <c r="BM90" s="3">
        <f ca="1">IF($BP$1=1,EA90,-IF(RTD("tos.rtd",,BM$83,"."&amp;$C$82&amp;$AU$82&amp;"P"&amp;$A90)="N/A",0,RTD("tos.rtd",,BM$83,"."&amp;$C$82&amp;$AU$82&amp;"P"&amp;$A90)))</f>
        <v>-1.9848429999734666E-3</v>
      </c>
      <c r="BN90" s="3">
        <f ca="1">IF($BP$1=1,EB90,IF(RTD("tos.rtd",,BN$83,"."&amp;$D$82&amp;$AW$82&amp;"C"&amp;$A90)="N/A",0,RTD("tos.rtd",,BN$83,"."&amp;$D$82&amp;$AW$82&amp;"C"&amp;$A90)))</f>
        <v>1.8713032280787206E-3</v>
      </c>
      <c r="BO90" s="3">
        <f ca="1">IF($BP$1=1,EC90,-IF(RTD("tos.rtd",,BO$83,"."&amp;$D$82&amp;$AW$82&amp;"P"&amp;$A90)="N/A",0,RTD("tos.rtd",,BO$83,"."&amp;$D$82&amp;$AW$82&amp;"P"&amp;$A90)))</f>
        <v>-1.9299250582236317E-3</v>
      </c>
      <c r="BQ90" s="3">
        <f t="shared" ca="1" si="456"/>
        <v>0</v>
      </c>
      <c r="BR90" s="3" t="str">
        <f t="shared" ca="1" si="494"/>
        <v/>
      </c>
      <c r="BS90" s="3">
        <f t="shared" ca="1" si="457"/>
        <v>14274.895667122764</v>
      </c>
      <c r="BT90" s="3" t="str">
        <f t="shared" ca="1" si="494"/>
        <v/>
      </c>
      <c r="BU90" s="3">
        <f t="shared" ca="1" si="458"/>
        <v>122657.97668344001</v>
      </c>
      <c r="BV90" s="3" t="str">
        <f t="shared" ca="1" si="494"/>
        <v/>
      </c>
      <c r="BX90" s="3">
        <f t="shared" ca="1" si="459"/>
        <v>0</v>
      </c>
      <c r="BY90" s="3" t="str">
        <f t="shared" ca="1" si="510"/>
        <v/>
      </c>
      <c r="BZ90" s="3">
        <f t="shared" ca="1" si="460"/>
        <v>113022.47998825536</v>
      </c>
      <c r="CA90" s="3" t="str">
        <f t="shared" ca="1" si="510"/>
        <v/>
      </c>
      <c r="CB90" s="3">
        <f t="shared" ca="1" si="461"/>
        <v>8198.5864229696945</v>
      </c>
      <c r="CC90" s="3" t="str">
        <f t="shared" ca="1" si="510"/>
        <v/>
      </c>
      <c r="CD90" s="3">
        <f>IF(RTD("tos.rtd",,CD$83,"."&amp;$B$82&amp;$AS$82&amp;"C"&amp;$A90)="N/A",0,RTD("tos.rtd",,CD$83,"."&amp;$B$82&amp;$AS$82&amp;"C"&amp;$A90))</f>
        <v>0</v>
      </c>
      <c r="CE90" s="3">
        <f>-IF(RTD("tos.rtd",,CE$83,"."&amp;$B$82&amp;$AS$82&amp;"P"&amp;$A90)="N/A",0,RTD("tos.rtd",,CE$83,"."&amp;$B$82&amp;$AS$82&amp;"P"&amp;$A90))</f>
        <v>0</v>
      </c>
      <c r="CF90" s="3">
        <f>IF(RTD("tos.rtd",,CF$83,"."&amp;$C$82&amp;$AU$82&amp;"C"&amp;$A90)="N/A",0,RTD("tos.rtd",,CF$83,"."&amp;$C$82&amp;$AU$82&amp;"C"&amp;$A90))</f>
        <v>0.11</v>
      </c>
      <c r="CG90" s="3">
        <f>-IF(RTD("tos.rtd",,CG$83,"."&amp;$C$82&amp;$AU$82&amp;"P"&amp;$A90)="N/A",0,RTD("tos.rtd",,CG$83,"."&amp;$C$82&amp;$AU$82&amp;"P"&amp;$A90))</f>
        <v>0.88</v>
      </c>
      <c r="CH90" s="3">
        <f>IF(RTD("tos.rtd",,CH$83,"."&amp;$D$82&amp;$AW$82&amp;"C"&amp;$A90)="N/A",0,RTD("tos.rtd",,CH$83,"."&amp;$D$82&amp;$AW$82&amp;"C"&amp;$A90))</f>
        <v>0.36</v>
      </c>
      <c r="CI90" s="3">
        <f>-IF(RTD("tos.rtd",,CI$83,"."&amp;$D$82&amp;$AW$82&amp;"P"&amp;$A90)="N/A",0,RTD("tos.rtd",,CI$83,"."&amp;$D$82&amp;$AW$82&amp;"P"&amp;$A90))</f>
        <v>0.63</v>
      </c>
      <c r="CK90" s="3">
        <f t="shared" si="495"/>
        <v>0</v>
      </c>
      <c r="CL90" s="3"/>
      <c r="CM90" s="3">
        <f t="shared" si="496"/>
        <v>-29491</v>
      </c>
      <c r="CN90" s="3"/>
      <c r="CO90" s="3">
        <f t="shared" si="497"/>
        <v>6129.0000000000009</v>
      </c>
      <c r="CP90" s="3">
        <f t="shared" si="462"/>
        <v>-23362</v>
      </c>
      <c r="CQ90" s="3">
        <f t="shared" si="463"/>
        <v>0</v>
      </c>
      <c r="CR90" s="3"/>
      <c r="CS90" s="3">
        <f t="shared" si="464"/>
        <v>221</v>
      </c>
      <c r="CT90" s="3"/>
      <c r="CU90" s="3">
        <f t="shared" si="465"/>
        <v>17</v>
      </c>
      <c r="CV90" s="3"/>
      <c r="CW90" s="3">
        <f t="shared" ca="1" si="498"/>
        <v>136932.87235056277</v>
      </c>
      <c r="CY90" s="3">
        <f t="shared" ca="1" si="467"/>
        <v>121221.06641122505</v>
      </c>
      <c r="CZ90" s="70" t="str">
        <f t="shared" ca="1" si="511"/>
        <v/>
      </c>
      <c r="DA90" s="3">
        <f>IF(RTD("tos.rtd",,DA$83,"."&amp;$B$82&amp;$AS$82&amp;"C"&amp;$A90)="N/A",0,RTD("tos.rtd",,DA$83,"."&amp;$B$82&amp;$AS$82&amp;"C"&amp;$A90))</f>
        <v>0</v>
      </c>
      <c r="DB90" s="3">
        <f>IF(RTD("tos.rtd",,DB$83,"."&amp;$B$82&amp;$AS$82&amp;"P"&amp;$A90)="N/A",0,RTD("tos.rtd",,DB$83,"."&amp;$B$82&amp;$AS$82&amp;"P"&amp;$A90))</f>
        <v>0</v>
      </c>
      <c r="DC90" s="3">
        <f>IF(RTD("tos.rtd",,DC$83,"."&amp;$B$82&amp;$AS$82&amp;"C"&amp;$A90)="N/A",0,RTD("tos.rtd",,DC$83,"."&amp;$B$82&amp;$AS$82&amp;"C"&amp;$A90))</f>
        <v>0</v>
      </c>
      <c r="DD90" s="3">
        <f>IF(RTD("tos.rtd",,DD$83,"."&amp;$B$82&amp;$AS$82&amp;"P"&amp;$A90)="N/A",0,RTD("tos.rtd",,DD$83,"."&amp;$B$82&amp;$AS$82&amp;"P"&amp;$A90))</f>
        <v>0</v>
      </c>
      <c r="DE90" s="3">
        <f>IF(RTD("tos.rtd",,DE$83,"."&amp;$B$82&amp;$AS$82&amp;"C"&amp;$A90)="N/A",0,RTD("tos.rtd",,DE$83,"."&amp;$B$82&amp;$AS$82&amp;"C"&amp;$A90))</f>
        <v>0</v>
      </c>
      <c r="DF90" s="3">
        <f>IF(RTD("tos.rtd",,DF$83,"."&amp;$B$82&amp;$AS$82&amp;"P"&amp;$A90)="N/A",0,RTD("tos.rtd",,DF$83,"."&amp;$B$82&amp;$AS$82&amp;"P"&amp;$A90))</f>
        <v>0</v>
      </c>
      <c r="DG90" s="86">
        <f t="shared" si="499"/>
        <v>128.25</v>
      </c>
      <c r="DH90" s="3" t="e">
        <f t="shared" si="468"/>
        <v>#DIV/0!</v>
      </c>
      <c r="DI90" s="3" t="e">
        <f t="shared" si="469"/>
        <v>#DIV/0!</v>
      </c>
      <c r="DJ90" s="3">
        <f t="shared" si="470"/>
        <v>0</v>
      </c>
      <c r="DK90" s="3">
        <f t="shared" si="471"/>
        <v>0</v>
      </c>
      <c r="DL90" s="3" t="e">
        <f t="shared" si="472"/>
        <v>#DIV/0!</v>
      </c>
      <c r="DM90" s="3">
        <f t="shared" si="473"/>
        <v>0</v>
      </c>
      <c r="DN90" s="64" t="str">
        <f t="shared" si="474"/>
        <v>UNKNOWN</v>
      </c>
      <c r="DO90" s="64" t="str">
        <f t="shared" si="475"/>
        <v>UNKNOWN</v>
      </c>
      <c r="DP90" s="3" t="e">
        <f t="shared" si="476"/>
        <v>#DIV/0!</v>
      </c>
      <c r="DQ90" s="3">
        <f t="shared" si="477"/>
        <v>0</v>
      </c>
      <c r="DR90" s="3">
        <f t="shared" ca="1" si="478"/>
        <v>0</v>
      </c>
      <c r="DS90" s="3">
        <f t="shared" si="479"/>
        <v>0</v>
      </c>
      <c r="DT90" s="3">
        <f t="shared" si="500"/>
        <v>0</v>
      </c>
      <c r="DU90" s="3">
        <f t="shared" si="501"/>
        <v>0</v>
      </c>
      <c r="DV90" s="3">
        <f t="shared" si="502"/>
        <v>-6</v>
      </c>
      <c r="DW90" s="3">
        <f t="shared" si="503"/>
        <v>0</v>
      </c>
      <c r="DX90" s="3">
        <f t="shared" ca="1" si="512"/>
        <v>5.7727547966552883E-13</v>
      </c>
      <c r="DY90" s="3">
        <f t="shared" ca="1" si="480"/>
        <v>-5.7727547966552883E-13</v>
      </c>
      <c r="DZ90" s="3">
        <f t="shared" ca="1" si="504"/>
        <v>1.98439443584785E-3</v>
      </c>
      <c r="EA90" s="3">
        <f t="shared" ca="1" si="505"/>
        <v>-1.9848429999734666E-3</v>
      </c>
      <c r="EB90" s="3">
        <f t="shared" ca="1" si="481"/>
        <v>1.8713032280787206E-3</v>
      </c>
      <c r="EC90" s="3">
        <f t="shared" ca="1" si="482"/>
        <v>-1.9299250582236317E-3</v>
      </c>
      <c r="ED90" s="63">
        <f t="shared" si="506"/>
        <v>-6</v>
      </c>
      <c r="EE90" s="59">
        <f t="shared" si="483"/>
        <v>0.25</v>
      </c>
      <c r="EF90" s="59">
        <f t="shared" si="484"/>
        <v>0.25</v>
      </c>
      <c r="EG90" s="59">
        <f t="shared" si="485"/>
        <v>0.16589999999999999</v>
      </c>
      <c r="EH90" s="59">
        <f t="shared" si="486"/>
        <v>0.1749</v>
      </c>
      <c r="EI90" s="59">
        <f t="shared" si="487"/>
        <v>0.13619999999999999</v>
      </c>
      <c r="EJ90" s="59">
        <f t="shared" si="488"/>
        <v>0.1454</v>
      </c>
      <c r="EK90" s="63">
        <f t="shared" ca="1" si="507"/>
        <v>-1.1820076726794708E-4</v>
      </c>
      <c r="EL90" s="3" t="str">
        <f>RTD("tos.rtd",,EL$83,"."&amp;$B$82&amp;$AS$82&amp;"C"&amp;$A90)</f>
        <v>N/A</v>
      </c>
      <c r="EM90" s="3" t="str">
        <f>RTD("tos.rtd",,EM$83,"."&amp;$B$82&amp;$AS$82&amp;"P"&amp;$A90)</f>
        <v>N/A</v>
      </c>
      <c r="EN90" s="3" t="str">
        <f>RTD("tos.rtd",,EN$83,"."&amp;$C$82&amp;$AU$82&amp;"C"&amp;$A90)</f>
        <v>16.59%</v>
      </c>
      <c r="EO90" s="3" t="str">
        <f>RTD("tos.rtd",,EO$83,"."&amp;$C$82&amp;$AU$82&amp;"P"&amp;$A90)</f>
        <v>17.49%</v>
      </c>
      <c r="EP90" s="3" t="str">
        <f>RTD("tos.rtd",,EP$83,"."&amp;$D$82&amp;$AW$82&amp;"C"&amp;$A90)</f>
        <v>13.62%</v>
      </c>
      <c r="EQ90" s="3" t="str">
        <f>RTD("tos.rtd",,EQ$83,"."&amp;$D$82&amp;$AW$82&amp;"P"&amp;$A90)</f>
        <v>14.54%</v>
      </c>
      <c r="ES90" s="63" t="str">
        <f t="shared" si="489"/>
        <v>5970,-06.00</v>
      </c>
      <c r="ET90" s="63" t="str">
        <f t="shared" ca="1" si="490"/>
        <v>5970,121.22</v>
      </c>
      <c r="EU90" s="67">
        <v>571.77</v>
      </c>
      <c r="EV90" s="67" t="s">
        <v>739</v>
      </c>
      <c r="EW90" s="67">
        <v>496.45</v>
      </c>
      <c r="EX90" s="67" t="s">
        <v>740</v>
      </c>
      <c r="EY90" s="67">
        <v>5659.91</v>
      </c>
      <c r="EZ90" s="67" t="s">
        <v>741</v>
      </c>
      <c r="FA90" s="67">
        <v>20061.449000000001</v>
      </c>
      <c r="FB90" s="67" t="s">
        <v>742</v>
      </c>
      <c r="FC90" s="67" t="s">
        <v>743</v>
      </c>
      <c r="FD90" s="67" t="s">
        <v>744</v>
      </c>
      <c r="FE90" s="68" t="s">
        <v>745</v>
      </c>
      <c r="FF90" s="68" t="s">
        <v>746</v>
      </c>
    </row>
    <row r="91" spans="1:162" s="63" customFormat="1" ht="12" customHeight="1" thickBot="1" x14ac:dyDescent="0.25">
      <c r="A91" s="2">
        <f t="shared" si="508"/>
        <v>5960</v>
      </c>
      <c r="B91" s="3">
        <f t="shared" si="451"/>
        <v>0</v>
      </c>
      <c r="C91" s="3">
        <f t="shared" si="452"/>
        <v>522</v>
      </c>
      <c r="D91" s="3">
        <f t="shared" si="453"/>
        <v>642</v>
      </c>
      <c r="E91" s="3">
        <f t="shared" si="454"/>
        <v>1164</v>
      </c>
      <c r="F91" s="4">
        <f t="shared" si="509"/>
        <v>5984.4858133264861</v>
      </c>
      <c r="G91" s="4">
        <f t="shared" si="491"/>
        <v>594.75020327812729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>
        <v>-7</v>
      </c>
      <c r="AN91" s="20">
        <v>0</v>
      </c>
      <c r="AO91" s="20">
        <v>5960</v>
      </c>
      <c r="AP91" s="20">
        <v>0</v>
      </c>
      <c r="AQ91" s="20">
        <v>0</v>
      </c>
      <c r="AR91" s="20"/>
      <c r="AS91" s="54">
        <f>IF(RTD("tos.rtd",,AS$83,"."&amp;$B$82&amp;$AS$82&amp;"C"&amp;$A91)="N/A",0,RTD("tos.rtd",,AS$83,"."&amp;$B$82&amp;$AS$82&amp;"C"&amp;$A91))</f>
        <v>0</v>
      </c>
      <c r="AT91" s="3">
        <f>-IF(RTD("tos.rtd",,AT$83,"."&amp;$B$82&amp;$AS$82&amp;"P"&amp;$A91)="N/A",0,RTD("tos.rtd",,AT$83,"."&amp;$B$82&amp;$AS$82&amp;"P"&amp;$A91))</f>
        <v>0</v>
      </c>
      <c r="AU91" s="54">
        <f>IF(RTD("tos.rtd",,AU$83,"."&amp;$C$82&amp;$AU$82&amp;"C"&amp;$A91)="N/A",0,RTD("tos.rtd",,AU$83,"."&amp;$C$82&amp;$AU$82&amp;"C"&amp;$A91))</f>
        <v>302</v>
      </c>
      <c r="AV91" s="3">
        <f>-IF(RTD("tos.rtd",,AV$83,"."&amp;$C$82&amp;$AU$82&amp;"P"&amp;$A91)="N/A",0,RTD("tos.rtd",,AV$83,"."&amp;$C$82&amp;$AU$82&amp;"P"&amp;$A91))</f>
        <v>-220</v>
      </c>
      <c r="AW91" s="54">
        <f>IF(RTD("tos.rtd",,AW$83,"."&amp;$D$82&amp;$AW$82&amp;"C"&amp;$A91)="N/A",0,RTD("tos.rtd",,AW$83,"."&amp;$D$82&amp;$AW$82&amp;"C"&amp;$A91))</f>
        <v>402</v>
      </c>
      <c r="AX91" s="3">
        <f>-IF(RTD("tos.rtd",,AX$83,"."&amp;$D$82&amp;$AW$82&amp;"P"&amp;$A91)="N/A",0,RTD("tos.rtd",,AX$83,"."&amp;$D$82&amp;$AW$82&amp;"P"&amp;$A91))</f>
        <v>-240</v>
      </c>
      <c r="AY91" s="79">
        <f t="shared" si="492"/>
        <v>244</v>
      </c>
      <c r="AZ91" s="8">
        <f t="shared" si="455"/>
        <v>5960</v>
      </c>
      <c r="BA91" s="54">
        <f>IF(RTD("tos.rtd",,BA$83,"."&amp;$B$82&amp;$AS$82&amp;"C"&amp;$A91)="N/A",0,RTD("tos.rtd",,BA$83,"."&amp;$B$82&amp;$AS$82&amp;"C"&amp;$A91))</f>
        <v>0</v>
      </c>
      <c r="BB91" s="3">
        <f>-IF(RTD("tos.rtd",,BB$83,"."&amp;$B$82&amp;$AS$82&amp;"P"&amp;$A91)="N/A",0,RTD("tos.rtd",,BB$83,"."&amp;$B$82&amp;$AS$82&amp;"P"&amp;$A91))</f>
        <v>0</v>
      </c>
      <c r="BC91" s="54">
        <f>IF(RTD("tos.rtd",,BC$83,"."&amp;$C$82&amp;$AU$82&amp;"C"&amp;$A91)="N/A",0,RTD("tos.rtd",,BC$83,"."&amp;$C$82&amp;$AU$82&amp;"C"&amp;$A91))</f>
        <v>399</v>
      </c>
      <c r="BD91" s="3">
        <f>-IF(RTD("tos.rtd",,BD$83,"."&amp;$C$82&amp;$AU$82&amp;"P"&amp;$A91)="N/A",0,RTD("tos.rtd",,BD$83,"."&amp;$C$82&amp;$AU$82&amp;"P"&amp;$A91))</f>
        <v>0</v>
      </c>
      <c r="BE91" s="54">
        <f>IF(RTD("tos.rtd",,BE$83,"."&amp;$D$82&amp;$AW$82&amp;"C"&amp;$A91)="N/A",0,RTD("tos.rtd",,BE$83,"."&amp;$D$82&amp;$AW$82&amp;"C"&amp;$A91))</f>
        <v>0</v>
      </c>
      <c r="BF91" s="3">
        <f>-IF(RTD("tos.rtd",,BF$83,"."&amp;$D$82&amp;$AW$82&amp;"P"&amp;$A91)="N/A",0,RTD("tos.rtd",,BF$83,"."&amp;$D$82&amp;$AW$82&amp;"P"&amp;$A91))</f>
        <v>-2</v>
      </c>
      <c r="BG91" s="3">
        <f ca="1">+Hoja2!Y92</f>
        <v>227</v>
      </c>
      <c r="BH91" s="55">
        <f t="shared" ca="1" si="493"/>
        <v>624</v>
      </c>
      <c r="BI91" s="32" t="str">
        <f t="shared" ca="1" si="513"/>
        <v/>
      </c>
      <c r="BJ91" s="3">
        <f ca="1">IF($BP$1=1,DX91,IF(RTD("tos.rtd",,BJ$83,"."&amp;$B$82&amp;$AS$82&amp;"C"&amp;$A91)="N/A",0,RTD("tos.rtd",,BJ$83,"."&amp;$B$82&amp;$AS$82&amp;"C"&amp;$A91)))</f>
        <v>2.1510398512657365E-11</v>
      </c>
      <c r="BK91" s="3">
        <f ca="1">IF($BP$1=1,DY91,-IF(RTD("tos.rtd",,BK$83,"."&amp;$B$82&amp;$AS$82&amp;"P"&amp;$A91)="N/A",0,RTD("tos.rtd",,BK$83,"."&amp;$B$82&amp;$AS$82&amp;"P"&amp;$A91)))</f>
        <v>-2.1510398512657365E-11</v>
      </c>
      <c r="BL91" s="3">
        <f ca="1">IF($BP$1=1,DZ91,IF(RTD("tos.rtd",,BL$83,"."&amp;$C$82&amp;$AU$82&amp;"C"&amp;$A91)="N/A",0,RTD("tos.rtd",,BL$83,"."&amp;$C$82&amp;$AU$82&amp;"C"&amp;$A91)))</f>
        <v>2.1506989246157619E-3</v>
      </c>
      <c r="BM91" s="3">
        <f ca="1">IF($BP$1=1,EA91,-IF(RTD("tos.rtd",,BM$83,"."&amp;$C$82&amp;$AU$82&amp;"P"&amp;$A91)="N/A",0,RTD("tos.rtd",,BM$83,"."&amp;$C$82&amp;$AU$82&amp;"P"&amp;$A91)))</f>
        <v>-2.1488421182397043E-3</v>
      </c>
      <c r="BN91" s="3">
        <f ca="1">IF($BP$1=1,EB91,IF(RTD("tos.rtd",,BN$83,"."&amp;$D$82&amp;$AW$82&amp;"C"&amp;$A91)="N/A",0,RTD("tos.rtd",,BN$83,"."&amp;$D$82&amp;$AW$82&amp;"C"&amp;$A91)))</f>
        <v>2.1124600861691261E-3</v>
      </c>
      <c r="BO91" s="3">
        <f ca="1">IF($BP$1=1,EC91,-IF(RTD("tos.rtd",,BO$83,"."&amp;$D$82&amp;$AW$82&amp;"P"&amp;$A91)="N/A",0,RTD("tos.rtd",,BO$83,"."&amp;$D$82&amp;$AW$82&amp;"P"&amp;$A91)))</f>
        <v>-2.1441994734483416E-3</v>
      </c>
      <c r="BQ91" s="3">
        <f t="shared" ca="1" si="456"/>
        <v>0</v>
      </c>
      <c r="BR91" s="3" t="str">
        <f t="shared" ca="1" si="494"/>
        <v/>
      </c>
      <c r="BS91" s="3">
        <f t="shared" ca="1" si="457"/>
        <v>45555.850243856417</v>
      </c>
      <c r="BT91" s="3" t="str">
        <f t="shared" ca="1" si="494"/>
        <v/>
      </c>
      <c r="BU91" s="3">
        <f t="shared" ca="1" si="458"/>
        <v>86232.947452840628</v>
      </c>
      <c r="BV91" s="3" t="str">
        <f t="shared" ca="1" si="494"/>
        <v/>
      </c>
      <c r="BX91" s="3">
        <f t="shared" ca="1" si="459"/>
        <v>0</v>
      </c>
      <c r="BY91" s="3" t="str">
        <f t="shared" ca="1" si="510"/>
        <v/>
      </c>
      <c r="BZ91" s="3">
        <f t="shared" ca="1" si="460"/>
        <v>221155.83610806105</v>
      </c>
      <c r="CA91" s="3" t="str">
        <f t="shared" ca="1" si="510"/>
        <v/>
      </c>
      <c r="CB91" s="3">
        <f t="shared" ca="1" si="461"/>
        <v>-1105.2004970386479</v>
      </c>
      <c r="CC91" s="3" t="str">
        <f t="shared" ca="1" si="510"/>
        <v>Cruce -</v>
      </c>
      <c r="CD91" s="3">
        <f>IF(RTD("tos.rtd",,CD$83,"."&amp;$B$82&amp;$AS$82&amp;"C"&amp;$A91)="N/A",0,RTD("tos.rtd",,CD$83,"."&amp;$B$82&amp;$AS$82&amp;"C"&amp;$A91))</f>
        <v>0</v>
      </c>
      <c r="CE91" s="3">
        <f>-IF(RTD("tos.rtd",,CE$83,"."&amp;$B$82&amp;$AS$82&amp;"P"&amp;$A91)="N/A",0,RTD("tos.rtd",,CE$83,"."&amp;$B$82&amp;$AS$82&amp;"P"&amp;$A91))</f>
        <v>0</v>
      </c>
      <c r="CF91" s="3">
        <f>IF(RTD("tos.rtd",,CF$83,"."&amp;$C$82&amp;$AU$82&amp;"C"&amp;$A91)="N/A",0,RTD("tos.rtd",,CF$83,"."&amp;$C$82&amp;$AU$82&amp;"C"&amp;$A91))</f>
        <v>0.13</v>
      </c>
      <c r="CG91" s="3">
        <f>-IF(RTD("tos.rtd",,CG$83,"."&amp;$C$82&amp;$AU$82&amp;"P"&amp;$A91)="N/A",0,RTD("tos.rtd",,CG$83,"."&amp;$C$82&amp;$AU$82&amp;"P"&amp;$A91))</f>
        <v>0.87</v>
      </c>
      <c r="CH91" s="3">
        <f>IF(RTD("tos.rtd",,CH$83,"."&amp;$D$82&amp;$AW$82&amp;"C"&amp;$A91)="N/A",0,RTD("tos.rtd",,CH$83,"."&amp;$D$82&amp;$AW$82&amp;"C"&amp;$A91))</f>
        <v>0.38</v>
      </c>
      <c r="CI91" s="3">
        <f>-IF(RTD("tos.rtd",,CI$83,"."&amp;$D$82&amp;$AW$82&amp;"P"&amp;$A91)="N/A",0,RTD("tos.rtd",,CI$83,"."&amp;$D$82&amp;$AW$82&amp;"P"&amp;$A91))</f>
        <v>0.61</v>
      </c>
      <c r="CK91" s="3">
        <f t="shared" si="495"/>
        <v>0</v>
      </c>
      <c r="CL91" s="3"/>
      <c r="CM91" s="3">
        <f t="shared" si="496"/>
        <v>-15214</v>
      </c>
      <c r="CN91" s="3"/>
      <c r="CO91" s="3">
        <f t="shared" si="497"/>
        <v>636</v>
      </c>
      <c r="CP91" s="3">
        <f t="shared" si="462"/>
        <v>-14578</v>
      </c>
      <c r="CQ91" s="3">
        <f t="shared" si="463"/>
        <v>0</v>
      </c>
      <c r="CR91" s="3"/>
      <c r="CS91" s="3">
        <f t="shared" si="464"/>
        <v>399</v>
      </c>
      <c r="CT91" s="3"/>
      <c r="CU91" s="3">
        <f t="shared" si="465"/>
        <v>-2</v>
      </c>
      <c r="CV91" s="3"/>
      <c r="CW91" s="3">
        <f t="shared" ca="1" si="498"/>
        <v>131788.79769669706</v>
      </c>
      <c r="CY91" s="3">
        <f t="shared" ca="1" si="467"/>
        <v>220050.63561102242</v>
      </c>
      <c r="CZ91" s="70" t="str">
        <f t="shared" ca="1" si="511"/>
        <v/>
      </c>
      <c r="DA91" s="3">
        <f>IF(RTD("tos.rtd",,DA$83,"."&amp;$B$82&amp;$AS$82&amp;"C"&amp;$A91)="N/A",0,RTD("tos.rtd",,DA$83,"."&amp;$B$82&amp;$AS$82&amp;"C"&amp;$A91))</f>
        <v>0</v>
      </c>
      <c r="DB91" s="3">
        <f>IF(RTD("tos.rtd",,DB$83,"."&amp;$B$82&amp;$AS$82&amp;"P"&amp;$A91)="N/A",0,RTD("tos.rtd",,DB$83,"."&amp;$B$82&amp;$AS$82&amp;"P"&amp;$A91))</f>
        <v>0</v>
      </c>
      <c r="DC91" s="3">
        <f>IF(RTD("tos.rtd",,DC$83,"."&amp;$B$82&amp;$AS$82&amp;"C"&amp;$A91)="N/A",0,RTD("tos.rtd",,DC$83,"."&amp;$B$82&amp;$AS$82&amp;"C"&amp;$A91))</f>
        <v>0</v>
      </c>
      <c r="DD91" s="3">
        <f>IF(RTD("tos.rtd",,DD$83,"."&amp;$B$82&amp;$AS$82&amp;"P"&amp;$A91)="N/A",0,RTD("tos.rtd",,DD$83,"."&amp;$B$82&amp;$AS$82&amp;"P"&amp;$A91))</f>
        <v>0</v>
      </c>
      <c r="DE91" s="3">
        <f>IF(RTD("tos.rtd",,DE$83,"."&amp;$B$82&amp;$AS$82&amp;"C"&amp;$A91)="N/A",0,RTD("tos.rtd",,DE$83,"."&amp;$B$82&amp;$AS$82&amp;"C"&amp;$A91))</f>
        <v>0</v>
      </c>
      <c r="DF91" s="3">
        <f>IF(RTD("tos.rtd",,DF$83,"."&amp;$B$82&amp;$AS$82&amp;"P"&amp;$A91)="N/A",0,RTD("tos.rtd",,DF$83,"."&amp;$B$82&amp;$AS$82&amp;"P"&amp;$A91))</f>
        <v>0</v>
      </c>
      <c r="DG91" s="86">
        <f t="shared" si="499"/>
        <v>118.25</v>
      </c>
      <c r="DH91" s="3" t="e">
        <f t="shared" si="468"/>
        <v>#DIV/0!</v>
      </c>
      <c r="DI91" s="3" t="e">
        <f t="shared" si="469"/>
        <v>#DIV/0!</v>
      </c>
      <c r="DJ91" s="3">
        <f t="shared" si="470"/>
        <v>0</v>
      </c>
      <c r="DK91" s="3">
        <f t="shared" si="471"/>
        <v>0</v>
      </c>
      <c r="DL91" s="3" t="e">
        <f t="shared" si="472"/>
        <v>#DIV/0!</v>
      </c>
      <c r="DM91" s="3">
        <f t="shared" si="473"/>
        <v>0</v>
      </c>
      <c r="DN91" s="64" t="str">
        <f t="shared" si="474"/>
        <v>UNKNOWN</v>
      </c>
      <c r="DO91" s="64" t="str">
        <f t="shared" si="475"/>
        <v>UNKNOWN</v>
      </c>
      <c r="DP91" s="3" t="e">
        <f t="shared" si="476"/>
        <v>#DIV/0!</v>
      </c>
      <c r="DQ91" s="3">
        <f t="shared" si="477"/>
        <v>0</v>
      </c>
      <c r="DR91" s="3">
        <f t="shared" ca="1" si="478"/>
        <v>0</v>
      </c>
      <c r="DS91" s="3">
        <f t="shared" si="479"/>
        <v>0</v>
      </c>
      <c r="DT91" s="3">
        <f t="shared" si="500"/>
        <v>0</v>
      </c>
      <c r="DU91" s="3">
        <f t="shared" si="501"/>
        <v>0</v>
      </c>
      <c r="DV91" s="3">
        <f t="shared" si="502"/>
        <v>-7</v>
      </c>
      <c r="DW91" s="3">
        <f t="shared" si="503"/>
        <v>0</v>
      </c>
      <c r="DX91" s="3">
        <f t="shared" ca="1" si="512"/>
        <v>2.1510398512657365E-11</v>
      </c>
      <c r="DY91" s="3">
        <f t="shared" ca="1" si="480"/>
        <v>-2.1510398512657365E-11</v>
      </c>
      <c r="DZ91" s="3">
        <f t="shared" ca="1" si="504"/>
        <v>2.1506989246157619E-3</v>
      </c>
      <c r="EA91" s="3">
        <f t="shared" ca="1" si="505"/>
        <v>-2.1488421182397043E-3</v>
      </c>
      <c r="EB91" s="3">
        <f t="shared" ca="1" si="481"/>
        <v>2.1124600861691261E-3</v>
      </c>
      <c r="EC91" s="3">
        <f t="shared" ca="1" si="482"/>
        <v>-2.1441994734483416E-3</v>
      </c>
      <c r="ED91" s="63">
        <f t="shared" si="506"/>
        <v>-7</v>
      </c>
      <c r="EE91" s="59">
        <f t="shared" si="483"/>
        <v>0.25</v>
      </c>
      <c r="EF91" s="59">
        <f t="shared" si="484"/>
        <v>0.25</v>
      </c>
      <c r="EG91" s="59">
        <f t="shared" si="485"/>
        <v>0.1651</v>
      </c>
      <c r="EH91" s="59">
        <f t="shared" si="486"/>
        <v>0.16650000000000001</v>
      </c>
      <c r="EI91" s="59">
        <f t="shared" si="487"/>
        <v>0.1371</v>
      </c>
      <c r="EJ91" s="59">
        <f t="shared" si="488"/>
        <v>0.1462</v>
      </c>
      <c r="EK91" s="63">
        <f t="shared" ca="1" si="507"/>
        <v>-5.1384535015413686E-3</v>
      </c>
      <c r="EL91" s="3" t="str">
        <f>RTD("tos.rtd",,EL$83,"."&amp;$B$82&amp;$AS$82&amp;"C"&amp;$A91)</f>
        <v>N/A</v>
      </c>
      <c r="EM91" s="3" t="str">
        <f>RTD("tos.rtd",,EM$83,"."&amp;$B$82&amp;$AS$82&amp;"P"&amp;$A91)</f>
        <v>N/A</v>
      </c>
      <c r="EN91" s="3" t="str">
        <f>RTD("tos.rtd",,EN$83,"."&amp;$C$82&amp;$AU$82&amp;"C"&amp;$A91)</f>
        <v>16.51%</v>
      </c>
      <c r="EO91" s="3" t="str">
        <f>RTD("tos.rtd",,EO$83,"."&amp;$C$82&amp;$AU$82&amp;"P"&amp;$A91)</f>
        <v>16.65%</v>
      </c>
      <c r="EP91" s="3" t="str">
        <f>RTD("tos.rtd",,EP$83,"."&amp;$D$82&amp;$AW$82&amp;"C"&amp;$A91)</f>
        <v>13.71%</v>
      </c>
      <c r="EQ91" s="3" t="str">
        <f>RTD("tos.rtd",,EQ$83,"."&amp;$D$82&amp;$AW$82&amp;"P"&amp;$A91)</f>
        <v>14.62%</v>
      </c>
      <c r="ES91" s="63" t="str">
        <f t="shared" si="489"/>
        <v>5960,-07.00</v>
      </c>
      <c r="ET91" s="63" t="str">
        <f t="shared" ca="1" si="490"/>
        <v>5960,220.05</v>
      </c>
      <c r="EU91" s="67">
        <v>571.78</v>
      </c>
      <c r="EV91" s="67" t="s">
        <v>747</v>
      </c>
      <c r="EW91" s="67">
        <v>496.65</v>
      </c>
      <c r="EX91" s="67" t="s">
        <v>748</v>
      </c>
      <c r="EY91" s="67">
        <v>5659.91</v>
      </c>
      <c r="EZ91" s="67" t="s">
        <v>749</v>
      </c>
      <c r="FA91" s="67">
        <v>20061.449000000001</v>
      </c>
      <c r="FB91" s="67" t="s">
        <v>750</v>
      </c>
      <c r="FC91" s="67" t="s">
        <v>751</v>
      </c>
      <c r="FD91" s="67" t="s">
        <v>752</v>
      </c>
      <c r="FE91" s="68" t="s">
        <v>753</v>
      </c>
      <c r="FF91" s="68" t="s">
        <v>754</v>
      </c>
    </row>
    <row r="92" spans="1:162" s="63" customFormat="1" ht="12" customHeight="1" thickBot="1" x14ac:dyDescent="0.25">
      <c r="A92" s="2">
        <f t="shared" si="508"/>
        <v>5950</v>
      </c>
      <c r="B92" s="3">
        <f t="shared" si="451"/>
        <v>4158</v>
      </c>
      <c r="C92" s="3">
        <f t="shared" si="452"/>
        <v>12622</v>
      </c>
      <c r="D92" s="3">
        <f t="shared" si="453"/>
        <v>19416</v>
      </c>
      <c r="E92" s="3">
        <f t="shared" si="454"/>
        <v>36196</v>
      </c>
      <c r="F92" s="4">
        <f t="shared" si="509"/>
        <v>5974.4447297470788</v>
      </c>
      <c r="G92" s="4">
        <f t="shared" si="491"/>
        <v>593.75230025249289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>
        <v>-5454</v>
      </c>
      <c r="AN92" s="20">
        <v>-176</v>
      </c>
      <c r="AO92" s="20">
        <v>5950</v>
      </c>
      <c r="AP92" s="20">
        <v>28113</v>
      </c>
      <c r="AQ92" s="20">
        <v>-103</v>
      </c>
      <c r="AR92" s="20"/>
      <c r="AS92" s="54">
        <f>IF(RTD("tos.rtd",,AS$83,"."&amp;$B$82&amp;$AS$82&amp;"C"&amp;$A92)="N/A",0,RTD("tos.rtd",,AS$83,"."&amp;$B$82&amp;$AS$82&amp;"C"&amp;$A92))</f>
        <v>4128</v>
      </c>
      <c r="AT92" s="3">
        <f>-IF(RTD("tos.rtd",,AT$83,"."&amp;$B$82&amp;$AS$82&amp;"P"&amp;$A92)="N/A",0,RTD("tos.rtd",,AT$83,"."&amp;$B$82&amp;$AS$82&amp;"P"&amp;$A92))</f>
        <v>-30</v>
      </c>
      <c r="AU92" s="54">
        <f>IF(RTD("tos.rtd",,AU$83,"."&amp;$C$82&amp;$AU$82&amp;"C"&amp;$A92)="N/A",0,RTD("tos.rtd",,AU$83,"."&amp;$C$82&amp;$AU$82&amp;"C"&amp;$A92))</f>
        <v>9245</v>
      </c>
      <c r="AV92" s="3">
        <f>-IF(RTD("tos.rtd",,AV$83,"."&amp;$C$82&amp;$AU$82&amp;"P"&amp;$A92)="N/A",0,RTD("tos.rtd",,AV$83,"."&amp;$C$82&amp;$AU$82&amp;"P"&amp;$A92))</f>
        <v>-3377</v>
      </c>
      <c r="AW92" s="54">
        <f>IF(RTD("tos.rtd",,AW$83,"."&amp;$D$82&amp;$AW$82&amp;"C"&amp;$A92)="N/A",0,RTD("tos.rtd",,AW$83,"."&amp;$D$82&amp;$AW$82&amp;"C"&amp;$A92))</f>
        <v>12190</v>
      </c>
      <c r="AX92" s="3">
        <f>-IF(RTD("tos.rtd",,AX$83,"."&amp;$D$82&amp;$AW$82&amp;"P"&amp;$A92)="N/A",0,RTD("tos.rtd",,AX$83,"."&amp;$D$82&amp;$AW$82&amp;"P"&amp;$A92))</f>
        <v>-7226</v>
      </c>
      <c r="AY92" s="79">
        <f t="shared" si="492"/>
        <v>14930</v>
      </c>
      <c r="AZ92" s="8">
        <f t="shared" si="455"/>
        <v>5950</v>
      </c>
      <c r="BA92" s="54">
        <f>IF(RTD("tos.rtd",,BA$83,"."&amp;$B$82&amp;$AS$82&amp;"C"&amp;$A92)="N/A",0,RTD("tos.rtd",,BA$83,"."&amp;$B$82&amp;$AS$82&amp;"C"&amp;$A92))</f>
        <v>28113</v>
      </c>
      <c r="BB92" s="3">
        <f>-IF(RTD("tos.rtd",,BB$83,"."&amp;$B$82&amp;$AS$82&amp;"P"&amp;$A92)="N/A",0,RTD("tos.rtd",,BB$83,"."&amp;$B$82&amp;$AS$82&amp;"P"&amp;$A92))</f>
        <v>-103</v>
      </c>
      <c r="BC92" s="54">
        <f>IF(RTD("tos.rtd",,BC$83,"."&amp;$C$82&amp;$AU$82&amp;"C"&amp;$A92)="N/A",0,RTD("tos.rtd",,BC$83,"."&amp;$C$82&amp;$AU$82&amp;"C"&amp;$A92))</f>
        <v>6434</v>
      </c>
      <c r="BD92" s="3">
        <f>-IF(RTD("tos.rtd",,BD$83,"."&amp;$C$82&amp;$AU$82&amp;"P"&amp;$A92)="N/A",0,RTD("tos.rtd",,BD$83,"."&amp;$C$82&amp;$AU$82&amp;"P"&amp;$A92))</f>
        <v>-4</v>
      </c>
      <c r="BE92" s="54">
        <f>IF(RTD("tos.rtd",,BE$83,"."&amp;$D$82&amp;$AW$82&amp;"C"&amp;$A92)="N/A",0,RTD("tos.rtd",,BE$83,"."&amp;$D$82&amp;$AW$82&amp;"C"&amp;$A92))</f>
        <v>1524</v>
      </c>
      <c r="BF92" s="3">
        <f>-IF(RTD("tos.rtd",,BF$83,"."&amp;$D$82&amp;$AW$82&amp;"P"&amp;$A92)="N/A",0,RTD("tos.rtd",,BF$83,"."&amp;$D$82&amp;$AW$82&amp;"P"&amp;$A92))</f>
        <v>-4</v>
      </c>
      <c r="BG92" s="3">
        <f ca="1">+Hoja2!Y93</f>
        <v>2176</v>
      </c>
      <c r="BH92" s="55">
        <f t="shared" ca="1" si="493"/>
        <v>38136</v>
      </c>
      <c r="BI92" s="32" t="str">
        <f t="shared" ca="1" si="513"/>
        <v/>
      </c>
      <c r="BJ92" s="3">
        <f ca="1">IF($BP$1=1,DX92,IF(RTD("tos.rtd",,BJ$83,"."&amp;$B$82&amp;$AS$82&amp;"C"&amp;$A92)="N/A",0,RTD("tos.rtd",,BJ$83,"."&amp;$B$82&amp;$AS$82&amp;"C"&amp;$A92)))</f>
        <v>1.3964838425813686E-3</v>
      </c>
      <c r="BK92" s="3">
        <f ca="1">IF($BP$1=1,DY92,-IF(RTD("tos.rtd",,BK$83,"."&amp;$B$82&amp;$AS$82&amp;"P"&amp;$A92)="N/A",0,RTD("tos.rtd",,BK$83,"."&amp;$B$82&amp;$AS$82&amp;"P"&amp;$A92)))</f>
        <v>-6.0255843463174115E-10</v>
      </c>
      <c r="BL92" s="3">
        <f ca="1">IF($BP$1=1,DZ92,IF(RTD("tos.rtd",,BL$83,"."&amp;$C$82&amp;$AU$82&amp;"C"&amp;$A92)="N/A",0,RTD("tos.rtd",,BL$83,"."&amp;$C$82&amp;$AU$82&amp;"C"&amp;$A92)))</f>
        <v>2.3172428405506314E-3</v>
      </c>
      <c r="BM92" s="3">
        <f ca="1">IF($BP$1=1,EA92,-IF(RTD("tos.rtd",,BM$83,"."&amp;$C$82&amp;$AU$82&amp;"P"&amp;$A92)="N/A",0,RTD("tos.rtd",,BM$83,"."&amp;$C$82&amp;$AU$82&amp;"P"&amp;$A92)))</f>
        <v>-2.2886820091932761E-3</v>
      </c>
      <c r="BN92" s="3">
        <f ca="1">IF($BP$1=1,EB92,IF(RTD("tos.rtd",,BN$83,"."&amp;$D$82&amp;$AW$82&amp;"C"&amp;$A92)="N/A",0,RTD("tos.rtd",,BN$83,"."&amp;$D$82&amp;$AW$82&amp;"C"&amp;$A92)))</f>
        <v>2.3543608564001138E-3</v>
      </c>
      <c r="BO92" s="3">
        <f ca="1">IF($BP$1=1,EC92,-IF(RTD("tos.rtd",,BO$83,"."&amp;$D$82&amp;$AW$82&amp;"P"&amp;$A92)="N/A",0,RTD("tos.rtd",,BO$83,"."&amp;$D$82&amp;$AW$82&amp;"P"&amp;$A92)))</f>
        <v>-2.3567594078947895E-3</v>
      </c>
      <c r="BQ92" s="3">
        <f t="shared" ca="1" si="456"/>
        <v>1485667.0566688392</v>
      </c>
      <c r="BR92" s="3" t="str">
        <f t="shared" ca="1" si="494"/>
        <v/>
      </c>
      <c r="BS92" s="3">
        <f t="shared" ca="1" si="457"/>
        <v>3529207.5112570003</v>
      </c>
      <c r="BT92" s="3" t="str">
        <f t="shared" ca="1" si="494"/>
        <v/>
      </c>
      <c r="BU92" s="3">
        <f t="shared" ca="1" si="458"/>
        <v>3007503.5867106868</v>
      </c>
      <c r="BV92" s="3" t="str">
        <f t="shared" ca="1" si="494"/>
        <v/>
      </c>
      <c r="BX92" s="3">
        <f t="shared" ca="1" si="459"/>
        <v>10117867.739601385</v>
      </c>
      <c r="BY92" s="3" t="str">
        <f t="shared" ca="1" si="510"/>
        <v/>
      </c>
      <c r="BZ92" s="3">
        <f t="shared" ca="1" si="460"/>
        <v>3840004.5831416952</v>
      </c>
      <c r="CA92" s="3" t="str">
        <f t="shared" ca="1" si="510"/>
        <v/>
      </c>
      <c r="CB92" s="3">
        <f t="shared" ca="1" si="461"/>
        <v>922276.92532373883</v>
      </c>
      <c r="CC92" s="3" t="str">
        <f t="shared" ca="1" si="510"/>
        <v>Cruce +</v>
      </c>
      <c r="CD92" s="3">
        <f>IF(RTD("tos.rtd",,CD$83,"."&amp;$B$82&amp;$AS$82&amp;"C"&amp;$A92)="N/A",0,RTD("tos.rtd",,CD$83,"."&amp;$B$82&amp;$AS$82&amp;"C"&amp;$A92))</f>
        <v>0</v>
      </c>
      <c r="CE92" s="3">
        <f>-IF(RTD("tos.rtd",,CE$83,"."&amp;$B$82&amp;$AS$82&amp;"P"&amp;$A92)="N/A",0,RTD("tos.rtd",,CE$83,"."&amp;$B$82&amp;$AS$82&amp;"P"&amp;$A92))</f>
        <v>1</v>
      </c>
      <c r="CF92" s="3">
        <f>IF(RTD("tos.rtd",,CF$83,"."&amp;$C$82&amp;$AU$82&amp;"C"&amp;$A92)="N/A",0,RTD("tos.rtd",,CF$83,"."&amp;$C$82&amp;$AU$82&amp;"C"&amp;$A92))</f>
        <v>0.15</v>
      </c>
      <c r="CG92" s="3">
        <f>-IF(RTD("tos.rtd",,CG$83,"."&amp;$C$82&amp;$AU$82&amp;"P"&amp;$A92)="N/A",0,RTD("tos.rtd",,CG$83,"."&amp;$C$82&amp;$AU$82&amp;"P"&amp;$A92))</f>
        <v>0.84</v>
      </c>
      <c r="CH92" s="3">
        <f>IF(RTD("tos.rtd",,CH$83,"."&amp;$D$82&amp;$AW$82&amp;"C"&amp;$A92)="N/A",0,RTD("tos.rtd",,CH$83,"."&amp;$D$82&amp;$AW$82&amp;"C"&amp;$A92))</f>
        <v>0.39</v>
      </c>
      <c r="CI92" s="3">
        <f>-IF(RTD("tos.rtd",,CI$83,"."&amp;$D$82&amp;$AW$82&amp;"P"&amp;$A92)="N/A",0,RTD("tos.rtd",,CI$83,"."&amp;$D$82&amp;$AW$82&amp;"P"&amp;$A92))</f>
        <v>0.6</v>
      </c>
      <c r="CK92" s="3">
        <f t="shared" si="495"/>
        <v>-3000</v>
      </c>
      <c r="CL92" s="3"/>
      <c r="CM92" s="3">
        <f t="shared" si="496"/>
        <v>-144993</v>
      </c>
      <c r="CN92" s="3"/>
      <c r="CO92" s="3">
        <f t="shared" si="497"/>
        <v>41850.000000000116</v>
      </c>
      <c r="CP92" s="3">
        <f t="shared" si="462"/>
        <v>-106142.99999999988</v>
      </c>
      <c r="CQ92" s="3">
        <f t="shared" si="463"/>
        <v>28010</v>
      </c>
      <c r="CR92" s="3"/>
      <c r="CS92" s="3">
        <f t="shared" si="464"/>
        <v>6430</v>
      </c>
      <c r="CT92" s="3"/>
      <c r="CU92" s="3">
        <f t="shared" si="465"/>
        <v>1520</v>
      </c>
      <c r="CV92" s="3"/>
      <c r="CW92" s="3">
        <f t="shared" ca="1" si="498"/>
        <v>8022378.1546365265</v>
      </c>
      <c r="CY92" s="3">
        <f t="shared" ca="1" si="467"/>
        <v>14880149.24806682</v>
      </c>
      <c r="CZ92" s="70" t="str">
        <f t="shared" ca="1" si="511"/>
        <v/>
      </c>
      <c r="DA92" s="3">
        <f>IF(RTD("tos.rtd",,DA$83,"."&amp;$B$82&amp;$AS$82&amp;"C"&amp;$A92)="N/A",0,RTD("tos.rtd",,DA$83,"."&amp;$B$82&amp;$AS$82&amp;"C"&amp;$A92))</f>
        <v>0.02</v>
      </c>
      <c r="DB92" s="3">
        <f>IF(RTD("tos.rtd",,DB$83,"."&amp;$B$82&amp;$AS$82&amp;"P"&amp;$A92)="N/A",0,RTD("tos.rtd",,DB$83,"."&amp;$B$82&amp;$AS$82&amp;"P"&amp;$A92))</f>
        <v>114</v>
      </c>
      <c r="DC92" s="3">
        <f>IF(RTD("tos.rtd",,DC$83,"."&amp;$B$82&amp;$AS$82&amp;"C"&amp;$A92)="N/A",0,RTD("tos.rtd",,DC$83,"."&amp;$B$82&amp;$AS$82&amp;"C"&amp;$A92))</f>
        <v>0.05</v>
      </c>
      <c r="DD92" s="3">
        <f>IF(RTD("tos.rtd",,DD$83,"."&amp;$B$82&amp;$AS$82&amp;"P"&amp;$A92)="N/A",0,RTD("tos.rtd",,DD$83,"."&amp;$B$82&amp;$AS$82&amp;"P"&amp;$A92))</f>
        <v>107.9</v>
      </c>
      <c r="DE92" s="3">
        <f>IF(RTD("tos.rtd",,DE$83,"."&amp;$B$82&amp;$AS$82&amp;"C"&amp;$A92)="N/A",0,RTD("tos.rtd",,DE$83,"."&amp;$B$82&amp;$AS$82&amp;"C"&amp;$A92))</f>
        <v>0</v>
      </c>
      <c r="DF92" s="3">
        <f>IF(RTD("tos.rtd",,DF$83,"."&amp;$B$82&amp;$AS$82&amp;"P"&amp;$A92)="N/A",0,RTD("tos.rtd",,DF$83,"."&amp;$B$82&amp;$AS$82&amp;"P"&amp;$A92))</f>
        <v>102.8</v>
      </c>
      <c r="DG92" s="86">
        <f t="shared" si="499"/>
        <v>108.25</v>
      </c>
      <c r="DH92" s="3">
        <f t="shared" si="468"/>
        <v>0</v>
      </c>
      <c r="DI92" s="3">
        <f t="shared" si="469"/>
        <v>0</v>
      </c>
      <c r="DJ92" s="3">
        <f t="shared" si="470"/>
        <v>0</v>
      </c>
      <c r="DK92" s="3">
        <f t="shared" si="471"/>
        <v>0</v>
      </c>
      <c r="DL92" s="3">
        <f t="shared" si="472"/>
        <v>0</v>
      </c>
      <c r="DM92" s="3">
        <f t="shared" si="473"/>
        <v>0</v>
      </c>
      <c r="DN92" s="64" t="str">
        <f t="shared" si="474"/>
        <v>UNKNOWN</v>
      </c>
      <c r="DO92" s="64" t="str">
        <f t="shared" si="475"/>
        <v>UNKNOWN</v>
      </c>
      <c r="DP92" s="3">
        <f t="shared" si="476"/>
        <v>0</v>
      </c>
      <c r="DQ92" s="3">
        <f t="shared" si="477"/>
        <v>0</v>
      </c>
      <c r="DR92" s="3">
        <f t="shared" ca="1" si="478"/>
        <v>0</v>
      </c>
      <c r="DS92" s="3">
        <f t="shared" si="479"/>
        <v>0</v>
      </c>
      <c r="DT92" s="3">
        <f t="shared" si="500"/>
        <v>0</v>
      </c>
      <c r="DU92" s="3">
        <f t="shared" si="501"/>
        <v>0</v>
      </c>
      <c r="DV92" s="3">
        <f t="shared" si="502"/>
        <v>-5454</v>
      </c>
      <c r="DW92" s="3">
        <f t="shared" si="503"/>
        <v>-176</v>
      </c>
      <c r="DX92" s="3">
        <f t="shared" ca="1" si="512"/>
        <v>1.3964838425813686E-3</v>
      </c>
      <c r="DY92" s="3">
        <f t="shared" ca="1" si="480"/>
        <v>-6.0255843463174115E-10</v>
      </c>
      <c r="DZ92" s="3">
        <f t="shared" ca="1" si="504"/>
        <v>2.3172428405506314E-3</v>
      </c>
      <c r="EA92" s="3">
        <f t="shared" ca="1" si="505"/>
        <v>-2.2886820091932761E-3</v>
      </c>
      <c r="EB92" s="3">
        <f t="shared" ca="1" si="481"/>
        <v>2.3543608564001138E-3</v>
      </c>
      <c r="EC92" s="3">
        <f t="shared" ca="1" si="482"/>
        <v>-2.3567594078947895E-3</v>
      </c>
      <c r="ED92" s="63">
        <f t="shared" si="506"/>
        <v>-5630</v>
      </c>
      <c r="EE92" s="59">
        <f t="shared" si="483"/>
        <v>0.83620000000000005</v>
      </c>
      <c r="EF92" s="59">
        <f t="shared" si="484"/>
        <v>0.25</v>
      </c>
      <c r="EG92" s="59">
        <f t="shared" si="485"/>
        <v>0.1648</v>
      </c>
      <c r="EH92" s="59">
        <f t="shared" si="486"/>
        <v>0.1724</v>
      </c>
      <c r="EI92" s="59">
        <f t="shared" si="487"/>
        <v>0.13789999999999999</v>
      </c>
      <c r="EJ92" s="59">
        <f t="shared" si="488"/>
        <v>0.14710000000000001</v>
      </c>
      <c r="EK92" s="63">
        <f t="shared" ca="1" si="507"/>
        <v>-259918371.47860953</v>
      </c>
      <c r="EL92" s="3" t="str">
        <f>RTD("tos.rtd",,EL$83,"."&amp;$B$82&amp;$AS$82&amp;"C"&amp;$A92)</f>
        <v>83.62%</v>
      </c>
      <c r="EM92" s="3" t="str">
        <f>RTD("tos.rtd",,EM$83,"."&amp;$B$82&amp;$AS$82&amp;"P"&amp;$A92)</f>
        <v>--</v>
      </c>
      <c r="EN92" s="3" t="str">
        <f>RTD("tos.rtd",,EN$83,"."&amp;$C$82&amp;$AU$82&amp;"C"&amp;$A92)</f>
        <v>16.48%</v>
      </c>
      <c r="EO92" s="3" t="str">
        <f>RTD("tos.rtd",,EO$83,"."&amp;$C$82&amp;$AU$82&amp;"P"&amp;$A92)</f>
        <v>17.24%</v>
      </c>
      <c r="EP92" s="3" t="str">
        <f>RTD("tos.rtd",,EP$83,"."&amp;$D$82&amp;$AW$82&amp;"C"&amp;$A92)</f>
        <v>13.79%</v>
      </c>
      <c r="EQ92" s="3" t="str">
        <f>RTD("tos.rtd",,EQ$83,"."&amp;$D$82&amp;$AW$82&amp;"P"&amp;$A92)</f>
        <v>14.71%</v>
      </c>
      <c r="ES92" s="63" t="str">
        <f t="shared" si="489"/>
        <v>5950,-5630.00</v>
      </c>
      <c r="ET92" s="63" t="str">
        <f t="shared" ca="1" si="490"/>
        <v>5950,14880.15</v>
      </c>
      <c r="EU92" s="67">
        <v>571.75</v>
      </c>
      <c r="EV92" s="67" t="s">
        <v>755</v>
      </c>
      <c r="EW92" s="67">
        <v>496.6</v>
      </c>
      <c r="EX92" s="67" t="s">
        <v>756</v>
      </c>
      <c r="EY92" s="67">
        <v>5659.91</v>
      </c>
      <c r="EZ92" s="67" t="s">
        <v>757</v>
      </c>
      <c r="FA92" s="67">
        <v>20061.449000000001</v>
      </c>
      <c r="FB92" s="67" t="s">
        <v>758</v>
      </c>
      <c r="FC92" s="67" t="s">
        <v>759</v>
      </c>
      <c r="FD92" s="67" t="s">
        <v>760</v>
      </c>
      <c r="FE92" s="68" t="s">
        <v>761</v>
      </c>
      <c r="FF92" s="68" t="s">
        <v>762</v>
      </c>
    </row>
    <row r="93" spans="1:162" s="63" customFormat="1" ht="12" customHeight="1" thickBot="1" x14ac:dyDescent="0.25">
      <c r="A93" s="2">
        <f t="shared" si="508"/>
        <v>5940</v>
      </c>
      <c r="B93" s="3">
        <f t="shared" si="451"/>
        <v>0</v>
      </c>
      <c r="C93" s="3">
        <f t="shared" si="452"/>
        <v>655</v>
      </c>
      <c r="D93" s="3">
        <f t="shared" si="453"/>
        <v>1538</v>
      </c>
      <c r="E93" s="3">
        <f t="shared" si="454"/>
        <v>2193</v>
      </c>
      <c r="F93" s="4">
        <f>+$F$84/$A$84*A93</f>
        <v>5964.4036461676724</v>
      </c>
      <c r="G93" s="4">
        <f t="shared" si="491"/>
        <v>592.75439722685837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>
        <v>-1106</v>
      </c>
      <c r="AN93" s="20">
        <v>-12</v>
      </c>
      <c r="AO93" s="20">
        <v>5940</v>
      </c>
      <c r="AP93" s="20">
        <v>0</v>
      </c>
      <c r="AQ93" s="20">
        <v>0</v>
      </c>
      <c r="AR93" s="20"/>
      <c r="AS93" s="54">
        <f>IF(RTD("tos.rtd",,AS$83,"."&amp;$B$82&amp;$AS$82&amp;"C"&amp;$A93)="N/A",0,RTD("tos.rtd",,AS$83,"."&amp;$B$82&amp;$AS$82&amp;"C"&amp;$A93))</f>
        <v>0</v>
      </c>
      <c r="AT93" s="3">
        <f>-IF(RTD("tos.rtd",,AT$83,"."&amp;$B$82&amp;$AS$82&amp;"P"&amp;$A93)="N/A",0,RTD("tos.rtd",,AT$83,"."&amp;$B$82&amp;$AS$82&amp;"P"&amp;$A93))</f>
        <v>0</v>
      </c>
      <c r="AU93" s="54">
        <f>IF(RTD("tos.rtd",,AU$83,"."&amp;$C$82&amp;$AU$82&amp;"C"&amp;$A93)="N/A",0,RTD("tos.rtd",,AU$83,"."&amp;$C$82&amp;$AU$82&amp;"C"&amp;$A93))</f>
        <v>498</v>
      </c>
      <c r="AV93" s="3">
        <f>-IF(RTD("tos.rtd",,AV$83,"."&amp;$C$82&amp;$AU$82&amp;"P"&amp;$A93)="N/A",0,RTD("tos.rtd",,AV$83,"."&amp;$C$82&amp;$AU$82&amp;"P"&amp;$A93))</f>
        <v>-157</v>
      </c>
      <c r="AW93" s="54">
        <f>IF(RTD("tos.rtd",,AW$83,"."&amp;$D$82&amp;$AW$82&amp;"C"&amp;$A93)="N/A",0,RTD("tos.rtd",,AW$83,"."&amp;$D$82&amp;$AW$82&amp;"C"&amp;$A93))</f>
        <v>570</v>
      </c>
      <c r="AX93" s="3">
        <f>-IF(RTD("tos.rtd",,AX$83,"."&amp;$D$82&amp;$AW$82&amp;"P"&amp;$A93)="N/A",0,RTD("tos.rtd",,AX$83,"."&amp;$D$82&amp;$AW$82&amp;"P"&amp;$A93))</f>
        <v>-968</v>
      </c>
      <c r="AY93" s="79">
        <f t="shared" si="492"/>
        <v>-57</v>
      </c>
      <c r="AZ93" s="8">
        <f t="shared" si="455"/>
        <v>5940</v>
      </c>
      <c r="BA93" s="54">
        <f>IF(RTD("tos.rtd",,BA$83,"."&amp;$B$82&amp;$AS$82&amp;"C"&amp;$A93)="N/A",0,RTD("tos.rtd",,BA$83,"."&amp;$B$82&amp;$AS$82&amp;"C"&amp;$A93))</f>
        <v>0</v>
      </c>
      <c r="BB93" s="3">
        <f>-IF(RTD("tos.rtd",,BB$83,"."&amp;$B$82&amp;$AS$82&amp;"P"&amp;$A93)="N/A",0,RTD("tos.rtd",,BB$83,"."&amp;$B$82&amp;$AS$82&amp;"P"&amp;$A93))</f>
        <v>0</v>
      </c>
      <c r="BC93" s="54">
        <f>IF(RTD("tos.rtd",,BC$83,"."&amp;$C$82&amp;$AU$82&amp;"C"&amp;$A93)="N/A",0,RTD("tos.rtd",,BC$83,"."&amp;$C$82&amp;$AU$82&amp;"C"&amp;$A93))</f>
        <v>29</v>
      </c>
      <c r="BD93" s="3">
        <f>-IF(RTD("tos.rtd",,BD$83,"."&amp;$C$82&amp;$AU$82&amp;"P"&amp;$A93)="N/A",0,RTD("tos.rtd",,BD$83,"."&amp;$C$82&amp;$AU$82&amp;"P"&amp;$A93))</f>
        <v>-4</v>
      </c>
      <c r="BE93" s="54">
        <f>IF(RTD("tos.rtd",,BE$83,"."&amp;$D$82&amp;$AW$82&amp;"C"&amp;$A93)="N/A",0,RTD("tos.rtd",,BE$83,"."&amp;$D$82&amp;$AW$82&amp;"C"&amp;$A93))</f>
        <v>14</v>
      </c>
      <c r="BF93" s="3">
        <f>-IF(RTD("tos.rtd",,BF$83,"."&amp;$D$82&amp;$AW$82&amp;"P"&amp;$A93)="N/A",0,RTD("tos.rtd",,BF$83,"."&amp;$D$82&amp;$AW$82&amp;"P"&amp;$A93))</f>
        <v>-23</v>
      </c>
      <c r="BG93" s="3">
        <f ca="1">+Hoja2!Y94</f>
        <v>236</v>
      </c>
      <c r="BH93" s="55">
        <f t="shared" ca="1" si="493"/>
        <v>252</v>
      </c>
      <c r="BI93" s="32" t="str">
        <f t="shared" ca="1" si="513"/>
        <v/>
      </c>
      <c r="BJ93" s="3">
        <f ca="1">IF($BP$1=1,DX93,IF(RTD("tos.rtd",,BJ$83,"."&amp;$B$82&amp;$AS$82&amp;"C"&amp;$A93)="N/A",0,RTD("tos.rtd",,BJ$83,"."&amp;$B$82&amp;$AS$82&amp;"C"&amp;$A93)))</f>
        <v>1.267083772433961E-8</v>
      </c>
      <c r="BK93" s="3">
        <f ca="1">IF($BP$1=1,DY93,-IF(RTD("tos.rtd",,BK$83,"."&amp;$B$82&amp;$AS$82&amp;"P"&amp;$A93)="N/A",0,RTD("tos.rtd",,BK$83,"."&amp;$B$82&amp;$AS$82&amp;"P"&amp;$A93)))</f>
        <v>-1.267083772433961E-8</v>
      </c>
      <c r="BL93" s="3">
        <f ca="1">IF($BP$1=1,DZ93,IF(RTD("tos.rtd",,BL$83,"."&amp;$C$82&amp;$AU$82&amp;"C"&amp;$A93)="N/A",0,RTD("tos.rtd",,BL$83,"."&amp;$C$82&amp;$AU$82&amp;"C"&amp;$A93)))</f>
        <v>2.4784477649199043E-3</v>
      </c>
      <c r="BM93" s="3">
        <f ca="1">IF($BP$1=1,EA93,-IF(RTD("tos.rtd",,BM$83,"."&amp;$C$82&amp;$AU$82&amp;"P"&amp;$A93)="N/A",0,RTD("tos.rtd",,BM$83,"."&amp;$C$82&amp;$AU$82&amp;"P"&amp;$A93)))</f>
        <v>-2.4431034193571422E-3</v>
      </c>
      <c r="BN93" s="3">
        <f ca="1">IF($BP$1=1,EB93,IF(RTD("tos.rtd",,BN$83,"."&amp;$D$82&amp;$AW$82&amp;"C"&amp;$A93)="N/A",0,RTD("tos.rtd",,BN$83,"."&amp;$D$82&amp;$AW$82&amp;"C"&amp;$A93)))</f>
        <v>2.5921210999038857E-3</v>
      </c>
      <c r="BO93" s="3">
        <f ca="1">IF($BP$1=1,EC93,-IF(RTD("tos.rtd",,BO$83,"."&amp;$D$82&amp;$AW$82&amp;"P"&amp;$A93)="N/A",0,RTD("tos.rtd",,BO$83,"."&amp;$D$82&amp;$AW$82&amp;"P"&amp;$A93)))</f>
        <v>-2.5632459272789949E-3</v>
      </c>
      <c r="BQ93" s="3">
        <f t="shared" ca="1" si="456"/>
        <v>0</v>
      </c>
      <c r="BR93" s="3" t="str">
        <f t="shared" ca="1" si="494"/>
        <v/>
      </c>
      <c r="BS93" s="3">
        <f t="shared" ca="1" si="457"/>
        <v>219241.2129267141</v>
      </c>
      <c r="BT93" s="3" t="str">
        <f t="shared" ca="1" si="494"/>
        <v/>
      </c>
      <c r="BU93" s="3">
        <f t="shared" ca="1" si="458"/>
        <v>-258675.59294437704</v>
      </c>
      <c r="BV93" s="3" t="str">
        <f t="shared" ca="1" si="494"/>
        <v>Cruce -</v>
      </c>
      <c r="BX93" s="3">
        <f t="shared" ca="1" si="459"/>
        <v>0</v>
      </c>
      <c r="BY93" s="3" t="str">
        <f t="shared" ca="1" si="510"/>
        <v/>
      </c>
      <c r="BZ93" s="3">
        <f t="shared" ca="1" si="460"/>
        <v>16004.992479686982</v>
      </c>
      <c r="CA93" s="3" t="str">
        <f t="shared" ca="1" si="510"/>
        <v/>
      </c>
      <c r="CB93" s="3">
        <f t="shared" ca="1" si="461"/>
        <v>-5841.1837130864133</v>
      </c>
      <c r="CC93" s="3" t="str">
        <f t="shared" ca="1" si="510"/>
        <v>Cruce -</v>
      </c>
      <c r="CD93" s="3">
        <f>IF(RTD("tos.rtd",,CD$83,"."&amp;$B$82&amp;$AS$82&amp;"C"&amp;$A93)="N/A",0,RTD("tos.rtd",,CD$83,"."&amp;$B$82&amp;$AS$82&amp;"C"&amp;$A93))</f>
        <v>0</v>
      </c>
      <c r="CE93" s="3">
        <f>-IF(RTD("tos.rtd",,CE$83,"."&amp;$B$82&amp;$AS$82&amp;"P"&amp;$A93)="N/A",0,RTD("tos.rtd",,CE$83,"."&amp;$B$82&amp;$AS$82&amp;"P"&amp;$A93))</f>
        <v>0</v>
      </c>
      <c r="CF93" s="3">
        <f>IF(RTD("tos.rtd",,CF$83,"."&amp;$C$82&amp;$AU$82&amp;"C"&amp;$A93)="N/A",0,RTD("tos.rtd",,CF$83,"."&amp;$C$82&amp;$AU$82&amp;"C"&amp;$A93))</f>
        <v>0.17</v>
      </c>
      <c r="CG93" s="3">
        <f>-IF(RTD("tos.rtd",,CG$83,"."&amp;$C$82&amp;$AU$82&amp;"P"&amp;$A93)="N/A",0,RTD("tos.rtd",,CG$83,"."&amp;$C$82&amp;$AU$82&amp;"P"&amp;$A93))</f>
        <v>0.82</v>
      </c>
      <c r="CH93" s="3">
        <f>IF(RTD("tos.rtd",,CH$83,"."&amp;$D$82&amp;$AW$82&amp;"C"&amp;$A93)="N/A",0,RTD("tos.rtd",,CH$83,"."&amp;$D$82&amp;$AW$82&amp;"C"&amp;$A93))</f>
        <v>0.41</v>
      </c>
      <c r="CI93" s="3">
        <f>-IF(RTD("tos.rtd",,CI$83,"."&amp;$D$82&amp;$AW$82&amp;"P"&amp;$A93)="N/A",0,RTD("tos.rtd",,CI$83,"."&amp;$D$82&amp;$AW$82&amp;"P"&amp;$A93))</f>
        <v>0.57999999999999996</v>
      </c>
      <c r="CK93" s="3">
        <f t="shared" ref="CK93:CK98" si="514">+AS93*CD93*100+AT93*CE93*100</f>
        <v>0</v>
      </c>
      <c r="CL93" s="3"/>
      <c r="CM93" s="3">
        <f t="shared" ref="CM93:CM98" si="515">+AU93*CF93*100+AV93*CG93*100</f>
        <v>-4407.9999999999964</v>
      </c>
      <c r="CN93" s="3"/>
      <c r="CO93" s="3">
        <f t="shared" ref="CO93:CO98" si="516">+AW93*CH93*100+AX93*CI93*100</f>
        <v>-32773.999999999993</v>
      </c>
      <c r="CP93" s="3">
        <f t="shared" si="462"/>
        <v>-37181.999999999985</v>
      </c>
      <c r="CQ93" s="3">
        <f t="shared" si="463"/>
        <v>0</v>
      </c>
      <c r="CR93" s="3"/>
      <c r="CS93" s="3">
        <f t="shared" si="464"/>
        <v>25</v>
      </c>
      <c r="CT93" s="3"/>
      <c r="CU93" s="3">
        <f t="shared" si="465"/>
        <v>-9</v>
      </c>
      <c r="CV93" s="3"/>
      <c r="CW93" s="3">
        <f t="shared" ca="1" si="498"/>
        <v>-39434.380017662945</v>
      </c>
      <c r="CY93" s="3">
        <f t="shared" ca="1" si="467"/>
        <v>10163.808766600569</v>
      </c>
      <c r="CZ93" s="70" t="str">
        <f t="shared" ca="1" si="511"/>
        <v/>
      </c>
      <c r="DA93" s="3">
        <f>IF(RTD("tos.rtd",,DA$83,"."&amp;$B$82&amp;$AS$82&amp;"C"&amp;$A93)="N/A",0,RTD("tos.rtd",,DA$83,"."&amp;$B$82&amp;$AS$82&amp;"C"&amp;$A93))</f>
        <v>0</v>
      </c>
      <c r="DB93" s="3">
        <f>IF(RTD("tos.rtd",,DB$83,"."&amp;$B$82&amp;$AS$82&amp;"P"&amp;$A93)="N/A",0,RTD("tos.rtd",,DB$83,"."&amp;$B$82&amp;$AS$82&amp;"P"&amp;$A93))</f>
        <v>0</v>
      </c>
      <c r="DC93" s="3">
        <f>IF(RTD("tos.rtd",,DC$83,"."&amp;$B$82&amp;$AS$82&amp;"C"&amp;$A93)="N/A",0,RTD("tos.rtd",,DC$83,"."&amp;$B$82&amp;$AS$82&amp;"C"&amp;$A93))</f>
        <v>0</v>
      </c>
      <c r="DD93" s="3">
        <f>IF(RTD("tos.rtd",,DD$83,"."&amp;$B$82&amp;$AS$82&amp;"P"&amp;$A93)="N/A",0,RTD("tos.rtd",,DD$83,"."&amp;$B$82&amp;$AS$82&amp;"P"&amp;$A93))</f>
        <v>0</v>
      </c>
      <c r="DE93" s="3">
        <f>IF(RTD("tos.rtd",,DE$83,"."&amp;$B$82&amp;$AS$82&amp;"C"&amp;$A93)="N/A",0,RTD("tos.rtd",,DE$83,"."&amp;$B$82&amp;$AS$82&amp;"C"&amp;$A93))</f>
        <v>0</v>
      </c>
      <c r="DF93" s="3">
        <f>IF(RTD("tos.rtd",,DF$83,"."&amp;$B$82&amp;$AS$82&amp;"P"&amp;$A93)="N/A",0,RTD("tos.rtd",,DF$83,"."&amp;$B$82&amp;$AS$82&amp;"P"&amp;$A93))</f>
        <v>0</v>
      </c>
      <c r="DG93" s="86">
        <f t="shared" si="499"/>
        <v>98.25</v>
      </c>
      <c r="DH93" s="3" t="e">
        <f t="shared" si="468"/>
        <v>#DIV/0!</v>
      </c>
      <c r="DI93" s="3" t="e">
        <f t="shared" si="469"/>
        <v>#DIV/0!</v>
      </c>
      <c r="DJ93" s="3">
        <f t="shared" si="470"/>
        <v>0</v>
      </c>
      <c r="DK93" s="3">
        <f t="shared" si="471"/>
        <v>0</v>
      </c>
      <c r="DL93" s="3" t="e">
        <f t="shared" si="472"/>
        <v>#DIV/0!</v>
      </c>
      <c r="DM93" s="3">
        <f t="shared" si="473"/>
        <v>0</v>
      </c>
      <c r="DN93" s="64" t="str">
        <f t="shared" si="474"/>
        <v>UNKNOWN</v>
      </c>
      <c r="DO93" s="64" t="str">
        <f t="shared" si="475"/>
        <v>UNKNOWN</v>
      </c>
      <c r="DP93" s="3" t="e">
        <f t="shared" si="476"/>
        <v>#DIV/0!</v>
      </c>
      <c r="DQ93" s="3">
        <f t="shared" si="477"/>
        <v>0</v>
      </c>
      <c r="DR93" s="3">
        <f t="shared" ca="1" si="478"/>
        <v>0</v>
      </c>
      <c r="DS93" s="3">
        <f t="shared" si="479"/>
        <v>0</v>
      </c>
      <c r="DT93" s="3">
        <f t="shared" si="500"/>
        <v>0</v>
      </c>
      <c r="DU93" s="3">
        <f t="shared" si="501"/>
        <v>0</v>
      </c>
      <c r="DV93" s="3">
        <f t="shared" si="502"/>
        <v>-1106</v>
      </c>
      <c r="DW93" s="3">
        <f t="shared" si="503"/>
        <v>-12</v>
      </c>
      <c r="DX93" s="3">
        <f t="shared" ca="1" si="512"/>
        <v>1.267083772433961E-8</v>
      </c>
      <c r="DY93" s="3">
        <f t="shared" ca="1" si="480"/>
        <v>-1.267083772433961E-8</v>
      </c>
      <c r="DZ93" s="3">
        <f t="shared" ca="1" si="504"/>
        <v>2.4784477649199043E-3</v>
      </c>
      <c r="EA93" s="3">
        <f t="shared" ca="1" si="505"/>
        <v>-2.4431034193571422E-3</v>
      </c>
      <c r="EB93" s="3">
        <f t="shared" ca="1" si="481"/>
        <v>2.5921210999038857E-3</v>
      </c>
      <c r="EC93" s="3">
        <f t="shared" ca="1" si="482"/>
        <v>-2.5632459272789949E-3</v>
      </c>
      <c r="ED93" s="63">
        <f t="shared" si="506"/>
        <v>-1118</v>
      </c>
      <c r="EE93" s="59">
        <f t="shared" si="483"/>
        <v>0.25</v>
      </c>
      <c r="EF93" s="59">
        <f t="shared" si="484"/>
        <v>0.25</v>
      </c>
      <c r="EG93" s="59">
        <f t="shared" si="485"/>
        <v>0.16500000000000001</v>
      </c>
      <c r="EH93" s="59">
        <f t="shared" si="486"/>
        <v>0.17100000000000001</v>
      </c>
      <c r="EI93" s="59">
        <f t="shared" si="487"/>
        <v>0.1389</v>
      </c>
      <c r="EJ93" s="59">
        <f t="shared" si="488"/>
        <v>0.1479</v>
      </c>
      <c r="EK93" s="63">
        <f t="shared" ca="1" si="507"/>
        <v>-473.05167587772678</v>
      </c>
      <c r="EL93" s="3" t="str">
        <f>RTD("tos.rtd",,EL$83,"."&amp;$B$82&amp;$AS$82&amp;"C"&amp;$A93)</f>
        <v>N/A</v>
      </c>
      <c r="EM93" s="3" t="str">
        <f>RTD("tos.rtd",,EM$83,"."&amp;$B$82&amp;$AS$82&amp;"P"&amp;$A93)</f>
        <v>N/A</v>
      </c>
      <c r="EN93" s="3" t="str">
        <f>RTD("tos.rtd",,EN$83,"."&amp;$C$82&amp;$AU$82&amp;"C"&amp;$A93)</f>
        <v>16.50%</v>
      </c>
      <c r="EO93" s="3" t="str">
        <f>RTD("tos.rtd",,EO$83,"."&amp;$C$82&amp;$AU$82&amp;"P"&amp;$A93)</f>
        <v>17.10%</v>
      </c>
      <c r="EP93" s="3" t="str">
        <f>RTD("tos.rtd",,EP$83,"."&amp;$D$82&amp;$AW$82&amp;"C"&amp;$A93)</f>
        <v>13.89%</v>
      </c>
      <c r="EQ93" s="3" t="str">
        <f>RTD("tos.rtd",,EQ$83,"."&amp;$D$82&amp;$AW$82&amp;"P"&amp;$A93)</f>
        <v>14.79%</v>
      </c>
      <c r="ES93" s="63" t="str">
        <f t="shared" si="489"/>
        <v>5940,-1118.00</v>
      </c>
      <c r="ET93" s="63" t="str">
        <f t="shared" ca="1" si="490"/>
        <v>5940,10.16</v>
      </c>
      <c r="EU93" s="67">
        <v>571.87</v>
      </c>
      <c r="EV93" s="67" t="s">
        <v>763</v>
      </c>
      <c r="EW93" s="67">
        <v>496.7</v>
      </c>
      <c r="EX93" s="67" t="s">
        <v>764</v>
      </c>
      <c r="EY93" s="67">
        <v>5659.91</v>
      </c>
      <c r="EZ93" s="67" t="s">
        <v>765</v>
      </c>
      <c r="FA93" s="67">
        <v>20061.449000000001</v>
      </c>
      <c r="FB93" s="67" t="s">
        <v>766</v>
      </c>
      <c r="FC93" s="67" t="s">
        <v>767</v>
      </c>
      <c r="FD93" s="67" t="s">
        <v>768</v>
      </c>
      <c r="FE93" s="68" t="s">
        <v>769</v>
      </c>
      <c r="FF93" s="68" t="s">
        <v>770</v>
      </c>
    </row>
    <row r="94" spans="1:162" s="63" customFormat="1" ht="12" customHeight="1" thickBot="1" x14ac:dyDescent="0.25">
      <c r="A94" s="2">
        <f t="shared" si="508"/>
        <v>5930</v>
      </c>
      <c r="B94" s="3">
        <f t="shared" si="451"/>
        <v>0</v>
      </c>
      <c r="C94" s="3">
        <f t="shared" si="452"/>
        <v>541</v>
      </c>
      <c r="D94" s="3">
        <f t="shared" si="453"/>
        <v>789</v>
      </c>
      <c r="E94" s="3">
        <f t="shared" si="454"/>
        <v>1330</v>
      </c>
      <c r="F94" s="4">
        <f t="shared" ref="F94:F98" si="517">+$F$84/$A$84*A94</f>
        <v>5954.3625625882651</v>
      </c>
      <c r="G94" s="4">
        <f t="shared" si="491"/>
        <v>591.75649420122397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>
        <v>0</v>
      </c>
      <c r="AN94" s="20">
        <v>0</v>
      </c>
      <c r="AO94" s="20">
        <v>5930</v>
      </c>
      <c r="AP94" s="20">
        <v>0</v>
      </c>
      <c r="AQ94" s="20">
        <v>0</v>
      </c>
      <c r="AR94" s="20"/>
      <c r="AS94" s="54">
        <f>IF(RTD("tos.rtd",,AS$83,"."&amp;$B$82&amp;$AS$82&amp;"C"&amp;$A94)="N/A",0,RTD("tos.rtd",,AS$83,"."&amp;$B$82&amp;$AS$82&amp;"C"&amp;$A94))</f>
        <v>0</v>
      </c>
      <c r="AT94" s="3">
        <f>-IF(RTD("tos.rtd",,AT$83,"."&amp;$B$82&amp;$AS$82&amp;"P"&amp;$A94)="N/A",0,RTD("tos.rtd",,AT$83,"."&amp;$B$82&amp;$AS$82&amp;"P"&amp;$A94))</f>
        <v>0</v>
      </c>
      <c r="AU94" s="54">
        <f>IF(RTD("tos.rtd",,AU$83,"."&amp;$C$82&amp;$AU$82&amp;"C"&amp;$A94)="N/A",0,RTD("tos.rtd",,AU$83,"."&amp;$C$82&amp;$AU$82&amp;"C"&amp;$A94))</f>
        <v>400</v>
      </c>
      <c r="AV94" s="3">
        <f>-IF(RTD("tos.rtd",,AV$83,"."&amp;$C$82&amp;$AU$82&amp;"P"&amp;$A94)="N/A",0,RTD("tos.rtd",,AV$83,"."&amp;$C$82&amp;$AU$82&amp;"P"&amp;$A94))</f>
        <v>-141</v>
      </c>
      <c r="AW94" s="54">
        <f>IF(RTD("tos.rtd",,AW$83,"."&amp;$D$82&amp;$AW$82&amp;"C"&amp;$A94)="N/A",0,RTD("tos.rtd",,AW$83,"."&amp;$D$82&amp;$AW$82&amp;"C"&amp;$A94))</f>
        <v>359</v>
      </c>
      <c r="AX94" s="3">
        <f>-IF(RTD("tos.rtd",,AX$83,"."&amp;$D$82&amp;$AW$82&amp;"P"&amp;$A94)="N/A",0,RTD("tos.rtd",,AX$83,"."&amp;$D$82&amp;$AW$82&amp;"P"&amp;$A94))</f>
        <v>-430</v>
      </c>
      <c r="AY94" s="79">
        <f t="shared" si="492"/>
        <v>188</v>
      </c>
      <c r="AZ94" s="8">
        <f t="shared" si="455"/>
        <v>5930</v>
      </c>
      <c r="BA94" s="54">
        <f>IF(RTD("tos.rtd",,BA$83,"."&amp;$B$82&amp;$AS$82&amp;"C"&amp;$A94)="N/A",0,RTD("tos.rtd",,BA$83,"."&amp;$B$82&amp;$AS$82&amp;"C"&amp;$A94))</f>
        <v>0</v>
      </c>
      <c r="BB94" s="3">
        <f>-IF(RTD("tos.rtd",,BB$83,"."&amp;$B$82&amp;$AS$82&amp;"P"&amp;$A94)="N/A",0,RTD("tos.rtd",,BB$83,"."&amp;$B$82&amp;$AS$82&amp;"P"&amp;$A94))</f>
        <v>0</v>
      </c>
      <c r="BC94" s="54">
        <f>IF(RTD("tos.rtd",,BC$83,"."&amp;$C$82&amp;$AU$82&amp;"C"&amp;$A94)="N/A",0,RTD("tos.rtd",,BC$83,"."&amp;$C$82&amp;$AU$82&amp;"C"&amp;$A94))</f>
        <v>268</v>
      </c>
      <c r="BD94" s="3">
        <f>-IF(RTD("tos.rtd",,BD$83,"."&amp;$C$82&amp;$AU$82&amp;"P"&amp;$A94)="N/A",0,RTD("tos.rtd",,BD$83,"."&amp;$C$82&amp;$AU$82&amp;"P"&amp;$A94))</f>
        <v>0</v>
      </c>
      <c r="BE94" s="54">
        <f>IF(RTD("tos.rtd",,BE$83,"."&amp;$D$82&amp;$AW$82&amp;"C"&amp;$A94)="N/A",0,RTD("tos.rtd",,BE$83,"."&amp;$D$82&amp;$AW$82&amp;"C"&amp;$A94))</f>
        <v>7</v>
      </c>
      <c r="BF94" s="3">
        <f>-IF(RTD("tos.rtd",,BF$83,"."&amp;$D$82&amp;$AW$82&amp;"P"&amp;$A94)="N/A",0,RTD("tos.rtd",,BF$83,"."&amp;$D$82&amp;$AW$82&amp;"P"&amp;$A94))</f>
        <v>0</v>
      </c>
      <c r="BG94" s="3">
        <f ca="1">+Hoja2!Y95</f>
        <v>97</v>
      </c>
      <c r="BH94" s="55">
        <f t="shared" ca="1" si="493"/>
        <v>372</v>
      </c>
      <c r="BI94" s="32" t="str">
        <f t="shared" ca="1" si="513"/>
        <v/>
      </c>
      <c r="BJ94" s="3">
        <f ca="1">IF($BP$1=1,DX94,IF(RTD("tos.rtd",,BJ$83,"."&amp;$B$82&amp;$AS$82&amp;"C"&amp;$A94)="N/A",0,RTD("tos.rtd",,BJ$83,"."&amp;$B$82&amp;$AS$82&amp;"C"&amp;$A94)))</f>
        <v>1.997253115881254E-7</v>
      </c>
      <c r="BK94" s="3">
        <f ca="1">IF($BP$1=1,DY94,-IF(RTD("tos.rtd",,BK$83,"."&amp;$B$82&amp;$AS$82&amp;"P"&amp;$A94)="N/A",0,RTD("tos.rtd",,BK$83,"."&amp;$B$82&amp;$AS$82&amp;"P"&amp;$A94)))</f>
        <v>-1.997253115881254E-7</v>
      </c>
      <c r="BL94" s="3">
        <f ca="1">IF($BP$1=1,DZ94,IF(RTD("tos.rtd",,BL$83,"."&amp;$C$82&amp;$AU$82&amp;"C"&amp;$A94)="N/A",0,RTD("tos.rtd",,BL$83,"."&amp;$C$82&amp;$AU$82&amp;"C"&amp;$A94)))</f>
        <v>2.629867777960699E-3</v>
      </c>
      <c r="BM94" s="3">
        <f ca="1">IF($BP$1=1,EA94,-IF(RTD("tos.rtd",,BM$83,"."&amp;$C$82&amp;$AU$82&amp;"P"&amp;$A94)="N/A",0,RTD("tos.rtd",,BM$83,"."&amp;$C$82&amp;$AU$82&amp;"P"&amp;$A94)))</f>
        <v>-2.5788042617136708E-3</v>
      </c>
      <c r="BN94" s="3">
        <f ca="1">IF($BP$1=1,EB94,IF(RTD("tos.rtd",,BN$83,"."&amp;$D$82&amp;$AW$82&amp;"C"&amp;$A94)="N/A",0,RTD("tos.rtd",,BN$83,"."&amp;$D$82&amp;$AW$82&amp;"C"&amp;$A94)))</f>
        <v>2.8186360292612421E-3</v>
      </c>
      <c r="BO94" s="3">
        <f ca="1">IF($BP$1=1,EC94,-IF(RTD("tos.rtd",,BO$83,"."&amp;$D$82&amp;$AW$82&amp;"P"&amp;$A94)="N/A",0,RTD("tos.rtd",,BO$83,"."&amp;$D$82&amp;$AW$82&amp;"P"&amp;$A94)))</f>
        <v>-2.7589415446069012E-3</v>
      </c>
      <c r="BQ94" s="3">
        <f t="shared" ca="1" si="456"/>
        <v>0</v>
      </c>
      <c r="BR94" s="3" t="str">
        <f t="shared" ca="1" si="494"/>
        <v/>
      </c>
      <c r="BS94" s="3">
        <f t="shared" ca="1" si="457"/>
        <v>177396.96762223038</v>
      </c>
      <c r="BT94" s="3" t="str">
        <f t="shared" ca="1" si="494"/>
        <v/>
      </c>
      <c r="BU94" s="3">
        <f t="shared" ca="1" si="458"/>
        <v>-44960.190340566391</v>
      </c>
      <c r="BV94" s="3" t="str">
        <f t="shared" ca="1" si="494"/>
        <v/>
      </c>
      <c r="BX94" s="3">
        <f t="shared" ca="1" si="459"/>
        <v>0</v>
      </c>
      <c r="BY94" s="3" t="str">
        <f t="shared" ca="1" si="510"/>
        <v/>
      </c>
      <c r="BZ94" s="3">
        <f t="shared" ca="1" si="460"/>
        <v>181641.2989180912</v>
      </c>
      <c r="CA94" s="3" t="str">
        <f t="shared" ca="1" si="510"/>
        <v/>
      </c>
      <c r="CB94" s="3">
        <f t="shared" ca="1" si="461"/>
        <v>5084.9060112175512</v>
      </c>
      <c r="CC94" s="3" t="str">
        <f t="shared" ca="1" si="510"/>
        <v>Cruce +</v>
      </c>
      <c r="CD94" s="3">
        <f>IF(RTD("tos.rtd",,CD$83,"."&amp;$B$82&amp;$AS$82&amp;"C"&amp;$A94)="N/A",0,RTD("tos.rtd",,CD$83,"."&amp;$B$82&amp;$AS$82&amp;"C"&amp;$A94))</f>
        <v>0</v>
      </c>
      <c r="CE94" s="3">
        <f>-IF(RTD("tos.rtd",,CE$83,"."&amp;$B$82&amp;$AS$82&amp;"P"&amp;$A94)="N/A",0,RTD("tos.rtd",,CE$83,"."&amp;$B$82&amp;$AS$82&amp;"P"&amp;$A94))</f>
        <v>0</v>
      </c>
      <c r="CF94" s="3">
        <f>IF(RTD("tos.rtd",,CF$83,"."&amp;$C$82&amp;$AU$82&amp;"C"&amp;$A94)="N/A",0,RTD("tos.rtd",,CF$83,"."&amp;$C$82&amp;$AU$82&amp;"C"&amp;$A94))</f>
        <v>0.2</v>
      </c>
      <c r="CG94" s="3">
        <f>-IF(RTD("tos.rtd",,CG$83,"."&amp;$C$82&amp;$AU$82&amp;"P"&amp;$A94)="N/A",0,RTD("tos.rtd",,CG$83,"."&amp;$C$82&amp;$AU$82&amp;"P"&amp;$A94))</f>
        <v>0.79</v>
      </c>
      <c r="CH94" s="3">
        <f>IF(RTD("tos.rtd",,CH$83,"."&amp;$D$82&amp;$AW$82&amp;"C"&amp;$A94)="N/A",0,RTD("tos.rtd",,CH$83,"."&amp;$D$82&amp;$AW$82&amp;"C"&amp;$A94))</f>
        <v>0.42</v>
      </c>
      <c r="CI94" s="3">
        <f>-IF(RTD("tos.rtd",,CI$83,"."&amp;$D$82&amp;$AW$82&amp;"P"&amp;$A94)="N/A",0,RTD("tos.rtd",,CI$83,"."&amp;$D$82&amp;$AW$82&amp;"P"&amp;$A94))</f>
        <v>0.56999999999999995</v>
      </c>
      <c r="CK94" s="3">
        <f t="shared" si="514"/>
        <v>0</v>
      </c>
      <c r="CL94" s="3"/>
      <c r="CM94" s="3">
        <f t="shared" si="515"/>
        <v>-3139</v>
      </c>
      <c r="CN94" s="3"/>
      <c r="CO94" s="3">
        <f t="shared" si="516"/>
        <v>-9431.9999999999964</v>
      </c>
      <c r="CP94" s="3">
        <f t="shared" si="462"/>
        <v>-12570.999999999996</v>
      </c>
      <c r="CQ94" s="3">
        <f t="shared" si="463"/>
        <v>0</v>
      </c>
      <c r="CR94" s="3"/>
      <c r="CS94" s="3">
        <f t="shared" si="464"/>
        <v>268</v>
      </c>
      <c r="CT94" s="3"/>
      <c r="CU94" s="3">
        <f t="shared" si="465"/>
        <v>7</v>
      </c>
      <c r="CV94" s="3"/>
      <c r="CW94" s="3">
        <f t="shared" ca="1" si="498"/>
        <v>132436.77728166399</v>
      </c>
      <c r="CY94" s="3">
        <f t="shared" ca="1" si="467"/>
        <v>186726.20492930876</v>
      </c>
      <c r="CZ94" s="70" t="str">
        <f t="shared" ca="1" si="511"/>
        <v/>
      </c>
      <c r="DA94" s="3">
        <f>IF(RTD("tos.rtd",,DA$83,"."&amp;$B$82&amp;$AS$82&amp;"C"&amp;$A94)="N/A",0,RTD("tos.rtd",,DA$83,"."&amp;$B$82&amp;$AS$82&amp;"C"&amp;$A94))</f>
        <v>0</v>
      </c>
      <c r="DB94" s="3">
        <f>IF(RTD("tos.rtd",,DB$83,"."&amp;$B$82&amp;$AS$82&amp;"P"&amp;$A94)="N/A",0,RTD("tos.rtd",,DB$83,"."&amp;$B$82&amp;$AS$82&amp;"P"&amp;$A94))</f>
        <v>0</v>
      </c>
      <c r="DC94" s="3">
        <f>IF(RTD("tos.rtd",,DC$83,"."&amp;$B$82&amp;$AS$82&amp;"C"&amp;$A94)="N/A",0,RTD("tos.rtd",,DC$83,"."&amp;$B$82&amp;$AS$82&amp;"C"&amp;$A94))</f>
        <v>0</v>
      </c>
      <c r="DD94" s="3">
        <f>IF(RTD("tos.rtd",,DD$83,"."&amp;$B$82&amp;$AS$82&amp;"P"&amp;$A94)="N/A",0,RTD("tos.rtd",,DD$83,"."&amp;$B$82&amp;$AS$82&amp;"P"&amp;$A94))</f>
        <v>0</v>
      </c>
      <c r="DE94" s="3">
        <f>IF(RTD("tos.rtd",,DE$83,"."&amp;$B$82&amp;$AS$82&amp;"C"&amp;$A94)="N/A",0,RTD("tos.rtd",,DE$83,"."&amp;$B$82&amp;$AS$82&amp;"C"&amp;$A94))</f>
        <v>0</v>
      </c>
      <c r="DF94" s="3">
        <f>IF(RTD("tos.rtd",,DF$83,"."&amp;$B$82&amp;$AS$82&amp;"P"&amp;$A94)="N/A",0,RTD("tos.rtd",,DF$83,"."&amp;$B$82&amp;$AS$82&amp;"P"&amp;$A94))</f>
        <v>0</v>
      </c>
      <c r="DG94" s="86">
        <f t="shared" si="499"/>
        <v>88.25</v>
      </c>
      <c r="DH94" s="3" t="e">
        <f t="shared" si="468"/>
        <v>#DIV/0!</v>
      </c>
      <c r="DI94" s="3" t="e">
        <f t="shared" si="469"/>
        <v>#DIV/0!</v>
      </c>
      <c r="DJ94" s="3">
        <f t="shared" si="470"/>
        <v>0</v>
      </c>
      <c r="DK94" s="3">
        <f t="shared" si="471"/>
        <v>0</v>
      </c>
      <c r="DL94" s="3" t="e">
        <f t="shared" si="472"/>
        <v>#DIV/0!</v>
      </c>
      <c r="DM94" s="3">
        <f t="shared" si="473"/>
        <v>0</v>
      </c>
      <c r="DN94" s="64" t="str">
        <f t="shared" si="474"/>
        <v>UNKNOWN</v>
      </c>
      <c r="DO94" s="64" t="str">
        <f t="shared" si="475"/>
        <v>UNKNOWN</v>
      </c>
      <c r="DP94" s="3" t="e">
        <f t="shared" si="476"/>
        <v>#DIV/0!</v>
      </c>
      <c r="DQ94" s="3">
        <f t="shared" si="477"/>
        <v>0</v>
      </c>
      <c r="DR94" s="3">
        <f t="shared" ca="1" si="478"/>
        <v>0</v>
      </c>
      <c r="DS94" s="3">
        <f t="shared" si="479"/>
        <v>0</v>
      </c>
      <c r="DT94" s="3">
        <f t="shared" si="500"/>
        <v>0</v>
      </c>
      <c r="DU94" s="3">
        <f t="shared" si="501"/>
        <v>0</v>
      </c>
      <c r="DV94" s="3">
        <f t="shared" si="502"/>
        <v>0</v>
      </c>
      <c r="DW94" s="3">
        <f t="shared" si="503"/>
        <v>0</v>
      </c>
      <c r="DX94" s="3">
        <f t="shared" ca="1" si="512"/>
        <v>1.997253115881254E-7</v>
      </c>
      <c r="DY94" s="3">
        <f t="shared" ca="1" si="480"/>
        <v>-1.997253115881254E-7</v>
      </c>
      <c r="DZ94" s="3">
        <f t="shared" ca="1" si="504"/>
        <v>2.629867777960699E-3</v>
      </c>
      <c r="EA94" s="3">
        <f t="shared" ca="1" si="505"/>
        <v>-2.5788042617136708E-3</v>
      </c>
      <c r="EB94" s="3">
        <f t="shared" ca="1" si="481"/>
        <v>2.8186360292612421E-3</v>
      </c>
      <c r="EC94" s="3">
        <f t="shared" ca="1" si="482"/>
        <v>-2.7589415446069012E-3</v>
      </c>
      <c r="ED94" s="63">
        <f t="shared" si="506"/>
        <v>0</v>
      </c>
      <c r="EE94" s="59">
        <f t="shared" si="483"/>
        <v>0.25</v>
      </c>
      <c r="EF94" s="59">
        <f t="shared" si="484"/>
        <v>0.25</v>
      </c>
      <c r="EG94" s="59">
        <f t="shared" si="485"/>
        <v>0.16550000000000001</v>
      </c>
      <c r="EH94" s="59">
        <f t="shared" si="486"/>
        <v>0.17180000000000001</v>
      </c>
      <c r="EI94" s="59">
        <f t="shared" si="487"/>
        <v>0.14000000000000001</v>
      </c>
      <c r="EJ94" s="59">
        <f t="shared" si="488"/>
        <v>0.14879999999999999</v>
      </c>
      <c r="EK94" s="63">
        <f t="shared" ca="1" si="507"/>
        <v>0</v>
      </c>
      <c r="EL94" s="3" t="str">
        <f>RTD("tos.rtd",,EL$83,"."&amp;$B$82&amp;$AS$82&amp;"C"&amp;$A94)</f>
        <v>N/A</v>
      </c>
      <c r="EM94" s="3" t="str">
        <f>RTD("tos.rtd",,EM$83,"."&amp;$B$82&amp;$AS$82&amp;"P"&amp;$A94)</f>
        <v>N/A</v>
      </c>
      <c r="EN94" s="3" t="str">
        <f>RTD("tos.rtd",,EN$83,"."&amp;$C$82&amp;$AU$82&amp;"C"&amp;$A94)</f>
        <v>16.55%</v>
      </c>
      <c r="EO94" s="3" t="str">
        <f>RTD("tos.rtd",,EO$83,"."&amp;$C$82&amp;$AU$82&amp;"P"&amp;$A94)</f>
        <v>17.18%</v>
      </c>
      <c r="EP94" s="3" t="str">
        <f>RTD("tos.rtd",,EP$83,"."&amp;$D$82&amp;$AW$82&amp;"C"&amp;$A94)</f>
        <v>14.00%</v>
      </c>
      <c r="EQ94" s="3" t="str">
        <f>RTD("tos.rtd",,EQ$83,"."&amp;$D$82&amp;$AW$82&amp;"P"&amp;$A94)</f>
        <v>14.88%</v>
      </c>
      <c r="ES94" s="63" t="str">
        <f t="shared" si="489"/>
        <v>5930,00.00</v>
      </c>
      <c r="ET94" s="63" t="str">
        <f t="shared" ca="1" si="490"/>
        <v>5930,186.73</v>
      </c>
      <c r="EU94" s="67">
        <v>571.94000000000005</v>
      </c>
      <c r="EV94" s="67" t="s">
        <v>771</v>
      </c>
      <c r="EW94" s="67">
        <v>496.76</v>
      </c>
      <c r="EX94" s="67" t="s">
        <v>772</v>
      </c>
      <c r="EY94" s="67">
        <v>5659.91</v>
      </c>
      <c r="EZ94" s="67" t="s">
        <v>773</v>
      </c>
      <c r="FA94" s="67">
        <v>20061.449000000001</v>
      </c>
      <c r="FB94" s="67" t="s">
        <v>774</v>
      </c>
      <c r="FC94" s="67" t="s">
        <v>775</v>
      </c>
      <c r="FD94" s="67" t="s">
        <v>776</v>
      </c>
      <c r="FE94" s="68" t="s">
        <v>777</v>
      </c>
      <c r="FF94" s="68" t="s">
        <v>778</v>
      </c>
    </row>
    <row r="95" spans="1:162" s="63" customFormat="1" ht="12" customHeight="1" thickBot="1" x14ac:dyDescent="0.25">
      <c r="A95" s="2">
        <f t="shared" si="508"/>
        <v>5920</v>
      </c>
      <c r="B95" s="3">
        <f t="shared" si="451"/>
        <v>0</v>
      </c>
      <c r="C95" s="3">
        <f t="shared" si="452"/>
        <v>576</v>
      </c>
      <c r="D95" s="3">
        <f t="shared" si="453"/>
        <v>619</v>
      </c>
      <c r="E95" s="3">
        <f t="shared" si="454"/>
        <v>1195</v>
      </c>
      <c r="F95" s="4">
        <f t="shared" si="517"/>
        <v>5944.3214790088587</v>
      </c>
      <c r="G95" s="4">
        <f t="shared" si="491"/>
        <v>590.75859117558957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>
        <v>-2859</v>
      </c>
      <c r="AN95" s="20">
        <v>-20</v>
      </c>
      <c r="AO95" s="20">
        <v>5920</v>
      </c>
      <c r="AP95" s="20">
        <v>0</v>
      </c>
      <c r="AQ95" s="20">
        <v>0</v>
      </c>
      <c r="AR95" s="20"/>
      <c r="AS95" s="54">
        <f>IF(RTD("tos.rtd",,AS$83,"."&amp;$B$82&amp;$AS$82&amp;"C"&amp;$A95)="N/A",0,RTD("tos.rtd",,AS$83,"."&amp;$B$82&amp;$AS$82&amp;"C"&amp;$A95))</f>
        <v>0</v>
      </c>
      <c r="AT95" s="3">
        <f>-IF(RTD("tos.rtd",,AT$83,"."&amp;$B$82&amp;$AS$82&amp;"P"&amp;$A95)="N/A",0,RTD("tos.rtd",,AT$83,"."&amp;$B$82&amp;$AS$82&amp;"P"&amp;$A95))</f>
        <v>0</v>
      </c>
      <c r="AU95" s="54">
        <f>IF(RTD("tos.rtd",,AU$83,"."&amp;$C$82&amp;$AU$82&amp;"C"&amp;$A95)="N/A",0,RTD("tos.rtd",,AU$83,"."&amp;$C$82&amp;$AU$82&amp;"C"&amp;$A95))</f>
        <v>395</v>
      </c>
      <c r="AV95" s="3">
        <f>-IF(RTD("tos.rtd",,AV$83,"."&amp;$C$82&amp;$AU$82&amp;"P"&amp;$A95)="N/A",0,RTD("tos.rtd",,AV$83,"."&amp;$C$82&amp;$AU$82&amp;"P"&amp;$A95))</f>
        <v>-181</v>
      </c>
      <c r="AW95" s="54">
        <f>IF(RTD("tos.rtd",,AW$83,"."&amp;$D$82&amp;$AW$82&amp;"C"&amp;$A95)="N/A",0,RTD("tos.rtd",,AW$83,"."&amp;$D$82&amp;$AW$82&amp;"C"&amp;$A95))</f>
        <v>301</v>
      </c>
      <c r="AX95" s="3">
        <f>-IF(RTD("tos.rtd",,AX$83,"."&amp;$D$82&amp;$AW$82&amp;"P"&amp;$A95)="N/A",0,RTD("tos.rtd",,AX$83,"."&amp;$D$82&amp;$AW$82&amp;"P"&amp;$A95))</f>
        <v>-318</v>
      </c>
      <c r="AY95" s="79">
        <f t="shared" si="492"/>
        <v>197</v>
      </c>
      <c r="AZ95" s="8">
        <f t="shared" si="455"/>
        <v>5920</v>
      </c>
      <c r="BA95" s="54">
        <f>IF(RTD("tos.rtd",,BA$83,"."&amp;$B$82&amp;$AS$82&amp;"C"&amp;$A95)="N/A",0,RTD("tos.rtd",,BA$83,"."&amp;$B$82&amp;$AS$82&amp;"C"&amp;$A95))</f>
        <v>0</v>
      </c>
      <c r="BB95" s="3">
        <f>-IF(RTD("tos.rtd",,BB$83,"."&amp;$B$82&amp;$AS$82&amp;"P"&amp;$A95)="N/A",0,RTD("tos.rtd",,BB$83,"."&amp;$B$82&amp;$AS$82&amp;"P"&amp;$A95))</f>
        <v>0</v>
      </c>
      <c r="BC95" s="54">
        <f>IF(RTD("tos.rtd",,BC$83,"."&amp;$C$82&amp;$AU$82&amp;"C"&amp;$A95)="N/A",0,RTD("tos.rtd",,BC$83,"."&amp;$C$82&amp;$AU$82&amp;"C"&amp;$A95))</f>
        <v>73</v>
      </c>
      <c r="BD95" s="3">
        <f>-IF(RTD("tos.rtd",,BD$83,"."&amp;$C$82&amp;$AU$82&amp;"P"&amp;$A95)="N/A",0,RTD("tos.rtd",,BD$83,"."&amp;$C$82&amp;$AU$82&amp;"P"&amp;$A95))</f>
        <v>0</v>
      </c>
      <c r="BE95" s="54">
        <f>IF(RTD("tos.rtd",,BE$83,"."&amp;$D$82&amp;$AW$82&amp;"C"&amp;$A95)="N/A",0,RTD("tos.rtd",,BE$83,"."&amp;$D$82&amp;$AW$82&amp;"C"&amp;$A95))</f>
        <v>10</v>
      </c>
      <c r="BF95" s="3">
        <f>-IF(RTD("tos.rtd",,BF$83,"."&amp;$D$82&amp;$AW$82&amp;"P"&amp;$A95)="N/A",0,RTD("tos.rtd",,BF$83,"."&amp;$D$82&amp;$AW$82&amp;"P"&amp;$A95))</f>
        <v>-7</v>
      </c>
      <c r="BG95" s="3">
        <f ca="1">+Hoja2!Y96</f>
        <v>301</v>
      </c>
      <c r="BH95" s="55">
        <f t="shared" ca="1" si="493"/>
        <v>377</v>
      </c>
      <c r="BI95" s="32" t="str">
        <f t="shared" ca="1" si="513"/>
        <v/>
      </c>
      <c r="BJ95" s="3">
        <f ca="1">IF($BP$1=1,DX95,IF(RTD("tos.rtd",,BJ$83,"."&amp;$B$82&amp;$AS$82&amp;"C"&amp;$A95)="N/A",0,RTD("tos.rtd",,BJ$83,"."&amp;$B$82&amp;$AS$82&amp;"C"&amp;$A95)))</f>
        <v>2.3563768487262087E-6</v>
      </c>
      <c r="BK95" s="3">
        <f ca="1">IF($BP$1=1,DY95,-IF(RTD("tos.rtd",,BK$83,"."&amp;$B$82&amp;$AS$82&amp;"P"&amp;$A95)="N/A",0,RTD("tos.rtd",,BK$83,"."&amp;$B$82&amp;$AS$82&amp;"P"&amp;$A95)))</f>
        <v>-2.3563768487262087E-6</v>
      </c>
      <c r="BL95" s="3">
        <f ca="1">IF($BP$1=1,DZ95,IF(RTD("tos.rtd",,BL$83,"."&amp;$C$82&amp;$AU$82&amp;"C"&amp;$A95)="N/A",0,RTD("tos.rtd",,BL$83,"."&amp;$C$82&amp;$AU$82&amp;"C"&amp;$A95)))</f>
        <v>2.7730141908506212E-3</v>
      </c>
      <c r="BM95" s="3">
        <f ca="1">IF($BP$1=1,EA95,-IF(RTD("tos.rtd",,BM$83,"."&amp;$C$82&amp;$AU$82&amp;"P"&amp;$A95)="N/A",0,RTD("tos.rtd",,BM$83,"."&amp;$C$82&amp;$AU$82&amp;"P"&amp;$A95)))</f>
        <v>-2.710522547858793E-3</v>
      </c>
      <c r="BN95" s="3">
        <f ca="1">IF($BP$1=1,EB95,IF(RTD("tos.rtd",,BN$83,"."&amp;$D$82&amp;$AW$82&amp;"C"&amp;$A95)="N/A",0,RTD("tos.rtd",,BN$83,"."&amp;$D$82&amp;$AW$82&amp;"C"&amp;$A95)))</f>
        <v>3.0294205408865496E-3</v>
      </c>
      <c r="BO95" s="3">
        <f ca="1">IF($BP$1=1,EC95,-IF(RTD("tos.rtd",,BO$83,"."&amp;$D$82&amp;$AW$82&amp;"P"&amp;$A95)="N/A",0,RTD("tos.rtd",,BO$83,"."&amp;$D$82&amp;$AW$82&amp;"P"&amp;$A95)))</f>
        <v>-2.9398280331787586E-3</v>
      </c>
      <c r="BQ95" s="3">
        <f t="shared" ca="1" si="456"/>
        <v>0</v>
      </c>
      <c r="BR95" s="3" t="str">
        <f t="shared" ca="1" si="494"/>
        <v/>
      </c>
      <c r="BS95" s="3">
        <f t="shared" ca="1" si="457"/>
        <v>155851.76725050385</v>
      </c>
      <c r="BT95" s="3" t="str">
        <f t="shared" ca="1" si="494"/>
        <v/>
      </c>
      <c r="BU95" s="3">
        <f t="shared" ca="1" si="458"/>
        <v>-5930.0375909733702</v>
      </c>
      <c r="BV95" s="3" t="str">
        <f t="shared" ca="1" si="494"/>
        <v/>
      </c>
      <c r="BX95" s="3">
        <f t="shared" ca="1" si="459"/>
        <v>0</v>
      </c>
      <c r="BY95" s="3" t="str">
        <f t="shared" ca="1" si="510"/>
        <v/>
      </c>
      <c r="BZ95" s="3">
        <f t="shared" ca="1" si="460"/>
        <v>52170.000762080032</v>
      </c>
      <c r="CA95" s="3" t="str">
        <f t="shared" ca="1" si="510"/>
        <v/>
      </c>
      <c r="CB95" s="3">
        <f t="shared" ca="1" si="461"/>
        <v>2503.8423859090944</v>
      </c>
      <c r="CC95" s="3" t="str">
        <f t="shared" ca="1" si="510"/>
        <v/>
      </c>
      <c r="CD95" s="3">
        <f>IF(RTD("tos.rtd",,CD$83,"."&amp;$B$82&amp;$AS$82&amp;"C"&amp;$A95)="N/A",0,RTD("tos.rtd",,CD$83,"."&amp;$B$82&amp;$AS$82&amp;"C"&amp;$A95))</f>
        <v>0</v>
      </c>
      <c r="CE95" s="3">
        <f>-IF(RTD("tos.rtd",,CE$83,"."&amp;$B$82&amp;$AS$82&amp;"P"&amp;$A95)="N/A",0,RTD("tos.rtd",,CE$83,"."&amp;$B$82&amp;$AS$82&amp;"P"&amp;$A95))</f>
        <v>0</v>
      </c>
      <c r="CF95" s="3">
        <f>IF(RTD("tos.rtd",,CF$83,"."&amp;$C$82&amp;$AU$82&amp;"C"&amp;$A95)="N/A",0,RTD("tos.rtd",,CF$83,"."&amp;$C$82&amp;$AU$82&amp;"C"&amp;$A95))</f>
        <v>0.23</v>
      </c>
      <c r="CG95" s="3">
        <f>-IF(RTD("tos.rtd",,CG$83,"."&amp;$C$82&amp;$AU$82&amp;"P"&amp;$A95)="N/A",0,RTD("tos.rtd",,CG$83,"."&amp;$C$82&amp;$AU$82&amp;"P"&amp;$A95))</f>
        <v>0.76</v>
      </c>
      <c r="CH95" s="3">
        <f>IF(RTD("tos.rtd",,CH$83,"."&amp;$D$82&amp;$AW$82&amp;"C"&amp;$A95)="N/A",0,RTD("tos.rtd",,CH$83,"."&amp;$D$82&amp;$AW$82&amp;"C"&amp;$A95))</f>
        <v>0.44</v>
      </c>
      <c r="CI95" s="3">
        <f>-IF(RTD("tos.rtd",,CI$83,"."&amp;$D$82&amp;$AW$82&amp;"P"&amp;$A95)="N/A",0,RTD("tos.rtd",,CI$83,"."&amp;$D$82&amp;$AW$82&amp;"P"&amp;$A95))</f>
        <v>0.56000000000000005</v>
      </c>
      <c r="CK95" s="3">
        <f t="shared" si="514"/>
        <v>0</v>
      </c>
      <c r="CL95" s="3"/>
      <c r="CM95" s="3">
        <f t="shared" si="515"/>
        <v>-4671</v>
      </c>
      <c r="CN95" s="3"/>
      <c r="CO95" s="3">
        <f t="shared" si="516"/>
        <v>-4564</v>
      </c>
      <c r="CP95" s="3">
        <f t="shared" si="462"/>
        <v>-9235</v>
      </c>
      <c r="CQ95" s="3">
        <f t="shared" si="463"/>
        <v>0</v>
      </c>
      <c r="CR95" s="3"/>
      <c r="CS95" s="3">
        <f t="shared" si="464"/>
        <v>73</v>
      </c>
      <c r="CT95" s="3"/>
      <c r="CU95" s="3">
        <f t="shared" si="465"/>
        <v>3</v>
      </c>
      <c r="CV95" s="3"/>
      <c r="CW95" s="3">
        <f t="shared" ca="1" si="498"/>
        <v>149921.72965953048</v>
      </c>
      <c r="CY95" s="3">
        <f t="shared" ca="1" si="467"/>
        <v>54673.84314798913</v>
      </c>
      <c r="CZ95" s="70" t="str">
        <f t="shared" ca="1" si="511"/>
        <v/>
      </c>
      <c r="DA95" s="3">
        <f>IF(RTD("tos.rtd",,DA$83,"."&amp;$B$82&amp;$AS$82&amp;"C"&amp;$A95)="N/A",0,RTD("tos.rtd",,DA$83,"."&amp;$B$82&amp;$AS$82&amp;"C"&amp;$A95))</f>
        <v>0</v>
      </c>
      <c r="DB95" s="3">
        <f>IF(RTD("tos.rtd",,DB$83,"."&amp;$B$82&amp;$AS$82&amp;"P"&amp;$A95)="N/A",0,RTD("tos.rtd",,DB$83,"."&amp;$B$82&amp;$AS$82&amp;"P"&amp;$A95))</f>
        <v>0</v>
      </c>
      <c r="DC95" s="3">
        <f>IF(RTD("tos.rtd",,DC$83,"."&amp;$B$82&amp;$AS$82&amp;"C"&amp;$A95)="N/A",0,RTD("tos.rtd",,DC$83,"."&amp;$B$82&amp;$AS$82&amp;"C"&amp;$A95))</f>
        <v>0</v>
      </c>
      <c r="DD95" s="3">
        <f>IF(RTD("tos.rtd",,DD$83,"."&amp;$B$82&amp;$AS$82&amp;"P"&amp;$A95)="N/A",0,RTD("tos.rtd",,DD$83,"."&amp;$B$82&amp;$AS$82&amp;"P"&amp;$A95))</f>
        <v>0</v>
      </c>
      <c r="DE95" s="3">
        <f>IF(RTD("tos.rtd",,DE$83,"."&amp;$B$82&amp;$AS$82&amp;"C"&amp;$A95)="N/A",0,RTD("tos.rtd",,DE$83,"."&amp;$B$82&amp;$AS$82&amp;"C"&amp;$A95))</f>
        <v>0</v>
      </c>
      <c r="DF95" s="3">
        <f>IF(RTD("tos.rtd",,DF$83,"."&amp;$B$82&amp;$AS$82&amp;"P"&amp;$A95)="N/A",0,RTD("tos.rtd",,DF$83,"."&amp;$B$82&amp;$AS$82&amp;"P"&amp;$A95))</f>
        <v>0</v>
      </c>
      <c r="DG95" s="86">
        <f t="shared" si="499"/>
        <v>78.25</v>
      </c>
      <c r="DH95" s="3" t="e">
        <f t="shared" si="468"/>
        <v>#DIV/0!</v>
      </c>
      <c r="DI95" s="3" t="e">
        <f t="shared" si="469"/>
        <v>#DIV/0!</v>
      </c>
      <c r="DJ95" s="3">
        <f t="shared" si="470"/>
        <v>0</v>
      </c>
      <c r="DK95" s="3">
        <f t="shared" si="471"/>
        <v>0</v>
      </c>
      <c r="DL95" s="3" t="e">
        <f t="shared" si="472"/>
        <v>#DIV/0!</v>
      </c>
      <c r="DM95" s="3">
        <f t="shared" si="473"/>
        <v>0</v>
      </c>
      <c r="DN95" s="64" t="str">
        <f t="shared" si="474"/>
        <v>UNKNOWN</v>
      </c>
      <c r="DO95" s="64" t="str">
        <f t="shared" si="475"/>
        <v>UNKNOWN</v>
      </c>
      <c r="DP95" s="3" t="e">
        <f t="shared" si="476"/>
        <v>#DIV/0!</v>
      </c>
      <c r="DQ95" s="3">
        <f t="shared" si="477"/>
        <v>0</v>
      </c>
      <c r="DR95" s="3">
        <f t="shared" ca="1" si="478"/>
        <v>0</v>
      </c>
      <c r="DS95" s="3">
        <f t="shared" si="479"/>
        <v>0</v>
      </c>
      <c r="DT95" s="3">
        <f t="shared" si="500"/>
        <v>0</v>
      </c>
      <c r="DU95" s="3">
        <f t="shared" si="501"/>
        <v>0</v>
      </c>
      <c r="DV95" s="3">
        <f t="shared" si="502"/>
        <v>-2859</v>
      </c>
      <c r="DW95" s="3">
        <f t="shared" si="503"/>
        <v>-20</v>
      </c>
      <c r="DX95" s="3">
        <f t="shared" ca="1" si="512"/>
        <v>2.3563768487262087E-6</v>
      </c>
      <c r="DY95" s="3">
        <f t="shared" ca="1" si="480"/>
        <v>-2.3563768487262087E-6</v>
      </c>
      <c r="DZ95" s="3">
        <f t="shared" ca="1" si="504"/>
        <v>2.7730141908506212E-3</v>
      </c>
      <c r="EA95" s="3">
        <f t="shared" ca="1" si="505"/>
        <v>-2.710522547858793E-3</v>
      </c>
      <c r="EB95" s="3">
        <f t="shared" ca="1" si="481"/>
        <v>3.0294205408865496E-3</v>
      </c>
      <c r="EC95" s="3">
        <f t="shared" ca="1" si="482"/>
        <v>-2.9398280331787586E-3</v>
      </c>
      <c r="ED95" s="63">
        <f t="shared" si="506"/>
        <v>-2879</v>
      </c>
      <c r="EE95" s="59">
        <f t="shared" si="483"/>
        <v>0.25</v>
      </c>
      <c r="EF95" s="59">
        <f t="shared" si="484"/>
        <v>0.25</v>
      </c>
      <c r="EG95" s="59">
        <f t="shared" si="485"/>
        <v>0.16569999999999999</v>
      </c>
      <c r="EH95" s="59">
        <f t="shared" si="486"/>
        <v>0.17180000000000001</v>
      </c>
      <c r="EI95" s="59">
        <f t="shared" si="487"/>
        <v>0.14099999999999999</v>
      </c>
      <c r="EJ95" s="59">
        <f t="shared" si="488"/>
        <v>0.1497</v>
      </c>
      <c r="EK95" s="63">
        <f t="shared" ca="1" si="507"/>
        <v>-228294.82876573745</v>
      </c>
      <c r="EL95" s="3" t="str">
        <f>RTD("tos.rtd",,EL$83,"."&amp;$B$82&amp;$AS$82&amp;"C"&amp;$A95)</f>
        <v>N/A</v>
      </c>
      <c r="EM95" s="3" t="str">
        <f>RTD("tos.rtd",,EM$83,"."&amp;$B$82&amp;$AS$82&amp;"P"&amp;$A95)</f>
        <v>N/A</v>
      </c>
      <c r="EN95" s="3" t="str">
        <f>RTD("tos.rtd",,EN$83,"."&amp;$C$82&amp;$AU$82&amp;"C"&amp;$A95)</f>
        <v>16.57%</v>
      </c>
      <c r="EO95" s="3" t="str">
        <f>RTD("tos.rtd",,EO$83,"."&amp;$C$82&amp;$AU$82&amp;"P"&amp;$A95)</f>
        <v>17.18%</v>
      </c>
      <c r="EP95" s="3" t="str">
        <f>RTD("tos.rtd",,EP$83,"."&amp;$D$82&amp;$AW$82&amp;"C"&amp;$A95)</f>
        <v>14.10%</v>
      </c>
      <c r="EQ95" s="3" t="str">
        <f>RTD("tos.rtd",,EQ$83,"."&amp;$D$82&amp;$AW$82&amp;"P"&amp;$A95)</f>
        <v>14.97%</v>
      </c>
      <c r="ES95" s="63" t="str">
        <f t="shared" si="489"/>
        <v>5920,-2879.00</v>
      </c>
      <c r="ET95" s="63" t="str">
        <f t="shared" ca="1" si="490"/>
        <v>5920,54.67</v>
      </c>
      <c r="EU95" s="67">
        <v>571.86</v>
      </c>
      <c r="EV95" s="67" t="s">
        <v>779</v>
      </c>
      <c r="EW95" s="67">
        <v>496.71</v>
      </c>
      <c r="EX95" s="67" t="s">
        <v>780</v>
      </c>
      <c r="EY95" s="67">
        <v>5659.91</v>
      </c>
      <c r="EZ95" s="67" t="s">
        <v>781</v>
      </c>
      <c r="FA95" s="67">
        <v>20061.449000000001</v>
      </c>
      <c r="FB95" s="67" t="s">
        <v>782</v>
      </c>
      <c r="FC95" s="67" t="s">
        <v>783</v>
      </c>
      <c r="FD95" s="67" t="s">
        <v>784</v>
      </c>
      <c r="FE95" s="68" t="s">
        <v>785</v>
      </c>
      <c r="FF95" s="68" t="s">
        <v>786</v>
      </c>
    </row>
    <row r="96" spans="1:162" s="63" customFormat="1" ht="12" customHeight="1" thickBot="1" x14ac:dyDescent="0.25">
      <c r="A96" s="2">
        <f t="shared" si="508"/>
        <v>5910</v>
      </c>
      <c r="B96" s="3">
        <f t="shared" si="451"/>
        <v>0</v>
      </c>
      <c r="C96" s="3">
        <f t="shared" si="452"/>
        <v>978</v>
      </c>
      <c r="D96" s="3">
        <f t="shared" si="453"/>
        <v>1034</v>
      </c>
      <c r="E96" s="3">
        <f t="shared" si="454"/>
        <v>2012</v>
      </c>
      <c r="F96" s="4">
        <f t="shared" si="517"/>
        <v>5934.2803954294513</v>
      </c>
      <c r="G96" s="4">
        <f t="shared" si="491"/>
        <v>589.76068814995506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>
        <v>-1306</v>
      </c>
      <c r="AN96" s="20">
        <v>-66</v>
      </c>
      <c r="AO96" s="20">
        <v>5910</v>
      </c>
      <c r="AP96" s="20">
        <v>0</v>
      </c>
      <c r="AQ96" s="20">
        <v>0</v>
      </c>
      <c r="AR96" s="20"/>
      <c r="AS96" s="54">
        <f>IF(RTD("tos.rtd",,AS$83,"."&amp;$B$82&amp;$AS$82&amp;"C"&amp;$A96)="N/A",0,RTD("tos.rtd",,AS$83,"."&amp;$B$82&amp;$AS$82&amp;"C"&amp;$A96))</f>
        <v>0</v>
      </c>
      <c r="AT96" s="3">
        <f>-IF(RTD("tos.rtd",,AT$83,"."&amp;$B$82&amp;$AS$82&amp;"P"&amp;$A96)="N/A",0,RTD("tos.rtd",,AT$83,"."&amp;$B$82&amp;$AS$82&amp;"P"&amp;$A96))</f>
        <v>0</v>
      </c>
      <c r="AU96" s="54">
        <f>IF(RTD("tos.rtd",,AU$83,"."&amp;$C$82&amp;$AU$82&amp;"C"&amp;$A96)="N/A",0,RTD("tos.rtd",,AU$83,"."&amp;$C$82&amp;$AU$82&amp;"C"&amp;$A96))</f>
        <v>837</v>
      </c>
      <c r="AV96" s="3">
        <f>-IF(RTD("tos.rtd",,AV$83,"."&amp;$C$82&amp;$AU$82&amp;"P"&amp;$A96)="N/A",0,RTD("tos.rtd",,AV$83,"."&amp;$C$82&amp;$AU$82&amp;"P"&amp;$A96))</f>
        <v>-141</v>
      </c>
      <c r="AW96" s="54">
        <f>IF(RTD("tos.rtd",,AW$83,"."&amp;$D$82&amp;$AW$82&amp;"C"&amp;$A96)="N/A",0,RTD("tos.rtd",,AW$83,"."&amp;$D$82&amp;$AW$82&amp;"C"&amp;$A96))</f>
        <v>741</v>
      </c>
      <c r="AX96" s="3">
        <f>-IF(RTD("tos.rtd",,AX$83,"."&amp;$D$82&amp;$AW$82&amp;"P"&amp;$A96)="N/A",0,RTD("tos.rtd",,AX$83,"."&amp;$D$82&amp;$AW$82&amp;"P"&amp;$A96))</f>
        <v>-293</v>
      </c>
      <c r="AY96" s="79">
        <f t="shared" si="492"/>
        <v>1144</v>
      </c>
      <c r="AZ96" s="8">
        <f t="shared" si="455"/>
        <v>5910</v>
      </c>
      <c r="BA96" s="54">
        <f>IF(RTD("tos.rtd",,BA$83,"."&amp;$B$82&amp;$AS$82&amp;"C"&amp;$A96)="N/A",0,RTD("tos.rtd",,BA$83,"."&amp;$B$82&amp;$AS$82&amp;"C"&amp;$A96))</f>
        <v>0</v>
      </c>
      <c r="BB96" s="3">
        <f>-IF(RTD("tos.rtd",,BB$83,"."&amp;$B$82&amp;$AS$82&amp;"P"&amp;$A96)="N/A",0,RTD("tos.rtd",,BB$83,"."&amp;$B$82&amp;$AS$82&amp;"P"&amp;$A96))</f>
        <v>0</v>
      </c>
      <c r="BC96" s="54">
        <f>IF(RTD("tos.rtd",,BC$83,"."&amp;$C$82&amp;$AU$82&amp;"C"&amp;$A96)="N/A",0,RTD("tos.rtd",,BC$83,"."&amp;$C$82&amp;$AU$82&amp;"C"&amp;$A96))</f>
        <v>207</v>
      </c>
      <c r="BD96" s="3">
        <f>-IF(RTD("tos.rtd",,BD$83,"."&amp;$C$82&amp;$AU$82&amp;"P"&amp;$A96)="N/A",0,RTD("tos.rtd",,BD$83,"."&amp;$C$82&amp;$AU$82&amp;"P"&amp;$A96))</f>
        <v>-9</v>
      </c>
      <c r="BE96" s="54">
        <f>IF(RTD("tos.rtd",,BE$83,"."&amp;$D$82&amp;$AW$82&amp;"C"&amp;$A96)="N/A",0,RTD("tos.rtd",,BE$83,"."&amp;$D$82&amp;$AW$82&amp;"C"&amp;$A96))</f>
        <v>20</v>
      </c>
      <c r="BF96" s="3">
        <f>-IF(RTD("tos.rtd",,BF$83,"."&amp;$D$82&amp;$AW$82&amp;"P"&amp;$A96)="N/A",0,RTD("tos.rtd",,BF$83,"."&amp;$D$82&amp;$AW$82&amp;"P"&amp;$A96))</f>
        <v>-6</v>
      </c>
      <c r="BG96" s="3">
        <f ca="1">+Hoja2!Y97</f>
        <v>295</v>
      </c>
      <c r="BH96" s="55">
        <f t="shared" ca="1" si="493"/>
        <v>507</v>
      </c>
      <c r="BI96" s="32" t="str">
        <f t="shared" ca="1" si="513"/>
        <v/>
      </c>
      <c r="BJ96" s="3">
        <f ca="1">IF($BP$1=1,DX96,IF(RTD("tos.rtd",,BJ$83,"."&amp;$B$82&amp;$AS$82&amp;"C"&amp;$A96)="N/A",0,RTD("tos.rtd",,BJ$83,"."&amp;$B$82&amp;$AS$82&amp;"C"&amp;$A96)))</f>
        <v>2.0777750511321335E-5</v>
      </c>
      <c r="BK96" s="3">
        <f ca="1">IF($BP$1=1,DY96,-IF(RTD("tos.rtd",,BK$83,"."&amp;$B$82&amp;$AS$82&amp;"P"&amp;$A96)="N/A",0,RTD("tos.rtd",,BK$83,"."&amp;$B$82&amp;$AS$82&amp;"P"&amp;$A96)))</f>
        <v>-2.0777750511321335E-5</v>
      </c>
      <c r="BL96" s="3">
        <f ca="1">IF($BP$1=1,DZ96,IF(RTD("tos.rtd",,BL$83,"."&amp;$C$82&amp;$AU$82&amp;"C"&amp;$A96)="N/A",0,RTD("tos.rtd",,BL$83,"."&amp;$C$82&amp;$AU$82&amp;"C"&amp;$A96)))</f>
        <v>2.9036224937995327E-3</v>
      </c>
      <c r="BM96" s="3">
        <f ca="1">IF($BP$1=1,EA96,-IF(RTD("tos.rtd",,BM$83,"."&amp;$C$82&amp;$AU$82&amp;"P"&amp;$A96)="N/A",0,RTD("tos.rtd",,BM$83,"."&amp;$C$82&amp;$AU$82&amp;"P"&amp;$A96)))</f>
        <v>-2.8251606695223674E-3</v>
      </c>
      <c r="BN96" s="3">
        <f ca="1">IF($BP$1=1,EB96,IF(RTD("tos.rtd",,BN$83,"."&amp;$D$82&amp;$AW$82&amp;"C"&amp;$A96)="N/A",0,RTD("tos.rtd",,BN$83,"."&amp;$D$82&amp;$AW$82&amp;"C"&amp;$A96)))</f>
        <v>3.2179165985123403E-3</v>
      </c>
      <c r="BO96" s="3">
        <f ca="1">IF($BP$1=1,EC96,-IF(RTD("tos.rtd",,BO$83,"."&amp;$D$82&amp;$AW$82&amp;"P"&amp;$A96)="N/A",0,RTD("tos.rtd",,BO$83,"."&amp;$D$82&amp;$AW$82&amp;"P"&amp;$A96)))</f>
        <v>-3.1007862309969693E-3</v>
      </c>
      <c r="BQ96" s="3">
        <f t="shared" ca="1" si="456"/>
        <v>0</v>
      </c>
      <c r="BR96" s="3" t="str">
        <f t="shared" ca="1" si="494"/>
        <v/>
      </c>
      <c r="BS96" s="3">
        <f t="shared" ca="1" si="457"/>
        <v>523680.32142563153</v>
      </c>
      <c r="BT96" s="3" t="str">
        <f t="shared" ca="1" si="494"/>
        <v/>
      </c>
      <c r="BU96" s="3">
        <f t="shared" ca="1" si="458"/>
        <v>380378.80554827658</v>
      </c>
      <c r="BV96" s="3" t="str">
        <f t="shared" ca="1" si="494"/>
        <v>Cruce +</v>
      </c>
      <c r="BX96" s="3">
        <f t="shared" ca="1" si="459"/>
        <v>0</v>
      </c>
      <c r="BY96" s="3" t="str">
        <f t="shared" ca="1" si="510"/>
        <v/>
      </c>
      <c r="BZ96" s="3">
        <f t="shared" ca="1" si="460"/>
        <v>148348.90291872903</v>
      </c>
      <c r="CA96" s="3" t="str">
        <f t="shared" ca="1" si="510"/>
        <v/>
      </c>
      <c r="CB96" s="3">
        <f t="shared" ca="1" si="461"/>
        <v>11791.560954569617</v>
      </c>
      <c r="CC96" s="3" t="str">
        <f t="shared" ca="1" si="510"/>
        <v/>
      </c>
      <c r="CD96" s="3">
        <f>IF(RTD("tos.rtd",,CD$83,"."&amp;$B$82&amp;$AS$82&amp;"C"&amp;$A96)="N/A",0,RTD("tos.rtd",,CD$83,"."&amp;$B$82&amp;$AS$82&amp;"C"&amp;$A96))</f>
        <v>0</v>
      </c>
      <c r="CE96" s="3">
        <f>-IF(RTD("tos.rtd",,CE$83,"."&amp;$B$82&amp;$AS$82&amp;"P"&amp;$A96)="N/A",0,RTD("tos.rtd",,CE$83,"."&amp;$B$82&amp;$AS$82&amp;"P"&amp;$A96))</f>
        <v>0</v>
      </c>
      <c r="CF96" s="3">
        <f>IF(RTD("tos.rtd",,CF$83,"."&amp;$C$82&amp;$AU$82&amp;"C"&amp;$A96)="N/A",0,RTD("tos.rtd",,CF$83,"."&amp;$C$82&amp;$AU$82&amp;"C"&amp;$A96))</f>
        <v>0.26</v>
      </c>
      <c r="CG96" s="3">
        <f>-IF(RTD("tos.rtd",,CG$83,"."&amp;$C$82&amp;$AU$82&amp;"P"&amp;$A96)="N/A",0,RTD("tos.rtd",,CG$83,"."&amp;$C$82&amp;$AU$82&amp;"P"&amp;$A96))</f>
        <v>0.73</v>
      </c>
      <c r="CH96" s="3">
        <f>IF(RTD("tos.rtd",,CH$83,"."&amp;$D$82&amp;$AW$82&amp;"C"&amp;$A96)="N/A",0,RTD("tos.rtd",,CH$83,"."&amp;$D$82&amp;$AW$82&amp;"C"&amp;$A96))</f>
        <v>0.45</v>
      </c>
      <c r="CI96" s="3">
        <f>-IF(RTD("tos.rtd",,CI$83,"."&amp;$D$82&amp;$AW$82&amp;"P"&amp;$A96)="N/A",0,RTD("tos.rtd",,CI$83,"."&amp;$D$82&amp;$AW$82&amp;"P"&amp;$A96))</f>
        <v>0.54</v>
      </c>
      <c r="CK96" s="3">
        <f t="shared" si="514"/>
        <v>0</v>
      </c>
      <c r="CL96" s="3"/>
      <c r="CM96" s="3">
        <f t="shared" si="515"/>
        <v>11469</v>
      </c>
      <c r="CN96" s="3"/>
      <c r="CO96" s="3">
        <f t="shared" si="516"/>
        <v>17523</v>
      </c>
      <c r="CP96" s="3">
        <f t="shared" si="462"/>
        <v>28992</v>
      </c>
      <c r="CQ96" s="3">
        <f t="shared" si="463"/>
        <v>0</v>
      </c>
      <c r="CR96" s="3"/>
      <c r="CS96" s="3">
        <f t="shared" si="464"/>
        <v>198</v>
      </c>
      <c r="CT96" s="3"/>
      <c r="CU96" s="3">
        <f t="shared" si="465"/>
        <v>14</v>
      </c>
      <c r="CV96" s="3"/>
      <c r="CW96" s="3">
        <f t="shared" ca="1" si="498"/>
        <v>904059.12697390816</v>
      </c>
      <c r="CY96" s="3">
        <f t="shared" ca="1" si="467"/>
        <v>160140.46387329864</v>
      </c>
      <c r="CZ96" s="70" t="str">
        <f t="shared" ca="1" si="511"/>
        <v/>
      </c>
      <c r="DA96" s="3">
        <f>IF(RTD("tos.rtd",,DA$83,"."&amp;$B$82&amp;$AS$82&amp;"C"&amp;$A96)="N/A",0,RTD("tos.rtd",,DA$83,"."&amp;$B$82&amp;$AS$82&amp;"C"&amp;$A96))</f>
        <v>0</v>
      </c>
      <c r="DB96" s="3">
        <f>IF(RTD("tos.rtd",,DB$83,"."&amp;$B$82&amp;$AS$82&amp;"P"&amp;$A96)="N/A",0,RTD("tos.rtd",,DB$83,"."&amp;$B$82&amp;$AS$82&amp;"P"&amp;$A96))</f>
        <v>0</v>
      </c>
      <c r="DC96" s="3">
        <f>IF(RTD("tos.rtd",,DC$83,"."&amp;$B$82&amp;$AS$82&amp;"C"&amp;$A96)="N/A",0,RTD("tos.rtd",,DC$83,"."&amp;$B$82&amp;$AS$82&amp;"C"&amp;$A96))</f>
        <v>0</v>
      </c>
      <c r="DD96" s="3">
        <f>IF(RTD("tos.rtd",,DD$83,"."&amp;$B$82&amp;$AS$82&amp;"P"&amp;$A96)="N/A",0,RTD("tos.rtd",,DD$83,"."&amp;$B$82&amp;$AS$82&amp;"P"&amp;$A96))</f>
        <v>0</v>
      </c>
      <c r="DE96" s="3">
        <f>IF(RTD("tos.rtd",,DE$83,"."&amp;$B$82&amp;$AS$82&amp;"C"&amp;$A96)="N/A",0,RTD("tos.rtd",,DE$83,"."&amp;$B$82&amp;$AS$82&amp;"C"&amp;$A96))</f>
        <v>0</v>
      </c>
      <c r="DF96" s="3">
        <f>IF(RTD("tos.rtd",,DF$83,"."&amp;$B$82&amp;$AS$82&amp;"P"&amp;$A96)="N/A",0,RTD("tos.rtd",,DF$83,"."&amp;$B$82&amp;$AS$82&amp;"P"&amp;$A96))</f>
        <v>0</v>
      </c>
      <c r="DG96" s="86">
        <f t="shared" si="499"/>
        <v>68.25</v>
      </c>
      <c r="DH96" s="3" t="e">
        <f t="shared" si="468"/>
        <v>#DIV/0!</v>
      </c>
      <c r="DI96" s="3" t="e">
        <f t="shared" si="469"/>
        <v>#DIV/0!</v>
      </c>
      <c r="DJ96" s="3">
        <f t="shared" si="470"/>
        <v>0</v>
      </c>
      <c r="DK96" s="3">
        <f t="shared" si="471"/>
        <v>0</v>
      </c>
      <c r="DL96" s="3" t="e">
        <f t="shared" si="472"/>
        <v>#DIV/0!</v>
      </c>
      <c r="DM96" s="3">
        <f t="shared" si="473"/>
        <v>0</v>
      </c>
      <c r="DN96" s="64" t="str">
        <f t="shared" si="474"/>
        <v>UNKNOWN</v>
      </c>
      <c r="DO96" s="64" t="str">
        <f t="shared" si="475"/>
        <v>UNKNOWN</v>
      </c>
      <c r="DP96" s="3" t="e">
        <f t="shared" si="476"/>
        <v>#DIV/0!</v>
      </c>
      <c r="DQ96" s="3">
        <f t="shared" si="477"/>
        <v>0</v>
      </c>
      <c r="DR96" s="3">
        <f t="shared" ca="1" si="478"/>
        <v>0</v>
      </c>
      <c r="DS96" s="3">
        <f t="shared" si="479"/>
        <v>0</v>
      </c>
      <c r="DT96" s="3">
        <f t="shared" si="500"/>
        <v>0</v>
      </c>
      <c r="DU96" s="3">
        <f t="shared" si="501"/>
        <v>0</v>
      </c>
      <c r="DV96" s="3">
        <f t="shared" si="502"/>
        <v>-1306</v>
      </c>
      <c r="DW96" s="3">
        <f t="shared" si="503"/>
        <v>-66</v>
      </c>
      <c r="DX96" s="3">
        <f t="shared" ca="1" si="512"/>
        <v>2.0777750511321335E-5</v>
      </c>
      <c r="DY96" s="3">
        <f t="shared" ca="1" si="480"/>
        <v>-2.0777750511321335E-5</v>
      </c>
      <c r="DZ96" s="3">
        <f t="shared" ca="1" si="504"/>
        <v>2.9036224937995327E-3</v>
      </c>
      <c r="EA96" s="3">
        <f t="shared" ca="1" si="505"/>
        <v>-2.8251606695223674E-3</v>
      </c>
      <c r="EB96" s="3">
        <f t="shared" ca="1" si="481"/>
        <v>3.2179165985123403E-3</v>
      </c>
      <c r="EC96" s="3">
        <f t="shared" ca="1" si="482"/>
        <v>-3.1007862309969693E-3</v>
      </c>
      <c r="ED96" s="63">
        <f t="shared" si="506"/>
        <v>-1372</v>
      </c>
      <c r="EE96" s="59">
        <f t="shared" si="483"/>
        <v>0.25</v>
      </c>
      <c r="EF96" s="59">
        <f t="shared" si="484"/>
        <v>0.25</v>
      </c>
      <c r="EG96" s="59">
        <f t="shared" si="485"/>
        <v>0.16589999999999999</v>
      </c>
      <c r="EH96" s="59">
        <f t="shared" si="486"/>
        <v>0.17230000000000001</v>
      </c>
      <c r="EI96" s="59">
        <f t="shared" si="487"/>
        <v>0.1421</v>
      </c>
      <c r="EJ96" s="59">
        <f t="shared" si="488"/>
        <v>0.1507</v>
      </c>
      <c r="EK96" s="63">
        <f t="shared" ca="1" si="507"/>
        <v>-879237.38677712937</v>
      </c>
      <c r="EL96" s="3" t="str">
        <f>RTD("tos.rtd",,EL$83,"."&amp;$B$82&amp;$AS$82&amp;"C"&amp;$A96)</f>
        <v>N/A</v>
      </c>
      <c r="EM96" s="3" t="str">
        <f>RTD("tos.rtd",,EM$83,"."&amp;$B$82&amp;$AS$82&amp;"P"&amp;$A96)</f>
        <v>N/A</v>
      </c>
      <c r="EN96" s="3" t="str">
        <f>RTD("tos.rtd",,EN$83,"."&amp;$C$82&amp;$AU$82&amp;"C"&amp;$A96)</f>
        <v>16.59%</v>
      </c>
      <c r="EO96" s="3" t="str">
        <f>RTD("tos.rtd",,EO$83,"."&amp;$C$82&amp;$AU$82&amp;"P"&amp;$A96)</f>
        <v>17.23%</v>
      </c>
      <c r="EP96" s="3" t="str">
        <f>RTD("tos.rtd",,EP$83,"."&amp;$D$82&amp;$AW$82&amp;"C"&amp;$A96)</f>
        <v>14.21%</v>
      </c>
      <c r="EQ96" s="3" t="str">
        <f>RTD("tos.rtd",,EQ$83,"."&amp;$D$82&amp;$AW$82&amp;"P"&amp;$A96)</f>
        <v>15.07%</v>
      </c>
      <c r="ES96" s="63" t="str">
        <f t="shared" si="489"/>
        <v>5910,-1372.00</v>
      </c>
      <c r="ET96" s="63" t="str">
        <f t="shared" ca="1" si="490"/>
        <v>5910,160.14</v>
      </c>
      <c r="EU96" s="67">
        <v>571.89</v>
      </c>
      <c r="EV96" s="67" t="s">
        <v>787</v>
      </c>
      <c r="EW96" s="67">
        <v>496.69</v>
      </c>
      <c r="EX96" s="67" t="s">
        <v>788</v>
      </c>
      <c r="EY96" s="67">
        <v>5659.91</v>
      </c>
      <c r="EZ96" s="67" t="s">
        <v>789</v>
      </c>
      <c r="FA96" s="67">
        <v>20061.449000000001</v>
      </c>
      <c r="FB96" s="67" t="s">
        <v>790</v>
      </c>
      <c r="FC96" s="67" t="s">
        <v>791</v>
      </c>
      <c r="FD96" s="67" t="s">
        <v>792</v>
      </c>
      <c r="FE96" s="68" t="s">
        <v>793</v>
      </c>
      <c r="FF96" s="68" t="s">
        <v>794</v>
      </c>
    </row>
    <row r="97" spans="1:162" s="63" customFormat="1" ht="12" customHeight="1" thickBot="1" x14ac:dyDescent="0.25">
      <c r="A97" s="2">
        <f t="shared" si="508"/>
        <v>5900</v>
      </c>
      <c r="B97" s="3">
        <f t="shared" si="451"/>
        <v>2639</v>
      </c>
      <c r="C97" s="3">
        <f t="shared" si="452"/>
        <v>25330</v>
      </c>
      <c r="D97" s="3">
        <f t="shared" si="453"/>
        <v>45927</v>
      </c>
      <c r="E97" s="3">
        <f>SUM(B97:D97)</f>
        <v>73896</v>
      </c>
      <c r="F97" s="4">
        <f t="shared" si="517"/>
        <v>5924.2393118500449</v>
      </c>
      <c r="G97" s="4">
        <f t="shared" si="491"/>
        <v>588.76278512432066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>
        <v>-8510</v>
      </c>
      <c r="AN97" s="20">
        <v>-338</v>
      </c>
      <c r="AO97" s="20">
        <v>5900</v>
      </c>
      <c r="AP97" s="20">
        <v>36738</v>
      </c>
      <c r="AQ97" s="20">
        <v>-1125</v>
      </c>
      <c r="AR97" s="20"/>
      <c r="AS97" s="54">
        <f>IF(RTD("tos.rtd",,AS$83,"."&amp;$B$82&amp;$AS$82&amp;"C"&amp;$A97)="N/A",0,RTD("tos.rtd",,AS$83,"."&amp;$B$82&amp;$AS$82&amp;"C"&amp;$A97))</f>
        <v>2608</v>
      </c>
      <c r="AT97" s="3">
        <f>-IF(RTD("tos.rtd",,AT$83,"."&amp;$B$82&amp;$AS$82&amp;"P"&amp;$A97)="N/A",0,RTD("tos.rtd",,AT$83,"."&amp;$B$82&amp;$AS$82&amp;"P"&amp;$A97))</f>
        <v>-31</v>
      </c>
      <c r="AU97" s="54">
        <f>IF(RTD("tos.rtd",,AU$83,"."&amp;$C$82&amp;$AU$82&amp;"C"&amp;$A97)="N/A",0,RTD("tos.rtd",,AU$83,"."&amp;$C$82&amp;$AU$82&amp;"C"&amp;$A97))</f>
        <v>19869</v>
      </c>
      <c r="AV97" s="3">
        <f>-IF(RTD("tos.rtd",,AV$83,"."&amp;$C$82&amp;$AU$82&amp;"P"&amp;$A97)="N/A",0,RTD("tos.rtd",,AV$83,"."&amp;$C$82&amp;$AU$82&amp;"P"&amp;$A97))</f>
        <v>-5461</v>
      </c>
      <c r="AW97" s="54">
        <f>IF(RTD("tos.rtd",,AW$83,"."&amp;$D$82&amp;$AW$82&amp;"C"&amp;$A97)="N/A",0,RTD("tos.rtd",,AW$83,"."&amp;$D$82&amp;$AW$82&amp;"C"&amp;$A97))</f>
        <v>28923</v>
      </c>
      <c r="AX97" s="3">
        <f>-IF(RTD("tos.rtd",,AX$83,"."&amp;$D$82&amp;$AW$82&amp;"P"&amp;$A97)="N/A",0,RTD("tos.rtd",,AX$83,"."&amp;$D$82&amp;$AW$82&amp;"P"&amp;$A97))</f>
        <v>-17004</v>
      </c>
      <c r="AY97" s="79">
        <f t="shared" si="492"/>
        <v>28904</v>
      </c>
      <c r="AZ97" s="8">
        <f t="shared" si="455"/>
        <v>5900</v>
      </c>
      <c r="BA97" s="54">
        <f>IF(RTD("tos.rtd",,BA$83,"."&amp;$B$82&amp;$AS$82&amp;"C"&amp;$A97)="N/A",0,RTD("tos.rtd",,BA$83,"."&amp;$B$82&amp;$AS$82&amp;"C"&amp;$A97))</f>
        <v>36738</v>
      </c>
      <c r="BB97" s="3">
        <f>-IF(RTD("tos.rtd",,BB$83,"."&amp;$B$82&amp;$AS$82&amp;"P"&amp;$A97)="N/A",0,RTD("tos.rtd",,BB$83,"."&amp;$B$82&amp;$AS$82&amp;"P"&amp;$A97))</f>
        <v>-1125</v>
      </c>
      <c r="BC97" s="54">
        <f>IF(RTD("tos.rtd",,BC$83,"."&amp;$C$82&amp;$AU$82&amp;"C"&amp;$A97)="N/A",0,RTD("tos.rtd",,BC$83,"."&amp;$C$82&amp;$AU$82&amp;"C"&amp;$A97))</f>
        <v>7198</v>
      </c>
      <c r="BD97" s="3">
        <f>-IF(RTD("tos.rtd",,BD$83,"."&amp;$C$82&amp;$AU$82&amp;"P"&amp;$A97)="N/A",0,RTD("tos.rtd",,BD$83,"."&amp;$C$82&amp;$AU$82&amp;"P"&amp;$A97))</f>
        <v>-703</v>
      </c>
      <c r="BE97" s="54">
        <f>IF(RTD("tos.rtd",,BE$83,"."&amp;$D$82&amp;$AW$82&amp;"C"&amp;$A97)="N/A",0,RTD("tos.rtd",,BE$83,"."&amp;$D$82&amp;$AW$82&amp;"C"&amp;$A97))</f>
        <v>4576</v>
      </c>
      <c r="BF97" s="3">
        <f>-IF(RTD("tos.rtd",,BF$83,"."&amp;$D$82&amp;$AW$82&amp;"P"&amp;$A97)="N/A",0,RTD("tos.rtd",,BF$83,"."&amp;$D$82&amp;$AW$82&amp;"P"&amp;$A97))</f>
        <v>-940</v>
      </c>
      <c r="BG97" s="3">
        <f ca="1">+Hoja2!Y98</f>
        <v>-20123</v>
      </c>
      <c r="BH97" s="55">
        <f t="shared" ca="1" si="493"/>
        <v>25621</v>
      </c>
      <c r="BI97" s="32" t="str">
        <f t="shared" ca="1" si="513"/>
        <v/>
      </c>
      <c r="BJ97" s="3">
        <f ca="1">IF($BP$1=1,DX97,IF(RTD("tos.rtd",,BJ$83,"."&amp;$B$82&amp;$AS$82&amp;"C"&amp;$A97)="N/A",0,RTD("tos.rtd",,BJ$83,"."&amp;$B$82&amp;$AS$82&amp;"C"&amp;$A97)))</f>
        <v>2.8123991178007632E-3</v>
      </c>
      <c r="BK97" s="3">
        <f ca="1">IF($BP$1=1,DY97,-IF(RTD("tos.rtd",,BK$83,"."&amp;$B$82&amp;$AS$82&amp;"P"&amp;$A97)="N/A",0,RTD("tos.rtd",,BK$83,"."&amp;$B$82&amp;$AS$82&amp;"P"&amp;$A97)))</f>
        <v>-1.3672525208587309E-4</v>
      </c>
      <c r="BL97" s="3">
        <f ca="1">IF($BP$1=1,DZ97,IF(RTD("tos.rtd",,BL$83,"."&amp;$C$82&amp;$AU$82&amp;"C"&amp;$A97)="N/A",0,RTD("tos.rtd",,BL$83,"."&amp;$C$82&amp;$AU$82&amp;"C"&amp;$A97)))</f>
        <v>3.0077603091171116E-3</v>
      </c>
      <c r="BM97" s="3">
        <f ca="1">IF($BP$1=1,EA97,-IF(RTD("tos.rtd",,BM$83,"."&amp;$C$82&amp;$AU$82&amp;"P"&amp;$A97)="N/A",0,RTD("tos.rtd",,BM$83,"."&amp;$C$82&amp;$AU$82&amp;"P"&amp;$A97)))</f>
        <v>-2.983493711928244E-3</v>
      </c>
      <c r="BN97" s="3">
        <f ca="1">IF($BP$1=1,EB97,IF(RTD("tos.rtd",,BN$83,"."&amp;$D$82&amp;$AW$82&amp;"C"&amp;$A97)="N/A",0,RTD("tos.rtd",,BN$83,"."&amp;$D$82&amp;$AW$82&amp;"C"&amp;$A97)))</f>
        <v>3.3821985638922748E-3</v>
      </c>
      <c r="BO97" s="3">
        <f ca="1">IF($BP$1=1,EC97,-IF(RTD("tos.rtd",,BO$83,"."&amp;$D$82&amp;$AW$82&amp;"P"&amp;$A97)="N/A",0,RTD("tos.rtd",,BO$83,"."&amp;$D$82&amp;$AW$82&amp;"P"&amp;$A97)))</f>
        <v>-3.2376858807086225E-3</v>
      </c>
      <c r="BQ97" s="3">
        <f t="shared" ca="1" si="456"/>
        <v>1889206.3433650124</v>
      </c>
      <c r="BR97" s="3" t="str">
        <f t="shared" ca="1" si="494"/>
        <v/>
      </c>
      <c r="BS97" s="3">
        <f t="shared" ca="1" si="457"/>
        <v>11202600.546645306</v>
      </c>
      <c r="BT97" s="3" t="str">
        <f t="shared" ca="1" si="494"/>
        <v/>
      </c>
      <c r="BU97" s="3">
        <f t="shared" ca="1" si="458"/>
        <v>11022555.16840242</v>
      </c>
      <c r="BV97" s="3" t="str">
        <f t="shared" ca="1" si="494"/>
        <v/>
      </c>
      <c r="BX97" s="3">
        <f t="shared" ca="1" si="459"/>
        <v>26588346.838699117</v>
      </c>
      <c r="BY97" s="3" t="str">
        <f t="shared" ca="1" si="510"/>
        <v/>
      </c>
      <c r="BZ97" s="3">
        <f t="shared" ca="1" si="460"/>
        <v>5039034.7725725174</v>
      </c>
      <c r="CA97" s="3" t="str">
        <f t="shared" ca="1" si="510"/>
        <v/>
      </c>
      <c r="CB97" s="3">
        <f t="shared" ca="1" si="461"/>
        <v>3204349.250929676</v>
      </c>
      <c r="CC97" s="3" t="str">
        <f t="shared" ca="1" si="510"/>
        <v/>
      </c>
      <c r="CD97" s="3">
        <f>IF(RTD("tos.rtd",,CD$83,"."&amp;$B$82&amp;$AS$82&amp;"C"&amp;$A97)="N/A",0,RTD("tos.rtd",,CD$83,"."&amp;$B$82&amp;$AS$82&amp;"C"&amp;$A97))</f>
        <v>0</v>
      </c>
      <c r="CE97" s="3">
        <f>-IF(RTD("tos.rtd",,CE$83,"."&amp;$B$82&amp;$AS$82&amp;"P"&amp;$A97)="N/A",0,RTD("tos.rtd",,CE$83,"."&amp;$B$82&amp;$AS$82&amp;"P"&amp;$A97))</f>
        <v>1</v>
      </c>
      <c r="CF97" s="3">
        <f>IF(RTD("tos.rtd",,CF$83,"."&amp;$C$82&amp;$AU$82&amp;"C"&amp;$A97)="N/A",0,RTD("tos.rtd",,CF$83,"."&amp;$C$82&amp;$AU$82&amp;"C"&amp;$A97))</f>
        <v>0.3</v>
      </c>
      <c r="CG97" s="3">
        <f>-IF(RTD("tos.rtd",,CG$83,"."&amp;$C$82&amp;$AU$82&amp;"P"&amp;$A97)="N/A",0,RTD("tos.rtd",,CG$83,"."&amp;$C$82&amp;$AU$82&amp;"P"&amp;$A97))</f>
        <v>0.7</v>
      </c>
      <c r="CH97" s="3">
        <f>IF(RTD("tos.rtd",,CH$83,"."&amp;$D$82&amp;$AW$82&amp;"C"&amp;$A97)="N/A",0,RTD("tos.rtd",,CH$83,"."&amp;$D$82&amp;$AW$82&amp;"C"&amp;$A97))</f>
        <v>0.47</v>
      </c>
      <c r="CI97" s="3">
        <f>-IF(RTD("tos.rtd",,CI$83,"."&amp;$D$82&amp;$AW$82&amp;"P"&amp;$A97)="N/A",0,RTD("tos.rtd",,CI$83,"."&amp;$D$82&amp;$AW$82&amp;"P"&amp;$A97))</f>
        <v>0.53</v>
      </c>
      <c r="CK97" s="3">
        <f t="shared" si="514"/>
        <v>-3100</v>
      </c>
      <c r="CL97" s="3"/>
      <c r="CM97" s="3">
        <f t="shared" si="515"/>
        <v>213800</v>
      </c>
      <c r="CN97" s="3"/>
      <c r="CO97" s="3">
        <f t="shared" si="516"/>
        <v>458168.99999999988</v>
      </c>
      <c r="CP97" s="3">
        <f t="shared" si="462"/>
        <v>668868.99999999988</v>
      </c>
      <c r="CQ97" s="3">
        <f t="shared" si="463"/>
        <v>35613</v>
      </c>
      <c r="CR97" s="3"/>
      <c r="CS97" s="3">
        <f t="shared" si="464"/>
        <v>6495</v>
      </c>
      <c r="CT97" s="3"/>
      <c r="CU97" s="3">
        <f t="shared" si="465"/>
        <v>3636</v>
      </c>
      <c r="CV97" s="3"/>
      <c r="CW97" s="3">
        <f t="shared" ca="1" si="498"/>
        <v>24114362.058412738</v>
      </c>
      <c r="CY97" s="3">
        <f t="shared" ca="1" si="467"/>
        <v>34831730.862201311</v>
      </c>
      <c r="CZ97" s="70" t="str">
        <f t="shared" ca="1" si="511"/>
        <v/>
      </c>
      <c r="DA97" s="3">
        <f>IF(RTD("tos.rtd",,DA$83,"."&amp;$B$82&amp;$AS$82&amp;"C"&amp;$A97)="N/A",0,RTD("tos.rtd",,DA$83,"."&amp;$B$82&amp;$AS$82&amp;"C"&amp;$A97))</f>
        <v>0.03</v>
      </c>
      <c r="DB97" s="3">
        <f>IF(RTD("tos.rtd",,DB$83,"."&amp;$B$82&amp;$AS$82&amp;"P"&amp;$A97)="N/A",0,RTD("tos.rtd",,DB$83,"."&amp;$B$82&amp;$AS$82&amp;"P"&amp;$A97))</f>
        <v>59.5</v>
      </c>
      <c r="DC97" s="3">
        <f>IF(RTD("tos.rtd",,DC$83,"."&amp;$B$82&amp;$AS$82&amp;"C"&amp;$A97)="N/A",0,RTD("tos.rtd",,DC$83,"."&amp;$B$82&amp;$AS$82&amp;"C"&amp;$A97))</f>
        <v>0.05</v>
      </c>
      <c r="DD97" s="3">
        <f>IF(RTD("tos.rtd",,DD$83,"."&amp;$B$82&amp;$AS$82&amp;"P"&amp;$A97)="N/A",0,RTD("tos.rtd",,DD$83,"."&amp;$B$82&amp;$AS$82&amp;"P"&amp;$A97))</f>
        <v>57.9</v>
      </c>
      <c r="DE97" s="3">
        <f>IF(RTD("tos.rtd",,DE$83,"."&amp;$B$82&amp;$AS$82&amp;"C"&amp;$A97)="N/A",0,RTD("tos.rtd",,DE$83,"."&amp;$B$82&amp;$AS$82&amp;"C"&amp;$A97))</f>
        <v>0</v>
      </c>
      <c r="DF97" s="3">
        <f>IF(RTD("tos.rtd",,DF$83,"."&amp;$B$82&amp;$AS$82&amp;"P"&amp;$A97)="N/A",0,RTD("tos.rtd",,DF$83,"."&amp;$B$82&amp;$AS$82&amp;"P"&amp;$A97))</f>
        <v>53.3</v>
      </c>
      <c r="DG97" s="86">
        <f t="shared" si="499"/>
        <v>58.25</v>
      </c>
      <c r="DH97" s="3">
        <f t="shared" si="468"/>
        <v>0</v>
      </c>
      <c r="DI97" s="3">
        <f t="shared" si="469"/>
        <v>0</v>
      </c>
      <c r="DJ97" s="3">
        <f t="shared" si="470"/>
        <v>0</v>
      </c>
      <c r="DK97" s="3">
        <f t="shared" si="471"/>
        <v>0</v>
      </c>
      <c r="DL97" s="3">
        <f t="shared" si="472"/>
        <v>0</v>
      </c>
      <c r="DM97" s="3">
        <f t="shared" si="473"/>
        <v>0</v>
      </c>
      <c r="DN97" s="64" t="str">
        <f t="shared" si="474"/>
        <v>UNKNOWN</v>
      </c>
      <c r="DO97" s="64" t="str">
        <f t="shared" si="475"/>
        <v>UNKNOWN</v>
      </c>
      <c r="DP97" s="3">
        <f t="shared" si="476"/>
        <v>0</v>
      </c>
      <c r="DQ97" s="3">
        <f t="shared" si="477"/>
        <v>0</v>
      </c>
      <c r="DR97" s="3">
        <f t="shared" ca="1" si="478"/>
        <v>0</v>
      </c>
      <c r="DS97" s="3">
        <f t="shared" si="479"/>
        <v>0</v>
      </c>
      <c r="DT97" s="3">
        <f t="shared" si="500"/>
        <v>0</v>
      </c>
      <c r="DU97" s="3">
        <f t="shared" si="501"/>
        <v>0</v>
      </c>
      <c r="DV97" s="3">
        <f t="shared" si="502"/>
        <v>-8510</v>
      </c>
      <c r="DW97" s="3">
        <f t="shared" si="503"/>
        <v>-338</v>
      </c>
      <c r="DX97" s="3">
        <f t="shared" ca="1" si="512"/>
        <v>2.8123991178007632E-3</v>
      </c>
      <c r="DY97" s="3">
        <f t="shared" ca="1" si="480"/>
        <v>-1.3672525208587309E-4</v>
      </c>
      <c r="DZ97" s="3">
        <f t="shared" ca="1" si="504"/>
        <v>3.0077603091171116E-3</v>
      </c>
      <c r="EA97" s="3">
        <f t="shared" ca="1" si="505"/>
        <v>-2.983493711928244E-3</v>
      </c>
      <c r="EB97" s="3">
        <f t="shared" ca="1" si="481"/>
        <v>3.3821985638922748E-3</v>
      </c>
      <c r="EC97" s="3">
        <f t="shared" ca="1" si="482"/>
        <v>-3.2376858807086225E-3</v>
      </c>
      <c r="ED97" s="63">
        <f t="shared" si="506"/>
        <v>-8848</v>
      </c>
      <c r="EE97" s="59">
        <f t="shared" si="483"/>
        <v>0.47239999999999999</v>
      </c>
      <c r="EF97" s="59">
        <f t="shared" si="484"/>
        <v>0.25</v>
      </c>
      <c r="EG97" s="59">
        <f t="shared" si="485"/>
        <v>0.16689999999999999</v>
      </c>
      <c r="EH97" s="59">
        <f t="shared" si="486"/>
        <v>0.1686</v>
      </c>
      <c r="EI97" s="59">
        <f t="shared" si="487"/>
        <v>0.1431</v>
      </c>
      <c r="EJ97" s="59">
        <f t="shared" si="488"/>
        <v>0.15179999999999999</v>
      </c>
      <c r="EK97" s="63">
        <f t="shared" ca="1" si="507"/>
        <v>-815179143.01751983</v>
      </c>
      <c r="EL97" s="3" t="str">
        <f>RTD("tos.rtd",,EL$83,"."&amp;$B$82&amp;$AS$82&amp;"C"&amp;$A97)</f>
        <v>47.24%</v>
      </c>
      <c r="EM97" s="3" t="str">
        <f>RTD("tos.rtd",,EM$83,"."&amp;$B$82&amp;$AS$82&amp;"P"&amp;$A97)</f>
        <v>--</v>
      </c>
      <c r="EN97" s="3" t="str">
        <f>RTD("tos.rtd",,EN$83,"."&amp;$C$82&amp;$AU$82&amp;"C"&amp;$A97)</f>
        <v>16.69%</v>
      </c>
      <c r="EO97" s="3" t="str">
        <f>RTD("tos.rtd",,EO$83,"."&amp;$C$82&amp;$AU$82&amp;"P"&amp;$A97)</f>
        <v>16.86%</v>
      </c>
      <c r="EP97" s="3" t="str">
        <f>RTD("tos.rtd",,EP$83,"."&amp;$D$82&amp;$AW$82&amp;"C"&amp;$A97)</f>
        <v>14.31%</v>
      </c>
      <c r="EQ97" s="3" t="str">
        <f>RTD("tos.rtd",,EQ$83,"."&amp;$D$82&amp;$AW$82&amp;"P"&amp;$A97)</f>
        <v>15.18%</v>
      </c>
      <c r="ES97" s="63" t="str">
        <f t="shared" si="489"/>
        <v>5900,-8848.00</v>
      </c>
      <c r="ET97" s="63" t="str">
        <f t="shared" ca="1" si="490"/>
        <v>5900,34831.73</v>
      </c>
      <c r="EU97" s="67">
        <v>571.94000000000005</v>
      </c>
      <c r="EV97" s="67" t="s">
        <v>795</v>
      </c>
      <c r="EW97" s="67">
        <v>496.79</v>
      </c>
      <c r="EX97" s="67" t="s">
        <v>796</v>
      </c>
      <c r="EY97" s="67">
        <v>5659.91</v>
      </c>
      <c r="EZ97" s="67" t="s">
        <v>797</v>
      </c>
      <c r="FA97" s="67">
        <v>20061.449000000001</v>
      </c>
      <c r="FB97" s="67" t="s">
        <v>798</v>
      </c>
      <c r="FC97" s="67" t="s">
        <v>799</v>
      </c>
      <c r="FD97" s="67" t="s">
        <v>800</v>
      </c>
      <c r="FE97" s="68" t="s">
        <v>801</v>
      </c>
      <c r="FF97" s="68" t="s">
        <v>802</v>
      </c>
    </row>
    <row r="98" spans="1:162" s="63" customFormat="1" ht="12" customHeight="1" thickBot="1" x14ac:dyDescent="0.25">
      <c r="A98" s="2">
        <f t="shared" si="508"/>
        <v>5890</v>
      </c>
      <c r="B98" s="3">
        <f t="shared" si="451"/>
        <v>461</v>
      </c>
      <c r="C98" s="3">
        <f t="shared" si="452"/>
        <v>557</v>
      </c>
      <c r="D98" s="3">
        <f t="shared" si="453"/>
        <v>669</v>
      </c>
      <c r="E98" s="3">
        <f t="shared" ref="E98" si="518">SUM(B98:D98)</f>
        <v>1687</v>
      </c>
      <c r="F98" s="4">
        <f t="shared" si="517"/>
        <v>5914.1982282706376</v>
      </c>
      <c r="G98" s="4">
        <f t="shared" si="491"/>
        <v>587.76488209868626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>
        <v>-5910</v>
      </c>
      <c r="AN98" s="20">
        <v>-393</v>
      </c>
      <c r="AO98" s="20">
        <v>5890</v>
      </c>
      <c r="AP98" s="20">
        <v>21882</v>
      </c>
      <c r="AQ98" s="20">
        <v>-244</v>
      </c>
      <c r="AR98" s="20"/>
      <c r="AS98" s="54">
        <f>IF(RTD("tos.rtd",,AS$83,"."&amp;$B$82&amp;$AS$82&amp;"C"&amp;$A98)="N/A",0,RTD("tos.rtd",,AS$83,"."&amp;$B$82&amp;$AS$82&amp;"C"&amp;$A98))</f>
        <v>453</v>
      </c>
      <c r="AT98" s="3">
        <f>-IF(RTD("tos.rtd",,AT$83,"."&amp;$B$82&amp;$AS$82&amp;"P"&amp;$A98)="N/A",0,RTD("tos.rtd",,AT$83,"."&amp;$B$82&amp;$AS$82&amp;"P"&amp;$A98))</f>
        <v>-8</v>
      </c>
      <c r="AU98" s="54">
        <f>IF(RTD("tos.rtd",,AU$83,"."&amp;$C$82&amp;$AU$82&amp;"C"&amp;$A98)="N/A",0,RTD("tos.rtd",,AU$83,"."&amp;$C$82&amp;$AU$82&amp;"C"&amp;$A98))</f>
        <v>337</v>
      </c>
      <c r="AV98" s="3">
        <f>-IF(RTD("tos.rtd",,AV$83,"."&amp;$C$82&amp;$AU$82&amp;"P"&amp;$A98)="N/A",0,RTD("tos.rtd",,AV$83,"."&amp;$C$82&amp;$AU$82&amp;"P"&amp;$A98))</f>
        <v>-220</v>
      </c>
      <c r="AW98" s="54">
        <f>IF(RTD("tos.rtd",,AW$83,"."&amp;$D$82&amp;$AW$82&amp;"C"&amp;$A98)="N/A",0,RTD("tos.rtd",,AW$83,"."&amp;$D$82&amp;$AW$82&amp;"C"&amp;$A98))</f>
        <v>294</v>
      </c>
      <c r="AX98" s="3">
        <f>-IF(RTD("tos.rtd",,AX$83,"."&amp;$D$82&amp;$AW$82&amp;"P"&amp;$A98)="N/A",0,RTD("tos.rtd",,AX$83,"."&amp;$D$82&amp;$AW$82&amp;"P"&amp;$A98))</f>
        <v>-375</v>
      </c>
      <c r="AY98" s="79">
        <f t="shared" si="492"/>
        <v>481</v>
      </c>
      <c r="AZ98" s="8">
        <f t="shared" si="455"/>
        <v>5890</v>
      </c>
      <c r="BA98" s="54">
        <f>IF(RTD("tos.rtd",,BA$83,"."&amp;$B$82&amp;$AS$82&amp;"C"&amp;$A98)="N/A",0,RTD("tos.rtd",,BA$83,"."&amp;$B$82&amp;$AS$82&amp;"C"&amp;$A98))</f>
        <v>21882</v>
      </c>
      <c r="BB98" s="3">
        <f>-IF(RTD("tos.rtd",,BB$83,"."&amp;$B$82&amp;$AS$82&amp;"P"&amp;$A98)="N/A",0,RTD("tos.rtd",,BB$83,"."&amp;$B$82&amp;$AS$82&amp;"P"&amp;$A98))</f>
        <v>-244</v>
      </c>
      <c r="BC98" s="54">
        <f>IF(RTD("tos.rtd",,BC$83,"."&amp;$C$82&amp;$AU$82&amp;"C"&amp;$A98)="N/A",0,RTD("tos.rtd",,BC$83,"."&amp;$C$82&amp;$AU$82&amp;"C"&amp;$A98))</f>
        <v>213</v>
      </c>
      <c r="BD98" s="3">
        <f>-IF(RTD("tos.rtd",,BD$83,"."&amp;$C$82&amp;$AU$82&amp;"P"&amp;$A98)="N/A",0,RTD("tos.rtd",,BD$83,"."&amp;$C$82&amp;$AU$82&amp;"P"&amp;$A98))</f>
        <v>-9</v>
      </c>
      <c r="BE98" s="54">
        <f>IF(RTD("tos.rtd",,BE$83,"."&amp;$D$82&amp;$AW$82&amp;"C"&amp;$A98)="N/A",0,RTD("tos.rtd",,BE$83,"."&amp;$D$82&amp;$AW$82&amp;"C"&amp;$A98))</f>
        <v>5</v>
      </c>
      <c r="BF98" s="3">
        <f>-IF(RTD("tos.rtd",,BF$83,"."&amp;$D$82&amp;$AW$82&amp;"P"&amp;$A98)="N/A",0,RTD("tos.rtd",,BF$83,"."&amp;$D$82&amp;$AW$82&amp;"P"&amp;$A98))</f>
        <v>0</v>
      </c>
      <c r="BG98" s="3">
        <f ca="1">+Hoja2!Y99</f>
        <v>-129</v>
      </c>
      <c r="BH98" s="55">
        <f t="shared" ca="1" si="493"/>
        <v>21718</v>
      </c>
      <c r="BI98" s="32" t="str">
        <f t="shared" ca="1" si="513"/>
        <v/>
      </c>
      <c r="BJ98" s="3">
        <f ca="1">IF($BP$1=1,DX98,IF(RTD("tos.rtd",,BJ$83,"."&amp;$B$82&amp;$AS$82&amp;"C"&amp;$A98)="N/A",0,RTD("tos.rtd",,BJ$83,"."&amp;$B$82&amp;$AS$82&amp;"C"&amp;$A98)))</f>
        <v>3.4628947524300287E-3</v>
      </c>
      <c r="BK98" s="3">
        <f ca="1">IF($BP$1=1,DY98,-IF(RTD("tos.rtd",,BK$83,"."&amp;$B$82&amp;$AS$82&amp;"P"&amp;$A98)="N/A",0,RTD("tos.rtd",,BK$83,"."&amp;$B$82&amp;$AS$82&amp;"P"&amp;$A98)))</f>
        <v>-6.7041793656320424E-4</v>
      </c>
      <c r="BL98" s="3">
        <f ca="1">IF($BP$1=1,DZ98,IF(RTD("tos.rtd",,BL$83,"."&amp;$C$82&amp;$AU$82&amp;"C"&amp;$A98)="N/A",0,RTD("tos.rtd",,BL$83,"."&amp;$C$82&amp;$AU$82&amp;"C"&amp;$A98)))</f>
        <v>3.0921184918983216E-3</v>
      </c>
      <c r="BM98" s="3">
        <f ca="1">IF($BP$1=1,EA98,-IF(RTD("tos.rtd",,BM$83,"."&amp;$C$82&amp;$AU$82&amp;"P"&amp;$A98)="N/A",0,RTD("tos.rtd",,BM$83,"."&amp;$C$82&amp;$AU$82&amp;"P"&amp;$A98)))</f>
        <v>-3.0573756516340902E-3</v>
      </c>
      <c r="BN98" s="3">
        <f ca="1">IF($BP$1=1,EB98,IF(RTD("tos.rtd",,BN$83,"."&amp;$D$82&amp;$AW$82&amp;"C"&amp;$A98)="N/A",0,RTD("tos.rtd",,BN$83,"."&amp;$D$82&amp;$AW$82&amp;"C"&amp;$A98)))</f>
        <v>3.5136857396455196E-3</v>
      </c>
      <c r="BO98" s="3">
        <f ca="1">IF($BP$1=1,EC98,-IF(RTD("tos.rtd",,BO$83,"."&amp;$D$82&amp;$AW$82&amp;"P"&amp;$A98)="N/A",0,RTD("tos.rtd",,BO$83,"."&amp;$D$82&amp;$AW$82&amp;"P"&amp;$A98)))</f>
        <v>-3.3508854994114537E-3</v>
      </c>
      <c r="BQ98" s="3">
        <f t="shared" ca="1" si="456"/>
        <v>402898.81636864453</v>
      </c>
      <c r="BR98" s="3" t="str">
        <f t="shared" ca="1" si="494"/>
        <v/>
      </c>
      <c r="BS98" s="3">
        <f t="shared" ca="1" si="457"/>
        <v>95206.765187531244</v>
      </c>
      <c r="BT98" s="3" t="str">
        <f t="shared" ca="1" si="494"/>
        <v/>
      </c>
      <c r="BU98" s="3">
        <f t="shared" ca="1" si="458"/>
        <v>-57615.188896298001</v>
      </c>
      <c r="BV98" s="3" t="str">
        <f t="shared" ca="1" si="494"/>
        <v>Cruce -</v>
      </c>
      <c r="BX98" s="3">
        <f t="shared" ca="1" si="459"/>
        <v>19486490.742482983</v>
      </c>
      <c r="BY98" s="3" t="str">
        <f t="shared" ca="1" si="510"/>
        <v/>
      </c>
      <c r="BZ98" s="3">
        <f t="shared" ca="1" si="460"/>
        <v>162647.5081451975</v>
      </c>
      <c r="CA98" s="3" t="str">
        <f t="shared" ca="1" si="510"/>
        <v/>
      </c>
      <c r="CB98" s="3">
        <f t="shared" ca="1" si="461"/>
        <v>4527.7121764802487</v>
      </c>
      <c r="CC98" s="3" t="str">
        <f t="shared" ca="1" si="510"/>
        <v/>
      </c>
      <c r="CD98" s="3">
        <f>IF(RTD("tos.rtd",,CD$83,"."&amp;$B$82&amp;$AS$82&amp;"C"&amp;$A98)="N/A",0,RTD("tos.rtd",,CD$83,"."&amp;$B$82&amp;$AS$82&amp;"C"&amp;$A98))</f>
        <v>0</v>
      </c>
      <c r="CE98" s="3">
        <f>-IF(RTD("tos.rtd",,CE$83,"."&amp;$B$82&amp;$AS$82&amp;"P"&amp;$A98)="N/A",0,RTD("tos.rtd",,CE$83,"."&amp;$B$82&amp;$AS$82&amp;"P"&amp;$A98))</f>
        <v>1</v>
      </c>
      <c r="CF98" s="3">
        <f>IF(RTD("tos.rtd",,CF$83,"."&amp;$C$82&amp;$AU$82&amp;"C"&amp;$A98)="N/A",0,RTD("tos.rtd",,CF$83,"."&amp;$C$82&amp;$AU$82&amp;"C"&amp;$A98))</f>
        <v>0.34</v>
      </c>
      <c r="CG98" s="3">
        <f>-IF(RTD("tos.rtd",,CG$83,"."&amp;$C$82&amp;$AU$82&amp;"P"&amp;$A98)="N/A",0,RTD("tos.rtd",,CG$83,"."&amp;$C$82&amp;$AU$82&amp;"P"&amp;$A98))</f>
        <v>0.66</v>
      </c>
      <c r="CH98" s="3">
        <f>IF(RTD("tos.rtd",,CH$83,"."&amp;$D$82&amp;$AW$82&amp;"C"&amp;$A98)="N/A",0,RTD("tos.rtd",,CH$83,"."&amp;$D$82&amp;$AW$82&amp;"C"&amp;$A98))</f>
        <v>0.48</v>
      </c>
      <c r="CI98" s="3">
        <f>-IF(RTD("tos.rtd",,CI$83,"."&amp;$D$82&amp;$AW$82&amp;"P"&amp;$A98)="N/A",0,RTD("tos.rtd",,CI$83,"."&amp;$D$82&amp;$AW$82&amp;"P"&amp;$A98))</f>
        <v>0.51</v>
      </c>
      <c r="CK98" s="3">
        <f t="shared" si="514"/>
        <v>-800</v>
      </c>
      <c r="CL98" s="3"/>
      <c r="CM98" s="3">
        <f t="shared" si="515"/>
        <v>-3062</v>
      </c>
      <c r="CN98" s="3"/>
      <c r="CO98" s="3">
        <f t="shared" si="516"/>
        <v>-5013</v>
      </c>
      <c r="CP98" s="3">
        <f t="shared" si="462"/>
        <v>-8875</v>
      </c>
      <c r="CQ98" s="3">
        <f t="shared" si="463"/>
        <v>21638</v>
      </c>
      <c r="CR98" s="3"/>
      <c r="CS98" s="3">
        <f t="shared" si="464"/>
        <v>204</v>
      </c>
      <c r="CT98" s="3"/>
      <c r="CU98" s="3">
        <f t="shared" si="465"/>
        <v>5</v>
      </c>
      <c r="CV98" s="3"/>
      <c r="CW98" s="3">
        <f t="shared" ca="1" si="498"/>
        <v>440490.39265987778</v>
      </c>
      <c r="CY98" s="3">
        <f t="shared" ca="1" si="467"/>
        <v>19653665.96280466</v>
      </c>
      <c r="CZ98" s="70" t="str">
        <f t="shared" ca="1" si="511"/>
        <v/>
      </c>
      <c r="DA98" s="3">
        <f>IF(RTD("tos.rtd",,DA$83,"."&amp;$B$82&amp;$AS$82&amp;"C"&amp;$A98)="N/A",0,RTD("tos.rtd",,DA$83,"."&amp;$B$82&amp;$AS$82&amp;"C"&amp;$A98))</f>
        <v>0.03</v>
      </c>
      <c r="DB98" s="3">
        <f>IF(RTD("tos.rtd",,DB$83,"."&amp;$B$82&amp;$AS$82&amp;"P"&amp;$A98)="N/A",0,RTD("tos.rtd",,DB$83,"."&amp;$B$82&amp;$AS$82&amp;"P"&amp;$A98))</f>
        <v>61.5</v>
      </c>
      <c r="DC98" s="3">
        <f>IF(RTD("tos.rtd",,DC$83,"."&amp;$B$82&amp;$AS$82&amp;"C"&amp;$A98)="N/A",0,RTD("tos.rtd",,DC$83,"."&amp;$B$82&amp;$AS$82&amp;"C"&amp;$A98))</f>
        <v>0.05</v>
      </c>
      <c r="DD98" s="3">
        <f>IF(RTD("tos.rtd",,DD$83,"."&amp;$B$82&amp;$AS$82&amp;"P"&amp;$A98)="N/A",0,RTD("tos.rtd",,DD$83,"."&amp;$B$82&amp;$AS$82&amp;"P"&amp;$A98))</f>
        <v>47.9</v>
      </c>
      <c r="DE98" s="3">
        <f>IF(RTD("tos.rtd",,DE$83,"."&amp;$B$82&amp;$AS$82&amp;"C"&amp;$A98)="N/A",0,RTD("tos.rtd",,DE$83,"."&amp;$B$82&amp;$AS$82&amp;"C"&amp;$A98))</f>
        <v>0</v>
      </c>
      <c r="DF98" s="3">
        <f>IF(RTD("tos.rtd",,DF$83,"."&amp;$B$82&amp;$AS$82&amp;"P"&amp;$A98)="N/A",0,RTD("tos.rtd",,DF$83,"."&amp;$B$82&amp;$AS$82&amp;"P"&amp;$A98))</f>
        <v>42.8</v>
      </c>
      <c r="DG98" s="86">
        <f t="shared" si="499"/>
        <v>48.25</v>
      </c>
      <c r="DH98" s="3">
        <f t="shared" si="468"/>
        <v>0</v>
      </c>
      <c r="DI98" s="3">
        <f t="shared" si="469"/>
        <v>0</v>
      </c>
      <c r="DJ98" s="3">
        <f t="shared" si="470"/>
        <v>0</v>
      </c>
      <c r="DK98" s="3">
        <f t="shared" si="471"/>
        <v>0</v>
      </c>
      <c r="DL98" s="3">
        <f t="shared" si="472"/>
        <v>0</v>
      </c>
      <c r="DM98" s="3">
        <f t="shared" si="473"/>
        <v>0</v>
      </c>
      <c r="DN98" s="64" t="str">
        <f t="shared" si="474"/>
        <v>UNKNOWN</v>
      </c>
      <c r="DO98" s="64" t="str">
        <f t="shared" si="475"/>
        <v>UNKNOWN</v>
      </c>
      <c r="DP98" s="3">
        <f t="shared" si="476"/>
        <v>0</v>
      </c>
      <c r="DQ98" s="3">
        <f t="shared" si="477"/>
        <v>0</v>
      </c>
      <c r="DR98" s="3">
        <f t="shared" ca="1" si="478"/>
        <v>0</v>
      </c>
      <c r="DS98" s="3">
        <f t="shared" si="479"/>
        <v>0</v>
      </c>
      <c r="DT98" s="3">
        <f t="shared" si="500"/>
        <v>0</v>
      </c>
      <c r="DU98" s="3">
        <f t="shared" si="501"/>
        <v>0</v>
      </c>
      <c r="DV98" s="3">
        <f>AM98+IF(DN98="BUY",DT98,IF(DN98="SELL",-DT98,0))</f>
        <v>-5910</v>
      </c>
      <c r="DW98" s="3">
        <f t="shared" si="503"/>
        <v>-393</v>
      </c>
      <c r="DX98" s="3">
        <f t="shared" ca="1" si="512"/>
        <v>3.4628947524300287E-3</v>
      </c>
      <c r="DY98" s="3">
        <f t="shared" ca="1" si="480"/>
        <v>-6.7041793656320424E-4</v>
      </c>
      <c r="DZ98" s="3">
        <f t="shared" ca="1" si="504"/>
        <v>3.0921184918983216E-3</v>
      </c>
      <c r="EA98" s="3">
        <f t="shared" ca="1" si="505"/>
        <v>-3.0573756516340902E-3</v>
      </c>
      <c r="EB98" s="3">
        <f t="shared" ca="1" si="481"/>
        <v>3.5136857396455196E-3</v>
      </c>
      <c r="EC98" s="3">
        <f t="shared" ca="1" si="482"/>
        <v>-3.3508854994114537E-3</v>
      </c>
      <c r="ED98" s="63">
        <f t="shared" si="506"/>
        <v>-6303</v>
      </c>
      <c r="EE98" s="59">
        <f t="shared" si="483"/>
        <v>0.3962</v>
      </c>
      <c r="EF98" s="59">
        <f t="shared" si="484"/>
        <v>0.25</v>
      </c>
      <c r="EG98" s="59">
        <f t="shared" si="485"/>
        <v>0.16789999999999999</v>
      </c>
      <c r="EH98" s="59">
        <f t="shared" si="486"/>
        <v>0.1701</v>
      </c>
      <c r="EI98" s="59">
        <f t="shared" si="487"/>
        <v>0.14430000000000001</v>
      </c>
      <c r="EJ98" s="59">
        <f t="shared" si="488"/>
        <v>0.15279999999999999</v>
      </c>
      <c r="EK98" s="63">
        <f t="shared" ca="1" si="507"/>
        <v>-689422298.49458468</v>
      </c>
      <c r="EL98" s="3" t="str">
        <f>RTD("tos.rtd",,EL$83,"."&amp;$B$82&amp;$AS$82&amp;"C"&amp;$A98)</f>
        <v>39.62%</v>
      </c>
      <c r="EM98" s="3" t="str">
        <f>RTD("tos.rtd",,EM$83,"."&amp;$B$82&amp;$AS$82&amp;"P"&amp;$A98)</f>
        <v>--</v>
      </c>
      <c r="EN98" s="3" t="str">
        <f>RTD("tos.rtd",,EN$83,"."&amp;$C$82&amp;$AU$82&amp;"C"&amp;$A98)</f>
        <v>16.79%</v>
      </c>
      <c r="EO98" s="3" t="str">
        <f>RTD("tos.rtd",,EO$83,"."&amp;$C$82&amp;$AU$82&amp;"P"&amp;$A98)</f>
        <v>17.01%</v>
      </c>
      <c r="EP98" s="3" t="str">
        <f>RTD("tos.rtd",,EP$83,"."&amp;$D$82&amp;$AW$82&amp;"C"&amp;$A98)</f>
        <v>14.43%</v>
      </c>
      <c r="EQ98" s="3" t="str">
        <f>RTD("tos.rtd",,EQ$83,"."&amp;$D$82&amp;$AW$82&amp;"P"&amp;$A98)</f>
        <v>15.28%</v>
      </c>
      <c r="ES98" s="63" t="str">
        <f t="shared" si="489"/>
        <v>5890,-6303.00</v>
      </c>
      <c r="ET98" s="63" t="str">
        <f t="shared" ca="1" si="490"/>
        <v>5890,19653.67</v>
      </c>
      <c r="EU98" s="67">
        <v>571.96</v>
      </c>
      <c r="EV98" s="67" t="s">
        <v>803</v>
      </c>
      <c r="EW98" s="67">
        <v>496.81</v>
      </c>
      <c r="EX98" s="67" t="s">
        <v>804</v>
      </c>
      <c r="EY98" s="67">
        <v>5659.91</v>
      </c>
      <c r="EZ98" s="67" t="s">
        <v>805</v>
      </c>
      <c r="FA98" s="67">
        <v>20061.449000000001</v>
      </c>
      <c r="FB98" s="67" t="s">
        <v>806</v>
      </c>
      <c r="FC98" s="67" t="s">
        <v>807</v>
      </c>
      <c r="FD98" s="67" t="s">
        <v>808</v>
      </c>
      <c r="FE98" s="68" t="s">
        <v>809</v>
      </c>
      <c r="FF98" s="68" t="s">
        <v>810</v>
      </c>
    </row>
    <row r="99" spans="1:162" s="63" customFormat="1" ht="12" customHeight="1" thickBot="1" x14ac:dyDescent="0.25">
      <c r="A99" s="2">
        <f t="shared" si="508"/>
        <v>5880</v>
      </c>
      <c r="B99" s="3">
        <f t="shared" si="451"/>
        <v>1219</v>
      </c>
      <c r="C99" s="3">
        <f t="shared" si="452"/>
        <v>1322</v>
      </c>
      <c r="D99" s="3">
        <f t="shared" si="453"/>
        <v>1076</v>
      </c>
      <c r="E99" s="3">
        <f t="shared" ref="E99:E129" si="519">SUM(B99:D99)</f>
        <v>3617</v>
      </c>
      <c r="F99" s="4">
        <f>+$F$84/$A$84*A99</f>
        <v>5904.1571446912312</v>
      </c>
      <c r="G99" s="4">
        <f t="shared" ref="G99:G130" si="520">+$G$84/$A$84*A99</f>
        <v>586.76697907305174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>
        <v>-1604</v>
      </c>
      <c r="AN99" s="20">
        <v>-200</v>
      </c>
      <c r="AO99" s="20">
        <v>5880</v>
      </c>
      <c r="AP99" s="20">
        <v>29068</v>
      </c>
      <c r="AQ99" s="20">
        <v>-525</v>
      </c>
      <c r="AR99" s="20"/>
      <c r="AS99" s="54">
        <f>IF(RTD("tos.rtd",,AS$83,"."&amp;$B$82&amp;$AS$82&amp;"C"&amp;$A99)="N/A",0,RTD("tos.rtd",,AS$83,"."&amp;$B$82&amp;$AS$82&amp;"C"&amp;$A99))</f>
        <v>1206</v>
      </c>
      <c r="AT99" s="3">
        <f>-IF(RTD("tos.rtd",,AT$83,"."&amp;$B$82&amp;$AS$82&amp;"P"&amp;$A99)="N/A",0,RTD("tos.rtd",,AT$83,"."&amp;$B$82&amp;$AS$82&amp;"P"&amp;$A99))</f>
        <v>-13</v>
      </c>
      <c r="AU99" s="54">
        <f>IF(RTD("tos.rtd",,AU$83,"."&amp;$C$82&amp;$AU$82&amp;"C"&amp;$A99)="N/A",0,RTD("tos.rtd",,AU$83,"."&amp;$C$82&amp;$AU$82&amp;"C"&amp;$A99))</f>
        <v>815</v>
      </c>
      <c r="AV99" s="3">
        <f>-IF(RTD("tos.rtd",,AV$83,"."&amp;$C$82&amp;$AU$82&amp;"P"&amp;$A99)="N/A",0,RTD("tos.rtd",,AV$83,"."&amp;$C$82&amp;$AU$82&amp;"P"&amp;$A99))</f>
        <v>-507</v>
      </c>
      <c r="AW99" s="54">
        <f>IF(RTD("tos.rtd",,AW$83,"."&amp;$D$82&amp;$AW$82&amp;"C"&amp;$A99)="N/A",0,RTD("tos.rtd",,AW$83,"."&amp;$D$82&amp;$AW$82&amp;"C"&amp;$A99))</f>
        <v>615</v>
      </c>
      <c r="AX99" s="3">
        <f>-IF(RTD("tos.rtd",,AX$83,"."&amp;$D$82&amp;$AW$82&amp;"P"&amp;$A99)="N/A",0,RTD("tos.rtd",,AX$83,"."&amp;$D$82&amp;$AW$82&amp;"P"&amp;$A99))</f>
        <v>-461</v>
      </c>
      <c r="AY99" s="79">
        <f t="shared" ref="AY99:AY130" si="521">SUM(AS99:AX99)</f>
        <v>1655</v>
      </c>
      <c r="AZ99" s="8">
        <f t="shared" si="455"/>
        <v>5880</v>
      </c>
      <c r="BA99" s="54">
        <f>IF(RTD("tos.rtd",,BA$83,"."&amp;$B$82&amp;$AS$82&amp;"C"&amp;$A99)="N/A",0,RTD("tos.rtd",,BA$83,"."&amp;$B$82&amp;$AS$82&amp;"C"&amp;$A99))</f>
        <v>29068</v>
      </c>
      <c r="BB99" s="3">
        <f>-IF(RTD("tos.rtd",,BB$83,"."&amp;$B$82&amp;$AS$82&amp;"P"&amp;$A99)="N/A",0,RTD("tos.rtd",,BB$83,"."&amp;$B$82&amp;$AS$82&amp;"P"&amp;$A99))</f>
        <v>-525</v>
      </c>
      <c r="BC99" s="54">
        <f>IF(RTD("tos.rtd",,BC$83,"."&amp;$C$82&amp;$AU$82&amp;"C"&amp;$A99)="N/A",0,RTD("tos.rtd",,BC$83,"."&amp;$C$82&amp;$AU$82&amp;"C"&amp;$A99))</f>
        <v>569</v>
      </c>
      <c r="BD99" s="3">
        <f>-IF(RTD("tos.rtd",,BD$83,"."&amp;$C$82&amp;$AU$82&amp;"P"&amp;$A99)="N/A",0,RTD("tos.rtd",,BD$83,"."&amp;$C$82&amp;$AU$82&amp;"P"&amp;$A99))</f>
        <v>-10</v>
      </c>
      <c r="BE99" s="54">
        <f>IF(RTD("tos.rtd",,BE$83,"."&amp;$D$82&amp;$AW$82&amp;"C"&amp;$A99)="N/A",0,RTD("tos.rtd",,BE$83,"."&amp;$D$82&amp;$AW$82&amp;"C"&amp;$A99))</f>
        <v>29</v>
      </c>
      <c r="BF99" s="3">
        <f>-IF(RTD("tos.rtd",,BF$83,"."&amp;$D$82&amp;$AW$82&amp;"P"&amp;$A99)="N/A",0,RTD("tos.rtd",,BF$83,"."&amp;$D$82&amp;$AW$82&amp;"P"&amp;$A99))</f>
        <v>-2</v>
      </c>
      <c r="BG99" s="3">
        <f ca="1">+Hoja2!Y100</f>
        <v>58</v>
      </c>
      <c r="BH99" s="55">
        <f t="shared" ca="1" si="493"/>
        <v>29187</v>
      </c>
      <c r="BI99" s="32" t="str">
        <f t="shared" ca="1" si="513"/>
        <v/>
      </c>
      <c r="BJ99" s="3">
        <f ca="1">IF($BP$1=1,DX99,IF(RTD("tos.rtd",,BJ$83,"."&amp;$B$82&amp;$AS$82&amp;"C"&amp;$A99)="N/A",0,RTD("tos.rtd",,BJ$83,"."&amp;$B$82&amp;$AS$82&amp;"C"&amp;$A99)))</f>
        <v>4.4618108316032655E-3</v>
      </c>
      <c r="BK99" s="3">
        <f ca="1">IF($BP$1=1,DY99,-IF(RTD("tos.rtd",,BK$83,"."&amp;$B$82&amp;$AS$82&amp;"P"&amp;$A99)="N/A",0,RTD("tos.rtd",,BK$83,"."&amp;$B$82&amp;$AS$82&amp;"P"&amp;$A99)))</f>
        <v>-2.4458814853485045E-3</v>
      </c>
      <c r="BL99" s="3">
        <f ca="1">IF($BP$1=1,DZ99,IF(RTD("tos.rtd",,BL$83,"."&amp;$C$82&amp;$AU$82&amp;"C"&amp;$A99)="N/A",0,RTD("tos.rtd",,BL$83,"."&amp;$C$82&amp;$AU$82&amp;"C"&amp;$A99)))</f>
        <v>3.1521307678214314E-3</v>
      </c>
      <c r="BM99" s="3">
        <f ca="1">IF($BP$1=1,EA99,-IF(RTD("tos.rtd",,BM$83,"."&amp;$C$82&amp;$AU$82&amp;"P"&amp;$A99)="N/A",0,RTD("tos.rtd",,BM$83,"."&amp;$C$82&amp;$AU$82&amp;"P"&amp;$A99)))</f>
        <v>-3.111447801786927E-3</v>
      </c>
      <c r="BN99" s="3">
        <f ca="1">IF($BP$1=1,EB99,IF(RTD("tos.rtd",,BN$83,"."&amp;$D$82&amp;$AW$82&amp;"C"&amp;$A99)="N/A",0,RTD("tos.rtd",,BN$83,"."&amp;$D$82&amp;$AW$82&amp;"C"&amp;$A99)))</f>
        <v>3.6127711349415782E-3</v>
      </c>
      <c r="BO99" s="3">
        <f ca="1">IF($BP$1=1,EC99,-IF(RTD("tos.rtd",,BO$83,"."&amp;$D$82&amp;$AW$82&amp;"P"&amp;$A99)="N/A",0,RTD("tos.rtd",,BO$83,"."&amp;$D$82&amp;$AW$82&amp;"P"&amp;$A99)))</f>
        <v>-3.4330649841036124E-3</v>
      </c>
      <c r="BQ99" s="3">
        <f t="shared" ca="1" si="456"/>
        <v>1378575.1844460038</v>
      </c>
      <c r="BR99" s="3" t="str">
        <f t="shared" ca="1" si="494"/>
        <v/>
      </c>
      <c r="BS99" s="3">
        <f t="shared" ca="1" si="457"/>
        <v>255523.56715852011</v>
      </c>
      <c r="BT99" s="3" t="str">
        <f t="shared" ca="1" si="494"/>
        <v/>
      </c>
      <c r="BU99" s="3">
        <f t="shared" ca="1" si="458"/>
        <v>164736.68716914306</v>
      </c>
      <c r="BV99" s="3" t="str">
        <f t="shared" ca="1" si="494"/>
        <v>Cruce +</v>
      </c>
      <c r="BX99" s="3">
        <f t="shared" ca="1" si="459"/>
        <v>33094126.623215366</v>
      </c>
      <c r="BY99" s="3" t="str">
        <f t="shared" ca="1" si="510"/>
        <v/>
      </c>
      <c r="BZ99" s="3">
        <f t="shared" ca="1" si="460"/>
        <v>454215.74604299024</v>
      </c>
      <c r="CA99" s="3" t="str">
        <f t="shared" ca="1" si="510"/>
        <v/>
      </c>
      <c r="CB99" s="3">
        <f t="shared" ca="1" si="461"/>
        <v>25231.749250244688</v>
      </c>
      <c r="CC99" s="3" t="str">
        <f t="shared" ca="1" si="510"/>
        <v/>
      </c>
      <c r="CD99" s="3">
        <f>IF(RTD("tos.rtd",,CD$83,"."&amp;$B$82&amp;$AS$82&amp;"C"&amp;$A99)="N/A",0,RTD("tos.rtd",,CD$83,"."&amp;$B$82&amp;$AS$82&amp;"C"&amp;$A99))</f>
        <v>0.01</v>
      </c>
      <c r="CE99" s="3">
        <f>-IF(RTD("tos.rtd",,CE$83,"."&amp;$B$82&amp;$AS$82&amp;"P"&amp;$A99)="N/A",0,RTD("tos.rtd",,CE$83,"."&amp;$B$82&amp;$AS$82&amp;"P"&amp;$A99))</f>
        <v>1</v>
      </c>
      <c r="CF99" s="3">
        <f>IF(RTD("tos.rtd",,CF$83,"."&amp;$C$82&amp;$AU$82&amp;"C"&amp;$A99)="N/A",0,RTD("tos.rtd",,CF$83,"."&amp;$C$82&amp;$AU$82&amp;"C"&amp;$A99))</f>
        <v>0.37</v>
      </c>
      <c r="CG99" s="3">
        <f>-IF(RTD("tos.rtd",,CG$83,"."&amp;$C$82&amp;$AU$82&amp;"P"&amp;$A99)="N/A",0,RTD("tos.rtd",,CG$83,"."&amp;$C$82&amp;$AU$82&amp;"P"&amp;$A99))</f>
        <v>0.62</v>
      </c>
      <c r="CH99" s="3">
        <f>IF(RTD("tos.rtd",,CH$83,"."&amp;$D$82&amp;$AW$82&amp;"C"&amp;$A99)="N/A",0,RTD("tos.rtd",,CH$83,"."&amp;$D$82&amp;$AW$82&amp;"C"&amp;$A99))</f>
        <v>0.5</v>
      </c>
      <c r="CI99" s="3">
        <f>-IF(RTD("tos.rtd",,CI$83,"."&amp;$D$82&amp;$AW$82&amp;"P"&amp;$A99)="N/A",0,RTD("tos.rtd",,CI$83,"."&amp;$D$82&amp;$AW$82&amp;"P"&amp;$A99))</f>
        <v>0.5</v>
      </c>
      <c r="CK99" s="3">
        <f t="shared" si="495"/>
        <v>-94</v>
      </c>
      <c r="CL99" s="3"/>
      <c r="CM99" s="3">
        <f t="shared" si="496"/>
        <v>-1278.9999999999964</v>
      </c>
      <c r="CN99" s="3"/>
      <c r="CO99" s="3">
        <f t="shared" si="497"/>
        <v>7700</v>
      </c>
      <c r="CP99" s="3">
        <f t="shared" si="462"/>
        <v>6327.0000000000036</v>
      </c>
      <c r="CQ99" s="3">
        <f t="shared" si="463"/>
        <v>28543</v>
      </c>
      <c r="CR99" s="3"/>
      <c r="CS99" s="3">
        <f t="shared" si="464"/>
        <v>559</v>
      </c>
      <c r="CT99" s="3"/>
      <c r="CU99" s="3">
        <f t="shared" si="465"/>
        <v>27</v>
      </c>
      <c r="CV99" s="3"/>
      <c r="CW99" s="3">
        <f t="shared" ca="1" si="466"/>
        <v>1798835.438773667</v>
      </c>
      <c r="CY99" s="3">
        <f t="shared" ca="1" si="467"/>
        <v>33573574.1185086</v>
      </c>
      <c r="CZ99" s="70" t="str">
        <f t="shared" ca="1" si="511"/>
        <v/>
      </c>
      <c r="DA99" s="3">
        <f>IF(RTD("tos.rtd",,DA$83,"."&amp;$B$82&amp;$AS$82&amp;"C"&amp;$A99)="N/A",0,RTD("tos.rtd",,DA$83,"."&amp;$B$82&amp;$AS$82&amp;"C"&amp;$A99))</f>
        <v>0.03</v>
      </c>
      <c r="DB99" s="3">
        <f>IF(RTD("tos.rtd",,DB$83,"."&amp;$B$82&amp;$AS$82&amp;"P"&amp;$A99)="N/A",0,RTD("tos.rtd",,DB$83,"."&amp;$B$82&amp;$AS$82&amp;"P"&amp;$A99))</f>
        <v>43.2</v>
      </c>
      <c r="DC99" s="3">
        <f>IF(RTD("tos.rtd",,DC$83,"."&amp;$B$82&amp;$AS$82&amp;"C"&amp;$A99)="N/A",0,RTD("tos.rtd",,DC$83,"."&amp;$B$82&amp;$AS$82&amp;"C"&amp;$A99))</f>
        <v>0.05</v>
      </c>
      <c r="DD99" s="3">
        <f>IF(RTD("tos.rtd",,DD$83,"."&amp;$B$82&amp;$AS$82&amp;"P"&amp;$A99)="N/A",0,RTD("tos.rtd",,DD$83,"."&amp;$B$82&amp;$AS$82&amp;"P"&amp;$A99))</f>
        <v>37.9</v>
      </c>
      <c r="DE99" s="3">
        <f>IF(RTD("tos.rtd",,DE$83,"."&amp;$B$82&amp;$AS$82&amp;"C"&amp;$A99)="N/A",0,RTD("tos.rtd",,DE$83,"."&amp;$B$82&amp;$AS$82&amp;"C"&amp;$A99))</f>
        <v>0</v>
      </c>
      <c r="DF99" s="3">
        <f>IF(RTD("tos.rtd",,DF$83,"."&amp;$B$82&amp;$AS$82&amp;"P"&amp;$A99)="N/A",0,RTD("tos.rtd",,DF$83,"."&amp;$B$82&amp;$AS$82&amp;"P"&amp;$A99))</f>
        <v>32.1</v>
      </c>
      <c r="DG99" s="86">
        <f t="shared" si="499"/>
        <v>38.25</v>
      </c>
      <c r="DH99" s="3">
        <f t="shared" si="468"/>
        <v>0</v>
      </c>
      <c r="DI99" s="3">
        <f t="shared" si="469"/>
        <v>0</v>
      </c>
      <c r="DJ99" s="3">
        <f t="shared" si="470"/>
        <v>0</v>
      </c>
      <c r="DK99" s="3">
        <f t="shared" si="471"/>
        <v>0</v>
      </c>
      <c r="DL99" s="3">
        <f t="shared" si="472"/>
        <v>0</v>
      </c>
      <c r="DM99" s="3">
        <f t="shared" si="473"/>
        <v>0</v>
      </c>
      <c r="DN99" s="64" t="str">
        <f>IF(AND(DA99&gt;=(DE99+(DC99-DE99)*0.6),BA99&gt;AP99),"BUY",IF(AND(DA99&lt;=(DE99+(DC99-DE99)*0.4),BA99&gt;AP99),"SELL","UNKNOWN"))</f>
        <v>UNKNOWN</v>
      </c>
      <c r="DO99" s="64" t="str">
        <f t="shared" si="475"/>
        <v>UNKNOWN</v>
      </c>
      <c r="DP99" s="3">
        <f t="shared" si="476"/>
        <v>0</v>
      </c>
      <c r="DQ99" s="3">
        <f t="shared" si="477"/>
        <v>0</v>
      </c>
      <c r="DR99" s="3">
        <f t="shared" ca="1" si="478"/>
        <v>0</v>
      </c>
      <c r="DS99" s="3">
        <f t="shared" si="479"/>
        <v>0</v>
      </c>
      <c r="DT99" s="3">
        <f t="shared" si="500"/>
        <v>0</v>
      </c>
      <c r="DU99" s="3">
        <f t="shared" si="501"/>
        <v>0</v>
      </c>
      <c r="DV99" s="3">
        <f t="shared" si="502"/>
        <v>-1604</v>
      </c>
      <c r="DW99" s="3">
        <f t="shared" si="503"/>
        <v>-200</v>
      </c>
      <c r="DX99" s="3">
        <f t="shared" ca="1" si="512"/>
        <v>4.4618108316032655E-3</v>
      </c>
      <c r="DY99" s="3">
        <f t="shared" ca="1" si="480"/>
        <v>-2.4458814853485045E-3</v>
      </c>
      <c r="DZ99" s="3">
        <f t="shared" ca="1" si="504"/>
        <v>3.1521307678214314E-3</v>
      </c>
      <c r="EA99" s="3">
        <f t="shared" ca="1" si="505"/>
        <v>-3.111447801786927E-3</v>
      </c>
      <c r="EB99" s="3">
        <f t="shared" ca="1" si="481"/>
        <v>3.6127711349415782E-3</v>
      </c>
      <c r="EC99" s="3">
        <f t="shared" ca="1" si="482"/>
        <v>-3.4330649841036124E-3</v>
      </c>
      <c r="ED99" s="63">
        <f t="shared" si="506"/>
        <v>-1804</v>
      </c>
      <c r="EE99" s="59">
        <f t="shared" si="483"/>
        <v>0.31840000000000002</v>
      </c>
      <c r="EF99" s="59">
        <f t="shared" si="484"/>
        <v>0.25</v>
      </c>
      <c r="EG99" s="59">
        <f t="shared" si="485"/>
        <v>0.1691</v>
      </c>
      <c r="EH99" s="59">
        <f t="shared" si="486"/>
        <v>0.17150000000000001</v>
      </c>
      <c r="EI99" s="59">
        <f t="shared" si="487"/>
        <v>0.14549999999999999</v>
      </c>
      <c r="EJ99" s="59">
        <f t="shared" si="488"/>
        <v>0.154</v>
      </c>
      <c r="EK99" s="63">
        <f t="shared" ca="1" si="507"/>
        <v>-227537722.13698432</v>
      </c>
      <c r="EL99" s="3" t="str">
        <f>RTD("tos.rtd",,EL$83,"."&amp;$B$82&amp;$AS$82&amp;"C"&amp;$A99)</f>
        <v>31.84%</v>
      </c>
      <c r="EM99" s="3" t="str">
        <f>RTD("tos.rtd",,EM$83,"."&amp;$B$82&amp;$AS$82&amp;"P"&amp;$A99)</f>
        <v>--</v>
      </c>
      <c r="EN99" s="3" t="str">
        <f>RTD("tos.rtd",,EN$83,"."&amp;$C$82&amp;$AU$82&amp;"C"&amp;$A99)</f>
        <v>16.91%</v>
      </c>
      <c r="EO99" s="3" t="str">
        <f>RTD("tos.rtd",,EO$83,"."&amp;$C$82&amp;$AU$82&amp;"P"&amp;$A99)</f>
        <v>17.15%</v>
      </c>
      <c r="EP99" s="3" t="str">
        <f>RTD("tos.rtd",,EP$83,"."&amp;$D$82&amp;$AW$82&amp;"C"&amp;$A99)</f>
        <v>14.55%</v>
      </c>
      <c r="EQ99" s="3" t="str">
        <f>RTD("tos.rtd",,EQ$83,"."&amp;$D$82&amp;$AW$82&amp;"P"&amp;$A99)</f>
        <v>15.40%</v>
      </c>
      <c r="ES99" s="63" t="str">
        <f t="shared" si="489"/>
        <v>5880,-1804.00</v>
      </c>
      <c r="ET99" s="63" t="str">
        <f t="shared" ca="1" si="490"/>
        <v>5880,33573.57</v>
      </c>
      <c r="EU99" s="67">
        <v>572</v>
      </c>
      <c r="EV99" s="67" t="s">
        <v>811</v>
      </c>
      <c r="EW99" s="67">
        <v>496.79</v>
      </c>
      <c r="EX99" s="67" t="s">
        <v>812</v>
      </c>
      <c r="EY99" s="67">
        <v>5659.91</v>
      </c>
      <c r="EZ99" s="67" t="s">
        <v>813</v>
      </c>
      <c r="FA99" s="67">
        <v>20061.449000000001</v>
      </c>
      <c r="FB99" s="67" t="s">
        <v>814</v>
      </c>
      <c r="FC99" s="67" t="s">
        <v>815</v>
      </c>
      <c r="FD99" s="67" t="s">
        <v>816</v>
      </c>
      <c r="FE99" s="68" t="s">
        <v>817</v>
      </c>
      <c r="FF99" s="68" t="s">
        <v>818</v>
      </c>
    </row>
    <row r="100" spans="1:162" s="63" customFormat="1" ht="12" customHeight="1" thickBot="1" x14ac:dyDescent="0.25">
      <c r="A100" s="2">
        <f t="shared" si="508"/>
        <v>5870</v>
      </c>
      <c r="B100" s="3">
        <f t="shared" si="451"/>
        <v>1124</v>
      </c>
      <c r="C100" s="3">
        <f t="shared" si="452"/>
        <v>1079</v>
      </c>
      <c r="D100" s="3">
        <f t="shared" si="453"/>
        <v>2018</v>
      </c>
      <c r="E100" s="3">
        <f t="shared" si="519"/>
        <v>4221</v>
      </c>
      <c r="F100" s="4">
        <f t="shared" ref="F100:F129" si="522">+$F$84/$A$84*A100</f>
        <v>5894.1160611118239</v>
      </c>
      <c r="G100" s="4">
        <f t="shared" si="520"/>
        <v>585.76907604741734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>
        <v>-1225</v>
      </c>
      <c r="AN100" s="20">
        <v>-275</v>
      </c>
      <c r="AO100" s="20">
        <v>5870</v>
      </c>
      <c r="AP100" s="20">
        <v>55582</v>
      </c>
      <c r="AQ100" s="20">
        <v>-1047</v>
      </c>
      <c r="AR100" s="20"/>
      <c r="AS100" s="54">
        <f>IF(RTD("tos.rtd",,AS$83,"."&amp;$B$82&amp;$AS$82&amp;"C"&amp;$A100)="N/A",0,RTD("tos.rtd",,AS$83,"."&amp;$B$82&amp;$AS$82&amp;"C"&amp;$A100))</f>
        <v>1102</v>
      </c>
      <c r="AT100" s="3">
        <f>-IF(RTD("tos.rtd",,AT$83,"."&amp;$B$82&amp;$AS$82&amp;"P"&amp;$A100)="N/A",0,RTD("tos.rtd",,AT$83,"."&amp;$B$82&amp;$AS$82&amp;"P"&amp;$A100))</f>
        <v>-22</v>
      </c>
      <c r="AU100" s="54">
        <f>IF(RTD("tos.rtd",,AU$83,"."&amp;$C$82&amp;$AU$82&amp;"C"&amp;$A100)="N/A",0,RTD("tos.rtd",,AU$83,"."&amp;$C$82&amp;$AU$82&amp;"C"&amp;$A100))</f>
        <v>466</v>
      </c>
      <c r="AV100" s="3">
        <f>-IF(RTD("tos.rtd",,AV$83,"."&amp;$C$82&amp;$AU$82&amp;"P"&amp;$A100)="N/A",0,RTD("tos.rtd",,AV$83,"."&amp;$C$82&amp;$AU$82&amp;"P"&amp;$A100))</f>
        <v>-613</v>
      </c>
      <c r="AW100" s="54">
        <f>IF(RTD("tos.rtd",,AW$83,"."&amp;$D$82&amp;$AW$82&amp;"C"&amp;$A100)="N/A",0,RTD("tos.rtd",,AW$83,"."&amp;$D$82&amp;$AW$82&amp;"C"&amp;$A100))</f>
        <v>355</v>
      </c>
      <c r="AX100" s="3">
        <f>-IF(RTD("tos.rtd",,AX$83,"."&amp;$D$82&amp;$AW$82&amp;"P"&amp;$A100)="N/A",0,RTD("tos.rtd",,AX$83,"."&amp;$D$82&amp;$AW$82&amp;"P"&amp;$A100))</f>
        <v>-1663</v>
      </c>
      <c r="AY100" s="79">
        <f t="shared" si="521"/>
        <v>-375</v>
      </c>
      <c r="AZ100" s="8">
        <f t="shared" si="455"/>
        <v>5870</v>
      </c>
      <c r="BA100" s="54">
        <f>IF(RTD("tos.rtd",,BA$83,"."&amp;$B$82&amp;$AS$82&amp;"C"&amp;$A100)="N/A",0,RTD("tos.rtd",,BA$83,"."&amp;$B$82&amp;$AS$82&amp;"C"&amp;$A100))</f>
        <v>55582</v>
      </c>
      <c r="BB100" s="3">
        <f>-IF(RTD("tos.rtd",,BB$83,"."&amp;$B$82&amp;$AS$82&amp;"P"&amp;$A100)="N/A",0,RTD("tos.rtd",,BB$83,"."&amp;$B$82&amp;$AS$82&amp;"P"&amp;$A100))</f>
        <v>-1047</v>
      </c>
      <c r="BC100" s="54">
        <f>IF(RTD("tos.rtd",,BC$83,"."&amp;$C$82&amp;$AU$82&amp;"C"&amp;$A100)="N/A",0,RTD("tos.rtd",,BC$83,"."&amp;$C$82&amp;$AU$82&amp;"C"&amp;$A100))</f>
        <v>136</v>
      </c>
      <c r="BD100" s="3">
        <f>-IF(RTD("tos.rtd",,BD$83,"."&amp;$C$82&amp;$AU$82&amp;"P"&amp;$A100)="N/A",0,RTD("tos.rtd",,BD$83,"."&amp;$C$82&amp;$AU$82&amp;"P"&amp;$A100))</f>
        <v>-2</v>
      </c>
      <c r="BE100" s="54">
        <f>IF(RTD("tos.rtd",,BE$83,"."&amp;$D$82&amp;$AW$82&amp;"C"&amp;$A100)="N/A",0,RTD("tos.rtd",,BE$83,"."&amp;$D$82&amp;$AW$82&amp;"C"&amp;$A100))</f>
        <v>396</v>
      </c>
      <c r="BF100" s="3">
        <f>-IF(RTD("tos.rtd",,BF$83,"."&amp;$D$82&amp;$AW$82&amp;"P"&amp;$A100)="N/A",0,RTD("tos.rtd",,BF$83,"."&amp;$D$82&amp;$AW$82&amp;"P"&amp;$A100))</f>
        <v>-411</v>
      </c>
      <c r="BG100" s="3">
        <f ca="1">+Hoja2!Y101</f>
        <v>-576</v>
      </c>
      <c r="BH100" s="55">
        <f t="shared" ca="1" si="493"/>
        <v>54078</v>
      </c>
      <c r="BI100" s="32" t="str">
        <f t="shared" ca="1" si="513"/>
        <v/>
      </c>
      <c r="BJ100" s="3">
        <f ca="1">IF($BP$1=1,DX100,IF(RTD("tos.rtd",,BJ$83,"."&amp;$B$82&amp;$AS$82&amp;"C"&amp;$A100)="N/A",0,RTD("tos.rtd",,BJ$83,"."&amp;$B$82&amp;$AS$82&amp;"C"&amp;$A100)))</f>
        <v>6.1593470899479995E-3</v>
      </c>
      <c r="BK100" s="3">
        <f ca="1">IF($BP$1=1,DY100,-IF(RTD("tos.rtd",,BK$83,"."&amp;$B$82&amp;$AS$82&amp;"P"&amp;$A100)="N/A",0,RTD("tos.rtd",,BK$83,"."&amp;$B$82&amp;$AS$82&amp;"P"&amp;$A100)))</f>
        <v>-8.3143411696440933E-3</v>
      </c>
      <c r="BL100" s="3">
        <f ca="1">IF($BP$1=1,DZ100,IF(RTD("tos.rtd",,BL$83,"."&amp;$C$82&amp;$AU$82&amp;"C"&amp;$A100)="N/A",0,RTD("tos.rtd",,BL$83,"."&amp;$C$82&amp;$AU$82&amp;"C"&amp;$A100)))</f>
        <v>3.1812520592649027E-3</v>
      </c>
      <c r="BM100" s="3">
        <f ca="1">IF($BP$1=1,EA100,-IF(RTD("tos.rtd",,BM$83,"."&amp;$C$82&amp;$AU$82&amp;"P"&amp;$A100)="N/A",0,RTD("tos.rtd",,BM$83,"."&amp;$C$82&amp;$AU$82&amp;"P"&amp;$A100)))</f>
        <v>-3.1441021451830546E-3</v>
      </c>
      <c r="BN100" s="3">
        <f ca="1">IF($BP$1=1,EB100,IF(RTD("tos.rtd",,BN$83,"."&amp;$D$82&amp;$AW$82&amp;"C"&amp;$A100)="N/A",0,RTD("tos.rtd",,BN$83,"."&amp;$D$82&amp;$AW$82&amp;"C"&amp;$A100)))</f>
        <v>3.6781063735325842E-3</v>
      </c>
      <c r="BO100" s="3">
        <f ca="1">IF($BP$1=1,EC100,-IF(RTD("tos.rtd",,BO$83,"."&amp;$D$82&amp;$AW$82&amp;"P"&amp;$A100)="N/A",0,RTD("tos.rtd",,BO$83,"."&amp;$D$82&amp;$AW$82&amp;"P"&amp;$A100)))</f>
        <v>-3.4865385442087531E-3</v>
      </c>
      <c r="BQ100" s="3">
        <f t="shared" ca="1" si="456"/>
        <v>1702150.6677054891</v>
      </c>
      <c r="BR100" s="3" t="str">
        <f t="shared" ca="1" si="494"/>
        <v/>
      </c>
      <c r="BS100" s="3">
        <f t="shared" ca="1" si="457"/>
        <v>-114651.60497711552</v>
      </c>
      <c r="BT100" s="3" t="str">
        <f t="shared" ca="1" si="494"/>
        <v>Cruce -</v>
      </c>
      <c r="BU100" s="3">
        <f t="shared" ca="1" si="458"/>
        <v>-1157771.728045095</v>
      </c>
      <c r="BV100" s="3" t="str">
        <f t="shared" ca="1" si="494"/>
        <v>Cruce -</v>
      </c>
      <c r="BX100" s="3">
        <f t="shared" ca="1" si="459"/>
        <v>85986216.287343577</v>
      </c>
      <c r="BY100" s="3" t="str">
        <f t="shared" ca="1" si="510"/>
        <v/>
      </c>
      <c r="BZ100" s="3">
        <f t="shared" ca="1" si="460"/>
        <v>109881.46949342379</v>
      </c>
      <c r="CA100" s="3" t="str">
        <f t="shared" ca="1" si="510"/>
        <v/>
      </c>
      <c r="CB100" s="3">
        <f t="shared" ca="1" si="461"/>
        <v>6072.5690346907359</v>
      </c>
      <c r="CC100" s="3" t="str">
        <f t="shared" ca="1" si="510"/>
        <v/>
      </c>
      <c r="CD100" s="3">
        <f>IF(RTD("tos.rtd",,CD$83,"."&amp;$B$82&amp;$AS$82&amp;"C"&amp;$A100)="N/A",0,RTD("tos.rtd",,CD$83,"."&amp;$B$82&amp;$AS$82&amp;"C"&amp;$A100))</f>
        <v>0.01</v>
      </c>
      <c r="CE100" s="3">
        <f>-IF(RTD("tos.rtd",,CE$83,"."&amp;$B$82&amp;$AS$82&amp;"P"&amp;$A100)="N/A",0,RTD("tos.rtd",,CE$83,"."&amp;$B$82&amp;$AS$82&amp;"P"&amp;$A100))</f>
        <v>0.96</v>
      </c>
      <c r="CF100" s="3">
        <f>IF(RTD("tos.rtd",,CF$83,"."&amp;$C$82&amp;$AU$82&amp;"C"&amp;$A100)="N/A",0,RTD("tos.rtd",,CF$83,"."&amp;$C$82&amp;$AU$82&amp;"C"&amp;$A100))</f>
        <v>0.41</v>
      </c>
      <c r="CG100" s="3">
        <f>-IF(RTD("tos.rtd",,CG$83,"."&amp;$C$82&amp;$AU$82&amp;"P"&amp;$A100)="N/A",0,RTD("tos.rtd",,CG$83,"."&amp;$C$82&amp;$AU$82&amp;"P"&amp;$A100))</f>
        <v>0.59</v>
      </c>
      <c r="CH100" s="3">
        <f>IF(RTD("tos.rtd",,CH$83,"."&amp;$D$82&amp;$AW$82&amp;"C"&amp;$A100)="N/A",0,RTD("tos.rtd",,CH$83,"."&amp;$D$82&amp;$AW$82&amp;"C"&amp;$A100))</f>
        <v>0.51</v>
      </c>
      <c r="CI100" s="3">
        <f>-IF(RTD("tos.rtd",,CI$83,"."&amp;$D$82&amp;$AW$82&amp;"P"&amp;$A100)="N/A",0,RTD("tos.rtd",,CI$83,"."&amp;$D$82&amp;$AW$82&amp;"P"&amp;$A100))</f>
        <v>0.49</v>
      </c>
      <c r="CK100" s="3">
        <f t="shared" si="495"/>
        <v>-1009.9999999999995</v>
      </c>
      <c r="CL100" s="3"/>
      <c r="CM100" s="3">
        <f t="shared" si="496"/>
        <v>-17060.999999999993</v>
      </c>
      <c r="CN100" s="3"/>
      <c r="CO100" s="3">
        <f t="shared" si="497"/>
        <v>-63382</v>
      </c>
      <c r="CP100" s="3">
        <f t="shared" si="462"/>
        <v>-81453</v>
      </c>
      <c r="CQ100" s="3">
        <f t="shared" si="463"/>
        <v>54535</v>
      </c>
      <c r="CR100" s="3"/>
      <c r="CS100" s="3">
        <f t="shared" si="464"/>
        <v>134</v>
      </c>
      <c r="CT100" s="3"/>
      <c r="CU100" s="3">
        <f t="shared" si="465"/>
        <v>-15</v>
      </c>
      <c r="CV100" s="3"/>
      <c r="CW100" s="3">
        <f t="shared" ca="1" si="466"/>
        <v>429727.33468327858</v>
      </c>
      <c r="CY100" s="3">
        <f t="shared" ca="1" si="467"/>
        <v>86102170.325871691</v>
      </c>
      <c r="CZ100" s="70" t="str">
        <f t="shared" ca="1" si="511"/>
        <v/>
      </c>
      <c r="DA100" s="3">
        <f>IF(RTD("tos.rtd",,DA$83,"."&amp;$B$82&amp;$AS$82&amp;"C"&amp;$A100)="N/A",0,RTD("tos.rtd",,DA$83,"."&amp;$B$82&amp;$AS$82&amp;"C"&amp;$A100))</f>
        <v>0.03</v>
      </c>
      <c r="DB100" s="3">
        <f>IF(RTD("tos.rtd",,DB$83,"."&amp;$B$82&amp;$AS$82&amp;"P"&amp;$A100)="N/A",0,RTD("tos.rtd",,DB$83,"."&amp;$B$82&amp;$AS$82&amp;"P"&amp;$A100))</f>
        <v>25.1</v>
      </c>
      <c r="DC100" s="3">
        <f>IF(RTD("tos.rtd",,DC$83,"."&amp;$B$82&amp;$AS$82&amp;"C"&amp;$A100)="N/A",0,RTD("tos.rtd",,DC$83,"."&amp;$B$82&amp;$AS$82&amp;"C"&amp;$A100))</f>
        <v>0.05</v>
      </c>
      <c r="DD100" s="3">
        <f>IF(RTD("tos.rtd",,DD$83,"."&amp;$B$82&amp;$AS$82&amp;"P"&amp;$A100)="N/A",0,RTD("tos.rtd",,DD$83,"."&amp;$B$82&amp;$AS$82&amp;"P"&amp;$A100))</f>
        <v>27.9</v>
      </c>
      <c r="DE100" s="3">
        <f>IF(RTD("tos.rtd",,DE$83,"."&amp;$B$82&amp;$AS$82&amp;"C"&amp;$A100)="N/A",0,RTD("tos.rtd",,DE$83,"."&amp;$B$82&amp;$AS$82&amp;"C"&amp;$A100))</f>
        <v>0</v>
      </c>
      <c r="DF100" s="3">
        <f>IF(RTD("tos.rtd",,DF$83,"."&amp;$B$82&amp;$AS$82&amp;"P"&amp;$A100)="N/A",0,RTD("tos.rtd",,DF$83,"."&amp;$B$82&amp;$AS$82&amp;"P"&amp;$A100))</f>
        <v>24.1</v>
      </c>
      <c r="DG100" s="86">
        <f t="shared" si="499"/>
        <v>28.25</v>
      </c>
      <c r="DH100" s="3">
        <f t="shared" si="468"/>
        <v>0</v>
      </c>
      <c r="DI100" s="3">
        <f t="shared" si="469"/>
        <v>0</v>
      </c>
      <c r="DJ100" s="3">
        <f t="shared" si="470"/>
        <v>0</v>
      </c>
      <c r="DK100" s="3">
        <f t="shared" si="471"/>
        <v>0</v>
      </c>
      <c r="DL100" s="3">
        <f t="shared" si="472"/>
        <v>0</v>
      </c>
      <c r="DM100" s="3">
        <f t="shared" si="473"/>
        <v>0</v>
      </c>
      <c r="DN100" s="64" t="str">
        <f t="shared" si="474"/>
        <v>UNKNOWN</v>
      </c>
      <c r="DO100" s="64" t="str">
        <f t="shared" si="475"/>
        <v>UNKNOWN</v>
      </c>
      <c r="DP100" s="3">
        <f t="shared" si="476"/>
        <v>0</v>
      </c>
      <c r="DQ100" s="3">
        <f t="shared" si="477"/>
        <v>0</v>
      </c>
      <c r="DR100" s="3">
        <f t="shared" ca="1" si="478"/>
        <v>0</v>
      </c>
      <c r="DS100" s="3">
        <f t="shared" si="479"/>
        <v>0</v>
      </c>
      <c r="DT100" s="3">
        <f t="shared" si="500"/>
        <v>0</v>
      </c>
      <c r="DU100" s="3">
        <f t="shared" si="501"/>
        <v>0</v>
      </c>
      <c r="DV100" s="3">
        <f t="shared" si="502"/>
        <v>-1225</v>
      </c>
      <c r="DW100" s="3">
        <f t="shared" si="503"/>
        <v>-275</v>
      </c>
      <c r="DX100" s="3">
        <f t="shared" ca="1" si="512"/>
        <v>6.1593470899479995E-3</v>
      </c>
      <c r="DY100" s="3">
        <f t="shared" ca="1" si="480"/>
        <v>-8.3143411696440933E-3</v>
      </c>
      <c r="DZ100" s="3">
        <f t="shared" ca="1" si="504"/>
        <v>3.1812520592649027E-3</v>
      </c>
      <c r="EA100" s="3">
        <f t="shared" ca="1" si="505"/>
        <v>-3.1441021451830546E-3</v>
      </c>
      <c r="EB100" s="3">
        <f t="shared" ca="1" si="481"/>
        <v>3.6781063735325842E-3</v>
      </c>
      <c r="EC100" s="3">
        <f t="shared" ca="1" si="482"/>
        <v>-3.4865385442087531E-3</v>
      </c>
      <c r="ED100" s="63">
        <f t="shared" si="506"/>
        <v>-1500</v>
      </c>
      <c r="EE100" s="59">
        <f t="shared" si="483"/>
        <v>0.2382</v>
      </c>
      <c r="EF100" s="59">
        <f t="shared" si="484"/>
        <v>0.3241</v>
      </c>
      <c r="EG100" s="59">
        <f t="shared" si="485"/>
        <v>0.17080000000000001</v>
      </c>
      <c r="EH100" s="59">
        <f t="shared" si="486"/>
        <v>0.1729</v>
      </c>
      <c r="EI100" s="59">
        <f t="shared" si="487"/>
        <v>0.1467</v>
      </c>
      <c r="EJ100" s="59">
        <f t="shared" si="488"/>
        <v>0.1552</v>
      </c>
      <c r="EK100" s="63">
        <f t="shared" ca="1" si="507"/>
        <v>-179460546.11716312</v>
      </c>
      <c r="EL100" s="3" t="str">
        <f>RTD("tos.rtd",,EL$83,"."&amp;$B$82&amp;$AS$82&amp;"C"&amp;$A100)</f>
        <v>23.82%</v>
      </c>
      <c r="EM100" s="3" t="str">
        <f>RTD("tos.rtd",,EM$83,"."&amp;$B$82&amp;$AS$82&amp;"P"&amp;$A100)</f>
        <v>32.41%</v>
      </c>
      <c r="EN100" s="3" t="str">
        <f>RTD("tos.rtd",,EN$83,"."&amp;$C$82&amp;$AU$82&amp;"C"&amp;$A100)</f>
        <v>17.08%</v>
      </c>
      <c r="EO100" s="3" t="str">
        <f>RTD("tos.rtd",,EO$83,"."&amp;$C$82&amp;$AU$82&amp;"P"&amp;$A100)</f>
        <v>17.29%</v>
      </c>
      <c r="EP100" s="3" t="str">
        <f>RTD("tos.rtd",,EP$83,"."&amp;$D$82&amp;$AW$82&amp;"C"&amp;$A100)</f>
        <v>14.67%</v>
      </c>
      <c r="EQ100" s="3" t="str">
        <f>RTD("tos.rtd",,EQ$83,"."&amp;$D$82&amp;$AW$82&amp;"P"&amp;$A100)</f>
        <v>15.52%</v>
      </c>
      <c r="ES100" s="63" t="str">
        <f t="shared" si="489"/>
        <v>5870,-1500.00</v>
      </c>
      <c r="ET100" s="63" t="str">
        <f t="shared" ca="1" si="490"/>
        <v>5870,86102.17</v>
      </c>
      <c r="EU100" s="67">
        <v>572</v>
      </c>
      <c r="EV100" s="67" t="s">
        <v>819</v>
      </c>
      <c r="EW100" s="67">
        <v>496.92</v>
      </c>
      <c r="EX100" s="67" t="s">
        <v>820</v>
      </c>
      <c r="EY100" s="67">
        <v>5659.91</v>
      </c>
      <c r="EZ100" s="67" t="s">
        <v>821</v>
      </c>
      <c r="FA100" s="67">
        <v>20061.449000000001</v>
      </c>
      <c r="FB100" s="67" t="s">
        <v>822</v>
      </c>
      <c r="FC100" s="67" t="s">
        <v>823</v>
      </c>
      <c r="FD100" s="67" t="s">
        <v>824</v>
      </c>
      <c r="FE100" s="68" t="s">
        <v>825</v>
      </c>
      <c r="FF100" s="68" t="s">
        <v>826</v>
      </c>
    </row>
    <row r="101" spans="1:162" s="63" customFormat="1" ht="12" customHeight="1" thickBot="1" x14ac:dyDescent="0.25">
      <c r="A101" s="2">
        <f t="shared" si="508"/>
        <v>5860</v>
      </c>
      <c r="B101" s="3">
        <f t="shared" si="451"/>
        <v>1086</v>
      </c>
      <c r="C101" s="3">
        <f t="shared" si="452"/>
        <v>871</v>
      </c>
      <c r="D101" s="3">
        <f t="shared" si="453"/>
        <v>760</v>
      </c>
      <c r="E101" s="3">
        <f t="shared" si="519"/>
        <v>2717</v>
      </c>
      <c r="F101" s="4">
        <f t="shared" si="522"/>
        <v>5884.0749775324175</v>
      </c>
      <c r="G101" s="4">
        <f t="shared" si="520"/>
        <v>584.77117302178283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>
        <v>-941</v>
      </c>
      <c r="AN101" s="20">
        <v>-19</v>
      </c>
      <c r="AO101" s="20">
        <v>5860</v>
      </c>
      <c r="AP101" s="20">
        <v>71277</v>
      </c>
      <c r="AQ101" s="20">
        <v>-2630</v>
      </c>
      <c r="AR101" s="20"/>
      <c r="AS101" s="54">
        <f>IF(RTD("tos.rtd",,AS$83,"."&amp;$B$82&amp;$AS$82&amp;"C"&amp;$A101)="N/A",0,RTD("tos.rtd",,AS$83,"."&amp;$B$82&amp;$AS$82&amp;"C"&amp;$A101))</f>
        <v>1046</v>
      </c>
      <c r="AT101" s="3">
        <f>-IF(RTD("tos.rtd",,AT$83,"."&amp;$B$82&amp;$AS$82&amp;"P"&amp;$A101)="N/A",0,RTD("tos.rtd",,AT$83,"."&amp;$B$82&amp;$AS$82&amp;"P"&amp;$A101))</f>
        <v>-40</v>
      </c>
      <c r="AU101" s="54">
        <f>IF(RTD("tos.rtd",,AU$83,"."&amp;$C$82&amp;$AU$82&amp;"C"&amp;$A101)="N/A",0,RTD("tos.rtd",,AU$83,"."&amp;$C$82&amp;$AU$82&amp;"C"&amp;$A101))</f>
        <v>273</v>
      </c>
      <c r="AV101" s="3">
        <f>-IF(RTD("tos.rtd",,AV$83,"."&amp;$C$82&amp;$AU$82&amp;"P"&amp;$A101)="N/A",0,RTD("tos.rtd",,AV$83,"."&amp;$C$82&amp;$AU$82&amp;"P"&amp;$A101))</f>
        <v>-598</v>
      </c>
      <c r="AW101" s="54">
        <f>IF(RTD("tos.rtd",,AW$83,"."&amp;$D$82&amp;$AW$82&amp;"C"&amp;$A101)="N/A",0,RTD("tos.rtd",,AW$83,"."&amp;$D$82&amp;$AW$82&amp;"C"&amp;$A101))</f>
        <v>402</v>
      </c>
      <c r="AX101" s="3">
        <f>-IF(RTD("tos.rtd",,AX$83,"."&amp;$D$82&amp;$AW$82&amp;"P"&amp;$A101)="N/A",0,RTD("tos.rtd",,AX$83,"."&amp;$D$82&amp;$AW$82&amp;"P"&amp;$A101))</f>
        <v>-358</v>
      </c>
      <c r="AY101" s="79">
        <f t="shared" si="521"/>
        <v>725</v>
      </c>
      <c r="AZ101" s="8">
        <f t="shared" si="455"/>
        <v>5860</v>
      </c>
      <c r="BA101" s="54">
        <f>IF(RTD("tos.rtd",,BA$83,"."&amp;$B$82&amp;$AS$82&amp;"C"&amp;$A101)="N/A",0,RTD("tos.rtd",,BA$83,"."&amp;$B$82&amp;$AS$82&amp;"C"&amp;$A101))</f>
        <v>71277</v>
      </c>
      <c r="BB101" s="3">
        <f>-IF(RTD("tos.rtd",,BB$83,"."&amp;$B$82&amp;$AS$82&amp;"P"&amp;$A101)="N/A",0,RTD("tos.rtd",,BB$83,"."&amp;$B$82&amp;$AS$82&amp;"P"&amp;$A101))</f>
        <v>-2630</v>
      </c>
      <c r="BC101" s="54">
        <f>IF(RTD("tos.rtd",,BC$83,"."&amp;$C$82&amp;$AU$82&amp;"C"&amp;$A101)="N/A",0,RTD("tos.rtd",,BC$83,"."&amp;$C$82&amp;$AU$82&amp;"C"&amp;$A101))</f>
        <v>682</v>
      </c>
      <c r="BD101" s="3">
        <f>-IF(RTD("tos.rtd",,BD$83,"."&amp;$C$82&amp;$AU$82&amp;"P"&amp;$A101)="N/A",0,RTD("tos.rtd",,BD$83,"."&amp;$C$82&amp;$AU$82&amp;"P"&amp;$A101))</f>
        <v>-57</v>
      </c>
      <c r="BE101" s="54">
        <f>IF(RTD("tos.rtd",,BE$83,"."&amp;$D$82&amp;$AW$82&amp;"C"&amp;$A101)="N/A",0,RTD("tos.rtd",,BE$83,"."&amp;$D$82&amp;$AW$82&amp;"C"&amp;$A101))</f>
        <v>1072</v>
      </c>
      <c r="BF101" s="3">
        <f>-IF(RTD("tos.rtd",,BF$83,"."&amp;$D$82&amp;$AW$82&amp;"P"&amp;$A101)="N/A",0,RTD("tos.rtd",,BF$83,"."&amp;$D$82&amp;$AW$82&amp;"P"&amp;$A101))</f>
        <v>-1061</v>
      </c>
      <c r="BG101" s="3">
        <f ca="1">+Hoja2!Y102</f>
        <v>137</v>
      </c>
      <c r="BH101" s="55">
        <f t="shared" ca="1" si="493"/>
        <v>69420</v>
      </c>
      <c r="BI101" s="32" t="str">
        <f t="shared" ca="1" si="513"/>
        <v/>
      </c>
      <c r="BJ101" s="3">
        <f ca="1">IF($BP$1=1,DX101,IF(RTD("tos.rtd",,BJ$83,"."&amp;$B$82&amp;$AS$82&amp;"C"&amp;$A101)="N/A",0,RTD("tos.rtd",,BJ$83,"."&amp;$B$82&amp;$AS$82&amp;"C"&amp;$A101)))</f>
        <v>9.6659939434200447E-3</v>
      </c>
      <c r="BK101" s="3">
        <f ca="1">IF($BP$1=1,DY101,-IF(RTD("tos.rtd",,BK$83,"."&amp;$B$82&amp;$AS$82&amp;"P"&amp;$A101)="N/A",0,RTD("tos.rtd",,BK$83,"."&amp;$B$82&amp;$AS$82&amp;"P"&amp;$A101)))</f>
        <v>-1.3327786043911454E-2</v>
      </c>
      <c r="BL101" s="3">
        <f ca="1">IF($BP$1=1,DZ101,IF(RTD("tos.rtd",,BL$83,"."&amp;$C$82&amp;$AU$82&amp;"C"&amp;$A101)="N/A",0,RTD("tos.rtd",,BL$83,"."&amp;$C$82&amp;$AU$82&amp;"C"&amp;$A101)))</f>
        <v>3.1917365690194857E-3</v>
      </c>
      <c r="BM101" s="3">
        <f ca="1">IF($BP$1=1,EA101,-IF(RTD("tos.rtd",,BM$83,"."&amp;$C$82&amp;$AU$82&amp;"P"&amp;$A101)="N/A",0,RTD("tos.rtd",,BM$83,"."&amp;$C$82&amp;$AU$82&amp;"P"&amp;$A101)))</f>
        <v>-3.1520282234425482E-3</v>
      </c>
      <c r="BN101" s="3">
        <f ca="1">IF($BP$1=1,EB101,IF(RTD("tos.rtd",,BN$83,"."&amp;$D$82&amp;$AW$82&amp;"C"&amp;$A101)="N/A",0,RTD("tos.rtd",,BN$83,"."&amp;$D$82&amp;$AW$82&amp;"C"&amp;$A101)))</f>
        <v>3.7118150686831176E-3</v>
      </c>
      <c r="BO101" s="3">
        <f ca="1">IF($BP$1=1,EC101,-IF(RTD("tos.rtd",,BO$83,"."&amp;$D$82&amp;$AW$82&amp;"P"&amp;$A101)="N/A",0,RTD("tos.rtd",,BO$83,"."&amp;$D$82&amp;$AW$82&amp;"P"&amp;$A101)))</f>
        <v>-3.5111566685026292E-3</v>
      </c>
      <c r="BQ101" s="3">
        <f t="shared" ca="1" si="456"/>
        <v>2468305.3119821232</v>
      </c>
      <c r="BR101" s="3" t="str">
        <f t="shared" ca="1" si="494"/>
        <v/>
      </c>
      <c r="BS101" s="3">
        <f t="shared" ca="1" si="457"/>
        <v>-261215.60729038308</v>
      </c>
      <c r="BT101" s="3" t="str">
        <f t="shared" ca="1" si="494"/>
        <v/>
      </c>
      <c r="BU101" s="3">
        <f t="shared" ca="1" si="458"/>
        <v>60603.982134243823</v>
      </c>
      <c r="BV101" s="3" t="str">
        <f t="shared" ca="1" si="494"/>
        <v>Cruce +</v>
      </c>
      <c r="BX101" s="3">
        <f t="shared" ca="1" si="459"/>
        <v>168525069.9243578</v>
      </c>
      <c r="BY101" s="3" t="str">
        <f t="shared" ca="1" si="510"/>
        <v/>
      </c>
      <c r="BZ101" s="3">
        <f t="shared" ca="1" si="460"/>
        <v>514689.64008211286</v>
      </c>
      <c r="CA101" s="3" t="str">
        <f t="shared" ca="1" si="510"/>
        <v/>
      </c>
      <c r="CB101" s="3">
        <f t="shared" ca="1" si="461"/>
        <v>65390.580287529039</v>
      </c>
      <c r="CC101" s="3" t="str">
        <f t="shared" ca="1" si="510"/>
        <v/>
      </c>
      <c r="CD101" s="3">
        <f>IF(RTD("tos.rtd",,CD$83,"."&amp;$B$82&amp;$AS$82&amp;"C"&amp;$A101)="N/A",0,RTD("tos.rtd",,CD$83,"."&amp;$B$82&amp;$AS$82&amp;"C"&amp;$A101))</f>
        <v>0.01</v>
      </c>
      <c r="CE101" s="3">
        <f>-IF(RTD("tos.rtd",,CE$83,"."&amp;$B$82&amp;$AS$82&amp;"P"&amp;$A101)="N/A",0,RTD("tos.rtd",,CE$83,"."&amp;$B$82&amp;$AS$82&amp;"P"&amp;$A101))</f>
        <v>1</v>
      </c>
      <c r="CF101" s="3">
        <f>IF(RTD("tos.rtd",,CF$83,"."&amp;$C$82&amp;$AU$82&amp;"C"&amp;$A101)="N/A",0,RTD("tos.rtd",,CF$83,"."&amp;$C$82&amp;$AU$82&amp;"C"&amp;$A101))</f>
        <v>0.45</v>
      </c>
      <c r="CG101" s="3">
        <f>-IF(RTD("tos.rtd",,CG$83,"."&amp;$C$82&amp;$AU$82&amp;"P"&amp;$A101)="N/A",0,RTD("tos.rtd",,CG$83,"."&amp;$C$82&amp;$AU$82&amp;"P"&amp;$A101))</f>
        <v>0.55000000000000004</v>
      </c>
      <c r="CH101" s="3">
        <f>IF(RTD("tos.rtd",,CH$83,"."&amp;$D$82&amp;$AW$82&amp;"C"&amp;$A101)="N/A",0,RTD("tos.rtd",,CH$83,"."&amp;$D$82&amp;$AW$82&amp;"C"&amp;$A101))</f>
        <v>0.53</v>
      </c>
      <c r="CI101" s="3">
        <f>-IF(RTD("tos.rtd",,CI$83,"."&amp;$D$82&amp;$AW$82&amp;"P"&amp;$A101)="N/A",0,RTD("tos.rtd",,CI$83,"."&amp;$D$82&amp;$AW$82&amp;"P"&amp;$A101))</f>
        <v>0.47</v>
      </c>
      <c r="CK101" s="3">
        <f t="shared" si="495"/>
        <v>-2954</v>
      </c>
      <c r="CL101" s="3"/>
      <c r="CM101" s="3">
        <f t="shared" si="496"/>
        <v>-20605</v>
      </c>
      <c r="CN101" s="3"/>
      <c r="CO101" s="3">
        <f t="shared" si="497"/>
        <v>4480</v>
      </c>
      <c r="CP101" s="3">
        <f t="shared" si="462"/>
        <v>-19079</v>
      </c>
      <c r="CQ101" s="3">
        <f t="shared" si="463"/>
        <v>68647</v>
      </c>
      <c r="CR101" s="3"/>
      <c r="CS101" s="3">
        <f t="shared" si="464"/>
        <v>625</v>
      </c>
      <c r="CT101" s="3"/>
      <c r="CU101" s="3">
        <f t="shared" si="465"/>
        <v>11</v>
      </c>
      <c r="CV101" s="3"/>
      <c r="CW101" s="3">
        <f t="shared" ca="1" si="466"/>
        <v>2267693.6868259842</v>
      </c>
      <c r="CY101" s="3">
        <f t="shared" ca="1" si="467"/>
        <v>169105150.14472744</v>
      </c>
      <c r="CZ101" s="70" t="str">
        <f t="shared" ca="1" si="511"/>
        <v/>
      </c>
      <c r="DA101" s="3">
        <f>IF(RTD("tos.rtd",,DA$83,"."&amp;$B$82&amp;$AS$82&amp;"C"&amp;$A101)="N/A",0,RTD("tos.rtd",,DA$83,"."&amp;$B$82&amp;$AS$82&amp;"C"&amp;$A101))</f>
        <v>0.05</v>
      </c>
      <c r="DB101" s="3">
        <f>IF(RTD("tos.rtd",,DB$83,"."&amp;$B$82&amp;$AS$82&amp;"P"&amp;$A101)="N/A",0,RTD("tos.rtd",,DB$83,"."&amp;$B$82&amp;$AS$82&amp;"P"&amp;$A101))</f>
        <v>15.1</v>
      </c>
      <c r="DC101" s="3">
        <f>IF(RTD("tos.rtd",,DC$83,"."&amp;$B$82&amp;$AS$82&amp;"C"&amp;$A101)="N/A",0,RTD("tos.rtd",,DC$83,"."&amp;$B$82&amp;$AS$82&amp;"C"&amp;$A101))</f>
        <v>0.05</v>
      </c>
      <c r="DD101" s="3">
        <f>IF(RTD("tos.rtd",,DD$83,"."&amp;$B$82&amp;$AS$82&amp;"P"&amp;$A101)="N/A",0,RTD("tos.rtd",,DD$83,"."&amp;$B$82&amp;$AS$82&amp;"P"&amp;$A101))</f>
        <v>16.7</v>
      </c>
      <c r="DE101" s="3">
        <f>IF(RTD("tos.rtd",,DE$83,"."&amp;$B$82&amp;$AS$82&amp;"C"&amp;$A101)="N/A",0,RTD("tos.rtd",,DE$83,"."&amp;$B$82&amp;$AS$82&amp;"C"&amp;$A101))</f>
        <v>0</v>
      </c>
      <c r="DF101" s="3">
        <f>IF(RTD("tos.rtd",,DF$83,"."&amp;$B$82&amp;$AS$82&amp;"P"&amp;$A101)="N/A",0,RTD("tos.rtd",,DF$83,"."&amp;$B$82&amp;$AS$82&amp;"P"&amp;$A101))</f>
        <v>14.1</v>
      </c>
      <c r="DG101" s="86">
        <f t="shared" si="499"/>
        <v>18.25</v>
      </c>
      <c r="DH101" s="3">
        <f t="shared" si="468"/>
        <v>0</v>
      </c>
      <c r="DI101" s="3">
        <f t="shared" si="469"/>
        <v>0</v>
      </c>
      <c r="DJ101" s="3">
        <f t="shared" si="470"/>
        <v>0</v>
      </c>
      <c r="DK101" s="3">
        <f t="shared" si="471"/>
        <v>0</v>
      </c>
      <c r="DL101" s="3">
        <f t="shared" si="472"/>
        <v>0</v>
      </c>
      <c r="DM101" s="3">
        <f t="shared" si="473"/>
        <v>0</v>
      </c>
      <c r="DN101" s="64" t="str">
        <f t="shared" si="474"/>
        <v>UNKNOWN</v>
      </c>
      <c r="DO101" s="64" t="str">
        <f t="shared" si="475"/>
        <v>UNKNOWN</v>
      </c>
      <c r="DP101" s="3">
        <f t="shared" si="476"/>
        <v>0</v>
      </c>
      <c r="DQ101" s="3">
        <f t="shared" si="477"/>
        <v>0</v>
      </c>
      <c r="DR101" s="3">
        <f t="shared" ca="1" si="478"/>
        <v>0</v>
      </c>
      <c r="DS101" s="3">
        <f t="shared" si="479"/>
        <v>0</v>
      </c>
      <c r="DT101" s="3">
        <f t="shared" si="500"/>
        <v>0</v>
      </c>
      <c r="DU101" s="3">
        <f t="shared" si="501"/>
        <v>0</v>
      </c>
      <c r="DV101" s="3">
        <f t="shared" si="502"/>
        <v>-941</v>
      </c>
      <c r="DW101" s="3">
        <f t="shared" si="503"/>
        <v>-19</v>
      </c>
      <c r="DX101" s="3">
        <f t="shared" ca="1" si="512"/>
        <v>9.6659939434200447E-3</v>
      </c>
      <c r="DY101" s="3">
        <f t="shared" ca="1" si="480"/>
        <v>-1.3327786043911454E-2</v>
      </c>
      <c r="DZ101" s="3">
        <f t="shared" ca="1" si="504"/>
        <v>3.1917365690194857E-3</v>
      </c>
      <c r="EA101" s="3">
        <f t="shared" ca="1" si="505"/>
        <v>-3.1520282234425482E-3</v>
      </c>
      <c r="EB101" s="3">
        <f t="shared" ca="1" si="481"/>
        <v>3.7118150686831176E-3</v>
      </c>
      <c r="EC101" s="3">
        <f t="shared" ca="1" si="482"/>
        <v>-3.5111566685026292E-3</v>
      </c>
      <c r="ED101" s="63">
        <f t="shared" si="506"/>
        <v>-960</v>
      </c>
      <c r="EE101" s="59">
        <f t="shared" si="483"/>
        <v>0.15529999999999999</v>
      </c>
      <c r="EF101" s="59">
        <f t="shared" si="484"/>
        <v>0.25</v>
      </c>
      <c r="EG101" s="59">
        <f t="shared" si="485"/>
        <v>0.17230000000000001</v>
      </c>
      <c r="EH101" s="59">
        <f t="shared" si="486"/>
        <v>0.17449999999999999</v>
      </c>
      <c r="EI101" s="59">
        <f t="shared" si="487"/>
        <v>0.14779999999999999</v>
      </c>
      <c r="EJ101" s="59">
        <f t="shared" si="488"/>
        <v>0.15640000000000001</v>
      </c>
      <c r="EK101" s="63">
        <f t="shared" ca="1" si="507"/>
        <v>-301758592.73848677</v>
      </c>
      <c r="EL101" s="3" t="str">
        <f>RTD("tos.rtd",,EL$83,"."&amp;$B$82&amp;$AS$82&amp;"C"&amp;$A101)</f>
        <v>15.53%</v>
      </c>
      <c r="EM101" s="3" t="str">
        <f>RTD("tos.rtd",,EM$83,"."&amp;$B$82&amp;$AS$82&amp;"P"&amp;$A101)</f>
        <v>--</v>
      </c>
      <c r="EN101" s="3" t="str">
        <f>RTD("tos.rtd",,EN$83,"."&amp;$C$82&amp;$AU$82&amp;"C"&amp;$A101)</f>
        <v>17.23%</v>
      </c>
      <c r="EO101" s="3" t="str">
        <f>RTD("tos.rtd",,EO$83,"."&amp;$C$82&amp;$AU$82&amp;"P"&amp;$A101)</f>
        <v>17.45%</v>
      </c>
      <c r="EP101" s="3" t="str">
        <f>RTD("tos.rtd",,EP$83,"."&amp;$D$82&amp;$AW$82&amp;"C"&amp;$A101)</f>
        <v>14.78%</v>
      </c>
      <c r="EQ101" s="3" t="str">
        <f>RTD("tos.rtd",,EQ$83,"."&amp;$D$82&amp;$AW$82&amp;"P"&amp;$A101)</f>
        <v>15.64%</v>
      </c>
      <c r="ES101" s="63" t="str">
        <f t="shared" si="489"/>
        <v>5860,-960.00</v>
      </c>
      <c r="ET101" s="63" t="str">
        <f t="shared" ca="1" si="490"/>
        <v>5860,169105.15</v>
      </c>
      <c r="EU101" s="67">
        <v>572.03</v>
      </c>
      <c r="EV101" s="67" t="s">
        <v>827</v>
      </c>
      <c r="EW101" s="67">
        <v>496.96</v>
      </c>
      <c r="EX101" s="67" t="s">
        <v>828</v>
      </c>
      <c r="EY101" s="67">
        <v>5659.91</v>
      </c>
      <c r="EZ101" s="67" t="s">
        <v>829</v>
      </c>
      <c r="FA101" s="67">
        <v>20061.449000000001</v>
      </c>
      <c r="FB101" s="67" t="s">
        <v>830</v>
      </c>
      <c r="FC101" s="67" t="s">
        <v>831</v>
      </c>
      <c r="FD101" s="67" t="s">
        <v>832</v>
      </c>
      <c r="FE101" s="68" t="s">
        <v>833</v>
      </c>
      <c r="FF101" s="68" t="s">
        <v>834</v>
      </c>
    </row>
    <row r="102" spans="1:162" s="63" customFormat="1" ht="12" customHeight="1" thickBot="1" x14ac:dyDescent="0.25">
      <c r="A102" s="2">
        <f t="shared" si="508"/>
        <v>5850</v>
      </c>
      <c r="B102" s="3">
        <f t="shared" si="451"/>
        <v>2593</v>
      </c>
      <c r="C102" s="3">
        <f t="shared" si="452"/>
        <v>19048</v>
      </c>
      <c r="D102" s="3">
        <f t="shared" si="453"/>
        <v>37282</v>
      </c>
      <c r="E102" s="3">
        <f t="shared" si="519"/>
        <v>58923</v>
      </c>
      <c r="F102" s="4">
        <f t="shared" si="522"/>
        <v>5874.0338939530102</v>
      </c>
      <c r="G102" s="4">
        <f t="shared" si="520"/>
        <v>583.77326999614843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>
        <v>-3290</v>
      </c>
      <c r="AN102" s="20">
        <v>1997</v>
      </c>
      <c r="AO102" s="20">
        <v>5850</v>
      </c>
      <c r="AP102" s="20">
        <v>164330</v>
      </c>
      <c r="AQ102" s="20">
        <v>-12012</v>
      </c>
      <c r="AR102" s="20"/>
      <c r="AS102" s="54">
        <f>IF(RTD("tos.rtd",,AS$83,"."&amp;$B$82&amp;$AS$82&amp;"C"&amp;$A102)="N/A",0,RTD("tos.rtd",,AS$83,"."&amp;$B$82&amp;$AS$82&amp;"C"&amp;$A102))</f>
        <v>2420</v>
      </c>
      <c r="AT102" s="3">
        <f>-IF(RTD("tos.rtd",,AT$83,"."&amp;$B$82&amp;$AS$82&amp;"P"&amp;$A102)="N/A",0,RTD("tos.rtd",,AT$83,"."&amp;$B$82&amp;$AS$82&amp;"P"&amp;$A102))</f>
        <v>-173</v>
      </c>
      <c r="AU102" s="54">
        <f>IF(RTD("tos.rtd",,AU$83,"."&amp;$C$82&amp;$AU$82&amp;"C"&amp;$A102)="N/A",0,RTD("tos.rtd",,AU$83,"."&amp;$C$82&amp;$AU$82&amp;"C"&amp;$A102))</f>
        <v>15275</v>
      </c>
      <c r="AV102" s="3">
        <f>-IF(RTD("tos.rtd",,AV$83,"."&amp;$C$82&amp;$AU$82&amp;"P"&amp;$A102)="N/A",0,RTD("tos.rtd",,AV$83,"."&amp;$C$82&amp;$AU$82&amp;"P"&amp;$A102))</f>
        <v>-3773</v>
      </c>
      <c r="AW102" s="54">
        <f>IF(RTD("tos.rtd",,AW$83,"."&amp;$D$82&amp;$AW$82&amp;"C"&amp;$A102)="N/A",0,RTD("tos.rtd",,AW$83,"."&amp;$D$82&amp;$AW$82&amp;"C"&amp;$A102))</f>
        <v>22103</v>
      </c>
      <c r="AX102" s="3">
        <f>-IF(RTD("tos.rtd",,AX$83,"."&amp;$D$82&amp;$AW$82&amp;"P"&amp;$A102)="N/A",0,RTD("tos.rtd",,AX$83,"."&amp;$D$82&amp;$AW$82&amp;"P"&amp;$A102))</f>
        <v>-15179</v>
      </c>
      <c r="AY102" s="79">
        <f t="shared" si="521"/>
        <v>20673</v>
      </c>
      <c r="AZ102" s="8">
        <f t="shared" si="455"/>
        <v>5850</v>
      </c>
      <c r="BA102" s="54">
        <f>IF(RTD("tos.rtd",,BA$83,"."&amp;$B$82&amp;$AS$82&amp;"C"&amp;$A102)="N/A",0,RTD("tos.rtd",,BA$83,"."&amp;$B$82&amp;$AS$82&amp;"C"&amp;$A102))</f>
        <v>164330</v>
      </c>
      <c r="BB102" s="3">
        <f>-IF(RTD("tos.rtd",,BB$83,"."&amp;$B$82&amp;$AS$82&amp;"P"&amp;$A102)="N/A",0,RTD("tos.rtd",,BB$83,"."&amp;$B$82&amp;$AS$82&amp;"P"&amp;$A102))</f>
        <v>-12012</v>
      </c>
      <c r="BC102" s="54">
        <f>IF(RTD("tos.rtd",,BC$83,"."&amp;$C$82&amp;$AU$82&amp;"C"&amp;$A102)="N/A",0,RTD("tos.rtd",,BC$83,"."&amp;$C$82&amp;$AU$82&amp;"C"&amp;$A102))</f>
        <v>5357</v>
      </c>
      <c r="BD102" s="3">
        <f>-IF(RTD("tos.rtd",,BD$83,"."&amp;$C$82&amp;$AU$82&amp;"P"&amp;$A102)="N/A",0,RTD("tos.rtd",,BD$83,"."&amp;$C$82&amp;$AU$82&amp;"P"&amp;$A102))</f>
        <v>-4111</v>
      </c>
      <c r="BE102" s="54">
        <f>IF(RTD("tos.rtd",,BE$83,"."&amp;$D$82&amp;$AW$82&amp;"C"&amp;$A102)="N/A",0,RTD("tos.rtd",,BE$83,"."&amp;$D$82&amp;$AW$82&amp;"C"&amp;$A102))</f>
        <v>11521</v>
      </c>
      <c r="BF102" s="3">
        <f>-IF(RTD("tos.rtd",,BF$83,"."&amp;$D$82&amp;$AW$82&amp;"P"&amp;$A102)="N/A",0,RTD("tos.rtd",,BF$83,"."&amp;$D$82&amp;$AW$82&amp;"P"&amp;$A102))</f>
        <v>-9501</v>
      </c>
      <c r="BG102" s="3">
        <f ca="1">+Hoja2!Y103</f>
        <v>3446</v>
      </c>
      <c r="BH102" s="55">
        <f t="shared" ca="1" si="493"/>
        <v>159030</v>
      </c>
      <c r="BI102" s="32" t="str">
        <f t="shared" ca="1" si="513"/>
        <v/>
      </c>
      <c r="BJ102" s="3">
        <f ca="1">IF($BP$1=1,DX102,IF(RTD("tos.rtd",,BJ$83,"."&amp;$B$82&amp;$AS$82&amp;"C"&amp;$A102)="N/A",0,RTD("tos.rtd",,BJ$83,"."&amp;$B$82&amp;$AS$82&amp;"C"&amp;$A102)))</f>
        <v>1.9197327636345123E-2</v>
      </c>
      <c r="BK102" s="3">
        <f ca="1">IF($BP$1=1,DY102,-IF(RTD("tos.rtd",,BK$83,"."&amp;$B$82&amp;$AS$82&amp;"P"&amp;$A102)="N/A",0,RTD("tos.rtd",,BK$83,"."&amp;$B$82&amp;$AS$82&amp;"P"&amp;$A102)))</f>
        <v>-1.9845529019758779E-2</v>
      </c>
      <c r="BL102" s="3">
        <f ca="1">IF($BP$1=1,DZ102,IF(RTD("tos.rtd",,BL$83,"."&amp;$C$82&amp;$AU$82&amp;"C"&amp;$A102)="N/A",0,RTD("tos.rtd",,BL$83,"."&amp;$C$82&amp;$AU$82&amp;"C"&amp;$A102)))</f>
        <v>3.1773086793295004E-3</v>
      </c>
      <c r="BM102" s="3">
        <f ca="1">IF($BP$1=1,EA102,-IF(RTD("tos.rtd",,BM$83,"."&amp;$C$82&amp;$AU$82&amp;"P"&amp;$A102)="N/A",0,RTD("tos.rtd",,BM$83,"."&amp;$C$82&amp;$AU$82&amp;"P"&amp;$A102)))</f>
        <v>-3.1376828938046463E-3</v>
      </c>
      <c r="BN102" s="3">
        <f ca="1">IF($BP$1=1,EB102,IF(RTD("tos.rtd",,BN$83,"."&amp;$D$82&amp;$AW$82&amp;"C"&amp;$A102)="N/A",0,RTD("tos.rtd",,BN$83,"."&amp;$D$82&amp;$AW$82&amp;"C"&amp;$A102)))</f>
        <v>3.7071191649292999E-3</v>
      </c>
      <c r="BO102" s="3">
        <f ca="1">IF($BP$1=1,EC102,-IF(RTD("tos.rtd",,BO$83,"."&amp;$D$82&amp;$AW$82&amp;"P"&amp;$A102)="N/A",0,RTD("tos.rtd",,BO$83,"."&amp;$D$82&amp;$AW$82&amp;"P"&amp;$A102)))</f>
        <v>-3.5052636430706083E-3</v>
      </c>
      <c r="BQ102" s="3">
        <f t="shared" ca="1" si="456"/>
        <v>11088154.367654735</v>
      </c>
      <c r="BR102" s="3" t="str">
        <f t="shared" ca="1" si="494"/>
        <v/>
      </c>
      <c r="BS102" s="3">
        <f t="shared" ca="1" si="457"/>
        <v>9456964.2555084638</v>
      </c>
      <c r="BT102" s="3" t="str">
        <f t="shared" ca="1" si="494"/>
        <v>Cruce +</v>
      </c>
      <c r="BU102" s="3">
        <f t="shared" ca="1" si="458"/>
        <v>7404787.9515843038</v>
      </c>
      <c r="BV102" s="3" t="str">
        <f t="shared" ca="1" si="494"/>
        <v/>
      </c>
      <c r="BX102" s="3">
        <f t="shared" ca="1" si="459"/>
        <v>751588157.99724007</v>
      </c>
      <c r="BY102" s="3" t="str">
        <f t="shared" ca="1" si="510"/>
        <v/>
      </c>
      <c r="BZ102" s="3">
        <f t="shared" ca="1" si="460"/>
        <v>1062272.1095836675</v>
      </c>
      <c r="CA102" s="3" t="str">
        <f t="shared" ca="1" si="510"/>
        <v/>
      </c>
      <c r="CB102" s="3">
        <f t="shared" ca="1" si="461"/>
        <v>2424155.9904029127</v>
      </c>
      <c r="CC102" s="3" t="str">
        <f t="shared" ca="1" si="510"/>
        <v/>
      </c>
      <c r="CD102" s="3">
        <f>IF(RTD("tos.rtd",,CD$83,"."&amp;$B$82&amp;$AS$82&amp;"C"&amp;$A102)="N/A",0,RTD("tos.rtd",,CD$83,"."&amp;$B$82&amp;$AS$82&amp;"C"&amp;$A102))</f>
        <v>0.02</v>
      </c>
      <c r="CE102" s="3">
        <f>-IF(RTD("tos.rtd",,CE$83,"."&amp;$B$82&amp;$AS$82&amp;"P"&amp;$A102)="N/A",0,RTD("tos.rtd",,CE$83,"."&amp;$B$82&amp;$AS$82&amp;"P"&amp;$A102))</f>
        <v>1</v>
      </c>
      <c r="CF102" s="3">
        <f>IF(RTD("tos.rtd",,CF$83,"."&amp;$C$82&amp;$AU$82&amp;"C"&amp;$A102)="N/A",0,RTD("tos.rtd",,CF$83,"."&amp;$C$82&amp;$AU$82&amp;"C"&amp;$A102))</f>
        <v>0.49</v>
      </c>
      <c r="CG102" s="3">
        <f>-IF(RTD("tos.rtd",,CG$83,"."&amp;$C$82&amp;$AU$82&amp;"P"&amp;$A102)="N/A",0,RTD("tos.rtd",,CG$83,"."&amp;$C$82&amp;$AU$82&amp;"P"&amp;$A102))</f>
        <v>0.51</v>
      </c>
      <c r="CH102" s="3">
        <f>IF(RTD("tos.rtd",,CH$83,"."&amp;$D$82&amp;$AW$82&amp;"C"&amp;$A102)="N/A",0,RTD("tos.rtd",,CH$83,"."&amp;$D$82&amp;$AW$82&amp;"C"&amp;$A102))</f>
        <v>0.54</v>
      </c>
      <c r="CI102" s="3">
        <f>-IF(RTD("tos.rtd",,CI$83,"."&amp;$D$82&amp;$AW$82&amp;"P"&amp;$A102)="N/A",0,RTD("tos.rtd",,CI$83,"."&amp;$D$82&amp;$AW$82&amp;"P"&amp;$A102))</f>
        <v>0.46</v>
      </c>
      <c r="CK102" s="3">
        <f t="shared" si="495"/>
        <v>-12460</v>
      </c>
      <c r="CL102" s="3"/>
      <c r="CM102" s="3">
        <f t="shared" si="496"/>
        <v>556052</v>
      </c>
      <c r="CN102" s="3"/>
      <c r="CO102" s="3">
        <f t="shared" si="497"/>
        <v>495328</v>
      </c>
      <c r="CP102" s="3">
        <f t="shared" si="462"/>
        <v>1038920</v>
      </c>
      <c r="CQ102" s="3">
        <f t="shared" si="463"/>
        <v>152318</v>
      </c>
      <c r="CR102" s="3"/>
      <c r="CS102" s="3">
        <f t="shared" si="464"/>
        <v>1246</v>
      </c>
      <c r="CT102" s="3"/>
      <c r="CU102" s="3">
        <f t="shared" si="465"/>
        <v>2020</v>
      </c>
      <c r="CV102" s="3"/>
      <c r="CW102" s="3">
        <f t="shared" ca="1" si="466"/>
        <v>27949906.574747503</v>
      </c>
      <c r="CY102" s="3">
        <f t="shared" ca="1" si="467"/>
        <v>755074586.09722662</v>
      </c>
      <c r="CZ102" s="70" t="str">
        <f t="shared" ca="1" si="511"/>
        <v/>
      </c>
      <c r="DA102" s="3">
        <f>IF(RTD("tos.rtd",,DA$83,"."&amp;$B$82&amp;$AS$82&amp;"C"&amp;$A102)="N/A",0,RTD("tos.rtd",,DA$83,"."&amp;$B$82&amp;$AS$82&amp;"C"&amp;$A102))</f>
        <v>0.05</v>
      </c>
      <c r="DB102" s="3">
        <f>IF(RTD("tos.rtd",,DB$83,"."&amp;$B$82&amp;$AS$82&amp;"P"&amp;$A102)="N/A",0,RTD("tos.rtd",,DB$83,"."&amp;$B$82&amp;$AS$82&amp;"P"&amp;$A102))</f>
        <v>5.3</v>
      </c>
      <c r="DC102" s="3">
        <f>IF(RTD("tos.rtd",,DC$83,"."&amp;$B$82&amp;$AS$82&amp;"C"&amp;$A102)="N/A",0,RTD("tos.rtd",,DC$83,"."&amp;$B$82&amp;$AS$82&amp;"C"&amp;$A102))</f>
        <v>0.05</v>
      </c>
      <c r="DD102" s="3">
        <f>IF(RTD("tos.rtd",,DD$83,"."&amp;$B$82&amp;$AS$82&amp;"P"&amp;$A102)="N/A",0,RTD("tos.rtd",,DD$83,"."&amp;$B$82&amp;$AS$82&amp;"P"&amp;$A102))</f>
        <v>6.3</v>
      </c>
      <c r="DE102" s="3">
        <f>IF(RTD("tos.rtd",,DE$83,"."&amp;$B$82&amp;$AS$82&amp;"C"&amp;$A102)="N/A",0,RTD("tos.rtd",,DE$83,"."&amp;$B$82&amp;$AS$82&amp;"C"&amp;$A102))</f>
        <v>0</v>
      </c>
      <c r="DF102" s="3">
        <f>IF(RTD("tos.rtd",,DF$83,"."&amp;$B$82&amp;$AS$82&amp;"P"&amp;$A102)="N/A",0,RTD("tos.rtd",,DF$83,"."&amp;$B$82&amp;$AS$82&amp;"P"&amp;$A102))</f>
        <v>4.8</v>
      </c>
      <c r="DG102" s="86">
        <f t="shared" si="499"/>
        <v>8.25</v>
      </c>
      <c r="DH102" s="3">
        <f t="shared" si="468"/>
        <v>0</v>
      </c>
      <c r="DI102" s="3">
        <f t="shared" si="469"/>
        <v>0</v>
      </c>
      <c r="DJ102" s="3">
        <f t="shared" si="470"/>
        <v>0</v>
      </c>
      <c r="DK102" s="3">
        <f t="shared" si="471"/>
        <v>0</v>
      </c>
      <c r="DL102" s="3">
        <f t="shared" si="472"/>
        <v>0</v>
      </c>
      <c r="DM102" s="3">
        <f t="shared" si="473"/>
        <v>0</v>
      </c>
      <c r="DN102" s="64" t="str">
        <f t="shared" si="474"/>
        <v>UNKNOWN</v>
      </c>
      <c r="DO102" s="64" t="str">
        <f t="shared" si="475"/>
        <v>UNKNOWN</v>
      </c>
      <c r="DP102" s="3">
        <f t="shared" si="476"/>
        <v>0</v>
      </c>
      <c r="DQ102" s="3">
        <f t="shared" si="477"/>
        <v>0</v>
      </c>
      <c r="DR102" s="3">
        <f t="shared" ca="1" si="478"/>
        <v>0</v>
      </c>
      <c r="DS102" s="3">
        <f t="shared" si="479"/>
        <v>0</v>
      </c>
      <c r="DT102" s="3">
        <f t="shared" si="500"/>
        <v>0</v>
      </c>
      <c r="DU102" s="3">
        <f t="shared" si="501"/>
        <v>0</v>
      </c>
      <c r="DV102" s="3">
        <f t="shared" si="502"/>
        <v>-3290</v>
      </c>
      <c r="DW102" s="3">
        <f t="shared" si="503"/>
        <v>1997</v>
      </c>
      <c r="DX102" s="3">
        <f t="shared" ca="1" si="512"/>
        <v>1.9197327636345123E-2</v>
      </c>
      <c r="DY102" s="3">
        <f t="shared" ca="1" si="480"/>
        <v>-1.9845529019758779E-2</v>
      </c>
      <c r="DZ102" s="3">
        <f t="shared" ca="1" si="504"/>
        <v>3.1773086793295004E-3</v>
      </c>
      <c r="EA102" s="3">
        <f t="shared" ca="1" si="505"/>
        <v>-3.1376828938046463E-3</v>
      </c>
      <c r="EB102" s="3">
        <f t="shared" ca="1" si="481"/>
        <v>3.7071191649292999E-3</v>
      </c>
      <c r="EC102" s="3">
        <f t="shared" ca="1" si="482"/>
        <v>-3.5052636430706083E-3</v>
      </c>
      <c r="ED102" s="63">
        <f t="shared" si="506"/>
        <v>-1293</v>
      </c>
      <c r="EE102" s="59">
        <f t="shared" si="483"/>
        <v>6.59E-2</v>
      </c>
      <c r="EF102" s="59">
        <f t="shared" si="484"/>
        <v>0.25</v>
      </c>
      <c r="EG102" s="59">
        <f t="shared" si="485"/>
        <v>0.17399999999999999</v>
      </c>
      <c r="EH102" s="59">
        <f t="shared" si="486"/>
        <v>0.1762</v>
      </c>
      <c r="EI102" s="59">
        <f t="shared" si="487"/>
        <v>0.14910000000000001</v>
      </c>
      <c r="EJ102" s="59">
        <f t="shared" si="488"/>
        <v>0.15770000000000001</v>
      </c>
      <c r="EK102" s="63">
        <f t="shared" ca="1" si="507"/>
        <v>-3507840857.1123114</v>
      </c>
      <c r="EL102" s="3" t="str">
        <f>RTD("tos.rtd",,EL$83,"."&amp;$B$82&amp;$AS$82&amp;"C"&amp;$A102)</f>
        <v>6.59%</v>
      </c>
      <c r="EM102" s="3" t="str">
        <f>RTD("tos.rtd",,EM$83,"."&amp;$B$82&amp;$AS$82&amp;"P"&amp;$A102)</f>
        <v>--</v>
      </c>
      <c r="EN102" s="3" t="str">
        <f>RTD("tos.rtd",,EN$83,"."&amp;$C$82&amp;$AU$82&amp;"C"&amp;$A102)</f>
        <v>17.40%</v>
      </c>
      <c r="EO102" s="3" t="str">
        <f>RTD("tos.rtd",,EO$83,"."&amp;$C$82&amp;$AU$82&amp;"P"&amp;$A102)</f>
        <v>17.62%</v>
      </c>
      <c r="EP102" s="3" t="str">
        <f>RTD("tos.rtd",,EP$83,"."&amp;$D$82&amp;$AW$82&amp;"C"&amp;$A102)</f>
        <v>14.91%</v>
      </c>
      <c r="EQ102" s="3" t="str">
        <f>RTD("tos.rtd",,EQ$83,"."&amp;$D$82&amp;$AW$82&amp;"P"&amp;$A102)</f>
        <v>15.77%</v>
      </c>
      <c r="ES102" s="63" t="str">
        <f t="shared" si="489"/>
        <v>5850,-1293.00</v>
      </c>
      <c r="ET102" s="63" t="str">
        <f t="shared" ca="1" si="490"/>
        <v>5850,755074.59</v>
      </c>
      <c r="EU102" s="67">
        <v>572</v>
      </c>
      <c r="EV102" s="67" t="s">
        <v>835</v>
      </c>
      <c r="EW102" s="67">
        <v>496.88</v>
      </c>
      <c r="EX102" s="67" t="s">
        <v>836</v>
      </c>
      <c r="EY102" s="67">
        <v>5659.91</v>
      </c>
      <c r="EZ102" s="67" t="s">
        <v>837</v>
      </c>
      <c r="FA102" s="67">
        <v>20061.449000000001</v>
      </c>
      <c r="FB102" s="67" t="s">
        <v>838</v>
      </c>
      <c r="FC102" s="67" t="s">
        <v>839</v>
      </c>
      <c r="FD102" s="67" t="s">
        <v>840</v>
      </c>
      <c r="FE102" s="68" t="s">
        <v>841</v>
      </c>
      <c r="FF102" s="68" t="s">
        <v>842</v>
      </c>
    </row>
    <row r="103" spans="1:162" s="63" customFormat="1" ht="12" customHeight="1" thickBot="1" x14ac:dyDescent="0.25">
      <c r="A103" s="2">
        <f t="shared" si="508"/>
        <v>5840</v>
      </c>
      <c r="B103" s="3">
        <f t="shared" si="451"/>
        <v>1612</v>
      </c>
      <c r="C103" s="3">
        <f t="shared" si="452"/>
        <v>613</v>
      </c>
      <c r="D103" s="3">
        <f t="shared" si="453"/>
        <v>1009</v>
      </c>
      <c r="E103" s="3">
        <f>SUM(B103:D103)</f>
        <v>3234</v>
      </c>
      <c r="F103" s="4">
        <f t="shared" si="522"/>
        <v>5863.9928103736038</v>
      </c>
      <c r="G103" s="4">
        <f t="shared" si="520"/>
        <v>582.77536697051403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>
        <v>-3656</v>
      </c>
      <c r="AN103" s="20">
        <v>-7440</v>
      </c>
      <c r="AO103" s="20">
        <v>5840</v>
      </c>
      <c r="AP103" s="20">
        <v>128947</v>
      </c>
      <c r="AQ103" s="20">
        <v>-31991</v>
      </c>
      <c r="AR103" s="20"/>
      <c r="AS103" s="54">
        <f>IF(RTD("tos.rtd",,AS$83,"."&amp;$B$82&amp;$AS$82&amp;"C"&amp;$A103)="N/A",0,RTD("tos.rtd",,AS$83,"."&amp;$B$82&amp;$AS$82&amp;"C"&amp;$A103))</f>
        <v>1601</v>
      </c>
      <c r="AT103" s="3">
        <f>-IF(RTD("tos.rtd",,AT$83,"."&amp;$B$82&amp;$AS$82&amp;"P"&amp;$A103)="N/A",0,RTD("tos.rtd",,AT$83,"."&amp;$B$82&amp;$AS$82&amp;"P"&amp;$A103))</f>
        <v>-11</v>
      </c>
      <c r="AU103" s="54">
        <f>IF(RTD("tos.rtd",,AU$83,"."&amp;$C$82&amp;$AU$82&amp;"C"&amp;$A103)="N/A",0,RTD("tos.rtd",,AU$83,"."&amp;$C$82&amp;$AU$82&amp;"C"&amp;$A103))</f>
        <v>362</v>
      </c>
      <c r="AV103" s="3">
        <f>-IF(RTD("tos.rtd",,AV$83,"."&amp;$C$82&amp;$AU$82&amp;"P"&amp;$A103)="N/A",0,RTD("tos.rtd",,AV$83,"."&amp;$C$82&amp;$AU$82&amp;"P"&amp;$A103))</f>
        <v>-251</v>
      </c>
      <c r="AW103" s="54">
        <f>IF(RTD("tos.rtd",,AW$83,"."&amp;$D$82&amp;$AW$82&amp;"C"&amp;$A103)="N/A",0,RTD("tos.rtd",,AW$83,"."&amp;$D$82&amp;$AW$82&amp;"C"&amp;$A103))</f>
        <v>198</v>
      </c>
      <c r="AX103" s="3">
        <f>-IF(RTD("tos.rtd",,AX$83,"."&amp;$D$82&amp;$AW$82&amp;"P"&amp;$A103)="N/A",0,RTD("tos.rtd",,AX$83,"."&amp;$D$82&amp;$AW$82&amp;"P"&amp;$A103))</f>
        <v>-811</v>
      </c>
      <c r="AY103" s="79">
        <f t="shared" si="521"/>
        <v>1088</v>
      </c>
      <c r="AZ103" s="8">
        <f t="shared" si="455"/>
        <v>5840</v>
      </c>
      <c r="BA103" s="54">
        <f>IF(RTD("tos.rtd",,BA$83,"."&amp;$B$82&amp;$AS$82&amp;"C"&amp;$A103)="N/A",0,RTD("tos.rtd",,BA$83,"."&amp;$B$82&amp;$AS$82&amp;"C"&amp;$A103))</f>
        <v>128947</v>
      </c>
      <c r="BB103" s="3">
        <f>-IF(RTD("tos.rtd",,BB$83,"."&amp;$B$82&amp;$AS$82&amp;"P"&amp;$A103)="N/A",0,RTD("tos.rtd",,BB$83,"."&amp;$B$82&amp;$AS$82&amp;"P"&amp;$A103))</f>
        <v>-31991</v>
      </c>
      <c r="BC103" s="54">
        <f>IF(RTD("tos.rtd",,BC$83,"."&amp;$C$82&amp;$AU$82&amp;"C"&amp;$A103)="N/A",0,RTD("tos.rtd",,BC$83,"."&amp;$C$82&amp;$AU$82&amp;"C"&amp;$A103))</f>
        <v>245</v>
      </c>
      <c r="BD103" s="3">
        <f>-IF(RTD("tos.rtd",,BD$83,"."&amp;$C$82&amp;$AU$82&amp;"P"&amp;$A103)="N/A",0,RTD("tos.rtd",,BD$83,"."&amp;$C$82&amp;$AU$82&amp;"P"&amp;$A103))</f>
        <v>-53</v>
      </c>
      <c r="BE103" s="54">
        <f>IF(RTD("tos.rtd",,BE$83,"."&amp;$D$82&amp;$AW$82&amp;"C"&amp;$A103)="N/A",0,RTD("tos.rtd",,BE$83,"."&amp;$D$82&amp;$AW$82&amp;"C"&amp;$A103))</f>
        <v>412</v>
      </c>
      <c r="BF103" s="3">
        <f>-IF(RTD("tos.rtd",,BF$83,"."&amp;$D$82&amp;$AW$82&amp;"P"&amp;$A103)="N/A",0,RTD("tos.rtd",,BF$83,"."&amp;$D$82&amp;$AW$82&amp;"P"&amp;$A103))</f>
        <v>-400</v>
      </c>
      <c r="BG103" s="3">
        <f ca="1">+Hoja2!Y104</f>
        <v>-76</v>
      </c>
      <c r="BH103" s="55">
        <f t="shared" ca="1" si="493"/>
        <v>97084</v>
      </c>
      <c r="BI103" s="32" t="str">
        <f t="shared" ca="1" si="513"/>
        <v/>
      </c>
      <c r="BJ103" s="3">
        <f ca="1">IF($BP$1=1,DX103,IF(RTD("tos.rtd",,BJ$83,"."&amp;$B$82&amp;$AS$82&amp;"C"&amp;$A103)="N/A",0,RTD("tos.rtd",,BJ$83,"."&amp;$B$82&amp;$AS$82&amp;"C"&amp;$A103)))</f>
        <v>7.7895643680106527E-2</v>
      </c>
      <c r="BK103" s="3">
        <f ca="1">IF($BP$1=1,DY103,-IF(RTD("tos.rtd",,BK$83,"."&amp;$B$82&amp;$AS$82&amp;"P"&amp;$A103)="N/A",0,RTD("tos.rtd",,BK$83,"."&amp;$B$82&amp;$AS$82&amp;"P"&amp;$A103)))</f>
        <v>-9.6534878364190058E-2</v>
      </c>
      <c r="BL103" s="3">
        <f ca="1">IF($BP$1=1,DZ103,IF(RTD("tos.rtd",,BL$83,"."&amp;$C$82&amp;$AU$82&amp;"C"&amp;$A103)="N/A",0,RTD("tos.rtd",,BL$83,"."&amp;$C$82&amp;$AU$82&amp;"C"&amp;$A103)))</f>
        <v>3.1411596181281608E-3</v>
      </c>
      <c r="BM103" s="3">
        <f ca="1">IF($BP$1=1,EA103,-IF(RTD("tos.rtd",,BM$83,"."&amp;$C$82&amp;$AU$82&amp;"P"&amp;$A103)="N/A",0,RTD("tos.rtd",,BM$83,"."&amp;$C$82&amp;$AU$82&amp;"P"&amp;$A103)))</f>
        <v>-3.1024031514229485E-3</v>
      </c>
      <c r="BN103" s="3">
        <f ca="1">IF($BP$1=1,EB103,IF(RTD("tos.rtd",,BN$83,"."&amp;$D$82&amp;$AW$82&amp;"C"&amp;$A103)="N/A",0,RTD("tos.rtd",,BN$83,"."&amp;$D$82&amp;$AW$82&amp;"C"&amp;$A103)))</f>
        <v>3.6753205373731149E-3</v>
      </c>
      <c r="BO103" s="3">
        <f ca="1">IF($BP$1=1,EC103,-IF(RTD("tos.rtd",,BO$83,"."&amp;$D$82&amp;$AW$82&amp;"P"&amp;$A103)="N/A",0,RTD("tos.rtd",,BO$83,"."&amp;$D$82&amp;$AW$82&amp;"P"&amp;$A103)))</f>
        <v>-3.4723685554252093E-3</v>
      </c>
      <c r="BQ103" s="3">
        <f t="shared" ca="1" si="456"/>
        <v>31866667.309905265</v>
      </c>
      <c r="BR103" s="3" t="str">
        <f t="shared" ca="1" si="494"/>
        <v/>
      </c>
      <c r="BS103" s="3">
        <f t="shared" ca="1" si="457"/>
        <v>92365.494708994112</v>
      </c>
      <c r="BT103" s="3" t="str">
        <f t="shared" ca="1" si="494"/>
        <v/>
      </c>
      <c r="BU103" s="3">
        <f t="shared" ca="1" si="458"/>
        <v>-538213.86594084674</v>
      </c>
      <c r="BV103" s="3" t="str">
        <f t="shared" ca="1" si="494"/>
        <v>Cruce -</v>
      </c>
      <c r="BX103" s="3">
        <f t="shared" ca="1" si="459"/>
        <v>1792732927.9649959</v>
      </c>
      <c r="BY103" s="3" t="str">
        <f t="shared" ca="1" si="510"/>
        <v/>
      </c>
      <c r="BZ103" s="3">
        <f t="shared" ca="1" si="460"/>
        <v>155960.19341270151</v>
      </c>
      <c r="CA103" s="3" t="str">
        <f t="shared" ca="1" si="510"/>
        <v/>
      </c>
      <c r="CB103" s="3">
        <f t="shared" ca="1" si="461"/>
        <v>32288.191294771095</v>
      </c>
      <c r="CC103" s="3" t="str">
        <f t="shared" ca="1" si="510"/>
        <v/>
      </c>
      <c r="CD103" s="3">
        <f>IF(RTD("tos.rtd",,CD$83,"."&amp;$B$82&amp;$AS$82&amp;"C"&amp;$A103)="N/A",0,RTD("tos.rtd",,CD$83,"."&amp;$B$82&amp;$AS$82&amp;"C"&amp;$A103))</f>
        <v>0.93</v>
      </c>
      <c r="CE103" s="3">
        <f>-IF(RTD("tos.rtd",,CE$83,"."&amp;$B$82&amp;$AS$82&amp;"P"&amp;$A103)="N/A",0,RTD("tos.rtd",,CE$83,"."&amp;$B$82&amp;$AS$82&amp;"P"&amp;$A103))</f>
        <v>0.03</v>
      </c>
      <c r="CF103" s="3">
        <f>IF(RTD("tos.rtd",,CF$83,"."&amp;$C$82&amp;$AU$82&amp;"C"&amp;$A103)="N/A",0,RTD("tos.rtd",,CF$83,"."&amp;$C$82&amp;$AU$82&amp;"C"&amp;$A103))</f>
        <v>0.53</v>
      </c>
      <c r="CG103" s="3">
        <f>-IF(RTD("tos.rtd",,CG$83,"."&amp;$C$82&amp;$AU$82&amp;"P"&amp;$A103)="N/A",0,RTD("tos.rtd",,CG$83,"."&amp;$C$82&amp;$AU$82&amp;"P"&amp;$A103))</f>
        <v>0.47</v>
      </c>
      <c r="CH103" s="3">
        <f>IF(RTD("tos.rtd",,CH$83,"."&amp;$D$82&amp;$AW$82&amp;"C"&amp;$A103)="N/A",0,RTD("tos.rtd",,CH$83,"."&amp;$D$82&amp;$AW$82&amp;"C"&amp;$A103))</f>
        <v>0.55000000000000004</v>
      </c>
      <c r="CI103" s="3">
        <f>-IF(RTD("tos.rtd",,CI$83,"."&amp;$D$82&amp;$AW$82&amp;"P"&amp;$A103)="N/A",0,RTD("tos.rtd",,CI$83,"."&amp;$D$82&amp;$AW$82&amp;"P"&amp;$A103))</f>
        <v>0.45</v>
      </c>
      <c r="CK103" s="3">
        <f t="shared" si="495"/>
        <v>148860</v>
      </c>
      <c r="CL103" s="3"/>
      <c r="CM103" s="3">
        <f t="shared" si="496"/>
        <v>7389</v>
      </c>
      <c r="CN103" s="3"/>
      <c r="CO103" s="3">
        <f t="shared" si="497"/>
        <v>-25605</v>
      </c>
      <c r="CP103" s="3">
        <f t="shared" si="462"/>
        <v>130644</v>
      </c>
      <c r="CQ103" s="3">
        <f t="shared" si="463"/>
        <v>96956</v>
      </c>
      <c r="CR103" s="3"/>
      <c r="CS103" s="3">
        <f t="shared" si="464"/>
        <v>192</v>
      </c>
      <c r="CT103" s="3"/>
      <c r="CU103" s="3">
        <f t="shared" si="465"/>
        <v>12</v>
      </c>
      <c r="CV103" s="3"/>
      <c r="CW103" s="3">
        <f t="shared" ca="1" si="466"/>
        <v>31420818.938673411</v>
      </c>
      <c r="CY103" s="3">
        <f t="shared" ca="1" si="467"/>
        <v>1792921176.3497033</v>
      </c>
      <c r="CZ103" s="70" t="str">
        <f t="shared" ca="1" si="511"/>
        <v/>
      </c>
      <c r="DA103" s="3">
        <f>IF(RTD("tos.rtd",,DA$83,"."&amp;$B$82&amp;$AS$82&amp;"C"&amp;$A103)="N/A",0,RTD("tos.rtd",,DA$83,"."&amp;$B$82&amp;$AS$82&amp;"C"&amp;$A103))</f>
        <v>4.5999999999999996</v>
      </c>
      <c r="DB103" s="3">
        <f>IF(RTD("tos.rtd",,DB$83,"."&amp;$B$82&amp;$AS$82&amp;"P"&amp;$A103)="N/A",0,RTD("tos.rtd",,DB$83,"."&amp;$B$82&amp;$AS$82&amp;"P"&amp;$A103))</f>
        <v>0.05</v>
      </c>
      <c r="DC103" s="3">
        <f>IF(RTD("tos.rtd",,DC$83,"."&amp;$B$82&amp;$AS$82&amp;"C"&amp;$A103)="N/A",0,RTD("tos.rtd",,DC$83,"."&amp;$B$82&amp;$AS$82&amp;"C"&amp;$A103))</f>
        <v>4.7</v>
      </c>
      <c r="DD103" s="3">
        <f>IF(RTD("tos.rtd",,DD$83,"."&amp;$B$82&amp;$AS$82&amp;"P"&amp;$A103)="N/A",0,RTD("tos.rtd",,DD$83,"."&amp;$B$82&amp;$AS$82&amp;"P"&amp;$A103))</f>
        <v>0.05</v>
      </c>
      <c r="DE103" s="3">
        <f>IF(RTD("tos.rtd",,DE$83,"."&amp;$B$82&amp;$AS$82&amp;"C"&amp;$A103)="N/A",0,RTD("tos.rtd",,DE$83,"."&amp;$B$82&amp;$AS$82&amp;"C"&amp;$A103))</f>
        <v>3.9</v>
      </c>
      <c r="DF103" s="3">
        <f>IF(RTD("tos.rtd",,DF$83,"."&amp;$B$82&amp;$AS$82&amp;"P"&amp;$A103)="N/A",0,RTD("tos.rtd",,DF$83,"."&amp;$B$82&amp;$AS$82&amp;"P"&amp;$A103))</f>
        <v>0</v>
      </c>
      <c r="DG103" s="86">
        <f t="shared" si="499"/>
        <v>-1.75</v>
      </c>
      <c r="DH103" s="3">
        <f t="shared" si="468"/>
        <v>0</v>
      </c>
      <c r="DI103" s="3">
        <f t="shared" si="469"/>
        <v>0</v>
      </c>
      <c r="DJ103" s="3">
        <f t="shared" si="470"/>
        <v>0</v>
      </c>
      <c r="DK103" s="3">
        <f t="shared" si="471"/>
        <v>0</v>
      </c>
      <c r="DL103" s="3">
        <f t="shared" si="472"/>
        <v>0</v>
      </c>
      <c r="DM103" s="3">
        <f t="shared" si="473"/>
        <v>0</v>
      </c>
      <c r="DN103" s="64" t="str">
        <f t="shared" si="474"/>
        <v>UNKNOWN</v>
      </c>
      <c r="DO103" s="64" t="str">
        <f t="shared" si="475"/>
        <v>UNKNOWN</v>
      </c>
      <c r="DP103" s="3">
        <f t="shared" si="476"/>
        <v>0</v>
      </c>
      <c r="DQ103" s="3">
        <f t="shared" si="477"/>
        <v>0</v>
      </c>
      <c r="DR103" s="3">
        <f t="shared" ca="1" si="478"/>
        <v>0</v>
      </c>
      <c r="DS103" s="3">
        <f t="shared" si="479"/>
        <v>0</v>
      </c>
      <c r="DT103" s="3">
        <f t="shared" si="500"/>
        <v>0</v>
      </c>
      <c r="DU103" s="3">
        <f t="shared" si="501"/>
        <v>0</v>
      </c>
      <c r="DV103" s="3">
        <f t="shared" si="502"/>
        <v>-3656</v>
      </c>
      <c r="DW103" s="3">
        <f t="shared" si="503"/>
        <v>-7440</v>
      </c>
      <c r="DX103" s="3">
        <f t="shared" ca="1" si="512"/>
        <v>7.7895643680106527E-2</v>
      </c>
      <c r="DY103" s="3">
        <f t="shared" ca="1" si="480"/>
        <v>-9.6534878364190058E-2</v>
      </c>
      <c r="DZ103" s="3">
        <f t="shared" ca="1" si="504"/>
        <v>3.1411596181281608E-3</v>
      </c>
      <c r="EA103" s="3">
        <f t="shared" ca="1" si="505"/>
        <v>-3.1024031514229485E-3</v>
      </c>
      <c r="EB103" s="3">
        <f t="shared" ca="1" si="481"/>
        <v>3.6753205373731149E-3</v>
      </c>
      <c r="EC103" s="3">
        <f t="shared" ca="1" si="482"/>
        <v>-3.4723685554252093E-3</v>
      </c>
      <c r="ED103" s="63">
        <f t="shared" si="506"/>
        <v>-11096</v>
      </c>
      <c r="EE103" s="59">
        <f t="shared" si="483"/>
        <v>6.5699999999999995E-2</v>
      </c>
      <c r="EF103" s="59">
        <f t="shared" si="484"/>
        <v>5.0500000000000003E-2</v>
      </c>
      <c r="EG103" s="59">
        <f t="shared" si="485"/>
        <v>0.17580000000000001</v>
      </c>
      <c r="EH103" s="59">
        <f t="shared" si="486"/>
        <v>0.17799999999999999</v>
      </c>
      <c r="EI103" s="59">
        <f t="shared" si="487"/>
        <v>0.1502</v>
      </c>
      <c r="EJ103" s="59">
        <f t="shared" si="488"/>
        <v>0.159</v>
      </c>
      <c r="EK103" s="63">
        <f t="shared" ca="1" si="507"/>
        <v>14791353964.441673</v>
      </c>
      <c r="EL103" s="3" t="str">
        <f>RTD("tos.rtd",,EL$83,"."&amp;$B$82&amp;$AS$82&amp;"C"&amp;$A103)</f>
        <v>6.57%</v>
      </c>
      <c r="EM103" s="3" t="str">
        <f>RTD("tos.rtd",,EM$83,"."&amp;$B$82&amp;$AS$82&amp;"P"&amp;$A103)</f>
        <v>5.05%</v>
      </c>
      <c r="EN103" s="3" t="str">
        <f>RTD("tos.rtd",,EN$83,"."&amp;$C$82&amp;$AU$82&amp;"C"&amp;$A103)</f>
        <v>17.58%</v>
      </c>
      <c r="EO103" s="3" t="str">
        <f>RTD("tos.rtd",,EO$83,"."&amp;$C$82&amp;$AU$82&amp;"P"&amp;$A103)</f>
        <v>17.80%</v>
      </c>
      <c r="EP103" s="3" t="str">
        <f>RTD("tos.rtd",,EP$83,"."&amp;$D$82&amp;$AW$82&amp;"C"&amp;$A103)</f>
        <v>15.02%</v>
      </c>
      <c r="EQ103" s="3" t="str">
        <f>RTD("tos.rtd",,EQ$83,"."&amp;$D$82&amp;$AW$82&amp;"P"&amp;$A103)</f>
        <v>15.90%</v>
      </c>
      <c r="ES103" s="63" t="str">
        <f t="shared" si="489"/>
        <v>5840,-11096.00</v>
      </c>
      <c r="ET103" s="63" t="str">
        <f t="shared" ca="1" si="490"/>
        <v>5840,1792921.18</v>
      </c>
      <c r="EU103" s="67">
        <v>572</v>
      </c>
      <c r="EV103" s="67" t="s">
        <v>843</v>
      </c>
      <c r="EW103" s="67">
        <v>496.9</v>
      </c>
      <c r="EX103" s="67" t="s">
        <v>844</v>
      </c>
      <c r="EY103" s="67">
        <v>5659.91</v>
      </c>
      <c r="EZ103" s="67" t="s">
        <v>845</v>
      </c>
      <c r="FA103" s="67">
        <v>20061.449000000001</v>
      </c>
      <c r="FB103" s="67" t="s">
        <v>846</v>
      </c>
      <c r="FC103" s="67" t="s">
        <v>847</v>
      </c>
      <c r="FD103" s="67" t="s">
        <v>848</v>
      </c>
      <c r="FE103" s="68" t="s">
        <v>849</v>
      </c>
      <c r="FF103" s="68" t="s">
        <v>850</v>
      </c>
    </row>
    <row r="104" spans="1:162" s="63" customFormat="1" ht="12" customHeight="1" thickBot="1" x14ac:dyDescent="0.25">
      <c r="A104" s="2">
        <f t="shared" si="508"/>
        <v>5830</v>
      </c>
      <c r="B104" s="3">
        <f t="shared" si="451"/>
        <v>1452</v>
      </c>
      <c r="C104" s="3">
        <f t="shared" si="452"/>
        <v>2372</v>
      </c>
      <c r="D104" s="3">
        <f t="shared" si="453"/>
        <v>5111</v>
      </c>
      <c r="E104" s="3">
        <f t="shared" si="519"/>
        <v>8935</v>
      </c>
      <c r="F104" s="4">
        <f t="shared" si="522"/>
        <v>5853.9517267941965</v>
      </c>
      <c r="G104" s="4">
        <f t="shared" si="520"/>
        <v>581.77746394487951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>
        <v>3209</v>
      </c>
      <c r="AN104" s="20">
        <v>1712</v>
      </c>
      <c r="AO104" s="20">
        <v>5830</v>
      </c>
      <c r="AP104" s="20">
        <v>89976</v>
      </c>
      <c r="AQ104" s="20">
        <v>-71716</v>
      </c>
      <c r="AR104" s="20"/>
      <c r="AS104" s="54">
        <f>IF(RTD("tos.rtd",,AS$83,"."&amp;$B$82&amp;$AS$82&amp;"C"&amp;$A104)="N/A",0,RTD("tos.rtd",,AS$83,"."&amp;$B$82&amp;$AS$82&amp;"C"&amp;$A104))</f>
        <v>1428</v>
      </c>
      <c r="AT104" s="3">
        <f>-IF(RTD("tos.rtd",,AT$83,"."&amp;$B$82&amp;$AS$82&amp;"P"&amp;$A104)="N/A",0,RTD("tos.rtd",,AT$83,"."&amp;$B$82&amp;$AS$82&amp;"P"&amp;$A104))</f>
        <v>-24</v>
      </c>
      <c r="AU104" s="54">
        <f>IF(RTD("tos.rtd",,AU$83,"."&amp;$C$82&amp;$AU$82&amp;"C"&amp;$A104)="N/A",0,RTD("tos.rtd",,AU$83,"."&amp;$C$82&amp;$AU$82&amp;"C"&amp;$A104))</f>
        <v>1508</v>
      </c>
      <c r="AV104" s="3">
        <f>-IF(RTD("tos.rtd",,AV$83,"."&amp;$C$82&amp;$AU$82&amp;"P"&amp;$A104)="N/A",0,RTD("tos.rtd",,AV$83,"."&amp;$C$82&amp;$AU$82&amp;"P"&amp;$A104))</f>
        <v>-864</v>
      </c>
      <c r="AW104" s="54">
        <f>IF(RTD("tos.rtd",,AW$83,"."&amp;$D$82&amp;$AW$82&amp;"C"&amp;$A104)="N/A",0,RTD("tos.rtd",,AW$83,"."&amp;$D$82&amp;$AW$82&amp;"C"&amp;$A104))</f>
        <v>2609</v>
      </c>
      <c r="AX104" s="3">
        <f>-IF(RTD("tos.rtd",,AX$83,"."&amp;$D$82&amp;$AW$82&amp;"P"&amp;$A104)="N/A",0,RTD("tos.rtd",,AX$83,"."&amp;$D$82&amp;$AW$82&amp;"P"&amp;$A104))</f>
        <v>-2502</v>
      </c>
      <c r="AY104" s="79">
        <f t="shared" si="521"/>
        <v>2155</v>
      </c>
      <c r="AZ104" s="8">
        <f t="shared" si="455"/>
        <v>5830</v>
      </c>
      <c r="BA104" s="54">
        <f>IF(RTD("tos.rtd",,BA$83,"."&amp;$B$82&amp;$AS$82&amp;"C"&amp;$A104)="N/A",0,RTD("tos.rtd",,BA$83,"."&amp;$B$82&amp;$AS$82&amp;"C"&amp;$A104))</f>
        <v>89976</v>
      </c>
      <c r="BB104" s="3">
        <f>-IF(RTD("tos.rtd",,BB$83,"."&amp;$B$82&amp;$AS$82&amp;"P"&amp;$A104)="N/A",0,RTD("tos.rtd",,BB$83,"."&amp;$B$82&amp;$AS$82&amp;"P"&amp;$A104))</f>
        <v>-71716</v>
      </c>
      <c r="BC104" s="54">
        <f>IF(RTD("tos.rtd",,BC$83,"."&amp;$C$82&amp;$AU$82&amp;"C"&amp;$A104)="N/A",0,RTD("tos.rtd",,BC$83,"."&amp;$C$82&amp;$AU$82&amp;"C"&amp;$A104))</f>
        <v>406</v>
      </c>
      <c r="BD104" s="3">
        <f>-IF(RTD("tos.rtd",,BD$83,"."&amp;$C$82&amp;$AU$82&amp;"P"&amp;$A104)="N/A",0,RTD("tos.rtd",,BD$83,"."&amp;$C$82&amp;$AU$82&amp;"P"&amp;$A104))</f>
        <v>-156</v>
      </c>
      <c r="BE104" s="54">
        <f>IF(RTD("tos.rtd",,BE$83,"."&amp;$D$82&amp;$AW$82&amp;"C"&amp;$A104)="N/A",0,RTD("tos.rtd",,BE$83,"."&amp;$D$82&amp;$AW$82&amp;"C"&amp;$A104))</f>
        <v>5529</v>
      </c>
      <c r="BF104" s="3">
        <f>-IF(RTD("tos.rtd",,BF$83,"."&amp;$D$82&amp;$AW$82&amp;"P"&amp;$A104)="N/A",0,RTD("tos.rtd",,BF$83,"."&amp;$D$82&amp;$AW$82&amp;"P"&amp;$A104))</f>
        <v>-5543</v>
      </c>
      <c r="BG104" s="3">
        <f ca="1">+Hoja2!Y105</f>
        <v>-102</v>
      </c>
      <c r="BH104" s="55">
        <f t="shared" ca="1" si="493"/>
        <v>18394</v>
      </c>
      <c r="BI104" s="32" t="str">
        <f t="shared" ca="1" si="513"/>
        <v/>
      </c>
      <c r="BJ104" s="3">
        <f ca="1">IF($BP$1=1,DX104,IF(RTD("tos.rtd",,BJ$83,"."&amp;$B$82&amp;$AS$82&amp;"C"&amp;$A104)="N/A",0,RTD("tos.rtd",,BJ$83,"."&amp;$B$82&amp;$AS$82&amp;"C"&amp;$A104)))</f>
        <v>1.7102106505050719E-2</v>
      </c>
      <c r="BK104" s="3">
        <f ca="1">IF($BP$1=1,DY104,-IF(RTD("tos.rtd",,BK$83,"."&amp;$B$82&amp;$AS$82&amp;"P"&amp;$A104)="N/A",0,RTD("tos.rtd",,BK$83,"."&amp;$B$82&amp;$AS$82&amp;"P"&amp;$A104)))</f>
        <v>-2.0085201732537857E-2</v>
      </c>
      <c r="BL104" s="3">
        <f ca="1">IF($BP$1=1,DZ104,IF(RTD("tos.rtd",,BL$83,"."&amp;$C$82&amp;$AU$82&amp;"C"&amp;$A104)="N/A",0,RTD("tos.rtd",,BL$83,"."&amp;$C$82&amp;$AU$82&amp;"C"&amp;$A104)))</f>
        <v>3.0868870737809514E-3</v>
      </c>
      <c r="BM104" s="3">
        <f ca="1">IF($BP$1=1,EA104,-IF(RTD("tos.rtd",,BM$83,"."&amp;$C$82&amp;$AU$82&amp;"P"&amp;$A104)="N/A",0,RTD("tos.rtd",,BM$83,"."&amp;$C$82&amp;$AU$82&amp;"P"&amp;$A104)))</f>
        <v>-3.0530028008262417E-3</v>
      </c>
      <c r="BN104" s="3">
        <f ca="1">IF($BP$1=1,EB104,IF(RTD("tos.rtd",,BN$83,"."&amp;$D$82&amp;$AW$82&amp;"C"&amp;$A104)="N/A",0,RTD("tos.rtd",,BN$83,"."&amp;$D$82&amp;$AW$82&amp;"C"&amp;$A104)))</f>
        <v>3.6111808797705896E-3</v>
      </c>
      <c r="BO104" s="3">
        <f ca="1">IF($BP$1=1,EC104,-IF(RTD("tos.rtd",,BO$83,"."&amp;$D$82&amp;$AW$82&amp;"P"&amp;$A104)="N/A",0,RTD("tos.rtd",,BO$83,"."&amp;$D$82&amp;$AW$82&amp;"P"&amp;$A104)))</f>
        <v>-3.414378512421214E-3</v>
      </c>
      <c r="BQ104" s="3">
        <f t="shared" ca="1" si="456"/>
        <v>6169724.0783571498</v>
      </c>
      <c r="BR104" s="3" t="str">
        <f t="shared" ca="1" si="494"/>
        <v/>
      </c>
      <c r="BS104" s="3">
        <f t="shared" ca="1" si="457"/>
        <v>519878.17575415864</v>
      </c>
      <c r="BT104" s="3" t="str">
        <f t="shared" ca="1" si="494"/>
        <v/>
      </c>
      <c r="BU104" s="3">
        <f t="shared" ca="1" si="458"/>
        <v>226482.10960595869</v>
      </c>
      <c r="BV104" s="3" t="str">
        <f t="shared" ca="1" si="494"/>
        <v>Cruce +</v>
      </c>
      <c r="BX104" s="3">
        <f t="shared" ca="1" si="459"/>
        <v>25346324.402275741</v>
      </c>
      <c r="BY104" s="3" t="str">
        <f t="shared" ca="1" si="510"/>
        <v/>
      </c>
      <c r="BZ104" s="3">
        <f t="shared" ca="1" si="460"/>
        <v>200249.39924752744</v>
      </c>
      <c r="CA104" s="3" t="str">
        <f t="shared" ca="1" si="510"/>
        <v/>
      </c>
      <c r="CB104" s="3">
        <f t="shared" ca="1" si="461"/>
        <v>268109.63227876369</v>
      </c>
      <c r="CC104" s="3" t="str">
        <f t="shared" ca="1" si="510"/>
        <v/>
      </c>
      <c r="CD104" s="3">
        <f>IF(RTD("tos.rtd",,CD$83,"."&amp;$B$82&amp;$AS$82&amp;"C"&amp;$A104)="N/A",0,RTD("tos.rtd",,CD$83,"."&amp;$B$82&amp;$AS$82&amp;"C"&amp;$A104))</f>
        <v>0.89</v>
      </c>
      <c r="CE104" s="3">
        <f>-IF(RTD("tos.rtd",,CE$83,"."&amp;$B$82&amp;$AS$82&amp;"P"&amp;$A104)="N/A",0,RTD("tos.rtd",,CE$83,"."&amp;$B$82&amp;$AS$82&amp;"P"&amp;$A104))</f>
        <v>0.01</v>
      </c>
      <c r="CF104" s="3">
        <f>IF(RTD("tos.rtd",,CF$83,"."&amp;$C$82&amp;$AU$82&amp;"C"&amp;$A104)="N/A",0,RTD("tos.rtd",,CF$83,"."&amp;$C$82&amp;$AU$82&amp;"C"&amp;$A104))</f>
        <v>0.56999999999999995</v>
      </c>
      <c r="CG104" s="3">
        <f>-IF(RTD("tos.rtd",,CG$83,"."&amp;$C$82&amp;$AU$82&amp;"P"&amp;$A104)="N/A",0,RTD("tos.rtd",,CG$83,"."&amp;$C$82&amp;$AU$82&amp;"P"&amp;$A104))</f>
        <v>0.43</v>
      </c>
      <c r="CH104" s="3">
        <f>IF(RTD("tos.rtd",,CH$83,"."&amp;$D$82&amp;$AW$82&amp;"C"&amp;$A104)="N/A",0,RTD("tos.rtd",,CH$83,"."&amp;$D$82&amp;$AW$82&amp;"C"&amp;$A104))</f>
        <v>0.56999999999999995</v>
      </c>
      <c r="CI104" s="3">
        <f>-IF(RTD("tos.rtd",,CI$83,"."&amp;$D$82&amp;$AW$82&amp;"P"&amp;$A104)="N/A",0,RTD("tos.rtd",,CI$83,"."&amp;$D$82&amp;$AW$82&amp;"P"&amp;$A104))</f>
        <v>0.43</v>
      </c>
      <c r="CK104" s="3">
        <f t="shared" si="495"/>
        <v>127068</v>
      </c>
      <c r="CL104" s="3"/>
      <c r="CM104" s="3">
        <f t="shared" si="496"/>
        <v>48804</v>
      </c>
      <c r="CN104" s="3"/>
      <c r="CO104" s="3">
        <f t="shared" si="497"/>
        <v>41127.000000000015</v>
      </c>
      <c r="CP104" s="3">
        <f t="shared" si="462"/>
        <v>216999</v>
      </c>
      <c r="CQ104" s="3">
        <f t="shared" si="463"/>
        <v>18260</v>
      </c>
      <c r="CR104" s="3"/>
      <c r="CS104" s="3">
        <f t="shared" si="464"/>
        <v>250</v>
      </c>
      <c r="CT104" s="3"/>
      <c r="CU104" s="3">
        <f t="shared" si="465"/>
        <v>-14</v>
      </c>
      <c r="CV104" s="3"/>
      <c r="CW104" s="3">
        <f t="shared" ca="1" si="466"/>
        <v>6916084.3637172673</v>
      </c>
      <c r="CY104" s="3">
        <f t="shared" ca="1" si="467"/>
        <v>25814683.433802031</v>
      </c>
      <c r="CZ104" s="70" t="str">
        <f t="shared" ca="1" si="511"/>
        <v/>
      </c>
      <c r="DA104" s="3">
        <f>IF(RTD("tos.rtd",,DA$83,"."&amp;$B$82&amp;$AS$82&amp;"C"&amp;$A104)="N/A",0,RTD("tos.rtd",,DA$83,"."&amp;$B$82&amp;$AS$82&amp;"C"&amp;$A104))</f>
        <v>15.5</v>
      </c>
      <c r="DB104" s="3">
        <f>IF(RTD("tos.rtd",,DB$83,"."&amp;$B$82&amp;$AS$82&amp;"P"&amp;$A104)="N/A",0,RTD("tos.rtd",,DB$83,"."&amp;$B$82&amp;$AS$82&amp;"P"&amp;$A104))</f>
        <v>0.06</v>
      </c>
      <c r="DC104" s="3">
        <f>IF(RTD("tos.rtd",,DC$83,"."&amp;$B$82&amp;$AS$82&amp;"C"&amp;$A104)="N/A",0,RTD("tos.rtd",,DC$83,"."&amp;$B$82&amp;$AS$82&amp;"C"&amp;$A104))</f>
        <v>15.6</v>
      </c>
      <c r="DD104" s="3">
        <f>IF(RTD("tos.rtd",,DD$83,"."&amp;$B$82&amp;$AS$82&amp;"P"&amp;$A104)="N/A",0,RTD("tos.rtd",,DD$83,"."&amp;$B$82&amp;$AS$82&amp;"P"&amp;$A104))</f>
        <v>0.05</v>
      </c>
      <c r="DE104" s="3">
        <f>IF(RTD("tos.rtd",,DE$83,"."&amp;$B$82&amp;$AS$82&amp;"C"&amp;$A104)="N/A",0,RTD("tos.rtd",,DE$83,"."&amp;$B$82&amp;$AS$82&amp;"C"&amp;$A104))</f>
        <v>14.1</v>
      </c>
      <c r="DF104" s="3">
        <f>IF(RTD("tos.rtd",,DF$83,"."&amp;$B$82&amp;$AS$82&amp;"P"&amp;$A104)="N/A",0,RTD("tos.rtd",,DF$83,"."&amp;$B$82&amp;$AS$82&amp;"P"&amp;$A104))</f>
        <v>0</v>
      </c>
      <c r="DG104" s="86">
        <f t="shared" si="499"/>
        <v>-11.75</v>
      </c>
      <c r="DH104" s="3">
        <f t="shared" si="468"/>
        <v>0</v>
      </c>
      <c r="DI104" s="3">
        <f t="shared" si="469"/>
        <v>0</v>
      </c>
      <c r="DJ104" s="3">
        <f t="shared" si="470"/>
        <v>0</v>
      </c>
      <c r="DK104" s="3">
        <f t="shared" si="471"/>
        <v>0</v>
      </c>
      <c r="DL104" s="3">
        <f t="shared" si="472"/>
        <v>0</v>
      </c>
      <c r="DM104" s="3">
        <f t="shared" si="473"/>
        <v>0</v>
      </c>
      <c r="DN104" s="64" t="str">
        <f t="shared" si="474"/>
        <v>UNKNOWN</v>
      </c>
      <c r="DO104" s="64" t="str">
        <f t="shared" si="475"/>
        <v>UNKNOWN</v>
      </c>
      <c r="DP104" s="3">
        <f t="shared" si="476"/>
        <v>0</v>
      </c>
      <c r="DQ104" s="3">
        <f t="shared" si="477"/>
        <v>0</v>
      </c>
      <c r="DR104" s="3">
        <f t="shared" ca="1" si="478"/>
        <v>0</v>
      </c>
      <c r="DS104" s="3">
        <f t="shared" si="479"/>
        <v>0</v>
      </c>
      <c r="DT104" s="3">
        <f t="shared" si="500"/>
        <v>0</v>
      </c>
      <c r="DU104" s="3">
        <f t="shared" si="501"/>
        <v>0</v>
      </c>
      <c r="DV104" s="3">
        <f t="shared" si="502"/>
        <v>3209</v>
      </c>
      <c r="DW104" s="3">
        <f t="shared" si="503"/>
        <v>1712</v>
      </c>
      <c r="DX104" s="3">
        <f t="shared" ca="1" si="512"/>
        <v>1.7102106505050719E-2</v>
      </c>
      <c r="DY104" s="3">
        <f t="shared" ca="1" si="480"/>
        <v>-2.0085201732537857E-2</v>
      </c>
      <c r="DZ104" s="3">
        <f t="shared" ca="1" si="504"/>
        <v>3.0868870737809514E-3</v>
      </c>
      <c r="EA104" s="3">
        <f t="shared" ca="1" si="505"/>
        <v>-3.0530028008262417E-3</v>
      </c>
      <c r="EB104" s="3">
        <f t="shared" ca="1" si="481"/>
        <v>3.6111808797705896E-3</v>
      </c>
      <c r="EC104" s="3">
        <f t="shared" ca="1" si="482"/>
        <v>-3.414378512421214E-3</v>
      </c>
      <c r="ED104" s="63">
        <f t="shared" si="506"/>
        <v>4921</v>
      </c>
      <c r="EE104" s="59">
        <f t="shared" si="483"/>
        <v>0.26629999999999998</v>
      </c>
      <c r="EF104" s="59">
        <f t="shared" si="484"/>
        <v>0.14199999999999999</v>
      </c>
      <c r="EG104" s="59">
        <f t="shared" si="485"/>
        <v>0.17760000000000001</v>
      </c>
      <c r="EH104" s="59">
        <f t="shared" si="486"/>
        <v>0.17960000000000001</v>
      </c>
      <c r="EI104" s="59">
        <f t="shared" si="487"/>
        <v>0.15140000000000001</v>
      </c>
      <c r="EJ104" s="59">
        <f t="shared" si="488"/>
        <v>0.1603</v>
      </c>
      <c r="EK104" s="63">
        <f t="shared" ca="1" si="507"/>
        <v>699406236.54506874</v>
      </c>
      <c r="EL104" s="3" t="str">
        <f>RTD("tos.rtd",,EL$83,"."&amp;$B$82&amp;$AS$82&amp;"C"&amp;$A104)</f>
        <v>26.63%</v>
      </c>
      <c r="EM104" s="3" t="str">
        <f>RTD("tos.rtd",,EM$83,"."&amp;$B$82&amp;$AS$82&amp;"P"&amp;$A104)</f>
        <v>14.20%</v>
      </c>
      <c r="EN104" s="3" t="str">
        <f>RTD("tos.rtd",,EN$83,"."&amp;$C$82&amp;$AU$82&amp;"C"&amp;$A104)</f>
        <v>17.76%</v>
      </c>
      <c r="EO104" s="3" t="str">
        <f>RTD("tos.rtd",,EO$83,"."&amp;$C$82&amp;$AU$82&amp;"P"&amp;$A104)</f>
        <v>17.96%</v>
      </c>
      <c r="EP104" s="3" t="str">
        <f>RTD("tos.rtd",,EP$83,"."&amp;$D$82&amp;$AW$82&amp;"C"&amp;$A104)</f>
        <v>15.14%</v>
      </c>
      <c r="EQ104" s="3" t="str">
        <f>RTD("tos.rtd",,EQ$83,"."&amp;$D$82&amp;$AW$82&amp;"P"&amp;$A104)</f>
        <v>16.03%</v>
      </c>
      <c r="ES104" s="63" t="str">
        <f t="shared" si="489"/>
        <v>5830,4921.00</v>
      </c>
      <c r="ET104" s="63" t="str">
        <f t="shared" ca="1" si="490"/>
        <v>5830,25814.68</v>
      </c>
      <c r="EU104" s="67">
        <v>572</v>
      </c>
      <c r="EV104" s="67" t="s">
        <v>851</v>
      </c>
      <c r="EW104" s="67">
        <v>496.89</v>
      </c>
      <c r="EX104" s="67" t="s">
        <v>852</v>
      </c>
      <c r="EY104" s="67">
        <v>5659.91</v>
      </c>
      <c r="EZ104" s="67" t="s">
        <v>853</v>
      </c>
      <c r="FA104" s="67">
        <v>20061.449000000001</v>
      </c>
      <c r="FB104" s="67" t="s">
        <v>854</v>
      </c>
      <c r="FC104" s="67" t="s">
        <v>855</v>
      </c>
      <c r="FD104" s="67" t="s">
        <v>856</v>
      </c>
      <c r="FE104" s="68" t="s">
        <v>857</v>
      </c>
      <c r="FF104" s="68" t="s">
        <v>858</v>
      </c>
    </row>
    <row r="105" spans="1:162" s="63" customFormat="1" ht="12" customHeight="1" thickBot="1" x14ac:dyDescent="0.25">
      <c r="A105" s="2">
        <f t="shared" si="508"/>
        <v>5820</v>
      </c>
      <c r="B105" s="3">
        <f t="shared" si="451"/>
        <v>2098</v>
      </c>
      <c r="C105" s="3">
        <f t="shared" si="452"/>
        <v>2331</v>
      </c>
      <c r="D105" s="3">
        <f t="shared" si="453"/>
        <v>6781</v>
      </c>
      <c r="E105" s="3">
        <f t="shared" si="519"/>
        <v>11210</v>
      </c>
      <c r="F105" s="4">
        <f t="shared" si="522"/>
        <v>5843.9106432147901</v>
      </c>
      <c r="G105" s="4">
        <f t="shared" si="520"/>
        <v>580.77956091924511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>
        <v>4847</v>
      </c>
      <c r="AN105" s="20">
        <v>7010</v>
      </c>
      <c r="AO105" s="20">
        <v>5820</v>
      </c>
      <c r="AP105" s="20">
        <v>46744</v>
      </c>
      <c r="AQ105" s="20">
        <v>-68845</v>
      </c>
      <c r="AR105" s="20"/>
      <c r="AS105" s="54">
        <f>IF(RTD("tos.rtd",,AS$83,"."&amp;$B$82&amp;$AS$82&amp;"C"&amp;$A105)="N/A",0,RTD("tos.rtd",,AS$83,"."&amp;$B$82&amp;$AS$82&amp;"C"&amp;$A105))</f>
        <v>2011</v>
      </c>
      <c r="AT105" s="3">
        <f>-IF(RTD("tos.rtd",,AT$83,"."&amp;$B$82&amp;$AS$82&amp;"P"&amp;$A105)="N/A",0,RTD("tos.rtd",,AT$83,"."&amp;$B$82&amp;$AS$82&amp;"P"&amp;$A105))</f>
        <v>-87</v>
      </c>
      <c r="AU105" s="54">
        <f>IF(RTD("tos.rtd",,AU$83,"."&amp;$C$82&amp;$AU$82&amp;"C"&amp;$A105)="N/A",0,RTD("tos.rtd",,AU$83,"."&amp;$C$82&amp;$AU$82&amp;"C"&amp;$A105))</f>
        <v>1421</v>
      </c>
      <c r="AV105" s="3">
        <f>-IF(RTD("tos.rtd",,AV$83,"."&amp;$C$82&amp;$AU$82&amp;"P"&amp;$A105)="N/A",0,RTD("tos.rtd",,AV$83,"."&amp;$C$82&amp;$AU$82&amp;"P"&amp;$A105))</f>
        <v>-910</v>
      </c>
      <c r="AW105" s="54">
        <f>IF(RTD("tos.rtd",,AW$83,"."&amp;$D$82&amp;$AW$82&amp;"C"&amp;$A105)="N/A",0,RTD("tos.rtd",,AW$83,"."&amp;$D$82&amp;$AW$82&amp;"C"&amp;$A105))</f>
        <v>3474</v>
      </c>
      <c r="AX105" s="3">
        <f>-IF(RTD("tos.rtd",,AX$83,"."&amp;$D$82&amp;$AW$82&amp;"P"&amp;$A105)="N/A",0,RTD("tos.rtd",,AX$83,"."&amp;$D$82&amp;$AW$82&amp;"P"&amp;$A105))</f>
        <v>-3307</v>
      </c>
      <c r="AY105" s="79">
        <f t="shared" si="521"/>
        <v>2602</v>
      </c>
      <c r="AZ105" s="8">
        <f t="shared" si="455"/>
        <v>5820</v>
      </c>
      <c r="BA105" s="54">
        <f>IF(RTD("tos.rtd",,BA$83,"."&amp;$B$82&amp;$AS$82&amp;"C"&amp;$A105)="N/A",0,RTD("tos.rtd",,BA$83,"."&amp;$B$82&amp;$AS$82&amp;"C"&amp;$A105))</f>
        <v>46744</v>
      </c>
      <c r="BB105" s="3">
        <f>-IF(RTD("tos.rtd",,BB$83,"."&amp;$B$82&amp;$AS$82&amp;"P"&amp;$A105)="N/A",0,RTD("tos.rtd",,BB$83,"."&amp;$B$82&amp;$AS$82&amp;"P"&amp;$A105))</f>
        <v>-68845</v>
      </c>
      <c r="BC105" s="54">
        <f>IF(RTD("tos.rtd",,BC$83,"."&amp;$C$82&amp;$AU$82&amp;"C"&amp;$A105)="N/A",0,RTD("tos.rtd",,BC$83,"."&amp;$C$82&amp;$AU$82&amp;"C"&amp;$A105))</f>
        <v>866</v>
      </c>
      <c r="BD105" s="3">
        <f>-IF(RTD("tos.rtd",,BD$83,"."&amp;$C$82&amp;$AU$82&amp;"P"&amp;$A105)="N/A",0,RTD("tos.rtd",,BD$83,"."&amp;$C$82&amp;$AU$82&amp;"P"&amp;$A105))</f>
        <v>-303</v>
      </c>
      <c r="BE105" s="54">
        <f>IF(RTD("tos.rtd",,BE$83,"."&amp;$D$82&amp;$AW$82&amp;"C"&amp;$A105)="N/A",0,RTD("tos.rtd",,BE$83,"."&amp;$D$82&amp;$AW$82&amp;"C"&amp;$A105))</f>
        <v>2572</v>
      </c>
      <c r="BF105" s="3">
        <f>-IF(RTD("tos.rtd",,BF$83,"."&amp;$D$82&amp;$AW$82&amp;"P"&amp;$A105)="N/A",0,RTD("tos.rtd",,BF$83,"."&amp;$D$82&amp;$AW$82&amp;"P"&amp;$A105))</f>
        <v>-2572</v>
      </c>
      <c r="BG105" s="3">
        <f ca="1">+Hoja2!Y106</f>
        <v>-80</v>
      </c>
      <c r="BH105" s="55">
        <f t="shared" ca="1" si="493"/>
        <v>-21618</v>
      </c>
      <c r="BI105" s="32" t="str">
        <f t="shared" ca="1" si="513"/>
        <v>Cruce -</v>
      </c>
      <c r="BJ105" s="3">
        <f ca="1">IF($BP$1=1,DX105,IF(RTD("tos.rtd",,BJ$83,"."&amp;$B$82&amp;$AS$82&amp;"C"&amp;$A105)="N/A",0,RTD("tos.rtd",,BJ$83,"."&amp;$B$82&amp;$AS$82&amp;"C"&amp;$A105)))</f>
        <v>9.9979007414412492E-3</v>
      </c>
      <c r="BK105" s="3">
        <f ca="1">IF($BP$1=1,DY105,-IF(RTD("tos.rtd",,BK$83,"."&amp;$B$82&amp;$AS$82&amp;"P"&amp;$A105)="N/A",0,RTD("tos.rtd",,BK$83,"."&amp;$B$82&amp;$AS$82&amp;"P"&amp;$A105)))</f>
        <v>-1.0029608676626778E-2</v>
      </c>
      <c r="BL105" s="3">
        <f ca="1">IF($BP$1=1,DZ105,IF(RTD("tos.rtd",,BL$83,"."&amp;$C$82&amp;$AU$82&amp;"C"&amp;$A105)="N/A",0,RTD("tos.rtd",,BL$83,"."&amp;$C$82&amp;$AU$82&amp;"C"&amp;$A105)))</f>
        <v>3.0229260571053751E-3</v>
      </c>
      <c r="BM105" s="3">
        <f ca="1">IF($BP$1=1,EA105,-IF(RTD("tos.rtd",,BM$83,"."&amp;$C$82&amp;$AU$82&amp;"P"&amp;$A105)="N/A",0,RTD("tos.rtd",,BM$83,"."&amp;$C$82&amp;$AU$82&amp;"P"&amp;$A105)))</f>
        <v>-2.9797186097008082E-3</v>
      </c>
      <c r="BN105" s="3">
        <f ca="1">IF($BP$1=1,EB105,IF(RTD("tos.rtd",,BN$83,"."&amp;$D$82&amp;$AW$82&amp;"C"&amp;$A105)="N/A",0,RTD("tos.rtd",,BN$83,"."&amp;$D$82&amp;$AW$82&amp;"C"&amp;$A105)))</f>
        <v>3.519992520001655E-3</v>
      </c>
      <c r="BO105" s="3">
        <f ca="1">IF($BP$1=1,EC105,-IF(RTD("tos.rtd",,BO$83,"."&amp;$D$82&amp;$AW$82&amp;"P"&amp;$A105)="N/A",0,RTD("tos.rtd",,BO$83,"."&amp;$D$82&amp;$AW$82&amp;"P"&amp;$A105)))</f>
        <v>-3.3336305339562405E-3</v>
      </c>
      <c r="BQ105" s="3">
        <f t="shared" ca="1" si="456"/>
        <v>4956755.459396895</v>
      </c>
      <c r="BR105" s="3" t="str">
        <f t="shared" ca="1" si="494"/>
        <v/>
      </c>
      <c r="BS105" s="3">
        <f t="shared" ca="1" si="457"/>
        <v>408235.14260583406</v>
      </c>
      <c r="BT105" s="3" t="str">
        <f t="shared" ca="1" si="494"/>
        <v/>
      </c>
      <c r="BU105" s="3">
        <f t="shared" ca="1" si="458"/>
        <v>310328.80902766809</v>
      </c>
      <c r="BV105" s="3" t="str">
        <f t="shared" ca="1" si="494"/>
        <v/>
      </c>
      <c r="BX105" s="3">
        <f t="shared" ca="1" si="459"/>
        <v>-57509030.002128378</v>
      </c>
      <c r="BY105" s="3" t="str">
        <f t="shared" ca="1" si="510"/>
        <v>Cruce -</v>
      </c>
      <c r="BZ105" s="3">
        <f t="shared" ca="1" si="460"/>
        <v>441987.32936373306</v>
      </c>
      <c r="CA105" s="3" t="str">
        <f t="shared" ca="1" si="510"/>
        <v/>
      </c>
      <c r="CB105" s="3">
        <f t="shared" ca="1" si="461"/>
        <v>123530.49598878343</v>
      </c>
      <c r="CC105" s="3" t="str">
        <f t="shared" ca="1" si="510"/>
        <v/>
      </c>
      <c r="CD105" s="3">
        <f>IF(RTD("tos.rtd",,CD$83,"."&amp;$B$82&amp;$AS$82&amp;"C"&amp;$A105)="N/A",0,RTD("tos.rtd",,CD$83,"."&amp;$B$82&amp;$AS$82&amp;"C"&amp;$A105))</f>
        <v>0.9</v>
      </c>
      <c r="CE105" s="3">
        <f>-IF(RTD("tos.rtd",,CE$83,"."&amp;$B$82&amp;$AS$82&amp;"P"&amp;$A105)="N/A",0,RTD("tos.rtd",,CE$83,"."&amp;$B$82&amp;$AS$82&amp;"P"&amp;$A105))</f>
        <v>0.01</v>
      </c>
      <c r="CF105" s="3">
        <f>IF(RTD("tos.rtd",,CF$83,"."&amp;$C$82&amp;$AU$82&amp;"C"&amp;$A105)="N/A",0,RTD("tos.rtd",,CF$83,"."&amp;$C$82&amp;$AU$82&amp;"C"&amp;$A105))</f>
        <v>0.6</v>
      </c>
      <c r="CG105" s="3">
        <f>-IF(RTD("tos.rtd",,CG$83,"."&amp;$C$82&amp;$AU$82&amp;"P"&amp;$A105)="N/A",0,RTD("tos.rtd",,CG$83,"."&amp;$C$82&amp;$AU$82&amp;"P"&amp;$A105))</f>
        <v>0.4</v>
      </c>
      <c r="CH105" s="3">
        <f>IF(RTD("tos.rtd",,CH$83,"."&amp;$D$82&amp;$AW$82&amp;"C"&amp;$A105)="N/A",0,RTD("tos.rtd",,CH$83,"."&amp;$D$82&amp;$AW$82&amp;"C"&amp;$A105))</f>
        <v>0.57999999999999996</v>
      </c>
      <c r="CI105" s="3">
        <f>-IF(RTD("tos.rtd",,CI$83,"."&amp;$D$82&amp;$AW$82&amp;"P"&amp;$A105)="N/A",0,RTD("tos.rtd",,CI$83,"."&amp;$D$82&amp;$AW$82&amp;"P"&amp;$A105))</f>
        <v>0.42</v>
      </c>
      <c r="CK105" s="3">
        <f t="shared" si="495"/>
        <v>180903</v>
      </c>
      <c r="CL105" s="3"/>
      <c r="CM105" s="3">
        <f t="shared" si="496"/>
        <v>48860</v>
      </c>
      <c r="CN105" s="3"/>
      <c r="CO105" s="3">
        <f t="shared" si="497"/>
        <v>62597.999999999971</v>
      </c>
      <c r="CP105" s="3">
        <f t="shared" si="462"/>
        <v>292361</v>
      </c>
      <c r="CQ105" s="3">
        <f t="shared" si="463"/>
        <v>-22101</v>
      </c>
      <c r="CR105" s="3"/>
      <c r="CS105" s="3">
        <f t="shared" si="464"/>
        <v>563</v>
      </c>
      <c r="CT105" s="3"/>
      <c r="CU105" s="3">
        <f t="shared" si="465"/>
        <v>0</v>
      </c>
      <c r="CV105" s="3"/>
      <c r="CW105" s="3">
        <f t="shared" ca="1" si="466"/>
        <v>5675319.4110303968</v>
      </c>
      <c r="CY105" s="3">
        <f t="shared" ca="1" si="467"/>
        <v>-56943512.176775858</v>
      </c>
      <c r="CZ105" s="70" t="str">
        <f t="shared" ca="1" si="511"/>
        <v>Cruce -</v>
      </c>
      <c r="DA105" s="3">
        <f>IF(RTD("tos.rtd",,DA$83,"."&amp;$B$82&amp;$AS$82&amp;"C"&amp;$A105)="N/A",0,RTD("tos.rtd",,DA$83,"."&amp;$B$82&amp;$AS$82&amp;"C"&amp;$A105))</f>
        <v>24.6</v>
      </c>
      <c r="DB105" s="3">
        <f>IF(RTD("tos.rtd",,DB$83,"."&amp;$B$82&amp;$AS$82&amp;"P"&amp;$A105)="N/A",0,RTD("tos.rtd",,DB$83,"."&amp;$B$82&amp;$AS$82&amp;"P"&amp;$A105))</f>
        <v>0.05</v>
      </c>
      <c r="DC105" s="3">
        <f>IF(RTD("tos.rtd",,DC$83,"."&amp;$B$82&amp;$AS$82&amp;"C"&amp;$A105)="N/A",0,RTD("tos.rtd",,DC$83,"."&amp;$B$82&amp;$AS$82&amp;"C"&amp;$A105))</f>
        <v>26.7</v>
      </c>
      <c r="DD105" s="3">
        <f>IF(RTD("tos.rtd",,DD$83,"."&amp;$B$82&amp;$AS$82&amp;"P"&amp;$A105)="N/A",0,RTD("tos.rtd",,DD$83,"."&amp;$B$82&amp;$AS$82&amp;"P"&amp;$A105))</f>
        <v>0.05</v>
      </c>
      <c r="DE105" s="3">
        <f>IF(RTD("tos.rtd",,DE$83,"."&amp;$B$82&amp;$AS$82&amp;"C"&amp;$A105)="N/A",0,RTD("tos.rtd",,DE$83,"."&amp;$B$82&amp;$AS$82&amp;"C"&amp;$A105))</f>
        <v>23.5</v>
      </c>
      <c r="DF105" s="3">
        <f>IF(RTD("tos.rtd",,DF$83,"."&amp;$B$82&amp;$AS$82&amp;"P"&amp;$A105)="N/A",0,RTD("tos.rtd",,DF$83,"."&amp;$B$82&amp;$AS$82&amp;"P"&amp;$A105))</f>
        <v>0</v>
      </c>
      <c r="DG105" s="86">
        <f t="shared" si="499"/>
        <v>-21.75</v>
      </c>
      <c r="DH105" s="3">
        <f t="shared" si="468"/>
        <v>0</v>
      </c>
      <c r="DI105" s="3">
        <f t="shared" si="469"/>
        <v>0</v>
      </c>
      <c r="DJ105" s="3">
        <f t="shared" si="470"/>
        <v>0</v>
      </c>
      <c r="DK105" s="3">
        <f t="shared" si="471"/>
        <v>0</v>
      </c>
      <c r="DL105" s="3">
        <f t="shared" si="472"/>
        <v>0</v>
      </c>
      <c r="DM105" s="3">
        <f t="shared" si="473"/>
        <v>0</v>
      </c>
      <c r="DN105" s="64" t="str">
        <f t="shared" si="474"/>
        <v>UNKNOWN</v>
      </c>
      <c r="DO105" s="64" t="str">
        <f t="shared" si="475"/>
        <v>UNKNOWN</v>
      </c>
      <c r="DP105" s="3">
        <f t="shared" si="476"/>
        <v>0</v>
      </c>
      <c r="DQ105" s="3">
        <f t="shared" si="477"/>
        <v>0</v>
      </c>
      <c r="DR105" s="3">
        <f t="shared" ca="1" si="478"/>
        <v>0</v>
      </c>
      <c r="DS105" s="3">
        <f t="shared" si="479"/>
        <v>0</v>
      </c>
      <c r="DT105" s="3">
        <f t="shared" si="500"/>
        <v>0</v>
      </c>
      <c r="DU105" s="3">
        <f t="shared" si="501"/>
        <v>0</v>
      </c>
      <c r="DV105" s="3">
        <f t="shared" si="502"/>
        <v>4847</v>
      </c>
      <c r="DW105" s="3">
        <f t="shared" si="503"/>
        <v>7010</v>
      </c>
      <c r="DX105" s="3">
        <f t="shared" ca="1" si="512"/>
        <v>9.9979007414412492E-3</v>
      </c>
      <c r="DY105" s="3">
        <f t="shared" ca="1" si="480"/>
        <v>-1.0029608676626778E-2</v>
      </c>
      <c r="DZ105" s="3">
        <f t="shared" ca="1" si="504"/>
        <v>3.0229260571053751E-3</v>
      </c>
      <c r="EA105" s="3">
        <f t="shared" ca="1" si="505"/>
        <v>-2.9797186097008082E-3</v>
      </c>
      <c r="EB105" s="3">
        <f t="shared" ca="1" si="481"/>
        <v>3.519992520001655E-3</v>
      </c>
      <c r="EC105" s="3">
        <f t="shared" ca="1" si="482"/>
        <v>-3.3336305339562405E-3</v>
      </c>
      <c r="ED105" s="63">
        <f t="shared" si="506"/>
        <v>11857</v>
      </c>
      <c r="EE105" s="59">
        <f t="shared" si="483"/>
        <v>0.4289</v>
      </c>
      <c r="EF105" s="59">
        <f t="shared" si="484"/>
        <v>0.22620000000000001</v>
      </c>
      <c r="EG105" s="59">
        <f t="shared" si="485"/>
        <v>0.17899999999999999</v>
      </c>
      <c r="EH105" s="59">
        <f t="shared" si="486"/>
        <v>0.1817</v>
      </c>
      <c r="EI105" s="59">
        <f t="shared" si="487"/>
        <v>0.15260000000000001</v>
      </c>
      <c r="EJ105" s="59">
        <f t="shared" si="488"/>
        <v>0.16159999999999999</v>
      </c>
      <c r="EK105" s="63">
        <f t="shared" ca="1" si="507"/>
        <v>-745576640.64025044</v>
      </c>
      <c r="EL105" s="3" t="str">
        <f>RTD("tos.rtd",,EL$83,"."&amp;$B$82&amp;$AS$82&amp;"C"&amp;$A105)</f>
        <v>42.89%</v>
      </c>
      <c r="EM105" s="3" t="str">
        <f>RTD("tos.rtd",,EM$83,"."&amp;$B$82&amp;$AS$82&amp;"P"&amp;$A105)</f>
        <v>22.62%</v>
      </c>
      <c r="EN105" s="3" t="str">
        <f>RTD("tos.rtd",,EN$83,"."&amp;$C$82&amp;$AU$82&amp;"C"&amp;$A105)</f>
        <v>17.90%</v>
      </c>
      <c r="EO105" s="3" t="str">
        <f>RTD("tos.rtd",,EO$83,"."&amp;$C$82&amp;$AU$82&amp;"P"&amp;$A105)</f>
        <v>18.17%</v>
      </c>
      <c r="EP105" s="3" t="str">
        <f>RTD("tos.rtd",,EP$83,"."&amp;$D$82&amp;$AW$82&amp;"C"&amp;$A105)</f>
        <v>15.26%</v>
      </c>
      <c r="EQ105" s="3" t="str">
        <f>RTD("tos.rtd",,EQ$83,"."&amp;$D$82&amp;$AW$82&amp;"P"&amp;$A105)</f>
        <v>16.16%</v>
      </c>
      <c r="ES105" s="63" t="str">
        <f t="shared" si="489"/>
        <v>5820,11857.00</v>
      </c>
      <c r="ET105" s="63" t="str">
        <f t="shared" ca="1" si="490"/>
        <v>5820,-56943.51</v>
      </c>
      <c r="EU105" s="67">
        <v>572</v>
      </c>
      <c r="EV105" s="67" t="s">
        <v>859</v>
      </c>
      <c r="EW105" s="67">
        <v>496.88</v>
      </c>
      <c r="EX105" s="67" t="s">
        <v>860</v>
      </c>
      <c r="EY105" s="67">
        <v>5659.91</v>
      </c>
      <c r="EZ105" s="67" t="s">
        <v>861</v>
      </c>
      <c r="FA105" s="67">
        <v>20061.449000000001</v>
      </c>
      <c r="FB105" s="67" t="s">
        <v>862</v>
      </c>
      <c r="FC105" s="67" t="s">
        <v>863</v>
      </c>
      <c r="FD105" s="67" t="s">
        <v>864</v>
      </c>
      <c r="FE105" s="68" t="s">
        <v>865</v>
      </c>
      <c r="FF105" s="68" t="s">
        <v>866</v>
      </c>
    </row>
    <row r="106" spans="1:162" s="63" customFormat="1" ht="12" customHeight="1" thickBot="1" x14ac:dyDescent="0.25">
      <c r="A106" s="2">
        <f t="shared" si="508"/>
        <v>5810</v>
      </c>
      <c r="B106" s="3">
        <f t="shared" si="451"/>
        <v>2669</v>
      </c>
      <c r="C106" s="3">
        <f t="shared" si="452"/>
        <v>1409</v>
      </c>
      <c r="D106" s="3">
        <f t="shared" si="453"/>
        <v>10060</v>
      </c>
      <c r="E106" s="3">
        <f t="shared" si="519"/>
        <v>14138</v>
      </c>
      <c r="F106" s="4">
        <f t="shared" si="522"/>
        <v>5833.8695596353828</v>
      </c>
      <c r="G106" s="4">
        <f t="shared" si="520"/>
        <v>579.78165789361071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>
        <v>-2716</v>
      </c>
      <c r="AN106" s="20">
        <v>-2663</v>
      </c>
      <c r="AO106" s="20">
        <v>5810</v>
      </c>
      <c r="AP106" s="20">
        <v>34206</v>
      </c>
      <c r="AQ106" s="20">
        <v>-50722</v>
      </c>
      <c r="AR106" s="20"/>
      <c r="AS106" s="54">
        <f>IF(RTD("tos.rtd",,AS$83,"."&amp;$B$82&amp;$AS$82&amp;"C"&amp;$A106)="N/A",0,RTD("tos.rtd",,AS$83,"."&amp;$B$82&amp;$AS$82&amp;"C"&amp;$A106))</f>
        <v>2646</v>
      </c>
      <c r="AT106" s="3">
        <f>-IF(RTD("tos.rtd",,AT$83,"."&amp;$B$82&amp;$AS$82&amp;"P"&amp;$A106)="N/A",0,RTD("tos.rtd",,AT$83,"."&amp;$B$82&amp;$AS$82&amp;"P"&amp;$A106))</f>
        <v>-23</v>
      </c>
      <c r="AU106" s="54">
        <f>IF(RTD("tos.rtd",,AU$83,"."&amp;$C$82&amp;$AU$82&amp;"C"&amp;$A106)="N/A",0,RTD("tos.rtd",,AU$83,"."&amp;$C$82&amp;$AU$82&amp;"C"&amp;$A106))</f>
        <v>984</v>
      </c>
      <c r="AV106" s="3">
        <f>-IF(RTD("tos.rtd",,AV$83,"."&amp;$C$82&amp;$AU$82&amp;"P"&amp;$A106)="N/A",0,RTD("tos.rtd",,AV$83,"."&amp;$C$82&amp;$AU$82&amp;"P"&amp;$A106))</f>
        <v>-425</v>
      </c>
      <c r="AW106" s="54">
        <f>IF(RTD("tos.rtd",,AW$83,"."&amp;$D$82&amp;$AW$82&amp;"C"&amp;$A106)="N/A",0,RTD("tos.rtd",,AW$83,"."&amp;$D$82&amp;$AW$82&amp;"C"&amp;$A106))</f>
        <v>5969</v>
      </c>
      <c r="AX106" s="3">
        <f>-IF(RTD("tos.rtd",,AX$83,"."&amp;$D$82&amp;$AW$82&amp;"P"&amp;$A106)="N/A",0,RTD("tos.rtd",,AX$83,"."&amp;$D$82&amp;$AW$82&amp;"P"&amp;$A106))</f>
        <v>-4091</v>
      </c>
      <c r="AY106" s="79">
        <f t="shared" si="521"/>
        <v>5060</v>
      </c>
      <c r="AZ106" s="8">
        <f t="shared" si="455"/>
        <v>5810</v>
      </c>
      <c r="BA106" s="54">
        <f>IF(RTD("tos.rtd",,BA$83,"."&amp;$B$82&amp;$AS$82&amp;"C"&amp;$A106)="N/A",0,RTD("tos.rtd",,BA$83,"."&amp;$B$82&amp;$AS$82&amp;"C"&amp;$A106))</f>
        <v>34206</v>
      </c>
      <c r="BB106" s="3">
        <f>-IF(RTD("tos.rtd",,BB$83,"."&amp;$B$82&amp;$AS$82&amp;"P"&amp;$A106)="N/A",0,RTD("tos.rtd",,BB$83,"."&amp;$B$82&amp;$AS$82&amp;"P"&amp;$A106))</f>
        <v>-50722</v>
      </c>
      <c r="BC106" s="54">
        <f>IF(RTD("tos.rtd",,BC$83,"."&amp;$C$82&amp;$AU$82&amp;"C"&amp;$A106)="N/A",0,RTD("tos.rtd",,BC$83,"."&amp;$C$82&amp;$AU$82&amp;"C"&amp;$A106))</f>
        <v>849</v>
      </c>
      <c r="BD106" s="3">
        <f>-IF(RTD("tos.rtd",,BD$83,"."&amp;$C$82&amp;$AU$82&amp;"P"&amp;$A106)="N/A",0,RTD("tos.rtd",,BD$83,"."&amp;$C$82&amp;$AU$82&amp;"P"&amp;$A106))</f>
        <v>-873</v>
      </c>
      <c r="BE106" s="54">
        <f>IF(RTD("tos.rtd",,BE$83,"."&amp;$D$82&amp;$AW$82&amp;"C"&amp;$A106)="N/A",0,RTD("tos.rtd",,BE$83,"."&amp;$D$82&amp;$AW$82&amp;"C"&amp;$A106))</f>
        <v>1580</v>
      </c>
      <c r="BF106" s="3">
        <f>-IF(RTD("tos.rtd",,BF$83,"."&amp;$D$82&amp;$AW$82&amp;"P"&amp;$A106)="N/A",0,RTD("tos.rtd",,BF$83,"."&amp;$D$82&amp;$AW$82&amp;"P"&amp;$A106))</f>
        <v>-1620</v>
      </c>
      <c r="BG106" s="3">
        <f ca="1">+Hoja2!Y107</f>
        <v>-12</v>
      </c>
      <c r="BH106" s="55">
        <f t="shared" ca="1" si="493"/>
        <v>-16592</v>
      </c>
      <c r="BI106" s="32" t="str">
        <f t="shared" ca="1" si="513"/>
        <v/>
      </c>
      <c r="BJ106" s="3">
        <f ca="1">IF($BP$1=1,DX106,IF(RTD("tos.rtd",,BJ$83,"."&amp;$B$82&amp;$AS$82&amp;"C"&amp;$A106)="N/A",0,RTD("tos.rtd",,BJ$83,"."&amp;$B$82&amp;$AS$82&amp;"C"&amp;$A106)))</f>
        <v>7.4507855969363412E-3</v>
      </c>
      <c r="BK106" s="3">
        <f ca="1">IF($BP$1=1,DY106,-IF(RTD("tos.rtd",,BK$83,"."&amp;$B$82&amp;$AS$82&amp;"P"&amp;$A106)="N/A",0,RTD("tos.rtd",,BK$83,"."&amp;$B$82&amp;$AS$82&amp;"P"&amp;$A106)))</f>
        <v>-6.425563435342169E-3</v>
      </c>
      <c r="BL106" s="3">
        <f ca="1">IF($BP$1=1,DZ106,IF(RTD("tos.rtd",,BL$83,"."&amp;$C$82&amp;$AU$82&amp;"C"&amp;$A106)="N/A",0,RTD("tos.rtd",,BL$83,"."&amp;$C$82&amp;$AU$82&amp;"C"&amp;$A106)))</f>
        <v>2.9349122673470248E-3</v>
      </c>
      <c r="BM106" s="3">
        <f ca="1">IF($BP$1=1,EA106,-IF(RTD("tos.rtd",,BM$83,"."&amp;$C$82&amp;$AU$82&amp;"P"&amp;$A106)="N/A",0,RTD("tos.rtd",,BM$83,"."&amp;$C$82&amp;$AU$82&amp;"P"&amp;$A106)))</f>
        <v>-2.9007653727255171E-3</v>
      </c>
      <c r="BN106" s="3">
        <f ca="1">IF($BP$1=1,EB106,IF(RTD("tos.rtd",,BN$83,"."&amp;$D$82&amp;$AW$82&amp;"C"&amp;$A106)="N/A",0,RTD("tos.rtd",,BN$83,"."&amp;$D$82&amp;$AW$82&amp;"C"&amp;$A106)))</f>
        <v>3.4030217111081641E-3</v>
      </c>
      <c r="BO106" s="3">
        <f ca="1">IF($BP$1=1,EC106,-IF(RTD("tos.rtd",,BO$83,"."&amp;$D$82&amp;$AW$82&amp;"P"&amp;$A106)="N/A",0,RTD("tos.rtd",,BO$83,"."&amp;$D$82&amp;$AW$82&amp;"P"&amp;$A106)))</f>
        <v>-3.2309766531321968E-3</v>
      </c>
      <c r="BQ106" s="3">
        <f t="shared" ca="1" si="456"/>
        <v>5042778.9365369603</v>
      </c>
      <c r="BR106" s="3" t="str">
        <f t="shared" ca="1" si="494"/>
        <v/>
      </c>
      <c r="BS106" s="3">
        <f t="shared" ca="1" si="457"/>
        <v>426557.49601598916</v>
      </c>
      <c r="BT106" s="3" t="str">
        <f t="shared" ca="1" si="494"/>
        <v/>
      </c>
      <c r="BU106" s="3">
        <f t="shared" ca="1" si="458"/>
        <v>1828439.5499103628</v>
      </c>
      <c r="BV106" s="3" t="str">
        <f t="shared" ca="1" si="494"/>
        <v/>
      </c>
      <c r="BX106" s="3">
        <f t="shared" ca="1" si="459"/>
        <v>-18312421.214985147</v>
      </c>
      <c r="BY106" s="3" t="str">
        <f t="shared" ca="1" si="510"/>
        <v/>
      </c>
      <c r="BZ106" s="3">
        <f t="shared" ca="1" si="460"/>
        <v>-10470.505545450025</v>
      </c>
      <c r="CA106" s="3" t="str">
        <f t="shared" ca="1" si="510"/>
        <v>Cruce -</v>
      </c>
      <c r="CB106" s="3">
        <f t="shared" ca="1" si="461"/>
        <v>36748.65372885461</v>
      </c>
      <c r="CC106" s="3" t="str">
        <f t="shared" ca="1" si="510"/>
        <v/>
      </c>
      <c r="CD106" s="3">
        <f>IF(RTD("tos.rtd",,CD$83,"."&amp;$B$82&amp;$AS$82&amp;"C"&amp;$A106)="N/A",0,RTD("tos.rtd",,CD$83,"."&amp;$B$82&amp;$AS$82&amp;"C"&amp;$A106))</f>
        <v>0.98</v>
      </c>
      <c r="CE106" s="3">
        <f>-IF(RTD("tos.rtd",,CE$83,"."&amp;$B$82&amp;$AS$82&amp;"P"&amp;$A106)="N/A",0,RTD("tos.rtd",,CE$83,"."&amp;$B$82&amp;$AS$82&amp;"P"&amp;$A106))</f>
        <v>0.01</v>
      </c>
      <c r="CF106" s="3">
        <f>IF(RTD("tos.rtd",,CF$83,"."&amp;$C$82&amp;$AU$82&amp;"C"&amp;$A106)="N/A",0,RTD("tos.rtd",,CF$83,"."&amp;$C$82&amp;$AU$82&amp;"C"&amp;$A106))</f>
        <v>0.64</v>
      </c>
      <c r="CG106" s="3">
        <f>-IF(RTD("tos.rtd",,CG$83,"."&amp;$C$82&amp;$AU$82&amp;"P"&amp;$A106)="N/A",0,RTD("tos.rtd",,CG$83,"."&amp;$C$82&amp;$AU$82&amp;"P"&amp;$A106))</f>
        <v>0.36</v>
      </c>
      <c r="CH106" s="3">
        <f>IF(RTD("tos.rtd",,CH$83,"."&amp;$D$82&amp;$AW$82&amp;"C"&amp;$A106)="N/A",0,RTD("tos.rtd",,CH$83,"."&amp;$D$82&amp;$AW$82&amp;"C"&amp;$A106))</f>
        <v>0.59</v>
      </c>
      <c r="CI106" s="3">
        <f>-IF(RTD("tos.rtd",,CI$83,"."&amp;$D$82&amp;$AW$82&amp;"P"&amp;$A106)="N/A",0,RTD("tos.rtd",,CI$83,"."&amp;$D$82&amp;$AW$82&amp;"P"&amp;$A106))</f>
        <v>0.41</v>
      </c>
      <c r="CK106" s="3">
        <f t="shared" si="495"/>
        <v>259285</v>
      </c>
      <c r="CL106" s="3"/>
      <c r="CM106" s="3">
        <f t="shared" si="496"/>
        <v>47676</v>
      </c>
      <c r="CN106" s="3"/>
      <c r="CO106" s="3">
        <f t="shared" si="497"/>
        <v>184440</v>
      </c>
      <c r="CP106" s="3">
        <f t="shared" si="462"/>
        <v>491401</v>
      </c>
      <c r="CQ106" s="3">
        <f t="shared" si="463"/>
        <v>-16516</v>
      </c>
      <c r="CR106" s="3"/>
      <c r="CS106" s="3">
        <f t="shared" si="464"/>
        <v>-24</v>
      </c>
      <c r="CT106" s="3"/>
      <c r="CU106" s="3">
        <f t="shared" si="465"/>
        <v>-40</v>
      </c>
      <c r="CV106" s="3"/>
      <c r="CW106" s="3">
        <f t="shared" ca="1" si="466"/>
        <v>7297775.9824633123</v>
      </c>
      <c r="CY106" s="3">
        <f t="shared" ca="1" si="467"/>
        <v>-18286143.066801742</v>
      </c>
      <c r="CZ106" s="70" t="str">
        <f t="shared" ca="1" si="511"/>
        <v/>
      </c>
      <c r="DA106" s="3">
        <f>IF(RTD("tos.rtd",,DA$83,"."&amp;$B$82&amp;$AS$82&amp;"C"&amp;$A106)="N/A",0,RTD("tos.rtd",,DA$83,"."&amp;$B$82&amp;$AS$82&amp;"C"&amp;$A106))</f>
        <v>35.9</v>
      </c>
      <c r="DB106" s="3">
        <f>IF(RTD("tos.rtd",,DB$83,"."&amp;$B$82&amp;$AS$82&amp;"P"&amp;$A106)="N/A",0,RTD("tos.rtd",,DB$83,"."&amp;$B$82&amp;$AS$82&amp;"P"&amp;$A106))</f>
        <v>0.05</v>
      </c>
      <c r="DC106" s="3">
        <f>IF(RTD("tos.rtd",,DC$83,"."&amp;$B$82&amp;$AS$82&amp;"C"&amp;$A106)="N/A",0,RTD("tos.rtd",,DC$83,"."&amp;$B$82&amp;$AS$82&amp;"C"&amp;$A106))</f>
        <v>36.6</v>
      </c>
      <c r="DD106" s="3">
        <f>IF(RTD("tos.rtd",,DD$83,"."&amp;$B$82&amp;$AS$82&amp;"P"&amp;$A106)="N/A",0,RTD("tos.rtd",,DD$83,"."&amp;$B$82&amp;$AS$82&amp;"P"&amp;$A106))</f>
        <v>0.05</v>
      </c>
      <c r="DE106" s="3">
        <f>IF(RTD("tos.rtd",,DE$83,"."&amp;$B$82&amp;$AS$82&amp;"C"&amp;$A106)="N/A",0,RTD("tos.rtd",,DE$83,"."&amp;$B$82&amp;$AS$82&amp;"C"&amp;$A106))</f>
        <v>32.1</v>
      </c>
      <c r="DF106" s="3">
        <f>IF(RTD("tos.rtd",,DF$83,"."&amp;$B$82&amp;$AS$82&amp;"P"&amp;$A106)="N/A",0,RTD("tos.rtd",,DF$83,"."&amp;$B$82&amp;$AS$82&amp;"P"&amp;$A106))</f>
        <v>0</v>
      </c>
      <c r="DG106" s="86">
        <f t="shared" si="499"/>
        <v>-31.75</v>
      </c>
      <c r="DH106" s="3">
        <f t="shared" si="468"/>
        <v>0</v>
      </c>
      <c r="DI106" s="3">
        <f t="shared" si="469"/>
        <v>0</v>
      </c>
      <c r="DJ106" s="3">
        <f t="shared" si="470"/>
        <v>0</v>
      </c>
      <c r="DK106" s="3">
        <f t="shared" si="471"/>
        <v>0</v>
      </c>
      <c r="DL106" s="3">
        <f t="shared" si="472"/>
        <v>0</v>
      </c>
      <c r="DM106" s="3">
        <f t="shared" si="473"/>
        <v>0</v>
      </c>
      <c r="DN106" s="64" t="str">
        <f t="shared" si="474"/>
        <v>UNKNOWN</v>
      </c>
      <c r="DO106" s="64" t="str">
        <f t="shared" si="475"/>
        <v>UNKNOWN</v>
      </c>
      <c r="DP106" s="3">
        <f t="shared" si="476"/>
        <v>0</v>
      </c>
      <c r="DQ106" s="3">
        <f t="shared" si="477"/>
        <v>0</v>
      </c>
      <c r="DR106" s="3">
        <f t="shared" ca="1" si="478"/>
        <v>0</v>
      </c>
      <c r="DS106" s="3">
        <f t="shared" si="479"/>
        <v>0</v>
      </c>
      <c r="DT106" s="3">
        <f>BA106-VLOOKUP(AZ106,$AO$85:$AQ$130,2,FALSE)</f>
        <v>0</v>
      </c>
      <c r="DU106" s="3">
        <f t="shared" si="501"/>
        <v>0</v>
      </c>
      <c r="DV106" s="3">
        <f t="shared" si="502"/>
        <v>-2716</v>
      </c>
      <c r="DW106" s="3">
        <f t="shared" si="503"/>
        <v>-2663</v>
      </c>
      <c r="DX106" s="3">
        <f t="shared" ca="1" si="512"/>
        <v>7.4507855969363412E-3</v>
      </c>
      <c r="DY106" s="3">
        <f t="shared" ca="1" si="480"/>
        <v>-6.425563435342169E-3</v>
      </c>
      <c r="DZ106" s="3">
        <f t="shared" ca="1" si="504"/>
        <v>2.9349122673470248E-3</v>
      </c>
      <c r="EA106" s="3">
        <f t="shared" ca="1" si="505"/>
        <v>-2.9007653727255171E-3</v>
      </c>
      <c r="EB106" s="3">
        <f t="shared" ca="1" si="481"/>
        <v>3.4030217111081641E-3</v>
      </c>
      <c r="EC106" s="3">
        <f t="shared" ca="1" si="482"/>
        <v>-3.2309766531321968E-3</v>
      </c>
      <c r="ED106" s="63">
        <f t="shared" si="506"/>
        <v>-5379</v>
      </c>
      <c r="EE106" s="59">
        <f t="shared" si="483"/>
        <v>0.3886</v>
      </c>
      <c r="EF106" s="59">
        <f t="shared" si="484"/>
        <v>0.307</v>
      </c>
      <c r="EG106" s="59">
        <f t="shared" si="485"/>
        <v>0.18099999999999999</v>
      </c>
      <c r="EH106" s="59">
        <f t="shared" si="486"/>
        <v>0.18329999999999999</v>
      </c>
      <c r="EI106" s="59">
        <f t="shared" si="487"/>
        <v>0.15390000000000001</v>
      </c>
      <c r="EJ106" s="59">
        <f t="shared" si="488"/>
        <v>0.16300000000000001</v>
      </c>
      <c r="EK106" s="63">
        <f t="shared" ca="1" si="507"/>
        <v>-106645872.5134331</v>
      </c>
      <c r="EL106" s="3" t="str">
        <f>RTD("tos.rtd",,EL$83,"."&amp;$B$82&amp;$AS$82&amp;"C"&amp;$A106)</f>
        <v>38.86%</v>
      </c>
      <c r="EM106" s="3" t="str">
        <f>RTD("tos.rtd",,EM$83,"."&amp;$B$82&amp;$AS$82&amp;"P"&amp;$A106)</f>
        <v>30.70%</v>
      </c>
      <c r="EN106" s="3" t="str">
        <f>RTD("tos.rtd",,EN$83,"."&amp;$C$82&amp;$AU$82&amp;"C"&amp;$A106)</f>
        <v>18.10%</v>
      </c>
      <c r="EO106" s="3" t="str">
        <f>RTD("tos.rtd",,EO$83,"."&amp;$C$82&amp;$AU$82&amp;"P"&amp;$A106)</f>
        <v>18.33%</v>
      </c>
      <c r="EP106" s="3" t="str">
        <f>RTD("tos.rtd",,EP$83,"."&amp;$D$82&amp;$AW$82&amp;"C"&amp;$A106)</f>
        <v>15.39%</v>
      </c>
      <c r="EQ106" s="3" t="str">
        <f>RTD("tos.rtd",,EQ$83,"."&amp;$D$82&amp;$AW$82&amp;"P"&amp;$A106)</f>
        <v>16.30%</v>
      </c>
      <c r="ES106" s="63" t="str">
        <f t="shared" si="489"/>
        <v>5810,-5379.00</v>
      </c>
      <c r="ET106" s="63" t="str">
        <f t="shared" ca="1" si="490"/>
        <v>5810,-18286.14</v>
      </c>
      <c r="EU106" s="67">
        <v>572</v>
      </c>
      <c r="EV106" s="67" t="s">
        <v>867</v>
      </c>
      <c r="EW106" s="67">
        <v>496.94</v>
      </c>
      <c r="EX106" s="67" t="s">
        <v>868</v>
      </c>
      <c r="EY106" s="67">
        <v>5659.91</v>
      </c>
      <c r="EZ106" s="67" t="s">
        <v>869</v>
      </c>
      <c r="FA106" s="67">
        <v>20061.449000000001</v>
      </c>
      <c r="FB106" s="67" t="s">
        <v>870</v>
      </c>
      <c r="FC106" s="67" t="s">
        <v>871</v>
      </c>
      <c r="FD106" s="67" t="s">
        <v>872</v>
      </c>
      <c r="FE106" s="68" t="s">
        <v>873</v>
      </c>
      <c r="FF106" s="68" t="s">
        <v>874</v>
      </c>
    </row>
    <row r="107" spans="1:162" s="63" customFormat="1" ht="12" customHeight="1" thickBot="1" x14ac:dyDescent="0.25">
      <c r="A107" s="2">
        <f t="shared" si="508"/>
        <v>5800</v>
      </c>
      <c r="B107" s="3">
        <f t="shared" si="451"/>
        <v>4848</v>
      </c>
      <c r="C107" s="3">
        <f t="shared" si="452"/>
        <v>43967</v>
      </c>
      <c r="D107" s="3">
        <f t="shared" si="453"/>
        <v>79985</v>
      </c>
      <c r="E107" s="3">
        <f t="shared" si="519"/>
        <v>128800</v>
      </c>
      <c r="F107" s="4">
        <f t="shared" si="522"/>
        <v>5823.8284760559764</v>
      </c>
      <c r="G107" s="4">
        <f t="shared" si="520"/>
        <v>578.7837548679762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>
        <v>-2737</v>
      </c>
      <c r="AN107" s="20">
        <v>3866</v>
      </c>
      <c r="AO107" s="20">
        <v>5800</v>
      </c>
      <c r="AP107" s="20">
        <v>28439</v>
      </c>
      <c r="AQ107" s="20">
        <v>-70571</v>
      </c>
      <c r="AR107" s="20"/>
      <c r="AS107" s="54">
        <f>IF(RTD("tos.rtd",,AS$83,"."&amp;$B$82&amp;$AS$82&amp;"C"&amp;$A107)="N/A",0,RTD("tos.rtd",,AS$83,"."&amp;$B$82&amp;$AS$82&amp;"C"&amp;$A107))</f>
        <v>4746</v>
      </c>
      <c r="AT107" s="3">
        <f>-IF(RTD("tos.rtd",,AT$83,"."&amp;$B$82&amp;$AS$82&amp;"P"&amp;$A107)="N/A",0,RTD("tos.rtd",,AT$83,"."&amp;$B$82&amp;$AS$82&amp;"P"&amp;$A107))</f>
        <v>-102</v>
      </c>
      <c r="AU107" s="54">
        <f>IF(RTD("tos.rtd",,AU$83,"."&amp;$C$82&amp;$AU$82&amp;"C"&amp;$A107)="N/A",0,RTD("tos.rtd",,AU$83,"."&amp;$C$82&amp;$AU$82&amp;"C"&amp;$A107))</f>
        <v>20098</v>
      </c>
      <c r="AV107" s="3">
        <f>-IF(RTD("tos.rtd",,AV$83,"."&amp;$C$82&amp;$AU$82&amp;"P"&amp;$A107)="N/A",0,RTD("tos.rtd",,AV$83,"."&amp;$C$82&amp;$AU$82&amp;"P"&amp;$A107))</f>
        <v>-23869</v>
      </c>
      <c r="AW107" s="54">
        <f>IF(RTD("tos.rtd",,AW$83,"."&amp;$D$82&amp;$AW$82&amp;"C"&amp;$A107)="N/A",0,RTD("tos.rtd",,AW$83,"."&amp;$D$82&amp;$AW$82&amp;"C"&amp;$A107))</f>
        <v>43025</v>
      </c>
      <c r="AX107" s="3">
        <f>-IF(RTD("tos.rtd",,AX$83,"."&amp;$D$82&amp;$AW$82&amp;"P"&amp;$A107)="N/A",0,RTD("tos.rtd",,AX$83,"."&amp;$D$82&amp;$AW$82&amp;"P"&amp;$A107))</f>
        <v>-36960</v>
      </c>
      <c r="AY107" s="79">
        <f t="shared" si="521"/>
        <v>6938</v>
      </c>
      <c r="AZ107" s="8">
        <f t="shared" si="455"/>
        <v>5800</v>
      </c>
      <c r="BA107" s="54">
        <f>IF(RTD("tos.rtd",,BA$83,"."&amp;$B$82&amp;$AS$82&amp;"C"&amp;$A107)="N/A",0,RTD("tos.rtd",,BA$83,"."&amp;$B$82&amp;$AS$82&amp;"C"&amp;$A107))</f>
        <v>28439</v>
      </c>
      <c r="BB107" s="3">
        <f>-IF(RTD("tos.rtd",,BB$83,"."&amp;$B$82&amp;$AS$82&amp;"P"&amp;$A107)="N/A",0,RTD("tos.rtd",,BB$83,"."&amp;$B$82&amp;$AS$82&amp;"P"&amp;$A107))</f>
        <v>-70571</v>
      </c>
      <c r="BC107" s="54">
        <f>IF(RTD("tos.rtd",,BC$83,"."&amp;$C$82&amp;$AU$82&amp;"C"&amp;$A107)="N/A",0,RTD("tos.rtd",,BC$83,"."&amp;$C$82&amp;$AU$82&amp;"C"&amp;$A107))</f>
        <v>15285</v>
      </c>
      <c r="BD107" s="3">
        <f>-IF(RTD("tos.rtd",,BD$83,"."&amp;$C$82&amp;$AU$82&amp;"P"&amp;$A107)="N/A",0,RTD("tos.rtd",,BD$83,"."&amp;$C$82&amp;$AU$82&amp;"P"&amp;$A107))</f>
        <v>-13647</v>
      </c>
      <c r="BE107" s="54">
        <f>IF(RTD("tos.rtd",,BE$83,"."&amp;$D$82&amp;$AW$82&amp;"C"&amp;$A107)="N/A",0,RTD("tos.rtd",,BE$83,"."&amp;$D$82&amp;$AW$82&amp;"C"&amp;$A107))</f>
        <v>15416</v>
      </c>
      <c r="BF107" s="3">
        <f>-IF(RTD("tos.rtd",,BF$83,"."&amp;$D$82&amp;$AW$82&amp;"P"&amp;$A107)="N/A",0,RTD("tos.rtd",,BF$83,"."&amp;$D$82&amp;$AW$82&amp;"P"&amp;$A107))</f>
        <v>-16558</v>
      </c>
      <c r="BG107" s="3">
        <f ca="1">+Hoja2!Y108</f>
        <v>-100</v>
      </c>
      <c r="BH107" s="55">
        <f t="shared" ca="1" si="493"/>
        <v>-41736</v>
      </c>
      <c r="BI107" s="32" t="str">
        <f t="shared" ca="1" si="513"/>
        <v/>
      </c>
      <c r="BJ107" s="3">
        <f ca="1">IF($BP$1=1,DX107,IF(RTD("tos.rtd",,BJ$83,"."&amp;$B$82&amp;$AS$82&amp;"C"&amp;$A107)="N/A",0,RTD("tos.rtd",,BJ$83,"."&amp;$B$82&amp;$AS$82&amp;"C"&amp;$A107)))</f>
        <v>5.5479920447670554E-3</v>
      </c>
      <c r="BK107" s="3">
        <f ca="1">IF($BP$1=1,DY107,-IF(RTD("tos.rtd",,BK$83,"."&amp;$B$82&amp;$AS$82&amp;"P"&amp;$A107)="N/A",0,RTD("tos.rtd",,BK$83,"."&amp;$B$82&amp;$AS$82&amp;"P"&amp;$A107)))</f>
        <v>-4.6472657441322977E-3</v>
      </c>
      <c r="BL107" s="3">
        <f ca="1">IF($BP$1=1,DZ107,IF(RTD("tos.rtd",,BL$83,"."&amp;$C$82&amp;$AU$82&amp;"C"&amp;$A107)="N/A",0,RTD("tos.rtd",,BL$83,"."&amp;$C$82&amp;$AU$82&amp;"C"&amp;$A107)))</f>
        <v>2.839498286001631E-3</v>
      </c>
      <c r="BM107" s="3">
        <f ca="1">IF($BP$1=1,EA107,-IF(RTD("tos.rtd",,BM$83,"."&amp;$C$82&amp;$AU$82&amp;"P"&amp;$A107)="N/A",0,RTD("tos.rtd",,BM$83,"."&amp;$C$82&amp;$AU$82&amp;"P"&amp;$A107)))</f>
        <v>-2.8043331785576066E-3</v>
      </c>
      <c r="BN107" s="3">
        <f ca="1">IF($BP$1=1,EB107,IF(RTD("tos.rtd",,BN$83,"."&amp;$D$82&amp;$AW$82&amp;"C"&amp;$A107)="N/A",0,RTD("tos.rtd",,BN$83,"."&amp;$D$82&amp;$AW$82&amp;"C"&amp;$A107)))</f>
        <v>3.2662537528264407E-3</v>
      </c>
      <c r="BO107" s="3">
        <f ca="1">IF($BP$1=1,EC107,-IF(RTD("tos.rtd",,BO$83,"."&amp;$D$82&amp;$AW$82&amp;"P"&amp;$A107)="N/A",0,RTD("tos.rtd",,BO$83,"."&amp;$D$82&amp;$AW$82&amp;"P"&amp;$A107)))</f>
        <v>-3.1114539971924442E-3</v>
      </c>
      <c r="BQ107" s="3">
        <f t="shared" ca="1" si="456"/>
        <v>6663767.1433118852</v>
      </c>
      <c r="BR107" s="3" t="str">
        <f t="shared" ca="1" si="494"/>
        <v/>
      </c>
      <c r="BS107" s="3">
        <f t="shared" ca="1" si="457"/>
        <v>-2543268.9389453083</v>
      </c>
      <c r="BT107" s="3" t="str">
        <f t="shared" ca="1" si="494"/>
        <v>Cruce -</v>
      </c>
      <c r="BU107" s="3">
        <f t="shared" ca="1" si="458"/>
        <v>6579874.2612217292</v>
      </c>
      <c r="BV107" s="3" t="str">
        <f t="shared" ca="1" si="494"/>
        <v/>
      </c>
      <c r="BX107" s="3">
        <f t="shared" ca="1" si="459"/>
        <v>-43859297.440772712</v>
      </c>
      <c r="BY107" s="3" t="str">
        <f t="shared" ca="1" si="510"/>
        <v/>
      </c>
      <c r="BZ107" s="3">
        <f t="shared" ca="1" si="460"/>
        <v>1322353.6002623904</v>
      </c>
      <c r="CA107" s="3" t="str">
        <f t="shared" ca="1" si="510"/>
        <v>Cruce +</v>
      </c>
      <c r="CB107" s="3">
        <f t="shared" ca="1" si="461"/>
        <v>-300728.68353388458</v>
      </c>
      <c r="CC107" s="3" t="str">
        <f t="shared" ca="1" si="510"/>
        <v>Cruce -</v>
      </c>
      <c r="CD107" s="3">
        <f>IF(RTD("tos.rtd",,CD$83,"."&amp;$B$82&amp;$AS$82&amp;"C"&amp;$A107)="N/A",0,RTD("tos.rtd",,CD$83,"."&amp;$B$82&amp;$AS$82&amp;"C"&amp;$A107))</f>
        <v>0.98</v>
      </c>
      <c r="CE107" s="3">
        <f>-IF(RTD("tos.rtd",,CE$83,"."&amp;$B$82&amp;$AS$82&amp;"P"&amp;$A107)="N/A",0,RTD("tos.rtd",,CE$83,"."&amp;$B$82&amp;$AS$82&amp;"P"&amp;$A107))</f>
        <v>0</v>
      </c>
      <c r="CF107" s="3">
        <f>IF(RTD("tos.rtd",,CF$83,"."&amp;$C$82&amp;$AU$82&amp;"C"&amp;$A107)="N/A",0,RTD("tos.rtd",,CF$83,"."&amp;$C$82&amp;$AU$82&amp;"C"&amp;$A107))</f>
        <v>0.67</v>
      </c>
      <c r="CG107" s="3">
        <f>-IF(RTD("tos.rtd",,CG$83,"."&amp;$C$82&amp;$AU$82&amp;"P"&amp;$A107)="N/A",0,RTD("tos.rtd",,CG$83,"."&amp;$C$82&amp;$AU$82&amp;"P"&amp;$A107))</f>
        <v>0.33</v>
      </c>
      <c r="CH107" s="3">
        <f>IF(RTD("tos.rtd",,CH$83,"."&amp;$D$82&amp;$AW$82&amp;"C"&amp;$A107)="N/A",0,RTD("tos.rtd",,CH$83,"."&amp;$D$82&amp;$AW$82&amp;"C"&amp;$A107))</f>
        <v>0.61</v>
      </c>
      <c r="CI107" s="3">
        <f>-IF(RTD("tos.rtd",,CI$83,"."&amp;$D$82&amp;$AW$82&amp;"P"&amp;$A107)="N/A",0,RTD("tos.rtd",,CI$83,"."&amp;$D$82&amp;$AW$82&amp;"P"&amp;$A107))</f>
        <v>0.4</v>
      </c>
      <c r="CK107" s="3">
        <f t="shared" si="495"/>
        <v>465108</v>
      </c>
      <c r="CL107" s="3"/>
      <c r="CM107" s="3">
        <f t="shared" si="496"/>
        <v>558889.00000000023</v>
      </c>
      <c r="CN107" s="3"/>
      <c r="CO107" s="3">
        <f t="shared" si="497"/>
        <v>1146125</v>
      </c>
      <c r="CP107" s="3">
        <f t="shared" si="462"/>
        <v>2170122</v>
      </c>
      <c r="CQ107" s="3">
        <f t="shared" si="463"/>
        <v>-42132</v>
      </c>
      <c r="CR107" s="3"/>
      <c r="CS107" s="3">
        <f t="shared" si="464"/>
        <v>1638</v>
      </c>
      <c r="CT107" s="3"/>
      <c r="CU107" s="3">
        <f t="shared" si="465"/>
        <v>-1142</v>
      </c>
      <c r="CV107" s="3"/>
      <c r="CW107" s="3">
        <f t="shared" ca="1" si="466"/>
        <v>10700372.465588305</v>
      </c>
      <c r="CY107" s="3">
        <f t="shared" ca="1" si="467"/>
        <v>-42837672.524044208</v>
      </c>
      <c r="CZ107" s="70" t="str">
        <f t="shared" ca="1" si="511"/>
        <v/>
      </c>
      <c r="DA107" s="3">
        <f>IF(RTD("tos.rtd",,DA$83,"."&amp;$B$82&amp;$AS$82&amp;"C"&amp;$A107)="N/A",0,RTD("tos.rtd",,DA$83,"."&amp;$B$82&amp;$AS$82&amp;"C"&amp;$A107))</f>
        <v>44.8</v>
      </c>
      <c r="DB107" s="3">
        <f>IF(RTD("tos.rtd",,DB$83,"."&amp;$B$82&amp;$AS$82&amp;"P"&amp;$A107)="N/A",0,RTD("tos.rtd",,DB$83,"."&amp;$B$82&amp;$AS$82&amp;"P"&amp;$A107))</f>
        <v>0.05</v>
      </c>
      <c r="DC107" s="3">
        <f>IF(RTD("tos.rtd",,DC$83,"."&amp;$B$82&amp;$AS$82&amp;"C"&amp;$A107)="N/A",0,RTD("tos.rtd",,DC$83,"."&amp;$B$82&amp;$AS$82&amp;"C"&amp;$A107))</f>
        <v>46.6</v>
      </c>
      <c r="DD107" s="3">
        <f>IF(RTD("tos.rtd",,DD$83,"."&amp;$B$82&amp;$AS$82&amp;"P"&amp;$A107)="N/A",0,RTD("tos.rtd",,DD$83,"."&amp;$B$82&amp;$AS$82&amp;"P"&amp;$A107))</f>
        <v>0.05</v>
      </c>
      <c r="DE107" s="3">
        <f>IF(RTD("tos.rtd",,DE$83,"."&amp;$B$82&amp;$AS$82&amp;"C"&amp;$A107)="N/A",0,RTD("tos.rtd",,DE$83,"."&amp;$B$82&amp;$AS$82&amp;"C"&amp;$A107))</f>
        <v>42.1</v>
      </c>
      <c r="DF107" s="3">
        <f>IF(RTD("tos.rtd",,DF$83,"."&amp;$B$82&amp;$AS$82&amp;"P"&amp;$A107)="N/A",0,RTD("tos.rtd",,DF$83,"."&amp;$B$82&amp;$AS$82&amp;"P"&amp;$A107))</f>
        <v>0</v>
      </c>
      <c r="DG107" s="86">
        <f t="shared" si="499"/>
        <v>-41.75</v>
      </c>
      <c r="DH107" s="3">
        <f t="shared" si="468"/>
        <v>0</v>
      </c>
      <c r="DI107" s="3">
        <f t="shared" si="469"/>
        <v>0</v>
      </c>
      <c r="DJ107" s="3">
        <f t="shared" si="470"/>
        <v>0</v>
      </c>
      <c r="DK107" s="3">
        <f t="shared" si="471"/>
        <v>0</v>
      </c>
      <c r="DL107" s="3">
        <f t="shared" si="472"/>
        <v>0</v>
      </c>
      <c r="DM107" s="3">
        <f t="shared" si="473"/>
        <v>0</v>
      </c>
      <c r="DN107" s="64" t="str">
        <f t="shared" si="474"/>
        <v>UNKNOWN</v>
      </c>
      <c r="DO107" s="64" t="str">
        <f t="shared" si="475"/>
        <v>UNKNOWN</v>
      </c>
      <c r="DP107" s="3">
        <f t="shared" si="476"/>
        <v>0</v>
      </c>
      <c r="DQ107" s="3">
        <f t="shared" si="477"/>
        <v>0</v>
      </c>
      <c r="DR107" s="3">
        <f t="shared" ca="1" si="478"/>
        <v>0</v>
      </c>
      <c r="DS107" s="3">
        <f t="shared" si="479"/>
        <v>0</v>
      </c>
      <c r="DT107" s="3">
        <f t="shared" si="500"/>
        <v>0</v>
      </c>
      <c r="DU107" s="3">
        <f t="shared" si="501"/>
        <v>0</v>
      </c>
      <c r="DV107" s="3">
        <f t="shared" si="502"/>
        <v>-2737</v>
      </c>
      <c r="DW107" s="3">
        <f t="shared" si="503"/>
        <v>3866</v>
      </c>
      <c r="DX107" s="3">
        <f t="shared" ca="1" si="512"/>
        <v>5.5479920447670554E-3</v>
      </c>
      <c r="DY107" s="3">
        <f t="shared" ca="1" si="480"/>
        <v>-4.6472657441322977E-3</v>
      </c>
      <c r="DZ107" s="3">
        <f t="shared" ca="1" si="504"/>
        <v>2.839498286001631E-3</v>
      </c>
      <c r="EA107" s="3">
        <f t="shared" ca="1" si="505"/>
        <v>-2.8043331785576066E-3</v>
      </c>
      <c r="EB107" s="3">
        <f t="shared" ca="1" si="481"/>
        <v>3.2662537528264407E-3</v>
      </c>
      <c r="EC107" s="3">
        <f t="shared" ca="1" si="482"/>
        <v>-3.1114539971924442E-3</v>
      </c>
      <c r="ED107" s="63">
        <f t="shared" si="506"/>
        <v>1129</v>
      </c>
      <c r="EE107" s="59">
        <f t="shared" si="483"/>
        <v>0.48330000000000001</v>
      </c>
      <c r="EF107" s="59">
        <f t="shared" si="484"/>
        <v>0.38690000000000002</v>
      </c>
      <c r="EG107" s="59">
        <f t="shared" si="485"/>
        <v>0.1827</v>
      </c>
      <c r="EH107" s="59">
        <f t="shared" si="486"/>
        <v>0.18529999999999999</v>
      </c>
      <c r="EI107" s="59">
        <f t="shared" si="487"/>
        <v>0.1552</v>
      </c>
      <c r="EJ107" s="59">
        <f t="shared" si="488"/>
        <v>0.16439999999999999</v>
      </c>
      <c r="EK107" s="63">
        <f t="shared" ca="1" si="507"/>
        <v>-1131318718.8792629</v>
      </c>
      <c r="EL107" s="3" t="str">
        <f>RTD("tos.rtd",,EL$83,"."&amp;$B$82&amp;$AS$82&amp;"C"&amp;$A107)</f>
        <v>48.33%</v>
      </c>
      <c r="EM107" s="3" t="str">
        <f>RTD("tos.rtd",,EM$83,"."&amp;$B$82&amp;$AS$82&amp;"P"&amp;$A107)</f>
        <v>38.69%</v>
      </c>
      <c r="EN107" s="3" t="str">
        <f>RTD("tos.rtd",,EN$83,"."&amp;$C$82&amp;$AU$82&amp;"C"&amp;$A107)</f>
        <v>18.27%</v>
      </c>
      <c r="EO107" s="3" t="str">
        <f>RTD("tos.rtd",,EO$83,"."&amp;$C$82&amp;$AU$82&amp;"P"&amp;$A107)</f>
        <v>18.53%</v>
      </c>
      <c r="EP107" s="3" t="str">
        <f>RTD("tos.rtd",,EP$83,"."&amp;$D$82&amp;$AW$82&amp;"C"&amp;$A107)</f>
        <v>15.52%</v>
      </c>
      <c r="EQ107" s="3" t="str">
        <f>RTD("tos.rtd",,EQ$83,"."&amp;$D$82&amp;$AW$82&amp;"P"&amp;$A107)</f>
        <v>16.44%</v>
      </c>
      <c r="ES107" s="63" t="str">
        <f t="shared" si="489"/>
        <v>5800,1129.00</v>
      </c>
      <c r="ET107" s="63" t="str">
        <f t="shared" ca="1" si="490"/>
        <v>5800,-42837.67</v>
      </c>
      <c r="EU107" s="67">
        <v>572.03</v>
      </c>
      <c r="EV107" s="67" t="s">
        <v>875</v>
      </c>
      <c r="EW107" s="67">
        <v>497</v>
      </c>
      <c r="EX107" s="67" t="s">
        <v>876</v>
      </c>
      <c r="EY107" s="67">
        <v>5659.91</v>
      </c>
      <c r="EZ107" s="67" t="s">
        <v>877</v>
      </c>
      <c r="FA107" s="67">
        <v>20061.449000000001</v>
      </c>
      <c r="FB107" s="67" t="s">
        <v>878</v>
      </c>
      <c r="FC107" s="67" t="s">
        <v>879</v>
      </c>
      <c r="FD107" s="67" t="s">
        <v>880</v>
      </c>
      <c r="FE107" s="68" t="s">
        <v>881</v>
      </c>
      <c r="FF107" s="68" t="s">
        <v>882</v>
      </c>
    </row>
    <row r="108" spans="1:162" s="63" customFormat="1" ht="12" customHeight="1" thickBot="1" x14ac:dyDescent="0.25">
      <c r="A108" s="2">
        <f t="shared" si="508"/>
        <v>5790</v>
      </c>
      <c r="B108" s="10">
        <f t="shared" si="451"/>
        <v>1314</v>
      </c>
      <c r="C108" s="10">
        <f t="shared" si="452"/>
        <v>3396</v>
      </c>
      <c r="D108" s="10">
        <f t="shared" si="453"/>
        <v>1769</v>
      </c>
      <c r="E108" s="10">
        <f t="shared" si="519"/>
        <v>6479</v>
      </c>
      <c r="F108" s="11">
        <f t="shared" si="522"/>
        <v>5813.787392476569</v>
      </c>
      <c r="G108" s="11">
        <f t="shared" si="520"/>
        <v>577.7858518423418</v>
      </c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>
        <v>-1082</v>
      </c>
      <c r="AN108" s="10">
        <v>-3040</v>
      </c>
      <c r="AO108" s="10">
        <v>5790</v>
      </c>
      <c r="AP108" s="10">
        <v>5185</v>
      </c>
      <c r="AQ108" s="10">
        <v>-37403</v>
      </c>
      <c r="AR108" s="10"/>
      <c r="AS108" s="54">
        <f>IF(RTD("tos.rtd",,AS$83,"."&amp;$B$82&amp;$AS$82&amp;"C"&amp;$A108)="N/A",0,RTD("tos.rtd",,AS$83,"."&amp;$B$82&amp;$AS$82&amp;"C"&amp;$A108))</f>
        <v>992</v>
      </c>
      <c r="AT108" s="3">
        <f>-IF(RTD("tos.rtd",,AT$83,"."&amp;$B$82&amp;$AS$82&amp;"P"&amp;$A108)="N/A",0,RTD("tos.rtd",,AT$83,"."&amp;$B$82&amp;$AS$82&amp;"P"&amp;$A108))</f>
        <v>-322</v>
      </c>
      <c r="AU108" s="54">
        <f>IF(RTD("tos.rtd",,AU$83,"."&amp;$C$82&amp;$AU$82&amp;"C"&amp;$A108)="N/A",0,RTD("tos.rtd",,AU$83,"."&amp;$C$82&amp;$AU$82&amp;"C"&amp;$A108))</f>
        <v>1922</v>
      </c>
      <c r="AV108" s="3">
        <f>-IF(RTD("tos.rtd",,AV$83,"."&amp;$C$82&amp;$AU$82&amp;"P"&amp;$A108)="N/A",0,RTD("tos.rtd",,AV$83,"."&amp;$C$82&amp;$AU$82&amp;"P"&amp;$A108))</f>
        <v>-1474</v>
      </c>
      <c r="AW108" s="54">
        <f>IF(RTD("tos.rtd",,AW$83,"."&amp;$D$82&amp;$AW$82&amp;"C"&amp;$A108)="N/A",0,RTD("tos.rtd",,AW$83,"."&amp;$D$82&amp;$AW$82&amp;"C"&amp;$A108))</f>
        <v>904</v>
      </c>
      <c r="AX108" s="3">
        <f>-IF(RTD("tos.rtd",,AX$83,"."&amp;$D$82&amp;$AW$82&amp;"P"&amp;$A108)="N/A",0,RTD("tos.rtd",,AX$83,"."&amp;$D$82&amp;$AW$82&amp;"P"&amp;$A108))</f>
        <v>-865</v>
      </c>
      <c r="AY108" s="80">
        <f t="shared" si="521"/>
        <v>1157</v>
      </c>
      <c r="AZ108" s="8">
        <f t="shared" si="455"/>
        <v>5790</v>
      </c>
      <c r="BA108" s="54">
        <f>IF(RTD("tos.rtd",,BA$83,"."&amp;$B$82&amp;$AS$82&amp;"C"&amp;$A108)="N/A",0,RTD("tos.rtd",,BA$83,"."&amp;$B$82&amp;$AS$82&amp;"C"&amp;$A108))</f>
        <v>5185</v>
      </c>
      <c r="BB108" s="3">
        <f>-IF(RTD("tos.rtd",,BB$83,"."&amp;$B$82&amp;$AS$82&amp;"P"&amp;$A108)="N/A",0,RTD("tos.rtd",,BB$83,"."&amp;$B$82&amp;$AS$82&amp;"P"&amp;$A108))</f>
        <v>-37403</v>
      </c>
      <c r="BC108" s="54">
        <f>IF(RTD("tos.rtd",,BC$83,"."&amp;$C$82&amp;$AU$82&amp;"C"&amp;$A108)="N/A",0,RTD("tos.rtd",,BC$83,"."&amp;$C$82&amp;$AU$82&amp;"C"&amp;$A108))</f>
        <v>444</v>
      </c>
      <c r="BD108" s="3">
        <f>-IF(RTD("tos.rtd",,BD$83,"."&amp;$C$82&amp;$AU$82&amp;"P"&amp;$A108)="N/A",0,RTD("tos.rtd",,BD$83,"."&amp;$C$82&amp;$AU$82&amp;"P"&amp;$A108))</f>
        <v>-775</v>
      </c>
      <c r="BE108" s="54">
        <f>IF(RTD("tos.rtd",,BE$83,"."&amp;$D$82&amp;$AW$82&amp;"C"&amp;$A108)="N/A",0,RTD("tos.rtd",,BE$83,"."&amp;$D$82&amp;$AW$82&amp;"C"&amp;$A108))</f>
        <v>9</v>
      </c>
      <c r="BF108" s="3">
        <f>-IF(RTD("tos.rtd",,BF$83,"."&amp;$D$82&amp;$AW$82&amp;"P"&amp;$A108)="N/A",0,RTD("tos.rtd",,BF$83,"."&amp;$D$82&amp;$AW$82&amp;"P"&amp;$A108))</f>
        <v>-3</v>
      </c>
      <c r="BG108" s="3">
        <f ca="1">+Hoja2!Y109</f>
        <v>178</v>
      </c>
      <c r="BH108" s="53">
        <f t="shared" ca="1" si="493"/>
        <v>-32365</v>
      </c>
      <c r="BI108" s="32" t="str">
        <f t="shared" ca="1" si="513"/>
        <v/>
      </c>
      <c r="BJ108" s="3">
        <f ca="1">IF($BP$1=1,DX108,IF(RTD("tos.rtd",,BJ$83,"."&amp;$B$82&amp;$AS$82&amp;"C"&amp;$A108)="N/A",0,RTD("tos.rtd",,BJ$83,"."&amp;$B$82&amp;$AS$82&amp;"C"&amp;$A108)))</f>
        <v>4.382042377350218E-3</v>
      </c>
      <c r="BK108" s="3">
        <f ca="1">IF($BP$1=1,DY108,-IF(RTD("tos.rtd",,BK$83,"."&amp;$B$82&amp;$AS$82&amp;"P"&amp;$A108)="N/A",0,RTD("tos.rtd",,BK$83,"."&amp;$B$82&amp;$AS$82&amp;"P"&amp;$A108)))</f>
        <v>-3.5901910679578216E-3</v>
      </c>
      <c r="BL108" s="3">
        <f ca="1">IF($BP$1=1,DZ108,IF(RTD("tos.rtd",,BL$83,"."&amp;$C$82&amp;$AU$82&amp;"C"&amp;$A108)="N/A",0,RTD("tos.rtd",,BL$83,"."&amp;$C$82&amp;$AU$82&amp;"C"&amp;$A108)))</f>
        <v>2.7461728273015357E-3</v>
      </c>
      <c r="BM108" s="3">
        <f ca="1">IF($BP$1=1,EA108,-IF(RTD("tos.rtd",,BM$83,"."&amp;$C$82&amp;$AU$82&amp;"P"&amp;$A108)="N/A",0,RTD("tos.rtd",,BM$83,"."&amp;$C$82&amp;$AU$82&amp;"P"&amp;$A108)))</f>
        <v>-2.6940538023571201E-3</v>
      </c>
      <c r="BN108" s="3">
        <f ca="1">IF($BP$1=1,EB108,IF(RTD("tos.rtd",,BN$83,"."&amp;$D$82&amp;$AW$82&amp;"C"&amp;$A108)="N/A",0,RTD("tos.rtd",,BN$83,"."&amp;$D$82&amp;$AW$82&amp;"C"&amp;$A108)))</f>
        <v>3.1134403646775862E-3</v>
      </c>
      <c r="BO108" s="3">
        <f ca="1">IF($BP$1=1,EC108,-IF(RTD("tos.rtd",,BO$83,"."&amp;$D$82&amp;$AW$82&amp;"P"&amp;$A108)="N/A",0,RTD("tos.rtd",,BO$83,"."&amp;$D$82&amp;$AW$82&amp;"P"&amp;$A108)))</f>
        <v>-2.9794837138663001E-3</v>
      </c>
      <c r="BQ108" s="3">
        <f t="shared" ca="1" si="456"/>
        <v>822365.99417688092</v>
      </c>
      <c r="BR108" s="3" t="str">
        <f t="shared" ca="1" si="494"/>
        <v/>
      </c>
      <c r="BS108" s="3">
        <f t="shared" ca="1" si="457"/>
        <v>336866.36668656417</v>
      </c>
      <c r="BT108" s="3" t="str">
        <f t="shared" ca="1" si="494"/>
        <v>Cruce +</v>
      </c>
      <c r="BU108" s="3">
        <f t="shared" ca="1" si="458"/>
        <v>61155.785365612595</v>
      </c>
      <c r="BV108" s="3" t="str">
        <f t="shared" ca="1" si="494"/>
        <v/>
      </c>
      <c r="BX108" s="3">
        <f t="shared" ca="1" si="459"/>
        <v>-28751875.509799115</v>
      </c>
      <c r="BY108" s="3" t="str">
        <f t="shared" ca="1" si="510"/>
        <v/>
      </c>
      <c r="BZ108" s="3">
        <f t="shared" ca="1" si="460"/>
        <v>-223852.11223716976</v>
      </c>
      <c r="CA108" s="3" t="str">
        <f t="shared" ca="1" si="510"/>
        <v>Cruce -</v>
      </c>
      <c r="CB108" s="3">
        <f t="shared" ca="1" si="461"/>
        <v>4917.9197559704207</v>
      </c>
      <c r="CC108" s="3" t="str">
        <f t="shared" ca="1" si="510"/>
        <v>Cruce +</v>
      </c>
      <c r="CD108" s="3">
        <f>IF(RTD("tos.rtd",,CD$83,"."&amp;$B$82&amp;$AS$82&amp;"C"&amp;$A108)="N/A",0,RTD("tos.rtd",,CD$83,"."&amp;$B$82&amp;$AS$82&amp;"C"&amp;$A108))</f>
        <v>0.98</v>
      </c>
      <c r="CE108" s="3">
        <f>-IF(RTD("tos.rtd",,CE$83,"."&amp;$B$82&amp;$AS$82&amp;"P"&amp;$A108)="N/A",0,RTD("tos.rtd",,CE$83,"."&amp;$B$82&amp;$AS$82&amp;"P"&amp;$A108))</f>
        <v>0</v>
      </c>
      <c r="CF108" s="3">
        <f>IF(RTD("tos.rtd",,CF$83,"."&amp;$C$82&amp;$AU$82&amp;"C"&amp;$A108)="N/A",0,RTD("tos.rtd",,CF$83,"."&amp;$C$82&amp;$AU$82&amp;"C"&amp;$A108))</f>
        <v>0.7</v>
      </c>
      <c r="CG108" s="3">
        <f>-IF(RTD("tos.rtd",,CG$83,"."&amp;$C$82&amp;$AU$82&amp;"P"&amp;$A108)="N/A",0,RTD("tos.rtd",,CG$83,"."&amp;$C$82&amp;$AU$82&amp;"P"&amp;$A108))</f>
        <v>0.3</v>
      </c>
      <c r="CH108" s="3">
        <f>IF(RTD("tos.rtd",,CH$83,"."&amp;$D$82&amp;$AW$82&amp;"C"&amp;$A108)="N/A",0,RTD("tos.rtd",,CH$83,"."&amp;$D$82&amp;$AW$82&amp;"C"&amp;$A108))</f>
        <v>0.62</v>
      </c>
      <c r="CI108" s="3">
        <f>-IF(RTD("tos.rtd",,CI$83,"."&amp;$D$82&amp;$AW$82&amp;"P"&amp;$A108)="N/A",0,RTD("tos.rtd",,CI$83,"."&amp;$D$82&amp;$AW$82&amp;"P"&amp;$A108))</f>
        <v>0.39</v>
      </c>
      <c r="CK108" s="3">
        <f t="shared" si="495"/>
        <v>97216</v>
      </c>
      <c r="CL108" s="3"/>
      <c r="CM108" s="3">
        <f t="shared" si="496"/>
        <v>90320</v>
      </c>
      <c r="CN108" s="3"/>
      <c r="CO108" s="3">
        <f t="shared" si="497"/>
        <v>22313</v>
      </c>
      <c r="CP108" s="3">
        <f t="shared" si="462"/>
        <v>209849</v>
      </c>
      <c r="CQ108" s="3">
        <f t="shared" si="463"/>
        <v>-32218</v>
      </c>
      <c r="CR108" s="3"/>
      <c r="CS108" s="3">
        <f t="shared" si="464"/>
        <v>-331</v>
      </c>
      <c r="CT108" s="3"/>
      <c r="CU108" s="3">
        <f t="shared" si="465"/>
        <v>6</v>
      </c>
      <c r="CV108" s="3"/>
      <c r="CW108" s="3">
        <f t="shared" ca="1" si="466"/>
        <v>1220388.1462290576</v>
      </c>
      <c r="CY108" s="3">
        <f t="shared" ca="1" si="467"/>
        <v>-28970809.702280317</v>
      </c>
      <c r="CZ108" s="70" t="str">
        <f t="shared" ca="1" si="511"/>
        <v/>
      </c>
      <c r="DA108" s="3">
        <f>IF(RTD("tos.rtd",,DA$83,"."&amp;$B$82&amp;$AS$82&amp;"C"&amp;$A108)="N/A",0,RTD("tos.rtd",,DA$83,"."&amp;$B$82&amp;$AS$82&amp;"C"&amp;$A108))</f>
        <v>56.8</v>
      </c>
      <c r="DB108" s="3">
        <f>IF(RTD("tos.rtd",,DB$83,"."&amp;$B$82&amp;$AS$82&amp;"P"&amp;$A108)="N/A",0,RTD("tos.rtd",,DB$83,"."&amp;$B$82&amp;$AS$82&amp;"P"&amp;$A108))</f>
        <v>0.03</v>
      </c>
      <c r="DC108" s="3">
        <f>IF(RTD("tos.rtd",,DC$83,"."&amp;$B$82&amp;$AS$82&amp;"C"&amp;$A108)="N/A",0,RTD("tos.rtd",,DC$83,"."&amp;$B$82&amp;$AS$82&amp;"C"&amp;$A108))</f>
        <v>56.6</v>
      </c>
      <c r="DD108" s="3">
        <f>IF(RTD("tos.rtd",,DD$83,"."&amp;$B$82&amp;$AS$82&amp;"P"&amp;$A108)="N/A",0,RTD("tos.rtd",,DD$83,"."&amp;$B$82&amp;$AS$82&amp;"P"&amp;$A108))</f>
        <v>0.05</v>
      </c>
      <c r="DE108" s="3">
        <f>IF(RTD("tos.rtd",,DE$83,"."&amp;$B$82&amp;$AS$82&amp;"C"&amp;$A108)="N/A",0,RTD("tos.rtd",,DE$83,"."&amp;$B$82&amp;$AS$82&amp;"C"&amp;$A108))</f>
        <v>52.1</v>
      </c>
      <c r="DF108" s="3">
        <f>IF(RTD("tos.rtd",,DF$83,"."&amp;$B$82&amp;$AS$82&amp;"P"&amp;$A108)="N/A",0,RTD("tos.rtd",,DF$83,"."&amp;$B$82&amp;$AS$82&amp;"P"&amp;$A108))</f>
        <v>0</v>
      </c>
      <c r="DG108" s="86">
        <f t="shared" si="499"/>
        <v>-51.75</v>
      </c>
      <c r="DH108" s="3">
        <f t="shared" si="468"/>
        <v>0</v>
      </c>
      <c r="DI108" s="3">
        <f t="shared" si="469"/>
        <v>0</v>
      </c>
      <c r="DJ108" s="3">
        <f t="shared" si="470"/>
        <v>0</v>
      </c>
      <c r="DK108" s="3">
        <f t="shared" si="471"/>
        <v>0</v>
      </c>
      <c r="DL108" s="3">
        <f t="shared" si="472"/>
        <v>0</v>
      </c>
      <c r="DM108" s="3">
        <f t="shared" si="473"/>
        <v>0</v>
      </c>
      <c r="DN108" s="64" t="str">
        <f t="shared" si="474"/>
        <v>UNKNOWN</v>
      </c>
      <c r="DO108" s="64" t="str">
        <f t="shared" si="475"/>
        <v>UNKNOWN</v>
      </c>
      <c r="DP108" s="3">
        <f t="shared" si="476"/>
        <v>0</v>
      </c>
      <c r="DQ108" s="3">
        <f t="shared" si="477"/>
        <v>0</v>
      </c>
      <c r="DR108" s="3">
        <f t="shared" ca="1" si="478"/>
        <v>0</v>
      </c>
      <c r="DS108" s="3">
        <f t="shared" si="479"/>
        <v>0</v>
      </c>
      <c r="DT108" s="3">
        <f t="shared" si="500"/>
        <v>0</v>
      </c>
      <c r="DU108" s="3">
        <f t="shared" si="501"/>
        <v>0</v>
      </c>
      <c r="DV108" s="3">
        <f t="shared" si="502"/>
        <v>-1082</v>
      </c>
      <c r="DW108" s="3">
        <f t="shared" si="503"/>
        <v>-3040</v>
      </c>
      <c r="DX108" s="3">
        <f t="shared" ca="1" si="512"/>
        <v>4.382042377350218E-3</v>
      </c>
      <c r="DY108" s="3">
        <f t="shared" ca="1" si="480"/>
        <v>-3.5901910679578216E-3</v>
      </c>
      <c r="DZ108" s="3">
        <f t="shared" ca="1" si="504"/>
        <v>2.7461728273015357E-3</v>
      </c>
      <c r="EA108" s="3">
        <f t="shared" ca="1" si="505"/>
        <v>-2.6940538023571201E-3</v>
      </c>
      <c r="EB108" s="3">
        <f t="shared" ca="1" si="481"/>
        <v>3.1134403646775862E-3</v>
      </c>
      <c r="EC108" s="3">
        <f t="shared" ca="1" si="482"/>
        <v>-2.9794837138663001E-3</v>
      </c>
      <c r="ED108" s="63">
        <f t="shared" si="506"/>
        <v>-4122</v>
      </c>
      <c r="EE108" s="59">
        <f t="shared" si="483"/>
        <v>0.57569999999999999</v>
      </c>
      <c r="EF108" s="59">
        <f t="shared" si="484"/>
        <v>0.4647</v>
      </c>
      <c r="EG108" s="59">
        <f t="shared" si="485"/>
        <v>0.18340000000000001</v>
      </c>
      <c r="EH108" s="59">
        <f t="shared" si="486"/>
        <v>0.18770000000000001</v>
      </c>
      <c r="EI108" s="59">
        <f t="shared" si="487"/>
        <v>0.1565</v>
      </c>
      <c r="EJ108" s="59">
        <f t="shared" si="488"/>
        <v>0.16569999999999999</v>
      </c>
      <c r="EK108" s="63">
        <f t="shared" ca="1" si="507"/>
        <v>210653613.80811575</v>
      </c>
      <c r="EL108" s="3" t="str">
        <f>RTD("tos.rtd",,EL$83,"."&amp;$B$82&amp;$AS$82&amp;"C"&amp;$A108)</f>
        <v>57.57%</v>
      </c>
      <c r="EM108" s="3" t="str">
        <f>RTD("tos.rtd",,EM$83,"."&amp;$B$82&amp;$AS$82&amp;"P"&amp;$A108)</f>
        <v>46.47%</v>
      </c>
      <c r="EN108" s="3" t="str">
        <f>RTD("tos.rtd",,EN$83,"."&amp;$C$82&amp;$AU$82&amp;"C"&amp;$A108)</f>
        <v>18.34%</v>
      </c>
      <c r="EO108" s="3" t="str">
        <f>RTD("tos.rtd",,EO$83,"."&amp;$C$82&amp;$AU$82&amp;"P"&amp;$A108)</f>
        <v>18.77%</v>
      </c>
      <c r="EP108" s="3" t="str">
        <f>RTD("tos.rtd",,EP$83,"."&amp;$D$82&amp;$AW$82&amp;"C"&amp;$A108)</f>
        <v>15.65%</v>
      </c>
      <c r="EQ108" s="3" t="str">
        <f>RTD("tos.rtd",,EQ$83,"."&amp;$D$82&amp;$AW$82&amp;"P"&amp;$A108)</f>
        <v>16.57%</v>
      </c>
      <c r="ES108" s="63" t="str">
        <f t="shared" si="489"/>
        <v>5790,-4122.00</v>
      </c>
      <c r="ET108" s="63" t="str">
        <f t="shared" ca="1" si="490"/>
        <v>5790,-28970.81</v>
      </c>
      <c r="EU108" s="67">
        <v>572</v>
      </c>
      <c r="EV108" s="67" t="s">
        <v>883</v>
      </c>
      <c r="EW108" s="67">
        <v>496.91</v>
      </c>
      <c r="EX108" s="67" t="s">
        <v>884</v>
      </c>
      <c r="EY108" s="67">
        <v>5659.91</v>
      </c>
      <c r="EZ108" s="67" t="s">
        <v>885</v>
      </c>
      <c r="FA108" s="67">
        <v>20061.449000000001</v>
      </c>
      <c r="FB108" s="67" t="s">
        <v>886</v>
      </c>
      <c r="FC108" s="67" t="s">
        <v>887</v>
      </c>
      <c r="FD108" s="67" t="s">
        <v>888</v>
      </c>
      <c r="FE108" s="68" t="s">
        <v>889</v>
      </c>
      <c r="FF108" s="68" t="s">
        <v>890</v>
      </c>
    </row>
    <row r="109" spans="1:162" s="63" customFormat="1" ht="12" customHeight="1" thickBot="1" x14ac:dyDescent="0.25">
      <c r="A109" s="2">
        <f t="shared" si="508"/>
        <v>5780</v>
      </c>
      <c r="B109" s="3">
        <f t="shared" si="451"/>
        <v>1255</v>
      </c>
      <c r="C109" s="3">
        <f t="shared" si="452"/>
        <v>2926</v>
      </c>
      <c r="D109" s="3">
        <f t="shared" si="453"/>
        <v>3691</v>
      </c>
      <c r="E109" s="3">
        <f t="shared" si="519"/>
        <v>7872</v>
      </c>
      <c r="F109" s="14">
        <f t="shared" si="522"/>
        <v>5803.7463088971626</v>
      </c>
      <c r="G109" s="14">
        <f t="shared" si="520"/>
        <v>576.7879488167074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>
        <v>192</v>
      </c>
      <c r="AN109" s="20">
        <v>-1246</v>
      </c>
      <c r="AO109" s="20">
        <v>5780</v>
      </c>
      <c r="AP109" s="20">
        <v>3393</v>
      </c>
      <c r="AQ109" s="20">
        <v>-27817</v>
      </c>
      <c r="AR109" s="20"/>
      <c r="AS109" s="54">
        <f>IF(RTD("tos.rtd",,AS$83,"."&amp;$B$82&amp;$AS$82&amp;"C"&amp;$A109)="N/A",0,RTD("tos.rtd",,AS$83,"."&amp;$B$82&amp;$AS$82&amp;"C"&amp;$A109))</f>
        <v>1242</v>
      </c>
      <c r="AT109" s="3">
        <f>-IF(RTD("tos.rtd",,AT$83,"."&amp;$B$82&amp;$AS$82&amp;"P"&amp;$A109)="N/A",0,RTD("tos.rtd",,AT$83,"."&amp;$B$82&amp;$AS$82&amp;"P"&amp;$A109))</f>
        <v>-13</v>
      </c>
      <c r="AU109" s="54">
        <f>IF(RTD("tos.rtd",,AU$83,"."&amp;$C$82&amp;$AU$82&amp;"C"&amp;$A109)="N/A",0,RTD("tos.rtd",,AU$83,"."&amp;$C$82&amp;$AU$82&amp;"C"&amp;$A109))</f>
        <v>1314</v>
      </c>
      <c r="AV109" s="3">
        <f>-IF(RTD("tos.rtd",,AV$83,"."&amp;$C$82&amp;$AU$82&amp;"P"&amp;$A109)="N/A",0,RTD("tos.rtd",,AV$83,"."&amp;$C$82&amp;$AU$82&amp;"P"&amp;$A109))</f>
        <v>-1612</v>
      </c>
      <c r="AW109" s="54">
        <f>IF(RTD("tos.rtd",,AW$83,"."&amp;$D$82&amp;$AW$82&amp;"C"&amp;$A109)="N/A",0,RTD("tos.rtd",,AW$83,"."&amp;$D$82&amp;$AW$82&amp;"C"&amp;$A109))</f>
        <v>1879</v>
      </c>
      <c r="AX109" s="3">
        <f>-IF(RTD("tos.rtd",,AX$83,"."&amp;$D$82&amp;$AW$82&amp;"P"&amp;$A109)="N/A",0,RTD("tos.rtd",,AX$83,"."&amp;$D$82&amp;$AW$82&amp;"P"&amp;$A109))</f>
        <v>-1812</v>
      </c>
      <c r="AY109" s="79">
        <f t="shared" si="521"/>
        <v>998</v>
      </c>
      <c r="AZ109" s="8">
        <f t="shared" si="455"/>
        <v>5780</v>
      </c>
      <c r="BA109" s="54">
        <f>IF(RTD("tos.rtd",,BA$83,"."&amp;$B$82&amp;$AS$82&amp;"C"&amp;$A109)="N/A",0,RTD("tos.rtd",,BA$83,"."&amp;$B$82&amp;$AS$82&amp;"C"&amp;$A109))</f>
        <v>3393</v>
      </c>
      <c r="BB109" s="3">
        <f>-IF(RTD("tos.rtd",,BB$83,"."&amp;$B$82&amp;$AS$82&amp;"P"&amp;$A109)="N/A",0,RTD("tos.rtd",,BB$83,"."&amp;$B$82&amp;$AS$82&amp;"P"&amp;$A109))</f>
        <v>-27817</v>
      </c>
      <c r="BC109" s="54">
        <f>IF(RTD("tos.rtd",,BC$83,"."&amp;$C$82&amp;$AU$82&amp;"C"&amp;$A109)="N/A",0,RTD("tos.rtd",,BC$83,"."&amp;$C$82&amp;$AU$82&amp;"C"&amp;$A109))</f>
        <v>190</v>
      </c>
      <c r="BD109" s="3">
        <f>-IF(RTD("tos.rtd",,BD$83,"."&amp;$C$82&amp;$AU$82&amp;"P"&amp;$A109)="N/A",0,RTD("tos.rtd",,BD$83,"."&amp;$C$82&amp;$AU$82&amp;"P"&amp;$A109))</f>
        <v>-240</v>
      </c>
      <c r="BE109" s="54">
        <f>IF(RTD("tos.rtd",,BE$83,"."&amp;$D$82&amp;$AW$82&amp;"C"&amp;$A109)="N/A",0,RTD("tos.rtd",,BE$83,"."&amp;$D$82&amp;$AW$82&amp;"C"&amp;$A109))</f>
        <v>24</v>
      </c>
      <c r="BF109" s="3">
        <f>-IF(RTD("tos.rtd",,BF$83,"."&amp;$D$82&amp;$AW$82&amp;"P"&amp;$A109)="N/A",0,RTD("tos.rtd",,BF$83,"."&amp;$D$82&amp;$AW$82&amp;"P"&amp;$A109))</f>
        <v>-50</v>
      </c>
      <c r="BG109" s="3">
        <f ca="1">+Hoja2!Y110</f>
        <v>23</v>
      </c>
      <c r="BH109" s="55">
        <f t="shared" ca="1" si="493"/>
        <v>-24477</v>
      </c>
      <c r="BI109" s="32" t="str">
        <f t="shared" ca="1" si="513"/>
        <v/>
      </c>
      <c r="BJ109" s="3">
        <f ca="1">IF($BP$1=1,DX109,IF(RTD("tos.rtd",,BJ$83,"."&amp;$B$82&amp;$AS$82&amp;"C"&amp;$A109)="N/A",0,RTD("tos.rtd",,BJ$83,"."&amp;$B$82&amp;$AS$82&amp;"C"&amp;$A109)))</f>
        <v>3.8521575806442412E-3</v>
      </c>
      <c r="BK109" s="3">
        <f ca="1">IF($BP$1=1,DY109,-IF(RTD("tos.rtd",,BK$83,"."&amp;$B$82&amp;$AS$82&amp;"P"&amp;$A109)="N/A",0,RTD("tos.rtd",,BK$83,"."&amp;$B$82&amp;$AS$82&amp;"P"&amp;$A109)))</f>
        <v>-2.9005014255475406E-3</v>
      </c>
      <c r="BL109" s="3">
        <f ca="1">IF($BP$1=1,DZ109,IF(RTD("tos.rtd",,BL$83,"."&amp;$C$82&amp;$AU$82&amp;"C"&amp;$A109)="N/A",0,RTD("tos.rtd",,BL$83,"."&amp;$C$82&amp;$AU$82&amp;"C"&amp;$A109)))</f>
        <v>2.6514457498807106E-3</v>
      </c>
      <c r="BM109" s="3">
        <f ca="1">IF($BP$1=1,EA109,-IF(RTD("tos.rtd",,BM$83,"."&amp;$C$82&amp;$AU$82&amp;"P"&amp;$A109)="N/A",0,RTD("tos.rtd",,BM$83,"."&amp;$C$82&amp;$AU$82&amp;"P"&amp;$A109)))</f>
        <v>-2.5810169253307111E-3</v>
      </c>
      <c r="BN109" s="3">
        <f ca="1">IF($BP$1=1,EB109,IF(RTD("tos.rtd",,BN$83,"."&amp;$D$82&amp;$AW$82&amp;"C"&amp;$A109)="N/A",0,RTD("tos.rtd",,BN$83,"."&amp;$D$82&amp;$AW$82&amp;"C"&amp;$A109)))</f>
        <v>2.9483080822790496E-3</v>
      </c>
      <c r="BO109" s="3">
        <f ca="1">IF($BP$1=1,EC109,-IF(RTD("tos.rtd",,BO$83,"."&amp;$D$82&amp;$AW$82&amp;"P"&amp;$A109)="N/A",0,RTD("tos.rtd",,BO$83,"."&amp;$D$82&amp;$AW$82&amp;"P"&amp;$A109)))</f>
        <v>-2.8350259365252819E-3</v>
      </c>
      <c r="BQ109" s="3">
        <f t="shared" ca="1" si="456"/>
        <v>1223306.3297409941</v>
      </c>
      <c r="BR109" s="3" t="str">
        <f t="shared" ca="1" si="494"/>
        <v/>
      </c>
      <c r="BS109" s="3">
        <f t="shared" ca="1" si="457"/>
        <v>-174372.34465119243</v>
      </c>
      <c r="BT109" s="3" t="str">
        <f t="shared" ca="1" si="494"/>
        <v>Cruce -</v>
      </c>
      <c r="BU109" s="3">
        <f t="shared" ca="1" si="458"/>
        <v>103810.08495901455</v>
      </c>
      <c r="BV109" s="3" t="str">
        <f t="shared" ca="1" si="494"/>
        <v/>
      </c>
      <c r="BX109" s="3">
        <f t="shared" ca="1" si="459"/>
        <v>-17425101.238508873</v>
      </c>
      <c r="BY109" s="3" t="str">
        <f t="shared" ca="1" si="510"/>
        <v/>
      </c>
      <c r="BZ109" s="3">
        <f t="shared" ca="1" si="460"/>
        <v>-29810.156741323532</v>
      </c>
      <c r="CA109" s="3" t="str">
        <f t="shared" ca="1" si="510"/>
        <v/>
      </c>
      <c r="CB109" s="3">
        <f t="shared" ca="1" si="461"/>
        <v>-18295.939181229689</v>
      </c>
      <c r="CC109" s="3" t="str">
        <f t="shared" ca="1" si="510"/>
        <v>Cruce -</v>
      </c>
      <c r="CD109" s="3">
        <f>IF(RTD("tos.rtd",,CD$83,"."&amp;$B$82&amp;$AS$82&amp;"C"&amp;$A109)="N/A",0,RTD("tos.rtd",,CD$83,"."&amp;$B$82&amp;$AS$82&amp;"C"&amp;$A109))</f>
        <v>0.97</v>
      </c>
      <c r="CE109" s="3">
        <f>-IF(RTD("tos.rtd",,CE$83,"."&amp;$B$82&amp;$AS$82&amp;"P"&amp;$A109)="N/A",0,RTD("tos.rtd",,CE$83,"."&amp;$B$82&amp;$AS$82&amp;"P"&amp;$A109))</f>
        <v>0</v>
      </c>
      <c r="CF109" s="3">
        <f>IF(RTD("tos.rtd",,CF$83,"."&amp;$C$82&amp;$AU$82&amp;"C"&amp;$A109)="N/A",0,RTD("tos.rtd",,CF$83,"."&amp;$C$82&amp;$AU$82&amp;"C"&amp;$A109))</f>
        <v>0.74</v>
      </c>
      <c r="CG109" s="3">
        <f>-IF(RTD("tos.rtd",,CG$83,"."&amp;$C$82&amp;$AU$82&amp;"P"&amp;$A109)="N/A",0,RTD("tos.rtd",,CG$83,"."&amp;$C$82&amp;$AU$82&amp;"P"&amp;$A109))</f>
        <v>0.27</v>
      </c>
      <c r="CH109" s="3">
        <f>IF(RTD("tos.rtd",,CH$83,"."&amp;$D$82&amp;$AW$82&amp;"C"&amp;$A109)="N/A",0,RTD("tos.rtd",,CH$83,"."&amp;$D$82&amp;$AW$82&amp;"C"&amp;$A109))</f>
        <v>0.63</v>
      </c>
      <c r="CI109" s="3">
        <f>-IF(RTD("tos.rtd",,CI$83,"."&amp;$D$82&amp;$AW$82&amp;"P"&amp;$A109)="N/A",0,RTD("tos.rtd",,CI$83,"."&amp;$D$82&amp;$AW$82&amp;"P"&amp;$A109))</f>
        <v>0.38</v>
      </c>
      <c r="CK109" s="3">
        <f t="shared" si="495"/>
        <v>120474</v>
      </c>
      <c r="CL109" s="3"/>
      <c r="CM109" s="3">
        <f t="shared" si="496"/>
        <v>53712</v>
      </c>
      <c r="CN109" s="3"/>
      <c r="CO109" s="3">
        <f t="shared" si="497"/>
        <v>49521</v>
      </c>
      <c r="CP109" s="3">
        <f t="shared" si="462"/>
        <v>223707</v>
      </c>
      <c r="CQ109" s="3">
        <f t="shared" si="463"/>
        <v>-24424</v>
      </c>
      <c r="CR109" s="3"/>
      <c r="CS109" s="3">
        <f t="shared" si="464"/>
        <v>-50</v>
      </c>
      <c r="CT109" s="3"/>
      <c r="CU109" s="3">
        <f t="shared" si="465"/>
        <v>-26</v>
      </c>
      <c r="CV109" s="3"/>
      <c r="CW109" s="3">
        <f t="shared" ca="1" si="466"/>
        <v>1152744.0700488163</v>
      </c>
      <c r="CY109" s="3">
        <f t="shared" ca="1" si="467"/>
        <v>-17473207.334431428</v>
      </c>
      <c r="CZ109" s="70" t="str">
        <f t="shared" ca="1" si="511"/>
        <v/>
      </c>
      <c r="DA109" s="3">
        <f>IF(RTD("tos.rtd",,DA$83,"."&amp;$B$82&amp;$AS$82&amp;"C"&amp;$A109)="N/A",0,RTD("tos.rtd",,DA$83,"."&amp;$B$82&amp;$AS$82&amp;"C"&amp;$A109))</f>
        <v>66.73</v>
      </c>
      <c r="DB109" s="3">
        <f>IF(RTD("tos.rtd",,DB$83,"."&amp;$B$82&amp;$AS$82&amp;"P"&amp;$A109)="N/A",0,RTD("tos.rtd",,DB$83,"."&amp;$B$82&amp;$AS$82&amp;"P"&amp;$A109))</f>
        <v>0.03</v>
      </c>
      <c r="DC109" s="3">
        <f>IF(RTD("tos.rtd",,DC$83,"."&amp;$B$82&amp;$AS$82&amp;"C"&amp;$A109)="N/A",0,RTD("tos.rtd",,DC$83,"."&amp;$B$82&amp;$AS$82&amp;"C"&amp;$A109))</f>
        <v>67.2</v>
      </c>
      <c r="DD109" s="3">
        <f>IF(RTD("tos.rtd",,DD$83,"."&amp;$B$82&amp;$AS$82&amp;"P"&amp;$A109)="N/A",0,RTD("tos.rtd",,DD$83,"."&amp;$B$82&amp;$AS$82&amp;"P"&amp;$A109))</f>
        <v>0.05</v>
      </c>
      <c r="DE109" s="3">
        <f>IF(RTD("tos.rtd",,DE$83,"."&amp;$B$82&amp;$AS$82&amp;"C"&amp;$A109)="N/A",0,RTD("tos.rtd",,DE$83,"."&amp;$B$82&amp;$AS$82&amp;"C"&amp;$A109))</f>
        <v>62.1</v>
      </c>
      <c r="DF109" s="3">
        <f>IF(RTD("tos.rtd",,DF$83,"."&amp;$B$82&amp;$AS$82&amp;"P"&amp;$A109)="N/A",0,RTD("tos.rtd",,DF$83,"."&amp;$B$82&amp;$AS$82&amp;"P"&amp;$A109))</f>
        <v>0</v>
      </c>
      <c r="DG109" s="86">
        <f t="shared" si="499"/>
        <v>-61.75</v>
      </c>
      <c r="DH109" s="3">
        <f t="shared" si="468"/>
        <v>0</v>
      </c>
      <c r="DI109" s="3">
        <f t="shared" si="469"/>
        <v>0</v>
      </c>
      <c r="DJ109" s="3">
        <f t="shared" si="470"/>
        <v>0</v>
      </c>
      <c r="DK109" s="3">
        <f t="shared" si="471"/>
        <v>0</v>
      </c>
      <c r="DL109" s="3">
        <f t="shared" si="472"/>
        <v>0</v>
      </c>
      <c r="DM109" s="3">
        <f t="shared" si="473"/>
        <v>0</v>
      </c>
      <c r="DN109" s="64" t="str">
        <f t="shared" si="474"/>
        <v>UNKNOWN</v>
      </c>
      <c r="DO109" s="64" t="str">
        <f t="shared" si="475"/>
        <v>UNKNOWN</v>
      </c>
      <c r="DP109" s="3">
        <f t="shared" si="476"/>
        <v>0</v>
      </c>
      <c r="DQ109" s="3">
        <f t="shared" si="477"/>
        <v>0</v>
      </c>
      <c r="DR109" s="3">
        <f t="shared" ca="1" si="478"/>
        <v>0</v>
      </c>
      <c r="DS109" s="3">
        <f t="shared" si="479"/>
        <v>0</v>
      </c>
      <c r="DT109" s="3">
        <f t="shared" si="500"/>
        <v>0</v>
      </c>
      <c r="DU109" s="3">
        <f t="shared" si="501"/>
        <v>0</v>
      </c>
      <c r="DV109" s="3">
        <f t="shared" si="502"/>
        <v>192</v>
      </c>
      <c r="DW109" s="3">
        <f t="shared" si="503"/>
        <v>-1246</v>
      </c>
      <c r="DX109" s="3">
        <f t="shared" ca="1" si="512"/>
        <v>3.8521575806442412E-3</v>
      </c>
      <c r="DY109" s="3">
        <f t="shared" ca="1" si="480"/>
        <v>-2.9005014255475406E-3</v>
      </c>
      <c r="DZ109" s="3">
        <f t="shared" ca="1" si="504"/>
        <v>2.6514457498807106E-3</v>
      </c>
      <c r="EA109" s="3">
        <f t="shared" ca="1" si="505"/>
        <v>-2.5810169253307111E-3</v>
      </c>
      <c r="EB109" s="3">
        <f t="shared" ca="1" si="481"/>
        <v>2.9483080822790496E-3</v>
      </c>
      <c r="EC109" s="3">
        <f t="shared" ca="1" si="482"/>
        <v>-2.8350259365252819E-3</v>
      </c>
      <c r="ED109" s="63">
        <f t="shared" si="506"/>
        <v>-1054</v>
      </c>
      <c r="EE109" s="59">
        <f t="shared" si="483"/>
        <v>0.79349999999999998</v>
      </c>
      <c r="EF109" s="59">
        <f t="shared" si="484"/>
        <v>0.54149999999999998</v>
      </c>
      <c r="EG109" s="59">
        <f t="shared" si="485"/>
        <v>0.1832</v>
      </c>
      <c r="EH109" s="59">
        <f t="shared" si="486"/>
        <v>0.1898</v>
      </c>
      <c r="EI109" s="59">
        <f t="shared" si="487"/>
        <v>0.1578</v>
      </c>
      <c r="EJ109" s="59">
        <f t="shared" si="488"/>
        <v>0.1671</v>
      </c>
      <c r="EK109" s="63">
        <f t="shared" ca="1" si="507"/>
        <v>148572473.07491863</v>
      </c>
      <c r="EL109" s="3" t="str">
        <f>RTD("tos.rtd",,EL$83,"."&amp;$B$82&amp;$AS$82&amp;"C"&amp;$A109)</f>
        <v>79.35%</v>
      </c>
      <c r="EM109" s="3" t="str">
        <f>RTD("tos.rtd",,EM$83,"."&amp;$B$82&amp;$AS$82&amp;"P"&amp;$A109)</f>
        <v>54.15%</v>
      </c>
      <c r="EN109" s="3" t="str">
        <f>RTD("tos.rtd",,EN$83,"."&amp;$C$82&amp;$AU$82&amp;"C"&amp;$A109)</f>
        <v>18.32%</v>
      </c>
      <c r="EO109" s="3" t="str">
        <f>RTD("tos.rtd",,EO$83,"."&amp;$C$82&amp;$AU$82&amp;"P"&amp;$A109)</f>
        <v>18.98%</v>
      </c>
      <c r="EP109" s="3" t="str">
        <f>RTD("tos.rtd",,EP$83,"."&amp;$D$82&amp;$AW$82&amp;"C"&amp;$A109)</f>
        <v>15.78%</v>
      </c>
      <c r="EQ109" s="3" t="str">
        <f>RTD("tos.rtd",,EQ$83,"."&amp;$D$82&amp;$AW$82&amp;"P"&amp;$A109)</f>
        <v>16.71%</v>
      </c>
      <c r="ES109" s="63" t="str">
        <f t="shared" si="489"/>
        <v>5780,-1054.00</v>
      </c>
      <c r="ET109" s="63" t="str">
        <f t="shared" ca="1" si="490"/>
        <v>5780,-17473.21</v>
      </c>
      <c r="EU109" s="67">
        <v>571.99</v>
      </c>
      <c r="EV109" s="67" t="s">
        <v>891</v>
      </c>
      <c r="EW109" s="67">
        <v>497.04</v>
      </c>
      <c r="EX109" s="67" t="s">
        <v>892</v>
      </c>
      <c r="EY109" s="67">
        <v>5659.91</v>
      </c>
      <c r="EZ109" s="67" t="s">
        <v>893</v>
      </c>
      <c r="FA109" s="67">
        <v>20061.449000000001</v>
      </c>
      <c r="FB109" s="67" t="s">
        <v>894</v>
      </c>
      <c r="FC109" s="67" t="s">
        <v>895</v>
      </c>
      <c r="FD109" s="67" t="s">
        <v>896</v>
      </c>
      <c r="FE109" s="68" t="s">
        <v>897</v>
      </c>
      <c r="FF109" s="68" t="s">
        <v>898</v>
      </c>
    </row>
    <row r="110" spans="1:162" s="63" customFormat="1" ht="12" customHeight="1" thickBot="1" x14ac:dyDescent="0.25">
      <c r="A110" s="2">
        <f t="shared" si="508"/>
        <v>5770</v>
      </c>
      <c r="B110" s="3">
        <f t="shared" si="451"/>
        <v>1391</v>
      </c>
      <c r="C110" s="3">
        <f t="shared" si="452"/>
        <v>1008</v>
      </c>
      <c r="D110" s="3">
        <f t="shared" si="453"/>
        <v>4251</v>
      </c>
      <c r="E110" s="3">
        <f t="shared" si="519"/>
        <v>6650</v>
      </c>
      <c r="F110" s="4">
        <f t="shared" si="522"/>
        <v>5793.7052253177553</v>
      </c>
      <c r="G110" s="4">
        <f t="shared" si="520"/>
        <v>575.79004579107288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>
        <v>-533</v>
      </c>
      <c r="AN110" s="20">
        <v>-1125</v>
      </c>
      <c r="AO110" s="20">
        <v>5770</v>
      </c>
      <c r="AP110" s="20">
        <v>2215</v>
      </c>
      <c r="AQ110" s="20">
        <v>-31889</v>
      </c>
      <c r="AR110" s="20"/>
      <c r="AS110" s="54">
        <f>IF(RTD("tos.rtd",,AS$83,"."&amp;$B$82&amp;$AS$82&amp;"C"&amp;$A110)="N/A",0,RTD("tos.rtd",,AS$83,"."&amp;$B$82&amp;$AS$82&amp;"C"&amp;$A110))</f>
        <v>1064</v>
      </c>
      <c r="AT110" s="3">
        <f>-IF(RTD("tos.rtd",,AT$83,"."&amp;$B$82&amp;$AS$82&amp;"P"&amp;$A110)="N/A",0,RTD("tos.rtd",,AT$83,"."&amp;$B$82&amp;$AS$82&amp;"P"&amp;$A110))</f>
        <v>-327</v>
      </c>
      <c r="AU110" s="54">
        <f>IF(RTD("tos.rtd",,AU$83,"."&amp;$C$82&amp;$AU$82&amp;"C"&amp;$A110)="N/A",0,RTD("tos.rtd",,AU$83,"."&amp;$C$82&amp;$AU$82&amp;"C"&amp;$A110))</f>
        <v>428</v>
      </c>
      <c r="AV110" s="3">
        <f>-IF(RTD("tos.rtd",,AV$83,"."&amp;$C$82&amp;$AU$82&amp;"P"&amp;$A110)="N/A",0,RTD("tos.rtd",,AV$83,"."&amp;$C$82&amp;$AU$82&amp;"P"&amp;$A110))</f>
        <v>-580</v>
      </c>
      <c r="AW110" s="54">
        <f>IF(RTD("tos.rtd",,AW$83,"."&amp;$D$82&amp;$AW$82&amp;"C"&amp;$A110)="N/A",0,RTD("tos.rtd",,AW$83,"."&amp;$D$82&amp;$AW$82&amp;"C"&amp;$A110))</f>
        <v>2068</v>
      </c>
      <c r="AX110" s="3">
        <f>-IF(RTD("tos.rtd",,AX$83,"."&amp;$D$82&amp;$AW$82&amp;"P"&amp;$A110)="N/A",0,RTD("tos.rtd",,AX$83,"."&amp;$D$82&amp;$AW$82&amp;"P"&amp;$A110))</f>
        <v>-2183</v>
      </c>
      <c r="AY110" s="79">
        <f t="shared" si="521"/>
        <v>470</v>
      </c>
      <c r="AZ110" s="8">
        <f t="shared" si="455"/>
        <v>5770</v>
      </c>
      <c r="BA110" s="54">
        <f>IF(RTD("tos.rtd",,BA$83,"."&amp;$B$82&amp;$AS$82&amp;"C"&amp;$A110)="N/A",0,RTD("tos.rtd",,BA$83,"."&amp;$B$82&amp;$AS$82&amp;"C"&amp;$A110))</f>
        <v>2215</v>
      </c>
      <c r="BB110" s="3">
        <f>-IF(RTD("tos.rtd",,BB$83,"."&amp;$B$82&amp;$AS$82&amp;"P"&amp;$A110)="N/A",0,RTD("tos.rtd",,BB$83,"."&amp;$B$82&amp;$AS$82&amp;"P"&amp;$A110))</f>
        <v>-31889</v>
      </c>
      <c r="BC110" s="54">
        <f>IF(RTD("tos.rtd",,BC$83,"."&amp;$C$82&amp;$AU$82&amp;"C"&amp;$A110)="N/A",0,RTD("tos.rtd",,BC$83,"."&amp;$C$82&amp;$AU$82&amp;"C"&amp;$A110))</f>
        <v>18</v>
      </c>
      <c r="BD110" s="3">
        <f>-IF(RTD("tos.rtd",,BD$83,"."&amp;$C$82&amp;$AU$82&amp;"P"&amp;$A110)="N/A",0,RTD("tos.rtd",,BD$83,"."&amp;$C$82&amp;$AU$82&amp;"P"&amp;$A110))</f>
        <v>-91</v>
      </c>
      <c r="BE110" s="54">
        <f>IF(RTD("tos.rtd",,BE$83,"."&amp;$D$82&amp;$AW$82&amp;"C"&amp;$A110)="N/A",0,RTD("tos.rtd",,BE$83,"."&amp;$D$82&amp;$AW$82&amp;"C"&amp;$A110))</f>
        <v>59</v>
      </c>
      <c r="BF110" s="3">
        <f>-IF(RTD("tos.rtd",,BF$83,"."&amp;$D$82&amp;$AW$82&amp;"P"&amp;$A110)="N/A",0,RTD("tos.rtd",,BF$83,"."&amp;$D$82&amp;$AW$82&amp;"P"&amp;$A110))</f>
        <v>-60</v>
      </c>
      <c r="BG110" s="3">
        <f ca="1">+Hoja2!Y111</f>
        <v>177</v>
      </c>
      <c r="BH110" s="55">
        <f t="shared" ca="1" si="493"/>
        <v>-29571</v>
      </c>
      <c r="BI110" s="32" t="str">
        <f t="shared" ca="1" si="513"/>
        <v/>
      </c>
      <c r="BJ110" s="3">
        <f ca="1">IF($BP$1=1,DX110,IF(RTD("tos.rtd",,BJ$83,"."&amp;$B$82&amp;$AS$82&amp;"C"&amp;$A110)="N/A",0,RTD("tos.rtd",,BJ$83,"."&amp;$B$82&amp;$AS$82&amp;"C"&amp;$A110)))</f>
        <v>3.2901695472544873E-3</v>
      </c>
      <c r="BK110" s="3">
        <f ca="1">IF($BP$1=1,DY110,-IF(RTD("tos.rtd",,BK$83,"."&amp;$B$82&amp;$AS$82&amp;"P"&amp;$A110)="N/A",0,RTD("tos.rtd",,BK$83,"."&amp;$B$82&amp;$AS$82&amp;"P"&amp;$A110)))</f>
        <v>-2.4194438166241245E-3</v>
      </c>
      <c r="BL110" s="3">
        <f ca="1">IF($BP$1=1,DZ110,IF(RTD("tos.rtd",,BL$83,"."&amp;$C$82&amp;$AU$82&amp;"C"&amp;$A110)="N/A",0,RTD("tos.rtd",,BL$83,"."&amp;$C$82&amp;$AU$82&amp;"C"&amp;$A110)))</f>
        <v>2.5379581818731089E-3</v>
      </c>
      <c r="BM110" s="3">
        <f ca="1">IF($BP$1=1,EA110,-IF(RTD("tos.rtd",,BM$83,"."&amp;$C$82&amp;$AU$82&amp;"P"&amp;$A110)="N/A",0,RTD("tos.rtd",,BM$83,"."&amp;$C$82&amp;$AU$82&amp;"P"&amp;$A110)))</f>
        <v>-2.463982819410895E-3</v>
      </c>
      <c r="BN110" s="3">
        <f ca="1">IF($BP$1=1,EB110,IF(RTD("tos.rtd",,BN$83,"."&amp;$D$82&amp;$AW$82&amp;"C"&amp;$A110)="N/A",0,RTD("tos.rtd",,BN$83,"."&amp;$D$82&amp;$AW$82&amp;"C"&amp;$A110)))</f>
        <v>2.7754282754058426E-3</v>
      </c>
      <c r="BO110" s="3">
        <f ca="1">IF($BP$1=1,EC110,-IF(RTD("tos.rtd",,BO$83,"."&amp;$D$82&amp;$AW$82&amp;"P"&amp;$A110)="N/A",0,RTD("tos.rtd",,BO$83,"."&amp;$D$82&amp;$AW$82&amp;"P"&amp;$A110)))</f>
        <v>-2.6816175157833126E-3</v>
      </c>
      <c r="BQ110" s="3">
        <f t="shared" ca="1" si="456"/>
        <v>698309.95411618624</v>
      </c>
      <c r="BR110" s="3" t="str">
        <f t="shared" ca="1" si="494"/>
        <v/>
      </c>
      <c r="BS110" s="3">
        <f t="shared" ca="1" si="457"/>
        <v>-88362.438831140113</v>
      </c>
      <c r="BT110" s="3" t="str">
        <f t="shared" ca="1" si="494"/>
        <v/>
      </c>
      <c r="BU110" s="3">
        <f t="shared" ca="1" si="458"/>
        <v>-29479.244367515901</v>
      </c>
      <c r="BV110" s="3" t="str">
        <f t="shared" ca="1" si="494"/>
        <v>Cruce -</v>
      </c>
      <c r="BX110" s="3">
        <f t="shared" ca="1" si="459"/>
        <v>-18005751.939306624</v>
      </c>
      <c r="BY110" s="3" t="str">
        <f t="shared" ca="1" si="510"/>
        <v/>
      </c>
      <c r="BZ110" s="3">
        <f t="shared" ca="1" si="460"/>
        <v>-46012.883407206027</v>
      </c>
      <c r="CA110" s="3" t="str">
        <f t="shared" ca="1" si="510"/>
        <v/>
      </c>
      <c r="CB110" s="3">
        <f t="shared" ca="1" si="461"/>
        <v>735.32738425651769</v>
      </c>
      <c r="CC110" s="3" t="str">
        <f t="shared" ca="1" si="510"/>
        <v>Cruce +</v>
      </c>
      <c r="CD110" s="3">
        <f>IF(RTD("tos.rtd",,CD$83,"."&amp;$B$82&amp;$AS$82&amp;"C"&amp;$A110)="N/A",0,RTD("tos.rtd",,CD$83,"."&amp;$B$82&amp;$AS$82&amp;"C"&amp;$A110))</f>
        <v>0.97</v>
      </c>
      <c r="CE110" s="3">
        <f>-IF(RTD("tos.rtd",,CE$83,"."&amp;$B$82&amp;$AS$82&amp;"P"&amp;$A110)="N/A",0,RTD("tos.rtd",,CE$83,"."&amp;$B$82&amp;$AS$82&amp;"P"&amp;$A110))</f>
        <v>0</v>
      </c>
      <c r="CF110" s="3">
        <f>IF(RTD("tos.rtd",,CF$83,"."&amp;$C$82&amp;$AU$82&amp;"C"&amp;$A110)="N/A",0,RTD("tos.rtd",,CF$83,"."&amp;$C$82&amp;$AU$82&amp;"C"&amp;$A110))</f>
        <v>0.77</v>
      </c>
      <c r="CG110" s="3">
        <f>-IF(RTD("tos.rtd",,CG$83,"."&amp;$C$82&amp;$AU$82&amp;"P"&amp;$A110)="N/A",0,RTD("tos.rtd",,CG$83,"."&amp;$C$82&amp;$AU$82&amp;"P"&amp;$A110))</f>
        <v>0.24</v>
      </c>
      <c r="CH110" s="3">
        <f>IF(RTD("tos.rtd",,CH$83,"."&amp;$D$82&amp;$AW$82&amp;"C"&amp;$A110)="N/A",0,RTD("tos.rtd",,CH$83,"."&amp;$D$82&amp;$AW$82&amp;"C"&amp;$A110))</f>
        <v>0.64</v>
      </c>
      <c r="CI110" s="3">
        <f>-IF(RTD("tos.rtd",,CI$83,"."&amp;$D$82&amp;$AW$82&amp;"P"&amp;$A110)="N/A",0,RTD("tos.rtd",,CI$83,"."&amp;$D$82&amp;$AW$82&amp;"P"&amp;$A110))</f>
        <v>0.36</v>
      </c>
      <c r="CK110" s="3">
        <f t="shared" si="495"/>
        <v>103208</v>
      </c>
      <c r="CL110" s="3"/>
      <c r="CM110" s="3">
        <f t="shared" si="496"/>
        <v>19036</v>
      </c>
      <c r="CN110" s="3"/>
      <c r="CO110" s="3">
        <f t="shared" si="497"/>
        <v>53764</v>
      </c>
      <c r="CP110" s="3">
        <f t="shared" si="462"/>
        <v>176008</v>
      </c>
      <c r="CQ110" s="3">
        <f t="shared" si="463"/>
        <v>-29674</v>
      </c>
      <c r="CR110" s="3"/>
      <c r="CS110" s="3">
        <f t="shared" si="464"/>
        <v>-73</v>
      </c>
      <c r="CT110" s="3"/>
      <c r="CU110" s="3">
        <f t="shared" si="465"/>
        <v>-1</v>
      </c>
      <c r="CV110" s="3"/>
      <c r="CW110" s="3">
        <f t="shared" ca="1" si="466"/>
        <v>580468.27091753017</v>
      </c>
      <c r="CY110" s="3">
        <f t="shared" ca="1" si="467"/>
        <v>-18051029.495329574</v>
      </c>
      <c r="CZ110" s="70" t="str">
        <f t="shared" ca="1" si="511"/>
        <v/>
      </c>
      <c r="DA110" s="3">
        <f>IF(RTD("tos.rtd",,DA$83,"."&amp;$B$82&amp;$AS$82&amp;"C"&amp;$A110)="N/A",0,RTD("tos.rtd",,DA$83,"."&amp;$B$82&amp;$AS$82&amp;"C"&amp;$A110))</f>
        <v>76.78</v>
      </c>
      <c r="DB110" s="3">
        <f>IF(RTD("tos.rtd",,DB$83,"."&amp;$B$82&amp;$AS$82&amp;"P"&amp;$A110)="N/A",0,RTD("tos.rtd",,DB$83,"."&amp;$B$82&amp;$AS$82&amp;"P"&amp;$A110))</f>
        <v>0.03</v>
      </c>
      <c r="DC110" s="3">
        <f>IF(RTD("tos.rtd",,DC$83,"."&amp;$B$82&amp;$AS$82&amp;"C"&amp;$A110)="N/A",0,RTD("tos.rtd",,DC$83,"."&amp;$B$82&amp;$AS$82&amp;"C"&amp;$A110))</f>
        <v>77.2</v>
      </c>
      <c r="DD110" s="3">
        <f>IF(RTD("tos.rtd",,DD$83,"."&amp;$B$82&amp;$AS$82&amp;"P"&amp;$A110)="N/A",0,RTD("tos.rtd",,DD$83,"."&amp;$B$82&amp;$AS$82&amp;"P"&amp;$A110))</f>
        <v>0.05</v>
      </c>
      <c r="DE110" s="3">
        <f>IF(RTD("tos.rtd",,DE$83,"."&amp;$B$82&amp;$AS$82&amp;"C"&amp;$A110)="N/A",0,RTD("tos.rtd",,DE$83,"."&amp;$B$82&amp;$AS$82&amp;"C"&amp;$A110))</f>
        <v>72.099999999999994</v>
      </c>
      <c r="DF110" s="3">
        <f>IF(RTD("tos.rtd",,DF$83,"."&amp;$B$82&amp;$AS$82&amp;"P"&amp;$A110)="N/A",0,RTD("tos.rtd",,DF$83,"."&amp;$B$82&amp;$AS$82&amp;"P"&amp;$A110))</f>
        <v>0</v>
      </c>
      <c r="DG110" s="86">
        <f t="shared" si="499"/>
        <v>-71.75</v>
      </c>
      <c r="DH110" s="3">
        <f t="shared" si="468"/>
        <v>0</v>
      </c>
      <c r="DI110" s="3">
        <f t="shared" si="469"/>
        <v>0</v>
      </c>
      <c r="DJ110" s="3">
        <f t="shared" si="470"/>
        <v>0</v>
      </c>
      <c r="DK110" s="3">
        <f t="shared" si="471"/>
        <v>0</v>
      </c>
      <c r="DL110" s="3">
        <f t="shared" si="472"/>
        <v>0</v>
      </c>
      <c r="DM110" s="3">
        <f t="shared" si="473"/>
        <v>0</v>
      </c>
      <c r="DN110" s="64" t="str">
        <f t="shared" si="474"/>
        <v>UNKNOWN</v>
      </c>
      <c r="DO110" s="64" t="str">
        <f t="shared" si="475"/>
        <v>UNKNOWN</v>
      </c>
      <c r="DP110" s="3">
        <f t="shared" si="476"/>
        <v>0</v>
      </c>
      <c r="DQ110" s="3">
        <f t="shared" si="477"/>
        <v>0</v>
      </c>
      <c r="DR110" s="3">
        <f t="shared" ca="1" si="478"/>
        <v>0</v>
      </c>
      <c r="DS110" s="3">
        <f t="shared" si="479"/>
        <v>0</v>
      </c>
      <c r="DT110" s="3">
        <f t="shared" si="500"/>
        <v>0</v>
      </c>
      <c r="DU110" s="3">
        <f t="shared" si="501"/>
        <v>0</v>
      </c>
      <c r="DV110" s="3">
        <f t="shared" si="502"/>
        <v>-533</v>
      </c>
      <c r="DW110" s="3">
        <f t="shared" si="503"/>
        <v>-1125</v>
      </c>
      <c r="DX110" s="3">
        <f t="shared" ca="1" si="512"/>
        <v>3.2901695472544873E-3</v>
      </c>
      <c r="DY110" s="3">
        <f t="shared" ca="1" si="480"/>
        <v>-2.4194438166241245E-3</v>
      </c>
      <c r="DZ110" s="3">
        <f t="shared" ca="1" si="504"/>
        <v>2.5379581818731089E-3</v>
      </c>
      <c r="EA110" s="3">
        <f t="shared" ca="1" si="505"/>
        <v>-2.463982819410895E-3</v>
      </c>
      <c r="EB110" s="3">
        <f t="shared" ca="1" si="481"/>
        <v>2.7754282754058426E-3</v>
      </c>
      <c r="EC110" s="3">
        <f t="shared" ca="1" si="482"/>
        <v>-2.6816175157833126E-3</v>
      </c>
      <c r="ED110" s="63">
        <f t="shared" si="506"/>
        <v>-1658</v>
      </c>
      <c r="EE110" s="59">
        <f t="shared" si="483"/>
        <v>0.8952</v>
      </c>
      <c r="EF110" s="59">
        <f t="shared" si="484"/>
        <v>0.61770000000000003</v>
      </c>
      <c r="EG110" s="59">
        <f t="shared" si="485"/>
        <v>0.1837</v>
      </c>
      <c r="EH110" s="59">
        <f t="shared" si="486"/>
        <v>0.1918</v>
      </c>
      <c r="EI110" s="59">
        <f t="shared" si="487"/>
        <v>0.159</v>
      </c>
      <c r="EJ110" s="59">
        <f t="shared" si="488"/>
        <v>0.1686</v>
      </c>
      <c r="EK110" s="63">
        <f t="shared" ca="1" si="507"/>
        <v>33041310.09879104</v>
      </c>
      <c r="EL110" s="3" t="str">
        <f>RTD("tos.rtd",,EL$83,"."&amp;$B$82&amp;$AS$82&amp;"C"&amp;$A110)</f>
        <v>89.52%</v>
      </c>
      <c r="EM110" s="3" t="str">
        <f>RTD("tos.rtd",,EM$83,"."&amp;$B$82&amp;$AS$82&amp;"P"&amp;$A110)</f>
        <v>61.77%</v>
      </c>
      <c r="EN110" s="3" t="str">
        <f>RTD("tos.rtd",,EN$83,"."&amp;$C$82&amp;$AU$82&amp;"C"&amp;$A110)</f>
        <v>18.37%</v>
      </c>
      <c r="EO110" s="3" t="str">
        <f>RTD("tos.rtd",,EO$83,"."&amp;$C$82&amp;$AU$82&amp;"P"&amp;$A110)</f>
        <v>19.18%</v>
      </c>
      <c r="EP110" s="3" t="str">
        <f>RTD("tos.rtd",,EP$83,"."&amp;$D$82&amp;$AW$82&amp;"C"&amp;$A110)</f>
        <v>15.90%</v>
      </c>
      <c r="EQ110" s="3" t="str">
        <f>RTD("tos.rtd",,EQ$83,"."&amp;$D$82&amp;$AW$82&amp;"P"&amp;$A110)</f>
        <v>16.86%</v>
      </c>
      <c r="ES110" s="63" t="str">
        <f t="shared" si="489"/>
        <v>5770,-1658.00</v>
      </c>
      <c r="ET110" s="63" t="str">
        <f t="shared" ca="1" si="490"/>
        <v>5770,-18051.03</v>
      </c>
      <c r="EU110" s="67">
        <v>571.91</v>
      </c>
      <c r="EV110" s="67" t="s">
        <v>899</v>
      </c>
      <c r="EW110" s="67">
        <v>496.96</v>
      </c>
      <c r="EX110" s="67" t="s">
        <v>900</v>
      </c>
      <c r="EY110" s="67">
        <v>5659.91</v>
      </c>
      <c r="EZ110" s="67" t="s">
        <v>901</v>
      </c>
      <c r="FA110" s="67">
        <v>20061.449000000001</v>
      </c>
      <c r="FB110" s="67" t="s">
        <v>902</v>
      </c>
      <c r="FC110" s="67" t="s">
        <v>903</v>
      </c>
      <c r="FD110" s="67" t="s">
        <v>904</v>
      </c>
      <c r="FE110" s="68" t="s">
        <v>905</v>
      </c>
      <c r="FF110" s="68" t="s">
        <v>906</v>
      </c>
    </row>
    <row r="111" spans="1:162" s="63" customFormat="1" ht="12" customHeight="1" thickBot="1" x14ac:dyDescent="0.25">
      <c r="A111" s="2">
        <f t="shared" si="508"/>
        <v>5760</v>
      </c>
      <c r="B111" s="3">
        <f t="shared" si="451"/>
        <v>3198</v>
      </c>
      <c r="C111" s="3">
        <f t="shared" si="452"/>
        <v>2975</v>
      </c>
      <c r="D111" s="3">
        <f t="shared" si="453"/>
        <v>6999</v>
      </c>
      <c r="E111" s="3">
        <f t="shared" si="519"/>
        <v>13172</v>
      </c>
      <c r="F111" s="4">
        <f t="shared" si="522"/>
        <v>5783.6641417383489</v>
      </c>
      <c r="G111" s="4">
        <f t="shared" si="520"/>
        <v>574.79214276543848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>
        <v>554</v>
      </c>
      <c r="AN111" s="20">
        <v>2478</v>
      </c>
      <c r="AO111" s="20">
        <v>5760</v>
      </c>
      <c r="AP111" s="20">
        <v>2476</v>
      </c>
      <c r="AQ111" s="20">
        <v>-24164</v>
      </c>
      <c r="AR111" s="20"/>
      <c r="AS111" s="54">
        <f>IF(RTD("tos.rtd",,AS$83,"."&amp;$B$82&amp;$AS$82&amp;"C"&amp;$A111)="N/A",0,RTD("tos.rtd",,AS$83,"."&amp;$B$82&amp;$AS$82&amp;"C"&amp;$A111))</f>
        <v>3158</v>
      </c>
      <c r="AT111" s="3">
        <f>-IF(RTD("tos.rtd",,AT$83,"."&amp;$B$82&amp;$AS$82&amp;"P"&amp;$A111)="N/A",0,RTD("tos.rtd",,AT$83,"."&amp;$B$82&amp;$AS$82&amp;"P"&amp;$A111))</f>
        <v>-40</v>
      </c>
      <c r="AU111" s="54">
        <f>IF(RTD("tos.rtd",,AU$83,"."&amp;$C$82&amp;$AU$82&amp;"C"&amp;$A111)="N/A",0,RTD("tos.rtd",,AU$83,"."&amp;$C$82&amp;$AU$82&amp;"C"&amp;$A111))</f>
        <v>1351</v>
      </c>
      <c r="AV111" s="3">
        <f>-IF(RTD("tos.rtd",,AV$83,"."&amp;$C$82&amp;$AU$82&amp;"P"&amp;$A111)="N/A",0,RTD("tos.rtd",,AV$83,"."&amp;$C$82&amp;$AU$82&amp;"P"&amp;$A111))</f>
        <v>-1624</v>
      </c>
      <c r="AW111" s="54">
        <f>IF(RTD("tos.rtd",,AW$83,"."&amp;$D$82&amp;$AW$82&amp;"C"&amp;$A111)="N/A",0,RTD("tos.rtd",,AW$83,"."&amp;$D$82&amp;$AW$82&amp;"C"&amp;$A111))</f>
        <v>3513</v>
      </c>
      <c r="AX111" s="3">
        <f>-IF(RTD("tos.rtd",,AX$83,"."&amp;$D$82&amp;$AW$82&amp;"P"&amp;$A111)="N/A",0,RTD("tos.rtd",,AX$83,"."&amp;$D$82&amp;$AW$82&amp;"P"&amp;$A111))</f>
        <v>-3486</v>
      </c>
      <c r="AY111" s="79">
        <f t="shared" si="521"/>
        <v>2872</v>
      </c>
      <c r="AZ111" s="8">
        <f t="shared" si="455"/>
        <v>5760</v>
      </c>
      <c r="BA111" s="54">
        <f>IF(RTD("tos.rtd",,BA$83,"."&amp;$B$82&amp;$AS$82&amp;"C"&amp;$A111)="N/A",0,RTD("tos.rtd",,BA$83,"."&amp;$B$82&amp;$AS$82&amp;"C"&amp;$A111))</f>
        <v>2476</v>
      </c>
      <c r="BB111" s="3">
        <f>-IF(RTD("tos.rtd",,BB$83,"."&amp;$B$82&amp;$AS$82&amp;"P"&amp;$A111)="N/A",0,RTD("tos.rtd",,BB$83,"."&amp;$B$82&amp;$AS$82&amp;"P"&amp;$A111))</f>
        <v>-24164</v>
      </c>
      <c r="BC111" s="54">
        <f>IF(RTD("tos.rtd",,BC$83,"."&amp;$C$82&amp;$AU$82&amp;"C"&amp;$A111)="N/A",0,RTD("tos.rtd",,BC$83,"."&amp;$C$82&amp;$AU$82&amp;"C"&amp;$A111))</f>
        <v>18</v>
      </c>
      <c r="BD111" s="3">
        <f>-IF(RTD("tos.rtd",,BD$83,"."&amp;$C$82&amp;$AU$82&amp;"P"&amp;$A111)="N/A",0,RTD("tos.rtd",,BD$83,"."&amp;$C$82&amp;$AU$82&amp;"P"&amp;$A111))</f>
        <v>-1443</v>
      </c>
      <c r="BE111" s="54">
        <f>IF(RTD("tos.rtd",,BE$83,"."&amp;$D$82&amp;$AW$82&amp;"C"&amp;$A111)="N/A",0,RTD("tos.rtd",,BE$83,"."&amp;$D$82&amp;$AW$82&amp;"C"&amp;$A111))</f>
        <v>101</v>
      </c>
      <c r="BF111" s="3">
        <f>-IF(RTD("tos.rtd",,BF$83,"."&amp;$D$82&amp;$AW$82&amp;"P"&amp;$A111)="N/A",0,RTD("tos.rtd",,BF$83,"."&amp;$D$82&amp;$AW$82&amp;"P"&amp;$A111))</f>
        <v>-201</v>
      </c>
      <c r="BG111" s="3">
        <f ca="1">+Hoja2!Y112</f>
        <v>229</v>
      </c>
      <c r="BH111" s="55">
        <f t="shared" ca="1" si="493"/>
        <v>-22984</v>
      </c>
      <c r="BI111" s="32" t="str">
        <f t="shared" ca="1" si="513"/>
        <v/>
      </c>
      <c r="BJ111" s="3">
        <f ca="1">IF($BP$1=1,DX111,IF(RTD("tos.rtd",,BJ$83,"."&amp;$B$82&amp;$AS$82&amp;"C"&amp;$A111)="N/A",0,RTD("tos.rtd",,BJ$83,"."&amp;$B$82&amp;$AS$82&amp;"C"&amp;$A111)))</f>
        <v>2.6218945729609548E-3</v>
      </c>
      <c r="BK111" s="3">
        <f ca="1">IF($BP$1=1,DY111,-IF(RTD("tos.rtd",,BK$83,"."&amp;$B$82&amp;$AS$82&amp;"P"&amp;$A111)="N/A",0,RTD("tos.rtd",,BK$83,"."&amp;$B$82&amp;$AS$82&amp;"P"&amp;$A111)))</f>
        <v>-2.0604357789161189E-3</v>
      </c>
      <c r="BL111" s="3">
        <f ca="1">IF($BP$1=1,DZ111,IF(RTD("tos.rtd",,BL$83,"."&amp;$C$82&amp;$AU$82&amp;"C"&amp;$A111)="N/A",0,RTD("tos.rtd",,BL$83,"."&amp;$C$82&amp;$AU$82&amp;"C"&amp;$A111)))</f>
        <v>2.3880253060900043E-3</v>
      </c>
      <c r="BM111" s="3">
        <f ca="1">IF($BP$1=1,EA111,-IF(RTD("tos.rtd",,BM$83,"."&amp;$C$82&amp;$AU$82&amp;"P"&amp;$A111)="N/A",0,RTD("tos.rtd",,BM$83,"."&amp;$C$82&amp;$AU$82&amp;"P"&amp;$A111)))</f>
        <v>-2.3404686466195106E-3</v>
      </c>
      <c r="BN111" s="3">
        <f ca="1">IF($BP$1=1,EB111,IF(RTD("tos.rtd",,BN$83,"."&amp;$D$82&amp;$AW$82&amp;"C"&amp;$A111)="N/A",0,RTD("tos.rtd",,BN$83,"."&amp;$D$82&amp;$AW$82&amp;"C"&amp;$A111)))</f>
        <v>2.5952249246831353E-3</v>
      </c>
      <c r="BO111" s="3">
        <f ca="1">IF($BP$1=1,EC111,-IF(RTD("tos.rtd",,BO$83,"."&amp;$D$82&amp;$AW$82&amp;"P"&amp;$A111)="N/A",0,RTD("tos.rtd",,BO$83,"."&amp;$D$82&amp;$AW$82&amp;"P"&amp;$A111)))</f>
        <v>-2.5241437971180412E-3</v>
      </c>
      <c r="BQ111" s="3">
        <f t="shared" ca="1" si="456"/>
        <v>2112655.448626129</v>
      </c>
      <c r="BR111" s="3" t="str">
        <f t="shared" ca="1" si="494"/>
        <v/>
      </c>
      <c r="BS111" s="3">
        <f t="shared" ca="1" si="457"/>
        <v>-148110.63772286463</v>
      </c>
      <c r="BT111" s="3" t="str">
        <f t="shared" ca="1" si="494"/>
        <v/>
      </c>
      <c r="BU111" s="3">
        <f t="shared" ca="1" si="458"/>
        <v>81918.428242803551</v>
      </c>
      <c r="BV111" s="3" t="str">
        <f t="shared" ca="1" si="494"/>
        <v>Cruce +</v>
      </c>
      <c r="BX111" s="3">
        <f t="shared" ca="1" si="459"/>
        <v>-11158331.89482332</v>
      </c>
      <c r="BY111" s="3" t="str">
        <f t="shared" ca="1" si="510"/>
        <v/>
      </c>
      <c r="BZ111" s="3">
        <f t="shared" ca="1" si="460"/>
        <v>-859314.42153609474</v>
      </c>
      <c r="CA111" s="3" t="str">
        <f t="shared" ca="1" si="510"/>
        <v/>
      </c>
      <c r="CB111" s="3">
        <f t="shared" ca="1" si="461"/>
        <v>-63201.687302042381</v>
      </c>
      <c r="CC111" s="3" t="str">
        <f t="shared" ca="1" si="510"/>
        <v>Cruce -</v>
      </c>
      <c r="CD111" s="3">
        <f>IF(RTD("tos.rtd",,CD$83,"."&amp;$B$82&amp;$AS$82&amp;"C"&amp;$A111)="N/A",0,RTD("tos.rtd",,CD$83,"."&amp;$B$82&amp;$AS$82&amp;"C"&amp;$A111))</f>
        <v>0.99</v>
      </c>
      <c r="CE111" s="3">
        <f>-IF(RTD("tos.rtd",,CE$83,"."&amp;$B$82&amp;$AS$82&amp;"P"&amp;$A111)="N/A",0,RTD("tos.rtd",,CE$83,"."&amp;$B$82&amp;$AS$82&amp;"P"&amp;$A111))</f>
        <v>0</v>
      </c>
      <c r="CF111" s="3">
        <f>IF(RTD("tos.rtd",,CF$83,"."&amp;$C$82&amp;$AU$82&amp;"C"&amp;$A111)="N/A",0,RTD("tos.rtd",,CF$83,"."&amp;$C$82&amp;$AU$82&amp;"C"&amp;$A111))</f>
        <v>0.79</v>
      </c>
      <c r="CG111" s="3">
        <f>-IF(RTD("tos.rtd",,CG$83,"."&amp;$C$82&amp;$AU$82&amp;"P"&amp;$A111)="N/A",0,RTD("tos.rtd",,CG$83,"."&amp;$C$82&amp;$AU$82&amp;"P"&amp;$A111))</f>
        <v>0.22</v>
      </c>
      <c r="CH111" s="3">
        <f>IF(RTD("tos.rtd",,CH$83,"."&amp;$D$82&amp;$AW$82&amp;"C"&amp;$A111)="N/A",0,RTD("tos.rtd",,CH$83,"."&amp;$D$82&amp;$AW$82&amp;"C"&amp;$A111))</f>
        <v>0.65</v>
      </c>
      <c r="CI111" s="3">
        <f>-IF(RTD("tos.rtd",,CI$83,"."&amp;$D$82&amp;$AW$82&amp;"P"&amp;$A111)="N/A",0,RTD("tos.rtd",,CI$83,"."&amp;$D$82&amp;$AW$82&amp;"P"&amp;$A111))</f>
        <v>0.35</v>
      </c>
      <c r="CK111" s="3">
        <f t="shared" si="495"/>
        <v>312642</v>
      </c>
      <c r="CL111" s="3"/>
      <c r="CM111" s="3">
        <f t="shared" si="496"/>
        <v>71001</v>
      </c>
      <c r="CN111" s="3"/>
      <c r="CO111" s="3">
        <f t="shared" si="497"/>
        <v>106335.00000000004</v>
      </c>
      <c r="CP111" s="3">
        <f t="shared" si="462"/>
        <v>489978.00000000006</v>
      </c>
      <c r="CQ111" s="3">
        <f t="shared" si="463"/>
        <v>-21688</v>
      </c>
      <c r="CR111" s="3"/>
      <c r="CS111" s="3">
        <f t="shared" si="464"/>
        <v>-1425</v>
      </c>
      <c r="CT111" s="3"/>
      <c r="CU111" s="3">
        <f t="shared" si="465"/>
        <v>-100</v>
      </c>
      <c r="CV111" s="3"/>
      <c r="CW111" s="3">
        <f t="shared" ca="1" si="466"/>
        <v>2046463.2391460678</v>
      </c>
      <c r="CY111" s="3">
        <f t="shared" ca="1" si="467"/>
        <v>-12080848.003661457</v>
      </c>
      <c r="CZ111" s="70" t="str">
        <f t="shared" ca="1" si="511"/>
        <v/>
      </c>
      <c r="DA111" s="3">
        <f>IF(RTD("tos.rtd",,DA$83,"."&amp;$B$82&amp;$AS$82&amp;"C"&amp;$A111)="N/A",0,RTD("tos.rtd",,DA$83,"."&amp;$B$82&amp;$AS$82&amp;"C"&amp;$A111))</f>
        <v>77.599999999999994</v>
      </c>
      <c r="DB111" s="3">
        <f>IF(RTD("tos.rtd",,DB$83,"."&amp;$B$82&amp;$AS$82&amp;"P"&amp;$A111)="N/A",0,RTD("tos.rtd",,DB$83,"."&amp;$B$82&amp;$AS$82&amp;"P"&amp;$A111))</f>
        <v>0.03</v>
      </c>
      <c r="DC111" s="3">
        <f>IF(RTD("tos.rtd",,DC$83,"."&amp;$B$82&amp;$AS$82&amp;"C"&amp;$A111)="N/A",0,RTD("tos.rtd",,DC$83,"."&amp;$B$82&amp;$AS$82&amp;"C"&amp;$A111))</f>
        <v>86.6</v>
      </c>
      <c r="DD111" s="3">
        <f>IF(RTD("tos.rtd",,DD$83,"."&amp;$B$82&amp;$AS$82&amp;"P"&amp;$A111)="N/A",0,RTD("tos.rtd",,DD$83,"."&amp;$B$82&amp;$AS$82&amp;"P"&amp;$A111))</f>
        <v>0.05</v>
      </c>
      <c r="DE111" s="3">
        <f>IF(RTD("tos.rtd",,DE$83,"."&amp;$B$82&amp;$AS$82&amp;"C"&amp;$A111)="N/A",0,RTD("tos.rtd",,DE$83,"."&amp;$B$82&amp;$AS$82&amp;"C"&amp;$A111))</f>
        <v>82.1</v>
      </c>
      <c r="DF111" s="3">
        <f>IF(RTD("tos.rtd",,DF$83,"."&amp;$B$82&amp;$AS$82&amp;"P"&amp;$A111)="N/A",0,RTD("tos.rtd",,DF$83,"."&amp;$B$82&amp;$AS$82&amp;"P"&amp;$A111))</f>
        <v>0</v>
      </c>
      <c r="DG111" s="86">
        <f t="shared" si="499"/>
        <v>-81.75</v>
      </c>
      <c r="DH111" s="3">
        <f t="shared" si="468"/>
        <v>0</v>
      </c>
      <c r="DI111" s="3">
        <f t="shared" si="469"/>
        <v>0</v>
      </c>
      <c r="DJ111" s="3">
        <f t="shared" si="470"/>
        <v>0</v>
      </c>
      <c r="DK111" s="3">
        <f t="shared" si="471"/>
        <v>0</v>
      </c>
      <c r="DL111" s="3">
        <f t="shared" si="472"/>
        <v>0</v>
      </c>
      <c r="DM111" s="3">
        <f t="shared" si="473"/>
        <v>0</v>
      </c>
      <c r="DN111" s="64" t="str">
        <f t="shared" si="474"/>
        <v>UNKNOWN</v>
      </c>
      <c r="DO111" s="64" t="str">
        <f t="shared" si="475"/>
        <v>UNKNOWN</v>
      </c>
      <c r="DP111" s="3">
        <f t="shared" si="476"/>
        <v>0</v>
      </c>
      <c r="DQ111" s="3">
        <f t="shared" si="477"/>
        <v>0</v>
      </c>
      <c r="DR111" s="3">
        <f t="shared" ca="1" si="478"/>
        <v>0</v>
      </c>
      <c r="DS111" s="3">
        <f t="shared" si="479"/>
        <v>0</v>
      </c>
      <c r="DT111" s="3">
        <f t="shared" si="500"/>
        <v>0</v>
      </c>
      <c r="DU111" s="3">
        <f t="shared" si="501"/>
        <v>0</v>
      </c>
      <c r="DV111" s="3">
        <f t="shared" si="502"/>
        <v>554</v>
      </c>
      <c r="DW111" s="3">
        <f t="shared" si="503"/>
        <v>2478</v>
      </c>
      <c r="DX111" s="3">
        <f t="shared" ca="1" si="512"/>
        <v>2.6218945729609548E-3</v>
      </c>
      <c r="DY111" s="3">
        <f t="shared" ca="1" si="480"/>
        <v>-2.0604357789161189E-3</v>
      </c>
      <c r="DZ111" s="3">
        <f t="shared" ca="1" si="504"/>
        <v>2.3880253060900043E-3</v>
      </c>
      <c r="EA111" s="3">
        <f t="shared" ca="1" si="505"/>
        <v>-2.3404686466195106E-3</v>
      </c>
      <c r="EB111" s="3">
        <f t="shared" ca="1" si="481"/>
        <v>2.5952249246831353E-3</v>
      </c>
      <c r="EC111" s="3">
        <f t="shared" ca="1" si="482"/>
        <v>-2.5241437971180412E-3</v>
      </c>
      <c r="ED111" s="63">
        <f t="shared" si="506"/>
        <v>3032</v>
      </c>
      <c r="EE111" s="59">
        <f t="shared" si="483"/>
        <v>0.84430000000000005</v>
      </c>
      <c r="EF111" s="59">
        <f t="shared" si="484"/>
        <v>0.69220000000000004</v>
      </c>
      <c r="EG111" s="59">
        <f t="shared" si="485"/>
        <v>0.18790000000000001</v>
      </c>
      <c r="EH111" s="59">
        <f t="shared" si="486"/>
        <v>0.19420000000000001</v>
      </c>
      <c r="EI111" s="59">
        <f t="shared" si="487"/>
        <v>0.16039999999999999</v>
      </c>
      <c r="EJ111" s="59">
        <f t="shared" si="488"/>
        <v>0.17</v>
      </c>
      <c r="EK111" s="63">
        <f t="shared" ca="1" si="507"/>
        <v>-124670293.3997851</v>
      </c>
      <c r="EL111" s="3" t="str">
        <f>RTD("tos.rtd",,EL$83,"."&amp;$B$82&amp;$AS$82&amp;"C"&amp;$A111)</f>
        <v>84.43%</v>
      </c>
      <c r="EM111" s="3" t="str">
        <f>RTD("tos.rtd",,EM$83,"."&amp;$B$82&amp;$AS$82&amp;"P"&amp;$A111)</f>
        <v>69.22%</v>
      </c>
      <c r="EN111" s="3" t="str">
        <f>RTD("tos.rtd",,EN$83,"."&amp;$C$82&amp;$AU$82&amp;"C"&amp;$A111)</f>
        <v>18.79%</v>
      </c>
      <c r="EO111" s="3" t="str">
        <f>RTD("tos.rtd",,EO$83,"."&amp;$C$82&amp;$AU$82&amp;"P"&amp;$A111)</f>
        <v>19.42%</v>
      </c>
      <c r="EP111" s="3" t="str">
        <f>RTD("tos.rtd",,EP$83,"."&amp;$D$82&amp;$AW$82&amp;"C"&amp;$A111)</f>
        <v>16.04%</v>
      </c>
      <c r="EQ111" s="3" t="str">
        <f>RTD("tos.rtd",,EQ$83,"."&amp;$D$82&amp;$AW$82&amp;"P"&amp;$A111)</f>
        <v>17.00%</v>
      </c>
      <c r="ES111" s="63" t="str">
        <f t="shared" si="489"/>
        <v>5760,3032.00</v>
      </c>
      <c r="ET111" s="63" t="str">
        <f t="shared" ca="1" si="490"/>
        <v>5760,-12080.85</v>
      </c>
      <c r="EU111" s="67">
        <v>571.89</v>
      </c>
      <c r="EV111" s="67" t="s">
        <v>907</v>
      </c>
      <c r="EW111" s="67">
        <v>497.01</v>
      </c>
      <c r="EX111" s="67" t="s">
        <v>908</v>
      </c>
      <c r="EY111" s="67">
        <v>5659.91</v>
      </c>
      <c r="EZ111" s="67" t="s">
        <v>909</v>
      </c>
      <c r="FA111" s="67">
        <v>20061.449000000001</v>
      </c>
      <c r="FB111" s="67" t="s">
        <v>910</v>
      </c>
      <c r="FC111" s="67" t="s">
        <v>911</v>
      </c>
      <c r="FD111" s="67" t="s">
        <v>912</v>
      </c>
      <c r="FE111" s="68" t="s">
        <v>913</v>
      </c>
      <c r="FF111" s="68" t="s">
        <v>914</v>
      </c>
    </row>
    <row r="112" spans="1:162" s="63" customFormat="1" ht="12" customHeight="1" thickBot="1" x14ac:dyDescent="0.25">
      <c r="A112" s="2">
        <f t="shared" si="508"/>
        <v>5750</v>
      </c>
      <c r="B112" s="3">
        <f t="shared" si="451"/>
        <v>3608</v>
      </c>
      <c r="C112" s="3">
        <f t="shared" si="452"/>
        <v>19657</v>
      </c>
      <c r="D112" s="3">
        <f t="shared" si="453"/>
        <v>54628</v>
      </c>
      <c r="E112" s="3">
        <f t="shared" ref="E112:E122" si="523">SUM(B112:D112)</f>
        <v>77893</v>
      </c>
      <c r="F112" s="4">
        <f t="shared" ref="F112:F122" si="524">+$F$84/$A$84*A112</f>
        <v>5773.6230581589416</v>
      </c>
      <c r="G112" s="4">
        <f t="shared" ref="G112:G122" si="525">+$G$84/$A$84*A112</f>
        <v>573.79423973980397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>
        <v>37</v>
      </c>
      <c r="AN112" s="20">
        <v>-3714</v>
      </c>
      <c r="AO112" s="20">
        <v>5750</v>
      </c>
      <c r="AP112" s="20">
        <v>2464</v>
      </c>
      <c r="AQ112" s="20">
        <v>-42538</v>
      </c>
      <c r="AR112" s="20"/>
      <c r="AS112" s="54">
        <f>IF(RTD("tos.rtd",,AS$83,"."&amp;$B$82&amp;$AS$82&amp;"C"&amp;$A112)="N/A",0,RTD("tos.rtd",,AS$83,"."&amp;$B$82&amp;$AS$82&amp;"C"&amp;$A112))</f>
        <v>3539</v>
      </c>
      <c r="AT112" s="3">
        <f>-IF(RTD("tos.rtd",,AT$83,"."&amp;$B$82&amp;$AS$82&amp;"P"&amp;$A112)="N/A",0,RTD("tos.rtd",,AT$83,"."&amp;$B$82&amp;$AS$82&amp;"P"&amp;$A112))</f>
        <v>-69</v>
      </c>
      <c r="AU112" s="54">
        <f>IF(RTD("tos.rtd",,AU$83,"."&amp;$C$82&amp;$AU$82&amp;"C"&amp;$A112)="N/A",0,RTD("tos.rtd",,AU$83,"."&amp;$C$82&amp;$AU$82&amp;"C"&amp;$A112))</f>
        <v>10818</v>
      </c>
      <c r="AV112" s="3">
        <f>-IF(RTD("tos.rtd",,AV$83,"."&amp;$C$82&amp;$AU$82&amp;"P"&amp;$A112)="N/A",0,RTD("tos.rtd",,AV$83,"."&amp;$C$82&amp;$AU$82&amp;"P"&amp;$A112))</f>
        <v>-8839</v>
      </c>
      <c r="AW112" s="54">
        <f>IF(RTD("tos.rtd",,AW$83,"."&amp;$D$82&amp;$AW$82&amp;"C"&amp;$A112)="N/A",0,RTD("tos.rtd",,AW$83,"."&amp;$D$82&amp;$AW$82&amp;"C"&amp;$A112))</f>
        <v>25907</v>
      </c>
      <c r="AX112" s="3">
        <f>-IF(RTD("tos.rtd",,AX$83,"."&amp;$D$82&amp;$AW$82&amp;"P"&amp;$A112)="N/A",0,RTD("tos.rtd",,AX$83,"."&amp;$D$82&amp;$AW$82&amp;"P"&amp;$A112))</f>
        <v>-28721</v>
      </c>
      <c r="AY112" s="79">
        <f t="shared" ref="AY112:AY122" si="526">SUM(AS112:AX112)</f>
        <v>2635</v>
      </c>
      <c r="AZ112" s="8">
        <f t="shared" si="455"/>
        <v>5750</v>
      </c>
      <c r="BA112" s="54">
        <f>IF(RTD("tos.rtd",,BA$83,"."&amp;$B$82&amp;$AS$82&amp;"C"&amp;$A112)="N/A",0,RTD("tos.rtd",,BA$83,"."&amp;$B$82&amp;$AS$82&amp;"C"&amp;$A112))</f>
        <v>2464</v>
      </c>
      <c r="BB112" s="3">
        <f>-IF(RTD("tos.rtd",,BB$83,"."&amp;$B$82&amp;$AS$82&amp;"P"&amp;$A112)="N/A",0,RTD("tos.rtd",,BB$83,"."&amp;$B$82&amp;$AS$82&amp;"P"&amp;$A112))</f>
        <v>-42538</v>
      </c>
      <c r="BC112" s="54">
        <f>IF(RTD("tos.rtd",,BC$83,"."&amp;$C$82&amp;$AU$82&amp;"C"&amp;$A112)="N/A",0,RTD("tos.rtd",,BC$83,"."&amp;$C$82&amp;$AU$82&amp;"C"&amp;$A112))</f>
        <v>828</v>
      </c>
      <c r="BD112" s="3">
        <f>-IF(RTD("tos.rtd",,BD$83,"."&amp;$C$82&amp;$AU$82&amp;"P"&amp;$A112)="N/A",0,RTD("tos.rtd",,BD$83,"."&amp;$C$82&amp;$AU$82&amp;"P"&amp;$A112))</f>
        <v>-4816</v>
      </c>
      <c r="BE112" s="54">
        <f>IF(RTD("tos.rtd",,BE$83,"."&amp;$D$82&amp;$AW$82&amp;"C"&amp;$A112)="N/A",0,RTD("tos.rtd",,BE$83,"."&amp;$D$82&amp;$AW$82&amp;"C"&amp;$A112))</f>
        <v>1689</v>
      </c>
      <c r="BF112" s="3">
        <f>-IF(RTD("tos.rtd",,BF$83,"."&amp;$D$82&amp;$AW$82&amp;"P"&amp;$A112)="N/A",0,RTD("tos.rtd",,BF$83,"."&amp;$D$82&amp;$AW$82&amp;"P"&amp;$A112))</f>
        <v>-937</v>
      </c>
      <c r="BG112" s="3">
        <f ca="1">+Hoja2!Y113</f>
        <v>-458</v>
      </c>
      <c r="BH112" s="55">
        <f t="shared" ca="1" si="493"/>
        <v>-43768</v>
      </c>
      <c r="BI112" s="32" t="str">
        <f t="shared" ca="1" si="513"/>
        <v/>
      </c>
      <c r="BJ112" s="3">
        <f ca="1">IF($BP$1=1,DX112,IF(RTD("tos.rtd",,BJ$83,"."&amp;$B$82&amp;$AS$82&amp;"C"&amp;$A112)="N/A",0,RTD("tos.rtd",,BJ$83,"."&amp;$B$82&amp;$AS$82&amp;"C"&amp;$A112)))</f>
        <v>2.529635439530253E-3</v>
      </c>
      <c r="BK112" s="3">
        <f ca="1">IF($BP$1=1,DY112,-IF(RTD("tos.rtd",,BK$83,"."&amp;$B$82&amp;$AS$82&amp;"P"&amp;$A112)="N/A",0,RTD("tos.rtd",,BK$83,"."&amp;$B$82&amp;$AS$82&amp;"P"&amp;$A112)))</f>
        <v>-1.7945022746468442E-3</v>
      </c>
      <c r="BL112" s="3">
        <f ca="1">IF($BP$1=1,DZ112,IF(RTD("tos.rtd",,BL$83,"."&amp;$C$82&amp;$AU$82&amp;"C"&amp;$A112)="N/A",0,RTD("tos.rtd",,BL$83,"."&amp;$C$82&amp;$AU$82&amp;"C"&amp;$A112)))</f>
        <v>2.2495287296230727E-3</v>
      </c>
      <c r="BM112" s="3">
        <f ca="1">IF($BP$1=1,EA112,-IF(RTD("tos.rtd",,BM$83,"."&amp;$C$82&amp;$AU$82&amp;"P"&amp;$A112)="N/A",0,RTD("tos.rtd",,BM$83,"."&amp;$C$82&amp;$AU$82&amp;"P"&amp;$A112)))</f>
        <v>-2.2167784132421167E-3</v>
      </c>
      <c r="BN112" s="3">
        <f ca="1">IF($BP$1=1,EB112,IF(RTD("tos.rtd",,BN$83,"."&amp;$D$82&amp;$AW$82&amp;"C"&amp;$A112)="N/A",0,RTD("tos.rtd",,BN$83,"."&amp;$D$82&amp;$AW$82&amp;"C"&amp;$A112)))</f>
        <v>2.4137141203850374E-3</v>
      </c>
      <c r="BO112" s="3">
        <f ca="1">IF($BP$1=1,EC112,-IF(RTD("tos.rtd",,BO$83,"."&amp;$D$82&amp;$AW$82&amp;"P"&amp;$A112)="N/A",0,RTD("tos.rtd",,BO$83,"."&amp;$D$82&amp;$AW$82&amp;"P"&amp;$A112)))</f>
        <v>-2.3644623459426056E-3</v>
      </c>
      <c r="BQ112" s="3">
        <f t="shared" ca="1" si="456"/>
        <v>2275284.5750855594</v>
      </c>
      <c r="BR112" s="3" t="str">
        <f t="shared" ca="1" si="494"/>
        <v/>
      </c>
      <c r="BS112" s="3">
        <f t="shared" ca="1" si="457"/>
        <v>1221920.8871761989</v>
      </c>
      <c r="BT112" s="3" t="str">
        <f t="shared" ca="1" si="494"/>
        <v>Cruce +</v>
      </c>
      <c r="BU112" s="3">
        <f t="shared" ca="1" si="458"/>
        <v>-1385916.0219138209</v>
      </c>
      <c r="BV112" s="3" t="str">
        <f t="shared" ca="1" si="494"/>
        <v>Cruce -</v>
      </c>
      <c r="BX112" s="3">
        <f t="shared" ca="1" si="459"/>
        <v>-18066469.870330729</v>
      </c>
      <c r="BY112" s="3" t="str">
        <f t="shared" ca="1" si="510"/>
        <v/>
      </c>
      <c r="BZ112" s="3">
        <f t="shared" ca="1" si="460"/>
        <v>-2271376.4998374842</v>
      </c>
      <c r="CA112" s="3" t="str">
        <f t="shared" ca="1" si="510"/>
        <v/>
      </c>
      <c r="CB112" s="3">
        <f t="shared" ca="1" si="461"/>
        <v>479681.95984895085</v>
      </c>
      <c r="CC112" s="3" t="str">
        <f t="shared" ca="1" si="510"/>
        <v>Cruce +</v>
      </c>
      <c r="CD112" s="3">
        <f>IF(RTD("tos.rtd",,CD$83,"."&amp;$B$82&amp;$AS$82&amp;"C"&amp;$A112)="N/A",0,RTD("tos.rtd",,CD$83,"."&amp;$B$82&amp;$AS$82&amp;"C"&amp;$A112))</f>
        <v>0.98</v>
      </c>
      <c r="CE112" s="3">
        <f>-IF(RTD("tos.rtd",,CE$83,"."&amp;$B$82&amp;$AS$82&amp;"P"&amp;$A112)="N/A",0,RTD("tos.rtd",,CE$83,"."&amp;$B$82&amp;$AS$82&amp;"P"&amp;$A112))</f>
        <v>0</v>
      </c>
      <c r="CF112" s="3">
        <f>IF(RTD("tos.rtd",,CF$83,"."&amp;$C$82&amp;$AU$82&amp;"C"&amp;$A112)="N/A",0,RTD("tos.rtd",,CF$83,"."&amp;$C$82&amp;$AU$82&amp;"C"&amp;$A112))</f>
        <v>0.81</v>
      </c>
      <c r="CG112" s="3">
        <f>-IF(RTD("tos.rtd",,CG$83,"."&amp;$C$82&amp;$AU$82&amp;"P"&amp;$A112)="N/A",0,RTD("tos.rtd",,CG$83,"."&amp;$C$82&amp;$AU$82&amp;"P"&amp;$A112))</f>
        <v>0.2</v>
      </c>
      <c r="CH112" s="3">
        <f>IF(RTD("tos.rtd",,CH$83,"."&amp;$D$82&amp;$AW$82&amp;"C"&amp;$A112)="N/A",0,RTD("tos.rtd",,CH$83,"."&amp;$D$82&amp;$AW$82&amp;"C"&amp;$A112))</f>
        <v>0.66</v>
      </c>
      <c r="CI112" s="3">
        <f>-IF(RTD("tos.rtd",,CI$83,"."&amp;$D$82&amp;$AW$82&amp;"P"&amp;$A112)="N/A",0,RTD("tos.rtd",,CI$83,"."&amp;$D$82&amp;$AW$82&amp;"P"&amp;$A112))</f>
        <v>0.34</v>
      </c>
      <c r="CK112" s="3">
        <f t="shared" si="495"/>
        <v>346822</v>
      </c>
      <c r="CL112" s="3"/>
      <c r="CM112" s="3">
        <f t="shared" si="496"/>
        <v>699478</v>
      </c>
      <c r="CN112" s="3"/>
      <c r="CO112" s="3">
        <f t="shared" si="497"/>
        <v>733348.00000000012</v>
      </c>
      <c r="CP112" s="3">
        <f t="shared" si="462"/>
        <v>1779648</v>
      </c>
      <c r="CQ112" s="3">
        <f t="shared" si="463"/>
        <v>-40074</v>
      </c>
      <c r="CR112" s="3"/>
      <c r="CS112" s="3">
        <f t="shared" si="464"/>
        <v>-3988</v>
      </c>
      <c r="CT112" s="3"/>
      <c r="CU112" s="3">
        <f t="shared" si="465"/>
        <v>752</v>
      </c>
      <c r="CV112" s="3"/>
      <c r="CW112" s="3">
        <f t="shared" ref="CW112:CW122" ca="1" si="527">+BQ112+BS112+BU112</f>
        <v>2111289.4403479374</v>
      </c>
      <c r="CY112" s="3">
        <f t="shared" ca="1" si="467"/>
        <v>-19858164.410319261</v>
      </c>
      <c r="CZ112" s="70" t="str">
        <f t="shared" ca="1" si="511"/>
        <v/>
      </c>
      <c r="DA112" s="3">
        <f>IF(RTD("tos.rtd",,DA$83,"."&amp;$B$82&amp;$AS$82&amp;"C"&amp;$A112)="N/A",0,RTD("tos.rtd",,DA$83,"."&amp;$B$82&amp;$AS$82&amp;"C"&amp;$A112))</f>
        <v>88.74</v>
      </c>
      <c r="DB112" s="3">
        <f>IF(RTD("tos.rtd",,DB$83,"."&amp;$B$82&amp;$AS$82&amp;"P"&amp;$A112)="N/A",0,RTD("tos.rtd",,DB$83,"."&amp;$B$82&amp;$AS$82&amp;"P"&amp;$A112))</f>
        <v>0.03</v>
      </c>
      <c r="DC112" s="3">
        <f>IF(RTD("tos.rtd",,DC$83,"."&amp;$B$82&amp;$AS$82&amp;"C"&amp;$A112)="N/A",0,RTD("tos.rtd",,DC$83,"."&amp;$B$82&amp;$AS$82&amp;"C"&amp;$A112))</f>
        <v>97.2</v>
      </c>
      <c r="DD112" s="3">
        <f>IF(RTD("tos.rtd",,DD$83,"."&amp;$B$82&amp;$AS$82&amp;"P"&amp;$A112)="N/A",0,RTD("tos.rtd",,DD$83,"."&amp;$B$82&amp;$AS$82&amp;"P"&amp;$A112))</f>
        <v>0.05</v>
      </c>
      <c r="DE112" s="3">
        <f>IF(RTD("tos.rtd",,DE$83,"."&amp;$B$82&amp;$AS$82&amp;"C"&amp;$A112)="N/A",0,RTD("tos.rtd",,DE$83,"."&amp;$B$82&amp;$AS$82&amp;"C"&amp;$A112))</f>
        <v>92.1</v>
      </c>
      <c r="DF112" s="3">
        <f>IF(RTD("tos.rtd",,DF$83,"."&amp;$B$82&amp;$AS$82&amp;"P"&amp;$A112)="N/A",0,RTD("tos.rtd",,DF$83,"."&amp;$B$82&amp;$AS$82&amp;"P"&amp;$A112))</f>
        <v>0</v>
      </c>
      <c r="DG112" s="86">
        <f t="shared" si="499"/>
        <v>-91.75</v>
      </c>
      <c r="DH112" s="3">
        <f t="shared" si="468"/>
        <v>0</v>
      </c>
      <c r="DI112" s="3">
        <f t="shared" si="469"/>
        <v>0</v>
      </c>
      <c r="DJ112" s="3">
        <f t="shared" si="470"/>
        <v>0</v>
      </c>
      <c r="DK112" s="3">
        <f t="shared" si="471"/>
        <v>0</v>
      </c>
      <c r="DL112" s="3">
        <f t="shared" si="472"/>
        <v>0</v>
      </c>
      <c r="DM112" s="3">
        <f t="shared" si="473"/>
        <v>0</v>
      </c>
      <c r="DN112" s="64" t="str">
        <f t="shared" si="474"/>
        <v>UNKNOWN</v>
      </c>
      <c r="DO112" s="64" t="str">
        <f t="shared" si="475"/>
        <v>UNKNOWN</v>
      </c>
      <c r="DP112" s="3">
        <f t="shared" si="476"/>
        <v>0</v>
      </c>
      <c r="DQ112" s="3">
        <f t="shared" si="477"/>
        <v>0</v>
      </c>
      <c r="DR112" s="3">
        <f t="shared" ca="1" si="478"/>
        <v>0</v>
      </c>
      <c r="DS112" s="3">
        <f t="shared" si="479"/>
        <v>0</v>
      </c>
      <c r="DT112" s="3">
        <f t="shared" si="500"/>
        <v>0</v>
      </c>
      <c r="DU112" s="3">
        <f t="shared" si="501"/>
        <v>0</v>
      </c>
      <c r="DV112" s="3">
        <f t="shared" si="502"/>
        <v>37</v>
      </c>
      <c r="DW112" s="3">
        <f t="shared" si="503"/>
        <v>-3714</v>
      </c>
      <c r="DX112" s="3">
        <f t="shared" ca="1" si="512"/>
        <v>2.529635439530253E-3</v>
      </c>
      <c r="DY112" s="3">
        <f t="shared" ca="1" si="480"/>
        <v>-1.7945022746468442E-3</v>
      </c>
      <c r="DZ112" s="3">
        <f t="shared" ca="1" si="504"/>
        <v>2.2495287296230727E-3</v>
      </c>
      <c r="EA112" s="3">
        <f t="shared" ca="1" si="505"/>
        <v>-2.2167784132421167E-3</v>
      </c>
      <c r="EB112" s="3">
        <f t="shared" ca="1" si="481"/>
        <v>2.4137141203850374E-3</v>
      </c>
      <c r="EC112" s="3">
        <f t="shared" ca="1" si="482"/>
        <v>-2.3644623459426056E-3</v>
      </c>
      <c r="ED112" s="63">
        <f t="shared" si="506"/>
        <v>-3677</v>
      </c>
      <c r="EE112" s="59">
        <f t="shared" si="483"/>
        <v>1.0944</v>
      </c>
      <c r="EF112" s="59">
        <f t="shared" si="484"/>
        <v>0.76800000000000002</v>
      </c>
      <c r="EG112" s="59">
        <f t="shared" si="485"/>
        <v>0.19109999999999999</v>
      </c>
      <c r="EH112" s="59">
        <f t="shared" si="486"/>
        <v>0.19650000000000001</v>
      </c>
      <c r="EI112" s="59">
        <f t="shared" si="487"/>
        <v>0.16170000000000001</v>
      </c>
      <c r="EJ112" s="59">
        <f t="shared" si="488"/>
        <v>0.17130000000000001</v>
      </c>
      <c r="EK112" s="63">
        <f t="shared" ca="1" si="507"/>
        <v>230636697.27175677</v>
      </c>
      <c r="EL112" s="3" t="str">
        <f>RTD("tos.rtd",,EL$83,"."&amp;$B$82&amp;$AS$82&amp;"C"&amp;$A112)</f>
        <v>109.44%</v>
      </c>
      <c r="EM112" s="3" t="str">
        <f>RTD("tos.rtd",,EM$83,"."&amp;$B$82&amp;$AS$82&amp;"P"&amp;$A112)</f>
        <v>76.80%</v>
      </c>
      <c r="EN112" s="3" t="str">
        <f>RTD("tos.rtd",,EN$83,"."&amp;$C$82&amp;$AU$82&amp;"C"&amp;$A112)</f>
        <v>19.11%</v>
      </c>
      <c r="EO112" s="3" t="str">
        <f>RTD("tos.rtd",,EO$83,"."&amp;$C$82&amp;$AU$82&amp;"P"&amp;$A112)</f>
        <v>19.65%</v>
      </c>
      <c r="EP112" s="3" t="str">
        <f>RTD("tos.rtd",,EP$83,"."&amp;$D$82&amp;$AW$82&amp;"C"&amp;$A112)</f>
        <v>16.17%</v>
      </c>
      <c r="EQ112" s="3" t="str">
        <f>RTD("tos.rtd",,EQ$83,"."&amp;$D$82&amp;$AW$82&amp;"P"&amp;$A112)</f>
        <v>17.13%</v>
      </c>
      <c r="ES112" s="63" t="str">
        <f t="shared" si="489"/>
        <v>5750,-3677.00</v>
      </c>
      <c r="ET112" s="63" t="str">
        <f t="shared" ca="1" si="490"/>
        <v>5750,-19858.16</v>
      </c>
      <c r="EU112" s="67">
        <v>571.80999999999995</v>
      </c>
      <c r="EV112" s="67" t="s">
        <v>915</v>
      </c>
      <c r="EW112" s="67">
        <v>496.95</v>
      </c>
      <c r="EX112" s="67" t="s">
        <v>916</v>
      </c>
      <c r="EY112" s="67">
        <v>5659.91</v>
      </c>
      <c r="EZ112" s="67" t="s">
        <v>917</v>
      </c>
      <c r="FA112" s="67">
        <v>20061.449000000001</v>
      </c>
      <c r="FB112" s="67" t="s">
        <v>918</v>
      </c>
      <c r="FC112" s="67" t="s">
        <v>919</v>
      </c>
      <c r="FD112" s="67" t="s">
        <v>920</v>
      </c>
      <c r="FE112" s="68" t="s">
        <v>921</v>
      </c>
      <c r="FF112" s="68" t="s">
        <v>922</v>
      </c>
    </row>
    <row r="113" spans="1:162" s="63" customFormat="1" ht="12" customHeight="1" thickBot="1" x14ac:dyDescent="0.25">
      <c r="A113" s="2">
        <f t="shared" si="508"/>
        <v>5740</v>
      </c>
      <c r="B113" s="3">
        <f t="shared" si="451"/>
        <v>1436</v>
      </c>
      <c r="C113" s="3">
        <f t="shared" si="452"/>
        <v>1744</v>
      </c>
      <c r="D113" s="3">
        <f t="shared" si="453"/>
        <v>5799</v>
      </c>
      <c r="E113" s="3">
        <f t="shared" si="523"/>
        <v>8979</v>
      </c>
      <c r="F113" s="4">
        <f t="shared" si="524"/>
        <v>5763.5819745795352</v>
      </c>
      <c r="G113" s="4">
        <f t="shared" si="525"/>
        <v>572.79633671416957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>
        <v>-510</v>
      </c>
      <c r="AN113" s="20">
        <v>2197</v>
      </c>
      <c r="AO113" s="20">
        <v>5740</v>
      </c>
      <c r="AP113" s="20">
        <v>1358</v>
      </c>
      <c r="AQ113" s="20">
        <v>-19182</v>
      </c>
      <c r="AR113" s="20"/>
      <c r="AS113" s="54">
        <f>IF(RTD("tos.rtd",,AS$83,"."&amp;$B$82&amp;$AS$82&amp;"C"&amp;$A113)="N/A",0,RTD("tos.rtd",,AS$83,"."&amp;$B$82&amp;$AS$82&amp;"C"&amp;$A113))</f>
        <v>1370</v>
      </c>
      <c r="AT113" s="3">
        <f>-IF(RTD("tos.rtd",,AT$83,"."&amp;$B$82&amp;$AS$82&amp;"P"&amp;$A113)="N/A",0,RTD("tos.rtd",,AT$83,"."&amp;$B$82&amp;$AS$82&amp;"P"&amp;$A113))</f>
        <v>-66</v>
      </c>
      <c r="AU113" s="54">
        <f>IF(RTD("tos.rtd",,AU$83,"."&amp;$C$82&amp;$AU$82&amp;"C"&amp;$A113)="N/A",0,RTD("tos.rtd",,AU$83,"."&amp;$C$82&amp;$AU$82&amp;"C"&amp;$A113))</f>
        <v>1406</v>
      </c>
      <c r="AV113" s="3">
        <f>-IF(RTD("tos.rtd",,AV$83,"."&amp;$C$82&amp;$AU$82&amp;"P"&amp;$A113)="N/A",0,RTD("tos.rtd",,AV$83,"."&amp;$C$82&amp;$AU$82&amp;"P"&amp;$A113))</f>
        <v>-338</v>
      </c>
      <c r="AW113" s="54">
        <f>IF(RTD("tos.rtd",,AW$83,"."&amp;$D$82&amp;$AW$82&amp;"C"&amp;$A113)="N/A",0,RTD("tos.rtd",,AW$83,"."&amp;$D$82&amp;$AW$82&amp;"C"&amp;$A113))</f>
        <v>2411</v>
      </c>
      <c r="AX113" s="3">
        <f>-IF(RTD("tos.rtd",,AX$83,"."&amp;$D$82&amp;$AW$82&amp;"P"&amp;$A113)="N/A",0,RTD("tos.rtd",,AX$83,"."&amp;$D$82&amp;$AW$82&amp;"P"&amp;$A113))</f>
        <v>-3388</v>
      </c>
      <c r="AY113" s="79">
        <f t="shared" si="526"/>
        <v>1395</v>
      </c>
      <c r="AZ113" s="8">
        <f t="shared" si="455"/>
        <v>5740</v>
      </c>
      <c r="BA113" s="54">
        <f>IF(RTD("tos.rtd",,BA$83,"."&amp;$B$82&amp;$AS$82&amp;"C"&amp;$A113)="N/A",0,RTD("tos.rtd",,BA$83,"."&amp;$B$82&amp;$AS$82&amp;"C"&amp;$A113))</f>
        <v>1358</v>
      </c>
      <c r="BB113" s="3">
        <f>-IF(RTD("tos.rtd",,BB$83,"."&amp;$B$82&amp;$AS$82&amp;"P"&amp;$A113)="N/A",0,RTD("tos.rtd",,BB$83,"."&amp;$B$82&amp;$AS$82&amp;"P"&amp;$A113))</f>
        <v>-19182</v>
      </c>
      <c r="BC113" s="54">
        <f>IF(RTD("tos.rtd",,BC$83,"."&amp;$C$82&amp;$AU$82&amp;"C"&amp;$A113)="N/A",0,RTD("tos.rtd",,BC$83,"."&amp;$C$82&amp;$AU$82&amp;"C"&amp;$A113))</f>
        <v>87</v>
      </c>
      <c r="BD113" s="3">
        <f>-IF(RTD("tos.rtd",,BD$83,"."&amp;$C$82&amp;$AU$82&amp;"P"&amp;$A113)="N/A",0,RTD("tos.rtd",,BD$83,"."&amp;$C$82&amp;$AU$82&amp;"P"&amp;$A113))</f>
        <v>-127</v>
      </c>
      <c r="BE113" s="54">
        <f>IF(RTD("tos.rtd",,BE$83,"."&amp;$D$82&amp;$AW$82&amp;"C"&amp;$A113)="N/A",0,RTD("tos.rtd",,BE$83,"."&amp;$D$82&amp;$AW$82&amp;"C"&amp;$A113))</f>
        <v>97</v>
      </c>
      <c r="BF113" s="3">
        <f>-IF(RTD("tos.rtd",,BF$83,"."&amp;$D$82&amp;$AW$82&amp;"P"&amp;$A113)="N/A",0,RTD("tos.rtd",,BF$83,"."&amp;$D$82&amp;$AW$82&amp;"P"&amp;$A113))</f>
        <v>-142</v>
      </c>
      <c r="BG113" s="3">
        <f ca="1">+Hoja2!Y114</f>
        <v>-120</v>
      </c>
      <c r="BH113" s="55">
        <f t="shared" ca="1" si="493"/>
        <v>-18029</v>
      </c>
      <c r="BI113" s="32" t="str">
        <f t="shared" ca="1" si="513"/>
        <v/>
      </c>
      <c r="BJ113" s="3">
        <f ca="1">IF($BP$1=1,DX113,IF(RTD("tos.rtd",,BJ$83,"."&amp;$B$82&amp;$AS$82&amp;"C"&amp;$A113)="N/A",0,RTD("tos.rtd",,BJ$83,"."&amp;$B$82&amp;$AS$82&amp;"C"&amp;$A113)))</f>
        <v>2.2612197351746959E-3</v>
      </c>
      <c r="BK113" s="3">
        <f ca="1">IF($BP$1=1,DY113,-IF(RTD("tos.rtd",,BK$83,"."&amp;$B$82&amp;$AS$82&amp;"P"&amp;$A113)="N/A",0,RTD("tos.rtd",,BK$83,"."&amp;$B$82&amp;$AS$82&amp;"P"&amp;$A113)))</f>
        <v>-1.5728616687016193E-3</v>
      </c>
      <c r="BL113" s="3">
        <f ca="1">IF($BP$1=1,DZ113,IF(RTD("tos.rtd",,BL$83,"."&amp;$C$82&amp;$AU$82&amp;"C"&amp;$A113)="N/A",0,RTD("tos.rtd",,BL$83,"."&amp;$C$82&amp;$AU$82&amp;"C"&amp;$A113)))</f>
        <v>2.1401374635472538E-3</v>
      </c>
      <c r="BM113" s="3">
        <f ca="1">IF($BP$1=1,EA113,-IF(RTD("tos.rtd",,BM$83,"."&amp;$C$82&amp;$AU$82&amp;"P"&amp;$A113)="N/A",0,RTD("tos.rtd",,BM$83,"."&amp;$C$82&amp;$AU$82&amp;"P"&amp;$A113)))</f>
        <v>-2.0933377862676493E-3</v>
      </c>
      <c r="BN113" s="3">
        <f ca="1">IF($BP$1=1,EB113,IF(RTD("tos.rtd",,BN$83,"."&amp;$D$82&amp;$AW$82&amp;"C"&amp;$A113)="N/A",0,RTD("tos.rtd",,BN$83,"."&amp;$D$82&amp;$AW$82&amp;"C"&amp;$A113)))</f>
        <v>2.2324025222626187E-3</v>
      </c>
      <c r="BO113" s="3">
        <f ca="1">IF($BP$1=1,EC113,-IF(RTD("tos.rtd",,BO$83,"."&amp;$D$82&amp;$AW$82&amp;"P"&amp;$A113)="N/A",0,RTD("tos.rtd",,BO$83,"."&amp;$D$82&amp;$AW$82&amp;"P"&amp;$A113)))</f>
        <v>-2.2031955094948649E-3</v>
      </c>
      <c r="BQ113" s="3">
        <f t="shared" ca="1" si="456"/>
        <v>771625.73635748739</v>
      </c>
      <c r="BR113" s="3" t="str">
        <f t="shared" ca="1" si="494"/>
        <v/>
      </c>
      <c r="BS113" s="3">
        <f t="shared" ca="1" si="457"/>
        <v>593135.69239772914</v>
      </c>
      <c r="BT113" s="3" t="str">
        <f t="shared" ca="1" si="494"/>
        <v/>
      </c>
      <c r="BU113" s="3">
        <f t="shared" ca="1" si="458"/>
        <v>-536597.06085649482</v>
      </c>
      <c r="BV113" s="3" t="str">
        <f t="shared" ca="1" si="494"/>
        <v/>
      </c>
      <c r="BX113" s="3">
        <f t="shared" ca="1" si="459"/>
        <v>-6984149.3391776849</v>
      </c>
      <c r="BY113" s="3" t="str">
        <f t="shared" ca="1" si="510"/>
        <v/>
      </c>
      <c r="BZ113" s="3">
        <f t="shared" ca="1" si="460"/>
        <v>-20530.369550723757</v>
      </c>
      <c r="CA113" s="3" t="str">
        <f t="shared" ca="1" si="510"/>
        <v/>
      </c>
      <c r="CB113" s="3">
        <f t="shared" ca="1" si="461"/>
        <v>-24821.070608842216</v>
      </c>
      <c r="CC113" s="3" t="str">
        <f t="shared" ca="1" si="510"/>
        <v>Cruce -</v>
      </c>
      <c r="CD113" s="3">
        <f>IF(RTD("tos.rtd",,CD$83,"."&amp;$B$82&amp;$AS$82&amp;"C"&amp;$A113)="N/A",0,RTD("tos.rtd",,CD$83,"."&amp;$B$82&amp;$AS$82&amp;"C"&amp;$A113))</f>
        <v>0.98</v>
      </c>
      <c r="CE113" s="3">
        <f>-IF(RTD("tos.rtd",,CE$83,"."&amp;$B$82&amp;$AS$82&amp;"P"&amp;$A113)="N/A",0,RTD("tos.rtd",,CE$83,"."&amp;$B$82&amp;$AS$82&amp;"P"&amp;$A113))</f>
        <v>0</v>
      </c>
      <c r="CF113" s="3">
        <f>IF(RTD("tos.rtd",,CF$83,"."&amp;$C$82&amp;$AU$82&amp;"C"&amp;$A113)="N/A",0,RTD("tos.rtd",,CF$83,"."&amp;$C$82&amp;$AU$82&amp;"C"&amp;$A113))</f>
        <v>0.84</v>
      </c>
      <c r="CG113" s="3">
        <f>-IF(RTD("tos.rtd",,CG$83,"."&amp;$C$82&amp;$AU$82&amp;"P"&amp;$A113)="N/A",0,RTD("tos.rtd",,CG$83,"."&amp;$C$82&amp;$AU$82&amp;"P"&amp;$A113))</f>
        <v>0.18</v>
      </c>
      <c r="CH113" s="3">
        <f>IF(RTD("tos.rtd",,CH$83,"."&amp;$D$82&amp;$AW$82&amp;"C"&amp;$A113)="N/A",0,RTD("tos.rtd",,CH$83,"."&amp;$D$82&amp;$AW$82&amp;"C"&amp;$A113))</f>
        <v>0.68</v>
      </c>
      <c r="CI113" s="3">
        <f>-IF(RTD("tos.rtd",,CI$83,"."&amp;$D$82&amp;$AW$82&amp;"P"&amp;$A113)="N/A",0,RTD("tos.rtd",,CI$83,"."&amp;$D$82&amp;$AW$82&amp;"P"&amp;$A113))</f>
        <v>0.33</v>
      </c>
      <c r="CK113" s="3">
        <f t="shared" si="495"/>
        <v>134260</v>
      </c>
      <c r="CL113" s="3"/>
      <c r="CM113" s="3">
        <f t="shared" si="496"/>
        <v>112020</v>
      </c>
      <c r="CN113" s="3"/>
      <c r="CO113" s="3">
        <f t="shared" si="497"/>
        <v>52144</v>
      </c>
      <c r="CP113" s="3">
        <f t="shared" si="462"/>
        <v>298424</v>
      </c>
      <c r="CQ113" s="3">
        <f t="shared" si="463"/>
        <v>-17824</v>
      </c>
      <c r="CR113" s="3"/>
      <c r="CS113" s="3">
        <f t="shared" si="464"/>
        <v>-40</v>
      </c>
      <c r="CT113" s="3"/>
      <c r="CU113" s="3">
        <f t="shared" si="465"/>
        <v>-45</v>
      </c>
      <c r="CV113" s="3"/>
      <c r="CW113" s="3">
        <f t="shared" ca="1" si="527"/>
        <v>828164.36789872171</v>
      </c>
      <c r="CY113" s="3">
        <f t="shared" ca="1" si="467"/>
        <v>-7029500.7793372506</v>
      </c>
      <c r="CZ113" s="70" t="str">
        <f t="shared" ca="1" si="511"/>
        <v/>
      </c>
      <c r="DA113" s="3">
        <f>IF(RTD("tos.rtd",,DA$83,"."&amp;$B$82&amp;$AS$82&amp;"C"&amp;$A113)="N/A",0,RTD("tos.rtd",,DA$83,"."&amp;$B$82&amp;$AS$82&amp;"C"&amp;$A113))</f>
        <v>93.53</v>
      </c>
      <c r="DB113" s="3">
        <f>IF(RTD("tos.rtd",,DB$83,"."&amp;$B$82&amp;$AS$82&amp;"P"&amp;$A113)="N/A",0,RTD("tos.rtd",,DB$83,"."&amp;$B$82&amp;$AS$82&amp;"P"&amp;$A113))</f>
        <v>0.03</v>
      </c>
      <c r="DC113" s="3">
        <f>IF(RTD("tos.rtd",,DC$83,"."&amp;$B$82&amp;$AS$82&amp;"C"&amp;$A113)="N/A",0,RTD("tos.rtd",,DC$83,"."&amp;$B$82&amp;$AS$82&amp;"C"&amp;$A113))</f>
        <v>107.2</v>
      </c>
      <c r="DD113" s="3">
        <f>IF(RTD("tos.rtd",,DD$83,"."&amp;$B$82&amp;$AS$82&amp;"P"&amp;$A113)="N/A",0,RTD("tos.rtd",,DD$83,"."&amp;$B$82&amp;$AS$82&amp;"P"&amp;$A113))</f>
        <v>0.05</v>
      </c>
      <c r="DE113" s="3">
        <f>IF(RTD("tos.rtd",,DE$83,"."&amp;$B$82&amp;$AS$82&amp;"C"&amp;$A113)="N/A",0,RTD("tos.rtd",,DE$83,"."&amp;$B$82&amp;$AS$82&amp;"C"&amp;$A113))</f>
        <v>102.1</v>
      </c>
      <c r="DF113" s="3">
        <f>IF(RTD("tos.rtd",,DF$83,"."&amp;$B$82&amp;$AS$82&amp;"P"&amp;$A113)="N/A",0,RTD("tos.rtd",,DF$83,"."&amp;$B$82&amp;$AS$82&amp;"P"&amp;$A113))</f>
        <v>0</v>
      </c>
      <c r="DG113" s="86">
        <f t="shared" si="499"/>
        <v>-101.75</v>
      </c>
      <c r="DH113" s="3">
        <f t="shared" si="468"/>
        <v>0</v>
      </c>
      <c r="DI113" s="3">
        <f t="shared" si="469"/>
        <v>0</v>
      </c>
      <c r="DJ113" s="3">
        <f t="shared" si="470"/>
        <v>0</v>
      </c>
      <c r="DK113" s="3">
        <f t="shared" si="471"/>
        <v>0</v>
      </c>
      <c r="DL113" s="3">
        <f t="shared" si="472"/>
        <v>0</v>
      </c>
      <c r="DM113" s="3">
        <f t="shared" si="473"/>
        <v>0</v>
      </c>
      <c r="DN113" s="64" t="str">
        <f t="shared" si="474"/>
        <v>UNKNOWN</v>
      </c>
      <c r="DO113" s="64" t="str">
        <f t="shared" si="475"/>
        <v>UNKNOWN</v>
      </c>
      <c r="DP113" s="3">
        <f t="shared" si="476"/>
        <v>0</v>
      </c>
      <c r="DQ113" s="3">
        <f t="shared" si="477"/>
        <v>0</v>
      </c>
      <c r="DR113" s="3">
        <f t="shared" ca="1" si="478"/>
        <v>0</v>
      </c>
      <c r="DS113" s="3">
        <f t="shared" si="479"/>
        <v>0</v>
      </c>
      <c r="DT113" s="3">
        <f t="shared" si="500"/>
        <v>0</v>
      </c>
      <c r="DU113" s="3">
        <f t="shared" si="501"/>
        <v>0</v>
      </c>
      <c r="DV113" s="3">
        <f t="shared" si="502"/>
        <v>-510</v>
      </c>
      <c r="DW113" s="3">
        <f t="shared" si="503"/>
        <v>2197</v>
      </c>
      <c r="DX113" s="3">
        <f t="shared" ca="1" si="512"/>
        <v>2.2612197351746959E-3</v>
      </c>
      <c r="DY113" s="3">
        <f t="shared" ca="1" si="480"/>
        <v>-1.5728616687016193E-3</v>
      </c>
      <c r="DZ113" s="3">
        <f t="shared" ca="1" si="504"/>
        <v>2.1401374635472538E-3</v>
      </c>
      <c r="EA113" s="3">
        <f t="shared" ca="1" si="505"/>
        <v>-2.0933377862676493E-3</v>
      </c>
      <c r="EB113" s="3">
        <f t="shared" ca="1" si="481"/>
        <v>2.2324025222626187E-3</v>
      </c>
      <c r="EC113" s="3">
        <f t="shared" ca="1" si="482"/>
        <v>-2.2031955094948649E-3</v>
      </c>
      <c r="ED113" s="63">
        <f t="shared" si="506"/>
        <v>1687</v>
      </c>
      <c r="EE113" s="59">
        <f t="shared" si="483"/>
        <v>1.1923999999999999</v>
      </c>
      <c r="EF113" s="59">
        <f t="shared" si="484"/>
        <v>0.83979999999999999</v>
      </c>
      <c r="EG113" s="59">
        <f t="shared" si="485"/>
        <v>0.18859999999999999</v>
      </c>
      <c r="EH113" s="59">
        <f t="shared" si="486"/>
        <v>0.1988</v>
      </c>
      <c r="EI113" s="59">
        <f t="shared" si="487"/>
        <v>0.16309999999999999</v>
      </c>
      <c r="EJ113" s="59">
        <f t="shared" si="488"/>
        <v>0.17280000000000001</v>
      </c>
      <c r="EK113" s="63">
        <f t="shared" ca="1" si="507"/>
        <v>-157280078.29605189</v>
      </c>
      <c r="EL113" s="3" t="str">
        <f>RTD("tos.rtd",,EL$83,"."&amp;$B$82&amp;$AS$82&amp;"C"&amp;$A113)</f>
        <v>119.24%</v>
      </c>
      <c r="EM113" s="3" t="str">
        <f>RTD("tos.rtd",,EM$83,"."&amp;$B$82&amp;$AS$82&amp;"P"&amp;$A113)</f>
        <v>83.98%</v>
      </c>
      <c r="EN113" s="3" t="str">
        <f>RTD("tos.rtd",,EN$83,"."&amp;$C$82&amp;$AU$82&amp;"C"&amp;$A113)</f>
        <v>18.86%</v>
      </c>
      <c r="EO113" s="3" t="str">
        <f>RTD("tos.rtd",,EO$83,"."&amp;$C$82&amp;$AU$82&amp;"P"&amp;$A113)</f>
        <v>19.88%</v>
      </c>
      <c r="EP113" s="3" t="str">
        <f>RTD("tos.rtd",,EP$83,"."&amp;$D$82&amp;$AW$82&amp;"C"&amp;$A113)</f>
        <v>16.31%</v>
      </c>
      <c r="EQ113" s="3" t="str">
        <f>RTD("tos.rtd",,EQ$83,"."&amp;$D$82&amp;$AW$82&amp;"P"&amp;$A113)</f>
        <v>17.28%</v>
      </c>
      <c r="ES113" s="63" t="str">
        <f t="shared" si="489"/>
        <v>5740,1687.00</v>
      </c>
      <c r="ET113" s="63" t="str">
        <f t="shared" ca="1" si="490"/>
        <v>5740,-7029.50</v>
      </c>
      <c r="EU113" s="67">
        <v>571.69000000000005</v>
      </c>
      <c r="EV113" s="67" t="s">
        <v>923</v>
      </c>
      <c r="EW113" s="67">
        <v>496.88</v>
      </c>
      <c r="EX113" s="67" t="s">
        <v>924</v>
      </c>
      <c r="EY113" s="67">
        <v>5659.91</v>
      </c>
      <c r="EZ113" s="67" t="s">
        <v>925</v>
      </c>
      <c r="FA113" s="67">
        <v>20061.449000000001</v>
      </c>
      <c r="FB113" s="67" t="s">
        <v>926</v>
      </c>
      <c r="FC113" s="67" t="s">
        <v>927</v>
      </c>
      <c r="FD113" s="67" t="s">
        <v>928</v>
      </c>
      <c r="FE113" s="68" t="s">
        <v>929</v>
      </c>
      <c r="FF113" s="68" t="s">
        <v>930</v>
      </c>
    </row>
    <row r="114" spans="1:162" s="63" customFormat="1" ht="12" customHeight="1" thickBot="1" x14ac:dyDescent="0.25">
      <c r="A114" s="2">
        <f t="shared" si="508"/>
        <v>5730</v>
      </c>
      <c r="B114" s="3">
        <f t="shared" si="451"/>
        <v>858</v>
      </c>
      <c r="C114" s="3">
        <f t="shared" si="452"/>
        <v>1380</v>
      </c>
      <c r="D114" s="3">
        <f t="shared" si="453"/>
        <v>9670</v>
      </c>
      <c r="E114" s="3">
        <f t="shared" si="523"/>
        <v>11908</v>
      </c>
      <c r="F114" s="4">
        <f t="shared" si="524"/>
        <v>5753.5408910001279</v>
      </c>
      <c r="G114" s="4">
        <f t="shared" si="525"/>
        <v>571.79843368853517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>
        <v>-24</v>
      </c>
      <c r="AN114" s="20">
        <v>-2446</v>
      </c>
      <c r="AO114" s="20">
        <v>5730</v>
      </c>
      <c r="AP114" s="20">
        <v>1116</v>
      </c>
      <c r="AQ114" s="20">
        <v>-21963</v>
      </c>
      <c r="AR114" s="20"/>
      <c r="AS114" s="54">
        <f>IF(RTD("tos.rtd",,AS$83,"."&amp;$B$82&amp;$AS$82&amp;"C"&amp;$A114)="N/A",0,RTD("tos.rtd",,AS$83,"."&amp;$B$82&amp;$AS$82&amp;"C"&amp;$A114))</f>
        <v>796</v>
      </c>
      <c r="AT114" s="3">
        <f>-IF(RTD("tos.rtd",,AT$83,"."&amp;$B$82&amp;$AS$82&amp;"P"&amp;$A114)="N/A",0,RTD("tos.rtd",,AT$83,"."&amp;$B$82&amp;$AS$82&amp;"P"&amp;$A114))</f>
        <v>-62</v>
      </c>
      <c r="AU114" s="54">
        <f>IF(RTD("tos.rtd",,AU$83,"."&amp;$C$82&amp;$AU$82&amp;"C"&amp;$A114)="N/A",0,RTD("tos.rtd",,AU$83,"."&amp;$C$82&amp;$AU$82&amp;"C"&amp;$A114))</f>
        <v>1064</v>
      </c>
      <c r="AV114" s="3">
        <f>-IF(RTD("tos.rtd",,AV$83,"."&amp;$C$82&amp;$AU$82&amp;"P"&amp;$A114)="N/A",0,RTD("tos.rtd",,AV$83,"."&amp;$C$82&amp;$AU$82&amp;"P"&amp;$A114))</f>
        <v>-316</v>
      </c>
      <c r="AW114" s="54">
        <f>IF(RTD("tos.rtd",,AW$83,"."&amp;$D$82&amp;$AW$82&amp;"C"&amp;$A114)="N/A",0,RTD("tos.rtd",,AW$83,"."&amp;$D$82&amp;$AW$82&amp;"C"&amp;$A114))</f>
        <v>5020</v>
      </c>
      <c r="AX114" s="3">
        <f>-IF(RTD("tos.rtd",,AX$83,"."&amp;$D$82&amp;$AW$82&amp;"P"&amp;$A114)="N/A",0,RTD("tos.rtd",,AX$83,"."&amp;$D$82&amp;$AW$82&amp;"P"&amp;$A114))</f>
        <v>-4650</v>
      </c>
      <c r="AY114" s="79">
        <f t="shared" si="526"/>
        <v>1852</v>
      </c>
      <c r="AZ114" s="8">
        <f t="shared" si="455"/>
        <v>5730</v>
      </c>
      <c r="BA114" s="54">
        <f>IF(RTD("tos.rtd",,BA$83,"."&amp;$B$82&amp;$AS$82&amp;"C"&amp;$A114)="N/A",0,RTD("tos.rtd",,BA$83,"."&amp;$B$82&amp;$AS$82&amp;"C"&amp;$A114))</f>
        <v>1116</v>
      </c>
      <c r="BB114" s="3">
        <f>-IF(RTD("tos.rtd",,BB$83,"."&amp;$B$82&amp;$AS$82&amp;"P"&amp;$A114)="N/A",0,RTD("tos.rtd",,BB$83,"."&amp;$B$82&amp;$AS$82&amp;"P"&amp;$A114))</f>
        <v>-21963</v>
      </c>
      <c r="BC114" s="54">
        <f>IF(RTD("tos.rtd",,BC$83,"."&amp;$C$82&amp;$AU$82&amp;"C"&amp;$A114)="N/A",0,RTD("tos.rtd",,BC$83,"."&amp;$C$82&amp;$AU$82&amp;"C"&amp;$A114))</f>
        <v>9</v>
      </c>
      <c r="BD114" s="3">
        <f>-IF(RTD("tos.rtd",,BD$83,"."&amp;$C$82&amp;$AU$82&amp;"P"&amp;$A114)="N/A",0,RTD("tos.rtd",,BD$83,"."&amp;$C$82&amp;$AU$82&amp;"P"&amp;$A114))</f>
        <v>-149</v>
      </c>
      <c r="BE114" s="54">
        <f>IF(RTD("tos.rtd",,BE$83,"."&amp;$D$82&amp;$AW$82&amp;"C"&amp;$A114)="N/A",0,RTD("tos.rtd",,BE$83,"."&amp;$D$82&amp;$AW$82&amp;"C"&amp;$A114))</f>
        <v>0</v>
      </c>
      <c r="BF114" s="3">
        <f>-IF(RTD("tos.rtd",,BF$83,"."&amp;$D$82&amp;$AW$82&amp;"P"&amp;$A114)="N/A",0,RTD("tos.rtd",,BF$83,"."&amp;$D$82&amp;$AW$82&amp;"P"&amp;$A114))</f>
        <v>-13</v>
      </c>
      <c r="BG114" s="3">
        <f ca="1">+Hoja2!Y115</f>
        <v>-219</v>
      </c>
      <c r="BH114" s="55">
        <f t="shared" ca="1" si="493"/>
        <v>-21219</v>
      </c>
      <c r="BI114" s="32" t="str">
        <f t="shared" ca="1" si="513"/>
        <v/>
      </c>
      <c r="BJ114" s="3">
        <f ca="1">IF($BP$1=1,DX114,IF(RTD("tos.rtd",,BJ$83,"."&amp;$B$82&amp;$AS$82&amp;"C"&amp;$A114)="N/A",0,RTD("tos.rtd",,BJ$83,"."&amp;$B$82&amp;$AS$82&amp;"C"&amp;$A114)))</f>
        <v>2.0410013180551449E-3</v>
      </c>
      <c r="BK114" s="3">
        <f ca="1">IF($BP$1=1,DY114,-IF(RTD("tos.rtd",,BK$83,"."&amp;$B$82&amp;$AS$82&amp;"P"&amp;$A114)="N/A",0,RTD("tos.rtd",,BK$83,"."&amp;$B$82&amp;$AS$82&amp;"P"&amp;$A114)))</f>
        <v>-1.4012202100349234E-3</v>
      </c>
      <c r="BL114" s="3">
        <f ca="1">IF($BP$1=1,DZ114,IF(RTD("tos.rtd",,BL$83,"."&amp;$C$82&amp;$AU$82&amp;"C"&amp;$A114)="N/A",0,RTD("tos.rtd",,BL$83,"."&amp;$C$82&amp;$AU$82&amp;"C"&amp;$A114)))</f>
        <v>1.9957903063239045E-3</v>
      </c>
      <c r="BM114" s="3">
        <f ca="1">IF($BP$1=1,EA114,-IF(RTD("tos.rtd",,BM$83,"."&amp;$C$82&amp;$AU$82&amp;"P"&amp;$A114)="N/A",0,RTD("tos.rtd",,BM$83,"."&amp;$C$82&amp;$AU$82&amp;"P"&amp;$A114)))</f>
        <v>-1.9705845169335481E-3</v>
      </c>
      <c r="BN114" s="3">
        <f ca="1">IF($BP$1=1,EB114,IF(RTD("tos.rtd",,BN$83,"."&amp;$D$82&amp;$AW$82&amp;"C"&amp;$A114)="N/A",0,RTD("tos.rtd",,BN$83,"."&amp;$D$82&amp;$AW$82&amp;"C"&amp;$A114)))</f>
        <v>2.0544099616726652E-3</v>
      </c>
      <c r="BO114" s="3">
        <f ca="1">IF($BP$1=1,EC114,-IF(RTD("tos.rtd",,BO$83,"."&amp;$D$82&amp;$AW$82&amp;"P"&amp;$A114)="N/A",0,RTD("tos.rtd",,BO$83,"."&amp;$D$82&amp;$AW$82&amp;"P"&amp;$A114)))</f>
        <v>-2.0437931532559799E-3</v>
      </c>
      <c r="BQ114" s="3">
        <f t="shared" ca="1" si="456"/>
        <v>396309.83040451538</v>
      </c>
      <c r="BR114" s="3" t="str">
        <f t="shared" ca="1" si="494"/>
        <v/>
      </c>
      <c r="BS114" s="3">
        <f t="shared" ca="1" si="457"/>
        <v>386788.35786208068</v>
      </c>
      <c r="BT114" s="3" t="str">
        <f t="shared" ca="1" si="494"/>
        <v/>
      </c>
      <c r="BU114" s="3">
        <f t="shared" ca="1" si="458"/>
        <v>208623.22794058779</v>
      </c>
      <c r="BV114" s="3" t="str">
        <f t="shared" ca="1" si="494"/>
        <v>Cruce +</v>
      </c>
      <c r="BX114" s="3">
        <f t="shared" ca="1" si="459"/>
        <v>-7344271.4670203701</v>
      </c>
      <c r="BY114" s="3" t="str">
        <f t="shared" ca="1" si="510"/>
        <v/>
      </c>
      <c r="BZ114" s="3">
        <f t="shared" ca="1" si="460"/>
        <v>-71041.43643674496</v>
      </c>
      <c r="CA114" s="3" t="str">
        <f t="shared" ca="1" si="510"/>
        <v/>
      </c>
      <c r="CB114" s="3">
        <f t="shared" ca="1" si="461"/>
        <v>-6847.4076405472269</v>
      </c>
      <c r="CC114" s="3" t="str">
        <f t="shared" ca="1" si="510"/>
        <v/>
      </c>
      <c r="CD114" s="3">
        <f>IF(RTD("tos.rtd",,CD$83,"."&amp;$B$82&amp;$AS$82&amp;"C"&amp;$A114)="N/A",0,RTD("tos.rtd",,CD$83,"."&amp;$B$82&amp;$AS$82&amp;"C"&amp;$A114))</f>
        <v>0.98</v>
      </c>
      <c r="CE114" s="3">
        <f>-IF(RTD("tos.rtd",,CE$83,"."&amp;$B$82&amp;$AS$82&amp;"P"&amp;$A114)="N/A",0,RTD("tos.rtd",,CE$83,"."&amp;$B$82&amp;$AS$82&amp;"P"&amp;$A114))</f>
        <v>0</v>
      </c>
      <c r="CF114" s="3">
        <f>IF(RTD("tos.rtd",,CF$83,"."&amp;$C$82&amp;$AU$82&amp;"C"&amp;$A114)="N/A",0,RTD("tos.rtd",,CF$83,"."&amp;$C$82&amp;$AU$82&amp;"C"&amp;$A114))</f>
        <v>0.85</v>
      </c>
      <c r="CG114" s="3">
        <f>-IF(RTD("tos.rtd",,CG$83,"."&amp;$C$82&amp;$AU$82&amp;"P"&amp;$A114)="N/A",0,RTD("tos.rtd",,CG$83,"."&amp;$C$82&amp;$AU$82&amp;"P"&amp;$A114))</f>
        <v>0.16</v>
      </c>
      <c r="CH114" s="3">
        <f>IF(RTD("tos.rtd",,CH$83,"."&amp;$D$82&amp;$AW$82&amp;"C"&amp;$A114)="N/A",0,RTD("tos.rtd",,CH$83,"."&amp;$D$82&amp;$AW$82&amp;"C"&amp;$A114))</f>
        <v>0.69</v>
      </c>
      <c r="CI114" s="3">
        <f>-IF(RTD("tos.rtd",,CI$83,"."&amp;$D$82&amp;$AW$82&amp;"P"&amp;$A114)="N/A",0,RTD("tos.rtd",,CI$83,"."&amp;$D$82&amp;$AW$82&amp;"P"&amp;$A114))</f>
        <v>0.32</v>
      </c>
      <c r="CK114" s="3">
        <f t="shared" si="495"/>
        <v>78008</v>
      </c>
      <c r="CL114" s="3"/>
      <c r="CM114" s="3">
        <f t="shared" si="496"/>
        <v>85384</v>
      </c>
      <c r="CN114" s="3"/>
      <c r="CO114" s="3">
        <f t="shared" si="497"/>
        <v>197580</v>
      </c>
      <c r="CP114" s="3">
        <f t="shared" si="462"/>
        <v>360972</v>
      </c>
      <c r="CQ114" s="3">
        <f t="shared" si="463"/>
        <v>-20847</v>
      </c>
      <c r="CR114" s="3"/>
      <c r="CS114" s="3">
        <f t="shared" si="464"/>
        <v>-140</v>
      </c>
      <c r="CT114" s="3"/>
      <c r="CU114" s="3">
        <f t="shared" si="465"/>
        <v>-13</v>
      </c>
      <c r="CV114" s="3"/>
      <c r="CW114" s="3">
        <f t="shared" ca="1" si="527"/>
        <v>991721.41620718385</v>
      </c>
      <c r="CY114" s="3">
        <f t="shared" ca="1" si="467"/>
        <v>-7422160.3110976629</v>
      </c>
      <c r="CZ114" s="70" t="str">
        <f t="shared" ca="1" si="511"/>
        <v/>
      </c>
      <c r="DA114" s="3">
        <f>IF(RTD("tos.rtd",,DA$83,"."&amp;$B$82&amp;$AS$82&amp;"C"&amp;$A114)="N/A",0,RTD("tos.rtd",,DA$83,"."&amp;$B$82&amp;$AS$82&amp;"C"&amp;$A114))</f>
        <v>114.8</v>
      </c>
      <c r="DB114" s="3">
        <f>IF(RTD("tos.rtd",,DB$83,"."&amp;$B$82&amp;$AS$82&amp;"P"&amp;$A114)="N/A",0,RTD("tos.rtd",,DB$83,"."&amp;$B$82&amp;$AS$82&amp;"P"&amp;$A114))</f>
        <v>0.05</v>
      </c>
      <c r="DC114" s="3">
        <f>IF(RTD("tos.rtd",,DC$83,"."&amp;$B$82&amp;$AS$82&amp;"C"&amp;$A114)="N/A",0,RTD("tos.rtd",,DC$83,"."&amp;$B$82&amp;$AS$82&amp;"C"&amp;$A114))</f>
        <v>117.2</v>
      </c>
      <c r="DD114" s="3">
        <f>IF(RTD("tos.rtd",,DD$83,"."&amp;$B$82&amp;$AS$82&amp;"P"&amp;$A114)="N/A",0,RTD("tos.rtd",,DD$83,"."&amp;$B$82&amp;$AS$82&amp;"P"&amp;$A114))</f>
        <v>0.05</v>
      </c>
      <c r="DE114" s="3">
        <f>IF(RTD("tos.rtd",,DE$83,"."&amp;$B$82&amp;$AS$82&amp;"C"&amp;$A114)="N/A",0,RTD("tos.rtd",,DE$83,"."&amp;$B$82&amp;$AS$82&amp;"C"&amp;$A114))</f>
        <v>112.1</v>
      </c>
      <c r="DF114" s="3">
        <f>IF(RTD("tos.rtd",,DF$83,"."&amp;$B$82&amp;$AS$82&amp;"P"&amp;$A114)="N/A",0,RTD("tos.rtd",,DF$83,"."&amp;$B$82&amp;$AS$82&amp;"P"&amp;$A114))</f>
        <v>0</v>
      </c>
      <c r="DG114" s="86">
        <f t="shared" si="499"/>
        <v>-111.75</v>
      </c>
      <c r="DH114" s="3">
        <f t="shared" si="468"/>
        <v>0</v>
      </c>
      <c r="DI114" s="3">
        <f t="shared" si="469"/>
        <v>0</v>
      </c>
      <c r="DJ114" s="3">
        <f t="shared" si="470"/>
        <v>0</v>
      </c>
      <c r="DK114" s="3">
        <f t="shared" si="471"/>
        <v>0</v>
      </c>
      <c r="DL114" s="3">
        <f t="shared" si="472"/>
        <v>0</v>
      </c>
      <c r="DM114" s="3">
        <f t="shared" si="473"/>
        <v>0</v>
      </c>
      <c r="DN114" s="64" t="str">
        <f t="shared" si="474"/>
        <v>UNKNOWN</v>
      </c>
      <c r="DO114" s="64" t="str">
        <f t="shared" si="475"/>
        <v>UNKNOWN</v>
      </c>
      <c r="DP114" s="3">
        <f t="shared" si="476"/>
        <v>0</v>
      </c>
      <c r="DQ114" s="3">
        <f t="shared" si="477"/>
        <v>0</v>
      </c>
      <c r="DR114" s="3">
        <f t="shared" ca="1" si="478"/>
        <v>0</v>
      </c>
      <c r="DS114" s="3">
        <f t="shared" si="479"/>
        <v>0</v>
      </c>
      <c r="DT114" s="3">
        <f t="shared" si="500"/>
        <v>0</v>
      </c>
      <c r="DU114" s="3">
        <f t="shared" si="501"/>
        <v>0</v>
      </c>
      <c r="DV114" s="3">
        <f t="shared" si="502"/>
        <v>-24</v>
      </c>
      <c r="DW114" s="3">
        <f t="shared" si="503"/>
        <v>-2446</v>
      </c>
      <c r="DX114" s="3">
        <f t="shared" ca="1" si="512"/>
        <v>2.0410013180551449E-3</v>
      </c>
      <c r="DY114" s="3">
        <f t="shared" ca="1" si="480"/>
        <v>-1.4012202100349234E-3</v>
      </c>
      <c r="DZ114" s="3">
        <f t="shared" ca="1" si="504"/>
        <v>1.9957903063239045E-3</v>
      </c>
      <c r="EA114" s="3">
        <f t="shared" ca="1" si="505"/>
        <v>-1.9705845169335481E-3</v>
      </c>
      <c r="EB114" s="3">
        <f t="shared" ca="1" si="481"/>
        <v>2.0544099616726652E-3</v>
      </c>
      <c r="EC114" s="3">
        <f t="shared" ca="1" si="482"/>
        <v>-2.0437931532559799E-3</v>
      </c>
      <c r="ED114" s="63">
        <f t="shared" si="506"/>
        <v>-2470</v>
      </c>
      <c r="EE114" s="59">
        <f t="shared" si="483"/>
        <v>1.2894000000000001</v>
      </c>
      <c r="EF114" s="59">
        <f t="shared" si="484"/>
        <v>0.91320000000000001</v>
      </c>
      <c r="EG114" s="59">
        <f t="shared" si="485"/>
        <v>0.19370000000000001</v>
      </c>
      <c r="EH114" s="59">
        <f t="shared" si="486"/>
        <v>0.20130000000000001</v>
      </c>
      <c r="EI114" s="59">
        <f t="shared" si="487"/>
        <v>0.1643</v>
      </c>
      <c r="EJ114" s="59">
        <f t="shared" si="488"/>
        <v>0.17430000000000001</v>
      </c>
      <c r="EK114" s="63">
        <f t="shared" ca="1" si="507"/>
        <v>115291444.43005343</v>
      </c>
      <c r="EL114" s="3" t="str">
        <f>RTD("tos.rtd",,EL$83,"."&amp;$B$82&amp;$AS$82&amp;"C"&amp;$A114)</f>
        <v>128.94%</v>
      </c>
      <c r="EM114" s="3" t="str">
        <f>RTD("tos.rtd",,EM$83,"."&amp;$B$82&amp;$AS$82&amp;"P"&amp;$A114)</f>
        <v>91.32%</v>
      </c>
      <c r="EN114" s="3" t="str">
        <f>RTD("tos.rtd",,EN$83,"."&amp;$C$82&amp;$AU$82&amp;"C"&amp;$A114)</f>
        <v>19.37%</v>
      </c>
      <c r="EO114" s="3" t="str">
        <f>RTD("tos.rtd",,EO$83,"."&amp;$C$82&amp;$AU$82&amp;"P"&amp;$A114)</f>
        <v>20.13%</v>
      </c>
      <c r="EP114" s="3" t="str">
        <f>RTD("tos.rtd",,EP$83,"."&amp;$D$82&amp;$AW$82&amp;"C"&amp;$A114)</f>
        <v>16.43%</v>
      </c>
      <c r="EQ114" s="3" t="str">
        <f>RTD("tos.rtd",,EQ$83,"."&amp;$D$82&amp;$AW$82&amp;"P"&amp;$A114)</f>
        <v>17.43%</v>
      </c>
      <c r="ES114" s="63" t="str">
        <f t="shared" si="489"/>
        <v>5730,-2470.00</v>
      </c>
      <c r="ET114" s="63" t="str">
        <f t="shared" ca="1" si="490"/>
        <v>5730,-7422.16</v>
      </c>
      <c r="EU114" s="67">
        <v>571.67999999999995</v>
      </c>
      <c r="EV114" s="67" t="s">
        <v>931</v>
      </c>
      <c r="EW114" s="67">
        <v>496.71</v>
      </c>
      <c r="EX114" s="67" t="s">
        <v>932</v>
      </c>
      <c r="EY114" s="67">
        <v>5659.91</v>
      </c>
      <c r="EZ114" s="67" t="s">
        <v>933</v>
      </c>
      <c r="FA114" s="67">
        <v>20061.449000000001</v>
      </c>
      <c r="FB114" s="67" t="s">
        <v>934</v>
      </c>
      <c r="FC114" s="67" t="s">
        <v>935</v>
      </c>
      <c r="FD114" s="67" t="s">
        <v>936</v>
      </c>
      <c r="FE114" s="68" t="s">
        <v>937</v>
      </c>
      <c r="FF114" s="68" t="s">
        <v>938</v>
      </c>
    </row>
    <row r="115" spans="1:162" s="63" customFormat="1" ht="12" customHeight="1" thickBot="1" x14ac:dyDescent="0.25">
      <c r="A115" s="2">
        <f t="shared" si="508"/>
        <v>5720</v>
      </c>
      <c r="B115" s="3">
        <f t="shared" si="451"/>
        <v>1716</v>
      </c>
      <c r="C115" s="3">
        <f t="shared" si="452"/>
        <v>925</v>
      </c>
      <c r="D115" s="3">
        <f t="shared" si="453"/>
        <v>12156</v>
      </c>
      <c r="E115" s="3">
        <f t="shared" si="523"/>
        <v>14797</v>
      </c>
      <c r="F115" s="4">
        <f t="shared" si="524"/>
        <v>5743.4998074207215</v>
      </c>
      <c r="G115" s="4">
        <f t="shared" si="525"/>
        <v>570.80053066290066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>
        <v>150</v>
      </c>
      <c r="AN115" s="20">
        <v>295</v>
      </c>
      <c r="AO115" s="20">
        <v>5720</v>
      </c>
      <c r="AP115" s="20">
        <v>1119</v>
      </c>
      <c r="AQ115" s="20">
        <v>-13004</v>
      </c>
      <c r="AR115" s="20"/>
      <c r="AS115" s="54">
        <f>IF(RTD("tos.rtd",,AS$83,"."&amp;$B$82&amp;$AS$82&amp;"C"&amp;$A115)="N/A",0,RTD("tos.rtd",,AS$83,"."&amp;$B$82&amp;$AS$82&amp;"C"&amp;$A115))</f>
        <v>1610</v>
      </c>
      <c r="AT115" s="3">
        <f>-IF(RTD("tos.rtd",,AT$83,"."&amp;$B$82&amp;$AS$82&amp;"P"&amp;$A115)="N/A",0,RTD("tos.rtd",,AT$83,"."&amp;$B$82&amp;$AS$82&amp;"P"&amp;$A115))</f>
        <v>-106</v>
      </c>
      <c r="AU115" s="54">
        <f>IF(RTD("tos.rtd",,AU$83,"."&amp;$C$82&amp;$AU$82&amp;"C"&amp;$A115)="N/A",0,RTD("tos.rtd",,AU$83,"."&amp;$C$82&amp;$AU$82&amp;"C"&amp;$A115))</f>
        <v>346</v>
      </c>
      <c r="AV115" s="3">
        <f>-IF(RTD("tos.rtd",,AV$83,"."&amp;$C$82&amp;$AU$82&amp;"P"&amp;$A115)="N/A",0,RTD("tos.rtd",,AV$83,"."&amp;$C$82&amp;$AU$82&amp;"P"&amp;$A115))</f>
        <v>-579</v>
      </c>
      <c r="AW115" s="54">
        <f>IF(RTD("tos.rtd",,AW$83,"."&amp;$D$82&amp;$AW$82&amp;"C"&amp;$A115)="N/A",0,RTD("tos.rtd",,AW$83,"."&amp;$D$82&amp;$AW$82&amp;"C"&amp;$A115))</f>
        <v>6140</v>
      </c>
      <c r="AX115" s="3">
        <f>-IF(RTD("tos.rtd",,AX$83,"."&amp;$D$82&amp;$AW$82&amp;"P"&amp;$A115)="N/A",0,RTD("tos.rtd",,AX$83,"."&amp;$D$82&amp;$AW$82&amp;"P"&amp;$A115))</f>
        <v>-6016</v>
      </c>
      <c r="AY115" s="79">
        <f t="shared" si="526"/>
        <v>1395</v>
      </c>
      <c r="AZ115" s="8">
        <f t="shared" si="455"/>
        <v>5720</v>
      </c>
      <c r="BA115" s="54">
        <f>IF(RTD("tos.rtd",,BA$83,"."&amp;$B$82&amp;$AS$82&amp;"C"&amp;$A115)="N/A",0,RTD("tos.rtd",,BA$83,"."&amp;$B$82&amp;$AS$82&amp;"C"&amp;$A115))</f>
        <v>1119</v>
      </c>
      <c r="BB115" s="3">
        <f>-IF(RTD("tos.rtd",,BB$83,"."&amp;$B$82&amp;$AS$82&amp;"P"&amp;$A115)="N/A",0,RTD("tos.rtd",,BB$83,"."&amp;$B$82&amp;$AS$82&amp;"P"&amp;$A115))</f>
        <v>-13004</v>
      </c>
      <c r="BC115" s="54">
        <f>IF(RTD("tos.rtd",,BC$83,"."&amp;$C$82&amp;$AU$82&amp;"C"&amp;$A115)="N/A",0,RTD("tos.rtd",,BC$83,"."&amp;$C$82&amp;$AU$82&amp;"C"&amp;$A115))</f>
        <v>162</v>
      </c>
      <c r="BD115" s="3">
        <f>-IF(RTD("tos.rtd",,BD$83,"."&amp;$C$82&amp;$AU$82&amp;"P"&amp;$A115)="N/A",0,RTD("tos.rtd",,BD$83,"."&amp;$C$82&amp;$AU$82&amp;"P"&amp;$A115))</f>
        <v>-285</v>
      </c>
      <c r="BE115" s="54">
        <f>IF(RTD("tos.rtd",,BE$83,"."&amp;$D$82&amp;$AW$82&amp;"C"&amp;$A115)="N/A",0,RTD("tos.rtd",,BE$83,"."&amp;$D$82&amp;$AW$82&amp;"C"&amp;$A115))</f>
        <v>1</v>
      </c>
      <c r="BF115" s="3">
        <f>-IF(RTD("tos.rtd",,BF$83,"."&amp;$D$82&amp;$AW$82&amp;"P"&amp;$A115)="N/A",0,RTD("tos.rtd",,BF$83,"."&amp;$D$82&amp;$AW$82&amp;"P"&amp;$A115))</f>
        <v>-62</v>
      </c>
      <c r="BG115" s="3">
        <f ca="1">+Hoja2!Y116</f>
        <v>-96</v>
      </c>
      <c r="BH115" s="55">
        <f t="shared" ca="1" si="493"/>
        <v>-12165</v>
      </c>
      <c r="BI115" s="32" t="str">
        <f t="shared" ca="1" si="513"/>
        <v/>
      </c>
      <c r="BJ115" s="3">
        <f ca="1">IF($BP$1=1,DX115,IF(RTD("tos.rtd",,BJ$83,"."&amp;$B$82&amp;$AS$82&amp;"C"&amp;$A115)="N/A",0,RTD("tos.rtd",,BJ$83,"."&amp;$B$82&amp;$AS$82&amp;"C"&amp;$A115)))</f>
        <v>1.6574954036189585E-3</v>
      </c>
      <c r="BK115" s="3">
        <f ca="1">IF($BP$1=1,DY115,-IF(RTD("tos.rtd",,BK$83,"."&amp;$B$82&amp;$AS$82&amp;"P"&amp;$A115)="N/A",0,RTD("tos.rtd",,BK$83,"."&amp;$B$82&amp;$AS$82&amp;"P"&amp;$A115)))</f>
        <v>-1.2600974632542951E-3</v>
      </c>
      <c r="BL115" s="3">
        <f ca="1">IF($BP$1=1,DZ115,IF(RTD("tos.rtd",,BL$83,"."&amp;$C$82&amp;$AU$82&amp;"C"&amp;$A115)="N/A",0,RTD("tos.rtd",,BL$83,"."&amp;$C$82&amp;$AU$82&amp;"C"&amp;$A115)))</f>
        <v>1.8601437454785737E-3</v>
      </c>
      <c r="BM115" s="3">
        <f ca="1">IF($BP$1=1,EA115,-IF(RTD("tos.rtd",,BM$83,"."&amp;$C$82&amp;$AU$82&amp;"P"&amp;$A115)="N/A",0,RTD("tos.rtd",,BM$83,"."&amp;$C$82&amp;$AU$82&amp;"P"&amp;$A115)))</f>
        <v>-1.8499289765452709E-3</v>
      </c>
      <c r="BN115" s="3">
        <f ca="1">IF($BP$1=1,EB115,IF(RTD("tos.rtd",,BN$83,"."&amp;$D$82&amp;$AW$82&amp;"C"&amp;$A115)="N/A",0,RTD("tos.rtd",,BN$83,"."&amp;$D$82&amp;$AW$82&amp;"C"&amp;$A115)))</f>
        <v>1.8809873945129512E-3</v>
      </c>
      <c r="BO115" s="3">
        <f ca="1">IF($BP$1=1,EC115,-IF(RTD("tos.rtd",,BO$83,"."&amp;$D$82&amp;$AW$82&amp;"P"&amp;$A115)="N/A",0,RTD("tos.rtd",,BO$83,"."&amp;$D$82&amp;$AW$82&amp;"P"&amp;$A115)))</f>
        <v>-1.8879063985455316E-3</v>
      </c>
      <c r="BQ115" s="3">
        <f t="shared" ca="1" si="456"/>
        <v>653316.13874453981</v>
      </c>
      <c r="BR115" s="3" t="str">
        <f t="shared" ca="1" si="494"/>
        <v/>
      </c>
      <c r="BS115" s="3">
        <f t="shared" ca="1" si="457"/>
        <v>-110174.51256342579</v>
      </c>
      <c r="BT115" s="3" t="str">
        <f t="shared" ca="1" si="494"/>
        <v>Cruce -</v>
      </c>
      <c r="BU115" s="3">
        <f t="shared" ca="1" si="458"/>
        <v>49383.462097259238</v>
      </c>
      <c r="BV115" s="3" t="str">
        <f t="shared" ca="1" si="494"/>
        <v/>
      </c>
      <c r="BX115" s="3">
        <f t="shared" ca="1" si="459"/>
        <v>-3745056.9890944604</v>
      </c>
      <c r="BY115" s="3" t="str">
        <f t="shared" ca="1" si="510"/>
        <v/>
      </c>
      <c r="BZ115" s="3">
        <f t="shared" ca="1" si="460"/>
        <v>-58215.162283274971</v>
      </c>
      <c r="CA115" s="3" t="str">
        <f t="shared" ca="1" si="510"/>
        <v/>
      </c>
      <c r="CB115" s="3">
        <f t="shared" ca="1" si="461"/>
        <v>-29681.256094640881</v>
      </c>
      <c r="CC115" s="3" t="str">
        <f t="shared" ca="1" si="510"/>
        <v/>
      </c>
      <c r="CD115" s="3">
        <f>IF(RTD("tos.rtd",,CD$83,"."&amp;$B$82&amp;$AS$82&amp;"C"&amp;$A115)="N/A",0,RTD("tos.rtd",,CD$83,"."&amp;$B$82&amp;$AS$82&amp;"C"&amp;$A115))</f>
        <v>0.99</v>
      </c>
      <c r="CE115" s="3">
        <f>-IF(RTD("tos.rtd",,CE$83,"."&amp;$B$82&amp;$AS$82&amp;"P"&amp;$A115)="N/A",0,RTD("tos.rtd",,CE$83,"."&amp;$B$82&amp;$AS$82&amp;"P"&amp;$A115))</f>
        <v>0</v>
      </c>
      <c r="CF115" s="3">
        <f>IF(RTD("tos.rtd",,CF$83,"."&amp;$C$82&amp;$AU$82&amp;"C"&amp;$A115)="N/A",0,RTD("tos.rtd",,CF$83,"."&amp;$C$82&amp;$AU$82&amp;"C"&amp;$A115))</f>
        <v>0.86</v>
      </c>
      <c r="CG115" s="3">
        <f>-IF(RTD("tos.rtd",,CG$83,"."&amp;$C$82&amp;$AU$82&amp;"P"&amp;$A115)="N/A",0,RTD("tos.rtd",,CG$83,"."&amp;$C$82&amp;$AU$82&amp;"P"&amp;$A115))</f>
        <v>0.14000000000000001</v>
      </c>
      <c r="CH115" s="3">
        <f>IF(RTD("tos.rtd",,CH$83,"."&amp;$D$82&amp;$AW$82&amp;"C"&amp;$A115)="N/A",0,RTD("tos.rtd",,CH$83,"."&amp;$D$82&amp;$AW$82&amp;"C"&amp;$A115))</f>
        <v>0.7</v>
      </c>
      <c r="CI115" s="3">
        <f>-IF(RTD("tos.rtd",,CI$83,"."&amp;$D$82&amp;$AW$82&amp;"P"&amp;$A115)="N/A",0,RTD("tos.rtd",,CI$83,"."&amp;$D$82&amp;$AW$82&amp;"P"&amp;$A115))</f>
        <v>0.31</v>
      </c>
      <c r="CK115" s="3">
        <f t="shared" si="495"/>
        <v>159390</v>
      </c>
      <c r="CL115" s="3"/>
      <c r="CM115" s="3">
        <f t="shared" si="496"/>
        <v>21650</v>
      </c>
      <c r="CN115" s="3"/>
      <c r="CO115" s="3">
        <f t="shared" si="497"/>
        <v>243304</v>
      </c>
      <c r="CP115" s="3">
        <f t="shared" si="462"/>
        <v>424344</v>
      </c>
      <c r="CQ115" s="3">
        <f t="shared" si="463"/>
        <v>-11885</v>
      </c>
      <c r="CR115" s="3"/>
      <c r="CS115" s="3">
        <f t="shared" si="464"/>
        <v>-123</v>
      </c>
      <c r="CT115" s="3"/>
      <c r="CU115" s="3">
        <f t="shared" si="465"/>
        <v>-61</v>
      </c>
      <c r="CV115" s="3"/>
      <c r="CW115" s="3">
        <f t="shared" ca="1" si="527"/>
        <v>592525.08827837324</v>
      </c>
      <c r="CY115" s="3">
        <f t="shared" ca="1" si="467"/>
        <v>-3832953.4074723762</v>
      </c>
      <c r="CZ115" s="70" t="str">
        <f t="shared" ca="1" si="511"/>
        <v/>
      </c>
      <c r="DA115" s="3">
        <f>IF(RTD("tos.rtd",,DA$83,"."&amp;$B$82&amp;$AS$82&amp;"C"&amp;$A115)="N/A",0,RTD("tos.rtd",,DA$83,"."&amp;$B$82&amp;$AS$82&amp;"C"&amp;$A115))</f>
        <v>109.44</v>
      </c>
      <c r="DB115" s="3">
        <f>IF(RTD("tos.rtd",,DB$83,"."&amp;$B$82&amp;$AS$82&amp;"P"&amp;$A115)="N/A",0,RTD("tos.rtd",,DB$83,"."&amp;$B$82&amp;$AS$82&amp;"P"&amp;$A115))</f>
        <v>0.03</v>
      </c>
      <c r="DC115" s="3">
        <f>IF(RTD("tos.rtd",,DC$83,"."&amp;$B$82&amp;$AS$82&amp;"C"&amp;$A115)="N/A",0,RTD("tos.rtd",,DC$83,"."&amp;$B$82&amp;$AS$82&amp;"C"&amp;$A115))</f>
        <v>126.6</v>
      </c>
      <c r="DD115" s="3">
        <f>IF(RTD("tos.rtd",,DD$83,"."&amp;$B$82&amp;$AS$82&amp;"P"&amp;$A115)="N/A",0,RTD("tos.rtd",,DD$83,"."&amp;$B$82&amp;$AS$82&amp;"P"&amp;$A115))</f>
        <v>0.05</v>
      </c>
      <c r="DE115" s="3">
        <f>IF(RTD("tos.rtd",,DE$83,"."&amp;$B$82&amp;$AS$82&amp;"C"&amp;$A115)="N/A",0,RTD("tos.rtd",,DE$83,"."&amp;$B$82&amp;$AS$82&amp;"C"&amp;$A115))</f>
        <v>122.1</v>
      </c>
      <c r="DF115" s="3">
        <f>IF(RTD("tos.rtd",,DF$83,"."&amp;$B$82&amp;$AS$82&amp;"P"&amp;$A115)="N/A",0,RTD("tos.rtd",,DF$83,"."&amp;$B$82&amp;$AS$82&amp;"P"&amp;$A115))</f>
        <v>0</v>
      </c>
      <c r="DG115" s="86">
        <f t="shared" si="499"/>
        <v>-121.75</v>
      </c>
      <c r="DH115" s="3">
        <f t="shared" si="468"/>
        <v>0</v>
      </c>
      <c r="DI115" s="3">
        <f t="shared" si="469"/>
        <v>0</v>
      </c>
      <c r="DJ115" s="3">
        <f t="shared" si="470"/>
        <v>0</v>
      </c>
      <c r="DK115" s="3">
        <f t="shared" si="471"/>
        <v>0</v>
      </c>
      <c r="DL115" s="3">
        <f t="shared" si="472"/>
        <v>0</v>
      </c>
      <c r="DM115" s="3">
        <f t="shared" si="473"/>
        <v>0</v>
      </c>
      <c r="DN115" s="64" t="str">
        <f t="shared" si="474"/>
        <v>UNKNOWN</v>
      </c>
      <c r="DO115" s="64" t="str">
        <f t="shared" si="475"/>
        <v>UNKNOWN</v>
      </c>
      <c r="DP115" s="3">
        <f t="shared" si="476"/>
        <v>0</v>
      </c>
      <c r="DQ115" s="3">
        <f t="shared" si="477"/>
        <v>0</v>
      </c>
      <c r="DR115" s="3">
        <f t="shared" ca="1" si="478"/>
        <v>0</v>
      </c>
      <c r="DS115" s="3">
        <f t="shared" si="479"/>
        <v>0</v>
      </c>
      <c r="DT115" s="3">
        <f t="shared" si="500"/>
        <v>0</v>
      </c>
      <c r="DU115" s="3">
        <f t="shared" si="501"/>
        <v>0</v>
      </c>
      <c r="DV115" s="3">
        <f t="shared" si="502"/>
        <v>150</v>
      </c>
      <c r="DW115" s="3">
        <f t="shared" si="503"/>
        <v>295</v>
      </c>
      <c r="DX115" s="3">
        <f t="shared" ca="1" si="512"/>
        <v>1.6574954036189585E-3</v>
      </c>
      <c r="DY115" s="3">
        <f t="shared" ca="1" si="480"/>
        <v>-1.2600974632542951E-3</v>
      </c>
      <c r="DZ115" s="3">
        <f t="shared" ca="1" si="504"/>
        <v>1.8601437454785737E-3</v>
      </c>
      <c r="EA115" s="3">
        <f t="shared" ca="1" si="505"/>
        <v>-1.8499289765452709E-3</v>
      </c>
      <c r="EB115" s="3">
        <f t="shared" ca="1" si="481"/>
        <v>1.8809873945129512E-3</v>
      </c>
      <c r="EC115" s="3">
        <f t="shared" ca="1" si="482"/>
        <v>-1.8879063985455316E-3</v>
      </c>
      <c r="ED115" s="63">
        <f t="shared" si="506"/>
        <v>445</v>
      </c>
      <c r="EE115" s="59">
        <f t="shared" si="483"/>
        <v>1.1898</v>
      </c>
      <c r="EF115" s="59">
        <f t="shared" si="484"/>
        <v>0.98609999999999998</v>
      </c>
      <c r="EG115" s="59">
        <f t="shared" si="485"/>
        <v>0.19950000000000001</v>
      </c>
      <c r="EH115" s="59">
        <f t="shared" si="486"/>
        <v>0.2041</v>
      </c>
      <c r="EI115" s="59">
        <f t="shared" si="487"/>
        <v>0.1656</v>
      </c>
      <c r="EJ115" s="59">
        <f t="shared" si="488"/>
        <v>0.17560000000000001</v>
      </c>
      <c r="EK115" s="63">
        <f t="shared" ca="1" si="507"/>
        <v>-4201067.45874965</v>
      </c>
      <c r="EL115" s="3" t="str">
        <f>RTD("tos.rtd",,EL$83,"."&amp;$B$82&amp;$AS$82&amp;"C"&amp;$A115)</f>
        <v>118.98%</v>
      </c>
      <c r="EM115" s="3" t="str">
        <f>RTD("tos.rtd",,EM$83,"."&amp;$B$82&amp;$AS$82&amp;"P"&amp;$A115)</f>
        <v>98.61%</v>
      </c>
      <c r="EN115" s="3" t="str">
        <f>RTD("tos.rtd",,EN$83,"."&amp;$C$82&amp;$AU$82&amp;"C"&amp;$A115)</f>
        <v>19.95%</v>
      </c>
      <c r="EO115" s="3" t="str">
        <f>RTD("tos.rtd",,EO$83,"."&amp;$C$82&amp;$AU$82&amp;"P"&amp;$A115)</f>
        <v>20.41%</v>
      </c>
      <c r="EP115" s="3" t="str">
        <f>RTD("tos.rtd",,EP$83,"."&amp;$D$82&amp;$AW$82&amp;"C"&amp;$A115)</f>
        <v>16.56%</v>
      </c>
      <c r="EQ115" s="3" t="str">
        <f>RTD("tos.rtd",,EQ$83,"."&amp;$D$82&amp;$AW$82&amp;"P"&amp;$A115)</f>
        <v>17.56%</v>
      </c>
      <c r="ES115" s="63" t="str">
        <f t="shared" si="489"/>
        <v>5720,445.00</v>
      </c>
      <c r="ET115" s="63" t="str">
        <f t="shared" ca="1" si="490"/>
        <v>5720,-3832.95</v>
      </c>
      <c r="EU115" s="67">
        <v>571.67999999999995</v>
      </c>
      <c r="EV115" s="67" t="s">
        <v>939</v>
      </c>
      <c r="EW115" s="67">
        <v>496.72</v>
      </c>
      <c r="EX115" s="67" t="s">
        <v>940</v>
      </c>
      <c r="EY115" s="67">
        <v>5659.91</v>
      </c>
      <c r="EZ115" s="67" t="s">
        <v>941</v>
      </c>
      <c r="FA115" s="67">
        <v>20061.449000000001</v>
      </c>
      <c r="FB115" s="67" t="s">
        <v>942</v>
      </c>
      <c r="FC115" s="67" t="s">
        <v>943</v>
      </c>
      <c r="FD115" s="67" t="s">
        <v>944</v>
      </c>
      <c r="FE115" s="68" t="s">
        <v>945</v>
      </c>
      <c r="FF115" s="68" t="s">
        <v>946</v>
      </c>
    </row>
    <row r="116" spans="1:162" s="63" customFormat="1" ht="12" customHeight="1" thickBot="1" x14ac:dyDescent="0.25">
      <c r="A116" s="2">
        <f t="shared" si="508"/>
        <v>5710</v>
      </c>
      <c r="B116" s="3">
        <f t="shared" si="451"/>
        <v>796</v>
      </c>
      <c r="C116" s="3">
        <f t="shared" si="452"/>
        <v>4470</v>
      </c>
      <c r="D116" s="3">
        <f t="shared" si="453"/>
        <v>12875</v>
      </c>
      <c r="E116" s="3">
        <f t="shared" si="523"/>
        <v>18141</v>
      </c>
      <c r="F116" s="4">
        <f t="shared" si="524"/>
        <v>5733.4587238413142</v>
      </c>
      <c r="G116" s="4">
        <f t="shared" si="525"/>
        <v>569.80262763726626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>
        <v>723</v>
      </c>
      <c r="AN116" s="20">
        <v>-25</v>
      </c>
      <c r="AO116" s="20">
        <v>5710</v>
      </c>
      <c r="AP116" s="20">
        <v>1390</v>
      </c>
      <c r="AQ116" s="20">
        <v>-8206</v>
      </c>
      <c r="AR116" s="20"/>
      <c r="AS116" s="54">
        <f>IF(RTD("tos.rtd",,AS$83,"."&amp;$B$82&amp;$AS$82&amp;"C"&amp;$A116)="N/A",0,RTD("tos.rtd",,AS$83,"."&amp;$B$82&amp;$AS$82&amp;"C"&amp;$A116))</f>
        <v>657</v>
      </c>
      <c r="AT116" s="3">
        <f>-IF(RTD("tos.rtd",,AT$83,"."&amp;$B$82&amp;$AS$82&amp;"P"&amp;$A116)="N/A",0,RTD("tos.rtd",,AT$83,"."&amp;$B$82&amp;$AS$82&amp;"P"&amp;$A116))</f>
        <v>-139</v>
      </c>
      <c r="AU116" s="54">
        <f>IF(RTD("tos.rtd",,AU$83,"."&amp;$C$82&amp;$AU$82&amp;"C"&amp;$A116)="N/A",0,RTD("tos.rtd",,AU$83,"."&amp;$C$82&amp;$AU$82&amp;"C"&amp;$A116))</f>
        <v>2229</v>
      </c>
      <c r="AV116" s="3">
        <f>-IF(RTD("tos.rtd",,AV$83,"."&amp;$C$82&amp;$AU$82&amp;"P"&amp;$A116)="N/A",0,RTD("tos.rtd",,AV$83,"."&amp;$C$82&amp;$AU$82&amp;"P"&amp;$A116))</f>
        <v>-2241</v>
      </c>
      <c r="AW116" s="54">
        <f>IF(RTD("tos.rtd",,AW$83,"."&amp;$D$82&amp;$AW$82&amp;"C"&amp;$A116)="N/A",0,RTD("tos.rtd",,AW$83,"."&amp;$D$82&amp;$AW$82&amp;"C"&amp;$A116))</f>
        <v>6442</v>
      </c>
      <c r="AX116" s="3">
        <f>-IF(RTD("tos.rtd",,AX$83,"."&amp;$D$82&amp;$AW$82&amp;"P"&amp;$A116)="N/A",0,RTD("tos.rtd",,AX$83,"."&amp;$D$82&amp;$AW$82&amp;"P"&amp;$A116))</f>
        <v>-6433</v>
      </c>
      <c r="AY116" s="79">
        <f t="shared" si="526"/>
        <v>515</v>
      </c>
      <c r="AZ116" s="8">
        <f t="shared" si="455"/>
        <v>5710</v>
      </c>
      <c r="BA116" s="54">
        <f>IF(RTD("tos.rtd",,BA$83,"."&amp;$B$82&amp;$AS$82&amp;"C"&amp;$A116)="N/A",0,RTD("tos.rtd",,BA$83,"."&amp;$B$82&amp;$AS$82&amp;"C"&amp;$A116))</f>
        <v>1390</v>
      </c>
      <c r="BB116" s="3">
        <f>-IF(RTD("tos.rtd",,BB$83,"."&amp;$B$82&amp;$AS$82&amp;"P"&amp;$A116)="N/A",0,RTD("tos.rtd",,BB$83,"."&amp;$B$82&amp;$AS$82&amp;"P"&amp;$A116))</f>
        <v>-8206</v>
      </c>
      <c r="BC116" s="54">
        <f>IF(RTD("tos.rtd",,BC$83,"."&amp;$C$82&amp;$AU$82&amp;"C"&amp;$A116)="N/A",0,RTD("tos.rtd",,BC$83,"."&amp;$C$82&amp;$AU$82&amp;"C"&amp;$A116))</f>
        <v>25</v>
      </c>
      <c r="BD116" s="3">
        <f>-IF(RTD("tos.rtd",,BD$83,"."&amp;$C$82&amp;$AU$82&amp;"P"&amp;$A116)="N/A",0,RTD("tos.rtd",,BD$83,"."&amp;$C$82&amp;$AU$82&amp;"P"&amp;$A116))</f>
        <v>-217</v>
      </c>
      <c r="BE116" s="54">
        <f>IF(RTD("tos.rtd",,BE$83,"."&amp;$D$82&amp;$AW$82&amp;"C"&amp;$A116)="N/A",0,RTD("tos.rtd",,BE$83,"."&amp;$D$82&amp;$AW$82&amp;"C"&amp;$A116))</f>
        <v>3004</v>
      </c>
      <c r="BF116" s="3">
        <f>-IF(RTD("tos.rtd",,BF$83,"."&amp;$D$82&amp;$AW$82&amp;"P"&amp;$A116)="N/A",0,RTD("tos.rtd",,BF$83,"."&amp;$D$82&amp;$AW$82&amp;"P"&amp;$A116))</f>
        <v>-3014</v>
      </c>
      <c r="BG116" s="3">
        <f ca="1">+Hoja2!Y117</f>
        <v>104</v>
      </c>
      <c r="BH116" s="55">
        <f t="shared" ca="1" si="493"/>
        <v>-6914</v>
      </c>
      <c r="BI116" s="32" t="str">
        <f t="shared" ca="1" si="513"/>
        <v/>
      </c>
      <c r="BJ116" s="3">
        <f ca="1">IF($BP$1=1,DX116,IF(RTD("tos.rtd",,BJ$83,"."&amp;$B$82&amp;$AS$82&amp;"C"&amp;$A116)="N/A",0,RTD("tos.rtd",,BJ$83,"."&amp;$B$82&amp;$AS$82&amp;"C"&amp;$A116)))</f>
        <v>1.5677924631148637E-3</v>
      </c>
      <c r="BK116" s="3">
        <f ca="1">IF($BP$1=1,DY116,-IF(RTD("tos.rtd",,BK$83,"."&amp;$B$82&amp;$AS$82&amp;"P"&amp;$A116)="N/A",0,RTD("tos.rtd",,BK$83,"."&amp;$B$82&amp;$AS$82&amp;"P"&amp;$A116)))</f>
        <v>-1.142742283437085E-3</v>
      </c>
      <c r="BL116" s="3">
        <f ca="1">IF($BP$1=1,DZ116,IF(RTD("tos.rtd",,BL$83,"."&amp;$C$82&amp;$AU$82&amp;"C"&amp;$A116)="N/A",0,RTD("tos.rtd",,BL$83,"."&amp;$C$82&amp;$AU$82&amp;"C"&amp;$A116)))</f>
        <v>1.7432083276464965E-3</v>
      </c>
      <c r="BM116" s="3">
        <f ca="1">IF($BP$1=1,EA116,-IF(RTD("tos.rtd",,BM$83,"."&amp;$C$82&amp;$AU$82&amp;"P"&amp;$A116)="N/A",0,RTD("tos.rtd",,BM$83,"."&amp;$C$82&amp;$AU$82&amp;"P"&amp;$A116)))</f>
        <v>-1.7341947342490761E-3</v>
      </c>
      <c r="BN116" s="3">
        <f ca="1">IF($BP$1=1,EB116,IF(RTD("tos.rtd",,BN$83,"."&amp;$D$82&amp;$AW$82&amp;"C"&amp;$A116)="N/A",0,RTD("tos.rtd",,BN$83,"."&amp;$D$82&amp;$AW$82&amp;"C"&amp;$A116)))</f>
        <v>1.7140132931254138E-3</v>
      </c>
      <c r="BO116" s="3">
        <f ca="1">IF($BP$1=1,EC116,-IF(RTD("tos.rtd",,BO$83,"."&amp;$D$82&amp;$AW$82&amp;"P"&amp;$A116)="N/A",0,RTD("tos.rtd",,BO$83,"."&amp;$D$82&amp;$AW$82&amp;"P"&amp;$A116)))</f>
        <v>-1.736316142090316E-3</v>
      </c>
      <c r="BQ116" s="3">
        <f t="shared" ca="1" si="456"/>
        <v>224524.11609702933</v>
      </c>
      <c r="BR116" s="3" t="str">
        <f t="shared" ca="1" si="494"/>
        <v/>
      </c>
      <c r="BS116" s="3">
        <f t="shared" ca="1" si="457"/>
        <v>-185.30929637129884</v>
      </c>
      <c r="BT116" s="3" t="str">
        <f t="shared" ca="1" si="494"/>
        <v/>
      </c>
      <c r="BU116" s="3">
        <f t="shared" ca="1" si="458"/>
        <v>-33000.388743211515</v>
      </c>
      <c r="BV116" s="3" t="str">
        <f t="shared" ca="1" si="494"/>
        <v>Cruce -</v>
      </c>
      <c r="BX116" s="3">
        <f t="shared" ca="1" si="459"/>
        <v>-1855087.8023297673</v>
      </c>
      <c r="BY116" s="3" t="str">
        <f t="shared" ca="1" si="510"/>
        <v/>
      </c>
      <c r="BZ116" s="3">
        <f t="shared" ca="1" si="460"/>
        <v>-85753.324783668344</v>
      </c>
      <c r="CA116" s="3" t="str">
        <f t="shared" ca="1" si="510"/>
        <v/>
      </c>
      <c r="CB116" s="3">
        <f t="shared" ca="1" si="461"/>
        <v>-21741.384500437882</v>
      </c>
      <c r="CC116" s="3" t="str">
        <f t="shared" ca="1" si="510"/>
        <v/>
      </c>
      <c r="CD116" s="3">
        <f>IF(RTD("tos.rtd",,CD$83,"."&amp;$B$82&amp;$AS$82&amp;"C"&amp;$A116)="N/A",0,RTD("tos.rtd",,CD$83,"."&amp;$B$82&amp;$AS$82&amp;"C"&amp;$A116))</f>
        <v>0.99</v>
      </c>
      <c r="CE116" s="3">
        <f>-IF(RTD("tos.rtd",,CE$83,"."&amp;$B$82&amp;$AS$82&amp;"P"&amp;$A116)="N/A",0,RTD("tos.rtd",,CE$83,"."&amp;$B$82&amp;$AS$82&amp;"P"&amp;$A116))</f>
        <v>0</v>
      </c>
      <c r="CF116" s="3">
        <f>IF(RTD("tos.rtd",,CF$83,"."&amp;$C$82&amp;$AU$82&amp;"C"&amp;$A116)="N/A",0,RTD("tos.rtd",,CF$83,"."&amp;$C$82&amp;$AU$82&amp;"C"&amp;$A116))</f>
        <v>0.89</v>
      </c>
      <c r="CG116" s="3">
        <f>-IF(RTD("tos.rtd",,CG$83,"."&amp;$C$82&amp;$AU$82&amp;"P"&amp;$A116)="N/A",0,RTD("tos.rtd",,CG$83,"."&amp;$C$82&amp;$AU$82&amp;"P"&amp;$A116))</f>
        <v>0.13</v>
      </c>
      <c r="CH116" s="3">
        <f>IF(RTD("tos.rtd",,CH$83,"."&amp;$D$82&amp;$AW$82&amp;"C"&amp;$A116)="N/A",0,RTD("tos.rtd",,CH$83,"."&amp;$D$82&amp;$AW$82&amp;"C"&amp;$A116))</f>
        <v>0.71</v>
      </c>
      <c r="CI116" s="3">
        <f>-IF(RTD("tos.rtd",,CI$83,"."&amp;$D$82&amp;$AW$82&amp;"P"&amp;$A116)="N/A",0,RTD("tos.rtd",,CI$83,"."&amp;$D$82&amp;$AW$82&amp;"P"&amp;$A116))</f>
        <v>0.3</v>
      </c>
      <c r="CK116" s="3">
        <f t="shared" si="495"/>
        <v>65042.999999999993</v>
      </c>
      <c r="CL116" s="3"/>
      <c r="CM116" s="3">
        <f t="shared" si="496"/>
        <v>169248</v>
      </c>
      <c r="CN116" s="3"/>
      <c r="CO116" s="3">
        <f t="shared" si="497"/>
        <v>264392</v>
      </c>
      <c r="CP116" s="3">
        <f t="shared" si="462"/>
        <v>498683</v>
      </c>
      <c r="CQ116" s="3">
        <f t="shared" si="463"/>
        <v>-6816</v>
      </c>
      <c r="CR116" s="3"/>
      <c r="CS116" s="3">
        <f t="shared" si="464"/>
        <v>-192</v>
      </c>
      <c r="CT116" s="3"/>
      <c r="CU116" s="3">
        <f t="shared" si="465"/>
        <v>-10</v>
      </c>
      <c r="CV116" s="3"/>
      <c r="CW116" s="3">
        <f t="shared" ca="1" si="527"/>
        <v>191338.41805744651</v>
      </c>
      <c r="CY116" s="3">
        <f t="shared" ca="1" si="467"/>
        <v>-1962582.5116138735</v>
      </c>
      <c r="CZ116" s="70" t="str">
        <f t="shared" ca="1" si="511"/>
        <v/>
      </c>
      <c r="DA116" s="3">
        <f>IF(RTD("tos.rtd",,DA$83,"."&amp;$B$82&amp;$AS$82&amp;"C"&amp;$A116)="N/A",0,RTD("tos.rtd",,DA$83,"."&amp;$B$82&amp;$AS$82&amp;"C"&amp;$A116))</f>
        <v>125.72</v>
      </c>
      <c r="DB116" s="3">
        <f>IF(RTD("tos.rtd",,DB$83,"."&amp;$B$82&amp;$AS$82&amp;"P"&amp;$A116)="N/A",0,RTD("tos.rtd",,DB$83,"."&amp;$B$82&amp;$AS$82&amp;"P"&amp;$A116))</f>
        <v>0.05</v>
      </c>
      <c r="DC116" s="3">
        <f>IF(RTD("tos.rtd",,DC$83,"."&amp;$B$82&amp;$AS$82&amp;"C"&amp;$A116)="N/A",0,RTD("tos.rtd",,DC$83,"."&amp;$B$82&amp;$AS$82&amp;"C"&amp;$A116))</f>
        <v>136.69999999999999</v>
      </c>
      <c r="DD116" s="3">
        <f>IF(RTD("tos.rtd",,DD$83,"."&amp;$B$82&amp;$AS$82&amp;"P"&amp;$A116)="N/A",0,RTD("tos.rtd",,DD$83,"."&amp;$B$82&amp;$AS$82&amp;"P"&amp;$A116))</f>
        <v>0.05</v>
      </c>
      <c r="DE116" s="3">
        <f>IF(RTD("tos.rtd",,DE$83,"."&amp;$B$82&amp;$AS$82&amp;"C"&amp;$A116)="N/A",0,RTD("tos.rtd",,DE$83,"."&amp;$B$82&amp;$AS$82&amp;"C"&amp;$A116))</f>
        <v>132.1</v>
      </c>
      <c r="DF116" s="3">
        <f>IF(RTD("tos.rtd",,DF$83,"."&amp;$B$82&amp;$AS$82&amp;"P"&amp;$A116)="N/A",0,RTD("tos.rtd",,DF$83,"."&amp;$B$82&amp;$AS$82&amp;"P"&amp;$A116))</f>
        <v>0</v>
      </c>
      <c r="DG116" s="86">
        <f t="shared" si="499"/>
        <v>-131.75</v>
      </c>
      <c r="DH116" s="3">
        <f t="shared" si="468"/>
        <v>0</v>
      </c>
      <c r="DI116" s="3">
        <f t="shared" si="469"/>
        <v>0</v>
      </c>
      <c r="DJ116" s="3">
        <f t="shared" si="470"/>
        <v>0</v>
      </c>
      <c r="DK116" s="3">
        <f t="shared" si="471"/>
        <v>0</v>
      </c>
      <c r="DL116" s="3">
        <f t="shared" si="472"/>
        <v>0</v>
      </c>
      <c r="DM116" s="3">
        <f t="shared" si="473"/>
        <v>0</v>
      </c>
      <c r="DN116" s="64" t="str">
        <f t="shared" si="474"/>
        <v>UNKNOWN</v>
      </c>
      <c r="DO116" s="64" t="str">
        <f t="shared" si="475"/>
        <v>UNKNOWN</v>
      </c>
      <c r="DP116" s="3">
        <f t="shared" si="476"/>
        <v>0</v>
      </c>
      <c r="DQ116" s="3">
        <f t="shared" si="477"/>
        <v>0</v>
      </c>
      <c r="DR116" s="3">
        <f t="shared" ca="1" si="478"/>
        <v>0</v>
      </c>
      <c r="DS116" s="3">
        <f t="shared" si="479"/>
        <v>0</v>
      </c>
      <c r="DT116" s="3">
        <f t="shared" si="500"/>
        <v>0</v>
      </c>
      <c r="DU116" s="3">
        <f t="shared" si="501"/>
        <v>0</v>
      </c>
      <c r="DV116" s="3">
        <f t="shared" si="502"/>
        <v>723</v>
      </c>
      <c r="DW116" s="3">
        <f t="shared" si="503"/>
        <v>-25</v>
      </c>
      <c r="DX116" s="3">
        <f t="shared" ca="1" si="512"/>
        <v>1.5677924631148637E-3</v>
      </c>
      <c r="DY116" s="3">
        <f t="shared" ca="1" si="480"/>
        <v>-1.142742283437085E-3</v>
      </c>
      <c r="DZ116" s="3">
        <f t="shared" ca="1" si="504"/>
        <v>1.7432083276464965E-3</v>
      </c>
      <c r="EA116" s="3">
        <f t="shared" ca="1" si="505"/>
        <v>-1.7341947342490761E-3</v>
      </c>
      <c r="EB116" s="3">
        <f t="shared" ca="1" si="481"/>
        <v>1.7140132931254138E-3</v>
      </c>
      <c r="EC116" s="3">
        <f t="shared" ca="1" si="482"/>
        <v>-1.736316142090316E-3</v>
      </c>
      <c r="ED116" s="63">
        <f t="shared" si="506"/>
        <v>698</v>
      </c>
      <c r="EE116" s="59">
        <f t="shared" si="483"/>
        <v>1.3221000000000001</v>
      </c>
      <c r="EF116" s="59">
        <f t="shared" si="484"/>
        <v>1.0588</v>
      </c>
      <c r="EG116" s="59">
        <f t="shared" si="485"/>
        <v>0.19700000000000001</v>
      </c>
      <c r="EH116" s="59">
        <f t="shared" si="486"/>
        <v>0.20630000000000001</v>
      </c>
      <c r="EI116" s="59">
        <f t="shared" si="487"/>
        <v>0.16689999999999999</v>
      </c>
      <c r="EJ116" s="59">
        <f t="shared" si="488"/>
        <v>0.1769</v>
      </c>
      <c r="EK116" s="63">
        <f t="shared" ca="1" si="507"/>
        <v>39657277.707386762</v>
      </c>
      <c r="EL116" s="3" t="str">
        <f>RTD("tos.rtd",,EL$83,"."&amp;$B$82&amp;$AS$82&amp;"C"&amp;$A116)</f>
        <v>132.21%</v>
      </c>
      <c r="EM116" s="3" t="str">
        <f>RTD("tos.rtd",,EM$83,"."&amp;$B$82&amp;$AS$82&amp;"P"&amp;$A116)</f>
        <v>105.88%</v>
      </c>
      <c r="EN116" s="3" t="str">
        <f>RTD("tos.rtd",,EN$83,"."&amp;$C$82&amp;$AU$82&amp;"C"&amp;$A116)</f>
        <v>19.70%</v>
      </c>
      <c r="EO116" s="3" t="str">
        <f>RTD("tos.rtd",,EO$83,"."&amp;$C$82&amp;$AU$82&amp;"P"&amp;$A116)</f>
        <v>20.63%</v>
      </c>
      <c r="EP116" s="3" t="str">
        <f>RTD("tos.rtd",,EP$83,"."&amp;$D$82&amp;$AW$82&amp;"C"&amp;$A116)</f>
        <v>16.69%</v>
      </c>
      <c r="EQ116" s="3" t="str">
        <f>RTD("tos.rtd",,EQ$83,"."&amp;$D$82&amp;$AW$82&amp;"P"&amp;$A116)</f>
        <v>17.69%</v>
      </c>
      <c r="ES116" s="63" t="str">
        <f t="shared" si="489"/>
        <v>5710,698.00</v>
      </c>
      <c r="ET116" s="63" t="str">
        <f t="shared" ca="1" si="490"/>
        <v>5710,-1962.58</v>
      </c>
      <c r="EU116" s="67">
        <v>571.67999999999995</v>
      </c>
      <c r="EV116" s="67" t="s">
        <v>947</v>
      </c>
      <c r="EW116" s="67">
        <v>496.66</v>
      </c>
      <c r="EX116" s="67" t="s">
        <v>948</v>
      </c>
      <c r="EY116" s="67">
        <v>5659.91</v>
      </c>
      <c r="EZ116" s="67" t="s">
        <v>949</v>
      </c>
      <c r="FA116" s="67">
        <v>20061.449000000001</v>
      </c>
      <c r="FB116" s="67" t="s">
        <v>950</v>
      </c>
      <c r="FC116" s="67" t="s">
        <v>951</v>
      </c>
      <c r="FD116" s="67" t="s">
        <v>952</v>
      </c>
      <c r="FE116" s="68" t="s">
        <v>953</v>
      </c>
      <c r="FF116" s="68" t="s">
        <v>954</v>
      </c>
    </row>
    <row r="117" spans="1:162" s="63" customFormat="1" ht="12" customHeight="1" thickBot="1" x14ac:dyDescent="0.25">
      <c r="A117" s="2">
        <f t="shared" si="508"/>
        <v>5700</v>
      </c>
      <c r="B117" s="3">
        <f t="shared" si="451"/>
        <v>5096</v>
      </c>
      <c r="C117" s="3">
        <f t="shared" si="452"/>
        <v>36217</v>
      </c>
      <c r="D117" s="3">
        <f t="shared" si="453"/>
        <v>157275</v>
      </c>
      <c r="E117" s="3">
        <f t="shared" ref="E117:E121" si="528">SUM(B117:D117)</f>
        <v>198588</v>
      </c>
      <c r="F117" s="4">
        <f t="shared" ref="F117:F121" si="529">+$F$84/$A$84*A117</f>
        <v>5723.4176402619078</v>
      </c>
      <c r="G117" s="4">
        <f t="shared" ref="G117:G121" si="530">+$G$84/$A$84*A117</f>
        <v>568.80472461163185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>
        <v>570</v>
      </c>
      <c r="AN117" s="20">
        <v>-242</v>
      </c>
      <c r="AO117" s="20">
        <v>5700</v>
      </c>
      <c r="AP117" s="20">
        <v>3060</v>
      </c>
      <c r="AQ117" s="20">
        <v>-18568</v>
      </c>
      <c r="AR117" s="20"/>
      <c r="AS117" s="54">
        <f>IF(RTD("tos.rtd",,AS$83,"."&amp;$B$82&amp;$AS$82&amp;"C"&amp;$A117)="N/A",0,RTD("tos.rtd",,AS$83,"."&amp;$B$82&amp;$AS$82&amp;"C"&amp;$A117))</f>
        <v>3759</v>
      </c>
      <c r="AT117" s="3">
        <f>-IF(RTD("tos.rtd",,AT$83,"."&amp;$B$82&amp;$AS$82&amp;"P"&amp;$A117)="N/A",0,RTD("tos.rtd",,AT$83,"."&amp;$B$82&amp;$AS$82&amp;"P"&amp;$A117))</f>
        <v>-1337</v>
      </c>
      <c r="AU117" s="54">
        <f>IF(RTD("tos.rtd",,AU$83,"."&amp;$C$82&amp;$AU$82&amp;"C"&amp;$A117)="N/A",0,RTD("tos.rtd",,AU$83,"."&amp;$C$82&amp;$AU$82&amp;"C"&amp;$A117))</f>
        <v>15268</v>
      </c>
      <c r="AV117" s="3">
        <f>-IF(RTD("tos.rtd",,AV$83,"."&amp;$C$82&amp;$AU$82&amp;"P"&amp;$A117)="N/A",0,RTD("tos.rtd",,AV$83,"."&amp;$C$82&amp;$AU$82&amp;"P"&amp;$A117))</f>
        <v>-20949</v>
      </c>
      <c r="AW117" s="54">
        <f>IF(RTD("tos.rtd",,AW$83,"."&amp;$D$82&amp;$AW$82&amp;"C"&amp;$A117)="N/A",0,RTD("tos.rtd",,AW$83,"."&amp;$D$82&amp;$AW$82&amp;"C"&amp;$A117))</f>
        <v>81474</v>
      </c>
      <c r="AX117" s="3">
        <f>-IF(RTD("tos.rtd",,AX$83,"."&amp;$D$82&amp;$AW$82&amp;"P"&amp;$A117)="N/A",0,RTD("tos.rtd",,AX$83,"."&amp;$D$82&amp;$AW$82&amp;"P"&amp;$A117))</f>
        <v>-75801</v>
      </c>
      <c r="AY117" s="79">
        <f t="shared" ref="AY117:AY121" si="531">SUM(AS117:AX117)</f>
        <v>2414</v>
      </c>
      <c r="AZ117" s="8">
        <f t="shared" si="455"/>
        <v>5700</v>
      </c>
      <c r="BA117" s="54">
        <f>IF(RTD("tos.rtd",,BA$83,"."&amp;$B$82&amp;$AS$82&amp;"C"&amp;$A117)="N/A",0,RTD("tos.rtd",,BA$83,"."&amp;$B$82&amp;$AS$82&amp;"C"&amp;$A117))</f>
        <v>3060</v>
      </c>
      <c r="BB117" s="3">
        <f>-IF(RTD("tos.rtd",,BB$83,"."&amp;$B$82&amp;$AS$82&amp;"P"&amp;$A117)="N/A",0,RTD("tos.rtd",,BB$83,"."&amp;$B$82&amp;$AS$82&amp;"P"&amp;$A117))</f>
        <v>-18568</v>
      </c>
      <c r="BC117" s="54">
        <f>IF(RTD("tos.rtd",,BC$83,"."&amp;$C$82&amp;$AU$82&amp;"C"&amp;$A117)="N/A",0,RTD("tos.rtd",,BC$83,"."&amp;$C$82&amp;$AU$82&amp;"C"&amp;$A117))</f>
        <v>1725</v>
      </c>
      <c r="BD117" s="3">
        <f>-IF(RTD("tos.rtd",,BD$83,"."&amp;$C$82&amp;$AU$82&amp;"P"&amp;$A117)="N/A",0,RTD("tos.rtd",,BD$83,"."&amp;$C$82&amp;$AU$82&amp;"P"&amp;$A117))</f>
        <v>-1720</v>
      </c>
      <c r="BE117" s="54">
        <f>IF(RTD("tos.rtd",,BE$83,"."&amp;$D$82&amp;$AW$82&amp;"C"&amp;$A117)="N/A",0,RTD("tos.rtd",,BE$83,"."&amp;$D$82&amp;$AW$82&amp;"C"&amp;$A117))</f>
        <v>2004</v>
      </c>
      <c r="BF117" s="3">
        <f>-IF(RTD("tos.rtd",,BF$83,"."&amp;$D$82&amp;$AW$82&amp;"P"&amp;$A117)="N/A",0,RTD("tos.rtd",,BF$83,"."&amp;$D$82&amp;$AW$82&amp;"P"&amp;$A117))</f>
        <v>-5245</v>
      </c>
      <c r="BG117" s="3">
        <f ca="1">+Hoja2!Y118</f>
        <v>-2803</v>
      </c>
      <c r="BH117" s="55">
        <f t="shared" ca="1" si="493"/>
        <v>-21547</v>
      </c>
      <c r="BI117" s="32" t="str">
        <f t="shared" ca="1" si="513"/>
        <v/>
      </c>
      <c r="BJ117" s="3">
        <f ca="1">IF($BP$1=1,DX117,IF(RTD("tos.rtd",,BJ$83,"."&amp;$B$82&amp;$AS$82&amp;"C"&amp;$A117)="N/A",0,RTD("tos.rtd",,BJ$83,"."&amp;$B$82&amp;$AS$82&amp;"C"&amp;$A117)))</f>
        <v>1.4405957478568164E-3</v>
      </c>
      <c r="BK117" s="3">
        <f ca="1">IF($BP$1=1,DY117,-IF(RTD("tos.rtd",,BK$83,"."&amp;$B$82&amp;$AS$82&amp;"P"&amp;$A117)="N/A",0,RTD("tos.rtd",,BK$83,"."&amp;$B$82&amp;$AS$82&amp;"P"&amp;$A117)))</f>
        <v>-1.0433310986002692E-3</v>
      </c>
      <c r="BL117" s="3">
        <f ca="1">IF($BP$1=1,DZ117,IF(RTD("tos.rtd",,BL$83,"."&amp;$C$82&amp;$AU$82&amp;"C"&amp;$A117)="N/A",0,RTD("tos.rtd",,BL$83,"."&amp;$C$82&amp;$AU$82&amp;"C"&amp;$A117)))</f>
        <v>1.6222647085269055E-3</v>
      </c>
      <c r="BM117" s="3">
        <f ca="1">IF($BP$1=1,EA117,-IF(RTD("tos.rtd",,BM$83,"."&amp;$C$82&amp;$AU$82&amp;"P"&amp;$A117)="N/A",0,RTD("tos.rtd",,BM$83,"."&amp;$C$82&amp;$AU$82&amp;"P"&amp;$A117)))</f>
        <v>-1.6217337885676745E-3</v>
      </c>
      <c r="BN117" s="3">
        <f ca="1">IF($BP$1=1,EB117,IF(RTD("tos.rtd",,BN$83,"."&amp;$D$82&amp;$AW$82&amp;"C"&amp;$A117)="N/A",0,RTD("tos.rtd",,BN$83,"."&amp;$D$82&amp;$AW$82&amp;"C"&amp;$A117)))</f>
        <v>1.5547636836666056E-3</v>
      </c>
      <c r="BO117" s="3">
        <f ca="1">IF($BP$1=1,EC117,-IF(RTD("tos.rtd",,BO$83,"."&amp;$D$82&amp;$AW$82&amp;"P"&amp;$A117)="N/A",0,RTD("tos.rtd",,BO$83,"."&amp;$D$82&amp;$AW$82&amp;"P"&amp;$A117)))</f>
        <v>-1.5913336625271708E-3</v>
      </c>
      <c r="BQ117" s="3">
        <f t="shared" ca="1" si="456"/>
        <v>1036097.5613938202</v>
      </c>
      <c r="BR117" s="3" t="str">
        <f t="shared" ca="1" si="494"/>
        <v/>
      </c>
      <c r="BS117" s="3">
        <f t="shared" ca="1" si="457"/>
        <v>-2372291.0194116943</v>
      </c>
      <c r="BT117" s="3" t="str">
        <f t="shared" ca="1" si="494"/>
        <v/>
      </c>
      <c r="BU117" s="3">
        <f t="shared" ca="1" si="458"/>
        <v>1558716.9322337434</v>
      </c>
      <c r="BV117" s="3" t="str">
        <f t="shared" ca="1" si="494"/>
        <v>Cruce +</v>
      </c>
      <c r="BX117" s="3">
        <f t="shared" ca="1" si="459"/>
        <v>-3856592.1669332082</v>
      </c>
      <c r="BY117" s="3" t="str">
        <f t="shared" ca="1" si="510"/>
        <v/>
      </c>
      <c r="BZ117" s="3">
        <f t="shared" ca="1" si="460"/>
        <v>2325.7837014081888</v>
      </c>
      <c r="CA117" s="3" t="str">
        <f t="shared" ca="1" si="510"/>
        <v>Cruce +</v>
      </c>
      <c r="CB117" s="3">
        <f t="shared" ca="1" si="461"/>
        <v>-1348074.4972865563</v>
      </c>
      <c r="CC117" s="3" t="str">
        <f t="shared" ca="1" si="510"/>
        <v/>
      </c>
      <c r="CD117" s="3">
        <f>IF(RTD("tos.rtd",,CD$83,"."&amp;$B$82&amp;$AS$82&amp;"C"&amp;$A117)="N/A",0,RTD("tos.rtd",,CD$83,"."&amp;$B$82&amp;$AS$82&amp;"C"&amp;$A117))</f>
        <v>0.99</v>
      </c>
      <c r="CE117" s="3">
        <f>-IF(RTD("tos.rtd",,CE$83,"."&amp;$B$82&amp;$AS$82&amp;"P"&amp;$A117)="N/A",0,RTD("tos.rtd",,CE$83,"."&amp;$B$82&amp;$AS$82&amp;"P"&amp;$A117))</f>
        <v>0</v>
      </c>
      <c r="CF117" s="3">
        <f>IF(RTD("tos.rtd",,CF$83,"."&amp;$C$82&amp;$AU$82&amp;"C"&amp;$A117)="N/A",0,RTD("tos.rtd",,CF$83,"."&amp;$C$82&amp;$AU$82&amp;"C"&amp;$A117))</f>
        <v>0.9</v>
      </c>
      <c r="CG117" s="3">
        <f>-IF(RTD("tos.rtd",,CG$83,"."&amp;$C$82&amp;$AU$82&amp;"P"&amp;$A117)="N/A",0,RTD("tos.rtd",,CG$83,"."&amp;$C$82&amp;$AU$82&amp;"P"&amp;$A117))</f>
        <v>0.11</v>
      </c>
      <c r="CH117" s="3">
        <f>IF(RTD("tos.rtd",,CH$83,"."&amp;$D$82&amp;$AW$82&amp;"C"&amp;$A117)="N/A",0,RTD("tos.rtd",,CH$83,"."&amp;$D$82&amp;$AW$82&amp;"C"&amp;$A117))</f>
        <v>0.72</v>
      </c>
      <c r="CI117" s="3">
        <f>-IF(RTD("tos.rtd",,CI$83,"."&amp;$D$82&amp;$AW$82&amp;"P"&amp;$A117)="N/A",0,RTD("tos.rtd",,CI$83,"."&amp;$D$82&amp;$AW$82&amp;"P"&amp;$A117))</f>
        <v>0.28999999999999998</v>
      </c>
      <c r="CK117" s="3">
        <f t="shared" ref="CK117:CK121" si="532">+AS117*CD117*100+AT117*CE117*100</f>
        <v>372141</v>
      </c>
      <c r="CL117" s="3"/>
      <c r="CM117" s="3">
        <f t="shared" ref="CM117:CM121" si="533">+AU117*CF117*100+AV117*CG117*100</f>
        <v>1143681</v>
      </c>
      <c r="CN117" s="3"/>
      <c r="CO117" s="3">
        <f t="shared" ref="CO117:CO121" si="534">+AW117*CH117*100+AX117*CI117*100</f>
        <v>3667899.0000000005</v>
      </c>
      <c r="CP117" s="3">
        <f t="shared" si="462"/>
        <v>5183721</v>
      </c>
      <c r="CQ117" s="3">
        <f t="shared" si="463"/>
        <v>-15508</v>
      </c>
      <c r="CR117" s="3"/>
      <c r="CS117" s="3">
        <f t="shared" si="464"/>
        <v>5</v>
      </c>
      <c r="CT117" s="3"/>
      <c r="CU117" s="3">
        <f t="shared" si="465"/>
        <v>-3241</v>
      </c>
      <c r="CV117" s="3"/>
      <c r="CW117" s="3">
        <f t="shared" ref="CW117:CW121" ca="1" si="535">+BQ117+BS117+BU117</f>
        <v>222523.47421586933</v>
      </c>
      <c r="CY117" s="3">
        <f t="shared" ca="1" si="467"/>
        <v>-5202340.8805183563</v>
      </c>
      <c r="CZ117" s="70" t="str">
        <f t="shared" ca="1" si="511"/>
        <v/>
      </c>
      <c r="DA117" s="3">
        <f>IF(RTD("tos.rtd",,DA$83,"."&amp;$B$82&amp;$AS$82&amp;"C"&amp;$A117)="N/A",0,RTD("tos.rtd",,DA$83,"."&amp;$B$82&amp;$AS$82&amp;"C"&amp;$A117))</f>
        <v>141.30000000000001</v>
      </c>
      <c r="DB117" s="3">
        <f>IF(RTD("tos.rtd",,DB$83,"."&amp;$B$82&amp;$AS$82&amp;"P"&amp;$A117)="N/A",0,RTD("tos.rtd",,DB$83,"."&amp;$B$82&amp;$AS$82&amp;"P"&amp;$A117))</f>
        <v>0.03</v>
      </c>
      <c r="DC117" s="3">
        <f>IF(RTD("tos.rtd",,DC$83,"."&amp;$B$82&amp;$AS$82&amp;"C"&amp;$A117)="N/A",0,RTD("tos.rtd",,DC$83,"."&amp;$B$82&amp;$AS$82&amp;"C"&amp;$A117))</f>
        <v>146.69999999999999</v>
      </c>
      <c r="DD117" s="3">
        <f>IF(RTD("tos.rtd",,DD$83,"."&amp;$B$82&amp;$AS$82&amp;"P"&amp;$A117)="N/A",0,RTD("tos.rtd",,DD$83,"."&amp;$B$82&amp;$AS$82&amp;"P"&amp;$A117))</f>
        <v>0.05</v>
      </c>
      <c r="DE117" s="3">
        <f>IF(RTD("tos.rtd",,DE$83,"."&amp;$B$82&amp;$AS$82&amp;"C"&amp;$A117)="N/A",0,RTD("tos.rtd",,DE$83,"."&amp;$B$82&amp;$AS$82&amp;"C"&amp;$A117))</f>
        <v>142.1</v>
      </c>
      <c r="DF117" s="3">
        <f>IF(RTD("tos.rtd",,DF$83,"."&amp;$B$82&amp;$AS$82&amp;"P"&amp;$A117)="N/A",0,RTD("tos.rtd",,DF$83,"."&amp;$B$82&amp;$AS$82&amp;"P"&amp;$A117))</f>
        <v>0</v>
      </c>
      <c r="DG117" s="86">
        <f t="shared" si="499"/>
        <v>-141.75</v>
      </c>
      <c r="DH117" s="3">
        <f t="shared" si="468"/>
        <v>0</v>
      </c>
      <c r="DI117" s="3">
        <f t="shared" si="469"/>
        <v>0</v>
      </c>
      <c r="DJ117" s="3">
        <f t="shared" si="470"/>
        <v>0</v>
      </c>
      <c r="DK117" s="3">
        <f t="shared" si="471"/>
        <v>0</v>
      </c>
      <c r="DL117" s="3">
        <f t="shared" si="472"/>
        <v>0</v>
      </c>
      <c r="DM117" s="3">
        <f t="shared" si="473"/>
        <v>0</v>
      </c>
      <c r="DN117" s="64" t="str">
        <f t="shared" si="474"/>
        <v>UNKNOWN</v>
      </c>
      <c r="DO117" s="64" t="str">
        <f t="shared" si="475"/>
        <v>UNKNOWN</v>
      </c>
      <c r="DP117" s="3">
        <f t="shared" si="476"/>
        <v>0</v>
      </c>
      <c r="DQ117" s="3">
        <f t="shared" si="477"/>
        <v>0</v>
      </c>
      <c r="DR117" s="3">
        <f t="shared" ca="1" si="478"/>
        <v>0</v>
      </c>
      <c r="DS117" s="3">
        <f t="shared" si="479"/>
        <v>0</v>
      </c>
      <c r="DT117" s="3">
        <f t="shared" si="500"/>
        <v>0</v>
      </c>
      <c r="DU117" s="3">
        <f t="shared" si="501"/>
        <v>0</v>
      </c>
      <c r="DV117" s="3">
        <f t="shared" si="502"/>
        <v>570</v>
      </c>
      <c r="DW117" s="3">
        <f t="shared" si="503"/>
        <v>-242</v>
      </c>
      <c r="DX117" s="3">
        <f t="shared" ca="1" si="512"/>
        <v>1.4405957478568164E-3</v>
      </c>
      <c r="DY117" s="3">
        <f t="shared" ca="1" si="480"/>
        <v>-1.0433310986002692E-3</v>
      </c>
      <c r="DZ117" s="3">
        <f t="shared" ca="1" si="504"/>
        <v>1.6222647085269055E-3</v>
      </c>
      <c r="EA117" s="3">
        <f t="shared" ca="1" si="505"/>
        <v>-1.6217337885676745E-3</v>
      </c>
      <c r="EB117" s="3">
        <f t="shared" ca="1" si="481"/>
        <v>1.5547636836666056E-3</v>
      </c>
      <c r="EC117" s="3">
        <f t="shared" ca="1" si="482"/>
        <v>-1.5913336625271708E-3</v>
      </c>
      <c r="ED117" s="63">
        <f t="shared" si="506"/>
        <v>328</v>
      </c>
      <c r="EE117" s="59">
        <f t="shared" si="483"/>
        <v>1.4091</v>
      </c>
      <c r="EF117" s="59">
        <f t="shared" si="484"/>
        <v>1.1311</v>
      </c>
      <c r="EG117" s="59">
        <f t="shared" si="485"/>
        <v>0.2009</v>
      </c>
      <c r="EH117" s="59">
        <f t="shared" si="486"/>
        <v>0.20910000000000001</v>
      </c>
      <c r="EI117" s="59">
        <f t="shared" si="487"/>
        <v>0.16819999999999999</v>
      </c>
      <c r="EJ117" s="59">
        <f t="shared" si="488"/>
        <v>0.17860000000000001</v>
      </c>
      <c r="EK117" s="63">
        <f t="shared" ca="1" si="507"/>
        <v>36638596.944224514</v>
      </c>
      <c r="EL117" s="3" t="str">
        <f>RTD("tos.rtd",,EL$83,"."&amp;$B$82&amp;$AS$82&amp;"C"&amp;$A117)</f>
        <v>140.91%</v>
      </c>
      <c r="EM117" s="3" t="str">
        <f>RTD("tos.rtd",,EM$83,"."&amp;$B$82&amp;$AS$82&amp;"P"&amp;$A117)</f>
        <v>113.11%</v>
      </c>
      <c r="EN117" s="3" t="str">
        <f>RTD("tos.rtd",,EN$83,"."&amp;$C$82&amp;$AU$82&amp;"C"&amp;$A117)</f>
        <v>20.09%</v>
      </c>
      <c r="EO117" s="3" t="str">
        <f>RTD("tos.rtd",,EO$83,"."&amp;$C$82&amp;$AU$82&amp;"P"&amp;$A117)</f>
        <v>20.91%</v>
      </c>
      <c r="EP117" s="3" t="str">
        <f>RTD("tos.rtd",,EP$83,"."&amp;$D$82&amp;$AW$82&amp;"C"&amp;$A117)</f>
        <v>16.82%</v>
      </c>
      <c r="EQ117" s="3" t="str">
        <f>RTD("tos.rtd",,EQ$83,"."&amp;$D$82&amp;$AW$82&amp;"P"&amp;$A117)</f>
        <v>17.86%</v>
      </c>
      <c r="ES117" s="63" t="str">
        <f t="shared" si="489"/>
        <v>5700,328.00</v>
      </c>
      <c r="ET117" s="63" t="str">
        <f t="shared" ca="1" si="490"/>
        <v>5700,-5202.34</v>
      </c>
      <c r="EU117" s="67">
        <v>571.72</v>
      </c>
      <c r="EV117" s="67" t="s">
        <v>955</v>
      </c>
      <c r="EW117" s="67">
        <v>496.74</v>
      </c>
      <c r="EX117" s="67" t="s">
        <v>956</v>
      </c>
      <c r="EY117" s="67">
        <v>5659.91</v>
      </c>
      <c r="EZ117" s="67" t="s">
        <v>957</v>
      </c>
      <c r="FA117" s="67">
        <v>20061.449000000001</v>
      </c>
      <c r="FB117" s="67" t="s">
        <v>958</v>
      </c>
      <c r="FC117" s="67" t="s">
        <v>959</v>
      </c>
      <c r="FD117" s="67" t="s">
        <v>960</v>
      </c>
      <c r="FE117" s="68" t="s">
        <v>961</v>
      </c>
      <c r="FF117" s="68" t="s">
        <v>962</v>
      </c>
    </row>
    <row r="118" spans="1:162" s="63" customFormat="1" ht="12" customHeight="1" thickBot="1" x14ac:dyDescent="0.25">
      <c r="A118" s="2">
        <f t="shared" si="508"/>
        <v>5690</v>
      </c>
      <c r="B118" s="3">
        <f t="shared" si="451"/>
        <v>645</v>
      </c>
      <c r="C118" s="3">
        <f t="shared" si="452"/>
        <v>3469</v>
      </c>
      <c r="D118" s="3">
        <f t="shared" si="453"/>
        <v>14790</v>
      </c>
      <c r="E118" s="3">
        <f t="shared" si="528"/>
        <v>18904</v>
      </c>
      <c r="F118" s="4">
        <f t="shared" si="529"/>
        <v>5713.3765566825004</v>
      </c>
      <c r="G118" s="4">
        <f t="shared" si="530"/>
        <v>567.80682158599734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>
        <v>266</v>
      </c>
      <c r="AN118" s="20">
        <v>-250</v>
      </c>
      <c r="AO118" s="20">
        <v>5690</v>
      </c>
      <c r="AP118" s="20">
        <v>1046</v>
      </c>
      <c r="AQ118" s="20">
        <v>-8241</v>
      </c>
      <c r="AR118" s="20"/>
      <c r="AS118" s="54">
        <f>IF(RTD("tos.rtd",,AS$83,"."&amp;$B$82&amp;$AS$82&amp;"C"&amp;$A118)="N/A",0,RTD("tos.rtd",,AS$83,"."&amp;$B$82&amp;$AS$82&amp;"C"&amp;$A118))</f>
        <v>335</v>
      </c>
      <c r="AT118" s="3">
        <f>-IF(RTD("tos.rtd",,AT$83,"."&amp;$B$82&amp;$AS$82&amp;"P"&amp;$A118)="N/A",0,RTD("tos.rtd",,AT$83,"."&amp;$B$82&amp;$AS$82&amp;"P"&amp;$A118))</f>
        <v>-310</v>
      </c>
      <c r="AU118" s="54">
        <f>IF(RTD("tos.rtd",,AU$83,"."&amp;$C$82&amp;$AU$82&amp;"C"&amp;$A118)="N/A",0,RTD("tos.rtd",,AU$83,"."&amp;$C$82&amp;$AU$82&amp;"C"&amp;$A118))</f>
        <v>1581</v>
      </c>
      <c r="AV118" s="3">
        <f>-IF(RTD("tos.rtd",,AV$83,"."&amp;$C$82&amp;$AU$82&amp;"P"&amp;$A118)="N/A",0,RTD("tos.rtd",,AV$83,"."&amp;$C$82&amp;$AU$82&amp;"P"&amp;$A118))</f>
        <v>-1888</v>
      </c>
      <c r="AW118" s="54">
        <f>IF(RTD("tos.rtd",,AW$83,"."&amp;$D$82&amp;$AW$82&amp;"C"&amp;$A118)="N/A",0,RTD("tos.rtd",,AW$83,"."&amp;$D$82&amp;$AW$82&amp;"C"&amp;$A118))</f>
        <v>7328</v>
      </c>
      <c r="AX118" s="3">
        <f>-IF(RTD("tos.rtd",,AX$83,"."&amp;$D$82&amp;$AW$82&amp;"P"&amp;$A118)="N/A",0,RTD("tos.rtd",,AX$83,"."&amp;$D$82&amp;$AW$82&amp;"P"&amp;$A118))</f>
        <v>-7462</v>
      </c>
      <c r="AY118" s="79">
        <f t="shared" si="531"/>
        <v>-416</v>
      </c>
      <c r="AZ118" s="8">
        <f t="shared" si="455"/>
        <v>5690</v>
      </c>
      <c r="BA118" s="54">
        <f>IF(RTD("tos.rtd",,BA$83,"."&amp;$B$82&amp;$AS$82&amp;"C"&amp;$A118)="N/A",0,RTD("tos.rtd",,BA$83,"."&amp;$B$82&amp;$AS$82&amp;"C"&amp;$A118))</f>
        <v>1046</v>
      </c>
      <c r="BB118" s="3">
        <f>-IF(RTD("tos.rtd",,BB$83,"."&amp;$B$82&amp;$AS$82&amp;"P"&amp;$A118)="N/A",0,RTD("tos.rtd",,BB$83,"."&amp;$B$82&amp;$AS$82&amp;"P"&amp;$A118))</f>
        <v>-8241</v>
      </c>
      <c r="BC118" s="54">
        <f>IF(RTD("tos.rtd",,BC$83,"."&amp;$C$82&amp;$AU$82&amp;"C"&amp;$A118)="N/A",0,RTD("tos.rtd",,BC$83,"."&amp;$C$82&amp;$AU$82&amp;"C"&amp;$A118))</f>
        <v>43</v>
      </c>
      <c r="BD118" s="3">
        <f>-IF(RTD("tos.rtd",,BD$83,"."&amp;$C$82&amp;$AU$82&amp;"P"&amp;$A118)="N/A",0,RTD("tos.rtd",,BD$83,"."&amp;$C$82&amp;$AU$82&amp;"P"&amp;$A118))</f>
        <v>-1427</v>
      </c>
      <c r="BE118" s="54">
        <f>IF(RTD("tos.rtd",,BE$83,"."&amp;$D$82&amp;$AW$82&amp;"C"&amp;$A118)="N/A",0,RTD("tos.rtd",,BE$83,"."&amp;$D$82&amp;$AW$82&amp;"C"&amp;$A118))</f>
        <v>35</v>
      </c>
      <c r="BF118" s="3">
        <f>-IF(RTD("tos.rtd",,BF$83,"."&amp;$D$82&amp;$AW$82&amp;"P"&amp;$A118)="N/A",0,RTD("tos.rtd",,BF$83,"."&amp;$D$82&amp;$AW$82&amp;"P"&amp;$A118))</f>
        <v>-205</v>
      </c>
      <c r="BG118" s="3">
        <f ca="1">+Hoja2!Y119</f>
        <v>-432</v>
      </c>
      <c r="BH118" s="55">
        <f t="shared" ca="1" si="493"/>
        <v>-9181</v>
      </c>
      <c r="BI118" s="32" t="str">
        <f t="shared" ca="1" si="513"/>
        <v/>
      </c>
      <c r="BJ118" s="3">
        <f ca="1">IF($BP$1=1,DX118,IF(RTD("tos.rtd",,BJ$83,"."&amp;$B$82&amp;$AS$82&amp;"C"&amp;$A118)="N/A",0,RTD("tos.rtd",,BJ$83,"."&amp;$B$82&amp;$AS$82&amp;"C"&amp;$A118)))</f>
        <v>1.3308907333554915E-3</v>
      </c>
      <c r="BK118" s="3">
        <f ca="1">IF($BP$1=1,DY118,-IF(RTD("tos.rtd",,BK$83,"."&amp;$B$82&amp;$AS$82&amp;"P"&amp;$A118)="N/A",0,RTD("tos.rtd",,BK$83,"."&amp;$B$82&amp;$AS$82&amp;"P"&amp;$A118)))</f>
        <v>-9.6207760038820843E-4</v>
      </c>
      <c r="BL118" s="3">
        <f ca="1">IF($BP$1=1,DZ118,IF(RTD("tos.rtd",,BL$83,"."&amp;$C$82&amp;$AU$82&amp;"C"&amp;$A118)="N/A",0,RTD("tos.rtd",,BL$83,"."&amp;$C$82&amp;$AU$82&amp;"C"&amp;$A118)))</f>
        <v>1.4985911917619319E-3</v>
      </c>
      <c r="BM118" s="3">
        <f ca="1">IF($BP$1=1,EA118,-IF(RTD("tos.rtd",,BM$83,"."&amp;$C$82&amp;$AU$82&amp;"P"&amp;$A118)="N/A",0,RTD("tos.rtd",,BM$83,"."&amp;$C$82&amp;$AU$82&amp;"P"&amp;$A118)))</f>
        <v>-1.5142679382854768E-3</v>
      </c>
      <c r="BN118" s="3">
        <f ca="1">IF($BP$1=1,EB118,IF(RTD("tos.rtd",,BN$83,"."&amp;$D$82&amp;$AW$82&amp;"C"&amp;$A118)="N/A",0,RTD("tos.rtd",,BN$83,"."&amp;$D$82&amp;$AW$82&amp;"C"&amp;$A118)))</f>
        <v>1.3980750049203132E-3</v>
      </c>
      <c r="BO118" s="3">
        <f ca="1">IF($BP$1=1,EC118,-IF(RTD("tos.rtd",,BO$83,"."&amp;$D$82&amp;$AW$82&amp;"P"&amp;$A118)="N/A",0,RTD("tos.rtd",,BO$83,"."&amp;$D$82&amp;$AW$82&amp;"P"&amp;$A118)))</f>
        <v>-1.4525286011958785E-3</v>
      </c>
      <c r="BQ118" s="3">
        <f t="shared" ca="1" si="456"/>
        <v>38040.394902603861</v>
      </c>
      <c r="BR118" s="3" t="str">
        <f t="shared" ca="1" si="494"/>
        <v/>
      </c>
      <c r="BS118" s="3">
        <f t="shared" ca="1" si="457"/>
        <v>-126195.8651065923</v>
      </c>
      <c r="BT118" s="3" t="str">
        <f t="shared" ca="1" si="494"/>
        <v/>
      </c>
      <c r="BU118" s="3">
        <f t="shared" ca="1" si="458"/>
        <v>-153001.07960245293</v>
      </c>
      <c r="BV118" s="3" t="str">
        <f t="shared" ca="1" si="494"/>
        <v>Cruce -</v>
      </c>
      <c r="BX118" s="3">
        <f t="shared" ca="1" si="459"/>
        <v>-1684544.5674975018</v>
      </c>
      <c r="BY118" s="3" t="str">
        <f t="shared" ca="1" si="510"/>
        <v/>
      </c>
      <c r="BZ118" s="3">
        <f t="shared" ca="1" si="460"/>
        <v>-540286.82472605619</v>
      </c>
      <c r="CA118" s="3" t="str">
        <f t="shared" ca="1" si="510"/>
        <v>Cruce -</v>
      </c>
      <c r="CB118" s="3">
        <f t="shared" ca="1" si="461"/>
        <v>-64129.616858107656</v>
      </c>
      <c r="CC118" s="3" t="str">
        <f t="shared" ca="1" si="510"/>
        <v/>
      </c>
      <c r="CD118" s="3">
        <f>IF(RTD("tos.rtd",,CD$83,"."&amp;$B$82&amp;$AS$82&amp;"C"&amp;$A118)="N/A",0,RTD("tos.rtd",,CD$83,"."&amp;$B$82&amp;$AS$82&amp;"C"&amp;$A118))</f>
        <v>0.99</v>
      </c>
      <c r="CE118" s="3">
        <f>-IF(RTD("tos.rtd",,CE$83,"."&amp;$B$82&amp;$AS$82&amp;"P"&amp;$A118)="N/A",0,RTD("tos.rtd",,CE$83,"."&amp;$B$82&amp;$AS$82&amp;"P"&amp;$A118))</f>
        <v>0</v>
      </c>
      <c r="CF118" s="3">
        <f>IF(RTD("tos.rtd",,CF$83,"."&amp;$C$82&amp;$AU$82&amp;"C"&amp;$A118)="N/A",0,RTD("tos.rtd",,CF$83,"."&amp;$C$82&amp;$AU$82&amp;"C"&amp;$A118))</f>
        <v>0.92</v>
      </c>
      <c r="CG118" s="3">
        <f>-IF(RTD("tos.rtd",,CG$83,"."&amp;$C$82&amp;$AU$82&amp;"P"&amp;$A118)="N/A",0,RTD("tos.rtd",,CG$83,"."&amp;$C$82&amp;$AU$82&amp;"P"&amp;$A118))</f>
        <v>0.1</v>
      </c>
      <c r="CH118" s="3">
        <f>IF(RTD("tos.rtd",,CH$83,"."&amp;$D$82&amp;$AW$82&amp;"C"&amp;$A118)="N/A",0,RTD("tos.rtd",,CH$83,"."&amp;$D$82&amp;$AW$82&amp;"C"&amp;$A118))</f>
        <v>0.73</v>
      </c>
      <c r="CI118" s="3">
        <f>-IF(RTD("tos.rtd",,CI$83,"."&amp;$D$82&amp;$AW$82&amp;"P"&amp;$A118)="N/A",0,RTD("tos.rtd",,CI$83,"."&amp;$D$82&amp;$AW$82&amp;"P"&amp;$A118))</f>
        <v>0.28999999999999998</v>
      </c>
      <c r="CK118" s="3">
        <f t="shared" si="532"/>
        <v>33165</v>
      </c>
      <c r="CL118" s="3"/>
      <c r="CM118" s="3">
        <f t="shared" si="533"/>
        <v>126572</v>
      </c>
      <c r="CN118" s="3"/>
      <c r="CO118" s="3">
        <f t="shared" si="534"/>
        <v>318546</v>
      </c>
      <c r="CP118" s="3">
        <f t="shared" si="462"/>
        <v>478283</v>
      </c>
      <c r="CQ118" s="3">
        <f t="shared" si="463"/>
        <v>-7195</v>
      </c>
      <c r="CR118" s="3"/>
      <c r="CS118" s="3">
        <f t="shared" si="464"/>
        <v>-1384</v>
      </c>
      <c r="CT118" s="3"/>
      <c r="CU118" s="3">
        <f t="shared" si="465"/>
        <v>-170</v>
      </c>
      <c r="CV118" s="3"/>
      <c r="CW118" s="3">
        <f t="shared" ca="1" si="535"/>
        <v>-241156.54980644136</v>
      </c>
      <c r="CY118" s="3">
        <f t="shared" ca="1" si="467"/>
        <v>-2288961.0090816654</v>
      </c>
      <c r="CZ118" s="70" t="str">
        <f t="shared" ca="1" si="511"/>
        <v/>
      </c>
      <c r="DA118" s="3">
        <f>IF(RTD("tos.rtd",,DA$83,"."&amp;$B$82&amp;$AS$82&amp;"C"&amp;$A118)="N/A",0,RTD("tos.rtd",,DA$83,"."&amp;$B$82&amp;$AS$82&amp;"C"&amp;$A118))</f>
        <v>147.72999999999999</v>
      </c>
      <c r="DB118" s="3">
        <f>IF(RTD("tos.rtd",,DB$83,"."&amp;$B$82&amp;$AS$82&amp;"P"&amp;$A118)="N/A",0,RTD("tos.rtd",,DB$83,"."&amp;$B$82&amp;$AS$82&amp;"P"&amp;$A118))</f>
        <v>0.05</v>
      </c>
      <c r="DC118" s="3">
        <f>IF(RTD("tos.rtd",,DC$83,"."&amp;$B$82&amp;$AS$82&amp;"C"&amp;$A118)="N/A",0,RTD("tos.rtd",,DC$83,"."&amp;$B$82&amp;$AS$82&amp;"C"&amp;$A118))</f>
        <v>156.69999999999999</v>
      </c>
      <c r="DD118" s="3">
        <f>IF(RTD("tos.rtd",,DD$83,"."&amp;$B$82&amp;$AS$82&amp;"P"&amp;$A118)="N/A",0,RTD("tos.rtd",,DD$83,"."&amp;$B$82&amp;$AS$82&amp;"P"&amp;$A118))</f>
        <v>0.05</v>
      </c>
      <c r="DE118" s="3">
        <f>IF(RTD("tos.rtd",,DE$83,"."&amp;$B$82&amp;$AS$82&amp;"C"&amp;$A118)="N/A",0,RTD("tos.rtd",,DE$83,"."&amp;$B$82&amp;$AS$82&amp;"C"&amp;$A118))</f>
        <v>152.1</v>
      </c>
      <c r="DF118" s="3">
        <f>IF(RTD("tos.rtd",,DF$83,"."&amp;$B$82&amp;$AS$82&amp;"P"&amp;$A118)="N/A",0,RTD("tos.rtd",,DF$83,"."&amp;$B$82&amp;$AS$82&amp;"P"&amp;$A118))</f>
        <v>0</v>
      </c>
      <c r="DG118" s="86">
        <f t="shared" si="499"/>
        <v>-151.75</v>
      </c>
      <c r="DH118" s="3">
        <f t="shared" si="468"/>
        <v>0</v>
      </c>
      <c r="DI118" s="3">
        <f t="shared" si="469"/>
        <v>0</v>
      </c>
      <c r="DJ118" s="3">
        <f t="shared" si="470"/>
        <v>0</v>
      </c>
      <c r="DK118" s="3">
        <f t="shared" si="471"/>
        <v>0</v>
      </c>
      <c r="DL118" s="3">
        <f t="shared" si="472"/>
        <v>0</v>
      </c>
      <c r="DM118" s="3">
        <f t="shared" si="473"/>
        <v>0</v>
      </c>
      <c r="DN118" s="64" t="str">
        <f t="shared" si="474"/>
        <v>UNKNOWN</v>
      </c>
      <c r="DO118" s="64" t="str">
        <f t="shared" si="475"/>
        <v>UNKNOWN</v>
      </c>
      <c r="DP118" s="3">
        <f t="shared" si="476"/>
        <v>0</v>
      </c>
      <c r="DQ118" s="3">
        <f t="shared" si="477"/>
        <v>0</v>
      </c>
      <c r="DR118" s="3">
        <f t="shared" ca="1" si="478"/>
        <v>0</v>
      </c>
      <c r="DS118" s="3">
        <f t="shared" si="479"/>
        <v>0</v>
      </c>
      <c r="DT118" s="3">
        <f t="shared" si="500"/>
        <v>0</v>
      </c>
      <c r="DU118" s="3">
        <f t="shared" si="501"/>
        <v>0</v>
      </c>
      <c r="DV118" s="3">
        <f t="shared" si="502"/>
        <v>266</v>
      </c>
      <c r="DW118" s="3">
        <f t="shared" si="503"/>
        <v>-250</v>
      </c>
      <c r="DX118" s="3">
        <f t="shared" ca="1" si="512"/>
        <v>1.3308907333554915E-3</v>
      </c>
      <c r="DY118" s="3">
        <f t="shared" ca="1" si="480"/>
        <v>-9.6207760038820843E-4</v>
      </c>
      <c r="DZ118" s="3">
        <f t="shared" ca="1" si="504"/>
        <v>1.4985911917619319E-3</v>
      </c>
      <c r="EA118" s="3">
        <f t="shared" ca="1" si="505"/>
        <v>-1.5142679382854768E-3</v>
      </c>
      <c r="EB118" s="3">
        <f t="shared" ca="1" si="481"/>
        <v>1.3980750049203132E-3</v>
      </c>
      <c r="EC118" s="3">
        <f t="shared" ca="1" si="482"/>
        <v>-1.4525286011958785E-3</v>
      </c>
      <c r="ED118" s="63">
        <f t="shared" si="506"/>
        <v>16</v>
      </c>
      <c r="EE118" s="59">
        <f t="shared" si="483"/>
        <v>1.4956</v>
      </c>
      <c r="EF118" s="59">
        <f t="shared" si="484"/>
        <v>1.2054</v>
      </c>
      <c r="EG118" s="59">
        <f t="shared" si="485"/>
        <v>0.19700000000000001</v>
      </c>
      <c r="EH118" s="59">
        <f t="shared" si="486"/>
        <v>0.21190000000000001</v>
      </c>
      <c r="EI118" s="59">
        <f t="shared" si="487"/>
        <v>0.16839999999999999</v>
      </c>
      <c r="EJ118" s="59">
        <f t="shared" si="488"/>
        <v>0.18</v>
      </c>
      <c r="EK118" s="63">
        <f t="shared" ca="1" si="507"/>
        <v>20289172.576219145</v>
      </c>
      <c r="EL118" s="3" t="str">
        <f>RTD("tos.rtd",,EL$83,"."&amp;$B$82&amp;$AS$82&amp;"C"&amp;$A118)</f>
        <v>149.56%</v>
      </c>
      <c r="EM118" s="3" t="str">
        <f>RTD("tos.rtd",,EM$83,"."&amp;$B$82&amp;$AS$82&amp;"P"&amp;$A118)</f>
        <v>120.54%</v>
      </c>
      <c r="EN118" s="3" t="str">
        <f>RTD("tos.rtd",,EN$83,"."&amp;$C$82&amp;$AU$82&amp;"C"&amp;$A118)</f>
        <v>19.70%</v>
      </c>
      <c r="EO118" s="3" t="str">
        <f>RTD("tos.rtd",,EO$83,"."&amp;$C$82&amp;$AU$82&amp;"P"&amp;$A118)</f>
        <v>21.19%</v>
      </c>
      <c r="EP118" s="3" t="str">
        <f>RTD("tos.rtd",,EP$83,"."&amp;$D$82&amp;$AW$82&amp;"C"&amp;$A118)</f>
        <v>16.84%</v>
      </c>
      <c r="EQ118" s="3" t="str">
        <f>RTD("tos.rtd",,EQ$83,"."&amp;$D$82&amp;$AW$82&amp;"P"&amp;$A118)</f>
        <v>18.00%</v>
      </c>
      <c r="ES118" s="63" t="str">
        <f t="shared" si="489"/>
        <v>5690,16.00</v>
      </c>
      <c r="ET118" s="63" t="str">
        <f t="shared" ca="1" si="490"/>
        <v>5690,-2288.96</v>
      </c>
      <c r="EU118" s="67">
        <v>571.72</v>
      </c>
      <c r="EV118" s="67" t="s">
        <v>963</v>
      </c>
      <c r="EW118" s="67">
        <v>496.74</v>
      </c>
      <c r="EX118" s="67" t="s">
        <v>964</v>
      </c>
      <c r="EY118" s="67">
        <v>5659.91</v>
      </c>
      <c r="EZ118" s="67" t="s">
        <v>965</v>
      </c>
      <c r="FA118" s="67">
        <v>20061.449000000001</v>
      </c>
      <c r="FB118" s="67" t="s">
        <v>966</v>
      </c>
      <c r="FC118" s="67" t="s">
        <v>967</v>
      </c>
      <c r="FD118" s="67" t="s">
        <v>968</v>
      </c>
      <c r="FE118" s="68" t="s">
        <v>969</v>
      </c>
      <c r="FF118" s="68" t="s">
        <v>970</v>
      </c>
    </row>
    <row r="119" spans="1:162" s="63" customFormat="1" ht="12" customHeight="1" thickBot="1" x14ac:dyDescent="0.25">
      <c r="A119" s="2">
        <f t="shared" si="508"/>
        <v>5680</v>
      </c>
      <c r="B119" s="3">
        <f t="shared" si="451"/>
        <v>866</v>
      </c>
      <c r="C119" s="3">
        <f t="shared" si="452"/>
        <v>1402</v>
      </c>
      <c r="D119" s="3">
        <f t="shared" si="453"/>
        <v>11114</v>
      </c>
      <c r="E119" s="3">
        <f t="shared" si="528"/>
        <v>13382</v>
      </c>
      <c r="F119" s="4">
        <f t="shared" si="529"/>
        <v>5703.335473103094</v>
      </c>
      <c r="G119" s="4">
        <f t="shared" si="530"/>
        <v>566.80891856036294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>
        <v>-20</v>
      </c>
      <c r="AN119" s="20">
        <v>-1093</v>
      </c>
      <c r="AO119" s="20">
        <v>5680</v>
      </c>
      <c r="AP119" s="20">
        <v>298</v>
      </c>
      <c r="AQ119" s="20">
        <v>-8244</v>
      </c>
      <c r="AR119" s="20"/>
      <c r="AS119" s="54">
        <f>IF(RTD("tos.rtd",,AS$83,"."&amp;$B$82&amp;$AS$82&amp;"C"&amp;$A119)="N/A",0,RTD("tos.rtd",,AS$83,"."&amp;$B$82&amp;$AS$82&amp;"C"&amp;$A119))</f>
        <v>516</v>
      </c>
      <c r="AT119" s="3">
        <f>-IF(RTD("tos.rtd",,AT$83,"."&amp;$B$82&amp;$AS$82&amp;"P"&amp;$A119)="N/A",0,RTD("tos.rtd",,AT$83,"."&amp;$B$82&amp;$AS$82&amp;"P"&amp;$A119))</f>
        <v>-350</v>
      </c>
      <c r="AU119" s="54">
        <f>IF(RTD("tos.rtd",,AU$83,"."&amp;$C$82&amp;$AU$82&amp;"C"&amp;$A119)="N/A",0,RTD("tos.rtd",,AU$83,"."&amp;$C$82&amp;$AU$82&amp;"C"&amp;$A119))</f>
        <v>538</v>
      </c>
      <c r="AV119" s="3">
        <f>-IF(RTD("tos.rtd",,AV$83,"."&amp;$C$82&amp;$AU$82&amp;"P"&amp;$A119)="N/A",0,RTD("tos.rtd",,AV$83,"."&amp;$C$82&amp;$AU$82&amp;"P"&amp;$A119))</f>
        <v>-864</v>
      </c>
      <c r="AW119" s="54">
        <f>IF(RTD("tos.rtd",,AW$83,"."&amp;$D$82&amp;$AW$82&amp;"C"&amp;$A119)="N/A",0,RTD("tos.rtd",,AW$83,"."&amp;$D$82&amp;$AW$82&amp;"C"&amp;$A119))</f>
        <v>5397</v>
      </c>
      <c r="AX119" s="3">
        <f>-IF(RTD("tos.rtd",,AX$83,"."&amp;$D$82&amp;$AW$82&amp;"P"&amp;$A119)="N/A",0,RTD("tos.rtd",,AX$83,"."&amp;$D$82&amp;$AW$82&amp;"P"&amp;$A119))</f>
        <v>-5717</v>
      </c>
      <c r="AY119" s="79">
        <f t="shared" si="531"/>
        <v>-480</v>
      </c>
      <c r="AZ119" s="8">
        <f t="shared" si="455"/>
        <v>5680</v>
      </c>
      <c r="BA119" s="54">
        <f>IF(RTD("tos.rtd",,BA$83,"."&amp;$B$82&amp;$AS$82&amp;"C"&amp;$A119)="N/A",0,RTD("tos.rtd",,BA$83,"."&amp;$B$82&amp;$AS$82&amp;"C"&amp;$A119))</f>
        <v>298</v>
      </c>
      <c r="BB119" s="3">
        <f>-IF(RTD("tos.rtd",,BB$83,"."&amp;$B$82&amp;$AS$82&amp;"P"&amp;$A119)="N/A",0,RTD("tos.rtd",,BB$83,"."&amp;$B$82&amp;$AS$82&amp;"P"&amp;$A119))</f>
        <v>-8244</v>
      </c>
      <c r="BC119" s="54">
        <f>IF(RTD("tos.rtd",,BC$83,"."&amp;$C$82&amp;$AU$82&amp;"C"&amp;$A119)="N/A",0,RTD("tos.rtd",,BC$83,"."&amp;$C$82&amp;$AU$82&amp;"C"&amp;$A119))</f>
        <v>16</v>
      </c>
      <c r="BD119" s="3">
        <f>-IF(RTD("tos.rtd",,BD$83,"."&amp;$C$82&amp;$AU$82&amp;"P"&amp;$A119)="N/A",0,RTD("tos.rtd",,BD$83,"."&amp;$C$82&amp;$AU$82&amp;"P"&amp;$A119))</f>
        <v>-149</v>
      </c>
      <c r="BE119" s="54">
        <f>IF(RTD("tos.rtd",,BE$83,"."&amp;$D$82&amp;$AW$82&amp;"C"&amp;$A119)="N/A",0,RTD("tos.rtd",,BE$83,"."&amp;$D$82&amp;$AW$82&amp;"C"&amp;$A119))</f>
        <v>244</v>
      </c>
      <c r="BF119" s="3">
        <f>-IF(RTD("tos.rtd",,BF$83,"."&amp;$D$82&amp;$AW$82&amp;"P"&amp;$A119)="N/A",0,RTD("tos.rtd",,BF$83,"."&amp;$D$82&amp;$AW$82&amp;"P"&amp;$A119))</f>
        <v>-302</v>
      </c>
      <c r="BG119" s="3">
        <f ca="1">+Hoja2!Y120</f>
        <v>-721</v>
      </c>
      <c r="BH119" s="55">
        <f t="shared" ca="1" si="493"/>
        <v>-8858</v>
      </c>
      <c r="BI119" s="32" t="str">
        <f t="shared" ca="1" si="513"/>
        <v/>
      </c>
      <c r="BJ119" s="3">
        <f ca="1">IF($BP$1=1,DX119,IF(RTD("tos.rtd",,BJ$83,"."&amp;$B$82&amp;$AS$82&amp;"C"&amp;$A119)="N/A",0,RTD("tos.rtd",,BJ$83,"."&amp;$B$82&amp;$AS$82&amp;"C"&amp;$A119)))</f>
        <v>1.2354109134317087E-3</v>
      </c>
      <c r="BK119" s="3">
        <f ca="1">IF($BP$1=1,DY119,-IF(RTD("tos.rtd",,BK$83,"."&amp;$B$82&amp;$AS$82&amp;"P"&amp;$A119)="N/A",0,RTD("tos.rtd",,BK$83,"."&amp;$B$82&amp;$AS$82&amp;"P"&amp;$A119)))</f>
        <v>-8.887799859961141E-4</v>
      </c>
      <c r="BL119" s="3">
        <f ca="1">IF($BP$1=1,DZ119,IF(RTD("tos.rtd",,BL$83,"."&amp;$C$82&amp;$AU$82&amp;"C"&amp;$A119)="N/A",0,RTD("tos.rtd",,BL$83,"."&amp;$C$82&amp;$AU$82&amp;"C"&amp;$A119)))</f>
        <v>1.3969236177955951E-3</v>
      </c>
      <c r="BM119" s="3">
        <f ca="1">IF($BP$1=1,EA119,-IF(RTD("tos.rtd",,BM$83,"."&amp;$C$82&amp;$AU$82&amp;"P"&amp;$A119)="N/A",0,RTD("tos.rtd",,BM$83,"."&amp;$C$82&amp;$AU$82&amp;"P"&amp;$A119)))</f>
        <v>-1.4120030595351899E-3</v>
      </c>
      <c r="BN119" s="3">
        <f ca="1">IF($BP$1=1,EB119,IF(RTD("tos.rtd",,BN$83,"."&amp;$D$82&amp;$AW$82&amp;"C"&amp;$A119)="N/A",0,RTD("tos.rtd",,BN$83,"."&amp;$D$82&amp;$AW$82&amp;"C"&amp;$A119)))</f>
        <v>1.2545782767556528E-3</v>
      </c>
      <c r="BO119" s="3">
        <f ca="1">IF($BP$1=1,EC119,-IF(RTD("tos.rtd",,BO$83,"."&amp;$D$82&amp;$AW$82&amp;"P"&amp;$A119)="N/A",0,RTD("tos.rtd",,BO$83,"."&amp;$D$82&amp;$AW$82&amp;"P"&amp;$A119)))</f>
        <v>-1.3210067882116919E-3</v>
      </c>
      <c r="BQ119" s="3">
        <f t="shared" ca="1" si="456"/>
        <v>84119.127334858829</v>
      </c>
      <c r="BR119" s="3" t="str">
        <f t="shared" ca="1" si="494"/>
        <v/>
      </c>
      <c r="BS119" s="3">
        <f t="shared" ca="1" si="457"/>
        <v>-120722.06057318425</v>
      </c>
      <c r="BT119" s="3" t="str">
        <f t="shared" ca="1" si="494"/>
        <v/>
      </c>
      <c r="BU119" s="3">
        <f t="shared" ca="1" si="458"/>
        <v>-201339.3259397659</v>
      </c>
      <c r="BV119" s="3" t="str">
        <f t="shared" ca="1" si="494"/>
        <v/>
      </c>
      <c r="BX119" s="3">
        <f t="shared" ca="1" si="459"/>
        <v>-1793451.3137424137</v>
      </c>
      <c r="BY119" s="3" t="str">
        <f t="shared" ca="1" si="510"/>
        <v/>
      </c>
      <c r="BZ119" s="3">
        <f t="shared" ca="1" si="460"/>
        <v>-48460.821333454754</v>
      </c>
      <c r="CA119" s="3" t="str">
        <f t="shared" ca="1" si="510"/>
        <v/>
      </c>
      <c r="CB119" s="3">
        <f t="shared" ca="1" si="461"/>
        <v>-23923.238745823837</v>
      </c>
      <c r="CC119" s="3" t="str">
        <f t="shared" ca="1" si="510"/>
        <v/>
      </c>
      <c r="CD119" s="3">
        <f>IF(RTD("tos.rtd",,CD$83,"."&amp;$B$82&amp;$AS$82&amp;"C"&amp;$A119)="N/A",0,RTD("tos.rtd",,CD$83,"."&amp;$B$82&amp;$AS$82&amp;"C"&amp;$A119))</f>
        <v>0.99</v>
      </c>
      <c r="CE119" s="3">
        <f>-IF(RTD("tos.rtd",,CE$83,"."&amp;$B$82&amp;$AS$82&amp;"P"&amp;$A119)="N/A",0,RTD("tos.rtd",,CE$83,"."&amp;$B$82&amp;$AS$82&amp;"P"&amp;$A119))</f>
        <v>0</v>
      </c>
      <c r="CF119" s="3">
        <f>IF(RTD("tos.rtd",,CF$83,"."&amp;$C$82&amp;$AU$82&amp;"C"&amp;$A119)="N/A",0,RTD("tos.rtd",,CF$83,"."&amp;$C$82&amp;$AU$82&amp;"C"&amp;$A119))</f>
        <v>0.92</v>
      </c>
      <c r="CG119" s="3">
        <f>-IF(RTD("tos.rtd",,CG$83,"."&amp;$C$82&amp;$AU$82&amp;"P"&amp;$A119)="N/A",0,RTD("tos.rtd",,CG$83,"."&amp;$C$82&amp;$AU$82&amp;"P"&amp;$A119))</f>
        <v>0.09</v>
      </c>
      <c r="CH119" s="3">
        <f>IF(RTD("tos.rtd",,CH$83,"."&amp;$D$82&amp;$AW$82&amp;"C"&amp;$A119)="N/A",0,RTD("tos.rtd",,CH$83,"."&amp;$D$82&amp;$AW$82&amp;"C"&amp;$A119))</f>
        <v>0.74</v>
      </c>
      <c r="CI119" s="3">
        <f>-IF(RTD("tos.rtd",,CI$83,"."&amp;$D$82&amp;$AW$82&amp;"P"&amp;$A119)="N/A",0,RTD("tos.rtd",,CI$83,"."&amp;$D$82&amp;$AW$82&amp;"P"&amp;$A119))</f>
        <v>0.28000000000000003</v>
      </c>
      <c r="CK119" s="3">
        <f t="shared" si="532"/>
        <v>51084</v>
      </c>
      <c r="CL119" s="3"/>
      <c r="CM119" s="3">
        <f t="shared" si="533"/>
        <v>41720</v>
      </c>
      <c r="CN119" s="3"/>
      <c r="CO119" s="3">
        <f t="shared" si="534"/>
        <v>239301.99999999997</v>
      </c>
      <c r="CP119" s="3">
        <f t="shared" si="462"/>
        <v>332106</v>
      </c>
      <c r="CQ119" s="3">
        <f t="shared" si="463"/>
        <v>-7946</v>
      </c>
      <c r="CR119" s="3"/>
      <c r="CS119" s="3">
        <f t="shared" si="464"/>
        <v>-133</v>
      </c>
      <c r="CT119" s="3"/>
      <c r="CU119" s="3">
        <f t="shared" si="465"/>
        <v>-58</v>
      </c>
      <c r="CV119" s="3"/>
      <c r="CW119" s="3">
        <f t="shared" ca="1" si="535"/>
        <v>-237942.25917809131</v>
      </c>
      <c r="CY119" s="3">
        <f t="shared" ca="1" si="467"/>
        <v>-1865835.3738216921</v>
      </c>
      <c r="CZ119" s="70" t="str">
        <f t="shared" ca="1" si="511"/>
        <v/>
      </c>
      <c r="DA119" s="3">
        <f>IF(RTD("tos.rtd",,DA$83,"."&amp;$B$82&amp;$AS$82&amp;"C"&amp;$A119)="N/A",0,RTD("tos.rtd",,DA$83,"."&amp;$B$82&amp;$AS$82&amp;"C"&amp;$A119))</f>
        <v>164.1</v>
      </c>
      <c r="DB119" s="3">
        <f>IF(RTD("tos.rtd",,DB$83,"."&amp;$B$82&amp;$AS$82&amp;"P"&amp;$A119)="N/A",0,RTD("tos.rtd",,DB$83,"."&amp;$B$82&amp;$AS$82&amp;"P"&amp;$A119))</f>
        <v>0.05</v>
      </c>
      <c r="DC119" s="3">
        <f>IF(RTD("tos.rtd",,DC$83,"."&amp;$B$82&amp;$AS$82&amp;"C"&amp;$A119)="N/A",0,RTD("tos.rtd",,DC$83,"."&amp;$B$82&amp;$AS$82&amp;"C"&amp;$A119))</f>
        <v>166.7</v>
      </c>
      <c r="DD119" s="3">
        <f>IF(RTD("tos.rtd",,DD$83,"."&amp;$B$82&amp;$AS$82&amp;"P"&amp;$A119)="N/A",0,RTD("tos.rtd",,DD$83,"."&amp;$B$82&amp;$AS$82&amp;"P"&amp;$A119))</f>
        <v>0.05</v>
      </c>
      <c r="DE119" s="3">
        <f>IF(RTD("tos.rtd",,DE$83,"."&amp;$B$82&amp;$AS$82&amp;"C"&amp;$A119)="N/A",0,RTD("tos.rtd",,DE$83,"."&amp;$B$82&amp;$AS$82&amp;"C"&amp;$A119))</f>
        <v>162.1</v>
      </c>
      <c r="DF119" s="3">
        <f>IF(RTD("tos.rtd",,DF$83,"."&amp;$B$82&amp;$AS$82&amp;"P"&amp;$A119)="N/A",0,RTD("tos.rtd",,DF$83,"."&amp;$B$82&amp;$AS$82&amp;"P"&amp;$A119))</f>
        <v>0</v>
      </c>
      <c r="DG119" s="86">
        <f t="shared" si="499"/>
        <v>-161.75</v>
      </c>
      <c r="DH119" s="3">
        <f t="shared" si="468"/>
        <v>0</v>
      </c>
      <c r="DI119" s="3">
        <f t="shared" si="469"/>
        <v>0</v>
      </c>
      <c r="DJ119" s="3">
        <f t="shared" si="470"/>
        <v>0</v>
      </c>
      <c r="DK119" s="3">
        <f t="shared" si="471"/>
        <v>0</v>
      </c>
      <c r="DL119" s="3">
        <f t="shared" si="472"/>
        <v>0</v>
      </c>
      <c r="DM119" s="3">
        <f t="shared" si="473"/>
        <v>0</v>
      </c>
      <c r="DN119" s="64" t="str">
        <f t="shared" si="474"/>
        <v>UNKNOWN</v>
      </c>
      <c r="DO119" s="64" t="str">
        <f t="shared" si="475"/>
        <v>UNKNOWN</v>
      </c>
      <c r="DP119" s="3">
        <f t="shared" si="476"/>
        <v>0</v>
      </c>
      <c r="DQ119" s="3">
        <f t="shared" si="477"/>
        <v>0</v>
      </c>
      <c r="DR119" s="3">
        <f t="shared" ca="1" si="478"/>
        <v>0</v>
      </c>
      <c r="DS119" s="3">
        <f t="shared" si="479"/>
        <v>0</v>
      </c>
      <c r="DT119" s="3">
        <f t="shared" si="500"/>
        <v>0</v>
      </c>
      <c r="DU119" s="3">
        <f t="shared" si="501"/>
        <v>0</v>
      </c>
      <c r="DV119" s="3">
        <f t="shared" si="502"/>
        <v>-20</v>
      </c>
      <c r="DW119" s="3">
        <f t="shared" si="503"/>
        <v>-1093</v>
      </c>
      <c r="DX119" s="3">
        <f t="shared" ca="1" si="512"/>
        <v>1.2354109134317087E-3</v>
      </c>
      <c r="DY119" s="3">
        <f t="shared" ca="1" si="480"/>
        <v>-8.887799859961141E-4</v>
      </c>
      <c r="DZ119" s="3">
        <f t="shared" ca="1" si="504"/>
        <v>1.3969236177955951E-3</v>
      </c>
      <c r="EA119" s="3">
        <f t="shared" ca="1" si="505"/>
        <v>-1.4120030595351899E-3</v>
      </c>
      <c r="EB119" s="3">
        <f t="shared" ca="1" si="481"/>
        <v>1.2545782767556528E-3</v>
      </c>
      <c r="EC119" s="3">
        <f t="shared" ca="1" si="482"/>
        <v>-1.3210067882116919E-3</v>
      </c>
      <c r="ED119" s="63">
        <f t="shared" si="506"/>
        <v>-1113</v>
      </c>
      <c r="EE119" s="59">
        <f t="shared" si="483"/>
        <v>1.5817000000000001</v>
      </c>
      <c r="EF119" s="59">
        <f t="shared" si="484"/>
        <v>1.2776000000000001</v>
      </c>
      <c r="EG119" s="59">
        <f t="shared" si="485"/>
        <v>0.2049</v>
      </c>
      <c r="EH119" s="59">
        <f t="shared" si="486"/>
        <v>0.2147</v>
      </c>
      <c r="EI119" s="59">
        <f t="shared" si="487"/>
        <v>0.16950000000000001</v>
      </c>
      <c r="EJ119" s="59">
        <f t="shared" si="488"/>
        <v>0.18140000000000001</v>
      </c>
      <c r="EK119" s="63">
        <f t="shared" ca="1" si="507"/>
        <v>32308090.953551289</v>
      </c>
      <c r="EL119" s="3" t="str">
        <f>RTD("tos.rtd",,EL$83,"."&amp;$B$82&amp;$AS$82&amp;"C"&amp;$A119)</f>
        <v>158.17%</v>
      </c>
      <c r="EM119" s="3" t="str">
        <f>RTD("tos.rtd",,EM$83,"."&amp;$B$82&amp;$AS$82&amp;"P"&amp;$A119)</f>
        <v>127.76%</v>
      </c>
      <c r="EN119" s="3" t="str">
        <f>RTD("tos.rtd",,EN$83,"."&amp;$C$82&amp;$AU$82&amp;"C"&amp;$A119)</f>
        <v>20.49%</v>
      </c>
      <c r="EO119" s="3" t="str">
        <f>RTD("tos.rtd",,EO$83,"."&amp;$C$82&amp;$AU$82&amp;"P"&amp;$A119)</f>
        <v>21.47%</v>
      </c>
      <c r="EP119" s="3" t="str">
        <f>RTD("tos.rtd",,EP$83,"."&amp;$D$82&amp;$AW$82&amp;"C"&amp;$A119)</f>
        <v>16.95%</v>
      </c>
      <c r="EQ119" s="3" t="str">
        <f>RTD("tos.rtd",,EQ$83,"."&amp;$D$82&amp;$AW$82&amp;"P"&amp;$A119)</f>
        <v>18.14%</v>
      </c>
      <c r="ES119" s="63" t="str">
        <f t="shared" si="489"/>
        <v>5680,-1113.00</v>
      </c>
      <c r="ET119" s="63" t="str">
        <f t="shared" ca="1" si="490"/>
        <v>5680,-1865.84</v>
      </c>
      <c r="EU119" s="67">
        <v>571.65</v>
      </c>
      <c r="EV119" s="67" t="s">
        <v>971</v>
      </c>
      <c r="EW119" s="67">
        <v>496.82</v>
      </c>
      <c r="EX119" s="67" t="s">
        <v>972</v>
      </c>
      <c r="EY119" s="67">
        <v>5659.91</v>
      </c>
      <c r="EZ119" s="67" t="s">
        <v>973</v>
      </c>
      <c r="FA119" s="67">
        <v>20061.449000000001</v>
      </c>
      <c r="FB119" s="67" t="s">
        <v>974</v>
      </c>
      <c r="FC119" s="67" t="s">
        <v>975</v>
      </c>
      <c r="FD119" s="67" t="s">
        <v>976</v>
      </c>
      <c r="FE119" s="68" t="s">
        <v>977</v>
      </c>
      <c r="FF119" s="68" t="s">
        <v>978</v>
      </c>
    </row>
    <row r="120" spans="1:162" s="63" customFormat="1" ht="12" customHeight="1" thickBot="1" x14ac:dyDescent="0.25">
      <c r="A120" s="2">
        <f t="shared" si="508"/>
        <v>5670</v>
      </c>
      <c r="B120" s="3">
        <f t="shared" si="451"/>
        <v>1036</v>
      </c>
      <c r="C120" s="3">
        <f t="shared" si="452"/>
        <v>2889</v>
      </c>
      <c r="D120" s="3">
        <f t="shared" si="453"/>
        <v>17314</v>
      </c>
      <c r="E120" s="3">
        <f t="shared" si="528"/>
        <v>21239</v>
      </c>
      <c r="F120" s="4">
        <f t="shared" si="529"/>
        <v>5693.2943895236867</v>
      </c>
      <c r="G120" s="4">
        <f t="shared" si="530"/>
        <v>565.81101553472854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>
        <v>9</v>
      </c>
      <c r="AN120" s="20">
        <v>-675</v>
      </c>
      <c r="AO120" s="20">
        <v>5670</v>
      </c>
      <c r="AP120" s="20">
        <v>367</v>
      </c>
      <c r="AQ120" s="20">
        <v>-6662</v>
      </c>
      <c r="AR120" s="20"/>
      <c r="AS120" s="54">
        <f>IF(RTD("tos.rtd",,AS$83,"."&amp;$B$82&amp;$AS$82&amp;"C"&amp;$A120)="N/A",0,RTD("tos.rtd",,AS$83,"."&amp;$B$82&amp;$AS$82&amp;"C"&amp;$A120))</f>
        <v>512</v>
      </c>
      <c r="AT120" s="3">
        <f>-IF(RTD("tos.rtd",,AT$83,"."&amp;$B$82&amp;$AS$82&amp;"P"&amp;$A120)="N/A",0,RTD("tos.rtd",,AT$83,"."&amp;$B$82&amp;$AS$82&amp;"P"&amp;$A120))</f>
        <v>-524</v>
      </c>
      <c r="AU120" s="54">
        <f>IF(RTD("tos.rtd",,AU$83,"."&amp;$C$82&amp;$AU$82&amp;"C"&amp;$A120)="N/A",0,RTD("tos.rtd",,AU$83,"."&amp;$C$82&amp;$AU$82&amp;"C"&amp;$A120))</f>
        <v>818</v>
      </c>
      <c r="AV120" s="3">
        <f>-IF(RTD("tos.rtd",,AV$83,"."&amp;$C$82&amp;$AU$82&amp;"P"&amp;$A120)="N/A",0,RTD("tos.rtd",,AV$83,"."&amp;$C$82&amp;$AU$82&amp;"P"&amp;$A120))</f>
        <v>-2071</v>
      </c>
      <c r="AW120" s="54">
        <f>IF(RTD("tos.rtd",,AW$83,"."&amp;$D$82&amp;$AW$82&amp;"C"&amp;$A120)="N/A",0,RTD("tos.rtd",,AW$83,"."&amp;$D$82&amp;$AW$82&amp;"C"&amp;$A120))</f>
        <v>8736</v>
      </c>
      <c r="AX120" s="3">
        <f>-IF(RTD("tos.rtd",,AX$83,"."&amp;$D$82&amp;$AW$82&amp;"P"&amp;$A120)="N/A",0,RTD("tos.rtd",,AX$83,"."&amp;$D$82&amp;$AW$82&amp;"P"&amp;$A120))</f>
        <v>-8578</v>
      </c>
      <c r="AY120" s="79">
        <f t="shared" si="531"/>
        <v>-1107</v>
      </c>
      <c r="AZ120" s="8">
        <f t="shared" si="455"/>
        <v>5670</v>
      </c>
      <c r="BA120" s="54">
        <f>IF(RTD("tos.rtd",,BA$83,"."&amp;$B$82&amp;$AS$82&amp;"C"&amp;$A120)="N/A",0,RTD("tos.rtd",,BA$83,"."&amp;$B$82&amp;$AS$82&amp;"C"&amp;$A120))</f>
        <v>367</v>
      </c>
      <c r="BB120" s="3">
        <f>-IF(RTD("tos.rtd",,BB$83,"."&amp;$B$82&amp;$AS$82&amp;"P"&amp;$A120)="N/A",0,RTD("tos.rtd",,BB$83,"."&amp;$B$82&amp;$AS$82&amp;"P"&amp;$A120))</f>
        <v>-6662</v>
      </c>
      <c r="BC120" s="54">
        <f>IF(RTD("tos.rtd",,BC$83,"."&amp;$C$82&amp;$AU$82&amp;"C"&amp;$A120)="N/A",0,RTD("tos.rtd",,BC$83,"."&amp;$C$82&amp;$AU$82&amp;"C"&amp;$A120))</f>
        <v>156</v>
      </c>
      <c r="BD120" s="3">
        <f>-IF(RTD("tos.rtd",,BD$83,"."&amp;$C$82&amp;$AU$82&amp;"P"&amp;$A120)="N/A",0,RTD("tos.rtd",,BD$83,"."&amp;$C$82&amp;$AU$82&amp;"P"&amp;$A120))</f>
        <v>-337</v>
      </c>
      <c r="BE120" s="54">
        <f>IF(RTD("tos.rtd",,BE$83,"."&amp;$D$82&amp;$AW$82&amp;"C"&amp;$A120)="N/A",0,RTD("tos.rtd",,BE$83,"."&amp;$D$82&amp;$AW$82&amp;"C"&amp;$A120))</f>
        <v>4</v>
      </c>
      <c r="BF120" s="3">
        <f>-IF(RTD("tos.rtd",,BF$83,"."&amp;$D$82&amp;$AW$82&amp;"P"&amp;$A120)="N/A",0,RTD("tos.rtd",,BF$83,"."&amp;$D$82&amp;$AW$82&amp;"P"&amp;$A120))</f>
        <v>-9</v>
      </c>
      <c r="BG120" s="3">
        <f ca="1">+Hoja2!Y121</f>
        <v>-438</v>
      </c>
      <c r="BH120" s="55">
        <f t="shared" ca="1" si="493"/>
        <v>-6919</v>
      </c>
      <c r="BI120" s="32" t="str">
        <f t="shared" ca="1" si="513"/>
        <v/>
      </c>
      <c r="BJ120" s="3">
        <f ca="1">IF($BP$1=1,DX120,IF(RTD("tos.rtd",,BJ$83,"."&amp;$B$82&amp;$AS$82&amp;"C"&amp;$A120)="N/A",0,RTD("tos.rtd",,BJ$83,"."&amp;$B$82&amp;$AS$82&amp;"C"&amp;$A120)))</f>
        <v>1.1067921525391841E-3</v>
      </c>
      <c r="BK120" s="3">
        <f ca="1">IF($BP$1=1,DY120,-IF(RTD("tos.rtd",,BK$83,"."&amp;$B$82&amp;$AS$82&amp;"P"&amp;$A120)="N/A",0,RTD("tos.rtd",,BK$83,"."&amp;$B$82&amp;$AS$82&amp;"P"&amp;$A120)))</f>
        <v>-8.2485021288738135E-4</v>
      </c>
      <c r="BL120" s="3">
        <f ca="1">IF($BP$1=1,DZ120,IF(RTD("tos.rtd",,BL$83,"."&amp;$C$82&amp;$AU$82&amp;"C"&amp;$A120)="N/A",0,RTD("tos.rtd",,BL$83,"."&amp;$C$82&amp;$AU$82&amp;"C"&amp;$A120)))</f>
        <v>1.2850636455672244E-3</v>
      </c>
      <c r="BM120" s="3">
        <f ca="1">IF($BP$1=1,EA120,-IF(RTD("tos.rtd",,BM$83,"."&amp;$C$82&amp;$AU$82&amp;"P"&amp;$A120)="N/A",0,RTD("tos.rtd",,BM$83,"."&amp;$C$82&amp;$AU$82&amp;"P"&amp;$A120)))</f>
        <v>-1.3143434616101875E-3</v>
      </c>
      <c r="BN120" s="3">
        <f ca="1">IF($BP$1=1,EB120,IF(RTD("tos.rtd",,BN$83,"."&amp;$D$82&amp;$AW$82&amp;"C"&amp;$A120)="N/A",0,RTD("tos.rtd",,BN$83,"."&amp;$D$82&amp;$AW$82&amp;"C"&amp;$A120)))</f>
        <v>1.1229254365550927E-3</v>
      </c>
      <c r="BO120" s="3">
        <f ca="1">IF($BP$1=1,EC120,-IF(RTD("tos.rtd",,BO$83,"."&amp;$D$82&amp;$AW$82&amp;"P"&amp;$A120)="N/A",0,RTD("tos.rtd",,BO$83,"."&amp;$D$82&amp;$AW$82&amp;"P"&amp;$A120)))</f>
        <v>-1.1972200994376321E-3</v>
      </c>
      <c r="BQ120" s="3">
        <f t="shared" ca="1" si="456"/>
        <v>34651.840427772186</v>
      </c>
      <c r="BR120" s="3" t="str">
        <f t="shared" ca="1" si="494"/>
        <v/>
      </c>
      <c r="BS120" s="3">
        <f t="shared" ca="1" si="457"/>
        <v>-430602.35435809696</v>
      </c>
      <c r="BT120" s="3" t="str">
        <f t="shared" ca="1" si="494"/>
        <v/>
      </c>
      <c r="BU120" s="3">
        <f t="shared" ca="1" si="458"/>
        <v>-118518.99426811328</v>
      </c>
      <c r="BV120" s="3" t="str">
        <f t="shared" ca="1" si="494"/>
        <v/>
      </c>
      <c r="BX120" s="3">
        <f t="shared" ca="1" si="459"/>
        <v>-1311519.8763053105</v>
      </c>
      <c r="BY120" s="3" t="str">
        <f t="shared" ca="1" si="510"/>
        <v/>
      </c>
      <c r="BZ120" s="3">
        <f t="shared" ca="1" si="460"/>
        <v>-62487.454018290191</v>
      </c>
      <c r="CA120" s="3" t="str">
        <f t="shared" ca="1" si="510"/>
        <v/>
      </c>
      <c r="CB120" s="3">
        <f t="shared" ca="1" si="461"/>
        <v>-1619.3183806327806</v>
      </c>
      <c r="CC120" s="3" t="str">
        <f t="shared" ca="1" si="510"/>
        <v/>
      </c>
      <c r="CD120" s="3">
        <f>IF(RTD("tos.rtd",,CD$83,"."&amp;$B$82&amp;$AS$82&amp;"C"&amp;$A120)="N/A",0,RTD("tos.rtd",,CD$83,"."&amp;$B$82&amp;$AS$82&amp;"C"&amp;$A120))</f>
        <v>0.99</v>
      </c>
      <c r="CE120" s="3">
        <f>-IF(RTD("tos.rtd",,CE$83,"."&amp;$B$82&amp;$AS$82&amp;"P"&amp;$A120)="N/A",0,RTD("tos.rtd",,CE$83,"."&amp;$B$82&amp;$AS$82&amp;"P"&amp;$A120))</f>
        <v>0</v>
      </c>
      <c r="CF120" s="3">
        <f>IF(RTD("tos.rtd",,CF$83,"."&amp;$C$82&amp;$AU$82&amp;"C"&amp;$A120)="N/A",0,RTD("tos.rtd",,CF$83,"."&amp;$C$82&amp;$AU$82&amp;"C"&amp;$A120))</f>
        <v>0.93</v>
      </c>
      <c r="CG120" s="3">
        <f>-IF(RTD("tos.rtd",,CG$83,"."&amp;$C$82&amp;$AU$82&amp;"P"&amp;$A120)="N/A",0,RTD("tos.rtd",,CG$83,"."&amp;$C$82&amp;$AU$82&amp;"P"&amp;$A120))</f>
        <v>0.08</v>
      </c>
      <c r="CH120" s="3">
        <f>IF(RTD("tos.rtd",,CH$83,"."&amp;$D$82&amp;$AW$82&amp;"C"&amp;$A120)="N/A",0,RTD("tos.rtd",,CH$83,"."&amp;$D$82&amp;$AW$82&amp;"C"&amp;$A120))</f>
        <v>0.74</v>
      </c>
      <c r="CI120" s="3">
        <f>-IF(RTD("tos.rtd",,CI$83,"."&amp;$D$82&amp;$AW$82&amp;"P"&amp;$A120)="N/A",0,RTD("tos.rtd",,CI$83,"."&amp;$D$82&amp;$AW$82&amp;"P"&amp;$A120))</f>
        <v>0.27</v>
      </c>
      <c r="CK120" s="3">
        <f t="shared" si="532"/>
        <v>50688</v>
      </c>
      <c r="CL120" s="3"/>
      <c r="CM120" s="3">
        <f t="shared" si="533"/>
        <v>59506</v>
      </c>
      <c r="CN120" s="3"/>
      <c r="CO120" s="3">
        <f t="shared" si="534"/>
        <v>414858</v>
      </c>
      <c r="CP120" s="3">
        <f t="shared" si="462"/>
        <v>525052</v>
      </c>
      <c r="CQ120" s="3">
        <f t="shared" si="463"/>
        <v>-6295</v>
      </c>
      <c r="CR120" s="3"/>
      <c r="CS120" s="3">
        <f t="shared" si="464"/>
        <v>-181</v>
      </c>
      <c r="CT120" s="3"/>
      <c r="CU120" s="3">
        <f t="shared" si="465"/>
        <v>-5</v>
      </c>
      <c r="CV120" s="3"/>
      <c r="CW120" s="3">
        <f t="shared" ca="1" si="535"/>
        <v>-514469.50819843804</v>
      </c>
      <c r="CY120" s="3">
        <f t="shared" ca="1" si="467"/>
        <v>-1375626.6487042333</v>
      </c>
      <c r="CZ120" s="70" t="str">
        <f t="shared" ca="1" si="511"/>
        <v/>
      </c>
      <c r="DA120" s="3">
        <f>IF(RTD("tos.rtd",,DA$83,"."&amp;$B$82&amp;$AS$82&amp;"C"&amp;$A120)="N/A",0,RTD("tos.rtd",,DA$83,"."&amp;$B$82&amp;$AS$82&amp;"C"&amp;$A120))</f>
        <v>165.24</v>
      </c>
      <c r="DB120" s="3">
        <f>IF(RTD("tos.rtd",,DB$83,"."&amp;$B$82&amp;$AS$82&amp;"P"&amp;$A120)="N/A",0,RTD("tos.rtd",,DB$83,"."&amp;$B$82&amp;$AS$82&amp;"P"&amp;$A120))</f>
        <v>0.03</v>
      </c>
      <c r="DC120" s="3">
        <f>IF(RTD("tos.rtd",,DC$83,"."&amp;$B$82&amp;$AS$82&amp;"C"&amp;$A120)="N/A",0,RTD("tos.rtd",,DC$83,"."&amp;$B$82&amp;$AS$82&amp;"C"&amp;$A120))</f>
        <v>176.6</v>
      </c>
      <c r="DD120" s="3">
        <f>IF(RTD("tos.rtd",,DD$83,"."&amp;$B$82&amp;$AS$82&amp;"P"&amp;$A120)="N/A",0,RTD("tos.rtd",,DD$83,"."&amp;$B$82&amp;$AS$82&amp;"P"&amp;$A120))</f>
        <v>0.05</v>
      </c>
      <c r="DE120" s="3">
        <f>IF(RTD("tos.rtd",,DE$83,"."&amp;$B$82&amp;$AS$82&amp;"C"&amp;$A120)="N/A",0,RTD("tos.rtd",,DE$83,"."&amp;$B$82&amp;$AS$82&amp;"C"&amp;$A120))</f>
        <v>172.1</v>
      </c>
      <c r="DF120" s="3">
        <f>IF(RTD("tos.rtd",,DF$83,"."&amp;$B$82&amp;$AS$82&amp;"P"&amp;$A120)="N/A",0,RTD("tos.rtd",,DF$83,"."&amp;$B$82&amp;$AS$82&amp;"P"&amp;$A120))</f>
        <v>0</v>
      </c>
      <c r="DG120" s="86">
        <f t="shared" si="499"/>
        <v>-171.75</v>
      </c>
      <c r="DH120" s="3">
        <f t="shared" si="468"/>
        <v>0</v>
      </c>
      <c r="DI120" s="3">
        <f t="shared" si="469"/>
        <v>0</v>
      </c>
      <c r="DJ120" s="3">
        <f t="shared" si="470"/>
        <v>0</v>
      </c>
      <c r="DK120" s="3">
        <f t="shared" si="471"/>
        <v>0</v>
      </c>
      <c r="DL120" s="3">
        <f t="shared" si="472"/>
        <v>0</v>
      </c>
      <c r="DM120" s="3">
        <f t="shared" si="473"/>
        <v>0</v>
      </c>
      <c r="DN120" s="64" t="str">
        <f t="shared" si="474"/>
        <v>UNKNOWN</v>
      </c>
      <c r="DO120" s="64" t="str">
        <f t="shared" si="475"/>
        <v>UNKNOWN</v>
      </c>
      <c r="DP120" s="3">
        <f t="shared" si="476"/>
        <v>0</v>
      </c>
      <c r="DQ120" s="3">
        <f t="shared" si="477"/>
        <v>0</v>
      </c>
      <c r="DR120" s="3">
        <f t="shared" ca="1" si="478"/>
        <v>0</v>
      </c>
      <c r="DS120" s="3">
        <f t="shared" si="479"/>
        <v>0</v>
      </c>
      <c r="DT120" s="3">
        <f t="shared" si="500"/>
        <v>0</v>
      </c>
      <c r="DU120" s="3">
        <f t="shared" si="501"/>
        <v>0</v>
      </c>
      <c r="DV120" s="3">
        <f t="shared" si="502"/>
        <v>9</v>
      </c>
      <c r="DW120" s="3">
        <f t="shared" si="503"/>
        <v>-675</v>
      </c>
      <c r="DX120" s="3">
        <f t="shared" ca="1" si="512"/>
        <v>1.1067921525391841E-3</v>
      </c>
      <c r="DY120" s="3">
        <f t="shared" ca="1" si="480"/>
        <v>-8.2485021288738135E-4</v>
      </c>
      <c r="DZ120" s="3">
        <f t="shared" ca="1" si="504"/>
        <v>1.2850636455672244E-3</v>
      </c>
      <c r="EA120" s="3">
        <f t="shared" ca="1" si="505"/>
        <v>-1.3143434616101875E-3</v>
      </c>
      <c r="EB120" s="3">
        <f t="shared" ca="1" si="481"/>
        <v>1.1229254365550927E-3</v>
      </c>
      <c r="EC120" s="3">
        <f t="shared" ca="1" si="482"/>
        <v>-1.1972200994376321E-3</v>
      </c>
      <c r="ED120" s="63">
        <f t="shared" si="506"/>
        <v>-666</v>
      </c>
      <c r="EE120" s="59">
        <f t="shared" si="483"/>
        <v>1.6106</v>
      </c>
      <c r="EF120" s="59">
        <f t="shared" si="484"/>
        <v>1.3495999999999999</v>
      </c>
      <c r="EG120" s="59">
        <f t="shared" si="485"/>
        <v>0.2044</v>
      </c>
      <c r="EH120" s="59">
        <f t="shared" si="486"/>
        <v>0.21709999999999999</v>
      </c>
      <c r="EI120" s="59">
        <f t="shared" si="487"/>
        <v>0.1709</v>
      </c>
      <c r="EJ120" s="59">
        <f t="shared" si="488"/>
        <v>0.18279999999999999</v>
      </c>
      <c r="EK120" s="63">
        <f t="shared" ca="1" si="507"/>
        <v>19340423.802376375</v>
      </c>
      <c r="EL120" s="3" t="str">
        <f>RTD("tos.rtd",,EL$83,"."&amp;$B$82&amp;$AS$82&amp;"C"&amp;$A120)</f>
        <v>161.06%</v>
      </c>
      <c r="EM120" s="3" t="str">
        <f>RTD("tos.rtd",,EM$83,"."&amp;$B$82&amp;$AS$82&amp;"P"&amp;$A120)</f>
        <v>134.96%</v>
      </c>
      <c r="EN120" s="3" t="str">
        <f>RTD("tos.rtd",,EN$83,"."&amp;$C$82&amp;$AU$82&amp;"C"&amp;$A120)</f>
        <v>20.44%</v>
      </c>
      <c r="EO120" s="3" t="str">
        <f>RTD("tos.rtd",,EO$83,"."&amp;$C$82&amp;$AU$82&amp;"P"&amp;$A120)</f>
        <v>21.71%</v>
      </c>
      <c r="EP120" s="3" t="str">
        <f>RTD("tos.rtd",,EP$83,"."&amp;$D$82&amp;$AW$82&amp;"C"&amp;$A120)</f>
        <v>17.09%</v>
      </c>
      <c r="EQ120" s="3" t="str">
        <f>RTD("tos.rtd",,EQ$83,"."&amp;$D$82&amp;$AW$82&amp;"P"&amp;$A120)</f>
        <v>18.28%</v>
      </c>
      <c r="ES120" s="63" t="str">
        <f t="shared" si="489"/>
        <v>5670,-666.00</v>
      </c>
      <c r="ET120" s="63" t="str">
        <f t="shared" ca="1" si="490"/>
        <v>5670,-1375.63</v>
      </c>
      <c r="EU120" s="67">
        <v>571.95000000000005</v>
      </c>
      <c r="EV120" s="67" t="s">
        <v>979</v>
      </c>
      <c r="EW120" s="67">
        <v>497.31</v>
      </c>
      <c r="EX120" s="67" t="s">
        <v>980</v>
      </c>
      <c r="EY120" s="67">
        <v>5659.91</v>
      </c>
      <c r="EZ120" s="67" t="s">
        <v>981</v>
      </c>
      <c r="FA120" s="67">
        <v>20061.449000000001</v>
      </c>
      <c r="FB120" s="67" t="s">
        <v>982</v>
      </c>
      <c r="FC120" s="67" t="s">
        <v>983</v>
      </c>
      <c r="FD120" s="67" t="s">
        <v>984</v>
      </c>
      <c r="FE120" s="68" t="s">
        <v>985</v>
      </c>
      <c r="FF120" s="68" t="s">
        <v>986</v>
      </c>
    </row>
    <row r="121" spans="1:162" s="63" customFormat="1" ht="12" customHeight="1" thickBot="1" x14ac:dyDescent="0.25">
      <c r="A121" s="2">
        <f t="shared" si="508"/>
        <v>5660</v>
      </c>
      <c r="B121" s="3">
        <f t="shared" si="451"/>
        <v>1560</v>
      </c>
      <c r="C121" s="3">
        <f t="shared" si="452"/>
        <v>4011</v>
      </c>
      <c r="D121" s="3">
        <f t="shared" si="453"/>
        <v>9511</v>
      </c>
      <c r="E121" s="3">
        <f t="shared" si="528"/>
        <v>15082</v>
      </c>
      <c r="F121" s="4">
        <f t="shared" si="529"/>
        <v>5683.2533059442803</v>
      </c>
      <c r="G121" s="4">
        <f t="shared" si="530"/>
        <v>564.81311250909403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>
        <v>-83</v>
      </c>
      <c r="AN121" s="20">
        <v>-1190</v>
      </c>
      <c r="AO121" s="20">
        <v>5660</v>
      </c>
      <c r="AP121" s="20">
        <v>308</v>
      </c>
      <c r="AQ121" s="20">
        <v>-5029</v>
      </c>
      <c r="AR121" s="20"/>
      <c r="AS121" s="54">
        <f>IF(RTD("tos.rtd",,AS$83,"."&amp;$B$82&amp;$AS$82&amp;"C"&amp;$A121)="N/A",0,RTD("tos.rtd",,AS$83,"."&amp;$B$82&amp;$AS$82&amp;"C"&amp;$A121))</f>
        <v>684</v>
      </c>
      <c r="AT121" s="3">
        <f>-IF(RTD("tos.rtd",,AT$83,"."&amp;$B$82&amp;$AS$82&amp;"P"&amp;$A121)="N/A",0,RTD("tos.rtd",,AT$83,"."&amp;$B$82&amp;$AS$82&amp;"P"&amp;$A121))</f>
        <v>-876</v>
      </c>
      <c r="AU121" s="54">
        <f>IF(RTD("tos.rtd",,AU$83,"."&amp;$C$82&amp;$AU$82&amp;"C"&amp;$A121)="N/A",0,RTD("tos.rtd",,AU$83,"."&amp;$C$82&amp;$AU$82&amp;"C"&amp;$A121))</f>
        <v>2058</v>
      </c>
      <c r="AV121" s="3">
        <f>-IF(RTD("tos.rtd",,AV$83,"."&amp;$C$82&amp;$AU$82&amp;"P"&amp;$A121)="N/A",0,RTD("tos.rtd",,AV$83,"."&amp;$C$82&amp;$AU$82&amp;"P"&amp;$A121))</f>
        <v>-1953</v>
      </c>
      <c r="AW121" s="54">
        <f>IF(RTD("tos.rtd",,AW$83,"."&amp;$D$82&amp;$AW$82&amp;"C"&amp;$A121)="N/A",0,RTD("tos.rtd",,AW$83,"."&amp;$D$82&amp;$AW$82&amp;"C"&amp;$A121))</f>
        <v>4772</v>
      </c>
      <c r="AX121" s="3">
        <f>-IF(RTD("tos.rtd",,AX$83,"."&amp;$D$82&amp;$AW$82&amp;"P"&amp;$A121)="N/A",0,RTD("tos.rtd",,AX$83,"."&amp;$D$82&amp;$AW$82&amp;"P"&amp;$A121))</f>
        <v>-4739</v>
      </c>
      <c r="AY121" s="79">
        <f t="shared" si="531"/>
        <v>-54</v>
      </c>
      <c r="AZ121" s="8">
        <f t="shared" si="455"/>
        <v>5660</v>
      </c>
      <c r="BA121" s="54">
        <f>IF(RTD("tos.rtd",,BA$83,"."&amp;$B$82&amp;$AS$82&amp;"C"&amp;$A121)="N/A",0,RTD("tos.rtd",,BA$83,"."&amp;$B$82&amp;$AS$82&amp;"C"&amp;$A121))</f>
        <v>308</v>
      </c>
      <c r="BB121" s="3">
        <f>-IF(RTD("tos.rtd",,BB$83,"."&amp;$B$82&amp;$AS$82&amp;"P"&amp;$A121)="N/A",0,RTD("tos.rtd",,BB$83,"."&amp;$B$82&amp;$AS$82&amp;"P"&amp;$A121))</f>
        <v>-5029</v>
      </c>
      <c r="BC121" s="54">
        <f>IF(RTD("tos.rtd",,BC$83,"."&amp;$C$82&amp;$AU$82&amp;"C"&amp;$A121)="N/A",0,RTD("tos.rtd",,BC$83,"."&amp;$C$82&amp;$AU$82&amp;"C"&amp;$A121))</f>
        <v>4</v>
      </c>
      <c r="BD121" s="3">
        <f>-IF(RTD("tos.rtd",,BD$83,"."&amp;$C$82&amp;$AU$82&amp;"P"&amp;$A121)="N/A",0,RTD("tos.rtd",,BD$83,"."&amp;$C$82&amp;$AU$82&amp;"P"&amp;$A121))</f>
        <v>-46</v>
      </c>
      <c r="BE121" s="54">
        <f>IF(RTD("tos.rtd",,BE$83,"."&amp;$D$82&amp;$AW$82&amp;"C"&amp;$A121)="N/A",0,RTD("tos.rtd",,BE$83,"."&amp;$D$82&amp;$AW$82&amp;"C"&amp;$A121))</f>
        <v>8</v>
      </c>
      <c r="BF121" s="3">
        <f>-IF(RTD("tos.rtd",,BF$83,"."&amp;$D$82&amp;$AW$82&amp;"P"&amp;$A121)="N/A",0,RTD("tos.rtd",,BF$83,"."&amp;$D$82&amp;$AW$82&amp;"P"&amp;$A121))</f>
        <v>-27</v>
      </c>
      <c r="BG121" s="3">
        <f ca="1">+Hoja2!Y122</f>
        <v>258</v>
      </c>
      <c r="BH121" s="55">
        <f t="shared" ca="1" si="493"/>
        <v>-4524</v>
      </c>
      <c r="BI121" s="32" t="str">
        <f t="shared" ca="1" si="513"/>
        <v/>
      </c>
      <c r="BJ121" s="3">
        <f ca="1">IF($BP$1=1,DX121,IF(RTD("tos.rtd",,BJ$83,"."&amp;$B$82&amp;$AS$82&amp;"C"&amp;$A121)="N/A",0,RTD("tos.rtd",,BJ$83,"."&amp;$B$82&amp;$AS$82&amp;"C"&amp;$A121)))</f>
        <v>1.0775534300489188E-3</v>
      </c>
      <c r="BK121" s="3">
        <f ca="1">IF($BP$1=1,DY121,-IF(RTD("tos.rtd",,BK$83,"."&amp;$B$82&amp;$AS$82&amp;"P"&amp;$A121)="N/A",0,RTD("tos.rtd",,BK$83,"."&amp;$B$82&amp;$AS$82&amp;"P"&amp;$A121)))</f>
        <v>-7.6862231363643773E-4</v>
      </c>
      <c r="BL121" s="3">
        <f ca="1">IF($BP$1=1,DZ121,IF(RTD("tos.rtd",,BL$83,"."&amp;$C$82&amp;$AU$82&amp;"C"&amp;$A121)="N/A",0,RTD("tos.rtd",,BL$83,"."&amp;$C$82&amp;$AU$82&amp;"C"&amp;$A121)))</f>
        <v>1.1872105414779278E-3</v>
      </c>
      <c r="BM121" s="3">
        <f ca="1">IF($BP$1=1,EA121,-IF(RTD("tos.rtd",,BM$83,"."&amp;$C$82&amp;$AU$82&amp;"P"&amp;$A121)="N/A",0,RTD("tos.rtd",,BM$83,"."&amp;$C$82&amp;$AU$82&amp;"P"&amp;$A121)))</f>
        <v>-1.2222865763364518E-3</v>
      </c>
      <c r="BN121" s="3">
        <f ca="1">IF($BP$1=1,EB121,IF(RTD("tos.rtd",,BN$83,"."&amp;$D$82&amp;$AW$82&amp;"C"&amp;$A121)="N/A",0,RTD("tos.rtd",,BN$83,"."&amp;$D$82&amp;$AW$82&amp;"C"&amp;$A121)))</f>
        <v>1.001479272635236E-3</v>
      </c>
      <c r="BO121" s="3">
        <f ca="1">IF($BP$1=1,EC121,-IF(RTD("tos.rtd",,BO$83,"."&amp;$D$82&amp;$AW$82&amp;"P"&amp;$A121)="N/A",0,RTD("tos.rtd",,BO$83,"."&amp;$D$82&amp;$AW$82&amp;"P"&amp;$A121)))</f>
        <v>-1.0820258233559419E-3</v>
      </c>
      <c r="BQ121" s="3">
        <f t="shared" ca="1" si="456"/>
        <v>16425.287286900362</v>
      </c>
      <c r="BR121" s="3" t="str">
        <f t="shared" ca="1" si="494"/>
        <v/>
      </c>
      <c r="BS121" s="3">
        <f t="shared" ca="1" si="457"/>
        <v>14471.834199473611</v>
      </c>
      <c r="BT121" s="3" t="str">
        <f t="shared" ca="1" si="494"/>
        <v>Cruce +</v>
      </c>
      <c r="BU121" s="3">
        <f t="shared" ca="1" si="458"/>
        <v>-89856.525342450477</v>
      </c>
      <c r="BV121" s="3" t="str">
        <f t="shared" ca="1" si="494"/>
        <v/>
      </c>
      <c r="BX121" s="3">
        <f t="shared" ca="1" si="459"/>
        <v>-910652.84694427857</v>
      </c>
      <c r="BY121" s="3" t="str">
        <f t="shared" ca="1" si="510"/>
        <v/>
      </c>
      <c r="BZ121" s="3">
        <f t="shared" ca="1" si="460"/>
        <v>-13266.414258593879</v>
      </c>
      <c r="CA121" s="3" t="str">
        <f t="shared" ca="1" si="510"/>
        <v/>
      </c>
      <c r="CB121" s="3">
        <f t="shared" ca="1" si="461"/>
        <v>-5464.3737840526737</v>
      </c>
      <c r="CC121" s="3" t="str">
        <f t="shared" ca="1" si="510"/>
        <v/>
      </c>
      <c r="CD121" s="3">
        <f>IF(RTD("tos.rtd",,CD$83,"."&amp;$B$82&amp;$AS$82&amp;"C"&amp;$A121)="N/A",0,RTD("tos.rtd",,CD$83,"."&amp;$B$82&amp;$AS$82&amp;"C"&amp;$A121))</f>
        <v>0.99</v>
      </c>
      <c r="CE121" s="3">
        <f>-IF(RTD("tos.rtd",,CE$83,"."&amp;$B$82&amp;$AS$82&amp;"P"&amp;$A121)="N/A",0,RTD("tos.rtd",,CE$83,"."&amp;$B$82&amp;$AS$82&amp;"P"&amp;$A121))</f>
        <v>0</v>
      </c>
      <c r="CF121" s="3">
        <f>IF(RTD("tos.rtd",,CF$83,"."&amp;$C$82&amp;$AU$82&amp;"C"&amp;$A121)="N/A",0,RTD("tos.rtd",,CF$83,"."&amp;$C$82&amp;$AU$82&amp;"C"&amp;$A121))</f>
        <v>0.94</v>
      </c>
      <c r="CG121" s="3">
        <f>-IF(RTD("tos.rtd",,CG$83,"."&amp;$C$82&amp;$AU$82&amp;"P"&amp;$A121)="N/A",0,RTD("tos.rtd",,CG$83,"."&amp;$C$82&amp;$AU$82&amp;"P"&amp;$A121))</f>
        <v>7.0000000000000007E-2</v>
      </c>
      <c r="CH121" s="3">
        <f>IF(RTD("tos.rtd",,CH$83,"."&amp;$D$82&amp;$AW$82&amp;"C"&amp;$A121)="N/A",0,RTD("tos.rtd",,CH$83,"."&amp;$D$82&amp;$AW$82&amp;"C"&amp;$A121))</f>
        <v>0.75</v>
      </c>
      <c r="CI121" s="3">
        <f>-IF(RTD("tos.rtd",,CI$83,"."&amp;$D$82&amp;$AW$82&amp;"P"&amp;$A121)="N/A",0,RTD("tos.rtd",,CI$83,"."&amp;$D$82&amp;$AW$82&amp;"P"&amp;$A121))</f>
        <v>0.26</v>
      </c>
      <c r="CK121" s="3">
        <f t="shared" si="532"/>
        <v>67716</v>
      </c>
      <c r="CL121" s="3"/>
      <c r="CM121" s="3">
        <f t="shared" si="533"/>
        <v>179781</v>
      </c>
      <c r="CN121" s="3"/>
      <c r="CO121" s="3">
        <f t="shared" si="534"/>
        <v>234686</v>
      </c>
      <c r="CP121" s="3">
        <f t="shared" si="462"/>
        <v>482183</v>
      </c>
      <c r="CQ121" s="3">
        <f t="shared" si="463"/>
        <v>-4721</v>
      </c>
      <c r="CR121" s="3"/>
      <c r="CS121" s="3">
        <f t="shared" si="464"/>
        <v>-42</v>
      </c>
      <c r="CT121" s="3"/>
      <c r="CU121" s="3">
        <f t="shared" si="465"/>
        <v>-19</v>
      </c>
      <c r="CV121" s="3"/>
      <c r="CW121" s="3">
        <f t="shared" ca="1" si="535"/>
        <v>-58959.403856076504</v>
      </c>
      <c r="CY121" s="3">
        <f t="shared" ca="1" si="467"/>
        <v>-929383.63498692517</v>
      </c>
      <c r="CZ121" s="70" t="str">
        <f t="shared" ca="1" si="511"/>
        <v/>
      </c>
      <c r="DA121" s="3">
        <f>IF(RTD("tos.rtd",,DA$83,"."&amp;$B$82&amp;$AS$82&amp;"C"&amp;$A121)="N/A",0,RTD("tos.rtd",,DA$83,"."&amp;$B$82&amp;$AS$82&amp;"C"&amp;$A121))</f>
        <v>171.88</v>
      </c>
      <c r="DB121" s="3">
        <f>IF(RTD("tos.rtd",,DB$83,"."&amp;$B$82&amp;$AS$82&amp;"P"&amp;$A121)="N/A",0,RTD("tos.rtd",,DB$83,"."&amp;$B$82&amp;$AS$82&amp;"P"&amp;$A121))</f>
        <v>0.05</v>
      </c>
      <c r="DC121" s="3">
        <f>IF(RTD("tos.rtd",,DC$83,"."&amp;$B$82&amp;$AS$82&amp;"C"&amp;$A121)="N/A",0,RTD("tos.rtd",,DC$83,"."&amp;$B$82&amp;$AS$82&amp;"C"&amp;$A121))</f>
        <v>186.7</v>
      </c>
      <c r="DD121" s="3">
        <f>IF(RTD("tos.rtd",,DD$83,"."&amp;$B$82&amp;$AS$82&amp;"P"&amp;$A121)="N/A",0,RTD("tos.rtd",,DD$83,"."&amp;$B$82&amp;$AS$82&amp;"P"&amp;$A121))</f>
        <v>0.05</v>
      </c>
      <c r="DE121" s="3">
        <f>IF(RTD("tos.rtd",,DE$83,"."&amp;$B$82&amp;$AS$82&amp;"C"&amp;$A121)="N/A",0,RTD("tos.rtd",,DE$83,"."&amp;$B$82&amp;$AS$82&amp;"C"&amp;$A121))</f>
        <v>182.1</v>
      </c>
      <c r="DF121" s="3">
        <f>IF(RTD("tos.rtd",,DF$83,"."&amp;$B$82&amp;$AS$82&amp;"P"&amp;$A121)="N/A",0,RTD("tos.rtd",,DF$83,"."&amp;$B$82&amp;$AS$82&amp;"P"&amp;$A121))</f>
        <v>0</v>
      </c>
      <c r="DG121" s="86">
        <f t="shared" si="499"/>
        <v>-181.75</v>
      </c>
      <c r="DH121" s="3">
        <f t="shared" si="468"/>
        <v>0</v>
      </c>
      <c r="DI121" s="3">
        <f t="shared" si="469"/>
        <v>0</v>
      </c>
      <c r="DJ121" s="3">
        <f t="shared" si="470"/>
        <v>0</v>
      </c>
      <c r="DK121" s="3">
        <f t="shared" si="471"/>
        <v>0</v>
      </c>
      <c r="DL121" s="3">
        <f t="shared" si="472"/>
        <v>0</v>
      </c>
      <c r="DM121" s="3">
        <f t="shared" si="473"/>
        <v>0</v>
      </c>
      <c r="DN121" s="64" t="str">
        <f t="shared" si="474"/>
        <v>UNKNOWN</v>
      </c>
      <c r="DO121" s="64" t="str">
        <f t="shared" si="475"/>
        <v>UNKNOWN</v>
      </c>
      <c r="DP121" s="3">
        <f t="shared" si="476"/>
        <v>0</v>
      </c>
      <c r="DQ121" s="3">
        <f t="shared" si="477"/>
        <v>0</v>
      </c>
      <c r="DR121" s="3">
        <f t="shared" ca="1" si="478"/>
        <v>0</v>
      </c>
      <c r="DS121" s="3">
        <f t="shared" si="479"/>
        <v>0</v>
      </c>
      <c r="DT121" s="3">
        <f t="shared" si="500"/>
        <v>0</v>
      </c>
      <c r="DU121" s="3">
        <f t="shared" si="501"/>
        <v>0</v>
      </c>
      <c r="DV121" s="3">
        <f t="shared" si="502"/>
        <v>-83</v>
      </c>
      <c r="DW121" s="3">
        <f t="shared" si="503"/>
        <v>-1190</v>
      </c>
      <c r="DX121" s="3">
        <f t="shared" ca="1" si="512"/>
        <v>1.0775534300489188E-3</v>
      </c>
      <c r="DY121" s="3">
        <f t="shared" ca="1" si="480"/>
        <v>-7.6862231363643773E-4</v>
      </c>
      <c r="DZ121" s="3">
        <f t="shared" ca="1" si="504"/>
        <v>1.1872105414779278E-3</v>
      </c>
      <c r="EA121" s="3">
        <f t="shared" ca="1" si="505"/>
        <v>-1.2222865763364518E-3</v>
      </c>
      <c r="EB121" s="3">
        <f t="shared" ca="1" si="481"/>
        <v>1.001479272635236E-3</v>
      </c>
      <c r="EC121" s="3">
        <f t="shared" ca="1" si="482"/>
        <v>-1.0820258233559419E-3</v>
      </c>
      <c r="ED121" s="63">
        <f t="shared" si="506"/>
        <v>-1273</v>
      </c>
      <c r="EE121" s="59">
        <f t="shared" si="483"/>
        <v>1.7528999999999999</v>
      </c>
      <c r="EF121" s="59">
        <f t="shared" si="484"/>
        <v>1.4214</v>
      </c>
      <c r="EG121" s="59">
        <f t="shared" si="485"/>
        <v>0.20730000000000001</v>
      </c>
      <c r="EH121" s="59">
        <f t="shared" si="486"/>
        <v>0.2198</v>
      </c>
      <c r="EI121" s="59">
        <f t="shared" si="487"/>
        <v>0.17230000000000001</v>
      </c>
      <c r="EJ121" s="59">
        <f t="shared" si="488"/>
        <v>0.18429999999999999</v>
      </c>
      <c r="EK121" s="63">
        <f t="shared" ca="1" si="507"/>
        <v>28161616.742259491</v>
      </c>
      <c r="EL121" s="3" t="str">
        <f>RTD("tos.rtd",,EL$83,"."&amp;$B$82&amp;$AS$82&amp;"C"&amp;$A121)</f>
        <v>175.29%</v>
      </c>
      <c r="EM121" s="3" t="str">
        <f>RTD("tos.rtd",,EM$83,"."&amp;$B$82&amp;$AS$82&amp;"P"&amp;$A121)</f>
        <v>142.14%</v>
      </c>
      <c r="EN121" s="3" t="str">
        <f>RTD("tos.rtd",,EN$83,"."&amp;$C$82&amp;$AU$82&amp;"C"&amp;$A121)</f>
        <v>20.73%</v>
      </c>
      <c r="EO121" s="3" t="str">
        <f>RTD("tos.rtd",,EO$83,"."&amp;$C$82&amp;$AU$82&amp;"P"&amp;$A121)</f>
        <v>21.98%</v>
      </c>
      <c r="EP121" s="3" t="str">
        <f>RTD("tos.rtd",,EP$83,"."&amp;$D$82&amp;$AW$82&amp;"C"&amp;$A121)</f>
        <v>17.23%</v>
      </c>
      <c r="EQ121" s="3" t="str">
        <f>RTD("tos.rtd",,EQ$83,"."&amp;$D$82&amp;$AW$82&amp;"P"&amp;$A121)</f>
        <v>18.43%</v>
      </c>
      <c r="ES121" s="63" t="str">
        <f t="shared" si="489"/>
        <v>5660,-1273.00</v>
      </c>
      <c r="ET121" s="63" t="str">
        <f t="shared" ca="1" si="490"/>
        <v>5660,-929.38</v>
      </c>
      <c r="EU121" s="67">
        <v>572.05999999999995</v>
      </c>
      <c r="EV121" s="67" t="s">
        <v>987</v>
      </c>
      <c r="EW121" s="67">
        <v>497.45</v>
      </c>
      <c r="EX121" s="67" t="s">
        <v>988</v>
      </c>
      <c r="EY121" s="67">
        <v>5731.75</v>
      </c>
      <c r="EZ121" s="67" t="s">
        <v>989</v>
      </c>
      <c r="FA121" s="67">
        <v>20424.25</v>
      </c>
      <c r="FB121" s="67" t="s">
        <v>990</v>
      </c>
      <c r="FC121" s="67" t="s">
        <v>991</v>
      </c>
      <c r="FD121" s="67" t="s">
        <v>992</v>
      </c>
      <c r="FE121" s="68" t="s">
        <v>993</v>
      </c>
      <c r="FF121" s="68" t="s">
        <v>994</v>
      </c>
    </row>
    <row r="122" spans="1:162" s="63" customFormat="1" ht="12" customHeight="1" thickBot="1" x14ac:dyDescent="0.25">
      <c r="A122" s="2">
        <f t="shared" si="508"/>
        <v>5650</v>
      </c>
      <c r="B122" s="3">
        <f t="shared" si="451"/>
        <v>3182</v>
      </c>
      <c r="C122" s="3">
        <f t="shared" si="452"/>
        <v>34397</v>
      </c>
      <c r="D122" s="3">
        <f t="shared" si="453"/>
        <v>138647</v>
      </c>
      <c r="E122" s="3">
        <f t="shared" si="523"/>
        <v>176226</v>
      </c>
      <c r="F122" s="4">
        <f t="shared" si="524"/>
        <v>5673.212222364873</v>
      </c>
      <c r="G122" s="4">
        <f t="shared" si="525"/>
        <v>563.81520948345963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>
        <v>-27</v>
      </c>
      <c r="AN122" s="20">
        <v>610</v>
      </c>
      <c r="AO122" s="20">
        <v>5650</v>
      </c>
      <c r="AP122" s="20">
        <v>421</v>
      </c>
      <c r="AQ122" s="20">
        <v>-8534</v>
      </c>
      <c r="AR122" s="20"/>
      <c r="AS122" s="54">
        <f>IF(RTD("tos.rtd",,AS$83,"."&amp;$B$82&amp;$AS$82&amp;"C"&amp;$A122)="N/A",0,RTD("tos.rtd",,AS$83,"."&amp;$B$82&amp;$AS$82&amp;"C"&amp;$A122))</f>
        <v>1784</v>
      </c>
      <c r="AT122" s="3">
        <f>-IF(RTD("tos.rtd",,AT$83,"."&amp;$B$82&amp;$AS$82&amp;"P"&amp;$A122)="N/A",0,RTD("tos.rtd",,AT$83,"."&amp;$B$82&amp;$AS$82&amp;"P"&amp;$A122))</f>
        <v>-1398</v>
      </c>
      <c r="AU122" s="54">
        <f>IF(RTD("tos.rtd",,AU$83,"."&amp;$C$82&amp;$AU$82&amp;"C"&amp;$A122)="N/A",0,RTD("tos.rtd",,AU$83,"."&amp;$C$82&amp;$AU$82&amp;"C"&amp;$A122))</f>
        <v>17114</v>
      </c>
      <c r="AV122" s="3">
        <f>-IF(RTD("tos.rtd",,AV$83,"."&amp;$C$82&amp;$AU$82&amp;"P"&amp;$A122)="N/A",0,RTD("tos.rtd",,AV$83,"."&amp;$C$82&amp;$AU$82&amp;"P"&amp;$A122))</f>
        <v>-17283</v>
      </c>
      <c r="AW122" s="54">
        <f>IF(RTD("tos.rtd",,AW$83,"."&amp;$D$82&amp;$AW$82&amp;"C"&amp;$A122)="N/A",0,RTD("tos.rtd",,AW$83,"."&amp;$D$82&amp;$AW$82&amp;"C"&amp;$A122))</f>
        <v>70033</v>
      </c>
      <c r="AX122" s="3">
        <f>-IF(RTD("tos.rtd",,AX$83,"."&amp;$D$82&amp;$AW$82&amp;"P"&amp;$A122)="N/A",0,RTD("tos.rtd",,AX$83,"."&amp;$D$82&amp;$AW$82&amp;"P"&amp;$A122))</f>
        <v>-68614</v>
      </c>
      <c r="AY122" s="79">
        <f t="shared" si="526"/>
        <v>1636</v>
      </c>
      <c r="AZ122" s="8">
        <f t="shared" si="455"/>
        <v>5650</v>
      </c>
      <c r="BA122" s="54">
        <f>IF(RTD("tos.rtd",,BA$83,"."&amp;$B$82&amp;$AS$82&amp;"C"&amp;$A122)="N/A",0,RTD("tos.rtd",,BA$83,"."&amp;$B$82&amp;$AS$82&amp;"C"&amp;$A122))</f>
        <v>421</v>
      </c>
      <c r="BB122" s="3">
        <f>-IF(RTD("tos.rtd",,BB$83,"."&amp;$B$82&amp;$AS$82&amp;"P"&amp;$A122)="N/A",0,RTD("tos.rtd",,BB$83,"."&amp;$B$82&amp;$AS$82&amp;"P"&amp;$A122))</f>
        <v>-8534</v>
      </c>
      <c r="BC122" s="54">
        <f>IF(RTD("tos.rtd",,BC$83,"."&amp;$C$82&amp;$AU$82&amp;"C"&amp;$A122)="N/A",0,RTD("tos.rtd",,BC$83,"."&amp;$C$82&amp;$AU$82&amp;"C"&amp;$A122))</f>
        <v>62</v>
      </c>
      <c r="BD122" s="3">
        <f>-IF(RTD("tos.rtd",,BD$83,"."&amp;$C$82&amp;$AU$82&amp;"P"&amp;$A122)="N/A",0,RTD("tos.rtd",,BD$83,"."&amp;$C$82&amp;$AU$82&amp;"P"&amp;$A122))</f>
        <v>-2843</v>
      </c>
      <c r="BE122" s="54">
        <f>IF(RTD("tos.rtd",,BE$83,"."&amp;$D$82&amp;$AW$82&amp;"C"&amp;$A122)="N/A",0,RTD("tos.rtd",,BE$83,"."&amp;$D$82&amp;$AW$82&amp;"C"&amp;$A122))</f>
        <v>138</v>
      </c>
      <c r="BF122" s="3">
        <f>-IF(RTD("tos.rtd",,BF$83,"."&amp;$D$82&amp;$AW$82&amp;"P"&amp;$A122)="N/A",0,RTD("tos.rtd",,BF$83,"."&amp;$D$82&amp;$AW$82&amp;"P"&amp;$A122))</f>
        <v>-701</v>
      </c>
      <c r="BG122" s="3">
        <f ca="1">+Hoja2!Y123</f>
        <v>-4593</v>
      </c>
      <c r="BH122" s="55">
        <f t="shared" ca="1" si="493"/>
        <v>-16050</v>
      </c>
      <c r="BI122" s="32" t="str">
        <f t="shared" ca="1" si="513"/>
        <v/>
      </c>
      <c r="BJ122" s="3">
        <f ca="1">IF($BP$1=1,DX122,IF(RTD("tos.rtd",,BJ$83,"."&amp;$B$82&amp;$AS$82&amp;"C"&amp;$A122)="N/A",0,RTD("tos.rtd",,BJ$83,"."&amp;$B$82&amp;$AS$82&amp;"C"&amp;$A122)))</f>
        <v>9.7104852328426376E-4</v>
      </c>
      <c r="BK122" s="3">
        <f ca="1">IF($BP$1=1,DY122,-IF(RTD("tos.rtd",,BK$83,"."&amp;$B$82&amp;$AS$82&amp;"P"&amp;$A122)="N/A",0,RTD("tos.rtd",,BK$83,"."&amp;$B$82&amp;$AS$82&amp;"P"&amp;$A122)))</f>
        <v>-7.1879986979328557E-4</v>
      </c>
      <c r="BL122" s="3">
        <f ca="1">IF($BP$1=1,DZ122,IF(RTD("tos.rtd",,BL$83,"."&amp;$C$82&amp;$AU$82&amp;"C"&amp;$A122)="N/A",0,RTD("tos.rtd",,BL$83,"."&amp;$C$82&amp;$AU$82&amp;"C"&amp;$A122)))</f>
        <v>1.0519550993362055E-3</v>
      </c>
      <c r="BM122" s="3">
        <f ca="1">IF($BP$1=1,EA122,-IF(RTD("tos.rtd",,BM$83,"."&amp;$C$82&amp;$AU$82&amp;"P"&amp;$A122)="N/A",0,RTD("tos.rtd",,BM$83,"."&amp;$C$82&amp;$AU$82&amp;"P"&amp;$A122)))</f>
        <v>-1.1368174257738266E-3</v>
      </c>
      <c r="BN122" s="3">
        <f ca="1">IF($BP$1=1,EB122,IF(RTD("tos.rtd",,BN$83,"."&amp;$D$82&amp;$AW$82&amp;"C"&amp;$A122)="N/A",0,RTD("tos.rtd",,BN$83,"."&amp;$D$82&amp;$AW$82&amp;"C"&amp;$A122)))</f>
        <v>8.8934275446944655E-4</v>
      </c>
      <c r="BO122" s="3">
        <f ca="1">IF($BP$1=1,EC122,-IF(RTD("tos.rtd",,BO$83,"."&amp;$D$82&amp;$AW$82&amp;"P"&amp;$A122)="N/A",0,RTD("tos.rtd",,BO$83,"."&amp;$D$82&amp;$AW$82&amp;"P"&amp;$A122)))</f>
        <v>-9.7438130238760266E-4</v>
      </c>
      <c r="BQ122" s="3">
        <f t="shared" ca="1" si="456"/>
        <v>187482.17907617465</v>
      </c>
      <c r="BR122" s="3" t="str">
        <f t="shared" ca="1" si="494"/>
        <v/>
      </c>
      <c r="BS122" s="3">
        <f t="shared" ca="1" si="457"/>
        <v>-423807.0223017633</v>
      </c>
      <c r="BT122" s="3" t="str">
        <f t="shared" ca="1" si="494"/>
        <v>Cruce -</v>
      </c>
      <c r="BU122" s="3">
        <f t="shared" ca="1" si="458"/>
        <v>-1178510.7936233059</v>
      </c>
      <c r="BV122" s="3" t="str">
        <f t="shared" ca="1" si="494"/>
        <v/>
      </c>
      <c r="BX122" s="3">
        <f t="shared" ca="1" si="459"/>
        <v>-1475549.3761923991</v>
      </c>
      <c r="BY122" s="3" t="str">
        <f t="shared" ca="1" si="510"/>
        <v/>
      </c>
      <c r="BZ122" s="3">
        <f t="shared" ca="1" si="460"/>
        <v>-816130.80288381607</v>
      </c>
      <c r="CA122" s="3" t="str">
        <f t="shared" ca="1" si="510"/>
        <v/>
      </c>
      <c r="CB122" s="3">
        <f t="shared" ca="1" si="461"/>
        <v>-144402.86472188358</v>
      </c>
      <c r="CC122" s="3" t="str">
        <f t="shared" ca="1" si="510"/>
        <v/>
      </c>
      <c r="CD122" s="3">
        <f>IF(RTD("tos.rtd",,CD$83,"."&amp;$B$82&amp;$AS$82&amp;"C"&amp;$A122)="N/A",0,RTD("tos.rtd",,CD$83,"."&amp;$B$82&amp;$AS$82&amp;"C"&amp;$A122))</f>
        <v>0.99</v>
      </c>
      <c r="CE122" s="3">
        <f>-IF(RTD("tos.rtd",,CE$83,"."&amp;$B$82&amp;$AS$82&amp;"P"&amp;$A122)="N/A",0,RTD("tos.rtd",,CE$83,"."&amp;$B$82&amp;$AS$82&amp;"P"&amp;$A122))</f>
        <v>0</v>
      </c>
      <c r="CF122" s="3">
        <f>IF(RTD("tos.rtd",,CF$83,"."&amp;$C$82&amp;$AU$82&amp;"C"&amp;$A122)="N/A",0,RTD("tos.rtd",,CF$83,"."&amp;$C$82&amp;$AU$82&amp;"C"&amp;$A122))</f>
        <v>0.96</v>
      </c>
      <c r="CG122" s="3">
        <f>-IF(RTD("tos.rtd",,CG$83,"."&amp;$C$82&amp;$AU$82&amp;"P"&amp;$A122)="N/A",0,RTD("tos.rtd",,CG$83,"."&amp;$C$82&amp;$AU$82&amp;"P"&amp;$A122))</f>
        <v>0.06</v>
      </c>
      <c r="CH122" s="3">
        <f>IF(RTD("tos.rtd",,CH$83,"."&amp;$D$82&amp;$AW$82&amp;"C"&amp;$A122)="N/A",0,RTD("tos.rtd",,CH$83,"."&amp;$D$82&amp;$AW$82&amp;"C"&amp;$A122))</f>
        <v>0.76</v>
      </c>
      <c r="CI122" s="3">
        <f>-IF(RTD("tos.rtd",,CI$83,"."&amp;$D$82&amp;$AW$82&amp;"P"&amp;$A122)="N/A",0,RTD("tos.rtd",,CI$83,"."&amp;$D$82&amp;$AW$82&amp;"P"&amp;$A122))</f>
        <v>0.25</v>
      </c>
      <c r="CK122" s="3">
        <f t="shared" si="495"/>
        <v>176616</v>
      </c>
      <c r="CL122" s="3"/>
      <c r="CM122" s="3">
        <f t="shared" si="496"/>
        <v>1539245.9999999998</v>
      </c>
      <c r="CN122" s="3"/>
      <c r="CO122" s="3">
        <f t="shared" si="497"/>
        <v>3607158</v>
      </c>
      <c r="CP122" s="3">
        <f t="shared" si="462"/>
        <v>5323020</v>
      </c>
      <c r="CQ122" s="3">
        <f t="shared" si="463"/>
        <v>-8113</v>
      </c>
      <c r="CR122" s="3"/>
      <c r="CS122" s="3">
        <f t="shared" si="464"/>
        <v>-2781</v>
      </c>
      <c r="CT122" s="3"/>
      <c r="CU122" s="3">
        <f t="shared" si="465"/>
        <v>-563</v>
      </c>
      <c r="CV122" s="3"/>
      <c r="CW122" s="3">
        <f t="shared" ca="1" si="527"/>
        <v>-1414835.6368488944</v>
      </c>
      <c r="CY122" s="3">
        <f t="shared" ca="1" si="467"/>
        <v>-2436083.0437980988</v>
      </c>
      <c r="CZ122" s="70" t="str">
        <f t="shared" ca="1" si="511"/>
        <v/>
      </c>
      <c r="DA122" s="3">
        <f>IF(RTD("tos.rtd",,DA$83,"."&amp;$B$82&amp;$AS$82&amp;"C"&amp;$A122)="N/A",0,RTD("tos.rtd",,DA$83,"."&amp;$B$82&amp;$AS$82&amp;"C"&amp;$A122))</f>
        <v>177.98</v>
      </c>
      <c r="DB122" s="3">
        <f>IF(RTD("tos.rtd",,DB$83,"."&amp;$B$82&amp;$AS$82&amp;"P"&amp;$A122)="N/A",0,RTD("tos.rtd",,DB$83,"."&amp;$B$82&amp;$AS$82&amp;"P"&amp;$A122))</f>
        <v>0.03</v>
      </c>
      <c r="DC122" s="3">
        <f>IF(RTD("tos.rtd",,DC$83,"."&amp;$B$82&amp;$AS$82&amp;"C"&amp;$A122)="N/A",0,RTD("tos.rtd",,DC$83,"."&amp;$B$82&amp;$AS$82&amp;"C"&amp;$A122))</f>
        <v>196.6</v>
      </c>
      <c r="DD122" s="3">
        <f>IF(RTD("tos.rtd",,DD$83,"."&amp;$B$82&amp;$AS$82&amp;"P"&amp;$A122)="N/A",0,RTD("tos.rtd",,DD$83,"."&amp;$B$82&amp;$AS$82&amp;"P"&amp;$A122))</f>
        <v>0.05</v>
      </c>
      <c r="DE122" s="3">
        <f>IF(RTD("tos.rtd",,DE$83,"."&amp;$B$82&amp;$AS$82&amp;"C"&amp;$A122)="N/A",0,RTD("tos.rtd",,DE$83,"."&amp;$B$82&amp;$AS$82&amp;"C"&amp;$A122))</f>
        <v>192.1</v>
      </c>
      <c r="DF122" s="3">
        <f>IF(RTD("tos.rtd",,DF$83,"."&amp;$B$82&amp;$AS$82&amp;"P"&amp;$A122)="N/A",0,RTD("tos.rtd",,DF$83,"."&amp;$B$82&amp;$AS$82&amp;"P"&amp;$A122))</f>
        <v>0</v>
      </c>
      <c r="DG122" s="86">
        <f t="shared" si="499"/>
        <v>-191.75</v>
      </c>
      <c r="DH122" s="3">
        <f t="shared" si="468"/>
        <v>0</v>
      </c>
      <c r="DI122" s="3">
        <f t="shared" si="469"/>
        <v>0</v>
      </c>
      <c r="DJ122" s="3">
        <f t="shared" si="470"/>
        <v>0</v>
      </c>
      <c r="DK122" s="3">
        <f t="shared" si="471"/>
        <v>0</v>
      </c>
      <c r="DL122" s="3">
        <f t="shared" si="472"/>
        <v>0</v>
      </c>
      <c r="DM122" s="3">
        <f t="shared" si="473"/>
        <v>0</v>
      </c>
      <c r="DN122" s="64" t="str">
        <f t="shared" si="474"/>
        <v>UNKNOWN</v>
      </c>
      <c r="DO122" s="64" t="str">
        <f t="shared" si="475"/>
        <v>UNKNOWN</v>
      </c>
      <c r="DP122" s="3">
        <f t="shared" si="476"/>
        <v>0</v>
      </c>
      <c r="DQ122" s="3">
        <f t="shared" si="477"/>
        <v>0</v>
      </c>
      <c r="DR122" s="3">
        <f t="shared" ca="1" si="478"/>
        <v>0</v>
      </c>
      <c r="DS122" s="3">
        <f t="shared" si="479"/>
        <v>0</v>
      </c>
      <c r="DT122" s="3">
        <f t="shared" si="500"/>
        <v>0</v>
      </c>
      <c r="DU122" s="3">
        <f t="shared" si="501"/>
        <v>0</v>
      </c>
      <c r="DV122" s="3">
        <f t="shared" si="502"/>
        <v>-27</v>
      </c>
      <c r="DW122" s="3">
        <f t="shared" si="503"/>
        <v>610</v>
      </c>
      <c r="DX122" s="3">
        <f t="shared" ca="1" si="512"/>
        <v>9.7104852328426376E-4</v>
      </c>
      <c r="DY122" s="3">
        <f t="shared" ca="1" si="480"/>
        <v>-7.1879986979328557E-4</v>
      </c>
      <c r="DZ122" s="3">
        <f t="shared" ca="1" si="504"/>
        <v>1.0519550993362055E-3</v>
      </c>
      <c r="EA122" s="3">
        <f t="shared" ca="1" si="505"/>
        <v>-1.1368174257738266E-3</v>
      </c>
      <c r="EB122" s="3">
        <f t="shared" ca="1" si="481"/>
        <v>8.8934275446944655E-4</v>
      </c>
      <c r="EC122" s="3">
        <f t="shared" ca="1" si="482"/>
        <v>-9.7438130238760266E-4</v>
      </c>
      <c r="ED122" s="63">
        <f t="shared" si="506"/>
        <v>583</v>
      </c>
      <c r="EE122" s="59">
        <f t="shared" si="483"/>
        <v>1.7766999999999999</v>
      </c>
      <c r="EF122" s="59">
        <f t="shared" si="484"/>
        <v>1.4930000000000001</v>
      </c>
      <c r="EG122" s="59">
        <f t="shared" si="485"/>
        <v>0.19980000000000001</v>
      </c>
      <c r="EH122" s="59">
        <f t="shared" si="486"/>
        <v>0.223</v>
      </c>
      <c r="EI122" s="59">
        <f t="shared" si="487"/>
        <v>0.1736</v>
      </c>
      <c r="EJ122" s="59">
        <f t="shared" si="488"/>
        <v>0.1857</v>
      </c>
      <c r="EK122" s="63">
        <f t="shared" ca="1" si="507"/>
        <v>-15857902.319507033</v>
      </c>
      <c r="EL122" s="3" t="str">
        <f>RTD("tos.rtd",,EL$83,"."&amp;$B$82&amp;$AS$82&amp;"C"&amp;$A122)</f>
        <v>177.67%</v>
      </c>
      <c r="EM122" s="3" t="str">
        <f>RTD("tos.rtd",,EM$83,"."&amp;$B$82&amp;$AS$82&amp;"P"&amp;$A122)</f>
        <v>149.30%</v>
      </c>
      <c r="EN122" s="3" t="str">
        <f>RTD("tos.rtd",,EN$83,"."&amp;$C$82&amp;$AU$82&amp;"C"&amp;$A122)</f>
        <v>19.98%</v>
      </c>
      <c r="EO122" s="3" t="str">
        <f>RTD("tos.rtd",,EO$83,"."&amp;$C$82&amp;$AU$82&amp;"P"&amp;$A122)</f>
        <v>22.30%</v>
      </c>
      <c r="EP122" s="3" t="str">
        <f>RTD("tos.rtd",,EP$83,"."&amp;$D$82&amp;$AW$82&amp;"C"&amp;$A122)</f>
        <v>17.36%</v>
      </c>
      <c r="EQ122" s="3" t="str">
        <f>RTD("tos.rtd",,EQ$83,"."&amp;$D$82&amp;$AW$82&amp;"P"&amp;$A122)</f>
        <v>18.57%</v>
      </c>
      <c r="ES122" s="63" t="str">
        <f t="shared" si="489"/>
        <v>5650,583.00</v>
      </c>
      <c r="ET122" s="63" t="str">
        <f t="shared" ca="1" si="490"/>
        <v>5650,-2436.08</v>
      </c>
      <c r="EU122" s="67">
        <v>572.05999999999995</v>
      </c>
      <c r="EV122" s="67" t="s">
        <v>995</v>
      </c>
      <c r="EW122" s="67">
        <v>497.37</v>
      </c>
      <c r="EX122" s="67" t="s">
        <v>996</v>
      </c>
      <c r="EY122" s="67">
        <v>5731.5</v>
      </c>
      <c r="EZ122" s="67" t="s">
        <v>997</v>
      </c>
      <c r="FA122" s="67">
        <v>20420.5</v>
      </c>
      <c r="FB122" s="67" t="s">
        <v>998</v>
      </c>
      <c r="FC122" s="67" t="s">
        <v>999</v>
      </c>
      <c r="FD122" s="67" t="s">
        <v>1000</v>
      </c>
      <c r="FE122" s="68" t="s">
        <v>1001</v>
      </c>
      <c r="FF122" s="68" t="s">
        <v>1002</v>
      </c>
    </row>
    <row r="123" spans="1:162" s="63" customFormat="1" ht="12" customHeight="1" thickBot="1" x14ac:dyDescent="0.25">
      <c r="A123" s="2">
        <f t="shared" si="508"/>
        <v>5640</v>
      </c>
      <c r="B123" s="3">
        <f t="shared" si="451"/>
        <v>1023</v>
      </c>
      <c r="C123" s="3">
        <f t="shared" si="452"/>
        <v>3370</v>
      </c>
      <c r="D123" s="3">
        <f t="shared" si="453"/>
        <v>9494</v>
      </c>
      <c r="E123" s="3">
        <f t="shared" si="519"/>
        <v>13887</v>
      </c>
      <c r="F123" s="4">
        <f t="shared" si="522"/>
        <v>5663.1711387854666</v>
      </c>
      <c r="G123" s="4">
        <f t="shared" si="520"/>
        <v>562.81730645782511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>
        <v>-8</v>
      </c>
      <c r="AN123" s="20">
        <v>-630</v>
      </c>
      <c r="AO123" s="20">
        <v>5640</v>
      </c>
      <c r="AP123" s="20">
        <v>59</v>
      </c>
      <c r="AQ123" s="20">
        <v>-3134</v>
      </c>
      <c r="AR123" s="20"/>
      <c r="AS123" s="54">
        <f>IF(RTD("tos.rtd",,AS$83,"."&amp;$B$82&amp;$AS$82&amp;"C"&amp;$A123)="N/A",0,RTD("tos.rtd",,AS$83,"."&amp;$B$82&amp;$AS$82&amp;"C"&amp;$A123))</f>
        <v>352</v>
      </c>
      <c r="AT123" s="3">
        <f>-IF(RTD("tos.rtd",,AT$83,"."&amp;$B$82&amp;$AS$82&amp;"P"&amp;$A123)="N/A",0,RTD("tos.rtd",,AT$83,"."&amp;$B$82&amp;$AS$82&amp;"P"&amp;$A123))</f>
        <v>-671</v>
      </c>
      <c r="AU123" s="54">
        <f>IF(RTD("tos.rtd",,AU$83,"."&amp;$C$82&amp;$AU$82&amp;"C"&amp;$A123)="N/A",0,RTD("tos.rtd",,AU$83,"."&amp;$C$82&amp;$AU$82&amp;"C"&amp;$A123))</f>
        <v>1317</v>
      </c>
      <c r="AV123" s="3">
        <f>-IF(RTD("tos.rtd",,AV$83,"."&amp;$C$82&amp;$AU$82&amp;"P"&amp;$A123)="N/A",0,RTD("tos.rtd",,AV$83,"."&amp;$C$82&amp;$AU$82&amp;"P"&amp;$A123))</f>
        <v>-2053</v>
      </c>
      <c r="AW123" s="54">
        <f>IF(RTD("tos.rtd",,AW$83,"."&amp;$D$82&amp;$AW$82&amp;"C"&amp;$A123)="N/A",0,RTD("tos.rtd",,AW$83,"."&amp;$D$82&amp;$AW$82&amp;"C"&amp;$A123))</f>
        <v>4786</v>
      </c>
      <c r="AX123" s="3">
        <f>-IF(RTD("tos.rtd",,AX$83,"."&amp;$D$82&amp;$AW$82&amp;"P"&amp;$A123)="N/A",0,RTD("tos.rtd",,AX$83,"."&amp;$D$82&amp;$AW$82&amp;"P"&amp;$A123))</f>
        <v>-4708</v>
      </c>
      <c r="AY123" s="79">
        <f t="shared" si="521"/>
        <v>-977</v>
      </c>
      <c r="AZ123" s="8">
        <f t="shared" si="455"/>
        <v>5640</v>
      </c>
      <c r="BA123" s="54">
        <f>IF(RTD("tos.rtd",,BA$83,"."&amp;$B$82&amp;$AS$82&amp;"C"&amp;$A123)="N/A",0,RTD("tos.rtd",,BA$83,"."&amp;$B$82&amp;$AS$82&amp;"C"&amp;$A123))</f>
        <v>59</v>
      </c>
      <c r="BB123" s="3">
        <f>-IF(RTD("tos.rtd",,BB$83,"."&amp;$B$82&amp;$AS$82&amp;"P"&amp;$A123)="N/A",0,RTD("tos.rtd",,BB$83,"."&amp;$B$82&amp;$AS$82&amp;"P"&amp;$A123))</f>
        <v>-3134</v>
      </c>
      <c r="BC123" s="54">
        <f>IF(RTD("tos.rtd",,BC$83,"."&amp;$C$82&amp;$AU$82&amp;"C"&amp;$A123)="N/A",0,RTD("tos.rtd",,BC$83,"."&amp;$C$82&amp;$AU$82&amp;"C"&amp;$A123))</f>
        <v>457</v>
      </c>
      <c r="BD123" s="3">
        <f>-IF(RTD("tos.rtd",,BD$83,"."&amp;$C$82&amp;$AU$82&amp;"P"&amp;$A123)="N/A",0,RTD("tos.rtd",,BD$83,"."&amp;$C$82&amp;$AU$82&amp;"P"&amp;$A123))</f>
        <v>-361</v>
      </c>
      <c r="BE123" s="54">
        <f>IF(RTD("tos.rtd",,BE$83,"."&amp;$D$82&amp;$AW$82&amp;"C"&amp;$A123)="N/A",0,RTD("tos.rtd",,BE$83,"."&amp;$D$82&amp;$AW$82&amp;"C"&amp;$A123))</f>
        <v>2</v>
      </c>
      <c r="BF123" s="3">
        <f>-IF(RTD("tos.rtd",,BF$83,"."&amp;$D$82&amp;$AW$82&amp;"P"&amp;$A123)="N/A",0,RTD("tos.rtd",,BF$83,"."&amp;$D$82&amp;$AW$82&amp;"P"&amp;$A123))</f>
        <v>-17</v>
      </c>
      <c r="BG123" s="3">
        <f ca="1">+Hoja2!Y124</f>
        <v>-177</v>
      </c>
      <c r="BH123" s="55">
        <f t="shared" ca="1" si="493"/>
        <v>-3171</v>
      </c>
      <c r="BI123" s="32" t="str">
        <f t="shared" ca="1" si="513"/>
        <v/>
      </c>
      <c r="BJ123" s="3">
        <f ca="1">IF($BP$1=1,DX123,IF(RTD("tos.rtd",,BJ$83,"."&amp;$B$82&amp;$AS$82&amp;"C"&amp;$A123)="N/A",0,RTD("tos.rtd",,BJ$83,"."&amp;$B$82&amp;$AS$82&amp;"C"&amp;$A123)))</f>
        <v>1.1548455116162204E-3</v>
      </c>
      <c r="BK123" s="3">
        <f ca="1">IF($BP$1=1,DY123,-IF(RTD("tos.rtd",,BK$83,"."&amp;$B$82&amp;$AS$82&amp;"P"&amp;$A123)="N/A",0,RTD("tos.rtd",,BK$83,"."&amp;$B$82&amp;$AS$82&amp;"P"&amp;$A123)))</f>
        <v>-6.7445719417324915E-4</v>
      </c>
      <c r="BL123" s="3">
        <f ca="1">IF($BP$1=1,DZ123,IF(RTD("tos.rtd",,BL$83,"."&amp;$C$82&amp;$AU$82&amp;"C"&amp;$A123)="N/A",0,RTD("tos.rtd",,BL$83,"."&amp;$C$82&amp;$AU$82&amp;"C"&amp;$A123)))</f>
        <v>9.3444813449096626E-4</v>
      </c>
      <c r="BM123" s="3">
        <f ca="1">IF($BP$1=1,EA123,-IF(RTD("tos.rtd",,BM$83,"."&amp;$C$82&amp;$AU$82&amp;"P"&amp;$A123)="N/A",0,RTD("tos.rtd",,BM$83,"."&amp;$C$82&amp;$AU$82&amp;"P"&amp;$A123)))</f>
        <v>-1.0568452812610323E-3</v>
      </c>
      <c r="BN123" s="3">
        <f ca="1">IF($BP$1=1,EB123,IF(RTD("tos.rtd",,BN$83,"."&amp;$D$82&amp;$AW$82&amp;"C"&amp;$A123)="N/A",0,RTD("tos.rtd",,BN$83,"."&amp;$D$82&amp;$AW$82&amp;"C"&amp;$A123)))</f>
        <v>7.8385751515732348E-4</v>
      </c>
      <c r="BO123" s="3">
        <f ca="1">IF($BP$1=1,EC123,-IF(RTD("tos.rtd",,BO$83,"."&amp;$D$82&amp;$AW$82&amp;"P"&amp;$A123)="N/A",0,RTD("tos.rtd",,BO$83,"."&amp;$D$82&amp;$AW$82&amp;"P"&amp;$A123)))</f>
        <v>-8.7479308958643095E-4</v>
      </c>
      <c r="BQ123" s="3">
        <f t="shared" ca="1" si="456"/>
        <v>-11869.274118479298</v>
      </c>
      <c r="BR123" s="3" t="str">
        <f t="shared" ca="1" si="494"/>
        <v>Cruce -</v>
      </c>
      <c r="BS123" s="3">
        <f t="shared" ca="1" si="457"/>
        <v>-242006.90017492522</v>
      </c>
      <c r="BT123" s="3" t="str">
        <f t="shared" ca="1" si="494"/>
        <v/>
      </c>
      <c r="BU123" s="3">
        <f t="shared" ca="1" si="458"/>
        <v>-94578.578446484753</v>
      </c>
      <c r="BV123" s="3" t="str">
        <f t="shared" ca="1" si="494"/>
        <v/>
      </c>
      <c r="BX123" s="3">
        <f t="shared" ca="1" si="459"/>
        <v>-527192.6631902454</v>
      </c>
      <c r="BY123" s="3" t="str">
        <f t="shared" ca="1" si="510"/>
        <v/>
      </c>
      <c r="BZ123" s="3">
        <f t="shared" ca="1" si="460"/>
        <v>11731.779588067744</v>
      </c>
      <c r="CA123" s="3" t="str">
        <f t="shared" ca="1" si="510"/>
        <v>Cruce +</v>
      </c>
      <c r="CB123" s="3">
        <f t="shared" ca="1" si="461"/>
        <v>-3428.6293386972966</v>
      </c>
      <c r="CC123" s="3" t="str">
        <f t="shared" ca="1" si="510"/>
        <v/>
      </c>
      <c r="CD123" s="3">
        <f>IF(RTD("tos.rtd",,CD$83,"."&amp;$B$82&amp;$AS$82&amp;"C"&amp;$A123)="N/A",0,RTD("tos.rtd",,CD$83,"."&amp;$B$82&amp;$AS$82&amp;"C"&amp;$A123))</f>
        <v>0.96</v>
      </c>
      <c r="CE123" s="3">
        <f>-IF(RTD("tos.rtd",,CE$83,"."&amp;$B$82&amp;$AS$82&amp;"P"&amp;$A123)="N/A",0,RTD("tos.rtd",,CE$83,"."&amp;$B$82&amp;$AS$82&amp;"P"&amp;$A123))</f>
        <v>0</v>
      </c>
      <c r="CF123" s="3">
        <f>IF(RTD("tos.rtd",,CF$83,"."&amp;$C$82&amp;$AU$82&amp;"C"&amp;$A123)="N/A",0,RTD("tos.rtd",,CF$83,"."&amp;$C$82&amp;$AU$82&amp;"C"&amp;$A123))</f>
        <v>0.97</v>
      </c>
      <c r="CG123" s="3">
        <f>-IF(RTD("tos.rtd",,CG$83,"."&amp;$C$82&amp;$AU$82&amp;"P"&amp;$A123)="N/A",0,RTD("tos.rtd",,CG$83,"."&amp;$C$82&amp;$AU$82&amp;"P"&amp;$A123))</f>
        <v>0.06</v>
      </c>
      <c r="CH123" s="3">
        <f>IF(RTD("tos.rtd",,CH$83,"."&amp;$D$82&amp;$AW$82&amp;"C"&amp;$A123)="N/A",0,RTD("tos.rtd",,CH$83,"."&amp;$D$82&amp;$AW$82&amp;"C"&amp;$A123))</f>
        <v>0.77</v>
      </c>
      <c r="CI123" s="3">
        <f>-IF(RTD("tos.rtd",,CI$83,"."&amp;$D$82&amp;$AW$82&amp;"P"&amp;$A123)="N/A",0,RTD("tos.rtd",,CI$83,"."&amp;$D$82&amp;$AW$82&amp;"P"&amp;$A123))</f>
        <v>0.24</v>
      </c>
      <c r="CK123" s="3">
        <f t="shared" si="495"/>
        <v>33791.999999999993</v>
      </c>
      <c r="CL123" s="3"/>
      <c r="CM123" s="3">
        <f t="shared" si="496"/>
        <v>115431</v>
      </c>
      <c r="CN123" s="3"/>
      <c r="CO123" s="3">
        <f t="shared" si="497"/>
        <v>255530</v>
      </c>
      <c r="CP123" s="3">
        <f t="shared" si="462"/>
        <v>404753</v>
      </c>
      <c r="CQ123" s="3">
        <f t="shared" si="463"/>
        <v>-3075</v>
      </c>
      <c r="CR123" s="3"/>
      <c r="CS123" s="3">
        <f t="shared" si="464"/>
        <v>96</v>
      </c>
      <c r="CT123" s="3"/>
      <c r="CU123" s="3">
        <f t="shared" si="465"/>
        <v>-15</v>
      </c>
      <c r="CV123" s="3"/>
      <c r="CW123" s="3">
        <f t="shared" ca="1" si="466"/>
        <v>-348454.75273988926</v>
      </c>
      <c r="CY123" s="3">
        <f t="shared" ca="1" si="467"/>
        <v>-518889.51294087496</v>
      </c>
      <c r="CZ123" s="70" t="str">
        <f t="shared" ca="1" si="511"/>
        <v/>
      </c>
      <c r="DA123" s="3">
        <f>IF(RTD("tos.rtd",,DA$83,"."&amp;$B$82&amp;$AS$82&amp;"C"&amp;$A123)="N/A",0,RTD("tos.rtd",,DA$83,"."&amp;$B$82&amp;$AS$82&amp;"C"&amp;$A123))</f>
        <v>193.93</v>
      </c>
      <c r="DB123" s="3">
        <f>IF(RTD("tos.rtd",,DB$83,"."&amp;$B$82&amp;$AS$82&amp;"P"&amp;$A123)="N/A",0,RTD("tos.rtd",,DB$83,"."&amp;$B$82&amp;$AS$82&amp;"P"&amp;$A123))</f>
        <v>0.05</v>
      </c>
      <c r="DC123" s="3">
        <f>IF(RTD("tos.rtd",,DC$83,"."&amp;$B$82&amp;$AS$82&amp;"C"&amp;$A123)="N/A",0,RTD("tos.rtd",,DC$83,"."&amp;$B$82&amp;$AS$82&amp;"C"&amp;$A123))</f>
        <v>212.2</v>
      </c>
      <c r="DD123" s="3">
        <f>IF(RTD("tos.rtd",,DD$83,"."&amp;$B$82&amp;$AS$82&amp;"P"&amp;$A123)="N/A",0,RTD("tos.rtd",,DD$83,"."&amp;$B$82&amp;$AS$82&amp;"P"&amp;$A123))</f>
        <v>0.05</v>
      </c>
      <c r="DE123" s="3">
        <f>IF(RTD("tos.rtd",,DE$83,"."&amp;$B$82&amp;$AS$82&amp;"C"&amp;$A123)="N/A",0,RTD("tos.rtd",,DE$83,"."&amp;$B$82&amp;$AS$82&amp;"C"&amp;$A123))</f>
        <v>200</v>
      </c>
      <c r="DF123" s="3">
        <f>IF(RTD("tos.rtd",,DF$83,"."&amp;$B$82&amp;$AS$82&amp;"P"&amp;$A123)="N/A",0,RTD("tos.rtd",,DF$83,"."&amp;$B$82&amp;$AS$82&amp;"P"&amp;$A123))</f>
        <v>0</v>
      </c>
      <c r="DG123" s="86">
        <f t="shared" si="499"/>
        <v>-201.75</v>
      </c>
      <c r="DH123" s="3">
        <f t="shared" si="468"/>
        <v>0</v>
      </c>
      <c r="DI123" s="3">
        <f t="shared" si="469"/>
        <v>0</v>
      </c>
      <c r="DJ123" s="3">
        <f t="shared" si="470"/>
        <v>0</v>
      </c>
      <c r="DK123" s="3">
        <f t="shared" si="471"/>
        <v>0</v>
      </c>
      <c r="DL123" s="3">
        <f t="shared" si="472"/>
        <v>0</v>
      </c>
      <c r="DM123" s="3">
        <f t="shared" si="473"/>
        <v>0</v>
      </c>
      <c r="DN123" s="64" t="str">
        <f t="shared" si="474"/>
        <v>UNKNOWN</v>
      </c>
      <c r="DO123" s="64" t="str">
        <f t="shared" si="475"/>
        <v>UNKNOWN</v>
      </c>
      <c r="DP123" s="3">
        <f t="shared" si="476"/>
        <v>0</v>
      </c>
      <c r="DQ123" s="3">
        <f t="shared" si="477"/>
        <v>0</v>
      </c>
      <c r="DR123" s="3">
        <f t="shared" ca="1" si="478"/>
        <v>0</v>
      </c>
      <c r="DS123" s="3">
        <f t="shared" si="479"/>
        <v>0</v>
      </c>
      <c r="DT123" s="3">
        <f t="shared" si="500"/>
        <v>0</v>
      </c>
      <c r="DU123" s="3">
        <f t="shared" si="501"/>
        <v>0</v>
      </c>
      <c r="DV123" s="3">
        <f t="shared" si="502"/>
        <v>-8</v>
      </c>
      <c r="DW123" s="3">
        <f t="shared" si="503"/>
        <v>-630</v>
      </c>
      <c r="DX123" s="3">
        <f t="shared" ca="1" si="512"/>
        <v>1.1548455116162204E-3</v>
      </c>
      <c r="DY123" s="3">
        <f t="shared" ca="1" si="480"/>
        <v>-6.7445719417324915E-4</v>
      </c>
      <c r="DZ123" s="3">
        <f t="shared" ca="1" si="504"/>
        <v>9.3444813449096626E-4</v>
      </c>
      <c r="EA123" s="3">
        <f t="shared" ca="1" si="505"/>
        <v>-1.0568452812610323E-3</v>
      </c>
      <c r="EB123" s="3">
        <f t="shared" ca="1" si="481"/>
        <v>7.8385751515732348E-4</v>
      </c>
      <c r="EC123" s="3">
        <f t="shared" ca="1" si="482"/>
        <v>-8.7479308958643095E-4</v>
      </c>
      <c r="ED123" s="63">
        <f t="shared" si="506"/>
        <v>-638</v>
      </c>
      <c r="EE123" s="59">
        <f t="shared" si="483"/>
        <v>2.6932999999999998</v>
      </c>
      <c r="EF123" s="59">
        <f t="shared" si="484"/>
        <v>1.5645</v>
      </c>
      <c r="EG123" s="59">
        <f t="shared" si="485"/>
        <v>0.19700000000000001</v>
      </c>
      <c r="EH123" s="59">
        <f t="shared" si="486"/>
        <v>0.22620000000000001</v>
      </c>
      <c r="EI123" s="59">
        <f t="shared" si="487"/>
        <v>0.17449999999999999</v>
      </c>
      <c r="EJ123" s="59">
        <f t="shared" si="488"/>
        <v>0.18709999999999999</v>
      </c>
      <c r="EK123" s="63">
        <f t="shared" ca="1" si="507"/>
        <v>14185147.347587012</v>
      </c>
      <c r="EL123" s="3" t="str">
        <f>RTD("tos.rtd",,EL$83,"."&amp;$B$82&amp;$AS$82&amp;"C"&amp;$A123)</f>
        <v>269.33%</v>
      </c>
      <c r="EM123" s="3" t="str">
        <f>RTD("tos.rtd",,EM$83,"."&amp;$B$82&amp;$AS$82&amp;"P"&amp;$A123)</f>
        <v>156.45%</v>
      </c>
      <c r="EN123" s="3" t="str">
        <f>RTD("tos.rtd",,EN$83,"."&amp;$C$82&amp;$AU$82&amp;"C"&amp;$A123)</f>
        <v>19.70%</v>
      </c>
      <c r="EO123" s="3" t="str">
        <f>RTD("tos.rtd",,EO$83,"."&amp;$C$82&amp;$AU$82&amp;"P"&amp;$A123)</f>
        <v>22.62%</v>
      </c>
      <c r="EP123" s="3" t="str">
        <f>RTD("tos.rtd",,EP$83,"."&amp;$D$82&amp;$AW$82&amp;"C"&amp;$A123)</f>
        <v>17.45%</v>
      </c>
      <c r="EQ123" s="3" t="str">
        <f>RTD("tos.rtd",,EQ$83,"."&amp;$D$82&amp;$AW$82&amp;"P"&amp;$A123)</f>
        <v>18.71%</v>
      </c>
      <c r="ES123" s="63" t="str">
        <f t="shared" si="489"/>
        <v>5640,-638.00</v>
      </c>
      <c r="ET123" s="63" t="str">
        <f t="shared" ca="1" si="490"/>
        <v>5640,-518.89</v>
      </c>
      <c r="EU123" s="67">
        <v>572.08000000000004</v>
      </c>
      <c r="EV123" s="67" t="s">
        <v>1003</v>
      </c>
      <c r="EW123" s="67">
        <v>497.43</v>
      </c>
      <c r="EX123" s="67" t="s">
        <v>1004</v>
      </c>
      <c r="EY123" s="67">
        <v>5732</v>
      </c>
      <c r="EZ123" s="67" t="s">
        <v>1005</v>
      </c>
      <c r="FA123" s="67">
        <v>20423.75</v>
      </c>
      <c r="FB123" s="67" t="s">
        <v>1006</v>
      </c>
      <c r="FC123" s="67" t="s">
        <v>1007</v>
      </c>
      <c r="FD123" s="67" t="s">
        <v>1008</v>
      </c>
      <c r="FE123" s="68" t="s">
        <v>1009</v>
      </c>
      <c r="FF123" s="68" t="s">
        <v>1010</v>
      </c>
    </row>
    <row r="124" spans="1:162" s="63" customFormat="1" ht="12" customHeight="1" thickBot="1" x14ac:dyDescent="0.25">
      <c r="A124" s="2">
        <f t="shared" si="508"/>
        <v>5630</v>
      </c>
      <c r="B124" s="3">
        <f t="shared" si="451"/>
        <v>590</v>
      </c>
      <c r="C124" s="3">
        <f t="shared" si="452"/>
        <v>2021</v>
      </c>
      <c r="D124" s="3">
        <f t="shared" si="453"/>
        <v>11158</v>
      </c>
      <c r="E124" s="3">
        <f t="shared" si="519"/>
        <v>13769</v>
      </c>
      <c r="F124" s="4">
        <f t="shared" si="522"/>
        <v>5653.1300552060593</v>
      </c>
      <c r="G124" s="4">
        <f t="shared" si="520"/>
        <v>561.81940343219071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>
        <v>95</v>
      </c>
      <c r="AN124" s="20">
        <v>-1218</v>
      </c>
      <c r="AO124" s="20">
        <v>5630</v>
      </c>
      <c r="AP124" s="20">
        <v>153</v>
      </c>
      <c r="AQ124" s="20">
        <v>-3911</v>
      </c>
      <c r="AR124" s="20"/>
      <c r="AS124" s="54">
        <f>IF(RTD("tos.rtd",,AS$83,"."&amp;$B$82&amp;$AS$82&amp;"C"&amp;$A124)="N/A",0,RTD("tos.rtd",,AS$83,"."&amp;$B$82&amp;$AS$82&amp;"C"&amp;$A124))</f>
        <v>201</v>
      </c>
      <c r="AT124" s="3">
        <f>-IF(RTD("tos.rtd",,AT$83,"."&amp;$B$82&amp;$AS$82&amp;"P"&amp;$A124)="N/A",0,RTD("tos.rtd",,AT$83,"."&amp;$B$82&amp;$AS$82&amp;"P"&amp;$A124))</f>
        <v>-389</v>
      </c>
      <c r="AU124" s="54">
        <f>IF(RTD("tos.rtd",,AU$83,"."&amp;$C$82&amp;$AU$82&amp;"C"&amp;$A124)="N/A",0,RTD("tos.rtd",,AU$83,"."&amp;$C$82&amp;$AU$82&amp;"C"&amp;$A124))</f>
        <v>783</v>
      </c>
      <c r="AV124" s="3">
        <f>-IF(RTD("tos.rtd",,AV$83,"."&amp;$C$82&amp;$AU$82&amp;"P"&amp;$A124)="N/A",0,RTD("tos.rtd",,AV$83,"."&amp;$C$82&amp;$AU$82&amp;"P"&amp;$A124))</f>
        <v>-1238</v>
      </c>
      <c r="AW124" s="54">
        <f>IF(RTD("tos.rtd",,AW$83,"."&amp;$D$82&amp;$AW$82&amp;"C"&amp;$A124)="N/A",0,RTD("tos.rtd",,AW$83,"."&amp;$D$82&amp;$AW$82&amp;"C"&amp;$A124))</f>
        <v>5517</v>
      </c>
      <c r="AX124" s="3">
        <f>-IF(RTD("tos.rtd",,AX$83,"."&amp;$D$82&amp;$AW$82&amp;"P"&amp;$A124)="N/A",0,RTD("tos.rtd",,AX$83,"."&amp;$D$82&amp;$AW$82&amp;"P"&amp;$A124))</f>
        <v>-5641</v>
      </c>
      <c r="AY124" s="79">
        <f t="shared" si="521"/>
        <v>-767</v>
      </c>
      <c r="AZ124" s="8">
        <f t="shared" si="455"/>
        <v>5630</v>
      </c>
      <c r="BA124" s="54">
        <f>IF(RTD("tos.rtd",,BA$83,"."&amp;$B$82&amp;$AS$82&amp;"C"&amp;$A124)="N/A",0,RTD("tos.rtd",,BA$83,"."&amp;$B$82&amp;$AS$82&amp;"C"&amp;$A124))</f>
        <v>153</v>
      </c>
      <c r="BB124" s="3">
        <f>-IF(RTD("tos.rtd",,BB$83,"."&amp;$B$82&amp;$AS$82&amp;"P"&amp;$A124)="N/A",0,RTD("tos.rtd",,BB$83,"."&amp;$B$82&amp;$AS$82&amp;"P"&amp;$A124))</f>
        <v>-3911</v>
      </c>
      <c r="BC124" s="54">
        <f>IF(RTD("tos.rtd",,BC$83,"."&amp;$C$82&amp;$AU$82&amp;"C"&amp;$A124)="N/A",0,RTD("tos.rtd",,BC$83,"."&amp;$C$82&amp;$AU$82&amp;"C"&amp;$A124))</f>
        <v>20</v>
      </c>
      <c r="BD124" s="3">
        <f>-IF(RTD("tos.rtd",,BD$83,"."&amp;$C$82&amp;$AU$82&amp;"P"&amp;$A124)="N/A",0,RTD("tos.rtd",,BD$83,"."&amp;$C$82&amp;$AU$82&amp;"P"&amp;$A124))</f>
        <v>-90</v>
      </c>
      <c r="BE124" s="54">
        <f>IF(RTD("tos.rtd",,BE$83,"."&amp;$D$82&amp;$AW$82&amp;"C"&amp;$A124)="N/A",0,RTD("tos.rtd",,BE$83,"."&amp;$D$82&amp;$AW$82&amp;"C"&amp;$A124))</f>
        <v>15</v>
      </c>
      <c r="BF124" s="3">
        <f>-IF(RTD("tos.rtd",,BF$83,"."&amp;$D$82&amp;$AW$82&amp;"P"&amp;$A124)="N/A",0,RTD("tos.rtd",,BF$83,"."&amp;$D$82&amp;$AW$82&amp;"P"&amp;$A124))</f>
        <v>-4</v>
      </c>
      <c r="BG124" s="3">
        <f ca="1">+Hoja2!Y125</f>
        <v>-149</v>
      </c>
      <c r="BH124" s="55">
        <f t="shared" ca="1" si="493"/>
        <v>-3966</v>
      </c>
      <c r="BI124" s="32" t="str">
        <f t="shared" ca="1" si="513"/>
        <v/>
      </c>
      <c r="BJ124" s="3">
        <f ca="1">IF($BP$1=1,DX124,IF(RTD("tos.rtd",,BJ$83,"."&amp;$B$82&amp;$AS$82&amp;"C"&amp;$A124)="N/A",0,RTD("tos.rtd",,BJ$83,"."&amp;$B$82&amp;$AS$82&amp;"C"&amp;$A124)))</f>
        <v>1.0971986540748051E-3</v>
      </c>
      <c r="BK124" s="3">
        <f ca="1">IF($BP$1=1,DY124,-IF(RTD("tos.rtd",,BK$83,"."&amp;$B$82&amp;$AS$82&amp;"P"&amp;$A124)="N/A",0,RTD("tos.rtd",,BK$83,"."&amp;$B$82&amp;$AS$82&amp;"P"&amp;$A124)))</f>
        <v>-6.3475059676941384E-4</v>
      </c>
      <c r="BL124" s="3">
        <f ca="1">IF($BP$1=1,DZ124,IF(RTD("tos.rtd",,BL$83,"."&amp;$C$82&amp;$AU$82&amp;"C"&amp;$A124)="N/A",0,RTD("tos.rtd",,BL$83,"."&amp;$C$82&amp;$AU$82&amp;"C"&amp;$A124)))</f>
        <v>9.9126955582991999E-4</v>
      </c>
      <c r="BM124" s="3">
        <f ca="1">IF($BP$1=1,EA124,-IF(RTD("tos.rtd",,BM$83,"."&amp;$C$82&amp;$AU$82&amp;"P"&amp;$A124)="N/A",0,RTD("tos.rtd",,BM$83,"."&amp;$C$82&amp;$AU$82&amp;"P"&amp;$A124)))</f>
        <v>-9.808425326841637E-4</v>
      </c>
      <c r="BN124" s="3">
        <f ca="1">IF($BP$1=1,EB124,IF(RTD("tos.rtd",,BN$83,"."&amp;$D$82&amp;$AW$82&amp;"C"&amp;$A124)="N/A",0,RTD("tos.rtd",,BN$83,"."&amp;$D$82&amp;$AW$82&amp;"C"&amp;$A124)))</f>
        <v>6.902158492350564E-4</v>
      </c>
      <c r="BO124" s="3">
        <f ca="1">IF($BP$1=1,EC124,-IF(RTD("tos.rtd",,BO$83,"."&amp;$D$82&amp;$AW$82&amp;"P"&amp;$A124)="N/A",0,RTD("tos.rtd",,BO$83,"."&amp;$D$82&amp;$AW$82&amp;"P"&amp;$A124)))</f>
        <v>-7.8378175398995597E-4</v>
      </c>
      <c r="BQ124" s="3">
        <f t="shared" ca="1" si="456"/>
        <v>-6798.8899561457147</v>
      </c>
      <c r="BR124" s="3" t="str">
        <f t="shared" ca="1" si="494"/>
        <v/>
      </c>
      <c r="BS124" s="3">
        <f t="shared" ca="1" si="457"/>
        <v>-112911.44669512304</v>
      </c>
      <c r="BT124" s="3" t="str">
        <f t="shared" ca="1" si="494"/>
        <v/>
      </c>
      <c r="BU124" s="3">
        <f t="shared" ca="1" si="458"/>
        <v>-158082.58263316657</v>
      </c>
      <c r="BV124" s="3" t="str">
        <f t="shared" ca="1" si="494"/>
        <v/>
      </c>
      <c r="BX124" s="3">
        <f t="shared" ca="1" si="459"/>
        <v>-596525.48879207857</v>
      </c>
      <c r="BY124" s="3" t="str">
        <f t="shared" ca="1" si="510"/>
        <v/>
      </c>
      <c r="BZ124" s="3">
        <f t="shared" ca="1" si="460"/>
        <v>-17640.95592277437</v>
      </c>
      <c r="CA124" s="3" t="str">
        <f t="shared" ca="1" si="510"/>
        <v>Cruce -</v>
      </c>
      <c r="CB124" s="3">
        <f t="shared" ca="1" si="461"/>
        <v>1860.2419357538743</v>
      </c>
      <c r="CC124" s="3" t="str">
        <f t="shared" ca="1" si="510"/>
        <v>Cruce +</v>
      </c>
      <c r="CD124" s="3">
        <f>IF(RTD("tos.rtd",,CD$83,"."&amp;$B$82&amp;$AS$82&amp;"C"&amp;$A124)="N/A",0,RTD("tos.rtd",,CD$83,"."&amp;$B$82&amp;$AS$82&amp;"C"&amp;$A124))</f>
        <v>0.96</v>
      </c>
      <c r="CE124" s="3">
        <f>-IF(RTD("tos.rtd",,CE$83,"."&amp;$B$82&amp;$AS$82&amp;"P"&amp;$A124)="N/A",0,RTD("tos.rtd",,CE$83,"."&amp;$B$82&amp;$AS$82&amp;"P"&amp;$A124))</f>
        <v>0</v>
      </c>
      <c r="CF124" s="3">
        <f>IF(RTD("tos.rtd",,CF$83,"."&amp;$C$82&amp;$AU$82&amp;"C"&amp;$A124)="N/A",0,RTD("tos.rtd",,CF$83,"."&amp;$C$82&amp;$AU$82&amp;"C"&amp;$A124))</f>
        <v>0.95</v>
      </c>
      <c r="CG124" s="3">
        <f>-IF(RTD("tos.rtd",,CG$83,"."&amp;$C$82&amp;$AU$82&amp;"P"&amp;$A124)="N/A",0,RTD("tos.rtd",,CG$83,"."&amp;$C$82&amp;$AU$82&amp;"P"&amp;$A124))</f>
        <v>0.05</v>
      </c>
      <c r="CH124" s="3">
        <f>IF(RTD("tos.rtd",,CH$83,"."&amp;$D$82&amp;$AW$82&amp;"C"&amp;$A124)="N/A",0,RTD("tos.rtd",,CH$83,"."&amp;$D$82&amp;$AW$82&amp;"C"&amp;$A124))</f>
        <v>0.78</v>
      </c>
      <c r="CI124" s="3">
        <f>-IF(RTD("tos.rtd",,CI$83,"."&amp;$D$82&amp;$AW$82&amp;"P"&amp;$A124)="N/A",0,RTD("tos.rtd",,CI$83,"."&amp;$D$82&amp;$AW$82&amp;"P"&amp;$A124))</f>
        <v>0.24</v>
      </c>
      <c r="CK124" s="3">
        <f t="shared" si="495"/>
        <v>19295.999999999996</v>
      </c>
      <c r="CL124" s="3"/>
      <c r="CM124" s="3">
        <f t="shared" si="496"/>
        <v>68194.999999999985</v>
      </c>
      <c r="CN124" s="3"/>
      <c r="CO124" s="3">
        <f t="shared" si="497"/>
        <v>294942</v>
      </c>
      <c r="CP124" s="3">
        <f t="shared" si="462"/>
        <v>382433</v>
      </c>
      <c r="CQ124" s="3">
        <f t="shared" si="463"/>
        <v>-3758</v>
      </c>
      <c r="CR124" s="3"/>
      <c r="CS124" s="3">
        <f t="shared" si="464"/>
        <v>-70</v>
      </c>
      <c r="CT124" s="3"/>
      <c r="CU124" s="3">
        <f t="shared" si="465"/>
        <v>11</v>
      </c>
      <c r="CV124" s="3"/>
      <c r="CW124" s="3">
        <f t="shared" ca="1" si="466"/>
        <v>-277792.91928443534</v>
      </c>
      <c r="CY124" s="3">
        <f t="shared" ca="1" si="467"/>
        <v>-612306.20277909911</v>
      </c>
      <c r="CZ124" s="70" t="str">
        <f t="shared" ca="1" si="511"/>
        <v/>
      </c>
      <c r="DA124" s="3">
        <f>IF(RTD("tos.rtd",,DA$83,"."&amp;$B$82&amp;$AS$82&amp;"C"&amp;$A124)="N/A",0,RTD("tos.rtd",,DA$83,"."&amp;$B$82&amp;$AS$82&amp;"C"&amp;$A124))</f>
        <v>197.9</v>
      </c>
      <c r="DB124" s="3">
        <f>IF(RTD("tos.rtd",,DB$83,"."&amp;$B$82&amp;$AS$82&amp;"P"&amp;$A124)="N/A",0,RTD("tos.rtd",,DB$83,"."&amp;$B$82&amp;$AS$82&amp;"P"&amp;$A124))</f>
        <v>0.05</v>
      </c>
      <c r="DC124" s="3">
        <f>IF(RTD("tos.rtd",,DC$83,"."&amp;$B$82&amp;$AS$82&amp;"C"&amp;$A124)="N/A",0,RTD("tos.rtd",,DC$83,"."&amp;$B$82&amp;$AS$82&amp;"C"&amp;$A124))</f>
        <v>222.2</v>
      </c>
      <c r="DD124" s="3">
        <f>IF(RTD("tos.rtd",,DD$83,"."&amp;$B$82&amp;$AS$82&amp;"P"&amp;$A124)="N/A",0,RTD("tos.rtd",,DD$83,"."&amp;$B$82&amp;$AS$82&amp;"P"&amp;$A124))</f>
        <v>0.05</v>
      </c>
      <c r="DE124" s="3">
        <f>IF(RTD("tos.rtd",,DE$83,"."&amp;$B$82&amp;$AS$82&amp;"C"&amp;$A124)="N/A",0,RTD("tos.rtd",,DE$83,"."&amp;$B$82&amp;$AS$82&amp;"C"&amp;$A124))</f>
        <v>210</v>
      </c>
      <c r="DF124" s="3">
        <f>IF(RTD("tos.rtd",,DF$83,"."&amp;$B$82&amp;$AS$82&amp;"P"&amp;$A124)="N/A",0,RTD("tos.rtd",,DF$83,"."&amp;$B$82&amp;$AS$82&amp;"P"&amp;$A124))</f>
        <v>0</v>
      </c>
      <c r="DG124" s="86">
        <f t="shared" si="499"/>
        <v>-211.75</v>
      </c>
      <c r="DH124" s="3">
        <f t="shared" si="468"/>
        <v>0</v>
      </c>
      <c r="DI124" s="3">
        <f t="shared" si="469"/>
        <v>0</v>
      </c>
      <c r="DJ124" s="3">
        <f t="shared" si="470"/>
        <v>0</v>
      </c>
      <c r="DK124" s="3">
        <f t="shared" si="471"/>
        <v>0</v>
      </c>
      <c r="DL124" s="3">
        <f t="shared" si="472"/>
        <v>0</v>
      </c>
      <c r="DM124" s="3">
        <f t="shared" si="473"/>
        <v>0</v>
      </c>
      <c r="DN124" s="64" t="str">
        <f t="shared" si="474"/>
        <v>UNKNOWN</v>
      </c>
      <c r="DO124" s="64" t="str">
        <f t="shared" si="475"/>
        <v>UNKNOWN</v>
      </c>
      <c r="DP124" s="3">
        <f t="shared" si="476"/>
        <v>0</v>
      </c>
      <c r="DQ124" s="3">
        <f t="shared" si="477"/>
        <v>0</v>
      </c>
      <c r="DR124" s="3">
        <f t="shared" ca="1" si="478"/>
        <v>0</v>
      </c>
      <c r="DS124" s="3">
        <f t="shared" si="479"/>
        <v>0</v>
      </c>
      <c r="DT124" s="3">
        <f t="shared" si="500"/>
        <v>0</v>
      </c>
      <c r="DU124" s="3">
        <f t="shared" si="501"/>
        <v>0</v>
      </c>
      <c r="DV124" s="3">
        <f t="shared" si="502"/>
        <v>95</v>
      </c>
      <c r="DW124" s="3">
        <f t="shared" si="503"/>
        <v>-1218</v>
      </c>
      <c r="DX124" s="3">
        <f t="shared" ca="1" si="512"/>
        <v>1.0971986540748051E-3</v>
      </c>
      <c r="DY124" s="3">
        <f t="shared" ca="1" si="480"/>
        <v>-6.3475059676941384E-4</v>
      </c>
      <c r="DZ124" s="3">
        <f t="shared" ca="1" si="504"/>
        <v>9.9126955582991999E-4</v>
      </c>
      <c r="EA124" s="3">
        <f t="shared" ca="1" si="505"/>
        <v>-9.808425326841637E-4</v>
      </c>
      <c r="EB124" s="3">
        <f t="shared" ca="1" si="481"/>
        <v>6.902158492350564E-4</v>
      </c>
      <c r="EC124" s="3">
        <f t="shared" ca="1" si="482"/>
        <v>-7.8378175398995597E-4</v>
      </c>
      <c r="ED124" s="63">
        <f t="shared" si="506"/>
        <v>-1123</v>
      </c>
      <c r="EE124" s="59">
        <f t="shared" si="483"/>
        <v>2.8026</v>
      </c>
      <c r="EF124" s="59">
        <f t="shared" si="484"/>
        <v>1.6358999999999999</v>
      </c>
      <c r="EG124" s="59">
        <f t="shared" si="485"/>
        <v>0.23230000000000001</v>
      </c>
      <c r="EH124" s="59">
        <f t="shared" si="486"/>
        <v>0.22900000000000001</v>
      </c>
      <c r="EI124" s="59">
        <f t="shared" si="487"/>
        <v>0.1757</v>
      </c>
      <c r="EJ124" s="59">
        <f t="shared" si="488"/>
        <v>0.18859999999999999</v>
      </c>
      <c r="EK124" s="63">
        <f t="shared" ca="1" si="507"/>
        <v>29940828.519870136</v>
      </c>
      <c r="EL124" s="3" t="str">
        <f>RTD("tos.rtd",,EL$83,"."&amp;$B$82&amp;$AS$82&amp;"C"&amp;$A124)</f>
        <v>280.26%</v>
      </c>
      <c r="EM124" s="3" t="str">
        <f>RTD("tos.rtd",,EM$83,"."&amp;$B$82&amp;$AS$82&amp;"P"&amp;$A124)</f>
        <v>163.59%</v>
      </c>
      <c r="EN124" s="3" t="str">
        <f>RTD("tos.rtd",,EN$83,"."&amp;$C$82&amp;$AU$82&amp;"C"&amp;$A124)</f>
        <v>23.23%</v>
      </c>
      <c r="EO124" s="3" t="str">
        <f>RTD("tos.rtd",,EO$83,"."&amp;$C$82&amp;$AU$82&amp;"P"&amp;$A124)</f>
        <v>22.90%</v>
      </c>
      <c r="EP124" s="3" t="str">
        <f>RTD("tos.rtd",,EP$83,"."&amp;$D$82&amp;$AW$82&amp;"C"&amp;$A124)</f>
        <v>17.57%</v>
      </c>
      <c r="EQ124" s="3" t="str">
        <f>RTD("tos.rtd",,EQ$83,"."&amp;$D$82&amp;$AW$82&amp;"P"&amp;$A124)</f>
        <v>18.86%</v>
      </c>
      <c r="ES124" s="63" t="str">
        <f t="shared" si="489"/>
        <v>5630,-1123.00</v>
      </c>
      <c r="ET124" s="63" t="str">
        <f t="shared" ca="1" si="490"/>
        <v>5630,-612.31</v>
      </c>
      <c r="EU124" s="67">
        <v>572.14</v>
      </c>
      <c r="EV124" s="67" t="s">
        <v>1011</v>
      </c>
      <c r="EW124" s="67">
        <v>497.48</v>
      </c>
      <c r="EX124" s="67" t="s">
        <v>1012</v>
      </c>
      <c r="EY124" s="67">
        <v>5732.25</v>
      </c>
      <c r="EZ124" s="67" t="s">
        <v>1013</v>
      </c>
      <c r="FA124" s="67">
        <v>20425.75</v>
      </c>
      <c r="FB124" s="67" t="s">
        <v>1014</v>
      </c>
      <c r="FC124" s="67" t="s">
        <v>1015</v>
      </c>
      <c r="FD124" s="67" t="s">
        <v>1016</v>
      </c>
      <c r="FE124" s="68" t="s">
        <v>1017</v>
      </c>
      <c r="FF124" s="68" t="s">
        <v>1018</v>
      </c>
    </row>
    <row r="125" spans="1:162" s="63" customFormat="1" ht="12" customHeight="1" thickBot="1" x14ac:dyDescent="0.25">
      <c r="A125" s="2">
        <f t="shared" si="508"/>
        <v>5620</v>
      </c>
      <c r="B125" s="3">
        <f t="shared" si="451"/>
        <v>547</v>
      </c>
      <c r="C125" s="3">
        <f t="shared" si="452"/>
        <v>2074</v>
      </c>
      <c r="D125" s="3">
        <f t="shared" si="453"/>
        <v>8023</v>
      </c>
      <c r="E125" s="3">
        <f t="shared" si="519"/>
        <v>10644</v>
      </c>
      <c r="F125" s="4">
        <f t="shared" si="522"/>
        <v>5643.0889716266529</v>
      </c>
      <c r="G125" s="4">
        <f t="shared" si="520"/>
        <v>560.82150040655631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>
        <v>-3</v>
      </c>
      <c r="AN125" s="20">
        <v>-776</v>
      </c>
      <c r="AO125" s="20">
        <v>5620</v>
      </c>
      <c r="AP125" s="20">
        <v>41</v>
      </c>
      <c r="AQ125" s="20">
        <v>-2489</v>
      </c>
      <c r="AR125" s="20"/>
      <c r="AS125" s="54">
        <f>IF(RTD("tos.rtd",,AS$83,"."&amp;$B$82&amp;$AS$82&amp;"C"&amp;$A125)="N/A",0,RTD("tos.rtd",,AS$83,"."&amp;$B$82&amp;$AS$82&amp;"C"&amp;$A125))</f>
        <v>166</v>
      </c>
      <c r="AT125" s="3">
        <f>-IF(RTD("tos.rtd",,AT$83,"."&amp;$B$82&amp;$AS$82&amp;"P"&amp;$A125)="N/A",0,RTD("tos.rtd",,AT$83,"."&amp;$B$82&amp;$AS$82&amp;"P"&amp;$A125))</f>
        <v>-381</v>
      </c>
      <c r="AU125" s="54">
        <f>IF(RTD("tos.rtd",,AU$83,"."&amp;$C$82&amp;$AU$82&amp;"C"&amp;$A125)="N/A",0,RTD("tos.rtd",,AU$83,"."&amp;$C$82&amp;$AU$82&amp;"C"&amp;$A125))</f>
        <v>1205</v>
      </c>
      <c r="AV125" s="3">
        <f>-IF(RTD("tos.rtd",,AV$83,"."&amp;$C$82&amp;$AU$82&amp;"P"&amp;$A125)="N/A",0,RTD("tos.rtd",,AV$83,"."&amp;$C$82&amp;$AU$82&amp;"P"&amp;$A125))</f>
        <v>-869</v>
      </c>
      <c r="AW125" s="54">
        <f>IF(RTD("tos.rtd",,AW$83,"."&amp;$D$82&amp;$AW$82&amp;"C"&amp;$A125)="N/A",0,RTD("tos.rtd",,AW$83,"."&amp;$D$82&amp;$AW$82&amp;"C"&amp;$A125))</f>
        <v>3751</v>
      </c>
      <c r="AX125" s="3">
        <f>-IF(RTD("tos.rtd",,AX$83,"."&amp;$D$82&amp;$AW$82&amp;"P"&amp;$A125)="N/A",0,RTD("tos.rtd",,AX$83,"."&amp;$D$82&amp;$AW$82&amp;"P"&amp;$A125))</f>
        <v>-4272</v>
      </c>
      <c r="AY125" s="79">
        <f t="shared" si="521"/>
        <v>-400</v>
      </c>
      <c r="AZ125" s="8">
        <f t="shared" si="455"/>
        <v>5620</v>
      </c>
      <c r="BA125" s="54">
        <f>IF(RTD("tos.rtd",,BA$83,"."&amp;$B$82&amp;$AS$82&amp;"C"&amp;$A125)="N/A",0,RTD("tos.rtd",,BA$83,"."&amp;$B$82&amp;$AS$82&amp;"C"&amp;$A125))</f>
        <v>41</v>
      </c>
      <c r="BB125" s="3">
        <f>-IF(RTD("tos.rtd",,BB$83,"."&amp;$B$82&amp;$AS$82&amp;"P"&amp;$A125)="N/A",0,RTD("tos.rtd",,BB$83,"."&amp;$B$82&amp;$AS$82&amp;"P"&amp;$A125))</f>
        <v>-2489</v>
      </c>
      <c r="BC125" s="54">
        <f>IF(RTD("tos.rtd",,BC$83,"."&amp;$C$82&amp;$AU$82&amp;"C"&amp;$A125)="N/A",0,RTD("tos.rtd",,BC$83,"."&amp;$C$82&amp;$AU$82&amp;"C"&amp;$A125))</f>
        <v>14</v>
      </c>
      <c r="BD125" s="3">
        <f>-IF(RTD("tos.rtd",,BD$83,"."&amp;$C$82&amp;$AU$82&amp;"P"&amp;$A125)="N/A",0,RTD("tos.rtd",,BD$83,"."&amp;$C$82&amp;$AU$82&amp;"P"&amp;$A125))</f>
        <v>-172</v>
      </c>
      <c r="BE125" s="54">
        <f>IF(RTD("tos.rtd",,BE$83,"."&amp;$D$82&amp;$AW$82&amp;"C"&amp;$A125)="N/A",0,RTD("tos.rtd",,BE$83,"."&amp;$D$82&amp;$AW$82&amp;"C"&amp;$A125))</f>
        <v>10</v>
      </c>
      <c r="BF125" s="3">
        <f>-IF(RTD("tos.rtd",,BF$83,"."&amp;$D$82&amp;$AW$82&amp;"P"&amp;$A125)="N/A",0,RTD("tos.rtd",,BF$83,"."&amp;$D$82&amp;$AW$82&amp;"P"&amp;$A125))</f>
        <v>-303</v>
      </c>
      <c r="BG125" s="3">
        <f ca="1">+Hoja2!Y126</f>
        <v>-520</v>
      </c>
      <c r="BH125" s="55">
        <f t="shared" ca="1" si="493"/>
        <v>-3419</v>
      </c>
      <c r="BI125" s="32" t="str">
        <f t="shared" ca="1" si="513"/>
        <v/>
      </c>
      <c r="BJ125" s="3">
        <f ca="1">IF($BP$1=1,DX125,IF(RTD("tos.rtd",,BJ$83,"."&amp;$B$82&amp;$AS$82&amp;"C"&amp;$A125)="N/A",0,RTD("tos.rtd",,BJ$83,"."&amp;$B$82&amp;$AS$82&amp;"C"&amp;$A125)))</f>
        <v>1.0411330221529414E-3</v>
      </c>
      <c r="BK125" s="3">
        <f ca="1">IF($BP$1=1,DY125,-IF(RTD("tos.rtd",,BK$83,"."&amp;$B$82&amp;$AS$82&amp;"P"&amp;$A125)="N/A",0,RTD("tos.rtd",,BK$83,"."&amp;$B$82&amp;$AS$82&amp;"P"&amp;$A125)))</f>
        <v>-5.9891788720748426E-4</v>
      </c>
      <c r="BL125" s="3">
        <f ca="1">IF($BP$1=1,DZ125,IF(RTD("tos.rtd",,BL$83,"."&amp;$C$82&amp;$AU$82&amp;"C"&amp;$A125)="N/A",0,RTD("tos.rtd",,BL$83,"."&amp;$C$82&amp;$AU$82&amp;"C"&amp;$A125)))</f>
        <v>7.438799634965624E-4</v>
      </c>
      <c r="BM125" s="3">
        <f ca="1">IF($BP$1=1,EA125,-IF(RTD("tos.rtd",,BM$83,"."&amp;$C$82&amp;$AU$82&amp;"P"&amp;$A125)="N/A",0,RTD("tos.rtd",,BM$83,"."&amp;$C$82&amp;$AU$82&amp;"P"&amp;$A125)))</f>
        <v>-9.1144303398548929E-4</v>
      </c>
      <c r="BN125" s="3">
        <f ca="1">IF($BP$1=1,EB125,IF(RTD("tos.rtd",,BN$83,"."&amp;$D$82&amp;$AW$82&amp;"C"&amp;$A125)="N/A",0,RTD("tos.rtd",,BN$83,"."&amp;$D$82&amp;$AW$82&amp;"C"&amp;$A125)))</f>
        <v>6.0489540467423102E-4</v>
      </c>
      <c r="BO125" s="3">
        <f ca="1">IF($BP$1=1,EC125,-IF(RTD("tos.rtd",,BO$83,"."&amp;$D$82&amp;$AW$82&amp;"P"&amp;$A125)="N/A",0,RTD("tos.rtd",,BO$83,"."&amp;$D$82&amp;$AW$82&amp;"P"&amp;$A125)))</f>
        <v>-6.9978090944007403E-4</v>
      </c>
      <c r="BQ125" s="3">
        <f t="shared" ca="1" si="456"/>
        <v>-14267.211388319083</v>
      </c>
      <c r="BR125" s="3" t="str">
        <f t="shared" ca="1" si="494"/>
        <v/>
      </c>
      <c r="BS125" s="3">
        <f t="shared" ca="1" si="457"/>
        <v>26888.139788724744</v>
      </c>
      <c r="BT125" s="3" t="str">
        <f t="shared" ca="1" si="494"/>
        <v>Cruce +</v>
      </c>
      <c r="BU125" s="3">
        <f t="shared" ca="1" si="458"/>
        <v>-185686.66198725346</v>
      </c>
      <c r="BV125" s="3" t="str">
        <f t="shared" ca="1" si="494"/>
        <v/>
      </c>
      <c r="BX125" s="3">
        <f t="shared" ca="1" si="459"/>
        <v>-373181.83977183071</v>
      </c>
      <c r="BY125" s="3" t="str">
        <f t="shared" ca="1" si="510"/>
        <v/>
      </c>
      <c r="BZ125" s="3">
        <f t="shared" ca="1" si="460"/>
        <v>-37718.128729848868</v>
      </c>
      <c r="CA125" s="3" t="str">
        <f t="shared" ca="1" si="510"/>
        <v/>
      </c>
      <c r="CB125" s="3">
        <f t="shared" ca="1" si="461"/>
        <v>-53086.094159199318</v>
      </c>
      <c r="CC125" s="3" t="str">
        <f t="shared" ca="1" si="510"/>
        <v>Cruce -</v>
      </c>
      <c r="CD125" s="3">
        <f>IF(RTD("tos.rtd",,CD$83,"."&amp;$B$82&amp;$AS$82&amp;"C"&amp;$A125)="N/A",0,RTD("tos.rtd",,CD$83,"."&amp;$B$82&amp;$AS$82&amp;"C"&amp;$A125))</f>
        <v>0.97</v>
      </c>
      <c r="CE125" s="3">
        <f>-IF(RTD("tos.rtd",,CE$83,"."&amp;$B$82&amp;$AS$82&amp;"P"&amp;$A125)="N/A",0,RTD("tos.rtd",,CE$83,"."&amp;$B$82&amp;$AS$82&amp;"P"&amp;$A125))</f>
        <v>0</v>
      </c>
      <c r="CF125" s="3">
        <f>IF(RTD("tos.rtd",,CF$83,"."&amp;$C$82&amp;$AU$82&amp;"C"&amp;$A125)="N/A",0,RTD("tos.rtd",,CF$83,"."&amp;$C$82&amp;$AU$82&amp;"C"&amp;$A125))</f>
        <v>0.98</v>
      </c>
      <c r="CG125" s="3">
        <f>-IF(RTD("tos.rtd",,CG$83,"."&amp;$C$82&amp;$AU$82&amp;"P"&amp;$A125)="N/A",0,RTD("tos.rtd",,CG$83,"."&amp;$C$82&amp;$AU$82&amp;"P"&amp;$A125))</f>
        <v>0.04</v>
      </c>
      <c r="CH125" s="3">
        <f>IF(RTD("tos.rtd",,CH$83,"."&amp;$D$82&amp;$AW$82&amp;"C"&amp;$A125)="N/A",0,RTD("tos.rtd",,CH$83,"."&amp;$D$82&amp;$AW$82&amp;"C"&amp;$A125))</f>
        <v>0.79</v>
      </c>
      <c r="CI125" s="3">
        <f>-IF(RTD("tos.rtd",,CI$83,"."&amp;$D$82&amp;$AW$82&amp;"P"&amp;$A125)="N/A",0,RTD("tos.rtd",,CI$83,"."&amp;$D$82&amp;$AW$82&amp;"P"&amp;$A125))</f>
        <v>0.23</v>
      </c>
      <c r="CK125" s="3">
        <f t="shared" si="495"/>
        <v>16101.999999999998</v>
      </c>
      <c r="CL125" s="3"/>
      <c r="CM125" s="3">
        <f t="shared" si="496"/>
        <v>114614.00000000001</v>
      </c>
      <c r="CN125" s="3"/>
      <c r="CO125" s="3">
        <f t="shared" si="497"/>
        <v>198073</v>
      </c>
      <c r="CP125" s="3">
        <f t="shared" si="462"/>
        <v>328789</v>
      </c>
      <c r="CQ125" s="3">
        <f t="shared" si="463"/>
        <v>-2448</v>
      </c>
      <c r="CR125" s="3"/>
      <c r="CS125" s="3">
        <f t="shared" si="464"/>
        <v>-158</v>
      </c>
      <c r="CT125" s="3"/>
      <c r="CU125" s="3">
        <f t="shared" si="465"/>
        <v>-293</v>
      </c>
      <c r="CV125" s="3"/>
      <c r="CW125" s="3">
        <f t="shared" ca="1" si="466"/>
        <v>-173065.73358684781</v>
      </c>
      <c r="CY125" s="3">
        <f t="shared" ca="1" si="467"/>
        <v>-463986.06266087893</v>
      </c>
      <c r="CZ125" s="70" t="str">
        <f t="shared" ca="1" si="511"/>
        <v/>
      </c>
      <c r="DA125" s="3">
        <f>IF(RTD("tos.rtd",,DA$83,"."&amp;$B$82&amp;$AS$82&amp;"C"&amp;$A125)="N/A",0,RTD("tos.rtd",,DA$83,"."&amp;$B$82&amp;$AS$82&amp;"C"&amp;$A125))</f>
        <v>215.7</v>
      </c>
      <c r="DB125" s="3">
        <f>IF(RTD("tos.rtd",,DB$83,"."&amp;$B$82&amp;$AS$82&amp;"P"&amp;$A125)="N/A",0,RTD("tos.rtd",,DB$83,"."&amp;$B$82&amp;$AS$82&amp;"P"&amp;$A125))</f>
        <v>0.05</v>
      </c>
      <c r="DC125" s="3">
        <f>IF(RTD("tos.rtd",,DC$83,"."&amp;$B$82&amp;$AS$82&amp;"C"&amp;$A125)="N/A",0,RTD("tos.rtd",,DC$83,"."&amp;$B$82&amp;$AS$82&amp;"C"&amp;$A125))</f>
        <v>235.4</v>
      </c>
      <c r="DD125" s="3">
        <f>IF(RTD("tos.rtd",,DD$83,"."&amp;$B$82&amp;$AS$82&amp;"P"&amp;$A125)="N/A",0,RTD("tos.rtd",,DD$83,"."&amp;$B$82&amp;$AS$82&amp;"P"&amp;$A125))</f>
        <v>0.05</v>
      </c>
      <c r="DE125" s="3">
        <f>IF(RTD("tos.rtd",,DE$83,"."&amp;$B$82&amp;$AS$82&amp;"C"&amp;$A125)="N/A",0,RTD("tos.rtd",,DE$83,"."&amp;$B$82&amp;$AS$82&amp;"C"&amp;$A125))</f>
        <v>216.4</v>
      </c>
      <c r="DF125" s="3">
        <f>IF(RTD("tos.rtd",,DF$83,"."&amp;$B$82&amp;$AS$82&amp;"P"&amp;$A125)="N/A",0,RTD("tos.rtd",,DF$83,"."&amp;$B$82&amp;$AS$82&amp;"P"&amp;$A125))</f>
        <v>0</v>
      </c>
      <c r="DG125" s="86">
        <f t="shared" si="499"/>
        <v>-221.75</v>
      </c>
      <c r="DH125" s="3">
        <f t="shared" si="468"/>
        <v>0</v>
      </c>
      <c r="DI125" s="3">
        <f t="shared" si="469"/>
        <v>0</v>
      </c>
      <c r="DJ125" s="3">
        <f t="shared" si="470"/>
        <v>0</v>
      </c>
      <c r="DK125" s="3">
        <f t="shared" si="471"/>
        <v>0</v>
      </c>
      <c r="DL125" s="3">
        <f t="shared" si="472"/>
        <v>0</v>
      </c>
      <c r="DM125" s="3">
        <f t="shared" si="473"/>
        <v>0</v>
      </c>
      <c r="DN125" s="64" t="str">
        <f t="shared" si="474"/>
        <v>UNKNOWN</v>
      </c>
      <c r="DO125" s="64" t="str">
        <f t="shared" si="475"/>
        <v>UNKNOWN</v>
      </c>
      <c r="DP125" s="3">
        <f t="shared" si="476"/>
        <v>0</v>
      </c>
      <c r="DQ125" s="3">
        <f t="shared" si="477"/>
        <v>0</v>
      </c>
      <c r="DR125" s="3">
        <f t="shared" ca="1" si="478"/>
        <v>0</v>
      </c>
      <c r="DS125" s="3">
        <f t="shared" si="479"/>
        <v>0</v>
      </c>
      <c r="DT125" s="3">
        <f t="shared" si="500"/>
        <v>0</v>
      </c>
      <c r="DU125" s="3">
        <f t="shared" si="501"/>
        <v>0</v>
      </c>
      <c r="DV125" s="3">
        <f t="shared" si="502"/>
        <v>-3</v>
      </c>
      <c r="DW125" s="3">
        <f t="shared" si="503"/>
        <v>-776</v>
      </c>
      <c r="DX125" s="3">
        <f t="shared" ca="1" si="512"/>
        <v>1.0411330221529414E-3</v>
      </c>
      <c r="DY125" s="3">
        <f t="shared" ca="1" si="480"/>
        <v>-5.9891788720748426E-4</v>
      </c>
      <c r="DZ125" s="3">
        <f t="shared" ca="1" si="504"/>
        <v>7.438799634965624E-4</v>
      </c>
      <c r="EA125" s="3">
        <f t="shared" ca="1" si="505"/>
        <v>-9.1144303398548929E-4</v>
      </c>
      <c r="EB125" s="3">
        <f t="shared" ca="1" si="481"/>
        <v>6.0489540467423102E-4</v>
      </c>
      <c r="EC125" s="3">
        <f t="shared" ca="1" si="482"/>
        <v>-6.9978090944007403E-4</v>
      </c>
      <c r="ED125" s="63">
        <f t="shared" si="506"/>
        <v>-779</v>
      </c>
      <c r="EE125" s="59">
        <f t="shared" si="483"/>
        <v>2.8531</v>
      </c>
      <c r="EF125" s="59">
        <f t="shared" si="484"/>
        <v>1.7071000000000001</v>
      </c>
      <c r="EG125" s="59">
        <f t="shared" si="485"/>
        <v>0.19689999999999999</v>
      </c>
      <c r="EH125" s="59">
        <f t="shared" si="486"/>
        <v>0.23230000000000001</v>
      </c>
      <c r="EI125" s="59">
        <f t="shared" si="487"/>
        <v>0.17680000000000001</v>
      </c>
      <c r="EJ125" s="59">
        <f t="shared" si="488"/>
        <v>0.19</v>
      </c>
      <c r="EK125" s="63">
        <f t="shared" ca="1" si="507"/>
        <v>15753840.094118094</v>
      </c>
      <c r="EL125" s="3" t="str">
        <f>RTD("tos.rtd",,EL$83,"."&amp;$B$82&amp;$AS$82&amp;"C"&amp;$A125)</f>
        <v>285.31%</v>
      </c>
      <c r="EM125" s="3" t="str">
        <f>RTD("tos.rtd",,EM$83,"."&amp;$B$82&amp;$AS$82&amp;"P"&amp;$A125)</f>
        <v>170.71%</v>
      </c>
      <c r="EN125" s="3" t="str">
        <f>RTD("tos.rtd",,EN$83,"."&amp;$C$82&amp;$AU$82&amp;"C"&amp;$A125)</f>
        <v>19.69%</v>
      </c>
      <c r="EO125" s="3" t="str">
        <f>RTD("tos.rtd",,EO$83,"."&amp;$C$82&amp;$AU$82&amp;"P"&amp;$A125)</f>
        <v>23.23%</v>
      </c>
      <c r="EP125" s="3" t="str">
        <f>RTD("tos.rtd",,EP$83,"."&amp;$D$82&amp;$AW$82&amp;"C"&amp;$A125)</f>
        <v>17.68%</v>
      </c>
      <c r="EQ125" s="3" t="str">
        <f>RTD("tos.rtd",,EQ$83,"."&amp;$D$82&amp;$AW$82&amp;"P"&amp;$A125)</f>
        <v>19.00%</v>
      </c>
      <c r="ES125" s="63" t="str">
        <f t="shared" si="489"/>
        <v>5620,-779.00</v>
      </c>
      <c r="ET125" s="63" t="str">
        <f t="shared" ca="1" si="490"/>
        <v>5620,-463.99</v>
      </c>
      <c r="EU125" s="67">
        <v>572.05999999999995</v>
      </c>
      <c r="EV125" s="67" t="s">
        <v>1019</v>
      </c>
      <c r="EW125" s="67">
        <v>497.23</v>
      </c>
      <c r="EX125" s="67" t="s">
        <v>1020</v>
      </c>
      <c r="EY125" s="67">
        <v>5730.5</v>
      </c>
      <c r="EZ125" s="67" t="s">
        <v>1021</v>
      </c>
      <c r="FA125" s="67">
        <v>20415</v>
      </c>
      <c r="FB125" s="67" t="s">
        <v>1022</v>
      </c>
      <c r="FC125" s="67" t="s">
        <v>1023</v>
      </c>
      <c r="FD125" s="67" t="s">
        <v>1024</v>
      </c>
      <c r="FE125" s="68" t="s">
        <v>1025</v>
      </c>
      <c r="FF125" s="68" t="s">
        <v>1026</v>
      </c>
    </row>
    <row r="126" spans="1:162" s="63" customFormat="1" ht="12" customHeight="1" thickBot="1" x14ac:dyDescent="0.25">
      <c r="A126" s="2">
        <f t="shared" si="508"/>
        <v>5610</v>
      </c>
      <c r="B126" s="3">
        <f t="shared" si="451"/>
        <v>2368</v>
      </c>
      <c r="C126" s="3">
        <f t="shared" si="452"/>
        <v>1149</v>
      </c>
      <c r="D126" s="3">
        <f t="shared" si="453"/>
        <v>3268</v>
      </c>
      <c r="E126" s="3">
        <f t="shared" si="519"/>
        <v>6785</v>
      </c>
      <c r="F126" s="4">
        <f t="shared" si="522"/>
        <v>5633.0478880472456</v>
      </c>
      <c r="G126" s="4">
        <f t="shared" si="520"/>
        <v>559.8235973809218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>
        <v>1</v>
      </c>
      <c r="AN126" s="20">
        <v>482</v>
      </c>
      <c r="AO126" s="20">
        <v>5610</v>
      </c>
      <c r="AP126" s="20">
        <v>49</v>
      </c>
      <c r="AQ126" s="20">
        <v>-2510</v>
      </c>
      <c r="AR126" s="20"/>
      <c r="AS126" s="54">
        <f>IF(RTD("tos.rtd",,AS$83,"."&amp;$B$82&amp;$AS$82&amp;"C"&amp;$A126)="N/A",0,RTD("tos.rtd",,AS$83,"."&amp;$B$82&amp;$AS$82&amp;"C"&amp;$A126))</f>
        <v>109</v>
      </c>
      <c r="AT126" s="3">
        <f>-IF(RTD("tos.rtd",,AT$83,"."&amp;$B$82&amp;$AS$82&amp;"P"&amp;$A126)="N/A",0,RTD("tos.rtd",,AT$83,"."&amp;$B$82&amp;$AS$82&amp;"P"&amp;$A126))</f>
        <v>-2259</v>
      </c>
      <c r="AU126" s="54">
        <f>IF(RTD("tos.rtd",,AU$83,"."&amp;$C$82&amp;$AU$82&amp;"C"&amp;$A126)="N/A",0,RTD("tos.rtd",,AU$83,"."&amp;$C$82&amp;$AU$82&amp;"C"&amp;$A126))</f>
        <v>529</v>
      </c>
      <c r="AV126" s="3">
        <f>-IF(RTD("tos.rtd",,AV$83,"."&amp;$C$82&amp;$AU$82&amp;"P"&amp;$A126)="N/A",0,RTD("tos.rtd",,AV$83,"."&amp;$C$82&amp;$AU$82&amp;"P"&amp;$A126))</f>
        <v>-620</v>
      </c>
      <c r="AW126" s="54">
        <f>IF(RTD("tos.rtd",,AW$83,"."&amp;$D$82&amp;$AW$82&amp;"C"&amp;$A126)="N/A",0,RTD("tos.rtd",,AW$83,"."&amp;$D$82&amp;$AW$82&amp;"C"&amp;$A126))</f>
        <v>1503</v>
      </c>
      <c r="AX126" s="3">
        <f>-IF(RTD("tos.rtd",,AX$83,"."&amp;$D$82&amp;$AW$82&amp;"P"&amp;$A126)="N/A",0,RTD("tos.rtd",,AX$83,"."&amp;$D$82&amp;$AW$82&amp;"P"&amp;$A126))</f>
        <v>-1765</v>
      </c>
      <c r="AY126" s="79">
        <f t="shared" si="521"/>
        <v>-2503</v>
      </c>
      <c r="AZ126" s="8">
        <f t="shared" si="455"/>
        <v>5610</v>
      </c>
      <c r="BA126" s="54">
        <f>IF(RTD("tos.rtd",,BA$83,"."&amp;$B$82&amp;$AS$82&amp;"C"&amp;$A126)="N/A",0,RTD("tos.rtd",,BA$83,"."&amp;$B$82&amp;$AS$82&amp;"C"&amp;$A126))</f>
        <v>49</v>
      </c>
      <c r="BB126" s="3">
        <f>-IF(RTD("tos.rtd",,BB$83,"."&amp;$B$82&amp;$AS$82&amp;"P"&amp;$A126)="N/A",0,RTD("tos.rtd",,BB$83,"."&amp;$B$82&amp;$AS$82&amp;"P"&amp;$A126))</f>
        <v>-2510</v>
      </c>
      <c r="BC126" s="54">
        <f>IF(RTD("tos.rtd",,BC$83,"."&amp;$C$82&amp;$AU$82&amp;"C"&amp;$A126)="N/A",0,RTD("tos.rtd",,BC$83,"."&amp;$C$82&amp;$AU$82&amp;"C"&amp;$A126))</f>
        <v>16</v>
      </c>
      <c r="BD126" s="3">
        <f>-IF(RTD("tos.rtd",,BD$83,"."&amp;$C$82&amp;$AU$82&amp;"P"&amp;$A126)="N/A",0,RTD("tos.rtd",,BD$83,"."&amp;$C$82&amp;$AU$82&amp;"P"&amp;$A126))</f>
        <v>-64</v>
      </c>
      <c r="BE126" s="54">
        <f>IF(RTD("tos.rtd",,BE$83,"."&amp;$D$82&amp;$AW$82&amp;"C"&amp;$A126)="N/A",0,RTD("tos.rtd",,BE$83,"."&amp;$D$82&amp;$AW$82&amp;"C"&amp;$A126))</f>
        <v>4</v>
      </c>
      <c r="BF126" s="3">
        <f>-IF(RTD("tos.rtd",,BF$83,"."&amp;$D$82&amp;$AW$82&amp;"P"&amp;$A126)="N/A",0,RTD("tos.rtd",,BF$83,"."&amp;$D$82&amp;$AW$82&amp;"P"&amp;$A126))</f>
        <v>-8</v>
      </c>
      <c r="BG126" s="3">
        <f ca="1">+Hoja2!Y127</f>
        <v>-247</v>
      </c>
      <c r="BH126" s="55">
        <f t="shared" ca="1" si="493"/>
        <v>-2760</v>
      </c>
      <c r="BI126" s="32" t="str">
        <f t="shared" ca="1" si="513"/>
        <v/>
      </c>
      <c r="BJ126" s="3">
        <f ca="1">IF($BP$1=1,DX126,IF(RTD("tos.rtd",,BJ$83,"."&amp;$B$82&amp;$AS$82&amp;"C"&amp;$A126)="N/A",0,RTD("tos.rtd",,BJ$83,"."&amp;$B$82&amp;$AS$82&amp;"C"&amp;$A126)))</f>
        <v>3.3212945137137737E-39</v>
      </c>
      <c r="BK126" s="3">
        <f ca="1">IF($BP$1=1,DY126,-IF(RTD("tos.rtd",,BK$83,"."&amp;$B$82&amp;$AS$82&amp;"P"&amp;$A126)="N/A",0,RTD("tos.rtd",,BK$83,"."&amp;$B$82&amp;$AS$82&amp;"P"&amp;$A126)))</f>
        <v>-5.6657370905216476E-4</v>
      </c>
      <c r="BL126" s="3">
        <f ca="1">IF($BP$1=1,DZ126,IF(RTD("tos.rtd",,BL$83,"."&amp;$C$82&amp;$AU$82&amp;"C"&amp;$A126)="N/A",0,RTD("tos.rtd",,BL$83,"."&amp;$C$82&amp;$AU$82&amp;"C"&amp;$A126)))</f>
        <v>6.0980758136675787E-4</v>
      </c>
      <c r="BM126" s="3">
        <f ca="1">IF($BP$1=1,EA126,-IF(RTD("tos.rtd",,BM$83,"."&amp;$C$82&amp;$AU$82&amp;"P"&amp;$A126)="N/A",0,RTD("tos.rtd",,BM$83,"."&amp;$C$82&amp;$AU$82&amp;"P"&amp;$A126)))</f>
        <v>-8.4829475093996503E-4</v>
      </c>
      <c r="BN126" s="3">
        <f ca="1">IF($BP$1=1,EB126,IF(RTD("tos.rtd",,BN$83,"."&amp;$D$82&amp;$AW$82&amp;"C"&amp;$A126)="N/A",0,RTD("tos.rtd",,BN$83,"."&amp;$D$82&amp;$AW$82&amp;"C"&amp;$A126)))</f>
        <v>5.2896550993637432E-4</v>
      </c>
      <c r="BO126" s="3">
        <f ca="1">IF($BP$1=1,EC126,-IF(RTD("tos.rtd",,BO$83,"."&amp;$D$82&amp;$AW$82&amp;"P"&amp;$A126)="N/A",0,RTD("tos.rtd",,BO$83,"."&amp;$D$82&amp;$AW$82&amp;"P"&amp;$A126)))</f>
        <v>-6.2313824341582718E-4</v>
      </c>
      <c r="BQ126" s="3">
        <f t="shared" ca="1" si="456"/>
        <v>-329851.55796842353</v>
      </c>
      <c r="BR126" s="3" t="str">
        <f t="shared" ca="1" si="494"/>
        <v/>
      </c>
      <c r="BS126" s="3">
        <f t="shared" ca="1" si="457"/>
        <v>-52408.261447701618</v>
      </c>
      <c r="BT126" s="3" t="str">
        <f t="shared" ca="1" si="494"/>
        <v>Cruce -</v>
      </c>
      <c r="BU126" s="3">
        <f t="shared" ca="1" si="458"/>
        <v>-78553.641497299803</v>
      </c>
      <c r="BV126" s="3" t="str">
        <f t="shared" ca="1" si="494"/>
        <v/>
      </c>
      <c r="BX126" s="3">
        <f t="shared" ca="1" si="459"/>
        <v>-366501.73107602616</v>
      </c>
      <c r="BY126" s="3" t="str">
        <f t="shared" ca="1" si="510"/>
        <v/>
      </c>
      <c r="BZ126" s="3">
        <f t="shared" ca="1" si="460"/>
        <v>-11477.228746912617</v>
      </c>
      <c r="CA126" s="3" t="str">
        <f t="shared" ca="1" si="510"/>
        <v/>
      </c>
      <c r="CB126" s="3">
        <f t="shared" ca="1" si="461"/>
        <v>-739.45773983517518</v>
      </c>
      <c r="CC126" s="3" t="str">
        <f t="shared" ca="1" si="510"/>
        <v/>
      </c>
      <c r="CD126" s="3">
        <f>IF(RTD("tos.rtd",,CD$83,"."&amp;$B$82&amp;$AS$82&amp;"C"&amp;$A126)="N/A",0,RTD("tos.rtd",,CD$83,"."&amp;$B$82&amp;$AS$82&amp;"C"&amp;$A126))</f>
        <v>1</v>
      </c>
      <c r="CE126" s="3">
        <f>-IF(RTD("tos.rtd",,CE$83,"."&amp;$B$82&amp;$AS$82&amp;"P"&amp;$A126)="N/A",0,RTD("tos.rtd",,CE$83,"."&amp;$B$82&amp;$AS$82&amp;"P"&amp;$A126))</f>
        <v>0</v>
      </c>
      <c r="CF126" s="3">
        <f>IF(RTD("tos.rtd",,CF$83,"."&amp;$C$82&amp;$AU$82&amp;"C"&amp;$A126)="N/A",0,RTD("tos.rtd",,CF$83,"."&amp;$C$82&amp;$AU$82&amp;"C"&amp;$A126))</f>
        <v>0.99</v>
      </c>
      <c r="CG126" s="3">
        <f>-IF(RTD("tos.rtd",,CG$83,"."&amp;$C$82&amp;$AU$82&amp;"P"&amp;$A126)="N/A",0,RTD("tos.rtd",,CG$83,"."&amp;$C$82&amp;$AU$82&amp;"P"&amp;$A126))</f>
        <v>0.04</v>
      </c>
      <c r="CH126" s="3">
        <f>IF(RTD("tos.rtd",,CH$83,"."&amp;$D$82&amp;$AW$82&amp;"C"&amp;$A126)="N/A",0,RTD("tos.rtd",,CH$83,"."&amp;$D$82&amp;$AW$82&amp;"C"&amp;$A126))</f>
        <v>0.79</v>
      </c>
      <c r="CI126" s="3">
        <f>-IF(RTD("tos.rtd",,CI$83,"."&amp;$D$82&amp;$AW$82&amp;"P"&amp;$A126)="N/A",0,RTD("tos.rtd",,CI$83,"."&amp;$D$82&amp;$AW$82&amp;"P"&amp;$A126))</f>
        <v>0.22</v>
      </c>
      <c r="CK126" s="3">
        <f t="shared" si="495"/>
        <v>10900</v>
      </c>
      <c r="CL126" s="3"/>
      <c r="CM126" s="3">
        <f t="shared" si="496"/>
        <v>49891</v>
      </c>
      <c r="CN126" s="3"/>
      <c r="CO126" s="3">
        <f t="shared" si="497"/>
        <v>79907.000000000015</v>
      </c>
      <c r="CP126" s="3">
        <f t="shared" si="462"/>
        <v>140698</v>
      </c>
      <c r="CQ126" s="3">
        <f t="shared" si="463"/>
        <v>-2461</v>
      </c>
      <c r="CR126" s="3"/>
      <c r="CS126" s="3">
        <f t="shared" si="464"/>
        <v>-48</v>
      </c>
      <c r="CT126" s="3"/>
      <c r="CU126" s="3">
        <f t="shared" si="465"/>
        <v>-4</v>
      </c>
      <c r="CV126" s="3"/>
      <c r="CW126" s="3">
        <f t="shared" ca="1" si="466"/>
        <v>-460813.46091342496</v>
      </c>
      <c r="CY126" s="3">
        <f t="shared" ca="1" si="467"/>
        <v>-378718.41756277398</v>
      </c>
      <c r="CZ126" s="70" t="str">
        <f t="shared" ca="1" si="511"/>
        <v/>
      </c>
      <c r="DA126" s="3">
        <f>IF(RTD("tos.rtd",,DA$83,"."&amp;$B$82&amp;$AS$82&amp;"C"&amp;$A126)="N/A",0,RTD("tos.rtd",,DA$83,"."&amp;$B$82&amp;$AS$82&amp;"C"&amp;$A126))</f>
        <v>219.2</v>
      </c>
      <c r="DB126" s="3">
        <f>IF(RTD("tos.rtd",,DB$83,"."&amp;$B$82&amp;$AS$82&amp;"P"&amp;$A126)="N/A",0,RTD("tos.rtd",,DB$83,"."&amp;$B$82&amp;$AS$82&amp;"P"&amp;$A126))</f>
        <v>0.05</v>
      </c>
      <c r="DC126" s="3">
        <f>IF(RTD("tos.rtd",,DC$83,"."&amp;$B$82&amp;$AS$82&amp;"C"&amp;$A126)="N/A",0,RTD("tos.rtd",,DC$83,"."&amp;$B$82&amp;$AS$82&amp;"C"&amp;$A126))</f>
        <v>242.8</v>
      </c>
      <c r="DD126" s="3">
        <f>IF(RTD("tos.rtd",,DD$83,"."&amp;$B$82&amp;$AS$82&amp;"P"&amp;$A126)="N/A",0,RTD("tos.rtd",,DD$83,"."&amp;$B$82&amp;$AS$82&amp;"P"&amp;$A126))</f>
        <v>0.05</v>
      </c>
      <c r="DE126" s="3">
        <f>IF(RTD("tos.rtd",,DE$83,"."&amp;$B$82&amp;$AS$82&amp;"C"&amp;$A126)="N/A",0,RTD("tos.rtd",,DE$83,"."&amp;$B$82&amp;$AS$82&amp;"C"&amp;$A126))</f>
        <v>225.1</v>
      </c>
      <c r="DF126" s="3">
        <f>IF(RTD("tos.rtd",,DF$83,"."&amp;$B$82&amp;$AS$82&amp;"P"&amp;$A126)="N/A",0,RTD("tos.rtd",,DF$83,"."&amp;$B$82&amp;$AS$82&amp;"P"&amp;$A126))</f>
        <v>0</v>
      </c>
      <c r="DG126" s="86">
        <f t="shared" si="499"/>
        <v>-231.75</v>
      </c>
      <c r="DH126" s="3">
        <f t="shared" si="468"/>
        <v>0</v>
      </c>
      <c r="DI126" s="3">
        <f t="shared" si="469"/>
        <v>0</v>
      </c>
      <c r="DJ126" s="3">
        <f t="shared" si="470"/>
        <v>0</v>
      </c>
      <c r="DK126" s="3">
        <f t="shared" si="471"/>
        <v>0</v>
      </c>
      <c r="DL126" s="3">
        <f t="shared" si="472"/>
        <v>0</v>
      </c>
      <c r="DM126" s="3">
        <f t="shared" si="473"/>
        <v>0</v>
      </c>
      <c r="DN126" s="64" t="str">
        <f t="shared" si="474"/>
        <v>UNKNOWN</v>
      </c>
      <c r="DO126" s="64" t="str">
        <f t="shared" si="475"/>
        <v>UNKNOWN</v>
      </c>
      <c r="DP126" s="3">
        <f t="shared" si="476"/>
        <v>0</v>
      </c>
      <c r="DQ126" s="3">
        <f t="shared" si="477"/>
        <v>0</v>
      </c>
      <c r="DR126" s="3">
        <f t="shared" ca="1" si="478"/>
        <v>0</v>
      </c>
      <c r="DS126" s="3">
        <f t="shared" si="479"/>
        <v>0</v>
      </c>
      <c r="DT126" s="3">
        <f t="shared" si="500"/>
        <v>0</v>
      </c>
      <c r="DU126" s="3">
        <f t="shared" si="501"/>
        <v>0</v>
      </c>
      <c r="DV126" s="3">
        <f t="shared" si="502"/>
        <v>1</v>
      </c>
      <c r="DW126" s="3">
        <f t="shared" si="503"/>
        <v>482</v>
      </c>
      <c r="DX126" s="3">
        <f t="shared" ca="1" si="512"/>
        <v>3.3212945137137737E-39</v>
      </c>
      <c r="DY126" s="3">
        <f t="shared" ca="1" si="480"/>
        <v>-5.6657370905216476E-4</v>
      </c>
      <c r="DZ126" s="3">
        <f t="shared" ca="1" si="504"/>
        <v>6.0980758136675787E-4</v>
      </c>
      <c r="EA126" s="3">
        <f t="shared" ca="1" si="505"/>
        <v>-8.4829475093996503E-4</v>
      </c>
      <c r="EB126" s="3">
        <f t="shared" ca="1" si="481"/>
        <v>5.2896550993637432E-4</v>
      </c>
      <c r="EC126" s="3">
        <f t="shared" ca="1" si="482"/>
        <v>-6.2313824341582718E-4</v>
      </c>
      <c r="ED126" s="63">
        <f t="shared" si="506"/>
        <v>483</v>
      </c>
      <c r="EE126" s="59">
        <f t="shared" si="483"/>
        <v>0.25</v>
      </c>
      <c r="EF126" s="59">
        <f t="shared" si="484"/>
        <v>1.7783</v>
      </c>
      <c r="EG126" s="59">
        <f t="shared" si="485"/>
        <v>0.18940000000000001</v>
      </c>
      <c r="EH126" s="59">
        <f t="shared" si="486"/>
        <v>0.23599999999999999</v>
      </c>
      <c r="EI126" s="59">
        <f t="shared" si="487"/>
        <v>0.17799999999999999</v>
      </c>
      <c r="EJ126" s="59">
        <f t="shared" si="488"/>
        <v>0.19139999999999999</v>
      </c>
      <c r="EK126" s="63">
        <f t="shared" ca="1" si="507"/>
        <v>-9319430.8583197594</v>
      </c>
      <c r="EL126" s="3" t="str">
        <f>RTD("tos.rtd",,EL$83,"."&amp;$B$82&amp;$AS$82&amp;"C"&amp;$A126)</f>
        <v>--</v>
      </c>
      <c r="EM126" s="3" t="str">
        <f>RTD("tos.rtd",,EM$83,"."&amp;$B$82&amp;$AS$82&amp;"P"&amp;$A126)</f>
        <v>177.83%</v>
      </c>
      <c r="EN126" s="3" t="str">
        <f>RTD("tos.rtd",,EN$83,"."&amp;$C$82&amp;$AU$82&amp;"C"&amp;$A126)</f>
        <v>18.94%</v>
      </c>
      <c r="EO126" s="3" t="str">
        <f>RTD("tos.rtd",,EO$83,"."&amp;$C$82&amp;$AU$82&amp;"P"&amp;$A126)</f>
        <v>23.60%</v>
      </c>
      <c r="EP126" s="3" t="str">
        <f>RTD("tos.rtd",,EP$83,"."&amp;$D$82&amp;$AW$82&amp;"C"&amp;$A126)</f>
        <v>17.80%</v>
      </c>
      <c r="EQ126" s="3" t="str">
        <f>RTD("tos.rtd",,EQ$83,"."&amp;$D$82&amp;$AW$82&amp;"P"&amp;$A126)</f>
        <v>19.14%</v>
      </c>
      <c r="ES126" s="63" t="str">
        <f t="shared" si="489"/>
        <v>5610,483.00</v>
      </c>
      <c r="ET126" s="63" t="str">
        <f t="shared" ca="1" si="490"/>
        <v>5610,-378.72</v>
      </c>
      <c r="EU126" s="67">
        <v>572.05999999999995</v>
      </c>
      <c r="EV126" s="67" t="s">
        <v>1027</v>
      </c>
      <c r="EW126" s="67">
        <v>497.3</v>
      </c>
      <c r="EX126" s="67" t="s">
        <v>1028</v>
      </c>
      <c r="EY126" s="67">
        <v>5731</v>
      </c>
      <c r="EZ126" s="67" t="s">
        <v>1029</v>
      </c>
      <c r="FA126" s="67">
        <v>20418.25</v>
      </c>
      <c r="FB126" s="67" t="s">
        <v>1030</v>
      </c>
      <c r="FC126" s="67" t="s">
        <v>1031</v>
      </c>
      <c r="FD126" s="67" t="s">
        <v>1032</v>
      </c>
      <c r="FE126" s="68" t="s">
        <v>1033</v>
      </c>
      <c r="FF126" s="68" t="s">
        <v>1034</v>
      </c>
    </row>
    <row r="127" spans="1:162" s="63" customFormat="1" ht="12" customHeight="1" thickBot="1" x14ac:dyDescent="0.25">
      <c r="A127" s="2">
        <f t="shared" si="508"/>
        <v>5600</v>
      </c>
      <c r="B127" s="3">
        <f t="shared" si="451"/>
        <v>4161</v>
      </c>
      <c r="C127" s="3">
        <f t="shared" si="452"/>
        <v>45033</v>
      </c>
      <c r="D127" s="3">
        <f t="shared" si="453"/>
        <v>69529</v>
      </c>
      <c r="E127" s="3">
        <f t="shared" si="519"/>
        <v>118723</v>
      </c>
      <c r="F127" s="4">
        <f t="shared" si="522"/>
        <v>5623.0068044678392</v>
      </c>
      <c r="G127" s="4">
        <f t="shared" si="520"/>
        <v>558.8256943552874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>
        <v>30</v>
      </c>
      <c r="AN127" s="20">
        <v>287</v>
      </c>
      <c r="AO127" s="20">
        <v>5600</v>
      </c>
      <c r="AP127" s="20">
        <v>125</v>
      </c>
      <c r="AQ127" s="20">
        <v>-7168</v>
      </c>
      <c r="AR127" s="20"/>
      <c r="AS127" s="54">
        <f>IF(RTD("tos.rtd",,AS$83,"."&amp;$B$82&amp;$AS$82&amp;"C"&amp;$A127)="N/A",0,RTD("tos.rtd",,AS$83,"."&amp;$B$82&amp;$AS$82&amp;"C"&amp;$A127))</f>
        <v>381</v>
      </c>
      <c r="AT127" s="3">
        <f>-IF(RTD("tos.rtd",,AT$83,"."&amp;$B$82&amp;$AS$82&amp;"P"&amp;$A127)="N/A",0,RTD("tos.rtd",,AT$83,"."&amp;$B$82&amp;$AS$82&amp;"P"&amp;$A127))</f>
        <v>-3780</v>
      </c>
      <c r="AU127" s="54">
        <f>IF(RTD("tos.rtd",,AU$83,"."&amp;$C$82&amp;$AU$82&amp;"C"&amp;$A127)="N/A",0,RTD("tos.rtd",,AU$83,"."&amp;$C$82&amp;$AU$82&amp;"C"&amp;$A127))</f>
        <v>23686</v>
      </c>
      <c r="AV127" s="3">
        <f>-IF(RTD("tos.rtd",,AV$83,"."&amp;$C$82&amp;$AU$82&amp;"P"&amp;$A127)="N/A",0,RTD("tos.rtd",,AV$83,"."&amp;$C$82&amp;$AU$82&amp;"P"&amp;$A127))</f>
        <v>-21347</v>
      </c>
      <c r="AW127" s="54">
        <f>IF(RTD("tos.rtd",,AW$83,"."&amp;$D$82&amp;$AW$82&amp;"C"&amp;$A127)="N/A",0,RTD("tos.rtd",,AW$83,"."&amp;$D$82&amp;$AW$82&amp;"C"&amp;$A127))</f>
        <v>31075</v>
      </c>
      <c r="AX127" s="3">
        <f>-IF(RTD("tos.rtd",,AX$83,"."&amp;$D$82&amp;$AW$82&amp;"P"&amp;$A127)="N/A",0,RTD("tos.rtd",,AX$83,"."&amp;$D$82&amp;$AW$82&amp;"P"&amp;$A127))</f>
        <v>-38454</v>
      </c>
      <c r="AY127" s="79">
        <f t="shared" si="521"/>
        <v>-8439</v>
      </c>
      <c r="AZ127" s="8">
        <f t="shared" si="455"/>
        <v>5600</v>
      </c>
      <c r="BA127" s="54">
        <f>IF(RTD("tos.rtd",,BA$83,"."&amp;$B$82&amp;$AS$82&amp;"C"&amp;$A127)="N/A",0,RTD("tos.rtd",,BA$83,"."&amp;$B$82&amp;$AS$82&amp;"C"&amp;$A127))</f>
        <v>125</v>
      </c>
      <c r="BB127" s="3">
        <f>-IF(RTD("tos.rtd",,BB$83,"."&amp;$B$82&amp;$AS$82&amp;"P"&amp;$A127)="N/A",0,RTD("tos.rtd",,BB$83,"."&amp;$B$82&amp;$AS$82&amp;"P"&amp;$A127))</f>
        <v>-7168</v>
      </c>
      <c r="BC127" s="54">
        <f>IF(RTD("tos.rtd",,BC$83,"."&amp;$C$82&amp;$AU$82&amp;"C"&amp;$A127)="N/A",0,RTD("tos.rtd",,BC$83,"."&amp;$C$82&amp;$AU$82&amp;"C"&amp;$A127))</f>
        <v>679</v>
      </c>
      <c r="BD127" s="3">
        <f>-IF(RTD("tos.rtd",,BD$83,"."&amp;$C$82&amp;$AU$82&amp;"P"&amp;$A127)="N/A",0,RTD("tos.rtd",,BD$83,"."&amp;$C$82&amp;$AU$82&amp;"P"&amp;$A127))</f>
        <v>-2353</v>
      </c>
      <c r="BE127" s="54">
        <f>IF(RTD("tos.rtd",,BE$83,"."&amp;$D$82&amp;$AW$82&amp;"C"&amp;$A127)="N/A",0,RTD("tos.rtd",,BE$83,"."&amp;$D$82&amp;$AW$82&amp;"C"&amp;$A127))</f>
        <v>786</v>
      </c>
      <c r="BF127" s="3">
        <f>-IF(RTD("tos.rtd",,BF$83,"."&amp;$D$82&amp;$AW$82&amp;"P"&amp;$A127)="N/A",0,RTD("tos.rtd",,BF$83,"."&amp;$D$82&amp;$AW$82&amp;"P"&amp;$A127))</f>
        <v>-2504</v>
      </c>
      <c r="BG127" s="3">
        <f ca="1">+Hoja2!Y128</f>
        <v>-7445</v>
      </c>
      <c r="BH127" s="55">
        <f t="shared" ca="1" si="493"/>
        <v>-17880</v>
      </c>
      <c r="BI127" s="32" t="str">
        <f t="shared" ca="1" si="513"/>
        <v/>
      </c>
      <c r="BJ127" s="3">
        <f ca="1">IF($BP$1=1,DX127,IF(RTD("tos.rtd",,BJ$83,"."&amp;$B$82&amp;$AS$82&amp;"C"&amp;$A127)="N/A",0,RTD("tos.rtd",,BJ$83,"."&amp;$B$82&amp;$AS$82&amp;"C"&amp;$A127)))</f>
        <v>1.6034370389778224E-42</v>
      </c>
      <c r="BK127" s="3">
        <f ca="1">IF($BP$1=1,DY127,-IF(RTD("tos.rtd",,BK$83,"."&amp;$B$82&amp;$AS$82&amp;"P"&amp;$A127)="N/A",0,RTD("tos.rtd",,BK$83,"."&amp;$B$82&amp;$AS$82&amp;"P"&amp;$A127)))</f>
        <v>-5.3717247523926855E-4</v>
      </c>
      <c r="BL127" s="3">
        <f ca="1">IF($BP$1=1,DZ127,IF(RTD("tos.rtd",,BL$83,"."&amp;$C$82&amp;$AU$82&amp;"C"&amp;$A127)="N/A",0,RTD("tos.rtd",,BL$83,"."&amp;$C$82&amp;$AU$82&amp;"C"&amp;$A127)))</f>
        <v>6.0448440424159004E-4</v>
      </c>
      <c r="BM127" s="3">
        <f ca="1">IF($BP$1=1,EA127,-IF(RTD("tos.rtd",,BM$83,"."&amp;$C$82&amp;$AU$82&amp;"P"&amp;$A127)="N/A",0,RTD("tos.rtd",,BM$83,"."&amp;$C$82&amp;$AU$82&amp;"P"&amp;$A127)))</f>
        <v>-7.8720024669360115E-4</v>
      </c>
      <c r="BN127" s="3">
        <f ca="1">IF($BP$1=1,EB127,IF(RTD("tos.rtd",,BN$83,"."&amp;$D$82&amp;$AW$82&amp;"C"&amp;$A127)="N/A",0,RTD("tos.rtd",,BN$83,"."&amp;$D$82&amp;$AW$82&amp;"C"&amp;$A127)))</f>
        <v>4.6393021875388429E-4</v>
      </c>
      <c r="BO127" s="3">
        <f ca="1">IF($BP$1=1,EC127,-IF(RTD("tos.rtd",,BO$83,"."&amp;$D$82&amp;$AW$82&amp;"P"&amp;$A127)="N/A",0,RTD("tos.rtd",,BO$83,"."&amp;$D$82&amp;$AW$82&amp;"P"&amp;$A127)))</f>
        <v>-5.5542781124360446E-4</v>
      </c>
      <c r="BQ127" s="3">
        <f t="shared" ca="1" si="456"/>
        <v>-523300.85219451599</v>
      </c>
      <c r="BR127" s="3" t="str">
        <f t="shared" ca="1" si="494"/>
        <v/>
      </c>
      <c r="BS127" s="3">
        <f t="shared" ca="1" si="457"/>
        <v>-640829.3592834603</v>
      </c>
      <c r="BT127" s="3" t="str">
        <f t="shared" ca="1" si="494"/>
        <v/>
      </c>
      <c r="BU127" s="3">
        <f t="shared" ca="1" si="458"/>
        <v>-1789028.7977247881</v>
      </c>
      <c r="BV127" s="3" t="str">
        <f t="shared" ca="1" si="494"/>
        <v/>
      </c>
      <c r="BX127" s="3">
        <f t="shared" ca="1" si="459"/>
        <v>-992333.46786515624</v>
      </c>
      <c r="BY127" s="3" t="str">
        <f t="shared" ca="1" si="510"/>
        <v/>
      </c>
      <c r="BZ127" s="3">
        <f t="shared" ca="1" si="460"/>
        <v>-371588.39165254345</v>
      </c>
      <c r="CA127" s="3" t="str">
        <f t="shared" ca="1" si="510"/>
        <v/>
      </c>
      <c r="CB127" s="3">
        <f t="shared" ca="1" si="461"/>
        <v>-264455.97974560934</v>
      </c>
      <c r="CC127" s="3" t="str">
        <f t="shared" ca="1" si="510"/>
        <v/>
      </c>
      <c r="CD127" s="3">
        <f>IF(RTD("tos.rtd",,CD$83,"."&amp;$B$82&amp;$AS$82&amp;"C"&amp;$A127)="N/A",0,RTD("tos.rtd",,CD$83,"."&amp;$B$82&amp;$AS$82&amp;"C"&amp;$A127))</f>
        <v>1</v>
      </c>
      <c r="CE127" s="3">
        <f>-IF(RTD("tos.rtd",,CE$83,"."&amp;$B$82&amp;$AS$82&amp;"P"&amp;$A127)="N/A",0,RTD("tos.rtd",,CE$83,"."&amp;$B$82&amp;$AS$82&amp;"P"&amp;$A127))</f>
        <v>0</v>
      </c>
      <c r="CF127" s="3">
        <f>IF(RTD("tos.rtd",,CF$83,"."&amp;$C$82&amp;$AU$82&amp;"C"&amp;$A127)="N/A",0,RTD("tos.rtd",,CF$83,"."&amp;$C$82&amp;$AU$82&amp;"C"&amp;$A127))</f>
        <v>0.98</v>
      </c>
      <c r="CG127" s="3">
        <f>-IF(RTD("tos.rtd",,CG$83,"."&amp;$C$82&amp;$AU$82&amp;"P"&amp;$A127)="N/A",0,RTD("tos.rtd",,CG$83,"."&amp;$C$82&amp;$AU$82&amp;"P"&amp;$A127))</f>
        <v>0.04</v>
      </c>
      <c r="CH127" s="3">
        <f>IF(RTD("tos.rtd",,CH$83,"."&amp;$D$82&amp;$AW$82&amp;"C"&amp;$A127)="N/A",0,RTD("tos.rtd",,CH$83,"."&amp;$D$82&amp;$AW$82&amp;"C"&amp;$A127))</f>
        <v>0.8</v>
      </c>
      <c r="CI127" s="3">
        <f>-IF(RTD("tos.rtd",,CI$83,"."&amp;$D$82&amp;$AW$82&amp;"P"&amp;$A127)="N/A",0,RTD("tos.rtd",,CI$83,"."&amp;$D$82&amp;$AW$82&amp;"P"&amp;$A127))</f>
        <v>0.22</v>
      </c>
      <c r="CK127" s="3">
        <f t="shared" si="495"/>
        <v>38100</v>
      </c>
      <c r="CL127" s="3"/>
      <c r="CM127" s="3">
        <f t="shared" si="496"/>
        <v>2235840</v>
      </c>
      <c r="CN127" s="3"/>
      <c r="CO127" s="3">
        <f t="shared" si="497"/>
        <v>1640012</v>
      </c>
      <c r="CP127" s="3">
        <f t="shared" si="462"/>
        <v>3913952</v>
      </c>
      <c r="CQ127" s="3">
        <f t="shared" si="463"/>
        <v>-7043</v>
      </c>
      <c r="CR127" s="3"/>
      <c r="CS127" s="3">
        <f t="shared" si="464"/>
        <v>-1674</v>
      </c>
      <c r="CT127" s="3"/>
      <c r="CU127" s="3">
        <f t="shared" si="465"/>
        <v>-1718</v>
      </c>
      <c r="CV127" s="3"/>
      <c r="CW127" s="3">
        <f t="shared" ca="1" si="466"/>
        <v>-2953159.0092027644</v>
      </c>
      <c r="CY127" s="3">
        <f t="shared" ca="1" si="467"/>
        <v>-1628377.8392633088</v>
      </c>
      <c r="CZ127" s="70" t="str">
        <f t="shared" ca="1" si="511"/>
        <v/>
      </c>
      <c r="DA127" s="3">
        <f>IF(RTD("tos.rtd",,DA$83,"."&amp;$B$82&amp;$AS$82&amp;"C"&amp;$A127)="N/A",0,RTD("tos.rtd",,DA$83,"."&amp;$B$82&amp;$AS$82&amp;"C"&amp;$A127))</f>
        <v>226.9</v>
      </c>
      <c r="DB127" s="3">
        <f>IF(RTD("tos.rtd",,DB$83,"."&amp;$B$82&amp;$AS$82&amp;"P"&amp;$A127)="N/A",0,RTD("tos.rtd",,DB$83,"."&amp;$B$82&amp;$AS$82&amp;"P"&amp;$A127))</f>
        <v>0.03</v>
      </c>
      <c r="DC127" s="3">
        <f>IF(RTD("tos.rtd",,DC$83,"."&amp;$B$82&amp;$AS$82&amp;"C"&amp;$A127)="N/A",0,RTD("tos.rtd",,DC$83,"."&amp;$B$82&amp;$AS$82&amp;"C"&amp;$A127))</f>
        <v>253.2</v>
      </c>
      <c r="DD127" s="3">
        <f>IF(RTD("tos.rtd",,DD$83,"."&amp;$B$82&amp;$AS$82&amp;"P"&amp;$A127)="N/A",0,RTD("tos.rtd",,DD$83,"."&amp;$B$82&amp;$AS$82&amp;"P"&amp;$A127))</f>
        <v>0.05</v>
      </c>
      <c r="DE127" s="3">
        <f>IF(RTD("tos.rtd",,DE$83,"."&amp;$B$82&amp;$AS$82&amp;"C"&amp;$A127)="N/A",0,RTD("tos.rtd",,DE$83,"."&amp;$B$82&amp;$AS$82&amp;"C"&amp;$A127))</f>
        <v>235.1</v>
      </c>
      <c r="DF127" s="3">
        <f>IF(RTD("tos.rtd",,DF$83,"."&amp;$B$82&amp;$AS$82&amp;"P"&amp;$A127)="N/A",0,RTD("tos.rtd",,DF$83,"."&amp;$B$82&amp;$AS$82&amp;"P"&amp;$A127))</f>
        <v>0</v>
      </c>
      <c r="DG127" s="86">
        <f t="shared" si="499"/>
        <v>-241.75</v>
      </c>
      <c r="DH127" s="3">
        <f t="shared" si="468"/>
        <v>0</v>
      </c>
      <c r="DI127" s="3">
        <f t="shared" si="469"/>
        <v>0</v>
      </c>
      <c r="DJ127" s="3">
        <f t="shared" si="470"/>
        <v>0</v>
      </c>
      <c r="DK127" s="3">
        <f t="shared" si="471"/>
        <v>0</v>
      </c>
      <c r="DL127" s="3">
        <f t="shared" si="472"/>
        <v>0</v>
      </c>
      <c r="DM127" s="3">
        <f t="shared" si="473"/>
        <v>0</v>
      </c>
      <c r="DN127" s="64" t="str">
        <f t="shared" si="474"/>
        <v>UNKNOWN</v>
      </c>
      <c r="DO127" s="64" t="str">
        <f t="shared" si="475"/>
        <v>UNKNOWN</v>
      </c>
      <c r="DP127" s="3">
        <f t="shared" si="476"/>
        <v>0</v>
      </c>
      <c r="DQ127" s="3">
        <f t="shared" si="477"/>
        <v>0</v>
      </c>
      <c r="DR127" s="3">
        <f t="shared" ca="1" si="478"/>
        <v>0</v>
      </c>
      <c r="DS127" s="3">
        <f t="shared" si="479"/>
        <v>0</v>
      </c>
      <c r="DT127" s="3">
        <f t="shared" si="500"/>
        <v>0</v>
      </c>
      <c r="DU127" s="3">
        <f t="shared" si="501"/>
        <v>0</v>
      </c>
      <c r="DV127" s="3">
        <f t="shared" si="502"/>
        <v>30</v>
      </c>
      <c r="DW127" s="3">
        <f t="shared" si="503"/>
        <v>287</v>
      </c>
      <c r="DX127" s="3">
        <f t="shared" ca="1" si="512"/>
        <v>1.6034370389778224E-42</v>
      </c>
      <c r="DY127" s="3">
        <f t="shared" ca="1" si="480"/>
        <v>-5.3717247523926855E-4</v>
      </c>
      <c r="DZ127" s="3">
        <f t="shared" ca="1" si="504"/>
        <v>6.0448440424159004E-4</v>
      </c>
      <c r="EA127" s="3">
        <f t="shared" ca="1" si="505"/>
        <v>-7.8720024669360115E-4</v>
      </c>
      <c r="EB127" s="3">
        <f t="shared" ca="1" si="481"/>
        <v>4.6393021875388429E-4</v>
      </c>
      <c r="EC127" s="3">
        <f t="shared" ca="1" si="482"/>
        <v>-5.5542781124360446E-4</v>
      </c>
      <c r="ED127" s="63">
        <f t="shared" si="506"/>
        <v>317</v>
      </c>
      <c r="EE127" s="59">
        <f t="shared" si="483"/>
        <v>0.25</v>
      </c>
      <c r="EF127" s="59">
        <f t="shared" si="484"/>
        <v>1.8493999999999999</v>
      </c>
      <c r="EG127" s="59">
        <f t="shared" si="485"/>
        <v>0.20100000000000001</v>
      </c>
      <c r="EH127" s="59">
        <f t="shared" si="486"/>
        <v>0.23899999999999999</v>
      </c>
      <c r="EI127" s="59">
        <f t="shared" si="487"/>
        <v>0.17960000000000001</v>
      </c>
      <c r="EJ127" s="59">
        <f t="shared" si="488"/>
        <v>0.19309999999999999</v>
      </c>
      <c r="EK127" s="63">
        <f t="shared" ca="1" si="507"/>
        <v>-5261160.8833154337</v>
      </c>
      <c r="EL127" s="3" t="str">
        <f>RTD("tos.rtd",,EL$83,"."&amp;$B$82&amp;$AS$82&amp;"C"&amp;$A127)</f>
        <v>--</v>
      </c>
      <c r="EM127" s="3" t="str">
        <f>RTD("tos.rtd",,EM$83,"."&amp;$B$82&amp;$AS$82&amp;"P"&amp;$A127)</f>
        <v>184.94%</v>
      </c>
      <c r="EN127" s="3" t="str">
        <f>RTD("tos.rtd",,EN$83,"."&amp;$C$82&amp;$AU$82&amp;"C"&amp;$A127)</f>
        <v>20.10%</v>
      </c>
      <c r="EO127" s="3" t="str">
        <f>RTD("tos.rtd",,EO$83,"."&amp;$C$82&amp;$AU$82&amp;"P"&amp;$A127)</f>
        <v>23.90%</v>
      </c>
      <c r="EP127" s="3" t="str">
        <f>RTD("tos.rtd",,EP$83,"."&amp;$D$82&amp;$AW$82&amp;"C"&amp;$A127)</f>
        <v>17.96%</v>
      </c>
      <c r="EQ127" s="3" t="str">
        <f>RTD("tos.rtd",,EQ$83,"."&amp;$D$82&amp;$AW$82&amp;"P"&amp;$A127)</f>
        <v>19.31%</v>
      </c>
      <c r="ES127" s="63" t="str">
        <f t="shared" si="489"/>
        <v>5600,317.00</v>
      </c>
      <c r="ET127" s="63" t="str">
        <f t="shared" ca="1" si="490"/>
        <v>5600,-1628.38</v>
      </c>
      <c r="EU127" s="67">
        <v>572.03</v>
      </c>
      <c r="EV127" s="67" t="s">
        <v>1035</v>
      </c>
      <c r="EW127" s="67">
        <v>497.28</v>
      </c>
      <c r="EX127" s="67" t="s">
        <v>1036</v>
      </c>
      <c r="EY127" s="67">
        <v>5731</v>
      </c>
      <c r="EZ127" s="67" t="s">
        <v>1037</v>
      </c>
      <c r="FA127" s="67">
        <v>20416.25</v>
      </c>
      <c r="FB127" s="67" t="s">
        <v>1038</v>
      </c>
      <c r="FC127" s="67" t="s">
        <v>1039</v>
      </c>
      <c r="FD127" s="67" t="s">
        <v>1040</v>
      </c>
      <c r="FE127" s="68" t="s">
        <v>1041</v>
      </c>
      <c r="FF127" s="68" t="s">
        <v>1042</v>
      </c>
    </row>
    <row r="128" spans="1:162" s="63" customFormat="1" ht="12" customHeight="1" thickBot="1" x14ac:dyDescent="0.25">
      <c r="A128" s="2">
        <f t="shared" si="508"/>
        <v>5590</v>
      </c>
      <c r="B128" s="3">
        <f t="shared" si="451"/>
        <v>1195</v>
      </c>
      <c r="C128" s="3">
        <f t="shared" si="452"/>
        <v>1967</v>
      </c>
      <c r="D128" s="3">
        <f t="shared" si="453"/>
        <v>6155</v>
      </c>
      <c r="E128" s="3">
        <f t="shared" si="519"/>
        <v>9317</v>
      </c>
      <c r="F128" s="4">
        <f t="shared" si="522"/>
        <v>5612.9657208884319</v>
      </c>
      <c r="G128" s="4">
        <f t="shared" si="520"/>
        <v>557.827791329653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>
        <v>-5</v>
      </c>
      <c r="AN128" s="20">
        <v>-162</v>
      </c>
      <c r="AO128" s="20">
        <v>5590</v>
      </c>
      <c r="AP128" s="20">
        <v>27</v>
      </c>
      <c r="AQ128" s="20">
        <v>-982</v>
      </c>
      <c r="AR128" s="20"/>
      <c r="AS128" s="54">
        <f>IF(RTD("tos.rtd",,AS$83,"."&amp;$B$82&amp;$AS$82&amp;"C"&amp;$A128)="N/A",0,RTD("tos.rtd",,AS$83,"."&amp;$B$82&amp;$AS$82&amp;"C"&amp;$A128))</f>
        <v>93</v>
      </c>
      <c r="AT128" s="3">
        <f>-IF(RTD("tos.rtd",,AT$83,"."&amp;$B$82&amp;$AS$82&amp;"P"&amp;$A128)="N/A",0,RTD("tos.rtd",,AT$83,"."&amp;$B$82&amp;$AS$82&amp;"P"&amp;$A128))</f>
        <v>-1102</v>
      </c>
      <c r="AU128" s="54">
        <f>IF(RTD("tos.rtd",,AU$83,"."&amp;$C$82&amp;$AU$82&amp;"C"&amp;$A128)="N/A",0,RTD("tos.rtd",,AU$83,"."&amp;$C$82&amp;$AU$82&amp;"C"&amp;$A128))</f>
        <v>434</v>
      </c>
      <c r="AV128" s="3">
        <f>-IF(RTD("tos.rtd",,AV$83,"."&amp;$C$82&amp;$AU$82&amp;"P"&amp;$A128)="N/A",0,RTD("tos.rtd",,AV$83,"."&amp;$C$82&amp;$AU$82&amp;"P"&amp;$A128))</f>
        <v>-1533</v>
      </c>
      <c r="AW128" s="54">
        <f>IF(RTD("tos.rtd",,AW$83,"."&amp;$D$82&amp;$AW$82&amp;"C"&amp;$A128)="N/A",0,RTD("tos.rtd",,AW$83,"."&amp;$D$82&amp;$AW$82&amp;"C"&amp;$A128))</f>
        <v>3173</v>
      </c>
      <c r="AX128" s="3">
        <f>-IF(RTD("tos.rtd",,AX$83,"."&amp;$D$82&amp;$AW$82&amp;"P"&amp;$A128)="N/A",0,RTD("tos.rtd",,AX$83,"."&amp;$D$82&amp;$AW$82&amp;"P"&amp;$A128))</f>
        <v>-2982</v>
      </c>
      <c r="AY128" s="79">
        <f t="shared" si="521"/>
        <v>-1917</v>
      </c>
      <c r="AZ128" s="8">
        <f t="shared" si="455"/>
        <v>5590</v>
      </c>
      <c r="BA128" s="54">
        <f>IF(RTD("tos.rtd",,BA$83,"."&amp;$B$82&amp;$AS$82&amp;"C"&amp;$A128)="N/A",0,RTD("tos.rtd",,BA$83,"."&amp;$B$82&amp;$AS$82&amp;"C"&amp;$A128))</f>
        <v>27</v>
      </c>
      <c r="BB128" s="3">
        <f>-IF(RTD("tos.rtd",,BB$83,"."&amp;$B$82&amp;$AS$82&amp;"P"&amp;$A128)="N/A",0,RTD("tos.rtd",,BB$83,"."&amp;$B$82&amp;$AS$82&amp;"P"&amp;$A128))</f>
        <v>-982</v>
      </c>
      <c r="BC128" s="54">
        <f>IF(RTD("tos.rtd",,BC$83,"."&amp;$C$82&amp;$AU$82&amp;"C"&amp;$A128)="N/A",0,RTD("tos.rtd",,BC$83,"."&amp;$C$82&amp;$AU$82&amp;"C"&amp;$A128))</f>
        <v>17</v>
      </c>
      <c r="BD128" s="3">
        <f>-IF(RTD("tos.rtd",,BD$83,"."&amp;$C$82&amp;$AU$82&amp;"P"&amp;$A128)="N/A",0,RTD("tos.rtd",,BD$83,"."&amp;$C$82&amp;$AU$82&amp;"P"&amp;$A128))</f>
        <v>-35</v>
      </c>
      <c r="BE128" s="54">
        <f>IF(RTD("tos.rtd",,BE$83,"."&amp;$D$82&amp;$AW$82&amp;"C"&amp;$A128)="N/A",0,RTD("tos.rtd",,BE$83,"."&amp;$D$82&amp;$AW$82&amp;"C"&amp;$A128))</f>
        <v>7</v>
      </c>
      <c r="BF128" s="3">
        <f>-IF(RTD("tos.rtd",,BF$83,"."&amp;$D$82&amp;$AW$82&amp;"P"&amp;$A128)="N/A",0,RTD("tos.rtd",,BF$83,"."&amp;$D$82&amp;$AW$82&amp;"P"&amp;$A128))</f>
        <v>-5</v>
      </c>
      <c r="BG128" s="3">
        <f ca="1">+Hoja2!Y129</f>
        <v>-155</v>
      </c>
      <c r="BH128" s="55">
        <f t="shared" ca="1" si="493"/>
        <v>-1126</v>
      </c>
      <c r="BI128" s="32" t="str">
        <f t="shared" ca="1" si="513"/>
        <v/>
      </c>
      <c r="BJ128" s="3">
        <f ca="1">IF($BP$1=1,DX128,IF(RTD("tos.rtd",,BJ$83,"."&amp;$B$82&amp;$AS$82&amp;"C"&amp;$A128)="N/A",0,RTD("tos.rtd",,BJ$83,"."&amp;$B$82&amp;$AS$82&amp;"C"&amp;$A128)))</f>
        <v>5.4892646647049846E-46</v>
      </c>
      <c r="BK128" s="3">
        <f ca="1">IF($BP$1=1,DY128,-IF(RTD("tos.rtd",,BK$83,"."&amp;$B$82&amp;$AS$82&amp;"P"&amp;$A128)="N/A",0,RTD("tos.rtd",,BK$83,"."&amp;$B$82&amp;$AS$82&amp;"P"&amp;$A128)))</f>
        <v>-5.1033514171948023E-4</v>
      </c>
      <c r="BL128" s="3">
        <f ca="1">IF($BP$1=1,DZ128,IF(RTD("tos.rtd",,BL$83,"."&amp;$C$82&amp;$AU$82&amp;"C"&amp;$A128)="N/A",0,RTD("tos.rtd",,BL$83,"."&amp;$C$82&amp;$AU$82&amp;"C"&amp;$A128)))</f>
        <v>7.5853255317708923E-4</v>
      </c>
      <c r="BM128" s="3">
        <f ca="1">IF($BP$1=1,EA128,-IF(RTD("tos.rtd",,BM$83,"."&amp;$C$82&amp;$AU$82&amp;"P"&amp;$A128)="N/A",0,RTD("tos.rtd",,BM$83,"."&amp;$C$82&amp;$AU$82&amp;"P"&amp;$A128)))</f>
        <v>-7.3255599832786305E-4</v>
      </c>
      <c r="BN128" s="3">
        <f ca="1">IF($BP$1=1,EB128,IF(RTD("tos.rtd",,BN$83,"."&amp;$D$82&amp;$AW$82&amp;"C"&amp;$A128)="N/A",0,RTD("tos.rtd",,BN$83,"."&amp;$D$82&amp;$AW$82&amp;"C"&amp;$A128)))</f>
        <v>4.0405727119106503E-4</v>
      </c>
      <c r="BO128" s="3">
        <f ca="1">IF($BP$1=1,EC128,-IF(RTD("tos.rtd",,BO$83,"."&amp;$D$82&amp;$AW$82&amp;"P"&amp;$A128)="N/A",0,RTD("tos.rtd",,BO$83,"."&amp;$D$82&amp;$AW$82&amp;"P"&amp;$A128)))</f>
        <v>-4.9107867663501694E-4</v>
      </c>
      <c r="BQ128" s="3">
        <f t="shared" ca="1" si="456"/>
        <v>-144938.2323133632</v>
      </c>
      <c r="BR128" s="3" t="str">
        <f t="shared" ca="1" si="494"/>
        <v/>
      </c>
      <c r="BS128" s="3">
        <f t="shared" ca="1" si="457"/>
        <v>-204578.42930181135</v>
      </c>
      <c r="BT128" s="3" t="str">
        <f t="shared" ca="1" si="494"/>
        <v/>
      </c>
      <c r="BU128" s="3">
        <f t="shared" ca="1" si="458"/>
        <v>-46988.014318719099</v>
      </c>
      <c r="BV128" s="3" t="str">
        <f t="shared" ca="1" si="494"/>
        <v/>
      </c>
      <c r="BX128" s="3">
        <f t="shared" ca="1" si="459"/>
        <v>-129155.48469303327</v>
      </c>
      <c r="BY128" s="3" t="str">
        <f t="shared" ca="1" si="510"/>
        <v/>
      </c>
      <c r="BZ128" s="3">
        <f t="shared" ca="1" si="460"/>
        <v>-3284.4715741433811</v>
      </c>
      <c r="CA128" s="3" t="str">
        <f t="shared" ca="1" si="510"/>
        <v/>
      </c>
      <c r="CB128" s="3">
        <f t="shared" ca="1" si="461"/>
        <v>96.131002796493021</v>
      </c>
      <c r="CC128" s="3" t="str">
        <f t="shared" ca="1" si="510"/>
        <v>Cruce +</v>
      </c>
      <c r="CD128" s="3">
        <f>IF(RTD("tos.rtd",,CD$83,"."&amp;$B$82&amp;$AS$82&amp;"C"&amp;$A128)="N/A",0,RTD("tos.rtd",,CD$83,"."&amp;$B$82&amp;$AS$82&amp;"C"&amp;$A128))</f>
        <v>1</v>
      </c>
      <c r="CE128" s="3">
        <f>-IF(RTD("tos.rtd",,CE$83,"."&amp;$B$82&amp;$AS$82&amp;"P"&amp;$A128)="N/A",0,RTD("tos.rtd",,CE$83,"."&amp;$B$82&amp;$AS$82&amp;"P"&amp;$A128))</f>
        <v>0</v>
      </c>
      <c r="CF128" s="3">
        <f>IF(RTD("tos.rtd",,CF$83,"."&amp;$C$82&amp;$AU$82&amp;"C"&amp;$A128)="N/A",0,RTD("tos.rtd",,CF$83,"."&amp;$C$82&amp;$AU$82&amp;"C"&amp;$A128))</f>
        <v>1</v>
      </c>
      <c r="CG128" s="3">
        <f>-IF(RTD("tos.rtd",,CG$83,"."&amp;$C$82&amp;$AU$82&amp;"P"&amp;$A128)="N/A",0,RTD("tos.rtd",,CG$83,"."&amp;$C$82&amp;$AU$82&amp;"P"&amp;$A128))</f>
        <v>0.03</v>
      </c>
      <c r="CH128" s="3">
        <f>IF(RTD("tos.rtd",,CH$83,"."&amp;$D$82&amp;$AW$82&amp;"C"&amp;$A128)="N/A",0,RTD("tos.rtd",,CH$83,"."&amp;$D$82&amp;$AW$82&amp;"C"&amp;$A128))</f>
        <v>0.81</v>
      </c>
      <c r="CI128" s="3">
        <f>-IF(RTD("tos.rtd",,CI$83,"."&amp;$D$82&amp;$AW$82&amp;"P"&amp;$A128)="N/A",0,RTD("tos.rtd",,CI$83,"."&amp;$D$82&amp;$AW$82&amp;"P"&amp;$A128))</f>
        <v>0.21</v>
      </c>
      <c r="CK128" s="3">
        <f t="shared" si="495"/>
        <v>9300</v>
      </c>
      <c r="CL128" s="3"/>
      <c r="CM128" s="3">
        <f t="shared" si="496"/>
        <v>38801</v>
      </c>
      <c r="CN128" s="3"/>
      <c r="CO128" s="3">
        <f t="shared" si="497"/>
        <v>194391</v>
      </c>
      <c r="CP128" s="3">
        <f t="shared" si="462"/>
        <v>242492</v>
      </c>
      <c r="CQ128" s="3">
        <f t="shared" si="463"/>
        <v>-955</v>
      </c>
      <c r="CR128" s="3"/>
      <c r="CS128" s="3">
        <f t="shared" si="464"/>
        <v>-18</v>
      </c>
      <c r="CT128" s="3"/>
      <c r="CU128" s="3">
        <f t="shared" si="465"/>
        <v>2</v>
      </c>
      <c r="CV128" s="3"/>
      <c r="CW128" s="3">
        <f t="shared" ca="1" si="466"/>
        <v>-396504.67593389365</v>
      </c>
      <c r="CY128" s="3">
        <f t="shared" ca="1" si="467"/>
        <v>-132343.82526438017</v>
      </c>
      <c r="CZ128" s="70" t="str">
        <f t="shared" ca="1" si="511"/>
        <v/>
      </c>
      <c r="DA128" s="3">
        <f>IF(RTD("tos.rtd",,DA$83,"."&amp;$B$82&amp;$AS$82&amp;"C"&amp;$A128)="N/A",0,RTD("tos.rtd",,DA$83,"."&amp;$B$82&amp;$AS$82&amp;"C"&amp;$A128))</f>
        <v>242.68</v>
      </c>
      <c r="DB128" s="3">
        <f>IF(RTD("tos.rtd",,DB$83,"."&amp;$B$82&amp;$AS$82&amp;"P"&amp;$A128)="N/A",0,RTD("tos.rtd",,DB$83,"."&amp;$B$82&amp;$AS$82&amp;"P"&amp;$A128))</f>
        <v>0.05</v>
      </c>
      <c r="DC128" s="3">
        <f>IF(RTD("tos.rtd",,DC$83,"."&amp;$B$82&amp;$AS$82&amp;"C"&amp;$A128)="N/A",0,RTD("tos.rtd",,DC$83,"."&amp;$B$82&amp;$AS$82&amp;"C"&amp;$A128))</f>
        <v>262.8</v>
      </c>
      <c r="DD128" s="3">
        <f>IF(RTD("tos.rtd",,DD$83,"."&amp;$B$82&amp;$AS$82&amp;"P"&amp;$A128)="N/A",0,RTD("tos.rtd",,DD$83,"."&amp;$B$82&amp;$AS$82&amp;"P"&amp;$A128))</f>
        <v>0.05</v>
      </c>
      <c r="DE128" s="3">
        <f>IF(RTD("tos.rtd",,DE$83,"."&amp;$B$82&amp;$AS$82&amp;"C"&amp;$A128)="N/A",0,RTD("tos.rtd",,DE$83,"."&amp;$B$82&amp;$AS$82&amp;"C"&amp;$A128))</f>
        <v>245.1</v>
      </c>
      <c r="DF128" s="3">
        <f>IF(RTD("tos.rtd",,DF$83,"."&amp;$B$82&amp;$AS$82&amp;"P"&amp;$A128)="N/A",0,RTD("tos.rtd",,DF$83,"."&amp;$B$82&amp;$AS$82&amp;"P"&amp;$A128))</f>
        <v>0</v>
      </c>
      <c r="DG128" s="86">
        <f t="shared" si="499"/>
        <v>-251.75</v>
      </c>
      <c r="DH128" s="3">
        <f t="shared" si="468"/>
        <v>0</v>
      </c>
      <c r="DI128" s="3">
        <f t="shared" si="469"/>
        <v>0</v>
      </c>
      <c r="DJ128" s="3">
        <f t="shared" si="470"/>
        <v>0</v>
      </c>
      <c r="DK128" s="3">
        <f t="shared" si="471"/>
        <v>0</v>
      </c>
      <c r="DL128" s="3">
        <f t="shared" si="472"/>
        <v>0</v>
      </c>
      <c r="DM128" s="3">
        <f t="shared" si="473"/>
        <v>0</v>
      </c>
      <c r="DN128" s="64" t="str">
        <f t="shared" si="474"/>
        <v>UNKNOWN</v>
      </c>
      <c r="DO128" s="64" t="str">
        <f t="shared" si="475"/>
        <v>UNKNOWN</v>
      </c>
      <c r="DP128" s="3">
        <f t="shared" si="476"/>
        <v>0</v>
      </c>
      <c r="DQ128" s="3">
        <f t="shared" si="477"/>
        <v>0</v>
      </c>
      <c r="DR128" s="3">
        <f t="shared" ca="1" si="478"/>
        <v>0</v>
      </c>
      <c r="DS128" s="3">
        <f t="shared" si="479"/>
        <v>0</v>
      </c>
      <c r="DT128" s="3">
        <f t="shared" si="500"/>
        <v>0</v>
      </c>
      <c r="DU128" s="3">
        <f t="shared" si="501"/>
        <v>0</v>
      </c>
      <c r="DV128" s="3">
        <f t="shared" si="502"/>
        <v>-5</v>
      </c>
      <c r="DW128" s="3">
        <f t="shared" si="503"/>
        <v>-162</v>
      </c>
      <c r="DX128" s="3">
        <f t="shared" ca="1" si="512"/>
        <v>5.4892646647049846E-46</v>
      </c>
      <c r="DY128" s="3">
        <f t="shared" ca="1" si="480"/>
        <v>-5.1033514171948023E-4</v>
      </c>
      <c r="DZ128" s="3">
        <f t="shared" ca="1" si="504"/>
        <v>7.5853255317708923E-4</v>
      </c>
      <c r="EA128" s="3">
        <f t="shared" ca="1" si="505"/>
        <v>-7.3255599832786305E-4</v>
      </c>
      <c r="EB128" s="3">
        <f t="shared" ca="1" si="481"/>
        <v>4.0405727119106503E-4</v>
      </c>
      <c r="EC128" s="3">
        <f t="shared" ca="1" si="482"/>
        <v>-4.9107867663501694E-4</v>
      </c>
      <c r="ED128" s="63">
        <f t="shared" si="506"/>
        <v>-167</v>
      </c>
      <c r="EE128" s="59">
        <f t="shared" si="483"/>
        <v>0.25</v>
      </c>
      <c r="EF128" s="59">
        <f t="shared" si="484"/>
        <v>1.9204000000000001</v>
      </c>
      <c r="EG128" s="59">
        <f t="shared" si="485"/>
        <v>0.25</v>
      </c>
      <c r="EH128" s="59">
        <f t="shared" si="486"/>
        <v>0.24260000000000001</v>
      </c>
      <c r="EI128" s="59">
        <f t="shared" si="487"/>
        <v>0.18090000000000001</v>
      </c>
      <c r="EJ128" s="59">
        <f t="shared" si="488"/>
        <v>0.1943</v>
      </c>
      <c r="EK128" s="63">
        <f t="shared" ca="1" si="507"/>
        <v>2821346.4816654157</v>
      </c>
      <c r="EL128" s="3" t="str">
        <f>RTD("tos.rtd",,EL$83,"."&amp;$B$82&amp;$AS$82&amp;"C"&amp;$A128)</f>
        <v>--</v>
      </c>
      <c r="EM128" s="3" t="str">
        <f>RTD("tos.rtd",,EM$83,"."&amp;$B$82&amp;$AS$82&amp;"P"&amp;$A128)</f>
        <v>192.04%</v>
      </c>
      <c r="EN128" s="3" t="str">
        <f>RTD("tos.rtd",,EN$83,"."&amp;$C$82&amp;$AU$82&amp;"C"&amp;$A128)</f>
        <v>--</v>
      </c>
      <c r="EO128" s="3" t="str">
        <f>RTD("tos.rtd",,EO$83,"."&amp;$C$82&amp;$AU$82&amp;"P"&amp;$A128)</f>
        <v>24.26%</v>
      </c>
      <c r="EP128" s="3" t="str">
        <f>RTD("tos.rtd",,EP$83,"."&amp;$D$82&amp;$AW$82&amp;"C"&amp;$A128)</f>
        <v>18.09%</v>
      </c>
      <c r="EQ128" s="3" t="str">
        <f>RTD("tos.rtd",,EQ$83,"."&amp;$D$82&amp;$AW$82&amp;"P"&amp;$A128)</f>
        <v>19.43%</v>
      </c>
      <c r="ES128" s="63" t="str">
        <f t="shared" si="489"/>
        <v>5590,-167.00</v>
      </c>
      <c r="ET128" s="63" t="str">
        <f t="shared" ca="1" si="490"/>
        <v>5590,-132.34</v>
      </c>
      <c r="EU128" s="67">
        <v>571.87</v>
      </c>
      <c r="EV128" s="67" t="s">
        <v>1043</v>
      </c>
      <c r="EW128" s="67">
        <v>497.3</v>
      </c>
      <c r="EX128" s="67" t="s">
        <v>1044</v>
      </c>
      <c r="EY128" s="67">
        <v>5730</v>
      </c>
      <c r="EZ128" s="67" t="s">
        <v>1045</v>
      </c>
      <c r="FA128" s="67">
        <v>20415</v>
      </c>
      <c r="FB128" s="67" t="s">
        <v>1046</v>
      </c>
      <c r="FC128" s="67" t="s">
        <v>1047</v>
      </c>
      <c r="FD128" s="67" t="s">
        <v>1048</v>
      </c>
      <c r="FE128" s="68" t="s">
        <v>1049</v>
      </c>
      <c r="FF128" s="68" t="s">
        <v>1050</v>
      </c>
    </row>
    <row r="129" spans="1:162" s="63" customFormat="1" ht="12" customHeight="1" thickBot="1" x14ac:dyDescent="0.25">
      <c r="A129" s="2">
        <f t="shared" si="508"/>
        <v>5580</v>
      </c>
      <c r="B129" s="3">
        <f t="shared" si="451"/>
        <v>1969</v>
      </c>
      <c r="C129" s="3">
        <f t="shared" si="452"/>
        <v>1474</v>
      </c>
      <c r="D129" s="3">
        <f t="shared" si="453"/>
        <v>7374</v>
      </c>
      <c r="E129" s="3">
        <f t="shared" si="519"/>
        <v>10817</v>
      </c>
      <c r="F129" s="11">
        <f t="shared" si="522"/>
        <v>5602.9246373090255</v>
      </c>
      <c r="G129" s="4">
        <f t="shared" si="520"/>
        <v>556.82988830401848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>
        <v>9</v>
      </c>
      <c r="AN129" s="20">
        <v>-816</v>
      </c>
      <c r="AO129" s="20">
        <v>5580</v>
      </c>
      <c r="AP129" s="20">
        <v>27</v>
      </c>
      <c r="AQ129" s="20">
        <v>-1983</v>
      </c>
      <c r="AR129" s="20"/>
      <c r="AS129" s="54">
        <f>IF(RTD("tos.rtd",,AS$83,"."&amp;$B$82&amp;$AS$82&amp;"C"&amp;$A129)="N/A",0,RTD("tos.rtd",,AS$83,"."&amp;$B$82&amp;$AS$82&amp;"C"&amp;$A129))</f>
        <v>70</v>
      </c>
      <c r="AT129" s="3">
        <f>-IF(RTD("tos.rtd",,AT$83,"."&amp;$B$82&amp;$AS$82&amp;"P"&amp;$A129)="N/A",0,RTD("tos.rtd",,AT$83,"."&amp;$B$82&amp;$AS$82&amp;"P"&amp;$A129))</f>
        <v>-1899</v>
      </c>
      <c r="AU129" s="54">
        <f>IF(RTD("tos.rtd",,AU$83,"."&amp;$C$82&amp;$AU$82&amp;"C"&amp;$A129)="N/A",0,RTD("tos.rtd",,AU$83,"."&amp;$C$82&amp;$AU$82&amp;"C"&amp;$A129))</f>
        <v>535</v>
      </c>
      <c r="AV129" s="3">
        <f>-IF(RTD("tos.rtd",,AV$83,"."&amp;$C$82&amp;$AU$82&amp;"P"&amp;$A129)="N/A",0,RTD("tos.rtd",,AV$83,"."&amp;$C$82&amp;$AU$82&amp;"P"&amp;$A129))</f>
        <v>-939</v>
      </c>
      <c r="AW129" s="54">
        <f>IF(RTD("tos.rtd",,AW$83,"."&amp;$D$82&amp;$AW$82&amp;"C"&amp;$A129)="N/A",0,RTD("tos.rtd",,AW$83,"."&amp;$D$82&amp;$AW$82&amp;"C"&amp;$A129))</f>
        <v>4274</v>
      </c>
      <c r="AX129" s="3">
        <f>-IF(RTD("tos.rtd",,AX$83,"."&amp;$D$82&amp;$AW$82&amp;"P"&amp;$A129)="N/A",0,RTD("tos.rtd",,AX$83,"."&amp;$D$82&amp;$AW$82&amp;"P"&amp;$A129))</f>
        <v>-3100</v>
      </c>
      <c r="AY129" s="79">
        <f t="shared" si="521"/>
        <v>-1059</v>
      </c>
      <c r="AZ129" s="8">
        <f t="shared" si="455"/>
        <v>5580</v>
      </c>
      <c r="BA129" s="54">
        <f>IF(RTD("tos.rtd",,BA$83,"."&amp;$B$82&amp;$AS$82&amp;"C"&amp;$A129)="N/A",0,RTD("tos.rtd",,BA$83,"."&amp;$B$82&amp;$AS$82&amp;"C"&amp;$A129))</f>
        <v>27</v>
      </c>
      <c r="BB129" s="3">
        <f>-IF(RTD("tos.rtd",,BB$83,"."&amp;$B$82&amp;$AS$82&amp;"P"&amp;$A129)="N/A",0,RTD("tos.rtd",,BB$83,"."&amp;$B$82&amp;$AS$82&amp;"P"&amp;$A129))</f>
        <v>-1983</v>
      </c>
      <c r="BC129" s="54">
        <f>IF(RTD("tos.rtd",,BC$83,"."&amp;$C$82&amp;$AU$82&amp;"C"&amp;$A129)="N/A",0,RTD("tos.rtd",,BC$83,"."&amp;$C$82&amp;$AU$82&amp;"C"&amp;$A129))</f>
        <v>13</v>
      </c>
      <c r="BD129" s="3">
        <f>-IF(RTD("tos.rtd",,BD$83,"."&amp;$C$82&amp;$AU$82&amp;"P"&amp;$A129)="N/A",0,RTD("tos.rtd",,BD$83,"."&amp;$C$82&amp;$AU$82&amp;"P"&amp;$A129))</f>
        <v>-56</v>
      </c>
      <c r="BE129" s="54">
        <f>IF(RTD("tos.rtd",,BE$83,"."&amp;$D$82&amp;$AW$82&amp;"C"&amp;$A129)="N/A",0,RTD("tos.rtd",,BE$83,"."&amp;$D$82&amp;$AW$82&amp;"C"&amp;$A129))</f>
        <v>0</v>
      </c>
      <c r="BF129" s="3">
        <f>-IF(RTD("tos.rtd",,BF$83,"."&amp;$D$82&amp;$AW$82&amp;"P"&amp;$A129)="N/A",0,RTD("tos.rtd",,BF$83,"."&amp;$D$82&amp;$AW$82&amp;"P"&amp;$A129))</f>
        <v>-244</v>
      </c>
      <c r="BG129" s="3">
        <f ca="1">+Hoja2!Y130</f>
        <v>-325</v>
      </c>
      <c r="BH129" s="55">
        <f t="shared" ca="1" si="493"/>
        <v>-2568</v>
      </c>
      <c r="BI129" s="32" t="str">
        <f t="shared" ca="1" si="513"/>
        <v/>
      </c>
      <c r="BJ129" s="3">
        <f ca="1">IF($BP$1=1,DX129,IF(RTD("tos.rtd",,BJ$83,"."&amp;$B$82&amp;$AS$82&amp;"C"&amp;$A129)="N/A",0,RTD("tos.rtd",,BJ$83,"."&amp;$B$82&amp;$AS$82&amp;"C"&amp;$A129)))</f>
        <v>1.3301562946757245E-49</v>
      </c>
      <c r="BK129" s="3">
        <f ca="1">IF($BP$1=1,DY129,-IF(RTD("tos.rtd",,BK$83,"."&amp;$B$82&amp;$AS$82&amp;"P"&amp;$A129)="N/A",0,RTD("tos.rtd",,BK$83,"."&amp;$B$82&amp;$AS$82&amp;"P"&amp;$A129)))</f>
        <v>-4.8574453361365557E-4</v>
      </c>
      <c r="BL129" s="3">
        <f ca="1">IF($BP$1=1,DZ129,IF(RTD("tos.rtd",,BL$83,"."&amp;$C$82&amp;$AU$82&amp;"C"&amp;$A129)="N/A",0,RTD("tos.rtd",,BL$83,"."&amp;$C$82&amp;$AU$82&amp;"C"&amp;$A129)))</f>
        <v>6.9565029771290708E-4</v>
      </c>
      <c r="BM129" s="3">
        <f ca="1">IF($BP$1=1,EA129,-IF(RTD("tos.rtd",,BM$83,"."&amp;$C$82&amp;$AU$82&amp;"P"&amp;$A129)="N/A",0,RTD("tos.rtd",,BM$83,"."&amp;$C$82&amp;$AU$82&amp;"P"&amp;$A129)))</f>
        <v>-6.8228673570414414E-4</v>
      </c>
      <c r="BN129" s="3">
        <f ca="1">IF($BP$1=1,EB129,IF(RTD("tos.rtd",,BN$83,"."&amp;$D$82&amp;$AW$82&amp;"C"&amp;$A129)="N/A",0,RTD("tos.rtd",,BN$83,"."&amp;$D$82&amp;$AW$82&amp;"C"&amp;$A129)))</f>
        <v>3.471956397283094E-4</v>
      </c>
      <c r="BO129" s="3">
        <f ca="1">IF($BP$1=1,EC129,-IF(RTD("tos.rtd",,BO$83,"."&amp;$D$82&amp;$AW$82&amp;"P"&amp;$A129)="N/A",0,RTD("tos.rtd",,BO$83,"."&amp;$D$82&amp;$AW$82&amp;"P"&amp;$A129)))</f>
        <v>-4.3419628972004155E-4</v>
      </c>
      <c r="BQ129" s="3">
        <f t="shared" ca="1" si="456"/>
        <v>-237727.14653953406</v>
      </c>
      <c r="BR129" s="3" t="str">
        <f t="shared" ca="1" si="494"/>
        <v/>
      </c>
      <c r="BS129" s="3">
        <f t="shared" ca="1" si="457"/>
        <v>-69196.004563992858</v>
      </c>
      <c r="BT129" s="3" t="str">
        <f t="shared" ca="1" si="494"/>
        <v/>
      </c>
      <c r="BU129" s="3">
        <f t="shared" ca="1" si="458"/>
        <v>35540.865616436931</v>
      </c>
      <c r="BV129" s="3" t="str">
        <f t="shared" ca="1" si="494"/>
        <v>Cruce +</v>
      </c>
      <c r="BX129" s="3">
        <f t="shared" ca="1" si="459"/>
        <v>-248242.72332169354</v>
      </c>
      <c r="BY129" s="3" t="str">
        <f t="shared" ca="1" si="510"/>
        <v/>
      </c>
      <c r="BZ129" s="3">
        <f t="shared" ca="1" si="460"/>
        <v>-7516.2629443915703</v>
      </c>
      <c r="CA129" s="3" t="str">
        <f t="shared" ca="1" si="510"/>
        <v/>
      </c>
      <c r="CB129" s="3">
        <f t="shared" ca="1" si="461"/>
        <v>-27303.720227848255</v>
      </c>
      <c r="CC129" s="3" t="str">
        <f t="shared" ca="1" si="510"/>
        <v>Cruce -</v>
      </c>
      <c r="CD129" s="3">
        <f>IF(RTD("tos.rtd",,CD$83,"."&amp;$B$82&amp;$AS$82&amp;"C"&amp;$A129)="N/A",0,RTD("tos.rtd",,CD$83,"."&amp;$B$82&amp;$AS$82&amp;"C"&amp;$A129))</f>
        <v>1</v>
      </c>
      <c r="CE129" s="3">
        <f>-IF(RTD("tos.rtd",,CE$83,"."&amp;$B$82&amp;$AS$82&amp;"P"&amp;$A129)="N/A",0,RTD("tos.rtd",,CE$83,"."&amp;$B$82&amp;$AS$82&amp;"P"&amp;$A129))</f>
        <v>0</v>
      </c>
      <c r="CF129" s="3">
        <f>IF(RTD("tos.rtd",,CF$83,"."&amp;$C$82&amp;$AU$82&amp;"C"&amp;$A129)="N/A",0,RTD("tos.rtd",,CF$83,"."&amp;$C$82&amp;$AU$82&amp;"C"&amp;$A129))</f>
        <v>1</v>
      </c>
      <c r="CG129" s="3">
        <f>-IF(RTD("tos.rtd",,CG$83,"."&amp;$C$82&amp;$AU$82&amp;"P"&amp;$A129)="N/A",0,RTD("tos.rtd",,CG$83,"."&amp;$C$82&amp;$AU$82&amp;"P"&amp;$A129))</f>
        <v>0.03</v>
      </c>
      <c r="CH129" s="3">
        <f>IF(RTD("tos.rtd",,CH$83,"."&amp;$D$82&amp;$AW$82&amp;"C"&amp;$A129)="N/A",0,RTD("tos.rtd",,CH$83,"."&amp;$D$82&amp;$AW$82&amp;"C"&amp;$A129))</f>
        <v>0.81</v>
      </c>
      <c r="CI129" s="3">
        <f>-IF(RTD("tos.rtd",,CI$83,"."&amp;$D$82&amp;$AW$82&amp;"P"&amp;$A129)="N/A",0,RTD("tos.rtd",,CI$83,"."&amp;$D$82&amp;$AW$82&amp;"P"&amp;$A129))</f>
        <v>0.2</v>
      </c>
      <c r="CK129" s="3">
        <f t="shared" si="495"/>
        <v>7000</v>
      </c>
      <c r="CL129" s="3"/>
      <c r="CM129" s="3">
        <f t="shared" si="496"/>
        <v>50683</v>
      </c>
      <c r="CN129" s="3"/>
      <c r="CO129" s="3">
        <f t="shared" si="497"/>
        <v>284194</v>
      </c>
      <c r="CP129" s="3">
        <f t="shared" si="462"/>
        <v>341877</v>
      </c>
      <c r="CQ129" s="3">
        <f t="shared" si="463"/>
        <v>-1956</v>
      </c>
      <c r="CR129" s="3"/>
      <c r="CS129" s="3">
        <f t="shared" si="464"/>
        <v>-43</v>
      </c>
      <c r="CT129" s="3"/>
      <c r="CU129" s="3">
        <f t="shared" si="465"/>
        <v>-244</v>
      </c>
      <c r="CV129" s="3"/>
      <c r="CW129" s="3">
        <f t="shared" ca="1" si="466"/>
        <v>-271382.28548709</v>
      </c>
      <c r="CY129" s="3">
        <f t="shared" ca="1" si="467"/>
        <v>-283062.70649393339</v>
      </c>
      <c r="CZ129" s="70" t="str">
        <f t="shared" ca="1" si="511"/>
        <v/>
      </c>
      <c r="DA129" s="3">
        <f>IF(RTD("tos.rtd",,DA$83,"."&amp;$B$82&amp;$AS$82&amp;"C"&amp;$A129)="N/A",0,RTD("tos.rtd",,DA$83,"."&amp;$B$82&amp;$AS$82&amp;"C"&amp;$A129))</f>
        <v>245.9</v>
      </c>
      <c r="DB129" s="3">
        <f>IF(RTD("tos.rtd",,DB$83,"."&amp;$B$82&amp;$AS$82&amp;"P"&amp;$A129)="N/A",0,RTD("tos.rtd",,DB$83,"."&amp;$B$82&amp;$AS$82&amp;"P"&amp;$A129))</f>
        <v>0.05</v>
      </c>
      <c r="DC129" s="3">
        <f>IF(RTD("tos.rtd",,DC$83,"."&amp;$B$82&amp;$AS$82&amp;"C"&amp;$A129)="N/A",0,RTD("tos.rtd",,DC$83,"."&amp;$B$82&amp;$AS$82&amp;"C"&amp;$A129))</f>
        <v>273.2</v>
      </c>
      <c r="DD129" s="3">
        <f>IF(RTD("tos.rtd",,DD$83,"."&amp;$B$82&amp;$AS$82&amp;"P"&amp;$A129)="N/A",0,RTD("tos.rtd",,DD$83,"."&amp;$B$82&amp;$AS$82&amp;"P"&amp;$A129))</f>
        <v>0.05</v>
      </c>
      <c r="DE129" s="3">
        <f>IF(RTD("tos.rtd",,DE$83,"."&amp;$B$82&amp;$AS$82&amp;"C"&amp;$A129)="N/A",0,RTD("tos.rtd",,DE$83,"."&amp;$B$82&amp;$AS$82&amp;"C"&amp;$A129))</f>
        <v>255.1</v>
      </c>
      <c r="DF129" s="3">
        <f>IF(RTD("tos.rtd",,DF$83,"."&amp;$B$82&amp;$AS$82&amp;"P"&amp;$A129)="N/A",0,RTD("tos.rtd",,DF$83,"."&amp;$B$82&amp;$AS$82&amp;"P"&amp;$A129))</f>
        <v>0</v>
      </c>
      <c r="DG129" s="86">
        <f t="shared" si="499"/>
        <v>-261.75</v>
      </c>
      <c r="DH129" s="3">
        <f t="shared" si="468"/>
        <v>0</v>
      </c>
      <c r="DI129" s="3">
        <f t="shared" si="469"/>
        <v>0</v>
      </c>
      <c r="DJ129" s="3">
        <f t="shared" si="470"/>
        <v>0</v>
      </c>
      <c r="DK129" s="3">
        <f t="shared" si="471"/>
        <v>0</v>
      </c>
      <c r="DL129" s="3">
        <f t="shared" si="472"/>
        <v>0</v>
      </c>
      <c r="DM129" s="3">
        <f t="shared" si="473"/>
        <v>0</v>
      </c>
      <c r="DN129" s="64" t="str">
        <f t="shared" si="474"/>
        <v>UNKNOWN</v>
      </c>
      <c r="DO129" s="64" t="str">
        <f t="shared" si="475"/>
        <v>UNKNOWN</v>
      </c>
      <c r="DP129" s="3">
        <f t="shared" si="476"/>
        <v>0</v>
      </c>
      <c r="DQ129" s="3">
        <f t="shared" si="477"/>
        <v>0</v>
      </c>
      <c r="DR129" s="3">
        <f t="shared" ca="1" si="478"/>
        <v>0</v>
      </c>
      <c r="DS129" s="3">
        <f t="shared" si="479"/>
        <v>0</v>
      </c>
      <c r="DT129" s="3">
        <f t="shared" si="500"/>
        <v>0</v>
      </c>
      <c r="DU129" s="3">
        <f t="shared" si="501"/>
        <v>0</v>
      </c>
      <c r="DV129" s="3">
        <f t="shared" si="502"/>
        <v>9</v>
      </c>
      <c r="DW129" s="3">
        <f t="shared" si="503"/>
        <v>-816</v>
      </c>
      <c r="DX129" s="3">
        <f t="shared" ca="1" si="512"/>
        <v>1.3301562946757245E-49</v>
      </c>
      <c r="DY129" s="3">
        <f t="shared" ca="1" si="480"/>
        <v>-4.8574453361365557E-4</v>
      </c>
      <c r="DZ129" s="3">
        <f t="shared" ca="1" si="504"/>
        <v>6.9565029771290708E-4</v>
      </c>
      <c r="EA129" s="3">
        <f t="shared" ca="1" si="505"/>
        <v>-6.8228673570414414E-4</v>
      </c>
      <c r="EB129" s="3">
        <f t="shared" ca="1" si="481"/>
        <v>3.471956397283094E-4</v>
      </c>
      <c r="EC129" s="3">
        <f t="shared" ca="1" si="482"/>
        <v>-4.3419628972004155E-4</v>
      </c>
      <c r="ED129" s="63">
        <f t="shared" si="506"/>
        <v>-807</v>
      </c>
      <c r="EE129" s="59">
        <f t="shared" si="483"/>
        <v>0.25</v>
      </c>
      <c r="EF129" s="59">
        <f t="shared" si="484"/>
        <v>1.9913000000000001</v>
      </c>
      <c r="EG129" s="59">
        <f t="shared" si="485"/>
        <v>0.25</v>
      </c>
      <c r="EH129" s="59">
        <f t="shared" si="486"/>
        <v>0.24629999999999999</v>
      </c>
      <c r="EI129" s="59">
        <f t="shared" si="487"/>
        <v>0.18160000000000001</v>
      </c>
      <c r="EJ129" s="59">
        <f t="shared" si="488"/>
        <v>0.19570000000000001</v>
      </c>
      <c r="EK129" s="63">
        <f t="shared" ca="1" si="507"/>
        <v>13526455.719122447</v>
      </c>
      <c r="EL129" s="3" t="str">
        <f>RTD("tos.rtd",,EL$83,"."&amp;$B$82&amp;$AS$82&amp;"C"&amp;$A129)</f>
        <v>--</v>
      </c>
      <c r="EM129" s="3" t="str">
        <f>RTD("tos.rtd",,EM$83,"."&amp;$B$82&amp;$AS$82&amp;"P"&amp;$A129)</f>
        <v>199.13%</v>
      </c>
      <c r="EN129" s="3" t="str">
        <f>RTD("tos.rtd",,EN$83,"."&amp;$C$82&amp;$AU$82&amp;"C"&amp;$A129)</f>
        <v>--</v>
      </c>
      <c r="EO129" s="3" t="str">
        <f>RTD("tos.rtd",,EO$83,"."&amp;$C$82&amp;$AU$82&amp;"P"&amp;$A129)</f>
        <v>24.63%</v>
      </c>
      <c r="EP129" s="3" t="str">
        <f>RTD("tos.rtd",,EP$83,"."&amp;$D$82&amp;$AW$82&amp;"C"&amp;$A129)</f>
        <v>18.16%</v>
      </c>
      <c r="EQ129" s="3" t="str">
        <f>RTD("tos.rtd",,EQ$83,"."&amp;$D$82&amp;$AW$82&amp;"P"&amp;$A129)</f>
        <v>19.57%</v>
      </c>
      <c r="ES129" s="63" t="str">
        <f t="shared" si="489"/>
        <v>5580,-807.00</v>
      </c>
      <c r="ET129" s="63" t="str">
        <f t="shared" ca="1" si="490"/>
        <v>5580,-283.06</v>
      </c>
      <c r="EU129" s="67">
        <v>571.87</v>
      </c>
      <c r="EV129" s="67" t="s">
        <v>1051</v>
      </c>
      <c r="EW129" s="67">
        <v>497.19</v>
      </c>
      <c r="EX129" s="67" t="s">
        <v>1052</v>
      </c>
      <c r="EY129" s="67">
        <v>5729.75</v>
      </c>
      <c r="EZ129" s="67" t="s">
        <v>1053</v>
      </c>
      <c r="FA129" s="67">
        <v>20413.75</v>
      </c>
      <c r="FB129" s="67" t="s">
        <v>1054</v>
      </c>
      <c r="FC129" s="67" t="s">
        <v>1055</v>
      </c>
      <c r="FD129" s="67" t="s">
        <v>1056</v>
      </c>
      <c r="FE129" s="68" t="s">
        <v>1057</v>
      </c>
      <c r="FF129" s="68" t="s">
        <v>1058</v>
      </c>
    </row>
    <row r="130" spans="1:162" s="63" customFormat="1" ht="12" customHeight="1" thickBot="1" x14ac:dyDescent="0.25">
      <c r="A130" s="2">
        <f t="shared" si="508"/>
        <v>5570</v>
      </c>
      <c r="B130" s="3">
        <f t="shared" si="451"/>
        <v>830</v>
      </c>
      <c r="C130" s="3">
        <f t="shared" si="452"/>
        <v>1511</v>
      </c>
      <c r="D130" s="3">
        <f t="shared" si="453"/>
        <v>7452</v>
      </c>
      <c r="E130" s="3">
        <f>SUM(B130:D130)</f>
        <v>9793</v>
      </c>
      <c r="F130" s="11">
        <f>+$F$84/$A$84*A130</f>
        <v>5592.8835537296181</v>
      </c>
      <c r="G130" s="4">
        <f t="shared" si="520"/>
        <v>555.83198527838408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>
        <v>-114</v>
      </c>
      <c r="AN130" s="20">
        <v>305</v>
      </c>
      <c r="AO130" s="20">
        <v>5570</v>
      </c>
      <c r="AP130" s="20">
        <v>184</v>
      </c>
      <c r="AQ130" s="20">
        <v>-2224</v>
      </c>
      <c r="AR130" s="20"/>
      <c r="AS130" s="56">
        <f>IF(RTD("tos.rtd",,AS$83,"."&amp;$B$82&amp;$AS$82&amp;"C"&amp;$A130)="N/A",0,RTD("tos.rtd",,AS$83,"."&amp;$B$82&amp;$AS$82&amp;"C"&amp;$A130))</f>
        <v>192</v>
      </c>
      <c r="AT130" s="35">
        <f>-IF(RTD("tos.rtd",,AT$83,"."&amp;$B$82&amp;$AS$82&amp;"P"&amp;$A130)="N/A",0,RTD("tos.rtd",,AT$83,"."&amp;$B$82&amp;$AS$82&amp;"P"&amp;$A130))</f>
        <v>-638</v>
      </c>
      <c r="AU130" s="56">
        <f>IF(RTD("tos.rtd",,AU$83,"."&amp;$C$82&amp;$AU$82&amp;"C"&amp;$A130)="N/A",0,RTD("tos.rtd",,AU$83,"."&amp;$C$82&amp;$AU$82&amp;"C"&amp;$A130))</f>
        <v>249</v>
      </c>
      <c r="AV130" s="35">
        <f>-IF(RTD("tos.rtd",,AV$83,"."&amp;$C$82&amp;$AU$82&amp;"P"&amp;$A130)="N/A",0,RTD("tos.rtd",,AV$83,"."&amp;$C$82&amp;$AU$82&amp;"P"&amp;$A130))</f>
        <v>-1262</v>
      </c>
      <c r="AW130" s="56">
        <f>IF(RTD("tos.rtd",,AW$83,"."&amp;$D$82&amp;$AW$82&amp;"C"&amp;$A130)="N/A",0,RTD("tos.rtd",,AW$83,"."&amp;$D$82&amp;$AW$82&amp;"C"&amp;$A130))</f>
        <v>3646</v>
      </c>
      <c r="AX130" s="35">
        <f>-IF(RTD("tos.rtd",,AX$83,"."&amp;$D$82&amp;$AW$82&amp;"P"&amp;$A130)="N/A",0,RTD("tos.rtd",,AX$83,"."&amp;$D$82&amp;$AW$82&amp;"P"&amp;$A130))</f>
        <v>-3806</v>
      </c>
      <c r="AY130" s="81">
        <f t="shared" si="521"/>
        <v>-1619</v>
      </c>
      <c r="AZ130" s="8">
        <f t="shared" si="455"/>
        <v>5570</v>
      </c>
      <c r="BA130" s="56">
        <f>IF(RTD("tos.rtd",,BA$83,"."&amp;$B$82&amp;$AS$82&amp;"C"&amp;$A130)="N/A",0,RTD("tos.rtd",,BA$83,"."&amp;$B$82&amp;$AS$82&amp;"C"&amp;$A130))</f>
        <v>184</v>
      </c>
      <c r="BB130" s="35">
        <f>-IF(RTD("tos.rtd",,BB$83,"."&amp;$B$82&amp;$AS$82&amp;"P"&amp;$A130)="N/A",0,RTD("tos.rtd",,BB$83,"."&amp;$B$82&amp;$AS$82&amp;"P"&amp;$A130))</f>
        <v>-2224</v>
      </c>
      <c r="BC130" s="56">
        <f>IF(RTD("tos.rtd",,BC$83,"."&amp;$C$82&amp;$AU$82&amp;"C"&amp;$A130)="N/A",0,RTD("tos.rtd",,BC$83,"."&amp;$C$82&amp;$AU$82&amp;"C"&amp;$A130))</f>
        <v>0</v>
      </c>
      <c r="BD130" s="35">
        <f>-IF(RTD("tos.rtd",,BD$83,"."&amp;$C$82&amp;$AU$82&amp;"P"&amp;$A130)="N/A",0,RTD("tos.rtd",,BD$83,"."&amp;$C$82&amp;$AU$82&amp;"P"&amp;$A130))</f>
        <v>-18</v>
      </c>
      <c r="BE130" s="56">
        <f>IF(RTD("tos.rtd",,BE$83,"."&amp;$D$82&amp;$AW$82&amp;"C"&amp;$A130)="N/A",0,RTD("tos.rtd",,BE$83,"."&amp;$D$82&amp;$AW$82&amp;"C"&amp;$A130))</f>
        <v>7</v>
      </c>
      <c r="BF130" s="35">
        <f>-IF(RTD("tos.rtd",,BF$83,"."&amp;$D$82&amp;$AW$82&amp;"P"&amp;$A130)="N/A",0,RTD("tos.rtd",,BF$83,"."&amp;$D$82&amp;$AW$82&amp;"P"&amp;$A130))</f>
        <v>-86</v>
      </c>
      <c r="BG130" s="3">
        <f ca="1">+Hoja2!Y131</f>
        <v>-263</v>
      </c>
      <c r="BH130" s="57">
        <f t="shared" ca="1" si="493"/>
        <v>-2400</v>
      </c>
      <c r="BI130" s="32" t="str">
        <f t="shared" ca="1" si="513"/>
        <v/>
      </c>
      <c r="BJ130" s="3">
        <f ca="1">IF($BP$1=1,DX130,IF(RTD("tos.rtd",,BJ$83,"."&amp;$B$82&amp;$AS$82&amp;"C"&amp;$A130)="N/A",0,RTD("tos.rtd",,BJ$83,"."&amp;$B$82&amp;$AS$82&amp;"C"&amp;$A130)))</f>
        <v>2.2773026286425488E-53</v>
      </c>
      <c r="BK130" s="3">
        <f ca="1">IF($BP$1=1,DY130,-IF(RTD("tos.rtd",,BK$83,"."&amp;$B$82&amp;$AS$82&amp;"P"&amp;$A130)="N/A",0,RTD("tos.rtd",,BK$83,"."&amp;$B$82&amp;$AS$82&amp;"P"&amp;$A130)))</f>
        <v>-4.6318832864908669E-4</v>
      </c>
      <c r="BL130" s="3">
        <f ca="1">IF($BP$1=1,DZ130,IF(RTD("tos.rtd",,BL$83,"."&amp;$C$82&amp;$AU$82&amp;"C"&amp;$A130)="N/A",0,RTD("tos.rtd",,BL$83,"."&amp;$C$82&amp;$AU$82&amp;"C"&amp;$A130)))</f>
        <v>6.5563908932306421E-4</v>
      </c>
      <c r="BM130" s="3">
        <f ca="1">IF($BP$1=1,EA130,-IF(RTD("tos.rtd",,BM$83,"."&amp;$C$82&amp;$AU$82&amp;"P"&amp;$A130)="N/A",0,RTD("tos.rtd",,BM$83,"."&amp;$C$82&amp;$AU$82&amp;"P"&amp;$A130)))</f>
        <v>-6.3610134510890264E-4</v>
      </c>
      <c r="BN130" s="3">
        <f ca="1">IF($BP$1=1,EB130,IF(RTD("tos.rtd",,BN$83,"."&amp;$D$82&amp;$AW$82&amp;"C"&amp;$A130)="N/A",0,RTD("tos.rtd",,BN$83,"."&amp;$D$82&amp;$AW$82&amp;"C"&amp;$A130)))</f>
        <v>2.9881281395421964E-4</v>
      </c>
      <c r="BO130" s="3">
        <f ca="1">IF($BP$1=1,EC130,-IF(RTD("tos.rtd",,BO$83,"."&amp;$D$82&amp;$AW$82&amp;"P"&amp;$A130)="N/A",0,RTD("tos.rtd",,BO$83,"."&amp;$D$82&amp;$AW$82&amp;"P"&amp;$A130)))</f>
        <v>-3.8306201084971207E-4</v>
      </c>
      <c r="BQ130" s="3">
        <f t="shared" ca="1" si="456"/>
        <v>-76159.516306979276</v>
      </c>
      <c r="BR130" s="3" t="str">
        <f t="shared" ca="1" si="494"/>
        <v/>
      </c>
      <c r="BS130" s="3">
        <f t="shared" ca="1" si="457"/>
        <v>-164812.57861035169</v>
      </c>
      <c r="BT130" s="3" t="str">
        <f t="shared" ca="1" si="494"/>
        <v/>
      </c>
      <c r="BU130" s="3">
        <f t="shared" ca="1" si="458"/>
        <v>-94959.665863225935</v>
      </c>
      <c r="BV130" s="3" t="str">
        <f t="shared" ca="1" si="494"/>
        <v>Cruce -</v>
      </c>
      <c r="BX130" s="3">
        <f t="shared" ca="1" si="459"/>
        <v>-265483.95653091202</v>
      </c>
      <c r="BY130" s="3" t="str">
        <f t="shared" ca="1" si="510"/>
        <v/>
      </c>
      <c r="BZ130" s="3">
        <f t="shared" ca="1" si="460"/>
        <v>-2950.8335317592091</v>
      </c>
      <c r="CA130" s="3" t="str">
        <f t="shared" ca="1" si="510"/>
        <v/>
      </c>
      <c r="CB130" s="3">
        <f t="shared" ca="1" si="461"/>
        <v>-7951.0446347098787</v>
      </c>
      <c r="CC130" s="3" t="str">
        <f t="shared" ca="1" si="510"/>
        <v/>
      </c>
      <c r="CD130" s="3">
        <f>IF(RTD("tos.rtd",,CD$83,"."&amp;$B$82&amp;$AS$82&amp;"C"&amp;$A130)="N/A",0,RTD("tos.rtd",,CD$83,"."&amp;$B$82&amp;$AS$82&amp;"C"&amp;$A130))</f>
        <v>1</v>
      </c>
      <c r="CE130" s="3">
        <f>-IF(RTD("tos.rtd",,CE$83,"."&amp;$B$82&amp;$AS$82&amp;"P"&amp;$A130)="N/A",0,RTD("tos.rtd",,CE$83,"."&amp;$B$82&amp;$AS$82&amp;"P"&amp;$A130))</f>
        <v>0</v>
      </c>
      <c r="CF130" s="3">
        <f>IF(RTD("tos.rtd",,CF$83,"."&amp;$C$82&amp;$AU$82&amp;"C"&amp;$A130)="N/A",0,RTD("tos.rtd",,CF$83,"."&amp;$C$82&amp;$AU$82&amp;"C"&amp;$A130))</f>
        <v>0.97</v>
      </c>
      <c r="CG130" s="3">
        <f>-IF(RTD("tos.rtd",,CG$83,"."&amp;$C$82&amp;$AU$82&amp;"P"&amp;$A130)="N/A",0,RTD("tos.rtd",,CG$83,"."&amp;$C$82&amp;$AU$82&amp;"P"&amp;$A130))</f>
        <v>0.03</v>
      </c>
      <c r="CH130" s="3">
        <f>IF(RTD("tos.rtd",,CH$83,"."&amp;$D$82&amp;$AW$82&amp;"C"&amp;$A130)="N/A",0,RTD("tos.rtd",,CH$83,"."&amp;$D$82&amp;$AW$82&amp;"C"&amp;$A130))</f>
        <v>0.82</v>
      </c>
      <c r="CI130" s="3">
        <f>-IF(RTD("tos.rtd",,CI$83,"."&amp;$D$82&amp;$AW$82&amp;"P"&amp;$A130)="N/A",0,RTD("tos.rtd",,CI$83,"."&amp;$D$82&amp;$AW$82&amp;"P"&amp;$A130))</f>
        <v>0.2</v>
      </c>
      <c r="CK130" s="3">
        <f t="shared" si="495"/>
        <v>19200</v>
      </c>
      <c r="CL130" s="3"/>
      <c r="CM130" s="3">
        <f t="shared" si="496"/>
        <v>20367</v>
      </c>
      <c r="CN130" s="3"/>
      <c r="CO130" s="3">
        <f t="shared" si="497"/>
        <v>222852</v>
      </c>
      <c r="CP130" s="3">
        <f t="shared" si="462"/>
        <v>262419</v>
      </c>
      <c r="CQ130" s="3">
        <f t="shared" si="463"/>
        <v>-2040</v>
      </c>
      <c r="CR130" s="3"/>
      <c r="CS130" s="3">
        <f t="shared" si="464"/>
        <v>-18</v>
      </c>
      <c r="CT130" s="3"/>
      <c r="CU130" s="3">
        <f t="shared" si="465"/>
        <v>-79</v>
      </c>
      <c r="CV130" s="3"/>
      <c r="CW130" s="3">
        <f t="shared" ca="1" si="466"/>
        <v>-335931.76078055688</v>
      </c>
      <c r="CY130" s="3">
        <f t="shared" ca="1" si="467"/>
        <v>-276385.83469738113</v>
      </c>
      <c r="CZ130" s="70" t="str">
        <f t="shared" ca="1" si="511"/>
        <v/>
      </c>
      <c r="DA130" s="3">
        <f>IF(RTD("tos.rtd",,DA$83,"."&amp;$B$82&amp;$AS$82&amp;"C"&amp;$A130)="N/A",0,RTD("tos.rtd",,DA$83,"."&amp;$B$82&amp;$AS$82&amp;"C"&amp;$A130))</f>
        <v>262.89999999999998</v>
      </c>
      <c r="DB130" s="3">
        <f>IF(RTD("tos.rtd",,DB$83,"."&amp;$B$82&amp;$AS$82&amp;"P"&amp;$A130)="N/A",0,RTD("tos.rtd",,DB$83,"."&amp;$B$82&amp;$AS$82&amp;"P"&amp;$A130))</f>
        <v>0.05</v>
      </c>
      <c r="DC130" s="3">
        <f>IF(RTD("tos.rtd",,DC$83,"."&amp;$B$82&amp;$AS$82&amp;"C"&amp;$A130)="N/A",0,RTD("tos.rtd",,DC$83,"."&amp;$B$82&amp;$AS$82&amp;"C"&amp;$A130))</f>
        <v>283.2</v>
      </c>
      <c r="DD130" s="3">
        <f>IF(RTD("tos.rtd",,DD$83,"."&amp;$B$82&amp;$AS$82&amp;"P"&amp;$A130)="N/A",0,RTD("tos.rtd",,DD$83,"."&amp;$B$82&amp;$AS$82&amp;"P"&amp;$A130))</f>
        <v>0.05</v>
      </c>
      <c r="DE130" s="3">
        <f>IF(RTD("tos.rtd",,DE$83,"."&amp;$B$82&amp;$AS$82&amp;"C"&amp;$A130)="N/A",0,RTD("tos.rtd",,DE$83,"."&amp;$B$82&amp;$AS$82&amp;"C"&amp;$A130))</f>
        <v>265.10000000000002</v>
      </c>
      <c r="DF130" s="3">
        <f>IF(RTD("tos.rtd",,DF$83,"."&amp;$B$82&amp;$AS$82&amp;"P"&amp;$A130)="N/A",0,RTD("tos.rtd",,DF$83,"."&amp;$B$82&amp;$AS$82&amp;"P"&amp;$A130))</f>
        <v>0</v>
      </c>
      <c r="DG130" s="86">
        <f t="shared" si="499"/>
        <v>-271.75</v>
      </c>
      <c r="DH130" s="3">
        <f t="shared" si="468"/>
        <v>0</v>
      </c>
      <c r="DI130" s="3">
        <f t="shared" si="469"/>
        <v>0</v>
      </c>
      <c r="DJ130" s="3">
        <f t="shared" si="470"/>
        <v>0</v>
      </c>
      <c r="DK130" s="3">
        <f t="shared" si="471"/>
        <v>0</v>
      </c>
      <c r="DL130" s="3">
        <f t="shared" si="472"/>
        <v>0</v>
      </c>
      <c r="DM130" s="3">
        <f t="shared" si="473"/>
        <v>0</v>
      </c>
      <c r="DN130" s="64" t="str">
        <f t="shared" si="474"/>
        <v>UNKNOWN</v>
      </c>
      <c r="DO130" s="64" t="str">
        <f t="shared" si="475"/>
        <v>UNKNOWN</v>
      </c>
      <c r="DP130" s="3">
        <f t="shared" si="476"/>
        <v>0</v>
      </c>
      <c r="DQ130" s="3">
        <f t="shared" si="477"/>
        <v>0</v>
      </c>
      <c r="DR130" s="3">
        <f t="shared" ca="1" si="478"/>
        <v>0</v>
      </c>
      <c r="DS130" s="3">
        <f t="shared" si="479"/>
        <v>0</v>
      </c>
      <c r="DT130" s="3">
        <f t="shared" si="500"/>
        <v>0</v>
      </c>
      <c r="DU130" s="3">
        <f t="shared" si="501"/>
        <v>0</v>
      </c>
      <c r="DV130" s="3">
        <f t="shared" si="502"/>
        <v>-114</v>
      </c>
      <c r="DW130" s="3">
        <f t="shared" si="503"/>
        <v>305</v>
      </c>
      <c r="DX130" s="3">
        <f t="shared" ca="1" si="512"/>
        <v>2.2773026286425488E-53</v>
      </c>
      <c r="DY130" s="3">
        <f t="shared" ca="1" si="480"/>
        <v>-4.6318832864908669E-4</v>
      </c>
      <c r="DZ130" s="3">
        <f t="shared" ca="1" si="504"/>
        <v>6.5563908932306421E-4</v>
      </c>
      <c r="EA130" s="3">
        <f t="shared" ca="1" si="505"/>
        <v>-6.3610134510890264E-4</v>
      </c>
      <c r="EB130" s="3">
        <f t="shared" ca="1" si="481"/>
        <v>2.9881281395421964E-4</v>
      </c>
      <c r="EC130" s="3">
        <f t="shared" ca="1" si="482"/>
        <v>-3.8306201084971207E-4</v>
      </c>
      <c r="ED130" s="63">
        <f t="shared" si="506"/>
        <v>191</v>
      </c>
      <c r="EE130" s="59">
        <f t="shared" si="483"/>
        <v>0.25</v>
      </c>
      <c r="EF130" s="59">
        <f t="shared" si="484"/>
        <v>2.0621999999999998</v>
      </c>
      <c r="EG130" s="59">
        <f t="shared" si="485"/>
        <v>0.25559999999999999</v>
      </c>
      <c r="EH130" s="59">
        <f t="shared" si="486"/>
        <v>0.25009999999999999</v>
      </c>
      <c r="EI130" s="59">
        <f t="shared" si="487"/>
        <v>0.18260000000000001</v>
      </c>
      <c r="EJ130" s="59">
        <f t="shared" si="488"/>
        <v>0.1971</v>
      </c>
      <c r="EK130" s="63">
        <f t="shared" ca="1" si="507"/>
        <v>-4821069.3791054711</v>
      </c>
      <c r="EL130" s="3" t="str">
        <f>RTD("tos.rtd",,EL$83,"."&amp;$B$82&amp;$AS$82&amp;"C"&amp;$A130)</f>
        <v>--</v>
      </c>
      <c r="EM130" s="3" t="str">
        <f>RTD("tos.rtd",,EM$83,"."&amp;$B$82&amp;$AS$82&amp;"P"&amp;$A130)</f>
        <v>206.22%</v>
      </c>
      <c r="EN130" s="3" t="str">
        <f>RTD("tos.rtd",,EN$83,"."&amp;$C$82&amp;$AU$82&amp;"C"&amp;$A130)</f>
        <v>25.56%</v>
      </c>
      <c r="EO130" s="3" t="str">
        <f>RTD("tos.rtd",,EO$83,"."&amp;$C$82&amp;$AU$82&amp;"P"&amp;$A130)</f>
        <v>25.01%</v>
      </c>
      <c r="EP130" s="3" t="str">
        <f>RTD("tos.rtd",,EP$83,"."&amp;$D$82&amp;$AW$82&amp;"C"&amp;$A130)</f>
        <v>18.26%</v>
      </c>
      <c r="EQ130" s="3" t="str">
        <f>RTD("tos.rtd",,EQ$83,"."&amp;$D$82&amp;$AW$82&amp;"P"&amp;$A130)</f>
        <v>19.71%</v>
      </c>
      <c r="ES130" s="63" t="str">
        <f t="shared" si="489"/>
        <v>5570,191.00</v>
      </c>
      <c r="ET130" s="63" t="str">
        <f t="shared" ca="1" si="490"/>
        <v>5570,-276.39</v>
      </c>
      <c r="EU130" s="67">
        <v>571.87</v>
      </c>
      <c r="EV130" s="67" t="s">
        <v>1059</v>
      </c>
      <c r="EW130" s="67">
        <v>497.15</v>
      </c>
      <c r="EX130" s="67" t="s">
        <v>1060</v>
      </c>
      <c r="EY130" s="67">
        <v>5729.5</v>
      </c>
      <c r="EZ130" s="67" t="s">
        <v>1061</v>
      </c>
      <c r="FA130" s="67">
        <v>20411.5</v>
      </c>
      <c r="FB130" s="67" t="s">
        <v>1062</v>
      </c>
      <c r="FC130" s="67" t="s">
        <v>1063</v>
      </c>
      <c r="FD130" s="67" t="s">
        <v>1064</v>
      </c>
      <c r="FE130" s="68" t="s">
        <v>1065</v>
      </c>
      <c r="FF130" s="68" t="s">
        <v>1066</v>
      </c>
    </row>
    <row r="131" spans="1:162" ht="13.5" thickBot="1" x14ac:dyDescent="0.25">
      <c r="A131" s="56"/>
      <c r="C131" s="35"/>
      <c r="D131" s="35"/>
      <c r="E131" s="35"/>
      <c r="F131" s="57"/>
      <c r="BH131" s="1">
        <f ca="1">MIN(BH85:BH130)</f>
        <v>-43768</v>
      </c>
      <c r="BI131" s="1">
        <f ca="1">IFERROR(IF(MIN(BH85:BH130)&lt;&gt;0,INDEX(A85:A130,MATCH(MIN(BH85:BH130),BH85:BH130,0)),""),"")</f>
        <v>5750</v>
      </c>
      <c r="BP131" s="64">
        <f ca="1">INDEX(BQ131:BU131,MATCH(MAX(BQ84:BU84),BQ84:BU84,0))</f>
        <v>5840</v>
      </c>
      <c r="BQ131" s="1">
        <f ca="1">IF(AND(BQ84&gt;0,ABS(MAX(BQ85:BQ130))&gt;ABS(MIN(BQ85:BQ130))),IF(MAX(BQ85:BQ130)&lt;&gt;0,INDEX($A85:$A130,MATCH(MAX(BQ85:BQ130),BQ85:BQ130,0)),""),"")</f>
        <v>5840</v>
      </c>
      <c r="BS131" s="1">
        <f ca="1">IF(AND(BS84&gt;0,ABS(MAX(BS85:BS130))&gt;ABS(MIN(BS85:BS130))),IF(MAX(BS85:BS130)&lt;&gt;0,INDEX($A85:$A130,MATCH(MAX(BS85:BS130),BS85:BS130,0)),""),"")</f>
        <v>5900</v>
      </c>
      <c r="BU131" s="1">
        <f ca="1">IF(AND(BU84&gt;0,ABS(MAX(BU85:BU130))&gt;ABS(MIN(BU85:BU130))),IF(MAX(BU85:BU130)&lt;&gt;0,INDEX($A85:$A130,MATCH(MAX(BU85:BU130),BU85:BU130,0)),""),"")</f>
        <v>5900</v>
      </c>
      <c r="BW131" s="64">
        <f ca="1">INDEX(BX131:CB131,MATCH(MAX(BX84:CB84),BX84:CB84,0))</f>
        <v>5840</v>
      </c>
      <c r="BX131" s="1">
        <f ca="1">IF(AND(BX84&gt;0,ABS(MAX(BX85:BX130))&gt;ABS(MIN(BX85:BX130))),IF(MAX(BX85:BX130)&lt;&gt;0,INDEX($A85:$A130,MATCH(MAX(BX85:BX130),BX85:BX130,0)),""),"")</f>
        <v>5840</v>
      </c>
      <c r="BY131" s="1">
        <f ca="1">INDEX($A$85:$A$130,MATCH("Cruce -",BY85:BY130,)+1)</f>
        <v>5810</v>
      </c>
      <c r="BZ131" s="1">
        <f ca="1">IF(AND(BZ84&gt;0,ABS(MAX(BZ85:BZ130))&gt;ABS(MIN(BZ85:BZ130))),IF(MAX(BZ85:BZ130)&lt;&gt;0,INDEX($A85:$A130,MATCH(MAX(BZ85:BZ130),BZ85:BZ130,0)),""),"")</f>
        <v>5900</v>
      </c>
      <c r="CB131" s="1">
        <f ca="1">IF(AND(CB84&gt;0,ABS(MAX(CB85:CB130))&gt;ABS(MIN(CB85:CB130))),IF(MAX(CB85:CB130)&lt;&gt;0,INDEX($A85:$A130,MATCH(MAX(CB85:CB130),CB85:CB130,0)),""),"")</f>
        <v>5900</v>
      </c>
      <c r="CJ131" s="64" t="str">
        <f>INDEX(CK131:CO131,MATCH(MAX(CK84:CO84),CK84:CO84,0))</f>
        <v/>
      </c>
      <c r="CK131" s="1">
        <f>IF(AND(CK84&gt;0,ABS(MAX(CK85:CK130))&gt;ABS(MIN(CK85:CK130))),IF(MAX(CK85:CK130)&lt;&gt;0,INDEX($A85:$A130,MATCH(MAX(CK85:CK130),CK85:CK130,0)),""),"")</f>
        <v>5800</v>
      </c>
      <c r="CM131" s="1" t="str">
        <f>IF(AND(CM84&gt;0,ABS(MAX(CM85:CM130))&gt;ABS(MIN(CM85:CM130))),IF(MAX(CM85:CM130)&lt;&gt;0,INDEX($A85:$A130,MATCH(MAX(CM85:CM130),CM85:CM130,0)),""),"")</f>
        <v/>
      </c>
      <c r="CO131" s="1" t="str">
        <f>IF(AND(CO84&gt;0,ABS(MAX(CO85:CO130))&gt;ABS(MIN(CO85:CO130))),IF(MAX(CO85:CO130)&lt;&gt;0,INDEX($A85:$A130,MATCH(MAX(CO85:CO130),CO85:CO130,0)),""),"")</f>
        <v/>
      </c>
      <c r="CP131" s="1" t="str">
        <f>IF(ABS(MAX(CP85:CP130))&gt;ABS(MIN(CP85:CP130)),IF(MAX(CP85:CP130)&lt;&gt;0,INDEX($A85:$A130,MATCH(MAX(CP85:CP130),CP85:CP130,0)),""),"")</f>
        <v/>
      </c>
      <c r="CW131" s="1">
        <f ca="1">IF(ABS(MAX(CW85:CW130))&gt;ABS(MIN(CW85:CW130)),IF(MAX(CW85:CW130)&lt;&gt;0,INDEX($A85:$A130,MATCH(MAX(CW85:CW130),CW85:CW130,0)),""),"")</f>
        <v>5840</v>
      </c>
      <c r="CY131" s="1">
        <f ca="1">IF(ABS(MAX(CY85:CY130))&gt;ABS(MIN(CY85:CY130)),IF(MAX(CY85:CY130)&lt;&gt;0,INDEX($A85:$A130,MATCH(MAX(CY85:CY130),CY85:CY130,0)),""),"")</f>
        <v>5840</v>
      </c>
      <c r="DH131" s="1" t="e">
        <f t="shared" ref="DH131:DM131" si="536">IF(ABS(MAX(DH85:DH130))&gt;ABS(MIN(DH85:DH130)),IF(MAX(DH85:DH130)&lt;&gt;0,INDEX($A85:$A130,MATCH(MAX(DH85:DH130),DH85:DH130,0)),""),"")</f>
        <v>#DIV/0!</v>
      </c>
      <c r="DI131" s="1" t="e">
        <f t="shared" si="536"/>
        <v>#DIV/0!</v>
      </c>
      <c r="DJ131" s="89" t="str">
        <f>IF(AND(ABS(MAX(DJ85:DJ130))&gt;$DG$83,ABS(INDEX($DG$85:$DG$130,MATCH(MAX(DJ85:DJ130),DJ85:DJ130,0)))&lt;10,1),IF(MAX(DJ85:DJ130)&lt;&gt;0,INDEX($A85:$A130,MATCH(MAX(DJ85:DJ130),DJ85:DJ130,0)),""),"")</f>
        <v/>
      </c>
      <c r="DK131" s="89" t="str">
        <f>IF(AND(ABS(MAX(DK85:DK130))&gt;$DG$83,ABS(INDEX($DG$85:$DG$130,MATCH(MAX(DK85:DK130),DK85:DK130,0)))&lt;10,1),IF(MAX(DK85:DK130)&lt;&gt;0,INDEX($A85:$A130,MATCH(MAX(DK85:DK130),DK85:DK130,0)),""),"")</f>
        <v/>
      </c>
      <c r="DL131" s="1" t="e">
        <f t="shared" si="536"/>
        <v>#DIV/0!</v>
      </c>
      <c r="DM131" s="1" t="str">
        <f t="shared" si="536"/>
        <v/>
      </c>
      <c r="DN131" s="64" t="str">
        <f>DJ131&amp;","&amp;DJ132&amp;","&amp;DK131&amp;","&amp;DK132</f>
        <v>,,,</v>
      </c>
      <c r="DP131" s="1" t="e">
        <f>IF(ABS(MAX(DP85:DP130))&gt;ABS(MIN(DP85:DP130)),IF(MAX(DP85:DP130)&lt;&gt;0,INDEX($A85:$A130,MATCH(MAX(DP85:DP130),DP85:DP130,0)),""),"")</f>
        <v>#DIV/0!</v>
      </c>
      <c r="DQ131" s="1" t="str">
        <f>IF(ABS(MAX(DQ85:DQ130))&gt;ABS(MIN(DQ85:DQ130)),IF(MAX(DQ85:DQ130)&lt;&gt;0,INDEX($A85:$A130,MATCH(MAX(DQ85:DQ130),DQ85:DQ130,0)),""),"")</f>
        <v/>
      </c>
      <c r="DR131" s="1" t="str">
        <f ca="1">IF(ABS(MAX(DR85:DR130))&gt;ABS(MIN(DR85:DR130)),IF(MAX(DR85:DR130)&lt;&gt;0,INDEX($A85:$A130,MATCH(MAX(DR85:DR130),DR85:DR130,0)),""),"")</f>
        <v/>
      </c>
      <c r="DS131" s="1" t="str">
        <f>IF(ABS(MAX(DS85:DS130))&gt;ABS(MIN(DS85:DS130)),IF(MAX(DS85:DS130)&lt;&gt;0,INDEX($A85:$A130,MATCH(MAX(DS85:DS130),DS85:DS130,0)),""),"")</f>
        <v/>
      </c>
      <c r="ED131" s="103">
        <f>IFERROR(IF(MAX(ED85:ED130)&lt;&gt;0,INDEX($A85:$A130,MATCH(MAX(ED85:ED130),ED85:ED130,0)),""),"")</f>
        <v>5820</v>
      </c>
      <c r="EU131" s="67">
        <v>571.87</v>
      </c>
      <c r="EV131" s="67" t="s">
        <v>1067</v>
      </c>
      <c r="EW131" s="67">
        <v>497.18</v>
      </c>
      <c r="EX131" s="67" t="s">
        <v>1068</v>
      </c>
      <c r="EY131" s="67">
        <v>5729.75</v>
      </c>
      <c r="EZ131" s="67" t="s">
        <v>1069</v>
      </c>
      <c r="FA131" s="67">
        <v>20412.5</v>
      </c>
      <c r="FB131" s="67" t="s">
        <v>1070</v>
      </c>
      <c r="FC131" s="67" t="s">
        <v>1071</v>
      </c>
      <c r="FD131" s="67" t="s">
        <v>1072</v>
      </c>
      <c r="FE131" s="68" t="s">
        <v>1073</v>
      </c>
      <c r="FF131" s="68" t="s">
        <v>1074</v>
      </c>
    </row>
    <row r="132" spans="1:162" x14ac:dyDescent="0.2">
      <c r="AP132" s="1">
        <v>5850</v>
      </c>
      <c r="AQ132" s="1">
        <v>5830</v>
      </c>
      <c r="BA132" s="1">
        <f>INDEX($A$85:$A$130,MATCH(MAX(BA85:BA130),BA85:BA130,0))</f>
        <v>5850</v>
      </c>
      <c r="BB132" s="38">
        <f>INDEX($A$85:$A$130,MATCH(MIN(BB85:BB130),BB85:BB130,0))</f>
        <v>5830</v>
      </c>
      <c r="BC132" s="1">
        <f>INDEX($A$85:$A$130,MATCH(MAX(BC85:BC130),BC85:BC130,0))</f>
        <v>5800</v>
      </c>
      <c r="BD132" s="38">
        <f>INDEX($A$85:$A$130,MATCH(MIN(BD85:BD130),BD85:BD130,0))</f>
        <v>5800</v>
      </c>
      <c r="BE132" s="1">
        <f>INDEX($A$85:$A$130,MATCH(MAX(BE85:BE130),BE85:BE130,0))</f>
        <v>5800</v>
      </c>
      <c r="BF132" s="38">
        <f>INDEX($A$85:$A$130,MATCH(MIN(BF85:BF130),BF85:BF130,0))</f>
        <v>5800</v>
      </c>
      <c r="BG132" s="38"/>
      <c r="BK132" s="38"/>
      <c r="BM132" s="38"/>
      <c r="BO132" s="38"/>
      <c r="BP132" s="64" t="str">
        <f ca="1">INDEX(BQ132:BU132,MATCH(MIN(BQ84:BU84),BQ84:BU84,0))</f>
        <v/>
      </c>
      <c r="BQ132" s="1" t="str">
        <f ca="1">IF(AND(BQ84&lt;0,ABS(MIN(BQ85:BQ130))&gt;ABS(MAX(BQ85:BQ130))),IF(MIN(BQ85:BQ130)&lt;&gt;0,INDEX($A85:$A130,MATCH(MIN(BQ85:BQ130),BQ85:BQ130,0)),""),"")</f>
        <v/>
      </c>
      <c r="BR132" s="38"/>
      <c r="BS132" s="1" t="str">
        <f ca="1">IF(AND(BS84&lt;0,ABS(MIN(BS85:BS130))&gt;ABS(MAX(BS85:BS130))),IF(MIN(BS85:BS130)&lt;&gt;0,INDEX($A85:$A130,MATCH(MIN(BS85:BS130),BS85:BS130,0)),""),"")</f>
        <v/>
      </c>
      <c r="BT132" s="38"/>
      <c r="BU132" s="1" t="str">
        <f ca="1">IF(AND(BU84&lt;0,ABS(MIN(BU85:BU130))&gt;ABS(MAX(BU85:BU130))),IF(MIN(BU85:BU130)&lt;&gt;0,INDEX($A85:$A130,MATCH(MIN(BU85:BU130),BU85:BU130,0)),""),"")</f>
        <v/>
      </c>
      <c r="BV132" s="38"/>
      <c r="BW132" s="64" t="str">
        <f ca="1">INDEX(BX132:CB132,MATCH(MIN(BX84:CB84),BX84:CB84,0))</f>
        <v/>
      </c>
      <c r="BX132" s="1" t="str">
        <f ca="1">IF(AND(BX84&lt;0,ABS(MIN(BX85:BX130))&gt;ABS(MAX(BX85:BX130))),IF(MIN(BX85:BX130)&lt;&gt;0,INDEX($A85:$A130,MATCH(MIN(BX85:BX130),BX85:BX130,0)),""),"")</f>
        <v/>
      </c>
      <c r="BY132" s="38">
        <f ca="1">INDEX($A$85:$A$130,MATCH("Cruce -",BY85:BY130,)-1)</f>
        <v>5830</v>
      </c>
      <c r="BZ132" s="1" t="str">
        <f ca="1">IF(AND(BZ84&lt;0,ABS(MIN(BZ85:BZ130))&gt;ABS(MAX(BZ85:BZ130))),IF(MIN(BZ85:BZ130)&lt;&gt;0,INDEX($A85:$A130,MATCH(MIN(BZ85:BZ130),BZ85:BZ130,0)),""),"")</f>
        <v/>
      </c>
      <c r="CA132" s="38"/>
      <c r="CB132" s="1" t="str">
        <f ca="1">IF(AND(CB84&lt;0,ABS(MIN(CB85:CB130))&gt;ABS(MAX(CB85:CB130))),IF(MIN(CB85:CB130)&lt;&gt;0,INDEX($A85:$A130,MATCH(MIN(CB85:CB130),CB85:CB130,0)),""),"")</f>
        <v/>
      </c>
      <c r="CC132" s="38"/>
      <c r="CE132" s="38"/>
      <c r="CG132" s="38"/>
      <c r="CI132" s="38"/>
      <c r="CJ132" s="64" t="str">
        <f>INDEX(CK132:CO132,MATCH(MIN(CK84:CO84),CK84:CO84,0))</f>
        <v/>
      </c>
      <c r="CK132" s="1" t="str">
        <f>IF(AND(CK84&lt;0,ABS(MIN(CK85:CK130))&gt;ABS(MAX(CK85:CK130))),IF(MIN(CK85:CK130)&lt;&gt;0,INDEX($A85:$A130,MATCH(MIN(CK85:CK130),CK85:CK130,0)),""),"")</f>
        <v/>
      </c>
      <c r="CL132" s="38"/>
      <c r="CM132" s="1" t="str">
        <f>IF(AND(CM84&lt;0,ABS(MIN(CM85:CM130))&gt;ABS(MAX(CM85:CM130))),IF(MIN(CM85:CM130)&lt;&gt;0,INDEX($A85:$A130,MATCH(MIN(CM85:CM130),CM85:CM130,0)),""),"")</f>
        <v/>
      </c>
      <c r="CN132" s="38"/>
      <c r="CO132" s="1" t="str">
        <f>IF(AND(CO84&lt;0,ABS(MIN(CO85:CO130))&gt;ABS(MAX(CO85:CO130))),IF(MIN(CO85:CO130)&lt;&gt;0,INDEX($A85:$A130,MATCH(MIN(CO85:CO130),CO85:CO130,0)),""),"")</f>
        <v/>
      </c>
      <c r="CP132" s="38">
        <f>IF(ABS(MIN(CP85:CP130))&gt;ABS(MAX(CP85:CP130)),IF(MIN(CP85:CP130)&lt;&gt;0,INDEX($A85:$A130,MATCH(MIN(CP85:CP130),CP85:CP130,0)),""),"")</f>
        <v>6000</v>
      </c>
      <c r="CR132" s="38"/>
      <c r="CT132" s="38"/>
      <c r="CV132" s="38"/>
      <c r="CW132" s="38" t="str">
        <f ca="1">IF(ABS(MIN(CW85:CW130))&gt;ABS(MAX(CW85:CW130)),IF(MIN(CW85:CW130)&lt;&gt;0,INDEX($A85:$A130,MATCH(MIN(CW85:CW130),CW85:CW130,0)),""),"")</f>
        <v/>
      </c>
      <c r="CY132" s="38" t="str">
        <f ca="1">IF(ABS(MIN(CY85:CY130))&gt;ABS(MAX(CY85:CY130)),IF(MIN(CY85:CY130)&lt;&gt;0,INDEX($A85:$A130,MATCH(MIN(CY85:CY130),CY85:CY130,0)),""),"")</f>
        <v/>
      </c>
      <c r="DB132" s="38"/>
      <c r="DD132" s="38"/>
      <c r="DH132" s="1" t="e">
        <f t="shared" ref="DH132:DM132" si="537">IF(ABS(MIN(DH85:DH130))&gt;ABS(MAX(DH85:DH130)),IF(MIN(DH85:DH130)&lt;&gt;0,INDEX($A85:$A130,MATCH(MIN(DH85:DH130),DH85:DH130,0)),""),"")</f>
        <v>#DIV/0!</v>
      </c>
      <c r="DI132" s="38" t="e">
        <f t="shared" si="537"/>
        <v>#DIV/0!</v>
      </c>
      <c r="DJ132" s="89" t="str">
        <f>IF(AND(ABS(MIN(DJ85:DJ130))&gt;$DG$83,ABS(INDEX($DG$85:$DG$130,MATCH(MIN(DJ85:DJ130),DJ85:DJ130,0)))&lt;10,1),IF(MIN(DJ85:DJ130)&lt;&gt;0,INDEX($A85:$A130,MATCH(MIN(DJ85:DJ130),DJ85:DJ130,0)),""),"")</f>
        <v/>
      </c>
      <c r="DK132" s="89" t="str">
        <f>IF(AND(ABS(MIN(DK85:DK130))&gt;$DG$83,ABS(INDEX($DG$85:$DG$130,MATCH(MIN(DK85:DK130),DK85:DK130,0)))&lt;10,1),IF(MIN(DK85:DK130)&lt;&gt;0,INDEX($A85:$A130,MATCH(MIN(DK85:DK130),DK85:DK130,0)),""),"")</f>
        <v/>
      </c>
      <c r="DL132" s="1" t="e">
        <f t="shared" si="537"/>
        <v>#DIV/0!</v>
      </c>
      <c r="DM132" s="1" t="str">
        <f t="shared" si="537"/>
        <v/>
      </c>
      <c r="DN132" s="64" t="str">
        <f ca="1">BI82&amp;","&amp;BI131&amp;","&amp;ED131&amp;","&amp;ED132</f>
        <v>5850,5750,5820,6000</v>
      </c>
      <c r="DP132" s="1" t="e">
        <f>IF(ABS(MIN(DP85:DP130))&gt;ABS(MAX(DP85:DP130)),IF(MIN(DP85:DP130)&lt;&gt;0,INDEX($A85:$A130,MATCH(MIN(DP85:DP130),DP85:DP130,0)),""),"")</f>
        <v>#DIV/0!</v>
      </c>
      <c r="DQ132" s="38" t="str">
        <f>IF(ABS(MIN(DQ85:DQ130))&gt;ABS(MAX(DQ85:DQ130)),IF(MIN(DQ85:DQ130)&lt;&gt;0,INDEX($A85:$A130,MATCH(MIN(DQ85:DQ130),DQ85:DQ130,0)),""),"")</f>
        <v/>
      </c>
      <c r="DR132" s="1" t="str">
        <f ca="1">IF(ABS(MIN(DR85:DR130))&gt;ABS(MAX(DR85:DR130)),IF(MIN(DR85:DR130)&lt;&gt;0,INDEX($A85:$A130,MATCH(MIN(DR85:DR130),DR85:DR130,0)),""),"")</f>
        <v/>
      </c>
      <c r="DS132" s="38" t="str">
        <f>IF(ABS(MIN(DS85:DS130))&gt;ABS(MAX(DS85:DS130)),IF(MIN(DS85:DS130)&lt;&gt;0,INDEX($A85:$A130,MATCH(MIN(DS85:DS130),DS85:DS130,0)),""),"")</f>
        <v/>
      </c>
      <c r="DW132" s="38"/>
      <c r="DY132" s="38"/>
      <c r="EA132" s="38"/>
      <c r="ED132" s="103">
        <f>IFERROR(IF(MIN(ED85:ED130)&lt;&gt;0,INDEX($A85:$A130,MATCH(MIN(ED85:ED130),ED85:ED130,0)),""),"")</f>
        <v>6000</v>
      </c>
      <c r="EF132" s="38"/>
      <c r="EH132" s="38"/>
      <c r="EM132" s="38"/>
      <c r="EO132" s="38"/>
      <c r="EU132" s="67">
        <v>571.87</v>
      </c>
      <c r="EV132" s="67" t="s">
        <v>1075</v>
      </c>
      <c r="EW132" s="67">
        <v>497.16</v>
      </c>
      <c r="EX132" s="67" t="s">
        <v>1076</v>
      </c>
      <c r="EY132" s="67">
        <v>5729.75</v>
      </c>
      <c r="EZ132" s="67" t="s">
        <v>1077</v>
      </c>
      <c r="FA132" s="67">
        <v>20412.75</v>
      </c>
      <c r="FB132" s="67" t="s">
        <v>1078</v>
      </c>
      <c r="FC132" s="67" t="s">
        <v>1079</v>
      </c>
      <c r="FD132" s="67" t="s">
        <v>1080</v>
      </c>
      <c r="FE132" s="68" t="s">
        <v>1081</v>
      </c>
      <c r="FF132" s="68" t="s">
        <v>1082</v>
      </c>
    </row>
    <row r="133" spans="1:162" ht="13.5" thickBot="1" x14ac:dyDescent="0.25">
      <c r="A133" s="49">
        <v>25</v>
      </c>
      <c r="D133" s="50">
        <f>+F136-100</f>
        <v>20843.75</v>
      </c>
      <c r="E133" s="82">
        <v>20800</v>
      </c>
      <c r="EU133" s="67">
        <v>571.87</v>
      </c>
      <c r="EV133" s="67" t="s">
        <v>1083</v>
      </c>
      <c r="EW133" s="67">
        <v>497.18</v>
      </c>
      <c r="EX133" s="67" t="s">
        <v>1084</v>
      </c>
      <c r="EY133" s="67">
        <v>5729.5</v>
      </c>
      <c r="EZ133" s="67" t="s">
        <v>1085</v>
      </c>
      <c r="FA133" s="67">
        <v>20413.25</v>
      </c>
      <c r="FB133" s="67" t="s">
        <v>1086</v>
      </c>
      <c r="FC133" s="67" t="s">
        <v>1087</v>
      </c>
      <c r="FD133" s="67" t="s">
        <v>1088</v>
      </c>
      <c r="FE133" s="68" t="s">
        <v>1089</v>
      </c>
      <c r="FF133" s="68" t="s">
        <v>1090</v>
      </c>
    </row>
    <row r="134" spans="1:162" ht="13.5" thickBot="1" x14ac:dyDescent="0.25">
      <c r="A134" s="20" t="s">
        <v>14</v>
      </c>
      <c r="B134" s="45" t="s">
        <v>58</v>
      </c>
      <c r="C134" s="45" t="s">
        <v>14</v>
      </c>
      <c r="D134" s="45" t="s">
        <v>14</v>
      </c>
      <c r="E134" s="20">
        <f>RTD("tos.rtd", ,"MARK", A135)</f>
        <v>20868.149000000001</v>
      </c>
      <c r="F134" s="20">
        <f>+[3]Sheet1!$AD$2</f>
        <v>5826.8235213891576</v>
      </c>
      <c r="AP134" s="1">
        <v>250512</v>
      </c>
      <c r="AS134" s="22" t="str">
        <f>+B135</f>
        <v>250512</v>
      </c>
      <c r="AT134" s="22"/>
      <c r="AU134" s="22" t="str">
        <f>+C135</f>
        <v>250516</v>
      </c>
      <c r="AV134" s="22"/>
      <c r="AW134" s="22" t="str">
        <f>+D135</f>
        <v>250620</v>
      </c>
      <c r="AX134" s="22"/>
      <c r="BA134" s="22" t="str">
        <f>+B135</f>
        <v>250512</v>
      </c>
      <c r="BB134" s="22"/>
      <c r="BC134" s="22" t="str">
        <f>+C135</f>
        <v>250516</v>
      </c>
      <c r="BD134" s="22"/>
      <c r="BE134" s="22" t="str">
        <f>+D135</f>
        <v>250620</v>
      </c>
      <c r="BF134" s="22"/>
      <c r="BG134" s="96"/>
      <c r="BH134" s="1">
        <f ca="1">MAX(BH137:BH189)</f>
        <v>3623</v>
      </c>
      <c r="BI134" s="1">
        <f ca="1">IFERROR(IF(MAX(BH137:BH189)&lt;&gt;0,INDEX(A137:A189,MATCH(MAX(BH137:BH189),BH137:BH189,0)),""),"")</f>
        <v>20950</v>
      </c>
      <c r="BJ134" s="22"/>
      <c r="BK134" s="22"/>
      <c r="BL134" s="22"/>
      <c r="BM134" s="22"/>
      <c r="BN134" s="22"/>
      <c r="BO134" s="22"/>
      <c r="BQ134" s="22">
        <f ca="1">IF(BR134&gt;BS134,IF(MAX(BQ137:BQ189)&lt;&gt;0,INDEX(A137:A189,MATCH(MAX(BQ137:BQ189),BQ137:BQ189,0)),A136),IF(MIN(BQ137:BQ189)&lt;&gt;0,INDEX(A137:A189,MATCH(MIN(BQ137:BQ189),BQ137:BQ189,0))))</f>
        <v>20700</v>
      </c>
      <c r="BR134" s="22">
        <f ca="1">+MAX(BQ137:BQ189)</f>
        <v>32746270.049079392</v>
      </c>
      <c r="BS134" s="22">
        <f ca="1">ABS(MIN(BQ137:BQ189))</f>
        <v>1395041.0976141952</v>
      </c>
      <c r="BT134" s="22"/>
      <c r="BU134" s="22"/>
      <c r="BV134" s="22"/>
      <c r="BX134" s="22">
        <f ca="1">IF(BY134&gt;BZ134,IF(MAX(BX137:BX189)&lt;&gt;0,INDEX(G137:G189,MATCH(MAX(BX137:BX189),BX137:BX189,0)),G136),IF(MIN(BX137:BX189)&lt;&gt;0,INDEX(G137:G189,MATCH(MIN(BX137:BX189),BX137:BX189,0))))</f>
        <v>507.81222188905548</v>
      </c>
      <c r="BY134" s="22">
        <f ca="1">+MAX(BX137:BX189)</f>
        <v>1429471.5128155756</v>
      </c>
      <c r="BZ134" s="22">
        <f ca="1">ABS(MIN(BX137:BX189))</f>
        <v>216139.8100379167</v>
      </c>
      <c r="CA134" s="22"/>
      <c r="CB134" s="22"/>
      <c r="CC134" s="22">
        <f ca="1">+AVERAGE(BY190:BY191,CA190:CA191,CC190:CC191)</f>
        <v>20825</v>
      </c>
      <c r="CD134" s="22"/>
      <c r="CE134" s="22"/>
      <c r="CF134" s="22"/>
      <c r="CG134" s="22"/>
      <c r="CH134" s="22"/>
      <c r="CI134" s="22"/>
      <c r="CK134" s="22">
        <f>IF(CL134&gt;CM134,IF(MAX(CK137:CK189)&lt;&gt;0,INDEX(N137:N189,MATCH(MAX(CK137:CK189),CK137:CK189,0)),N136),IF(MIN(CK137:CK189)&lt;&gt;0,INDEX(N137:N189,MATCH(MIN(CK137:CK189),CK137:CK189,0))))</f>
        <v>0</v>
      </c>
      <c r="CL134" s="22">
        <f>+MAX(CK137:CK189)</f>
        <v>201054</v>
      </c>
      <c r="CM134" s="22">
        <f>ABS(MIN(CK137:CK189))</f>
        <v>0</v>
      </c>
      <c r="CN134" s="22"/>
      <c r="CO134" s="22"/>
      <c r="CP134" s="22"/>
      <c r="CQ134" s="22">
        <f>IF(CR134&gt;CS134,IF(MAX(CQ137:CQ189)&lt;&gt;0,INDEX(G137:G189,MATCH(MAX(CQ137:CQ189),CQ137:CQ189,0)),G136),IF(MIN(CQ137:CQ189)&lt;&gt;0,INDEX(G137:G189,MATCH(MIN(CQ137:CQ189),CQ137:CQ189,0))))</f>
        <v>510.24777211394309</v>
      </c>
      <c r="CR134" s="22">
        <f>+MAX(CQ137:CQ189)</f>
        <v>3609</v>
      </c>
      <c r="CS134" s="22">
        <f>ABS(MIN(CQ137:CQ189))</f>
        <v>741</v>
      </c>
      <c r="CT134" s="22"/>
      <c r="CU134" s="22"/>
      <c r="CV134" s="22"/>
      <c r="CW134" s="22">
        <f ca="1">IF(CX134&gt;CY134,IF(MAX(CW137:CW189)&lt;&gt;0,INDEX(M137:M189,MATCH(MAX(CW137:CW189),CW137:CW189,0)),M136),IF(MIN(CW137:CW189)&lt;&gt;0,INDEX(M137:M189,MATCH(MIN(CW137:CW189),CW137:CW189,0))))</f>
        <v>0</v>
      </c>
      <c r="CX134" s="61">
        <f ca="1">+MAX(CW137:CW189)</f>
        <v>34253415.402950391</v>
      </c>
      <c r="CY134" s="22">
        <f ca="1">ABS(MIN(CW137:CW189))</f>
        <v>1021393.5915434585</v>
      </c>
      <c r="DA134" s="22"/>
      <c r="DB134" s="22"/>
      <c r="DC134" s="22"/>
      <c r="DD134" s="22"/>
      <c r="DE134" s="22"/>
      <c r="DF134" s="22"/>
      <c r="DH134" s="22"/>
      <c r="DI134" s="22"/>
      <c r="DJ134" s="22"/>
      <c r="DK134" s="22"/>
      <c r="DL134" s="22"/>
      <c r="DM134" s="22"/>
      <c r="DP134" s="22"/>
      <c r="DQ134" s="22"/>
      <c r="DR134" s="22"/>
      <c r="DS134" s="22"/>
      <c r="DT134" s="22"/>
      <c r="DU134" s="22"/>
      <c r="DV134" s="22"/>
      <c r="DW134" s="22"/>
      <c r="DX134" s="22"/>
      <c r="DY134" s="22"/>
      <c r="DZ134" s="22"/>
      <c r="EA134" s="22"/>
      <c r="EB134" s="22"/>
      <c r="EC134" s="22"/>
      <c r="EE134" s="22"/>
      <c r="EF134" s="22"/>
      <c r="EG134" s="22"/>
      <c r="EH134" s="22"/>
      <c r="EI134" s="22"/>
      <c r="EJ134" s="22"/>
      <c r="EL134" s="22"/>
      <c r="EM134" s="22"/>
      <c r="EN134" s="22"/>
      <c r="EO134" s="22"/>
      <c r="EP134" s="22"/>
      <c r="EQ134" s="22"/>
      <c r="EU134" s="67">
        <v>571.87</v>
      </c>
      <c r="EV134" s="67" t="s">
        <v>1091</v>
      </c>
      <c r="EW134" s="67">
        <v>497.19</v>
      </c>
      <c r="EX134" s="67" t="s">
        <v>1092</v>
      </c>
      <c r="EY134" s="67">
        <v>5729.75</v>
      </c>
      <c r="EZ134" s="67" t="s">
        <v>1093</v>
      </c>
      <c r="FA134" s="67">
        <v>20414</v>
      </c>
      <c r="FB134" s="67" t="s">
        <v>1094</v>
      </c>
      <c r="FC134" s="67" t="s">
        <v>1095</v>
      </c>
      <c r="FD134" s="67" t="s">
        <v>1096</v>
      </c>
      <c r="FE134" s="68" t="s">
        <v>1097</v>
      </c>
      <c r="FF134" s="68" t="s">
        <v>1098</v>
      </c>
    </row>
    <row r="135" spans="1:162" ht="13.5" thickBot="1" x14ac:dyDescent="0.25">
      <c r="A135" s="45" t="s">
        <v>14</v>
      </c>
      <c r="B135" s="45" t="str">
        <f>+B83</f>
        <v>250512</v>
      </c>
      <c r="C135" s="45" t="str">
        <f>+C83</f>
        <v>250516</v>
      </c>
      <c r="D135" s="45" t="str">
        <f>+D83</f>
        <v>250620</v>
      </c>
      <c r="E135" s="45"/>
      <c r="F135" s="18" t="s">
        <v>3</v>
      </c>
      <c r="G135" s="22" t="s">
        <v>2</v>
      </c>
      <c r="AP135" s="1" t="s">
        <v>7</v>
      </c>
      <c r="AQ135" s="1" t="s">
        <v>7</v>
      </c>
      <c r="AS135" s="22" t="s">
        <v>1</v>
      </c>
      <c r="AT135" s="22" t="s">
        <v>1</v>
      </c>
      <c r="AU135" s="22" t="s">
        <v>1</v>
      </c>
      <c r="AV135" s="22" t="s">
        <v>1</v>
      </c>
      <c r="AW135" s="22" t="s">
        <v>1</v>
      </c>
      <c r="AX135" s="25" t="s">
        <v>1</v>
      </c>
      <c r="BA135" s="22" t="s">
        <v>7</v>
      </c>
      <c r="BB135" s="22" t="s">
        <v>7</v>
      </c>
      <c r="BC135" s="22" t="s">
        <v>7</v>
      </c>
      <c r="BD135" s="22" t="s">
        <v>7</v>
      </c>
      <c r="BE135" s="22" t="s">
        <v>7</v>
      </c>
      <c r="BF135" s="25" t="s">
        <v>7</v>
      </c>
      <c r="BG135" s="96"/>
      <c r="BH135" s="1" t="s">
        <v>12</v>
      </c>
      <c r="BJ135" s="22" t="str">
        <f>+BJ83</f>
        <v>GAMMA</v>
      </c>
      <c r="BK135" s="22" t="str">
        <f>+BJ135</f>
        <v>GAMMA</v>
      </c>
      <c r="BL135" s="22" t="str">
        <f>+BK135</f>
        <v>GAMMA</v>
      </c>
      <c r="BM135" s="22" t="str">
        <f>+BL135</f>
        <v>GAMMA</v>
      </c>
      <c r="BN135" s="22" t="str">
        <f>+BM135</f>
        <v>GAMMA</v>
      </c>
      <c r="BO135" s="25" t="str">
        <f>+BN135</f>
        <v>GAMMA</v>
      </c>
      <c r="BQ135" s="22" t="s">
        <v>11</v>
      </c>
      <c r="BR135" s="22"/>
      <c r="BS135" s="22" t="s">
        <v>11</v>
      </c>
      <c r="BT135" s="22"/>
      <c r="BU135" s="22" t="s">
        <v>11</v>
      </c>
      <c r="BV135" s="25"/>
      <c r="BX135" s="22" t="s">
        <v>11</v>
      </c>
      <c r="BY135" s="22"/>
      <c r="BZ135" s="22" t="s">
        <v>11</v>
      </c>
      <c r="CA135" s="22"/>
      <c r="CB135" s="22" t="s">
        <v>11</v>
      </c>
      <c r="CC135" s="25"/>
      <c r="CD135" s="22" t="str">
        <f>+CD83</f>
        <v>DELTA</v>
      </c>
      <c r="CE135" s="22" t="str">
        <f>+CD135</f>
        <v>DELTA</v>
      </c>
      <c r="CF135" s="22" t="str">
        <f>+CE135</f>
        <v>DELTA</v>
      </c>
      <c r="CG135" s="22" t="str">
        <f>+CF135</f>
        <v>DELTA</v>
      </c>
      <c r="CH135" s="22" t="str">
        <f>+CG135</f>
        <v>DELTA</v>
      </c>
      <c r="CI135" s="25" t="str">
        <f>+CH135</f>
        <v>DELTA</v>
      </c>
      <c r="CK135" s="22" t="s">
        <v>20</v>
      </c>
      <c r="CL135" s="22"/>
      <c r="CM135" s="22" t="s">
        <v>20</v>
      </c>
      <c r="CN135" s="22"/>
      <c r="CO135" s="22" t="s">
        <v>20</v>
      </c>
      <c r="CP135" s="25"/>
      <c r="CQ135" s="22" t="s">
        <v>16</v>
      </c>
      <c r="CR135" s="22"/>
      <c r="CS135" s="22" t="s">
        <v>16</v>
      </c>
      <c r="CT135" s="22"/>
      <c r="CU135" s="22" t="s">
        <v>16</v>
      </c>
      <c r="CV135" s="25"/>
      <c r="CW135" s="25" t="s">
        <v>11</v>
      </c>
      <c r="CX135" s="60"/>
      <c r="CY135" s="25" t="s">
        <v>11</v>
      </c>
      <c r="DA135" s="22" t="s">
        <v>25</v>
      </c>
      <c r="DB135" s="22" t="s">
        <v>25</v>
      </c>
      <c r="DC135" s="22" t="s">
        <v>27</v>
      </c>
      <c r="DD135" s="22" t="s">
        <v>27</v>
      </c>
      <c r="DE135" s="22" t="s">
        <v>26</v>
      </c>
      <c r="DF135" s="22" t="s">
        <v>26</v>
      </c>
      <c r="DG135" s="64">
        <v>25</v>
      </c>
      <c r="DH135" s="22"/>
      <c r="DI135" s="22"/>
      <c r="DJ135" s="22"/>
      <c r="DK135" s="22"/>
      <c r="DL135" s="22"/>
      <c r="DM135" s="22"/>
      <c r="DN135" s="60"/>
      <c r="DP135" s="22"/>
      <c r="DQ135" s="22"/>
      <c r="DR135" s="22"/>
      <c r="DS135" s="22"/>
      <c r="DT135" s="22"/>
      <c r="DU135" s="22"/>
      <c r="DV135" s="22"/>
      <c r="DW135" s="22"/>
      <c r="DX135" s="22"/>
      <c r="DY135" s="22"/>
      <c r="DZ135" s="22"/>
      <c r="EA135" s="22"/>
      <c r="EB135" s="22"/>
      <c r="EC135" s="22"/>
      <c r="EE135" s="22" t="str">
        <f>+EE83</f>
        <v>IMPL_VOL</v>
      </c>
      <c r="EF135" s="22" t="str">
        <f>+EE135</f>
        <v>IMPL_VOL</v>
      </c>
      <c r="EG135" s="22" t="str">
        <f>+EF135</f>
        <v>IMPL_VOL</v>
      </c>
      <c r="EH135" s="22" t="str">
        <f>+EG135</f>
        <v>IMPL_VOL</v>
      </c>
      <c r="EI135" s="22" t="str">
        <f>+EH135</f>
        <v>IMPL_VOL</v>
      </c>
      <c r="EJ135" s="22" t="str">
        <f>+EI135</f>
        <v>IMPL_VOL</v>
      </c>
      <c r="EL135" s="22" t="str">
        <f>+EL83</f>
        <v>IMPL_VOL</v>
      </c>
      <c r="EM135" s="22" t="str">
        <f>+EL135</f>
        <v>IMPL_VOL</v>
      </c>
      <c r="EN135" s="22" t="str">
        <f>+EM135</f>
        <v>IMPL_VOL</v>
      </c>
      <c r="EO135" s="22" t="str">
        <f>+EN135</f>
        <v>IMPL_VOL</v>
      </c>
      <c r="EP135" s="22" t="str">
        <f>+EO135</f>
        <v>IMPL_VOL</v>
      </c>
      <c r="EQ135" s="22" t="str">
        <f>+EP135</f>
        <v>IMPL_VOL</v>
      </c>
      <c r="EU135" s="67">
        <v>571.87</v>
      </c>
      <c r="EV135" s="67" t="s">
        <v>1099</v>
      </c>
      <c r="EW135" s="67">
        <v>497.18</v>
      </c>
      <c r="EX135" s="67" t="s">
        <v>1100</v>
      </c>
      <c r="EY135" s="67">
        <v>5729.75</v>
      </c>
      <c r="EZ135" s="67" t="s">
        <v>1101</v>
      </c>
      <c r="FA135" s="67">
        <v>20412.75</v>
      </c>
      <c r="FB135" s="67" t="s">
        <v>1102</v>
      </c>
      <c r="FC135" s="67" t="s">
        <v>1103</v>
      </c>
      <c r="FD135" s="67" t="s">
        <v>1104</v>
      </c>
      <c r="FE135" s="68" t="s">
        <v>1105</v>
      </c>
      <c r="FF135" s="68" t="s">
        <v>1106</v>
      </c>
    </row>
    <row r="136" spans="1:162" ht="13.5" thickBot="1" x14ac:dyDescent="0.25">
      <c r="A136" s="46">
        <f>+D133</f>
        <v>20843.75</v>
      </c>
      <c r="B136" s="27">
        <f>+AS136/AT136</f>
        <v>-13.952</v>
      </c>
      <c r="C136" s="27">
        <f>+AU136/AV136</f>
        <v>-2.6174974567650051</v>
      </c>
      <c r="D136" s="27">
        <f>+AW136/AX136</f>
        <v>-1.8029580152671756</v>
      </c>
      <c r="E136" s="28">
        <v>0</v>
      </c>
      <c r="F136" s="47">
        <f>RTD("tos.rtd", ,"MARK", F135)</f>
        <v>20943.75</v>
      </c>
      <c r="G136" s="58">
        <f>RTD("tos.rtd", ,"MARK", G135)</f>
        <v>507.66</v>
      </c>
      <c r="AO136" s="1">
        <v>0</v>
      </c>
      <c r="AP136" s="1">
        <v>14085</v>
      </c>
      <c r="AQ136" s="1">
        <v>-8508</v>
      </c>
      <c r="AS136" s="13">
        <f t="shared" ref="AS136:AX136" si="538">SUM(AS137:AS189)</f>
        <v>3488</v>
      </c>
      <c r="AT136" s="29">
        <f t="shared" si="538"/>
        <v>-250</v>
      </c>
      <c r="AU136" s="13">
        <f t="shared" si="538"/>
        <v>2573</v>
      </c>
      <c r="AV136" s="29">
        <f t="shared" si="538"/>
        <v>-983</v>
      </c>
      <c r="AW136" s="13">
        <f t="shared" si="538"/>
        <v>3779</v>
      </c>
      <c r="AX136" s="29">
        <f t="shared" si="538"/>
        <v>-2096</v>
      </c>
      <c r="AY136" s="29">
        <f>SUM(AY137:AY189)</f>
        <v>6511</v>
      </c>
      <c r="AZ136" s="1">
        <v>0</v>
      </c>
      <c r="BA136" s="13">
        <f t="shared" ref="BA136:BF136" si="539">SUM(BA137:BA189)</f>
        <v>14085</v>
      </c>
      <c r="BB136" s="29">
        <f t="shared" si="539"/>
        <v>-8508</v>
      </c>
      <c r="BC136" s="13">
        <f t="shared" si="539"/>
        <v>907</v>
      </c>
      <c r="BD136" s="29">
        <f t="shared" si="539"/>
        <v>-509</v>
      </c>
      <c r="BE136" s="13">
        <f t="shared" si="539"/>
        <v>500</v>
      </c>
      <c r="BF136" s="29">
        <f t="shared" si="539"/>
        <v>-359</v>
      </c>
      <c r="BG136" s="29"/>
      <c r="BH136" s="29">
        <f ca="1">SUM(BH137:BH189)</f>
        <v>6385</v>
      </c>
      <c r="BJ136" s="30">
        <f t="shared" ref="BJ136:BO136" ca="1" si="540">SUM(BJ137:BJ189)</f>
        <v>4.4812663470022496E-2</v>
      </c>
      <c r="BK136" s="31">
        <f t="shared" ca="1" si="540"/>
        <v>-7.6298643278905981E-2</v>
      </c>
      <c r="BL136" s="30">
        <f t="shared" ca="1" si="540"/>
        <v>3.0407711774985219E-2</v>
      </c>
      <c r="BM136" s="31">
        <f t="shared" ca="1" si="540"/>
        <v>-2.8615802594091397E-2</v>
      </c>
      <c r="BN136" s="30">
        <f t="shared" ca="1" si="540"/>
        <v>3.2219722087251108E-2</v>
      </c>
      <c r="BO136" s="31">
        <f t="shared" ca="1" si="540"/>
        <v>-3.1274262296729576E-2</v>
      </c>
      <c r="BQ136" s="30">
        <f ca="1">SUM(BQ137:BQ189)</f>
        <v>45873193.069412544</v>
      </c>
      <c r="BR136" s="31"/>
      <c r="BS136" s="30">
        <f ca="1">SUM(BS137:BS189)</f>
        <v>34933798.074292652</v>
      </c>
      <c r="BT136" s="31"/>
      <c r="BU136" s="30">
        <f ca="1">SUM(BU137:BU189)</f>
        <v>39499065.608105727</v>
      </c>
      <c r="BV136" s="31"/>
      <c r="BX136" s="30">
        <f ca="1">SUM(BX137:BX189)</f>
        <v>4877159.3475494934</v>
      </c>
      <c r="BY136" s="31"/>
      <c r="BZ136" s="30">
        <f ca="1">SUM(BZ137:BZ189)</f>
        <v>79890.07311741692</v>
      </c>
      <c r="CA136" s="31"/>
      <c r="CB136" s="30">
        <f ca="1">SUM(CB137:CB189)</f>
        <v>30107.973154425392</v>
      </c>
      <c r="CC136" s="31"/>
      <c r="CD136" s="30">
        <f t="shared" ref="CD136:CI136" si="541">SUM(CD154:CD188)</f>
        <v>32.49</v>
      </c>
      <c r="CE136" s="31">
        <f t="shared" si="541"/>
        <v>4.3599999999999968</v>
      </c>
      <c r="CF136" s="30">
        <f t="shared" si="541"/>
        <v>26.86</v>
      </c>
      <c r="CG136" s="31">
        <f t="shared" si="541"/>
        <v>8.7799999999999994</v>
      </c>
      <c r="CH136" s="30">
        <f t="shared" si="541"/>
        <v>22.509999999999998</v>
      </c>
      <c r="CI136" s="31">
        <f t="shared" si="541"/>
        <v>12.649999999999999</v>
      </c>
      <c r="CK136" s="30">
        <f>SUM(CK137:CK188)</f>
        <v>323666</v>
      </c>
      <c r="CL136" s="31"/>
      <c r="CM136" s="30">
        <f>SUM(CM137:CM188)</f>
        <v>113869</v>
      </c>
      <c r="CN136" s="31"/>
      <c r="CO136" s="30">
        <f>SUM(CO137:CO188)</f>
        <v>141229</v>
      </c>
      <c r="CP136" s="31">
        <f t="shared" ref="CP136:CP189" si="542">+CK136+CM136+CO136</f>
        <v>578764</v>
      </c>
      <c r="CQ136" s="30">
        <f>SUM(CQ137:CQ189)</f>
        <v>5577</v>
      </c>
      <c r="CR136" s="31"/>
      <c r="CS136" s="30">
        <f>SUM(CS137:CS189)</f>
        <v>398</v>
      </c>
      <c r="CT136" s="31"/>
      <c r="CU136" s="30">
        <f>SUM(CU137:CU189)</f>
        <v>141</v>
      </c>
      <c r="CV136" s="31"/>
      <c r="CW136" s="31">
        <f ca="1">SUM(CW137:CW189)</f>
        <v>120306056.75181091</v>
      </c>
      <c r="CY136" s="31">
        <f ca="1">SUM(CY137:CY189)</f>
        <v>4987157.3938213298</v>
      </c>
      <c r="DA136" s="30">
        <f t="shared" ref="DA136:DB136" si="543">SUM(DA137:DA189)</f>
        <v>10146.77</v>
      </c>
      <c r="DB136" s="31">
        <f t="shared" si="543"/>
        <v>550.84999999999991</v>
      </c>
      <c r="DC136" s="30">
        <f t="shared" ref="DC136:DF136" si="544">SUM(DC137:DC189)</f>
        <v>14656.8</v>
      </c>
      <c r="DD136" s="31">
        <f t="shared" si="544"/>
        <v>2973.7500000000009</v>
      </c>
      <c r="DE136" s="30">
        <f t="shared" si="544"/>
        <v>12752.2</v>
      </c>
      <c r="DF136" s="30">
        <f t="shared" si="544"/>
        <v>2130.4</v>
      </c>
      <c r="DH136" s="30" t="e">
        <f t="shared" ref="DH136:DM136" si="545">SUM(DH137:DH189)</f>
        <v>#DIV/0!</v>
      </c>
      <c r="DI136" s="31" t="e">
        <f t="shared" si="545"/>
        <v>#DIV/0!</v>
      </c>
      <c r="DJ136" s="30">
        <f t="shared" si="545"/>
        <v>0</v>
      </c>
      <c r="DK136" s="31">
        <f t="shared" si="545"/>
        <v>0</v>
      </c>
      <c r="DL136" s="30" t="e">
        <f t="shared" si="545"/>
        <v>#DIV/0!</v>
      </c>
      <c r="DM136" s="30">
        <f t="shared" si="545"/>
        <v>0</v>
      </c>
      <c r="DP136" s="30" t="e">
        <f>SUM(DP137:DP189)</f>
        <v>#DIV/0!</v>
      </c>
      <c r="DQ136" s="31">
        <f>SUM(DQ137:DQ189)</f>
        <v>0</v>
      </c>
      <c r="DR136" s="30">
        <f ca="1">SUM(DR137:DR189)</f>
        <v>0</v>
      </c>
      <c r="DS136" s="31">
        <f>SUM(DS137:DS189)</f>
        <v>0</v>
      </c>
      <c r="DT136" s="30"/>
      <c r="DU136" s="30"/>
      <c r="DV136" s="30"/>
      <c r="DW136" s="31"/>
      <c r="DX136" s="30"/>
      <c r="DY136" s="31"/>
      <c r="DZ136" s="30"/>
      <c r="EA136" s="31"/>
      <c r="EB136" s="30"/>
      <c r="EC136" s="30"/>
      <c r="EE136" s="30">
        <f t="shared" ref="EE136:EJ136" si="546">SUM(EE137:EE189)</f>
        <v>19.145300000000002</v>
      </c>
      <c r="EF136" s="31">
        <f t="shared" si="546"/>
        <v>66.837600000000009</v>
      </c>
      <c r="EG136" s="30">
        <f t="shared" si="546"/>
        <v>11.292799999999998</v>
      </c>
      <c r="EH136" s="31">
        <f t="shared" si="546"/>
        <v>12.598399999999998</v>
      </c>
      <c r="EI136" s="30">
        <f t="shared" si="546"/>
        <v>10.328800000000003</v>
      </c>
      <c r="EJ136" s="30">
        <f t="shared" si="546"/>
        <v>10.8727</v>
      </c>
      <c r="EK136" s="63">
        <f ca="1">SUM(EK137:EK189)</f>
        <v>589217057.59269094</v>
      </c>
      <c r="EL136" s="30">
        <f t="shared" ref="EL136:EQ136" si="547">SUM(EL137:EL189)</f>
        <v>0</v>
      </c>
      <c r="EM136" s="31">
        <f t="shared" si="547"/>
        <v>0</v>
      </c>
      <c r="EN136" s="30">
        <f t="shared" si="547"/>
        <v>0</v>
      </c>
      <c r="EO136" s="31">
        <f t="shared" si="547"/>
        <v>0</v>
      </c>
      <c r="EP136" s="30">
        <f t="shared" si="547"/>
        <v>0</v>
      </c>
      <c r="EQ136" s="30">
        <f t="shared" si="547"/>
        <v>0</v>
      </c>
      <c r="EU136" s="67">
        <v>571.87</v>
      </c>
      <c r="EV136" s="67" t="s">
        <v>1107</v>
      </c>
      <c r="EW136" s="67">
        <v>497.15</v>
      </c>
      <c r="EX136" s="67" t="s">
        <v>1108</v>
      </c>
      <c r="EY136" s="67">
        <v>5729.25</v>
      </c>
      <c r="EZ136" s="67" t="s">
        <v>1109</v>
      </c>
      <c r="FA136" s="67">
        <v>20411.75</v>
      </c>
      <c r="FB136" s="67" t="s">
        <v>1110</v>
      </c>
      <c r="FC136" s="67" t="s">
        <v>1111</v>
      </c>
      <c r="FD136" s="67" t="s">
        <v>1112</v>
      </c>
      <c r="FE136" s="68" t="s">
        <v>1113</v>
      </c>
      <c r="FF136" s="68" t="s">
        <v>1114</v>
      </c>
    </row>
    <row r="137" spans="1:162" ht="11.1" customHeight="1" thickBot="1" x14ac:dyDescent="0.25">
      <c r="A137" s="2">
        <f>ROUND(E133/A133,0)*A133+22*A133</f>
        <v>21350</v>
      </c>
      <c r="B137" s="3">
        <f>+IF($A$1="ABS",AS137-AT137,AS137+AT137)</f>
        <v>0</v>
      </c>
      <c r="C137" s="3">
        <f>+IF($A$1="ABS",AU137-AV137,AU137+AV137)</f>
        <v>11</v>
      </c>
      <c r="D137" s="3">
        <f>+IF($A$1="ABS",AW137-AX137,AW137+AX137)</f>
        <v>3</v>
      </c>
      <c r="E137" s="3">
        <f>SUM(B137:D137)</f>
        <v>14</v>
      </c>
      <c r="F137" s="4">
        <f>+$F$136/$A$136*A137</f>
        <v>21452.428785607193</v>
      </c>
      <c r="G137" s="5">
        <f>+$G$136/$A$136*A137</f>
        <v>519.98997301349323</v>
      </c>
      <c r="AM137" s="1">
        <v>0</v>
      </c>
      <c r="AN137" s="1">
        <v>0</v>
      </c>
      <c r="AO137" s="1">
        <v>21350</v>
      </c>
      <c r="AP137" s="1">
        <v>0</v>
      </c>
      <c r="AQ137" s="1">
        <v>0</v>
      </c>
      <c r="AS137" s="73">
        <f>IF(RTD("tos.rtd",,AS$83,"."&amp;$B$134&amp;$AS$82&amp;"C"&amp;$A137)="N/A",0,RTD("tos.rtd",,AS$83,"."&amp;$B$134&amp;$AS$82&amp;"C"&amp;$A137))</f>
        <v>0</v>
      </c>
      <c r="AT137" s="28">
        <f>-IF(RTD("tos.rtd",,AT$83,"."&amp;$B$134&amp;$AS$82&amp;"P"&amp;$A137)="N/A",0,RTD("tos.rtd",,AT$83,"."&amp;$B$134&amp;$AS$82&amp;"P"&amp;$A137))</f>
        <v>0</v>
      </c>
      <c r="AU137" s="73">
        <f>IF(RTD("tos.rtd",,AU$2,"."&amp;$C$134&amp;$AU$134&amp;"C"&amp;$A137)="N/A",0,RTD("tos.rtd",,AU$2,"."&amp;$C$134&amp;$AU$134&amp;"C"&amp;$A137))</f>
        <v>11</v>
      </c>
      <c r="AV137" s="28">
        <f>-IF(RTD("tos.rtd",,AV$2,"."&amp;$C$134&amp;$AU$134&amp;"P"&amp;$A137)="N/A",0,RTD("tos.rtd",,AV$2,"."&amp;$C$134&amp;$AU$134&amp;"P"&amp;$A137))</f>
        <v>0</v>
      </c>
      <c r="AW137" s="73">
        <f>IF(RTD("tos.rtd",,AW$2,"."&amp;$D$134&amp;$AW$134&amp;"C"&amp;$A137)="N/A",0,RTD("tos.rtd",,AW$2,"."&amp;$D$134&amp;$AW$134&amp;"C"&amp;$A137))</f>
        <v>3</v>
      </c>
      <c r="AX137" s="28">
        <f>-IF(RTD("tos.rtd",,AX$2,"."&amp;$D$134&amp;$AW$134&amp;"P"&amp;$A137)="N/A",0,RTD("tos.rtd",,AX$2,"."&amp;$D$134&amp;$AW$134&amp;"P"&amp;$A137))</f>
        <v>0</v>
      </c>
      <c r="AY137" s="75">
        <f>SUM(AS137:AX137)</f>
        <v>14</v>
      </c>
      <c r="AZ137" s="8">
        <f t="shared" ref="AZ137:AZ189" si="548">+A137</f>
        <v>21350</v>
      </c>
      <c r="BA137" s="73">
        <f>IF(RTD("tos.rtd",,BA$43,"."&amp;$B$134&amp;$AS$82&amp;"C"&amp;$A137)="N/A",0,RTD("tos.rtd",,BA$43,"."&amp;$B$134&amp;$AS$82&amp;"C"&amp;$A137))</f>
        <v>0</v>
      </c>
      <c r="BB137" s="28">
        <f>-IF(RTD("tos.rtd",,BB$43,"."&amp;$B$134&amp;$AS$82&amp;"P"&amp;$A137)="N/A",0,RTD("tos.rtd",,BB$43,"."&amp;$B$134&amp;$AS$82&amp;"P"&amp;$A137))</f>
        <v>0</v>
      </c>
      <c r="BC137" s="73">
        <f>IF(RTD("tos.rtd",,BC$2,"."&amp;$C$134&amp;$AU$82&amp;"C"&amp;$A137)="N/A",0,RTD("tos.rtd",,BC$2,"."&amp;$C$134&amp;$AU$82&amp;"C"&amp;$A137))</f>
        <v>23</v>
      </c>
      <c r="BD137" s="28">
        <f>-IF(RTD("tos.rtd",,BD$2,"."&amp;$C$134&amp;$AU$82&amp;"P"&amp;$A137)="N/A",0,RTD("tos.rtd",,BD$2,"."&amp;$C$134&amp;$AU$82&amp;"P"&amp;$A137))</f>
        <v>0</v>
      </c>
      <c r="BE137" s="73">
        <f>IF(RTD("tos.rtd",,BE$2,"."&amp;$D$134&amp;$AW$82&amp;"C"&amp;$A137)="N/A",0,RTD("tos.rtd",,BE$2,"."&amp;$D$134&amp;$AW$82&amp;"C"&amp;$A137))</f>
        <v>0</v>
      </c>
      <c r="BF137" s="28">
        <f>-IF(RTD("tos.rtd",,BF$2,"."&amp;$D$134&amp;$AW$82&amp;"P"&amp;$A137)="N/A",0,RTD("tos.rtd",,BF$2,"."&amp;$D$134&amp;$AW$82&amp;"P"&amp;$A137))</f>
        <v>0</v>
      </c>
      <c r="BG137" s="28">
        <f ca="1">+Hoja2!Y138</f>
        <v>0</v>
      </c>
      <c r="BH137" s="31">
        <f t="shared" ref="BH137:BH189" ca="1" si="549">SUM(BA137:BG137)</f>
        <v>23</v>
      </c>
      <c r="BJ137" s="3">
        <f ca="1">IF($BP$1=1,DX137,IF(RTD("tos.rtd",,BJ$43,"."&amp;$B$134&amp;$AS$82&amp;"C"&amp;$A137)="N/A",0,RTD("tos.rtd",,BJ$43,"."&amp;$B$134&amp;$AS$82&amp;"C"&amp;$A137)))</f>
        <v>7.3832867897399848E-16</v>
      </c>
      <c r="BK137" s="3">
        <f ca="1">IF($BP$1=1,DY137,-IF(RTD("tos.rtd",,BK$43,"."&amp;$B$134&amp;$AS$82&amp;"P"&amp;$A137)="N/A",0,RTD("tos.rtd",,BK$43,"."&amp;$B$134&amp;$AS$82&amp;"P"&amp;$A137)))</f>
        <v>-7.3832867897399848E-16</v>
      </c>
      <c r="BL137" s="3">
        <f ca="1">IF($BP$1=1,DZ137,IF(RTD("tos.rtd",,BL$2,"."&amp;$C$134&amp;$AU$82&amp;"C"&amp;$A137)="N/A",0,RTD("tos.rtd",,BL$2,"."&amp;$C$134&amp;$AU$82&amp;"C"&amp;$A137)))</f>
        <v>4.9868634536344328E-4</v>
      </c>
      <c r="BM137" s="3">
        <f ca="1">IF($BP$1=1,EA137,-IF(RTD("tos.rtd",,BM$2,"."&amp;$C$134&amp;$AU$82&amp;"P"&amp;$A137)="N/A",0,RTD("tos.rtd",,BM$2,"."&amp;$C$134&amp;$AU$82&amp;"P"&amp;$A137)))</f>
        <v>-4.8467805922370303E-4</v>
      </c>
      <c r="BN137" s="3">
        <f ca="1">IF($BP$1=1,EB137,IF(RTD("tos.rtd",,BN$2,"."&amp;$D$134&amp;$AW$82&amp;"C"&amp;$A137)="N/A",0,RTD("tos.rtd",,BN$2,"."&amp;$D$134&amp;$AW$82&amp;"C"&amp;$A137)))</f>
        <v>5.0130093412042911E-4</v>
      </c>
      <c r="BO137" s="3">
        <f ca="1">IF($BP$1=1,EC137,-IF(RTD("tos.rtd",,BO$2,"."&amp;$D$134&amp;$AW$82&amp;"P"&amp;$A137)="N/A",0,RTD("tos.rtd",,BO$2,"."&amp;$D$134&amp;$AW$82&amp;"P"&amp;$A137)))</f>
        <v>-5.0281048871494993E-4</v>
      </c>
      <c r="BQ137" s="3">
        <f ca="1">+$A$84*$A$84*AS137*BJ137-$A$84*$A$84*AT137*BK137</f>
        <v>0</v>
      </c>
      <c r="BR137" s="3" t="str">
        <f t="shared" ref="BR137:BR188" ca="1" si="550">IF(AND(BQ137&lt;0,BQ136&gt;0), "Cruce -", IF(AND(BQ137&gt;0,BQ136&lt;0),"Cruce +", ""))</f>
        <v/>
      </c>
      <c r="BS137" s="3">
        <f ca="1">+$A$84*$A$84*AU137*BL137-$A$84*$A$84*AV137*BM137</f>
        <v>187200.10866208974</v>
      </c>
      <c r="BT137" s="3" t="str">
        <f t="shared" ref="BT137:BV188" ca="1" si="551">IF(AND(BS137&lt;0,BS136&gt;0), "Cruce -", IF(AND(BS137&gt;0,BS136&lt;0),"Cruce +", ""))</f>
        <v/>
      </c>
      <c r="BU137" s="3">
        <f ca="1">+$A$84*$A$84*AW137*BN137-$A$84*$A$84*AX137*BO137</f>
        <v>51322.25179519572</v>
      </c>
      <c r="BV137" s="3"/>
      <c r="BX137" s="3">
        <f ca="1">+$A$44*$A$44*BA137*BJ137-$A$44*$A$44*BB137*BK137</f>
        <v>0</v>
      </c>
      <c r="BY137" s="3"/>
      <c r="BZ137" s="3">
        <f ca="1">+$A$44*$A$44*BC137*BL137-$A$44*$A$44*BD137*BM137</f>
        <v>2955.9780427380288</v>
      </c>
      <c r="CA137" s="3"/>
      <c r="CB137" s="3">
        <f ca="1">+$A$44*$A$44*BE137*BN137-$A$44*$A$44*BF137*BO137</f>
        <v>0</v>
      </c>
      <c r="CC137" s="3"/>
      <c r="CD137" s="3">
        <f>IF(RTD("tos.rtd",,CD$43,"."&amp;$B$134&amp;$AS$82&amp;"C"&amp;$A137)="N/A",0,RTD("tos.rtd",,CD$43,"."&amp;$B$134&amp;$AS$82&amp;"C"&amp;$A137))</f>
        <v>0</v>
      </c>
      <c r="CE137" s="3">
        <f>-IF(RTD("tos.rtd",,CE$43,"."&amp;$B$134&amp;$AS$82&amp;"P"&amp;$A137)="N/A",0,RTD("tos.rtd",,CE$43,"."&amp;$B$134&amp;$AS$82&amp;"P"&amp;$A137))</f>
        <v>0</v>
      </c>
      <c r="CF137" s="3">
        <f>IF(RTD("tos.rtd",,CF$2,"."&amp;$C$134&amp;$AU$82&amp;"C"&amp;$A137)="N/A",0,RTD("tos.rtd",,CF$2,"."&amp;$C$134&amp;$AU$82&amp;"C"&amp;$A137))</f>
        <v>0.15</v>
      </c>
      <c r="CG137" s="3">
        <f>-IF(RTD("tos.rtd",,CG$2,"."&amp;$C$134&amp;$AU$82&amp;"P"&amp;$A137)="N/A",0,RTD("tos.rtd",,CG$2,"."&amp;$C$134&amp;$AU$82&amp;"P"&amp;$A137))</f>
        <v>0.83</v>
      </c>
      <c r="CH137" s="3">
        <f>IF(RTD("tos.rtd",,CH$2,"."&amp;$D$134&amp;$AW$82&amp;"C"&amp;$A137)="N/A",0,RTD("tos.rtd",,CH$2,"."&amp;$D$134&amp;$AW$82&amp;"C"&amp;$A137))</f>
        <v>0.39</v>
      </c>
      <c r="CI137" s="3">
        <f>-IF(RTD("tos.rtd",,CI$2,"."&amp;$D$134&amp;$AW$82&amp;"P"&amp;$A137)="N/A",0,RTD("tos.rtd",,CI$2,"."&amp;$D$134&amp;$AW$82&amp;"P"&amp;$A137))</f>
        <v>0.6</v>
      </c>
      <c r="CK137" s="3">
        <f>+AS137*CD137*100+AT137*CE137*100</f>
        <v>0</v>
      </c>
      <c r="CL137" s="3"/>
      <c r="CM137" s="3">
        <f>+AU137*CF137*100+AV137*CG137*100</f>
        <v>165</v>
      </c>
      <c r="CN137" s="3"/>
      <c r="CO137" s="3">
        <f>+AW137*CH137*100+AX137*CI137*100</f>
        <v>117</v>
      </c>
      <c r="CP137" s="3">
        <f t="shared" si="542"/>
        <v>282</v>
      </c>
      <c r="CQ137" s="3">
        <f t="shared" ref="CQ137:CQ189" si="552">+BA137+BB137</f>
        <v>0</v>
      </c>
      <c r="CR137" s="3"/>
      <c r="CS137" s="3">
        <f t="shared" ref="CS137:CS189" si="553">+BC137+BD137</f>
        <v>23</v>
      </c>
      <c r="CT137" s="3"/>
      <c r="CU137" s="3">
        <f t="shared" ref="CU137:CU189" si="554">+BE137+BF137</f>
        <v>0</v>
      </c>
      <c r="CV137" s="3"/>
      <c r="CW137" s="3">
        <f t="shared" ref="CW137:CW189" ca="1" si="555">+BQ137+BS137+BU137</f>
        <v>238522.36045728545</v>
      </c>
      <c r="CY137" s="3">
        <f t="shared" ref="CY137:CY189" ca="1" si="556">+BX137+BZ137+CB137</f>
        <v>2955.9780427380288</v>
      </c>
      <c r="DA137" s="3">
        <f>IF(RTD("tos.rtd",,DA$43,"."&amp;$B$134&amp;$AS$82&amp;"C"&amp;$A137)="N/A",0,RTD("tos.rtd",,DA$43,"."&amp;$B$134&amp;$AS$82&amp;"C"&amp;$A137))</f>
        <v>0</v>
      </c>
      <c r="DB137" s="3">
        <f>IF(RTD("tos.rtd",,DB$43,"."&amp;$B$134&amp;$AS$82&amp;"P"&amp;$A137)="N/A",0,RTD("tos.rtd",,DB$43,"."&amp;$B$134&amp;$AS$82&amp;"P"&amp;$A137))</f>
        <v>0</v>
      </c>
      <c r="DC137" s="3">
        <f>IF(RTD("tos.rtd",,DC$43,"."&amp;$B$134&amp;$AS$82&amp;"C"&amp;$A137)="N/A",0,RTD("tos.rtd",,DC$43,"."&amp;$B$134&amp;$AS$82&amp;"C"&amp;$A137))</f>
        <v>0</v>
      </c>
      <c r="DD137" s="3">
        <f>IF(RTD("tos.rtd",,DD$43,"."&amp;$B$134&amp;$AS$82&amp;"P"&amp;$A137)="N/A",0,RTD("tos.rtd",,DD$43,"."&amp;$B$134&amp;$AS$82&amp;"P"&amp;$A137))</f>
        <v>0</v>
      </c>
      <c r="DE137" s="3">
        <f>IF(RTD("tos.rtd",,DE$43,"."&amp;$B$134&amp;$AS$82&amp;"C"&amp;$A137)="N/A",0,RTD("tos.rtd",,DE$43,"."&amp;$B$134&amp;$AS$82&amp;"C"&amp;$A137))</f>
        <v>0</v>
      </c>
      <c r="DF137" s="3">
        <f>IF(RTD("tos.rtd",,DF$43,"."&amp;$B$134&amp;$AS$82&amp;"P"&amp;$A137)="N/A",0,RTD("tos.rtd",,DF$43,"."&amp;$B$134&amp;$AS$82&amp;"P"&amp;$A137))</f>
        <v>0</v>
      </c>
      <c r="DG137" s="86">
        <f>+$A137-$A$136</f>
        <v>506.25</v>
      </c>
      <c r="DH137" s="3" t="e">
        <f t="shared" ref="DH137:DH189" si="557">((DA137-DE137)/(DC137-DE137))*(BA137-AP137)</f>
        <v>#DIV/0!</v>
      </c>
      <c r="DI137" s="3" t="e">
        <f t="shared" ref="DI137:DI189" si="558">((DB137-DF137)/(DD137-DF137))*(BB137-AQ137)</f>
        <v>#DIV/0!</v>
      </c>
      <c r="DJ137" s="3">
        <f t="shared" ref="DJ137:DJ188" si="559">IF(DA137&gt;=(DE137+(DC137-DE137)*0.6),(BA137-AP137),IF(DA137&lt;=(DE137+(DC137-DE137)*0.4),-(BA137-AP137),0))</f>
        <v>0</v>
      </c>
      <c r="DK137" s="3">
        <f t="shared" ref="DK137:DK188" si="560">IF(DB137&lt;=(DF137+(DD137-DF137)*0.4),-(BB137-AQ137),IF(DB137&gt;=(DF137+(DD137-DF137)*0.6),(BB137-AQ137),0))</f>
        <v>0</v>
      </c>
      <c r="DL137" s="3" t="e">
        <f t="shared" ref="DL137:DL189" si="561">+DH137+DI137</f>
        <v>#DIV/0!</v>
      </c>
      <c r="DM137" s="3">
        <f t="shared" ref="DM137:DM189" si="562">+DJ137+DK137</f>
        <v>0</v>
      </c>
      <c r="DN137" s="64" t="str">
        <f t="shared" ref="DN137:DN189" si="563">IF(AND(DA137&gt;=(DE137+(DC137-DE137)*0.6),BA137&gt;AP137),"BUY",IF(AND(DA137&lt;=(DE137+(DC137-DE137)*0.4),BA137&gt;AP137),"SELL","UNKNOWN"))</f>
        <v>UNKNOWN</v>
      </c>
      <c r="DO137" s="64" t="str">
        <f t="shared" ref="DO137:DO189" si="564">IF(AND(DB137&gt;=(DF137+(DD137-DF137)*0.6),ABS(BB137)&gt;ABS(AQ137)),"BUY",IF(AND(DB137&lt;=(DF137+(DD137-DF137)*0.4),ABS(BB137)&gt;ABS(AQ137)),"SELL","UNKNOWN"))</f>
        <v>UNKNOWN</v>
      </c>
      <c r="DP137" s="3" t="e">
        <f t="shared" ref="DP137:DP189" si="565">+DH137*DA137+DI137*DB137</f>
        <v>#DIV/0!</v>
      </c>
      <c r="DQ137" s="3">
        <f t="shared" ref="DQ137:DQ189" si="566">+DA137*DJ137+DB137*DK137</f>
        <v>0</v>
      </c>
      <c r="DR137" s="3">
        <f t="shared" ref="DR137:DR189" ca="1" si="567">+BJ137*DJ137+BK137*DK137</f>
        <v>0</v>
      </c>
      <c r="DS137" s="3">
        <f t="shared" ref="DS137:DS189" si="568">+CD137*DJ137+CE137*DK137</f>
        <v>0</v>
      </c>
      <c r="DT137" s="3">
        <f>BA137-VLOOKUP(AZ137,$AO$137:$AQ$189,2,FALSE)</f>
        <v>0</v>
      </c>
      <c r="DU137" s="3">
        <f>BB137-VLOOKUP(AZ137,$AO$137:$AQ$189,3,FALSE)</f>
        <v>0</v>
      </c>
      <c r="DV137" s="3">
        <f t="shared" ref="DV137:DV189" si="569">AM137+IF(DN137="BUY",DT137,IF(DN137="SELL",-DT137,0))</f>
        <v>0</v>
      </c>
      <c r="DW137" s="3">
        <f t="shared" ref="DW137:DW189" si="570">AN137+IF(DO137="BUY",DU137,IF(DO137="SELL",-DU137,0))</f>
        <v>0</v>
      </c>
      <c r="DX137" s="3">
        <f t="shared" ref="DX137:DX168" ca="1" si="571">(EXP(-POWER((LN($A$136/$A137)+($EC$1+POWER($EE137,2)/2)*($EM$1/$DY$1))/($EE137*SQRT($EM$1/$DY$1)),2)/2)/SQRT(2*PI())/($A$136*$EE137*SQRT($EM$1/$DY$1)))</f>
        <v>7.3832867897399848E-16</v>
      </c>
      <c r="DY137" s="3">
        <f t="shared" ref="DY137:DY168" ca="1" si="572">-(EXP(-POWER((LN($A$136/$A137)+($EC$1+POWER($EF137,2)/2)*($EM$1/$DY$1))/($EF137*SQRT($EM$1/$DY$1)),2)/2)/SQRT(2*PI())/($A$136*$EF137*SQRT($EM$1/$DY$1)))</f>
        <v>-7.3832867897399848E-16</v>
      </c>
      <c r="DZ137" s="3">
        <f t="shared" ref="DZ137:DZ168" ca="1" si="573">(EXP(-POWER((LN($A$136/$A137)+($EC$1+POWER($EG137,2)/2)*($EO$1/$DY$1))/($EG137*SQRT($EO$1/$DY$1)),2)/2)/SQRT(2*PI())/($A$136*$EG137*SQRT($EO$1/$DY$1)))</f>
        <v>4.9868634536344328E-4</v>
      </c>
      <c r="EA137" s="3">
        <f t="shared" ref="EA137:EA168" ca="1" si="574">-(EXP(-POWER((LN($A$136/$A137)+($EC$1+POWER($EH137,2)/2)*($EO$1/$DY$1))/($EH137*SQRT($EO$1/$DY$1)),2)/2)/SQRT(2*PI())/($A$136*$EH137*SQRT($EO$1/$DY$1)))</f>
        <v>-4.8467805922370303E-4</v>
      </c>
      <c r="EB137" s="3">
        <f t="shared" ref="EB137:EB168" ca="1" si="575">(EXP(-POWER((LN($A$136/$A137)+($EC$1+POWER($EI137,2)/2)*($EO$1/$DY$1))/($EI137*SQRT($EO$1/$DY$1)),2)/2)/SQRT(2*PI())/($A$136*$EI137*SQRT($EO$1/$DY$1)))</f>
        <v>5.0130093412042911E-4</v>
      </c>
      <c r="EC137" s="3">
        <f t="shared" ref="EC137:EC168" ca="1" si="576">-(EXP(-POWER((LN($A$136/$A137)+($EC$1+POWER($EJ137,2)/2)*($EO$1/$DY$1))/($EJ137*SQRT($EO$1/$DY$1)),2)/2)/SQRT(2*PI())/($A$136*$EJ137*SQRT($EO$1/$DY$1)))</f>
        <v>-5.0281048871494993E-4</v>
      </c>
      <c r="ED137" s="63">
        <f>+DV137+DW137</f>
        <v>0</v>
      </c>
      <c r="EE137" s="59">
        <f t="shared" ref="EE137:EE189" si="577">IFERROR(VALUE(IF(OR(EL137="--",EL137="0.00%"),$EE$1,EL137)),$EE$1)</f>
        <v>0.25</v>
      </c>
      <c r="EF137" s="59">
        <f t="shared" ref="EF137:EF189" si="578">IFERROR(VALUE(IF(OR(EM137="--",EM137="0.00%"),$EE$1,EM137)),$EE$1)</f>
        <v>0.25</v>
      </c>
      <c r="EG137" s="59">
        <f t="shared" ref="EG137:EG189" si="579">IFERROR(VALUE(IF(OR(EN137="--",EN137="0.00%"),$EE$1,EN137)),$EE$1)</f>
        <v>0.2077</v>
      </c>
      <c r="EH137" s="59">
        <f t="shared" ref="EH137:EH189" si="580">IFERROR(VALUE(IF(OR(EO137="--",EO137="0.00%"),$EE$1,EO137)),$EE$1)</f>
        <v>0.2321</v>
      </c>
      <c r="EI137" s="59">
        <f t="shared" ref="EI137:EI189" si="581">IFERROR(VALUE(IF(OR(EP137="--",EP137="0.00%"),$EE$1,EP137)),$EE$1)</f>
        <v>0.1792</v>
      </c>
      <c r="EJ137" s="59">
        <f t="shared" ref="EJ137:EJ189" si="582">IFERROR(VALUE(IF(OR(EQ137="--",EQ137="0.00%"),$EE$1,EQ137)),$EE$1)</f>
        <v>0.1898</v>
      </c>
      <c r="EK137" s="63">
        <f ca="1">+DV137*DX137*$A$136*$A$136+DW137*DY137*$A$136*$A$136</f>
        <v>0</v>
      </c>
      <c r="EL137" s="3" t="str">
        <f>RTD("tos.rtd",,EL$43,"."&amp;$B$134&amp;$AS$82&amp;"C"&amp;$A137)</f>
        <v>N/A</v>
      </c>
      <c r="EM137" s="3" t="str">
        <f>RTD("tos.rtd",,EM$43,"."&amp;$B$134&amp;$AS$82&amp;"P"&amp;$A137)</f>
        <v>N/A</v>
      </c>
      <c r="EN137" s="3" t="str">
        <f>RTD("tos.rtd",,EN$2,"."&amp;$C$134&amp;$AU$82&amp;"C"&amp;$A137)</f>
        <v>20.77%</v>
      </c>
      <c r="EO137" s="3" t="str">
        <f>RTD("tos.rtd",,EO$2,"."&amp;$C$134&amp;$AU$82&amp;"P"&amp;$A137)</f>
        <v>23.21%</v>
      </c>
      <c r="EP137" s="3" t="str">
        <f>RTD("tos.rtd",,EP$2,"."&amp;$D$134&amp;$AW$82&amp;"C"&amp;$A137)</f>
        <v>17.92%</v>
      </c>
      <c r="EQ137" s="3" t="str">
        <f>RTD("tos.rtd",,EQ$2,"."&amp;$D$134&amp;$AW$82&amp;"P"&amp;$A137)</f>
        <v>18.98%</v>
      </c>
      <c r="ES137" s="63" t="str">
        <f t="shared" ref="ES137:ES189" si="583">IFERROR(
    A137 &amp; "," &amp; TEXT(IF(ISNUMBER(DV137+DW137), DV137+DW137, 0), "00.00"),    "Error"
)</f>
        <v>21350,00.00</v>
      </c>
      <c r="ET137" s="63" t="str">
        <f t="shared" ref="ET137:ET189" ca="1" si="584">IF(ISERROR(
    A137 &amp; "," &amp; TEXT(
        IF($E$1="GEX-VOL", IF(ISNUMBER(BX137+BZ137+CB137), (BX137+BZ137+CB137)/1000, 0),
           IF($E$1="GEX-OI", IF(ISNUMBER(BQ137+BS137+BU137), (BQ137+BS137+BU137)/1000, 0),
               IF($E$1="DEX",IF(ISNUMBER(CK137+CM137+CO137), (CK137+CM137+CO137)/1000, 0),
                  IF($E$1="VOLPRES",IF(ISNUMBER(DJ137+DK137), (DJ137+DK137), 0),
                     IF(ISNUMBER(EK137), (EK137), 0)
        )))),
    "00.00")
), "Error",
A137 &amp; "," &amp; TEXT(
        IF($E$1="GEX-VOL", IF(ISNUMBER(BX137+BZ137+CB137), (BX137+BZ137+CB137)/1000, 0),
           IF($E$1="GEX-OI", IF(ISNUMBER(BQ137+BS137+BU137), (BQ137+BS137+BU137)/1000, 0),
               IF($E$1="DEX", IF(ISNUMBER(CK137+CM137+CO137), (CK137+CM137+CO137)/1000, 0),
                  IF($E$1="VOLPRES",IF(ISNUMBER(DJ137+DK137), (DJ137+DK137), 0),
                    IF(ISNUMBER(EK137), (EK137), 0)
        )))),
    "00.00")
)</f>
        <v>21350,02.96</v>
      </c>
      <c r="EU137" s="67">
        <v>571.85</v>
      </c>
      <c r="EV137" s="67" t="s">
        <v>1115</v>
      </c>
      <c r="EW137" s="67">
        <v>497.22</v>
      </c>
      <c r="EX137" s="67" t="s">
        <v>1116</v>
      </c>
      <c r="EY137" s="67">
        <v>5729.75</v>
      </c>
      <c r="EZ137" s="67" t="s">
        <v>1117</v>
      </c>
      <c r="FA137" s="67">
        <v>20414.5</v>
      </c>
      <c r="FB137" s="67" t="s">
        <v>1118</v>
      </c>
      <c r="FC137" s="67" t="s">
        <v>1119</v>
      </c>
      <c r="FD137" s="67" t="s">
        <v>1120</v>
      </c>
      <c r="FE137" s="68" t="s">
        <v>1121</v>
      </c>
      <c r="FF137" s="68" t="s">
        <v>1122</v>
      </c>
    </row>
    <row r="138" spans="1:162" ht="11.1" customHeight="1" thickBot="1" x14ac:dyDescent="0.25">
      <c r="A138" s="2">
        <f>+A137-$A$133</f>
        <v>21325</v>
      </c>
      <c r="B138" s="3">
        <f>+IF($A$1="ABS",AS138-AT138,AS138+AT138)</f>
        <v>0</v>
      </c>
      <c r="C138" s="3">
        <f>+IF($A$1="ABS",AU138-AV138,AU138+AV138)</f>
        <v>194</v>
      </c>
      <c r="D138" s="3">
        <f>+IF($A$1="ABS",AW138-AX138,AW138+AX138)</f>
        <v>1</v>
      </c>
      <c r="E138" s="3">
        <f>SUM(B138:D138)</f>
        <v>195</v>
      </c>
      <c r="F138" s="4">
        <f>+$F$136/$A$136*A138</f>
        <v>21427.308845577209</v>
      </c>
      <c r="G138" s="5">
        <f>+$G$136/$A$136*A138</f>
        <v>519.38108545727141</v>
      </c>
      <c r="AM138" s="1">
        <v>0</v>
      </c>
      <c r="AN138" s="1">
        <v>0</v>
      </c>
      <c r="AO138" s="1">
        <v>21325</v>
      </c>
      <c r="AP138" s="1">
        <v>0</v>
      </c>
      <c r="AQ138" s="1">
        <v>0</v>
      </c>
      <c r="AS138" s="54">
        <f>IF(RTD("tos.rtd",,AS$83,"."&amp;$B$134&amp;$AS$82&amp;"C"&amp;$A138)="N/A",0,RTD("tos.rtd",,AS$83,"."&amp;$B$134&amp;$AS$82&amp;"C"&amp;$A138))</f>
        <v>0</v>
      </c>
      <c r="AT138" s="3">
        <f>-IF(RTD("tos.rtd",,AT$83,"."&amp;$B$134&amp;$AS$82&amp;"P"&amp;$A138)="N/A",0,RTD("tos.rtd",,AT$83,"."&amp;$B$134&amp;$AS$82&amp;"P"&amp;$A138))</f>
        <v>0</v>
      </c>
      <c r="AU138" s="54">
        <f>IF(RTD("tos.rtd",,AU$2,"."&amp;$C$134&amp;$AU$134&amp;"C"&amp;$A138)="N/A",0,RTD("tos.rtd",,AU$2,"."&amp;$C$134&amp;$AU$134&amp;"C"&amp;$A138))</f>
        <v>194</v>
      </c>
      <c r="AV138" s="3">
        <f>-IF(RTD("tos.rtd",,AV$2,"."&amp;$C$134&amp;$AU$134&amp;"P"&amp;$A138)="N/A",0,RTD("tos.rtd",,AV$2,"."&amp;$C$134&amp;$AU$134&amp;"P"&amp;$A138))</f>
        <v>0</v>
      </c>
      <c r="AW138" s="54">
        <f>IF(RTD("tos.rtd",,AW$2,"."&amp;$D$134&amp;$AW$134&amp;"C"&amp;$A138)="N/A",0,RTD("tos.rtd",,AW$2,"."&amp;$D$134&amp;$AW$134&amp;"C"&amp;$A138))</f>
        <v>1</v>
      </c>
      <c r="AX138" s="3">
        <f>-IF(RTD("tos.rtd",,AX$2,"."&amp;$D$134&amp;$AW$134&amp;"P"&amp;$A138)="N/A",0,RTD("tos.rtd",,AX$2,"."&amp;$D$134&amp;$AW$134&amp;"P"&amp;$A138))</f>
        <v>0</v>
      </c>
      <c r="AY138" s="76">
        <f>SUM(AS138:AX138)</f>
        <v>195</v>
      </c>
      <c r="AZ138" s="8">
        <f t="shared" si="548"/>
        <v>21325</v>
      </c>
      <c r="BA138" s="54">
        <f>IF(RTD("tos.rtd",,BA$43,"."&amp;$B$134&amp;$AS$82&amp;"C"&amp;$A138)="N/A",0,RTD("tos.rtd",,BA$43,"."&amp;$B$134&amp;$AS$82&amp;"C"&amp;$A138))</f>
        <v>0</v>
      </c>
      <c r="BB138" s="3">
        <f>-IF(RTD("tos.rtd",,BB$43,"."&amp;$B$134&amp;$AS$82&amp;"P"&amp;$A138)="N/A",0,RTD("tos.rtd",,BB$43,"."&amp;$B$134&amp;$AS$82&amp;"P"&amp;$A138))</f>
        <v>0</v>
      </c>
      <c r="BC138" s="54">
        <f>IF(RTD("tos.rtd",,BC$2,"."&amp;$C$134&amp;$AU$82&amp;"C"&amp;$A138)="N/A",0,RTD("tos.rtd",,BC$2,"."&amp;$C$134&amp;$AU$82&amp;"C"&amp;$A138))</f>
        <v>59</v>
      </c>
      <c r="BD138" s="3">
        <f>-IF(RTD("tos.rtd",,BD$2,"."&amp;$C$134&amp;$AU$82&amp;"P"&amp;$A138)="N/A",0,RTD("tos.rtd",,BD$2,"."&amp;$C$134&amp;$AU$82&amp;"P"&amp;$A138))</f>
        <v>0</v>
      </c>
      <c r="BE138" s="54">
        <f>IF(RTD("tos.rtd",,BE$2,"."&amp;$D$134&amp;$AW$82&amp;"C"&amp;$A138)="N/A",0,RTD("tos.rtd",,BE$2,"."&amp;$D$134&amp;$AW$82&amp;"C"&amp;$A138))</f>
        <v>0</v>
      </c>
      <c r="BF138" s="3">
        <f>-IF(RTD("tos.rtd",,BF$2,"."&amp;$D$134&amp;$AW$82&amp;"P"&amp;$A138)="N/A",0,RTD("tos.rtd",,BF$2,"."&amp;$D$134&amp;$AW$82&amp;"P"&amp;$A138))</f>
        <v>0</v>
      </c>
      <c r="BG138" s="3">
        <f ca="1">+Hoja2!Y139</f>
        <v>0</v>
      </c>
      <c r="BH138" s="7">
        <f t="shared" ca="1" si="549"/>
        <v>59</v>
      </c>
      <c r="BI138" s="32"/>
      <c r="BJ138" s="3">
        <f ca="1">IF($BP$1=1,DX138,IF(RTD("tos.rtd",,BJ$43,"."&amp;$B$134&amp;$AS$82&amp;"C"&amp;$A138)="N/A",0,RTD("tos.rtd",,BJ$43,"."&amp;$B$134&amp;$AS$82&amp;"C"&amp;$A138)))</f>
        <v>1.2580916967069867E-14</v>
      </c>
      <c r="BK138" s="3">
        <f ca="1">IF($BP$1=1,DY138,-IF(RTD("tos.rtd",,BK$43,"."&amp;$B$134&amp;$AS$82&amp;"P"&amp;$A138)="N/A",0,RTD("tos.rtd",,BK$43,"."&amp;$B$134&amp;$AS$82&amp;"P"&amp;$A138)))</f>
        <v>-1.2580916967069867E-14</v>
      </c>
      <c r="BL138" s="3">
        <f ca="1">IF($BP$1=1,DZ138,IF(RTD("tos.rtd",,BL$2,"."&amp;$C$134&amp;$AU$82&amp;"C"&amp;$A138)="N/A",0,RTD("tos.rtd",,BL$2,"."&amp;$C$134&amp;$AU$82&amp;"C"&amp;$A138)))</f>
        <v>5.1939850904515316E-4</v>
      </c>
      <c r="BM138" s="3">
        <f ca="1">IF($BP$1=1,EA138,-IF(RTD("tos.rtd",,BM$2,"."&amp;$C$134&amp;$AU$82&amp;"P"&amp;$A138)="N/A",0,RTD("tos.rtd",,BM$2,"."&amp;$C$134&amp;$AU$82&amp;"P"&amp;$A138)))</f>
        <v>-5.0837406749024074E-4</v>
      </c>
      <c r="BN138" s="3">
        <f ca="1">IF($BP$1=1,EB138,IF(RTD("tos.rtd",,BN$2,"."&amp;$D$134&amp;$AW$82&amp;"C"&amp;$A138)="N/A",0,RTD("tos.rtd",,BN$2,"."&amp;$D$134&amp;$AW$82&amp;"C"&amp;$A138)))</f>
        <v>5.2906460277746389E-4</v>
      </c>
      <c r="BO138" s="3">
        <f ca="1">IF($BP$1=1,EC138,-IF(RTD("tos.rtd",,BO$2,"."&amp;$D$134&amp;$AW$82&amp;"P"&amp;$A138)="N/A",0,RTD("tos.rtd",,BO$2,"."&amp;$D$134&amp;$AW$82&amp;"P"&amp;$A138)))</f>
        <v>-5.2743662747316126E-4</v>
      </c>
      <c r="BQ138" s="3">
        <f ca="1">+$A$84*$A$84*AS138*BJ138-$A$84*$A$84*AT138*BK138</f>
        <v>0</v>
      </c>
      <c r="BR138" s="3" t="str">
        <f t="shared" ca="1" si="550"/>
        <v/>
      </c>
      <c r="BS138" s="3">
        <f ca="1">+$A$84*$A$84*AU138*BL138-$A$84*$A$84*AV138*BM138</f>
        <v>3438653.0819369992</v>
      </c>
      <c r="BT138" s="3" t="str">
        <f t="shared" ca="1" si="551"/>
        <v/>
      </c>
      <c r="BU138" s="3">
        <f ca="1">+$A$84*$A$84*AW138*BN138-$A$84*$A$84*AX138*BO138</f>
        <v>18054.881417228189</v>
      </c>
      <c r="BV138" s="3" t="str">
        <f t="shared" ca="1" si="551"/>
        <v/>
      </c>
      <c r="BX138" s="3">
        <f t="shared" ref="BX138:BX189" ca="1" si="585">+$A$44*$A$44*BA138*BJ138-$A$44*$A$44*BB138*BK138</f>
        <v>0</v>
      </c>
      <c r="BY138" s="3" t="str">
        <f t="shared" ref="BY138:CC189" ca="1" si="586">IF(AND(BX138&lt;0,BX137&gt;0), "Cruce -", IF(AND(BX138&gt;0,BX137&lt;0),"Cruce +", ""))</f>
        <v/>
      </c>
      <c r="BZ138" s="3">
        <f t="shared" ref="BZ138:BZ189" ca="1" si="587">+$A$44*$A$44*BC138*BL138-$A$44*$A$44*BD138*BM138</f>
        <v>7897.6630557241588</v>
      </c>
      <c r="CA138" s="3" t="str">
        <f t="shared" ca="1" si="586"/>
        <v/>
      </c>
      <c r="CB138" s="3">
        <f t="shared" ref="CB138:CB189" ca="1" si="588">+$A$44*$A$44*BE138*BN138-$A$44*$A$44*BF138*BO138</f>
        <v>0</v>
      </c>
      <c r="CC138" s="3" t="str">
        <f t="shared" ca="1" si="586"/>
        <v/>
      </c>
      <c r="CD138" s="3">
        <f>IF(RTD("tos.rtd",,CD$43,"."&amp;$B$134&amp;$AS$82&amp;"C"&amp;$A138)="N/A",0,RTD("tos.rtd",,CD$43,"."&amp;$B$134&amp;$AS$82&amp;"C"&amp;$A138))</f>
        <v>0</v>
      </c>
      <c r="CE138" s="3">
        <f>-IF(RTD("tos.rtd",,CE$43,"."&amp;$B$134&amp;$AS$82&amp;"P"&amp;$A138)="N/A",0,RTD("tos.rtd",,CE$43,"."&amp;$B$134&amp;$AS$82&amp;"P"&amp;$A138))</f>
        <v>0</v>
      </c>
      <c r="CF138" s="3">
        <f>IF(RTD("tos.rtd",,CF$2,"."&amp;$C$134&amp;$AU$82&amp;"C"&amp;$A138)="N/A",0,RTD("tos.rtd",,CF$2,"."&amp;$C$134&amp;$AU$82&amp;"C"&amp;$A138))</f>
        <v>0.16</v>
      </c>
      <c r="CG138" s="3">
        <f>-IF(RTD("tos.rtd",,CG$2,"."&amp;$C$134&amp;$AU$82&amp;"P"&amp;$A138)="N/A",0,RTD("tos.rtd",,CG$2,"."&amp;$C$134&amp;$AU$82&amp;"P"&amp;$A138))</f>
        <v>0.82</v>
      </c>
      <c r="CH138" s="3">
        <f>IF(RTD("tos.rtd",,CH$2,"."&amp;$D$134&amp;$AW$82&amp;"C"&amp;$A138)="N/A",0,RTD("tos.rtd",,CH$2,"."&amp;$D$134&amp;$AW$82&amp;"C"&amp;$A138))</f>
        <v>0.4</v>
      </c>
      <c r="CI138" s="3">
        <f>-IF(RTD("tos.rtd",,CI$2,"."&amp;$D$134&amp;$AW$82&amp;"P"&amp;$A138)="N/A",0,RTD("tos.rtd",,CI$2,"."&amp;$D$134&amp;$AW$82&amp;"P"&amp;$A138))</f>
        <v>0.6</v>
      </c>
      <c r="CK138" s="3">
        <f>+AS138*CD138*100+AT138*CE138*100</f>
        <v>0</v>
      </c>
      <c r="CL138" s="3"/>
      <c r="CM138" s="3">
        <f>+AU138*CF138*100+AV138*CG138*100</f>
        <v>3104</v>
      </c>
      <c r="CN138" s="3"/>
      <c r="CO138" s="3">
        <f>+AW138*CH138*100+AX138*CI138*100</f>
        <v>40</v>
      </c>
      <c r="CP138" s="3">
        <f t="shared" si="542"/>
        <v>3144</v>
      </c>
      <c r="CQ138" s="3">
        <f t="shared" si="552"/>
        <v>0</v>
      </c>
      <c r="CR138" s="3"/>
      <c r="CS138" s="3">
        <f t="shared" si="553"/>
        <v>59</v>
      </c>
      <c r="CT138" s="3"/>
      <c r="CU138" s="3">
        <f t="shared" si="554"/>
        <v>0</v>
      </c>
      <c r="CV138" s="3"/>
      <c r="CW138" s="3">
        <f t="shared" ca="1" si="555"/>
        <v>3456707.9633542276</v>
      </c>
      <c r="CY138" s="3">
        <f t="shared" ca="1" si="556"/>
        <v>7897.6630557241588</v>
      </c>
      <c r="CZ138" s="70" t="str">
        <f t="shared" ref="CZ138:CZ189" ca="1" si="589">IF(AND(CY138&lt;0,CY137&gt;0), "Cruce -", IF(AND(CY138&gt;0,CY137&lt;0),"Cruce +", ""))</f>
        <v/>
      </c>
      <c r="DA138" s="3">
        <f>IF(RTD("tos.rtd",,DA$43,"."&amp;$B$134&amp;$AS$82&amp;"C"&amp;$A138)="N/A",0,RTD("tos.rtd",,DA$43,"."&amp;$B$134&amp;$AS$82&amp;"C"&amp;$A138))</f>
        <v>0</v>
      </c>
      <c r="DB138" s="3">
        <f>IF(RTD("tos.rtd",,DB$43,"."&amp;$B$134&amp;$AS$82&amp;"P"&amp;$A138)="N/A",0,RTD("tos.rtd",,DB$43,"."&amp;$B$134&amp;$AS$82&amp;"P"&amp;$A138))</f>
        <v>0</v>
      </c>
      <c r="DC138" s="3">
        <f>IF(RTD("tos.rtd",,DC$43,"."&amp;$B$134&amp;$AS$82&amp;"C"&amp;$A138)="N/A",0,RTD("tos.rtd",,DC$43,"."&amp;$B$134&amp;$AS$82&amp;"C"&amp;$A138))</f>
        <v>0</v>
      </c>
      <c r="DD138" s="3">
        <f>IF(RTD("tos.rtd",,DD$43,"."&amp;$B$134&amp;$AS$82&amp;"P"&amp;$A138)="N/A",0,RTD("tos.rtd",,DD$43,"."&amp;$B$134&amp;$AS$82&amp;"P"&amp;$A138))</f>
        <v>0</v>
      </c>
      <c r="DE138" s="3">
        <f>IF(RTD("tos.rtd",,DE$43,"."&amp;$B$134&amp;$AS$82&amp;"C"&amp;$A138)="N/A",0,RTD("tos.rtd",,DE$43,"."&amp;$B$134&amp;$AS$82&amp;"C"&amp;$A138))</f>
        <v>0</v>
      </c>
      <c r="DF138" s="3">
        <f>IF(RTD("tos.rtd",,DF$43,"."&amp;$B$134&amp;$AS$82&amp;"P"&amp;$A138)="N/A",0,RTD("tos.rtd",,DF$43,"."&amp;$B$134&amp;$AS$82&amp;"P"&amp;$A138))</f>
        <v>0</v>
      </c>
      <c r="DG138" s="86">
        <f t="shared" ref="DG138:DG189" si="590">+$A138-$A$136</f>
        <v>481.25</v>
      </c>
      <c r="DH138" s="3" t="e">
        <f t="shared" si="557"/>
        <v>#DIV/0!</v>
      </c>
      <c r="DI138" s="3" t="e">
        <f t="shared" si="558"/>
        <v>#DIV/0!</v>
      </c>
      <c r="DJ138" s="3">
        <f t="shared" si="559"/>
        <v>0</v>
      </c>
      <c r="DK138" s="3">
        <f t="shared" si="560"/>
        <v>0</v>
      </c>
      <c r="DL138" s="3" t="e">
        <f t="shared" si="561"/>
        <v>#DIV/0!</v>
      </c>
      <c r="DM138" s="3">
        <f t="shared" si="562"/>
        <v>0</v>
      </c>
      <c r="DN138" s="64" t="str">
        <f t="shared" si="563"/>
        <v>UNKNOWN</v>
      </c>
      <c r="DO138" s="64" t="str">
        <f t="shared" si="564"/>
        <v>UNKNOWN</v>
      </c>
      <c r="DP138" s="3" t="e">
        <f t="shared" si="565"/>
        <v>#DIV/0!</v>
      </c>
      <c r="DQ138" s="3">
        <f t="shared" si="566"/>
        <v>0</v>
      </c>
      <c r="DR138" s="3">
        <f t="shared" ca="1" si="567"/>
        <v>0</v>
      </c>
      <c r="DS138" s="3">
        <f t="shared" si="568"/>
        <v>0</v>
      </c>
      <c r="DT138" s="3">
        <f t="shared" ref="DT138:DT189" si="591">BA138-VLOOKUP(AZ138,$AO$137:$AQ$189,2,FALSE)</f>
        <v>0</v>
      </c>
      <c r="DU138" s="3">
        <f t="shared" ref="DU138:DU189" si="592">BB138-VLOOKUP(AZ138,$AO$137:$AQ$189,3,FALSE)</f>
        <v>0</v>
      </c>
      <c r="DV138" s="3">
        <f t="shared" si="569"/>
        <v>0</v>
      </c>
      <c r="DW138" s="3">
        <f t="shared" si="570"/>
        <v>0</v>
      </c>
      <c r="DX138" s="3">
        <f t="shared" ca="1" si="571"/>
        <v>1.2580916967069867E-14</v>
      </c>
      <c r="DY138" s="3">
        <f t="shared" ca="1" si="572"/>
        <v>-1.2580916967069867E-14</v>
      </c>
      <c r="DZ138" s="3">
        <f t="shared" ca="1" si="573"/>
        <v>5.1939850904515316E-4</v>
      </c>
      <c r="EA138" s="3">
        <f t="shared" ca="1" si="574"/>
        <v>-5.0837406749024074E-4</v>
      </c>
      <c r="EB138" s="3">
        <f t="shared" ca="1" si="575"/>
        <v>5.2906460277746389E-4</v>
      </c>
      <c r="EC138" s="3">
        <f t="shared" ca="1" si="576"/>
        <v>-5.2743662747316126E-4</v>
      </c>
      <c r="ED138" s="63">
        <f t="shared" ref="ED138:ED189" si="593">+DV138+DW138</f>
        <v>0</v>
      </c>
      <c r="EE138" s="59">
        <f t="shared" si="577"/>
        <v>0.25</v>
      </c>
      <c r="EF138" s="59">
        <f t="shared" si="578"/>
        <v>0.25</v>
      </c>
      <c r="EG138" s="59">
        <f t="shared" si="579"/>
        <v>0.20710000000000001</v>
      </c>
      <c r="EH138" s="59">
        <f t="shared" si="580"/>
        <v>0.2225</v>
      </c>
      <c r="EI138" s="59">
        <f t="shared" si="581"/>
        <v>0.17960000000000001</v>
      </c>
      <c r="EJ138" s="59">
        <f t="shared" si="582"/>
        <v>0.19009999999999999</v>
      </c>
      <c r="EK138" s="63">
        <f t="shared" ref="EK138:EK189" ca="1" si="594">+DV138*DX138*$A$136*$A$136+DW138*DY138*$A$136*$A$136</f>
        <v>0</v>
      </c>
      <c r="EL138" s="3" t="str">
        <f>RTD("tos.rtd",,EL$43,"."&amp;$B$134&amp;$AS$82&amp;"C"&amp;$A138)</f>
        <v>N/A</v>
      </c>
      <c r="EM138" s="3" t="str">
        <f>RTD("tos.rtd",,EM$43,"."&amp;$B$134&amp;$AS$82&amp;"P"&amp;$A138)</f>
        <v>N/A</v>
      </c>
      <c r="EN138" s="3" t="str">
        <f>RTD("tos.rtd",,EN$2,"."&amp;$C$134&amp;$AU$82&amp;"C"&amp;$A138)</f>
        <v>20.71%</v>
      </c>
      <c r="EO138" s="3" t="str">
        <f>RTD("tos.rtd",,EO$2,"."&amp;$C$134&amp;$AU$82&amp;"P"&amp;$A138)</f>
        <v>22.25%</v>
      </c>
      <c r="EP138" s="3" t="str">
        <f>RTD("tos.rtd",,EP$2,"."&amp;$D$134&amp;$AW$82&amp;"C"&amp;$A138)</f>
        <v>17.96%</v>
      </c>
      <c r="EQ138" s="3" t="str">
        <f>RTD("tos.rtd",,EQ$2,"."&amp;$D$134&amp;$AW$82&amp;"P"&amp;$A138)</f>
        <v>19.01%</v>
      </c>
      <c r="ES138" s="63" t="str">
        <f t="shared" si="583"/>
        <v>21325,00.00</v>
      </c>
      <c r="ET138" s="63" t="str">
        <f t="shared" ca="1" si="584"/>
        <v>21325,07.90</v>
      </c>
      <c r="EU138" s="67">
        <v>571.91</v>
      </c>
      <c r="EV138" s="67" t="s">
        <v>1123</v>
      </c>
      <c r="EW138" s="67">
        <v>497.24</v>
      </c>
      <c r="EX138" s="67" t="s">
        <v>1124</v>
      </c>
      <c r="EY138" s="67">
        <v>5730.25</v>
      </c>
      <c r="EZ138" s="67" t="s">
        <v>1125</v>
      </c>
      <c r="FA138" s="67">
        <v>20416.25</v>
      </c>
      <c r="FB138" s="67" t="s">
        <v>1126</v>
      </c>
      <c r="FC138" s="67" t="s">
        <v>1127</v>
      </c>
      <c r="FD138" s="67" t="s">
        <v>1128</v>
      </c>
      <c r="FE138" s="68" t="s">
        <v>1129</v>
      </c>
      <c r="FF138" s="68" t="s">
        <v>1130</v>
      </c>
    </row>
    <row r="139" spans="1:162" ht="11.1" customHeight="1" thickBot="1" x14ac:dyDescent="0.25">
      <c r="A139" s="2">
        <f t="shared" ref="A139:A189" si="595">+A138-$A$133</f>
        <v>21300</v>
      </c>
      <c r="B139" s="3">
        <f t="shared" ref="B139:B144" si="596">+IF($A$1="ABS",AS139-AT139,AS139+AT139)</f>
        <v>40</v>
      </c>
      <c r="C139" s="3">
        <f t="shared" ref="C139:C144" si="597">+IF($A$1="ABS",AU139-AV139,AU139+AV139)</f>
        <v>145</v>
      </c>
      <c r="D139" s="3">
        <f>+IF($A$1="ABS",AW139-AX139,AW139+AX139)</f>
        <v>89</v>
      </c>
      <c r="E139" s="3">
        <f t="shared" ref="E139:E147" si="598">SUM(B139:D139)</f>
        <v>274</v>
      </c>
      <c r="F139" s="4">
        <f t="shared" ref="F139:F147" si="599">+$F$136/$A$136*A139</f>
        <v>21402.188905547224</v>
      </c>
      <c r="G139" s="5">
        <f t="shared" ref="G139:G147" si="600">+$G$136/$A$136*A139</f>
        <v>518.77219790104948</v>
      </c>
      <c r="AM139" s="1">
        <v>119</v>
      </c>
      <c r="AN139" s="1">
        <v>0</v>
      </c>
      <c r="AO139" s="1">
        <v>21300</v>
      </c>
      <c r="AP139" s="1">
        <v>406</v>
      </c>
      <c r="AQ139" s="1">
        <v>0</v>
      </c>
      <c r="AS139" s="54">
        <f>IF(RTD("tos.rtd",,AS$83,"."&amp;$B$134&amp;$AS$82&amp;"C"&amp;$A139)="N/A",0,RTD("tos.rtd",,AS$83,"."&amp;$B$134&amp;$AS$82&amp;"C"&amp;$A139))</f>
        <v>40</v>
      </c>
      <c r="AT139" s="3">
        <f>-IF(RTD("tos.rtd",,AT$83,"."&amp;$B$134&amp;$AS$82&amp;"P"&amp;$A139)="N/A",0,RTD("tos.rtd",,AT$83,"."&amp;$B$134&amp;$AS$82&amp;"P"&amp;$A139))</f>
        <v>0</v>
      </c>
      <c r="AU139" s="54">
        <f>IF(RTD("tos.rtd",,AU$2,"."&amp;$C$134&amp;$AU$134&amp;"C"&amp;$A139)="N/A",0,RTD("tos.rtd",,AU$2,"."&amp;$C$134&amp;$AU$134&amp;"C"&amp;$A139))</f>
        <v>128</v>
      </c>
      <c r="AV139" s="3">
        <f>-IF(RTD("tos.rtd",,AV$2,"."&amp;$C$134&amp;$AU$134&amp;"P"&amp;$A139)="N/A",0,RTD("tos.rtd",,AV$2,"."&amp;$C$134&amp;$AU$134&amp;"P"&amp;$A139))</f>
        <v>-17</v>
      </c>
      <c r="AW139" s="54">
        <f>IF(RTD("tos.rtd",,AW$2,"."&amp;$D$134&amp;$AW$134&amp;"C"&amp;$A139)="N/A",0,RTD("tos.rtd",,AW$2,"."&amp;$D$134&amp;$AW$134&amp;"C"&amp;$A139))</f>
        <v>46</v>
      </c>
      <c r="AX139" s="3">
        <f>-IF(RTD("tos.rtd",,AX$2,"."&amp;$D$134&amp;$AW$134&amp;"P"&amp;$A139)="N/A",0,RTD("tos.rtd",,AX$2,"."&amp;$D$134&amp;$AW$134&amp;"P"&amp;$A139))</f>
        <v>-43</v>
      </c>
      <c r="AY139" s="76">
        <f t="shared" ref="AY139:AY147" si="601">SUM(AS139:AX139)</f>
        <v>154</v>
      </c>
      <c r="AZ139" s="8">
        <f t="shared" si="548"/>
        <v>21300</v>
      </c>
      <c r="BA139" s="54">
        <f>IF(RTD("tos.rtd",,BA$43,"."&amp;$B$134&amp;$AS$82&amp;"C"&amp;$A139)="N/A",0,RTD("tos.rtd",,BA$43,"."&amp;$B$134&amp;$AS$82&amp;"C"&amp;$A139))</f>
        <v>406</v>
      </c>
      <c r="BB139" s="3">
        <f>-IF(RTD("tos.rtd",,BB$43,"."&amp;$B$134&amp;$AS$82&amp;"P"&amp;$A139)="N/A",0,RTD("tos.rtd",,BB$43,"."&amp;$B$134&amp;$AS$82&amp;"P"&amp;$A139))</f>
        <v>0</v>
      </c>
      <c r="BC139" s="54">
        <f>IF(RTD("tos.rtd",,BC$2,"."&amp;$C$134&amp;$AU$82&amp;"C"&amp;$A139)="N/A",0,RTD("tos.rtd",,BC$2,"."&amp;$C$134&amp;$AU$82&amp;"C"&amp;$A139))</f>
        <v>37</v>
      </c>
      <c r="BD139" s="3">
        <f>-IF(RTD("tos.rtd",,BD$2,"."&amp;$C$134&amp;$AU$82&amp;"P"&amp;$A139)="N/A",0,RTD("tos.rtd",,BD$2,"."&amp;$C$134&amp;$AU$82&amp;"P"&amp;$A139))</f>
        <v>-2</v>
      </c>
      <c r="BE139" s="54">
        <f>IF(RTD("tos.rtd",,BE$2,"."&amp;$D$134&amp;$AW$82&amp;"C"&amp;$A139)="N/A",0,RTD("tos.rtd",,BE$2,"."&amp;$D$134&amp;$AW$82&amp;"C"&amp;$A139))</f>
        <v>1</v>
      </c>
      <c r="BF139" s="3">
        <f>-IF(RTD("tos.rtd",,BF$2,"."&amp;$D$134&amp;$AW$82&amp;"P"&amp;$A139)="N/A",0,RTD("tos.rtd",,BF$2,"."&amp;$D$134&amp;$AW$82&amp;"P"&amp;$A139))</f>
        <v>0</v>
      </c>
      <c r="BG139" s="3">
        <f ca="1">+Hoja2!Y140</f>
        <v>45</v>
      </c>
      <c r="BH139" s="7">
        <f t="shared" ca="1" si="549"/>
        <v>487</v>
      </c>
      <c r="BI139" s="32" t="str">
        <f ca="1">IF(AND(BH139&lt;0,BH138&gt;0), "Cruce -", IF(AND(BH139&gt;0,BH138&lt;0),"Cruce +", ""))</f>
        <v/>
      </c>
      <c r="BJ139" s="3">
        <f ca="1">IF($BP$1=1,DX139,IF(RTD("tos.rtd",,BJ$43,"."&amp;$B$134&amp;$AS$82&amp;"C"&amp;$A139)="N/A",0,RTD("tos.rtd",,BJ$43,"."&amp;$B$134&amp;$AS$82&amp;"C"&amp;$A139)))</f>
        <v>5.3919106618755214E-4</v>
      </c>
      <c r="BK139" s="3">
        <f ca="1">IF($BP$1=1,DY139,-IF(RTD("tos.rtd",,BK$43,"."&amp;$B$134&amp;$AS$82&amp;"P"&amp;$A139)="N/A",0,RTD("tos.rtd",,BK$43,"."&amp;$B$134&amp;$AS$82&amp;"P"&amp;$A139)))</f>
        <v>-5.3943619517257257E-4</v>
      </c>
      <c r="BL139" s="3">
        <f ca="1">IF($BP$1=1,DZ139,IF(RTD("tos.rtd",,BL$2,"."&amp;$C$134&amp;$AU$82&amp;"C"&amp;$A139)="N/A",0,RTD("tos.rtd",,BL$2,"."&amp;$C$134&amp;$AU$82&amp;"C"&amp;$A139)))</f>
        <v>5.3993501405114649E-4</v>
      </c>
      <c r="BM139" s="3">
        <f ca="1">IF($BP$1=1,EA139,-IF(RTD("tos.rtd",,BM$2,"."&amp;$C$134&amp;$AU$82&amp;"P"&amp;$A139)="N/A",0,RTD("tos.rtd",,BM$2,"."&amp;$C$134&amp;$AU$82&amp;"P"&amp;$A139)))</f>
        <v>-5.2204840758449025E-4</v>
      </c>
      <c r="BN139" s="3">
        <f ca="1">IF($BP$1=1,EB139,IF(RTD("tos.rtd",,BN$2,"."&amp;$D$134&amp;$AW$82&amp;"C"&amp;$A139)="N/A",0,RTD("tos.rtd",,BN$2,"."&amp;$D$134&amp;$AW$82&amp;"C"&amp;$A139)))</f>
        <v>5.5657428619847573E-4</v>
      </c>
      <c r="BO139" s="3">
        <f ca="1">IF($BP$1=1,EC139,-IF(RTD("tos.rtd",,BO$2,"."&amp;$D$134&amp;$AW$82&amp;"P"&amp;$A139)="N/A",0,RTD("tos.rtd",,BO$2,"."&amp;$D$134&amp;$AW$82&amp;"P"&amp;$A139)))</f>
        <v>-5.5175418490174095E-4</v>
      </c>
      <c r="BQ139" s="3">
        <f t="shared" ref="BQ139:BQ147" ca="1" si="602">+$A$84*$A$84*AS139*BJ139-$A$84*$A$84*AT139*BK139</f>
        <v>736018.3017452677</v>
      </c>
      <c r="BR139" s="3" t="str">
        <f t="shared" ca="1" si="550"/>
        <v/>
      </c>
      <c r="BS139" s="3">
        <f t="shared" ref="BS139:BS147" ca="1" si="603">+$A$84*$A$84*AU139*BL139-$A$84*$A$84*AV139*BM139</f>
        <v>2055645.63973406</v>
      </c>
      <c r="BT139" s="3" t="str">
        <f t="shared" ca="1" si="551"/>
        <v/>
      </c>
      <c r="BU139" s="3">
        <f t="shared" ref="BU139:BU147" ca="1" si="604">+$A$84*$A$84*AW139*BN139-$A$84*$A$84*AX139*BO139</f>
        <v>64054.146504841396</v>
      </c>
      <c r="BV139" s="3" t="str">
        <f t="shared" ca="1" si="551"/>
        <v/>
      </c>
      <c r="BX139" s="3">
        <f t="shared" ca="1" si="585"/>
        <v>56417.600634122406</v>
      </c>
      <c r="BY139" s="3" t="str">
        <f t="shared" ca="1" si="586"/>
        <v/>
      </c>
      <c r="BZ139" s="3">
        <f t="shared" ca="1" si="587"/>
        <v>4879.5162106556409</v>
      </c>
      <c r="CA139" s="3" t="str">
        <f t="shared" ca="1" si="586"/>
        <v/>
      </c>
      <c r="CB139" s="3">
        <f t="shared" ca="1" si="588"/>
        <v>143.43958791208652</v>
      </c>
      <c r="CC139" s="3" t="str">
        <f t="shared" ca="1" si="586"/>
        <v/>
      </c>
      <c r="CD139" s="3">
        <f>IF(RTD("tos.rtd",,CD$43,"."&amp;$B$134&amp;$AS$82&amp;"C"&amp;$A139)="N/A",0,RTD("tos.rtd",,CD$43,"."&amp;$B$134&amp;$AS$82&amp;"C"&amp;$A139))</f>
        <v>0.08</v>
      </c>
      <c r="CE139" s="3">
        <f>-IF(RTD("tos.rtd",,CE$43,"."&amp;$B$134&amp;$AS$82&amp;"P"&amp;$A139)="N/A",0,RTD("tos.rtd",,CE$43,"."&amp;$B$134&amp;$AS$82&amp;"P"&amp;$A139))</f>
        <v>0.95</v>
      </c>
      <c r="CF139" s="3">
        <f>IF(RTD("tos.rtd",,CF$2,"."&amp;$C$134&amp;$AU$82&amp;"C"&amp;$A139)="N/A",0,RTD("tos.rtd",,CF$2,"."&amp;$C$134&amp;$AU$82&amp;"C"&amp;$A139))</f>
        <v>0.17</v>
      </c>
      <c r="CG139" s="3">
        <f>-IF(RTD("tos.rtd",,CG$2,"."&amp;$C$134&amp;$AU$82&amp;"P"&amp;$A139)="N/A",0,RTD("tos.rtd",,CG$2,"."&amp;$C$134&amp;$AU$82&amp;"P"&amp;$A139))</f>
        <v>0.81</v>
      </c>
      <c r="CH139" s="3">
        <f>IF(RTD("tos.rtd",,CH$2,"."&amp;$D$134&amp;$AW$82&amp;"C"&amp;$A139)="N/A",0,RTD("tos.rtd",,CH$2,"."&amp;$D$134&amp;$AW$82&amp;"C"&amp;$A139))</f>
        <v>0.41</v>
      </c>
      <c r="CI139" s="3">
        <f>-IF(RTD("tos.rtd",,CI$2,"."&amp;$D$134&amp;$AW$82&amp;"P"&amp;$A139)="N/A",0,RTD("tos.rtd",,CI$2,"."&amp;$D$134&amp;$AW$82&amp;"P"&amp;$A139))</f>
        <v>0.59</v>
      </c>
      <c r="CK139" s="3">
        <f t="shared" ref="CK139:CK147" si="605">+AS139*CD139*100+AT139*CE139*100</f>
        <v>320</v>
      </c>
      <c r="CL139" s="3"/>
      <c r="CM139" s="3">
        <f t="shared" ref="CM139:CM147" si="606">+AU139*CF139*100+AV139*CG139*100</f>
        <v>798.99999999999977</v>
      </c>
      <c r="CN139" s="3"/>
      <c r="CO139" s="3">
        <f t="shared" ref="CO139:CO147" si="607">+AW139*CH139*100+AX139*CI139*100</f>
        <v>-650.99999999999955</v>
      </c>
      <c r="CP139" s="3">
        <f t="shared" si="542"/>
        <v>468.00000000000023</v>
      </c>
      <c r="CQ139" s="3">
        <f t="shared" si="552"/>
        <v>406</v>
      </c>
      <c r="CR139" s="3"/>
      <c r="CS139" s="3">
        <f t="shared" si="553"/>
        <v>35</v>
      </c>
      <c r="CT139" s="3"/>
      <c r="CU139" s="3">
        <f t="shared" si="554"/>
        <v>1</v>
      </c>
      <c r="CV139" s="3"/>
      <c r="CW139" s="3">
        <f t="shared" ca="1" si="555"/>
        <v>2855718.0879841689</v>
      </c>
      <c r="CY139" s="3">
        <f t="shared" ca="1" si="556"/>
        <v>61440.556432690129</v>
      </c>
      <c r="CZ139" s="70" t="str">
        <f t="shared" ca="1" si="589"/>
        <v/>
      </c>
      <c r="DA139" s="3">
        <f>IF(RTD("tos.rtd",,DA$43,"."&amp;$B$134&amp;$AS$82&amp;"C"&amp;$A139)="N/A",0,RTD("tos.rtd",,DA$43,"."&amp;$B$134&amp;$AS$82&amp;"C"&amp;$A139))</f>
        <v>0.1</v>
      </c>
      <c r="DB139" s="3">
        <f>IF(RTD("tos.rtd",,DB$43,"."&amp;$B$134&amp;$AS$82&amp;"P"&amp;$A139)="N/A",0,RTD("tos.rtd",,DB$43,"."&amp;$B$134&amp;$AS$82&amp;"P"&amp;$A139))</f>
        <v>0</v>
      </c>
      <c r="DC139" s="3">
        <f>IF(RTD("tos.rtd",,DC$43,"."&amp;$B$134&amp;$AS$82&amp;"C"&amp;$A139)="N/A",0,RTD("tos.rtd",,DC$43,"."&amp;$B$134&amp;$AS$82&amp;"C"&amp;$A139))</f>
        <v>19.8</v>
      </c>
      <c r="DD139" s="3">
        <f>IF(RTD("tos.rtd",,DD$43,"."&amp;$B$134&amp;$AS$82&amp;"P"&amp;$A139)="N/A",0,RTD("tos.rtd",,DD$43,"."&amp;$B$134&amp;$AS$82&amp;"P"&amp;$A139))</f>
        <v>461.9</v>
      </c>
      <c r="DE139" s="3">
        <f>IF(RTD("tos.rtd",,DE$43,"."&amp;$B$134&amp;$AS$82&amp;"C"&amp;$A139)="N/A",0,RTD("tos.rtd",,DE$43,"."&amp;$B$134&amp;$AS$82&amp;"C"&amp;$A139))</f>
        <v>0</v>
      </c>
      <c r="DF139" s="3">
        <f>IF(RTD("tos.rtd",,DF$43,"."&amp;$B$134&amp;$AS$82&amp;"P"&amp;$A139)="N/A",0,RTD("tos.rtd",,DF$43,"."&amp;$B$134&amp;$AS$82&amp;"P"&amp;$A139))</f>
        <v>411.9</v>
      </c>
      <c r="DG139" s="86">
        <f t="shared" si="590"/>
        <v>456.25</v>
      </c>
      <c r="DH139" s="3">
        <f t="shared" si="557"/>
        <v>0</v>
      </c>
      <c r="DI139" s="3">
        <f t="shared" si="558"/>
        <v>0</v>
      </c>
      <c r="DJ139" s="3">
        <f t="shared" si="559"/>
        <v>0</v>
      </c>
      <c r="DK139" s="3">
        <f t="shared" si="560"/>
        <v>0</v>
      </c>
      <c r="DL139" s="3">
        <f t="shared" si="561"/>
        <v>0</v>
      </c>
      <c r="DM139" s="3">
        <f t="shared" si="562"/>
        <v>0</v>
      </c>
      <c r="DN139" s="64" t="str">
        <f t="shared" si="563"/>
        <v>UNKNOWN</v>
      </c>
      <c r="DO139" s="64" t="str">
        <f t="shared" si="564"/>
        <v>UNKNOWN</v>
      </c>
      <c r="DP139" s="3">
        <f t="shared" si="565"/>
        <v>0</v>
      </c>
      <c r="DQ139" s="3">
        <f t="shared" si="566"/>
        <v>0</v>
      </c>
      <c r="DR139" s="3">
        <f t="shared" ca="1" si="567"/>
        <v>0</v>
      </c>
      <c r="DS139" s="3">
        <f t="shared" si="568"/>
        <v>0</v>
      </c>
      <c r="DT139" s="3">
        <f t="shared" si="591"/>
        <v>0</v>
      </c>
      <c r="DU139" s="3">
        <f t="shared" si="592"/>
        <v>0</v>
      </c>
      <c r="DV139" s="3">
        <f t="shared" si="569"/>
        <v>119</v>
      </c>
      <c r="DW139" s="3">
        <f t="shared" si="570"/>
        <v>0</v>
      </c>
      <c r="DX139" s="3">
        <f t="shared" ca="1" si="571"/>
        <v>5.3919106618755214E-4</v>
      </c>
      <c r="DY139" s="3">
        <f t="shared" ca="1" si="572"/>
        <v>-5.3943619517257257E-4</v>
      </c>
      <c r="DZ139" s="3">
        <f t="shared" ca="1" si="573"/>
        <v>5.3993501405114649E-4</v>
      </c>
      <c r="EA139" s="3">
        <f t="shared" ca="1" si="574"/>
        <v>-5.2204840758449025E-4</v>
      </c>
      <c r="EB139" s="3">
        <f t="shared" ca="1" si="575"/>
        <v>5.5657428619847573E-4</v>
      </c>
      <c r="EC139" s="3">
        <f t="shared" ca="1" si="576"/>
        <v>-5.5175418490174095E-4</v>
      </c>
      <c r="ED139" s="63">
        <f t="shared" si="593"/>
        <v>119</v>
      </c>
      <c r="EE139" s="59">
        <f t="shared" si="577"/>
        <v>1.8759999999999999</v>
      </c>
      <c r="EF139" s="59">
        <f t="shared" si="578"/>
        <v>1.625</v>
      </c>
      <c r="EG139" s="59">
        <f t="shared" si="579"/>
        <v>0.20669999999999999</v>
      </c>
      <c r="EH139" s="59">
        <f t="shared" si="580"/>
        <v>0.22589999999999999</v>
      </c>
      <c r="EI139" s="59">
        <f t="shared" si="581"/>
        <v>0.18</v>
      </c>
      <c r="EJ139" s="59">
        <f t="shared" si="582"/>
        <v>0.19040000000000001</v>
      </c>
      <c r="EK139" s="63">
        <f t="shared" ca="1" si="594"/>
        <v>27876699.936688043</v>
      </c>
      <c r="EL139" s="3" t="str">
        <f>RTD("tos.rtd",,EL$43,"."&amp;$B$134&amp;$AS$82&amp;"C"&amp;$A139)</f>
        <v>187.60%</v>
      </c>
      <c r="EM139" s="3" t="str">
        <f>RTD("tos.rtd",,EM$43,"."&amp;$B$134&amp;$AS$82&amp;"P"&amp;$A139)</f>
        <v>162.50%</v>
      </c>
      <c r="EN139" s="3" t="str">
        <f>RTD("tos.rtd",,EN$2,"."&amp;$C$134&amp;$AU$82&amp;"C"&amp;$A139)</f>
        <v>20.67%</v>
      </c>
      <c r="EO139" s="3" t="str">
        <f>RTD("tos.rtd",,EO$2,"."&amp;$C$134&amp;$AU$82&amp;"P"&amp;$A139)</f>
        <v>22.59%</v>
      </c>
      <c r="EP139" s="3" t="str">
        <f>RTD("tos.rtd",,EP$2,"."&amp;$D$134&amp;$AW$82&amp;"C"&amp;$A139)</f>
        <v>18.00%</v>
      </c>
      <c r="EQ139" s="3" t="str">
        <f>RTD("tos.rtd",,EQ$2,"."&amp;$D$134&amp;$AW$82&amp;"P"&amp;$A139)</f>
        <v>19.04%</v>
      </c>
      <c r="ES139" s="63" t="str">
        <f t="shared" si="583"/>
        <v>21300,119.00</v>
      </c>
      <c r="ET139" s="63" t="str">
        <f t="shared" ca="1" si="584"/>
        <v>21300,61.44</v>
      </c>
      <c r="EU139" s="67">
        <v>571.82000000000005</v>
      </c>
      <c r="EV139" s="67" t="s">
        <v>1131</v>
      </c>
      <c r="EW139" s="67">
        <v>497.11</v>
      </c>
      <c r="EX139" s="67" t="s">
        <v>1132</v>
      </c>
      <c r="EY139" s="67">
        <v>5729.5</v>
      </c>
      <c r="EZ139" s="67" t="s">
        <v>1133</v>
      </c>
      <c r="FA139" s="67">
        <v>20408</v>
      </c>
      <c r="FB139" s="67" t="s">
        <v>1134</v>
      </c>
      <c r="FC139" s="67" t="s">
        <v>1135</v>
      </c>
      <c r="FD139" s="67" t="s">
        <v>1136</v>
      </c>
      <c r="FE139" s="68" t="s">
        <v>1137</v>
      </c>
      <c r="FF139" s="68" t="s">
        <v>1138</v>
      </c>
    </row>
    <row r="140" spans="1:162" ht="11.1" customHeight="1" thickBot="1" x14ac:dyDescent="0.25">
      <c r="A140" s="2">
        <f t="shared" si="595"/>
        <v>21275</v>
      </c>
      <c r="B140" s="3">
        <f t="shared" si="596"/>
        <v>0</v>
      </c>
      <c r="C140" s="3">
        <f t="shared" si="597"/>
        <v>5</v>
      </c>
      <c r="D140" s="3">
        <f t="shared" ref="D140:D144" si="608">+IF($A$1="ABS",AW140-AX140,AW140+AX140)</f>
        <v>9</v>
      </c>
      <c r="E140" s="3">
        <f t="shared" si="598"/>
        <v>14</v>
      </c>
      <c r="F140" s="4">
        <f t="shared" si="599"/>
        <v>21377.068965517239</v>
      </c>
      <c r="G140" s="5">
        <f t="shared" si="600"/>
        <v>518.16331034482766</v>
      </c>
      <c r="AM140" s="1">
        <v>0</v>
      </c>
      <c r="AN140" s="1">
        <v>0</v>
      </c>
      <c r="AO140" s="1">
        <v>21275</v>
      </c>
      <c r="AP140" s="1">
        <v>0</v>
      </c>
      <c r="AQ140" s="1">
        <v>0</v>
      </c>
      <c r="AS140" s="54">
        <f>IF(RTD("tos.rtd",,AS$83,"."&amp;$B$134&amp;$AS$82&amp;"C"&amp;$A140)="N/A",0,RTD("tos.rtd",,AS$83,"."&amp;$B$134&amp;$AS$82&amp;"C"&amp;$A140))</f>
        <v>0</v>
      </c>
      <c r="AT140" s="3">
        <f>-IF(RTD("tos.rtd",,AT$83,"."&amp;$B$134&amp;$AS$82&amp;"P"&amp;$A140)="N/A",0,RTD("tos.rtd",,AT$83,"."&amp;$B$134&amp;$AS$82&amp;"P"&amp;$A140))</f>
        <v>0</v>
      </c>
      <c r="AU140" s="54">
        <f>IF(RTD("tos.rtd",,AU$2,"."&amp;$C$134&amp;$AU$134&amp;"C"&amp;$A140)="N/A",0,RTD("tos.rtd",,AU$2,"."&amp;$C$134&amp;$AU$134&amp;"C"&amp;$A140))</f>
        <v>5</v>
      </c>
      <c r="AV140" s="3">
        <f>-IF(RTD("tos.rtd",,AV$2,"."&amp;$C$134&amp;$AU$134&amp;"P"&amp;$A140)="N/A",0,RTD("tos.rtd",,AV$2,"."&amp;$C$134&amp;$AU$134&amp;"P"&amp;$A140))</f>
        <v>0</v>
      </c>
      <c r="AW140" s="54">
        <f>IF(RTD("tos.rtd",,AW$2,"."&amp;$D$134&amp;$AW$134&amp;"C"&amp;$A140)="N/A",0,RTD("tos.rtd",,AW$2,"."&amp;$D$134&amp;$AW$134&amp;"C"&amp;$A140))</f>
        <v>9</v>
      </c>
      <c r="AX140" s="3">
        <f>-IF(RTD("tos.rtd",,AX$2,"."&amp;$D$134&amp;$AW$134&amp;"P"&amp;$A140)="N/A",0,RTD("tos.rtd",,AX$2,"."&amp;$D$134&amp;$AW$134&amp;"P"&amp;$A140))</f>
        <v>0</v>
      </c>
      <c r="AY140" s="76">
        <f t="shared" si="601"/>
        <v>14</v>
      </c>
      <c r="AZ140" s="8">
        <f t="shared" si="548"/>
        <v>21275</v>
      </c>
      <c r="BA140" s="54">
        <f>IF(RTD("tos.rtd",,BA$43,"."&amp;$B$134&amp;$AS$82&amp;"C"&amp;$A140)="N/A",0,RTD("tos.rtd",,BA$43,"."&amp;$B$134&amp;$AS$82&amp;"C"&amp;$A140))</f>
        <v>0</v>
      </c>
      <c r="BB140" s="3">
        <f>-IF(RTD("tos.rtd",,BB$43,"."&amp;$B$134&amp;$AS$82&amp;"P"&amp;$A140)="N/A",0,RTD("tos.rtd",,BB$43,"."&amp;$B$134&amp;$AS$82&amp;"P"&amp;$A140))</f>
        <v>0</v>
      </c>
      <c r="BC140" s="54">
        <f>IF(RTD("tos.rtd",,BC$2,"."&amp;$C$134&amp;$AU$82&amp;"C"&amp;$A140)="N/A",0,RTD("tos.rtd",,BC$2,"."&amp;$C$134&amp;$AU$82&amp;"C"&amp;$A140))</f>
        <v>10</v>
      </c>
      <c r="BD140" s="3">
        <f>-IF(RTD("tos.rtd",,BD$2,"."&amp;$C$134&amp;$AU$82&amp;"P"&amp;$A140)="N/A",0,RTD("tos.rtd",,BD$2,"."&amp;$C$134&amp;$AU$82&amp;"P"&amp;$A140))</f>
        <v>0</v>
      </c>
      <c r="BE140" s="54">
        <f>IF(RTD("tos.rtd",,BE$2,"."&amp;$D$134&amp;$AW$82&amp;"C"&amp;$A140)="N/A",0,RTD("tos.rtd",,BE$2,"."&amp;$D$134&amp;$AW$82&amp;"C"&amp;$A140))</f>
        <v>0</v>
      </c>
      <c r="BF140" s="3">
        <f>-IF(RTD("tos.rtd",,BF$2,"."&amp;$D$134&amp;$AW$82&amp;"P"&amp;$A140)="N/A",0,RTD("tos.rtd",,BF$2,"."&amp;$D$134&amp;$AW$82&amp;"P"&amp;$A140))</f>
        <v>0</v>
      </c>
      <c r="BG140" s="3">
        <f ca="1">+Hoja2!Y141</f>
        <v>0</v>
      </c>
      <c r="BH140" s="7">
        <f t="shared" ca="1" si="549"/>
        <v>10</v>
      </c>
      <c r="BI140" s="32" t="str">
        <f t="shared" ref="BI140:BI189" ca="1" si="609">IF(AND(BH140&lt;0,BH139&gt;0), "Cruce -", IF(AND(BH140&gt;0,BH139&lt;0),"Cruce +", ""))</f>
        <v/>
      </c>
      <c r="BJ140" s="3">
        <f ca="1">IF($BP$1=1,DX140,IF(RTD("tos.rtd",,BJ$43,"."&amp;$B$134&amp;$AS$82&amp;"C"&amp;$A140)="N/A",0,RTD("tos.rtd",,BJ$43,"."&amp;$B$134&amp;$AS$82&amp;"C"&amp;$A140)))</f>
        <v>2.4068849304274514E-12</v>
      </c>
      <c r="BK140" s="3">
        <f ca="1">IF($BP$1=1,DY140,-IF(RTD("tos.rtd",,BK$43,"."&amp;$B$134&amp;$AS$82&amp;"P"&amp;$A140)="N/A",0,RTD("tos.rtd",,BK$43,"."&amp;$B$134&amp;$AS$82&amp;"P"&amp;$A140)))</f>
        <v>-2.4068849304274514E-12</v>
      </c>
      <c r="BL140" s="3">
        <f ca="1">IF($BP$1=1,DZ140,IF(RTD("tos.rtd",,BL$2,"."&amp;$C$134&amp;$AU$82&amp;"C"&amp;$A140)="N/A",0,RTD("tos.rtd",,BL$2,"."&amp;$C$134&amp;$AU$82&amp;"C"&amp;$A140)))</f>
        <v>5.6017743860270952E-4</v>
      </c>
      <c r="BM140" s="3">
        <f ca="1">IF($BP$1=1,EA140,-IF(RTD("tos.rtd",,BM$2,"."&amp;$C$134&amp;$AU$82&amp;"P"&amp;$A140)="N/A",0,RTD("tos.rtd",,BM$2,"."&amp;$C$134&amp;$AU$82&amp;"P"&amp;$A140)))</f>
        <v>-5.4322633693990117E-4</v>
      </c>
      <c r="BN140" s="3">
        <f ca="1">IF($BP$1=1,EB140,IF(RTD("tos.rtd",,BN$2,"."&amp;$D$134&amp;$AW$82&amp;"C"&amp;$A140)="N/A",0,RTD("tos.rtd",,BN$2,"."&amp;$D$134&amp;$AW$82&amp;"C"&amp;$A140)))</f>
        <v>5.8358687939744525E-4</v>
      </c>
      <c r="BO140" s="3">
        <f ca="1">IF($BP$1=1,EC140,-IF(RTD("tos.rtd",,BO$2,"."&amp;$D$134&amp;$AW$82&amp;"P"&amp;$A140)="N/A",0,RTD("tos.rtd",,BO$2,"."&amp;$D$134&amp;$AW$82&amp;"P"&amp;$A140)))</f>
        <v>-5.755344613167662E-4</v>
      </c>
      <c r="BQ140" s="3">
        <f t="shared" ca="1" si="602"/>
        <v>0</v>
      </c>
      <c r="BR140" s="3" t="str">
        <f t="shared" ca="1" si="550"/>
        <v/>
      </c>
      <c r="BS140" s="3">
        <f t="shared" ca="1" si="603"/>
        <v>95583.196961985072</v>
      </c>
      <c r="BT140" s="3" t="str">
        <f t="shared" ca="1" si="551"/>
        <v/>
      </c>
      <c r="BU140" s="3">
        <f t="shared" ca="1" si="604"/>
        <v>179239.59879324489</v>
      </c>
      <c r="BV140" s="3" t="str">
        <f t="shared" ca="1" si="551"/>
        <v/>
      </c>
      <c r="BX140" s="3">
        <f t="shared" ca="1" si="585"/>
        <v>0</v>
      </c>
      <c r="BY140" s="3" t="str">
        <f t="shared" ca="1" si="586"/>
        <v/>
      </c>
      <c r="BZ140" s="3">
        <f t="shared" ca="1" si="587"/>
        <v>1443.6818757769061</v>
      </c>
      <c r="CA140" s="3" t="str">
        <f t="shared" ca="1" si="586"/>
        <v/>
      </c>
      <c r="CB140" s="3">
        <f t="shared" ca="1" si="588"/>
        <v>0</v>
      </c>
      <c r="CC140" s="3" t="str">
        <f t="shared" ca="1" si="586"/>
        <v/>
      </c>
      <c r="CD140" s="3">
        <f>IF(RTD("tos.rtd",,CD$43,"."&amp;$B$134&amp;$AS$82&amp;"C"&amp;$A140)="N/A",0,RTD("tos.rtd",,CD$43,"."&amp;$B$134&amp;$AS$82&amp;"C"&amp;$A140))</f>
        <v>0</v>
      </c>
      <c r="CE140" s="3">
        <f>-IF(RTD("tos.rtd",,CE$43,"."&amp;$B$134&amp;$AS$82&amp;"P"&amp;$A140)="N/A",0,RTD("tos.rtd",,CE$43,"."&amp;$B$134&amp;$AS$82&amp;"P"&amp;$A140))</f>
        <v>0</v>
      </c>
      <c r="CF140" s="3">
        <f>IF(RTD("tos.rtd",,CF$2,"."&amp;$C$134&amp;$AU$82&amp;"C"&amp;$A140)="N/A",0,RTD("tos.rtd",,CF$2,"."&amp;$C$134&amp;$AU$82&amp;"C"&amp;$A140))</f>
        <v>0.19</v>
      </c>
      <c r="CG140" s="3">
        <f>-IF(RTD("tos.rtd",,CG$2,"."&amp;$C$134&amp;$AU$82&amp;"P"&amp;$A140)="N/A",0,RTD("tos.rtd",,CG$2,"."&amp;$C$134&amp;$AU$82&amp;"P"&amp;$A140))</f>
        <v>0.8</v>
      </c>
      <c r="CH140" s="3">
        <f>IF(RTD("tos.rtd",,CH$2,"."&amp;$D$134&amp;$AW$82&amp;"C"&amp;$A140)="N/A",0,RTD("tos.rtd",,CH$2,"."&amp;$D$134&amp;$AW$82&amp;"C"&amp;$A140))</f>
        <v>0.41</v>
      </c>
      <c r="CI140" s="3">
        <f>-IF(RTD("tos.rtd",,CI$2,"."&amp;$D$134&amp;$AW$82&amp;"P"&amp;$A140)="N/A",0,RTD("tos.rtd",,CI$2,"."&amp;$D$134&amp;$AW$82&amp;"P"&amp;$A140))</f>
        <v>0.57999999999999996</v>
      </c>
      <c r="CK140" s="3">
        <f t="shared" si="605"/>
        <v>0</v>
      </c>
      <c r="CL140" s="3"/>
      <c r="CM140" s="3">
        <f t="shared" si="606"/>
        <v>95</v>
      </c>
      <c r="CN140" s="3"/>
      <c r="CO140" s="3">
        <f t="shared" si="607"/>
        <v>369</v>
      </c>
      <c r="CP140" s="3">
        <f t="shared" si="542"/>
        <v>464</v>
      </c>
      <c r="CQ140" s="3">
        <f t="shared" si="552"/>
        <v>0</v>
      </c>
      <c r="CR140" s="3"/>
      <c r="CS140" s="3">
        <f t="shared" si="553"/>
        <v>10</v>
      </c>
      <c r="CT140" s="3"/>
      <c r="CU140" s="3">
        <f t="shared" si="554"/>
        <v>0</v>
      </c>
      <c r="CV140" s="3"/>
      <c r="CW140" s="3">
        <f t="shared" ca="1" si="555"/>
        <v>274822.79575522995</v>
      </c>
      <c r="CY140" s="3">
        <f t="shared" ca="1" si="556"/>
        <v>1443.6818757769061</v>
      </c>
      <c r="CZ140" s="70" t="str">
        <f t="shared" ca="1" si="589"/>
        <v/>
      </c>
      <c r="DA140" s="3">
        <f>IF(RTD("tos.rtd",,DA$43,"."&amp;$B$134&amp;$AS$82&amp;"C"&amp;$A140)="N/A",0,RTD("tos.rtd",,DA$43,"."&amp;$B$134&amp;$AS$82&amp;"C"&amp;$A140))</f>
        <v>0</v>
      </c>
      <c r="DB140" s="3">
        <f>IF(RTD("tos.rtd",,DB$43,"."&amp;$B$134&amp;$AS$82&amp;"P"&amp;$A140)="N/A",0,RTD("tos.rtd",,DB$43,"."&amp;$B$134&amp;$AS$82&amp;"P"&amp;$A140))</f>
        <v>0</v>
      </c>
      <c r="DC140" s="3">
        <f>IF(RTD("tos.rtd",,DC$43,"."&amp;$B$134&amp;$AS$82&amp;"C"&amp;$A140)="N/A",0,RTD("tos.rtd",,DC$43,"."&amp;$B$134&amp;$AS$82&amp;"C"&amp;$A140))</f>
        <v>0</v>
      </c>
      <c r="DD140" s="3">
        <f>IF(RTD("tos.rtd",,DD$43,"."&amp;$B$134&amp;$AS$82&amp;"P"&amp;$A140)="N/A",0,RTD("tos.rtd",,DD$43,"."&amp;$B$134&amp;$AS$82&amp;"P"&amp;$A140))</f>
        <v>0</v>
      </c>
      <c r="DE140" s="3">
        <f>IF(RTD("tos.rtd",,DE$43,"."&amp;$B$134&amp;$AS$82&amp;"C"&amp;$A140)="N/A",0,RTD("tos.rtd",,DE$43,"."&amp;$B$134&amp;$AS$82&amp;"C"&amp;$A140))</f>
        <v>0</v>
      </c>
      <c r="DF140" s="3">
        <f>IF(RTD("tos.rtd",,DF$43,"."&amp;$B$134&amp;$AS$82&amp;"P"&amp;$A140)="N/A",0,RTD("tos.rtd",,DF$43,"."&amp;$B$134&amp;$AS$82&amp;"P"&amp;$A140))</f>
        <v>0</v>
      </c>
      <c r="DG140" s="86">
        <f t="shared" si="590"/>
        <v>431.25</v>
      </c>
      <c r="DH140" s="3" t="e">
        <f t="shared" si="557"/>
        <v>#DIV/0!</v>
      </c>
      <c r="DI140" s="3" t="e">
        <f t="shared" si="558"/>
        <v>#DIV/0!</v>
      </c>
      <c r="DJ140" s="3">
        <f t="shared" si="559"/>
        <v>0</v>
      </c>
      <c r="DK140" s="3">
        <f t="shared" si="560"/>
        <v>0</v>
      </c>
      <c r="DL140" s="3" t="e">
        <f t="shared" si="561"/>
        <v>#DIV/0!</v>
      </c>
      <c r="DM140" s="3">
        <f t="shared" si="562"/>
        <v>0</v>
      </c>
      <c r="DN140" s="64" t="str">
        <f t="shared" si="563"/>
        <v>UNKNOWN</v>
      </c>
      <c r="DO140" s="64" t="str">
        <f t="shared" si="564"/>
        <v>UNKNOWN</v>
      </c>
      <c r="DP140" s="3" t="e">
        <f t="shared" si="565"/>
        <v>#DIV/0!</v>
      </c>
      <c r="DQ140" s="3">
        <f t="shared" si="566"/>
        <v>0</v>
      </c>
      <c r="DR140" s="3">
        <f t="shared" ca="1" si="567"/>
        <v>0</v>
      </c>
      <c r="DS140" s="3">
        <f t="shared" si="568"/>
        <v>0</v>
      </c>
      <c r="DT140" s="3">
        <f t="shared" si="591"/>
        <v>0</v>
      </c>
      <c r="DU140" s="3">
        <f t="shared" si="592"/>
        <v>0</v>
      </c>
      <c r="DV140" s="3">
        <f t="shared" si="569"/>
        <v>0</v>
      </c>
      <c r="DW140" s="3">
        <f t="shared" si="570"/>
        <v>0</v>
      </c>
      <c r="DX140" s="3">
        <f t="shared" ca="1" si="571"/>
        <v>2.4068849304274514E-12</v>
      </c>
      <c r="DY140" s="3">
        <f t="shared" ca="1" si="572"/>
        <v>-2.4068849304274514E-12</v>
      </c>
      <c r="DZ140" s="3">
        <f t="shared" ca="1" si="573"/>
        <v>5.6017743860270952E-4</v>
      </c>
      <c r="EA140" s="3">
        <f t="shared" ca="1" si="574"/>
        <v>-5.4322633693990117E-4</v>
      </c>
      <c r="EB140" s="3">
        <f t="shared" ca="1" si="575"/>
        <v>5.8358687939744525E-4</v>
      </c>
      <c r="EC140" s="3">
        <f t="shared" ca="1" si="576"/>
        <v>-5.755344613167662E-4</v>
      </c>
      <c r="ED140" s="63">
        <f t="shared" si="593"/>
        <v>0</v>
      </c>
      <c r="EE140" s="59">
        <f t="shared" si="577"/>
        <v>0.25</v>
      </c>
      <c r="EF140" s="59">
        <f t="shared" si="578"/>
        <v>0.25</v>
      </c>
      <c r="EG140" s="59">
        <f t="shared" si="579"/>
        <v>0.2064</v>
      </c>
      <c r="EH140" s="59">
        <f t="shared" si="580"/>
        <v>0.2215</v>
      </c>
      <c r="EI140" s="59">
        <f t="shared" si="581"/>
        <v>0.18049999999999999</v>
      </c>
      <c r="EJ140" s="59">
        <f t="shared" si="582"/>
        <v>0.1908</v>
      </c>
      <c r="EK140" s="63">
        <f t="shared" ca="1" si="594"/>
        <v>0</v>
      </c>
      <c r="EL140" s="3" t="str">
        <f>RTD("tos.rtd",,EL$43,"."&amp;$B$134&amp;$AS$82&amp;"C"&amp;$A140)</f>
        <v>N/A</v>
      </c>
      <c r="EM140" s="3" t="str">
        <f>RTD("tos.rtd",,EM$43,"."&amp;$B$134&amp;$AS$82&amp;"P"&amp;$A140)</f>
        <v>N/A</v>
      </c>
      <c r="EN140" s="3" t="str">
        <f>RTD("tos.rtd",,EN$2,"."&amp;$C$134&amp;$AU$82&amp;"C"&amp;$A140)</f>
        <v>20.64%</v>
      </c>
      <c r="EO140" s="3" t="str">
        <f>RTD("tos.rtd",,EO$2,"."&amp;$C$134&amp;$AU$82&amp;"P"&amp;$A140)</f>
        <v>22.15%</v>
      </c>
      <c r="EP140" s="3" t="str">
        <f>RTD("tos.rtd",,EP$2,"."&amp;$D$134&amp;$AW$82&amp;"C"&amp;$A140)</f>
        <v>18.05%</v>
      </c>
      <c r="EQ140" s="3" t="str">
        <f>RTD("tos.rtd",,EQ$2,"."&amp;$D$134&amp;$AW$82&amp;"P"&amp;$A140)</f>
        <v>19.08%</v>
      </c>
      <c r="ES140" s="63" t="str">
        <f t="shared" si="583"/>
        <v>21275,00.00</v>
      </c>
      <c r="ET140" s="63" t="str">
        <f t="shared" ca="1" si="584"/>
        <v>21275,01.44</v>
      </c>
      <c r="EU140" s="67">
        <v>571.83000000000004</v>
      </c>
      <c r="EV140" s="67" t="s">
        <v>1139</v>
      </c>
      <c r="EW140" s="67">
        <v>497.07</v>
      </c>
      <c r="EX140" s="67" t="s">
        <v>1140</v>
      </c>
      <c r="EY140" s="67">
        <v>5729.5</v>
      </c>
      <c r="EZ140" s="67" t="s">
        <v>1141</v>
      </c>
      <c r="FA140" s="67">
        <v>20408.75</v>
      </c>
      <c r="FB140" s="67" t="s">
        <v>1142</v>
      </c>
      <c r="FC140" s="67" t="s">
        <v>1143</v>
      </c>
      <c r="FD140" s="67" t="s">
        <v>1144</v>
      </c>
      <c r="FE140" s="68" t="s">
        <v>1145</v>
      </c>
      <c r="FF140" s="68" t="s">
        <v>1146</v>
      </c>
    </row>
    <row r="141" spans="1:162" ht="11.1" customHeight="1" thickBot="1" x14ac:dyDescent="0.25">
      <c r="A141" s="2">
        <f t="shared" si="595"/>
        <v>21250</v>
      </c>
      <c r="B141" s="3">
        <f t="shared" si="596"/>
        <v>14</v>
      </c>
      <c r="C141" s="3">
        <f t="shared" si="597"/>
        <v>8</v>
      </c>
      <c r="D141" s="3">
        <f t="shared" si="608"/>
        <v>62</v>
      </c>
      <c r="E141" s="3">
        <f t="shared" si="598"/>
        <v>84</v>
      </c>
      <c r="F141" s="4">
        <f t="shared" si="599"/>
        <v>21351.949025487254</v>
      </c>
      <c r="G141" s="5">
        <f t="shared" si="600"/>
        <v>517.55442278860573</v>
      </c>
      <c r="AM141" s="1">
        <v>45</v>
      </c>
      <c r="AN141" s="1">
        <v>0</v>
      </c>
      <c r="AO141" s="1">
        <v>21250</v>
      </c>
      <c r="AP141" s="1">
        <v>113</v>
      </c>
      <c r="AQ141" s="1">
        <v>0</v>
      </c>
      <c r="AS141" s="54">
        <f>IF(RTD("tos.rtd",,AS$83,"."&amp;$B$134&amp;$AS$82&amp;"C"&amp;$A141)="N/A",0,RTD("tos.rtd",,AS$83,"."&amp;$B$134&amp;$AS$82&amp;"C"&amp;$A141))</f>
        <v>14</v>
      </c>
      <c r="AT141" s="3">
        <f>-IF(RTD("tos.rtd",,AT$83,"."&amp;$B$134&amp;$AS$82&amp;"P"&amp;$A141)="N/A",0,RTD("tos.rtd",,AT$83,"."&amp;$B$134&amp;$AS$82&amp;"P"&amp;$A141))</f>
        <v>0</v>
      </c>
      <c r="AU141" s="54">
        <f>IF(RTD("tos.rtd",,AU$2,"."&amp;$C$134&amp;$AU$134&amp;"C"&amp;$A141)="N/A",0,RTD("tos.rtd",,AU$2,"."&amp;$C$134&amp;$AU$134&amp;"C"&amp;$A141))</f>
        <v>8</v>
      </c>
      <c r="AV141" s="3">
        <f>-IF(RTD("tos.rtd",,AV$2,"."&amp;$C$134&amp;$AU$134&amp;"P"&amp;$A141)="N/A",0,RTD("tos.rtd",,AV$2,"."&amp;$C$134&amp;$AU$134&amp;"P"&amp;$A141))</f>
        <v>0</v>
      </c>
      <c r="AW141" s="54">
        <f>IF(RTD("tos.rtd",,AW$2,"."&amp;$D$134&amp;$AW$134&amp;"C"&amp;$A141)="N/A",0,RTD("tos.rtd",,AW$2,"."&amp;$D$134&amp;$AW$134&amp;"C"&amp;$A141))</f>
        <v>62</v>
      </c>
      <c r="AX141" s="3">
        <f>-IF(RTD("tos.rtd",,AX$2,"."&amp;$D$134&amp;$AW$134&amp;"P"&amp;$A141)="N/A",0,RTD("tos.rtd",,AX$2,"."&amp;$D$134&amp;$AW$134&amp;"P"&amp;$A141))</f>
        <v>0</v>
      </c>
      <c r="AY141" s="76">
        <f t="shared" si="601"/>
        <v>84</v>
      </c>
      <c r="AZ141" s="8">
        <f t="shared" si="548"/>
        <v>21250</v>
      </c>
      <c r="BA141" s="54">
        <f>IF(RTD("tos.rtd",,BA$43,"."&amp;$B$134&amp;$AS$82&amp;"C"&amp;$A141)="N/A",0,RTD("tos.rtd",,BA$43,"."&amp;$B$134&amp;$AS$82&amp;"C"&amp;$A141))</f>
        <v>113</v>
      </c>
      <c r="BB141" s="3">
        <f>-IF(RTD("tos.rtd",,BB$43,"."&amp;$B$134&amp;$AS$82&amp;"P"&amp;$A141)="N/A",0,RTD("tos.rtd",,BB$43,"."&amp;$B$134&amp;$AS$82&amp;"P"&amp;$A141))</f>
        <v>0</v>
      </c>
      <c r="BC141" s="54">
        <f>IF(RTD("tos.rtd",,BC$2,"."&amp;$C$134&amp;$AU$82&amp;"C"&amp;$A141)="N/A",0,RTD("tos.rtd",,BC$2,"."&amp;$C$134&amp;$AU$82&amp;"C"&amp;$A141))</f>
        <v>5</v>
      </c>
      <c r="BD141" s="3">
        <f>-IF(RTD("tos.rtd",,BD$2,"."&amp;$C$134&amp;$AU$82&amp;"P"&amp;$A141)="N/A",0,RTD("tos.rtd",,BD$2,"."&amp;$C$134&amp;$AU$82&amp;"P"&amp;$A141))</f>
        <v>0</v>
      </c>
      <c r="BE141" s="54">
        <f>IF(RTD("tos.rtd",,BE$2,"."&amp;$D$134&amp;$AW$82&amp;"C"&amp;$A141)="N/A",0,RTD("tos.rtd",,BE$2,"."&amp;$D$134&amp;$AW$82&amp;"C"&amp;$A141))</f>
        <v>6</v>
      </c>
      <c r="BF141" s="3">
        <f>-IF(RTD("tos.rtd",,BF$2,"."&amp;$D$134&amp;$AW$82&amp;"P"&amp;$A141)="N/A",0,RTD("tos.rtd",,BF$2,"."&amp;$D$134&amp;$AW$82&amp;"P"&amp;$A141))</f>
        <v>0</v>
      </c>
      <c r="BG141" s="3">
        <f ca="1">+Hoja2!Y142</f>
        <v>2</v>
      </c>
      <c r="BH141" s="7">
        <f t="shared" ca="1" si="549"/>
        <v>126</v>
      </c>
      <c r="BI141" s="32" t="str">
        <f t="shared" ca="1" si="609"/>
        <v/>
      </c>
      <c r="BJ141" s="3">
        <f ca="1">IF($BP$1=1,DX141,IF(RTD("tos.rtd",,BJ$43,"."&amp;$B$134&amp;$AS$82&amp;"C"&amp;$A141)="N/A",0,RTD("tos.rtd",,BJ$43,"."&amp;$B$134&amp;$AS$82&amp;"C"&amp;$A141)))</f>
        <v>6.0199993507587869E-4</v>
      </c>
      <c r="BK141" s="3">
        <f ca="1">IF($BP$1=1,DY141,-IF(RTD("tos.rtd",,BK$43,"."&amp;$B$134&amp;$AS$82&amp;"P"&amp;$A141)="N/A",0,RTD("tos.rtd",,BK$43,"."&amp;$B$134&amp;$AS$82&amp;"P"&amp;$A141)))</f>
        <v>-6.0729780236078135E-4</v>
      </c>
      <c r="BL141" s="3">
        <f ca="1">IF($BP$1=1,DZ141,IF(RTD("tos.rtd",,BL$2,"."&amp;$C$134&amp;$AU$82&amp;"C"&amp;$A141)="N/A",0,RTD("tos.rtd",,BL$2,"."&amp;$C$134&amp;$AU$82&amp;"C"&amp;$A141)))</f>
        <v>5.8008877982217817E-4</v>
      </c>
      <c r="BM141" s="3">
        <f ca="1">IF($BP$1=1,EA141,-IF(RTD("tos.rtd",,BM$2,"."&amp;$C$134&amp;$AU$82&amp;"P"&amp;$A141)="N/A",0,RTD("tos.rtd",,BM$2,"."&amp;$C$134&amp;$AU$82&amp;"P"&amp;$A141)))</f>
        <v>-5.4983685825498059E-4</v>
      </c>
      <c r="BN141" s="3">
        <f ca="1">IF($BP$1=1,EB141,IF(RTD("tos.rtd",,BN$2,"."&amp;$D$134&amp;$AW$82&amp;"C"&amp;$A141)="N/A",0,RTD("tos.rtd",,BN$2,"."&amp;$D$134&amp;$AW$82&amp;"C"&amp;$A141)))</f>
        <v>6.0992169797667269E-4</v>
      </c>
      <c r="BO141" s="3">
        <f ca="1">IF($BP$1=1,EC141,-IF(RTD("tos.rtd",,BO$2,"."&amp;$D$134&amp;$AW$82&amp;"P"&amp;$A141)="N/A",0,RTD("tos.rtd",,BO$2,"."&amp;$D$134&amp;$AW$82&amp;"P"&amp;$A141)))</f>
        <v>-5.9854594965323075E-4</v>
      </c>
      <c r="BQ141" s="3">
        <f t="shared" ca="1" si="602"/>
        <v>287614.25991230295</v>
      </c>
      <c r="BR141" s="3" t="str">
        <f t="shared" ca="1" si="550"/>
        <v/>
      </c>
      <c r="BS141" s="3">
        <f t="shared" ca="1" si="603"/>
        <v>158369.07744227786</v>
      </c>
      <c r="BT141" s="3" t="str">
        <f t="shared" ca="1" si="551"/>
        <v/>
      </c>
      <c r="BU141" s="3">
        <f t="shared" ca="1" si="604"/>
        <v>1290481.2760541132</v>
      </c>
      <c r="BV141" s="3" t="str">
        <f t="shared" ca="1" si="551"/>
        <v/>
      </c>
      <c r="BX141" s="3">
        <f t="shared" ca="1" si="585"/>
        <v>17531.568735631685</v>
      </c>
      <c r="BY141" s="3" t="str">
        <f t="shared" ca="1" si="586"/>
        <v/>
      </c>
      <c r="BZ141" s="3">
        <f t="shared" ca="1" si="587"/>
        <v>747.49856033095887</v>
      </c>
      <c r="CA141" s="3" t="str">
        <f t="shared" ca="1" si="586"/>
        <v/>
      </c>
      <c r="CB141" s="3">
        <f t="shared" ca="1" si="588"/>
        <v>943.12927333350785</v>
      </c>
      <c r="CC141" s="3" t="str">
        <f t="shared" ca="1" si="586"/>
        <v/>
      </c>
      <c r="CD141" s="3">
        <f>IF(RTD("tos.rtd",,CD$43,"."&amp;$B$134&amp;$AS$82&amp;"C"&amp;$A141)="N/A",0,RTD("tos.rtd",,CD$43,"."&amp;$B$134&amp;$AS$82&amp;"C"&amp;$A141))</f>
        <v>0.08</v>
      </c>
      <c r="CE141" s="3">
        <f>-IF(RTD("tos.rtd",,CE$43,"."&amp;$B$134&amp;$AS$82&amp;"P"&amp;$A141)="N/A",0,RTD("tos.rtd",,CE$43,"."&amp;$B$134&amp;$AS$82&amp;"P"&amp;$A141))</f>
        <v>0.94</v>
      </c>
      <c r="CF141" s="3">
        <f>IF(RTD("tos.rtd",,CF$2,"."&amp;$C$134&amp;$AU$82&amp;"C"&amp;$A141)="N/A",0,RTD("tos.rtd",,CF$2,"."&amp;$C$134&amp;$AU$82&amp;"C"&amp;$A141))</f>
        <v>0.2</v>
      </c>
      <c r="CG141" s="3">
        <f>-IF(RTD("tos.rtd",,CG$2,"."&amp;$C$134&amp;$AU$82&amp;"P"&amp;$A141)="N/A",0,RTD("tos.rtd",,CG$2,"."&amp;$C$134&amp;$AU$82&amp;"P"&amp;$A141))</f>
        <v>0.77</v>
      </c>
      <c r="CH141" s="3">
        <f>IF(RTD("tos.rtd",,CH$2,"."&amp;$D$134&amp;$AW$82&amp;"C"&amp;$A141)="N/A",0,RTD("tos.rtd",,CH$2,"."&amp;$D$134&amp;$AW$82&amp;"C"&amp;$A141))</f>
        <v>0.42</v>
      </c>
      <c r="CI141" s="3">
        <f>-IF(RTD("tos.rtd",,CI$2,"."&amp;$D$134&amp;$AW$82&amp;"P"&amp;$A141)="N/A",0,RTD("tos.rtd",,CI$2,"."&amp;$D$134&amp;$AW$82&amp;"P"&amp;$A141))</f>
        <v>0.56999999999999995</v>
      </c>
      <c r="CK141" s="3">
        <f t="shared" si="605"/>
        <v>112.00000000000001</v>
      </c>
      <c r="CL141" s="3"/>
      <c r="CM141" s="3">
        <f t="shared" si="606"/>
        <v>160</v>
      </c>
      <c r="CN141" s="3"/>
      <c r="CO141" s="3">
        <f t="shared" si="607"/>
        <v>2604</v>
      </c>
      <c r="CP141" s="3">
        <f t="shared" si="542"/>
        <v>2876</v>
      </c>
      <c r="CQ141" s="3">
        <f t="shared" si="552"/>
        <v>113</v>
      </c>
      <c r="CR141" s="3"/>
      <c r="CS141" s="3">
        <f t="shared" si="553"/>
        <v>5</v>
      </c>
      <c r="CT141" s="3"/>
      <c r="CU141" s="3">
        <f t="shared" si="554"/>
        <v>6</v>
      </c>
      <c r="CV141" s="3"/>
      <c r="CW141" s="3">
        <f t="shared" ca="1" si="555"/>
        <v>1736464.613408694</v>
      </c>
      <c r="CY141" s="3">
        <f t="shared" ca="1" si="556"/>
        <v>19222.196569296149</v>
      </c>
      <c r="CZ141" s="70" t="str">
        <f t="shared" ca="1" si="589"/>
        <v/>
      </c>
      <c r="DA141" s="3">
        <f>IF(RTD("tos.rtd",,DA$43,"."&amp;$B$134&amp;$AS$82&amp;"C"&amp;$A141)="N/A",0,RTD("tos.rtd",,DA$43,"."&amp;$B$134&amp;$AS$82&amp;"C"&amp;$A141))</f>
        <v>0.2</v>
      </c>
      <c r="DB141" s="3">
        <f>IF(RTD("tos.rtd",,DB$43,"."&amp;$B$134&amp;$AS$82&amp;"P"&amp;$A141)="N/A",0,RTD("tos.rtd",,DB$43,"."&amp;$B$134&amp;$AS$82&amp;"P"&amp;$A141))</f>
        <v>0</v>
      </c>
      <c r="DC141" s="3">
        <f>IF(RTD("tos.rtd",,DC$43,"."&amp;$B$134&amp;$AS$82&amp;"C"&amp;$A141)="N/A",0,RTD("tos.rtd",,DC$43,"."&amp;$B$134&amp;$AS$82&amp;"C"&amp;$A141))</f>
        <v>19.8</v>
      </c>
      <c r="DD141" s="3">
        <f>IF(RTD("tos.rtd",,DD$43,"."&amp;$B$134&amp;$AS$82&amp;"P"&amp;$A141)="N/A",0,RTD("tos.rtd",,DD$43,"."&amp;$B$134&amp;$AS$82&amp;"P"&amp;$A141))</f>
        <v>413.7</v>
      </c>
      <c r="DE141" s="3">
        <f>IF(RTD("tos.rtd",,DE$43,"."&amp;$B$134&amp;$AS$82&amp;"C"&amp;$A141)="N/A",0,RTD("tos.rtd",,DE$43,"."&amp;$B$134&amp;$AS$82&amp;"C"&amp;$A141))</f>
        <v>0</v>
      </c>
      <c r="DF141" s="3">
        <f>IF(RTD("tos.rtd",,DF$43,"."&amp;$B$134&amp;$AS$82&amp;"P"&amp;$A141)="N/A",0,RTD("tos.rtd",,DF$43,"."&amp;$B$134&amp;$AS$82&amp;"P"&amp;$A141))</f>
        <v>363.7</v>
      </c>
      <c r="DG141" s="86">
        <f t="shared" si="590"/>
        <v>406.25</v>
      </c>
      <c r="DH141" s="3">
        <f t="shared" si="557"/>
        <v>0</v>
      </c>
      <c r="DI141" s="3">
        <f t="shared" si="558"/>
        <v>0</v>
      </c>
      <c r="DJ141" s="3">
        <f t="shared" si="559"/>
        <v>0</v>
      </c>
      <c r="DK141" s="3">
        <f t="shared" si="560"/>
        <v>0</v>
      </c>
      <c r="DL141" s="3">
        <f t="shared" si="561"/>
        <v>0</v>
      </c>
      <c r="DM141" s="3">
        <f t="shared" si="562"/>
        <v>0</v>
      </c>
      <c r="DN141" s="64" t="str">
        <f t="shared" si="563"/>
        <v>UNKNOWN</v>
      </c>
      <c r="DO141" s="64" t="str">
        <f t="shared" si="564"/>
        <v>UNKNOWN</v>
      </c>
      <c r="DP141" s="3">
        <f t="shared" si="565"/>
        <v>0</v>
      </c>
      <c r="DQ141" s="3">
        <f t="shared" si="566"/>
        <v>0</v>
      </c>
      <c r="DR141" s="3">
        <f t="shared" ca="1" si="567"/>
        <v>0</v>
      </c>
      <c r="DS141" s="3">
        <f t="shared" si="568"/>
        <v>0</v>
      </c>
      <c r="DT141" s="3">
        <f t="shared" si="591"/>
        <v>0</v>
      </c>
      <c r="DU141" s="3">
        <f t="shared" si="592"/>
        <v>0</v>
      </c>
      <c r="DV141" s="3">
        <f t="shared" si="569"/>
        <v>45</v>
      </c>
      <c r="DW141" s="3">
        <f t="shared" si="570"/>
        <v>0</v>
      </c>
      <c r="DX141" s="3">
        <f t="shared" ca="1" si="571"/>
        <v>6.0199993507587869E-4</v>
      </c>
      <c r="DY141" s="3">
        <f t="shared" ca="1" si="572"/>
        <v>-6.0729780236078135E-4</v>
      </c>
      <c r="DZ141" s="3">
        <f t="shared" ca="1" si="573"/>
        <v>5.8008877982217817E-4</v>
      </c>
      <c r="EA141" s="3">
        <f t="shared" ca="1" si="574"/>
        <v>-5.4983685825498059E-4</v>
      </c>
      <c r="EB141" s="3">
        <f t="shared" ca="1" si="575"/>
        <v>6.0992169797667269E-4</v>
      </c>
      <c r="EC141" s="3">
        <f t="shared" ca="1" si="576"/>
        <v>-5.9854594965323075E-4</v>
      </c>
      <c r="ED141" s="63">
        <f t="shared" si="593"/>
        <v>45</v>
      </c>
      <c r="EE141" s="59">
        <f t="shared" si="577"/>
        <v>1.7104999999999999</v>
      </c>
      <c r="EF141" s="59">
        <f t="shared" si="578"/>
        <v>1.5729</v>
      </c>
      <c r="EG141" s="59">
        <f t="shared" si="579"/>
        <v>0.20610000000000001</v>
      </c>
      <c r="EH141" s="59">
        <f t="shared" si="580"/>
        <v>0.22869999999999999</v>
      </c>
      <c r="EI141" s="59">
        <f t="shared" si="581"/>
        <v>0.18099999999999999</v>
      </c>
      <c r="EJ141" s="59">
        <f t="shared" si="582"/>
        <v>0.1913</v>
      </c>
      <c r="EK141" s="63">
        <f t="shared" ca="1" si="594"/>
        <v>11769571.982635515</v>
      </c>
      <c r="EL141" s="3" t="str">
        <f>RTD("tos.rtd",,EL$43,"."&amp;$B$134&amp;$AS$82&amp;"C"&amp;$A141)</f>
        <v>171.05%</v>
      </c>
      <c r="EM141" s="3" t="str">
        <f>RTD("tos.rtd",,EM$43,"."&amp;$B$134&amp;$AS$82&amp;"P"&amp;$A141)</f>
        <v>157.29%</v>
      </c>
      <c r="EN141" s="3" t="str">
        <f>RTD("tos.rtd",,EN$2,"."&amp;$C$134&amp;$AU$82&amp;"C"&amp;$A141)</f>
        <v>20.61%</v>
      </c>
      <c r="EO141" s="3" t="str">
        <f>RTD("tos.rtd",,EO$2,"."&amp;$C$134&amp;$AU$82&amp;"P"&amp;$A141)</f>
        <v>22.87%</v>
      </c>
      <c r="EP141" s="3" t="str">
        <f>RTD("tos.rtd",,EP$2,"."&amp;$D$134&amp;$AW$82&amp;"C"&amp;$A141)</f>
        <v>18.10%</v>
      </c>
      <c r="EQ141" s="3" t="str">
        <f>RTD("tos.rtd",,EQ$2,"."&amp;$D$134&amp;$AW$82&amp;"P"&amp;$A141)</f>
        <v>19.13%</v>
      </c>
      <c r="ES141" s="63" t="str">
        <f t="shared" si="583"/>
        <v>21250,45.00</v>
      </c>
      <c r="ET141" s="63" t="str">
        <f t="shared" ca="1" si="584"/>
        <v>21250,19.22</v>
      </c>
      <c r="EU141" s="67">
        <v>571.83000000000004</v>
      </c>
      <c r="EV141" s="67" t="s">
        <v>1147</v>
      </c>
      <c r="EW141" s="67">
        <v>497.1</v>
      </c>
      <c r="EX141" s="67" t="s">
        <v>1148</v>
      </c>
      <c r="EY141" s="67">
        <v>5729.5</v>
      </c>
      <c r="EZ141" s="67" t="s">
        <v>1149</v>
      </c>
      <c r="FA141" s="67">
        <v>20410.25</v>
      </c>
      <c r="FB141" s="67" t="s">
        <v>1150</v>
      </c>
      <c r="FC141" s="67" t="s">
        <v>1151</v>
      </c>
      <c r="FD141" s="67" t="s">
        <v>1152</v>
      </c>
      <c r="FE141" s="68" t="s">
        <v>1153</v>
      </c>
      <c r="FF141" s="68" t="s">
        <v>1154</v>
      </c>
    </row>
    <row r="142" spans="1:162" ht="11.1" customHeight="1" thickBot="1" x14ac:dyDescent="0.25">
      <c r="A142" s="2">
        <f t="shared" si="595"/>
        <v>21225</v>
      </c>
      <c r="B142" s="3">
        <f t="shared" si="596"/>
        <v>0</v>
      </c>
      <c r="C142" s="3">
        <f t="shared" si="597"/>
        <v>13</v>
      </c>
      <c r="D142" s="3">
        <f t="shared" si="608"/>
        <v>4</v>
      </c>
      <c r="E142" s="3">
        <f t="shared" si="598"/>
        <v>17</v>
      </c>
      <c r="F142" s="4">
        <f t="shared" si="599"/>
        <v>21326.82908545727</v>
      </c>
      <c r="G142" s="5">
        <f t="shared" si="600"/>
        <v>516.9455352323838</v>
      </c>
      <c r="AM142" s="1">
        <v>0</v>
      </c>
      <c r="AN142" s="1">
        <v>0</v>
      </c>
      <c r="AO142" s="1">
        <v>21225</v>
      </c>
      <c r="AP142" s="1">
        <v>0</v>
      </c>
      <c r="AQ142" s="1">
        <v>0</v>
      </c>
      <c r="AS142" s="54">
        <f>IF(RTD("tos.rtd",,AS$83,"."&amp;$B$134&amp;$AS$82&amp;"C"&amp;$A142)="N/A",0,RTD("tos.rtd",,AS$83,"."&amp;$B$134&amp;$AS$82&amp;"C"&amp;$A142))</f>
        <v>0</v>
      </c>
      <c r="AT142" s="3">
        <f>-IF(RTD("tos.rtd",,AT$83,"."&amp;$B$134&amp;$AS$82&amp;"P"&amp;$A142)="N/A",0,RTD("tos.rtd",,AT$83,"."&amp;$B$134&amp;$AS$82&amp;"P"&amp;$A142))</f>
        <v>0</v>
      </c>
      <c r="AU142" s="54">
        <f>IF(RTD("tos.rtd",,AU$2,"."&amp;$C$134&amp;$AU$134&amp;"C"&amp;$A142)="N/A",0,RTD("tos.rtd",,AU$2,"."&amp;$C$134&amp;$AU$134&amp;"C"&amp;$A142))</f>
        <v>13</v>
      </c>
      <c r="AV142" s="3">
        <f>-IF(RTD("tos.rtd",,AV$2,"."&amp;$C$134&amp;$AU$134&amp;"P"&amp;$A142)="N/A",0,RTD("tos.rtd",,AV$2,"."&amp;$C$134&amp;$AU$134&amp;"P"&amp;$A142))</f>
        <v>0</v>
      </c>
      <c r="AW142" s="54">
        <f>IF(RTD("tos.rtd",,AW$2,"."&amp;$D$134&amp;$AW$134&amp;"C"&amp;$A142)="N/A",0,RTD("tos.rtd",,AW$2,"."&amp;$D$134&amp;$AW$134&amp;"C"&amp;$A142))</f>
        <v>3</v>
      </c>
      <c r="AX142" s="3">
        <f>-IF(RTD("tos.rtd",,AX$2,"."&amp;$D$134&amp;$AW$134&amp;"P"&amp;$A142)="N/A",0,RTD("tos.rtd",,AX$2,"."&amp;$D$134&amp;$AW$134&amp;"P"&amp;$A142))</f>
        <v>-1</v>
      </c>
      <c r="AY142" s="76">
        <f t="shared" si="601"/>
        <v>15</v>
      </c>
      <c r="AZ142" s="8">
        <f t="shared" si="548"/>
        <v>21225</v>
      </c>
      <c r="BA142" s="54">
        <f>IF(RTD("tos.rtd",,BA$43,"."&amp;$B$134&amp;$AS$82&amp;"C"&amp;$A142)="N/A",0,RTD("tos.rtd",,BA$43,"."&amp;$B$134&amp;$AS$82&amp;"C"&amp;$A142))</f>
        <v>0</v>
      </c>
      <c r="BB142" s="3">
        <f>-IF(RTD("tos.rtd",,BB$43,"."&amp;$B$134&amp;$AS$82&amp;"P"&amp;$A142)="N/A",0,RTD("tos.rtd",,BB$43,"."&amp;$B$134&amp;$AS$82&amp;"P"&amp;$A142))</f>
        <v>0</v>
      </c>
      <c r="BC142" s="54">
        <f>IF(RTD("tos.rtd",,BC$2,"."&amp;$C$134&amp;$AU$82&amp;"C"&amp;$A142)="N/A",0,RTD("tos.rtd",,BC$2,"."&amp;$C$134&amp;$AU$82&amp;"C"&amp;$A142))</f>
        <v>7</v>
      </c>
      <c r="BD142" s="3">
        <f>-IF(RTD("tos.rtd",,BD$2,"."&amp;$C$134&amp;$AU$82&amp;"P"&amp;$A142)="N/A",0,RTD("tos.rtd",,BD$2,"."&amp;$C$134&amp;$AU$82&amp;"P"&amp;$A142))</f>
        <v>0</v>
      </c>
      <c r="BE142" s="54">
        <f>IF(RTD("tos.rtd",,BE$2,"."&amp;$D$134&amp;$AW$82&amp;"C"&amp;$A142)="N/A",0,RTD("tos.rtd",,BE$2,"."&amp;$D$134&amp;$AW$82&amp;"C"&amp;$A142))</f>
        <v>0</v>
      </c>
      <c r="BF142" s="3">
        <f>-IF(RTD("tos.rtd",,BF$2,"."&amp;$D$134&amp;$AW$82&amp;"P"&amp;$A142)="N/A",0,RTD("tos.rtd",,BF$2,"."&amp;$D$134&amp;$AW$82&amp;"P"&amp;$A142))</f>
        <v>0</v>
      </c>
      <c r="BG142" s="3">
        <f ca="1">+Hoja2!Y143</f>
        <v>1</v>
      </c>
      <c r="BH142" s="7">
        <f t="shared" ca="1" si="549"/>
        <v>8</v>
      </c>
      <c r="BI142" s="32" t="str">
        <f t="shared" ca="1" si="609"/>
        <v/>
      </c>
      <c r="BJ142" s="3">
        <f ca="1">IF($BP$1=1,DX142,IF(RTD("tos.rtd",,BJ$43,"."&amp;$B$134&amp;$AS$82&amp;"C"&amp;$A142)="N/A",0,RTD("tos.rtd",,BJ$43,"."&amp;$B$134&amp;$AS$82&amp;"C"&amp;$A142)))</f>
        <v>2.6314138743853894E-10</v>
      </c>
      <c r="BK142" s="3">
        <f ca="1">IF($BP$1=1,DY142,-IF(RTD("tos.rtd",,BK$43,"."&amp;$B$134&amp;$AS$82&amp;"P"&amp;$A142)="N/A",0,RTD("tos.rtd",,BK$43,"."&amp;$B$134&amp;$AS$82&amp;"P"&amp;$A142)))</f>
        <v>-2.6314138743853894E-10</v>
      </c>
      <c r="BL142" s="3">
        <f ca="1">IF($BP$1=1,DZ142,IF(RTD("tos.rtd",,BL$2,"."&amp;$C$134&amp;$AU$82&amp;"C"&amp;$A142)="N/A",0,RTD("tos.rtd",,BL$2,"."&amp;$C$134&amp;$AU$82&amp;"C"&amp;$A142)))</f>
        <v>5.9925967313984919E-4</v>
      </c>
      <c r="BM142" s="3">
        <f ca="1">IF($BP$1=1,EA142,-IF(RTD("tos.rtd",,BM$2,"."&amp;$C$134&amp;$AU$82&amp;"P"&amp;$A142)="N/A",0,RTD("tos.rtd",,BM$2,"."&amp;$C$134&amp;$AU$82&amp;"P"&amp;$A142)))</f>
        <v>-5.6239218494215739E-4</v>
      </c>
      <c r="BN142" s="3">
        <f ca="1">IF($BP$1=1,EB142,IF(RTD("tos.rtd",,BN$2,"."&amp;$D$134&amp;$AW$82&amp;"C"&amp;$A142)="N/A",0,RTD("tos.rtd",,BN$2,"."&amp;$D$134&amp;$AW$82&amp;"C"&amp;$A142)))</f>
        <v>6.3539974109158136E-4</v>
      </c>
      <c r="BO142" s="3">
        <f ca="1">IF($BP$1=1,EC142,-IF(RTD("tos.rtd",,BO$2,"."&amp;$D$134&amp;$AW$82&amp;"P"&amp;$A142)="N/A",0,RTD("tos.rtd",,BO$2,"."&amp;$D$134&amp;$AW$82&amp;"P"&amp;$A142)))</f>
        <v>-6.2085201014969735E-4</v>
      </c>
      <c r="BQ142" s="3">
        <f t="shared" ca="1" si="602"/>
        <v>0</v>
      </c>
      <c r="BR142" s="3" t="str">
        <f t="shared" ca="1" si="550"/>
        <v/>
      </c>
      <c r="BS142" s="3">
        <f t="shared" ca="1" si="603"/>
        <v>265854.69834547216</v>
      </c>
      <c r="BT142" s="3" t="str">
        <f t="shared" ca="1" si="551"/>
        <v/>
      </c>
      <c r="BU142" s="3">
        <f t="shared" ca="1" si="604"/>
        <v>43863.814345369712</v>
      </c>
      <c r="BV142" s="3" t="str">
        <f t="shared" ca="1" si="551"/>
        <v/>
      </c>
      <c r="BX142" s="3">
        <f t="shared" ca="1" si="585"/>
        <v>0</v>
      </c>
      <c r="BY142" s="3" t="str">
        <f t="shared" ca="1" si="586"/>
        <v/>
      </c>
      <c r="BZ142" s="3">
        <f t="shared" ca="1" si="587"/>
        <v>1081.082865114636</v>
      </c>
      <c r="CA142" s="3" t="str">
        <f t="shared" ca="1" si="586"/>
        <v/>
      </c>
      <c r="CB142" s="3">
        <f t="shared" ca="1" si="588"/>
        <v>0</v>
      </c>
      <c r="CC142" s="3" t="str">
        <f t="shared" ca="1" si="586"/>
        <v/>
      </c>
      <c r="CD142" s="3">
        <f>IF(RTD("tos.rtd",,CD$43,"."&amp;$B$134&amp;$AS$82&amp;"C"&amp;$A142)="N/A",0,RTD("tos.rtd",,CD$43,"."&amp;$B$134&amp;$AS$82&amp;"C"&amp;$A142))</f>
        <v>0</v>
      </c>
      <c r="CE142" s="3">
        <f>-IF(RTD("tos.rtd",,CE$43,"."&amp;$B$134&amp;$AS$82&amp;"P"&amp;$A142)="N/A",0,RTD("tos.rtd",,CE$43,"."&amp;$B$134&amp;$AS$82&amp;"P"&amp;$A142))</f>
        <v>0</v>
      </c>
      <c r="CF142" s="3">
        <f>IF(RTD("tos.rtd",,CF$2,"."&amp;$C$134&amp;$AU$82&amp;"C"&amp;$A142)="N/A",0,RTD("tos.rtd",,CF$2,"."&amp;$C$134&amp;$AU$82&amp;"C"&amp;$A142))</f>
        <v>0.22</v>
      </c>
      <c r="CG142" s="3">
        <f>-IF(RTD("tos.rtd",,CG$2,"."&amp;$C$134&amp;$AU$82&amp;"P"&amp;$A142)="N/A",0,RTD("tos.rtd",,CG$2,"."&amp;$C$134&amp;$AU$82&amp;"P"&amp;$A142))</f>
        <v>0.76</v>
      </c>
      <c r="CH142" s="3">
        <f>IF(RTD("tos.rtd",,CH$2,"."&amp;$D$134&amp;$AW$82&amp;"C"&amp;$A142)="N/A",0,RTD("tos.rtd",,CH$2,"."&amp;$D$134&amp;$AW$82&amp;"C"&amp;$A142))</f>
        <v>0.43</v>
      </c>
      <c r="CI142" s="3">
        <f>-IF(RTD("tos.rtd",,CI$2,"."&amp;$D$134&amp;$AW$82&amp;"P"&amp;$A142)="N/A",0,RTD("tos.rtd",,CI$2,"."&amp;$D$134&amp;$AW$82&amp;"P"&amp;$A142))</f>
        <v>0.56999999999999995</v>
      </c>
      <c r="CK142" s="3">
        <f t="shared" si="605"/>
        <v>0</v>
      </c>
      <c r="CL142" s="3"/>
      <c r="CM142" s="3">
        <f t="shared" si="606"/>
        <v>286</v>
      </c>
      <c r="CN142" s="3"/>
      <c r="CO142" s="3">
        <f t="shared" si="607"/>
        <v>72</v>
      </c>
      <c r="CP142" s="3">
        <f t="shared" si="542"/>
        <v>358</v>
      </c>
      <c r="CQ142" s="3">
        <f t="shared" si="552"/>
        <v>0</v>
      </c>
      <c r="CR142" s="3"/>
      <c r="CS142" s="3">
        <f t="shared" si="553"/>
        <v>7</v>
      </c>
      <c r="CT142" s="3"/>
      <c r="CU142" s="3">
        <f t="shared" si="554"/>
        <v>0</v>
      </c>
      <c r="CV142" s="3"/>
      <c r="CW142" s="3">
        <f t="shared" ca="1" si="555"/>
        <v>309718.51269084186</v>
      </c>
      <c r="CY142" s="3">
        <f t="shared" ca="1" si="556"/>
        <v>1081.082865114636</v>
      </c>
      <c r="CZ142" s="70" t="str">
        <f t="shared" ca="1" si="589"/>
        <v/>
      </c>
      <c r="DA142" s="3">
        <f>IF(RTD("tos.rtd",,DA$43,"."&amp;$B$134&amp;$AS$82&amp;"C"&amp;$A142)="N/A",0,RTD("tos.rtd",,DA$43,"."&amp;$B$134&amp;$AS$82&amp;"C"&amp;$A142))</f>
        <v>0</v>
      </c>
      <c r="DB142" s="3">
        <f>IF(RTD("tos.rtd",,DB$43,"."&amp;$B$134&amp;$AS$82&amp;"P"&amp;$A142)="N/A",0,RTD("tos.rtd",,DB$43,"."&amp;$B$134&amp;$AS$82&amp;"P"&amp;$A142))</f>
        <v>0</v>
      </c>
      <c r="DC142" s="3">
        <f>IF(RTD("tos.rtd",,DC$43,"."&amp;$B$134&amp;$AS$82&amp;"C"&amp;$A142)="N/A",0,RTD("tos.rtd",,DC$43,"."&amp;$B$134&amp;$AS$82&amp;"C"&amp;$A142))</f>
        <v>0</v>
      </c>
      <c r="DD142" s="3">
        <f>IF(RTD("tos.rtd",,DD$43,"."&amp;$B$134&amp;$AS$82&amp;"P"&amp;$A142)="N/A",0,RTD("tos.rtd",,DD$43,"."&amp;$B$134&amp;$AS$82&amp;"P"&amp;$A142))</f>
        <v>0</v>
      </c>
      <c r="DE142" s="3">
        <f>IF(RTD("tos.rtd",,DE$43,"."&amp;$B$134&amp;$AS$82&amp;"C"&amp;$A142)="N/A",0,RTD("tos.rtd",,DE$43,"."&amp;$B$134&amp;$AS$82&amp;"C"&amp;$A142))</f>
        <v>0</v>
      </c>
      <c r="DF142" s="3">
        <f>IF(RTD("tos.rtd",,DF$43,"."&amp;$B$134&amp;$AS$82&amp;"P"&amp;$A142)="N/A",0,RTD("tos.rtd",,DF$43,"."&amp;$B$134&amp;$AS$82&amp;"P"&amp;$A142))</f>
        <v>0</v>
      </c>
      <c r="DG142" s="86">
        <f t="shared" si="590"/>
        <v>381.25</v>
      </c>
      <c r="DH142" s="3" t="e">
        <f t="shared" si="557"/>
        <v>#DIV/0!</v>
      </c>
      <c r="DI142" s="3" t="e">
        <f t="shared" si="558"/>
        <v>#DIV/0!</v>
      </c>
      <c r="DJ142" s="3">
        <f t="shared" si="559"/>
        <v>0</v>
      </c>
      <c r="DK142" s="3">
        <f t="shared" si="560"/>
        <v>0</v>
      </c>
      <c r="DL142" s="3" t="e">
        <f t="shared" si="561"/>
        <v>#DIV/0!</v>
      </c>
      <c r="DM142" s="3">
        <f t="shared" si="562"/>
        <v>0</v>
      </c>
      <c r="DN142" s="64" t="str">
        <f t="shared" si="563"/>
        <v>UNKNOWN</v>
      </c>
      <c r="DO142" s="64" t="str">
        <f t="shared" si="564"/>
        <v>UNKNOWN</v>
      </c>
      <c r="DP142" s="3" t="e">
        <f t="shared" si="565"/>
        <v>#DIV/0!</v>
      </c>
      <c r="DQ142" s="3">
        <f t="shared" si="566"/>
        <v>0</v>
      </c>
      <c r="DR142" s="3">
        <f t="shared" ca="1" si="567"/>
        <v>0</v>
      </c>
      <c r="DS142" s="3">
        <f t="shared" si="568"/>
        <v>0</v>
      </c>
      <c r="DT142" s="3">
        <f t="shared" si="591"/>
        <v>0</v>
      </c>
      <c r="DU142" s="3">
        <f t="shared" si="592"/>
        <v>0</v>
      </c>
      <c r="DV142" s="3">
        <f t="shared" si="569"/>
        <v>0</v>
      </c>
      <c r="DW142" s="3">
        <f t="shared" si="570"/>
        <v>0</v>
      </c>
      <c r="DX142" s="3">
        <f t="shared" ca="1" si="571"/>
        <v>2.6314138743853894E-10</v>
      </c>
      <c r="DY142" s="3">
        <f t="shared" ca="1" si="572"/>
        <v>-2.6314138743853894E-10</v>
      </c>
      <c r="DZ142" s="3">
        <f t="shared" ca="1" si="573"/>
        <v>5.9925967313984919E-4</v>
      </c>
      <c r="EA142" s="3">
        <f t="shared" ca="1" si="574"/>
        <v>-5.6239218494215739E-4</v>
      </c>
      <c r="EB142" s="3">
        <f t="shared" ca="1" si="575"/>
        <v>6.3539974109158136E-4</v>
      </c>
      <c r="EC142" s="3">
        <f t="shared" ca="1" si="576"/>
        <v>-6.2085201014969735E-4</v>
      </c>
      <c r="ED142" s="63">
        <f t="shared" si="593"/>
        <v>0</v>
      </c>
      <c r="EE142" s="59">
        <f t="shared" si="577"/>
        <v>0.25</v>
      </c>
      <c r="EF142" s="59">
        <f t="shared" si="578"/>
        <v>0.25</v>
      </c>
      <c r="EG142" s="59">
        <f t="shared" si="579"/>
        <v>0.20599999999999999</v>
      </c>
      <c r="EH142" s="59">
        <f t="shared" si="580"/>
        <v>0.23</v>
      </c>
      <c r="EI142" s="59">
        <f t="shared" si="581"/>
        <v>0.18149999999999999</v>
      </c>
      <c r="EJ142" s="59">
        <f t="shared" si="582"/>
        <v>0.19170000000000001</v>
      </c>
      <c r="EK142" s="63">
        <f t="shared" ca="1" si="594"/>
        <v>0</v>
      </c>
      <c r="EL142" s="3" t="str">
        <f>RTD("tos.rtd",,EL$43,"."&amp;$B$134&amp;$AS$82&amp;"C"&amp;$A142)</f>
        <v>N/A</v>
      </c>
      <c r="EM142" s="3" t="str">
        <f>RTD("tos.rtd",,EM$43,"."&amp;$B$134&amp;$AS$82&amp;"P"&amp;$A142)</f>
        <v>N/A</v>
      </c>
      <c r="EN142" s="3" t="str">
        <f>RTD("tos.rtd",,EN$2,"."&amp;$C$134&amp;$AU$82&amp;"C"&amp;$A142)</f>
        <v>20.60%</v>
      </c>
      <c r="EO142" s="3" t="str">
        <f>RTD("tos.rtd",,EO$2,"."&amp;$C$134&amp;$AU$82&amp;"P"&amp;$A142)</f>
        <v>23.00%</v>
      </c>
      <c r="EP142" s="3" t="str">
        <f>RTD("tos.rtd",,EP$2,"."&amp;$D$134&amp;$AW$82&amp;"C"&amp;$A142)</f>
        <v>18.15%</v>
      </c>
      <c r="EQ142" s="3" t="str">
        <f>RTD("tos.rtd",,EQ$2,"."&amp;$D$134&amp;$AW$82&amp;"P"&amp;$A142)</f>
        <v>19.17%</v>
      </c>
      <c r="ES142" s="63" t="str">
        <f t="shared" si="583"/>
        <v>21225,00.00</v>
      </c>
      <c r="ET142" s="63" t="str">
        <f t="shared" ca="1" si="584"/>
        <v>21225,01.08</v>
      </c>
      <c r="EU142" s="67">
        <v>571.88</v>
      </c>
      <c r="EV142" s="67" t="s">
        <v>1155</v>
      </c>
      <c r="EW142" s="67">
        <v>497.19</v>
      </c>
      <c r="EX142" s="67" t="s">
        <v>1156</v>
      </c>
      <c r="EY142" s="67">
        <v>5730</v>
      </c>
      <c r="EZ142" s="67" t="s">
        <v>1157</v>
      </c>
      <c r="FA142" s="67">
        <v>20414</v>
      </c>
      <c r="FB142" s="67" t="s">
        <v>1158</v>
      </c>
      <c r="FC142" s="67" t="s">
        <v>1159</v>
      </c>
      <c r="FD142" s="67" t="s">
        <v>1160</v>
      </c>
      <c r="FE142" s="68" t="s">
        <v>1161</v>
      </c>
      <c r="FF142" s="68" t="s">
        <v>1162</v>
      </c>
    </row>
    <row r="143" spans="1:162" ht="11.1" customHeight="1" thickBot="1" x14ac:dyDescent="0.25">
      <c r="A143" s="2">
        <f t="shared" si="595"/>
        <v>21200</v>
      </c>
      <c r="B143" s="3">
        <f t="shared" si="596"/>
        <v>31</v>
      </c>
      <c r="C143" s="3">
        <f t="shared" si="597"/>
        <v>112</v>
      </c>
      <c r="D143" s="3">
        <f t="shared" si="608"/>
        <v>74</v>
      </c>
      <c r="E143" s="3">
        <f t="shared" si="598"/>
        <v>217</v>
      </c>
      <c r="F143" s="4">
        <f t="shared" si="599"/>
        <v>21301.709145427285</v>
      </c>
      <c r="G143" s="5">
        <f t="shared" si="600"/>
        <v>516.33664767616199</v>
      </c>
      <c r="AM143" s="1">
        <v>-119</v>
      </c>
      <c r="AN143" s="1">
        <v>0</v>
      </c>
      <c r="AO143" s="1">
        <v>21200</v>
      </c>
      <c r="AP143" s="1">
        <v>945</v>
      </c>
      <c r="AQ143" s="1">
        <v>0</v>
      </c>
      <c r="AS143" s="54">
        <f>IF(RTD("tos.rtd",,AS$83,"."&amp;$B$134&amp;$AS$82&amp;"C"&amp;$A143)="N/A",0,RTD("tos.rtd",,AS$83,"."&amp;$B$134&amp;$AS$82&amp;"C"&amp;$A143))</f>
        <v>31</v>
      </c>
      <c r="AT143" s="3">
        <f>-IF(RTD("tos.rtd",,AT$83,"."&amp;$B$134&amp;$AS$82&amp;"P"&amp;$A143)="N/A",0,RTD("tos.rtd",,AT$83,"."&amp;$B$134&amp;$AS$82&amp;"P"&amp;$A143))</f>
        <v>0</v>
      </c>
      <c r="AU143" s="54">
        <f>IF(RTD("tos.rtd",,AU$2,"."&amp;$C$134&amp;$AU$134&amp;"C"&amp;$A143)="N/A",0,RTD("tos.rtd",,AU$2,"."&amp;$C$134&amp;$AU$134&amp;"C"&amp;$A143))</f>
        <v>71</v>
      </c>
      <c r="AV143" s="3">
        <f>-IF(RTD("tos.rtd",,AV$2,"."&amp;$C$134&amp;$AU$134&amp;"P"&amp;$A143)="N/A",0,RTD("tos.rtd",,AV$2,"."&amp;$C$134&amp;$AU$134&amp;"P"&amp;$A143))</f>
        <v>-41</v>
      </c>
      <c r="AW143" s="54">
        <f>IF(RTD("tos.rtd",,AW$2,"."&amp;$D$134&amp;$AW$134&amp;"C"&amp;$A143)="N/A",0,RTD("tos.rtd",,AW$2,"."&amp;$D$134&amp;$AW$134&amp;"C"&amp;$A143))</f>
        <v>49</v>
      </c>
      <c r="AX143" s="3">
        <f>-IF(RTD("tos.rtd",,AX$2,"."&amp;$D$134&amp;$AW$134&amp;"P"&amp;$A143)="N/A",0,RTD("tos.rtd",,AX$2,"."&amp;$D$134&amp;$AW$134&amp;"P"&amp;$A143))</f>
        <v>-25</v>
      </c>
      <c r="AY143" s="76">
        <f t="shared" si="601"/>
        <v>85</v>
      </c>
      <c r="AZ143" s="8">
        <f t="shared" si="548"/>
        <v>21200</v>
      </c>
      <c r="BA143" s="54">
        <f>IF(RTD("tos.rtd",,BA$43,"."&amp;$B$134&amp;$AS$82&amp;"C"&amp;$A143)="N/A",0,RTD("tos.rtd",,BA$43,"."&amp;$B$134&amp;$AS$82&amp;"C"&amp;$A143))</f>
        <v>945</v>
      </c>
      <c r="BB143" s="3">
        <f>-IF(RTD("tos.rtd",,BB$43,"."&amp;$B$134&amp;$AS$82&amp;"P"&amp;$A143)="N/A",0,RTD("tos.rtd",,BB$43,"."&amp;$B$134&amp;$AS$82&amp;"P"&amp;$A143))</f>
        <v>0</v>
      </c>
      <c r="BC143" s="54">
        <f>IF(RTD("tos.rtd",,BC$2,"."&amp;$C$134&amp;$AU$82&amp;"C"&amp;$A143)="N/A",0,RTD("tos.rtd",,BC$2,"."&amp;$C$134&amp;$AU$82&amp;"C"&amp;$A143))</f>
        <v>67</v>
      </c>
      <c r="BD143" s="3">
        <f>-IF(RTD("tos.rtd",,BD$2,"."&amp;$C$134&amp;$AU$82&amp;"P"&amp;$A143)="N/A",0,RTD("tos.rtd",,BD$2,"."&amp;$C$134&amp;$AU$82&amp;"P"&amp;$A143))</f>
        <v>0</v>
      </c>
      <c r="BE143" s="54">
        <f>IF(RTD("tos.rtd",,BE$2,"."&amp;$D$134&amp;$AW$82&amp;"C"&amp;$A143)="N/A",0,RTD("tos.rtd",,BE$2,"."&amp;$D$134&amp;$AW$82&amp;"C"&amp;$A143))</f>
        <v>0</v>
      </c>
      <c r="BF143" s="3">
        <f>-IF(RTD("tos.rtd",,BF$2,"."&amp;$D$134&amp;$AW$82&amp;"P"&amp;$A143)="N/A",0,RTD("tos.rtd",,BF$2,"."&amp;$D$134&amp;$AW$82&amp;"P"&amp;$A143))</f>
        <v>0</v>
      </c>
      <c r="BG143" s="3">
        <f ca="1">+Hoja2!Y144</f>
        <v>28</v>
      </c>
      <c r="BH143" s="7">
        <f t="shared" ca="1" si="549"/>
        <v>1040</v>
      </c>
      <c r="BI143" s="32" t="str">
        <f t="shared" ca="1" si="609"/>
        <v/>
      </c>
      <c r="BJ143" s="3">
        <f ca="1">IF($BP$1=1,DX143,IF(RTD("tos.rtd",,BJ$43,"."&amp;$B$134&amp;$AS$82&amp;"C"&amp;$A143)="N/A",0,RTD("tos.rtd",,BJ$43,"."&amp;$B$134&amp;$AS$82&amp;"C"&amp;$A143)))</f>
        <v>4.3872647590148842E-4</v>
      </c>
      <c r="BK143" s="3">
        <f ca="1">IF($BP$1=1,DY143,-IF(RTD("tos.rtd",,BK$43,"."&amp;$B$134&amp;$AS$82&amp;"P"&amp;$A143)="N/A",0,RTD("tos.rtd",,BK$43,"."&amp;$B$134&amp;$AS$82&amp;"P"&amp;$A143)))</f>
        <v>-6.9107004466557322E-4</v>
      </c>
      <c r="BL143" s="3">
        <f ca="1">IF($BP$1=1,DZ143,IF(RTD("tos.rtd",,BL$2,"."&amp;$C$134&amp;$AU$82&amp;"C"&amp;$A143)="N/A",0,RTD("tos.rtd",,BL$2,"."&amp;$C$134&amp;$AU$82&amp;"C"&amp;$A143)))</f>
        <v>6.1779917273149169E-4</v>
      </c>
      <c r="BM143" s="3">
        <f ca="1">IF($BP$1=1,EA143,-IF(RTD("tos.rtd",,BM$2,"."&amp;$C$134&amp;$AU$82&amp;"P"&amp;$A143)="N/A",0,RTD("tos.rtd",,BM$2,"."&amp;$C$134&amp;$AU$82&amp;"P"&amp;$A143)))</f>
        <v>-5.7510102493494566E-4</v>
      </c>
      <c r="BN143" s="3">
        <f ca="1">IF($BP$1=1,EB143,IF(RTD("tos.rtd",,BN$2,"."&amp;$D$134&amp;$AW$82&amp;"C"&amp;$A143)="N/A",0,RTD("tos.rtd",,BN$2,"."&amp;$D$134&amp;$AW$82&amp;"C"&amp;$A143)))</f>
        <v>6.6001723844087376E-4</v>
      </c>
      <c r="BO143" s="3">
        <f ca="1">IF($BP$1=1,EC143,-IF(RTD("tos.rtd",,BO$2,"."&amp;$D$134&amp;$AW$82&amp;"P"&amp;$A143)="N/A",0,RTD("tos.rtd",,BO$2,"."&amp;$D$134&amp;$AW$82&amp;"P"&amp;$A143)))</f>
        <v>-6.4204913642177319E-4</v>
      </c>
      <c r="BQ143" s="3">
        <f t="shared" ca="1" si="602"/>
        <v>464131.95688746491</v>
      </c>
      <c r="BR143" s="3" t="str">
        <f t="shared" ca="1" si="550"/>
        <v/>
      </c>
      <c r="BS143" s="3">
        <f t="shared" ca="1" si="603"/>
        <v>692233.10722450342</v>
      </c>
      <c r="BT143" s="3" t="str">
        <f t="shared" ca="1" si="551"/>
        <v/>
      </c>
      <c r="BU143" s="3">
        <f t="shared" ca="1" si="604"/>
        <v>555900.14640599466</v>
      </c>
      <c r="BV143" s="3" t="str">
        <f t="shared" ca="1" si="551"/>
        <v/>
      </c>
      <c r="BX143" s="3">
        <f t="shared" ca="1" si="585"/>
        <v>106849.26597238763</v>
      </c>
      <c r="BY143" s="3" t="str">
        <f t="shared" ca="1" si="586"/>
        <v/>
      </c>
      <c r="BZ143" s="3">
        <f t="shared" ca="1" si="587"/>
        <v>10667.63176707009</v>
      </c>
      <c r="CA143" s="3" t="str">
        <f t="shared" ca="1" si="586"/>
        <v/>
      </c>
      <c r="CB143" s="3">
        <f t="shared" ca="1" si="588"/>
        <v>0</v>
      </c>
      <c r="CC143" s="3" t="str">
        <f t="shared" ca="1" si="586"/>
        <v/>
      </c>
      <c r="CD143" s="3">
        <f>IF(RTD("tos.rtd",,CD$43,"."&amp;$B$134&amp;$AS$82&amp;"C"&amp;$A143)="N/A",0,RTD("tos.rtd",,CD$43,"."&amp;$B$134&amp;$AS$82&amp;"C"&amp;$A143))</f>
        <v>0</v>
      </c>
      <c r="CE143" s="3">
        <f>-IF(RTD("tos.rtd",,CE$43,"."&amp;$B$134&amp;$AS$82&amp;"P"&amp;$A143)="N/A",0,RTD("tos.rtd",,CE$43,"."&amp;$B$134&amp;$AS$82&amp;"P"&amp;$A143))</f>
        <v>0.94</v>
      </c>
      <c r="CF143" s="3">
        <f>IF(RTD("tos.rtd",,CF$2,"."&amp;$C$134&amp;$AU$82&amp;"C"&amp;$A143)="N/A",0,RTD("tos.rtd",,CF$2,"."&amp;$C$134&amp;$AU$82&amp;"C"&amp;$A143))</f>
        <v>0.23</v>
      </c>
      <c r="CG143" s="3">
        <f>-IF(RTD("tos.rtd",,CG$2,"."&amp;$C$134&amp;$AU$82&amp;"P"&amp;$A143)="N/A",0,RTD("tos.rtd",,CG$2,"."&amp;$C$134&amp;$AU$82&amp;"P"&amp;$A143))</f>
        <v>0.74</v>
      </c>
      <c r="CH143" s="3">
        <f>IF(RTD("tos.rtd",,CH$2,"."&amp;$D$134&amp;$AW$82&amp;"C"&amp;$A143)="N/A",0,RTD("tos.rtd",,CH$2,"."&amp;$D$134&amp;$AW$82&amp;"C"&amp;$A143))</f>
        <v>0.44</v>
      </c>
      <c r="CI143" s="3">
        <f>-IF(RTD("tos.rtd",,CI$2,"."&amp;$D$134&amp;$AW$82&amp;"P"&amp;$A143)="N/A",0,RTD("tos.rtd",,CI$2,"."&amp;$D$134&amp;$AW$82&amp;"P"&amp;$A143))</f>
        <v>0.56000000000000005</v>
      </c>
      <c r="CK143" s="3">
        <f t="shared" si="605"/>
        <v>0</v>
      </c>
      <c r="CL143" s="3"/>
      <c r="CM143" s="3">
        <f t="shared" si="606"/>
        <v>-1400.9999999999998</v>
      </c>
      <c r="CN143" s="3"/>
      <c r="CO143" s="3">
        <f t="shared" si="607"/>
        <v>755.99999999999977</v>
      </c>
      <c r="CP143" s="3">
        <f t="shared" si="542"/>
        <v>-645</v>
      </c>
      <c r="CQ143" s="3">
        <f t="shared" si="552"/>
        <v>945</v>
      </c>
      <c r="CR143" s="3"/>
      <c r="CS143" s="3">
        <f t="shared" si="553"/>
        <v>67</v>
      </c>
      <c r="CT143" s="3"/>
      <c r="CU143" s="3">
        <f t="shared" si="554"/>
        <v>0</v>
      </c>
      <c r="CV143" s="3"/>
      <c r="CW143" s="3">
        <f t="shared" ca="1" si="555"/>
        <v>1712265.2105179629</v>
      </c>
      <c r="CY143" s="3">
        <f t="shared" ca="1" si="556"/>
        <v>117516.89773945772</v>
      </c>
      <c r="CZ143" s="70" t="str">
        <f t="shared" ca="1" si="589"/>
        <v/>
      </c>
      <c r="DA143" s="3">
        <f>IF(RTD("tos.rtd",,DA$43,"."&amp;$B$134&amp;$AS$82&amp;"C"&amp;$A143)="N/A",0,RTD("tos.rtd",,DA$43,"."&amp;$B$134&amp;$AS$82&amp;"C"&amp;$A143))</f>
        <v>0.15</v>
      </c>
      <c r="DB143" s="3">
        <f>IF(RTD("tos.rtd",,DB$43,"."&amp;$B$134&amp;$AS$82&amp;"P"&amp;$A143)="N/A",0,RTD("tos.rtd",,DB$43,"."&amp;$B$134&amp;$AS$82&amp;"P"&amp;$A143))</f>
        <v>0</v>
      </c>
      <c r="DC143" s="3">
        <f>IF(RTD("tos.rtd",,DC$43,"."&amp;$B$134&amp;$AS$82&amp;"C"&amp;$A143)="N/A",0,RTD("tos.rtd",,DC$43,"."&amp;$B$134&amp;$AS$82&amp;"C"&amp;$A143))</f>
        <v>0.3</v>
      </c>
      <c r="DD143" s="3">
        <f>IF(RTD("tos.rtd",,DD$43,"."&amp;$B$134&amp;$AS$82&amp;"P"&amp;$A143)="N/A",0,RTD("tos.rtd",,DD$43,"."&amp;$B$134&amp;$AS$82&amp;"P"&amp;$A143))</f>
        <v>362.7</v>
      </c>
      <c r="DE143" s="3">
        <f>IF(RTD("tos.rtd",,DE$43,"."&amp;$B$134&amp;$AS$82&amp;"C"&amp;$A143)="N/A",0,RTD("tos.rtd",,DE$43,"."&amp;$B$134&amp;$AS$82&amp;"C"&amp;$A143))</f>
        <v>0</v>
      </c>
      <c r="DF143" s="3">
        <f>IF(RTD("tos.rtd",,DF$43,"."&amp;$B$134&amp;$AS$82&amp;"P"&amp;$A143)="N/A",0,RTD("tos.rtd",,DF$43,"."&amp;$B$134&amp;$AS$82&amp;"P"&amp;$A143))</f>
        <v>312.7</v>
      </c>
      <c r="DG143" s="86">
        <f t="shared" si="590"/>
        <v>356.25</v>
      </c>
      <c r="DH143" s="3">
        <f t="shared" si="557"/>
        <v>0</v>
      </c>
      <c r="DI143" s="3">
        <f t="shared" si="558"/>
        <v>0</v>
      </c>
      <c r="DJ143" s="3">
        <f t="shared" si="559"/>
        <v>0</v>
      </c>
      <c r="DK143" s="3">
        <f t="shared" si="560"/>
        <v>0</v>
      </c>
      <c r="DL143" s="3">
        <f t="shared" si="561"/>
        <v>0</v>
      </c>
      <c r="DM143" s="3">
        <f t="shared" si="562"/>
        <v>0</v>
      </c>
      <c r="DN143" s="64" t="str">
        <f t="shared" si="563"/>
        <v>UNKNOWN</v>
      </c>
      <c r="DO143" s="64" t="str">
        <f t="shared" si="564"/>
        <v>UNKNOWN</v>
      </c>
      <c r="DP143" s="3">
        <f t="shared" si="565"/>
        <v>0</v>
      </c>
      <c r="DQ143" s="3">
        <f t="shared" si="566"/>
        <v>0</v>
      </c>
      <c r="DR143" s="3">
        <f t="shared" ca="1" si="567"/>
        <v>0</v>
      </c>
      <c r="DS143" s="3">
        <f t="shared" si="568"/>
        <v>0</v>
      </c>
      <c r="DT143" s="3">
        <f t="shared" si="591"/>
        <v>0</v>
      </c>
      <c r="DU143" s="3">
        <f t="shared" si="592"/>
        <v>0</v>
      </c>
      <c r="DV143" s="3">
        <f t="shared" si="569"/>
        <v>-119</v>
      </c>
      <c r="DW143" s="3">
        <f t="shared" si="570"/>
        <v>0</v>
      </c>
      <c r="DX143" s="3">
        <f t="shared" ca="1" si="571"/>
        <v>4.3872647590148842E-4</v>
      </c>
      <c r="DY143" s="3">
        <f t="shared" ca="1" si="572"/>
        <v>-6.9107004466557322E-4</v>
      </c>
      <c r="DZ143" s="3">
        <f t="shared" ca="1" si="573"/>
        <v>6.1779917273149169E-4</v>
      </c>
      <c r="EA143" s="3">
        <f t="shared" ca="1" si="574"/>
        <v>-5.7510102493494566E-4</v>
      </c>
      <c r="EB143" s="3">
        <f t="shared" ca="1" si="575"/>
        <v>6.6001723844087376E-4</v>
      </c>
      <c r="EC143" s="3">
        <f t="shared" ca="1" si="576"/>
        <v>-6.4204913642177319E-4</v>
      </c>
      <c r="ED143" s="63">
        <f t="shared" si="593"/>
        <v>-119</v>
      </c>
      <c r="EE143" s="59">
        <f t="shared" si="577"/>
        <v>0.78490000000000004</v>
      </c>
      <c r="EF143" s="59">
        <f t="shared" si="578"/>
        <v>1.3635999999999999</v>
      </c>
      <c r="EG143" s="59">
        <f t="shared" si="579"/>
        <v>0.2059</v>
      </c>
      <c r="EH143" s="59">
        <f t="shared" si="580"/>
        <v>0.2306</v>
      </c>
      <c r="EI143" s="59">
        <f t="shared" si="581"/>
        <v>0.18190000000000001</v>
      </c>
      <c r="EJ143" s="59">
        <f t="shared" si="582"/>
        <v>0.19220000000000001</v>
      </c>
      <c r="EK143" s="63">
        <f t="shared" ca="1" si="594"/>
        <v>-22682583.39193666</v>
      </c>
      <c r="EL143" s="3" t="str">
        <f>RTD("tos.rtd",,EL$43,"."&amp;$B$134&amp;$AS$82&amp;"C"&amp;$A143)</f>
        <v>78.49%</v>
      </c>
      <c r="EM143" s="3" t="str">
        <f>RTD("tos.rtd",,EM$43,"."&amp;$B$134&amp;$AS$82&amp;"P"&amp;$A143)</f>
        <v>136.36%</v>
      </c>
      <c r="EN143" s="3" t="str">
        <f>RTD("tos.rtd",,EN$2,"."&amp;$C$134&amp;$AU$82&amp;"C"&amp;$A143)</f>
        <v>20.59%</v>
      </c>
      <c r="EO143" s="3" t="str">
        <f>RTD("tos.rtd",,EO$2,"."&amp;$C$134&amp;$AU$82&amp;"P"&amp;$A143)</f>
        <v>23.06%</v>
      </c>
      <c r="EP143" s="3" t="str">
        <f>RTD("tos.rtd",,EP$2,"."&amp;$D$134&amp;$AW$82&amp;"C"&amp;$A143)</f>
        <v>18.19%</v>
      </c>
      <c r="EQ143" s="3" t="str">
        <f>RTD("tos.rtd",,EQ$2,"."&amp;$D$134&amp;$AW$82&amp;"P"&amp;$A143)</f>
        <v>19.22%</v>
      </c>
      <c r="ES143" s="63" t="str">
        <f t="shared" si="583"/>
        <v>21200,-119.00</v>
      </c>
      <c r="ET143" s="63" t="str">
        <f t="shared" ca="1" si="584"/>
        <v>21200,117.52</v>
      </c>
      <c r="EU143" s="67">
        <v>571.89</v>
      </c>
      <c r="EV143" s="67" t="s">
        <v>1163</v>
      </c>
      <c r="EW143" s="67">
        <v>497.21</v>
      </c>
      <c r="EX143" s="67" t="s">
        <v>1164</v>
      </c>
      <c r="EY143" s="67">
        <v>5730</v>
      </c>
      <c r="EZ143" s="67" t="s">
        <v>1165</v>
      </c>
      <c r="FA143" s="67">
        <v>20412.75</v>
      </c>
      <c r="FB143" s="67" t="s">
        <v>1166</v>
      </c>
      <c r="FC143" s="67" t="s">
        <v>1167</v>
      </c>
      <c r="FD143" s="67" t="s">
        <v>1168</v>
      </c>
      <c r="FE143" s="68" t="s">
        <v>1169</v>
      </c>
      <c r="FF143" s="68" t="s">
        <v>1170</v>
      </c>
    </row>
    <row r="144" spans="1:162" ht="11.1" customHeight="1" thickBot="1" x14ac:dyDescent="0.25">
      <c r="A144" s="2">
        <f t="shared" si="595"/>
        <v>21175</v>
      </c>
      <c r="B144" s="3">
        <f t="shared" si="596"/>
        <v>0</v>
      </c>
      <c r="C144" s="3">
        <f t="shared" si="597"/>
        <v>16</v>
      </c>
      <c r="D144" s="3">
        <f t="shared" si="608"/>
        <v>5</v>
      </c>
      <c r="E144" s="3">
        <f t="shared" si="598"/>
        <v>21</v>
      </c>
      <c r="F144" s="4">
        <f t="shared" si="599"/>
        <v>21276.5892053973</v>
      </c>
      <c r="G144" s="5">
        <f t="shared" si="600"/>
        <v>515.72776011994006</v>
      </c>
      <c r="AM144" s="1">
        <v>0</v>
      </c>
      <c r="AN144" s="1">
        <v>0</v>
      </c>
      <c r="AO144" s="1">
        <v>21175</v>
      </c>
      <c r="AP144" s="1">
        <v>0</v>
      </c>
      <c r="AQ144" s="1">
        <v>0</v>
      </c>
      <c r="AS144" s="54">
        <f>IF(RTD("tos.rtd",,AS$83,"."&amp;$B$134&amp;$AS$82&amp;"C"&amp;$A144)="N/A",0,RTD("tos.rtd",,AS$83,"."&amp;$B$134&amp;$AS$82&amp;"C"&amp;$A144))</f>
        <v>0</v>
      </c>
      <c r="AT144" s="3">
        <f>-IF(RTD("tos.rtd",,AT$83,"."&amp;$B$134&amp;$AS$82&amp;"P"&amp;$A144)="N/A",0,RTD("tos.rtd",,AT$83,"."&amp;$B$134&amp;$AS$82&amp;"P"&amp;$A144))</f>
        <v>0</v>
      </c>
      <c r="AU144" s="54">
        <f>IF(RTD("tos.rtd",,AU$2,"."&amp;$C$134&amp;$AU$134&amp;"C"&amp;$A144)="N/A",0,RTD("tos.rtd",,AU$2,"."&amp;$C$134&amp;$AU$134&amp;"C"&amp;$A144))</f>
        <v>16</v>
      </c>
      <c r="AV144" s="3">
        <f>-IF(RTD("tos.rtd",,AV$2,"."&amp;$C$134&amp;$AU$134&amp;"P"&amp;$A144)="N/A",0,RTD("tos.rtd",,AV$2,"."&amp;$C$134&amp;$AU$134&amp;"P"&amp;$A144))</f>
        <v>0</v>
      </c>
      <c r="AW144" s="54">
        <f>IF(RTD("tos.rtd",,AW$2,"."&amp;$D$134&amp;$AW$134&amp;"C"&amp;$A144)="N/A",0,RTD("tos.rtd",,AW$2,"."&amp;$D$134&amp;$AW$134&amp;"C"&amp;$A144))</f>
        <v>5</v>
      </c>
      <c r="AX144" s="3">
        <f>-IF(RTD("tos.rtd",,AX$2,"."&amp;$D$134&amp;$AW$134&amp;"P"&amp;$A144)="N/A",0,RTD("tos.rtd",,AX$2,"."&amp;$D$134&amp;$AW$134&amp;"P"&amp;$A144))</f>
        <v>0</v>
      </c>
      <c r="AY144" s="76">
        <f t="shared" si="601"/>
        <v>21</v>
      </c>
      <c r="AZ144" s="8">
        <f t="shared" si="548"/>
        <v>21175</v>
      </c>
      <c r="BA144" s="54">
        <f>IF(RTD("tos.rtd",,BA$43,"."&amp;$B$134&amp;$AS$82&amp;"C"&amp;$A144)="N/A",0,RTD("tos.rtd",,BA$43,"."&amp;$B$134&amp;$AS$82&amp;"C"&amp;$A144))</f>
        <v>0</v>
      </c>
      <c r="BB144" s="3">
        <f>-IF(RTD("tos.rtd",,BB$43,"."&amp;$B$134&amp;$AS$82&amp;"P"&amp;$A144)="N/A",0,RTD("tos.rtd",,BB$43,"."&amp;$B$134&amp;$AS$82&amp;"P"&amp;$A144))</f>
        <v>0</v>
      </c>
      <c r="BC144" s="54">
        <f>IF(RTD("tos.rtd",,BC$2,"."&amp;$C$134&amp;$AU$82&amp;"C"&amp;$A144)="N/A",0,RTD("tos.rtd",,BC$2,"."&amp;$C$134&amp;$AU$82&amp;"C"&amp;$A144))</f>
        <v>10</v>
      </c>
      <c r="BD144" s="3">
        <f>-IF(RTD("tos.rtd",,BD$2,"."&amp;$C$134&amp;$AU$82&amp;"P"&amp;$A144)="N/A",0,RTD("tos.rtd",,BD$2,"."&amp;$C$134&amp;$AU$82&amp;"P"&amp;$A144))</f>
        <v>0</v>
      </c>
      <c r="BE144" s="54">
        <f>IF(RTD("tos.rtd",,BE$2,"."&amp;$D$134&amp;$AW$82&amp;"C"&amp;$A144)="N/A",0,RTD("tos.rtd",,BE$2,"."&amp;$D$134&amp;$AW$82&amp;"C"&amp;$A144))</f>
        <v>0</v>
      </c>
      <c r="BF144" s="3">
        <f>-IF(RTD("tos.rtd",,BF$2,"."&amp;$D$134&amp;$AW$82&amp;"P"&amp;$A144)="N/A",0,RTD("tos.rtd",,BF$2,"."&amp;$D$134&amp;$AW$82&amp;"P"&amp;$A144))</f>
        <v>0</v>
      </c>
      <c r="BG144" s="3">
        <f ca="1">+Hoja2!Y145</f>
        <v>0</v>
      </c>
      <c r="BH144" s="7">
        <f t="shared" ca="1" si="549"/>
        <v>10</v>
      </c>
      <c r="BI144" s="32" t="str">
        <f t="shared" ca="1" si="609"/>
        <v/>
      </c>
      <c r="BJ144" s="3">
        <f ca="1">IF($BP$1=1,DX144,IF(RTD("tos.rtd",,BJ$43,"."&amp;$B$134&amp;$AS$82&amp;"C"&amp;$A144)="N/A",0,RTD("tos.rtd",,BJ$43,"."&amp;$B$134&amp;$AS$82&amp;"C"&amp;$A144)))</f>
        <v>1.6374989610110443E-8</v>
      </c>
      <c r="BK144" s="3">
        <f ca="1">IF($BP$1=1,DY144,-IF(RTD("tos.rtd",,BK$43,"."&amp;$B$134&amp;$AS$82&amp;"P"&amp;$A144)="N/A",0,RTD("tos.rtd",,BK$43,"."&amp;$B$134&amp;$AS$82&amp;"P"&amp;$A144)))</f>
        <v>-1.6374989610110443E-8</v>
      </c>
      <c r="BL144" s="3">
        <f ca="1">IF($BP$1=1,DZ144,IF(RTD("tos.rtd",,BL$2,"."&amp;$C$134&amp;$AU$82&amp;"C"&amp;$A144)="N/A",0,RTD("tos.rtd",,BL$2,"."&amp;$C$134&amp;$AU$82&amp;"C"&amp;$A144)))</f>
        <v>6.3520336363872957E-4</v>
      </c>
      <c r="BM144" s="3">
        <f ca="1">IF($BP$1=1,EA144,-IF(RTD("tos.rtd",,BM$2,"."&amp;$C$134&amp;$AU$82&amp;"P"&amp;$A144)="N/A",0,RTD("tos.rtd",,BM$2,"."&amp;$C$134&amp;$AU$82&amp;"P"&amp;$A144)))</f>
        <v>-5.8989258540028517E-4</v>
      </c>
      <c r="BN144" s="3">
        <f ca="1">IF($BP$1=1,EB144,IF(RTD("tos.rtd",,BN$2,"."&amp;$D$134&amp;$AW$82&amp;"C"&amp;$A144)="N/A",0,RTD("tos.rtd",,BN$2,"."&amp;$D$134&amp;$AW$82&amp;"C"&amp;$A144)))</f>
        <v>6.8308925896945851E-4</v>
      </c>
      <c r="BO144" s="3">
        <f ca="1">IF($BP$1=1,EC144,-IF(RTD("tos.rtd",,BO$2,"."&amp;$D$134&amp;$AW$82&amp;"P"&amp;$A144)="N/A",0,RTD("tos.rtd",,BO$2,"."&amp;$D$134&amp;$AW$82&amp;"P"&amp;$A144)))</f>
        <v>-6.621219586532012E-4</v>
      </c>
      <c r="BQ144" s="3">
        <f t="shared" ca="1" si="602"/>
        <v>0</v>
      </c>
      <c r="BR144" s="3" t="str">
        <f t="shared" ca="1" si="550"/>
        <v/>
      </c>
      <c r="BS144" s="3">
        <f t="shared" ca="1" si="603"/>
        <v>346831.6374556821</v>
      </c>
      <c r="BT144" s="3" t="str">
        <f t="shared" ca="1" si="551"/>
        <v/>
      </c>
      <c r="BU144" s="3">
        <f t="shared" ca="1" si="604"/>
        <v>116555.66733561478</v>
      </c>
      <c r="BV144" s="3" t="str">
        <f t="shared" ca="1" si="551"/>
        <v/>
      </c>
      <c r="BX144" s="3">
        <f t="shared" ca="1" si="585"/>
        <v>0</v>
      </c>
      <c r="BY144" s="3" t="str">
        <f t="shared" ca="1" si="586"/>
        <v/>
      </c>
      <c r="BZ144" s="3">
        <f t="shared" ca="1" si="587"/>
        <v>1637.0376961363859</v>
      </c>
      <c r="CA144" s="3" t="str">
        <f t="shared" ca="1" si="586"/>
        <v/>
      </c>
      <c r="CB144" s="3">
        <f t="shared" ca="1" si="588"/>
        <v>0</v>
      </c>
      <c r="CC144" s="3" t="str">
        <f t="shared" ca="1" si="586"/>
        <v/>
      </c>
      <c r="CD144" s="3">
        <f>IF(RTD("tos.rtd",,CD$43,"."&amp;$B$134&amp;$AS$82&amp;"C"&amp;$A144)="N/A",0,RTD("tos.rtd",,CD$43,"."&amp;$B$134&amp;$AS$82&amp;"C"&amp;$A144))</f>
        <v>0</v>
      </c>
      <c r="CE144" s="3">
        <f>-IF(RTD("tos.rtd",,CE$43,"."&amp;$B$134&amp;$AS$82&amp;"P"&amp;$A144)="N/A",0,RTD("tos.rtd",,CE$43,"."&amp;$B$134&amp;$AS$82&amp;"P"&amp;$A144))</f>
        <v>0</v>
      </c>
      <c r="CF144" s="3">
        <f>IF(RTD("tos.rtd",,CF$2,"."&amp;$C$134&amp;$AU$82&amp;"C"&amp;$A144)="N/A",0,RTD("tos.rtd",,CF$2,"."&amp;$C$134&amp;$AU$82&amp;"C"&amp;$A144))</f>
        <v>0.25</v>
      </c>
      <c r="CG144" s="3">
        <f>-IF(RTD("tos.rtd",,CG$2,"."&amp;$C$134&amp;$AU$82&amp;"P"&amp;$A144)="N/A",0,RTD("tos.rtd",,CG$2,"."&amp;$C$134&amp;$AU$82&amp;"P"&amp;$A144))</f>
        <v>0.73</v>
      </c>
      <c r="CH144" s="3">
        <f>IF(RTD("tos.rtd",,CH$2,"."&amp;$D$134&amp;$AW$82&amp;"C"&amp;$A144)="N/A",0,RTD("tos.rtd",,CH$2,"."&amp;$D$134&amp;$AW$82&amp;"C"&amp;$A144))</f>
        <v>0.45</v>
      </c>
      <c r="CI144" s="3">
        <f>-IF(RTD("tos.rtd",,CI$2,"."&amp;$D$134&amp;$AW$82&amp;"P"&amp;$A144)="N/A",0,RTD("tos.rtd",,CI$2,"."&amp;$D$134&amp;$AW$82&amp;"P"&amp;$A144))</f>
        <v>0.55000000000000004</v>
      </c>
      <c r="CK144" s="3">
        <f t="shared" si="605"/>
        <v>0</v>
      </c>
      <c r="CL144" s="3"/>
      <c r="CM144" s="3">
        <f t="shared" si="606"/>
        <v>400</v>
      </c>
      <c r="CN144" s="3"/>
      <c r="CO144" s="3">
        <f t="shared" si="607"/>
        <v>225</v>
      </c>
      <c r="CP144" s="3">
        <f t="shared" si="542"/>
        <v>625</v>
      </c>
      <c r="CQ144" s="3">
        <f t="shared" si="552"/>
        <v>0</v>
      </c>
      <c r="CR144" s="3"/>
      <c r="CS144" s="3">
        <f t="shared" si="553"/>
        <v>10</v>
      </c>
      <c r="CT144" s="3"/>
      <c r="CU144" s="3">
        <f t="shared" si="554"/>
        <v>0</v>
      </c>
      <c r="CV144" s="3"/>
      <c r="CW144" s="3">
        <f t="shared" ca="1" si="555"/>
        <v>463387.30479129689</v>
      </c>
      <c r="CY144" s="3">
        <f t="shared" ca="1" si="556"/>
        <v>1637.0376961363859</v>
      </c>
      <c r="CZ144" s="70" t="str">
        <f t="shared" ca="1" si="589"/>
        <v/>
      </c>
      <c r="DA144" s="3">
        <f>IF(RTD("tos.rtd",,DA$43,"."&amp;$B$134&amp;$AS$82&amp;"C"&amp;$A144)="N/A",0,RTD("tos.rtd",,DA$43,"."&amp;$B$134&amp;$AS$82&amp;"C"&amp;$A144))</f>
        <v>0</v>
      </c>
      <c r="DB144" s="3">
        <f>IF(RTD("tos.rtd",,DB$43,"."&amp;$B$134&amp;$AS$82&amp;"P"&amp;$A144)="N/A",0,RTD("tos.rtd",,DB$43,"."&amp;$B$134&amp;$AS$82&amp;"P"&amp;$A144))</f>
        <v>0</v>
      </c>
      <c r="DC144" s="3">
        <f>IF(RTD("tos.rtd",,DC$43,"."&amp;$B$134&amp;$AS$82&amp;"C"&amp;$A144)="N/A",0,RTD("tos.rtd",,DC$43,"."&amp;$B$134&amp;$AS$82&amp;"C"&amp;$A144))</f>
        <v>0</v>
      </c>
      <c r="DD144" s="3">
        <f>IF(RTD("tos.rtd",,DD$43,"."&amp;$B$134&amp;$AS$82&amp;"P"&amp;$A144)="N/A",0,RTD("tos.rtd",,DD$43,"."&amp;$B$134&amp;$AS$82&amp;"P"&amp;$A144))</f>
        <v>0</v>
      </c>
      <c r="DE144" s="3">
        <f>IF(RTD("tos.rtd",,DE$43,"."&amp;$B$134&amp;$AS$82&amp;"C"&amp;$A144)="N/A",0,RTD("tos.rtd",,DE$43,"."&amp;$B$134&amp;$AS$82&amp;"C"&amp;$A144))</f>
        <v>0</v>
      </c>
      <c r="DF144" s="3">
        <f>IF(RTD("tos.rtd",,DF$43,"."&amp;$B$134&amp;$AS$82&amp;"P"&amp;$A144)="N/A",0,RTD("tos.rtd",,DF$43,"."&amp;$B$134&amp;$AS$82&amp;"P"&amp;$A144))</f>
        <v>0</v>
      </c>
      <c r="DG144" s="86">
        <f t="shared" si="590"/>
        <v>331.25</v>
      </c>
      <c r="DH144" s="3" t="e">
        <f t="shared" si="557"/>
        <v>#DIV/0!</v>
      </c>
      <c r="DI144" s="3" t="e">
        <f t="shared" si="558"/>
        <v>#DIV/0!</v>
      </c>
      <c r="DJ144" s="3">
        <f t="shared" si="559"/>
        <v>0</v>
      </c>
      <c r="DK144" s="3">
        <f t="shared" si="560"/>
        <v>0</v>
      </c>
      <c r="DL144" s="3" t="e">
        <f t="shared" si="561"/>
        <v>#DIV/0!</v>
      </c>
      <c r="DM144" s="3">
        <f t="shared" si="562"/>
        <v>0</v>
      </c>
      <c r="DN144" s="64" t="str">
        <f t="shared" si="563"/>
        <v>UNKNOWN</v>
      </c>
      <c r="DO144" s="64" t="str">
        <f t="shared" si="564"/>
        <v>UNKNOWN</v>
      </c>
      <c r="DP144" s="3" t="e">
        <f t="shared" si="565"/>
        <v>#DIV/0!</v>
      </c>
      <c r="DQ144" s="3">
        <f t="shared" si="566"/>
        <v>0</v>
      </c>
      <c r="DR144" s="3">
        <f t="shared" ca="1" si="567"/>
        <v>0</v>
      </c>
      <c r="DS144" s="3">
        <f t="shared" si="568"/>
        <v>0</v>
      </c>
      <c r="DT144" s="3">
        <f t="shared" si="591"/>
        <v>0</v>
      </c>
      <c r="DU144" s="3">
        <f t="shared" si="592"/>
        <v>0</v>
      </c>
      <c r="DV144" s="3">
        <f t="shared" si="569"/>
        <v>0</v>
      </c>
      <c r="DW144" s="3">
        <f t="shared" si="570"/>
        <v>0</v>
      </c>
      <c r="DX144" s="3">
        <f t="shared" ca="1" si="571"/>
        <v>1.6374989610110443E-8</v>
      </c>
      <c r="DY144" s="3">
        <f t="shared" ca="1" si="572"/>
        <v>-1.6374989610110443E-8</v>
      </c>
      <c r="DZ144" s="3">
        <f t="shared" ca="1" si="573"/>
        <v>6.3520336363872957E-4</v>
      </c>
      <c r="EA144" s="3">
        <f t="shared" ca="1" si="574"/>
        <v>-5.8989258540028517E-4</v>
      </c>
      <c r="EB144" s="3">
        <f t="shared" ca="1" si="575"/>
        <v>6.8308925896945851E-4</v>
      </c>
      <c r="EC144" s="3">
        <f t="shared" ca="1" si="576"/>
        <v>-6.621219586532012E-4</v>
      </c>
      <c r="ED144" s="63">
        <f t="shared" si="593"/>
        <v>0</v>
      </c>
      <c r="EE144" s="59">
        <f t="shared" si="577"/>
        <v>0.25</v>
      </c>
      <c r="EF144" s="59">
        <f t="shared" si="578"/>
        <v>0.25</v>
      </c>
      <c r="EG144" s="59">
        <f t="shared" si="579"/>
        <v>0.20599999999999999</v>
      </c>
      <c r="EH144" s="59">
        <f t="shared" si="580"/>
        <v>0.2296</v>
      </c>
      <c r="EI144" s="59">
        <f t="shared" si="581"/>
        <v>0.1825</v>
      </c>
      <c r="EJ144" s="59">
        <f t="shared" si="582"/>
        <v>0.19270000000000001</v>
      </c>
      <c r="EK144" s="63">
        <f t="shared" ca="1" si="594"/>
        <v>0</v>
      </c>
      <c r="EL144" s="3" t="str">
        <f>RTD("tos.rtd",,EL$43,"."&amp;$B$134&amp;$AS$82&amp;"C"&amp;$A144)</f>
        <v>N/A</v>
      </c>
      <c r="EM144" s="3" t="str">
        <f>RTD("tos.rtd",,EM$43,"."&amp;$B$134&amp;$AS$82&amp;"P"&amp;$A144)</f>
        <v>N/A</v>
      </c>
      <c r="EN144" s="3" t="str">
        <f>RTD("tos.rtd",,EN$2,"."&amp;$C$134&amp;$AU$82&amp;"C"&amp;$A144)</f>
        <v>20.60%</v>
      </c>
      <c r="EO144" s="3" t="str">
        <f>RTD("tos.rtd",,EO$2,"."&amp;$C$134&amp;$AU$82&amp;"P"&amp;$A144)</f>
        <v>22.96%</v>
      </c>
      <c r="EP144" s="3" t="str">
        <f>RTD("tos.rtd",,EP$2,"."&amp;$D$134&amp;$AW$82&amp;"C"&amp;$A144)</f>
        <v>18.25%</v>
      </c>
      <c r="EQ144" s="3" t="str">
        <f>RTD("tos.rtd",,EQ$2,"."&amp;$D$134&amp;$AW$82&amp;"P"&amp;$A144)</f>
        <v>19.27%</v>
      </c>
      <c r="ES144" s="63" t="str">
        <f t="shared" si="583"/>
        <v>21175,00.00</v>
      </c>
      <c r="ET144" s="63" t="str">
        <f t="shared" ca="1" si="584"/>
        <v>21175,01.64</v>
      </c>
      <c r="EU144" s="67">
        <v>571.97</v>
      </c>
      <c r="EV144" s="67" t="s">
        <v>1171</v>
      </c>
      <c r="EW144" s="67">
        <v>497.3</v>
      </c>
      <c r="EX144" s="67" t="s">
        <v>1172</v>
      </c>
      <c r="EY144" s="67">
        <v>5731.25</v>
      </c>
      <c r="EZ144" s="67" t="s">
        <v>1173</v>
      </c>
      <c r="FA144" s="67">
        <v>20417.5</v>
      </c>
      <c r="FB144" s="67" t="s">
        <v>1174</v>
      </c>
      <c r="FC144" s="67" t="s">
        <v>1175</v>
      </c>
      <c r="FD144" s="67" t="s">
        <v>1176</v>
      </c>
      <c r="FE144" s="68" t="s">
        <v>1177</v>
      </c>
      <c r="FF144" s="68" t="s">
        <v>1178</v>
      </c>
    </row>
    <row r="145" spans="1:162" ht="11.1" customHeight="1" thickBot="1" x14ac:dyDescent="0.25">
      <c r="A145" s="2">
        <f t="shared" si="595"/>
        <v>21150</v>
      </c>
      <c r="B145" s="3">
        <f t="shared" ref="B145:B154" si="610">+IF($A$1="ABS",AS145-AT145,AS145+AT145)</f>
        <v>2</v>
      </c>
      <c r="C145" s="3">
        <f t="shared" ref="C145:C154" si="611">+IF($A$1="ABS",AU145-AV145,AU145+AV145)</f>
        <v>25</v>
      </c>
      <c r="D145" s="3">
        <f t="shared" ref="D145:D154" si="612">+IF($A$1="ABS",AW145-AX145,AW145+AX145)</f>
        <v>4</v>
      </c>
      <c r="E145" s="3">
        <f t="shared" si="598"/>
        <v>31</v>
      </c>
      <c r="F145" s="4">
        <f t="shared" si="599"/>
        <v>21251.469265367316</v>
      </c>
      <c r="G145" s="5">
        <f t="shared" si="600"/>
        <v>515.11887256371813</v>
      </c>
      <c r="AM145" s="1">
        <v>-119</v>
      </c>
      <c r="AN145" s="1">
        <v>0</v>
      </c>
      <c r="AO145" s="1">
        <v>21150</v>
      </c>
      <c r="AP145" s="1">
        <v>269</v>
      </c>
      <c r="AQ145" s="1">
        <v>0</v>
      </c>
      <c r="AS145" s="54">
        <f>IF(RTD("tos.rtd",,AS$83,"."&amp;$B$134&amp;$AS$82&amp;"C"&amp;$A145)="N/A",0,RTD("tos.rtd",,AS$83,"."&amp;$B$134&amp;$AS$82&amp;"C"&amp;$A145))</f>
        <v>2</v>
      </c>
      <c r="AT145" s="3">
        <f>-IF(RTD("tos.rtd",,AT$83,"."&amp;$B$134&amp;$AS$82&amp;"P"&amp;$A145)="N/A",0,RTD("tos.rtd",,AT$83,"."&amp;$B$134&amp;$AS$82&amp;"P"&amp;$A145))</f>
        <v>0</v>
      </c>
      <c r="AU145" s="54">
        <f>IF(RTD("tos.rtd",,AU$2,"."&amp;$C$134&amp;$AU$134&amp;"C"&amp;$A145)="N/A",0,RTD("tos.rtd",,AU$2,"."&amp;$C$134&amp;$AU$134&amp;"C"&amp;$A145))</f>
        <v>20</v>
      </c>
      <c r="AV145" s="3">
        <f>-IF(RTD("tos.rtd",,AV$2,"."&amp;$C$134&amp;$AU$134&amp;"P"&amp;$A145)="N/A",0,RTD("tos.rtd",,AV$2,"."&amp;$C$134&amp;$AU$134&amp;"P"&amp;$A145))</f>
        <v>-5</v>
      </c>
      <c r="AW145" s="54">
        <f>IF(RTD("tos.rtd",,AW$2,"."&amp;$D$134&amp;$AW$134&amp;"C"&amp;$A145)="N/A",0,RTD("tos.rtd",,AW$2,"."&amp;$D$134&amp;$AW$134&amp;"C"&amp;$A145))</f>
        <v>4</v>
      </c>
      <c r="AX145" s="3">
        <f>-IF(RTD("tos.rtd",,AX$2,"."&amp;$D$134&amp;$AW$134&amp;"P"&amp;$A145)="N/A",0,RTD("tos.rtd",,AX$2,"."&amp;$D$134&amp;$AW$134&amp;"P"&amp;$A145))</f>
        <v>0</v>
      </c>
      <c r="AY145" s="76">
        <f t="shared" si="601"/>
        <v>21</v>
      </c>
      <c r="AZ145" s="8">
        <f t="shared" si="548"/>
        <v>21150</v>
      </c>
      <c r="BA145" s="54">
        <f>IF(RTD("tos.rtd",,BA$43,"."&amp;$B$134&amp;$AS$82&amp;"C"&amp;$A145)="N/A",0,RTD("tos.rtd",,BA$43,"."&amp;$B$134&amp;$AS$82&amp;"C"&amp;$A145))</f>
        <v>269</v>
      </c>
      <c r="BB145" s="3">
        <f>-IF(RTD("tos.rtd",,BB$43,"."&amp;$B$134&amp;$AS$82&amp;"P"&amp;$A145)="N/A",0,RTD("tos.rtd",,BB$43,"."&amp;$B$134&amp;$AS$82&amp;"P"&amp;$A145))</f>
        <v>0</v>
      </c>
      <c r="BC145" s="54">
        <f>IF(RTD("tos.rtd",,BC$2,"."&amp;$C$134&amp;$AU$82&amp;"C"&amp;$A145)="N/A",0,RTD("tos.rtd",,BC$2,"."&amp;$C$134&amp;$AU$82&amp;"C"&amp;$A145))</f>
        <v>17</v>
      </c>
      <c r="BD145" s="3">
        <f>-IF(RTD("tos.rtd",,BD$2,"."&amp;$C$134&amp;$AU$82&amp;"P"&amp;$A145)="N/A",0,RTD("tos.rtd",,BD$2,"."&amp;$C$134&amp;$AU$82&amp;"P"&amp;$A145))</f>
        <v>0</v>
      </c>
      <c r="BE145" s="54">
        <f>IF(RTD("tos.rtd",,BE$2,"."&amp;$D$134&amp;$AW$82&amp;"C"&amp;$A145)="N/A",0,RTD("tos.rtd",,BE$2,"."&amp;$D$134&amp;$AW$82&amp;"C"&amp;$A145))</f>
        <v>0</v>
      </c>
      <c r="BF145" s="3">
        <f>-IF(RTD("tos.rtd",,BF$2,"."&amp;$D$134&amp;$AW$82&amp;"P"&amp;$A145)="N/A",0,RTD("tos.rtd",,BF$2,"."&amp;$D$134&amp;$AW$82&amp;"P"&amp;$A145))</f>
        <v>0</v>
      </c>
      <c r="BG145" s="3">
        <f ca="1">+Hoja2!Y146</f>
        <v>2</v>
      </c>
      <c r="BH145" s="7">
        <f t="shared" ca="1" si="549"/>
        <v>288</v>
      </c>
      <c r="BI145" s="32" t="str">
        <f t="shared" ca="1" si="609"/>
        <v/>
      </c>
      <c r="BJ145" s="3">
        <f ca="1">IF($BP$1=1,DX145,IF(RTD("tos.rtd",,BJ$43,"."&amp;$B$134&amp;$AS$82&amp;"C"&amp;$A145)="N/A",0,RTD("tos.rtd",,BJ$43,"."&amp;$B$134&amp;$AS$82&amp;"C"&amp;$A145)))</f>
        <v>3.364120931041448E-4</v>
      </c>
      <c r="BK145" s="3">
        <f ca="1">IF($BP$1=1,DY145,-IF(RTD("tos.rtd",,BK$43,"."&amp;$B$134&amp;$AS$82&amp;"P"&amp;$A145)="N/A",0,RTD("tos.rtd",,BK$43,"."&amp;$B$134&amp;$AS$82&amp;"P"&amp;$A145)))</f>
        <v>-8.0173855422371843E-4</v>
      </c>
      <c r="BL145" s="3">
        <f ca="1">IF($BP$1=1,DZ145,IF(RTD("tos.rtd",,BL$2,"."&amp;$C$134&amp;$AU$82&amp;"C"&amp;$A145)="N/A",0,RTD("tos.rtd",,BL$2,"."&amp;$C$134&amp;$AU$82&amp;"C"&amp;$A145)))</f>
        <v>6.5189976641808237E-4</v>
      </c>
      <c r="BM145" s="3">
        <f ca="1">IF($BP$1=1,EA145,-IF(RTD("tos.rtd",,BM$2,"."&amp;$C$134&amp;$AU$82&amp;"P"&amp;$A145)="N/A",0,RTD("tos.rtd",,BM$2,"."&amp;$C$134&amp;$AU$82&amp;"P"&amp;$A145)))</f>
        <v>-6.042671811210676E-4</v>
      </c>
      <c r="BN145" s="3">
        <f ca="1">IF($BP$1=1,EB145,IF(RTD("tos.rtd",,BN$2,"."&amp;$D$134&amp;$AW$82&amp;"C"&amp;$A145)="N/A",0,RTD("tos.rtd",,BN$2,"."&amp;$D$134&amp;$AW$82&amp;"C"&amp;$A145)))</f>
        <v>7.0496881710289385E-4</v>
      </c>
      <c r="BO145" s="3">
        <f ca="1">IF($BP$1=1,EC145,-IF(RTD("tos.rtd",,BO$2,"."&amp;$D$134&amp;$AW$82&amp;"P"&amp;$A145)="N/A",0,RTD("tos.rtd",,BO$2,"."&amp;$D$134&amp;$AW$82&amp;"P"&amp;$A145)))</f>
        <v>-6.809444744400008E-4</v>
      </c>
      <c r="BQ145" s="3">
        <f t="shared" ca="1" si="602"/>
        <v>22960.82715203561</v>
      </c>
      <c r="BR145" s="3" t="str">
        <f t="shared" ca="1" si="550"/>
        <v/>
      </c>
      <c r="BS145" s="3">
        <f t="shared" ca="1" si="603"/>
        <v>341828.95080337825</v>
      </c>
      <c r="BT145" s="3" t="str">
        <f t="shared" ca="1" si="551"/>
        <v/>
      </c>
      <c r="BU145" s="3">
        <f t="shared" ca="1" si="604"/>
        <v>96231.184840692164</v>
      </c>
      <c r="BV145" s="3" t="str">
        <f t="shared" ca="1" si="551"/>
        <v/>
      </c>
      <c r="BX145" s="3">
        <f t="shared" ca="1" si="585"/>
        <v>23322.213675377883</v>
      </c>
      <c r="BY145" s="3" t="str">
        <f t="shared" ca="1" si="586"/>
        <v/>
      </c>
      <c r="BZ145" s="3">
        <f t="shared" ca="1" si="587"/>
        <v>2856.1146552286982</v>
      </c>
      <c r="CA145" s="3" t="str">
        <f t="shared" ca="1" si="586"/>
        <v/>
      </c>
      <c r="CB145" s="3">
        <f t="shared" ca="1" si="588"/>
        <v>0</v>
      </c>
      <c r="CC145" s="3" t="str">
        <f t="shared" ca="1" si="586"/>
        <v/>
      </c>
      <c r="CD145" s="3">
        <f>IF(RTD("tos.rtd",,CD$43,"."&amp;$B$134&amp;$AS$82&amp;"C"&amp;$A145)="N/A",0,RTD("tos.rtd",,CD$43,"."&amp;$B$134&amp;$AS$82&amp;"C"&amp;$A145))</f>
        <v>0</v>
      </c>
      <c r="CE145" s="3">
        <f>-IF(RTD("tos.rtd",,CE$43,"."&amp;$B$134&amp;$AS$82&amp;"P"&amp;$A145)="N/A",0,RTD("tos.rtd",,CE$43,"."&amp;$B$134&amp;$AS$82&amp;"P"&amp;$A145))</f>
        <v>0.93</v>
      </c>
      <c r="CF145" s="3">
        <f>IF(RTD("tos.rtd",,CF$2,"."&amp;$C$134&amp;$AU$82&amp;"C"&amp;$A145)="N/A",0,RTD("tos.rtd",,CF$2,"."&amp;$C$134&amp;$AU$82&amp;"C"&amp;$A145))</f>
        <v>0.27</v>
      </c>
      <c r="CG145" s="3">
        <f>-IF(RTD("tos.rtd",,CG$2,"."&amp;$C$134&amp;$AU$82&amp;"P"&amp;$A145)="N/A",0,RTD("tos.rtd",,CG$2,"."&amp;$C$134&amp;$AU$82&amp;"P"&amp;$A145))</f>
        <v>0.71</v>
      </c>
      <c r="CH145" s="3">
        <f>IF(RTD("tos.rtd",,CH$2,"."&amp;$D$134&amp;$AW$82&amp;"C"&amp;$A145)="N/A",0,RTD("tos.rtd",,CH$2,"."&amp;$D$134&amp;$AW$82&amp;"C"&amp;$A145))</f>
        <v>0.45</v>
      </c>
      <c r="CI145" s="3">
        <f>-IF(RTD("tos.rtd",,CI$2,"."&amp;$D$134&amp;$AW$82&amp;"P"&amp;$A145)="N/A",0,RTD("tos.rtd",,CI$2,"."&amp;$D$134&amp;$AW$82&amp;"P"&amp;$A145))</f>
        <v>0.54</v>
      </c>
      <c r="CK145" s="3">
        <f t="shared" si="605"/>
        <v>0</v>
      </c>
      <c r="CL145" s="3"/>
      <c r="CM145" s="3">
        <f t="shared" si="606"/>
        <v>185</v>
      </c>
      <c r="CN145" s="3"/>
      <c r="CO145" s="3">
        <f t="shared" si="607"/>
        <v>180</v>
      </c>
      <c r="CP145" s="3">
        <f t="shared" si="542"/>
        <v>365</v>
      </c>
      <c r="CQ145" s="3">
        <f t="shared" si="552"/>
        <v>269</v>
      </c>
      <c r="CR145" s="3"/>
      <c r="CS145" s="3">
        <f t="shared" si="553"/>
        <v>17</v>
      </c>
      <c r="CT145" s="3"/>
      <c r="CU145" s="3">
        <f t="shared" si="554"/>
        <v>0</v>
      </c>
      <c r="CV145" s="3"/>
      <c r="CW145" s="3">
        <f t="shared" ca="1" si="555"/>
        <v>461020.962796106</v>
      </c>
      <c r="CY145" s="3">
        <f t="shared" ca="1" si="556"/>
        <v>26178.328330606582</v>
      </c>
      <c r="CZ145" s="70" t="str">
        <f t="shared" ca="1" si="589"/>
        <v/>
      </c>
      <c r="DA145" s="3">
        <f>IF(RTD("tos.rtd",,DA$43,"."&amp;$B$134&amp;$AS$82&amp;"C"&amp;$A145)="N/A",0,RTD("tos.rtd",,DA$43,"."&amp;$B$134&amp;$AS$82&amp;"C"&amp;$A145))</f>
        <v>0.28000000000000003</v>
      </c>
      <c r="DB145" s="3">
        <f>IF(RTD("tos.rtd",,DB$43,"."&amp;$B$134&amp;$AS$82&amp;"P"&amp;$A145)="N/A",0,RTD("tos.rtd",,DB$43,"."&amp;$B$134&amp;$AS$82&amp;"P"&amp;$A145))</f>
        <v>0</v>
      </c>
      <c r="DC145" s="3">
        <f>IF(RTD("tos.rtd",,DC$43,"."&amp;$B$134&amp;$AS$82&amp;"C"&amp;$A145)="N/A",0,RTD("tos.rtd",,DC$43,"."&amp;$B$134&amp;$AS$82&amp;"C"&amp;$A145))</f>
        <v>0.05</v>
      </c>
      <c r="DD145" s="3">
        <f>IF(RTD("tos.rtd",,DD$43,"."&amp;$B$134&amp;$AS$82&amp;"P"&amp;$A145)="N/A",0,RTD("tos.rtd",,DD$43,"."&amp;$B$134&amp;$AS$82&amp;"P"&amp;$A145))</f>
        <v>312.5</v>
      </c>
      <c r="DE145" s="3">
        <f>IF(RTD("tos.rtd",,DE$43,"."&amp;$B$134&amp;$AS$82&amp;"C"&amp;$A145)="N/A",0,RTD("tos.rtd",,DE$43,"."&amp;$B$134&amp;$AS$82&amp;"C"&amp;$A145))</f>
        <v>0</v>
      </c>
      <c r="DF145" s="3">
        <f>IF(RTD("tos.rtd",,DF$43,"."&amp;$B$134&amp;$AS$82&amp;"P"&amp;$A145)="N/A",0,RTD("tos.rtd",,DF$43,"."&amp;$B$134&amp;$AS$82&amp;"P"&amp;$A145))</f>
        <v>262.60000000000002</v>
      </c>
      <c r="DG145" s="86">
        <f t="shared" si="590"/>
        <v>306.25</v>
      </c>
      <c r="DH145" s="3">
        <f t="shared" si="557"/>
        <v>0</v>
      </c>
      <c r="DI145" s="3">
        <f t="shared" si="558"/>
        <v>0</v>
      </c>
      <c r="DJ145" s="3">
        <f t="shared" si="559"/>
        <v>0</v>
      </c>
      <c r="DK145" s="3">
        <f t="shared" si="560"/>
        <v>0</v>
      </c>
      <c r="DL145" s="3">
        <f t="shared" si="561"/>
        <v>0</v>
      </c>
      <c r="DM145" s="3">
        <f t="shared" si="562"/>
        <v>0</v>
      </c>
      <c r="DN145" s="64" t="str">
        <f t="shared" si="563"/>
        <v>UNKNOWN</v>
      </c>
      <c r="DO145" s="64" t="str">
        <f t="shared" si="564"/>
        <v>UNKNOWN</v>
      </c>
      <c r="DP145" s="3">
        <f t="shared" si="565"/>
        <v>0</v>
      </c>
      <c r="DQ145" s="3">
        <f t="shared" si="566"/>
        <v>0</v>
      </c>
      <c r="DR145" s="3">
        <f t="shared" ca="1" si="567"/>
        <v>0</v>
      </c>
      <c r="DS145" s="3">
        <f t="shared" si="568"/>
        <v>0</v>
      </c>
      <c r="DT145" s="3">
        <f t="shared" si="591"/>
        <v>0</v>
      </c>
      <c r="DU145" s="3">
        <f t="shared" si="592"/>
        <v>0</v>
      </c>
      <c r="DV145" s="3">
        <f t="shared" si="569"/>
        <v>-119</v>
      </c>
      <c r="DW145" s="3">
        <f t="shared" si="570"/>
        <v>0</v>
      </c>
      <c r="DX145" s="3">
        <f t="shared" ca="1" si="571"/>
        <v>3.364120931041448E-4</v>
      </c>
      <c r="DY145" s="3">
        <f t="shared" ca="1" si="572"/>
        <v>-8.0173855422371843E-4</v>
      </c>
      <c r="DZ145" s="3">
        <f t="shared" ca="1" si="573"/>
        <v>6.5189976641808237E-4</v>
      </c>
      <c r="EA145" s="3">
        <f t="shared" ca="1" si="574"/>
        <v>-6.042671811210676E-4</v>
      </c>
      <c r="EB145" s="3">
        <f t="shared" ca="1" si="575"/>
        <v>7.0496881710289385E-4</v>
      </c>
      <c r="EC145" s="3">
        <f t="shared" ca="1" si="576"/>
        <v>-6.809444744400008E-4</v>
      </c>
      <c r="ED145" s="63">
        <f t="shared" si="593"/>
        <v>-119</v>
      </c>
      <c r="EE145" s="59">
        <f t="shared" si="577"/>
        <v>0.57440000000000002</v>
      </c>
      <c r="EF145" s="59">
        <f t="shared" si="578"/>
        <v>1.1959</v>
      </c>
      <c r="EG145" s="59">
        <f t="shared" si="579"/>
        <v>0.20599999999999999</v>
      </c>
      <c r="EH145" s="59">
        <f t="shared" si="580"/>
        <v>0.2286</v>
      </c>
      <c r="EI145" s="59">
        <f t="shared" si="581"/>
        <v>0.183</v>
      </c>
      <c r="EJ145" s="59">
        <f t="shared" si="582"/>
        <v>0.19320000000000001</v>
      </c>
      <c r="EK145" s="63">
        <f t="shared" ca="1" si="594"/>
        <v>-17392830.784172047</v>
      </c>
      <c r="EL145" s="3" t="str">
        <f>RTD("tos.rtd",,EL$43,"."&amp;$B$134&amp;$AS$82&amp;"C"&amp;$A145)</f>
        <v>57.44%</v>
      </c>
      <c r="EM145" s="3" t="str">
        <f>RTD("tos.rtd",,EM$43,"."&amp;$B$134&amp;$AS$82&amp;"P"&amp;$A145)</f>
        <v>119.59%</v>
      </c>
      <c r="EN145" s="3" t="str">
        <f>RTD("tos.rtd",,EN$2,"."&amp;$C$134&amp;$AU$82&amp;"C"&amp;$A145)</f>
        <v>20.60%</v>
      </c>
      <c r="EO145" s="3" t="str">
        <f>RTD("tos.rtd",,EO$2,"."&amp;$C$134&amp;$AU$82&amp;"P"&amp;$A145)</f>
        <v>22.86%</v>
      </c>
      <c r="EP145" s="3" t="str">
        <f>RTD("tos.rtd",,EP$2,"."&amp;$D$134&amp;$AW$82&amp;"C"&amp;$A145)</f>
        <v>18.30%</v>
      </c>
      <c r="EQ145" s="3" t="str">
        <f>RTD("tos.rtd",,EQ$2,"."&amp;$D$134&amp;$AW$82&amp;"P"&amp;$A145)</f>
        <v>19.32%</v>
      </c>
      <c r="ES145" s="63" t="str">
        <f t="shared" si="583"/>
        <v>21150,-119.00</v>
      </c>
      <c r="ET145" s="63" t="str">
        <f t="shared" ca="1" si="584"/>
        <v>21150,26.18</v>
      </c>
      <c r="EU145" s="68">
        <v>572.03</v>
      </c>
      <c r="EV145" s="68" t="s">
        <v>1179</v>
      </c>
      <c r="EW145" s="68">
        <v>497.25</v>
      </c>
      <c r="EX145" s="68" t="s">
        <v>1180</v>
      </c>
      <c r="EY145" s="68">
        <v>5730.5</v>
      </c>
      <c r="EZ145" s="68" t="s">
        <v>1181</v>
      </c>
      <c r="FA145" s="68">
        <v>20414.75</v>
      </c>
      <c r="FB145" s="68" t="s">
        <v>1182</v>
      </c>
      <c r="FC145" s="68" t="s">
        <v>1183</v>
      </c>
      <c r="FD145" s="68" t="s">
        <v>1184</v>
      </c>
      <c r="FE145" s="68" t="s">
        <v>1185</v>
      </c>
      <c r="FF145" s="68" t="s">
        <v>1186</v>
      </c>
    </row>
    <row r="146" spans="1:162" ht="11.1" customHeight="1" thickBot="1" x14ac:dyDescent="0.25">
      <c r="A146" s="2">
        <f t="shared" si="595"/>
        <v>21125</v>
      </c>
      <c r="B146" s="3">
        <f t="shared" si="610"/>
        <v>0</v>
      </c>
      <c r="C146" s="3">
        <f t="shared" si="611"/>
        <v>8</v>
      </c>
      <c r="D146" s="3">
        <f t="shared" si="612"/>
        <v>3</v>
      </c>
      <c r="E146" s="3">
        <f t="shared" si="598"/>
        <v>11</v>
      </c>
      <c r="F146" s="4">
        <f t="shared" si="599"/>
        <v>21226.349325337331</v>
      </c>
      <c r="G146" s="5">
        <f t="shared" si="600"/>
        <v>514.50998500749631</v>
      </c>
      <c r="AM146" s="1">
        <v>0</v>
      </c>
      <c r="AN146" s="1">
        <v>0</v>
      </c>
      <c r="AO146" s="1">
        <v>21125</v>
      </c>
      <c r="AP146" s="1">
        <v>0</v>
      </c>
      <c r="AQ146" s="1">
        <v>0</v>
      </c>
      <c r="AS146" s="54">
        <f>IF(RTD("tos.rtd",,AS$83,"."&amp;$B$134&amp;$AS$82&amp;"C"&amp;$A146)="N/A",0,RTD("tos.rtd",,AS$83,"."&amp;$B$134&amp;$AS$82&amp;"C"&amp;$A146))</f>
        <v>0</v>
      </c>
      <c r="AT146" s="3">
        <f>-IF(RTD("tos.rtd",,AT$83,"."&amp;$B$134&amp;$AS$82&amp;"P"&amp;$A146)="N/A",0,RTD("tos.rtd",,AT$83,"."&amp;$B$134&amp;$AS$82&amp;"P"&amp;$A146))</f>
        <v>0</v>
      </c>
      <c r="AU146" s="54">
        <f>IF(RTD("tos.rtd",,AU$2,"."&amp;$C$134&amp;$AU$134&amp;"C"&amp;$A146)="N/A",0,RTD("tos.rtd",,AU$2,"."&amp;$C$134&amp;$AU$134&amp;"C"&amp;$A146))</f>
        <v>8</v>
      </c>
      <c r="AV146" s="3">
        <f>-IF(RTD("tos.rtd",,AV$2,"."&amp;$C$134&amp;$AU$134&amp;"P"&amp;$A146)="N/A",0,RTD("tos.rtd",,AV$2,"."&amp;$C$134&amp;$AU$134&amp;"P"&amp;$A146))</f>
        <v>0</v>
      </c>
      <c r="AW146" s="54">
        <f>IF(RTD("tos.rtd",,AW$2,"."&amp;$D$134&amp;$AW$134&amp;"C"&amp;$A146)="N/A",0,RTD("tos.rtd",,AW$2,"."&amp;$D$134&amp;$AW$134&amp;"C"&amp;$A146))</f>
        <v>3</v>
      </c>
      <c r="AX146" s="3">
        <f>-IF(RTD("tos.rtd",,AX$2,"."&amp;$D$134&amp;$AW$134&amp;"P"&amp;$A146)="N/A",0,RTD("tos.rtd",,AX$2,"."&amp;$D$134&amp;$AW$134&amp;"P"&amp;$A146))</f>
        <v>0</v>
      </c>
      <c r="AY146" s="76">
        <f t="shared" si="601"/>
        <v>11</v>
      </c>
      <c r="AZ146" s="8">
        <f t="shared" si="548"/>
        <v>21125</v>
      </c>
      <c r="BA146" s="54">
        <f>IF(RTD("tos.rtd",,BA$43,"."&amp;$B$134&amp;$AS$82&amp;"C"&amp;$A146)="N/A",0,RTD("tos.rtd",,BA$43,"."&amp;$B$134&amp;$AS$82&amp;"C"&amp;$A146))</f>
        <v>0</v>
      </c>
      <c r="BB146" s="3">
        <f>-IF(RTD("tos.rtd",,BB$43,"."&amp;$B$134&amp;$AS$82&amp;"P"&amp;$A146)="N/A",0,RTD("tos.rtd",,BB$43,"."&amp;$B$134&amp;$AS$82&amp;"P"&amp;$A146))</f>
        <v>0</v>
      </c>
      <c r="BC146" s="54">
        <f>IF(RTD("tos.rtd",,BC$2,"."&amp;$C$134&amp;$AU$82&amp;"C"&amp;$A146)="N/A",0,RTD("tos.rtd",,BC$2,"."&amp;$C$134&amp;$AU$82&amp;"C"&amp;$A146))</f>
        <v>2</v>
      </c>
      <c r="BD146" s="3">
        <f>-IF(RTD("tos.rtd",,BD$2,"."&amp;$C$134&amp;$AU$82&amp;"P"&amp;$A146)="N/A",0,RTD("tos.rtd",,BD$2,"."&amp;$C$134&amp;$AU$82&amp;"P"&amp;$A146))</f>
        <v>0</v>
      </c>
      <c r="BE146" s="54">
        <f>IF(RTD("tos.rtd",,BE$2,"."&amp;$D$134&amp;$AW$82&amp;"C"&amp;$A146)="N/A",0,RTD("tos.rtd",,BE$2,"."&amp;$D$134&amp;$AW$82&amp;"C"&amp;$A146))</f>
        <v>1</v>
      </c>
      <c r="BF146" s="3">
        <f>-IF(RTD("tos.rtd",,BF$2,"."&amp;$D$134&amp;$AW$82&amp;"P"&amp;$A146)="N/A",0,RTD("tos.rtd",,BF$2,"."&amp;$D$134&amp;$AW$82&amp;"P"&amp;$A146))</f>
        <v>0</v>
      </c>
      <c r="BG146" s="3">
        <f ca="1">+Hoja2!Y147</f>
        <v>1</v>
      </c>
      <c r="BH146" s="7">
        <f t="shared" ca="1" si="549"/>
        <v>4</v>
      </c>
      <c r="BI146" s="32" t="str">
        <f t="shared" ca="1" si="609"/>
        <v/>
      </c>
      <c r="BJ146" s="3">
        <f ca="1">IF($BP$1=1,DX146,IF(RTD("tos.rtd",,BJ$43,"."&amp;$B$134&amp;$AS$82&amp;"C"&amp;$A146)="N/A",0,RTD("tos.rtd",,BJ$43,"."&amp;$B$134&amp;$AS$82&amp;"C"&amp;$A146)))</f>
        <v>5.7767439857217126E-7</v>
      </c>
      <c r="BK146" s="3">
        <f ca="1">IF($BP$1=1,DY146,-IF(RTD("tos.rtd",,BK$43,"."&amp;$B$134&amp;$AS$82&amp;"P"&amp;$A146)="N/A",0,RTD("tos.rtd",,BK$43,"."&amp;$B$134&amp;$AS$82&amp;"P"&amp;$A146)))</f>
        <v>-5.7767439857217126E-7</v>
      </c>
      <c r="BL146" s="3">
        <f ca="1">IF($BP$1=1,DZ146,IF(RTD("tos.rtd",,BL$2,"."&amp;$C$134&amp;$AU$82&amp;"C"&amp;$A146)="N/A",0,RTD("tos.rtd",,BL$2,"."&amp;$C$134&amp;$AU$82&amp;"C"&amp;$A146)))</f>
        <v>6.6761168295330798E-4</v>
      </c>
      <c r="BM146" s="3">
        <f ca="1">IF($BP$1=1,EA146,-IF(RTD("tos.rtd",,BM$2,"."&amp;$C$134&amp;$AU$82&amp;"P"&amp;$A146)="N/A",0,RTD("tos.rtd",,BM$2,"."&amp;$C$134&amp;$AU$82&amp;"P"&amp;$A146)))</f>
        <v>-6.1836489117554605E-4</v>
      </c>
      <c r="BN146" s="3">
        <f ca="1">IF($BP$1=1,EB146,IF(RTD("tos.rtd",,BN$2,"."&amp;$D$134&amp;$AW$82&amp;"C"&amp;$A146)="N/A",0,RTD("tos.rtd",,BN$2,"."&amp;$D$134&amp;$AW$82&amp;"C"&amp;$A146)))</f>
        <v>7.2533178431602116E-4</v>
      </c>
      <c r="BO146" s="3">
        <f ca="1">IF($BP$1=1,EC146,-IF(RTD("tos.rtd",,BO$2,"."&amp;$D$134&amp;$AW$82&amp;"P"&amp;$A146)="N/A",0,RTD("tos.rtd",,BO$2,"."&amp;$D$134&amp;$AW$82&amp;"P"&amp;$A146)))</f>
        <v>-6.9839900195272037E-4</v>
      </c>
      <c r="BQ146" s="3">
        <f t="shared" ca="1" si="602"/>
        <v>0</v>
      </c>
      <c r="BR146" s="3" t="str">
        <f t="shared" ca="1" si="550"/>
        <v/>
      </c>
      <c r="BS146" s="3">
        <f t="shared" ca="1" si="603"/>
        <v>182263.56033194149</v>
      </c>
      <c r="BT146" s="3" t="str">
        <f t="shared" ca="1" si="551"/>
        <v/>
      </c>
      <c r="BU146" s="3">
        <f t="shared" ca="1" si="604"/>
        <v>74258.111118505505</v>
      </c>
      <c r="BV146" s="3" t="str">
        <f t="shared" ca="1" si="551"/>
        <v/>
      </c>
      <c r="BX146" s="3">
        <f t="shared" ca="1" si="585"/>
        <v>0</v>
      </c>
      <c r="BY146" s="3" t="str">
        <f t="shared" ca="1" si="586"/>
        <v/>
      </c>
      <c r="BZ146" s="3">
        <f t="shared" ca="1" si="587"/>
        <v>344.11199749162728</v>
      </c>
      <c r="CA146" s="3" t="str">
        <f t="shared" ca="1" si="586"/>
        <v/>
      </c>
      <c r="CB146" s="3">
        <f t="shared" ca="1" si="588"/>
        <v>186.93154682450984</v>
      </c>
      <c r="CC146" s="3" t="str">
        <f t="shared" ca="1" si="586"/>
        <v/>
      </c>
      <c r="CD146" s="3">
        <f>IF(RTD("tos.rtd",,CD$43,"."&amp;$B$134&amp;$AS$82&amp;"C"&amp;$A146)="N/A",0,RTD("tos.rtd",,CD$43,"."&amp;$B$134&amp;$AS$82&amp;"C"&amp;$A146))</f>
        <v>0</v>
      </c>
      <c r="CE146" s="3">
        <f>-IF(RTD("tos.rtd",,CE$43,"."&amp;$B$134&amp;$AS$82&amp;"P"&amp;$A146)="N/A",0,RTD("tos.rtd",,CE$43,"."&amp;$B$134&amp;$AS$82&amp;"P"&amp;$A146))</f>
        <v>0</v>
      </c>
      <c r="CF146" s="3">
        <f>IF(RTD("tos.rtd",,CF$2,"."&amp;$C$134&amp;$AU$82&amp;"C"&amp;$A146)="N/A",0,RTD("tos.rtd",,CF$2,"."&amp;$C$134&amp;$AU$82&amp;"C"&amp;$A146))</f>
        <v>0.28999999999999998</v>
      </c>
      <c r="CG146" s="3">
        <f>-IF(RTD("tos.rtd",,CG$2,"."&amp;$C$134&amp;$AU$82&amp;"P"&amp;$A146)="N/A",0,RTD("tos.rtd",,CG$2,"."&amp;$C$134&amp;$AU$82&amp;"P"&amp;$A146))</f>
        <v>0.69</v>
      </c>
      <c r="CH146" s="3">
        <f>IF(RTD("tos.rtd",,CH$2,"."&amp;$D$134&amp;$AW$82&amp;"C"&amp;$A146)="N/A",0,RTD("tos.rtd",,CH$2,"."&amp;$D$134&amp;$AW$82&amp;"C"&amp;$A146))</f>
        <v>0.46</v>
      </c>
      <c r="CI146" s="3">
        <f>-IF(RTD("tos.rtd",,CI$2,"."&amp;$D$134&amp;$AW$82&amp;"P"&amp;$A146)="N/A",0,RTD("tos.rtd",,CI$2,"."&amp;$D$134&amp;$AW$82&amp;"P"&amp;$A146))</f>
        <v>0.53</v>
      </c>
      <c r="CK146" s="3">
        <f t="shared" si="605"/>
        <v>0</v>
      </c>
      <c r="CL146" s="3"/>
      <c r="CM146" s="3">
        <f t="shared" si="606"/>
        <v>231.99999999999997</v>
      </c>
      <c r="CN146" s="3"/>
      <c r="CO146" s="3">
        <f t="shared" si="607"/>
        <v>138</v>
      </c>
      <c r="CP146" s="3">
        <f t="shared" si="542"/>
        <v>370</v>
      </c>
      <c r="CQ146" s="3">
        <f t="shared" si="552"/>
        <v>0</v>
      </c>
      <c r="CR146" s="3"/>
      <c r="CS146" s="3">
        <f t="shared" si="553"/>
        <v>2</v>
      </c>
      <c r="CT146" s="3"/>
      <c r="CU146" s="3">
        <f t="shared" si="554"/>
        <v>1</v>
      </c>
      <c r="CV146" s="3"/>
      <c r="CW146" s="3">
        <f t="shared" ca="1" si="555"/>
        <v>256521.671450447</v>
      </c>
      <c r="CY146" s="3">
        <f t="shared" ca="1" si="556"/>
        <v>531.04354431613706</v>
      </c>
      <c r="CZ146" s="70" t="str">
        <f t="shared" ca="1" si="589"/>
        <v/>
      </c>
      <c r="DA146" s="3">
        <f>IF(RTD("tos.rtd",,DA$43,"."&amp;$B$134&amp;$AS$82&amp;"C"&amp;$A146)="N/A",0,RTD("tos.rtd",,DA$43,"."&amp;$B$134&amp;$AS$82&amp;"C"&amp;$A146))</f>
        <v>0</v>
      </c>
      <c r="DB146" s="3">
        <f>IF(RTD("tos.rtd",,DB$43,"."&amp;$B$134&amp;$AS$82&amp;"P"&amp;$A146)="N/A",0,RTD("tos.rtd",,DB$43,"."&amp;$B$134&amp;$AS$82&amp;"P"&amp;$A146))</f>
        <v>0</v>
      </c>
      <c r="DC146" s="3">
        <f>IF(RTD("tos.rtd",,DC$43,"."&amp;$B$134&amp;$AS$82&amp;"C"&amp;$A146)="N/A",0,RTD("tos.rtd",,DC$43,"."&amp;$B$134&amp;$AS$82&amp;"C"&amp;$A146))</f>
        <v>0</v>
      </c>
      <c r="DD146" s="3">
        <f>IF(RTD("tos.rtd",,DD$43,"."&amp;$B$134&amp;$AS$82&amp;"P"&amp;$A146)="N/A",0,RTD("tos.rtd",,DD$43,"."&amp;$B$134&amp;$AS$82&amp;"P"&amp;$A146))</f>
        <v>0</v>
      </c>
      <c r="DE146" s="3">
        <f>IF(RTD("tos.rtd",,DE$43,"."&amp;$B$134&amp;$AS$82&amp;"C"&amp;$A146)="N/A",0,RTD("tos.rtd",,DE$43,"."&amp;$B$134&amp;$AS$82&amp;"C"&amp;$A146))</f>
        <v>0</v>
      </c>
      <c r="DF146" s="3">
        <f>IF(RTD("tos.rtd",,DF$43,"."&amp;$B$134&amp;$AS$82&amp;"P"&amp;$A146)="N/A",0,RTD("tos.rtd",,DF$43,"."&amp;$B$134&amp;$AS$82&amp;"P"&amp;$A146))</f>
        <v>0</v>
      </c>
      <c r="DG146" s="86">
        <f t="shared" si="590"/>
        <v>281.25</v>
      </c>
      <c r="DH146" s="3" t="e">
        <f t="shared" si="557"/>
        <v>#DIV/0!</v>
      </c>
      <c r="DI146" s="3" t="e">
        <f t="shared" si="558"/>
        <v>#DIV/0!</v>
      </c>
      <c r="DJ146" s="3">
        <f t="shared" si="559"/>
        <v>0</v>
      </c>
      <c r="DK146" s="3">
        <f t="shared" si="560"/>
        <v>0</v>
      </c>
      <c r="DL146" s="3" t="e">
        <f t="shared" si="561"/>
        <v>#DIV/0!</v>
      </c>
      <c r="DM146" s="3">
        <f t="shared" si="562"/>
        <v>0</v>
      </c>
      <c r="DN146" s="64" t="str">
        <f t="shared" si="563"/>
        <v>UNKNOWN</v>
      </c>
      <c r="DO146" s="64" t="str">
        <f t="shared" si="564"/>
        <v>UNKNOWN</v>
      </c>
      <c r="DP146" s="3" t="e">
        <f t="shared" si="565"/>
        <v>#DIV/0!</v>
      </c>
      <c r="DQ146" s="3">
        <f t="shared" si="566"/>
        <v>0</v>
      </c>
      <c r="DR146" s="3">
        <f t="shared" ca="1" si="567"/>
        <v>0</v>
      </c>
      <c r="DS146" s="3">
        <f t="shared" si="568"/>
        <v>0</v>
      </c>
      <c r="DT146" s="3">
        <f t="shared" si="591"/>
        <v>0</v>
      </c>
      <c r="DU146" s="3">
        <f t="shared" si="592"/>
        <v>0</v>
      </c>
      <c r="DV146" s="3">
        <f t="shared" si="569"/>
        <v>0</v>
      </c>
      <c r="DW146" s="3">
        <f t="shared" si="570"/>
        <v>0</v>
      </c>
      <c r="DX146" s="3">
        <f t="shared" ca="1" si="571"/>
        <v>5.7767439857217126E-7</v>
      </c>
      <c r="DY146" s="3">
        <f t="shared" ca="1" si="572"/>
        <v>-5.7767439857217126E-7</v>
      </c>
      <c r="DZ146" s="3">
        <f t="shared" ca="1" si="573"/>
        <v>6.6761168295330798E-4</v>
      </c>
      <c r="EA146" s="3">
        <f t="shared" ca="1" si="574"/>
        <v>-6.1836489117554605E-4</v>
      </c>
      <c r="EB146" s="3">
        <f t="shared" ca="1" si="575"/>
        <v>7.2533178431602116E-4</v>
      </c>
      <c r="EC146" s="3">
        <f t="shared" ca="1" si="576"/>
        <v>-6.9839900195272037E-4</v>
      </c>
      <c r="ED146" s="63">
        <f t="shared" si="593"/>
        <v>0</v>
      </c>
      <c r="EE146" s="59">
        <f t="shared" si="577"/>
        <v>0.25</v>
      </c>
      <c r="EF146" s="59">
        <f t="shared" si="578"/>
        <v>0.25</v>
      </c>
      <c r="EG146" s="59">
        <f t="shared" si="579"/>
        <v>0.20599999999999999</v>
      </c>
      <c r="EH146" s="59">
        <f t="shared" si="580"/>
        <v>0.22750000000000001</v>
      </c>
      <c r="EI146" s="59">
        <f t="shared" si="581"/>
        <v>0.1835</v>
      </c>
      <c r="EJ146" s="59">
        <f t="shared" si="582"/>
        <v>0.19370000000000001</v>
      </c>
      <c r="EK146" s="63">
        <f t="shared" ca="1" si="594"/>
        <v>0</v>
      </c>
      <c r="EL146" s="3" t="str">
        <f>RTD("tos.rtd",,EL$43,"."&amp;$B$134&amp;$AS$82&amp;"C"&amp;$A146)</f>
        <v>N/A</v>
      </c>
      <c r="EM146" s="3" t="str">
        <f>RTD("tos.rtd",,EM$43,"."&amp;$B$134&amp;$AS$82&amp;"P"&amp;$A146)</f>
        <v>N/A</v>
      </c>
      <c r="EN146" s="3" t="str">
        <f>RTD("tos.rtd",,EN$2,"."&amp;$C$134&amp;$AU$82&amp;"C"&amp;$A146)</f>
        <v>20.60%</v>
      </c>
      <c r="EO146" s="3" t="str">
        <f>RTD("tos.rtd",,EO$2,"."&amp;$C$134&amp;$AU$82&amp;"P"&amp;$A146)</f>
        <v>22.75%</v>
      </c>
      <c r="EP146" s="3" t="str">
        <f>RTD("tos.rtd",,EP$2,"."&amp;$D$134&amp;$AW$82&amp;"C"&amp;$A146)</f>
        <v>18.35%</v>
      </c>
      <c r="EQ146" s="3" t="str">
        <f>RTD("tos.rtd",,EQ$2,"."&amp;$D$134&amp;$AW$82&amp;"P"&amp;$A146)</f>
        <v>19.37%</v>
      </c>
      <c r="ES146" s="63" t="str">
        <f t="shared" si="583"/>
        <v>21125,00.00</v>
      </c>
      <c r="ET146" s="63" t="str">
        <f t="shared" ca="1" si="584"/>
        <v>21125,00.53</v>
      </c>
      <c r="EU146" s="68">
        <v>572.03</v>
      </c>
      <c r="EV146" s="68" t="s">
        <v>1187</v>
      </c>
      <c r="EW146" s="68">
        <v>497.25</v>
      </c>
      <c r="EX146" s="68" t="s">
        <v>1188</v>
      </c>
      <c r="EY146" s="68">
        <v>5730</v>
      </c>
      <c r="EZ146" s="68" t="s">
        <v>1189</v>
      </c>
      <c r="FA146" s="68">
        <v>20414</v>
      </c>
      <c r="FB146" s="68" t="s">
        <v>1190</v>
      </c>
      <c r="FC146" s="68" t="s">
        <v>1191</v>
      </c>
      <c r="FD146" s="68" t="s">
        <v>1192</v>
      </c>
      <c r="FE146" s="68" t="s">
        <v>1193</v>
      </c>
      <c r="FF146" s="68" t="s">
        <v>1194</v>
      </c>
    </row>
    <row r="147" spans="1:162" ht="11.1" customHeight="1" thickBot="1" x14ac:dyDescent="0.25">
      <c r="A147" s="2">
        <f t="shared" si="595"/>
        <v>21100</v>
      </c>
      <c r="B147" s="3">
        <f t="shared" si="610"/>
        <v>22</v>
      </c>
      <c r="C147" s="3">
        <f t="shared" si="611"/>
        <v>158</v>
      </c>
      <c r="D147" s="3">
        <f t="shared" si="612"/>
        <v>293</v>
      </c>
      <c r="E147" s="3">
        <f t="shared" si="598"/>
        <v>473</v>
      </c>
      <c r="F147" s="4">
        <f t="shared" si="599"/>
        <v>21201.229385307346</v>
      </c>
      <c r="G147" s="5">
        <f t="shared" si="600"/>
        <v>513.90109745127438</v>
      </c>
      <c r="AM147" s="1">
        <v>99</v>
      </c>
      <c r="AN147" s="1">
        <v>0</v>
      </c>
      <c r="AO147" s="1">
        <v>21100</v>
      </c>
      <c r="AP147" s="1">
        <v>541</v>
      </c>
      <c r="AQ147" s="1">
        <v>0</v>
      </c>
      <c r="AS147" s="54">
        <f>IF(RTD("tos.rtd",,AS$83,"."&amp;$B$134&amp;$AS$82&amp;"C"&amp;$A147)="N/A",0,RTD("tos.rtd",,AS$83,"."&amp;$B$134&amp;$AS$82&amp;"C"&amp;$A147))</f>
        <v>22</v>
      </c>
      <c r="AT147" s="3">
        <f>-IF(RTD("tos.rtd",,AT$83,"."&amp;$B$134&amp;$AS$82&amp;"P"&amp;$A147)="N/A",0,RTD("tos.rtd",,AT$83,"."&amp;$B$134&amp;$AS$82&amp;"P"&amp;$A147))</f>
        <v>0</v>
      </c>
      <c r="AU147" s="54">
        <f>IF(RTD("tos.rtd",,AU$2,"."&amp;$C$134&amp;$AU$134&amp;"C"&amp;$A147)="N/A",0,RTD("tos.rtd",,AU$2,"."&amp;$C$134&amp;$AU$134&amp;"C"&amp;$A147))</f>
        <v>111</v>
      </c>
      <c r="AV147" s="3">
        <f>-IF(RTD("tos.rtd",,AV$2,"."&amp;$C$134&amp;$AU$134&amp;"P"&amp;$A147)="N/A",0,RTD("tos.rtd",,AV$2,"."&amp;$C$134&amp;$AU$134&amp;"P"&amp;$A147))</f>
        <v>-47</v>
      </c>
      <c r="AW147" s="54">
        <f>IF(RTD("tos.rtd",,AW$2,"."&amp;$D$134&amp;$AW$134&amp;"C"&amp;$A147)="N/A",0,RTD("tos.rtd",,AW$2,"."&amp;$D$134&amp;$AW$134&amp;"C"&amp;$A147))</f>
        <v>180</v>
      </c>
      <c r="AX147" s="3">
        <f>-IF(RTD("tos.rtd",,AX$2,"."&amp;$D$134&amp;$AW$134&amp;"P"&amp;$A147)="N/A",0,RTD("tos.rtd",,AX$2,"."&amp;$D$134&amp;$AW$134&amp;"P"&amp;$A147))</f>
        <v>-113</v>
      </c>
      <c r="AY147" s="76">
        <f t="shared" si="601"/>
        <v>153</v>
      </c>
      <c r="AZ147" s="8">
        <f t="shared" si="548"/>
        <v>21100</v>
      </c>
      <c r="BA147" s="54">
        <f>IF(RTD("tos.rtd",,BA$43,"."&amp;$B$134&amp;$AS$82&amp;"C"&amp;$A147)="N/A",0,RTD("tos.rtd",,BA$43,"."&amp;$B$134&amp;$AS$82&amp;"C"&amp;$A147))</f>
        <v>541</v>
      </c>
      <c r="BB147" s="3">
        <f>-IF(RTD("tos.rtd",,BB$43,"."&amp;$B$134&amp;$AS$82&amp;"P"&amp;$A147)="N/A",0,RTD("tos.rtd",,BB$43,"."&amp;$B$134&amp;$AS$82&amp;"P"&amp;$A147))</f>
        <v>0</v>
      </c>
      <c r="BC147" s="54">
        <f>IF(RTD("tos.rtd",,BC$2,"."&amp;$C$134&amp;$AU$82&amp;"C"&amp;$A147)="N/A",0,RTD("tos.rtd",,BC$2,"."&amp;$C$134&amp;$AU$82&amp;"C"&amp;$A147))</f>
        <v>53</v>
      </c>
      <c r="BD147" s="3">
        <f>-IF(RTD("tos.rtd",,BD$2,"."&amp;$C$134&amp;$AU$82&amp;"P"&amp;$A147)="N/A",0,RTD("tos.rtd",,BD$2,"."&amp;$C$134&amp;$AU$82&amp;"P"&amp;$A147))</f>
        <v>0</v>
      </c>
      <c r="BE147" s="54">
        <f>IF(RTD("tos.rtd",,BE$2,"."&amp;$D$134&amp;$AW$82&amp;"C"&amp;$A147)="N/A",0,RTD("tos.rtd",,BE$2,"."&amp;$D$134&amp;$AW$82&amp;"C"&amp;$A147))</f>
        <v>3</v>
      </c>
      <c r="BF147" s="3">
        <f>-IF(RTD("tos.rtd",,BF$2,"."&amp;$D$134&amp;$AW$82&amp;"P"&amp;$A147)="N/A",0,RTD("tos.rtd",,BF$2,"."&amp;$D$134&amp;$AW$82&amp;"P"&amp;$A147))</f>
        <v>-3</v>
      </c>
      <c r="BG147" s="3">
        <f ca="1">+Hoja2!Y148</f>
        <v>10</v>
      </c>
      <c r="BH147" s="7">
        <f t="shared" ca="1" si="549"/>
        <v>604</v>
      </c>
      <c r="BI147" s="32" t="str">
        <f t="shared" ca="1" si="609"/>
        <v/>
      </c>
      <c r="BJ147" s="3">
        <f ca="1">IF($BP$1=1,DX147,IF(RTD("tos.rtd",,BJ$43,"."&amp;$B$134&amp;$AS$82&amp;"C"&amp;$A147)="N/A",0,RTD("tos.rtd",,BJ$43,"."&amp;$B$134&amp;$AS$82&amp;"C"&amp;$A147)))</f>
        <v>9.2619469088462878E-4</v>
      </c>
      <c r="BK147" s="3">
        <f ca="1">IF($BP$1=1,DY147,-IF(RTD("tos.rtd",,BK$43,"."&amp;$B$134&amp;$AS$82&amp;"P"&amp;$A147)="N/A",0,RTD("tos.rtd",,BK$43,"."&amp;$B$134&amp;$AS$82&amp;"P"&amp;$A147)))</f>
        <v>-9.5356887516401137E-4</v>
      </c>
      <c r="BL147" s="3">
        <f ca="1">IF($BP$1=1,DZ147,IF(RTD("tos.rtd",,BL$2,"."&amp;$C$134&amp;$AU$82&amp;"C"&amp;$A147)="N/A",0,RTD("tos.rtd",,BL$2,"."&amp;$C$134&amp;$AU$82&amp;"C"&amp;$A147)))</f>
        <v>6.8197999175351545E-4</v>
      </c>
      <c r="BM147" s="3">
        <f ca="1">IF($BP$1=1,EA147,-IF(RTD("tos.rtd",,BM$2,"."&amp;$C$134&amp;$AU$82&amp;"P"&amp;$A147)="N/A",0,RTD("tos.rtd",,BM$2,"."&amp;$C$134&amp;$AU$82&amp;"P"&amp;$A147)))</f>
        <v>-6.3146053934153132E-4</v>
      </c>
      <c r="BN147" s="3">
        <f ca="1">IF($BP$1=1,EB147,IF(RTD("tos.rtd",,BN$2,"."&amp;$D$134&amp;$AW$82&amp;"C"&amp;$A147)="N/A",0,RTD("tos.rtd",,BN$2,"."&amp;$D$134&amp;$AW$82&amp;"C"&amp;$A147)))</f>
        <v>7.4403722843389107E-4</v>
      </c>
      <c r="BO147" s="3">
        <f ca="1">IF($BP$1=1,EC147,-IF(RTD("tos.rtd",,BO$2,"."&amp;$D$134&amp;$AW$82&amp;"P"&amp;$A147)="N/A",0,RTD("tos.rtd",,BO$2,"."&amp;$D$134&amp;$AW$82&amp;"P"&amp;$A147)))</f>
        <v>-7.1437742882277003E-4</v>
      </c>
      <c r="BQ147" s="3">
        <f t="shared" ca="1" si="602"/>
        <v>695361.91791852983</v>
      </c>
      <c r="BR147" s="3" t="str">
        <f t="shared" ca="1" si="550"/>
        <v/>
      </c>
      <c r="BS147" s="3">
        <f t="shared" ca="1" si="603"/>
        <v>1570519.1916457561</v>
      </c>
      <c r="BT147" s="3" t="str">
        <f t="shared" ca="1" si="551"/>
        <v/>
      </c>
      <c r="BU147" s="3">
        <f t="shared" ca="1" si="604"/>
        <v>1815575.5060009826</v>
      </c>
      <c r="BV147" s="3" t="str">
        <f t="shared" ca="1" si="551"/>
        <v/>
      </c>
      <c r="BX147" s="3">
        <f t="shared" ca="1" si="585"/>
        <v>129135.43897365304</v>
      </c>
      <c r="BY147" s="3" t="str">
        <f t="shared" ca="1" si="586"/>
        <v/>
      </c>
      <c r="BZ147" s="3">
        <f t="shared" ca="1" si="587"/>
        <v>9315.2259538019916</v>
      </c>
      <c r="CA147" s="3" t="str">
        <f t="shared" ca="1" si="586"/>
        <v/>
      </c>
      <c r="CB147" s="3">
        <f t="shared" ca="1" si="588"/>
        <v>22.931652823018453</v>
      </c>
      <c r="CC147" s="3" t="str">
        <f t="shared" ca="1" si="586"/>
        <v/>
      </c>
      <c r="CD147" s="3">
        <f>IF(RTD("tos.rtd",,CD$43,"."&amp;$B$134&amp;$AS$82&amp;"C"&amp;$A147)="N/A",0,RTD("tos.rtd",,CD$43,"."&amp;$B$134&amp;$AS$82&amp;"C"&amp;$A147))</f>
        <v>0.11</v>
      </c>
      <c r="CE147" s="3">
        <f>-IF(RTD("tos.rtd",,CE$43,"."&amp;$B$134&amp;$AS$82&amp;"P"&amp;$A147)="N/A",0,RTD("tos.rtd",,CE$43,"."&amp;$B$134&amp;$AS$82&amp;"P"&amp;$A147))</f>
        <v>0.92</v>
      </c>
      <c r="CF147" s="3">
        <f>IF(RTD("tos.rtd",,CF$2,"."&amp;$C$134&amp;$AU$82&amp;"C"&amp;$A147)="N/A",0,RTD("tos.rtd",,CF$2,"."&amp;$C$134&amp;$AU$82&amp;"C"&amp;$A147))</f>
        <v>0.31</v>
      </c>
      <c r="CG147" s="3">
        <f>-IF(RTD("tos.rtd",,CG$2,"."&amp;$C$134&amp;$AU$82&amp;"P"&amp;$A147)="N/A",0,RTD("tos.rtd",,CG$2,"."&amp;$C$134&amp;$AU$82&amp;"P"&amp;$A147))</f>
        <v>0.67</v>
      </c>
      <c r="CH147" s="3">
        <f>IF(RTD("tos.rtd",,CH$2,"."&amp;$D$134&amp;$AW$82&amp;"C"&amp;$A147)="N/A",0,RTD("tos.rtd",,CH$2,"."&amp;$D$134&amp;$AW$82&amp;"C"&amp;$A147))</f>
        <v>0.47</v>
      </c>
      <c r="CI147" s="3">
        <f>-IF(RTD("tos.rtd",,CI$2,"."&amp;$D$134&amp;$AW$82&amp;"P"&amp;$A147)="N/A",0,RTD("tos.rtd",,CI$2,"."&amp;$D$134&amp;$AW$82&amp;"P"&amp;$A147))</f>
        <v>0.53</v>
      </c>
      <c r="CK147" s="3">
        <f t="shared" si="605"/>
        <v>242</v>
      </c>
      <c r="CL147" s="3"/>
      <c r="CM147" s="3">
        <f t="shared" si="606"/>
        <v>291.99999999999955</v>
      </c>
      <c r="CN147" s="3"/>
      <c r="CO147" s="3">
        <f t="shared" si="607"/>
        <v>2471</v>
      </c>
      <c r="CP147" s="3">
        <f t="shared" si="542"/>
        <v>3004.9999999999995</v>
      </c>
      <c r="CQ147" s="3">
        <f t="shared" si="552"/>
        <v>541</v>
      </c>
      <c r="CR147" s="3"/>
      <c r="CS147" s="3">
        <f t="shared" si="553"/>
        <v>53</v>
      </c>
      <c r="CT147" s="3"/>
      <c r="CU147" s="3">
        <f t="shared" si="554"/>
        <v>0</v>
      </c>
      <c r="CV147" s="3"/>
      <c r="CW147" s="3">
        <f t="shared" ca="1" si="555"/>
        <v>4081456.6155652683</v>
      </c>
      <c r="CY147" s="3">
        <f t="shared" ca="1" si="556"/>
        <v>138473.59658027807</v>
      </c>
      <c r="CZ147" s="70" t="str">
        <f t="shared" ca="1" si="589"/>
        <v/>
      </c>
      <c r="DA147" s="3">
        <f>IF(RTD("tos.rtd",,DA$43,"."&amp;$B$134&amp;$AS$82&amp;"C"&amp;$A147)="N/A",0,RTD("tos.rtd",,DA$43,"."&amp;$B$134&amp;$AS$82&amp;"C"&amp;$A147))</f>
        <v>0.05</v>
      </c>
      <c r="DB147" s="3">
        <f>IF(RTD("tos.rtd",,DB$43,"."&amp;$B$134&amp;$AS$82&amp;"P"&amp;$A147)="N/A",0,RTD("tos.rtd",,DB$43,"."&amp;$B$134&amp;$AS$82&amp;"P"&amp;$A147))</f>
        <v>0</v>
      </c>
      <c r="DC147" s="3">
        <f>IF(RTD("tos.rtd",,DC$43,"."&amp;$B$134&amp;$AS$82&amp;"C"&amp;$A147)="N/A",0,RTD("tos.rtd",,DC$43,"."&amp;$B$134&amp;$AS$82&amp;"C"&amp;$A147))</f>
        <v>19.8</v>
      </c>
      <c r="DD147" s="3">
        <f>IF(RTD("tos.rtd",,DD$43,"."&amp;$B$134&amp;$AS$82&amp;"P"&amp;$A147)="N/A",0,RTD("tos.rtd",,DD$43,"."&amp;$B$134&amp;$AS$82&amp;"P"&amp;$A147))</f>
        <v>262.7</v>
      </c>
      <c r="DE147" s="3">
        <f>IF(RTD("tos.rtd",,DE$43,"."&amp;$B$134&amp;$AS$82&amp;"C"&amp;$A147)="N/A",0,RTD("tos.rtd",,DE$43,"."&amp;$B$134&amp;$AS$82&amp;"C"&amp;$A147))</f>
        <v>0</v>
      </c>
      <c r="DF147" s="3">
        <f>IF(RTD("tos.rtd",,DF$43,"."&amp;$B$134&amp;$AS$82&amp;"P"&amp;$A147)="N/A",0,RTD("tos.rtd",,DF$43,"."&amp;$B$134&amp;$AS$82&amp;"P"&amp;$A147))</f>
        <v>212.7</v>
      </c>
      <c r="DG147" s="86">
        <f t="shared" si="590"/>
        <v>256.25</v>
      </c>
      <c r="DH147" s="3">
        <f t="shared" si="557"/>
        <v>0</v>
      </c>
      <c r="DI147" s="3">
        <f t="shared" si="558"/>
        <v>0</v>
      </c>
      <c r="DJ147" s="3">
        <f t="shared" si="559"/>
        <v>0</v>
      </c>
      <c r="DK147" s="3">
        <f t="shared" si="560"/>
        <v>0</v>
      </c>
      <c r="DL147" s="3">
        <f t="shared" si="561"/>
        <v>0</v>
      </c>
      <c r="DM147" s="3">
        <f t="shared" si="562"/>
        <v>0</v>
      </c>
      <c r="DN147" s="64" t="str">
        <f t="shared" si="563"/>
        <v>UNKNOWN</v>
      </c>
      <c r="DO147" s="64" t="str">
        <f t="shared" si="564"/>
        <v>UNKNOWN</v>
      </c>
      <c r="DP147" s="3">
        <f t="shared" si="565"/>
        <v>0</v>
      </c>
      <c r="DQ147" s="3">
        <f t="shared" si="566"/>
        <v>0</v>
      </c>
      <c r="DR147" s="3">
        <f t="shared" ca="1" si="567"/>
        <v>0</v>
      </c>
      <c r="DS147" s="3">
        <f t="shared" si="568"/>
        <v>0</v>
      </c>
      <c r="DT147" s="3">
        <f t="shared" si="591"/>
        <v>0</v>
      </c>
      <c r="DU147" s="3">
        <f t="shared" si="592"/>
        <v>0</v>
      </c>
      <c r="DV147" s="3">
        <f t="shared" si="569"/>
        <v>99</v>
      </c>
      <c r="DW147" s="3">
        <f t="shared" si="570"/>
        <v>0</v>
      </c>
      <c r="DX147" s="3">
        <f t="shared" ca="1" si="571"/>
        <v>9.2619469088462878E-4</v>
      </c>
      <c r="DY147" s="3">
        <f t="shared" ca="1" si="572"/>
        <v>-9.5356887516401137E-4</v>
      </c>
      <c r="DZ147" s="3">
        <f t="shared" ca="1" si="573"/>
        <v>6.8197999175351545E-4</v>
      </c>
      <c r="EA147" s="3">
        <f t="shared" ca="1" si="574"/>
        <v>-6.3146053934153132E-4</v>
      </c>
      <c r="EB147" s="3">
        <f t="shared" ca="1" si="575"/>
        <v>7.4403722843389107E-4</v>
      </c>
      <c r="EC147" s="3">
        <f t="shared" ca="1" si="576"/>
        <v>-7.1437742882277003E-4</v>
      </c>
      <c r="ED147" s="63">
        <f t="shared" si="593"/>
        <v>99</v>
      </c>
      <c r="EE147" s="59">
        <f t="shared" si="577"/>
        <v>1.1878</v>
      </c>
      <c r="EF147" s="59">
        <f t="shared" si="578"/>
        <v>1.0376000000000001</v>
      </c>
      <c r="EG147" s="59">
        <f t="shared" si="579"/>
        <v>0.20610000000000001</v>
      </c>
      <c r="EH147" s="59">
        <f t="shared" si="580"/>
        <v>0.2266</v>
      </c>
      <c r="EI147" s="59">
        <f t="shared" si="581"/>
        <v>0.184</v>
      </c>
      <c r="EJ147" s="59">
        <f t="shared" si="582"/>
        <v>0.19420000000000001</v>
      </c>
      <c r="EK147" s="63">
        <f t="shared" ca="1" si="594"/>
        <v>39837235.501429878</v>
      </c>
      <c r="EL147" s="3" t="str">
        <f>RTD("tos.rtd",,EL$43,"."&amp;$B$134&amp;$AS$82&amp;"C"&amp;$A147)</f>
        <v>118.78%</v>
      </c>
      <c r="EM147" s="3" t="str">
        <f>RTD("tos.rtd",,EM$43,"."&amp;$B$134&amp;$AS$82&amp;"P"&amp;$A147)</f>
        <v>103.76%</v>
      </c>
      <c r="EN147" s="3" t="str">
        <f>RTD("tos.rtd",,EN$2,"."&amp;$C$134&amp;$AU$82&amp;"C"&amp;$A147)</f>
        <v>20.61%</v>
      </c>
      <c r="EO147" s="3" t="str">
        <f>RTD("tos.rtd",,EO$2,"."&amp;$C$134&amp;$AU$82&amp;"P"&amp;$A147)</f>
        <v>22.66%</v>
      </c>
      <c r="EP147" s="3" t="str">
        <f>RTD("tos.rtd",,EP$2,"."&amp;$D$134&amp;$AW$82&amp;"C"&amp;$A147)</f>
        <v>18.40%</v>
      </c>
      <c r="EQ147" s="3" t="str">
        <f>RTD("tos.rtd",,EQ$2,"."&amp;$D$134&amp;$AW$82&amp;"P"&amp;$A147)</f>
        <v>19.42%</v>
      </c>
      <c r="ES147" s="63" t="str">
        <f t="shared" si="583"/>
        <v>21100,99.00</v>
      </c>
      <c r="ET147" s="63" t="str">
        <f t="shared" ca="1" si="584"/>
        <v>21100,138.47</v>
      </c>
      <c r="EU147" s="68">
        <v>571.84</v>
      </c>
      <c r="EV147" s="68" t="s">
        <v>1195</v>
      </c>
      <c r="EW147" s="68">
        <v>497.1</v>
      </c>
      <c r="EX147" s="68" t="s">
        <v>1196</v>
      </c>
      <c r="EY147" s="68">
        <v>5729.5</v>
      </c>
      <c r="EZ147" s="68" t="s">
        <v>1197</v>
      </c>
      <c r="FA147" s="68">
        <v>20410.25</v>
      </c>
      <c r="FB147" s="68" t="s">
        <v>1198</v>
      </c>
      <c r="FC147" s="68" t="s">
        <v>1199</v>
      </c>
      <c r="FD147" s="68" t="s">
        <v>1200</v>
      </c>
      <c r="FE147" s="68" t="s">
        <v>1201</v>
      </c>
      <c r="FF147" s="68" t="s">
        <v>1202</v>
      </c>
    </row>
    <row r="148" spans="1:162" ht="11.1" customHeight="1" thickBot="1" x14ac:dyDescent="0.25">
      <c r="A148" s="2">
        <f t="shared" si="595"/>
        <v>21075</v>
      </c>
      <c r="B148" s="3">
        <f t="shared" si="610"/>
        <v>0</v>
      </c>
      <c r="C148" s="3">
        <f t="shared" si="611"/>
        <v>5</v>
      </c>
      <c r="D148" s="3">
        <f t="shared" si="612"/>
        <v>5</v>
      </c>
      <c r="E148" s="3">
        <f t="shared" ref="E148:E166" si="613">SUM(B148:D148)</f>
        <v>10</v>
      </c>
      <c r="F148" s="4">
        <f t="shared" ref="F148:F153" si="614">+$F$136/$A$136*A148</f>
        <v>21176.109445277358</v>
      </c>
      <c r="G148" s="5">
        <f t="shared" ref="G148:G166" si="615">+$G$136/$A$136*A148</f>
        <v>513.29220989505245</v>
      </c>
      <c r="AM148" s="1">
        <v>0</v>
      </c>
      <c r="AN148" s="1">
        <v>0</v>
      </c>
      <c r="AO148" s="1">
        <v>21075</v>
      </c>
      <c r="AP148" s="1">
        <v>0</v>
      </c>
      <c r="AQ148" s="1">
        <v>0</v>
      </c>
      <c r="AS148" s="54">
        <f>IF(RTD("tos.rtd",,AS$83,"."&amp;$B$134&amp;$AS$82&amp;"C"&amp;$A148)="N/A",0,RTD("tos.rtd",,AS$83,"."&amp;$B$134&amp;$AS$82&amp;"C"&amp;$A148))</f>
        <v>0</v>
      </c>
      <c r="AT148" s="3">
        <f>-IF(RTD("tos.rtd",,AT$83,"."&amp;$B$134&amp;$AS$82&amp;"P"&amp;$A148)="N/A",0,RTD("tos.rtd",,AT$83,"."&amp;$B$134&amp;$AS$82&amp;"P"&amp;$A148))</f>
        <v>0</v>
      </c>
      <c r="AU148" s="54">
        <f>IF(RTD("tos.rtd",,AU$2,"."&amp;$C$134&amp;$AU$134&amp;"C"&amp;$A148)="N/A",0,RTD("tos.rtd",,AU$2,"."&amp;$C$134&amp;$AU$134&amp;"C"&amp;$A148))</f>
        <v>5</v>
      </c>
      <c r="AV148" s="3">
        <f>-IF(RTD("tos.rtd",,AV$2,"."&amp;$C$134&amp;$AU$134&amp;"P"&amp;$A148)="N/A",0,RTD("tos.rtd",,AV$2,"."&amp;$C$134&amp;$AU$134&amp;"P"&amp;$A148))</f>
        <v>0</v>
      </c>
      <c r="AW148" s="54">
        <f>IF(RTD("tos.rtd",,AW$2,"."&amp;$D$134&amp;$AW$134&amp;"C"&amp;$A148)="N/A",0,RTD("tos.rtd",,AW$2,"."&amp;$D$134&amp;$AW$134&amp;"C"&amp;$A148))</f>
        <v>5</v>
      </c>
      <c r="AX148" s="3">
        <f>-IF(RTD("tos.rtd",,AX$2,"."&amp;$D$134&amp;$AW$134&amp;"P"&amp;$A148)="N/A",0,RTD("tos.rtd",,AX$2,"."&amp;$D$134&amp;$AW$134&amp;"P"&amp;$A148))</f>
        <v>0</v>
      </c>
      <c r="AY148" s="76">
        <f t="shared" ref="AY148:AY153" si="616">SUM(AS148:AX148)</f>
        <v>10</v>
      </c>
      <c r="AZ148" s="8">
        <f t="shared" si="548"/>
        <v>21075</v>
      </c>
      <c r="BA148" s="54">
        <f>IF(RTD("tos.rtd",,BA$43,"."&amp;$B$134&amp;$AS$82&amp;"C"&amp;$A148)="N/A",0,RTD("tos.rtd",,BA$43,"."&amp;$B$134&amp;$AS$82&amp;"C"&amp;$A148))</f>
        <v>0</v>
      </c>
      <c r="BB148" s="3">
        <f>-IF(RTD("tos.rtd",,BB$43,"."&amp;$B$134&amp;$AS$82&amp;"P"&amp;$A148)="N/A",0,RTD("tos.rtd",,BB$43,"."&amp;$B$134&amp;$AS$82&amp;"P"&amp;$A148))</f>
        <v>0</v>
      </c>
      <c r="BC148" s="54">
        <f>IF(RTD("tos.rtd",,BC$2,"."&amp;$C$134&amp;$AU$82&amp;"C"&amp;$A148)="N/A",0,RTD("tos.rtd",,BC$2,"."&amp;$C$134&amp;$AU$82&amp;"C"&amp;$A148))</f>
        <v>5</v>
      </c>
      <c r="BD148" s="3">
        <f>-IF(RTD("tos.rtd",,BD$2,"."&amp;$C$134&amp;$AU$82&amp;"P"&amp;$A148)="N/A",0,RTD("tos.rtd",,BD$2,"."&amp;$C$134&amp;$AU$82&amp;"P"&amp;$A148))</f>
        <v>-1</v>
      </c>
      <c r="BE148" s="54">
        <f>IF(RTD("tos.rtd",,BE$2,"."&amp;$D$134&amp;$AW$82&amp;"C"&amp;$A148)="N/A",0,RTD("tos.rtd",,BE$2,"."&amp;$D$134&amp;$AW$82&amp;"C"&amp;$A148))</f>
        <v>0</v>
      </c>
      <c r="BF148" s="3">
        <f>-IF(RTD("tos.rtd",,BF$2,"."&amp;$D$134&amp;$AW$82&amp;"P"&amp;$A148)="N/A",0,RTD("tos.rtd",,BF$2,"."&amp;$D$134&amp;$AW$82&amp;"P"&amp;$A148))</f>
        <v>0</v>
      </c>
      <c r="BG148" s="3">
        <f ca="1">+Hoja2!Y149</f>
        <v>0</v>
      </c>
      <c r="BH148" s="7">
        <f t="shared" ca="1" si="549"/>
        <v>4</v>
      </c>
      <c r="BI148" s="32" t="str">
        <f t="shared" ca="1" si="609"/>
        <v/>
      </c>
      <c r="BJ148" s="3">
        <f ca="1">IF($BP$1=1,DX148,IF(RTD("tos.rtd",,BJ$43,"."&amp;$B$134&amp;$AS$82&amp;"C"&amp;$A148)="N/A",0,RTD("tos.rtd",,BJ$43,"."&amp;$B$134&amp;$AS$82&amp;"C"&amp;$A148)))</f>
        <v>1.1506211957570684E-5</v>
      </c>
      <c r="BK148" s="3">
        <f ca="1">IF($BP$1=1,DY148,-IF(RTD("tos.rtd",,BK$43,"."&amp;$B$134&amp;$AS$82&amp;"P"&amp;$A148)="N/A",0,RTD("tos.rtd",,BK$43,"."&amp;$B$134&amp;$AS$82&amp;"P"&amp;$A148)))</f>
        <v>-1.1506211957570684E-5</v>
      </c>
      <c r="BL148" s="3">
        <f ca="1">IF($BP$1=1,DZ148,IF(RTD("tos.rtd",,BL$2,"."&amp;$C$134&amp;$AU$82&amp;"C"&amp;$A148)="N/A",0,RTD("tos.rtd",,BL$2,"."&amp;$C$134&amp;$AU$82&amp;"C"&amp;$A148)))</f>
        <v>6.9457612259836551E-4</v>
      </c>
      <c r="BM148" s="3">
        <f ca="1">IF($BP$1=1,EA148,-IF(RTD("tos.rtd",,BM$2,"."&amp;$C$134&amp;$AU$82&amp;"P"&amp;$A148)="N/A",0,RTD("tos.rtd",,BM$2,"."&amp;$C$134&amp;$AU$82&amp;"P"&amp;$A148)))</f>
        <v>-6.3561859683167958E-4</v>
      </c>
      <c r="BN148" s="3">
        <f ca="1">IF($BP$1=1,EB148,IF(RTD("tos.rtd",,BN$2,"."&amp;$D$134&amp;$AW$82&amp;"C"&amp;$A148)="N/A",0,RTD("tos.rtd",,BN$2,"."&amp;$D$134&amp;$AW$82&amp;"C"&amp;$A148)))</f>
        <v>7.6095735662142611E-4</v>
      </c>
      <c r="BO148" s="3">
        <f ca="1">IF($BP$1=1,EC148,-IF(RTD("tos.rtd",,BO$2,"."&amp;$D$134&amp;$AW$82&amp;"P"&amp;$A148)="N/A",0,RTD("tos.rtd",,BO$2,"."&amp;$D$134&amp;$AW$82&amp;"P"&amp;$A148)))</f>
        <v>-7.2878233352792433E-4</v>
      </c>
      <c r="BQ148" s="3">
        <f t="shared" ref="BQ148:BQ153" ca="1" si="617">+$A$84*$A$84*AS148*BJ148-$A$84*$A$84*AT148*BK148</f>
        <v>0</v>
      </c>
      <c r="BR148" s="3" t="str">
        <f t="shared" ca="1" si="550"/>
        <v/>
      </c>
      <c r="BS148" s="3">
        <f t="shared" ref="BS148:BS153" ca="1" si="618">+$A$84*$A$84*AU148*BL148-$A$84*$A$84*AV148*BM148</f>
        <v>118515.67334988051</v>
      </c>
      <c r="BT148" s="3" t="str">
        <f t="shared" ca="1" si="551"/>
        <v/>
      </c>
      <c r="BU148" s="3">
        <f t="shared" ref="BU148:BU153" ca="1" si="619">+$A$84*$A$84*AW148*BN148-$A$84*$A$84*AX148*BO148</f>
        <v>129842.31760394479</v>
      </c>
      <c r="BV148" s="3" t="str">
        <f t="shared" ca="1" si="551"/>
        <v/>
      </c>
      <c r="BX148" s="3">
        <f t="shared" ca="1" si="585"/>
        <v>0</v>
      </c>
      <c r="BY148" s="3" t="str">
        <f t="shared" ca="1" si="586"/>
        <v/>
      </c>
      <c r="BZ148" s="3">
        <f t="shared" ca="1" si="587"/>
        <v>731.21540913497915</v>
      </c>
      <c r="CA148" s="3" t="str">
        <f t="shared" ca="1" si="586"/>
        <v/>
      </c>
      <c r="CB148" s="3">
        <f t="shared" ca="1" si="588"/>
        <v>0</v>
      </c>
      <c r="CC148" s="3" t="str">
        <f t="shared" ca="1" si="586"/>
        <v/>
      </c>
      <c r="CD148" s="3">
        <f>IF(RTD("tos.rtd",,CD$43,"."&amp;$B$134&amp;$AS$82&amp;"C"&amp;$A148)="N/A",0,RTD("tos.rtd",,CD$43,"."&amp;$B$134&amp;$AS$82&amp;"C"&amp;$A148))</f>
        <v>0</v>
      </c>
      <c r="CE148" s="3">
        <f>-IF(RTD("tos.rtd",,CE$43,"."&amp;$B$134&amp;$AS$82&amp;"P"&amp;$A148)="N/A",0,RTD("tos.rtd",,CE$43,"."&amp;$B$134&amp;$AS$82&amp;"P"&amp;$A148))</f>
        <v>0</v>
      </c>
      <c r="CF148" s="3">
        <f>IF(RTD("tos.rtd",,CF$2,"."&amp;$C$134&amp;$AU$82&amp;"C"&amp;$A148)="N/A",0,RTD("tos.rtd",,CF$2,"."&amp;$C$134&amp;$AU$82&amp;"C"&amp;$A148))</f>
        <v>0.33</v>
      </c>
      <c r="CG148" s="3">
        <f>-IF(RTD("tos.rtd",,CG$2,"."&amp;$C$134&amp;$AU$82&amp;"P"&amp;$A148)="N/A",0,RTD("tos.rtd",,CG$2,"."&amp;$C$134&amp;$AU$82&amp;"P"&amp;$A148))</f>
        <v>0.65</v>
      </c>
      <c r="CH148" s="3">
        <f>IF(RTD("tos.rtd",,CH$2,"."&amp;$D$134&amp;$AW$82&amp;"C"&amp;$A148)="N/A",0,RTD("tos.rtd",,CH$2,"."&amp;$D$134&amp;$AW$82&amp;"C"&amp;$A148))</f>
        <v>0.48</v>
      </c>
      <c r="CI148" s="3">
        <f>-IF(RTD("tos.rtd",,CI$2,"."&amp;$D$134&amp;$AW$82&amp;"P"&amp;$A148)="N/A",0,RTD("tos.rtd",,CI$2,"."&amp;$D$134&amp;$AW$82&amp;"P"&amp;$A148))</f>
        <v>0.52</v>
      </c>
      <c r="CK148" s="3">
        <f t="shared" ref="CK148:CK167" si="620">+AS148*CD148*100+AT148*CE148*100</f>
        <v>0</v>
      </c>
      <c r="CL148" s="3"/>
      <c r="CM148" s="3">
        <f t="shared" ref="CM148:CM167" si="621">+AU148*CF148*100+AV148*CG148*100</f>
        <v>165</v>
      </c>
      <c r="CN148" s="3"/>
      <c r="CO148" s="3">
        <f t="shared" ref="CO148:CO167" si="622">+AW148*CH148*100+AX148*CI148*100</f>
        <v>240</v>
      </c>
      <c r="CP148" s="3">
        <f t="shared" si="542"/>
        <v>405</v>
      </c>
      <c r="CQ148" s="3">
        <f t="shared" si="552"/>
        <v>0</v>
      </c>
      <c r="CR148" s="3"/>
      <c r="CS148" s="3">
        <f t="shared" si="553"/>
        <v>4</v>
      </c>
      <c r="CT148" s="3"/>
      <c r="CU148" s="3">
        <f t="shared" si="554"/>
        <v>0</v>
      </c>
      <c r="CV148" s="3"/>
      <c r="CW148" s="3">
        <f t="shared" ca="1" si="555"/>
        <v>248357.9909538253</v>
      </c>
      <c r="CY148" s="3">
        <f t="shared" ca="1" si="556"/>
        <v>731.21540913497915</v>
      </c>
      <c r="CZ148" s="70" t="str">
        <f t="shared" ca="1" si="589"/>
        <v/>
      </c>
      <c r="DA148" s="3">
        <f>IF(RTD("tos.rtd",,DA$43,"."&amp;$B$134&amp;$AS$82&amp;"C"&amp;$A148)="N/A",0,RTD("tos.rtd",,DA$43,"."&amp;$B$134&amp;$AS$82&amp;"C"&amp;$A148))</f>
        <v>0</v>
      </c>
      <c r="DB148" s="3">
        <f>IF(RTD("tos.rtd",,DB$43,"."&amp;$B$134&amp;$AS$82&amp;"P"&amp;$A148)="N/A",0,RTD("tos.rtd",,DB$43,"."&amp;$B$134&amp;$AS$82&amp;"P"&amp;$A148))</f>
        <v>0</v>
      </c>
      <c r="DC148" s="3">
        <f>IF(RTD("tos.rtd",,DC$43,"."&amp;$B$134&amp;$AS$82&amp;"C"&amp;$A148)="N/A",0,RTD("tos.rtd",,DC$43,"."&amp;$B$134&amp;$AS$82&amp;"C"&amp;$A148))</f>
        <v>0</v>
      </c>
      <c r="DD148" s="3">
        <f>IF(RTD("tos.rtd",,DD$43,"."&amp;$B$134&amp;$AS$82&amp;"P"&amp;$A148)="N/A",0,RTD("tos.rtd",,DD$43,"."&amp;$B$134&amp;$AS$82&amp;"P"&amp;$A148))</f>
        <v>0</v>
      </c>
      <c r="DE148" s="3">
        <f>IF(RTD("tos.rtd",,DE$43,"."&amp;$B$134&amp;$AS$82&amp;"C"&amp;$A148)="N/A",0,RTD("tos.rtd",,DE$43,"."&amp;$B$134&amp;$AS$82&amp;"C"&amp;$A148))</f>
        <v>0</v>
      </c>
      <c r="DF148" s="3">
        <f>IF(RTD("tos.rtd",,DF$43,"."&amp;$B$134&amp;$AS$82&amp;"P"&amp;$A148)="N/A",0,RTD("tos.rtd",,DF$43,"."&amp;$B$134&amp;$AS$82&amp;"P"&amp;$A148))</f>
        <v>0</v>
      </c>
      <c r="DG148" s="86">
        <f t="shared" si="590"/>
        <v>231.25</v>
      </c>
      <c r="DH148" s="3" t="e">
        <f t="shared" si="557"/>
        <v>#DIV/0!</v>
      </c>
      <c r="DI148" s="3" t="e">
        <f t="shared" si="558"/>
        <v>#DIV/0!</v>
      </c>
      <c r="DJ148" s="3">
        <f t="shared" si="559"/>
        <v>0</v>
      </c>
      <c r="DK148" s="3">
        <f t="shared" si="560"/>
        <v>0</v>
      </c>
      <c r="DL148" s="3" t="e">
        <f t="shared" si="561"/>
        <v>#DIV/0!</v>
      </c>
      <c r="DM148" s="3">
        <f t="shared" si="562"/>
        <v>0</v>
      </c>
      <c r="DN148" s="64" t="str">
        <f t="shared" si="563"/>
        <v>UNKNOWN</v>
      </c>
      <c r="DO148" s="64" t="str">
        <f t="shared" si="564"/>
        <v>UNKNOWN</v>
      </c>
      <c r="DP148" s="3" t="e">
        <f t="shared" si="565"/>
        <v>#DIV/0!</v>
      </c>
      <c r="DQ148" s="3">
        <f t="shared" si="566"/>
        <v>0</v>
      </c>
      <c r="DR148" s="3">
        <f t="shared" ca="1" si="567"/>
        <v>0</v>
      </c>
      <c r="DS148" s="3">
        <f t="shared" si="568"/>
        <v>0</v>
      </c>
      <c r="DT148" s="3">
        <f t="shared" si="591"/>
        <v>0</v>
      </c>
      <c r="DU148" s="3">
        <f t="shared" si="592"/>
        <v>0</v>
      </c>
      <c r="DV148" s="3">
        <f t="shared" si="569"/>
        <v>0</v>
      </c>
      <c r="DW148" s="3">
        <f t="shared" si="570"/>
        <v>0</v>
      </c>
      <c r="DX148" s="3">
        <f t="shared" ca="1" si="571"/>
        <v>1.1506211957570684E-5</v>
      </c>
      <c r="DY148" s="3">
        <f t="shared" ca="1" si="572"/>
        <v>-1.1506211957570684E-5</v>
      </c>
      <c r="DZ148" s="3">
        <f t="shared" ca="1" si="573"/>
        <v>6.9457612259836551E-4</v>
      </c>
      <c r="EA148" s="3">
        <f t="shared" ca="1" si="574"/>
        <v>-6.3561859683167958E-4</v>
      </c>
      <c r="EB148" s="3">
        <f t="shared" ca="1" si="575"/>
        <v>7.6095735662142611E-4</v>
      </c>
      <c r="EC148" s="3">
        <f t="shared" ca="1" si="576"/>
        <v>-7.2878233352792433E-4</v>
      </c>
      <c r="ED148" s="63">
        <f t="shared" si="593"/>
        <v>0</v>
      </c>
      <c r="EE148" s="59">
        <f t="shared" si="577"/>
        <v>0.25</v>
      </c>
      <c r="EF148" s="59">
        <f t="shared" si="578"/>
        <v>0.25</v>
      </c>
      <c r="EG148" s="59">
        <f t="shared" si="579"/>
        <v>0.2064</v>
      </c>
      <c r="EH148" s="59">
        <f t="shared" si="580"/>
        <v>0.2291</v>
      </c>
      <c r="EI148" s="59">
        <f t="shared" si="581"/>
        <v>0.1845</v>
      </c>
      <c r="EJ148" s="59">
        <f t="shared" si="582"/>
        <v>0.19470000000000001</v>
      </c>
      <c r="EK148" s="63">
        <f t="shared" ca="1" si="594"/>
        <v>0</v>
      </c>
      <c r="EL148" s="3" t="str">
        <f>RTD("tos.rtd",,EL$43,"."&amp;$B$134&amp;$AS$82&amp;"C"&amp;$A148)</f>
        <v>N/A</v>
      </c>
      <c r="EM148" s="3" t="str">
        <f>RTD("tos.rtd",,EM$43,"."&amp;$B$134&amp;$AS$82&amp;"P"&amp;$A148)</f>
        <v>N/A</v>
      </c>
      <c r="EN148" s="3" t="str">
        <f>RTD("tos.rtd",,EN$2,"."&amp;$C$134&amp;$AU$82&amp;"C"&amp;$A148)</f>
        <v>20.64%</v>
      </c>
      <c r="EO148" s="3" t="str">
        <f>RTD("tos.rtd",,EO$2,"."&amp;$C$134&amp;$AU$82&amp;"P"&amp;$A148)</f>
        <v>22.91%</v>
      </c>
      <c r="EP148" s="3" t="str">
        <f>RTD("tos.rtd",,EP$2,"."&amp;$D$134&amp;$AW$82&amp;"C"&amp;$A148)</f>
        <v>18.45%</v>
      </c>
      <c r="EQ148" s="3" t="str">
        <f>RTD("tos.rtd",,EQ$2,"."&amp;$D$134&amp;$AW$82&amp;"P"&amp;$A148)</f>
        <v>19.47%</v>
      </c>
      <c r="ES148" s="63" t="str">
        <f t="shared" si="583"/>
        <v>21075,00.00</v>
      </c>
      <c r="ET148" s="63" t="str">
        <f t="shared" ca="1" si="584"/>
        <v>21075,00.73</v>
      </c>
      <c r="EU148" s="68">
        <v>571.84</v>
      </c>
      <c r="EV148" s="68" t="s">
        <v>1203</v>
      </c>
      <c r="EW148" s="68">
        <v>497.16</v>
      </c>
      <c r="EX148" s="68" t="s">
        <v>1204</v>
      </c>
      <c r="EY148" s="68">
        <v>5729.25</v>
      </c>
      <c r="EZ148" s="68" t="s">
        <v>1205</v>
      </c>
      <c r="FA148" s="68">
        <v>20411.5</v>
      </c>
      <c r="FB148" s="68" t="s">
        <v>1206</v>
      </c>
      <c r="FC148" s="68" t="s">
        <v>1207</v>
      </c>
      <c r="FD148" s="68" t="s">
        <v>1208</v>
      </c>
      <c r="FE148" s="68" t="s">
        <v>1209</v>
      </c>
      <c r="FF148" s="68" t="s">
        <v>1210</v>
      </c>
    </row>
    <row r="149" spans="1:162" ht="11.1" customHeight="1" thickBot="1" x14ac:dyDescent="0.25">
      <c r="A149" s="2">
        <f t="shared" si="595"/>
        <v>21050</v>
      </c>
      <c r="B149" s="3">
        <f t="shared" si="610"/>
        <v>17</v>
      </c>
      <c r="C149" s="3">
        <f t="shared" si="611"/>
        <v>17</v>
      </c>
      <c r="D149" s="3">
        <f t="shared" si="612"/>
        <v>1</v>
      </c>
      <c r="E149" s="3">
        <f t="shared" si="613"/>
        <v>35</v>
      </c>
      <c r="F149" s="4">
        <f t="shared" si="614"/>
        <v>21150.989505247373</v>
      </c>
      <c r="G149" s="5">
        <f t="shared" si="615"/>
        <v>512.68332233883064</v>
      </c>
      <c r="AM149" s="1">
        <v>22</v>
      </c>
      <c r="AN149" s="1">
        <v>0</v>
      </c>
      <c r="AO149" s="1">
        <v>21050</v>
      </c>
      <c r="AP149" s="1">
        <v>164</v>
      </c>
      <c r="AQ149" s="1">
        <v>0</v>
      </c>
      <c r="AS149" s="54">
        <f>IF(RTD("tos.rtd",,AS$83,"."&amp;$B$134&amp;$AS$82&amp;"C"&amp;$A149)="N/A",0,RTD("tos.rtd",,AS$83,"."&amp;$B$134&amp;$AS$82&amp;"C"&amp;$A149))</f>
        <v>17</v>
      </c>
      <c r="AT149" s="3">
        <f>-IF(RTD("tos.rtd",,AT$83,"."&amp;$B$134&amp;$AS$82&amp;"P"&amp;$A149)="N/A",0,RTD("tos.rtd",,AT$83,"."&amp;$B$134&amp;$AS$82&amp;"P"&amp;$A149))</f>
        <v>0</v>
      </c>
      <c r="AU149" s="54">
        <f>IF(RTD("tos.rtd",,AU$2,"."&amp;$C$134&amp;$AU$134&amp;"C"&amp;$A149)="N/A",0,RTD("tos.rtd",,AU$2,"."&amp;$C$134&amp;$AU$134&amp;"C"&amp;$A149))</f>
        <v>15</v>
      </c>
      <c r="AV149" s="3">
        <f>-IF(RTD("tos.rtd",,AV$2,"."&amp;$C$134&amp;$AU$134&amp;"P"&amp;$A149)="N/A",0,RTD("tos.rtd",,AV$2,"."&amp;$C$134&amp;$AU$134&amp;"P"&amp;$A149))</f>
        <v>-2</v>
      </c>
      <c r="AW149" s="54">
        <f>IF(RTD("tos.rtd",,AW$2,"."&amp;$D$134&amp;$AW$134&amp;"C"&amp;$A149)="N/A",0,RTD("tos.rtd",,AW$2,"."&amp;$D$134&amp;$AW$134&amp;"C"&amp;$A149))</f>
        <v>1</v>
      </c>
      <c r="AX149" s="3">
        <f>-IF(RTD("tos.rtd",,AX$2,"."&amp;$D$134&amp;$AW$134&amp;"P"&amp;$A149)="N/A",0,RTD("tos.rtd",,AX$2,"."&amp;$D$134&amp;$AW$134&amp;"P"&amp;$A149))</f>
        <v>0</v>
      </c>
      <c r="AY149" s="76">
        <f t="shared" si="616"/>
        <v>31</v>
      </c>
      <c r="AZ149" s="8">
        <f t="shared" si="548"/>
        <v>21050</v>
      </c>
      <c r="BA149" s="54">
        <f>IF(RTD("tos.rtd",,BA$43,"."&amp;$B$134&amp;$AS$82&amp;"C"&amp;$A149)="N/A",0,RTD("tos.rtd",,BA$43,"."&amp;$B$134&amp;$AS$82&amp;"C"&amp;$A149))</f>
        <v>164</v>
      </c>
      <c r="BB149" s="3">
        <f>-IF(RTD("tos.rtd",,BB$43,"."&amp;$B$134&amp;$AS$82&amp;"P"&amp;$A149)="N/A",0,RTD("tos.rtd",,BB$43,"."&amp;$B$134&amp;$AS$82&amp;"P"&amp;$A149))</f>
        <v>0</v>
      </c>
      <c r="BC149" s="54">
        <f>IF(RTD("tos.rtd",,BC$2,"."&amp;$C$134&amp;$AU$82&amp;"C"&amp;$A149)="N/A",0,RTD("tos.rtd",,BC$2,"."&amp;$C$134&amp;$AU$82&amp;"C"&amp;$A149))</f>
        <v>4</v>
      </c>
      <c r="BD149" s="3">
        <f>-IF(RTD("tos.rtd",,BD$2,"."&amp;$C$134&amp;$AU$82&amp;"P"&amp;$A149)="N/A",0,RTD("tos.rtd",,BD$2,"."&amp;$C$134&amp;$AU$82&amp;"P"&amp;$A149))</f>
        <v>-3</v>
      </c>
      <c r="BE149" s="54">
        <f>IF(RTD("tos.rtd",,BE$2,"."&amp;$D$134&amp;$AW$82&amp;"C"&amp;$A149)="N/A",0,RTD("tos.rtd",,BE$2,"."&amp;$D$134&amp;$AW$82&amp;"C"&amp;$A149))</f>
        <v>0</v>
      </c>
      <c r="BF149" s="3">
        <f>-IF(RTD("tos.rtd",,BF$2,"."&amp;$D$134&amp;$AW$82&amp;"P"&amp;$A149)="N/A",0,RTD("tos.rtd",,BF$2,"."&amp;$D$134&amp;$AW$82&amp;"P"&amp;$A149))</f>
        <v>0</v>
      </c>
      <c r="BG149" s="3">
        <f ca="1">+Hoja2!Y150</f>
        <v>0</v>
      </c>
      <c r="BH149" s="7">
        <f t="shared" ca="1" si="549"/>
        <v>165</v>
      </c>
      <c r="BI149" s="32" t="str">
        <f t="shared" ca="1" si="609"/>
        <v/>
      </c>
      <c r="BJ149" s="3">
        <f ca="1">IF($BP$1=1,DX149,IF(RTD("tos.rtd",,BJ$43,"."&amp;$B$134&amp;$AS$82&amp;"C"&amp;$A149)="N/A",0,RTD("tos.rtd",,BJ$43,"."&amp;$B$134&amp;$AS$82&amp;"C"&amp;$A149)))</f>
        <v>1.1303448201723135E-3</v>
      </c>
      <c r="BK149" s="3">
        <f ca="1">IF($BP$1=1,DY149,-IF(RTD("tos.rtd",,BK$43,"."&amp;$B$134&amp;$AS$82&amp;"P"&amp;$A149)="N/A",0,RTD("tos.rtd",,BK$43,"."&amp;$B$134&amp;$AS$82&amp;"P"&amp;$A149)))</f>
        <v>-1.1855554551477754E-3</v>
      </c>
      <c r="BL149" s="3">
        <f ca="1">IF($BP$1=1,DZ149,IF(RTD("tos.rtd",,BL$2,"."&amp;$C$134&amp;$AU$82&amp;"C"&amp;$A149)="N/A",0,RTD("tos.rtd",,BL$2,"."&amp;$C$134&amp;$AU$82&amp;"C"&amp;$A149)))</f>
        <v>7.061097076138601E-4</v>
      </c>
      <c r="BM149" s="3">
        <f ca="1">IF($BP$1=1,EA149,-IF(RTD("tos.rtd",,BM$2,"."&amp;$C$134&amp;$AU$82&amp;"P"&amp;$A149)="N/A",0,RTD("tos.rtd",,BM$2,"."&amp;$C$134&amp;$AU$82&amp;"P"&amp;$A149)))</f>
        <v>-6.4580078087128699E-4</v>
      </c>
      <c r="BN149" s="3">
        <f ca="1">IF($BP$1=1,EB149,IF(RTD("tos.rtd",,BN$2,"."&amp;$D$134&amp;$AW$82&amp;"C"&amp;$A149)="N/A",0,RTD("tos.rtd",,BN$2,"."&amp;$D$134&amp;$AW$82&amp;"C"&amp;$A149)))</f>
        <v>7.7597896672753275E-4</v>
      </c>
      <c r="BO149" s="3">
        <f ca="1">IF($BP$1=1,EC149,-IF(RTD("tos.rtd",,BO$2,"."&amp;$D$134&amp;$AW$82&amp;"P"&amp;$A149)="N/A",0,RTD("tos.rtd",,BO$2,"."&amp;$D$134&amp;$AW$82&amp;"P"&amp;$A149)))</f>
        <v>-7.4152796343477365E-4</v>
      </c>
      <c r="BQ149" s="3">
        <f t="shared" ca="1" si="617"/>
        <v>655761.33214746125</v>
      </c>
      <c r="BR149" s="3" t="str">
        <f t="shared" ca="1" si="550"/>
        <v/>
      </c>
      <c r="BS149" s="3">
        <f t="shared" ca="1" si="618"/>
        <v>317373.70381757873</v>
      </c>
      <c r="BT149" s="3" t="str">
        <f t="shared" ca="1" si="551"/>
        <v/>
      </c>
      <c r="BU149" s="3">
        <f t="shared" ca="1" si="619"/>
        <v>26481.091634138036</v>
      </c>
      <c r="BV149" s="3" t="str">
        <f t="shared" ca="1" si="551"/>
        <v/>
      </c>
      <c r="BX149" s="3">
        <f t="shared" ca="1" si="585"/>
        <v>47774.999084285118</v>
      </c>
      <c r="BY149" s="3" t="str">
        <f t="shared" ca="1" si="586"/>
        <v/>
      </c>
      <c r="BZ149" s="3">
        <f t="shared" ca="1" si="587"/>
        <v>228.60586885540738</v>
      </c>
      <c r="CA149" s="3" t="str">
        <f t="shared" ca="1" si="586"/>
        <v/>
      </c>
      <c r="CB149" s="3">
        <f t="shared" ca="1" si="588"/>
        <v>0</v>
      </c>
      <c r="CC149" s="3" t="str">
        <f t="shared" ca="1" si="586"/>
        <v/>
      </c>
      <c r="CD149" s="3">
        <f>IF(RTD("tos.rtd",,CD$43,"."&amp;$B$134&amp;$AS$82&amp;"C"&amp;$A149)="N/A",0,RTD("tos.rtd",,CD$43,"."&amp;$B$134&amp;$AS$82&amp;"C"&amp;$A149))</f>
        <v>0.13</v>
      </c>
      <c r="CE149" s="3">
        <f>-IF(RTD("tos.rtd",,CE$43,"."&amp;$B$134&amp;$AS$82&amp;"P"&amp;$A149)="N/A",0,RTD("tos.rtd",,CE$43,"."&amp;$B$134&amp;$AS$82&amp;"P"&amp;$A149))</f>
        <v>0.93</v>
      </c>
      <c r="CF149" s="3">
        <f>IF(RTD("tos.rtd",,CF$2,"."&amp;$C$134&amp;$AU$82&amp;"C"&amp;$A149)="N/A",0,RTD("tos.rtd",,CF$2,"."&amp;$C$134&amp;$AU$82&amp;"C"&amp;$A149))</f>
        <v>0.35</v>
      </c>
      <c r="CG149" s="3">
        <f>-IF(RTD("tos.rtd",,CG$2,"."&amp;$C$134&amp;$AU$82&amp;"P"&amp;$A149)="N/A",0,RTD("tos.rtd",,CG$2,"."&amp;$C$134&amp;$AU$82&amp;"P"&amp;$A149))</f>
        <v>0.63</v>
      </c>
      <c r="CH149" s="3">
        <f>IF(RTD("tos.rtd",,CH$2,"."&amp;$D$134&amp;$AW$82&amp;"C"&amp;$A149)="N/A",0,RTD("tos.rtd",,CH$2,"."&amp;$D$134&amp;$AW$82&amp;"C"&amp;$A149))</f>
        <v>0.49</v>
      </c>
      <c r="CI149" s="3">
        <f>-IF(RTD("tos.rtd",,CI$2,"."&amp;$D$134&amp;$AW$82&amp;"P"&amp;$A149)="N/A",0,RTD("tos.rtd",,CI$2,"."&amp;$D$134&amp;$AW$82&amp;"P"&amp;$A149))</f>
        <v>0.51</v>
      </c>
      <c r="CK149" s="3">
        <f t="shared" si="620"/>
        <v>221</v>
      </c>
      <c r="CL149" s="3"/>
      <c r="CM149" s="3">
        <f t="shared" si="621"/>
        <v>399</v>
      </c>
      <c r="CN149" s="3"/>
      <c r="CO149" s="3">
        <f t="shared" si="622"/>
        <v>49</v>
      </c>
      <c r="CP149" s="3">
        <f t="shared" si="542"/>
        <v>669</v>
      </c>
      <c r="CQ149" s="3">
        <f t="shared" si="552"/>
        <v>164</v>
      </c>
      <c r="CR149" s="3"/>
      <c r="CS149" s="3">
        <f t="shared" si="553"/>
        <v>1</v>
      </c>
      <c r="CT149" s="3"/>
      <c r="CU149" s="3">
        <f t="shared" si="554"/>
        <v>0</v>
      </c>
      <c r="CV149" s="3"/>
      <c r="CW149" s="3">
        <f t="shared" ca="1" si="555"/>
        <v>999616.127599178</v>
      </c>
      <c r="CY149" s="3">
        <f t="shared" ca="1" si="556"/>
        <v>48003.604953140522</v>
      </c>
      <c r="CZ149" s="70" t="str">
        <f t="shared" ca="1" si="589"/>
        <v/>
      </c>
      <c r="DA149" s="3">
        <f>IF(RTD("tos.rtd",,DA$43,"."&amp;$B$134&amp;$AS$82&amp;"C"&amp;$A149)="N/A",0,RTD("tos.rtd",,DA$43,"."&amp;$B$134&amp;$AS$82&amp;"C"&amp;$A149))</f>
        <v>0.12</v>
      </c>
      <c r="DB149" s="3">
        <f>IF(RTD("tos.rtd",,DB$43,"."&amp;$B$134&amp;$AS$82&amp;"P"&amp;$A149)="N/A",0,RTD("tos.rtd",,DB$43,"."&amp;$B$134&amp;$AS$82&amp;"P"&amp;$A149))</f>
        <v>0</v>
      </c>
      <c r="DC149" s="3">
        <f>IF(RTD("tos.rtd",,DC$43,"."&amp;$B$134&amp;$AS$82&amp;"C"&amp;$A149)="N/A",0,RTD("tos.rtd",,DC$43,"."&amp;$B$134&amp;$AS$82&amp;"C"&amp;$A149))</f>
        <v>19.8</v>
      </c>
      <c r="DD149" s="3">
        <f>IF(RTD("tos.rtd",,DD$43,"."&amp;$B$134&amp;$AS$82&amp;"P"&amp;$A149)="N/A",0,RTD("tos.rtd",,DD$43,"."&amp;$B$134&amp;$AS$82&amp;"P"&amp;$A149))</f>
        <v>195.9</v>
      </c>
      <c r="DE149" s="3">
        <f>IF(RTD("tos.rtd",,DE$43,"."&amp;$B$134&amp;$AS$82&amp;"C"&amp;$A149)="N/A",0,RTD("tos.rtd",,DE$43,"."&amp;$B$134&amp;$AS$82&amp;"C"&amp;$A149))</f>
        <v>0</v>
      </c>
      <c r="DF149" s="3">
        <f>IF(RTD("tos.rtd",,DF$43,"."&amp;$B$134&amp;$AS$82&amp;"P"&amp;$A149)="N/A",0,RTD("tos.rtd",,DF$43,"."&amp;$B$134&amp;$AS$82&amp;"P"&amp;$A149))</f>
        <v>176</v>
      </c>
      <c r="DG149" s="86">
        <f t="shared" si="590"/>
        <v>206.25</v>
      </c>
      <c r="DH149" s="3">
        <f t="shared" si="557"/>
        <v>0</v>
      </c>
      <c r="DI149" s="3">
        <f t="shared" si="558"/>
        <v>0</v>
      </c>
      <c r="DJ149" s="3">
        <f t="shared" si="559"/>
        <v>0</v>
      </c>
      <c r="DK149" s="3">
        <f t="shared" si="560"/>
        <v>0</v>
      </c>
      <c r="DL149" s="3">
        <f t="shared" si="561"/>
        <v>0</v>
      </c>
      <c r="DM149" s="3">
        <f t="shared" si="562"/>
        <v>0</v>
      </c>
      <c r="DN149" s="64" t="str">
        <f t="shared" si="563"/>
        <v>UNKNOWN</v>
      </c>
      <c r="DO149" s="64" t="str">
        <f t="shared" si="564"/>
        <v>UNKNOWN</v>
      </c>
      <c r="DP149" s="3">
        <f t="shared" si="565"/>
        <v>0</v>
      </c>
      <c r="DQ149" s="3">
        <f t="shared" si="566"/>
        <v>0</v>
      </c>
      <c r="DR149" s="3">
        <f t="shared" ca="1" si="567"/>
        <v>0</v>
      </c>
      <c r="DS149" s="3">
        <f t="shared" si="568"/>
        <v>0</v>
      </c>
      <c r="DT149" s="3">
        <f t="shared" si="591"/>
        <v>0</v>
      </c>
      <c r="DU149" s="3">
        <f t="shared" si="592"/>
        <v>0</v>
      </c>
      <c r="DV149" s="3">
        <f t="shared" si="569"/>
        <v>22</v>
      </c>
      <c r="DW149" s="3">
        <f t="shared" si="570"/>
        <v>0</v>
      </c>
      <c r="DX149" s="3">
        <f t="shared" ca="1" si="571"/>
        <v>1.1303448201723135E-3</v>
      </c>
      <c r="DY149" s="3">
        <f t="shared" ca="1" si="572"/>
        <v>-1.1855554551477754E-3</v>
      </c>
      <c r="DZ149" s="3">
        <f t="shared" ca="1" si="573"/>
        <v>7.061097076138601E-4</v>
      </c>
      <c r="EA149" s="3">
        <f t="shared" ca="1" si="574"/>
        <v>-6.4580078087128699E-4</v>
      </c>
      <c r="EB149" s="3">
        <f t="shared" ca="1" si="575"/>
        <v>7.7597896672753275E-4</v>
      </c>
      <c r="EC149" s="3">
        <f t="shared" ca="1" si="576"/>
        <v>-7.4152796343477365E-4</v>
      </c>
      <c r="ED149" s="63">
        <f t="shared" si="593"/>
        <v>22</v>
      </c>
      <c r="EE149" s="59">
        <f t="shared" si="577"/>
        <v>1.0012000000000001</v>
      </c>
      <c r="EF149" s="59">
        <f t="shared" si="578"/>
        <v>0.79379999999999995</v>
      </c>
      <c r="EG149" s="59">
        <f t="shared" si="579"/>
        <v>0.20660000000000001</v>
      </c>
      <c r="EH149" s="59">
        <f t="shared" si="580"/>
        <v>0.2286</v>
      </c>
      <c r="EI149" s="59">
        <f t="shared" si="581"/>
        <v>0.185</v>
      </c>
      <c r="EJ149" s="59">
        <f t="shared" si="582"/>
        <v>0.19520000000000001</v>
      </c>
      <c r="EK149" s="63">
        <f t="shared" ca="1" si="594"/>
        <v>10804019.030699305</v>
      </c>
      <c r="EL149" s="3" t="str">
        <f>RTD("tos.rtd",,EL$43,"."&amp;$B$134&amp;$AS$82&amp;"C"&amp;$A149)</f>
        <v>100.12%</v>
      </c>
      <c r="EM149" s="3" t="str">
        <f>RTD("tos.rtd",,EM$43,"."&amp;$B$134&amp;$AS$82&amp;"P"&amp;$A149)</f>
        <v>79.38%</v>
      </c>
      <c r="EN149" s="3" t="str">
        <f>RTD("tos.rtd",,EN$2,"."&amp;$C$134&amp;$AU$82&amp;"C"&amp;$A149)</f>
        <v>20.66%</v>
      </c>
      <c r="EO149" s="3" t="str">
        <f>RTD("tos.rtd",,EO$2,"."&amp;$C$134&amp;$AU$82&amp;"P"&amp;$A149)</f>
        <v>22.86%</v>
      </c>
      <c r="EP149" s="3" t="str">
        <f>RTD("tos.rtd",,EP$2,"."&amp;$D$134&amp;$AW$82&amp;"C"&amp;$A149)</f>
        <v>18.50%</v>
      </c>
      <c r="EQ149" s="3" t="str">
        <f>RTD("tos.rtd",,EQ$2,"."&amp;$D$134&amp;$AW$82&amp;"P"&amp;$A149)</f>
        <v>19.52%</v>
      </c>
      <c r="ES149" s="63" t="str">
        <f t="shared" si="583"/>
        <v>21050,22.00</v>
      </c>
      <c r="ET149" s="63" t="str">
        <f t="shared" ca="1" si="584"/>
        <v>21050,48.00</v>
      </c>
      <c r="EU149" s="68">
        <v>571.80999999999995</v>
      </c>
      <c r="EV149" s="68" t="s">
        <v>1211</v>
      </c>
      <c r="EW149" s="68">
        <v>497.11</v>
      </c>
      <c r="EX149" s="68" t="s">
        <v>1212</v>
      </c>
      <c r="EY149" s="68">
        <v>5729</v>
      </c>
      <c r="EZ149" s="68" t="s">
        <v>1213</v>
      </c>
      <c r="FA149" s="68">
        <v>20409.75</v>
      </c>
      <c r="FB149" s="68" t="s">
        <v>1214</v>
      </c>
      <c r="FC149" s="68" t="s">
        <v>1215</v>
      </c>
      <c r="FD149" s="68" t="s">
        <v>1216</v>
      </c>
      <c r="FE149" s="68" t="s">
        <v>1217</v>
      </c>
      <c r="FF149" s="68" t="s">
        <v>1218</v>
      </c>
    </row>
    <row r="150" spans="1:162" ht="11.1" customHeight="1" thickBot="1" x14ac:dyDescent="0.25">
      <c r="A150" s="2">
        <f t="shared" si="595"/>
        <v>21025</v>
      </c>
      <c r="B150" s="3">
        <f t="shared" si="610"/>
        <v>0</v>
      </c>
      <c r="C150" s="3">
        <f t="shared" si="611"/>
        <v>20</v>
      </c>
      <c r="D150" s="3">
        <f t="shared" si="612"/>
        <v>3</v>
      </c>
      <c r="E150" s="3">
        <f t="shared" si="613"/>
        <v>23</v>
      </c>
      <c r="F150" s="4">
        <f t="shared" si="614"/>
        <v>21125.869565217388</v>
      </c>
      <c r="G150" s="5">
        <f t="shared" si="615"/>
        <v>512.07443478260871</v>
      </c>
      <c r="AM150" s="1">
        <v>0</v>
      </c>
      <c r="AN150" s="1">
        <v>0</v>
      </c>
      <c r="AO150" s="1">
        <v>21025</v>
      </c>
      <c r="AP150" s="1">
        <v>0</v>
      </c>
      <c r="AQ150" s="1">
        <v>0</v>
      </c>
      <c r="AS150" s="54">
        <f>IF(RTD("tos.rtd",,AS$83,"."&amp;$B$134&amp;$AS$82&amp;"C"&amp;$A150)="N/A",0,RTD("tos.rtd",,AS$83,"."&amp;$B$134&amp;$AS$82&amp;"C"&amp;$A150))</f>
        <v>0</v>
      </c>
      <c r="AT150" s="3">
        <f>-IF(RTD("tos.rtd",,AT$83,"."&amp;$B$134&amp;$AS$82&amp;"P"&amp;$A150)="N/A",0,RTD("tos.rtd",,AT$83,"."&amp;$B$134&amp;$AS$82&amp;"P"&amp;$A150))</f>
        <v>0</v>
      </c>
      <c r="AU150" s="54">
        <f>IF(RTD("tos.rtd",,AU$2,"."&amp;$C$134&amp;$AU$134&amp;"C"&amp;$A150)="N/A",0,RTD("tos.rtd",,AU$2,"."&amp;$C$134&amp;$AU$134&amp;"C"&amp;$A150))</f>
        <v>19</v>
      </c>
      <c r="AV150" s="3">
        <f>-IF(RTD("tos.rtd",,AV$2,"."&amp;$C$134&amp;$AU$134&amp;"P"&amp;$A150)="N/A",0,RTD("tos.rtd",,AV$2,"."&amp;$C$134&amp;$AU$134&amp;"P"&amp;$A150))</f>
        <v>-1</v>
      </c>
      <c r="AW150" s="54">
        <f>IF(RTD("tos.rtd",,AW$2,"."&amp;$D$134&amp;$AW$134&amp;"C"&amp;$A150)="N/A",0,RTD("tos.rtd",,AW$2,"."&amp;$D$134&amp;$AW$134&amp;"C"&amp;$A150))</f>
        <v>3</v>
      </c>
      <c r="AX150" s="3">
        <f>-IF(RTD("tos.rtd",,AX$2,"."&amp;$D$134&amp;$AW$134&amp;"P"&amp;$A150)="N/A",0,RTD("tos.rtd",,AX$2,"."&amp;$D$134&amp;$AW$134&amp;"P"&amp;$A150))</f>
        <v>0</v>
      </c>
      <c r="AY150" s="76">
        <f t="shared" si="616"/>
        <v>21</v>
      </c>
      <c r="AZ150" s="8">
        <f t="shared" si="548"/>
        <v>21025</v>
      </c>
      <c r="BA150" s="54">
        <f>IF(RTD("tos.rtd",,BA$43,"."&amp;$B$134&amp;$AS$82&amp;"C"&amp;$A150)="N/A",0,RTD("tos.rtd",,BA$43,"."&amp;$B$134&amp;$AS$82&amp;"C"&amp;$A150))</f>
        <v>0</v>
      </c>
      <c r="BB150" s="3">
        <f>-IF(RTD("tos.rtd",,BB$43,"."&amp;$B$134&amp;$AS$82&amp;"P"&amp;$A150)="N/A",0,RTD("tos.rtd",,BB$43,"."&amp;$B$134&amp;$AS$82&amp;"P"&amp;$A150))</f>
        <v>0</v>
      </c>
      <c r="BC150" s="54">
        <f>IF(RTD("tos.rtd",,BC$2,"."&amp;$C$134&amp;$AU$82&amp;"C"&amp;$A150)="N/A",0,RTD("tos.rtd",,BC$2,"."&amp;$C$134&amp;$AU$82&amp;"C"&amp;$A150))</f>
        <v>13</v>
      </c>
      <c r="BD150" s="3">
        <f>-IF(RTD("tos.rtd",,BD$2,"."&amp;$C$134&amp;$AU$82&amp;"P"&amp;$A150)="N/A",0,RTD("tos.rtd",,BD$2,"."&amp;$C$134&amp;$AU$82&amp;"P"&amp;$A150))</f>
        <v>0</v>
      </c>
      <c r="BE150" s="54">
        <f>IF(RTD("tos.rtd",,BE$2,"."&amp;$D$134&amp;$AW$82&amp;"C"&amp;$A150)="N/A",0,RTD("tos.rtd",,BE$2,"."&amp;$D$134&amp;$AW$82&amp;"C"&amp;$A150))</f>
        <v>4</v>
      </c>
      <c r="BF150" s="3">
        <f>-IF(RTD("tos.rtd",,BF$2,"."&amp;$D$134&amp;$AW$82&amp;"P"&amp;$A150)="N/A",0,RTD("tos.rtd",,BF$2,"."&amp;$D$134&amp;$AW$82&amp;"P"&amp;$A150))</f>
        <v>0</v>
      </c>
      <c r="BG150" s="3">
        <f ca="1">+Hoja2!Y151</f>
        <v>1</v>
      </c>
      <c r="BH150" s="7">
        <f t="shared" ca="1" si="549"/>
        <v>18</v>
      </c>
      <c r="BI150" s="32" t="str">
        <f t="shared" ca="1" si="609"/>
        <v/>
      </c>
      <c r="BJ150" s="3">
        <f ca="1">IF($BP$1=1,DX150,IF(RTD("tos.rtd",,BJ$43,"."&amp;$B$134&amp;$AS$82&amp;"C"&amp;$A150)="N/A",0,RTD("tos.rtd",,BJ$43,"."&amp;$B$134&amp;$AS$82&amp;"C"&amp;$A150)))</f>
        <v>1.2886955659904427E-4</v>
      </c>
      <c r="BK150" s="3">
        <f ca="1">IF($BP$1=1,DY150,-IF(RTD("tos.rtd",,BK$43,"."&amp;$B$134&amp;$AS$82&amp;"P"&amp;$A150)="N/A",0,RTD("tos.rtd",,BK$43,"."&amp;$B$134&amp;$AS$82&amp;"P"&amp;$A150)))</f>
        <v>-1.2886955659904427E-4</v>
      </c>
      <c r="BL150" s="3">
        <f ca="1">IF($BP$1=1,DZ150,IF(RTD("tos.rtd",,BL$2,"."&amp;$C$134&amp;$AU$82&amp;"C"&amp;$A150)="N/A",0,RTD("tos.rtd",,BL$2,"."&amp;$C$134&amp;$AU$82&amp;"C"&amp;$A150)))</f>
        <v>7.15624475922982E-4</v>
      </c>
      <c r="BM150" s="3">
        <f ca="1">IF($BP$1=1,EA150,-IF(RTD("tos.rtd",,BM$2,"."&amp;$C$134&amp;$AU$82&amp;"P"&amp;$A150)="N/A",0,RTD("tos.rtd",,BM$2,"."&amp;$C$134&amp;$AU$82&amp;"P"&amp;$A150)))</f>
        <v>-6.5375928563898378E-4</v>
      </c>
      <c r="BN150" s="3">
        <f ca="1">IF($BP$1=1,EB150,IF(RTD("tos.rtd",,BN$2,"."&amp;$D$134&amp;$AW$82&amp;"C"&amp;$A150)="N/A",0,RTD("tos.rtd",,BN$2,"."&amp;$D$134&amp;$AW$82&amp;"C"&amp;$A150)))</f>
        <v>7.8863155265011115E-4</v>
      </c>
      <c r="BO150" s="3">
        <f ca="1">IF($BP$1=1,EC150,-IF(RTD("tos.rtd",,BO$2,"."&amp;$D$134&amp;$AW$82&amp;"P"&amp;$A150)="N/A",0,RTD("tos.rtd",,BO$2,"."&amp;$D$134&amp;$AW$82&amp;"P"&amp;$A150)))</f>
        <v>-7.5219893153227995E-4</v>
      </c>
      <c r="BQ150" s="3">
        <f t="shared" ca="1" si="617"/>
        <v>0</v>
      </c>
      <c r="BR150" s="3" t="str">
        <f t="shared" ca="1" si="550"/>
        <v/>
      </c>
      <c r="BS150" s="3">
        <f t="shared" ca="1" si="618"/>
        <v>441696.98442238168</v>
      </c>
      <c r="BT150" s="3" t="str">
        <f t="shared" ca="1" si="551"/>
        <v/>
      </c>
      <c r="BU150" s="3">
        <f t="shared" ca="1" si="619"/>
        <v>80738.622978551793</v>
      </c>
      <c r="BV150" s="3" t="str">
        <f t="shared" ca="1" si="551"/>
        <v/>
      </c>
      <c r="BX150" s="3">
        <f t="shared" ca="1" si="585"/>
        <v>0</v>
      </c>
      <c r="BY150" s="3" t="str">
        <f t="shared" ca="1" si="586"/>
        <v/>
      </c>
      <c r="BZ150" s="3">
        <f t="shared" ca="1" si="587"/>
        <v>2397.5872981035955</v>
      </c>
      <c r="CA150" s="3" t="str">
        <f t="shared" ca="1" si="586"/>
        <v/>
      </c>
      <c r="CB150" s="3">
        <f t="shared" ca="1" si="588"/>
        <v>812.98031714143326</v>
      </c>
      <c r="CC150" s="3" t="str">
        <f t="shared" ca="1" si="586"/>
        <v/>
      </c>
      <c r="CD150" s="3">
        <f>IF(RTD("tos.rtd",,CD$43,"."&amp;$B$134&amp;$AS$82&amp;"C"&amp;$A150)="N/A",0,RTD("tos.rtd",,CD$43,"."&amp;$B$134&amp;$AS$82&amp;"C"&amp;$A150))</f>
        <v>0</v>
      </c>
      <c r="CE150" s="3">
        <f>-IF(RTD("tos.rtd",,CE$43,"."&amp;$B$134&amp;$AS$82&amp;"P"&amp;$A150)="N/A",0,RTD("tos.rtd",,CE$43,"."&amp;$B$134&amp;$AS$82&amp;"P"&amp;$A150))</f>
        <v>0</v>
      </c>
      <c r="CF150" s="3">
        <f>IF(RTD("tos.rtd",,CF$2,"."&amp;$C$134&amp;$AU$82&amp;"C"&amp;$A150)="N/A",0,RTD("tos.rtd",,CF$2,"."&amp;$C$134&amp;$AU$82&amp;"C"&amp;$A150))</f>
        <v>0.37</v>
      </c>
      <c r="CG150" s="3">
        <f>-IF(RTD("tos.rtd",,CG$2,"."&amp;$C$134&amp;$AU$82&amp;"P"&amp;$A150)="N/A",0,RTD("tos.rtd",,CG$2,"."&amp;$C$134&amp;$AU$82&amp;"P"&amp;$A150))</f>
        <v>0.62</v>
      </c>
      <c r="CH150" s="3">
        <f>IF(RTD("tos.rtd",,CH$2,"."&amp;$D$134&amp;$AW$82&amp;"C"&amp;$A150)="N/A",0,RTD("tos.rtd",,CH$2,"."&amp;$D$134&amp;$AW$82&amp;"C"&amp;$A150))</f>
        <v>0.49</v>
      </c>
      <c r="CI150" s="3">
        <f>-IF(RTD("tos.rtd",,CI$2,"."&amp;$D$134&amp;$AW$82&amp;"P"&amp;$A150)="N/A",0,RTD("tos.rtd",,CI$2,"."&amp;$D$134&amp;$AW$82&amp;"P"&amp;$A150))</f>
        <v>0.5</v>
      </c>
      <c r="CK150" s="3">
        <f t="shared" si="620"/>
        <v>0</v>
      </c>
      <c r="CL150" s="3"/>
      <c r="CM150" s="3">
        <f t="shared" si="621"/>
        <v>641</v>
      </c>
      <c r="CN150" s="3"/>
      <c r="CO150" s="3">
        <f t="shared" si="622"/>
        <v>147</v>
      </c>
      <c r="CP150" s="3">
        <f t="shared" si="542"/>
        <v>788</v>
      </c>
      <c r="CQ150" s="3">
        <f t="shared" si="552"/>
        <v>0</v>
      </c>
      <c r="CR150" s="3"/>
      <c r="CS150" s="3">
        <f t="shared" si="553"/>
        <v>13</v>
      </c>
      <c r="CT150" s="3"/>
      <c r="CU150" s="3">
        <f t="shared" si="554"/>
        <v>4</v>
      </c>
      <c r="CV150" s="3"/>
      <c r="CW150" s="3">
        <f t="shared" ca="1" si="555"/>
        <v>522435.60740093346</v>
      </c>
      <c r="CY150" s="3">
        <f t="shared" ca="1" si="556"/>
        <v>3210.5676152450287</v>
      </c>
      <c r="CZ150" s="70" t="str">
        <f t="shared" ca="1" si="589"/>
        <v/>
      </c>
      <c r="DA150" s="3">
        <f>IF(RTD("tos.rtd",,DA$43,"."&amp;$B$134&amp;$AS$82&amp;"C"&amp;$A150)="N/A",0,RTD("tos.rtd",,DA$43,"."&amp;$B$134&amp;$AS$82&amp;"C"&amp;$A150))</f>
        <v>0</v>
      </c>
      <c r="DB150" s="3">
        <f>IF(RTD("tos.rtd",,DB$43,"."&amp;$B$134&amp;$AS$82&amp;"P"&amp;$A150)="N/A",0,RTD("tos.rtd",,DB$43,"."&amp;$B$134&amp;$AS$82&amp;"P"&amp;$A150))</f>
        <v>0</v>
      </c>
      <c r="DC150" s="3">
        <f>IF(RTD("tos.rtd",,DC$43,"."&amp;$B$134&amp;$AS$82&amp;"C"&amp;$A150)="N/A",0,RTD("tos.rtd",,DC$43,"."&amp;$B$134&amp;$AS$82&amp;"C"&amp;$A150))</f>
        <v>0</v>
      </c>
      <c r="DD150" s="3">
        <f>IF(RTD("tos.rtd",,DD$43,"."&amp;$B$134&amp;$AS$82&amp;"P"&amp;$A150)="N/A",0,RTD("tos.rtd",,DD$43,"."&amp;$B$134&amp;$AS$82&amp;"P"&amp;$A150))</f>
        <v>0</v>
      </c>
      <c r="DE150" s="3">
        <f>IF(RTD("tos.rtd",,DE$43,"."&amp;$B$134&amp;$AS$82&amp;"C"&amp;$A150)="N/A",0,RTD("tos.rtd",,DE$43,"."&amp;$B$134&amp;$AS$82&amp;"C"&amp;$A150))</f>
        <v>0</v>
      </c>
      <c r="DF150" s="3">
        <f>IF(RTD("tos.rtd",,DF$43,"."&amp;$B$134&amp;$AS$82&amp;"P"&amp;$A150)="N/A",0,RTD("tos.rtd",,DF$43,"."&amp;$B$134&amp;$AS$82&amp;"P"&amp;$A150))</f>
        <v>0</v>
      </c>
      <c r="DG150" s="86">
        <f t="shared" si="590"/>
        <v>181.25</v>
      </c>
      <c r="DH150" s="3" t="e">
        <f t="shared" si="557"/>
        <v>#DIV/0!</v>
      </c>
      <c r="DI150" s="3" t="e">
        <f t="shared" si="558"/>
        <v>#DIV/0!</v>
      </c>
      <c r="DJ150" s="3">
        <f t="shared" si="559"/>
        <v>0</v>
      </c>
      <c r="DK150" s="3">
        <f t="shared" si="560"/>
        <v>0</v>
      </c>
      <c r="DL150" s="3" t="e">
        <f t="shared" si="561"/>
        <v>#DIV/0!</v>
      </c>
      <c r="DM150" s="3">
        <f t="shared" si="562"/>
        <v>0</v>
      </c>
      <c r="DN150" s="64" t="str">
        <f t="shared" si="563"/>
        <v>UNKNOWN</v>
      </c>
      <c r="DO150" s="64" t="str">
        <f t="shared" si="564"/>
        <v>UNKNOWN</v>
      </c>
      <c r="DP150" s="3" t="e">
        <f t="shared" si="565"/>
        <v>#DIV/0!</v>
      </c>
      <c r="DQ150" s="3">
        <f t="shared" si="566"/>
        <v>0</v>
      </c>
      <c r="DR150" s="3">
        <f t="shared" ca="1" si="567"/>
        <v>0</v>
      </c>
      <c r="DS150" s="3">
        <f t="shared" si="568"/>
        <v>0</v>
      </c>
      <c r="DT150" s="3">
        <f t="shared" si="591"/>
        <v>0</v>
      </c>
      <c r="DU150" s="3">
        <f t="shared" si="592"/>
        <v>0</v>
      </c>
      <c r="DV150" s="3">
        <f t="shared" si="569"/>
        <v>0</v>
      </c>
      <c r="DW150" s="3">
        <f t="shared" si="570"/>
        <v>0</v>
      </c>
      <c r="DX150" s="3">
        <f t="shared" ca="1" si="571"/>
        <v>1.2886955659904427E-4</v>
      </c>
      <c r="DY150" s="3">
        <f t="shared" ca="1" si="572"/>
        <v>-1.2886955659904427E-4</v>
      </c>
      <c r="DZ150" s="3">
        <f t="shared" ca="1" si="573"/>
        <v>7.15624475922982E-4</v>
      </c>
      <c r="EA150" s="3">
        <f t="shared" ca="1" si="574"/>
        <v>-6.5375928563898378E-4</v>
      </c>
      <c r="EB150" s="3">
        <f t="shared" ca="1" si="575"/>
        <v>7.8863155265011115E-4</v>
      </c>
      <c r="EC150" s="3">
        <f t="shared" ca="1" si="576"/>
        <v>-7.5219893153227995E-4</v>
      </c>
      <c r="ED150" s="63">
        <f t="shared" si="593"/>
        <v>0</v>
      </c>
      <c r="EE150" s="59">
        <f t="shared" si="577"/>
        <v>0.25</v>
      </c>
      <c r="EF150" s="59">
        <f t="shared" si="578"/>
        <v>0.25</v>
      </c>
      <c r="EG150" s="59">
        <f t="shared" si="579"/>
        <v>0.20699999999999999</v>
      </c>
      <c r="EH150" s="59">
        <f t="shared" si="580"/>
        <v>0.2286</v>
      </c>
      <c r="EI150" s="59">
        <f t="shared" si="581"/>
        <v>0.18559999999999999</v>
      </c>
      <c r="EJ150" s="59">
        <f t="shared" si="582"/>
        <v>0.1958</v>
      </c>
      <c r="EK150" s="63">
        <f t="shared" ca="1" si="594"/>
        <v>0</v>
      </c>
      <c r="EL150" s="3" t="str">
        <f>RTD("tos.rtd",,EL$43,"."&amp;$B$134&amp;$AS$82&amp;"C"&amp;$A150)</f>
        <v>N/A</v>
      </c>
      <c r="EM150" s="3" t="str">
        <f>RTD("tos.rtd",,EM$43,"."&amp;$B$134&amp;$AS$82&amp;"P"&amp;$A150)</f>
        <v>N/A</v>
      </c>
      <c r="EN150" s="3" t="str">
        <f>RTD("tos.rtd",,EN$2,"."&amp;$C$134&amp;$AU$82&amp;"C"&amp;$A150)</f>
        <v>20.70%</v>
      </c>
      <c r="EO150" s="3" t="str">
        <f>RTD("tos.rtd",,EO$2,"."&amp;$C$134&amp;$AU$82&amp;"P"&amp;$A150)</f>
        <v>22.86%</v>
      </c>
      <c r="EP150" s="3" t="str">
        <f>RTD("tos.rtd",,EP$2,"."&amp;$D$134&amp;$AW$82&amp;"C"&amp;$A150)</f>
        <v>18.56%</v>
      </c>
      <c r="EQ150" s="3" t="str">
        <f>RTD("tos.rtd",,EQ$2,"."&amp;$D$134&amp;$AW$82&amp;"P"&amp;$A150)</f>
        <v>19.58%</v>
      </c>
      <c r="ES150" s="63" t="str">
        <f t="shared" si="583"/>
        <v>21025,00.00</v>
      </c>
      <c r="ET150" s="63" t="str">
        <f t="shared" ca="1" si="584"/>
        <v>21025,03.21</v>
      </c>
      <c r="EU150" s="68">
        <v>571.79999999999995</v>
      </c>
      <c r="EV150" s="68" t="s">
        <v>1219</v>
      </c>
      <c r="EW150" s="68">
        <v>497.07</v>
      </c>
      <c r="EX150" s="68" t="s">
        <v>1220</v>
      </c>
      <c r="EY150" s="68">
        <v>5728.75</v>
      </c>
      <c r="EZ150" s="68" t="s">
        <v>1221</v>
      </c>
      <c r="FA150" s="68">
        <v>20407.25</v>
      </c>
      <c r="FB150" s="68" t="s">
        <v>1222</v>
      </c>
      <c r="FC150" s="68" t="s">
        <v>1223</v>
      </c>
      <c r="FD150" s="68" t="s">
        <v>1224</v>
      </c>
      <c r="FE150" s="68" t="s">
        <v>1225</v>
      </c>
      <c r="FF150" s="68" t="s">
        <v>1226</v>
      </c>
    </row>
    <row r="151" spans="1:162" ht="11.1" customHeight="1" thickBot="1" x14ac:dyDescent="0.25">
      <c r="A151" s="2">
        <f t="shared" si="595"/>
        <v>21000</v>
      </c>
      <c r="B151" s="3">
        <f t="shared" si="610"/>
        <v>29</v>
      </c>
      <c r="C151" s="3">
        <f t="shared" si="611"/>
        <v>544</v>
      </c>
      <c r="D151" s="3">
        <f t="shared" si="612"/>
        <v>791</v>
      </c>
      <c r="E151" s="3">
        <f t="shared" si="613"/>
        <v>1364</v>
      </c>
      <c r="F151" s="4">
        <f t="shared" si="614"/>
        <v>21100.749625187404</v>
      </c>
      <c r="G151" s="5">
        <f t="shared" si="615"/>
        <v>511.46554722638683</v>
      </c>
      <c r="AM151" s="1">
        <v>165</v>
      </c>
      <c r="AN151" s="1">
        <v>-4</v>
      </c>
      <c r="AO151" s="1">
        <v>21000</v>
      </c>
      <c r="AP151" s="1">
        <v>1105</v>
      </c>
      <c r="AQ151" s="1">
        <v>-16</v>
      </c>
      <c r="AS151" s="54">
        <f>IF(RTD("tos.rtd",,AS$83,"."&amp;$B$134&amp;$AS$82&amp;"C"&amp;$A151)="N/A",0,RTD("tos.rtd",,AS$83,"."&amp;$B$134&amp;$AS$82&amp;"C"&amp;$A151))</f>
        <v>29</v>
      </c>
      <c r="AT151" s="3">
        <f>-IF(RTD("tos.rtd",,AT$83,"."&amp;$B$134&amp;$AS$82&amp;"P"&amp;$A151)="N/A",0,RTD("tos.rtd",,AT$83,"."&amp;$B$134&amp;$AS$82&amp;"P"&amp;$A151))</f>
        <v>0</v>
      </c>
      <c r="AU151" s="54">
        <f>IF(RTD("tos.rtd",,AU$2,"."&amp;$C$134&amp;$AU$134&amp;"C"&amp;$A151)="N/A",0,RTD("tos.rtd",,AU$2,"."&amp;$C$134&amp;$AU$134&amp;"C"&amp;$A151))</f>
        <v>503</v>
      </c>
      <c r="AV151" s="3">
        <f>-IF(RTD("tos.rtd",,AV$2,"."&amp;$C$134&amp;$AU$134&amp;"P"&amp;$A151)="N/A",0,RTD("tos.rtd",,AV$2,"."&amp;$C$134&amp;$AU$134&amp;"P"&amp;$A151))</f>
        <v>-41</v>
      </c>
      <c r="AW151" s="54">
        <f>IF(RTD("tos.rtd",,AW$2,"."&amp;$D$134&amp;$AW$134&amp;"C"&amp;$A151)="N/A",0,RTD("tos.rtd",,AW$2,"."&amp;$D$134&amp;$AW$134&amp;"C"&amp;$A151))</f>
        <v>540</v>
      </c>
      <c r="AX151" s="3">
        <f>-IF(RTD("tos.rtd",,AX$2,"."&amp;$D$134&amp;$AW$134&amp;"P"&amp;$A151)="N/A",0,RTD("tos.rtd",,AX$2,"."&amp;$D$134&amp;$AW$134&amp;"P"&amp;$A151))</f>
        <v>-251</v>
      </c>
      <c r="AY151" s="76">
        <f t="shared" si="616"/>
        <v>780</v>
      </c>
      <c r="AZ151" s="8">
        <f t="shared" si="548"/>
        <v>21000</v>
      </c>
      <c r="BA151" s="54">
        <f>IF(RTD("tos.rtd",,BA$43,"."&amp;$B$134&amp;$AS$82&amp;"C"&amp;$A151)="N/A",0,RTD("tos.rtd",,BA$43,"."&amp;$B$134&amp;$AS$82&amp;"C"&amp;$A151))</f>
        <v>1105</v>
      </c>
      <c r="BB151" s="3">
        <f>-IF(RTD("tos.rtd",,BB$43,"."&amp;$B$134&amp;$AS$82&amp;"P"&amp;$A151)="N/A",0,RTD("tos.rtd",,BB$43,"."&amp;$B$134&amp;$AS$82&amp;"P"&amp;$A151))</f>
        <v>-16</v>
      </c>
      <c r="BC151" s="54">
        <f>IF(RTD("tos.rtd",,BC$2,"."&amp;$C$134&amp;$AU$82&amp;"C"&amp;$A151)="N/A",0,RTD("tos.rtd",,BC$2,"."&amp;$C$134&amp;$AU$82&amp;"C"&amp;$A151))</f>
        <v>133</v>
      </c>
      <c r="BD151" s="3">
        <f>-IF(RTD("tos.rtd",,BD$2,"."&amp;$C$134&amp;$AU$82&amp;"P"&amp;$A151)="N/A",0,RTD("tos.rtd",,BD$2,"."&amp;$C$134&amp;$AU$82&amp;"P"&amp;$A151))</f>
        <v>-20</v>
      </c>
      <c r="BE151" s="54">
        <f>IF(RTD("tos.rtd",,BE$2,"."&amp;$D$134&amp;$AW$82&amp;"C"&amp;$A151)="N/A",0,RTD("tos.rtd",,BE$2,"."&amp;$D$134&amp;$AW$82&amp;"C"&amp;$A151))</f>
        <v>121</v>
      </c>
      <c r="BF151" s="3">
        <f>-IF(RTD("tos.rtd",,BF$2,"."&amp;$D$134&amp;$AW$82&amp;"P"&amp;$A151)="N/A",0,RTD("tos.rtd",,BF$2,"."&amp;$D$134&amp;$AW$82&amp;"P"&amp;$A151))</f>
        <v>-10</v>
      </c>
      <c r="BG151" s="3">
        <f ca="1">+Hoja2!Y152</f>
        <v>92</v>
      </c>
      <c r="BH151" s="7">
        <f t="shared" ca="1" si="549"/>
        <v>1405</v>
      </c>
      <c r="BI151" s="32" t="str">
        <f t="shared" ca="1" si="609"/>
        <v/>
      </c>
      <c r="BJ151" s="3">
        <f ca="1">IF($BP$1=1,DX151,IF(RTD("tos.rtd",,BJ$43,"."&amp;$B$134&amp;$AS$82&amp;"C"&amp;$A151)="N/A",0,RTD("tos.rtd",,BJ$43,"."&amp;$B$134&amp;$AS$82&amp;"C"&amp;$A151)))</f>
        <v>6.1190665276745528E-4</v>
      </c>
      <c r="BK151" s="3">
        <f ca="1">IF($BP$1=1,DY151,-IF(RTD("tos.rtd",,BK$43,"."&amp;$B$134&amp;$AS$82&amp;"P"&amp;$A151)="N/A",0,RTD("tos.rtd",,BK$43,"."&amp;$B$134&amp;$AS$82&amp;"P"&amp;$A151)))</f>
        <v>-1.5599273813122645E-3</v>
      </c>
      <c r="BL151" s="3">
        <f ca="1">IF($BP$1=1,DZ151,IF(RTD("tos.rtd",,BL$2,"."&amp;$C$134&amp;$AU$82&amp;"C"&amp;$A151)="N/A",0,RTD("tos.rtd",,BL$2,"."&amp;$C$134&amp;$AU$82&amp;"C"&amp;$A151)))</f>
        <v>7.2460586120154987E-4</v>
      </c>
      <c r="BM151" s="3">
        <f ca="1">IF($BP$1=1,EA151,-IF(RTD("tos.rtd",,BM$2,"."&amp;$C$134&amp;$AU$82&amp;"P"&amp;$A151)="N/A",0,RTD("tos.rtd",,BM$2,"."&amp;$C$134&amp;$AU$82&amp;"P"&amp;$A151)))</f>
        <v>-6.6092387311657676E-4</v>
      </c>
      <c r="BN151" s="3">
        <f ca="1">IF($BP$1=1,EB151,IF(RTD("tos.rtd",,BN$2,"."&amp;$D$134&amp;$AW$82&amp;"C"&amp;$A151)="N/A",0,RTD("tos.rtd",,BN$2,"."&amp;$D$134&amp;$AW$82&amp;"C"&amp;$A151)))</f>
        <v>7.9877916668283919E-4</v>
      </c>
      <c r="BO151" s="3">
        <f ca="1">IF($BP$1=1,EC151,-IF(RTD("tos.rtd",,BO$2,"."&amp;$D$134&amp;$AW$82&amp;"P"&amp;$A151)="N/A",0,RTD("tos.rtd",,BO$2,"."&amp;$D$134&amp;$AW$82&amp;"P"&amp;$A151)))</f>
        <v>-7.6069048942771847E-4</v>
      </c>
      <c r="BQ151" s="3">
        <f t="shared" ca="1" si="617"/>
        <v>605576.63069459994</v>
      </c>
      <c r="BR151" s="3" t="str">
        <f t="shared" ca="1" si="550"/>
        <v/>
      </c>
      <c r="BS151" s="3">
        <f t="shared" ca="1" si="618"/>
        <v>11513405.825064672</v>
      </c>
      <c r="BT151" s="3" t="str">
        <f t="shared" ca="1" si="551"/>
        <v/>
      </c>
      <c r="BU151" s="3">
        <f t="shared" ca="1" si="619"/>
        <v>8204154.5531485006</v>
      </c>
      <c r="BV151" s="3" t="str">
        <f t="shared" ca="1" si="551"/>
        <v/>
      </c>
      <c r="BX151" s="3">
        <f t="shared" ca="1" si="585"/>
        <v>167825.88951707017</v>
      </c>
      <c r="BY151" s="3" t="str">
        <f t="shared" ca="1" si="586"/>
        <v/>
      </c>
      <c r="BZ151" s="3">
        <f t="shared" ca="1" si="587"/>
        <v>21430.365058113963</v>
      </c>
      <c r="CA151" s="3" t="str">
        <f t="shared" ca="1" si="586"/>
        <v/>
      </c>
      <c r="CB151" s="3">
        <f t="shared" ca="1" si="588"/>
        <v>22948.655926290852</v>
      </c>
      <c r="CC151" s="3" t="str">
        <f t="shared" ca="1" si="586"/>
        <v/>
      </c>
      <c r="CD151" s="3">
        <f>IF(RTD("tos.rtd",,CD$43,"."&amp;$B$134&amp;$AS$82&amp;"C"&amp;$A151)="N/A",0,RTD("tos.rtd",,CD$43,"."&amp;$B$134&amp;$AS$82&amp;"C"&amp;$A151))</f>
        <v>0</v>
      </c>
      <c r="CE151" s="3">
        <f>-IF(RTD("tos.rtd",,CE$43,"."&amp;$B$134&amp;$AS$82&amp;"P"&amp;$A151)="N/A",0,RTD("tos.rtd",,CE$43,"."&amp;$B$134&amp;$AS$82&amp;"P"&amp;$A151))</f>
        <v>0.91</v>
      </c>
      <c r="CF151" s="3">
        <f>IF(RTD("tos.rtd",,CF$2,"."&amp;$C$134&amp;$AU$82&amp;"C"&amp;$A151)="N/A",0,RTD("tos.rtd",,CF$2,"."&amp;$C$134&amp;$AU$82&amp;"C"&amp;$A151))</f>
        <v>0.39</v>
      </c>
      <c r="CG151" s="3">
        <f>-IF(RTD("tos.rtd",,CG$2,"."&amp;$C$134&amp;$AU$82&amp;"P"&amp;$A151)="N/A",0,RTD("tos.rtd",,CG$2,"."&amp;$C$134&amp;$AU$82&amp;"P"&amp;$A151))</f>
        <v>0.6</v>
      </c>
      <c r="CH151" s="3">
        <f>IF(RTD("tos.rtd",,CH$2,"."&amp;$D$134&amp;$AW$82&amp;"C"&amp;$A151)="N/A",0,RTD("tos.rtd",,CH$2,"."&amp;$D$134&amp;$AW$82&amp;"C"&amp;$A151))</f>
        <v>0.5</v>
      </c>
      <c r="CI151" s="3">
        <f>-IF(RTD("tos.rtd",,CI$2,"."&amp;$D$134&amp;$AW$82&amp;"P"&amp;$A151)="N/A",0,RTD("tos.rtd",,CI$2,"."&amp;$D$134&amp;$AW$82&amp;"P"&amp;$A151))</f>
        <v>0.5</v>
      </c>
      <c r="CK151" s="3">
        <f t="shared" si="620"/>
        <v>0</v>
      </c>
      <c r="CL151" s="3"/>
      <c r="CM151" s="3">
        <f t="shared" si="621"/>
        <v>17157</v>
      </c>
      <c r="CN151" s="3"/>
      <c r="CO151" s="3">
        <f t="shared" si="622"/>
        <v>14450</v>
      </c>
      <c r="CP151" s="3">
        <f t="shared" si="542"/>
        <v>31607</v>
      </c>
      <c r="CQ151" s="3">
        <f t="shared" si="552"/>
        <v>1089</v>
      </c>
      <c r="CR151" s="3"/>
      <c r="CS151" s="3">
        <f t="shared" si="553"/>
        <v>113</v>
      </c>
      <c r="CT151" s="3"/>
      <c r="CU151" s="3">
        <f t="shared" si="554"/>
        <v>111</v>
      </c>
      <c r="CV151" s="3"/>
      <c r="CW151" s="3">
        <f t="shared" ca="1" si="555"/>
        <v>20323137.008907773</v>
      </c>
      <c r="CY151" s="3">
        <f t="shared" ca="1" si="556"/>
        <v>212204.91050147498</v>
      </c>
      <c r="CZ151" s="70" t="str">
        <f t="shared" ca="1" si="589"/>
        <v/>
      </c>
      <c r="DA151" s="3">
        <f>IF(RTD("tos.rtd",,DA$43,"."&amp;$B$134&amp;$AS$82&amp;"C"&amp;$A151)="N/A",0,RTD("tos.rtd",,DA$43,"."&amp;$B$134&amp;$AS$82&amp;"C"&amp;$A151))</f>
        <v>0.05</v>
      </c>
      <c r="DB151" s="3">
        <f>IF(RTD("tos.rtd",,DB$43,"."&amp;$B$134&amp;$AS$82&amp;"P"&amp;$A151)="N/A",0,RTD("tos.rtd",,DB$43,"."&amp;$B$134&amp;$AS$82&amp;"P"&amp;$A151))</f>
        <v>150.80000000000001</v>
      </c>
      <c r="DC151" s="3">
        <f>IF(RTD("tos.rtd",,DC$43,"."&amp;$B$134&amp;$AS$82&amp;"C"&amp;$A151)="N/A",0,RTD("tos.rtd",,DC$43,"."&amp;$B$134&amp;$AS$82&amp;"C"&amp;$A151))</f>
        <v>0.05</v>
      </c>
      <c r="DD151" s="3">
        <f>IF(RTD("tos.rtd",,DD$43,"."&amp;$B$134&amp;$AS$82&amp;"P"&amp;$A151)="N/A",0,RTD("tos.rtd",,DD$43,"."&amp;$B$134&amp;$AS$82&amp;"P"&amp;$A151))</f>
        <v>145.4</v>
      </c>
      <c r="DE151" s="3">
        <f>IF(RTD("tos.rtd",,DE$43,"."&amp;$B$134&amp;$AS$82&amp;"C"&amp;$A151)="N/A",0,RTD("tos.rtd",,DE$43,"."&amp;$B$134&amp;$AS$82&amp;"C"&amp;$A151))</f>
        <v>0</v>
      </c>
      <c r="DF151" s="3">
        <f>IF(RTD("tos.rtd",,DF$43,"."&amp;$B$134&amp;$AS$82&amp;"P"&amp;$A151)="N/A",0,RTD("tos.rtd",,DF$43,"."&amp;$B$134&amp;$AS$82&amp;"P"&amp;$A151))</f>
        <v>126.3</v>
      </c>
      <c r="DG151" s="86">
        <f t="shared" si="590"/>
        <v>156.25</v>
      </c>
      <c r="DH151" s="3">
        <f t="shared" si="557"/>
        <v>0</v>
      </c>
      <c r="DI151" s="3">
        <f t="shared" si="558"/>
        <v>0</v>
      </c>
      <c r="DJ151" s="3">
        <f t="shared" si="559"/>
        <v>0</v>
      </c>
      <c r="DK151" s="3">
        <f t="shared" si="560"/>
        <v>0</v>
      </c>
      <c r="DL151" s="3">
        <f t="shared" si="561"/>
        <v>0</v>
      </c>
      <c r="DM151" s="3">
        <f t="shared" si="562"/>
        <v>0</v>
      </c>
      <c r="DN151" s="64" t="str">
        <f t="shared" si="563"/>
        <v>UNKNOWN</v>
      </c>
      <c r="DO151" s="64" t="str">
        <f t="shared" si="564"/>
        <v>UNKNOWN</v>
      </c>
      <c r="DP151" s="3">
        <f t="shared" si="565"/>
        <v>0</v>
      </c>
      <c r="DQ151" s="3">
        <f t="shared" si="566"/>
        <v>0</v>
      </c>
      <c r="DR151" s="3">
        <f t="shared" ca="1" si="567"/>
        <v>0</v>
      </c>
      <c r="DS151" s="3">
        <f t="shared" si="568"/>
        <v>0</v>
      </c>
      <c r="DT151" s="3">
        <f t="shared" si="591"/>
        <v>0</v>
      </c>
      <c r="DU151" s="3">
        <f t="shared" si="592"/>
        <v>0</v>
      </c>
      <c r="DV151" s="3">
        <f t="shared" si="569"/>
        <v>165</v>
      </c>
      <c r="DW151" s="3">
        <f t="shared" si="570"/>
        <v>-4</v>
      </c>
      <c r="DX151" s="3">
        <f t="shared" ca="1" si="571"/>
        <v>6.1190665276745528E-4</v>
      </c>
      <c r="DY151" s="3">
        <f t="shared" ca="1" si="572"/>
        <v>-1.5599273813122645E-3</v>
      </c>
      <c r="DZ151" s="3">
        <f t="shared" ca="1" si="573"/>
        <v>7.2460586120154987E-4</v>
      </c>
      <c r="EA151" s="3">
        <f t="shared" ca="1" si="574"/>
        <v>-6.6092387311657676E-4</v>
      </c>
      <c r="EB151" s="3">
        <f t="shared" ca="1" si="575"/>
        <v>7.9877916668283919E-4</v>
      </c>
      <c r="EC151" s="3">
        <f t="shared" ca="1" si="576"/>
        <v>-7.6069048942771847E-4</v>
      </c>
      <c r="ED151" s="63">
        <f t="shared" si="593"/>
        <v>161</v>
      </c>
      <c r="EE151" s="59">
        <f t="shared" si="577"/>
        <v>0.28789999999999999</v>
      </c>
      <c r="EF151" s="59">
        <f t="shared" si="578"/>
        <v>0.61990000000000001</v>
      </c>
      <c r="EG151" s="59">
        <f t="shared" si="579"/>
        <v>0.20710000000000001</v>
      </c>
      <c r="EH151" s="59">
        <f t="shared" si="580"/>
        <v>0.22850000000000001</v>
      </c>
      <c r="EI151" s="59">
        <f t="shared" si="581"/>
        <v>0.18629999999999999</v>
      </c>
      <c r="EJ151" s="59">
        <f t="shared" si="582"/>
        <v>0.19650000000000001</v>
      </c>
      <c r="EK151" s="63">
        <f t="shared" ca="1" si="594"/>
        <v>46576188.515706539</v>
      </c>
      <c r="EL151" s="3" t="str">
        <f>RTD("tos.rtd",,EL$43,"."&amp;$B$134&amp;$AS$82&amp;"C"&amp;$A151)</f>
        <v>28.79%</v>
      </c>
      <c r="EM151" s="3" t="str">
        <f>RTD("tos.rtd",,EM$43,"."&amp;$B$134&amp;$AS$82&amp;"P"&amp;$A151)</f>
        <v>61.99%</v>
      </c>
      <c r="EN151" s="3" t="str">
        <f>RTD("tos.rtd",,EN$2,"."&amp;$C$134&amp;$AU$82&amp;"C"&amp;$A151)</f>
        <v>20.71%</v>
      </c>
      <c r="EO151" s="3" t="str">
        <f>RTD("tos.rtd",,EO$2,"."&amp;$C$134&amp;$AU$82&amp;"P"&amp;$A151)</f>
        <v>22.85%</v>
      </c>
      <c r="EP151" s="3" t="str">
        <f>RTD("tos.rtd",,EP$2,"."&amp;$D$134&amp;$AW$82&amp;"C"&amp;$A151)</f>
        <v>18.63%</v>
      </c>
      <c r="EQ151" s="3" t="str">
        <f>RTD("tos.rtd",,EQ$2,"."&amp;$D$134&amp;$AW$82&amp;"P"&amp;$A151)</f>
        <v>19.65%</v>
      </c>
      <c r="ES151" s="63" t="str">
        <f t="shared" si="583"/>
        <v>21000,161.00</v>
      </c>
      <c r="ET151" s="63" t="str">
        <f t="shared" ca="1" si="584"/>
        <v>21000,212.20</v>
      </c>
      <c r="EU151" s="68">
        <v>571.79999999999995</v>
      </c>
      <c r="EV151" s="68" t="s">
        <v>1227</v>
      </c>
      <c r="EW151" s="68">
        <v>497.05</v>
      </c>
      <c r="EX151" s="68" t="s">
        <v>1228</v>
      </c>
      <c r="EY151" s="68">
        <v>5728.75</v>
      </c>
      <c r="EZ151" s="68" t="s">
        <v>1229</v>
      </c>
      <c r="FA151" s="68">
        <v>20406.75</v>
      </c>
      <c r="FB151" s="68" t="s">
        <v>1230</v>
      </c>
      <c r="FC151" s="68" t="s">
        <v>1231</v>
      </c>
      <c r="FD151" s="68" t="s">
        <v>1232</v>
      </c>
      <c r="FE151" s="68" t="s">
        <v>1233</v>
      </c>
      <c r="FF151" s="68" t="s">
        <v>1234</v>
      </c>
    </row>
    <row r="152" spans="1:162" ht="11.1" customHeight="1" thickBot="1" x14ac:dyDescent="0.25">
      <c r="A152" s="2">
        <f t="shared" si="595"/>
        <v>20975</v>
      </c>
      <c r="B152" s="3">
        <f t="shared" si="610"/>
        <v>4</v>
      </c>
      <c r="C152" s="3">
        <f t="shared" si="611"/>
        <v>8</v>
      </c>
      <c r="D152" s="3">
        <f t="shared" si="612"/>
        <v>20</v>
      </c>
      <c r="E152" s="3">
        <f t="shared" si="613"/>
        <v>32</v>
      </c>
      <c r="F152" s="4">
        <f t="shared" si="614"/>
        <v>21075.629685157419</v>
      </c>
      <c r="G152" s="5">
        <f t="shared" si="615"/>
        <v>510.85665967016496</v>
      </c>
      <c r="AM152" s="1">
        <v>26</v>
      </c>
      <c r="AN152" s="1">
        <v>0</v>
      </c>
      <c r="AO152" s="1">
        <v>20975</v>
      </c>
      <c r="AP152" s="1">
        <v>130</v>
      </c>
      <c r="AQ152" s="1">
        <v>0</v>
      </c>
      <c r="AS152" s="54">
        <f>IF(RTD("tos.rtd",,AS$83,"."&amp;$B$134&amp;$AS$82&amp;"C"&amp;$A152)="N/A",0,RTD("tos.rtd",,AS$83,"."&amp;$B$134&amp;$AS$82&amp;"C"&amp;$A152))</f>
        <v>4</v>
      </c>
      <c r="AT152" s="3">
        <f>-IF(RTD("tos.rtd",,AT$83,"."&amp;$B$134&amp;$AS$82&amp;"P"&amp;$A152)="N/A",0,RTD("tos.rtd",,AT$83,"."&amp;$B$134&amp;$AS$82&amp;"P"&amp;$A152))</f>
        <v>0</v>
      </c>
      <c r="AU152" s="54">
        <f>IF(RTD("tos.rtd",,AU$2,"."&amp;$C$134&amp;$AU$134&amp;"C"&amp;$A152)="N/A",0,RTD("tos.rtd",,AU$2,"."&amp;$C$134&amp;$AU$134&amp;"C"&amp;$A152))</f>
        <v>7</v>
      </c>
      <c r="AV152" s="3">
        <f>-IF(RTD("tos.rtd",,AV$2,"."&amp;$C$134&amp;$AU$134&amp;"P"&amp;$A152)="N/A",0,RTD("tos.rtd",,AV$2,"."&amp;$C$134&amp;$AU$134&amp;"P"&amp;$A152))</f>
        <v>-1</v>
      </c>
      <c r="AW152" s="54">
        <f>IF(RTD("tos.rtd",,AW$2,"."&amp;$D$134&amp;$AW$134&amp;"C"&amp;$A152)="N/A",0,RTD("tos.rtd",,AW$2,"."&amp;$D$134&amp;$AW$134&amp;"C"&amp;$A152))</f>
        <v>20</v>
      </c>
      <c r="AX152" s="3">
        <f>-IF(RTD("tos.rtd",,AX$2,"."&amp;$D$134&amp;$AW$134&amp;"P"&amp;$A152)="N/A",0,RTD("tos.rtd",,AX$2,"."&amp;$D$134&amp;$AW$134&amp;"P"&amp;$A152))</f>
        <v>0</v>
      </c>
      <c r="AY152" s="76">
        <f t="shared" si="616"/>
        <v>30</v>
      </c>
      <c r="AZ152" s="8">
        <f t="shared" si="548"/>
        <v>20975</v>
      </c>
      <c r="BA152" s="54">
        <f>IF(RTD("tos.rtd",,BA$43,"."&amp;$B$134&amp;$AS$82&amp;"C"&amp;$A152)="N/A",0,RTD("tos.rtd",,BA$43,"."&amp;$B$134&amp;$AS$82&amp;"C"&amp;$A152))</f>
        <v>130</v>
      </c>
      <c r="BB152" s="3">
        <f>-IF(RTD("tos.rtd",,BB$43,"."&amp;$B$134&amp;$AS$82&amp;"P"&amp;$A152)="N/A",0,RTD("tos.rtd",,BB$43,"."&amp;$B$134&amp;$AS$82&amp;"P"&amp;$A152))</f>
        <v>0</v>
      </c>
      <c r="BC152" s="54">
        <f>IF(RTD("tos.rtd",,BC$2,"."&amp;$C$134&amp;$AU$82&amp;"C"&amp;$A152)="N/A",0,RTD("tos.rtd",,BC$2,"."&amp;$C$134&amp;$AU$82&amp;"C"&amp;$A152))</f>
        <v>23</v>
      </c>
      <c r="BD152" s="3">
        <f>-IF(RTD("tos.rtd",,BD$2,"."&amp;$C$134&amp;$AU$82&amp;"P"&amp;$A152)="N/A",0,RTD("tos.rtd",,BD$2,"."&amp;$C$134&amp;$AU$82&amp;"P"&amp;$A152))</f>
        <v>0</v>
      </c>
      <c r="BE152" s="54">
        <f>IF(RTD("tos.rtd",,BE$2,"."&amp;$D$134&amp;$AW$82&amp;"C"&amp;$A152)="N/A",0,RTD("tos.rtd",,BE$2,"."&amp;$D$134&amp;$AW$82&amp;"C"&amp;$A152))</f>
        <v>1</v>
      </c>
      <c r="BF152" s="3">
        <f>-IF(RTD("tos.rtd",,BF$2,"."&amp;$D$134&amp;$AW$82&amp;"P"&amp;$A152)="N/A",0,RTD("tos.rtd",,BF$2,"."&amp;$D$134&amp;$AW$82&amp;"P"&amp;$A152))</f>
        <v>-2</v>
      </c>
      <c r="BG152" s="3">
        <f ca="1">+Hoja2!Y153</f>
        <v>-1</v>
      </c>
      <c r="BH152" s="7">
        <f t="shared" ca="1" si="549"/>
        <v>151</v>
      </c>
      <c r="BI152" s="32" t="str">
        <f t="shared" ca="1" si="609"/>
        <v/>
      </c>
      <c r="BJ152" s="3">
        <f ca="1">IF($BP$1=1,DX152,IF(RTD("tos.rtd",,BJ$43,"."&amp;$B$134&amp;$AS$82&amp;"C"&amp;$A152)="N/A",0,RTD("tos.rtd",,BJ$43,"."&amp;$B$134&amp;$AS$82&amp;"C"&amp;$A152)))</f>
        <v>1.6995274859873688E-3</v>
      </c>
      <c r="BK152" s="3">
        <f ca="1">IF($BP$1=1,DY152,-IF(RTD("tos.rtd",,BK$43,"."&amp;$B$134&amp;$AS$82&amp;"P"&amp;$A152)="N/A",0,RTD("tos.rtd",,BK$43,"."&amp;$B$134&amp;$AS$82&amp;"P"&amp;$A152)))</f>
        <v>-1.8398936840863039E-3</v>
      </c>
      <c r="BL152" s="3">
        <f ca="1">IF($BP$1=1,DZ152,IF(RTD("tos.rtd",,BL$2,"."&amp;$C$134&amp;$AU$82&amp;"C"&amp;$A152)="N/A",0,RTD("tos.rtd",,BL$2,"."&amp;$C$134&amp;$AU$82&amp;"C"&amp;$A152)))</f>
        <v>7.3210470673817994E-4</v>
      </c>
      <c r="BM152" s="3">
        <f ca="1">IF($BP$1=1,EA152,-IF(RTD("tos.rtd",,BM$2,"."&amp;$C$134&amp;$AU$82&amp;"P"&amp;$A152)="N/A",0,RTD("tos.rtd",,BM$2,"."&amp;$C$134&amp;$AU$82&amp;"P"&amp;$A152)))</f>
        <v>-6.6671802663324179E-4</v>
      </c>
      <c r="BN152" s="3">
        <f ca="1">IF($BP$1=1,EB152,IF(RTD("tos.rtd",,BN$2,"."&amp;$D$134&amp;$AW$82&amp;"C"&amp;$A152)="N/A",0,RTD("tos.rtd",,BN$2,"."&amp;$D$134&amp;$AW$82&amp;"C"&amp;$A152)))</f>
        <v>8.0754233815978757E-4</v>
      </c>
      <c r="BO152" s="3">
        <f ca="1">IF($BP$1=1,EC152,-IF(RTD("tos.rtd",,BO$2,"."&amp;$D$134&amp;$AW$82&amp;"P"&amp;$A152)="N/A",0,RTD("tos.rtd",,BO$2,"."&amp;$D$134&amp;$AW$82&amp;"P"&amp;$A152)))</f>
        <v>-7.6840343657691706E-4</v>
      </c>
      <c r="BQ152" s="3">
        <f t="shared" ca="1" si="617"/>
        <v>231992.59269082925</v>
      </c>
      <c r="BR152" s="3" t="str">
        <f t="shared" ca="1" si="550"/>
        <v/>
      </c>
      <c r="BS152" s="3">
        <f t="shared" ca="1" si="618"/>
        <v>152134.40915141141</v>
      </c>
      <c r="BT152" s="3" t="str">
        <f t="shared" ca="1" si="551"/>
        <v/>
      </c>
      <c r="BU152" s="3">
        <f t="shared" ca="1" si="619"/>
        <v>551164.49213665701</v>
      </c>
      <c r="BV152" s="3" t="str">
        <f t="shared" ca="1" si="551"/>
        <v/>
      </c>
      <c r="BX152" s="3">
        <f t="shared" ca="1" si="585"/>
        <v>56939.996468480094</v>
      </c>
      <c r="BY152" s="3" t="str">
        <f t="shared" ca="1" si="586"/>
        <v/>
      </c>
      <c r="BZ152" s="3">
        <f t="shared" ca="1" si="587"/>
        <v>4339.5722746850734</v>
      </c>
      <c r="CA152" s="3" t="str">
        <f t="shared" ca="1" si="586"/>
        <v/>
      </c>
      <c r="CB152" s="3">
        <f t="shared" ca="1" si="588"/>
        <v>-187.94509012071555</v>
      </c>
      <c r="CC152" s="3" t="str">
        <f t="shared" ca="1" si="586"/>
        <v>Cruce -</v>
      </c>
      <c r="CD152" s="3">
        <f>IF(RTD("tos.rtd",,CD$43,"."&amp;$B$134&amp;$AS$82&amp;"C"&amp;$A152)="N/A",0,RTD("tos.rtd",,CD$43,"."&amp;$B$134&amp;$AS$82&amp;"C"&amp;$A152))</f>
        <v>0.17</v>
      </c>
      <c r="CE152" s="3">
        <f>-IF(RTD("tos.rtd",,CE$43,"."&amp;$B$134&amp;$AS$82&amp;"P"&amp;$A152)="N/A",0,RTD("tos.rtd",,CE$43,"."&amp;$B$134&amp;$AS$82&amp;"P"&amp;$A152))</f>
        <v>0.89</v>
      </c>
      <c r="CF152" s="3">
        <f>IF(RTD("tos.rtd",,CF$2,"."&amp;$C$134&amp;$AU$82&amp;"C"&amp;$A152)="N/A",0,RTD("tos.rtd",,CF$2,"."&amp;$C$134&amp;$AU$82&amp;"C"&amp;$A152))</f>
        <v>0.42</v>
      </c>
      <c r="CG152" s="3">
        <f>-IF(RTD("tos.rtd",,CG$2,"."&amp;$C$134&amp;$AU$82&amp;"P"&amp;$A152)="N/A",0,RTD("tos.rtd",,CG$2,"."&amp;$C$134&amp;$AU$82&amp;"P"&amp;$A152))</f>
        <v>0.57999999999999996</v>
      </c>
      <c r="CH152" s="3">
        <f>IF(RTD("tos.rtd",,CH$2,"."&amp;$D$134&amp;$AW$82&amp;"C"&amp;$A152)="N/A",0,RTD("tos.rtd",,CH$2,"."&amp;$D$134&amp;$AW$82&amp;"C"&amp;$A152))</f>
        <v>0.51</v>
      </c>
      <c r="CI152" s="3">
        <f>-IF(RTD("tos.rtd",,CI$2,"."&amp;$D$134&amp;$AW$82&amp;"P"&amp;$A152)="N/A",0,RTD("tos.rtd",,CI$2,"."&amp;$D$134&amp;$AW$82&amp;"P"&amp;$A152))</f>
        <v>0.49</v>
      </c>
      <c r="CK152" s="3">
        <f t="shared" si="620"/>
        <v>68</v>
      </c>
      <c r="CL152" s="3"/>
      <c r="CM152" s="3">
        <f t="shared" si="621"/>
        <v>236</v>
      </c>
      <c r="CN152" s="3"/>
      <c r="CO152" s="3">
        <f t="shared" si="622"/>
        <v>1019.9999999999999</v>
      </c>
      <c r="CP152" s="3">
        <f t="shared" si="542"/>
        <v>1324</v>
      </c>
      <c r="CQ152" s="3">
        <f t="shared" si="552"/>
        <v>130</v>
      </c>
      <c r="CR152" s="3"/>
      <c r="CS152" s="3">
        <f t="shared" si="553"/>
        <v>23</v>
      </c>
      <c r="CT152" s="3"/>
      <c r="CU152" s="3">
        <f t="shared" si="554"/>
        <v>-1</v>
      </c>
      <c r="CV152" s="3"/>
      <c r="CW152" s="3">
        <f t="shared" ca="1" si="555"/>
        <v>935291.49397889769</v>
      </c>
      <c r="CY152" s="3">
        <f t="shared" ca="1" si="556"/>
        <v>61091.623653044451</v>
      </c>
      <c r="CZ152" s="70" t="str">
        <f t="shared" ca="1" si="589"/>
        <v/>
      </c>
      <c r="DA152" s="3">
        <f>IF(RTD("tos.rtd",,DA$43,"."&amp;$B$134&amp;$AS$82&amp;"C"&amp;$A152)="N/A",0,RTD("tos.rtd",,DA$43,"."&amp;$B$134&amp;$AS$82&amp;"C"&amp;$A152))</f>
        <v>0.52</v>
      </c>
      <c r="DB152" s="3">
        <f>IF(RTD("tos.rtd",,DB$43,"."&amp;$B$134&amp;$AS$82&amp;"P"&amp;$A152)="N/A",0,RTD("tos.rtd",,DB$43,"."&amp;$B$134&amp;$AS$82&amp;"P"&amp;$A152))</f>
        <v>0</v>
      </c>
      <c r="DC152" s="3">
        <f>IF(RTD("tos.rtd",,DC$43,"."&amp;$B$134&amp;$AS$82&amp;"C"&amp;$A152)="N/A",0,RTD("tos.rtd",,DC$43,"."&amp;$B$134&amp;$AS$82&amp;"C"&amp;$A152))</f>
        <v>19.8</v>
      </c>
      <c r="DD152" s="3">
        <f>IF(RTD("tos.rtd",,DD$43,"."&amp;$B$134&amp;$AS$82&amp;"P"&amp;$A152)="N/A",0,RTD("tos.rtd",,DD$43,"."&amp;$B$134&amp;$AS$82&amp;"P"&amp;$A152))</f>
        <v>121.2</v>
      </c>
      <c r="DE152" s="3">
        <f>IF(RTD("tos.rtd",,DE$43,"."&amp;$B$134&amp;$AS$82&amp;"C"&amp;$A152)="N/A",0,RTD("tos.rtd",,DE$43,"."&amp;$B$134&amp;$AS$82&amp;"C"&amp;$A152))</f>
        <v>0</v>
      </c>
      <c r="DF152" s="3">
        <f>IF(RTD("tos.rtd",,DF$43,"."&amp;$B$134&amp;$AS$82&amp;"P"&amp;$A152)="N/A",0,RTD("tos.rtd",,DF$43,"."&amp;$B$134&amp;$AS$82&amp;"P"&amp;$A152))</f>
        <v>102</v>
      </c>
      <c r="DG152" s="86">
        <f t="shared" si="590"/>
        <v>131.25</v>
      </c>
      <c r="DH152" s="3">
        <f t="shared" si="557"/>
        <v>0</v>
      </c>
      <c r="DI152" s="3">
        <f t="shared" si="558"/>
        <v>0</v>
      </c>
      <c r="DJ152" s="3">
        <f t="shared" si="559"/>
        <v>0</v>
      </c>
      <c r="DK152" s="3">
        <f t="shared" si="560"/>
        <v>0</v>
      </c>
      <c r="DL152" s="3">
        <f t="shared" si="561"/>
        <v>0</v>
      </c>
      <c r="DM152" s="3">
        <f t="shared" si="562"/>
        <v>0</v>
      </c>
      <c r="DN152" s="64" t="str">
        <f t="shared" si="563"/>
        <v>UNKNOWN</v>
      </c>
      <c r="DO152" s="64" t="str">
        <f t="shared" si="564"/>
        <v>UNKNOWN</v>
      </c>
      <c r="DP152" s="3">
        <f t="shared" si="565"/>
        <v>0</v>
      </c>
      <c r="DQ152" s="3">
        <f t="shared" si="566"/>
        <v>0</v>
      </c>
      <c r="DR152" s="3">
        <f t="shared" ca="1" si="567"/>
        <v>0</v>
      </c>
      <c r="DS152" s="3">
        <f t="shared" si="568"/>
        <v>0</v>
      </c>
      <c r="DT152" s="3">
        <f t="shared" si="591"/>
        <v>0</v>
      </c>
      <c r="DU152" s="3">
        <f t="shared" si="592"/>
        <v>0</v>
      </c>
      <c r="DV152" s="3">
        <f t="shared" si="569"/>
        <v>26</v>
      </c>
      <c r="DW152" s="3">
        <f t="shared" si="570"/>
        <v>0</v>
      </c>
      <c r="DX152" s="3">
        <f t="shared" ca="1" si="571"/>
        <v>1.6995274859873688E-3</v>
      </c>
      <c r="DY152" s="3">
        <f t="shared" ca="1" si="572"/>
        <v>-1.8398936840863039E-3</v>
      </c>
      <c r="DZ152" s="3">
        <f t="shared" ca="1" si="573"/>
        <v>7.3210470673817994E-4</v>
      </c>
      <c r="EA152" s="3">
        <f t="shared" ca="1" si="574"/>
        <v>-6.6671802663324179E-4</v>
      </c>
      <c r="EB152" s="3">
        <f t="shared" ca="1" si="575"/>
        <v>8.0754233815978757E-4</v>
      </c>
      <c r="EC152" s="3">
        <f t="shared" ca="1" si="576"/>
        <v>-7.6840343657691706E-4</v>
      </c>
      <c r="ED152" s="63">
        <f t="shared" si="593"/>
        <v>26</v>
      </c>
      <c r="EE152" s="59">
        <f t="shared" si="577"/>
        <v>0.7016</v>
      </c>
      <c r="EF152" s="59">
        <f t="shared" si="578"/>
        <v>0.55700000000000005</v>
      </c>
      <c r="EG152" s="59">
        <f t="shared" si="579"/>
        <v>0.2072</v>
      </c>
      <c r="EH152" s="59">
        <f t="shared" si="580"/>
        <v>0.22850000000000001</v>
      </c>
      <c r="EI152" s="59">
        <f t="shared" si="581"/>
        <v>0.18679999999999999</v>
      </c>
      <c r="EJ152" s="59">
        <f t="shared" si="582"/>
        <v>0.19689999999999999</v>
      </c>
      <c r="EK152" s="63">
        <f t="shared" ca="1" si="594"/>
        <v>19197879.078661423</v>
      </c>
      <c r="EL152" s="3" t="str">
        <f>RTD("tos.rtd",,EL$43,"."&amp;$B$134&amp;$AS$82&amp;"C"&amp;$A152)</f>
        <v>70.16%</v>
      </c>
      <c r="EM152" s="3" t="str">
        <f>RTD("tos.rtd",,EM$43,"."&amp;$B$134&amp;$AS$82&amp;"P"&amp;$A152)</f>
        <v>55.70%</v>
      </c>
      <c r="EN152" s="3" t="str">
        <f>RTD("tos.rtd",,EN$2,"."&amp;$C$134&amp;$AU$82&amp;"C"&amp;$A152)</f>
        <v>20.72%</v>
      </c>
      <c r="EO152" s="3" t="str">
        <f>RTD("tos.rtd",,EO$2,"."&amp;$C$134&amp;$AU$82&amp;"P"&amp;$A152)</f>
        <v>22.85%</v>
      </c>
      <c r="EP152" s="3" t="str">
        <f>RTD("tos.rtd",,EP$2,"."&amp;$D$134&amp;$AW$82&amp;"C"&amp;$A152)</f>
        <v>18.68%</v>
      </c>
      <c r="EQ152" s="3" t="str">
        <f>RTD("tos.rtd",,EQ$2,"."&amp;$D$134&amp;$AW$82&amp;"P"&amp;$A152)</f>
        <v>19.69%</v>
      </c>
      <c r="ES152" s="63" t="str">
        <f t="shared" si="583"/>
        <v>20975,26.00</v>
      </c>
      <c r="ET152" s="63" t="str">
        <f t="shared" ca="1" si="584"/>
        <v>20975,61.09</v>
      </c>
      <c r="EU152" s="68">
        <v>571.79</v>
      </c>
      <c r="EV152" s="68" t="s">
        <v>1235</v>
      </c>
      <c r="EW152" s="68">
        <v>497.07</v>
      </c>
      <c r="EX152" s="68" t="s">
        <v>1236</v>
      </c>
      <c r="EY152" s="68">
        <v>5729</v>
      </c>
      <c r="EZ152" s="68" t="s">
        <v>1237</v>
      </c>
      <c r="FA152" s="68">
        <v>20407.5</v>
      </c>
      <c r="FB152" s="68" t="s">
        <v>1238</v>
      </c>
      <c r="FC152" s="68" t="s">
        <v>1239</v>
      </c>
      <c r="FD152" s="68" t="s">
        <v>1240</v>
      </c>
      <c r="FE152" s="68" t="s">
        <v>1241</v>
      </c>
      <c r="FF152" s="68" t="s">
        <v>1242</v>
      </c>
    </row>
    <row r="153" spans="1:162" ht="11.1" customHeight="1" thickBot="1" x14ac:dyDescent="0.25">
      <c r="A153" s="2">
        <f t="shared" si="595"/>
        <v>20950</v>
      </c>
      <c r="B153" s="3">
        <f t="shared" si="610"/>
        <v>39</v>
      </c>
      <c r="C153" s="3">
        <f t="shared" si="611"/>
        <v>9</v>
      </c>
      <c r="D153" s="3">
        <f t="shared" si="612"/>
        <v>11</v>
      </c>
      <c r="E153" s="3">
        <f t="shared" si="613"/>
        <v>59</v>
      </c>
      <c r="F153" s="4">
        <f t="shared" si="614"/>
        <v>21050.509745127434</v>
      </c>
      <c r="G153" s="5">
        <f t="shared" si="615"/>
        <v>510.24777211394309</v>
      </c>
      <c r="AM153" s="1">
        <v>1576</v>
      </c>
      <c r="AN153" s="1">
        <v>0</v>
      </c>
      <c r="AO153" s="1">
        <v>20950</v>
      </c>
      <c r="AP153" s="1">
        <v>3612</v>
      </c>
      <c r="AQ153" s="1">
        <v>-3</v>
      </c>
      <c r="AS153" s="54">
        <f>IF(RTD("tos.rtd",,AS$83,"."&amp;$B$134&amp;$AS$82&amp;"C"&amp;$A153)="N/A",0,RTD("tos.rtd",,AS$83,"."&amp;$B$134&amp;$AS$82&amp;"C"&amp;$A153))</f>
        <v>39</v>
      </c>
      <c r="AT153" s="3">
        <f>-IF(RTD("tos.rtd",,AT$83,"."&amp;$B$134&amp;$AS$82&amp;"P"&amp;$A153)="N/A",0,RTD("tos.rtd",,AT$83,"."&amp;$B$134&amp;$AS$82&amp;"P"&amp;$A153))</f>
        <v>0</v>
      </c>
      <c r="AU153" s="54">
        <f>IF(RTD("tos.rtd",,AU$2,"."&amp;$C$134&amp;$AU$134&amp;"C"&amp;$A153)="N/A",0,RTD("tos.rtd",,AU$2,"."&amp;$C$134&amp;$AU$134&amp;"C"&amp;$A153))</f>
        <v>9</v>
      </c>
      <c r="AV153" s="3">
        <f>-IF(RTD("tos.rtd",,AV$2,"."&amp;$C$134&amp;$AU$134&amp;"P"&amp;$A153)="N/A",0,RTD("tos.rtd",,AV$2,"."&amp;$C$134&amp;$AU$134&amp;"P"&amp;$A153))</f>
        <v>0</v>
      </c>
      <c r="AW153" s="54">
        <f>IF(RTD("tos.rtd",,AW$2,"."&amp;$D$134&amp;$AW$134&amp;"C"&amp;$A153)="N/A",0,RTD("tos.rtd",,AW$2,"."&amp;$D$134&amp;$AW$134&amp;"C"&amp;$A153))</f>
        <v>10</v>
      </c>
      <c r="AX153" s="3">
        <f>-IF(RTD("tos.rtd",,AX$2,"."&amp;$D$134&amp;$AW$134&amp;"P"&amp;$A153)="N/A",0,RTD("tos.rtd",,AX$2,"."&amp;$D$134&amp;$AW$134&amp;"P"&amp;$A153))</f>
        <v>-1</v>
      </c>
      <c r="AY153" s="76">
        <f t="shared" si="616"/>
        <v>57</v>
      </c>
      <c r="AZ153" s="8">
        <f t="shared" si="548"/>
        <v>20950</v>
      </c>
      <c r="BA153" s="54">
        <f>IF(RTD("tos.rtd",,BA$43,"."&amp;$B$134&amp;$AS$82&amp;"C"&amp;$A153)="N/A",0,RTD("tos.rtd",,BA$43,"."&amp;$B$134&amp;$AS$82&amp;"C"&amp;$A153))</f>
        <v>3612</v>
      </c>
      <c r="BB153" s="3">
        <f>-IF(RTD("tos.rtd",,BB$43,"."&amp;$B$134&amp;$AS$82&amp;"P"&amp;$A153)="N/A",0,RTD("tos.rtd",,BB$43,"."&amp;$B$134&amp;$AS$82&amp;"P"&amp;$A153))</f>
        <v>-3</v>
      </c>
      <c r="BC153" s="54">
        <f>IF(RTD("tos.rtd",,BC$2,"."&amp;$C$134&amp;$AU$82&amp;"C"&amp;$A153)="N/A",0,RTD("tos.rtd",,BC$2,"."&amp;$C$134&amp;$AU$82&amp;"C"&amp;$A153))</f>
        <v>18</v>
      </c>
      <c r="BD153" s="3">
        <f>-IF(RTD("tos.rtd",,BD$2,"."&amp;$C$134&amp;$AU$82&amp;"P"&amp;$A153)="N/A",0,RTD("tos.rtd",,BD$2,"."&amp;$C$134&amp;$AU$82&amp;"P"&amp;$A153))</f>
        <v>-4</v>
      </c>
      <c r="BE153" s="54">
        <f>IF(RTD("tos.rtd",,BE$2,"."&amp;$D$134&amp;$AW$82&amp;"C"&amp;$A153)="N/A",0,RTD("tos.rtd",,BE$2,"."&amp;$D$134&amp;$AW$82&amp;"C"&amp;$A153))</f>
        <v>1</v>
      </c>
      <c r="BF153" s="3">
        <f>-IF(RTD("tos.rtd",,BF$2,"."&amp;$D$134&amp;$AW$82&amp;"P"&amp;$A153)="N/A",0,RTD("tos.rtd",,BF$2,"."&amp;$D$134&amp;$AW$82&amp;"P"&amp;$A153))</f>
        <v>-2</v>
      </c>
      <c r="BG153" s="3">
        <f ca="1">+Hoja2!Y154</f>
        <v>1</v>
      </c>
      <c r="BH153" s="7">
        <f t="shared" ca="1" si="549"/>
        <v>3623</v>
      </c>
      <c r="BI153" s="32" t="str">
        <f t="shared" ca="1" si="609"/>
        <v/>
      </c>
      <c r="BJ153" s="3">
        <f ca="1">IF($BP$1=1,DX153,IF(RTD("tos.rtd",,BJ$43,"."&amp;$B$134&amp;$AS$82&amp;"C"&amp;$A153)="N/A",0,RTD("tos.rtd",,BJ$43,"."&amp;$B$134&amp;$AS$82&amp;"C"&amp;$A153)))</f>
        <v>1.4957183864099909E-3</v>
      </c>
      <c r="BK153" s="3">
        <f ca="1">IF($BP$1=1,DY153,-IF(RTD("tos.rtd",,BK$43,"."&amp;$B$134&amp;$AS$82&amp;"P"&amp;$A153)="N/A",0,RTD("tos.rtd",,BK$43,"."&amp;$B$134&amp;$AS$82&amp;"P"&amp;$A153)))</f>
        <v>-2.2908772241390226E-3</v>
      </c>
      <c r="BL153" s="3">
        <f ca="1">IF($BP$1=1,DZ153,IF(RTD("tos.rtd",,BL$2,"."&amp;$C$134&amp;$AU$82&amp;"C"&amp;$A153)="N/A",0,RTD("tos.rtd",,BL$2,"."&amp;$C$134&amp;$AU$82&amp;"C"&amp;$A153)))</f>
        <v>7.3669290141073181E-4</v>
      </c>
      <c r="BM153" s="3">
        <f ca="1">IF($BP$1=1,EA153,-IF(RTD("tos.rtd",,BM$2,"."&amp;$C$134&amp;$AU$82&amp;"P"&amp;$A153)="N/A",0,RTD("tos.rtd",,BM$2,"."&amp;$C$134&amp;$AU$82&amp;"P"&amp;$A153)))</f>
        <v>-6.7165699184118576E-4</v>
      </c>
      <c r="BN153" s="3">
        <f ca="1">IF($BP$1=1,EB153,IF(RTD("tos.rtd",,BN$2,"."&amp;$D$134&amp;$AW$82&amp;"C"&amp;$A153)="N/A",0,RTD("tos.rtd",,BN$2,"."&amp;$D$134&amp;$AW$82&amp;"C"&amp;$A153)))</f>
        <v>8.1413128388936661E-4</v>
      </c>
      <c r="BO153" s="3">
        <f ca="1">IF($BP$1=1,EC153,-IF(RTD("tos.rtd",,BO$2,"."&amp;$D$134&amp;$AW$82&amp;"P"&amp;$A153)="N/A",0,RTD("tos.rtd",,BO$2,"."&amp;$D$134&amp;$AW$82&amp;"P"&amp;$A153)))</f>
        <v>-7.7313611427782169E-4</v>
      </c>
      <c r="BQ153" s="3">
        <f t="shared" ca="1" si="617"/>
        <v>1990675.0524960142</v>
      </c>
      <c r="BR153" s="3" t="str">
        <f t="shared" ca="1" si="550"/>
        <v/>
      </c>
      <c r="BS153" s="3">
        <f t="shared" ca="1" si="618"/>
        <v>226263.72309642631</v>
      </c>
      <c r="BT153" s="3" t="str">
        <f t="shared" ca="1" si="551"/>
        <v/>
      </c>
      <c r="BU153" s="3">
        <f t="shared" ca="1" si="619"/>
        <v>251446.71619635052</v>
      </c>
      <c r="BV153" s="3" t="str">
        <f t="shared" ca="1" si="551"/>
        <v/>
      </c>
      <c r="BX153" s="3">
        <f t="shared" ca="1" si="585"/>
        <v>1390562.9110250389</v>
      </c>
      <c r="BY153" s="3" t="str">
        <f t="shared" ca="1" si="586"/>
        <v/>
      </c>
      <c r="BZ153" s="3">
        <f t="shared" ca="1" si="587"/>
        <v>2725.0771381797517</v>
      </c>
      <c r="CA153" s="3" t="str">
        <f t="shared" ca="1" si="586"/>
        <v/>
      </c>
      <c r="CB153" s="3">
        <f t="shared" ca="1" si="588"/>
        <v>-188.68639461192578</v>
      </c>
      <c r="CC153" s="3" t="str">
        <f t="shared" ca="1" si="586"/>
        <v/>
      </c>
      <c r="CD153" s="3">
        <f>IF(RTD("tos.rtd",,CD$43,"."&amp;$B$134&amp;$AS$82&amp;"C"&amp;$A153)="N/A",0,RTD("tos.rtd",,CD$43,"."&amp;$B$134&amp;$AS$82&amp;"C"&amp;$A153))</f>
        <v>0.02</v>
      </c>
      <c r="CE153" s="3">
        <f>-IF(RTD("tos.rtd",,CE$43,"."&amp;$B$134&amp;$AS$82&amp;"P"&amp;$A153)="N/A",0,RTD("tos.rtd",,CE$43,"."&amp;$B$134&amp;$AS$82&amp;"P"&amp;$A153))</f>
        <v>0.9</v>
      </c>
      <c r="CF153" s="3">
        <f>IF(RTD("tos.rtd",,CF$2,"."&amp;$C$134&amp;$AU$82&amp;"C"&amp;$A153)="N/A",0,RTD("tos.rtd",,CF$2,"."&amp;$C$134&amp;$AU$82&amp;"C"&amp;$A153))</f>
        <v>0.44</v>
      </c>
      <c r="CG153" s="3">
        <f>-IF(RTD("tos.rtd",,CG$2,"."&amp;$C$134&amp;$AU$82&amp;"P"&amp;$A153)="N/A",0,RTD("tos.rtd",,CG$2,"."&amp;$C$134&amp;$AU$82&amp;"P"&amp;$A153))</f>
        <v>0.56000000000000005</v>
      </c>
      <c r="CH153" s="3">
        <f>IF(RTD("tos.rtd",,CH$2,"."&amp;$D$134&amp;$AW$82&amp;"C"&amp;$A153)="N/A",0,RTD("tos.rtd",,CH$2,"."&amp;$D$134&amp;$AW$82&amp;"C"&amp;$A153))</f>
        <v>0.52</v>
      </c>
      <c r="CI153" s="3">
        <f>-IF(RTD("tos.rtd",,CI$2,"."&amp;$D$134&amp;$AW$82&amp;"P"&amp;$A153)="N/A",0,RTD("tos.rtd",,CI$2,"."&amp;$D$134&amp;$AW$82&amp;"P"&amp;$A153))</f>
        <v>0.48</v>
      </c>
      <c r="CK153" s="3">
        <f t="shared" si="620"/>
        <v>78</v>
      </c>
      <c r="CL153" s="3"/>
      <c r="CM153" s="3">
        <f t="shared" si="621"/>
        <v>396</v>
      </c>
      <c r="CN153" s="3"/>
      <c r="CO153" s="3">
        <f t="shared" si="622"/>
        <v>472</v>
      </c>
      <c r="CP153" s="3">
        <f t="shared" si="542"/>
        <v>946</v>
      </c>
      <c r="CQ153" s="3">
        <f t="shared" si="552"/>
        <v>3609</v>
      </c>
      <c r="CR153" s="3"/>
      <c r="CS153" s="3">
        <f t="shared" si="553"/>
        <v>14</v>
      </c>
      <c r="CT153" s="3"/>
      <c r="CU153" s="3">
        <f t="shared" si="554"/>
        <v>-1</v>
      </c>
      <c r="CV153" s="3"/>
      <c r="CW153" s="3">
        <f t="shared" ca="1" si="555"/>
        <v>2468385.4917887906</v>
      </c>
      <c r="CY153" s="3">
        <f t="shared" ca="1" si="556"/>
        <v>1393099.3017686068</v>
      </c>
      <c r="CZ153" s="70" t="str">
        <f t="shared" ca="1" si="589"/>
        <v/>
      </c>
      <c r="DA153" s="3">
        <f>IF(RTD("tos.rtd",,DA$43,"."&amp;$B$134&amp;$AS$82&amp;"C"&amp;$A153)="N/A",0,RTD("tos.rtd",,DA$43,"."&amp;$B$134&amp;$AS$82&amp;"C"&amp;$A153))</f>
        <v>0.21</v>
      </c>
      <c r="DB153" s="3">
        <f>IF(RTD("tos.rtd",,DB$43,"."&amp;$B$134&amp;$AS$82&amp;"P"&amp;$A153)="N/A",0,RTD("tos.rtd",,DB$43,"."&amp;$B$134&amp;$AS$82&amp;"P"&amp;$A153))</f>
        <v>133.19999999999999</v>
      </c>
      <c r="DC153" s="3">
        <f>IF(RTD("tos.rtd",,DC$43,"."&amp;$B$134&amp;$AS$82&amp;"C"&amp;$A153)="N/A",0,RTD("tos.rtd",,DC$43,"."&amp;$B$134&amp;$AS$82&amp;"C"&amp;$A153))</f>
        <v>0.4</v>
      </c>
      <c r="DD153" s="3">
        <f>IF(RTD("tos.rtd",,DD$43,"."&amp;$B$134&amp;$AS$82&amp;"P"&amp;$A153)="N/A",0,RTD("tos.rtd",,DD$43,"."&amp;$B$134&amp;$AS$82&amp;"P"&amp;$A153))</f>
        <v>93.4</v>
      </c>
      <c r="DE153" s="3">
        <f>IF(RTD("tos.rtd",,DE$43,"."&amp;$B$134&amp;$AS$82&amp;"C"&amp;$A153)="N/A",0,RTD("tos.rtd",,DE$43,"."&amp;$B$134&amp;$AS$82&amp;"C"&amp;$A153))</f>
        <v>0</v>
      </c>
      <c r="DF153" s="3">
        <f>IF(RTD("tos.rtd",,DF$43,"."&amp;$B$134&amp;$AS$82&amp;"P"&amp;$A153)="N/A",0,RTD("tos.rtd",,DF$43,"."&amp;$B$134&amp;$AS$82&amp;"P"&amp;$A153))</f>
        <v>76</v>
      </c>
      <c r="DG153" s="86">
        <f t="shared" si="590"/>
        <v>106.25</v>
      </c>
      <c r="DH153" s="3">
        <f t="shared" si="557"/>
        <v>0</v>
      </c>
      <c r="DI153" s="3">
        <f t="shared" si="558"/>
        <v>0</v>
      </c>
      <c r="DJ153" s="3">
        <f t="shared" si="559"/>
        <v>0</v>
      </c>
      <c r="DK153" s="3">
        <f t="shared" si="560"/>
        <v>0</v>
      </c>
      <c r="DL153" s="3">
        <f t="shared" si="561"/>
        <v>0</v>
      </c>
      <c r="DM153" s="3">
        <f t="shared" si="562"/>
        <v>0</v>
      </c>
      <c r="DN153" s="64" t="str">
        <f t="shared" si="563"/>
        <v>UNKNOWN</v>
      </c>
      <c r="DO153" s="64" t="str">
        <f t="shared" si="564"/>
        <v>UNKNOWN</v>
      </c>
      <c r="DP153" s="3">
        <f t="shared" si="565"/>
        <v>0</v>
      </c>
      <c r="DQ153" s="3">
        <f t="shared" si="566"/>
        <v>0</v>
      </c>
      <c r="DR153" s="3">
        <f t="shared" ca="1" si="567"/>
        <v>0</v>
      </c>
      <c r="DS153" s="3">
        <f t="shared" si="568"/>
        <v>0</v>
      </c>
      <c r="DT153" s="3">
        <f t="shared" si="591"/>
        <v>0</v>
      </c>
      <c r="DU153" s="3">
        <f t="shared" si="592"/>
        <v>0</v>
      </c>
      <c r="DV153" s="3">
        <f t="shared" si="569"/>
        <v>1576</v>
      </c>
      <c r="DW153" s="3">
        <f t="shared" si="570"/>
        <v>0</v>
      </c>
      <c r="DX153" s="3">
        <f t="shared" ca="1" si="571"/>
        <v>1.4957183864099909E-3</v>
      </c>
      <c r="DY153" s="3">
        <f t="shared" ca="1" si="572"/>
        <v>-2.2908772241390226E-3</v>
      </c>
      <c r="DZ153" s="3">
        <f t="shared" ca="1" si="573"/>
        <v>7.3669290141073181E-4</v>
      </c>
      <c r="EA153" s="3">
        <f t="shared" ca="1" si="574"/>
        <v>-6.7165699184118576E-4</v>
      </c>
      <c r="EB153" s="3">
        <f t="shared" ca="1" si="575"/>
        <v>8.1413128388936661E-4</v>
      </c>
      <c r="EC153" s="3">
        <f t="shared" ca="1" si="576"/>
        <v>-7.7313611427782169E-4</v>
      </c>
      <c r="ED153" s="63">
        <f t="shared" si="593"/>
        <v>1576</v>
      </c>
      <c r="EE153" s="59">
        <f t="shared" si="577"/>
        <v>0.23860000000000001</v>
      </c>
      <c r="EF153" s="59">
        <f t="shared" si="578"/>
        <v>0.39979999999999999</v>
      </c>
      <c r="EG153" s="59">
        <f t="shared" si="579"/>
        <v>0.2077</v>
      </c>
      <c r="EH153" s="59">
        <f t="shared" si="580"/>
        <v>0.22839999999999999</v>
      </c>
      <c r="EI153" s="59">
        <f t="shared" si="581"/>
        <v>0.18729999999999999</v>
      </c>
      <c r="EJ153" s="59">
        <f t="shared" si="582"/>
        <v>0.1976</v>
      </c>
      <c r="EK153" s="63">
        <f t="shared" ca="1" si="594"/>
        <v>1024136292.739658</v>
      </c>
      <c r="EL153" s="3" t="str">
        <f>RTD("tos.rtd",,EL$43,"."&amp;$B$134&amp;$AS$82&amp;"C"&amp;$A153)</f>
        <v>23.86%</v>
      </c>
      <c r="EM153" s="3" t="str">
        <f>RTD("tos.rtd",,EM$43,"."&amp;$B$134&amp;$AS$82&amp;"P"&amp;$A153)</f>
        <v>39.98%</v>
      </c>
      <c r="EN153" s="3" t="str">
        <f>RTD("tos.rtd",,EN$2,"."&amp;$C$134&amp;$AU$82&amp;"C"&amp;$A153)</f>
        <v>20.77%</v>
      </c>
      <c r="EO153" s="3" t="str">
        <f>RTD("tos.rtd",,EO$2,"."&amp;$C$134&amp;$AU$82&amp;"P"&amp;$A153)</f>
        <v>22.84%</v>
      </c>
      <c r="EP153" s="3" t="str">
        <f>RTD("tos.rtd",,EP$2,"."&amp;$D$134&amp;$AW$82&amp;"C"&amp;$A153)</f>
        <v>18.73%</v>
      </c>
      <c r="EQ153" s="3" t="str">
        <f>RTD("tos.rtd",,EQ$2,"."&amp;$D$134&amp;$AW$82&amp;"P"&amp;$A153)</f>
        <v>19.76%</v>
      </c>
      <c r="ES153" s="63" t="str">
        <f t="shared" si="583"/>
        <v>20950,1576.00</v>
      </c>
      <c r="ET153" s="63" t="str">
        <f t="shared" ca="1" si="584"/>
        <v>20950,1393.10</v>
      </c>
      <c r="EU153" s="68">
        <v>571.84</v>
      </c>
      <c r="EV153" s="68" t="s">
        <v>1243</v>
      </c>
      <c r="EW153" s="68">
        <v>497.06</v>
      </c>
      <c r="EX153" s="68" t="s">
        <v>1244</v>
      </c>
      <c r="EY153" s="68">
        <v>5729.25</v>
      </c>
      <c r="EZ153" s="68" t="s">
        <v>1245</v>
      </c>
      <c r="FA153" s="68">
        <v>20408.75</v>
      </c>
      <c r="FB153" s="68" t="s">
        <v>1246</v>
      </c>
      <c r="FC153" s="68" t="s">
        <v>1247</v>
      </c>
      <c r="FD153" s="68" t="s">
        <v>1248</v>
      </c>
      <c r="FE153" s="68" t="s">
        <v>1249</v>
      </c>
      <c r="FF153" s="68" t="s">
        <v>1250</v>
      </c>
    </row>
    <row r="154" spans="1:162" ht="11.1" customHeight="1" thickBot="1" x14ac:dyDescent="0.25">
      <c r="A154" s="2">
        <f t="shared" si="595"/>
        <v>20925</v>
      </c>
      <c r="B154" s="3">
        <f t="shared" si="610"/>
        <v>4</v>
      </c>
      <c r="C154" s="3">
        <f t="shared" si="611"/>
        <v>14</v>
      </c>
      <c r="D154" s="3">
        <f t="shared" si="612"/>
        <v>16</v>
      </c>
      <c r="E154" s="3">
        <f t="shared" si="613"/>
        <v>34</v>
      </c>
      <c r="F154" s="4">
        <f t="shared" ref="F154:F189" si="623">+$F$136/$A$136*A154</f>
        <v>21025.389805097449</v>
      </c>
      <c r="G154" s="5">
        <f t="shared" si="615"/>
        <v>509.63888455772116</v>
      </c>
      <c r="AM154" s="1">
        <v>-51</v>
      </c>
      <c r="AN154" s="1">
        <v>-1</v>
      </c>
      <c r="AO154" s="1">
        <v>20925</v>
      </c>
      <c r="AP154" s="1">
        <v>233</v>
      </c>
      <c r="AQ154" s="1">
        <v>-2</v>
      </c>
      <c r="AS154" s="54">
        <f>IF(RTD("tos.rtd",,AS$83,"."&amp;$B$134&amp;$AS$82&amp;"C"&amp;$A154)="N/A",0,RTD("tos.rtd",,AS$83,"."&amp;$B$134&amp;$AS$82&amp;"C"&amp;$A154))</f>
        <v>4</v>
      </c>
      <c r="AT154" s="3">
        <f>-IF(RTD("tos.rtd",,AT$83,"."&amp;$B$134&amp;$AS$82&amp;"P"&amp;$A154)="N/A",0,RTD("tos.rtd",,AT$83,"."&amp;$B$134&amp;$AS$82&amp;"P"&amp;$A154))</f>
        <v>0</v>
      </c>
      <c r="AU154" s="54">
        <f>IF(RTD("tos.rtd",,AU$2,"."&amp;$C$134&amp;$AU$134&amp;"C"&amp;$A154)="N/A",0,RTD("tos.rtd",,AU$2,"."&amp;$C$134&amp;$AU$134&amp;"C"&amp;$A154))</f>
        <v>14</v>
      </c>
      <c r="AV154" s="3">
        <f>-IF(RTD("tos.rtd",,AV$2,"."&amp;$C$134&amp;$AU$134&amp;"P"&amp;$A154)="N/A",0,RTD("tos.rtd",,AV$2,"."&amp;$C$134&amp;$AU$134&amp;"P"&amp;$A154))</f>
        <v>0</v>
      </c>
      <c r="AW154" s="54">
        <f>IF(RTD("tos.rtd",,AW$2,"."&amp;$D$134&amp;$AW$134&amp;"C"&amp;$A154)="N/A",0,RTD("tos.rtd",,AW$2,"."&amp;$D$134&amp;$AW$134&amp;"C"&amp;$A154))</f>
        <v>14</v>
      </c>
      <c r="AX154" s="3">
        <f>-IF(RTD("tos.rtd",,AX$2,"."&amp;$D$134&amp;$AW$134&amp;"P"&amp;$A154)="N/A",0,RTD("tos.rtd",,AX$2,"."&amp;$D$134&amp;$AW$134&amp;"P"&amp;$A154))</f>
        <v>-2</v>
      </c>
      <c r="AY154" s="76">
        <f t="shared" ref="AY154:AY189" si="624">SUM(AS154:AX154)</f>
        <v>30</v>
      </c>
      <c r="AZ154" s="8">
        <f t="shared" si="548"/>
        <v>20925</v>
      </c>
      <c r="BA154" s="54">
        <f>IF(RTD("tos.rtd",,BA$43,"."&amp;$B$134&amp;$AS$82&amp;"C"&amp;$A154)="N/A",0,RTD("tos.rtd",,BA$43,"."&amp;$B$134&amp;$AS$82&amp;"C"&amp;$A154))</f>
        <v>233</v>
      </c>
      <c r="BB154" s="3">
        <f>-IF(RTD("tos.rtd",,BB$43,"."&amp;$B$134&amp;$AS$82&amp;"P"&amp;$A154)="N/A",0,RTD("tos.rtd",,BB$43,"."&amp;$B$134&amp;$AS$82&amp;"P"&amp;$A154))</f>
        <v>-2</v>
      </c>
      <c r="BC154" s="54">
        <f>IF(RTD("tos.rtd",,BC$2,"."&amp;$C$134&amp;$AU$82&amp;"C"&amp;$A154)="N/A",0,RTD("tos.rtd",,BC$2,"."&amp;$C$134&amp;$AU$82&amp;"C"&amp;$A154))</f>
        <v>18</v>
      </c>
      <c r="BD154" s="3">
        <f>-IF(RTD("tos.rtd",,BD$2,"."&amp;$C$134&amp;$AU$82&amp;"P"&amp;$A154)="N/A",0,RTD("tos.rtd",,BD$2,"."&amp;$C$134&amp;$AU$82&amp;"P"&amp;$A154))</f>
        <v>-6</v>
      </c>
      <c r="BE154" s="54">
        <f>IF(RTD("tos.rtd",,BE$2,"."&amp;$D$134&amp;$AW$82&amp;"C"&amp;$A154)="N/A",0,RTD("tos.rtd",,BE$2,"."&amp;$D$134&amp;$AW$82&amp;"C"&amp;$A154))</f>
        <v>48</v>
      </c>
      <c r="BF154" s="3">
        <f>-IF(RTD("tos.rtd",,BF$2,"."&amp;$D$134&amp;$AW$82&amp;"P"&amp;$A154)="N/A",0,RTD("tos.rtd",,BF$2,"."&amp;$D$134&amp;$AW$82&amp;"P"&amp;$A154))</f>
        <v>-46</v>
      </c>
      <c r="BG154" s="3">
        <f ca="1">+Hoja2!Y155</f>
        <v>0</v>
      </c>
      <c r="BH154" s="7">
        <f t="shared" ca="1" si="549"/>
        <v>245</v>
      </c>
      <c r="BI154" s="32" t="str">
        <f t="shared" ca="1" si="609"/>
        <v/>
      </c>
      <c r="BJ154" s="3">
        <f ca="1">IF($BP$1=1,DX154,IF(RTD("tos.rtd",,BJ$43,"."&amp;$B$134&amp;$AS$82&amp;"C"&amp;$A154)="N/A",0,RTD("tos.rtd",,BJ$43,"."&amp;$B$134&amp;$AS$82&amp;"C"&amp;$A154)))</f>
        <v>2.9935308913189062E-3</v>
      </c>
      <c r="BK154" s="3">
        <f ca="1">IF($BP$1=1,DY154,-IF(RTD("tos.rtd",,BK$43,"."&amp;$B$134&amp;$AS$82&amp;"P"&amp;$A154)="N/A",0,RTD("tos.rtd",,BK$43,"."&amp;$B$134&amp;$AS$82&amp;"P"&amp;$A154)))</f>
        <v>-2.9939984671869977E-3</v>
      </c>
      <c r="BL154" s="3">
        <f ca="1">IF($BP$1=1,DZ154,IF(RTD("tos.rtd",,BL$2,"."&amp;$C$134&amp;$AU$82&amp;"C"&amp;$A154)="N/A",0,RTD("tos.rtd",,BL$2,"."&amp;$C$134&amp;$AU$82&amp;"C"&amp;$A154)))</f>
        <v>7.4106113643300508E-4</v>
      </c>
      <c r="BM154" s="3">
        <f ca="1">IF($BP$1=1,EA154,-IF(RTD("tos.rtd",,BM$2,"."&amp;$C$134&amp;$AU$82&amp;"P"&amp;$A154)="N/A",0,RTD("tos.rtd",,BM$2,"."&amp;$C$134&amp;$AU$82&amp;"P"&amp;$A154)))</f>
        <v>-6.7485182098969807E-4</v>
      </c>
      <c r="BN154" s="3">
        <f ca="1">IF($BP$1=1,EB154,IF(RTD("tos.rtd",,BN$2,"."&amp;$D$134&amp;$AW$82&amp;"C"&amp;$A154)="N/A",0,RTD("tos.rtd",,BN$2,"."&amp;$D$134&amp;$AW$82&amp;"C"&amp;$A154)))</f>
        <v>8.1766586172363166E-4</v>
      </c>
      <c r="BO154" s="3">
        <f ca="1">IF($BP$1=1,EC154,-IF(RTD("tos.rtd",,BO$2,"."&amp;$D$134&amp;$AW$82&amp;"P"&amp;$A154)="N/A",0,RTD("tos.rtd",,BO$2,"."&amp;$D$134&amp;$AW$82&amp;"P"&amp;$A154)))</f>
        <v>-7.7634284006270816E-4</v>
      </c>
      <c r="BQ154" s="3">
        <f t="shared" ref="BQ154:BQ189" ca="1" si="625">+$A$84*$A$84*AS154*BJ154-$A$84*$A$84*AT154*BK154</f>
        <v>408629.456424292</v>
      </c>
      <c r="BR154" s="3" t="str">
        <f t="shared" ca="1" si="550"/>
        <v/>
      </c>
      <c r="BS154" s="3">
        <f t="shared" ref="BS154:BS189" ca="1" si="626">+$A$84*$A$84*AU154*BL154-$A$84*$A$84*AV154*BM154</f>
        <v>354052.77955401089</v>
      </c>
      <c r="BT154" s="3" t="str">
        <f t="shared" ca="1" si="551"/>
        <v/>
      </c>
      <c r="BU154" s="3">
        <f t="shared" ref="BU154:BU189" ca="1" si="627">+$A$84*$A$84*AW154*BN154-$A$84*$A$84*AX154*BO154</f>
        <v>337664.7873283485</v>
      </c>
      <c r="BV154" s="3" t="str">
        <f t="shared" ca="1" si="551"/>
        <v/>
      </c>
      <c r="BX154" s="3">
        <f t="shared" ca="1" si="585"/>
        <v>178213.67564664257</v>
      </c>
      <c r="BY154" s="3" t="str">
        <f t="shared" ca="1" si="586"/>
        <v/>
      </c>
      <c r="BZ154" s="3">
        <f t="shared" ca="1" si="587"/>
        <v>2394.2037979723304</v>
      </c>
      <c r="CA154" s="3" t="str">
        <f t="shared" ca="1" si="586"/>
        <v/>
      </c>
      <c r="CB154" s="3">
        <f t="shared" ca="1" si="588"/>
        <v>911.34238898868716</v>
      </c>
      <c r="CC154" s="3" t="str">
        <f t="shared" ca="1" si="586"/>
        <v>Cruce +</v>
      </c>
      <c r="CD154" s="3">
        <f>IF(RTD("tos.rtd",,CD$43,"."&amp;$B$134&amp;$AS$82&amp;"C"&amp;$A154)="N/A",0,RTD("tos.rtd",,CD$43,"."&amp;$B$134&amp;$AS$82&amp;"C"&amp;$A154))</f>
        <v>0.12</v>
      </c>
      <c r="CE154" s="3">
        <f>-IF(RTD("tos.rtd",,CE$43,"."&amp;$B$134&amp;$AS$82&amp;"P"&amp;$A154)="N/A",0,RTD("tos.rtd",,CE$43,"."&amp;$B$134&amp;$AS$82&amp;"P"&amp;$A154))</f>
        <v>0.87</v>
      </c>
      <c r="CF154" s="3">
        <f>IF(RTD("tos.rtd",,CF$2,"."&amp;$C$134&amp;$AU$82&amp;"C"&amp;$A154)="N/A",0,RTD("tos.rtd",,CF$2,"."&amp;$C$134&amp;$AU$82&amp;"C"&amp;$A154))</f>
        <v>0.46</v>
      </c>
      <c r="CG154" s="3">
        <f>-IF(RTD("tos.rtd",,CG$2,"."&amp;$C$134&amp;$AU$82&amp;"P"&amp;$A154)="N/A",0,RTD("tos.rtd",,CG$2,"."&amp;$C$134&amp;$AU$82&amp;"P"&amp;$A154))</f>
        <v>0.53</v>
      </c>
      <c r="CH154" s="3">
        <f>IF(RTD("tos.rtd",,CH$2,"."&amp;$D$134&amp;$AW$82&amp;"C"&amp;$A154)="N/A",0,RTD("tos.rtd",,CH$2,"."&amp;$D$134&amp;$AW$82&amp;"C"&amp;$A154))</f>
        <v>0.53</v>
      </c>
      <c r="CI154" s="3">
        <f>-IF(RTD("tos.rtd",,CI$2,"."&amp;$D$134&amp;$AW$82&amp;"P"&amp;$A154)="N/A",0,RTD("tos.rtd",,CI$2,"."&amp;$D$134&amp;$AW$82&amp;"P"&amp;$A154))</f>
        <v>0.47</v>
      </c>
      <c r="CK154" s="3">
        <f t="shared" si="620"/>
        <v>48</v>
      </c>
      <c r="CL154" s="3"/>
      <c r="CM154" s="3">
        <f t="shared" si="621"/>
        <v>644</v>
      </c>
      <c r="CN154" s="3"/>
      <c r="CO154" s="3">
        <f t="shared" si="622"/>
        <v>648</v>
      </c>
      <c r="CP154" s="3">
        <f t="shared" si="542"/>
        <v>1340</v>
      </c>
      <c r="CQ154" s="3">
        <f t="shared" si="552"/>
        <v>231</v>
      </c>
      <c r="CR154" s="3"/>
      <c r="CS154" s="3">
        <f t="shared" si="553"/>
        <v>12</v>
      </c>
      <c r="CT154" s="3"/>
      <c r="CU154" s="3">
        <f t="shared" si="554"/>
        <v>2</v>
      </c>
      <c r="CV154" s="3"/>
      <c r="CW154" s="3">
        <f t="shared" ca="1" si="555"/>
        <v>1100347.0233066515</v>
      </c>
      <c r="CY154" s="3">
        <f t="shared" ca="1" si="556"/>
        <v>181519.22183360357</v>
      </c>
      <c r="CZ154" s="70" t="str">
        <f t="shared" ca="1" si="589"/>
        <v/>
      </c>
      <c r="DA154" s="3">
        <f>IF(RTD("tos.rtd",,DA$43,"."&amp;$B$134&amp;$AS$82&amp;"C"&amp;$A154)="N/A",0,RTD("tos.rtd",,DA$43,"."&amp;$B$134&amp;$AS$82&amp;"C"&amp;$A154))</f>
        <v>0.81</v>
      </c>
      <c r="DB154" s="3">
        <f>IF(RTD("tos.rtd",,DB$43,"."&amp;$B$134&amp;$AS$82&amp;"P"&amp;$A154)="N/A",0,RTD("tos.rtd",,DB$43,"."&amp;$B$134&amp;$AS$82&amp;"P"&amp;$A154))</f>
        <v>109.52</v>
      </c>
      <c r="DC154" s="3">
        <f>IF(RTD("tos.rtd",,DC$43,"."&amp;$B$134&amp;$AS$82&amp;"C"&amp;$A154)="N/A",0,RTD("tos.rtd",,DC$43,"."&amp;$B$134&amp;$AS$82&amp;"C"&amp;$A154))</f>
        <v>5.7</v>
      </c>
      <c r="DD154" s="3">
        <f>IF(RTD("tos.rtd",,DD$43,"."&amp;$B$134&amp;$AS$82&amp;"P"&amp;$A154)="N/A",0,RTD("tos.rtd",,DD$43,"."&amp;$B$134&amp;$AS$82&amp;"P"&amp;$A154))</f>
        <v>68</v>
      </c>
      <c r="DE154" s="3">
        <f>IF(RTD("tos.rtd",,DE$43,"."&amp;$B$134&amp;$AS$82&amp;"C"&amp;$A154)="N/A",0,RTD("tos.rtd",,DE$43,"."&amp;$B$134&amp;$AS$82&amp;"C"&amp;$A154))</f>
        <v>0</v>
      </c>
      <c r="DF154" s="3">
        <f>IF(RTD("tos.rtd",,DF$43,"."&amp;$B$134&amp;$AS$82&amp;"P"&amp;$A154)="N/A",0,RTD("tos.rtd",,DF$43,"."&amp;$B$134&amp;$AS$82&amp;"P"&amp;$A154))</f>
        <v>52</v>
      </c>
      <c r="DG154" s="86">
        <f t="shared" si="590"/>
        <v>81.25</v>
      </c>
      <c r="DH154" s="3">
        <f t="shared" si="557"/>
        <v>0</v>
      </c>
      <c r="DI154" s="3">
        <f t="shared" si="558"/>
        <v>0</v>
      </c>
      <c r="DJ154" s="3">
        <f t="shared" si="559"/>
        <v>0</v>
      </c>
      <c r="DK154" s="3">
        <f t="shared" si="560"/>
        <v>0</v>
      </c>
      <c r="DL154" s="3">
        <f t="shared" si="561"/>
        <v>0</v>
      </c>
      <c r="DM154" s="3">
        <f t="shared" si="562"/>
        <v>0</v>
      </c>
      <c r="DN154" s="64" t="str">
        <f t="shared" si="563"/>
        <v>UNKNOWN</v>
      </c>
      <c r="DO154" s="64" t="str">
        <f t="shared" si="564"/>
        <v>UNKNOWN</v>
      </c>
      <c r="DP154" s="3">
        <f t="shared" si="565"/>
        <v>0</v>
      </c>
      <c r="DQ154" s="3">
        <f t="shared" si="566"/>
        <v>0</v>
      </c>
      <c r="DR154" s="3">
        <f t="shared" ca="1" si="567"/>
        <v>0</v>
      </c>
      <c r="DS154" s="3">
        <f t="shared" si="568"/>
        <v>0</v>
      </c>
      <c r="DT154" s="3">
        <f t="shared" si="591"/>
        <v>0</v>
      </c>
      <c r="DU154" s="3">
        <f t="shared" si="592"/>
        <v>0</v>
      </c>
      <c r="DV154" s="3">
        <f t="shared" si="569"/>
        <v>-51</v>
      </c>
      <c r="DW154" s="3">
        <f t="shared" si="570"/>
        <v>-1</v>
      </c>
      <c r="DX154" s="3">
        <f t="shared" ca="1" si="571"/>
        <v>2.9935308913189062E-3</v>
      </c>
      <c r="DY154" s="3">
        <f t="shared" ca="1" si="572"/>
        <v>-2.9939984671869977E-3</v>
      </c>
      <c r="DZ154" s="3">
        <f t="shared" ca="1" si="573"/>
        <v>7.4106113643300508E-4</v>
      </c>
      <c r="EA154" s="3">
        <f t="shared" ca="1" si="574"/>
        <v>-6.7485182098969807E-4</v>
      </c>
      <c r="EB154" s="3">
        <f t="shared" ca="1" si="575"/>
        <v>8.1766586172363166E-4</v>
      </c>
      <c r="EC154" s="3">
        <f t="shared" ca="1" si="576"/>
        <v>-7.7634284006270816E-4</v>
      </c>
      <c r="ED154" s="63">
        <f t="shared" si="593"/>
        <v>-52</v>
      </c>
      <c r="EE154" s="59">
        <f t="shared" si="577"/>
        <v>0.30620000000000003</v>
      </c>
      <c r="EF154" s="59">
        <f t="shared" si="578"/>
        <v>0.31709999999999999</v>
      </c>
      <c r="EG154" s="59">
        <f t="shared" si="579"/>
        <v>0.20780000000000001</v>
      </c>
      <c r="EH154" s="59">
        <f t="shared" si="580"/>
        <v>0.22850000000000001</v>
      </c>
      <c r="EI154" s="59">
        <f t="shared" si="581"/>
        <v>0.188</v>
      </c>
      <c r="EJ154" s="59">
        <f t="shared" si="582"/>
        <v>0.19819999999999999</v>
      </c>
      <c r="EK154" s="63">
        <f t="shared" ca="1" si="594"/>
        <v>-65028554.898475051</v>
      </c>
      <c r="EL154" s="3" t="str">
        <f>RTD("tos.rtd",,EL$43,"."&amp;$B$134&amp;$AS$82&amp;"C"&amp;$A154)</f>
        <v>30.62%</v>
      </c>
      <c r="EM154" s="3" t="str">
        <f>RTD("tos.rtd",,EM$43,"."&amp;$B$134&amp;$AS$82&amp;"P"&amp;$A154)</f>
        <v>31.71%</v>
      </c>
      <c r="EN154" s="3" t="str">
        <f>RTD("tos.rtd",,EN$2,"."&amp;$C$134&amp;$AU$82&amp;"C"&amp;$A154)</f>
        <v>20.78%</v>
      </c>
      <c r="EO154" s="3" t="str">
        <f>RTD("tos.rtd",,EO$2,"."&amp;$C$134&amp;$AU$82&amp;"P"&amp;$A154)</f>
        <v>22.85%</v>
      </c>
      <c r="EP154" s="3" t="str">
        <f>RTD("tos.rtd",,EP$2,"."&amp;$D$134&amp;$AW$82&amp;"C"&amp;$A154)</f>
        <v>18.80%</v>
      </c>
      <c r="EQ154" s="3" t="str">
        <f>RTD("tos.rtd",,EQ$2,"."&amp;$D$134&amp;$AW$82&amp;"P"&amp;$A154)</f>
        <v>19.82%</v>
      </c>
      <c r="ES154" s="63" t="str">
        <f t="shared" si="583"/>
        <v>20925,-52.00</v>
      </c>
      <c r="ET154" s="63" t="str">
        <f t="shared" ca="1" si="584"/>
        <v>20925,181.52</v>
      </c>
      <c r="EU154" s="68">
        <v>571.79999999999995</v>
      </c>
      <c r="EV154" s="68" t="s">
        <v>1251</v>
      </c>
      <c r="EW154" s="68">
        <v>497.06</v>
      </c>
      <c r="EX154" s="68" t="s">
        <v>1252</v>
      </c>
      <c r="EY154" s="68">
        <v>5729</v>
      </c>
      <c r="EZ154" s="68" t="s">
        <v>1253</v>
      </c>
      <c r="FA154" s="68">
        <v>20408</v>
      </c>
      <c r="FB154" s="68" t="s">
        <v>1254</v>
      </c>
      <c r="FC154" s="68" t="s">
        <v>1255</v>
      </c>
      <c r="FD154" s="68" t="s">
        <v>1256</v>
      </c>
      <c r="FE154" s="68" t="s">
        <v>1257</v>
      </c>
      <c r="FF154" s="68" t="s">
        <v>1258</v>
      </c>
    </row>
    <row r="155" spans="1:162" ht="11.1" customHeight="1" thickBot="1" x14ac:dyDescent="0.25">
      <c r="A155" s="2">
        <f t="shared" si="595"/>
        <v>20900</v>
      </c>
      <c r="B155" s="3">
        <f t="shared" ref="B155:B189" si="628">+IF($A$1="ABS",AS155-AT155,AS155+AT155)</f>
        <v>26</v>
      </c>
      <c r="C155" s="3">
        <f t="shared" ref="C155:C189" si="629">+IF($A$1="ABS",AU155-AV155,AU155+AV155)</f>
        <v>129</v>
      </c>
      <c r="D155" s="3">
        <f t="shared" ref="D155:D189" si="630">+IF($A$1="ABS",AW155-AX155,AW155+AX155)</f>
        <v>295</v>
      </c>
      <c r="E155" s="3">
        <f t="shared" si="613"/>
        <v>450</v>
      </c>
      <c r="F155" s="4">
        <f t="shared" si="623"/>
        <v>21000.269865067465</v>
      </c>
      <c r="G155" s="5">
        <f t="shared" si="615"/>
        <v>509.02999700149928</v>
      </c>
      <c r="AM155" s="1">
        <v>-112</v>
      </c>
      <c r="AN155" s="1">
        <v>1</v>
      </c>
      <c r="AO155" s="1">
        <v>20900</v>
      </c>
      <c r="AP155" s="1">
        <v>1415</v>
      </c>
      <c r="AQ155" s="1">
        <v>-11</v>
      </c>
      <c r="AS155" s="54">
        <f>IF(RTD("tos.rtd",,AS$83,"."&amp;$B$134&amp;$AS$82&amp;"C"&amp;$A155)="N/A",0,RTD("tos.rtd",,AS$83,"."&amp;$B$134&amp;$AS$82&amp;"C"&amp;$A155))</f>
        <v>26</v>
      </c>
      <c r="AT155" s="3">
        <f>-IF(RTD("tos.rtd",,AT$83,"."&amp;$B$134&amp;$AS$82&amp;"P"&amp;$A155)="N/A",0,RTD("tos.rtd",,AT$83,"."&amp;$B$134&amp;$AS$82&amp;"P"&amp;$A155))</f>
        <v>0</v>
      </c>
      <c r="AU155" s="54">
        <f>IF(RTD("tos.rtd",,AU$2,"."&amp;$C$134&amp;$AU$134&amp;"C"&amp;$A155)="N/A",0,RTD("tos.rtd",,AU$2,"."&amp;$C$134&amp;$AU$134&amp;"C"&amp;$A155))</f>
        <v>80</v>
      </c>
      <c r="AV155" s="3">
        <f>-IF(RTD("tos.rtd",,AV$2,"."&amp;$C$134&amp;$AU$134&amp;"P"&amp;$A155)="N/A",0,RTD("tos.rtd",,AV$2,"."&amp;$C$134&amp;$AU$134&amp;"P"&amp;$A155))</f>
        <v>-49</v>
      </c>
      <c r="AW155" s="54">
        <f>IF(RTD("tos.rtd",,AW$2,"."&amp;$D$134&amp;$AW$134&amp;"C"&amp;$A155)="N/A",0,RTD("tos.rtd",,AW$2,"."&amp;$D$134&amp;$AW$134&amp;"C"&amp;$A155))</f>
        <v>105</v>
      </c>
      <c r="AX155" s="3">
        <f>-IF(RTD("tos.rtd",,AX$2,"."&amp;$D$134&amp;$AW$134&amp;"P"&amp;$A155)="N/A",0,RTD("tos.rtd",,AX$2,"."&amp;$D$134&amp;$AW$134&amp;"P"&amp;$A155))</f>
        <v>-190</v>
      </c>
      <c r="AY155" s="76">
        <f t="shared" si="624"/>
        <v>-28</v>
      </c>
      <c r="AZ155" s="8">
        <f t="shared" si="548"/>
        <v>20900</v>
      </c>
      <c r="BA155" s="54">
        <f>IF(RTD("tos.rtd",,BA$43,"."&amp;$B$134&amp;$AS$82&amp;"C"&amp;$A155)="N/A",0,RTD("tos.rtd",,BA$43,"."&amp;$B$134&amp;$AS$82&amp;"C"&amp;$A155))</f>
        <v>1415</v>
      </c>
      <c r="BB155" s="3">
        <f>-IF(RTD("tos.rtd",,BB$43,"."&amp;$B$134&amp;$AS$82&amp;"P"&amp;$A155)="N/A",0,RTD("tos.rtd",,BB$43,"."&amp;$B$134&amp;$AS$82&amp;"P"&amp;$A155))</f>
        <v>-11</v>
      </c>
      <c r="BC155" s="54">
        <f>IF(RTD("tos.rtd",,BC$2,"."&amp;$C$134&amp;$AU$82&amp;"C"&amp;$A155)="N/A",0,RTD("tos.rtd",,BC$2,"."&amp;$C$134&amp;$AU$82&amp;"C"&amp;$A155))</f>
        <v>37</v>
      </c>
      <c r="BD155" s="3">
        <f>-IF(RTD("tos.rtd",,BD$2,"."&amp;$C$134&amp;$AU$82&amp;"P"&amp;$A155)="N/A",0,RTD("tos.rtd",,BD$2,"."&amp;$C$134&amp;$AU$82&amp;"P"&amp;$A155))</f>
        <v>-30</v>
      </c>
      <c r="BE155" s="54">
        <f>IF(RTD("tos.rtd",,BE$2,"."&amp;$D$134&amp;$AW$82&amp;"C"&amp;$A155)="N/A",0,RTD("tos.rtd",,BE$2,"."&amp;$D$134&amp;$AW$82&amp;"C"&amp;$A155))</f>
        <v>4</v>
      </c>
      <c r="BF155" s="3">
        <f>-IF(RTD("tos.rtd",,BF$2,"."&amp;$D$134&amp;$AW$82&amp;"P"&amp;$A155)="N/A",0,RTD("tos.rtd",,BF$2,"."&amp;$D$134&amp;$AW$82&amp;"P"&amp;$A155))</f>
        <v>-6</v>
      </c>
      <c r="BG155" s="3">
        <f ca="1">+Hoja2!Y156</f>
        <v>16</v>
      </c>
      <c r="BH155" s="7">
        <f t="shared" ca="1" si="549"/>
        <v>1425</v>
      </c>
      <c r="BI155" s="32" t="str">
        <f t="shared" ca="1" si="609"/>
        <v/>
      </c>
      <c r="BJ155" s="3">
        <f ca="1">IF($BP$1=1,DX155,IF(RTD("tos.rtd",,BJ$43,"."&amp;$B$134&amp;$AS$82&amp;"C"&amp;$A155)="N/A",0,RTD("tos.rtd",,BJ$43,"."&amp;$B$134&amp;$AS$82&amp;"C"&amp;$A155)))</f>
        <v>3.6578153962777767E-3</v>
      </c>
      <c r="BK155" s="3">
        <f ca="1">IF($BP$1=1,DY155,-IF(RTD("tos.rtd",,BK$43,"."&amp;$B$134&amp;$AS$82&amp;"P"&amp;$A155)="N/A",0,RTD("tos.rtd",,BK$43,"."&amp;$B$134&amp;$AS$82&amp;"P"&amp;$A155)))</f>
        <v>-4.266577045178529E-3</v>
      </c>
      <c r="BL155" s="3">
        <f ca="1">IF($BP$1=1,DZ155,IF(RTD("tos.rtd",,BL$2,"."&amp;$C$134&amp;$AU$82&amp;"C"&amp;$A155)="N/A",0,RTD("tos.rtd",,BL$2,"."&amp;$C$134&amp;$AU$82&amp;"C"&amp;$A155)))</f>
        <v>7.4277232941401749E-4</v>
      </c>
      <c r="BM155" s="3">
        <f ca="1">IF($BP$1=1,EA155,-IF(RTD("tos.rtd",,BM$2,"."&amp;$C$134&amp;$AU$82&amp;"P"&amp;$A155)="N/A",0,RTD("tos.rtd",,BM$2,"."&amp;$C$134&amp;$AU$82&amp;"P"&amp;$A155)))</f>
        <v>-6.7684510608795301E-4</v>
      </c>
      <c r="BN155" s="3">
        <f ca="1">IF($BP$1=1,EB155,IF(RTD("tos.rtd",,BN$2,"."&amp;$D$134&amp;$AW$82&amp;"C"&amp;$A155)="N/A",0,RTD("tos.rtd",,BN$2,"."&amp;$D$134&amp;$AW$82&amp;"C"&amp;$A155)))</f>
        <v>8.1897291341801316E-4</v>
      </c>
      <c r="BO155" s="3">
        <f ca="1">IF($BP$1=1,EC155,-IF(RTD("tos.rtd",,BO$2,"."&amp;$D$134&amp;$AW$82&amp;"P"&amp;$A155)="N/A",0,RTD("tos.rtd",,BO$2,"."&amp;$D$134&amp;$AW$82&amp;"P"&amp;$A155)))</f>
        <v>-7.7765862062047957E-4</v>
      </c>
      <c r="BQ155" s="3">
        <f t="shared" ca="1" si="625"/>
        <v>3245495.9089293238</v>
      </c>
      <c r="BR155" s="3" t="str">
        <f t="shared" ca="1" si="550"/>
        <v/>
      </c>
      <c r="BS155" s="3">
        <f t="shared" ca="1" si="626"/>
        <v>896026.22332430212</v>
      </c>
      <c r="BT155" s="3" t="str">
        <f t="shared" ca="1" si="551"/>
        <v/>
      </c>
      <c r="BU155" s="3">
        <f t="shared" ca="1" si="627"/>
        <v>-2107726.1837075376</v>
      </c>
      <c r="BV155" s="3" t="str">
        <f t="shared" ca="1" si="551"/>
        <v>Cruce -</v>
      </c>
      <c r="BX155" s="3">
        <f t="shared" ca="1" si="585"/>
        <v>1321807.2429782506</v>
      </c>
      <c r="BY155" s="3" t="str">
        <f t="shared" ca="1" si="586"/>
        <v/>
      </c>
      <c r="BZ155" s="3">
        <f t="shared" ca="1" si="587"/>
        <v>1849.7044075097156</v>
      </c>
      <c r="CA155" s="3" t="str">
        <f t="shared" ca="1" si="586"/>
        <v/>
      </c>
      <c r="CB155" s="3">
        <f t="shared" ca="1" si="588"/>
        <v>-358.24444025794196</v>
      </c>
      <c r="CC155" s="3" t="str">
        <f t="shared" ca="1" si="586"/>
        <v>Cruce -</v>
      </c>
      <c r="CD155" s="3">
        <f>IF(RTD("tos.rtd",,CD$43,"."&amp;$B$134&amp;$AS$82&amp;"C"&amp;$A155)="N/A",0,RTD("tos.rtd",,CD$43,"."&amp;$B$134&amp;$AS$82&amp;"C"&amp;$A155))</f>
        <v>0.09</v>
      </c>
      <c r="CE155" s="3">
        <f>-IF(RTD("tos.rtd",,CE$43,"."&amp;$B$134&amp;$AS$82&amp;"P"&amp;$A155)="N/A",0,RTD("tos.rtd",,CE$43,"."&amp;$B$134&amp;$AS$82&amp;"P"&amp;$A155))</f>
        <v>0.8</v>
      </c>
      <c r="CF155" s="3">
        <f>IF(RTD("tos.rtd",,CF$2,"."&amp;$C$134&amp;$AU$82&amp;"C"&amp;$A155)="N/A",0,RTD("tos.rtd",,CF$2,"."&amp;$C$134&amp;$AU$82&amp;"C"&amp;$A155))</f>
        <v>0.48</v>
      </c>
      <c r="CG155" s="3">
        <f>-IF(RTD("tos.rtd",,CG$2,"."&amp;$C$134&amp;$AU$82&amp;"P"&amp;$A155)="N/A",0,RTD("tos.rtd",,CG$2,"."&amp;$C$134&amp;$AU$82&amp;"P"&amp;$A155))</f>
        <v>0.51</v>
      </c>
      <c r="CH155" s="3">
        <f>IF(RTD("tos.rtd",,CH$2,"."&amp;$D$134&amp;$AW$82&amp;"C"&amp;$A155)="N/A",0,RTD("tos.rtd",,CH$2,"."&amp;$D$134&amp;$AW$82&amp;"C"&amp;$A155))</f>
        <v>0.53</v>
      </c>
      <c r="CI155" s="3">
        <f>-IF(RTD("tos.rtd",,CI$2,"."&amp;$D$134&amp;$AW$82&amp;"P"&amp;$A155)="N/A",0,RTD("tos.rtd",,CI$2,"."&amp;$D$134&amp;$AW$82&amp;"P"&amp;$A155))</f>
        <v>0.47</v>
      </c>
      <c r="CK155" s="3">
        <f t="shared" si="620"/>
        <v>234</v>
      </c>
      <c r="CL155" s="3"/>
      <c r="CM155" s="3">
        <f t="shared" si="621"/>
        <v>1341</v>
      </c>
      <c r="CN155" s="3"/>
      <c r="CO155" s="3">
        <f t="shared" si="622"/>
        <v>-3364.9999999999991</v>
      </c>
      <c r="CP155" s="3">
        <f t="shared" si="542"/>
        <v>-1789.9999999999991</v>
      </c>
      <c r="CQ155" s="3">
        <f t="shared" si="552"/>
        <v>1404</v>
      </c>
      <c r="CR155" s="3"/>
      <c r="CS155" s="3">
        <f t="shared" si="553"/>
        <v>7</v>
      </c>
      <c r="CT155" s="3"/>
      <c r="CU155" s="3">
        <f t="shared" si="554"/>
        <v>-2</v>
      </c>
      <c r="CV155" s="3"/>
      <c r="CW155" s="3">
        <f t="shared" ca="1" si="555"/>
        <v>2033795.9485460883</v>
      </c>
      <c r="CY155" s="3">
        <f t="shared" ca="1" si="556"/>
        <v>1323298.7029455022</v>
      </c>
      <c r="CZ155" s="70" t="str">
        <f t="shared" ca="1" si="589"/>
        <v/>
      </c>
      <c r="DA155" s="3">
        <f>IF(RTD("tos.rtd",,DA$43,"."&amp;$B$134&amp;$AS$82&amp;"C"&amp;$A155)="N/A",0,RTD("tos.rtd",,DA$43,"."&amp;$B$134&amp;$AS$82&amp;"C"&amp;$A155))</f>
        <v>0.05</v>
      </c>
      <c r="DB155" s="3">
        <f>IF(RTD("tos.rtd",,DB$43,"."&amp;$B$134&amp;$AS$82&amp;"P"&amp;$A155)="N/A",0,RTD("tos.rtd",,DB$43,"."&amp;$B$134&amp;$AS$82&amp;"P"&amp;$A155))</f>
        <v>100.6</v>
      </c>
      <c r="DC155" s="3">
        <f>IF(RTD("tos.rtd",,DC$43,"."&amp;$B$134&amp;$AS$82&amp;"C"&amp;$A155)="N/A",0,RTD("tos.rtd",,DC$43,"."&amp;$B$134&amp;$AS$82&amp;"C"&amp;$A155))</f>
        <v>2</v>
      </c>
      <c r="DD155" s="3">
        <f>IF(RTD("tos.rtd",,DD$43,"."&amp;$B$134&amp;$AS$82&amp;"P"&amp;$A155)="N/A",0,RTD("tos.rtd",,DD$43,"."&amp;$B$134&amp;$AS$82&amp;"P"&amp;$A155))</f>
        <v>44.2</v>
      </c>
      <c r="DE155" s="3">
        <f>IF(RTD("tos.rtd",,DE$43,"."&amp;$B$134&amp;$AS$82&amp;"C"&amp;$A155)="N/A",0,RTD("tos.rtd",,DE$43,"."&amp;$B$134&amp;$AS$82&amp;"C"&amp;$A155))</f>
        <v>0</v>
      </c>
      <c r="DF155" s="3">
        <f>IF(RTD("tos.rtd",,DF$43,"."&amp;$B$134&amp;$AS$82&amp;"P"&amp;$A155)="N/A",0,RTD("tos.rtd",,DF$43,"."&amp;$B$134&amp;$AS$82&amp;"P"&amp;$A155))</f>
        <v>28.2</v>
      </c>
      <c r="DG155" s="86">
        <f t="shared" si="590"/>
        <v>56.25</v>
      </c>
      <c r="DH155" s="3">
        <f t="shared" si="557"/>
        <v>0</v>
      </c>
      <c r="DI155" s="3">
        <f t="shared" si="558"/>
        <v>0</v>
      </c>
      <c r="DJ155" s="3">
        <f t="shared" si="559"/>
        <v>0</v>
      </c>
      <c r="DK155" s="3">
        <f t="shared" si="560"/>
        <v>0</v>
      </c>
      <c r="DL155" s="3">
        <f t="shared" si="561"/>
        <v>0</v>
      </c>
      <c r="DM155" s="3">
        <f t="shared" si="562"/>
        <v>0</v>
      </c>
      <c r="DN155" s="64" t="str">
        <f t="shared" si="563"/>
        <v>UNKNOWN</v>
      </c>
      <c r="DO155" s="64" t="str">
        <f t="shared" si="564"/>
        <v>UNKNOWN</v>
      </c>
      <c r="DP155" s="3">
        <f t="shared" si="565"/>
        <v>0</v>
      </c>
      <c r="DQ155" s="3">
        <f t="shared" si="566"/>
        <v>0</v>
      </c>
      <c r="DR155" s="3">
        <f t="shared" ca="1" si="567"/>
        <v>0</v>
      </c>
      <c r="DS155" s="3">
        <f t="shared" si="568"/>
        <v>0</v>
      </c>
      <c r="DT155" s="3">
        <f t="shared" si="591"/>
        <v>0</v>
      </c>
      <c r="DU155" s="3">
        <f t="shared" si="592"/>
        <v>0</v>
      </c>
      <c r="DV155" s="3">
        <f t="shared" si="569"/>
        <v>-112</v>
      </c>
      <c r="DW155" s="3">
        <f t="shared" si="570"/>
        <v>1</v>
      </c>
      <c r="DX155" s="3">
        <f t="shared" ca="1" si="571"/>
        <v>3.6578153962777767E-3</v>
      </c>
      <c r="DY155" s="3">
        <f t="shared" ca="1" si="572"/>
        <v>-4.266577045178529E-3</v>
      </c>
      <c r="DZ155" s="3">
        <f t="shared" ca="1" si="573"/>
        <v>7.4277232941401749E-4</v>
      </c>
      <c r="EA155" s="3">
        <f t="shared" ca="1" si="574"/>
        <v>-6.7684510608795301E-4</v>
      </c>
      <c r="EB155" s="3">
        <f t="shared" ca="1" si="575"/>
        <v>8.1897291341801316E-4</v>
      </c>
      <c r="EC155" s="3">
        <f t="shared" ca="1" si="576"/>
        <v>-7.7765862062047957E-4</v>
      </c>
      <c r="ED155" s="63">
        <f t="shared" si="593"/>
        <v>-111</v>
      </c>
      <c r="EE155" s="59">
        <f t="shared" si="577"/>
        <v>0.15079999999999999</v>
      </c>
      <c r="EF155" s="59">
        <f t="shared" si="578"/>
        <v>0.2437</v>
      </c>
      <c r="EG155" s="59">
        <f t="shared" si="579"/>
        <v>0.2082</v>
      </c>
      <c r="EH155" s="59">
        <f t="shared" si="580"/>
        <v>0.2286</v>
      </c>
      <c r="EI155" s="59">
        <f t="shared" si="581"/>
        <v>0.18870000000000001</v>
      </c>
      <c r="EJ155" s="59">
        <f t="shared" si="582"/>
        <v>0.1988</v>
      </c>
      <c r="EK155" s="63">
        <f t="shared" ca="1" si="594"/>
        <v>-179841990.80520535</v>
      </c>
      <c r="EL155" s="3" t="str">
        <f>RTD("tos.rtd",,EL$43,"."&amp;$B$134&amp;$AS$82&amp;"C"&amp;$A155)</f>
        <v>15.08%</v>
      </c>
      <c r="EM155" s="3" t="str">
        <f>RTD("tos.rtd",,EM$43,"."&amp;$B$134&amp;$AS$82&amp;"P"&amp;$A155)</f>
        <v>24.37%</v>
      </c>
      <c r="EN155" s="3" t="str">
        <f>RTD("tos.rtd",,EN$2,"."&amp;$C$134&amp;$AU$82&amp;"C"&amp;$A155)</f>
        <v>20.82%</v>
      </c>
      <c r="EO155" s="3" t="str">
        <f>RTD("tos.rtd",,EO$2,"."&amp;$C$134&amp;$AU$82&amp;"P"&amp;$A155)</f>
        <v>22.86%</v>
      </c>
      <c r="EP155" s="3" t="str">
        <f>RTD("tos.rtd",,EP$2,"."&amp;$D$134&amp;$AW$82&amp;"C"&amp;$A155)</f>
        <v>18.87%</v>
      </c>
      <c r="EQ155" s="3" t="str">
        <f>RTD("tos.rtd",,EQ$2,"."&amp;$D$134&amp;$AW$82&amp;"P"&amp;$A155)</f>
        <v>19.88%</v>
      </c>
      <c r="ES155" s="63" t="str">
        <f t="shared" si="583"/>
        <v>20900,-111.00</v>
      </c>
      <c r="ET155" s="63" t="str">
        <f t="shared" ca="1" si="584"/>
        <v>20900,1323.30</v>
      </c>
      <c r="EU155" s="68">
        <v>571.84</v>
      </c>
      <c r="EV155" s="68" t="s">
        <v>1259</v>
      </c>
      <c r="EW155" s="68">
        <v>497.17</v>
      </c>
      <c r="EX155" s="68" t="s">
        <v>1260</v>
      </c>
      <c r="EY155" s="68">
        <v>5729.5</v>
      </c>
      <c r="EZ155" s="68" t="s">
        <v>1261</v>
      </c>
      <c r="FA155" s="68">
        <v>20412.75</v>
      </c>
      <c r="FB155" s="68" t="s">
        <v>1262</v>
      </c>
      <c r="FC155" s="68" t="s">
        <v>1263</v>
      </c>
      <c r="FD155" s="68" t="s">
        <v>1264</v>
      </c>
      <c r="FE155" s="68" t="s">
        <v>1265</v>
      </c>
      <c r="FF155" s="68" t="s">
        <v>1266</v>
      </c>
    </row>
    <row r="156" spans="1:162" ht="11.1" customHeight="1" thickBot="1" x14ac:dyDescent="0.25">
      <c r="A156" s="2">
        <f t="shared" si="595"/>
        <v>20875</v>
      </c>
      <c r="B156" s="3">
        <f t="shared" si="628"/>
        <v>2</v>
      </c>
      <c r="C156" s="3">
        <f t="shared" si="629"/>
        <v>17</v>
      </c>
      <c r="D156" s="3">
        <f t="shared" si="630"/>
        <v>15</v>
      </c>
      <c r="E156" s="3">
        <f t="shared" si="613"/>
        <v>34</v>
      </c>
      <c r="F156" s="4">
        <f t="shared" si="623"/>
        <v>20975.14992503748</v>
      </c>
      <c r="G156" s="5">
        <f t="shared" si="615"/>
        <v>508.42110944527741</v>
      </c>
      <c r="AM156" s="1">
        <v>-83</v>
      </c>
      <c r="AN156" s="1">
        <v>-2</v>
      </c>
      <c r="AO156" s="1">
        <v>20875</v>
      </c>
      <c r="AP156" s="1">
        <v>348</v>
      </c>
      <c r="AQ156" s="1">
        <v>-9</v>
      </c>
      <c r="AS156" s="54">
        <f>IF(RTD("tos.rtd",,AS$83,"."&amp;$B$134&amp;$AS$82&amp;"C"&amp;$A156)="N/A",0,RTD("tos.rtd",,AS$83,"."&amp;$B$134&amp;$AS$82&amp;"C"&amp;$A156))</f>
        <v>2</v>
      </c>
      <c r="AT156" s="3">
        <f>-IF(RTD("tos.rtd",,AT$83,"."&amp;$B$134&amp;$AS$82&amp;"P"&amp;$A156)="N/A",0,RTD("tos.rtd",,AT$83,"."&amp;$B$134&amp;$AS$82&amp;"P"&amp;$A156))</f>
        <v>0</v>
      </c>
      <c r="AU156" s="54">
        <f>IF(RTD("tos.rtd",,AU$2,"."&amp;$C$134&amp;$AU$134&amp;"C"&amp;$A156)="N/A",0,RTD("tos.rtd",,AU$2,"."&amp;$C$134&amp;$AU$134&amp;"C"&amp;$A156))</f>
        <v>17</v>
      </c>
      <c r="AV156" s="3">
        <f>-IF(RTD("tos.rtd",,AV$2,"."&amp;$C$134&amp;$AU$134&amp;"P"&amp;$A156)="N/A",0,RTD("tos.rtd",,AV$2,"."&amp;$C$134&amp;$AU$134&amp;"P"&amp;$A156))</f>
        <v>0</v>
      </c>
      <c r="AW156" s="54">
        <f>IF(RTD("tos.rtd",,AW$2,"."&amp;$D$134&amp;$AW$134&amp;"C"&amp;$A156)="N/A",0,RTD("tos.rtd",,AW$2,"."&amp;$D$134&amp;$AW$134&amp;"C"&amp;$A156))</f>
        <v>14</v>
      </c>
      <c r="AX156" s="3">
        <f>-IF(RTD("tos.rtd",,AX$2,"."&amp;$D$134&amp;$AW$134&amp;"P"&amp;$A156)="N/A",0,RTD("tos.rtd",,AX$2,"."&amp;$D$134&amp;$AW$134&amp;"P"&amp;$A156))</f>
        <v>-1</v>
      </c>
      <c r="AY156" s="76">
        <f t="shared" si="624"/>
        <v>32</v>
      </c>
      <c r="AZ156" s="8">
        <f t="shared" si="548"/>
        <v>20875</v>
      </c>
      <c r="BA156" s="54">
        <f>IF(RTD("tos.rtd",,BA$43,"."&amp;$B$134&amp;$AS$82&amp;"C"&amp;$A156)="N/A",0,RTD("tos.rtd",,BA$43,"."&amp;$B$134&amp;$AS$82&amp;"C"&amp;$A156))</f>
        <v>348</v>
      </c>
      <c r="BB156" s="3">
        <f>-IF(RTD("tos.rtd",,BB$43,"."&amp;$B$134&amp;$AS$82&amp;"P"&amp;$A156)="N/A",0,RTD("tos.rtd",,BB$43,"."&amp;$B$134&amp;$AS$82&amp;"P"&amp;$A156))</f>
        <v>-9</v>
      </c>
      <c r="BC156" s="54">
        <f>IF(RTD("tos.rtd",,BC$2,"."&amp;$C$134&amp;$AU$82&amp;"C"&amp;$A156)="N/A",0,RTD("tos.rtd",,BC$2,"."&amp;$C$134&amp;$AU$82&amp;"C"&amp;$A156))</f>
        <v>32</v>
      </c>
      <c r="BD156" s="3">
        <f>-IF(RTD("tos.rtd",,BD$2,"."&amp;$C$134&amp;$AU$82&amp;"P"&amp;$A156)="N/A",0,RTD("tos.rtd",,BD$2,"."&amp;$C$134&amp;$AU$82&amp;"P"&amp;$A156))</f>
        <v>-6</v>
      </c>
      <c r="BE156" s="54">
        <f>IF(RTD("tos.rtd",,BE$2,"."&amp;$D$134&amp;$AW$82&amp;"C"&amp;$A156)="N/A",0,RTD("tos.rtd",,BE$2,"."&amp;$D$134&amp;$AW$82&amp;"C"&amp;$A156))</f>
        <v>3</v>
      </c>
      <c r="BF156" s="3">
        <f>-IF(RTD("tos.rtd",,BF$2,"."&amp;$D$134&amp;$AW$82&amp;"P"&amp;$A156)="N/A",0,RTD("tos.rtd",,BF$2,"."&amp;$D$134&amp;$AW$82&amp;"P"&amp;$A156))</f>
        <v>-4</v>
      </c>
      <c r="BG156" s="3">
        <f ca="1">+Hoja2!Y157</f>
        <v>-3</v>
      </c>
      <c r="BH156" s="7">
        <f t="shared" ca="1" si="549"/>
        <v>361</v>
      </c>
      <c r="BI156" s="32" t="str">
        <f t="shared" ca="1" si="609"/>
        <v/>
      </c>
      <c r="BJ156" s="3">
        <f ca="1">IF($BP$1=1,DX156,IF(RTD("tos.rtd",,BJ$43,"."&amp;$B$134&amp;$AS$82&amp;"C"&amp;$A156)="N/A",0,RTD("tos.rtd",,BJ$43,"."&amp;$B$134&amp;$AS$82&amp;"C"&amp;$A156)))</f>
        <v>5.7651264095001627E-3</v>
      </c>
      <c r="BK156" s="3">
        <f ca="1">IF($BP$1=1,DY156,-IF(RTD("tos.rtd",,BK$43,"."&amp;$B$134&amp;$AS$82&amp;"P"&amp;$A156)="N/A",0,RTD("tos.rtd",,BK$43,"."&amp;$B$134&amp;$AS$82&amp;"P"&amp;$A156)))</f>
        <v>-7.3402454792521462E-3</v>
      </c>
      <c r="BL156" s="3">
        <f ca="1">IF($BP$1=1,DZ156,IF(RTD("tos.rtd",,BL$2,"."&amp;$C$134&amp;$AU$82&amp;"C"&amp;$A156)="N/A",0,RTD("tos.rtd",,BL$2,"."&amp;$C$134&amp;$AU$82&amp;"C"&amp;$A156)))</f>
        <v>7.4321785354674414E-4</v>
      </c>
      <c r="BM156" s="3">
        <f ca="1">IF($BP$1=1,EA156,-IF(RTD("tos.rtd",,BM$2,"."&amp;$C$134&amp;$AU$82&amp;"P"&amp;$A156)="N/A",0,RTD("tos.rtd",,BM$2,"."&amp;$C$134&amp;$AU$82&amp;"P"&amp;$A156)))</f>
        <v>-6.7703332919767537E-4</v>
      </c>
      <c r="BN156" s="3">
        <f ca="1">IF($BP$1=1,EB156,IF(RTD("tos.rtd",,BN$2,"."&amp;$D$134&amp;$AW$82&amp;"C"&amp;$A156)="N/A",0,RTD("tos.rtd",,BN$2,"."&amp;$D$134&amp;$AW$82&amp;"C"&amp;$A156)))</f>
        <v>8.1894690996226545E-4</v>
      </c>
      <c r="BO156" s="3">
        <f ca="1">IF($BP$1=1,EC156,-IF(RTD("tos.rtd",,BO$2,"."&amp;$D$134&amp;$AW$82&amp;"P"&amp;$A156)="N/A",0,RTD("tos.rtd",,BO$2,"."&amp;$D$134&amp;$AW$82&amp;"P"&amp;$A156)))</f>
        <v>-7.7749076795492831E-4</v>
      </c>
      <c r="BQ156" s="3">
        <f t="shared" ca="1" si="625"/>
        <v>393481.9042227171</v>
      </c>
      <c r="BR156" s="3" t="str">
        <f t="shared" ca="1" si="550"/>
        <v/>
      </c>
      <c r="BS156" s="3">
        <f t="shared" ca="1" si="626"/>
        <v>431172.43607423513</v>
      </c>
      <c r="BT156" s="3" t="str">
        <f t="shared" ca="1" si="551"/>
        <v/>
      </c>
      <c r="BU156" s="3">
        <f t="shared" ca="1" si="627"/>
        <v>364731.16178590403</v>
      </c>
      <c r="BV156" s="3" t="str">
        <f t="shared" ca="1" si="551"/>
        <v>Cruce +</v>
      </c>
      <c r="BX156" s="3">
        <f t="shared" ca="1" si="585"/>
        <v>500026.23344576621</v>
      </c>
      <c r="BY156" s="3" t="str">
        <f t="shared" ca="1" si="586"/>
        <v/>
      </c>
      <c r="BZ156" s="3">
        <f t="shared" ca="1" si="587"/>
        <v>5082.4110711196317</v>
      </c>
      <c r="CA156" s="3" t="str">
        <f t="shared" ca="1" si="586"/>
        <v/>
      </c>
      <c r="CB156" s="3">
        <f t="shared" ca="1" si="588"/>
        <v>-168.32182496772168</v>
      </c>
      <c r="CC156" s="3" t="str">
        <f t="shared" ca="1" si="586"/>
        <v/>
      </c>
      <c r="CD156" s="3">
        <f>IF(RTD("tos.rtd",,CD$43,"."&amp;$B$134&amp;$AS$82&amp;"C"&amp;$A156)="N/A",0,RTD("tos.rtd",,CD$43,"."&amp;$B$134&amp;$AS$82&amp;"C"&amp;$A156))</f>
        <v>0.28000000000000003</v>
      </c>
      <c r="CE156" s="3">
        <f>-IF(RTD("tos.rtd",,CE$43,"."&amp;$B$134&amp;$AS$82&amp;"P"&amp;$A156)="N/A",0,RTD("tos.rtd",,CE$43,"."&amp;$B$134&amp;$AS$82&amp;"P"&amp;$A156))</f>
        <v>0.61</v>
      </c>
      <c r="CF156" s="3">
        <f>IF(RTD("tos.rtd",,CF$2,"."&amp;$C$134&amp;$AU$82&amp;"C"&amp;$A156)="N/A",0,RTD("tos.rtd",,CF$2,"."&amp;$C$134&amp;$AU$82&amp;"C"&amp;$A156))</f>
        <v>0.51</v>
      </c>
      <c r="CG156" s="3">
        <f>-IF(RTD("tos.rtd",,CG$2,"."&amp;$C$134&amp;$AU$82&amp;"P"&amp;$A156)="N/A",0,RTD("tos.rtd",,CG$2,"."&amp;$C$134&amp;$AU$82&amp;"P"&amp;$A156))</f>
        <v>0.49</v>
      </c>
      <c r="CH156" s="3">
        <f>IF(RTD("tos.rtd",,CH$2,"."&amp;$D$134&amp;$AW$82&amp;"C"&amp;$A156)="N/A",0,RTD("tos.rtd",,CH$2,"."&amp;$D$134&amp;$AW$82&amp;"C"&amp;$A156))</f>
        <v>0.54</v>
      </c>
      <c r="CI156" s="3">
        <f>-IF(RTD("tos.rtd",,CI$2,"."&amp;$D$134&amp;$AW$82&amp;"P"&amp;$A156)="N/A",0,RTD("tos.rtd",,CI$2,"."&amp;$D$134&amp;$AW$82&amp;"P"&amp;$A156))</f>
        <v>0.46</v>
      </c>
      <c r="CK156" s="3">
        <f t="shared" si="620"/>
        <v>56.000000000000007</v>
      </c>
      <c r="CL156" s="3"/>
      <c r="CM156" s="3">
        <f t="shared" si="621"/>
        <v>867</v>
      </c>
      <c r="CN156" s="3"/>
      <c r="CO156" s="3">
        <f t="shared" si="622"/>
        <v>710</v>
      </c>
      <c r="CP156" s="3">
        <f t="shared" si="542"/>
        <v>1633</v>
      </c>
      <c r="CQ156" s="3">
        <f t="shared" si="552"/>
        <v>339</v>
      </c>
      <c r="CR156" s="3"/>
      <c r="CS156" s="3">
        <f t="shared" si="553"/>
        <v>26</v>
      </c>
      <c r="CT156" s="3"/>
      <c r="CU156" s="3">
        <f t="shared" si="554"/>
        <v>-1</v>
      </c>
      <c r="CV156" s="3"/>
      <c r="CW156" s="3">
        <f t="shared" ca="1" si="555"/>
        <v>1189385.5020828564</v>
      </c>
      <c r="CY156" s="3">
        <f t="shared" ca="1" si="556"/>
        <v>504940.32269191812</v>
      </c>
      <c r="CZ156" s="70" t="str">
        <f t="shared" ca="1" si="589"/>
        <v/>
      </c>
      <c r="DA156" s="3">
        <f>IF(RTD("tos.rtd",,DA$43,"."&amp;$B$134&amp;$AS$82&amp;"C"&amp;$A156)="N/A",0,RTD("tos.rtd",,DA$43,"."&amp;$B$134&amp;$AS$82&amp;"C"&amp;$A156))</f>
        <v>1.6</v>
      </c>
      <c r="DB156" s="3">
        <f>IF(RTD("tos.rtd",,DB$43,"."&amp;$B$134&amp;$AS$82&amp;"P"&amp;$A156)="N/A",0,RTD("tos.rtd",,DB$43,"."&amp;$B$134&amp;$AS$82&amp;"P"&amp;$A156))</f>
        <v>49.62</v>
      </c>
      <c r="DC156" s="3">
        <f>IF(RTD("tos.rtd",,DC$43,"."&amp;$B$134&amp;$AS$82&amp;"C"&amp;$A156)="N/A",0,RTD("tos.rtd",,DC$43,"."&amp;$B$134&amp;$AS$82&amp;"C"&amp;$A156))</f>
        <v>4.2</v>
      </c>
      <c r="DD156" s="3">
        <f>IF(RTD("tos.rtd",,DD$43,"."&amp;$B$134&amp;$AS$82&amp;"P"&amp;$A156)="N/A",0,RTD("tos.rtd",,DD$43,"."&amp;$B$134&amp;$AS$82&amp;"P"&amp;$A156))</f>
        <v>21.2</v>
      </c>
      <c r="DE156" s="3">
        <f>IF(RTD("tos.rtd",,DE$43,"."&amp;$B$134&amp;$AS$82&amp;"C"&amp;$A156)="N/A",0,RTD("tos.rtd",,DE$43,"."&amp;$B$134&amp;$AS$82&amp;"C"&amp;$A156))</f>
        <v>0</v>
      </c>
      <c r="DF156" s="3">
        <f>IF(RTD("tos.rtd",,DF$43,"."&amp;$B$134&amp;$AS$82&amp;"P"&amp;$A156)="N/A",0,RTD("tos.rtd",,DF$43,"."&amp;$B$134&amp;$AS$82&amp;"P"&amp;$A156))</f>
        <v>6</v>
      </c>
      <c r="DG156" s="86">
        <f t="shared" si="590"/>
        <v>31.25</v>
      </c>
      <c r="DH156" s="3">
        <f t="shared" si="557"/>
        <v>0</v>
      </c>
      <c r="DI156" s="3">
        <f t="shared" si="558"/>
        <v>0</v>
      </c>
      <c r="DJ156" s="3">
        <f t="shared" si="559"/>
        <v>0</v>
      </c>
      <c r="DK156" s="3">
        <f t="shared" si="560"/>
        <v>0</v>
      </c>
      <c r="DL156" s="3">
        <f t="shared" si="561"/>
        <v>0</v>
      </c>
      <c r="DM156" s="3">
        <f t="shared" si="562"/>
        <v>0</v>
      </c>
      <c r="DN156" s="64" t="str">
        <f t="shared" si="563"/>
        <v>UNKNOWN</v>
      </c>
      <c r="DO156" s="64" t="str">
        <f t="shared" si="564"/>
        <v>UNKNOWN</v>
      </c>
      <c r="DP156" s="3">
        <f t="shared" si="565"/>
        <v>0</v>
      </c>
      <c r="DQ156" s="3">
        <f t="shared" si="566"/>
        <v>0</v>
      </c>
      <c r="DR156" s="3">
        <f t="shared" ca="1" si="567"/>
        <v>0</v>
      </c>
      <c r="DS156" s="3">
        <f t="shared" si="568"/>
        <v>0</v>
      </c>
      <c r="DT156" s="3">
        <f t="shared" si="591"/>
        <v>0</v>
      </c>
      <c r="DU156" s="3">
        <f t="shared" si="592"/>
        <v>0</v>
      </c>
      <c r="DV156" s="3">
        <f t="shared" si="569"/>
        <v>-83</v>
      </c>
      <c r="DW156" s="3">
        <f t="shared" si="570"/>
        <v>-2</v>
      </c>
      <c r="DX156" s="3">
        <f t="shared" ca="1" si="571"/>
        <v>5.7651264095001627E-3</v>
      </c>
      <c r="DY156" s="3">
        <f t="shared" ca="1" si="572"/>
        <v>-7.3402454792521462E-3</v>
      </c>
      <c r="DZ156" s="3">
        <f t="shared" ca="1" si="573"/>
        <v>7.4321785354674414E-4</v>
      </c>
      <c r="EA156" s="3">
        <f t="shared" ca="1" si="574"/>
        <v>-6.7703332919767537E-4</v>
      </c>
      <c r="EB156" s="3">
        <f t="shared" ca="1" si="575"/>
        <v>8.1894690996226545E-4</v>
      </c>
      <c r="EC156" s="3">
        <f t="shared" ca="1" si="576"/>
        <v>-7.7749076795492831E-4</v>
      </c>
      <c r="ED156" s="63">
        <f t="shared" si="593"/>
        <v>-85</v>
      </c>
      <c r="EE156" s="59">
        <f t="shared" si="577"/>
        <v>7.5399999999999995E-2</v>
      </c>
      <c r="EF156" s="59">
        <f t="shared" si="578"/>
        <v>0.15629999999999999</v>
      </c>
      <c r="EG156" s="59">
        <f t="shared" si="579"/>
        <v>0.20849999999999999</v>
      </c>
      <c r="EH156" s="59">
        <f t="shared" si="580"/>
        <v>0.22889999999999999</v>
      </c>
      <c r="EI156" s="59">
        <f t="shared" si="581"/>
        <v>0.18920000000000001</v>
      </c>
      <c r="EJ156" s="59">
        <f t="shared" si="582"/>
        <v>0.1993</v>
      </c>
      <c r="EK156" s="63">
        <f t="shared" ca="1" si="594"/>
        <v>-201514297.73753881</v>
      </c>
      <c r="EL156" s="3" t="str">
        <f>RTD("tos.rtd",,EL$43,"."&amp;$B$134&amp;$AS$82&amp;"C"&amp;$A156)</f>
        <v>7.54%</v>
      </c>
      <c r="EM156" s="3" t="str">
        <f>RTD("tos.rtd",,EM$43,"."&amp;$B$134&amp;$AS$82&amp;"P"&amp;$A156)</f>
        <v>15.63%</v>
      </c>
      <c r="EN156" s="3" t="str">
        <f>RTD("tos.rtd",,EN$2,"."&amp;$C$134&amp;$AU$82&amp;"C"&amp;$A156)</f>
        <v>20.85%</v>
      </c>
      <c r="EO156" s="3" t="str">
        <f>RTD("tos.rtd",,EO$2,"."&amp;$C$134&amp;$AU$82&amp;"P"&amp;$A156)</f>
        <v>22.89%</v>
      </c>
      <c r="EP156" s="3" t="str">
        <f>RTD("tos.rtd",,EP$2,"."&amp;$D$134&amp;$AW$82&amp;"C"&amp;$A156)</f>
        <v>18.92%</v>
      </c>
      <c r="EQ156" s="3" t="str">
        <f>RTD("tos.rtd",,EQ$2,"."&amp;$D$134&amp;$AW$82&amp;"P"&amp;$A156)</f>
        <v>19.93%</v>
      </c>
      <c r="ES156" s="63" t="str">
        <f t="shared" si="583"/>
        <v>20875,-85.00</v>
      </c>
      <c r="ET156" s="63" t="str">
        <f t="shared" ca="1" si="584"/>
        <v>20875,504.94</v>
      </c>
      <c r="EU156" s="68">
        <v>571.84</v>
      </c>
      <c r="EV156" s="68" t="s">
        <v>1267</v>
      </c>
      <c r="EW156" s="68">
        <v>497.17</v>
      </c>
      <c r="EX156" s="68" t="s">
        <v>1268</v>
      </c>
      <c r="EY156" s="68">
        <v>5729.25</v>
      </c>
      <c r="EZ156" s="68" t="s">
        <v>1269</v>
      </c>
      <c r="FA156" s="68">
        <v>20413</v>
      </c>
      <c r="FB156" s="68" t="s">
        <v>1270</v>
      </c>
      <c r="FC156" s="68" t="s">
        <v>1271</v>
      </c>
      <c r="FD156" s="68" t="s">
        <v>1272</v>
      </c>
      <c r="FE156" s="68" t="s">
        <v>1273</v>
      </c>
      <c r="FF156" s="68" t="s">
        <v>1274</v>
      </c>
    </row>
    <row r="157" spans="1:162" ht="11.1" customHeight="1" thickBot="1" x14ac:dyDescent="0.25">
      <c r="A157" s="2">
        <f t="shared" si="595"/>
        <v>20850</v>
      </c>
      <c r="B157" s="3">
        <f t="shared" si="628"/>
        <v>10</v>
      </c>
      <c r="C157" s="3">
        <f t="shared" si="629"/>
        <v>11</v>
      </c>
      <c r="D157" s="3">
        <f t="shared" si="630"/>
        <v>16</v>
      </c>
      <c r="E157" s="3">
        <f t="shared" si="613"/>
        <v>37</v>
      </c>
      <c r="F157" s="4">
        <f t="shared" si="623"/>
        <v>20950.029985007495</v>
      </c>
      <c r="G157" s="5">
        <f t="shared" si="615"/>
        <v>507.81222188905548</v>
      </c>
      <c r="AM157" s="1">
        <v>-12</v>
      </c>
      <c r="AN157" s="1">
        <v>11</v>
      </c>
      <c r="AO157" s="1">
        <v>20850</v>
      </c>
      <c r="AP157" s="1">
        <v>1151</v>
      </c>
      <c r="AQ157" s="1">
        <v>-87</v>
      </c>
      <c r="AS157" s="54">
        <f>IF(RTD("tos.rtd",,AS$83,"."&amp;$B$134&amp;$AS$82&amp;"C"&amp;$A157)="N/A",0,RTD("tos.rtd",,AS$83,"."&amp;$B$134&amp;$AS$82&amp;"C"&amp;$A157))</f>
        <v>10</v>
      </c>
      <c r="AT157" s="3">
        <f>-IF(RTD("tos.rtd",,AT$83,"."&amp;$B$134&amp;$AS$82&amp;"P"&amp;$A157)="N/A",0,RTD("tos.rtd",,AT$83,"."&amp;$B$134&amp;$AS$82&amp;"P"&amp;$A157))</f>
        <v>0</v>
      </c>
      <c r="AU157" s="54">
        <f>IF(RTD("tos.rtd",,AU$2,"."&amp;$C$134&amp;$AU$134&amp;"C"&amp;$A157)="N/A",0,RTD("tos.rtd",,AU$2,"."&amp;$C$134&amp;$AU$134&amp;"C"&amp;$A157))</f>
        <v>10</v>
      </c>
      <c r="AV157" s="3">
        <f>-IF(RTD("tos.rtd",,AV$2,"."&amp;$C$134&amp;$AU$134&amp;"P"&amp;$A157)="N/A",0,RTD("tos.rtd",,AV$2,"."&amp;$C$134&amp;$AU$134&amp;"P"&amp;$A157))</f>
        <v>-1</v>
      </c>
      <c r="AW157" s="54">
        <f>IF(RTD("tos.rtd",,AW$2,"."&amp;$D$134&amp;$AW$134&amp;"C"&amp;$A157)="N/A",0,RTD("tos.rtd",,AW$2,"."&amp;$D$134&amp;$AW$134&amp;"C"&amp;$A157))</f>
        <v>14</v>
      </c>
      <c r="AX157" s="3">
        <f>-IF(RTD("tos.rtd",,AX$2,"."&amp;$D$134&amp;$AW$134&amp;"P"&amp;$A157)="N/A",0,RTD("tos.rtd",,AX$2,"."&amp;$D$134&amp;$AW$134&amp;"P"&amp;$A157))</f>
        <v>-2</v>
      </c>
      <c r="AY157" s="76">
        <f t="shared" si="624"/>
        <v>31</v>
      </c>
      <c r="AZ157" s="8">
        <f t="shared" si="548"/>
        <v>20850</v>
      </c>
      <c r="BA157" s="54">
        <f>IF(RTD("tos.rtd",,BA$43,"."&amp;$B$134&amp;$AS$82&amp;"C"&amp;$A157)="N/A",0,RTD("tos.rtd",,BA$43,"."&amp;$B$134&amp;$AS$82&amp;"C"&amp;$A157))</f>
        <v>1151</v>
      </c>
      <c r="BB157" s="3">
        <f>-IF(RTD("tos.rtd",,BB$43,"."&amp;$B$134&amp;$AS$82&amp;"P"&amp;$A157)="N/A",0,RTD("tos.rtd",,BB$43,"."&amp;$B$134&amp;$AS$82&amp;"P"&amp;$A157))</f>
        <v>-87</v>
      </c>
      <c r="BC157" s="54">
        <f>IF(RTD("tos.rtd",,BC$2,"."&amp;$C$134&amp;$AU$82&amp;"C"&amp;$A157)="N/A",0,RTD("tos.rtd",,BC$2,"."&amp;$C$134&amp;$AU$82&amp;"C"&amp;$A157))</f>
        <v>20</v>
      </c>
      <c r="BD157" s="3">
        <f>-IF(RTD("tos.rtd",,BD$2,"."&amp;$C$134&amp;$AU$82&amp;"P"&amp;$A157)="N/A",0,RTD("tos.rtd",,BD$2,"."&amp;$C$134&amp;$AU$82&amp;"P"&amp;$A157))</f>
        <v>-18</v>
      </c>
      <c r="BE157" s="54">
        <f>IF(RTD("tos.rtd",,BE$2,"."&amp;$D$134&amp;$AW$82&amp;"C"&amp;$A157)="N/A",0,RTD("tos.rtd",,BE$2,"."&amp;$D$134&amp;$AW$82&amp;"C"&amp;$A157))</f>
        <v>47</v>
      </c>
      <c r="BF157" s="3">
        <f>-IF(RTD("tos.rtd",,BF$2,"."&amp;$D$134&amp;$AW$82&amp;"P"&amp;$A157)="N/A",0,RTD("tos.rtd",,BF$2,"."&amp;$D$134&amp;$AW$82&amp;"P"&amp;$A157))</f>
        <v>-50</v>
      </c>
      <c r="BG157" s="3">
        <f ca="1">+Hoja2!Y158</f>
        <v>1</v>
      </c>
      <c r="BH157" s="7">
        <f t="shared" ca="1" si="549"/>
        <v>1064</v>
      </c>
      <c r="BI157" s="32" t="str">
        <f t="shared" ca="1" si="609"/>
        <v/>
      </c>
      <c r="BJ157" s="3">
        <f ca="1">IF($BP$1=1,DX157,IF(RTD("tos.rtd",,BJ$43,"."&amp;$B$134&amp;$AS$82&amp;"C"&amp;$A157)="N/A",0,RTD("tos.rtd",,BJ$43,"."&amp;$B$134&amp;$AS$82&amp;"C"&amp;$A157)))</f>
        <v>6.1287724406783109E-3</v>
      </c>
      <c r="BK157" s="3">
        <f ca="1">IF($BP$1=1,DY157,-IF(RTD("tos.rtd",,BK$43,"."&amp;$B$134&amp;$AS$82&amp;"P"&amp;$A157)="N/A",0,RTD("tos.rtd",,BK$43,"."&amp;$B$134&amp;$AS$82&amp;"P"&amp;$A157)))</f>
        <v>-1.7328525784793321E-2</v>
      </c>
      <c r="BL157" s="3">
        <f ca="1">IF($BP$1=1,DZ157,IF(RTD("tos.rtd",,BL$2,"."&amp;$C$134&amp;$AU$82&amp;"C"&amp;$A157)="N/A",0,RTD("tos.rtd",,BL$2,"."&amp;$C$134&amp;$AU$82&amp;"C"&amp;$A157)))</f>
        <v>7.4205216260238565E-4</v>
      </c>
      <c r="BM157" s="3">
        <f ca="1">IF($BP$1=1,EA157,-IF(RTD("tos.rtd",,BM$2,"."&amp;$C$134&amp;$AU$82&amp;"P"&amp;$A157)="N/A",0,RTD("tos.rtd",,BM$2,"."&amp;$C$134&amp;$AU$82&amp;"P"&amp;$A157)))</f>
        <v>-6.7570932814088277E-4</v>
      </c>
      <c r="BN157" s="3">
        <f ca="1">IF($BP$1=1,EB157,IF(RTD("tos.rtd",,BN$2,"."&amp;$D$134&amp;$AW$82&amp;"C"&amp;$A157)="N/A",0,RTD("tos.rtd",,BN$2,"."&amp;$D$134&amp;$AW$82&amp;"C"&amp;$A157)))</f>
        <v>8.1633237816376302E-4</v>
      </c>
      <c r="BO157" s="3">
        <f ca="1">IF($BP$1=1,EC157,-IF(RTD("tos.rtd",,BO$2,"."&amp;$D$134&amp;$AW$82&amp;"P"&amp;$A157)="N/A",0,RTD("tos.rtd",,BO$2,"."&amp;$D$134&amp;$AW$82&amp;"P"&amp;$A157)))</f>
        <v>-7.7431454648024312E-4</v>
      </c>
      <c r="BQ157" s="3">
        <f t="shared" ca="1" si="625"/>
        <v>2091507.5223085126</v>
      </c>
      <c r="BR157" s="3" t="str">
        <f t="shared" ca="1" si="550"/>
        <v/>
      </c>
      <c r="BS157" s="3">
        <f t="shared" ca="1" si="626"/>
        <v>230173.75492603393</v>
      </c>
      <c r="BT157" s="3" t="str">
        <f t="shared" ca="1" si="551"/>
        <v/>
      </c>
      <c r="BU157" s="3">
        <f t="shared" ca="1" si="627"/>
        <v>337166.13135320466</v>
      </c>
      <c r="BV157" s="3" t="str">
        <f t="shared" ca="1" si="551"/>
        <v/>
      </c>
      <c r="BX157" s="3">
        <f t="shared" ca="1" si="585"/>
        <v>1429471.5128155756</v>
      </c>
      <c r="BY157" s="3" t="str">
        <f t="shared" ca="1" si="586"/>
        <v/>
      </c>
      <c r="BZ157" s="3">
        <f t="shared" ca="1" si="587"/>
        <v>690.24157493743905</v>
      </c>
      <c r="CA157" s="3" t="str">
        <f t="shared" ca="1" si="586"/>
        <v/>
      </c>
      <c r="CB157" s="3">
        <f t="shared" ca="1" si="588"/>
        <v>-89.713301396266615</v>
      </c>
      <c r="CC157" s="3" t="str">
        <f t="shared" ca="1" si="586"/>
        <v/>
      </c>
      <c r="CD157" s="3">
        <f>IF(RTD("tos.rtd",,CD$43,"."&amp;$B$134&amp;$AS$82&amp;"C"&amp;$A157)="N/A",0,RTD("tos.rtd",,CD$43,"."&amp;$B$134&amp;$AS$82&amp;"C"&amp;$A157))</f>
        <v>1</v>
      </c>
      <c r="CE157" s="3">
        <f>-IF(RTD("tos.rtd",,CE$43,"."&amp;$B$134&amp;$AS$82&amp;"P"&amp;$A157)="N/A",0,RTD("tos.rtd",,CE$43,"."&amp;$B$134&amp;$AS$82&amp;"P"&amp;$A157))</f>
        <v>0.09</v>
      </c>
      <c r="CF157" s="3">
        <f>IF(RTD("tos.rtd",,CF$2,"."&amp;$C$134&amp;$AU$82&amp;"C"&amp;$A157)="N/A",0,RTD("tos.rtd",,CF$2,"."&amp;$C$134&amp;$AU$82&amp;"C"&amp;$A157))</f>
        <v>0.53</v>
      </c>
      <c r="CG157" s="3">
        <f>-IF(RTD("tos.rtd",,CG$2,"."&amp;$C$134&amp;$AU$82&amp;"P"&amp;$A157)="N/A",0,RTD("tos.rtd",,CG$2,"."&amp;$C$134&amp;$AU$82&amp;"P"&amp;$A157))</f>
        <v>0.47</v>
      </c>
      <c r="CH157" s="3">
        <f>IF(RTD("tos.rtd",,CH$2,"."&amp;$D$134&amp;$AW$82&amp;"C"&amp;$A157)="N/A",0,RTD("tos.rtd",,CH$2,"."&amp;$D$134&amp;$AW$82&amp;"C"&amp;$A157))</f>
        <v>0.55000000000000004</v>
      </c>
      <c r="CI157" s="3">
        <f>-IF(RTD("tos.rtd",,CI$2,"."&amp;$D$134&amp;$AW$82&amp;"P"&amp;$A157)="N/A",0,RTD("tos.rtd",,CI$2,"."&amp;$D$134&amp;$AW$82&amp;"P"&amp;$A157))</f>
        <v>0.45</v>
      </c>
      <c r="CK157" s="3">
        <f t="shared" si="620"/>
        <v>1000</v>
      </c>
      <c r="CL157" s="3"/>
      <c r="CM157" s="3">
        <f t="shared" si="621"/>
        <v>483.00000000000011</v>
      </c>
      <c r="CN157" s="3"/>
      <c r="CO157" s="3">
        <f t="shared" si="622"/>
        <v>680.00000000000011</v>
      </c>
      <c r="CP157" s="3">
        <f t="shared" si="542"/>
        <v>2163</v>
      </c>
      <c r="CQ157" s="3">
        <f t="shared" si="552"/>
        <v>1064</v>
      </c>
      <c r="CR157" s="3"/>
      <c r="CS157" s="3">
        <f t="shared" si="553"/>
        <v>2</v>
      </c>
      <c r="CT157" s="3"/>
      <c r="CU157" s="3">
        <f t="shared" si="554"/>
        <v>-3</v>
      </c>
      <c r="CV157" s="3"/>
      <c r="CW157" s="3">
        <f t="shared" ca="1" si="555"/>
        <v>2658847.408587751</v>
      </c>
      <c r="CY157" s="3">
        <f t="shared" ca="1" si="556"/>
        <v>1430072.0410891168</v>
      </c>
      <c r="CZ157" s="70" t="str">
        <f t="shared" ca="1" si="589"/>
        <v/>
      </c>
      <c r="DA157" s="3">
        <f>IF(RTD("tos.rtd",,DA$43,"."&amp;$B$134&amp;$AS$82&amp;"C"&amp;$A157)="N/A",0,RTD("tos.rtd",,DA$43,"."&amp;$B$134&amp;$AS$82&amp;"C"&amp;$A157))</f>
        <v>12.4</v>
      </c>
      <c r="DB157" s="3">
        <f>IF(RTD("tos.rtd",,DB$43,"."&amp;$B$134&amp;$AS$82&amp;"P"&amp;$A157)="N/A",0,RTD("tos.rtd",,DB$43,"."&amp;$B$134&amp;$AS$82&amp;"P"&amp;$A157))</f>
        <v>0.5</v>
      </c>
      <c r="DC157" s="3">
        <f>IF(RTD("tos.rtd",,DC$43,"."&amp;$B$134&amp;$AS$82&amp;"C"&amp;$A157)="N/A",0,RTD("tos.rtd",,DC$43,"."&amp;$B$134&amp;$AS$82&amp;"C"&amp;$A157))</f>
        <v>17.600000000000001</v>
      </c>
      <c r="DD157" s="3">
        <f>IF(RTD("tos.rtd",,DD$43,"."&amp;$B$134&amp;$AS$82&amp;"P"&amp;$A157)="N/A",0,RTD("tos.rtd",,DD$43,"."&amp;$B$134&amp;$AS$82&amp;"P"&amp;$A157))</f>
        <v>1</v>
      </c>
      <c r="DE157" s="3">
        <f>IF(RTD("tos.rtd",,DE$43,"."&amp;$B$134&amp;$AS$82&amp;"C"&amp;$A157)="N/A",0,RTD("tos.rtd",,DE$43,"."&amp;$B$134&amp;$AS$82&amp;"C"&amp;$A157))</f>
        <v>14.8</v>
      </c>
      <c r="DF157" s="3">
        <f>IF(RTD("tos.rtd",,DF$43,"."&amp;$B$134&amp;$AS$82&amp;"P"&amp;$A157)="N/A",0,RTD("tos.rtd",,DF$43,"."&amp;$B$134&amp;$AS$82&amp;"P"&amp;$A157))</f>
        <v>0.1</v>
      </c>
      <c r="DG157" s="86">
        <f t="shared" si="590"/>
        <v>6.25</v>
      </c>
      <c r="DH157" s="3">
        <f t="shared" si="557"/>
        <v>0</v>
      </c>
      <c r="DI157" s="3">
        <f t="shared" si="558"/>
        <v>0</v>
      </c>
      <c r="DJ157" s="3">
        <f t="shared" si="559"/>
        <v>0</v>
      </c>
      <c r="DK157" s="3">
        <f t="shared" si="560"/>
        <v>0</v>
      </c>
      <c r="DL157" s="3">
        <f t="shared" si="561"/>
        <v>0</v>
      </c>
      <c r="DM157" s="3">
        <f t="shared" si="562"/>
        <v>0</v>
      </c>
      <c r="DN157" s="64" t="str">
        <f t="shared" si="563"/>
        <v>UNKNOWN</v>
      </c>
      <c r="DO157" s="64" t="str">
        <f t="shared" si="564"/>
        <v>UNKNOWN</v>
      </c>
      <c r="DP157" s="3">
        <f t="shared" si="565"/>
        <v>0</v>
      </c>
      <c r="DQ157" s="3">
        <f t="shared" si="566"/>
        <v>0</v>
      </c>
      <c r="DR157" s="3">
        <f t="shared" ca="1" si="567"/>
        <v>0</v>
      </c>
      <c r="DS157" s="3">
        <f t="shared" si="568"/>
        <v>0</v>
      </c>
      <c r="DT157" s="3">
        <f t="shared" si="591"/>
        <v>0</v>
      </c>
      <c r="DU157" s="3">
        <f t="shared" si="592"/>
        <v>0</v>
      </c>
      <c r="DV157" s="3">
        <f t="shared" si="569"/>
        <v>-12</v>
      </c>
      <c r="DW157" s="3">
        <f t="shared" si="570"/>
        <v>11</v>
      </c>
      <c r="DX157" s="3">
        <f t="shared" ca="1" si="571"/>
        <v>6.1287724406783109E-3</v>
      </c>
      <c r="DY157" s="3">
        <f t="shared" ca="1" si="572"/>
        <v>-1.7328525784793321E-2</v>
      </c>
      <c r="DZ157" s="3">
        <f t="shared" ca="1" si="573"/>
        <v>7.4205216260238565E-4</v>
      </c>
      <c r="EA157" s="3">
        <f t="shared" ca="1" si="574"/>
        <v>-6.7570932814088277E-4</v>
      </c>
      <c r="EB157" s="3">
        <f t="shared" ca="1" si="575"/>
        <v>8.1633237816376302E-4</v>
      </c>
      <c r="EC157" s="3">
        <f t="shared" ca="1" si="576"/>
        <v>-7.7431454648024312E-4</v>
      </c>
      <c r="ED157" s="63">
        <f t="shared" si="593"/>
        <v>-1</v>
      </c>
      <c r="EE157" s="59">
        <f t="shared" si="577"/>
        <v>0.25</v>
      </c>
      <c r="EF157" s="59">
        <f t="shared" si="578"/>
        <v>8.5500000000000007E-2</v>
      </c>
      <c r="EG157" s="59">
        <f t="shared" si="579"/>
        <v>0.20880000000000001</v>
      </c>
      <c r="EH157" s="59">
        <f t="shared" si="580"/>
        <v>0.2293</v>
      </c>
      <c r="EI157" s="59">
        <f t="shared" si="581"/>
        <v>0.1898</v>
      </c>
      <c r="EJ157" s="59">
        <f t="shared" si="582"/>
        <v>0.2001</v>
      </c>
      <c r="EK157" s="63">
        <f t="shared" ca="1" si="594"/>
        <v>-114767047.74893679</v>
      </c>
      <c r="EL157" s="3" t="str">
        <f>RTD("tos.rtd",,EL$43,"."&amp;$B$134&amp;$AS$82&amp;"C"&amp;$A157)</f>
        <v>--</v>
      </c>
      <c r="EM157" s="3" t="str">
        <f>RTD("tos.rtd",,EM$43,"."&amp;$B$134&amp;$AS$82&amp;"P"&amp;$A157)</f>
        <v>8.55%</v>
      </c>
      <c r="EN157" s="3" t="str">
        <f>RTD("tos.rtd",,EN$2,"."&amp;$C$134&amp;$AU$82&amp;"C"&amp;$A157)</f>
        <v>20.88%</v>
      </c>
      <c r="EO157" s="3" t="str">
        <f>RTD("tos.rtd",,EO$2,"."&amp;$C$134&amp;$AU$82&amp;"P"&amp;$A157)</f>
        <v>22.93%</v>
      </c>
      <c r="EP157" s="3" t="str">
        <f>RTD("tos.rtd",,EP$2,"."&amp;$D$134&amp;$AW$82&amp;"C"&amp;$A157)</f>
        <v>18.98%</v>
      </c>
      <c r="EQ157" s="3" t="str">
        <f>RTD("tos.rtd",,EQ$2,"."&amp;$D$134&amp;$AW$82&amp;"P"&amp;$A157)</f>
        <v>20.01%</v>
      </c>
      <c r="ES157" s="63" t="str">
        <f t="shared" si="583"/>
        <v>20850,-01.00</v>
      </c>
      <c r="ET157" s="63" t="str">
        <f t="shared" ca="1" si="584"/>
        <v>20850,1430.07</v>
      </c>
      <c r="EU157" s="68">
        <v>571.89</v>
      </c>
      <c r="EV157" s="68" t="s">
        <v>1275</v>
      </c>
      <c r="EW157" s="68">
        <v>497.23</v>
      </c>
      <c r="EX157" s="68" t="s">
        <v>1276</v>
      </c>
      <c r="EY157" s="68">
        <v>5730</v>
      </c>
      <c r="EZ157" s="68" t="s">
        <v>1277</v>
      </c>
      <c r="FA157" s="68">
        <v>20414.75</v>
      </c>
      <c r="FB157" s="68" t="s">
        <v>1278</v>
      </c>
      <c r="FC157" s="68" t="s">
        <v>1279</v>
      </c>
      <c r="FD157" s="68" t="s">
        <v>1280</v>
      </c>
      <c r="FE157" s="68" t="s">
        <v>1281</v>
      </c>
      <c r="FF157" s="68" t="s">
        <v>1282</v>
      </c>
    </row>
    <row r="158" spans="1:162" ht="11.1" customHeight="1" thickBot="1" x14ac:dyDescent="0.25">
      <c r="A158" s="2">
        <f t="shared" si="595"/>
        <v>20825</v>
      </c>
      <c r="B158" s="3">
        <f t="shared" si="628"/>
        <v>4</v>
      </c>
      <c r="C158" s="3">
        <f t="shared" si="629"/>
        <v>12</v>
      </c>
      <c r="D158" s="3">
        <f t="shared" si="630"/>
        <v>11</v>
      </c>
      <c r="E158" s="3">
        <f t="shared" si="613"/>
        <v>27</v>
      </c>
      <c r="F158" s="4">
        <f t="shared" si="623"/>
        <v>20924.910044977511</v>
      </c>
      <c r="G158" s="5">
        <f t="shared" si="615"/>
        <v>507.20333433283361</v>
      </c>
      <c r="AM158" s="1">
        <v>67</v>
      </c>
      <c r="AN158" s="1">
        <v>89</v>
      </c>
      <c r="AO158" s="1">
        <v>20825</v>
      </c>
      <c r="AP158" s="1">
        <v>390</v>
      </c>
      <c r="AQ158" s="1">
        <v>-301</v>
      </c>
      <c r="AS158" s="54">
        <f>IF(RTD("tos.rtd",,AS$83,"."&amp;$B$134&amp;$AS$82&amp;"C"&amp;$A158)="N/A",0,RTD("tos.rtd",,AS$83,"."&amp;$B$134&amp;$AS$82&amp;"C"&amp;$A158))</f>
        <v>4</v>
      </c>
      <c r="AT158" s="3">
        <f>-IF(RTD("tos.rtd",,AT$83,"."&amp;$B$134&amp;$AS$82&amp;"P"&amp;$A158)="N/A",0,RTD("tos.rtd",,AT$83,"."&amp;$B$134&amp;$AS$82&amp;"P"&amp;$A158))</f>
        <v>0</v>
      </c>
      <c r="AU158" s="54">
        <f>IF(RTD("tos.rtd",,AU$2,"."&amp;$C$134&amp;$AU$134&amp;"C"&amp;$A158)="N/A",0,RTD("tos.rtd",,AU$2,"."&amp;$C$134&amp;$AU$134&amp;"C"&amp;$A158))</f>
        <v>10</v>
      </c>
      <c r="AV158" s="3">
        <f>-IF(RTD("tos.rtd",,AV$2,"."&amp;$C$134&amp;$AU$134&amp;"P"&amp;$A158)="N/A",0,RTD("tos.rtd",,AV$2,"."&amp;$C$134&amp;$AU$134&amp;"P"&amp;$A158))</f>
        <v>-2</v>
      </c>
      <c r="AW158" s="54">
        <f>IF(RTD("tos.rtd",,AW$2,"."&amp;$D$134&amp;$AW$134&amp;"C"&amp;$A158)="N/A",0,RTD("tos.rtd",,AW$2,"."&amp;$D$134&amp;$AW$134&amp;"C"&amp;$A158))</f>
        <v>11</v>
      </c>
      <c r="AX158" s="3">
        <f>-IF(RTD("tos.rtd",,AX$2,"."&amp;$D$134&amp;$AW$134&amp;"P"&amp;$A158)="N/A",0,RTD("tos.rtd",,AX$2,"."&amp;$D$134&amp;$AW$134&amp;"P"&amp;$A158))</f>
        <v>0</v>
      </c>
      <c r="AY158" s="76">
        <f t="shared" si="624"/>
        <v>23</v>
      </c>
      <c r="AZ158" s="8">
        <f t="shared" si="548"/>
        <v>20825</v>
      </c>
      <c r="BA158" s="54">
        <f>IF(RTD("tos.rtd",,BA$43,"."&amp;$B$134&amp;$AS$82&amp;"C"&amp;$A158)="N/A",0,RTD("tos.rtd",,BA$43,"."&amp;$B$134&amp;$AS$82&amp;"C"&amp;$A158))</f>
        <v>390</v>
      </c>
      <c r="BB158" s="3">
        <f>-IF(RTD("tos.rtd",,BB$43,"."&amp;$B$134&amp;$AS$82&amp;"P"&amp;$A158)="N/A",0,RTD("tos.rtd",,BB$43,"."&amp;$B$134&amp;$AS$82&amp;"P"&amp;$A158))</f>
        <v>-301</v>
      </c>
      <c r="BC158" s="54">
        <f>IF(RTD("tos.rtd",,BC$2,"."&amp;$C$134&amp;$AU$82&amp;"C"&amp;$A158)="N/A",0,RTD("tos.rtd",,BC$2,"."&amp;$C$134&amp;$AU$82&amp;"C"&amp;$A158))</f>
        <v>13</v>
      </c>
      <c r="BD158" s="3">
        <f>-IF(RTD("tos.rtd",,BD$2,"."&amp;$C$134&amp;$AU$82&amp;"P"&amp;$A158)="N/A",0,RTD("tos.rtd",,BD$2,"."&amp;$C$134&amp;$AU$82&amp;"P"&amp;$A158))</f>
        <v>-13</v>
      </c>
      <c r="BE158" s="54">
        <f>IF(RTD("tos.rtd",,BE$2,"."&amp;$D$134&amp;$AW$82&amp;"C"&amp;$A158)="N/A",0,RTD("tos.rtd",,BE$2,"."&amp;$D$134&amp;$AW$82&amp;"C"&amp;$A158))</f>
        <v>82</v>
      </c>
      <c r="BF158" s="3">
        <f>-IF(RTD("tos.rtd",,BF$2,"."&amp;$D$134&amp;$AW$82&amp;"P"&amp;$A158)="N/A",0,RTD("tos.rtd",,BF$2,"."&amp;$D$134&amp;$AW$82&amp;"P"&amp;$A158))</f>
        <v>-82</v>
      </c>
      <c r="BG158" s="3">
        <f ca="1">+Hoja2!Y159</f>
        <v>0</v>
      </c>
      <c r="BH158" s="7">
        <f t="shared" ca="1" si="549"/>
        <v>89</v>
      </c>
      <c r="BI158" s="32" t="str">
        <f t="shared" ca="1" si="609"/>
        <v/>
      </c>
      <c r="BJ158" s="3">
        <f ca="1">IF($BP$1=1,DX158,IF(RTD("tos.rtd",,BJ$43,"."&amp;$B$134&amp;$AS$82&amp;"C"&amp;$A158)="N/A",0,RTD("tos.rtd",,BJ$43,"."&amp;$B$134&amp;$AS$82&amp;"C"&amp;$A158)))</f>
        <v>5.8964724586791873E-3</v>
      </c>
      <c r="BK158" s="3">
        <f ca="1">IF($BP$1=1,DY158,-IF(RTD("tos.rtd",,BK$43,"."&amp;$B$134&amp;$AS$82&amp;"P"&amp;$A158)="N/A",0,RTD("tos.rtd",,BK$43,"."&amp;$B$134&amp;$AS$82&amp;"P"&amp;$A158)))</f>
        <v>-8.4431484248442528E-3</v>
      </c>
      <c r="BL158" s="3">
        <f ca="1">IF($BP$1=1,DZ158,IF(RTD("tos.rtd",,BL$2,"."&amp;$C$134&amp;$AU$82&amp;"C"&amp;$A158)="N/A",0,RTD("tos.rtd",,BL$2,"."&amp;$C$134&amp;$AU$82&amp;"C"&amp;$A158)))</f>
        <v>7.392908830257005E-4</v>
      </c>
      <c r="BM158" s="3">
        <f ca="1">IF($BP$1=1,EA158,-IF(RTD("tos.rtd",,BM$2,"."&amp;$C$134&amp;$AU$82&amp;"P"&amp;$A158)="N/A",0,RTD("tos.rtd",,BM$2,"."&amp;$C$134&amp;$AU$82&amp;"P"&amp;$A158)))</f>
        <v>-6.7289111859423351E-4</v>
      </c>
      <c r="BN158" s="3">
        <f ca="1">IF($BP$1=1,EB158,IF(RTD("tos.rtd",,BN$2,"."&amp;$D$134&amp;$AW$82&amp;"C"&amp;$A158)="N/A",0,RTD("tos.rtd",,BN$2,"."&amp;$D$134&amp;$AW$82&amp;"C"&amp;$A158)))</f>
        <v>8.1161369156776116E-4</v>
      </c>
      <c r="BO158" s="3">
        <f ca="1">IF($BP$1=1,EC158,-IF(RTD("tos.rtd",,BO$2,"."&amp;$D$134&amp;$AW$82&amp;"P"&amp;$A158)="N/A",0,RTD("tos.rtd",,BO$2,"."&amp;$D$134&amp;$AW$82&amp;"P"&amp;$A158)))</f>
        <v>-7.7012073405848544E-4</v>
      </c>
      <c r="BQ158" s="3">
        <f t="shared" ca="1" si="625"/>
        <v>804893.09216692485</v>
      </c>
      <c r="BR158" s="3" t="str">
        <f t="shared" ca="1" si="550"/>
        <v/>
      </c>
      <c r="BS158" s="3">
        <f t="shared" ca="1" si="626"/>
        <v>206364.50251944584</v>
      </c>
      <c r="BT158" s="3" t="str">
        <f t="shared" ca="1" si="551"/>
        <v/>
      </c>
      <c r="BU158" s="3">
        <f t="shared" ca="1" si="627"/>
        <v>304668.80167411611</v>
      </c>
      <c r="BV158" s="3" t="str">
        <f t="shared" ca="1" si="551"/>
        <v/>
      </c>
      <c r="BX158" s="3">
        <f t="shared" ca="1" si="585"/>
        <v>-62306.947636027588</v>
      </c>
      <c r="BY158" s="3" t="str">
        <f t="shared" ca="1" si="586"/>
        <v>Cruce -</v>
      </c>
      <c r="BZ158" s="3">
        <f t="shared" ca="1" si="587"/>
        <v>222.46197154258562</v>
      </c>
      <c r="CA158" s="3" t="str">
        <f t="shared" ca="1" si="586"/>
        <v/>
      </c>
      <c r="CB158" s="3">
        <f t="shared" ca="1" si="588"/>
        <v>876.86782459344431</v>
      </c>
      <c r="CC158" s="3" t="str">
        <f t="shared" ca="1" si="586"/>
        <v>Cruce +</v>
      </c>
      <c r="CD158" s="3">
        <f>IF(RTD("tos.rtd",,CD$43,"."&amp;$B$134&amp;$AS$82&amp;"C"&amp;$A158)="N/A",0,RTD("tos.rtd",,CD$43,"."&amp;$B$134&amp;$AS$82&amp;"C"&amp;$A158))</f>
        <v>1</v>
      </c>
      <c r="CE158" s="3">
        <f>-IF(RTD("tos.rtd",,CE$43,"."&amp;$B$134&amp;$AS$82&amp;"P"&amp;$A158)="N/A",0,RTD("tos.rtd",,CE$43,"."&amp;$B$134&amp;$AS$82&amp;"P"&amp;$A158))</f>
        <v>0.05</v>
      </c>
      <c r="CF158" s="3">
        <f>IF(RTD("tos.rtd",,CF$2,"."&amp;$C$134&amp;$AU$82&amp;"C"&amp;$A158)="N/A",0,RTD("tos.rtd",,CF$2,"."&amp;$C$134&amp;$AU$82&amp;"C"&amp;$A158))</f>
        <v>0.55000000000000004</v>
      </c>
      <c r="CG158" s="3">
        <f>-IF(RTD("tos.rtd",,CG$2,"."&amp;$C$134&amp;$AU$82&amp;"P"&amp;$A158)="N/A",0,RTD("tos.rtd",,CG$2,"."&amp;$C$134&amp;$AU$82&amp;"P"&amp;$A158))</f>
        <v>0.45</v>
      </c>
      <c r="CH158" s="3">
        <f>IF(RTD("tos.rtd",,CH$2,"."&amp;$D$134&amp;$AW$82&amp;"C"&amp;$A158)="N/A",0,RTD("tos.rtd",,CH$2,"."&amp;$D$134&amp;$AW$82&amp;"C"&amp;$A158))</f>
        <v>0.56000000000000005</v>
      </c>
      <c r="CI158" s="3">
        <f>-IF(RTD("tos.rtd",,CI$2,"."&amp;$D$134&amp;$AW$82&amp;"P"&amp;$A158)="N/A",0,RTD("tos.rtd",,CI$2,"."&amp;$D$134&amp;$AW$82&amp;"P"&amp;$A158))</f>
        <v>0.45</v>
      </c>
      <c r="CK158" s="3">
        <f t="shared" si="620"/>
        <v>400</v>
      </c>
      <c r="CL158" s="3"/>
      <c r="CM158" s="3">
        <f t="shared" si="621"/>
        <v>460</v>
      </c>
      <c r="CN158" s="3"/>
      <c r="CO158" s="3">
        <f t="shared" si="622"/>
        <v>616</v>
      </c>
      <c r="CP158" s="3">
        <f t="shared" si="542"/>
        <v>1476</v>
      </c>
      <c r="CQ158" s="3">
        <f t="shared" si="552"/>
        <v>89</v>
      </c>
      <c r="CR158" s="3"/>
      <c r="CS158" s="3">
        <f t="shared" si="553"/>
        <v>0</v>
      </c>
      <c r="CT158" s="3"/>
      <c r="CU158" s="3">
        <f t="shared" si="554"/>
        <v>0</v>
      </c>
      <c r="CV158" s="3"/>
      <c r="CW158" s="3">
        <f t="shared" ca="1" si="555"/>
        <v>1315926.3963604867</v>
      </c>
      <c r="CY158" s="3">
        <f t="shared" ca="1" si="556"/>
        <v>-61207.617839891558</v>
      </c>
      <c r="CZ158" s="70" t="str">
        <f t="shared" ca="1" si="589"/>
        <v>Cruce -</v>
      </c>
      <c r="DA158" s="3">
        <f>IF(RTD("tos.rtd",,DA$43,"."&amp;$B$134&amp;$AS$82&amp;"C"&amp;$A158)="N/A",0,RTD("tos.rtd",,DA$43,"."&amp;$B$134&amp;$AS$82&amp;"C"&amp;$A158))</f>
        <v>33.549999999999997</v>
      </c>
      <c r="DB158" s="3">
        <f>IF(RTD("tos.rtd",,DB$43,"."&amp;$B$134&amp;$AS$82&amp;"P"&amp;$A158)="N/A",0,RTD("tos.rtd",,DB$43,"."&amp;$B$134&amp;$AS$82&amp;"P"&amp;$A158))</f>
        <v>0.3</v>
      </c>
      <c r="DC158" s="3">
        <f>IF(RTD("tos.rtd",,DC$43,"."&amp;$B$134&amp;$AS$82&amp;"C"&amp;$A158)="N/A",0,RTD("tos.rtd",,DC$43,"."&amp;$B$134&amp;$AS$82&amp;"C"&amp;$A158))</f>
        <v>45</v>
      </c>
      <c r="DD158" s="3">
        <f>IF(RTD("tos.rtd",,DD$43,"."&amp;$B$134&amp;$AS$82&amp;"P"&amp;$A158)="N/A",0,RTD("tos.rtd",,DD$43,"."&amp;$B$134&amp;$AS$82&amp;"P"&amp;$A158))</f>
        <v>1</v>
      </c>
      <c r="DE158" s="3">
        <f>IF(RTD("tos.rtd",,DE$43,"."&amp;$B$134&amp;$AS$82&amp;"C"&amp;$A158)="N/A",0,RTD("tos.rtd",,DE$43,"."&amp;$B$134&amp;$AS$82&amp;"C"&amp;$A158))</f>
        <v>32.1</v>
      </c>
      <c r="DF158" s="3">
        <f>IF(RTD("tos.rtd",,DF$43,"."&amp;$B$134&amp;$AS$82&amp;"P"&amp;$A158)="N/A",0,RTD("tos.rtd",,DF$43,"."&amp;$B$134&amp;$AS$82&amp;"P"&amp;$A158))</f>
        <v>0.05</v>
      </c>
      <c r="DG158" s="86">
        <f t="shared" si="590"/>
        <v>-18.75</v>
      </c>
      <c r="DH158" s="3">
        <f t="shared" si="557"/>
        <v>0</v>
      </c>
      <c r="DI158" s="3">
        <f t="shared" si="558"/>
        <v>0</v>
      </c>
      <c r="DJ158" s="3">
        <f t="shared" si="559"/>
        <v>0</v>
      </c>
      <c r="DK158" s="3">
        <f t="shared" si="560"/>
        <v>0</v>
      </c>
      <c r="DL158" s="3">
        <f t="shared" si="561"/>
        <v>0</v>
      </c>
      <c r="DM158" s="3">
        <f t="shared" si="562"/>
        <v>0</v>
      </c>
      <c r="DN158" s="64" t="str">
        <f t="shared" si="563"/>
        <v>UNKNOWN</v>
      </c>
      <c r="DO158" s="64" t="str">
        <f t="shared" si="564"/>
        <v>UNKNOWN</v>
      </c>
      <c r="DP158" s="3">
        <f t="shared" si="565"/>
        <v>0</v>
      </c>
      <c r="DQ158" s="3">
        <f t="shared" si="566"/>
        <v>0</v>
      </c>
      <c r="DR158" s="3">
        <f t="shared" ca="1" si="567"/>
        <v>0</v>
      </c>
      <c r="DS158" s="3">
        <f t="shared" si="568"/>
        <v>0</v>
      </c>
      <c r="DT158" s="3">
        <f t="shared" si="591"/>
        <v>0</v>
      </c>
      <c r="DU158" s="3">
        <f t="shared" si="592"/>
        <v>0</v>
      </c>
      <c r="DV158" s="3">
        <f t="shared" si="569"/>
        <v>67</v>
      </c>
      <c r="DW158" s="3">
        <f t="shared" si="570"/>
        <v>89</v>
      </c>
      <c r="DX158" s="3">
        <f t="shared" ca="1" si="571"/>
        <v>5.8964724586791873E-3</v>
      </c>
      <c r="DY158" s="3">
        <f t="shared" ca="1" si="572"/>
        <v>-8.4431484248442528E-3</v>
      </c>
      <c r="DZ158" s="3">
        <f t="shared" ca="1" si="573"/>
        <v>7.392908830257005E-4</v>
      </c>
      <c r="EA158" s="3">
        <f t="shared" ca="1" si="574"/>
        <v>-6.7289111859423351E-4</v>
      </c>
      <c r="EB158" s="3">
        <f t="shared" ca="1" si="575"/>
        <v>8.1161369156776116E-4</v>
      </c>
      <c r="EC158" s="3">
        <f t="shared" ca="1" si="576"/>
        <v>-7.7012073405848544E-4</v>
      </c>
      <c r="ED158" s="63">
        <f t="shared" si="593"/>
        <v>156</v>
      </c>
      <c r="EE158" s="59">
        <f t="shared" si="577"/>
        <v>0.25</v>
      </c>
      <c r="EF158" s="59">
        <f t="shared" si="578"/>
        <v>0.1653</v>
      </c>
      <c r="EG158" s="59">
        <f t="shared" si="579"/>
        <v>0.20910000000000001</v>
      </c>
      <c r="EH158" s="59">
        <f t="shared" si="580"/>
        <v>0.2298</v>
      </c>
      <c r="EI158" s="59">
        <f t="shared" si="581"/>
        <v>0.19040000000000001</v>
      </c>
      <c r="EJ158" s="59">
        <f t="shared" si="582"/>
        <v>0.20069999999999999</v>
      </c>
      <c r="EK158" s="63">
        <f t="shared" ca="1" si="594"/>
        <v>-154832040.24689728</v>
      </c>
      <c r="EL158" s="3" t="str">
        <f>RTD("tos.rtd",,EL$43,"."&amp;$B$134&amp;$AS$82&amp;"C"&amp;$A158)</f>
        <v>--</v>
      </c>
      <c r="EM158" s="3" t="str">
        <f>RTD("tos.rtd",,EM$43,"."&amp;$B$134&amp;$AS$82&amp;"P"&amp;$A158)</f>
        <v>16.53%</v>
      </c>
      <c r="EN158" s="3" t="str">
        <f>RTD("tos.rtd",,EN$2,"."&amp;$C$134&amp;$AU$82&amp;"C"&amp;$A158)</f>
        <v>20.91%</v>
      </c>
      <c r="EO158" s="3" t="str">
        <f>RTD("tos.rtd",,EO$2,"."&amp;$C$134&amp;$AU$82&amp;"P"&amp;$A158)</f>
        <v>22.98%</v>
      </c>
      <c r="EP158" s="3" t="str">
        <f>RTD("tos.rtd",,EP$2,"."&amp;$D$134&amp;$AW$82&amp;"C"&amp;$A158)</f>
        <v>19.04%</v>
      </c>
      <c r="EQ158" s="3" t="str">
        <f>RTD("tos.rtd",,EQ$2,"."&amp;$D$134&amp;$AW$82&amp;"P"&amp;$A158)</f>
        <v>20.07%</v>
      </c>
      <c r="ES158" s="63" t="str">
        <f t="shared" si="583"/>
        <v>20825,156.00</v>
      </c>
      <c r="ET158" s="63" t="str">
        <f t="shared" ca="1" si="584"/>
        <v>20825,-61.21</v>
      </c>
      <c r="EU158" s="68">
        <v>571.86</v>
      </c>
      <c r="EV158" s="68" t="s">
        <v>1283</v>
      </c>
      <c r="EW158" s="68">
        <v>497.22</v>
      </c>
      <c r="EX158" s="68" t="s">
        <v>1284</v>
      </c>
      <c r="EY158" s="68">
        <v>5729.5</v>
      </c>
      <c r="EZ158" s="68" t="s">
        <v>1285</v>
      </c>
      <c r="FA158" s="68">
        <v>20414</v>
      </c>
      <c r="FB158" s="68" t="s">
        <v>1286</v>
      </c>
      <c r="FC158" s="68" t="s">
        <v>1287</v>
      </c>
      <c r="FD158" s="68" t="s">
        <v>1288</v>
      </c>
      <c r="FE158" s="68" t="s">
        <v>1289</v>
      </c>
      <c r="FF158" s="68" t="s">
        <v>1290</v>
      </c>
    </row>
    <row r="159" spans="1:162" ht="11.1" customHeight="1" thickBot="1" x14ac:dyDescent="0.25">
      <c r="A159" s="2">
        <f t="shared" si="595"/>
        <v>20800</v>
      </c>
      <c r="B159" s="3">
        <f t="shared" si="628"/>
        <v>16</v>
      </c>
      <c r="C159" s="3">
        <f t="shared" si="629"/>
        <v>99</v>
      </c>
      <c r="D159" s="3">
        <f t="shared" si="630"/>
        <v>771</v>
      </c>
      <c r="E159" s="3">
        <f t="shared" si="613"/>
        <v>886</v>
      </c>
      <c r="F159" s="4">
        <f t="shared" si="623"/>
        <v>20899.790104947526</v>
      </c>
      <c r="G159" s="5">
        <f t="shared" si="615"/>
        <v>506.59444677661173</v>
      </c>
      <c r="AM159" s="1">
        <v>-110</v>
      </c>
      <c r="AN159" s="1">
        <v>-33</v>
      </c>
      <c r="AO159" s="1">
        <v>20800</v>
      </c>
      <c r="AP159" s="1">
        <v>819</v>
      </c>
      <c r="AQ159" s="1">
        <v>-368</v>
      </c>
      <c r="AS159" s="54">
        <f>IF(RTD("tos.rtd",,AS$83,"."&amp;$B$134&amp;$AS$82&amp;"C"&amp;$A159)="N/A",0,RTD("tos.rtd",,AS$83,"."&amp;$B$134&amp;$AS$82&amp;"C"&amp;$A159))</f>
        <v>16</v>
      </c>
      <c r="AT159" s="3">
        <f>-IF(RTD("tos.rtd",,AT$83,"."&amp;$B$134&amp;$AS$82&amp;"P"&amp;$A159)="N/A",0,RTD("tos.rtd",,AT$83,"."&amp;$B$134&amp;$AS$82&amp;"P"&amp;$A159))</f>
        <v>0</v>
      </c>
      <c r="AU159" s="54">
        <f>IF(RTD("tos.rtd",,AU$2,"."&amp;$C$134&amp;$AU$134&amp;"C"&amp;$A159)="N/A",0,RTD("tos.rtd",,AU$2,"."&amp;$C$134&amp;$AU$134&amp;"C"&amp;$A159))</f>
        <v>60</v>
      </c>
      <c r="AV159" s="3">
        <f>-IF(RTD("tos.rtd",,AV$2,"."&amp;$C$134&amp;$AU$134&amp;"P"&amp;$A159)="N/A",0,RTD("tos.rtd",,AV$2,"."&amp;$C$134&amp;$AU$134&amp;"P"&amp;$A159))</f>
        <v>-39</v>
      </c>
      <c r="AW159" s="54">
        <f>IF(RTD("tos.rtd",,AW$2,"."&amp;$D$134&amp;$AW$134&amp;"C"&amp;$A159)="N/A",0,RTD("tos.rtd",,AW$2,"."&amp;$D$134&amp;$AW$134&amp;"C"&amp;$A159))</f>
        <v>587</v>
      </c>
      <c r="AX159" s="3">
        <f>-IF(RTD("tos.rtd",,AX$2,"."&amp;$D$134&amp;$AW$134&amp;"P"&amp;$A159)="N/A",0,RTD("tos.rtd",,AX$2,"."&amp;$D$134&amp;$AW$134&amp;"P"&amp;$A159))</f>
        <v>-184</v>
      </c>
      <c r="AY159" s="76">
        <f t="shared" si="624"/>
        <v>440</v>
      </c>
      <c r="AZ159" s="8">
        <f t="shared" si="548"/>
        <v>20800</v>
      </c>
      <c r="BA159" s="54">
        <f>IF(RTD("tos.rtd",,BA$43,"."&amp;$B$134&amp;$AS$82&amp;"C"&amp;$A159)="N/A",0,RTD("tos.rtd",,BA$43,"."&amp;$B$134&amp;$AS$82&amp;"C"&amp;$A159))</f>
        <v>819</v>
      </c>
      <c r="BB159" s="3">
        <f>-IF(RTD("tos.rtd",,BB$43,"."&amp;$B$134&amp;$AS$82&amp;"P"&amp;$A159)="N/A",0,RTD("tos.rtd",,BB$43,"."&amp;$B$134&amp;$AS$82&amp;"P"&amp;$A159))</f>
        <v>-368</v>
      </c>
      <c r="BC159" s="54">
        <f>IF(RTD("tos.rtd",,BC$2,"."&amp;$C$134&amp;$AU$82&amp;"C"&amp;$A159)="N/A",0,RTD("tos.rtd",,BC$2,"."&amp;$C$134&amp;$AU$82&amp;"C"&amp;$A159))</f>
        <v>37</v>
      </c>
      <c r="BD159" s="3">
        <f>-IF(RTD("tos.rtd",,BD$2,"."&amp;$C$134&amp;$AU$82&amp;"P"&amp;$A159)="N/A",0,RTD("tos.rtd",,BD$2,"."&amp;$C$134&amp;$AU$82&amp;"P"&amp;$A159))</f>
        <v>-20</v>
      </c>
      <c r="BE159" s="54">
        <f>IF(RTD("tos.rtd",,BE$2,"."&amp;$D$134&amp;$AW$82&amp;"C"&amp;$A159)="N/A",0,RTD("tos.rtd",,BE$2,"."&amp;$D$134&amp;$AW$82&amp;"C"&amp;$A159))</f>
        <v>60</v>
      </c>
      <c r="BF159" s="3">
        <f>-IF(RTD("tos.rtd",,BF$2,"."&amp;$D$134&amp;$AW$82&amp;"P"&amp;$A159)="N/A",0,RTD("tos.rtd",,BF$2,"."&amp;$D$134&amp;$AW$82&amp;"P"&amp;$A159))</f>
        <v>-61</v>
      </c>
      <c r="BG159" s="3">
        <f ca="1">+Hoja2!Y160</f>
        <v>-2</v>
      </c>
      <c r="BH159" s="7">
        <f t="shared" ca="1" si="549"/>
        <v>465</v>
      </c>
      <c r="BI159" s="32" t="str">
        <f t="shared" ca="1" si="609"/>
        <v/>
      </c>
      <c r="BJ159" s="3">
        <f ca="1">IF($BP$1=1,DX159,IF(RTD("tos.rtd",,BJ$43,"."&amp;$B$134&amp;$AS$82&amp;"C"&amp;$A159)="N/A",0,RTD("tos.rtd",,BJ$43,"."&amp;$B$134&amp;$AS$82&amp;"C"&amp;$A159)))</f>
        <v>4.8867624567360329E-3</v>
      </c>
      <c r="BK159" s="3">
        <f ca="1">IF($BP$1=1,DY159,-IF(RTD("tos.rtd",,BK$43,"."&amp;$B$134&amp;$AS$82&amp;"P"&amp;$A159)="N/A",0,RTD("tos.rtd",,BK$43,"."&amp;$B$134&amp;$AS$82&amp;"P"&amp;$A159)))</f>
        <v>-2.7239466017875517E-3</v>
      </c>
      <c r="BL159" s="3">
        <f ca="1">IF($BP$1=1,DZ159,IF(RTD("tos.rtd",,BL$2,"."&amp;$C$134&amp;$AU$82&amp;"C"&amp;$A159)="N/A",0,RTD("tos.rtd",,BL$2,"."&amp;$C$134&amp;$AU$82&amp;"C"&amp;$A159)))</f>
        <v>7.356546098242591E-4</v>
      </c>
      <c r="BM159" s="3">
        <f ca="1">IF($BP$1=1,EA159,-IF(RTD("tos.rtd",,BM$2,"."&amp;$C$134&amp;$AU$82&amp;"P"&amp;$A159)="N/A",0,RTD("tos.rtd",,BM$2,"."&amp;$C$134&amp;$AU$82&amp;"P"&amp;$A159)))</f>
        <v>-6.689006890891674E-4</v>
      </c>
      <c r="BN159" s="3">
        <f ca="1">IF($BP$1=1,EB159,IF(RTD("tos.rtd",,BN$2,"."&amp;$D$134&amp;$AW$82&amp;"C"&amp;$A159)="N/A",0,RTD("tos.rtd",,BN$2,"."&amp;$D$134&amp;$AW$82&amp;"C"&amp;$A159)))</f>
        <v>8.0444383059333744E-4</v>
      </c>
      <c r="BO159" s="3">
        <f ca="1">IF($BP$1=1,EC159,-IF(RTD("tos.rtd",,BO$2,"."&amp;$D$134&amp;$AW$82&amp;"P"&amp;$A159)="N/A",0,RTD("tos.rtd",,BO$2,"."&amp;$D$134&amp;$AW$82&amp;"P"&amp;$A159)))</f>
        <v>-7.6418555112642793E-4</v>
      </c>
      <c r="BQ159" s="3">
        <f t="shared" ca="1" si="625"/>
        <v>2668253.8565565143</v>
      </c>
      <c r="BR159" s="3" t="str">
        <f t="shared" ca="1" si="550"/>
        <v/>
      </c>
      <c r="BS159" s="3">
        <f t="shared" ca="1" si="626"/>
        <v>616048.43854403705</v>
      </c>
      <c r="BT159" s="3" t="str">
        <f t="shared" ca="1" si="551"/>
        <v/>
      </c>
      <c r="BU159" s="3">
        <f t="shared" ca="1" si="627"/>
        <v>11316140.839371473</v>
      </c>
      <c r="BV159" s="3" t="str">
        <f t="shared" ca="1" si="551"/>
        <v/>
      </c>
      <c r="BX159" s="3">
        <f t="shared" ca="1" si="585"/>
        <v>773116.36456821125</v>
      </c>
      <c r="BY159" s="3" t="str">
        <f t="shared" ca="1" si="586"/>
        <v>Cruce +</v>
      </c>
      <c r="BZ159" s="3">
        <f t="shared" ca="1" si="587"/>
        <v>3567.1374804891325</v>
      </c>
      <c r="CA159" s="3" t="str">
        <f t="shared" ca="1" si="586"/>
        <v/>
      </c>
      <c r="CB159" s="3">
        <f t="shared" ca="1" si="588"/>
        <v>425.57373981983437</v>
      </c>
      <c r="CC159" s="3" t="str">
        <f t="shared" ca="1" si="586"/>
        <v/>
      </c>
      <c r="CD159" s="3">
        <f>IF(RTD("tos.rtd",,CD$43,"."&amp;$B$134&amp;$AS$82&amp;"C"&amp;$A159)="N/A",0,RTD("tos.rtd",,CD$43,"."&amp;$B$134&amp;$AS$82&amp;"C"&amp;$A159))</f>
        <v>1</v>
      </c>
      <c r="CE159" s="3">
        <f>-IF(RTD("tos.rtd",,CE$43,"."&amp;$B$134&amp;$AS$82&amp;"P"&amp;$A159)="N/A",0,RTD("tos.rtd",,CE$43,"."&amp;$B$134&amp;$AS$82&amp;"P"&amp;$A159))</f>
        <v>0.21</v>
      </c>
      <c r="CF159" s="3">
        <f>IF(RTD("tos.rtd",,CF$2,"."&amp;$C$134&amp;$AU$82&amp;"C"&amp;$A159)="N/A",0,RTD("tos.rtd",,CF$2,"."&amp;$C$134&amp;$AU$82&amp;"C"&amp;$A159))</f>
        <v>0.56999999999999995</v>
      </c>
      <c r="CG159" s="3">
        <f>-IF(RTD("tos.rtd",,CG$2,"."&amp;$C$134&amp;$AU$82&amp;"P"&amp;$A159)="N/A",0,RTD("tos.rtd",,CG$2,"."&amp;$C$134&amp;$AU$82&amp;"P"&amp;$A159))</f>
        <v>0.43</v>
      </c>
      <c r="CH159" s="3">
        <f>IF(RTD("tos.rtd",,CH$2,"."&amp;$D$134&amp;$AW$82&amp;"C"&amp;$A159)="N/A",0,RTD("tos.rtd",,CH$2,"."&amp;$D$134&amp;$AW$82&amp;"C"&amp;$A159))</f>
        <v>0.56000000000000005</v>
      </c>
      <c r="CI159" s="3">
        <f>-IF(RTD("tos.rtd",,CI$2,"."&amp;$D$134&amp;$AW$82&amp;"P"&amp;$A159)="N/A",0,RTD("tos.rtd",,CI$2,"."&amp;$D$134&amp;$AW$82&amp;"P"&amp;$A159))</f>
        <v>0.44</v>
      </c>
      <c r="CK159" s="3">
        <f t="shared" si="620"/>
        <v>1600</v>
      </c>
      <c r="CL159" s="3"/>
      <c r="CM159" s="3">
        <f t="shared" si="621"/>
        <v>1742.9999999999995</v>
      </c>
      <c r="CN159" s="3"/>
      <c r="CO159" s="3">
        <f t="shared" si="622"/>
        <v>24776</v>
      </c>
      <c r="CP159" s="3">
        <f t="shared" si="542"/>
        <v>28119</v>
      </c>
      <c r="CQ159" s="3">
        <f t="shared" si="552"/>
        <v>451</v>
      </c>
      <c r="CR159" s="3"/>
      <c r="CS159" s="3">
        <f t="shared" si="553"/>
        <v>17</v>
      </c>
      <c r="CT159" s="3"/>
      <c r="CU159" s="3">
        <f t="shared" si="554"/>
        <v>-1</v>
      </c>
      <c r="CV159" s="3"/>
      <c r="CW159" s="3">
        <f t="shared" ca="1" si="555"/>
        <v>14600443.134472024</v>
      </c>
      <c r="CY159" s="3">
        <f t="shared" ca="1" si="556"/>
        <v>777109.07578852016</v>
      </c>
      <c r="CZ159" s="70" t="str">
        <f t="shared" ca="1" si="589"/>
        <v>Cruce +</v>
      </c>
      <c r="DA159" s="3">
        <f>IF(RTD("tos.rtd",,DA$43,"."&amp;$B$134&amp;$AS$82&amp;"C"&amp;$A159)="N/A",0,RTD("tos.rtd",,DA$43,"."&amp;$B$134&amp;$AS$82&amp;"C"&amp;$A159))</f>
        <v>60</v>
      </c>
      <c r="DB159" s="3">
        <f>IF(RTD("tos.rtd",,DB$43,"."&amp;$B$134&amp;$AS$82&amp;"P"&amp;$A159)="N/A",0,RTD("tos.rtd",,DB$43,"."&amp;$B$134&amp;$AS$82&amp;"P"&amp;$A159))</f>
        <v>0.05</v>
      </c>
      <c r="DC159" s="3">
        <f>IF(RTD("tos.rtd",,DC$43,"."&amp;$B$134&amp;$AS$82&amp;"C"&amp;$A159)="N/A",0,RTD("tos.rtd",,DC$43,"."&amp;$B$134&amp;$AS$82&amp;"C"&amp;$A159))</f>
        <v>74</v>
      </c>
      <c r="DD159" s="3">
        <f>IF(RTD("tos.rtd",,DD$43,"."&amp;$B$134&amp;$AS$82&amp;"P"&amp;$A159)="N/A",0,RTD("tos.rtd",,DD$43,"."&amp;$B$134&amp;$AS$82&amp;"P"&amp;$A159))</f>
        <v>20</v>
      </c>
      <c r="DE159" s="3">
        <f>IF(RTD("tos.rtd",,DE$43,"."&amp;$B$134&amp;$AS$82&amp;"C"&amp;$A159)="N/A",0,RTD("tos.rtd",,DE$43,"."&amp;$B$134&amp;$AS$82&amp;"C"&amp;$A159))</f>
        <v>56.5</v>
      </c>
      <c r="DF159" s="3">
        <f>IF(RTD("tos.rtd",,DF$43,"."&amp;$B$134&amp;$AS$82&amp;"P"&amp;$A159)="N/A",0,RTD("tos.rtd",,DF$43,"."&amp;$B$134&amp;$AS$82&amp;"P"&amp;$A159))</f>
        <v>0.05</v>
      </c>
      <c r="DG159" s="86">
        <f t="shared" si="590"/>
        <v>-43.75</v>
      </c>
      <c r="DH159" s="3">
        <f t="shared" si="557"/>
        <v>0</v>
      </c>
      <c r="DI159" s="3">
        <f t="shared" si="558"/>
        <v>0</v>
      </c>
      <c r="DJ159" s="3">
        <f t="shared" si="559"/>
        <v>0</v>
      </c>
      <c r="DK159" s="3">
        <f t="shared" si="560"/>
        <v>0</v>
      </c>
      <c r="DL159" s="3">
        <f t="shared" si="561"/>
        <v>0</v>
      </c>
      <c r="DM159" s="3">
        <f t="shared" si="562"/>
        <v>0</v>
      </c>
      <c r="DN159" s="64" t="str">
        <f t="shared" si="563"/>
        <v>UNKNOWN</v>
      </c>
      <c r="DO159" s="64" t="str">
        <f t="shared" si="564"/>
        <v>UNKNOWN</v>
      </c>
      <c r="DP159" s="3">
        <f t="shared" si="565"/>
        <v>0</v>
      </c>
      <c r="DQ159" s="3">
        <f t="shared" si="566"/>
        <v>0</v>
      </c>
      <c r="DR159" s="3">
        <f t="shared" ca="1" si="567"/>
        <v>0</v>
      </c>
      <c r="DS159" s="3">
        <f t="shared" si="568"/>
        <v>0</v>
      </c>
      <c r="DT159" s="3">
        <f t="shared" si="591"/>
        <v>0</v>
      </c>
      <c r="DU159" s="3">
        <f t="shared" si="592"/>
        <v>0</v>
      </c>
      <c r="DV159" s="3">
        <f t="shared" si="569"/>
        <v>-110</v>
      </c>
      <c r="DW159" s="3">
        <f t="shared" si="570"/>
        <v>-33</v>
      </c>
      <c r="DX159" s="3">
        <f t="shared" ca="1" si="571"/>
        <v>4.8867624567360329E-3</v>
      </c>
      <c r="DY159" s="3">
        <f t="shared" ca="1" si="572"/>
        <v>-2.7239466017875517E-3</v>
      </c>
      <c r="DZ159" s="3">
        <f t="shared" ca="1" si="573"/>
        <v>7.356546098242591E-4</v>
      </c>
      <c r="EA159" s="3">
        <f t="shared" ca="1" si="574"/>
        <v>-6.689006890891674E-4</v>
      </c>
      <c r="EB159" s="3">
        <f t="shared" ca="1" si="575"/>
        <v>8.0444383059333744E-4</v>
      </c>
      <c r="EC159" s="3">
        <f t="shared" ca="1" si="576"/>
        <v>-7.6418555112642793E-4</v>
      </c>
      <c r="ED159" s="63">
        <f t="shared" si="593"/>
        <v>-143</v>
      </c>
      <c r="EE159" s="59">
        <f t="shared" si="577"/>
        <v>0.25</v>
      </c>
      <c r="EF159" s="59">
        <f t="shared" si="578"/>
        <v>0.53690000000000004</v>
      </c>
      <c r="EG159" s="59">
        <f t="shared" si="579"/>
        <v>0.2092</v>
      </c>
      <c r="EH159" s="59">
        <f t="shared" si="580"/>
        <v>0.2303</v>
      </c>
      <c r="EI159" s="59">
        <f t="shared" si="581"/>
        <v>0.19109999999999999</v>
      </c>
      <c r="EJ159" s="59">
        <f t="shared" si="582"/>
        <v>0.20130000000000001</v>
      </c>
      <c r="EK159" s="63">
        <f t="shared" ca="1" si="594"/>
        <v>-194488453.96170336</v>
      </c>
      <c r="EL159" s="3" t="str">
        <f>RTD("tos.rtd",,EL$43,"."&amp;$B$134&amp;$AS$82&amp;"C"&amp;$A159)</f>
        <v>--</v>
      </c>
      <c r="EM159" s="3" t="str">
        <f>RTD("tos.rtd",,EM$43,"."&amp;$B$134&amp;$AS$82&amp;"P"&amp;$A159)</f>
        <v>53.69%</v>
      </c>
      <c r="EN159" s="3" t="str">
        <f>RTD("tos.rtd",,EN$2,"."&amp;$C$134&amp;$AU$82&amp;"C"&amp;$A159)</f>
        <v>20.92%</v>
      </c>
      <c r="EO159" s="3" t="str">
        <f>RTD("tos.rtd",,EO$2,"."&amp;$C$134&amp;$AU$82&amp;"P"&amp;$A159)</f>
        <v>23.03%</v>
      </c>
      <c r="EP159" s="3" t="str">
        <f>RTD("tos.rtd",,EP$2,"."&amp;$D$134&amp;$AW$82&amp;"C"&amp;$A159)</f>
        <v>19.11%</v>
      </c>
      <c r="EQ159" s="3" t="str">
        <f>RTD("tos.rtd",,EQ$2,"."&amp;$D$134&amp;$AW$82&amp;"P"&amp;$A159)</f>
        <v>20.13%</v>
      </c>
      <c r="ES159" s="63" t="str">
        <f t="shared" si="583"/>
        <v>20800,-143.00</v>
      </c>
      <c r="ET159" s="63" t="str">
        <f t="shared" ca="1" si="584"/>
        <v>20800,777.11</v>
      </c>
      <c r="EU159" s="68">
        <v>571.92999999999995</v>
      </c>
      <c r="EV159" s="68" t="s">
        <v>1291</v>
      </c>
      <c r="EW159" s="68">
        <v>497.27</v>
      </c>
      <c r="EX159" s="68" t="s">
        <v>1292</v>
      </c>
      <c r="EY159" s="68">
        <v>5730.5</v>
      </c>
      <c r="EZ159" s="68" t="s">
        <v>1293</v>
      </c>
      <c r="FA159" s="68">
        <v>20417.5</v>
      </c>
      <c r="FB159" s="68" t="s">
        <v>1294</v>
      </c>
      <c r="FC159" s="68" t="s">
        <v>1295</v>
      </c>
      <c r="FD159" s="68" t="s">
        <v>1296</v>
      </c>
      <c r="FE159" s="68" t="s">
        <v>1297</v>
      </c>
      <c r="FF159" s="68" t="s">
        <v>1298</v>
      </c>
    </row>
    <row r="160" spans="1:162" ht="11.1" customHeight="1" thickBot="1" x14ac:dyDescent="0.25">
      <c r="A160" s="2">
        <f t="shared" si="595"/>
        <v>20775</v>
      </c>
      <c r="B160" s="3">
        <f t="shared" si="628"/>
        <v>6</v>
      </c>
      <c r="C160" s="3">
        <f t="shared" si="629"/>
        <v>17</v>
      </c>
      <c r="D160" s="3">
        <f t="shared" si="630"/>
        <v>10</v>
      </c>
      <c r="E160" s="3">
        <f t="shared" si="613"/>
        <v>33</v>
      </c>
      <c r="F160" s="4">
        <f t="shared" si="623"/>
        <v>20874.670164917537</v>
      </c>
      <c r="G160" s="5">
        <f t="shared" si="615"/>
        <v>505.98555922038986</v>
      </c>
      <c r="AM160" s="1">
        <v>11</v>
      </c>
      <c r="AN160" s="1">
        <v>-30</v>
      </c>
      <c r="AO160" s="1">
        <v>20775</v>
      </c>
      <c r="AP160" s="1">
        <v>189</v>
      </c>
      <c r="AQ160" s="1">
        <v>-131</v>
      </c>
      <c r="AS160" s="54">
        <f>IF(RTD("tos.rtd",,AS$83,"."&amp;$B$134&amp;$AS$82&amp;"C"&amp;$A160)="N/A",0,RTD("tos.rtd",,AS$83,"."&amp;$B$134&amp;$AS$82&amp;"C"&amp;$A160))</f>
        <v>6</v>
      </c>
      <c r="AT160" s="3">
        <f>-IF(RTD("tos.rtd",,AT$83,"."&amp;$B$134&amp;$AS$82&amp;"P"&amp;$A160)="N/A",0,RTD("tos.rtd",,AT$83,"."&amp;$B$134&amp;$AS$82&amp;"P"&amp;$A160))</f>
        <v>0</v>
      </c>
      <c r="AU160" s="54">
        <f>IF(RTD("tos.rtd",,AU$2,"."&amp;$C$134&amp;$AU$134&amp;"C"&amp;$A160)="N/A",0,RTD("tos.rtd",,AU$2,"."&amp;$C$134&amp;$AU$134&amp;"C"&amp;$A160))</f>
        <v>8</v>
      </c>
      <c r="AV160" s="3">
        <f>-IF(RTD("tos.rtd",,AV$2,"."&amp;$C$134&amp;$AU$134&amp;"P"&amp;$A160)="N/A",0,RTD("tos.rtd",,AV$2,"."&amp;$C$134&amp;$AU$134&amp;"P"&amp;$A160))</f>
        <v>-9</v>
      </c>
      <c r="AW160" s="54">
        <f>IF(RTD("tos.rtd",,AW$2,"."&amp;$D$134&amp;$AW$134&amp;"C"&amp;$A160)="N/A",0,RTD("tos.rtd",,AW$2,"."&amp;$D$134&amp;$AW$134&amp;"C"&amp;$A160))</f>
        <v>10</v>
      </c>
      <c r="AX160" s="3">
        <f>-IF(RTD("tos.rtd",,AX$2,"."&amp;$D$134&amp;$AW$134&amp;"P"&amp;$A160)="N/A",0,RTD("tos.rtd",,AX$2,"."&amp;$D$134&amp;$AW$134&amp;"P"&amp;$A160))</f>
        <v>0</v>
      </c>
      <c r="AY160" s="76">
        <f t="shared" si="624"/>
        <v>15</v>
      </c>
      <c r="AZ160" s="8">
        <f t="shared" si="548"/>
        <v>20775</v>
      </c>
      <c r="BA160" s="54">
        <f>IF(RTD("tos.rtd",,BA$43,"."&amp;$B$134&amp;$AS$82&amp;"C"&amp;$A160)="N/A",0,RTD("tos.rtd",,BA$43,"."&amp;$B$134&amp;$AS$82&amp;"C"&amp;$A160))</f>
        <v>189</v>
      </c>
      <c r="BB160" s="3">
        <f>-IF(RTD("tos.rtd",,BB$43,"."&amp;$B$134&amp;$AS$82&amp;"P"&amp;$A160)="N/A",0,RTD("tos.rtd",,BB$43,"."&amp;$B$134&amp;$AS$82&amp;"P"&amp;$A160))</f>
        <v>-131</v>
      </c>
      <c r="BC160" s="54">
        <f>IF(RTD("tos.rtd",,BC$2,"."&amp;$C$134&amp;$AU$82&amp;"C"&amp;$A160)="N/A",0,RTD("tos.rtd",,BC$2,"."&amp;$C$134&amp;$AU$82&amp;"C"&amp;$A160))</f>
        <v>16</v>
      </c>
      <c r="BD160" s="3">
        <f>-IF(RTD("tos.rtd",,BD$2,"."&amp;$C$134&amp;$AU$82&amp;"P"&amp;$A160)="N/A",0,RTD("tos.rtd",,BD$2,"."&amp;$C$134&amp;$AU$82&amp;"P"&amp;$A160))</f>
        <v>-23</v>
      </c>
      <c r="BE160" s="54">
        <f>IF(RTD("tos.rtd",,BE$2,"."&amp;$D$134&amp;$AW$82&amp;"C"&amp;$A160)="N/A",0,RTD("tos.rtd",,BE$2,"."&amp;$D$134&amp;$AW$82&amp;"C"&amp;$A160))</f>
        <v>36</v>
      </c>
      <c r="BF160" s="3">
        <f>-IF(RTD("tos.rtd",,BF$2,"."&amp;$D$134&amp;$AW$82&amp;"P"&amp;$A160)="N/A",0,RTD("tos.rtd",,BF$2,"."&amp;$D$134&amp;$AW$82&amp;"P"&amp;$A160))</f>
        <v>-36</v>
      </c>
      <c r="BG160" s="3">
        <f ca="1">+Hoja2!Y161</f>
        <v>0</v>
      </c>
      <c r="BH160" s="7">
        <f t="shared" ca="1" si="549"/>
        <v>51</v>
      </c>
      <c r="BI160" s="32" t="str">
        <f t="shared" ca="1" si="609"/>
        <v/>
      </c>
      <c r="BJ160" s="3">
        <f ca="1">IF($BP$1=1,DX160,IF(RTD("tos.rtd",,BJ$43,"."&amp;$B$134&amp;$AS$82&amp;"C"&amp;$A160)="N/A",0,RTD("tos.rtd",,BJ$43,"."&amp;$B$134&amp;$AS$82&amp;"C"&amp;$A160)))</f>
        <v>3.4867963209267287E-3</v>
      </c>
      <c r="BK160" s="3">
        <f ca="1">IF($BP$1=1,DY160,-IF(RTD("tos.rtd",,BK$43,"."&amp;$B$134&amp;$AS$82&amp;"P"&amp;$A160)="N/A",0,RTD("tos.rtd",,BK$43,"."&amp;$B$134&amp;$AS$82&amp;"P"&amp;$A160)))</f>
        <v>-2.1764761905414091E-3</v>
      </c>
      <c r="BL160" s="3">
        <f ca="1">IF($BP$1=1,DZ160,IF(RTD("tos.rtd",,BL$2,"."&amp;$C$134&amp;$AU$82&amp;"C"&amp;$A160)="N/A",0,RTD("tos.rtd",,BL$2,"."&amp;$C$134&amp;$AU$82&amp;"C"&amp;$A160)))</f>
        <v>7.2909431825285908E-4</v>
      </c>
      <c r="BM160" s="3">
        <f ca="1">IF($BP$1=1,EA160,-IF(RTD("tos.rtd",,BM$2,"."&amp;$C$134&amp;$AU$82&amp;"P"&amp;$A160)="N/A",0,RTD("tos.rtd",,BM$2,"."&amp;$C$134&amp;$AU$82&amp;"P"&amp;$A160)))</f>
        <v>-6.6377008330189191E-4</v>
      </c>
      <c r="BN160" s="3">
        <f ca="1">IF($BP$1=1,EB160,IF(RTD("tos.rtd",,BN$2,"."&amp;$D$134&amp;$AW$82&amp;"C"&amp;$A160)="N/A",0,RTD("tos.rtd",,BN$2,"."&amp;$D$134&amp;$AW$82&amp;"C"&amp;$A160)))</f>
        <v>7.9574793114786039E-4</v>
      </c>
      <c r="BO160" s="3">
        <f ca="1">IF($BP$1=1,EC160,-IF(RTD("tos.rtd",,BO$2,"."&amp;$D$134&amp;$AW$82&amp;"P"&amp;$A160)="N/A",0,RTD("tos.rtd",,BO$2,"."&amp;$D$134&amp;$AW$82&amp;"P"&amp;$A160)))</f>
        <v>-7.5620928270267007E-4</v>
      </c>
      <c r="BQ160" s="3">
        <f t="shared" ca="1" si="625"/>
        <v>713943.36838867271</v>
      </c>
      <c r="BR160" s="3" t="str">
        <f t="shared" ca="1" si="550"/>
        <v/>
      </c>
      <c r="BS160" s="3">
        <f t="shared" ca="1" si="626"/>
        <v>-4817.7852066670021</v>
      </c>
      <c r="BT160" s="3" t="str">
        <f t="shared" ca="1" si="551"/>
        <v>Cruce -</v>
      </c>
      <c r="BU160" s="3">
        <f t="shared" ca="1" si="627"/>
        <v>271557.28165247169</v>
      </c>
      <c r="BV160" s="3" t="str">
        <f t="shared" ca="1" si="551"/>
        <v/>
      </c>
      <c r="BX160" s="3">
        <f t="shared" ca="1" si="585"/>
        <v>96357.436623693997</v>
      </c>
      <c r="BY160" s="3" t="str">
        <f t="shared" ca="1" si="586"/>
        <v/>
      </c>
      <c r="BZ160" s="3">
        <f t="shared" ca="1" si="587"/>
        <v>-928.09722234191304</v>
      </c>
      <c r="CA160" s="3" t="str">
        <f t="shared" ca="1" si="586"/>
        <v>Cruce -</v>
      </c>
      <c r="CB160" s="3">
        <f t="shared" ca="1" si="588"/>
        <v>366.83453204310445</v>
      </c>
      <c r="CC160" s="3" t="str">
        <f t="shared" ca="1" si="586"/>
        <v/>
      </c>
      <c r="CD160" s="3">
        <f>IF(RTD("tos.rtd",,CD$43,"."&amp;$B$134&amp;$AS$82&amp;"C"&amp;$A160)="N/A",0,RTD("tos.rtd",,CD$43,"."&amp;$B$134&amp;$AS$82&amp;"C"&amp;$A160))</f>
        <v>1</v>
      </c>
      <c r="CE160" s="3">
        <f>-IF(RTD("tos.rtd",,CE$43,"."&amp;$B$134&amp;$AS$82&amp;"P"&amp;$A160)="N/A",0,RTD("tos.rtd",,CE$43,"."&amp;$B$134&amp;$AS$82&amp;"P"&amp;$A160))</f>
        <v>0.18</v>
      </c>
      <c r="CF160" s="3">
        <f>IF(RTD("tos.rtd",,CF$2,"."&amp;$C$134&amp;$AU$82&amp;"C"&amp;$A160)="N/A",0,RTD("tos.rtd",,CF$2,"."&amp;$C$134&amp;$AU$82&amp;"C"&amp;$A160))</f>
        <v>0.6</v>
      </c>
      <c r="CG160" s="3">
        <f>-IF(RTD("tos.rtd",,CG$2,"."&amp;$C$134&amp;$AU$82&amp;"P"&amp;$A160)="N/A",0,RTD("tos.rtd",,CG$2,"."&amp;$C$134&amp;$AU$82&amp;"P"&amp;$A160))</f>
        <v>0.41</v>
      </c>
      <c r="CH160" s="3">
        <f>IF(RTD("tos.rtd",,CH$2,"."&amp;$D$134&amp;$AW$82&amp;"C"&amp;$A160)="N/A",0,RTD("tos.rtd",,CH$2,"."&amp;$D$134&amp;$AW$82&amp;"C"&amp;$A160))</f>
        <v>0.56999999999999995</v>
      </c>
      <c r="CI160" s="3">
        <f>-IF(RTD("tos.rtd",,CI$2,"."&amp;$D$134&amp;$AW$82&amp;"P"&amp;$A160)="N/A",0,RTD("tos.rtd",,CI$2,"."&amp;$D$134&amp;$AW$82&amp;"P"&amp;$A160))</f>
        <v>0.43</v>
      </c>
      <c r="CK160" s="3">
        <f t="shared" si="620"/>
        <v>600</v>
      </c>
      <c r="CL160" s="3"/>
      <c r="CM160" s="3">
        <f t="shared" si="621"/>
        <v>111</v>
      </c>
      <c r="CN160" s="3"/>
      <c r="CO160" s="3">
        <f t="shared" si="622"/>
        <v>569.99999999999989</v>
      </c>
      <c r="CP160" s="3">
        <f t="shared" si="542"/>
        <v>1281</v>
      </c>
      <c r="CQ160" s="3">
        <f t="shared" si="552"/>
        <v>58</v>
      </c>
      <c r="CR160" s="3"/>
      <c r="CS160" s="3">
        <f t="shared" si="553"/>
        <v>-7</v>
      </c>
      <c r="CT160" s="3"/>
      <c r="CU160" s="3">
        <f t="shared" si="554"/>
        <v>0</v>
      </c>
      <c r="CV160" s="3"/>
      <c r="CW160" s="3">
        <f t="shared" ca="1" si="555"/>
        <v>980682.86483447743</v>
      </c>
      <c r="CY160" s="3">
        <f t="shared" ca="1" si="556"/>
        <v>95796.173933395199</v>
      </c>
      <c r="CZ160" s="70" t="str">
        <f t="shared" ca="1" si="589"/>
        <v/>
      </c>
      <c r="DA160" s="3">
        <f>IF(RTD("tos.rtd",,DA$43,"."&amp;$B$134&amp;$AS$82&amp;"C"&amp;$A160)="N/A",0,RTD("tos.rtd",,DA$43,"."&amp;$B$134&amp;$AS$82&amp;"C"&amp;$A160))</f>
        <v>48.6</v>
      </c>
      <c r="DB160" s="3">
        <f>IF(RTD("tos.rtd",,DB$43,"."&amp;$B$134&amp;$AS$82&amp;"P"&amp;$A160)="N/A",0,RTD("tos.rtd",,DB$43,"."&amp;$B$134&amp;$AS$82&amp;"P"&amp;$A160))</f>
        <v>0.57999999999999996</v>
      </c>
      <c r="DC160" s="3">
        <f>IF(RTD("tos.rtd",,DC$43,"."&amp;$B$134&amp;$AS$82&amp;"C"&amp;$A160)="N/A",0,RTD("tos.rtd",,DC$43,"."&amp;$B$134&amp;$AS$82&amp;"C"&amp;$A160))</f>
        <v>98</v>
      </c>
      <c r="DD160" s="3">
        <f>IF(RTD("tos.rtd",,DD$43,"."&amp;$B$134&amp;$AS$82&amp;"P"&amp;$A160)="N/A",0,RTD("tos.rtd",,DD$43,"."&amp;$B$134&amp;$AS$82&amp;"P"&amp;$A160))</f>
        <v>20</v>
      </c>
      <c r="DE160" s="3">
        <f>IF(RTD("tos.rtd",,DE$43,"."&amp;$B$134&amp;$AS$82&amp;"C"&amp;$A160)="N/A",0,RTD("tos.rtd",,DE$43,"."&amp;$B$134&amp;$AS$82&amp;"C"&amp;$A160))</f>
        <v>79</v>
      </c>
      <c r="DF160" s="3">
        <f>IF(RTD("tos.rtd",,DF$43,"."&amp;$B$134&amp;$AS$82&amp;"P"&amp;$A160)="N/A",0,RTD("tos.rtd",,DF$43,"."&amp;$B$134&amp;$AS$82&amp;"P"&amp;$A160))</f>
        <v>0</v>
      </c>
      <c r="DG160" s="86">
        <f t="shared" si="590"/>
        <v>-68.75</v>
      </c>
      <c r="DH160" s="3">
        <f t="shared" si="557"/>
        <v>0</v>
      </c>
      <c r="DI160" s="3">
        <f t="shared" si="558"/>
        <v>0</v>
      </c>
      <c r="DJ160" s="3">
        <f t="shared" si="559"/>
        <v>0</v>
      </c>
      <c r="DK160" s="3">
        <f t="shared" si="560"/>
        <v>0</v>
      </c>
      <c r="DL160" s="3">
        <f t="shared" si="561"/>
        <v>0</v>
      </c>
      <c r="DM160" s="3">
        <f t="shared" si="562"/>
        <v>0</v>
      </c>
      <c r="DN160" s="64" t="str">
        <f t="shared" si="563"/>
        <v>UNKNOWN</v>
      </c>
      <c r="DO160" s="64" t="str">
        <f t="shared" si="564"/>
        <v>UNKNOWN</v>
      </c>
      <c r="DP160" s="3">
        <f t="shared" si="565"/>
        <v>0</v>
      </c>
      <c r="DQ160" s="3">
        <f t="shared" si="566"/>
        <v>0</v>
      </c>
      <c r="DR160" s="3">
        <f t="shared" ca="1" si="567"/>
        <v>0</v>
      </c>
      <c r="DS160" s="3">
        <f t="shared" si="568"/>
        <v>0</v>
      </c>
      <c r="DT160" s="3">
        <f t="shared" si="591"/>
        <v>0</v>
      </c>
      <c r="DU160" s="3">
        <f t="shared" si="592"/>
        <v>0</v>
      </c>
      <c r="DV160" s="3">
        <f t="shared" si="569"/>
        <v>11</v>
      </c>
      <c r="DW160" s="3">
        <f t="shared" si="570"/>
        <v>-30</v>
      </c>
      <c r="DX160" s="3">
        <f t="shared" ca="1" si="571"/>
        <v>3.4867963209267287E-3</v>
      </c>
      <c r="DY160" s="3">
        <f t="shared" ca="1" si="572"/>
        <v>-2.1764761905414091E-3</v>
      </c>
      <c r="DZ160" s="3">
        <f t="shared" ca="1" si="573"/>
        <v>7.2909431825285908E-4</v>
      </c>
      <c r="EA160" s="3">
        <f t="shared" ca="1" si="574"/>
        <v>-6.6377008330189191E-4</v>
      </c>
      <c r="EB160" s="3">
        <f t="shared" ca="1" si="575"/>
        <v>7.9574793114786039E-4</v>
      </c>
      <c r="EC160" s="3">
        <f t="shared" ca="1" si="576"/>
        <v>-7.5620928270267007E-4</v>
      </c>
      <c r="ED160" s="63">
        <f t="shared" si="593"/>
        <v>-19</v>
      </c>
      <c r="EE160" s="59">
        <f t="shared" si="577"/>
        <v>0.25</v>
      </c>
      <c r="EF160" s="59">
        <f t="shared" si="578"/>
        <v>0.64890000000000003</v>
      </c>
      <c r="EG160" s="59">
        <f t="shared" si="579"/>
        <v>0.2097</v>
      </c>
      <c r="EH160" s="59">
        <f t="shared" si="580"/>
        <v>0.23080000000000001</v>
      </c>
      <c r="EI160" s="59">
        <f t="shared" si="581"/>
        <v>0.19170000000000001</v>
      </c>
      <c r="EJ160" s="59">
        <f t="shared" si="582"/>
        <v>0.20200000000000001</v>
      </c>
      <c r="EK160" s="63">
        <f t="shared" ca="1" si="594"/>
        <v>45031562.588517368</v>
      </c>
      <c r="EL160" s="3" t="str">
        <f>RTD("tos.rtd",,EL$43,"."&amp;$B$134&amp;$AS$82&amp;"C"&amp;$A160)</f>
        <v>--</v>
      </c>
      <c r="EM160" s="3" t="str">
        <f>RTD("tos.rtd",,EM$43,"."&amp;$B$134&amp;$AS$82&amp;"P"&amp;$A160)</f>
        <v>64.89%</v>
      </c>
      <c r="EN160" s="3" t="str">
        <f>RTD("tos.rtd",,EN$2,"."&amp;$C$134&amp;$AU$82&amp;"C"&amp;$A160)</f>
        <v>20.97%</v>
      </c>
      <c r="EO160" s="3" t="str">
        <f>RTD("tos.rtd",,EO$2,"."&amp;$C$134&amp;$AU$82&amp;"P"&amp;$A160)</f>
        <v>23.08%</v>
      </c>
      <c r="EP160" s="3" t="str">
        <f>RTD("tos.rtd",,EP$2,"."&amp;$D$134&amp;$AW$82&amp;"C"&amp;$A160)</f>
        <v>19.17%</v>
      </c>
      <c r="EQ160" s="3" t="str">
        <f>RTD("tos.rtd",,EQ$2,"."&amp;$D$134&amp;$AW$82&amp;"P"&amp;$A160)</f>
        <v>20.20%</v>
      </c>
      <c r="ES160" s="63" t="str">
        <f t="shared" si="583"/>
        <v>20775,-19.00</v>
      </c>
      <c r="ET160" s="63" t="str">
        <f t="shared" ca="1" si="584"/>
        <v>20775,95.80</v>
      </c>
      <c r="EU160" s="68">
        <v>572.05999999999995</v>
      </c>
      <c r="EV160" s="68" t="s">
        <v>1299</v>
      </c>
      <c r="EW160" s="68">
        <v>497.45</v>
      </c>
      <c r="EX160" s="68" t="s">
        <v>1300</v>
      </c>
      <c r="EY160" s="68">
        <v>5731.75</v>
      </c>
      <c r="EZ160" s="68" t="s">
        <v>1301</v>
      </c>
      <c r="FA160" s="68">
        <v>20422.75</v>
      </c>
      <c r="FB160" s="68" t="s">
        <v>1302</v>
      </c>
      <c r="FC160" s="68" t="s">
        <v>1303</v>
      </c>
      <c r="FD160" s="68" t="s">
        <v>1304</v>
      </c>
      <c r="FE160" s="68" t="s">
        <v>1305</v>
      </c>
      <c r="FF160" s="68" t="s">
        <v>1306</v>
      </c>
    </row>
    <row r="161" spans="1:162" ht="11.1" customHeight="1" thickBot="1" x14ac:dyDescent="0.25">
      <c r="A161" s="2">
        <f t="shared" si="595"/>
        <v>20750</v>
      </c>
      <c r="B161" s="3">
        <f t="shared" si="628"/>
        <v>4</v>
      </c>
      <c r="C161" s="3">
        <f t="shared" si="629"/>
        <v>114</v>
      </c>
      <c r="D161" s="3">
        <f t="shared" si="630"/>
        <v>50</v>
      </c>
      <c r="E161" s="3">
        <f t="shared" si="613"/>
        <v>168</v>
      </c>
      <c r="F161" s="4">
        <f t="shared" si="623"/>
        <v>20849.550224887553</v>
      </c>
      <c r="G161" s="5">
        <f t="shared" si="615"/>
        <v>505.37667166416793</v>
      </c>
      <c r="AM161" s="1">
        <v>-39</v>
      </c>
      <c r="AN161" s="1">
        <v>-100</v>
      </c>
      <c r="AO161" s="1">
        <v>20750</v>
      </c>
      <c r="AP161" s="1">
        <v>249</v>
      </c>
      <c r="AQ161" s="1">
        <v>-486</v>
      </c>
      <c r="AS161" s="54">
        <f>IF(RTD("tos.rtd",,AS$83,"."&amp;$B$134&amp;$AS$82&amp;"C"&amp;$A161)="N/A",0,RTD("tos.rtd",,AS$83,"."&amp;$B$134&amp;$AS$82&amp;"C"&amp;$A161))</f>
        <v>4</v>
      </c>
      <c r="AT161" s="3">
        <f>-IF(RTD("tos.rtd",,AT$83,"."&amp;$B$134&amp;$AS$82&amp;"P"&amp;$A161)="N/A",0,RTD("tos.rtd",,AT$83,"."&amp;$B$134&amp;$AS$82&amp;"P"&amp;$A161))</f>
        <v>0</v>
      </c>
      <c r="AU161" s="54">
        <f>IF(RTD("tos.rtd",,AU$2,"."&amp;$C$134&amp;$AU$134&amp;"C"&amp;$A161)="N/A",0,RTD("tos.rtd",,AU$2,"."&amp;$C$134&amp;$AU$134&amp;"C"&amp;$A161))</f>
        <v>112</v>
      </c>
      <c r="AV161" s="3">
        <f>-IF(RTD("tos.rtd",,AV$2,"."&amp;$C$134&amp;$AU$134&amp;"P"&amp;$A161)="N/A",0,RTD("tos.rtd",,AV$2,"."&amp;$C$134&amp;$AU$134&amp;"P"&amp;$A161))</f>
        <v>-2</v>
      </c>
      <c r="AW161" s="54">
        <f>IF(RTD("tos.rtd",,AW$2,"."&amp;$D$134&amp;$AW$134&amp;"C"&amp;$A161)="N/A",0,RTD("tos.rtd",,AW$2,"."&amp;$D$134&amp;$AW$134&amp;"C"&amp;$A161))</f>
        <v>44</v>
      </c>
      <c r="AX161" s="3">
        <f>-IF(RTD("tos.rtd",,AX$2,"."&amp;$D$134&amp;$AW$134&amp;"P"&amp;$A161)="N/A",0,RTD("tos.rtd",,AX$2,"."&amp;$D$134&amp;$AW$134&amp;"P"&amp;$A161))</f>
        <v>-6</v>
      </c>
      <c r="AY161" s="76">
        <f t="shared" si="624"/>
        <v>152</v>
      </c>
      <c r="AZ161" s="8">
        <f t="shared" si="548"/>
        <v>20750</v>
      </c>
      <c r="BA161" s="54">
        <f>IF(RTD("tos.rtd",,BA$43,"."&amp;$B$134&amp;$AS$82&amp;"C"&amp;$A161)="N/A",0,RTD("tos.rtd",,BA$43,"."&amp;$B$134&amp;$AS$82&amp;"C"&amp;$A161))</f>
        <v>249</v>
      </c>
      <c r="BB161" s="3">
        <f>-IF(RTD("tos.rtd",,BB$43,"."&amp;$B$134&amp;$AS$82&amp;"P"&amp;$A161)="N/A",0,RTD("tos.rtd",,BB$43,"."&amp;$B$134&amp;$AS$82&amp;"P"&amp;$A161))</f>
        <v>-486</v>
      </c>
      <c r="BC161" s="54">
        <f>IF(RTD("tos.rtd",,BC$2,"."&amp;$C$134&amp;$AU$82&amp;"C"&amp;$A161)="N/A",0,RTD("tos.rtd",,BC$2,"."&amp;$C$134&amp;$AU$82&amp;"C"&amp;$A161))</f>
        <v>19</v>
      </c>
      <c r="BD161" s="3">
        <f>-IF(RTD("tos.rtd",,BD$2,"."&amp;$C$134&amp;$AU$82&amp;"P"&amp;$A161)="N/A",0,RTD("tos.rtd",,BD$2,"."&amp;$C$134&amp;$AU$82&amp;"P"&amp;$A161))</f>
        <v>-10</v>
      </c>
      <c r="BE161" s="54">
        <f>IF(RTD("tos.rtd",,BE$2,"."&amp;$D$134&amp;$AW$82&amp;"C"&amp;$A161)="N/A",0,RTD("tos.rtd",,BE$2,"."&amp;$D$134&amp;$AW$82&amp;"C"&amp;$A161))</f>
        <v>3</v>
      </c>
      <c r="BF161" s="3">
        <f>-IF(RTD("tos.rtd",,BF$2,"."&amp;$D$134&amp;$AW$82&amp;"P"&amp;$A161)="N/A",0,RTD("tos.rtd",,BF$2,"."&amp;$D$134&amp;$AW$82&amp;"P"&amp;$A161))</f>
        <v>-1</v>
      </c>
      <c r="BG161" s="3">
        <f ca="1">+Hoja2!Y162</f>
        <v>3</v>
      </c>
      <c r="BH161" s="7">
        <f t="shared" ca="1" si="549"/>
        <v>-223</v>
      </c>
      <c r="BI161" s="32" t="str">
        <f t="shared" ca="1" si="609"/>
        <v>Cruce -</v>
      </c>
      <c r="BJ161" s="3">
        <f ca="1">IF($BP$1=1,DX161,IF(RTD("tos.rtd",,BJ$43,"."&amp;$B$134&amp;$AS$82&amp;"C"&amp;$A161)="N/A",0,RTD("tos.rtd",,BJ$43,"."&amp;$B$134&amp;$AS$82&amp;"C"&amp;$A161)))</f>
        <v>2.1407872666162199E-3</v>
      </c>
      <c r="BK161" s="3">
        <f ca="1">IF($BP$1=1,DY161,-IF(RTD("tos.rtd",,BK$43,"."&amp;$B$134&amp;$AS$82&amp;"P"&amp;$A161)="N/A",0,RTD("tos.rtd",,BK$43,"."&amp;$B$134&amp;$AS$82&amp;"P"&amp;$A161)))</f>
        <v>-2.5403832012715968E-3</v>
      </c>
      <c r="BL161" s="3">
        <f ca="1">IF($BP$1=1,DZ161,IF(RTD("tos.rtd",,BL$2,"."&amp;$C$134&amp;$AU$82&amp;"C"&amp;$A161)="N/A",0,RTD("tos.rtd",,BL$2,"."&amp;$C$134&amp;$AU$82&amp;"C"&amp;$A161)))</f>
        <v>7.217393665277901E-4</v>
      </c>
      <c r="BM161" s="3">
        <f ca="1">IF($BP$1=1,EA161,-IF(RTD("tos.rtd",,BM$2,"."&amp;$C$134&amp;$AU$82&amp;"P"&amp;$A161)="N/A",0,RTD("tos.rtd",,BM$2,"."&amp;$C$134&amp;$AU$82&amp;"P"&amp;$A161)))</f>
        <v>-6.5643812731470941E-4</v>
      </c>
      <c r="BN161" s="3">
        <f ca="1">IF($BP$1=1,EB161,IF(RTD("tos.rtd",,BN$2,"."&amp;$D$134&amp;$AW$82&amp;"C"&amp;$A161)="N/A",0,RTD("tos.rtd",,BN$2,"."&amp;$D$134&amp;$AW$82&amp;"C"&amp;$A161)))</f>
        <v>7.8519627689277525E-4</v>
      </c>
      <c r="BO161" s="3">
        <f ca="1">IF($BP$1=1,EC161,-IF(RTD("tos.rtd",,BO$2,"."&amp;$D$134&amp;$AW$82&amp;"P"&amp;$A161)="N/A",0,RTD("tos.rtd",,BO$2,"."&amp;$D$134&amp;$AW$82&amp;"P"&amp;$A161)))</f>
        <v>-7.466565290456306E-4</v>
      </c>
      <c r="BQ161" s="3">
        <f t="shared" ca="1" si="625"/>
        <v>292226.39379278716</v>
      </c>
      <c r="BR161" s="3" t="str">
        <f t="shared" ca="1" si="550"/>
        <v/>
      </c>
      <c r="BS161" s="3">
        <f t="shared" ca="1" si="626"/>
        <v>2713768.9030260122</v>
      </c>
      <c r="BT161" s="3" t="str">
        <f t="shared" ca="1" si="551"/>
        <v>Cruce +</v>
      </c>
      <c r="BU161" s="3">
        <f t="shared" ca="1" si="627"/>
        <v>1026125.6489626833</v>
      </c>
      <c r="BV161" s="3" t="str">
        <f t="shared" ca="1" si="551"/>
        <v/>
      </c>
      <c r="BX161" s="3">
        <f t="shared" ca="1" si="585"/>
        <v>-180807.74444170183</v>
      </c>
      <c r="BY161" s="3" t="str">
        <f t="shared" ca="1" si="586"/>
        <v>Cruce -</v>
      </c>
      <c r="BZ161" s="3">
        <f t="shared" ca="1" si="587"/>
        <v>1842.344911879665</v>
      </c>
      <c r="CA161" s="3" t="str">
        <f t="shared" ca="1" si="586"/>
        <v>Cruce +</v>
      </c>
      <c r="CB161" s="3">
        <f t="shared" ca="1" si="588"/>
        <v>414.65190190683802</v>
      </c>
      <c r="CC161" s="3" t="str">
        <f t="shared" ca="1" si="586"/>
        <v/>
      </c>
      <c r="CD161" s="3">
        <f>IF(RTD("tos.rtd",,CD$43,"."&amp;$B$134&amp;$AS$82&amp;"C"&amp;$A161)="N/A",0,RTD("tos.rtd",,CD$43,"."&amp;$B$134&amp;$AS$82&amp;"C"&amp;$A161))</f>
        <v>1</v>
      </c>
      <c r="CE161" s="3">
        <f>-IF(RTD("tos.rtd",,CE$43,"."&amp;$B$134&amp;$AS$82&amp;"P"&amp;$A161)="N/A",0,RTD("tos.rtd",,CE$43,"."&amp;$B$134&amp;$AS$82&amp;"P"&amp;$A161))</f>
        <v>0.01</v>
      </c>
      <c r="CF161" s="3">
        <f>IF(RTD("tos.rtd",,CF$2,"."&amp;$C$134&amp;$AU$82&amp;"C"&amp;$A161)="N/A",0,RTD("tos.rtd",,CF$2,"."&amp;$C$134&amp;$AU$82&amp;"C"&amp;$A161))</f>
        <v>0.62</v>
      </c>
      <c r="CG161" s="3">
        <f>-IF(RTD("tos.rtd",,CG$2,"."&amp;$C$134&amp;$AU$82&amp;"P"&amp;$A161)="N/A",0,RTD("tos.rtd",,CG$2,"."&amp;$C$134&amp;$AU$82&amp;"P"&amp;$A161))</f>
        <v>0.39</v>
      </c>
      <c r="CH161" s="3">
        <f>IF(RTD("tos.rtd",,CH$2,"."&amp;$D$134&amp;$AW$82&amp;"C"&amp;$A161)="N/A",0,RTD("tos.rtd",,CH$2,"."&amp;$D$134&amp;$AW$82&amp;"C"&amp;$A161))</f>
        <v>0.57999999999999996</v>
      </c>
      <c r="CI161" s="3">
        <f>-IF(RTD("tos.rtd",,CI$2,"."&amp;$D$134&amp;$AW$82&amp;"P"&amp;$A161)="N/A",0,RTD("tos.rtd",,CI$2,"."&amp;$D$134&amp;$AW$82&amp;"P"&amp;$A161))</f>
        <v>0.42</v>
      </c>
      <c r="CK161" s="3">
        <f t="shared" si="620"/>
        <v>400</v>
      </c>
      <c r="CL161" s="3"/>
      <c r="CM161" s="3">
        <f t="shared" si="621"/>
        <v>6866</v>
      </c>
      <c r="CN161" s="3"/>
      <c r="CO161" s="3">
        <f t="shared" si="622"/>
        <v>2300</v>
      </c>
      <c r="CP161" s="3">
        <f t="shared" si="542"/>
        <v>9566</v>
      </c>
      <c r="CQ161" s="3">
        <f t="shared" si="552"/>
        <v>-237</v>
      </c>
      <c r="CR161" s="3"/>
      <c r="CS161" s="3">
        <f t="shared" si="553"/>
        <v>9</v>
      </c>
      <c r="CT161" s="3"/>
      <c r="CU161" s="3">
        <f t="shared" si="554"/>
        <v>2</v>
      </c>
      <c r="CV161" s="3"/>
      <c r="CW161" s="3">
        <f t="shared" ca="1" si="555"/>
        <v>4032120.9457814824</v>
      </c>
      <c r="CY161" s="3">
        <f t="shared" ca="1" si="556"/>
        <v>-178550.74762791532</v>
      </c>
      <c r="CZ161" s="70" t="str">
        <f t="shared" ca="1" si="589"/>
        <v>Cruce -</v>
      </c>
      <c r="DA161" s="3">
        <f>IF(RTD("tos.rtd",,DA$43,"."&amp;$B$134&amp;$AS$82&amp;"C"&amp;$A161)="N/A",0,RTD("tos.rtd",,DA$43,"."&amp;$B$134&amp;$AS$82&amp;"C"&amp;$A161))</f>
        <v>71.900000000000006</v>
      </c>
      <c r="DB161" s="3">
        <f>IF(RTD("tos.rtd",,DB$43,"."&amp;$B$134&amp;$AS$82&amp;"P"&amp;$A161)="N/A",0,RTD("tos.rtd",,DB$43,"."&amp;$B$134&amp;$AS$82&amp;"P"&amp;$A161))</f>
        <v>0.2</v>
      </c>
      <c r="DC161" s="3">
        <f>IF(RTD("tos.rtd",,DC$43,"."&amp;$B$134&amp;$AS$82&amp;"C"&amp;$A161)="N/A",0,RTD("tos.rtd",,DC$43,"."&amp;$B$134&amp;$AS$82&amp;"C"&amp;$A161))</f>
        <v>124</v>
      </c>
      <c r="DD161" s="3">
        <f>IF(RTD("tos.rtd",,DD$43,"."&amp;$B$134&amp;$AS$82&amp;"P"&amp;$A161)="N/A",0,RTD("tos.rtd",,DD$43,"."&amp;$B$134&amp;$AS$82&amp;"P"&amp;$A161))</f>
        <v>0.4</v>
      </c>
      <c r="DE161" s="3">
        <f>IF(RTD("tos.rtd",,DE$43,"."&amp;$B$134&amp;$AS$82&amp;"C"&amp;$A161)="N/A",0,RTD("tos.rtd",,DE$43,"."&amp;$B$134&amp;$AS$82&amp;"C"&amp;$A161))</f>
        <v>104.3</v>
      </c>
      <c r="DF161" s="3">
        <f>IF(RTD("tos.rtd",,DF$43,"."&amp;$B$134&amp;$AS$82&amp;"P"&amp;$A161)="N/A",0,RTD("tos.rtd",,DF$43,"."&amp;$B$134&amp;$AS$82&amp;"P"&amp;$A161))</f>
        <v>0</v>
      </c>
      <c r="DG161" s="86">
        <f t="shared" si="590"/>
        <v>-93.75</v>
      </c>
      <c r="DH161" s="3">
        <f t="shared" si="557"/>
        <v>0</v>
      </c>
      <c r="DI161" s="3">
        <f t="shared" si="558"/>
        <v>0</v>
      </c>
      <c r="DJ161" s="3">
        <f t="shared" si="559"/>
        <v>0</v>
      </c>
      <c r="DK161" s="3">
        <f t="shared" si="560"/>
        <v>0</v>
      </c>
      <c r="DL161" s="3">
        <f t="shared" si="561"/>
        <v>0</v>
      </c>
      <c r="DM161" s="3">
        <f t="shared" si="562"/>
        <v>0</v>
      </c>
      <c r="DN161" s="64" t="str">
        <f t="shared" si="563"/>
        <v>UNKNOWN</v>
      </c>
      <c r="DO161" s="64" t="str">
        <f t="shared" si="564"/>
        <v>UNKNOWN</v>
      </c>
      <c r="DP161" s="3">
        <f t="shared" si="565"/>
        <v>0</v>
      </c>
      <c r="DQ161" s="3">
        <f t="shared" si="566"/>
        <v>0</v>
      </c>
      <c r="DR161" s="3">
        <f t="shared" ca="1" si="567"/>
        <v>0</v>
      </c>
      <c r="DS161" s="3">
        <f t="shared" si="568"/>
        <v>0</v>
      </c>
      <c r="DT161" s="3">
        <f t="shared" si="591"/>
        <v>0</v>
      </c>
      <c r="DU161" s="3">
        <f t="shared" si="592"/>
        <v>0</v>
      </c>
      <c r="DV161" s="3">
        <f t="shared" si="569"/>
        <v>-39</v>
      </c>
      <c r="DW161" s="3">
        <f t="shared" si="570"/>
        <v>-100</v>
      </c>
      <c r="DX161" s="3">
        <f t="shared" ca="1" si="571"/>
        <v>2.1407872666162199E-3</v>
      </c>
      <c r="DY161" s="3">
        <f t="shared" ca="1" si="572"/>
        <v>-2.5403832012715968E-3</v>
      </c>
      <c r="DZ161" s="3">
        <f t="shared" ca="1" si="573"/>
        <v>7.217393665277901E-4</v>
      </c>
      <c r="EA161" s="3">
        <f t="shared" ca="1" si="574"/>
        <v>-6.5643812731470941E-4</v>
      </c>
      <c r="EB161" s="3">
        <f t="shared" ca="1" si="575"/>
        <v>7.8519627689277525E-4</v>
      </c>
      <c r="EC161" s="3">
        <f t="shared" ca="1" si="576"/>
        <v>-7.466565290456306E-4</v>
      </c>
      <c r="ED161" s="63">
        <f t="shared" si="593"/>
        <v>-139</v>
      </c>
      <c r="EE161" s="59">
        <f t="shared" si="577"/>
        <v>0.25</v>
      </c>
      <c r="EF161" s="59">
        <f t="shared" si="578"/>
        <v>0.3296</v>
      </c>
      <c r="EG161" s="59">
        <f t="shared" si="579"/>
        <v>0.21</v>
      </c>
      <c r="EH161" s="59">
        <f t="shared" si="580"/>
        <v>0.23169999999999999</v>
      </c>
      <c r="EI161" s="59">
        <f t="shared" si="581"/>
        <v>0.1923</v>
      </c>
      <c r="EJ161" s="59">
        <f t="shared" si="582"/>
        <v>0.20269999999999999</v>
      </c>
      <c r="EK161" s="63">
        <f t="shared" ca="1" si="594"/>
        <v>74096444.002934217</v>
      </c>
      <c r="EL161" s="3" t="str">
        <f>RTD("tos.rtd",,EL$43,"."&amp;$B$134&amp;$AS$82&amp;"C"&amp;$A161)</f>
        <v>--</v>
      </c>
      <c r="EM161" s="3" t="str">
        <f>RTD("tos.rtd",,EM$43,"."&amp;$B$134&amp;$AS$82&amp;"P"&amp;$A161)</f>
        <v>32.96%</v>
      </c>
      <c r="EN161" s="3" t="str">
        <f>RTD("tos.rtd",,EN$2,"."&amp;$C$134&amp;$AU$82&amp;"C"&amp;$A161)</f>
        <v>21.00%</v>
      </c>
      <c r="EO161" s="3" t="str">
        <f>RTD("tos.rtd",,EO$2,"."&amp;$C$134&amp;$AU$82&amp;"P"&amp;$A161)</f>
        <v>23.17%</v>
      </c>
      <c r="EP161" s="3" t="str">
        <f>RTD("tos.rtd",,EP$2,"."&amp;$D$134&amp;$AW$82&amp;"C"&amp;$A161)</f>
        <v>19.23%</v>
      </c>
      <c r="EQ161" s="3" t="str">
        <f>RTD("tos.rtd",,EQ$2,"."&amp;$D$134&amp;$AW$82&amp;"P"&amp;$A161)</f>
        <v>20.27%</v>
      </c>
      <c r="ES161" s="63" t="str">
        <f t="shared" si="583"/>
        <v>20750,-139.00</v>
      </c>
      <c r="ET161" s="63" t="str">
        <f t="shared" ca="1" si="584"/>
        <v>20750,-178.55</v>
      </c>
      <c r="EU161" s="68">
        <v>572.11</v>
      </c>
      <c r="EV161" s="68" t="s">
        <v>1307</v>
      </c>
      <c r="EW161" s="68">
        <v>497.54</v>
      </c>
      <c r="EX161" s="68" t="s">
        <v>1308</v>
      </c>
      <c r="EY161" s="68">
        <v>5732</v>
      </c>
      <c r="EZ161" s="68" t="s">
        <v>1309</v>
      </c>
      <c r="FA161" s="68">
        <v>20426.5</v>
      </c>
      <c r="FB161" s="68" t="s">
        <v>1310</v>
      </c>
      <c r="FC161" s="68" t="s">
        <v>1311</v>
      </c>
      <c r="FD161" s="68" t="s">
        <v>1312</v>
      </c>
      <c r="FE161" s="68" t="s">
        <v>1313</v>
      </c>
      <c r="FF161" s="68" t="s">
        <v>1314</v>
      </c>
    </row>
    <row r="162" spans="1:162" ht="11.1" customHeight="1" thickBot="1" x14ac:dyDescent="0.25">
      <c r="A162" s="2">
        <f t="shared" si="595"/>
        <v>20725</v>
      </c>
      <c r="B162" s="3">
        <f t="shared" si="628"/>
        <v>2</v>
      </c>
      <c r="C162" s="3">
        <f t="shared" si="629"/>
        <v>73</v>
      </c>
      <c r="D162" s="3">
        <f t="shared" si="630"/>
        <v>12</v>
      </c>
      <c r="E162" s="3">
        <f t="shared" si="613"/>
        <v>87</v>
      </c>
      <c r="F162" s="4">
        <f t="shared" si="623"/>
        <v>20824.430284857568</v>
      </c>
      <c r="G162" s="5">
        <f t="shared" si="615"/>
        <v>504.76778410794606</v>
      </c>
      <c r="AM162" s="1">
        <v>25</v>
      </c>
      <c r="AN162" s="1">
        <v>52</v>
      </c>
      <c r="AO162" s="1">
        <v>20725</v>
      </c>
      <c r="AP162" s="1">
        <v>127</v>
      </c>
      <c r="AQ162" s="1">
        <v>-311</v>
      </c>
      <c r="AS162" s="54">
        <f>IF(RTD("tos.rtd",,AS$83,"."&amp;$B$134&amp;$AS$82&amp;"C"&amp;$A162)="N/A",0,RTD("tos.rtd",,AS$83,"."&amp;$B$134&amp;$AS$82&amp;"C"&amp;$A162))</f>
        <v>2</v>
      </c>
      <c r="AT162" s="3">
        <f>-IF(RTD("tos.rtd",,AT$83,"."&amp;$B$134&amp;$AS$82&amp;"P"&amp;$A162)="N/A",0,RTD("tos.rtd",,AT$83,"."&amp;$B$134&amp;$AS$82&amp;"P"&amp;$A162))</f>
        <v>0</v>
      </c>
      <c r="AU162" s="54">
        <f>IF(RTD("tos.rtd",,AU$2,"."&amp;$C$134&amp;$AU$134&amp;"C"&amp;$A162)="N/A",0,RTD("tos.rtd",,AU$2,"."&amp;$C$134&amp;$AU$134&amp;"C"&amp;$A162))</f>
        <v>53</v>
      </c>
      <c r="AV162" s="3">
        <f>-IF(RTD("tos.rtd",,AV$2,"."&amp;$C$134&amp;$AU$134&amp;"P"&amp;$A162)="N/A",0,RTD("tos.rtd",,AV$2,"."&amp;$C$134&amp;$AU$134&amp;"P"&amp;$A162))</f>
        <v>-20</v>
      </c>
      <c r="AW162" s="54">
        <f>IF(RTD("tos.rtd",,AW$2,"."&amp;$D$134&amp;$AW$134&amp;"C"&amp;$A162)="N/A",0,RTD("tos.rtd",,AW$2,"."&amp;$D$134&amp;$AW$134&amp;"C"&amp;$A162))</f>
        <v>12</v>
      </c>
      <c r="AX162" s="3">
        <f>-IF(RTD("tos.rtd",,AX$2,"."&amp;$D$134&amp;$AW$134&amp;"P"&amp;$A162)="N/A",0,RTD("tos.rtd",,AX$2,"."&amp;$D$134&amp;$AW$134&amp;"P"&amp;$A162))</f>
        <v>0</v>
      </c>
      <c r="AY162" s="76">
        <f t="shared" si="624"/>
        <v>47</v>
      </c>
      <c r="AZ162" s="8">
        <f t="shared" si="548"/>
        <v>20725</v>
      </c>
      <c r="BA162" s="54">
        <f>IF(RTD("tos.rtd",,BA$43,"."&amp;$B$134&amp;$AS$82&amp;"C"&amp;$A162)="N/A",0,RTD("tos.rtd",,BA$43,"."&amp;$B$134&amp;$AS$82&amp;"C"&amp;$A162))</f>
        <v>127</v>
      </c>
      <c r="BB162" s="3">
        <f>-IF(RTD("tos.rtd",,BB$43,"."&amp;$B$134&amp;$AS$82&amp;"P"&amp;$A162)="N/A",0,RTD("tos.rtd",,BB$43,"."&amp;$B$134&amp;$AS$82&amp;"P"&amp;$A162))</f>
        <v>-311</v>
      </c>
      <c r="BC162" s="54">
        <f>IF(RTD("tos.rtd",,BC$2,"."&amp;$C$134&amp;$AU$82&amp;"C"&amp;$A162)="N/A",0,RTD("tos.rtd",,BC$2,"."&amp;$C$134&amp;$AU$82&amp;"C"&amp;$A162))</f>
        <v>40</v>
      </c>
      <c r="BD162" s="3">
        <f>-IF(RTD("tos.rtd",,BD$2,"."&amp;$C$134&amp;$AU$82&amp;"P"&amp;$A162)="N/A",0,RTD("tos.rtd",,BD$2,"."&amp;$C$134&amp;$AU$82&amp;"P"&amp;$A162))</f>
        <v>-17</v>
      </c>
      <c r="BE162" s="54">
        <f>IF(RTD("tos.rtd",,BE$2,"."&amp;$D$134&amp;$AW$82&amp;"C"&amp;$A162)="N/A",0,RTD("tos.rtd",,BE$2,"."&amp;$D$134&amp;$AW$82&amp;"C"&amp;$A162))</f>
        <v>0</v>
      </c>
      <c r="BF162" s="3">
        <f>-IF(RTD("tos.rtd",,BF$2,"."&amp;$D$134&amp;$AW$82&amp;"P"&amp;$A162)="N/A",0,RTD("tos.rtd",,BF$2,"."&amp;$D$134&amp;$AW$82&amp;"P"&amp;$A162))</f>
        <v>0</v>
      </c>
      <c r="BG162" s="3">
        <f ca="1">+Hoja2!Y163</f>
        <v>5</v>
      </c>
      <c r="BH162" s="7">
        <f t="shared" ca="1" si="549"/>
        <v>-156</v>
      </c>
      <c r="BI162" s="32" t="str">
        <f t="shared" ca="1" si="609"/>
        <v/>
      </c>
      <c r="BJ162" s="3">
        <f ca="1">IF($BP$1=1,DX162,IF(RTD("tos.rtd",,BJ$43,"."&amp;$B$134&amp;$AS$82&amp;"C"&amp;$A162)="N/A",0,RTD("tos.rtd",,BJ$43,"."&amp;$B$134&amp;$AS$82&amp;"C"&amp;$A162)))</f>
        <v>1.1303844632886638E-3</v>
      </c>
      <c r="BK162" s="3">
        <f ca="1">IF($BP$1=1,DY162,-IF(RTD("tos.rtd",,BK$43,"."&amp;$B$134&amp;$AS$82&amp;"P"&amp;$A162)="N/A",0,RTD("tos.rtd",,BK$43,"."&amp;$B$134&amp;$AS$82&amp;"P"&amp;$A162)))</f>
        <v>-1.6542940498925089E-3</v>
      </c>
      <c r="BL162" s="3">
        <f ca="1">IF($BP$1=1,DZ162,IF(RTD("tos.rtd",,BL$2,"."&amp;$C$134&amp;$AU$82&amp;"C"&amp;$A162)="N/A",0,RTD("tos.rtd",,BL$2,"."&amp;$C$134&amp;$AU$82&amp;"C"&amp;$A162)))</f>
        <v>7.1104075793878684E-4</v>
      </c>
      <c r="BM162" s="3">
        <f ca="1">IF($BP$1=1,EA162,-IF(RTD("tos.rtd",,BM$2,"."&amp;$C$134&amp;$AU$82&amp;"P"&amp;$A162)="N/A",0,RTD("tos.rtd",,BM$2,"."&amp;$C$134&amp;$AU$82&amp;"P"&amp;$A162)))</f>
        <v>-6.494437050448029E-4</v>
      </c>
      <c r="BN162" s="3">
        <f ca="1">IF($BP$1=1,EB162,IF(RTD("tos.rtd",,BN$2,"."&amp;$D$134&amp;$AW$82&amp;"C"&amp;$A162)="N/A",0,RTD("tos.rtd",,BN$2,"."&amp;$D$134&amp;$AW$82&amp;"C"&amp;$A162)))</f>
        <v>7.7252231592408831E-4</v>
      </c>
      <c r="BO162" s="3">
        <f ca="1">IF($BP$1=1,EC162,-IF(RTD("tos.rtd",,BO$2,"."&amp;$D$134&amp;$AW$82&amp;"P"&amp;$A162)="N/A",0,RTD("tos.rtd",,BO$2,"."&amp;$D$134&amp;$AW$82&amp;"P"&amp;$A162)))</f>
        <v>-7.359560242952138E-4</v>
      </c>
      <c r="BQ162" s="3">
        <f t="shared" ca="1" si="625"/>
        <v>77151.097742739788</v>
      </c>
      <c r="BR162" s="3" t="str">
        <f t="shared" ca="1" si="550"/>
        <v/>
      </c>
      <c r="BS162" s="3">
        <f t="shared" ca="1" si="626"/>
        <v>842786.52190384921</v>
      </c>
      <c r="BT162" s="3" t="str">
        <f t="shared" ca="1" si="551"/>
        <v/>
      </c>
      <c r="BU162" s="3">
        <f t="shared" ca="1" si="627"/>
        <v>316357.55783961201</v>
      </c>
      <c r="BV162" s="3" t="str">
        <f t="shared" ca="1" si="551"/>
        <v/>
      </c>
      <c r="BX162" s="3">
        <f t="shared" ca="1" si="585"/>
        <v>-95594.717941589624</v>
      </c>
      <c r="BY162" s="3" t="str">
        <f t="shared" ca="1" si="586"/>
        <v/>
      </c>
      <c r="BZ162" s="3">
        <f t="shared" ca="1" si="587"/>
        <v>4484.5851811488119</v>
      </c>
      <c r="CA162" s="3" t="str">
        <f t="shared" ca="1" si="586"/>
        <v/>
      </c>
      <c r="CB162" s="3">
        <f t="shared" ca="1" si="588"/>
        <v>0</v>
      </c>
      <c r="CC162" s="3" t="str">
        <f t="shared" ca="1" si="586"/>
        <v/>
      </c>
      <c r="CD162" s="3">
        <f>IF(RTD("tos.rtd",,CD$43,"."&amp;$B$134&amp;$AS$82&amp;"C"&amp;$A162)="N/A",0,RTD("tos.rtd",,CD$43,"."&amp;$B$134&amp;$AS$82&amp;"C"&amp;$A162))</f>
        <v>1</v>
      </c>
      <c r="CE162" s="3">
        <f>-IF(RTD("tos.rtd",,CE$43,"."&amp;$B$134&amp;$AS$82&amp;"P"&amp;$A162)="N/A",0,RTD("tos.rtd",,CE$43,"."&amp;$B$134&amp;$AS$82&amp;"P"&amp;$A162))</f>
        <v>0.12</v>
      </c>
      <c r="CF162" s="3">
        <f>IF(RTD("tos.rtd",,CF$2,"."&amp;$C$134&amp;$AU$82&amp;"C"&amp;$A162)="N/A",0,RTD("tos.rtd",,CF$2,"."&amp;$C$134&amp;$AU$82&amp;"C"&amp;$A162))</f>
        <v>0.64</v>
      </c>
      <c r="CG162" s="3">
        <f>-IF(RTD("tos.rtd",,CG$2,"."&amp;$C$134&amp;$AU$82&amp;"P"&amp;$A162)="N/A",0,RTD("tos.rtd",,CG$2,"."&amp;$C$134&amp;$AU$82&amp;"P"&amp;$A162))</f>
        <v>0.37</v>
      </c>
      <c r="CH162" s="3">
        <f>IF(RTD("tos.rtd",,CH$2,"."&amp;$D$134&amp;$AW$82&amp;"C"&amp;$A162)="N/A",0,RTD("tos.rtd",,CH$2,"."&amp;$D$134&amp;$AW$82&amp;"C"&amp;$A162))</f>
        <v>0.59</v>
      </c>
      <c r="CI162" s="3">
        <f>-IF(RTD("tos.rtd",,CI$2,"."&amp;$D$134&amp;$AW$82&amp;"P"&amp;$A162)="N/A",0,RTD("tos.rtd",,CI$2,"."&amp;$D$134&amp;$AW$82&amp;"P"&amp;$A162))</f>
        <v>0.42</v>
      </c>
      <c r="CK162" s="3">
        <f t="shared" si="620"/>
        <v>200</v>
      </c>
      <c r="CL162" s="3"/>
      <c r="CM162" s="3">
        <f t="shared" si="621"/>
        <v>2652</v>
      </c>
      <c r="CN162" s="3"/>
      <c r="CO162" s="3">
        <f t="shared" si="622"/>
        <v>708</v>
      </c>
      <c r="CP162" s="3">
        <f t="shared" si="542"/>
        <v>3560</v>
      </c>
      <c r="CQ162" s="3">
        <f t="shared" si="552"/>
        <v>-184</v>
      </c>
      <c r="CR162" s="3"/>
      <c r="CS162" s="3">
        <f t="shared" si="553"/>
        <v>23</v>
      </c>
      <c r="CT162" s="3"/>
      <c r="CU162" s="3">
        <f t="shared" si="554"/>
        <v>0</v>
      </c>
      <c r="CV162" s="3"/>
      <c r="CW162" s="3">
        <f t="shared" ca="1" si="555"/>
        <v>1236295.177486201</v>
      </c>
      <c r="CY162" s="3">
        <f t="shared" ca="1" si="556"/>
        <v>-91110.132760440814</v>
      </c>
      <c r="CZ162" s="70" t="str">
        <f t="shared" ca="1" si="589"/>
        <v/>
      </c>
      <c r="DA162" s="3">
        <f>IF(RTD("tos.rtd",,DA$43,"."&amp;$B$134&amp;$AS$82&amp;"C"&amp;$A162)="N/A",0,RTD("tos.rtd",,DA$43,"."&amp;$B$134&amp;$AS$82&amp;"C"&amp;$A162))</f>
        <v>105</v>
      </c>
      <c r="DB162" s="3">
        <f>IF(RTD("tos.rtd",,DB$43,"."&amp;$B$134&amp;$AS$82&amp;"P"&amp;$A162)="N/A",0,RTD("tos.rtd",,DB$43,"."&amp;$B$134&amp;$AS$82&amp;"P"&amp;$A162))</f>
        <v>0.95</v>
      </c>
      <c r="DC162" s="3">
        <f>IF(RTD("tos.rtd",,DC$43,"."&amp;$B$134&amp;$AS$82&amp;"C"&amp;$A162)="N/A",0,RTD("tos.rtd",,DC$43,"."&amp;$B$134&amp;$AS$82&amp;"C"&amp;$A162))</f>
        <v>148</v>
      </c>
      <c r="DD162" s="3">
        <f>IF(RTD("tos.rtd",,DD$43,"."&amp;$B$134&amp;$AS$82&amp;"P"&amp;$A162)="N/A",0,RTD("tos.rtd",,DD$43,"."&amp;$B$134&amp;$AS$82&amp;"P"&amp;$A162))</f>
        <v>14.6</v>
      </c>
      <c r="DE162" s="3">
        <f>IF(RTD("tos.rtd",,DE$43,"."&amp;$B$134&amp;$AS$82&amp;"C"&amp;$A162)="N/A",0,RTD("tos.rtd",,DE$43,"."&amp;$B$134&amp;$AS$82&amp;"C"&amp;$A162))</f>
        <v>129.30000000000001</v>
      </c>
      <c r="DF162" s="3">
        <f>IF(RTD("tos.rtd",,DF$43,"."&amp;$B$134&amp;$AS$82&amp;"P"&amp;$A162)="N/A",0,RTD("tos.rtd",,DF$43,"."&amp;$B$134&amp;$AS$82&amp;"P"&amp;$A162))</f>
        <v>0</v>
      </c>
      <c r="DG162" s="86">
        <f t="shared" si="590"/>
        <v>-118.75</v>
      </c>
      <c r="DH162" s="3">
        <f t="shared" si="557"/>
        <v>0</v>
      </c>
      <c r="DI162" s="3">
        <f t="shared" si="558"/>
        <v>0</v>
      </c>
      <c r="DJ162" s="3">
        <f t="shared" si="559"/>
        <v>0</v>
      </c>
      <c r="DK162" s="3">
        <f t="shared" si="560"/>
        <v>0</v>
      </c>
      <c r="DL162" s="3">
        <f t="shared" si="561"/>
        <v>0</v>
      </c>
      <c r="DM162" s="3">
        <f t="shared" si="562"/>
        <v>0</v>
      </c>
      <c r="DN162" s="64" t="str">
        <f t="shared" si="563"/>
        <v>UNKNOWN</v>
      </c>
      <c r="DO162" s="64" t="str">
        <f t="shared" si="564"/>
        <v>UNKNOWN</v>
      </c>
      <c r="DP162" s="3">
        <f t="shared" si="565"/>
        <v>0</v>
      </c>
      <c r="DQ162" s="3">
        <f t="shared" si="566"/>
        <v>0</v>
      </c>
      <c r="DR162" s="3">
        <f t="shared" ca="1" si="567"/>
        <v>0</v>
      </c>
      <c r="DS162" s="3">
        <f t="shared" si="568"/>
        <v>0</v>
      </c>
      <c r="DT162" s="3">
        <f t="shared" si="591"/>
        <v>0</v>
      </c>
      <c r="DU162" s="3">
        <f t="shared" si="592"/>
        <v>0</v>
      </c>
      <c r="DV162" s="3">
        <f t="shared" si="569"/>
        <v>25</v>
      </c>
      <c r="DW162" s="3">
        <f t="shared" si="570"/>
        <v>52</v>
      </c>
      <c r="DX162" s="3">
        <f t="shared" ca="1" si="571"/>
        <v>1.1303844632886638E-3</v>
      </c>
      <c r="DY162" s="3">
        <f t="shared" ca="1" si="572"/>
        <v>-1.6542940498925089E-3</v>
      </c>
      <c r="DZ162" s="3">
        <f t="shared" ca="1" si="573"/>
        <v>7.1104075793878684E-4</v>
      </c>
      <c r="EA162" s="3">
        <f t="shared" ca="1" si="574"/>
        <v>-6.494437050448029E-4</v>
      </c>
      <c r="EB162" s="3">
        <f t="shared" ca="1" si="575"/>
        <v>7.7252231592408831E-4</v>
      </c>
      <c r="EC162" s="3">
        <f t="shared" ca="1" si="576"/>
        <v>-7.359560242952138E-4</v>
      </c>
      <c r="ED162" s="63">
        <f t="shared" si="593"/>
        <v>77</v>
      </c>
      <c r="EE162" s="59">
        <f t="shared" si="577"/>
        <v>0.25</v>
      </c>
      <c r="EF162" s="59">
        <f t="shared" si="578"/>
        <v>0.77929999999999999</v>
      </c>
      <c r="EG162" s="59">
        <f t="shared" si="579"/>
        <v>0.2109</v>
      </c>
      <c r="EH162" s="59">
        <f t="shared" si="580"/>
        <v>0.2321</v>
      </c>
      <c r="EI162" s="59">
        <f t="shared" si="581"/>
        <v>0.193</v>
      </c>
      <c r="EJ162" s="59">
        <f t="shared" si="582"/>
        <v>0.20330000000000001</v>
      </c>
      <c r="EK162" s="63">
        <f t="shared" ca="1" si="594"/>
        <v>-25096118.546929605</v>
      </c>
      <c r="EL162" s="3" t="str">
        <f>RTD("tos.rtd",,EL$43,"."&amp;$B$134&amp;$AS$82&amp;"C"&amp;$A162)</f>
        <v>--</v>
      </c>
      <c r="EM162" s="3" t="str">
        <f>RTD("tos.rtd",,EM$43,"."&amp;$B$134&amp;$AS$82&amp;"P"&amp;$A162)</f>
        <v>77.93%</v>
      </c>
      <c r="EN162" s="3" t="str">
        <f>RTD("tos.rtd",,EN$2,"."&amp;$C$134&amp;$AU$82&amp;"C"&amp;$A162)</f>
        <v>21.09%</v>
      </c>
      <c r="EO162" s="3" t="str">
        <f>RTD("tos.rtd",,EO$2,"."&amp;$C$134&amp;$AU$82&amp;"P"&amp;$A162)</f>
        <v>23.21%</v>
      </c>
      <c r="EP162" s="3" t="str">
        <f>RTD("tos.rtd",,EP$2,"."&amp;$D$134&amp;$AW$82&amp;"C"&amp;$A162)</f>
        <v>19.30%</v>
      </c>
      <c r="EQ162" s="3" t="str">
        <f>RTD("tos.rtd",,EQ$2,"."&amp;$D$134&amp;$AW$82&amp;"P"&amp;$A162)</f>
        <v>20.33%</v>
      </c>
      <c r="ES162" s="63" t="str">
        <f t="shared" si="583"/>
        <v>20725,77.00</v>
      </c>
      <c r="ET162" s="63" t="str">
        <f t="shared" ca="1" si="584"/>
        <v>20725,-91.11</v>
      </c>
      <c r="EU162" s="68">
        <v>572.01</v>
      </c>
      <c r="EV162" s="68" t="s">
        <v>1315</v>
      </c>
      <c r="EW162" s="68">
        <v>497.42</v>
      </c>
      <c r="EX162" s="68" t="s">
        <v>1316</v>
      </c>
      <c r="EY162" s="68">
        <v>5731.25</v>
      </c>
      <c r="EZ162" s="68" t="s">
        <v>1317</v>
      </c>
      <c r="FA162" s="68">
        <v>20423.25</v>
      </c>
      <c r="FB162" s="68" t="s">
        <v>1318</v>
      </c>
      <c r="FC162" s="68" t="s">
        <v>1319</v>
      </c>
      <c r="FD162" s="68" t="s">
        <v>1320</v>
      </c>
      <c r="FE162" s="68" t="s">
        <v>1321</v>
      </c>
      <c r="FF162" s="68" t="s">
        <v>1322</v>
      </c>
    </row>
    <row r="163" spans="1:162" ht="11.1" customHeight="1" thickBot="1" x14ac:dyDescent="0.25">
      <c r="A163" s="2">
        <f t="shared" si="595"/>
        <v>20700</v>
      </c>
      <c r="B163" s="10">
        <f t="shared" si="628"/>
        <v>2057</v>
      </c>
      <c r="C163" s="10">
        <f t="shared" si="629"/>
        <v>91</v>
      </c>
      <c r="D163" s="10">
        <f t="shared" si="630"/>
        <v>73</v>
      </c>
      <c r="E163" s="10">
        <f t="shared" si="613"/>
        <v>2221</v>
      </c>
      <c r="F163" s="11">
        <f t="shared" si="623"/>
        <v>20799.310344827583</v>
      </c>
      <c r="G163" s="5">
        <f t="shared" si="615"/>
        <v>504.15889655172418</v>
      </c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">
        <v>149</v>
      </c>
      <c r="AN163" s="1">
        <v>-241</v>
      </c>
      <c r="AO163" s="12">
        <v>20700</v>
      </c>
      <c r="AP163" s="12">
        <v>1187</v>
      </c>
      <c r="AQ163" s="12">
        <v>-923</v>
      </c>
      <c r="AR163" s="12"/>
      <c r="AS163" s="54">
        <f>IF(RTD("tos.rtd",,AS$83,"."&amp;$B$134&amp;$AS$82&amp;"C"&amp;$A163)="N/A",0,RTD("tos.rtd",,AS$83,"."&amp;$B$134&amp;$AS$82&amp;"C"&amp;$A163))</f>
        <v>2011</v>
      </c>
      <c r="AT163" s="3">
        <f>-IF(RTD("tos.rtd",,AT$83,"."&amp;$B$134&amp;$AS$82&amp;"P"&amp;$A163)="N/A",0,RTD("tos.rtd",,AT$83,"."&amp;$B$134&amp;$AS$82&amp;"P"&amp;$A163))</f>
        <v>-46</v>
      </c>
      <c r="AU163" s="54">
        <f>IF(RTD("tos.rtd",,AU$2,"."&amp;$C$134&amp;$AU$134&amp;"C"&amp;$A163)="N/A",0,RTD("tos.rtd",,AU$2,"."&amp;$C$134&amp;$AU$134&amp;"C"&amp;$A163))</f>
        <v>67</v>
      </c>
      <c r="AV163" s="3">
        <f>-IF(RTD("tos.rtd",,AV$2,"."&amp;$C$134&amp;$AU$134&amp;"P"&amp;$A163)="N/A",0,RTD("tos.rtd",,AV$2,"."&amp;$C$134&amp;$AU$134&amp;"P"&amp;$A163))</f>
        <v>-24</v>
      </c>
      <c r="AW163" s="54">
        <f>IF(RTD("tos.rtd",,AW$2,"."&amp;$D$134&amp;$AW$134&amp;"C"&amp;$A163)="N/A",0,RTD("tos.rtd",,AW$2,"."&amp;$D$134&amp;$AW$134&amp;"C"&amp;$A163))</f>
        <v>44</v>
      </c>
      <c r="AX163" s="3">
        <f>-IF(RTD("tos.rtd",,AX$2,"."&amp;$D$134&amp;$AW$134&amp;"P"&amp;$A163)="N/A",0,RTD("tos.rtd",,AX$2,"."&amp;$D$134&amp;$AW$134&amp;"P"&amp;$A163))</f>
        <v>-29</v>
      </c>
      <c r="AY163" s="76">
        <f t="shared" si="624"/>
        <v>2023</v>
      </c>
      <c r="AZ163" s="8">
        <f t="shared" si="548"/>
        <v>20700</v>
      </c>
      <c r="BA163" s="54">
        <f>IF(RTD("tos.rtd",,BA$43,"."&amp;$B$134&amp;$AS$82&amp;"C"&amp;$A163)="N/A",0,RTD("tos.rtd",,BA$43,"."&amp;$B$134&amp;$AS$82&amp;"C"&amp;$A163))</f>
        <v>1187</v>
      </c>
      <c r="BB163" s="3">
        <f>-IF(RTD("tos.rtd",,BB$43,"."&amp;$B$134&amp;$AS$82&amp;"P"&amp;$A163)="N/A",0,RTD("tos.rtd",,BB$43,"."&amp;$B$134&amp;$AS$82&amp;"P"&amp;$A163))</f>
        <v>-923</v>
      </c>
      <c r="BC163" s="54">
        <f>IF(RTD("tos.rtd",,BC$2,"."&amp;$C$134&amp;$AU$82&amp;"C"&amp;$A163)="N/A",0,RTD("tos.rtd",,BC$2,"."&amp;$C$134&amp;$AU$82&amp;"C"&amp;$A163))</f>
        <v>68</v>
      </c>
      <c r="BD163" s="3">
        <f>-IF(RTD("tos.rtd",,BD$2,"."&amp;$C$134&amp;$AU$82&amp;"P"&amp;$A163)="N/A",0,RTD("tos.rtd",,BD$2,"."&amp;$C$134&amp;$AU$82&amp;"P"&amp;$A163))</f>
        <v>-26</v>
      </c>
      <c r="BE163" s="54">
        <f>IF(RTD("tos.rtd",,BE$2,"."&amp;$D$134&amp;$AW$82&amp;"C"&amp;$A163)="N/A",0,RTD("tos.rtd",,BE$2,"."&amp;$D$134&amp;$AW$82&amp;"C"&amp;$A163))</f>
        <v>4</v>
      </c>
      <c r="BF163" s="3">
        <f>-IF(RTD("tos.rtd",,BF$2,"."&amp;$D$134&amp;$AW$82&amp;"P"&amp;$A163)="N/A",0,RTD("tos.rtd",,BF$2,"."&amp;$D$134&amp;$AW$82&amp;"P"&amp;$A163))</f>
        <v>-2</v>
      </c>
      <c r="BG163" s="3">
        <f ca="1">+Hoja2!Y164</f>
        <v>-12</v>
      </c>
      <c r="BH163" s="7">
        <f t="shared" ca="1" si="549"/>
        <v>296</v>
      </c>
      <c r="BI163" s="32" t="str">
        <f t="shared" ca="1" si="609"/>
        <v>Cruce +</v>
      </c>
      <c r="BJ163" s="3">
        <f ca="1">IF($BP$1=1,DX163,IF(RTD("tos.rtd",,BJ$43,"."&amp;$B$134&amp;$AS$82&amp;"C"&amp;$A163)="N/A",0,RTD("tos.rtd",,BJ$43,"."&amp;$B$134&amp;$AS$82&amp;"C"&amp;$A163)))</f>
        <v>5.1303581603857104E-4</v>
      </c>
      <c r="BK163" s="3">
        <f ca="1">IF($BP$1=1,DY163,-IF(RTD("tos.rtd",,BK$43,"."&amp;$B$134&amp;$AS$82&amp;"P"&amp;$A163)="N/A",0,RTD("tos.rtd",,BK$43,"."&amp;$B$134&amp;$AS$82&amp;"P"&amp;$A163)))</f>
        <v>-1.5684065008674357E-3</v>
      </c>
      <c r="BL163" s="3">
        <f ca="1">IF($BP$1=1,DZ163,IF(RTD("tos.rtd",,BL$2,"."&amp;$C$134&amp;$AU$82&amp;"C"&amp;$A163)="N/A",0,RTD("tos.rtd",,BL$2,"."&amp;$C$134&amp;$AU$82&amp;"C"&amp;$A163)))</f>
        <v>7.0339501668738563E-4</v>
      </c>
      <c r="BM163" s="3">
        <f ca="1">IF($BP$1=1,EA163,-IF(RTD("tos.rtd",,BM$2,"."&amp;$C$134&amp;$AU$82&amp;"P"&amp;$A163)="N/A",0,RTD("tos.rtd",,BM$2,"."&amp;$C$134&amp;$AU$82&amp;"P"&amp;$A163)))</f>
        <v>-6.4039623875438594E-4</v>
      </c>
      <c r="BN163" s="3">
        <f ca="1">IF($BP$1=1,EB163,IF(RTD("tos.rtd",,BN$2,"."&amp;$D$134&amp;$AW$82&amp;"C"&amp;$A163)="N/A",0,RTD("tos.rtd",,BN$2,"."&amp;$D$134&amp;$AW$82&amp;"C"&amp;$A163)))</f>
        <v>7.5860423618259818E-4</v>
      </c>
      <c r="BO163" s="3">
        <f ca="1">IF($BP$1=1,EC163,-IF(RTD("tos.rtd",,BO$2,"."&amp;$D$134&amp;$AW$82&amp;"P"&amp;$A163)="N/A",0,RTD("tos.rtd",,BO$2,"."&amp;$D$134&amp;$AW$82&amp;"P"&amp;$A163)))</f>
        <v>-7.2318831314226813E-4</v>
      </c>
      <c r="BQ163" s="3">
        <f t="shared" ca="1" si="625"/>
        <v>32746270.049079392</v>
      </c>
      <c r="BR163" s="3" t="str">
        <f t="shared" ca="1" si="550"/>
        <v/>
      </c>
      <c r="BS163" s="3">
        <f t="shared" ca="1" si="626"/>
        <v>1083773.3872721642</v>
      </c>
      <c r="BT163" s="3" t="str">
        <f t="shared" ca="1" si="551"/>
        <v/>
      </c>
      <c r="BU163" s="3">
        <f t="shared" ca="1" si="627"/>
        <v>423371.96659883624</v>
      </c>
      <c r="BV163" s="3" t="str">
        <f t="shared" ca="1" si="551"/>
        <v/>
      </c>
      <c r="BX163" s="3">
        <f t="shared" ca="1" si="585"/>
        <v>-216139.8100379167</v>
      </c>
      <c r="BY163" s="3" t="str">
        <f t="shared" ca="1" si="586"/>
        <v/>
      </c>
      <c r="BZ163" s="3">
        <f t="shared" ca="1" si="587"/>
        <v>8035.8123511672338</v>
      </c>
      <c r="CA163" s="3" t="str">
        <f t="shared" ca="1" si="586"/>
        <v/>
      </c>
      <c r="CB163" s="3">
        <f t="shared" ca="1" si="588"/>
        <v>409.2676476692684</v>
      </c>
      <c r="CC163" s="3" t="str">
        <f t="shared" ca="1" si="586"/>
        <v/>
      </c>
      <c r="CD163" s="3">
        <f>IF(RTD("tos.rtd",,CD$43,"."&amp;$B$134&amp;$AS$82&amp;"C"&amp;$A163)="N/A",0,RTD("tos.rtd",,CD$43,"."&amp;$B$134&amp;$AS$82&amp;"C"&amp;$A163))</f>
        <v>1</v>
      </c>
      <c r="CE163" s="3">
        <f>-IF(RTD("tos.rtd",,CE$43,"."&amp;$B$134&amp;$AS$82&amp;"P"&amp;$A163)="N/A",0,RTD("tos.rtd",,CE$43,"."&amp;$B$134&amp;$AS$82&amp;"P"&amp;$A163))</f>
        <v>0.01</v>
      </c>
      <c r="CF163" s="3">
        <f>IF(RTD("tos.rtd",,CF$2,"."&amp;$C$134&amp;$AU$82&amp;"C"&amp;$A163)="N/A",0,RTD("tos.rtd",,CF$2,"."&amp;$C$134&amp;$AU$82&amp;"C"&amp;$A163))</f>
        <v>0.66</v>
      </c>
      <c r="CG163" s="3">
        <f>-IF(RTD("tos.rtd",,CG$2,"."&amp;$C$134&amp;$AU$82&amp;"P"&amp;$A163)="N/A",0,RTD("tos.rtd",,CG$2,"."&amp;$C$134&amp;$AU$82&amp;"P"&amp;$A163))</f>
        <v>0.35</v>
      </c>
      <c r="CH163" s="3">
        <f>IF(RTD("tos.rtd",,CH$2,"."&amp;$D$134&amp;$AW$82&amp;"C"&amp;$A163)="N/A",0,RTD("tos.rtd",,CH$2,"."&amp;$D$134&amp;$AW$82&amp;"C"&amp;$A163))</f>
        <v>0.59</v>
      </c>
      <c r="CI163" s="3">
        <f>-IF(RTD("tos.rtd",,CI$2,"."&amp;$D$134&amp;$AW$82&amp;"P"&amp;$A163)="N/A",0,RTD("tos.rtd",,CI$2,"."&amp;$D$134&amp;$AW$82&amp;"P"&amp;$A163))</f>
        <v>0.41</v>
      </c>
      <c r="CK163" s="3">
        <f t="shared" si="620"/>
        <v>201054</v>
      </c>
      <c r="CL163" s="3"/>
      <c r="CM163" s="3">
        <f t="shared" si="621"/>
        <v>3582</v>
      </c>
      <c r="CN163" s="3"/>
      <c r="CO163" s="3">
        <f t="shared" si="622"/>
        <v>1406.9999999999998</v>
      </c>
      <c r="CP163" s="3">
        <f t="shared" si="542"/>
        <v>206043</v>
      </c>
      <c r="CQ163" s="3">
        <f t="shared" si="552"/>
        <v>264</v>
      </c>
      <c r="CR163" s="3"/>
      <c r="CS163" s="3">
        <f t="shared" si="553"/>
        <v>42</v>
      </c>
      <c r="CT163" s="3"/>
      <c r="CU163" s="3">
        <f t="shared" si="554"/>
        <v>2</v>
      </c>
      <c r="CV163" s="3"/>
      <c r="CW163" s="3">
        <f t="shared" ca="1" si="555"/>
        <v>34253415.402950391</v>
      </c>
      <c r="CY163" s="3">
        <f t="shared" ca="1" si="556"/>
        <v>-207694.7300390802</v>
      </c>
      <c r="CZ163" s="70" t="str">
        <f t="shared" ca="1" si="589"/>
        <v/>
      </c>
      <c r="DA163" s="3">
        <f>IF(RTD("tos.rtd",,DA$43,"."&amp;$B$134&amp;$AS$82&amp;"C"&amp;$A163)="N/A",0,RTD("tos.rtd",,DA$43,"."&amp;$B$134&amp;$AS$82&amp;"C"&amp;$A163))</f>
        <v>140</v>
      </c>
      <c r="DB163" s="3">
        <f>IF(RTD("tos.rtd",,DB$43,"."&amp;$B$134&amp;$AS$82&amp;"P"&amp;$A163)="N/A",0,RTD("tos.rtd",,DB$43,"."&amp;$B$134&amp;$AS$82&amp;"P"&amp;$A163))</f>
        <v>0.26</v>
      </c>
      <c r="DC163" s="3">
        <f>IF(RTD("tos.rtd",,DC$43,"."&amp;$B$134&amp;$AS$82&amp;"C"&amp;$A163)="N/A",0,RTD("tos.rtd",,DC$43,"."&amp;$B$134&amp;$AS$82&amp;"C"&amp;$A163))</f>
        <v>174</v>
      </c>
      <c r="DD163" s="3">
        <f>IF(RTD("tos.rtd",,DD$43,"."&amp;$B$134&amp;$AS$82&amp;"P"&amp;$A163)="N/A",0,RTD("tos.rtd",,DD$43,"."&amp;$B$134&amp;$AS$82&amp;"P"&amp;$A163))</f>
        <v>0.35</v>
      </c>
      <c r="DE163" s="3">
        <f>IF(RTD("tos.rtd",,DE$43,"."&amp;$B$134&amp;$AS$82&amp;"C"&amp;$A163)="N/A",0,RTD("tos.rtd",,DE$43,"."&amp;$B$134&amp;$AS$82&amp;"C"&amp;$A163))</f>
        <v>154.80000000000001</v>
      </c>
      <c r="DF163" s="3">
        <f>IF(RTD("tos.rtd",,DF$43,"."&amp;$B$134&amp;$AS$82&amp;"P"&amp;$A163)="N/A",0,RTD("tos.rtd",,DF$43,"."&amp;$B$134&amp;$AS$82&amp;"P"&amp;$A163))</f>
        <v>0</v>
      </c>
      <c r="DG163" s="86">
        <f t="shared" si="590"/>
        <v>-143.75</v>
      </c>
      <c r="DH163" s="3">
        <f t="shared" si="557"/>
        <v>0</v>
      </c>
      <c r="DI163" s="3">
        <f t="shared" si="558"/>
        <v>0</v>
      </c>
      <c r="DJ163" s="3">
        <f t="shared" si="559"/>
        <v>0</v>
      </c>
      <c r="DK163" s="3">
        <f t="shared" si="560"/>
        <v>0</v>
      </c>
      <c r="DL163" s="3">
        <f t="shared" si="561"/>
        <v>0</v>
      </c>
      <c r="DM163" s="3">
        <f t="shared" si="562"/>
        <v>0</v>
      </c>
      <c r="DN163" s="64" t="str">
        <f t="shared" si="563"/>
        <v>UNKNOWN</v>
      </c>
      <c r="DO163" s="64" t="str">
        <f t="shared" si="564"/>
        <v>UNKNOWN</v>
      </c>
      <c r="DP163" s="3">
        <f t="shared" si="565"/>
        <v>0</v>
      </c>
      <c r="DQ163" s="3">
        <f t="shared" si="566"/>
        <v>0</v>
      </c>
      <c r="DR163" s="3">
        <f t="shared" ca="1" si="567"/>
        <v>0</v>
      </c>
      <c r="DS163" s="3">
        <f t="shared" si="568"/>
        <v>0</v>
      </c>
      <c r="DT163" s="3">
        <f t="shared" si="591"/>
        <v>0</v>
      </c>
      <c r="DU163" s="3">
        <f t="shared" si="592"/>
        <v>0</v>
      </c>
      <c r="DV163" s="3">
        <f t="shared" si="569"/>
        <v>149</v>
      </c>
      <c r="DW163" s="3">
        <f t="shared" si="570"/>
        <v>-241</v>
      </c>
      <c r="DX163" s="3">
        <f t="shared" ca="1" si="571"/>
        <v>5.1303581603857104E-4</v>
      </c>
      <c r="DY163" s="3">
        <f t="shared" ca="1" si="572"/>
        <v>-1.5684065008674357E-3</v>
      </c>
      <c r="DZ163" s="3">
        <f t="shared" ca="1" si="573"/>
        <v>7.0339501668738563E-4</v>
      </c>
      <c r="EA163" s="3">
        <f t="shared" ca="1" si="574"/>
        <v>-6.4039623875438594E-4</v>
      </c>
      <c r="EB163" s="3">
        <f t="shared" ca="1" si="575"/>
        <v>7.5860423618259818E-4</v>
      </c>
      <c r="EC163" s="3">
        <f t="shared" ca="1" si="576"/>
        <v>-7.2318831314226813E-4</v>
      </c>
      <c r="ED163" s="63">
        <f t="shared" si="593"/>
        <v>-92</v>
      </c>
      <c r="EE163" s="59">
        <f t="shared" si="577"/>
        <v>0.25</v>
      </c>
      <c r="EF163" s="59">
        <f t="shared" si="578"/>
        <v>0.44190000000000002</v>
      </c>
      <c r="EG163" s="59">
        <f t="shared" si="579"/>
        <v>0.2104</v>
      </c>
      <c r="EH163" s="59">
        <f t="shared" si="580"/>
        <v>0.2329</v>
      </c>
      <c r="EI163" s="59">
        <f t="shared" si="581"/>
        <v>0.19359999999999999</v>
      </c>
      <c r="EJ163" s="59">
        <f t="shared" si="582"/>
        <v>0.2041</v>
      </c>
      <c r="EK163" s="63">
        <f t="shared" ca="1" si="594"/>
        <v>197431790.45537055</v>
      </c>
      <c r="EL163" s="3" t="str">
        <f>RTD("tos.rtd",,EL$43,"."&amp;$B$134&amp;$AS$82&amp;"C"&amp;$A163)</f>
        <v>--</v>
      </c>
      <c r="EM163" s="3" t="str">
        <f>RTD("tos.rtd",,EM$43,"."&amp;$B$134&amp;$AS$82&amp;"P"&amp;$A163)</f>
        <v>44.19%</v>
      </c>
      <c r="EN163" s="3" t="str">
        <f>RTD("tos.rtd",,EN$2,"."&amp;$C$134&amp;$AU$82&amp;"C"&amp;$A163)</f>
        <v>21.04%</v>
      </c>
      <c r="EO163" s="3" t="str">
        <f>RTD("tos.rtd",,EO$2,"."&amp;$C$134&amp;$AU$82&amp;"P"&amp;$A163)</f>
        <v>23.29%</v>
      </c>
      <c r="EP163" s="3" t="str">
        <f>RTD("tos.rtd",,EP$2,"."&amp;$D$134&amp;$AW$82&amp;"C"&amp;$A163)</f>
        <v>19.36%</v>
      </c>
      <c r="EQ163" s="3" t="str">
        <f>RTD("tos.rtd",,EQ$2,"."&amp;$D$134&amp;$AW$82&amp;"P"&amp;$A163)</f>
        <v>20.41%</v>
      </c>
      <c r="ES163" s="63" t="str">
        <f t="shared" si="583"/>
        <v>20700,-92.00</v>
      </c>
      <c r="ET163" s="63" t="str">
        <f t="shared" ca="1" si="584"/>
        <v>20700,-207.69</v>
      </c>
      <c r="EU163" s="68">
        <v>572.05999999999995</v>
      </c>
      <c r="EV163" s="68" t="s">
        <v>1323</v>
      </c>
      <c r="EW163" s="68">
        <v>497.47</v>
      </c>
      <c r="EX163" s="68" t="s">
        <v>1324</v>
      </c>
      <c r="EY163" s="68">
        <v>5731.75</v>
      </c>
      <c r="EZ163" s="68" t="s">
        <v>1325</v>
      </c>
      <c r="FA163" s="68">
        <v>20425.25</v>
      </c>
      <c r="FB163" s="68" t="s">
        <v>1326</v>
      </c>
      <c r="FC163" s="68" t="s">
        <v>1327</v>
      </c>
      <c r="FD163" s="68" t="s">
        <v>1328</v>
      </c>
      <c r="FE163" s="68" t="s">
        <v>1329</v>
      </c>
      <c r="FF163" s="68" t="s">
        <v>1330</v>
      </c>
    </row>
    <row r="164" spans="1:162" ht="11.1" customHeight="1" thickBot="1" x14ac:dyDescent="0.25">
      <c r="A164" s="2">
        <f t="shared" si="595"/>
        <v>20675</v>
      </c>
      <c r="B164" s="3">
        <f t="shared" si="628"/>
        <v>10</v>
      </c>
      <c r="C164" s="3">
        <f t="shared" si="629"/>
        <v>46</v>
      </c>
      <c r="D164" s="3">
        <f t="shared" si="630"/>
        <v>26</v>
      </c>
      <c r="E164" s="3">
        <f t="shared" si="613"/>
        <v>82</v>
      </c>
      <c r="F164" s="14">
        <f t="shared" si="623"/>
        <v>20774.190404797599</v>
      </c>
      <c r="G164" s="5">
        <f t="shared" si="615"/>
        <v>503.55000899550225</v>
      </c>
      <c r="AM164" s="1">
        <v>9</v>
      </c>
      <c r="AN164" s="1">
        <v>32</v>
      </c>
      <c r="AO164" s="1">
        <v>20675</v>
      </c>
      <c r="AP164" s="1">
        <v>42</v>
      </c>
      <c r="AQ164" s="1">
        <v>-114</v>
      </c>
      <c r="AS164" s="54">
        <f>IF(RTD("tos.rtd",,AS$83,"."&amp;$B$134&amp;$AS$82&amp;"C"&amp;$A164)="N/A",0,RTD("tos.rtd",,AS$83,"."&amp;$B$134&amp;$AS$82&amp;"C"&amp;$A164))</f>
        <v>8</v>
      </c>
      <c r="AT164" s="3">
        <f>-IF(RTD("tos.rtd",,AT$83,"."&amp;$B$134&amp;$AS$82&amp;"P"&amp;$A164)="N/A",0,RTD("tos.rtd",,AT$83,"."&amp;$B$134&amp;$AS$82&amp;"P"&amp;$A164))</f>
        <v>-2</v>
      </c>
      <c r="AU164" s="54">
        <f>IF(RTD("tos.rtd",,AU$2,"."&amp;$C$134&amp;$AU$134&amp;"C"&amp;$A164)="N/A",0,RTD("tos.rtd",,AU$2,"."&amp;$C$134&amp;$AU$134&amp;"C"&amp;$A164))</f>
        <v>45</v>
      </c>
      <c r="AV164" s="3">
        <f>-IF(RTD("tos.rtd",,AV$2,"."&amp;$C$134&amp;$AU$134&amp;"P"&amp;$A164)="N/A",0,RTD("tos.rtd",,AV$2,"."&amp;$C$134&amp;$AU$134&amp;"P"&amp;$A164))</f>
        <v>-1</v>
      </c>
      <c r="AW164" s="54">
        <f>IF(RTD("tos.rtd",,AW$2,"."&amp;$D$134&amp;$AW$134&amp;"C"&amp;$A164)="N/A",0,RTD("tos.rtd",,AW$2,"."&amp;$D$134&amp;$AW$134&amp;"C"&amp;$A164))</f>
        <v>24</v>
      </c>
      <c r="AX164" s="3">
        <f>-IF(RTD("tos.rtd",,AX$2,"."&amp;$D$134&amp;$AW$134&amp;"P"&amp;$A164)="N/A",0,RTD("tos.rtd",,AX$2,"."&amp;$D$134&amp;$AW$134&amp;"P"&amp;$A164))</f>
        <v>-2</v>
      </c>
      <c r="AY164" s="76">
        <f t="shared" si="624"/>
        <v>72</v>
      </c>
      <c r="AZ164" s="8">
        <f t="shared" si="548"/>
        <v>20675</v>
      </c>
      <c r="BA164" s="54">
        <f>IF(RTD("tos.rtd",,BA$43,"."&amp;$B$134&amp;$AS$82&amp;"C"&amp;$A164)="N/A",0,RTD("tos.rtd",,BA$43,"."&amp;$B$134&amp;$AS$82&amp;"C"&amp;$A164))</f>
        <v>42</v>
      </c>
      <c r="BB164" s="3">
        <f>-IF(RTD("tos.rtd",,BB$43,"."&amp;$B$134&amp;$AS$82&amp;"P"&amp;$A164)="N/A",0,RTD("tos.rtd",,BB$43,"."&amp;$B$134&amp;$AS$82&amp;"P"&amp;$A164))</f>
        <v>-114</v>
      </c>
      <c r="BC164" s="54">
        <f>IF(RTD("tos.rtd",,BC$2,"."&amp;$C$134&amp;$AU$82&amp;"C"&amp;$A164)="N/A",0,RTD("tos.rtd",,BC$2,"."&amp;$C$134&amp;$AU$82&amp;"C"&amp;$A164))</f>
        <v>12</v>
      </c>
      <c r="BD164" s="3">
        <f>-IF(RTD("tos.rtd",,BD$2,"."&amp;$C$134&amp;$AU$82&amp;"P"&amp;$A164)="N/A",0,RTD("tos.rtd",,BD$2,"."&amp;$C$134&amp;$AU$82&amp;"P"&amp;$A164))</f>
        <v>-23</v>
      </c>
      <c r="BE164" s="54">
        <f>IF(RTD("tos.rtd",,BE$2,"."&amp;$D$134&amp;$AW$82&amp;"C"&amp;$A164)="N/A",0,RTD("tos.rtd",,BE$2,"."&amp;$D$134&amp;$AW$82&amp;"C"&amp;$A164))</f>
        <v>2</v>
      </c>
      <c r="BF164" s="3">
        <f>-IF(RTD("tos.rtd",,BF$2,"."&amp;$D$134&amp;$AW$82&amp;"P"&amp;$A164)="N/A",0,RTD("tos.rtd",,BF$2,"."&amp;$D$134&amp;$AW$82&amp;"P"&amp;$A164))</f>
        <v>0</v>
      </c>
      <c r="BG164" s="3">
        <f ca="1">+Hoja2!Y165</f>
        <v>1</v>
      </c>
      <c r="BH164" s="7">
        <f t="shared" ca="1" si="549"/>
        <v>-80</v>
      </c>
      <c r="BI164" s="32" t="str">
        <f t="shared" ca="1" si="609"/>
        <v>Cruce -</v>
      </c>
      <c r="BJ164" s="3">
        <f ca="1">IF($BP$1=1,DX164,IF(RTD("tos.rtd",,BJ$43,"."&amp;$B$134&amp;$AS$82&amp;"C"&amp;$A164)="N/A",0,RTD("tos.rtd",,BJ$43,"."&amp;$B$134&amp;$AS$82&amp;"C"&amp;$A164)))</f>
        <v>2.0003228025997308E-4</v>
      </c>
      <c r="BK164" s="3">
        <f ca="1">IF($BP$1=1,DY164,-IF(RTD("tos.rtd",,BK$43,"."&amp;$B$134&amp;$AS$82&amp;"P"&amp;$A164)="N/A",0,RTD("tos.rtd",,BK$43,"."&amp;$B$134&amp;$AS$82&amp;"P"&amp;$A164)))</f>
        <v>-1.4199684295153276E-3</v>
      </c>
      <c r="BL164" s="3">
        <f ca="1">IF($BP$1=1,DZ164,IF(RTD("tos.rtd",,BL$2,"."&amp;$C$134&amp;$AU$82&amp;"C"&amp;$A164)="N/A",0,RTD("tos.rtd",,BL$2,"."&amp;$C$134&amp;$AU$82&amp;"C"&amp;$A164)))</f>
        <v>6.892839758759218E-4</v>
      </c>
      <c r="BM164" s="3">
        <f ca="1">IF($BP$1=1,EA164,-IF(RTD("tos.rtd",,BM$2,"."&amp;$C$134&amp;$AU$82&amp;"P"&amp;$A164)="N/A",0,RTD("tos.rtd",,BM$2,"."&amp;$C$134&amp;$AU$82&amp;"P"&amp;$A164)))</f>
        <v>-6.3069986431198762E-4</v>
      </c>
      <c r="BN164" s="3">
        <f ca="1">IF($BP$1=1,EB164,IF(RTD("tos.rtd",,BN$2,"."&amp;$D$134&amp;$AW$82&amp;"C"&amp;$A164)="N/A",0,RTD("tos.rtd",,BN$2,"."&amp;$D$134&amp;$AW$82&amp;"C"&amp;$A164)))</f>
        <v>7.4350718583165412E-4</v>
      </c>
      <c r="BO164" s="3">
        <f ca="1">IF($BP$1=1,EC164,-IF(RTD("tos.rtd",,BO$2,"."&amp;$D$134&amp;$AW$82&amp;"P"&amp;$A164)="N/A",0,RTD("tos.rtd",,BO$2,"."&amp;$D$134&amp;$AW$82&amp;"P"&amp;$A164)))</f>
        <v>-7.097767268829364E-4</v>
      </c>
      <c r="BQ164" s="3">
        <f t="shared" ca="1" si="625"/>
        <v>-42305.325865725848</v>
      </c>
      <c r="BR164" s="3" t="str">
        <f t="shared" ca="1" si="550"/>
        <v>Cruce -</v>
      </c>
      <c r="BS164" s="3">
        <f t="shared" ca="1" si="626"/>
        <v>1036990.7682074576</v>
      </c>
      <c r="BT164" s="3" t="str">
        <f t="shared" ca="1" si="551"/>
        <v/>
      </c>
      <c r="BU164" s="3">
        <f t="shared" ca="1" si="627"/>
        <v>560507.25549052644</v>
      </c>
      <c r="BV164" s="3" t="str">
        <f t="shared" ca="1" si="551"/>
        <v/>
      </c>
      <c r="BX164" s="3">
        <f t="shared" ca="1" si="585"/>
        <v>-39553.385385003625</v>
      </c>
      <c r="BY164" s="3" t="str">
        <f t="shared" ca="1" si="586"/>
        <v/>
      </c>
      <c r="BZ164" s="3">
        <f t="shared" ca="1" si="587"/>
        <v>-1606.7958353259196</v>
      </c>
      <c r="CA164" s="3" t="str">
        <f t="shared" ca="1" si="586"/>
        <v>Cruce -</v>
      </c>
      <c r="CB164" s="3">
        <f t="shared" ca="1" si="588"/>
        <v>383.23137446323398</v>
      </c>
      <c r="CC164" s="3" t="str">
        <f t="shared" ca="1" si="586"/>
        <v/>
      </c>
      <c r="CD164" s="3">
        <f>IF(RTD("tos.rtd",,CD$43,"."&amp;$B$134&amp;$AS$82&amp;"C"&amp;$A164)="N/A",0,RTD("tos.rtd",,CD$43,"."&amp;$B$134&amp;$AS$82&amp;"C"&amp;$A164))</f>
        <v>1</v>
      </c>
      <c r="CE164" s="3">
        <f>-IF(RTD("tos.rtd",,CE$43,"."&amp;$B$134&amp;$AS$82&amp;"P"&amp;$A164)="N/A",0,RTD("tos.rtd",,CE$43,"."&amp;$B$134&amp;$AS$82&amp;"P"&amp;$A164))</f>
        <v>0.03</v>
      </c>
      <c r="CF164" s="3">
        <f>IF(RTD("tos.rtd",,CF$2,"."&amp;$C$134&amp;$AU$82&amp;"C"&amp;$A164)="N/A",0,RTD("tos.rtd",,CF$2,"."&amp;$C$134&amp;$AU$82&amp;"C"&amp;$A164))</f>
        <v>0.68</v>
      </c>
      <c r="CG164" s="3">
        <f>-IF(RTD("tos.rtd",,CG$2,"."&amp;$C$134&amp;$AU$82&amp;"P"&amp;$A164)="N/A",0,RTD("tos.rtd",,CG$2,"."&amp;$C$134&amp;$AU$82&amp;"P"&amp;$A164))</f>
        <v>0.34</v>
      </c>
      <c r="CH164" s="3">
        <f>IF(RTD("tos.rtd",,CH$2,"."&amp;$D$134&amp;$AW$82&amp;"C"&amp;$A164)="N/A",0,RTD("tos.rtd",,CH$2,"."&amp;$D$134&amp;$AW$82&amp;"C"&amp;$A164))</f>
        <v>0.6</v>
      </c>
      <c r="CI164" s="3">
        <f>-IF(RTD("tos.rtd",,CI$2,"."&amp;$D$134&amp;$AW$82&amp;"P"&amp;$A164)="N/A",0,RTD("tos.rtd",,CI$2,"."&amp;$D$134&amp;$AW$82&amp;"P"&amp;$A164))</f>
        <v>0.4</v>
      </c>
      <c r="CK164" s="3">
        <f t="shared" si="620"/>
        <v>794</v>
      </c>
      <c r="CL164" s="3"/>
      <c r="CM164" s="3">
        <f t="shared" si="621"/>
        <v>3026</v>
      </c>
      <c r="CN164" s="3"/>
      <c r="CO164" s="3">
        <f t="shared" si="622"/>
        <v>1359.9999999999998</v>
      </c>
      <c r="CP164" s="3">
        <f t="shared" si="542"/>
        <v>5180</v>
      </c>
      <c r="CQ164" s="3">
        <f t="shared" si="552"/>
        <v>-72</v>
      </c>
      <c r="CR164" s="3"/>
      <c r="CS164" s="3">
        <f t="shared" si="553"/>
        <v>-11</v>
      </c>
      <c r="CT164" s="3"/>
      <c r="CU164" s="3">
        <f t="shared" si="554"/>
        <v>2</v>
      </c>
      <c r="CV164" s="3"/>
      <c r="CW164" s="3">
        <f t="shared" ca="1" si="555"/>
        <v>1555192.6978322582</v>
      </c>
      <c r="CY164" s="3">
        <f t="shared" ca="1" si="556"/>
        <v>-40776.949845866307</v>
      </c>
      <c r="CZ164" s="70" t="str">
        <f t="shared" ca="1" si="589"/>
        <v/>
      </c>
      <c r="DA164" s="3">
        <f>IF(RTD("tos.rtd",,DA$43,"."&amp;$B$134&amp;$AS$82&amp;"C"&amp;$A164)="N/A",0,RTD("tos.rtd",,DA$43,"."&amp;$B$134&amp;$AS$82&amp;"C"&amp;$A164))</f>
        <v>125</v>
      </c>
      <c r="DB164" s="3">
        <f>IF(RTD("tos.rtd",,DB$43,"."&amp;$B$134&amp;$AS$82&amp;"P"&amp;$A164)="N/A",0,RTD("tos.rtd",,DB$43,"."&amp;$B$134&amp;$AS$82&amp;"P"&amp;$A164))</f>
        <v>0.21</v>
      </c>
      <c r="DC164" s="3">
        <f>IF(RTD("tos.rtd",,DC$43,"."&amp;$B$134&amp;$AS$82&amp;"C"&amp;$A164)="N/A",0,RTD("tos.rtd",,DC$43,"."&amp;$B$134&amp;$AS$82&amp;"C"&amp;$A164))</f>
        <v>198</v>
      </c>
      <c r="DD164" s="3">
        <f>IF(RTD("tos.rtd",,DD$43,"."&amp;$B$134&amp;$AS$82&amp;"P"&amp;$A164)="N/A",0,RTD("tos.rtd",,DD$43,"."&amp;$B$134&amp;$AS$82&amp;"P"&amp;$A164))</f>
        <v>2</v>
      </c>
      <c r="DE164" s="3">
        <f>IF(RTD("tos.rtd",,DE$43,"."&amp;$B$134&amp;$AS$82&amp;"C"&amp;$A164)="N/A",0,RTD("tos.rtd",,DE$43,"."&amp;$B$134&amp;$AS$82&amp;"C"&amp;$A164))</f>
        <v>179.3</v>
      </c>
      <c r="DF164" s="3">
        <f>IF(RTD("tos.rtd",,DF$43,"."&amp;$B$134&amp;$AS$82&amp;"P"&amp;$A164)="N/A",0,RTD("tos.rtd",,DF$43,"."&amp;$B$134&amp;$AS$82&amp;"P"&amp;$A164))</f>
        <v>0</v>
      </c>
      <c r="DG164" s="86">
        <f t="shared" si="590"/>
        <v>-168.75</v>
      </c>
      <c r="DH164" s="3">
        <f t="shared" si="557"/>
        <v>0</v>
      </c>
      <c r="DI164" s="3">
        <f t="shared" si="558"/>
        <v>0</v>
      </c>
      <c r="DJ164" s="3">
        <f t="shared" si="559"/>
        <v>0</v>
      </c>
      <c r="DK164" s="3">
        <f t="shared" si="560"/>
        <v>0</v>
      </c>
      <c r="DL164" s="3">
        <f t="shared" si="561"/>
        <v>0</v>
      </c>
      <c r="DM164" s="3">
        <f t="shared" si="562"/>
        <v>0</v>
      </c>
      <c r="DN164" s="64" t="str">
        <f t="shared" si="563"/>
        <v>UNKNOWN</v>
      </c>
      <c r="DO164" s="64" t="str">
        <f t="shared" si="564"/>
        <v>UNKNOWN</v>
      </c>
      <c r="DP164" s="3">
        <f t="shared" si="565"/>
        <v>0</v>
      </c>
      <c r="DQ164" s="3">
        <f t="shared" si="566"/>
        <v>0</v>
      </c>
      <c r="DR164" s="3">
        <f t="shared" ca="1" si="567"/>
        <v>0</v>
      </c>
      <c r="DS164" s="3">
        <f t="shared" si="568"/>
        <v>0</v>
      </c>
      <c r="DT164" s="3">
        <f t="shared" si="591"/>
        <v>0</v>
      </c>
      <c r="DU164" s="3">
        <f t="shared" si="592"/>
        <v>0</v>
      </c>
      <c r="DV164" s="3">
        <f t="shared" si="569"/>
        <v>9</v>
      </c>
      <c r="DW164" s="3">
        <f t="shared" si="570"/>
        <v>32</v>
      </c>
      <c r="DX164" s="3">
        <f t="shared" ca="1" si="571"/>
        <v>2.0003228025997308E-4</v>
      </c>
      <c r="DY164" s="3">
        <f t="shared" ca="1" si="572"/>
        <v>-1.4199684295153276E-3</v>
      </c>
      <c r="DZ164" s="3">
        <f t="shared" ca="1" si="573"/>
        <v>6.892839758759218E-4</v>
      </c>
      <c r="EA164" s="3">
        <f t="shared" ca="1" si="574"/>
        <v>-6.3069986431198762E-4</v>
      </c>
      <c r="EB164" s="3">
        <f t="shared" ca="1" si="575"/>
        <v>7.4350718583165412E-4</v>
      </c>
      <c r="EC164" s="3">
        <f t="shared" ca="1" si="576"/>
        <v>-7.097767268829364E-4</v>
      </c>
      <c r="ED164" s="63">
        <f t="shared" si="593"/>
        <v>41</v>
      </c>
      <c r="EE164" s="59">
        <f t="shared" si="577"/>
        <v>0.25</v>
      </c>
      <c r="EF164" s="59">
        <f t="shared" si="578"/>
        <v>0.63570000000000004</v>
      </c>
      <c r="EG164" s="59">
        <f t="shared" si="579"/>
        <v>0.21160000000000001</v>
      </c>
      <c r="EH164" s="59">
        <f t="shared" si="580"/>
        <v>0.2336</v>
      </c>
      <c r="EI164" s="59">
        <f t="shared" si="581"/>
        <v>0.19409999999999999</v>
      </c>
      <c r="EJ164" s="59">
        <f t="shared" si="582"/>
        <v>0.20469999999999999</v>
      </c>
      <c r="EK164" s="63">
        <f t="shared" ca="1" si="594"/>
        <v>-18959352.791253336</v>
      </c>
      <c r="EL164" s="3" t="str">
        <f>RTD("tos.rtd",,EL$43,"."&amp;$B$134&amp;$AS$82&amp;"C"&amp;$A164)</f>
        <v>--</v>
      </c>
      <c r="EM164" s="3" t="str">
        <f>RTD("tos.rtd",,EM$43,"."&amp;$B$134&amp;$AS$82&amp;"P"&amp;$A164)</f>
        <v>63.57%</v>
      </c>
      <c r="EN164" s="3" t="str">
        <f>RTD("tos.rtd",,EN$2,"."&amp;$C$134&amp;$AU$82&amp;"C"&amp;$A164)</f>
        <v>21.16%</v>
      </c>
      <c r="EO164" s="3" t="str">
        <f>RTD("tos.rtd",,EO$2,"."&amp;$C$134&amp;$AU$82&amp;"P"&amp;$A164)</f>
        <v>23.36%</v>
      </c>
      <c r="EP164" s="3" t="str">
        <f>RTD("tos.rtd",,EP$2,"."&amp;$D$134&amp;$AW$82&amp;"C"&amp;$A164)</f>
        <v>19.41%</v>
      </c>
      <c r="EQ164" s="3" t="str">
        <f>RTD("tos.rtd",,EQ$2,"."&amp;$D$134&amp;$AW$82&amp;"P"&amp;$A164)</f>
        <v>20.47%</v>
      </c>
      <c r="ES164" s="63" t="str">
        <f t="shared" si="583"/>
        <v>20675,41.00</v>
      </c>
      <c r="ET164" s="63" t="str">
        <f t="shared" ca="1" si="584"/>
        <v>20675,-40.78</v>
      </c>
      <c r="EU164" s="68">
        <v>572.03</v>
      </c>
      <c r="EV164" s="68" t="s">
        <v>1331</v>
      </c>
      <c r="EW164" s="68">
        <v>497.4</v>
      </c>
      <c r="EX164" s="68" t="s">
        <v>1332</v>
      </c>
      <c r="EY164" s="68">
        <v>5731.25</v>
      </c>
      <c r="EZ164" s="68" t="s">
        <v>1333</v>
      </c>
      <c r="FA164" s="68">
        <v>20422.25</v>
      </c>
      <c r="FB164" s="68" t="s">
        <v>1334</v>
      </c>
      <c r="FC164" s="68" t="s">
        <v>1335</v>
      </c>
      <c r="FD164" s="68" t="s">
        <v>1336</v>
      </c>
      <c r="FE164" s="68" t="s">
        <v>1337</v>
      </c>
      <c r="FF164" s="68" t="s">
        <v>1338</v>
      </c>
    </row>
    <row r="165" spans="1:162" ht="11.1" customHeight="1" thickBot="1" x14ac:dyDescent="0.25">
      <c r="A165" s="2">
        <f t="shared" si="595"/>
        <v>20650</v>
      </c>
      <c r="B165" s="3">
        <f t="shared" si="628"/>
        <v>6</v>
      </c>
      <c r="C165" s="3">
        <f t="shared" si="629"/>
        <v>30</v>
      </c>
      <c r="D165" s="3">
        <f t="shared" si="630"/>
        <v>10</v>
      </c>
      <c r="E165" s="3">
        <f t="shared" si="613"/>
        <v>46</v>
      </c>
      <c r="F165" s="4">
        <f t="shared" si="623"/>
        <v>20749.070464767614</v>
      </c>
      <c r="G165" s="5">
        <f t="shared" si="615"/>
        <v>502.94112143928038</v>
      </c>
      <c r="AM165" s="1">
        <v>-47</v>
      </c>
      <c r="AN165" s="1">
        <v>-93</v>
      </c>
      <c r="AO165" s="1">
        <v>20650</v>
      </c>
      <c r="AP165" s="1">
        <v>99</v>
      </c>
      <c r="AQ165" s="1">
        <v>-382</v>
      </c>
      <c r="AS165" s="54">
        <f>IF(RTD("tos.rtd",,AS$83,"."&amp;$B$134&amp;$AS$82&amp;"C"&amp;$A165)="N/A",0,RTD("tos.rtd",,AS$83,"."&amp;$B$134&amp;$AS$82&amp;"C"&amp;$A165))</f>
        <v>5</v>
      </c>
      <c r="AT165" s="3">
        <f>-IF(RTD("tos.rtd",,AT$83,"."&amp;$B$134&amp;$AS$82&amp;"P"&amp;$A165)="N/A",0,RTD("tos.rtd",,AT$83,"."&amp;$B$134&amp;$AS$82&amp;"P"&amp;$A165))</f>
        <v>-1</v>
      </c>
      <c r="AU165" s="54">
        <f>IF(RTD("tos.rtd",,AU$2,"."&amp;$C$134&amp;$AU$134&amp;"C"&amp;$A165)="N/A",0,RTD("tos.rtd",,AU$2,"."&amp;$C$134&amp;$AU$134&amp;"C"&amp;$A165))</f>
        <v>28</v>
      </c>
      <c r="AV165" s="3">
        <f>-IF(RTD("tos.rtd",,AV$2,"."&amp;$C$134&amp;$AU$134&amp;"P"&amp;$A165)="N/A",0,RTD("tos.rtd",,AV$2,"."&amp;$C$134&amp;$AU$134&amp;"P"&amp;$A165))</f>
        <v>-2</v>
      </c>
      <c r="AW165" s="54">
        <f>IF(RTD("tos.rtd",,AW$2,"."&amp;$D$134&amp;$AW$134&amp;"C"&amp;$A165)="N/A",0,RTD("tos.rtd",,AW$2,"."&amp;$D$134&amp;$AW$134&amp;"C"&amp;$A165))</f>
        <v>6</v>
      </c>
      <c r="AX165" s="3">
        <f>-IF(RTD("tos.rtd",,AX$2,"."&amp;$D$134&amp;$AW$134&amp;"P"&amp;$A165)="N/A",0,RTD("tos.rtd",,AX$2,"."&amp;$D$134&amp;$AW$134&amp;"P"&amp;$A165))</f>
        <v>-4</v>
      </c>
      <c r="AY165" s="76">
        <f t="shared" si="624"/>
        <v>32</v>
      </c>
      <c r="AZ165" s="8">
        <f t="shared" si="548"/>
        <v>20650</v>
      </c>
      <c r="BA165" s="54">
        <f>IF(RTD("tos.rtd",,BA$43,"."&amp;$B$134&amp;$AS$82&amp;"C"&amp;$A165)="N/A",0,RTD("tos.rtd",,BA$43,"."&amp;$B$134&amp;$AS$82&amp;"C"&amp;$A165))</f>
        <v>99</v>
      </c>
      <c r="BB165" s="3">
        <f>-IF(RTD("tos.rtd",,BB$43,"."&amp;$B$134&amp;$AS$82&amp;"P"&amp;$A165)="N/A",0,RTD("tos.rtd",,BB$43,"."&amp;$B$134&amp;$AS$82&amp;"P"&amp;$A165))</f>
        <v>-382</v>
      </c>
      <c r="BC165" s="54">
        <f>IF(RTD("tos.rtd",,BC$2,"."&amp;$C$134&amp;$AU$82&amp;"C"&amp;$A165)="N/A",0,RTD("tos.rtd",,BC$2,"."&amp;$C$134&amp;$AU$82&amp;"C"&amp;$A165))</f>
        <v>10</v>
      </c>
      <c r="BD165" s="3">
        <f>-IF(RTD("tos.rtd",,BD$2,"."&amp;$C$134&amp;$AU$82&amp;"P"&amp;$A165)="N/A",0,RTD("tos.rtd",,BD$2,"."&amp;$C$134&amp;$AU$82&amp;"P"&amp;$A165))</f>
        <v>-17</v>
      </c>
      <c r="BE165" s="54">
        <f>IF(RTD("tos.rtd",,BE$2,"."&amp;$D$134&amp;$AW$82&amp;"C"&amp;$A165)="N/A",0,RTD("tos.rtd",,BE$2,"."&amp;$D$134&amp;$AW$82&amp;"C"&amp;$A165))</f>
        <v>2</v>
      </c>
      <c r="BF165" s="3">
        <f>-IF(RTD("tos.rtd",,BF$2,"."&amp;$D$134&amp;$AW$82&amp;"P"&amp;$A165)="N/A",0,RTD("tos.rtd",,BF$2,"."&amp;$D$134&amp;$AW$82&amp;"P"&amp;$A165))</f>
        <v>-1</v>
      </c>
      <c r="BG165" s="3">
        <f ca="1">+Hoja2!Y166</f>
        <v>1</v>
      </c>
      <c r="BH165" s="7">
        <f t="shared" ca="1" si="549"/>
        <v>-288</v>
      </c>
      <c r="BI165" s="32" t="str">
        <f t="shared" ca="1" si="609"/>
        <v/>
      </c>
      <c r="BJ165" s="3">
        <f ca="1">IF($BP$1=1,DX165,IF(RTD("tos.rtd",,BJ$43,"."&amp;$B$134&amp;$AS$82&amp;"C"&amp;$A165)="N/A",0,RTD("tos.rtd",,BJ$43,"."&amp;$B$134&amp;$AS$82&amp;"C"&amp;$A165)))</f>
        <v>6.6964461794159395E-5</v>
      </c>
      <c r="BK165" s="3">
        <f ca="1">IF($BP$1=1,DY165,-IF(RTD("tos.rtd",,BK$43,"."&amp;$B$134&amp;$AS$82&amp;"P"&amp;$A165)="N/A",0,RTD("tos.rtd",,BK$43,"."&amp;$B$134&amp;$AS$82&amp;"P"&amp;$A165)))</f>
        <v>-1.0451784192170906E-3</v>
      </c>
      <c r="BL165" s="3">
        <f ca="1">IF($BP$1=1,DZ165,IF(RTD("tos.rtd",,BL$2,"."&amp;$C$134&amp;$AU$82&amp;"C"&amp;$A165)="N/A",0,RTD("tos.rtd",,BL$2,"."&amp;$C$134&amp;$AU$82&amp;"C"&amp;$A165)))</f>
        <v>6.79437734798348E-4</v>
      </c>
      <c r="BM165" s="3">
        <f ca="1">IF($BP$1=1,EA165,-IF(RTD("tos.rtd",,BM$2,"."&amp;$C$134&amp;$AU$82&amp;"P"&amp;$A165)="N/A",0,RTD("tos.rtd",,BM$2,"."&amp;$C$134&amp;$AU$82&amp;"P"&amp;$A165)))</f>
        <v>-6.1968236034276353E-4</v>
      </c>
      <c r="BN165" s="3">
        <f ca="1">IF($BP$1=1,EB165,IF(RTD("tos.rtd",,BN$2,"."&amp;$D$134&amp;$AW$82&amp;"C"&amp;$A165)="N/A",0,RTD("tos.rtd",,BN$2,"."&amp;$D$134&amp;$AW$82&amp;"C"&amp;$A165)))</f>
        <v>7.257476559391307E-4</v>
      </c>
      <c r="BO165" s="3">
        <f ca="1">IF($BP$1=1,EC165,-IF(RTD("tos.rtd",,BO$2,"."&amp;$D$134&amp;$AW$82&amp;"P"&amp;$A165)="N/A",0,RTD("tos.rtd",,BO$2,"."&amp;$D$134&amp;$AW$82&amp;"P"&amp;$A165)))</f>
        <v>-6.9457423215115832E-4</v>
      </c>
      <c r="BQ165" s="3">
        <f t="shared" ca="1" si="625"/>
        <v>-24241.643207975016</v>
      </c>
      <c r="BR165" s="3" t="str">
        <f t="shared" ca="1" si="550"/>
        <v/>
      </c>
      <c r="BS165" s="3">
        <f t="shared" ca="1" si="626"/>
        <v>606927.98526018707</v>
      </c>
      <c r="BT165" s="3" t="str">
        <f t="shared" ca="1" si="551"/>
        <v/>
      </c>
      <c r="BU165" s="3">
        <f t="shared" ca="1" si="627"/>
        <v>53789.093928550035</v>
      </c>
      <c r="BV165" s="3" t="str">
        <f t="shared" ca="1" si="551"/>
        <v/>
      </c>
      <c r="BX165" s="3">
        <f t="shared" ca="1" si="585"/>
        <v>-101187.74197495823</v>
      </c>
      <c r="BY165" s="3" t="str">
        <f t="shared" ca="1" si="586"/>
        <v/>
      </c>
      <c r="BZ165" s="3">
        <f t="shared" ca="1" si="587"/>
        <v>-963.92526075477986</v>
      </c>
      <c r="CA165" s="3" t="str">
        <f t="shared" ca="1" si="586"/>
        <v/>
      </c>
      <c r="CB165" s="3">
        <f t="shared" ca="1" si="588"/>
        <v>195.07269820099106</v>
      </c>
      <c r="CC165" s="3" t="str">
        <f t="shared" ca="1" si="586"/>
        <v/>
      </c>
      <c r="CD165" s="3">
        <f>IF(RTD("tos.rtd",,CD$43,"."&amp;$B$134&amp;$AS$82&amp;"C"&amp;$A165)="N/A",0,RTD("tos.rtd",,CD$43,"."&amp;$B$134&amp;$AS$82&amp;"C"&amp;$A165))</f>
        <v>1</v>
      </c>
      <c r="CE165" s="3">
        <f>-IF(RTD("tos.rtd",,CE$43,"."&amp;$B$134&amp;$AS$82&amp;"P"&amp;$A165)="N/A",0,RTD("tos.rtd",,CE$43,"."&amp;$B$134&amp;$AS$82&amp;"P"&amp;$A165))</f>
        <v>0</v>
      </c>
      <c r="CF165" s="3">
        <f>IF(RTD("tos.rtd",,CF$2,"."&amp;$C$134&amp;$AU$82&amp;"C"&amp;$A165)="N/A",0,RTD("tos.rtd",,CF$2,"."&amp;$C$134&amp;$AU$82&amp;"C"&amp;$A165))</f>
        <v>0.7</v>
      </c>
      <c r="CG165" s="3">
        <f>-IF(RTD("tos.rtd",,CG$2,"."&amp;$C$134&amp;$AU$82&amp;"P"&amp;$A165)="N/A",0,RTD("tos.rtd",,CG$2,"."&amp;$C$134&amp;$AU$82&amp;"P"&amp;$A165))</f>
        <v>0.32</v>
      </c>
      <c r="CH165" s="3">
        <f>IF(RTD("tos.rtd",,CH$2,"."&amp;$D$134&amp;$AW$82&amp;"C"&amp;$A165)="N/A",0,RTD("tos.rtd",,CH$2,"."&amp;$D$134&amp;$AW$82&amp;"C"&amp;$A165))</f>
        <v>0.61</v>
      </c>
      <c r="CI165" s="3">
        <f>-IF(RTD("tos.rtd",,CI$2,"."&amp;$D$134&amp;$AW$82&amp;"P"&amp;$A165)="N/A",0,RTD("tos.rtd",,CI$2,"."&amp;$D$134&amp;$AW$82&amp;"P"&amp;$A165))</f>
        <v>0.4</v>
      </c>
      <c r="CK165" s="3">
        <f t="shared" si="620"/>
        <v>500</v>
      </c>
      <c r="CL165" s="3"/>
      <c r="CM165" s="3">
        <f t="shared" si="621"/>
        <v>1895.9999999999998</v>
      </c>
      <c r="CN165" s="3"/>
      <c r="CO165" s="3">
        <f t="shared" si="622"/>
        <v>206</v>
      </c>
      <c r="CP165" s="3">
        <f t="shared" si="542"/>
        <v>2602</v>
      </c>
      <c r="CQ165" s="3">
        <f t="shared" si="552"/>
        <v>-283</v>
      </c>
      <c r="CR165" s="3"/>
      <c r="CS165" s="3">
        <f t="shared" si="553"/>
        <v>-7</v>
      </c>
      <c r="CT165" s="3"/>
      <c r="CU165" s="3">
        <f t="shared" si="554"/>
        <v>1</v>
      </c>
      <c r="CV165" s="3"/>
      <c r="CW165" s="3">
        <f t="shared" ca="1" si="555"/>
        <v>636475.43598076212</v>
      </c>
      <c r="CY165" s="3">
        <f t="shared" ca="1" si="556"/>
        <v>-101956.59453751202</v>
      </c>
      <c r="CZ165" s="70" t="str">
        <f t="shared" ca="1" si="589"/>
        <v/>
      </c>
      <c r="DA165" s="3">
        <f>IF(RTD("tos.rtd",,DA$43,"."&amp;$B$134&amp;$AS$82&amp;"C"&amp;$A165)="N/A",0,RTD("tos.rtd",,DA$43,"."&amp;$B$134&amp;$AS$82&amp;"C"&amp;$A165))</f>
        <v>200</v>
      </c>
      <c r="DB165" s="3">
        <f>IF(RTD("tos.rtd",,DB$43,"."&amp;$B$134&amp;$AS$82&amp;"P"&amp;$A165)="N/A",0,RTD("tos.rtd",,DB$43,"."&amp;$B$134&amp;$AS$82&amp;"P"&amp;$A165))</f>
        <v>0.05</v>
      </c>
      <c r="DC165" s="3">
        <f>IF(RTD("tos.rtd",,DC$43,"."&amp;$B$134&amp;$AS$82&amp;"C"&amp;$A165)="N/A",0,RTD("tos.rtd",,DC$43,"."&amp;$B$134&amp;$AS$82&amp;"C"&amp;$A165))</f>
        <v>227.1</v>
      </c>
      <c r="DD165" s="3">
        <f>IF(RTD("tos.rtd",,DD$43,"."&amp;$B$134&amp;$AS$82&amp;"P"&amp;$A165)="N/A",0,RTD("tos.rtd",,DD$43,"."&amp;$B$134&amp;$AS$82&amp;"P"&amp;$A165))</f>
        <v>0.2</v>
      </c>
      <c r="DE165" s="3">
        <f>IF(RTD("tos.rtd",,DE$43,"."&amp;$B$134&amp;$AS$82&amp;"C"&amp;$A165)="N/A",0,RTD("tos.rtd",,DE$43,"."&amp;$B$134&amp;$AS$82&amp;"C"&amp;$A165))</f>
        <v>207.1</v>
      </c>
      <c r="DF165" s="3">
        <f>IF(RTD("tos.rtd",,DF$43,"."&amp;$B$134&amp;$AS$82&amp;"P"&amp;$A165)="N/A",0,RTD("tos.rtd",,DF$43,"."&amp;$B$134&amp;$AS$82&amp;"P"&amp;$A165))</f>
        <v>0</v>
      </c>
      <c r="DG165" s="86">
        <f t="shared" si="590"/>
        <v>-193.75</v>
      </c>
      <c r="DH165" s="3">
        <f t="shared" si="557"/>
        <v>0</v>
      </c>
      <c r="DI165" s="3">
        <f t="shared" si="558"/>
        <v>0</v>
      </c>
      <c r="DJ165" s="3">
        <f t="shared" si="559"/>
        <v>0</v>
      </c>
      <c r="DK165" s="3">
        <f t="shared" si="560"/>
        <v>0</v>
      </c>
      <c r="DL165" s="3">
        <f t="shared" si="561"/>
        <v>0</v>
      </c>
      <c r="DM165" s="3">
        <f t="shared" si="562"/>
        <v>0</v>
      </c>
      <c r="DN165" s="64" t="str">
        <f t="shared" si="563"/>
        <v>UNKNOWN</v>
      </c>
      <c r="DO165" s="64" t="str">
        <f t="shared" si="564"/>
        <v>UNKNOWN</v>
      </c>
      <c r="DP165" s="3">
        <f t="shared" si="565"/>
        <v>0</v>
      </c>
      <c r="DQ165" s="3">
        <f t="shared" si="566"/>
        <v>0</v>
      </c>
      <c r="DR165" s="3">
        <f t="shared" ca="1" si="567"/>
        <v>0</v>
      </c>
      <c r="DS165" s="3">
        <f t="shared" si="568"/>
        <v>0</v>
      </c>
      <c r="DT165" s="3">
        <f t="shared" si="591"/>
        <v>0</v>
      </c>
      <c r="DU165" s="3">
        <f t="shared" si="592"/>
        <v>0</v>
      </c>
      <c r="DV165" s="3">
        <f t="shared" si="569"/>
        <v>-47</v>
      </c>
      <c r="DW165" s="3">
        <f t="shared" si="570"/>
        <v>-93</v>
      </c>
      <c r="DX165" s="3">
        <f t="shared" ca="1" si="571"/>
        <v>6.6964461794159395E-5</v>
      </c>
      <c r="DY165" s="3">
        <f t="shared" ca="1" si="572"/>
        <v>-1.0451784192170906E-3</v>
      </c>
      <c r="DZ165" s="3">
        <f t="shared" ca="1" si="573"/>
        <v>6.79437734798348E-4</v>
      </c>
      <c r="EA165" s="3">
        <f t="shared" ca="1" si="574"/>
        <v>-6.1968236034276353E-4</v>
      </c>
      <c r="EB165" s="3">
        <f t="shared" ca="1" si="575"/>
        <v>7.257476559391307E-4</v>
      </c>
      <c r="EC165" s="3">
        <f t="shared" ca="1" si="576"/>
        <v>-6.9457423215115832E-4</v>
      </c>
      <c r="ED165" s="63">
        <f t="shared" si="593"/>
        <v>-140</v>
      </c>
      <c r="EE165" s="59">
        <f t="shared" si="577"/>
        <v>0.25</v>
      </c>
      <c r="EF165" s="59">
        <f t="shared" si="578"/>
        <v>0.52380000000000004</v>
      </c>
      <c r="EG165" s="59">
        <f t="shared" si="579"/>
        <v>0.2109</v>
      </c>
      <c r="EH165" s="59">
        <f t="shared" si="580"/>
        <v>0.23449999999999999</v>
      </c>
      <c r="EI165" s="59">
        <f t="shared" si="581"/>
        <v>0.19500000000000001</v>
      </c>
      <c r="EJ165" s="59">
        <f t="shared" si="582"/>
        <v>0.20549999999999999</v>
      </c>
      <c r="EK165" s="63">
        <f t="shared" ca="1" si="594"/>
        <v>40862995.251611382</v>
      </c>
      <c r="EL165" s="3" t="str">
        <f>RTD("tos.rtd",,EL$43,"."&amp;$B$134&amp;$AS$82&amp;"C"&amp;$A165)</f>
        <v>--</v>
      </c>
      <c r="EM165" s="3" t="str">
        <f>RTD("tos.rtd",,EM$43,"."&amp;$B$134&amp;$AS$82&amp;"P"&amp;$A165)</f>
        <v>52.38%</v>
      </c>
      <c r="EN165" s="3" t="str">
        <f>RTD("tos.rtd",,EN$2,"."&amp;$C$134&amp;$AU$82&amp;"C"&amp;$A165)</f>
        <v>21.09%</v>
      </c>
      <c r="EO165" s="3" t="str">
        <f>RTD("tos.rtd",,EO$2,"."&amp;$C$134&amp;$AU$82&amp;"P"&amp;$A165)</f>
        <v>23.45%</v>
      </c>
      <c r="EP165" s="3" t="str">
        <f>RTD("tos.rtd",,EP$2,"."&amp;$D$134&amp;$AW$82&amp;"C"&amp;$A165)</f>
        <v>19.50%</v>
      </c>
      <c r="EQ165" s="3" t="str">
        <f>RTD("tos.rtd",,EQ$2,"."&amp;$D$134&amp;$AW$82&amp;"P"&amp;$A165)</f>
        <v>20.55%</v>
      </c>
      <c r="ES165" s="63" t="str">
        <f t="shared" si="583"/>
        <v>20650,-140.00</v>
      </c>
      <c r="ET165" s="63" t="str">
        <f t="shared" ca="1" si="584"/>
        <v>20650,-101.96</v>
      </c>
      <c r="EU165" s="68">
        <v>572.16</v>
      </c>
      <c r="EV165" s="68" t="s">
        <v>1339</v>
      </c>
      <c r="EW165" s="68">
        <v>497.48</v>
      </c>
      <c r="EX165" s="68" t="s">
        <v>1340</v>
      </c>
      <c r="EY165" s="68">
        <v>5732</v>
      </c>
      <c r="EZ165" s="68" t="s">
        <v>1341</v>
      </c>
      <c r="FA165" s="68">
        <v>20425.5</v>
      </c>
      <c r="FB165" s="68" t="s">
        <v>1342</v>
      </c>
      <c r="FC165" s="68" t="s">
        <v>1343</v>
      </c>
      <c r="FD165" s="68" t="s">
        <v>1344</v>
      </c>
      <c r="FE165" s="68" t="s">
        <v>1345</v>
      </c>
      <c r="FF165" s="68" t="s">
        <v>1346</v>
      </c>
    </row>
    <row r="166" spans="1:162" ht="11.1" customHeight="1" thickBot="1" x14ac:dyDescent="0.25">
      <c r="A166" s="2">
        <f t="shared" si="595"/>
        <v>20625</v>
      </c>
      <c r="B166" s="3">
        <f t="shared" si="628"/>
        <v>4</v>
      </c>
      <c r="C166" s="3">
        <f t="shared" si="629"/>
        <v>15</v>
      </c>
      <c r="D166" s="3">
        <f t="shared" si="630"/>
        <v>9</v>
      </c>
      <c r="E166" s="3">
        <f t="shared" si="613"/>
        <v>28</v>
      </c>
      <c r="F166" s="4">
        <f t="shared" si="623"/>
        <v>20723.950524737629</v>
      </c>
      <c r="G166" s="5">
        <f t="shared" si="615"/>
        <v>502.33223388305851</v>
      </c>
      <c r="AM166" s="1">
        <v>2</v>
      </c>
      <c r="AN166" s="1">
        <v>-9</v>
      </c>
      <c r="AO166" s="1">
        <v>20625</v>
      </c>
      <c r="AP166" s="1">
        <v>8</v>
      </c>
      <c r="AQ166" s="1">
        <v>-229</v>
      </c>
      <c r="AS166" s="54">
        <f>IF(RTD("tos.rtd",,AS$83,"."&amp;$B$134&amp;$AS$82&amp;"C"&amp;$A166)="N/A",0,RTD("tos.rtd",,AS$83,"."&amp;$B$134&amp;$AS$82&amp;"C"&amp;$A166))</f>
        <v>3</v>
      </c>
      <c r="AT166" s="3">
        <f>-IF(RTD("tos.rtd",,AT$83,"."&amp;$B$134&amp;$AS$82&amp;"P"&amp;$A166)="N/A",0,RTD("tos.rtd",,AT$83,"."&amp;$B$134&amp;$AS$82&amp;"P"&amp;$A166))</f>
        <v>-1</v>
      </c>
      <c r="AU166" s="54">
        <f>IF(RTD("tos.rtd",,AU$2,"."&amp;$C$134&amp;$AU$134&amp;"C"&amp;$A166)="N/A",0,RTD("tos.rtd",,AU$2,"."&amp;$C$134&amp;$AU$134&amp;"C"&amp;$A166))</f>
        <v>14</v>
      </c>
      <c r="AV166" s="3">
        <f>-IF(RTD("tos.rtd",,AV$2,"."&amp;$C$134&amp;$AU$134&amp;"P"&amp;$A166)="N/A",0,RTD("tos.rtd",,AV$2,"."&amp;$C$134&amp;$AU$134&amp;"P"&amp;$A166))</f>
        <v>-1</v>
      </c>
      <c r="AW166" s="54">
        <f>IF(RTD("tos.rtd",,AW$2,"."&amp;$D$134&amp;$AW$134&amp;"C"&amp;$A166)="N/A",0,RTD("tos.rtd",,AW$2,"."&amp;$D$134&amp;$AW$134&amp;"C"&amp;$A166))</f>
        <v>8</v>
      </c>
      <c r="AX166" s="3">
        <f>-IF(RTD("tos.rtd",,AX$2,"."&amp;$D$134&amp;$AW$134&amp;"P"&amp;$A166)="N/A",0,RTD("tos.rtd",,AX$2,"."&amp;$D$134&amp;$AW$134&amp;"P"&amp;$A166))</f>
        <v>-1</v>
      </c>
      <c r="AY166" s="76">
        <f t="shared" si="624"/>
        <v>22</v>
      </c>
      <c r="AZ166" s="8">
        <f t="shared" si="548"/>
        <v>20625</v>
      </c>
      <c r="BA166" s="54">
        <f>IF(RTD("tos.rtd",,BA$43,"."&amp;$B$134&amp;$AS$82&amp;"C"&amp;$A166)="N/A",0,RTD("tos.rtd",,BA$43,"."&amp;$B$134&amp;$AS$82&amp;"C"&amp;$A166))</f>
        <v>8</v>
      </c>
      <c r="BB166" s="3">
        <f>-IF(RTD("tos.rtd",,BB$43,"."&amp;$B$134&amp;$AS$82&amp;"P"&amp;$A166)="N/A",0,RTD("tos.rtd",,BB$43,"."&amp;$B$134&amp;$AS$82&amp;"P"&amp;$A166))</f>
        <v>-229</v>
      </c>
      <c r="BC166" s="54">
        <f>IF(RTD("tos.rtd",,BC$2,"."&amp;$C$134&amp;$AU$82&amp;"C"&amp;$A166)="N/A",0,RTD("tos.rtd",,BC$2,"."&amp;$C$134&amp;$AU$82&amp;"C"&amp;$A166))</f>
        <v>9</v>
      </c>
      <c r="BD166" s="3">
        <f>-IF(RTD("tos.rtd",,BD$2,"."&amp;$C$134&amp;$AU$82&amp;"P"&amp;$A166)="N/A",0,RTD("tos.rtd",,BD$2,"."&amp;$C$134&amp;$AU$82&amp;"P"&amp;$A166))</f>
        <v>-17</v>
      </c>
      <c r="BE166" s="54">
        <f>IF(RTD("tos.rtd",,BE$2,"."&amp;$D$134&amp;$AW$82&amp;"C"&amp;$A166)="N/A",0,RTD("tos.rtd",,BE$2,"."&amp;$D$134&amp;$AW$82&amp;"C"&amp;$A166))</f>
        <v>1</v>
      </c>
      <c r="BF166" s="3">
        <f>-IF(RTD("tos.rtd",,BF$2,"."&amp;$D$134&amp;$AW$82&amp;"P"&amp;$A166)="N/A",0,RTD("tos.rtd",,BF$2,"."&amp;$D$134&amp;$AW$82&amp;"P"&amp;$A166))</f>
        <v>0</v>
      </c>
      <c r="BG166" s="3">
        <f ca="1">+Hoja2!Y167</f>
        <v>0</v>
      </c>
      <c r="BH166" s="7">
        <f t="shared" ca="1" si="549"/>
        <v>-228</v>
      </c>
      <c r="BI166" s="32" t="str">
        <f t="shared" ca="1" si="609"/>
        <v/>
      </c>
      <c r="BJ166" s="3">
        <f ca="1">IF($BP$1=1,DX166,IF(RTD("tos.rtd",,BJ$43,"."&amp;$B$134&amp;$AS$82&amp;"C"&amp;$A166)="N/A",0,RTD("tos.rtd",,BJ$43,"."&amp;$B$134&amp;$AS$82&amp;"C"&amp;$A166)))</f>
        <v>1.9237140476406402E-5</v>
      </c>
      <c r="BK166" s="3">
        <f ca="1">IF($BP$1=1,DY166,-IF(RTD("tos.rtd",,BK$43,"."&amp;$B$134&amp;$AS$82&amp;"P"&amp;$A166)="N/A",0,RTD("tos.rtd",,BK$43,"."&amp;$B$134&amp;$AS$82&amp;"P"&amp;$A166)))</f>
        <v>-9.7506198797984794E-4</v>
      </c>
      <c r="BL166" s="3">
        <f ca="1">IF($BP$1=1,DZ166,IF(RTD("tos.rtd",,BL$2,"."&amp;$C$134&amp;$AU$82&amp;"C"&amp;$A166)="N/A",0,RTD("tos.rtd",,BL$2,"."&amp;$C$134&amp;$AU$82&amp;"C"&amp;$A166)))</f>
        <v>6.6605233014225033E-4</v>
      </c>
      <c r="BM166" s="3">
        <f ca="1">IF($BP$1=1,EA166,-IF(RTD("tos.rtd",,BM$2,"."&amp;$C$134&amp;$AU$82&amp;"P"&amp;$A166)="N/A",0,RTD("tos.rtd",,BM$2,"."&amp;$C$134&amp;$AU$82&amp;"P"&amp;$A166)))</f>
        <v>-6.0836350970908169E-4</v>
      </c>
      <c r="BN166" s="3">
        <f ca="1">IF($BP$1=1,EB166,IF(RTD("tos.rtd",,BN$2,"."&amp;$D$134&amp;$AW$82&amp;"C"&amp;$A166)="N/A",0,RTD("tos.rtd",,BN$2,"."&amp;$D$134&amp;$AW$82&amp;"C"&amp;$A166)))</f>
        <v>7.0716841802608628E-4</v>
      </c>
      <c r="BO166" s="3">
        <f ca="1">IF($BP$1=1,EC166,-IF(RTD("tos.rtd",,BO$2,"."&amp;$D$134&amp;$AW$82&amp;"P"&amp;$A166)="N/A",0,RTD("tos.rtd",,BO$2,"."&amp;$D$134&amp;$AW$82&amp;"P"&amp;$A166)))</f>
        <v>-6.7860531816045099E-4</v>
      </c>
      <c r="BQ166" s="3">
        <f t="shared" ca="1" si="625"/>
        <v>-31305.544937515526</v>
      </c>
      <c r="BR166" s="3" t="str">
        <f t="shared" ca="1" si="550"/>
        <v/>
      </c>
      <c r="BS166" s="3">
        <f t="shared" ca="1" si="626"/>
        <v>297455.18767439487</v>
      </c>
      <c r="BT166" s="3" t="str">
        <f t="shared" ca="1" si="551"/>
        <v/>
      </c>
      <c r="BU166" s="3">
        <f t="shared" ca="1" si="627"/>
        <v>169904.76477800071</v>
      </c>
      <c r="BV166" s="3" t="str">
        <f t="shared" ca="1" si="551"/>
        <v/>
      </c>
      <c r="BX166" s="3">
        <f t="shared" ca="1" si="585"/>
        <v>-57506.133512018641</v>
      </c>
      <c r="BY166" s="3" t="str">
        <f t="shared" ca="1" si="586"/>
        <v/>
      </c>
      <c r="BZ166" s="3">
        <f t="shared" ca="1" si="587"/>
        <v>-1120.485726454076</v>
      </c>
      <c r="CA166" s="3" t="str">
        <f t="shared" ca="1" si="586"/>
        <v/>
      </c>
      <c r="CB166" s="3">
        <f t="shared" ca="1" si="588"/>
        <v>182.25050811983013</v>
      </c>
      <c r="CC166" s="3" t="str">
        <f t="shared" ca="1" si="586"/>
        <v/>
      </c>
      <c r="CD166" s="3">
        <f>IF(RTD("tos.rtd",,CD$43,"."&amp;$B$134&amp;$AS$82&amp;"C"&amp;$A166)="N/A",0,RTD("tos.rtd",,CD$43,"."&amp;$B$134&amp;$AS$82&amp;"C"&amp;$A166))</f>
        <v>1</v>
      </c>
      <c r="CE166" s="3">
        <f>-IF(RTD("tos.rtd",,CE$43,"."&amp;$B$134&amp;$AS$82&amp;"P"&amp;$A166)="N/A",0,RTD("tos.rtd",,CE$43,"."&amp;$B$134&amp;$AS$82&amp;"P"&amp;$A166))</f>
        <v>0.11</v>
      </c>
      <c r="CF166" s="3">
        <f>IF(RTD("tos.rtd",,CF$2,"."&amp;$C$134&amp;$AU$82&amp;"C"&amp;$A166)="N/A",0,RTD("tos.rtd",,CF$2,"."&amp;$C$134&amp;$AU$82&amp;"C"&amp;$A166))</f>
        <v>0.72</v>
      </c>
      <c r="CG166" s="3">
        <f>-IF(RTD("tos.rtd",,CG$2,"."&amp;$C$134&amp;$AU$82&amp;"P"&amp;$A166)="N/A",0,RTD("tos.rtd",,CG$2,"."&amp;$C$134&amp;$AU$82&amp;"P"&amp;$A166))</f>
        <v>0.3</v>
      </c>
      <c r="CH166" s="3">
        <f>IF(RTD("tos.rtd",,CH$2,"."&amp;$D$134&amp;$AW$82&amp;"C"&amp;$A166)="N/A",0,RTD("tos.rtd",,CH$2,"."&amp;$D$134&amp;$AW$82&amp;"C"&amp;$A166))</f>
        <v>0.61</v>
      </c>
      <c r="CI166" s="3">
        <f>-IF(RTD("tos.rtd",,CI$2,"."&amp;$D$134&amp;$AW$82&amp;"P"&amp;$A166)="N/A",0,RTD("tos.rtd",,CI$2,"."&amp;$D$134&amp;$AW$82&amp;"P"&amp;$A166))</f>
        <v>0.39</v>
      </c>
      <c r="CK166" s="3">
        <f t="shared" si="620"/>
        <v>289</v>
      </c>
      <c r="CL166" s="3"/>
      <c r="CM166" s="3">
        <f t="shared" si="621"/>
        <v>978</v>
      </c>
      <c r="CN166" s="3"/>
      <c r="CO166" s="3">
        <f t="shared" si="622"/>
        <v>449</v>
      </c>
      <c r="CP166" s="3">
        <f t="shared" si="542"/>
        <v>1716</v>
      </c>
      <c r="CQ166" s="3">
        <f t="shared" si="552"/>
        <v>-221</v>
      </c>
      <c r="CR166" s="3"/>
      <c r="CS166" s="3">
        <f t="shared" si="553"/>
        <v>-8</v>
      </c>
      <c r="CT166" s="3"/>
      <c r="CU166" s="3">
        <f t="shared" si="554"/>
        <v>1</v>
      </c>
      <c r="CV166" s="3"/>
      <c r="CW166" s="3">
        <f t="shared" ca="1" si="555"/>
        <v>436054.40751488006</v>
      </c>
      <c r="CY166" s="3">
        <f t="shared" ca="1" si="556"/>
        <v>-58444.368730352886</v>
      </c>
      <c r="CZ166" s="70" t="str">
        <f t="shared" ca="1" si="589"/>
        <v/>
      </c>
      <c r="DA166" s="3">
        <f>IF(RTD("tos.rtd",,DA$43,"."&amp;$B$134&amp;$AS$82&amp;"C"&amp;$A166)="N/A",0,RTD("tos.rtd",,DA$43,"."&amp;$B$134&amp;$AS$82&amp;"C"&amp;$A166))</f>
        <v>178.45</v>
      </c>
      <c r="DB166" s="3">
        <f>IF(RTD("tos.rtd",,DB$43,"."&amp;$B$134&amp;$AS$82&amp;"P"&amp;$A166)="N/A",0,RTD("tos.rtd",,DB$43,"."&amp;$B$134&amp;$AS$82&amp;"P"&amp;$A166))</f>
        <v>0.2</v>
      </c>
      <c r="DC166" s="3">
        <f>IF(RTD("tos.rtd",,DC$43,"."&amp;$B$134&amp;$AS$82&amp;"C"&amp;$A166)="N/A",0,RTD("tos.rtd",,DC$43,"."&amp;$B$134&amp;$AS$82&amp;"C"&amp;$A166))</f>
        <v>264</v>
      </c>
      <c r="DD166" s="3">
        <f>IF(RTD("tos.rtd",,DD$43,"."&amp;$B$134&amp;$AS$82&amp;"P"&amp;$A166)="N/A",0,RTD("tos.rtd",,DD$43,"."&amp;$B$134&amp;$AS$82&amp;"P"&amp;$A166))</f>
        <v>19.8</v>
      </c>
      <c r="DE166" s="3">
        <f>IF(RTD("tos.rtd",,DE$43,"."&amp;$B$134&amp;$AS$82&amp;"C"&amp;$A166)="N/A",0,RTD("tos.rtd",,DE$43,"."&amp;$B$134&amp;$AS$82&amp;"C"&amp;$A166))</f>
        <v>215.9</v>
      </c>
      <c r="DF166" s="3">
        <f>IF(RTD("tos.rtd",,DF$43,"."&amp;$B$134&amp;$AS$82&amp;"P"&amp;$A166)="N/A",0,RTD("tos.rtd",,DF$43,"."&amp;$B$134&amp;$AS$82&amp;"P"&amp;$A166))</f>
        <v>0</v>
      </c>
      <c r="DG166" s="86">
        <f t="shared" si="590"/>
        <v>-218.75</v>
      </c>
      <c r="DH166" s="3">
        <f t="shared" si="557"/>
        <v>0</v>
      </c>
      <c r="DI166" s="3">
        <f t="shared" si="558"/>
        <v>0</v>
      </c>
      <c r="DJ166" s="3">
        <f t="shared" si="559"/>
        <v>0</v>
      </c>
      <c r="DK166" s="3">
        <f t="shared" si="560"/>
        <v>0</v>
      </c>
      <c r="DL166" s="3">
        <f t="shared" si="561"/>
        <v>0</v>
      </c>
      <c r="DM166" s="3">
        <f t="shared" si="562"/>
        <v>0</v>
      </c>
      <c r="DN166" s="64" t="str">
        <f t="shared" si="563"/>
        <v>UNKNOWN</v>
      </c>
      <c r="DO166" s="64" t="str">
        <f t="shared" si="564"/>
        <v>UNKNOWN</v>
      </c>
      <c r="DP166" s="3">
        <f t="shared" si="565"/>
        <v>0</v>
      </c>
      <c r="DQ166" s="3">
        <f t="shared" si="566"/>
        <v>0</v>
      </c>
      <c r="DR166" s="3">
        <f t="shared" ca="1" si="567"/>
        <v>0</v>
      </c>
      <c r="DS166" s="3">
        <f t="shared" si="568"/>
        <v>0</v>
      </c>
      <c r="DT166" s="3">
        <f t="shared" si="591"/>
        <v>0</v>
      </c>
      <c r="DU166" s="3">
        <f t="shared" si="592"/>
        <v>0</v>
      </c>
      <c r="DV166" s="3">
        <f t="shared" si="569"/>
        <v>2</v>
      </c>
      <c r="DW166" s="3">
        <f t="shared" si="570"/>
        <v>-9</v>
      </c>
      <c r="DX166" s="3">
        <f t="shared" ca="1" si="571"/>
        <v>1.9237140476406402E-5</v>
      </c>
      <c r="DY166" s="3">
        <f t="shared" ca="1" si="572"/>
        <v>-9.7506198797984794E-4</v>
      </c>
      <c r="DZ166" s="3">
        <f t="shared" ca="1" si="573"/>
        <v>6.6605233014225033E-4</v>
      </c>
      <c r="EA166" s="3">
        <f t="shared" ca="1" si="574"/>
        <v>-6.0836350970908169E-4</v>
      </c>
      <c r="EB166" s="3">
        <f t="shared" ca="1" si="575"/>
        <v>7.0716841802608628E-4</v>
      </c>
      <c r="EC166" s="3">
        <f t="shared" ca="1" si="576"/>
        <v>-6.7860531816045099E-4</v>
      </c>
      <c r="ED166" s="63">
        <f t="shared" si="593"/>
        <v>-7</v>
      </c>
      <c r="EE166" s="59">
        <f t="shared" si="577"/>
        <v>0.25</v>
      </c>
      <c r="EF166" s="59">
        <f t="shared" si="578"/>
        <v>1.2437</v>
      </c>
      <c r="EG166" s="59">
        <f t="shared" si="579"/>
        <v>0.21099999999999999</v>
      </c>
      <c r="EH166" s="59">
        <f t="shared" si="580"/>
        <v>0.23519999999999999</v>
      </c>
      <c r="EI166" s="59">
        <f t="shared" si="581"/>
        <v>0.1958</v>
      </c>
      <c r="EJ166" s="59">
        <f t="shared" si="582"/>
        <v>0.20619999999999999</v>
      </c>
      <c r="EK166" s="63">
        <f t="shared" ca="1" si="594"/>
        <v>3829361.288390737</v>
      </c>
      <c r="EL166" s="3" t="str">
        <f>RTD("tos.rtd",,EL$43,"."&amp;$B$134&amp;$AS$82&amp;"C"&amp;$A166)</f>
        <v>--</v>
      </c>
      <c r="EM166" s="3" t="str">
        <f>RTD("tos.rtd",,EM$43,"."&amp;$B$134&amp;$AS$82&amp;"P"&amp;$A166)</f>
        <v>124.37%</v>
      </c>
      <c r="EN166" s="3" t="str">
        <f>RTD("tos.rtd",,EN$2,"."&amp;$C$134&amp;$AU$82&amp;"C"&amp;$A166)</f>
        <v>21.10%</v>
      </c>
      <c r="EO166" s="3" t="str">
        <f>RTD("tos.rtd",,EO$2,"."&amp;$C$134&amp;$AU$82&amp;"P"&amp;$A166)</f>
        <v>23.52%</v>
      </c>
      <c r="EP166" s="3" t="str">
        <f>RTD("tos.rtd",,EP$2,"."&amp;$D$134&amp;$AW$82&amp;"C"&amp;$A166)</f>
        <v>19.58%</v>
      </c>
      <c r="EQ166" s="3" t="str">
        <f>RTD("tos.rtd",,EQ$2,"."&amp;$D$134&amp;$AW$82&amp;"P"&amp;$A166)</f>
        <v>20.62%</v>
      </c>
      <c r="ES166" s="63" t="str">
        <f t="shared" si="583"/>
        <v>20625,-07.00</v>
      </c>
      <c r="ET166" s="63" t="str">
        <f t="shared" ca="1" si="584"/>
        <v>20625,-58.44</v>
      </c>
      <c r="EU166" s="68">
        <v>572.20000000000005</v>
      </c>
      <c r="EV166" s="68" t="s">
        <v>1347</v>
      </c>
      <c r="EW166" s="68">
        <v>497.52</v>
      </c>
      <c r="EX166" s="68" t="s">
        <v>1348</v>
      </c>
      <c r="EY166" s="68">
        <v>5732.25</v>
      </c>
      <c r="EZ166" s="68" t="s">
        <v>1349</v>
      </c>
      <c r="FA166" s="68">
        <v>20426.75</v>
      </c>
      <c r="FB166" s="68" t="s">
        <v>1350</v>
      </c>
      <c r="FC166" s="68" t="s">
        <v>1351</v>
      </c>
      <c r="FD166" s="68" t="s">
        <v>1352</v>
      </c>
      <c r="FE166" s="68" t="s">
        <v>1353</v>
      </c>
      <c r="FF166" s="68" t="s">
        <v>1354</v>
      </c>
    </row>
    <row r="167" spans="1:162" ht="11.1" customHeight="1" thickBot="1" x14ac:dyDescent="0.25">
      <c r="A167" s="2">
        <f t="shared" si="595"/>
        <v>20600</v>
      </c>
      <c r="B167" s="3">
        <f t="shared" ref="B167:B181" si="631">+IF($A$1="ABS",AS167-AT167,AS167+AT167)</f>
        <v>62</v>
      </c>
      <c r="C167" s="3">
        <f t="shared" ref="C167:C181" si="632">+IF($A$1="ABS",AU167-AV167,AU167+AV167)</f>
        <v>109</v>
      </c>
      <c r="D167" s="3">
        <f t="shared" ref="D167:D181" si="633">+IF($A$1="ABS",AW167-AX167,AW167+AX167)</f>
        <v>167</v>
      </c>
      <c r="E167" s="3">
        <f t="shared" ref="E167:E181" si="634">SUM(B167:D167)</f>
        <v>338</v>
      </c>
      <c r="F167" s="4">
        <f t="shared" ref="F167:F181" si="635">+$F$136/$A$136*A167</f>
        <v>20698.830584707644</v>
      </c>
      <c r="G167" s="5">
        <f t="shared" ref="G167:G181" si="636">+$G$136/$A$136*A167</f>
        <v>501.72334632683663</v>
      </c>
      <c r="AM167" s="1">
        <v>1</v>
      </c>
      <c r="AN167" s="1">
        <v>119</v>
      </c>
      <c r="AO167" s="1">
        <v>20600</v>
      </c>
      <c r="AP167" s="1">
        <v>20</v>
      </c>
      <c r="AQ167" s="1">
        <v>-523</v>
      </c>
      <c r="AS167" s="54">
        <f>IF(RTD("tos.rtd",,AS$83,"."&amp;$B$134&amp;$AS$82&amp;"C"&amp;$A167)="N/A",0,RTD("tos.rtd",,AS$83,"."&amp;$B$134&amp;$AS$82&amp;"C"&amp;$A167))</f>
        <v>16</v>
      </c>
      <c r="AT167" s="3">
        <f>-IF(RTD("tos.rtd",,AT$83,"."&amp;$B$134&amp;$AS$82&amp;"P"&amp;$A167)="N/A",0,RTD("tos.rtd",,AT$83,"."&amp;$B$134&amp;$AS$82&amp;"P"&amp;$A167))</f>
        <v>-46</v>
      </c>
      <c r="AU167" s="54">
        <f>IF(RTD("tos.rtd",,AU$2,"."&amp;$C$134&amp;$AU$134&amp;"C"&amp;$A167)="N/A",0,RTD("tos.rtd",,AU$2,"."&amp;$C$134&amp;$AU$134&amp;"C"&amp;$A167))</f>
        <v>34</v>
      </c>
      <c r="AV167" s="3">
        <f>-IF(RTD("tos.rtd",,AV$2,"."&amp;$C$134&amp;$AU$134&amp;"P"&amp;$A167)="N/A",0,RTD("tos.rtd",,AV$2,"."&amp;$C$134&amp;$AU$134&amp;"P"&amp;$A167))</f>
        <v>-75</v>
      </c>
      <c r="AW167" s="54">
        <f>IF(RTD("tos.rtd",,AW$2,"."&amp;$D$134&amp;$AW$134&amp;"C"&amp;$A167)="N/A",0,RTD("tos.rtd",,AW$2,"."&amp;$D$134&amp;$AW$134&amp;"C"&amp;$A167))</f>
        <v>125</v>
      </c>
      <c r="AX167" s="3">
        <f>-IF(RTD("tos.rtd",,AX$2,"."&amp;$D$134&amp;$AW$134&amp;"P"&amp;$A167)="N/A",0,RTD("tos.rtd",,AX$2,"."&amp;$D$134&amp;$AW$134&amp;"P"&amp;$A167))</f>
        <v>-42</v>
      </c>
      <c r="AY167" s="76">
        <f t="shared" ref="AY167:AY181" si="637">SUM(AS167:AX167)</f>
        <v>12</v>
      </c>
      <c r="AZ167" s="8">
        <f t="shared" si="548"/>
        <v>20600</v>
      </c>
      <c r="BA167" s="54">
        <f>IF(RTD("tos.rtd",,BA$43,"."&amp;$B$134&amp;$AS$82&amp;"C"&amp;$A167)="N/A",0,RTD("tos.rtd",,BA$43,"."&amp;$B$134&amp;$AS$82&amp;"C"&amp;$A167))</f>
        <v>20</v>
      </c>
      <c r="BB167" s="3">
        <f>-IF(RTD("tos.rtd",,BB$43,"."&amp;$B$134&amp;$AS$82&amp;"P"&amp;$A167)="N/A",0,RTD("tos.rtd",,BB$43,"."&amp;$B$134&amp;$AS$82&amp;"P"&amp;$A167))</f>
        <v>-523</v>
      </c>
      <c r="BC167" s="54">
        <f>IF(RTD("tos.rtd",,BC$2,"."&amp;$C$134&amp;$AU$82&amp;"C"&amp;$A167)="N/A",0,RTD("tos.rtd",,BC$2,"."&amp;$C$134&amp;$AU$82&amp;"C"&amp;$A167))</f>
        <v>10</v>
      </c>
      <c r="BD167" s="3">
        <f>-IF(RTD("tos.rtd",,BD$2,"."&amp;$C$134&amp;$AU$82&amp;"P"&amp;$A167)="N/A",0,RTD("tos.rtd",,BD$2,"."&amp;$C$134&amp;$AU$82&amp;"P"&amp;$A167))</f>
        <v>-24</v>
      </c>
      <c r="BE167" s="54">
        <f>IF(RTD("tos.rtd",,BE$2,"."&amp;$D$134&amp;$AW$82&amp;"C"&amp;$A167)="N/A",0,RTD("tos.rtd",,BE$2,"."&amp;$D$134&amp;$AW$82&amp;"C"&amp;$A167))</f>
        <v>12</v>
      </c>
      <c r="BF167" s="3">
        <f>-IF(RTD("tos.rtd",,BF$2,"."&amp;$D$134&amp;$AW$82&amp;"P"&amp;$A167)="N/A",0,RTD("tos.rtd",,BF$2,"."&amp;$D$134&amp;$AW$82&amp;"P"&amp;$A167))</f>
        <v>-2</v>
      </c>
      <c r="BG167" s="3">
        <f ca="1">+Hoja2!Y168</f>
        <v>2</v>
      </c>
      <c r="BH167" s="7">
        <f t="shared" ca="1" si="549"/>
        <v>-505</v>
      </c>
      <c r="BI167" s="32" t="str">
        <f t="shared" ca="1" si="609"/>
        <v/>
      </c>
      <c r="BJ167" s="3">
        <f ca="1">IF($BP$1=1,DX167,IF(RTD("tos.rtd",,BJ$43,"."&amp;$B$134&amp;$AS$82&amp;"C"&amp;$A167)="N/A",0,RTD("tos.rtd",,BJ$43,"."&amp;$B$134&amp;$AS$82&amp;"C"&amp;$A167)))</f>
        <v>4.7396618733205992E-6</v>
      </c>
      <c r="BK167" s="3">
        <f ca="1">IF($BP$1=1,DY167,-IF(RTD("tos.rtd",,BK$43,"."&amp;$B$134&amp;$AS$82&amp;"P"&amp;$A167)="N/A",0,RTD("tos.rtd",,BK$43,"."&amp;$B$134&amp;$AS$82&amp;"P"&amp;$A167)))</f>
        <v>-8.9032413668809266E-4</v>
      </c>
      <c r="BL167" s="3">
        <f ca="1">IF($BP$1=1,DZ167,IF(RTD("tos.rtd",,BL$2,"."&amp;$C$134&amp;$AU$82&amp;"C"&amp;$A167)="N/A",0,RTD("tos.rtd",,BL$2,"."&amp;$C$134&amp;$AU$82&amp;"C"&amp;$A167)))</f>
        <v>6.517664891514018E-4</v>
      </c>
      <c r="BM167" s="3">
        <f ca="1">IF($BP$1=1,EA167,-IF(RTD("tos.rtd",,BM$2,"."&amp;$C$134&amp;$AU$82&amp;"P"&amp;$A167)="N/A",0,RTD("tos.rtd",,BM$2,"."&amp;$C$134&amp;$AU$82&amp;"P"&amp;$A167)))</f>
        <v>-5.9590328843421375E-4</v>
      </c>
      <c r="BN167" s="3">
        <f ca="1">IF($BP$1=1,EB167,IF(RTD("tos.rtd",,BN$2,"."&amp;$D$134&amp;$AW$82&amp;"C"&amp;$A167)="N/A",0,RTD("tos.rtd",,BN$2,"."&amp;$D$134&amp;$AW$82&amp;"C"&amp;$A167)))</f>
        <v>6.8809738837450252E-4</v>
      </c>
      <c r="BO167" s="3">
        <f ca="1">IF($BP$1=1,EC167,-IF(RTD("tos.rtd",,BO$2,"."&amp;$D$134&amp;$AW$82&amp;"P"&amp;$A167)="N/A",0,RTD("tos.rtd",,BO$2,"."&amp;$D$134&amp;$AW$82&amp;"P"&amp;$A167)))</f>
        <v>-6.6143227353752357E-4</v>
      </c>
      <c r="BQ167" s="3">
        <f t="shared" ref="BQ167:BQ181" ca="1" si="638">+$A$84*$A$84*AS167*BJ167-$A$84*$A$84*AT167*BK167</f>
        <v>-1395041.0976141952</v>
      </c>
      <c r="BR167" s="3" t="str">
        <f t="shared" ca="1" si="550"/>
        <v/>
      </c>
      <c r="BS167" s="3">
        <f t="shared" ref="BS167:BS181" ca="1" si="639">+$A$84*$A$84*AU167*BL167-$A$84*$A$84*AV167*BM167</f>
        <v>-768951.4127981941</v>
      </c>
      <c r="BT167" s="3" t="str">
        <f t="shared" ca="1" si="551"/>
        <v>Cruce -</v>
      </c>
      <c r="BU167" s="3">
        <f t="shared" ref="BU167:BU181" ca="1" si="640">+$A$84*$A$84*AW167*BN167-$A$84*$A$84*AX167*BO167</f>
        <v>1987228.3558716676</v>
      </c>
      <c r="BV167" s="3" t="str">
        <f t="shared" ca="1" si="551"/>
        <v/>
      </c>
      <c r="BX167" s="3">
        <f t="shared" ca="1" si="585"/>
        <v>-119979.57131269392</v>
      </c>
      <c r="BY167" s="3" t="str">
        <f t="shared" ca="1" si="586"/>
        <v/>
      </c>
      <c r="BZ167" s="3">
        <f t="shared" ca="1" si="587"/>
        <v>-2006.0857868971989</v>
      </c>
      <c r="CA167" s="3" t="str">
        <f t="shared" ca="1" si="586"/>
        <v/>
      </c>
      <c r="CB167" s="3">
        <f t="shared" ca="1" si="588"/>
        <v>1787.0996723179728</v>
      </c>
      <c r="CC167" s="3" t="str">
        <f t="shared" ca="1" si="586"/>
        <v/>
      </c>
      <c r="CD167" s="3">
        <f>IF(RTD("tos.rtd",,CD$43,"."&amp;$B$134&amp;$AS$82&amp;"C"&amp;$A167)="N/A",0,RTD("tos.rtd",,CD$43,"."&amp;$B$134&amp;$AS$82&amp;"C"&amp;$A167))</f>
        <v>1</v>
      </c>
      <c r="CE167" s="3">
        <f>-IF(RTD("tos.rtd",,CE$43,"."&amp;$B$134&amp;$AS$82&amp;"P"&amp;$A167)="N/A",0,RTD("tos.rtd",,CE$43,"."&amp;$B$134&amp;$AS$82&amp;"P"&amp;$A167))</f>
        <v>0.1</v>
      </c>
      <c r="CF167" s="3">
        <f>IF(RTD("tos.rtd",,CF$2,"."&amp;$C$134&amp;$AU$82&amp;"C"&amp;$A167)="N/A",0,RTD("tos.rtd",,CF$2,"."&amp;$C$134&amp;$AU$82&amp;"C"&amp;$A167))</f>
        <v>0.74</v>
      </c>
      <c r="CG167" s="3">
        <f>-IF(RTD("tos.rtd",,CG$2,"."&amp;$C$134&amp;$AU$82&amp;"P"&amp;$A167)="N/A",0,RTD("tos.rtd",,CG$2,"."&amp;$C$134&amp;$AU$82&amp;"P"&amp;$A167))</f>
        <v>0.28000000000000003</v>
      </c>
      <c r="CH167" s="3">
        <f>IF(RTD("tos.rtd",,CH$2,"."&amp;$D$134&amp;$AW$82&amp;"C"&amp;$A167)="N/A",0,RTD("tos.rtd",,CH$2,"."&amp;$D$134&amp;$AW$82&amp;"C"&amp;$A167))</f>
        <v>0.62</v>
      </c>
      <c r="CI167" s="3">
        <f>-IF(RTD("tos.rtd",,CI$2,"."&amp;$D$134&amp;$AW$82&amp;"P"&amp;$A167)="N/A",0,RTD("tos.rtd",,CI$2,"."&amp;$D$134&amp;$AW$82&amp;"P"&amp;$A167))</f>
        <v>0.38</v>
      </c>
      <c r="CK167" s="3">
        <f t="shared" si="620"/>
        <v>1140</v>
      </c>
      <c r="CL167" s="3"/>
      <c r="CM167" s="3">
        <f t="shared" si="621"/>
        <v>415.99999999999955</v>
      </c>
      <c r="CN167" s="3"/>
      <c r="CO167" s="3">
        <f t="shared" si="622"/>
        <v>6154</v>
      </c>
      <c r="CP167" s="3">
        <f t="shared" si="542"/>
        <v>7710</v>
      </c>
      <c r="CQ167" s="3">
        <f t="shared" si="552"/>
        <v>-503</v>
      </c>
      <c r="CR167" s="3"/>
      <c r="CS167" s="3">
        <f t="shared" si="553"/>
        <v>-14</v>
      </c>
      <c r="CT167" s="3"/>
      <c r="CU167" s="3">
        <f t="shared" si="554"/>
        <v>10</v>
      </c>
      <c r="CV167" s="3"/>
      <c r="CW167" s="3">
        <f t="shared" ca="1" si="555"/>
        <v>-176764.15454072179</v>
      </c>
      <c r="CY167" s="3">
        <f t="shared" ca="1" si="556"/>
        <v>-120198.55742727315</v>
      </c>
      <c r="CZ167" s="70" t="str">
        <f t="shared" ca="1" si="589"/>
        <v/>
      </c>
      <c r="DA167" s="3">
        <f>IF(RTD("tos.rtd",,DA$43,"."&amp;$B$134&amp;$AS$82&amp;"C"&amp;$A167)="N/A",0,RTD("tos.rtd",,DA$43,"."&amp;$B$134&amp;$AS$82&amp;"C"&amp;$A167))</f>
        <v>246.16</v>
      </c>
      <c r="DB167" s="3">
        <f>IF(RTD("tos.rtd",,DB$43,"."&amp;$B$134&amp;$AS$82&amp;"P"&amp;$A167)="N/A",0,RTD("tos.rtd",,DB$43,"."&amp;$B$134&amp;$AS$82&amp;"P"&amp;$A167))</f>
        <v>0.1</v>
      </c>
      <c r="DC167" s="3">
        <f>IF(RTD("tos.rtd",,DC$43,"."&amp;$B$134&amp;$AS$82&amp;"C"&amp;$A167)="N/A",0,RTD("tos.rtd",,DC$43,"."&amp;$B$134&amp;$AS$82&amp;"C"&amp;$A167))</f>
        <v>288</v>
      </c>
      <c r="DD167" s="3">
        <f>IF(RTD("tos.rtd",,DD$43,"."&amp;$B$134&amp;$AS$82&amp;"P"&amp;$A167)="N/A",0,RTD("tos.rtd",,DD$43,"."&amp;$B$134&amp;$AS$82&amp;"P"&amp;$A167))</f>
        <v>19.8</v>
      </c>
      <c r="DE167" s="3">
        <f>IF(RTD("tos.rtd",,DE$43,"."&amp;$B$134&amp;$AS$82&amp;"C"&amp;$A167)="N/A",0,RTD("tos.rtd",,DE$43,"."&amp;$B$134&amp;$AS$82&amp;"C"&amp;$A167))</f>
        <v>240.1</v>
      </c>
      <c r="DF167" s="3">
        <f>IF(RTD("tos.rtd",,DF$43,"."&amp;$B$134&amp;$AS$82&amp;"P"&amp;$A167)="N/A",0,RTD("tos.rtd",,DF$43,"."&amp;$B$134&amp;$AS$82&amp;"P"&amp;$A167))</f>
        <v>0.1</v>
      </c>
      <c r="DG167" s="86">
        <f t="shared" si="590"/>
        <v>-243.75</v>
      </c>
      <c r="DH167" s="3">
        <f t="shared" si="557"/>
        <v>0</v>
      </c>
      <c r="DI167" s="3">
        <f t="shared" si="558"/>
        <v>0</v>
      </c>
      <c r="DJ167" s="3">
        <f t="shared" si="559"/>
        <v>0</v>
      </c>
      <c r="DK167" s="3">
        <f t="shared" si="560"/>
        <v>0</v>
      </c>
      <c r="DL167" s="3">
        <f t="shared" si="561"/>
        <v>0</v>
      </c>
      <c r="DM167" s="3">
        <f t="shared" si="562"/>
        <v>0</v>
      </c>
      <c r="DN167" s="64" t="str">
        <f t="shared" si="563"/>
        <v>UNKNOWN</v>
      </c>
      <c r="DO167" s="64" t="str">
        <f t="shared" si="564"/>
        <v>UNKNOWN</v>
      </c>
      <c r="DP167" s="3">
        <f t="shared" si="565"/>
        <v>0</v>
      </c>
      <c r="DQ167" s="3">
        <f t="shared" si="566"/>
        <v>0</v>
      </c>
      <c r="DR167" s="3">
        <f t="shared" ca="1" si="567"/>
        <v>0</v>
      </c>
      <c r="DS167" s="3">
        <f t="shared" si="568"/>
        <v>0</v>
      </c>
      <c r="DT167" s="3">
        <f t="shared" si="591"/>
        <v>0</v>
      </c>
      <c r="DU167" s="3">
        <f t="shared" si="592"/>
        <v>0</v>
      </c>
      <c r="DV167" s="3">
        <f t="shared" si="569"/>
        <v>1</v>
      </c>
      <c r="DW167" s="3">
        <f t="shared" si="570"/>
        <v>119</v>
      </c>
      <c r="DX167" s="3">
        <f t="shared" ca="1" si="571"/>
        <v>4.7396618733205992E-6</v>
      </c>
      <c r="DY167" s="3">
        <f t="shared" ca="1" si="572"/>
        <v>-8.9032413668809266E-4</v>
      </c>
      <c r="DZ167" s="3">
        <f t="shared" ca="1" si="573"/>
        <v>6.517664891514018E-4</v>
      </c>
      <c r="EA167" s="3">
        <f t="shared" ca="1" si="574"/>
        <v>-5.9590328843421375E-4</v>
      </c>
      <c r="EB167" s="3">
        <f t="shared" ca="1" si="575"/>
        <v>6.8809738837450252E-4</v>
      </c>
      <c r="EC167" s="3">
        <f t="shared" ca="1" si="576"/>
        <v>-6.6143227353752357E-4</v>
      </c>
      <c r="ED167" s="63">
        <f t="shared" si="593"/>
        <v>120</v>
      </c>
      <c r="EE167" s="59">
        <f t="shared" si="577"/>
        <v>0.25</v>
      </c>
      <c r="EF167" s="59">
        <f t="shared" si="578"/>
        <v>1.3380000000000001</v>
      </c>
      <c r="EG167" s="59">
        <f t="shared" si="579"/>
        <v>0.21099999999999999</v>
      </c>
      <c r="EH167" s="59">
        <f t="shared" si="580"/>
        <v>0.2361</v>
      </c>
      <c r="EI167" s="59">
        <f t="shared" si="581"/>
        <v>0.19639999999999999</v>
      </c>
      <c r="EJ167" s="59">
        <f t="shared" si="582"/>
        <v>0.20699999999999999</v>
      </c>
      <c r="EK167" s="63">
        <f t="shared" ca="1" si="594"/>
        <v>-46028560.296255149</v>
      </c>
      <c r="EL167" s="3" t="str">
        <f>RTD("tos.rtd",,EL$43,"."&amp;$B$134&amp;$AS$82&amp;"C"&amp;$A167)</f>
        <v>--</v>
      </c>
      <c r="EM167" s="3" t="str">
        <f>RTD("tos.rtd",,EM$43,"."&amp;$B$134&amp;$AS$82&amp;"P"&amp;$A167)</f>
        <v>133.80%</v>
      </c>
      <c r="EN167" s="3" t="str">
        <f>RTD("tos.rtd",,EN$2,"."&amp;$C$134&amp;$AU$82&amp;"C"&amp;$A167)</f>
        <v>21.10%</v>
      </c>
      <c r="EO167" s="3" t="str">
        <f>RTD("tos.rtd",,EO$2,"."&amp;$C$134&amp;$AU$82&amp;"P"&amp;$A167)</f>
        <v>23.61%</v>
      </c>
      <c r="EP167" s="3" t="str">
        <f>RTD("tos.rtd",,EP$2,"."&amp;$D$134&amp;$AW$82&amp;"C"&amp;$A167)</f>
        <v>19.64%</v>
      </c>
      <c r="EQ167" s="3" t="str">
        <f>RTD("tos.rtd",,EQ$2,"."&amp;$D$134&amp;$AW$82&amp;"P"&amp;$A167)</f>
        <v>20.70%</v>
      </c>
      <c r="ES167" s="63" t="str">
        <f t="shared" si="583"/>
        <v>20600,120.00</v>
      </c>
      <c r="ET167" s="63" t="str">
        <f t="shared" ca="1" si="584"/>
        <v>20600,-120.20</v>
      </c>
      <c r="EU167" s="68">
        <v>572.16</v>
      </c>
      <c r="EV167" s="68" t="s">
        <v>1355</v>
      </c>
      <c r="EW167" s="68">
        <v>497.55</v>
      </c>
      <c r="EX167" s="68" t="s">
        <v>1356</v>
      </c>
      <c r="EY167" s="68">
        <v>5732</v>
      </c>
      <c r="EZ167" s="68" t="s">
        <v>1357</v>
      </c>
      <c r="FA167" s="68">
        <v>20425</v>
      </c>
      <c r="FB167" s="68" t="s">
        <v>1358</v>
      </c>
      <c r="FC167" s="68" t="s">
        <v>1359</v>
      </c>
      <c r="FD167" s="68" t="s">
        <v>1360</v>
      </c>
      <c r="FE167" s="68" t="s">
        <v>1361</v>
      </c>
      <c r="FF167" s="68" t="s">
        <v>1362</v>
      </c>
    </row>
    <row r="168" spans="1:162" ht="11.1" customHeight="1" thickBot="1" x14ac:dyDescent="0.25">
      <c r="A168" s="2">
        <f t="shared" si="595"/>
        <v>20575</v>
      </c>
      <c r="B168" s="3">
        <f t="shared" ref="B168:B175" si="641">+IF($A$1="ABS",AS168-AT168,AS168+AT168)</f>
        <v>1</v>
      </c>
      <c r="C168" s="3">
        <f t="shared" ref="C168:C175" si="642">+IF($A$1="ABS",AU168-AV168,AU168+AV168)</f>
        <v>14</v>
      </c>
      <c r="D168" s="3">
        <f t="shared" ref="D168:D175" si="643">+IF($A$1="ABS",AW168-AX168,AW168+AX168)</f>
        <v>14</v>
      </c>
      <c r="E168" s="3">
        <f t="shared" ref="E168:E175" si="644">SUM(B168:D168)</f>
        <v>29</v>
      </c>
      <c r="F168" s="4">
        <f t="shared" ref="F168:F175" si="645">+$F$136/$A$136*A168</f>
        <v>20673.71064467766</v>
      </c>
      <c r="G168" s="5">
        <f t="shared" ref="G168:G175" si="646">+$G$136/$A$136*A168</f>
        <v>501.1144587706147</v>
      </c>
      <c r="AM168" s="1">
        <v>0</v>
      </c>
      <c r="AN168" s="1">
        <v>-35</v>
      </c>
      <c r="AO168" s="1">
        <v>20575</v>
      </c>
      <c r="AP168" s="1">
        <v>1</v>
      </c>
      <c r="AQ168" s="1">
        <v>-112</v>
      </c>
      <c r="AS168" s="54">
        <f>IF(RTD("tos.rtd",,AS$83,"."&amp;$B$134&amp;$AS$82&amp;"C"&amp;$A168)="N/A",0,RTD("tos.rtd",,AS$83,"."&amp;$B$134&amp;$AS$82&amp;"C"&amp;$A168))</f>
        <v>1</v>
      </c>
      <c r="AT168" s="3">
        <f>-IF(RTD("tos.rtd",,AT$83,"."&amp;$B$134&amp;$AS$82&amp;"P"&amp;$A168)="N/A",0,RTD("tos.rtd",,AT$83,"."&amp;$B$134&amp;$AS$82&amp;"P"&amp;$A168))</f>
        <v>0</v>
      </c>
      <c r="AU168" s="54">
        <f>IF(RTD("tos.rtd",,AU$2,"."&amp;$C$134&amp;$AU$134&amp;"C"&amp;$A168)="N/A",0,RTD("tos.rtd",,AU$2,"."&amp;$C$134&amp;$AU$134&amp;"C"&amp;$A168))</f>
        <v>13</v>
      </c>
      <c r="AV168" s="3">
        <f>-IF(RTD("tos.rtd",,AV$2,"."&amp;$C$134&amp;$AU$134&amp;"P"&amp;$A168)="N/A",0,RTD("tos.rtd",,AV$2,"."&amp;$C$134&amp;$AU$134&amp;"P"&amp;$A168))</f>
        <v>-1</v>
      </c>
      <c r="AW168" s="54">
        <f>IF(RTD("tos.rtd",,AW$2,"."&amp;$D$134&amp;$AW$134&amp;"C"&amp;$A168)="N/A",0,RTD("tos.rtd",,AW$2,"."&amp;$D$134&amp;$AW$134&amp;"C"&amp;$A168))</f>
        <v>12</v>
      </c>
      <c r="AX168" s="3">
        <f>-IF(RTD("tos.rtd",,AX$2,"."&amp;$D$134&amp;$AW$134&amp;"P"&amp;$A168)="N/A",0,RTD("tos.rtd",,AX$2,"."&amp;$D$134&amp;$AW$134&amp;"P"&amp;$A168))</f>
        <v>-2</v>
      </c>
      <c r="AY168" s="76">
        <f t="shared" ref="AY168:AY175" si="647">SUM(AS168:AX168)</f>
        <v>23</v>
      </c>
      <c r="AZ168" s="8">
        <f t="shared" si="548"/>
        <v>20575</v>
      </c>
      <c r="BA168" s="54">
        <f>IF(RTD("tos.rtd",,BA$43,"."&amp;$B$134&amp;$AS$82&amp;"C"&amp;$A168)="N/A",0,RTD("tos.rtd",,BA$43,"."&amp;$B$134&amp;$AS$82&amp;"C"&amp;$A168))</f>
        <v>1</v>
      </c>
      <c r="BB168" s="3">
        <f>-IF(RTD("tos.rtd",,BB$43,"."&amp;$B$134&amp;$AS$82&amp;"P"&amp;$A168)="N/A",0,RTD("tos.rtd",,BB$43,"."&amp;$B$134&amp;$AS$82&amp;"P"&amp;$A168))</f>
        <v>-112</v>
      </c>
      <c r="BC168" s="54">
        <f>IF(RTD("tos.rtd",,BC$2,"."&amp;$C$134&amp;$AU$82&amp;"C"&amp;$A168)="N/A",0,RTD("tos.rtd",,BC$2,"."&amp;$C$134&amp;$AU$82&amp;"C"&amp;$A168))</f>
        <v>4</v>
      </c>
      <c r="BD168" s="3">
        <f>-IF(RTD("tos.rtd",,BD$2,"."&amp;$C$134&amp;$AU$82&amp;"P"&amp;$A168)="N/A",0,RTD("tos.rtd",,BD$2,"."&amp;$C$134&amp;$AU$82&amp;"P"&amp;$A168))</f>
        <v>-17</v>
      </c>
      <c r="BE168" s="54">
        <f>IF(RTD("tos.rtd",,BE$2,"."&amp;$D$134&amp;$AW$82&amp;"C"&amp;$A168)="N/A",0,RTD("tos.rtd",,BE$2,"."&amp;$D$134&amp;$AW$82&amp;"C"&amp;$A168))</f>
        <v>2</v>
      </c>
      <c r="BF168" s="3">
        <f>-IF(RTD("tos.rtd",,BF$2,"."&amp;$D$134&amp;$AW$82&amp;"P"&amp;$A168)="N/A",0,RTD("tos.rtd",,BF$2,"."&amp;$D$134&amp;$AW$82&amp;"P"&amp;$A168))</f>
        <v>0</v>
      </c>
      <c r="BG168" s="3">
        <f ca="1">+Hoja2!Y169</f>
        <v>1</v>
      </c>
      <c r="BH168" s="7">
        <f t="shared" ca="1" si="549"/>
        <v>-121</v>
      </c>
      <c r="BI168" s="32" t="str">
        <f t="shared" ca="1" si="609"/>
        <v/>
      </c>
      <c r="BJ168" s="3">
        <f ca="1">IF($BP$1=1,DX168,IF(RTD("tos.rtd",,BJ$43,"."&amp;$B$134&amp;$AS$82&amp;"C"&amp;$A168)="N/A",0,RTD("tos.rtd",,BJ$43,"."&amp;$B$134&amp;$AS$82&amp;"C"&amp;$A168)))</f>
        <v>1.0009738116537637E-6</v>
      </c>
      <c r="BK168" s="3">
        <f ca="1">IF($BP$1=1,DY168,-IF(RTD("tos.rtd",,BK$43,"."&amp;$B$134&amp;$AS$82&amp;"P"&amp;$A168)="N/A",0,RTD("tos.rtd",,BK$43,"."&amp;$B$134&amp;$AS$82&amp;"P"&amp;$A168)))</f>
        <v>-8.19742949567463E-4</v>
      </c>
      <c r="BL168" s="3">
        <f ca="1">IF($BP$1=1,DZ168,IF(RTD("tos.rtd",,BL$2,"."&amp;$C$134&amp;$AU$82&amp;"C"&amp;$A168)="N/A",0,RTD("tos.rtd",,BL$2,"."&amp;$C$134&amp;$AU$82&amp;"C"&amp;$A168)))</f>
        <v>6.439009049271343E-4</v>
      </c>
      <c r="BM168" s="3">
        <f ca="1">IF($BP$1=1,EA168,-IF(RTD("tos.rtd",,BM$2,"."&amp;$C$134&amp;$AU$82&amp;"P"&amp;$A168)="N/A",0,RTD("tos.rtd",,BM$2,"."&amp;$C$134&amp;$AU$82&amp;"P"&amp;$A168)))</f>
        <v>-5.8264336015165946E-4</v>
      </c>
      <c r="BN168" s="3">
        <f ca="1">IF($BP$1=1,EB168,IF(RTD("tos.rtd",,BN$2,"."&amp;$D$134&amp;$AW$82&amp;"C"&amp;$A168)="N/A",0,RTD("tos.rtd",,BN$2,"."&amp;$D$134&amp;$AW$82&amp;"C"&amp;$A168)))</f>
        <v>6.6758963414538118E-4</v>
      </c>
      <c r="BO168" s="3">
        <f ca="1">IF($BP$1=1,EC168,-IF(RTD("tos.rtd",,BO$2,"."&amp;$D$134&amp;$AW$82&amp;"P"&amp;$A168)="N/A",0,RTD("tos.rtd",,BO$2,"."&amp;$D$134&amp;$AW$82&amp;"P"&amp;$A168)))</f>
        <v>-6.4367826064240746E-4</v>
      </c>
      <c r="BQ168" s="3">
        <f t="shared" ref="BQ168:BQ175" ca="1" si="648">+$A$84*$A$84*AS168*BJ168-$A$84*$A$84*AT168*BK168</f>
        <v>34.159275400931108</v>
      </c>
      <c r="BR168" s="3" t="str">
        <f t="shared" ca="1" si="550"/>
        <v>Cruce +</v>
      </c>
      <c r="BS168" s="3">
        <f t="shared" ref="BS168:BS175" ca="1" si="649">+$A$84*$A$84*AU168*BL168-$A$84*$A$84*AV168*BM168</f>
        <v>265775.95772522409</v>
      </c>
      <c r="BT168" s="3" t="str">
        <f t="shared" ca="1" si="551"/>
        <v>Cruce +</v>
      </c>
      <c r="BU168" s="3">
        <f t="shared" ref="BU168:BU175" ca="1" si="650">+$A$84*$A$84*AW168*BN168-$A$84*$A$84*AX168*BO168</f>
        <v>229453.92715293096</v>
      </c>
      <c r="BV168" s="3" t="str">
        <f t="shared" ca="1" si="551"/>
        <v/>
      </c>
      <c r="BX168" s="3">
        <f t="shared" ca="1" si="585"/>
        <v>-23661.205567390938</v>
      </c>
      <c r="BY168" s="3" t="str">
        <f t="shared" ca="1" si="586"/>
        <v/>
      </c>
      <c r="BZ168" s="3">
        <f t="shared" ca="1" si="587"/>
        <v>-1888.9061233902812</v>
      </c>
      <c r="CA168" s="3" t="str">
        <f t="shared" ca="1" si="586"/>
        <v/>
      </c>
      <c r="CB168" s="3">
        <f t="shared" ca="1" si="588"/>
        <v>344.10063271247236</v>
      </c>
      <c r="CC168" s="3" t="str">
        <f t="shared" ca="1" si="586"/>
        <v/>
      </c>
      <c r="CD168" s="3">
        <f>IF(RTD("tos.rtd",,CD$43,"."&amp;$B$134&amp;$AS$82&amp;"C"&amp;$A168)="N/A",0,RTD("tos.rtd",,CD$43,"."&amp;$B$134&amp;$AS$82&amp;"C"&amp;$A168))</f>
        <v>1</v>
      </c>
      <c r="CE168" s="3">
        <f>-IF(RTD("tos.rtd",,CE$43,"."&amp;$B$134&amp;$AS$82&amp;"P"&amp;$A168)="N/A",0,RTD("tos.rtd",,CE$43,"."&amp;$B$134&amp;$AS$82&amp;"P"&amp;$A168))</f>
        <v>0.09</v>
      </c>
      <c r="CF168" s="3">
        <f>IF(RTD("tos.rtd",,CF$2,"."&amp;$C$134&amp;$AU$82&amp;"C"&amp;$A168)="N/A",0,RTD("tos.rtd",,CF$2,"."&amp;$C$134&amp;$AU$82&amp;"C"&amp;$A168))</f>
        <v>0.76</v>
      </c>
      <c r="CG168" s="3">
        <f>-IF(RTD("tos.rtd",,CG$2,"."&amp;$C$134&amp;$AU$82&amp;"P"&amp;$A168)="N/A",0,RTD("tos.rtd",,CG$2,"."&amp;$C$134&amp;$AU$82&amp;"P"&amp;$A168))</f>
        <v>0.27</v>
      </c>
      <c r="CH168" s="3">
        <f>IF(RTD("tos.rtd",,CH$2,"."&amp;$D$134&amp;$AW$82&amp;"C"&amp;$A168)="N/A",0,RTD("tos.rtd",,CH$2,"."&amp;$D$134&amp;$AW$82&amp;"C"&amp;$A168))</f>
        <v>0.63</v>
      </c>
      <c r="CI168" s="3">
        <f>-IF(RTD("tos.rtd",,CI$2,"."&amp;$D$134&amp;$AW$82&amp;"P"&amp;$A168)="N/A",0,RTD("tos.rtd",,CI$2,"."&amp;$D$134&amp;$AW$82&amp;"P"&amp;$A168))</f>
        <v>0.38</v>
      </c>
      <c r="CK168" s="3">
        <f t="shared" ref="CK168:CK175" si="651">+AS168*CD168*100+AT168*CE168*100</f>
        <v>100</v>
      </c>
      <c r="CL168" s="3"/>
      <c r="CM168" s="3">
        <f t="shared" ref="CM168:CM175" si="652">+AU168*CF168*100+AV168*CG168*100</f>
        <v>961.00000000000011</v>
      </c>
      <c r="CN168" s="3"/>
      <c r="CO168" s="3">
        <f t="shared" ref="CO168:CO175" si="653">+AW168*CH168*100+AX168*CI168*100</f>
        <v>680</v>
      </c>
      <c r="CP168" s="3">
        <f t="shared" si="542"/>
        <v>1741</v>
      </c>
      <c r="CQ168" s="3">
        <f t="shared" si="552"/>
        <v>-111</v>
      </c>
      <c r="CR168" s="3"/>
      <c r="CS168" s="3">
        <f t="shared" si="553"/>
        <v>-13</v>
      </c>
      <c r="CT168" s="3"/>
      <c r="CU168" s="3">
        <f t="shared" si="554"/>
        <v>2</v>
      </c>
      <c r="CV168" s="3"/>
      <c r="CW168" s="3">
        <f t="shared" ca="1" si="555"/>
        <v>495264.04415355599</v>
      </c>
      <c r="CY168" s="3">
        <f t="shared" ca="1" si="556"/>
        <v>-25206.011058068747</v>
      </c>
      <c r="CZ168" s="70" t="str">
        <f t="shared" ca="1" si="589"/>
        <v/>
      </c>
      <c r="DA168" s="3">
        <f>IF(RTD("tos.rtd",,DA$43,"."&amp;$B$134&amp;$AS$82&amp;"C"&amp;$A168)="N/A",0,RTD("tos.rtd",,DA$43,"."&amp;$B$134&amp;$AS$82&amp;"C"&amp;$A168))</f>
        <v>130.13999999999999</v>
      </c>
      <c r="DB168" s="3">
        <f>IF(RTD("tos.rtd",,DB$43,"."&amp;$B$134&amp;$AS$82&amp;"P"&amp;$A168)="N/A",0,RTD("tos.rtd",,DB$43,"."&amp;$B$134&amp;$AS$82&amp;"P"&amp;$A168))</f>
        <v>0.05</v>
      </c>
      <c r="DC168" s="3">
        <f>IF(RTD("tos.rtd",,DC$43,"."&amp;$B$134&amp;$AS$82&amp;"C"&amp;$A168)="N/A",0,RTD("tos.rtd",,DC$43,"."&amp;$B$134&amp;$AS$82&amp;"C"&amp;$A168))</f>
        <v>312.39999999999998</v>
      </c>
      <c r="DD168" s="3">
        <f>IF(RTD("tos.rtd",,DD$43,"."&amp;$B$134&amp;$AS$82&amp;"P"&amp;$A168)="N/A",0,RTD("tos.rtd",,DD$43,"."&amp;$B$134&amp;$AS$82&amp;"P"&amp;$A168))</f>
        <v>19.8</v>
      </c>
      <c r="DE168" s="3">
        <f>IF(RTD("tos.rtd",,DE$43,"."&amp;$B$134&amp;$AS$82&amp;"C"&amp;$A168)="N/A",0,RTD("tos.rtd",,DE$43,"."&amp;$B$134&amp;$AS$82&amp;"C"&amp;$A168))</f>
        <v>262.39999999999998</v>
      </c>
      <c r="DF168" s="3">
        <f>IF(RTD("tos.rtd",,DF$43,"."&amp;$B$134&amp;$AS$82&amp;"P"&amp;$A168)="N/A",0,RTD("tos.rtd",,DF$43,"."&amp;$B$134&amp;$AS$82&amp;"P"&amp;$A168))</f>
        <v>0</v>
      </c>
      <c r="DG168" s="86">
        <f t="shared" si="590"/>
        <v>-268.75</v>
      </c>
      <c r="DH168" s="3">
        <f t="shared" si="557"/>
        <v>0</v>
      </c>
      <c r="DI168" s="3">
        <f t="shared" si="558"/>
        <v>0</v>
      </c>
      <c r="DJ168" s="3">
        <f t="shared" si="559"/>
        <v>0</v>
      </c>
      <c r="DK168" s="3">
        <f t="shared" si="560"/>
        <v>0</v>
      </c>
      <c r="DL168" s="3">
        <f t="shared" si="561"/>
        <v>0</v>
      </c>
      <c r="DM168" s="3">
        <f t="shared" si="562"/>
        <v>0</v>
      </c>
      <c r="DN168" s="64" t="str">
        <f t="shared" si="563"/>
        <v>UNKNOWN</v>
      </c>
      <c r="DO168" s="64" t="str">
        <f t="shared" si="564"/>
        <v>UNKNOWN</v>
      </c>
      <c r="DP168" s="3">
        <f t="shared" si="565"/>
        <v>0</v>
      </c>
      <c r="DQ168" s="3">
        <f t="shared" si="566"/>
        <v>0</v>
      </c>
      <c r="DR168" s="3">
        <f t="shared" ca="1" si="567"/>
        <v>0</v>
      </c>
      <c r="DS168" s="3">
        <f t="shared" si="568"/>
        <v>0</v>
      </c>
      <c r="DT168" s="3">
        <f t="shared" si="591"/>
        <v>0</v>
      </c>
      <c r="DU168" s="3">
        <f t="shared" si="592"/>
        <v>0</v>
      </c>
      <c r="DV168" s="3">
        <f t="shared" si="569"/>
        <v>0</v>
      </c>
      <c r="DW168" s="3">
        <f t="shared" si="570"/>
        <v>-35</v>
      </c>
      <c r="DX168" s="3">
        <f t="shared" ca="1" si="571"/>
        <v>1.0009738116537637E-6</v>
      </c>
      <c r="DY168" s="3">
        <f t="shared" ca="1" si="572"/>
        <v>-8.19742949567463E-4</v>
      </c>
      <c r="DZ168" s="3">
        <f t="shared" ca="1" si="573"/>
        <v>6.439009049271343E-4</v>
      </c>
      <c r="EA168" s="3">
        <f t="shared" ca="1" si="574"/>
        <v>-5.8264336015165946E-4</v>
      </c>
      <c r="EB168" s="3">
        <f t="shared" ca="1" si="575"/>
        <v>6.6758963414538118E-4</v>
      </c>
      <c r="EC168" s="3">
        <f t="shared" ca="1" si="576"/>
        <v>-6.4367826064240746E-4</v>
      </c>
      <c r="ED168" s="63">
        <f t="shared" si="593"/>
        <v>-35</v>
      </c>
      <c r="EE168" s="59">
        <f t="shared" si="577"/>
        <v>0.25</v>
      </c>
      <c r="EF168" s="59">
        <f t="shared" si="578"/>
        <v>1.4273</v>
      </c>
      <c r="EG168" s="59">
        <f t="shared" si="579"/>
        <v>0.20760000000000001</v>
      </c>
      <c r="EH168" s="59">
        <f t="shared" si="580"/>
        <v>0.23710000000000001</v>
      </c>
      <c r="EI168" s="59">
        <f t="shared" si="581"/>
        <v>0.19719999999999999</v>
      </c>
      <c r="EJ168" s="59">
        <f t="shared" si="582"/>
        <v>0.2077</v>
      </c>
      <c r="EK168" s="63">
        <f t="shared" ca="1" si="594"/>
        <v>12465148.181791179</v>
      </c>
      <c r="EL168" s="3" t="str">
        <f>RTD("tos.rtd",,EL$43,"."&amp;$B$134&amp;$AS$82&amp;"C"&amp;$A168)</f>
        <v>--</v>
      </c>
      <c r="EM168" s="3" t="str">
        <f>RTD("tos.rtd",,EM$43,"."&amp;$B$134&amp;$AS$82&amp;"P"&amp;$A168)</f>
        <v>142.73%</v>
      </c>
      <c r="EN168" s="3" t="str">
        <f>RTD("tos.rtd",,EN$2,"."&amp;$C$134&amp;$AU$82&amp;"C"&amp;$A168)</f>
        <v>20.76%</v>
      </c>
      <c r="EO168" s="3" t="str">
        <f>RTD("tos.rtd",,EO$2,"."&amp;$C$134&amp;$AU$82&amp;"P"&amp;$A168)</f>
        <v>23.71%</v>
      </c>
      <c r="EP168" s="3" t="str">
        <f>RTD("tos.rtd",,EP$2,"."&amp;$D$134&amp;$AW$82&amp;"C"&amp;$A168)</f>
        <v>19.72%</v>
      </c>
      <c r="EQ168" s="3" t="str">
        <f>RTD("tos.rtd",,EQ$2,"."&amp;$D$134&amp;$AW$82&amp;"P"&amp;$A168)</f>
        <v>20.77%</v>
      </c>
      <c r="ES168" s="63" t="str">
        <f t="shared" si="583"/>
        <v>20575,-35.00</v>
      </c>
      <c r="ET168" s="63" t="str">
        <f t="shared" ca="1" si="584"/>
        <v>20575,-25.21</v>
      </c>
      <c r="EU168" s="68">
        <v>572.16</v>
      </c>
      <c r="EV168" s="68" t="s">
        <v>1363</v>
      </c>
      <c r="EW168" s="68">
        <v>497.55</v>
      </c>
      <c r="EX168" s="68" t="s">
        <v>1364</v>
      </c>
      <c r="EY168" s="68">
        <v>5732.25</v>
      </c>
      <c r="EZ168" s="68" t="s">
        <v>1365</v>
      </c>
      <c r="FA168" s="68">
        <v>20425.5</v>
      </c>
      <c r="FB168" s="68" t="s">
        <v>1366</v>
      </c>
      <c r="FC168" s="68" t="s">
        <v>1367</v>
      </c>
      <c r="FD168" s="68" t="s">
        <v>1368</v>
      </c>
      <c r="FE168" s="68" t="s">
        <v>1369</v>
      </c>
      <c r="FF168" s="68" t="s">
        <v>1370</v>
      </c>
    </row>
    <row r="169" spans="1:162" ht="11.1" customHeight="1" thickBot="1" x14ac:dyDescent="0.25">
      <c r="A169" s="2">
        <f t="shared" si="595"/>
        <v>20550</v>
      </c>
      <c r="B169" s="3">
        <f t="shared" si="641"/>
        <v>11</v>
      </c>
      <c r="C169" s="3">
        <f t="shared" si="642"/>
        <v>22</v>
      </c>
      <c r="D169" s="3">
        <f t="shared" si="643"/>
        <v>25</v>
      </c>
      <c r="E169" s="3">
        <f t="shared" si="644"/>
        <v>58</v>
      </c>
      <c r="F169" s="4">
        <f t="shared" si="645"/>
        <v>20648.590704647675</v>
      </c>
      <c r="G169" s="5">
        <f t="shared" si="646"/>
        <v>500.50557121439283</v>
      </c>
      <c r="AM169" s="1">
        <v>2</v>
      </c>
      <c r="AN169" s="1">
        <v>-29</v>
      </c>
      <c r="AO169" s="1">
        <v>20550</v>
      </c>
      <c r="AP169" s="1">
        <v>10</v>
      </c>
      <c r="AQ169" s="1">
        <v>-314</v>
      </c>
      <c r="AS169" s="54">
        <f>IF(RTD("tos.rtd",,AS$83,"."&amp;$B$134&amp;$AS$82&amp;"C"&amp;$A169)="N/A",0,RTD("tos.rtd",,AS$83,"."&amp;$B$134&amp;$AS$82&amp;"C"&amp;$A169))</f>
        <v>9</v>
      </c>
      <c r="AT169" s="3">
        <f>-IF(RTD("tos.rtd",,AT$83,"."&amp;$B$134&amp;$AS$82&amp;"P"&amp;$A169)="N/A",0,RTD("tos.rtd",,AT$83,"."&amp;$B$134&amp;$AS$82&amp;"P"&amp;$A169))</f>
        <v>-2</v>
      </c>
      <c r="AU169" s="54">
        <f>IF(RTD("tos.rtd",,AU$2,"."&amp;$C$134&amp;$AU$134&amp;"C"&amp;$A169)="N/A",0,RTD("tos.rtd",,AU$2,"."&amp;$C$134&amp;$AU$134&amp;"C"&amp;$A169))</f>
        <v>16</v>
      </c>
      <c r="AV169" s="3">
        <f>-IF(RTD("tos.rtd",,AV$2,"."&amp;$C$134&amp;$AU$134&amp;"P"&amp;$A169)="N/A",0,RTD("tos.rtd",,AV$2,"."&amp;$C$134&amp;$AU$134&amp;"P"&amp;$A169))</f>
        <v>-6</v>
      </c>
      <c r="AW169" s="54">
        <f>IF(RTD("tos.rtd",,AW$2,"."&amp;$D$134&amp;$AW$134&amp;"C"&amp;$A169)="N/A",0,RTD("tos.rtd",,AW$2,"."&amp;$D$134&amp;$AW$134&amp;"C"&amp;$A169))</f>
        <v>20</v>
      </c>
      <c r="AX169" s="3">
        <f>-IF(RTD("tos.rtd",,AX$2,"."&amp;$D$134&amp;$AW$134&amp;"P"&amp;$A169)="N/A",0,RTD("tos.rtd",,AX$2,"."&amp;$D$134&amp;$AW$134&amp;"P"&amp;$A169))</f>
        <v>-5</v>
      </c>
      <c r="AY169" s="76">
        <f t="shared" si="647"/>
        <v>32</v>
      </c>
      <c r="AZ169" s="8">
        <f t="shared" si="548"/>
        <v>20550</v>
      </c>
      <c r="BA169" s="54">
        <f>IF(RTD("tos.rtd",,BA$43,"."&amp;$B$134&amp;$AS$82&amp;"C"&amp;$A169)="N/A",0,RTD("tos.rtd",,BA$43,"."&amp;$B$134&amp;$AS$82&amp;"C"&amp;$A169))</f>
        <v>10</v>
      </c>
      <c r="BB169" s="3">
        <f>-IF(RTD("tos.rtd",,BB$43,"."&amp;$B$134&amp;$AS$82&amp;"P"&amp;$A169)="N/A",0,RTD("tos.rtd",,BB$43,"."&amp;$B$134&amp;$AS$82&amp;"P"&amp;$A169))</f>
        <v>-314</v>
      </c>
      <c r="BC169" s="54">
        <f>IF(RTD("tos.rtd",,BC$2,"."&amp;$C$134&amp;$AU$82&amp;"C"&amp;$A169)="N/A",0,RTD("tos.rtd",,BC$2,"."&amp;$C$134&amp;$AU$82&amp;"C"&amp;$A169))</f>
        <v>4</v>
      </c>
      <c r="BD169" s="3">
        <f>-IF(RTD("tos.rtd",,BD$2,"."&amp;$C$134&amp;$AU$82&amp;"P"&amp;$A169)="N/A",0,RTD("tos.rtd",,BD$2,"."&amp;$C$134&amp;$AU$82&amp;"P"&amp;$A169))</f>
        <v>-24</v>
      </c>
      <c r="BE169" s="54">
        <f>IF(RTD("tos.rtd",,BE$2,"."&amp;$D$134&amp;$AW$82&amp;"C"&amp;$A169)="N/A",0,RTD("tos.rtd",,BE$2,"."&amp;$D$134&amp;$AW$82&amp;"C"&amp;$A169))</f>
        <v>0</v>
      </c>
      <c r="BF169" s="3">
        <f>-IF(RTD("tos.rtd",,BF$2,"."&amp;$D$134&amp;$AW$82&amp;"P"&amp;$A169)="N/A",0,RTD("tos.rtd",,BF$2,"."&amp;$D$134&amp;$AW$82&amp;"P"&amp;$A169))</f>
        <v>-1</v>
      </c>
      <c r="BG169" s="3">
        <f ca="1">+Hoja2!Y170</f>
        <v>3</v>
      </c>
      <c r="BH169" s="7">
        <f t="shared" ca="1" si="549"/>
        <v>-322</v>
      </c>
      <c r="BI169" s="32" t="str">
        <f t="shared" ca="1" si="609"/>
        <v/>
      </c>
      <c r="BJ169" s="3">
        <f ca="1">IF($BP$1=1,DX169,IF(RTD("tos.rtd",,BJ$43,"."&amp;$B$134&amp;$AS$82&amp;"C"&amp;$A169)="N/A",0,RTD("tos.rtd",,BJ$43,"."&amp;$B$134&amp;$AS$82&amp;"C"&amp;$A169)))</f>
        <v>1.8110202375377629E-7</v>
      </c>
      <c r="BK169" s="3">
        <f ca="1">IF($BP$1=1,DY169,-IF(RTD("tos.rtd",,BK$43,"."&amp;$B$134&amp;$AS$82&amp;"P"&amp;$A169)="N/A",0,RTD("tos.rtd",,BK$43,"."&amp;$B$134&amp;$AS$82&amp;"P"&amp;$A169)))</f>
        <v>-7.5868836714115806E-4</v>
      </c>
      <c r="BL169" s="3">
        <f ca="1">IF($BP$1=1,DZ169,IF(RTD("tos.rtd",,BL$2,"."&amp;$C$134&amp;$AU$82&amp;"C"&amp;$A169)="N/A",0,RTD("tos.rtd",,BL$2,"."&amp;$C$134&amp;$AU$82&amp;"C"&amp;$A169)))</f>
        <v>6.1841541174038981E-4</v>
      </c>
      <c r="BM169" s="3">
        <f ca="1">IF($BP$1=1,EA169,-IF(RTD("tos.rtd",,BM$2,"."&amp;$C$134&amp;$AU$82&amp;"P"&amp;$A169)="N/A",0,RTD("tos.rtd",,BM$2,"."&amp;$C$134&amp;$AU$82&amp;"P"&amp;$A169)))</f>
        <v>-5.6905137821655562E-4</v>
      </c>
      <c r="BN169" s="3">
        <f ca="1">IF($BP$1=1,EB169,IF(RTD("tos.rtd",,BN$2,"."&amp;$D$134&amp;$AW$82&amp;"C"&amp;$A169)="N/A",0,RTD("tos.rtd",,BN$2,"."&amp;$D$134&amp;$AW$82&amp;"C"&amp;$A169)))</f>
        <v>6.4717909376632023E-4</v>
      </c>
      <c r="BO169" s="3">
        <f ca="1">IF($BP$1=1,EC169,-IF(RTD("tos.rtd",,BO$2,"."&amp;$D$134&amp;$AW$82&amp;"P"&amp;$A169)="N/A",0,RTD("tos.rtd",,BO$2,"."&amp;$D$134&amp;$AW$82&amp;"P"&amp;$A169)))</f>
        <v>-6.249896461215051E-4</v>
      </c>
      <c r="BQ169" s="3">
        <f t="shared" ca="1" si="648"/>
        <v>-51726.441117001996</v>
      </c>
      <c r="BR169" s="3" t="str">
        <f t="shared" ca="1" si="550"/>
        <v>Cruce -</v>
      </c>
      <c r="BS169" s="3">
        <f t="shared" ca="1" si="649"/>
        <v>221148.30451830049</v>
      </c>
      <c r="BT169" s="3" t="str">
        <f t="shared" ca="1" si="551"/>
        <v/>
      </c>
      <c r="BU169" s="3">
        <f t="shared" ca="1" si="650"/>
        <v>335071.11457458779</v>
      </c>
      <c r="BV169" s="3" t="str">
        <f t="shared" ca="1" si="551"/>
        <v/>
      </c>
      <c r="BX169" s="3">
        <f t="shared" ca="1" si="585"/>
        <v>-61395.37587450508</v>
      </c>
      <c r="BY169" s="3" t="str">
        <f t="shared" ca="1" si="586"/>
        <v/>
      </c>
      <c r="BZ169" s="3">
        <f t="shared" ca="1" si="587"/>
        <v>-2882.2152174783623</v>
      </c>
      <c r="CA169" s="3" t="str">
        <f t="shared" ca="1" si="586"/>
        <v/>
      </c>
      <c r="CB169" s="3">
        <f t="shared" ca="1" si="588"/>
        <v>-161.07150386214698</v>
      </c>
      <c r="CC169" s="3" t="str">
        <f t="shared" ca="1" si="586"/>
        <v>Cruce -</v>
      </c>
      <c r="CD169" s="3">
        <f>IF(RTD("tos.rtd",,CD$43,"."&amp;$B$134&amp;$AS$82&amp;"C"&amp;$A169)="N/A",0,RTD("tos.rtd",,CD$43,"."&amp;$B$134&amp;$AS$82&amp;"C"&amp;$A169))</f>
        <v>1</v>
      </c>
      <c r="CE169" s="3">
        <f>-IF(RTD("tos.rtd",,CE$43,"."&amp;$B$134&amp;$AS$82&amp;"P"&amp;$A169)="N/A",0,RTD("tos.rtd",,CE$43,"."&amp;$B$134&amp;$AS$82&amp;"P"&amp;$A169))</f>
        <v>0.09</v>
      </c>
      <c r="CF169" s="3">
        <f>IF(RTD("tos.rtd",,CF$2,"."&amp;$C$134&amp;$AU$82&amp;"C"&amp;$A169)="N/A",0,RTD("tos.rtd",,CF$2,"."&amp;$C$134&amp;$AU$82&amp;"C"&amp;$A169))</f>
        <v>0.77</v>
      </c>
      <c r="CG169" s="3">
        <f>-IF(RTD("tos.rtd",,CG$2,"."&amp;$C$134&amp;$AU$82&amp;"P"&amp;$A169)="N/A",0,RTD("tos.rtd",,CG$2,"."&amp;$C$134&amp;$AU$82&amp;"P"&amp;$A169))</f>
        <v>0.25</v>
      </c>
      <c r="CH169" s="3">
        <f>IF(RTD("tos.rtd",,CH$2,"."&amp;$D$134&amp;$AW$82&amp;"C"&amp;$A169)="N/A",0,RTD("tos.rtd",,CH$2,"."&amp;$D$134&amp;$AW$82&amp;"C"&amp;$A169))</f>
        <v>0.64</v>
      </c>
      <c r="CI169" s="3">
        <f>-IF(RTD("tos.rtd",,CI$2,"."&amp;$D$134&amp;$AW$82&amp;"P"&amp;$A169)="N/A",0,RTD("tos.rtd",,CI$2,"."&amp;$D$134&amp;$AW$82&amp;"P"&amp;$A169))</f>
        <v>0.37</v>
      </c>
      <c r="CK169" s="3">
        <f t="shared" si="651"/>
        <v>882</v>
      </c>
      <c r="CL169" s="3"/>
      <c r="CM169" s="3">
        <f t="shared" si="652"/>
        <v>1082</v>
      </c>
      <c r="CN169" s="3"/>
      <c r="CO169" s="3">
        <f t="shared" si="653"/>
        <v>1095</v>
      </c>
      <c r="CP169" s="3">
        <f t="shared" si="542"/>
        <v>3059</v>
      </c>
      <c r="CQ169" s="3">
        <f t="shared" si="552"/>
        <v>-304</v>
      </c>
      <c r="CR169" s="3"/>
      <c r="CS169" s="3">
        <f t="shared" si="553"/>
        <v>-20</v>
      </c>
      <c r="CT169" s="3"/>
      <c r="CU169" s="3">
        <f t="shared" si="554"/>
        <v>-1</v>
      </c>
      <c r="CV169" s="3"/>
      <c r="CW169" s="3">
        <f t="shared" ca="1" si="555"/>
        <v>504492.97797588632</v>
      </c>
      <c r="CY169" s="3">
        <f t="shared" ca="1" si="556"/>
        <v>-64438.662595845592</v>
      </c>
      <c r="CZ169" s="70" t="str">
        <f t="shared" ca="1" si="589"/>
        <v/>
      </c>
      <c r="DA169" s="3">
        <f>IF(RTD("tos.rtd",,DA$43,"."&amp;$B$134&amp;$AS$82&amp;"C"&amp;$A169)="N/A",0,RTD("tos.rtd",,DA$43,"."&amp;$B$134&amp;$AS$82&amp;"C"&amp;$A169))</f>
        <v>261.10000000000002</v>
      </c>
      <c r="DB169" s="3">
        <f>IF(RTD("tos.rtd",,DB$43,"."&amp;$B$134&amp;$AS$82&amp;"P"&amp;$A169)="N/A",0,RTD("tos.rtd",,DB$43,"."&amp;$B$134&amp;$AS$82&amp;"P"&amp;$A169))</f>
        <v>0.11</v>
      </c>
      <c r="DC169" s="3">
        <f>IF(RTD("tos.rtd",,DC$43,"."&amp;$B$134&amp;$AS$82&amp;"C"&amp;$A169)="N/A",0,RTD("tos.rtd",,DC$43,"."&amp;$B$134&amp;$AS$82&amp;"C"&amp;$A169))</f>
        <v>337.4</v>
      </c>
      <c r="DD169" s="3">
        <f>IF(RTD("tos.rtd",,DD$43,"."&amp;$B$134&amp;$AS$82&amp;"P"&amp;$A169)="N/A",0,RTD("tos.rtd",,DD$43,"."&amp;$B$134&amp;$AS$82&amp;"P"&amp;$A169))</f>
        <v>19.8</v>
      </c>
      <c r="DE169" s="3">
        <f>IF(RTD("tos.rtd",,DE$43,"."&amp;$B$134&amp;$AS$82&amp;"C"&amp;$A169)="N/A",0,RTD("tos.rtd",,DE$43,"."&amp;$B$134&amp;$AS$82&amp;"C"&amp;$A169))</f>
        <v>287.39999999999998</v>
      </c>
      <c r="DF169" s="3">
        <f>IF(RTD("tos.rtd",,DF$43,"."&amp;$B$134&amp;$AS$82&amp;"P"&amp;$A169)="N/A",0,RTD("tos.rtd",,DF$43,"."&amp;$B$134&amp;$AS$82&amp;"P"&amp;$A169))</f>
        <v>0</v>
      </c>
      <c r="DG169" s="86">
        <f t="shared" si="590"/>
        <v>-293.75</v>
      </c>
      <c r="DH169" s="3">
        <f t="shared" si="557"/>
        <v>0</v>
      </c>
      <c r="DI169" s="3">
        <f t="shared" si="558"/>
        <v>0</v>
      </c>
      <c r="DJ169" s="3">
        <f t="shared" si="559"/>
        <v>0</v>
      </c>
      <c r="DK169" s="3">
        <f t="shared" si="560"/>
        <v>0</v>
      </c>
      <c r="DL169" s="3">
        <f t="shared" si="561"/>
        <v>0</v>
      </c>
      <c r="DM169" s="3">
        <f t="shared" si="562"/>
        <v>0</v>
      </c>
      <c r="DN169" s="64" t="str">
        <f t="shared" si="563"/>
        <v>UNKNOWN</v>
      </c>
      <c r="DO169" s="64" t="str">
        <f t="shared" si="564"/>
        <v>UNKNOWN</v>
      </c>
      <c r="DP169" s="3">
        <f t="shared" si="565"/>
        <v>0</v>
      </c>
      <c r="DQ169" s="3">
        <f t="shared" si="566"/>
        <v>0</v>
      </c>
      <c r="DR169" s="3">
        <f t="shared" ca="1" si="567"/>
        <v>0</v>
      </c>
      <c r="DS169" s="3">
        <f t="shared" si="568"/>
        <v>0</v>
      </c>
      <c r="DT169" s="3">
        <f t="shared" si="591"/>
        <v>0</v>
      </c>
      <c r="DU169" s="3">
        <f t="shared" si="592"/>
        <v>0</v>
      </c>
      <c r="DV169" s="3">
        <f t="shared" si="569"/>
        <v>2</v>
      </c>
      <c r="DW169" s="3">
        <f t="shared" si="570"/>
        <v>-29</v>
      </c>
      <c r="DX169" s="3">
        <f t="shared" ref="DX169:DX189" ca="1" si="654">(EXP(-POWER((LN($A$136/$A169)+($EC$1+POWER($EE169,2)/2)*($EM$1/$DY$1))/($EE169*SQRT($EM$1/$DY$1)),2)/2)/SQRT(2*PI())/($A$136*$EE169*SQRT($EM$1/$DY$1)))</f>
        <v>1.8110202375377629E-7</v>
      </c>
      <c r="DY169" s="3">
        <f t="shared" ref="DY169:DY189" ca="1" si="655">-(EXP(-POWER((LN($A$136/$A169)+($EC$1+POWER($EF169,2)/2)*($EM$1/$DY$1))/($EF169*SQRT($EM$1/$DY$1)),2)/2)/SQRT(2*PI())/($A$136*$EF169*SQRT($EM$1/$DY$1)))</f>
        <v>-7.5868836714115806E-4</v>
      </c>
      <c r="DZ169" s="3">
        <f t="shared" ref="DZ169:DZ189" ca="1" si="656">(EXP(-POWER((LN($A$136/$A169)+($EC$1+POWER($EG169,2)/2)*($EO$1/$DY$1))/($EG169*SQRT($EO$1/$DY$1)),2)/2)/SQRT(2*PI())/($A$136*$EG169*SQRT($EO$1/$DY$1)))</f>
        <v>6.1841541174038981E-4</v>
      </c>
      <c r="EA169" s="3">
        <f t="shared" ref="EA169:EA189" ca="1" si="657">-(EXP(-POWER((LN($A$136/$A169)+($EC$1+POWER($EH169,2)/2)*($EO$1/$DY$1))/($EH169*SQRT($EO$1/$DY$1)),2)/2)/SQRT(2*PI())/($A$136*$EH169*SQRT($EO$1/$DY$1)))</f>
        <v>-5.6905137821655562E-4</v>
      </c>
      <c r="EB169" s="3">
        <f t="shared" ref="EB169:EB189" ca="1" si="658">(EXP(-POWER((LN($A$136/$A169)+($EC$1+POWER($EI169,2)/2)*($EO$1/$DY$1))/($EI169*SQRT($EO$1/$DY$1)),2)/2)/SQRT(2*PI())/($A$136*$EI169*SQRT($EO$1/$DY$1)))</f>
        <v>6.4717909376632023E-4</v>
      </c>
      <c r="EC169" s="3">
        <f t="shared" ref="EC169:EC189" ca="1" si="659">-(EXP(-POWER((LN($A$136/$A169)+($EC$1+POWER($EJ169,2)/2)*($EO$1/$DY$1))/($EJ169*SQRT($EO$1/$DY$1)),2)/2)/SQRT(2*PI())/($A$136*$EJ169*SQRT($EO$1/$DY$1)))</f>
        <v>-6.249896461215051E-4</v>
      </c>
      <c r="ED169" s="63">
        <f t="shared" si="593"/>
        <v>-27</v>
      </c>
      <c r="EE169" s="59">
        <f t="shared" si="577"/>
        <v>0.25</v>
      </c>
      <c r="EF169" s="59">
        <f t="shared" si="578"/>
        <v>1.5174000000000001</v>
      </c>
      <c r="EG169" s="59">
        <f t="shared" si="579"/>
        <v>0.21179999999999999</v>
      </c>
      <c r="EH169" s="59">
        <f t="shared" si="580"/>
        <v>0.23799999999999999</v>
      </c>
      <c r="EI169" s="59">
        <f t="shared" si="581"/>
        <v>0.1976</v>
      </c>
      <c r="EJ169" s="59">
        <f t="shared" si="582"/>
        <v>0.20849999999999999</v>
      </c>
      <c r="EK169" s="63">
        <f t="shared" ca="1" si="594"/>
        <v>9559172.1686516684</v>
      </c>
      <c r="EL169" s="3" t="str">
        <f>RTD("tos.rtd",,EL$43,"."&amp;$B$134&amp;$AS$82&amp;"C"&amp;$A169)</f>
        <v>--</v>
      </c>
      <c r="EM169" s="3" t="str">
        <f>RTD("tos.rtd",,EM$43,"."&amp;$B$134&amp;$AS$82&amp;"P"&amp;$A169)</f>
        <v>151.74%</v>
      </c>
      <c r="EN169" s="3" t="str">
        <f>RTD("tos.rtd",,EN$2,"."&amp;$C$134&amp;$AU$82&amp;"C"&amp;$A169)</f>
        <v>21.18%</v>
      </c>
      <c r="EO169" s="3" t="str">
        <f>RTD("tos.rtd",,EO$2,"."&amp;$C$134&amp;$AU$82&amp;"P"&amp;$A169)</f>
        <v>23.80%</v>
      </c>
      <c r="EP169" s="3" t="str">
        <f>RTD("tos.rtd",,EP$2,"."&amp;$D$134&amp;$AW$82&amp;"C"&amp;$A169)</f>
        <v>19.76%</v>
      </c>
      <c r="EQ169" s="3" t="str">
        <f>RTD("tos.rtd",,EQ$2,"."&amp;$D$134&amp;$AW$82&amp;"P"&amp;$A169)</f>
        <v>20.85%</v>
      </c>
      <c r="ES169" s="63" t="str">
        <f t="shared" si="583"/>
        <v>20550,-27.00</v>
      </c>
      <c r="ET169" s="63" t="str">
        <f t="shared" ca="1" si="584"/>
        <v>20550,-64.44</v>
      </c>
      <c r="EU169" s="68">
        <v>572.16</v>
      </c>
      <c r="EV169" s="68" t="s">
        <v>1371</v>
      </c>
      <c r="EW169" s="68">
        <v>497.55</v>
      </c>
      <c r="EX169" s="68" t="s">
        <v>1372</v>
      </c>
      <c r="EY169" s="68">
        <v>5732</v>
      </c>
      <c r="EZ169" s="68" t="s">
        <v>1373</v>
      </c>
      <c r="FA169" s="68">
        <v>20425.75</v>
      </c>
      <c r="FB169" s="68" t="s">
        <v>1374</v>
      </c>
      <c r="FC169" s="68" t="s">
        <v>1375</v>
      </c>
      <c r="FD169" s="68" t="s">
        <v>1376</v>
      </c>
      <c r="FE169" s="68" t="s">
        <v>1377</v>
      </c>
      <c r="FF169" s="68" t="s">
        <v>1378</v>
      </c>
    </row>
    <row r="170" spans="1:162" ht="11.1" customHeight="1" thickBot="1" x14ac:dyDescent="0.25">
      <c r="A170" s="2">
        <f t="shared" si="595"/>
        <v>20525</v>
      </c>
      <c r="B170" s="3">
        <f t="shared" si="641"/>
        <v>5</v>
      </c>
      <c r="C170" s="3">
        <f t="shared" si="642"/>
        <v>16</v>
      </c>
      <c r="D170" s="3">
        <f t="shared" si="643"/>
        <v>13</v>
      </c>
      <c r="E170" s="3">
        <f t="shared" si="644"/>
        <v>34</v>
      </c>
      <c r="F170" s="4">
        <f t="shared" si="645"/>
        <v>20623.47076461769</v>
      </c>
      <c r="G170" s="5">
        <f t="shared" si="646"/>
        <v>499.89668365817096</v>
      </c>
      <c r="AM170" s="1">
        <v>-5</v>
      </c>
      <c r="AN170" s="1">
        <v>-52</v>
      </c>
      <c r="AO170" s="1">
        <v>20525</v>
      </c>
      <c r="AP170" s="1">
        <v>9</v>
      </c>
      <c r="AQ170" s="1">
        <v>-130</v>
      </c>
      <c r="AS170" s="54">
        <f>IF(RTD("tos.rtd",,AS$83,"."&amp;$B$134&amp;$AS$82&amp;"C"&amp;$A170)="N/A",0,RTD("tos.rtd",,AS$83,"."&amp;$B$134&amp;$AS$82&amp;"C"&amp;$A170))</f>
        <v>5</v>
      </c>
      <c r="AT170" s="3">
        <f>-IF(RTD("tos.rtd",,AT$83,"."&amp;$B$134&amp;$AS$82&amp;"P"&amp;$A170)="N/A",0,RTD("tos.rtd",,AT$83,"."&amp;$B$134&amp;$AS$82&amp;"P"&amp;$A170))</f>
        <v>0</v>
      </c>
      <c r="AU170" s="54">
        <f>IF(RTD("tos.rtd",,AU$2,"."&amp;$C$134&amp;$AU$134&amp;"C"&amp;$A170)="N/A",0,RTD("tos.rtd",,AU$2,"."&amp;$C$134&amp;$AU$134&amp;"C"&amp;$A170))</f>
        <v>10</v>
      </c>
      <c r="AV170" s="3">
        <f>-IF(RTD("tos.rtd",,AV$2,"."&amp;$C$134&amp;$AU$134&amp;"P"&amp;$A170)="N/A",0,RTD("tos.rtd",,AV$2,"."&amp;$C$134&amp;$AU$134&amp;"P"&amp;$A170))</f>
        <v>-6</v>
      </c>
      <c r="AW170" s="54">
        <f>IF(RTD("tos.rtd",,AW$2,"."&amp;$D$134&amp;$AW$134&amp;"C"&amp;$A170)="N/A",0,RTD("tos.rtd",,AW$2,"."&amp;$D$134&amp;$AW$134&amp;"C"&amp;$A170))</f>
        <v>8</v>
      </c>
      <c r="AX170" s="3">
        <f>-IF(RTD("tos.rtd",,AX$2,"."&amp;$D$134&amp;$AW$134&amp;"P"&amp;$A170)="N/A",0,RTD("tos.rtd",,AX$2,"."&amp;$D$134&amp;$AW$134&amp;"P"&amp;$A170))</f>
        <v>-5</v>
      </c>
      <c r="AY170" s="76">
        <f t="shared" si="647"/>
        <v>12</v>
      </c>
      <c r="AZ170" s="8">
        <f t="shared" si="548"/>
        <v>20525</v>
      </c>
      <c r="BA170" s="54">
        <f>IF(RTD("tos.rtd",,BA$43,"."&amp;$B$134&amp;$AS$82&amp;"C"&amp;$A170)="N/A",0,RTD("tos.rtd",,BA$43,"."&amp;$B$134&amp;$AS$82&amp;"C"&amp;$A170))</f>
        <v>9</v>
      </c>
      <c r="BB170" s="3">
        <f>-IF(RTD("tos.rtd",,BB$43,"."&amp;$B$134&amp;$AS$82&amp;"P"&amp;$A170)="N/A",0,RTD("tos.rtd",,BB$43,"."&amp;$B$134&amp;$AS$82&amp;"P"&amp;$A170))</f>
        <v>-130</v>
      </c>
      <c r="BC170" s="54">
        <f>IF(RTD("tos.rtd",,BC$2,"."&amp;$C$134&amp;$AU$82&amp;"C"&amp;$A170)="N/A",0,RTD("tos.rtd",,BC$2,"."&amp;$C$134&amp;$AU$82&amp;"C"&amp;$A170))</f>
        <v>1</v>
      </c>
      <c r="BD170" s="3">
        <f>-IF(RTD("tos.rtd",,BD$2,"."&amp;$C$134&amp;$AU$82&amp;"P"&amp;$A170)="N/A",0,RTD("tos.rtd",,BD$2,"."&amp;$C$134&amp;$AU$82&amp;"P"&amp;$A170))</f>
        <v>-14</v>
      </c>
      <c r="BE170" s="54">
        <f>IF(RTD("tos.rtd",,BE$2,"."&amp;$D$134&amp;$AW$82&amp;"C"&amp;$A170)="N/A",0,RTD("tos.rtd",,BE$2,"."&amp;$D$134&amp;$AW$82&amp;"C"&amp;$A170))</f>
        <v>0</v>
      </c>
      <c r="BF170" s="3">
        <f>-IF(RTD("tos.rtd",,BF$2,"."&amp;$D$134&amp;$AW$82&amp;"P"&amp;$A170)="N/A",0,RTD("tos.rtd",,BF$2,"."&amp;$D$134&amp;$AW$82&amp;"P"&amp;$A170))</f>
        <v>0</v>
      </c>
      <c r="BG170" s="3">
        <f ca="1">+Hoja2!Y171</f>
        <v>-1</v>
      </c>
      <c r="BH170" s="7">
        <f t="shared" ca="1" si="549"/>
        <v>-135</v>
      </c>
      <c r="BI170" s="32" t="str">
        <f t="shared" ca="1" si="609"/>
        <v/>
      </c>
      <c r="BJ170" s="3">
        <f ca="1">IF($BP$1=1,DX170,IF(RTD("tos.rtd",,BJ$43,"."&amp;$B$134&amp;$AS$82&amp;"C"&amp;$A170)="N/A",0,RTD("tos.rtd",,BJ$43,"."&amp;$B$134&amp;$AS$82&amp;"C"&amp;$A170)))</f>
        <v>2.8054644026224826E-8</v>
      </c>
      <c r="BK170" s="3">
        <f ca="1">IF($BP$1=1,DY170,-IF(RTD("tos.rtd",,BK$43,"."&amp;$B$134&amp;$AS$82&amp;"P"&amp;$A170)="N/A",0,RTD("tos.rtd",,BK$43,"."&amp;$B$134&amp;$AS$82&amp;"P"&amp;$A170)))</f>
        <v>-7.0579086062558943E-4</v>
      </c>
      <c r="BL170" s="3">
        <f ca="1">IF($BP$1=1,DZ170,IF(RTD("tos.rtd",,BL$2,"."&amp;$C$134&amp;$AU$82&amp;"C"&amp;$A170)="N/A",0,RTD("tos.rtd",,BL$2,"."&amp;$C$134&amp;$AU$82&amp;"C"&amp;$A170)))</f>
        <v>5.9405993394148922E-4</v>
      </c>
      <c r="BM170" s="3">
        <f ca="1">IF($BP$1=1,EA170,-IF(RTD("tos.rtd",,BM$2,"."&amp;$C$134&amp;$AU$82&amp;"P"&amp;$A170)="N/A",0,RTD("tos.rtd",,BM$2,"."&amp;$C$134&amp;$AU$82&amp;"P"&amp;$A170)))</f>
        <v>-5.5466063758323957E-4</v>
      </c>
      <c r="BN170" s="3">
        <f ca="1">IF($BP$1=1,EB170,IF(RTD("tos.rtd",,BN$2,"."&amp;$D$134&amp;$AW$82&amp;"C"&amp;$A170)="N/A",0,RTD("tos.rtd",,BN$2,"."&amp;$D$134&amp;$AW$82&amp;"C"&amp;$A170)))</f>
        <v>6.2506512863818513E-4</v>
      </c>
      <c r="BO170" s="3">
        <f ca="1">IF($BP$1=1,EC170,-IF(RTD("tos.rtd",,BO$2,"."&amp;$D$134&amp;$AW$82&amp;"P"&amp;$A170)="N/A",0,RTD("tos.rtd",,BO$2,"."&amp;$D$134&amp;$AW$82&amp;"P"&amp;$A170)))</f>
        <v>-6.0590070238089112E-4</v>
      </c>
      <c r="BQ170" s="3">
        <f t="shared" ca="1" si="648"/>
        <v>4.7869699507102839</v>
      </c>
      <c r="BR170" s="3" t="str">
        <f t="shared" ca="1" si="550"/>
        <v>Cruce +</v>
      </c>
      <c r="BS170" s="3">
        <f t="shared" ca="1" si="649"/>
        <v>89158.912054495639</v>
      </c>
      <c r="BT170" s="3" t="str">
        <f t="shared" ca="1" si="551"/>
        <v/>
      </c>
      <c r="BU170" s="3">
        <f t="shared" ca="1" si="650"/>
        <v>67263.02866894404</v>
      </c>
      <c r="BV170" s="3" t="str">
        <f t="shared" ca="1" si="551"/>
        <v/>
      </c>
      <c r="BX170" s="3">
        <f t="shared" ca="1" si="585"/>
        <v>-23646.34808878012</v>
      </c>
      <c r="BY170" s="3" t="str">
        <f t="shared" ca="1" si="586"/>
        <v/>
      </c>
      <c r="BZ170" s="3">
        <f t="shared" ca="1" si="587"/>
        <v>-1848.1493295532332</v>
      </c>
      <c r="CA170" s="3" t="str">
        <f t="shared" ca="1" si="586"/>
        <v/>
      </c>
      <c r="CB170" s="3">
        <f t="shared" ca="1" si="588"/>
        <v>0</v>
      </c>
      <c r="CC170" s="3" t="str">
        <f t="shared" ca="1" si="586"/>
        <v/>
      </c>
      <c r="CD170" s="3">
        <f>IF(RTD("tos.rtd",,CD$43,"."&amp;$B$134&amp;$AS$82&amp;"C"&amp;$A170)="N/A",0,RTD("tos.rtd",,CD$43,"."&amp;$B$134&amp;$AS$82&amp;"C"&amp;$A170))</f>
        <v>1</v>
      </c>
      <c r="CE170" s="3">
        <f>-IF(RTD("tos.rtd",,CE$43,"."&amp;$B$134&amp;$AS$82&amp;"P"&amp;$A170)="N/A",0,RTD("tos.rtd",,CE$43,"."&amp;$B$134&amp;$AS$82&amp;"P"&amp;$A170))</f>
        <v>0.08</v>
      </c>
      <c r="CF170" s="3">
        <f>IF(RTD("tos.rtd",,CF$2,"."&amp;$C$134&amp;$AU$82&amp;"C"&amp;$A170)="N/A",0,RTD("tos.rtd",,CF$2,"."&amp;$C$134&amp;$AU$82&amp;"C"&amp;$A170))</f>
        <v>0.79</v>
      </c>
      <c r="CG170" s="3">
        <f>-IF(RTD("tos.rtd",,CG$2,"."&amp;$C$134&amp;$AU$82&amp;"P"&amp;$A170)="N/A",0,RTD("tos.rtd",,CG$2,"."&amp;$C$134&amp;$AU$82&amp;"P"&amp;$A170))</f>
        <v>0.24</v>
      </c>
      <c r="CH170" s="3">
        <f>IF(RTD("tos.rtd",,CH$2,"."&amp;$D$134&amp;$AW$82&amp;"C"&amp;$A170)="N/A",0,RTD("tos.rtd",,CH$2,"."&amp;$D$134&amp;$AW$82&amp;"C"&amp;$A170))</f>
        <v>0.64</v>
      </c>
      <c r="CI170" s="3">
        <f>-IF(RTD("tos.rtd",,CI$2,"."&amp;$D$134&amp;$AW$82&amp;"P"&amp;$A170)="N/A",0,RTD("tos.rtd",,CI$2,"."&amp;$D$134&amp;$AW$82&amp;"P"&amp;$A170))</f>
        <v>0.36</v>
      </c>
      <c r="CK170" s="3">
        <f t="shared" si="651"/>
        <v>500</v>
      </c>
      <c r="CL170" s="3"/>
      <c r="CM170" s="3">
        <f t="shared" si="652"/>
        <v>646</v>
      </c>
      <c r="CN170" s="3"/>
      <c r="CO170" s="3">
        <f t="shared" si="653"/>
        <v>332</v>
      </c>
      <c r="CP170" s="3">
        <f t="shared" si="542"/>
        <v>1478</v>
      </c>
      <c r="CQ170" s="3">
        <f t="shared" si="552"/>
        <v>-121</v>
      </c>
      <c r="CR170" s="3"/>
      <c r="CS170" s="3">
        <f t="shared" si="553"/>
        <v>-13</v>
      </c>
      <c r="CT170" s="3"/>
      <c r="CU170" s="3">
        <f t="shared" si="554"/>
        <v>0</v>
      </c>
      <c r="CV170" s="3"/>
      <c r="CW170" s="3">
        <f t="shared" ca="1" si="555"/>
        <v>156426.72769339039</v>
      </c>
      <c r="CY170" s="3">
        <f t="shared" ca="1" si="556"/>
        <v>-25494.497418333354</v>
      </c>
      <c r="CZ170" s="70" t="str">
        <f t="shared" ca="1" si="589"/>
        <v/>
      </c>
      <c r="DA170" s="3">
        <f>IF(RTD("tos.rtd",,DA$43,"."&amp;$B$134&amp;$AS$82&amp;"C"&amp;$A170)="N/A",0,RTD("tos.rtd",,DA$43,"."&amp;$B$134&amp;$AS$82&amp;"C"&amp;$A170))</f>
        <v>236.42</v>
      </c>
      <c r="DB170" s="3">
        <f>IF(RTD("tos.rtd",,DB$43,"."&amp;$B$134&amp;$AS$82&amp;"P"&amp;$A170)="N/A",0,RTD("tos.rtd",,DB$43,"."&amp;$B$134&amp;$AS$82&amp;"P"&amp;$A170))</f>
        <v>0.25</v>
      </c>
      <c r="DC170" s="3">
        <f>IF(RTD("tos.rtd",,DC$43,"."&amp;$B$134&amp;$AS$82&amp;"C"&amp;$A170)="N/A",0,RTD("tos.rtd",,DC$43,"."&amp;$B$134&amp;$AS$82&amp;"C"&amp;$A170))</f>
        <v>362.4</v>
      </c>
      <c r="DD170" s="3">
        <f>IF(RTD("tos.rtd",,DD$43,"."&amp;$B$134&amp;$AS$82&amp;"P"&amp;$A170)="N/A",0,RTD("tos.rtd",,DD$43,"."&amp;$B$134&amp;$AS$82&amp;"P"&amp;$A170))</f>
        <v>19.8</v>
      </c>
      <c r="DE170" s="3">
        <f>IF(RTD("tos.rtd",,DE$43,"."&amp;$B$134&amp;$AS$82&amp;"C"&amp;$A170)="N/A",0,RTD("tos.rtd",,DE$43,"."&amp;$B$134&amp;$AS$82&amp;"C"&amp;$A170))</f>
        <v>314</v>
      </c>
      <c r="DF170" s="3">
        <f>IF(RTD("tos.rtd",,DF$43,"."&amp;$B$134&amp;$AS$82&amp;"P"&amp;$A170)="N/A",0,RTD("tos.rtd",,DF$43,"."&amp;$B$134&amp;$AS$82&amp;"P"&amp;$A170))</f>
        <v>0</v>
      </c>
      <c r="DG170" s="86">
        <f t="shared" si="590"/>
        <v>-318.75</v>
      </c>
      <c r="DH170" s="3">
        <f t="shared" si="557"/>
        <v>0</v>
      </c>
      <c r="DI170" s="3">
        <f t="shared" si="558"/>
        <v>0</v>
      </c>
      <c r="DJ170" s="3">
        <f t="shared" si="559"/>
        <v>0</v>
      </c>
      <c r="DK170" s="3">
        <f t="shared" si="560"/>
        <v>0</v>
      </c>
      <c r="DL170" s="3">
        <f t="shared" si="561"/>
        <v>0</v>
      </c>
      <c r="DM170" s="3">
        <f t="shared" si="562"/>
        <v>0</v>
      </c>
      <c r="DN170" s="64" t="str">
        <f t="shared" si="563"/>
        <v>UNKNOWN</v>
      </c>
      <c r="DO170" s="64" t="str">
        <f t="shared" si="564"/>
        <v>UNKNOWN</v>
      </c>
      <c r="DP170" s="3">
        <f t="shared" si="565"/>
        <v>0</v>
      </c>
      <c r="DQ170" s="3">
        <f t="shared" si="566"/>
        <v>0</v>
      </c>
      <c r="DR170" s="3">
        <f t="shared" ca="1" si="567"/>
        <v>0</v>
      </c>
      <c r="DS170" s="3">
        <f t="shared" si="568"/>
        <v>0</v>
      </c>
      <c r="DT170" s="3">
        <f t="shared" si="591"/>
        <v>0</v>
      </c>
      <c r="DU170" s="3">
        <f t="shared" si="592"/>
        <v>0</v>
      </c>
      <c r="DV170" s="3">
        <f t="shared" si="569"/>
        <v>-5</v>
      </c>
      <c r="DW170" s="3">
        <f t="shared" si="570"/>
        <v>-52</v>
      </c>
      <c r="DX170" s="3">
        <f t="shared" ca="1" si="654"/>
        <v>2.8054644026224826E-8</v>
      </c>
      <c r="DY170" s="3">
        <f t="shared" ca="1" si="655"/>
        <v>-7.0579086062558943E-4</v>
      </c>
      <c r="DZ170" s="3">
        <f t="shared" ca="1" si="656"/>
        <v>5.9405993394148922E-4</v>
      </c>
      <c r="EA170" s="3">
        <f t="shared" ca="1" si="657"/>
        <v>-5.5466063758323957E-4</v>
      </c>
      <c r="EB170" s="3">
        <f t="shared" ca="1" si="658"/>
        <v>6.2506512863818513E-4</v>
      </c>
      <c r="EC170" s="3">
        <f t="shared" ca="1" si="659"/>
        <v>-6.0590070238089112E-4</v>
      </c>
      <c r="ED170" s="63">
        <f t="shared" si="593"/>
        <v>-57</v>
      </c>
      <c r="EE170" s="59">
        <f t="shared" si="577"/>
        <v>0.25</v>
      </c>
      <c r="EF170" s="59">
        <f t="shared" si="578"/>
        <v>1.6064000000000001</v>
      </c>
      <c r="EG170" s="59">
        <f t="shared" si="579"/>
        <v>0.21590000000000001</v>
      </c>
      <c r="EH170" s="59">
        <f t="shared" si="580"/>
        <v>0.23910000000000001</v>
      </c>
      <c r="EI170" s="59">
        <f t="shared" si="581"/>
        <v>0.19850000000000001</v>
      </c>
      <c r="EJ170" s="59">
        <f t="shared" si="582"/>
        <v>0.2092</v>
      </c>
      <c r="EK170" s="63">
        <f t="shared" ca="1" si="594"/>
        <v>15945179.964859353</v>
      </c>
      <c r="EL170" s="3" t="str">
        <f>RTD("tos.rtd",,EL$43,"."&amp;$B$134&amp;$AS$82&amp;"C"&amp;$A170)</f>
        <v>--</v>
      </c>
      <c r="EM170" s="3" t="str">
        <f>RTD("tos.rtd",,EM$43,"."&amp;$B$134&amp;$AS$82&amp;"P"&amp;$A170)</f>
        <v>160.64%</v>
      </c>
      <c r="EN170" s="3" t="str">
        <f>RTD("tos.rtd",,EN$2,"."&amp;$C$134&amp;$AU$82&amp;"C"&amp;$A170)</f>
        <v>21.59%</v>
      </c>
      <c r="EO170" s="3" t="str">
        <f>RTD("tos.rtd",,EO$2,"."&amp;$C$134&amp;$AU$82&amp;"P"&amp;$A170)</f>
        <v>23.91%</v>
      </c>
      <c r="EP170" s="3" t="str">
        <f>RTD("tos.rtd",,EP$2,"."&amp;$D$134&amp;$AW$82&amp;"C"&amp;$A170)</f>
        <v>19.85%</v>
      </c>
      <c r="EQ170" s="3" t="str">
        <f>RTD("tos.rtd",,EQ$2,"."&amp;$D$134&amp;$AW$82&amp;"P"&amp;$A170)</f>
        <v>20.92%</v>
      </c>
      <c r="ES170" s="63" t="str">
        <f t="shared" si="583"/>
        <v>20525,-57.00</v>
      </c>
      <c r="ET170" s="63" t="str">
        <f t="shared" ca="1" si="584"/>
        <v>20525,-25.49</v>
      </c>
      <c r="EU170" s="68">
        <v>572.16</v>
      </c>
      <c r="EV170" s="68" t="s">
        <v>1379</v>
      </c>
      <c r="EW170" s="68">
        <v>497.45</v>
      </c>
      <c r="EX170" s="68" t="s">
        <v>1380</v>
      </c>
      <c r="EY170" s="68">
        <v>5731.75</v>
      </c>
      <c r="EZ170" s="68" t="s">
        <v>1381</v>
      </c>
      <c r="FA170" s="68">
        <v>20424.75</v>
      </c>
      <c r="FB170" s="68" t="s">
        <v>1382</v>
      </c>
      <c r="FC170" s="68" t="s">
        <v>1383</v>
      </c>
      <c r="FD170" s="68" t="s">
        <v>1384</v>
      </c>
      <c r="FE170" s="68" t="s">
        <v>1385</v>
      </c>
      <c r="FF170" s="68" t="s">
        <v>1386</v>
      </c>
    </row>
    <row r="171" spans="1:162" ht="11.1" customHeight="1" thickBot="1" x14ac:dyDescent="0.25">
      <c r="A171" s="2">
        <f t="shared" si="595"/>
        <v>20500</v>
      </c>
      <c r="B171" s="3">
        <f t="shared" si="641"/>
        <v>30</v>
      </c>
      <c r="C171" s="3">
        <f t="shared" si="642"/>
        <v>347</v>
      </c>
      <c r="D171" s="3">
        <f t="shared" si="643"/>
        <v>407</v>
      </c>
      <c r="E171" s="3">
        <f t="shared" si="644"/>
        <v>784</v>
      </c>
      <c r="F171" s="4">
        <f t="shared" si="645"/>
        <v>20598.350824587706</v>
      </c>
      <c r="G171" s="5">
        <f t="shared" si="646"/>
        <v>499.28779610194903</v>
      </c>
      <c r="AM171" s="1">
        <v>14</v>
      </c>
      <c r="AN171" s="1">
        <v>-60</v>
      </c>
      <c r="AO171" s="1">
        <v>20500</v>
      </c>
      <c r="AP171" s="1">
        <v>46</v>
      </c>
      <c r="AQ171" s="1">
        <v>-561</v>
      </c>
      <c r="AS171" s="54">
        <f>IF(RTD("tos.rtd",,AS$83,"."&amp;$B$134&amp;$AS$82&amp;"C"&amp;$A171)="N/A",0,RTD("tos.rtd",,AS$83,"."&amp;$B$134&amp;$AS$82&amp;"C"&amp;$A171))</f>
        <v>25</v>
      </c>
      <c r="AT171" s="3">
        <f>-IF(RTD("tos.rtd",,AT$83,"."&amp;$B$134&amp;$AS$82&amp;"P"&amp;$A171)="N/A",0,RTD("tos.rtd",,AT$83,"."&amp;$B$134&amp;$AS$82&amp;"P"&amp;$A171))</f>
        <v>-5</v>
      </c>
      <c r="AU171" s="54">
        <f>IF(RTD("tos.rtd",,AU$2,"."&amp;$C$134&amp;$AU$134&amp;"C"&amp;$A171)="N/A",0,RTD("tos.rtd",,AU$2,"."&amp;$C$134&amp;$AU$134&amp;"C"&amp;$A171))</f>
        <v>209</v>
      </c>
      <c r="AV171" s="3">
        <f>-IF(RTD("tos.rtd",,AV$2,"."&amp;$C$134&amp;$AU$134&amp;"P"&amp;$A171)="N/A",0,RTD("tos.rtd",,AV$2,"."&amp;$C$134&amp;$AU$134&amp;"P"&amp;$A171))</f>
        <v>-138</v>
      </c>
      <c r="AW171" s="54">
        <f>IF(RTD("tos.rtd",,AW$2,"."&amp;$D$134&amp;$AW$134&amp;"C"&amp;$A171)="N/A",0,RTD("tos.rtd",,AW$2,"."&amp;$D$134&amp;$AW$134&amp;"C"&amp;$A171))</f>
        <v>322</v>
      </c>
      <c r="AX171" s="3">
        <f>-IF(RTD("tos.rtd",,AX$2,"."&amp;$D$134&amp;$AW$134&amp;"P"&amp;$A171)="N/A",0,RTD("tos.rtd",,AX$2,"."&amp;$D$134&amp;$AW$134&amp;"P"&amp;$A171))</f>
        <v>-85</v>
      </c>
      <c r="AY171" s="76">
        <f t="shared" si="647"/>
        <v>328</v>
      </c>
      <c r="AZ171" s="8">
        <f t="shared" si="548"/>
        <v>20500</v>
      </c>
      <c r="BA171" s="54">
        <f>IF(RTD("tos.rtd",,BA$43,"."&amp;$B$134&amp;$AS$82&amp;"C"&amp;$A171)="N/A",0,RTD("tos.rtd",,BA$43,"."&amp;$B$134&amp;$AS$82&amp;"C"&amp;$A171))</f>
        <v>46</v>
      </c>
      <c r="BB171" s="3">
        <f>-IF(RTD("tos.rtd",,BB$43,"."&amp;$B$134&amp;$AS$82&amp;"P"&amp;$A171)="N/A",0,RTD("tos.rtd",,BB$43,"."&amp;$B$134&amp;$AS$82&amp;"P"&amp;$A171))</f>
        <v>-561</v>
      </c>
      <c r="BC171" s="54">
        <f>IF(RTD("tos.rtd",,BC$2,"."&amp;$C$134&amp;$AU$82&amp;"C"&amp;$A171)="N/A",0,RTD("tos.rtd",,BC$2,"."&amp;$C$134&amp;$AU$82&amp;"C"&amp;$A171))</f>
        <v>1</v>
      </c>
      <c r="BD171" s="3">
        <f>-IF(RTD("tos.rtd",,BD$2,"."&amp;$C$134&amp;$AU$82&amp;"P"&amp;$A171)="N/A",0,RTD("tos.rtd",,BD$2,"."&amp;$C$134&amp;$AU$82&amp;"P"&amp;$A171))</f>
        <v>-27</v>
      </c>
      <c r="BE171" s="54">
        <f>IF(RTD("tos.rtd",,BE$2,"."&amp;$D$134&amp;$AW$82&amp;"C"&amp;$A171)="N/A",0,RTD("tos.rtd",,BE$2,"."&amp;$D$134&amp;$AW$82&amp;"C"&amp;$A171))</f>
        <v>33</v>
      </c>
      <c r="BF171" s="3">
        <f>-IF(RTD("tos.rtd",,BF$2,"."&amp;$D$134&amp;$AW$82&amp;"P"&amp;$A171)="N/A",0,RTD("tos.rtd",,BF$2,"."&amp;$D$134&amp;$AW$82&amp;"P"&amp;$A171))</f>
        <v>-38</v>
      </c>
      <c r="BG171" s="3">
        <f ca="1">+Hoja2!Y172</f>
        <v>17</v>
      </c>
      <c r="BH171" s="7">
        <f t="shared" ca="1" si="549"/>
        <v>-529</v>
      </c>
      <c r="BI171" s="32" t="str">
        <f t="shared" ca="1" si="609"/>
        <v/>
      </c>
      <c r="BJ171" s="3">
        <f ca="1">IF($BP$1=1,DX171,IF(RTD("tos.rtd",,BJ$43,"."&amp;$B$134&amp;$AS$82&amp;"C"&amp;$A171)="N/A",0,RTD("tos.rtd",,BJ$43,"."&amp;$B$134&amp;$AS$82&amp;"C"&amp;$A171)))</f>
        <v>3.7189611319992629E-9</v>
      </c>
      <c r="BK171" s="3">
        <f ca="1">IF($BP$1=1,DY171,-IF(RTD("tos.rtd",,BK$43,"."&amp;$B$134&amp;$AS$82&amp;"P"&amp;$A171)="N/A",0,RTD("tos.rtd",,BK$43,"."&amp;$B$134&amp;$AS$82&amp;"P"&amp;$A171)))</f>
        <v>-6.0776880076746835E-4</v>
      </c>
      <c r="BL171" s="3">
        <f ca="1">IF($BP$1=1,DZ171,IF(RTD("tos.rtd",,BL$2,"."&amp;$C$134&amp;$AU$82&amp;"C"&amp;$A171)="N/A",0,RTD("tos.rtd",,BL$2,"."&amp;$C$134&amp;$AU$82&amp;"C"&amp;$A171)))</f>
        <v>5.7372218706825914E-4</v>
      </c>
      <c r="BM171" s="3">
        <f ca="1">IF($BP$1=1,EA171,-IF(RTD("tos.rtd",,BM$2,"."&amp;$C$134&amp;$AU$82&amp;"P"&amp;$A171)="N/A",0,RTD("tos.rtd",,BM$2,"."&amp;$C$134&amp;$AU$82&amp;"P"&amp;$A171)))</f>
        <v>-5.4007208816349858E-4</v>
      </c>
      <c r="BN171" s="3">
        <f ca="1">IF($BP$1=1,EB171,IF(RTD("tos.rtd",,BN$2,"."&amp;$D$134&amp;$AW$82&amp;"C"&amp;$A171)="N/A",0,RTD("tos.rtd",,BN$2,"."&amp;$D$134&amp;$AW$82&amp;"C"&amp;$A171)))</f>
        <v>6.030061197942739E-4</v>
      </c>
      <c r="BO171" s="3">
        <f ca="1">IF($BP$1=1,EC171,-IF(RTD("tos.rtd",,BO$2,"."&amp;$D$134&amp;$AW$82&amp;"P"&amp;$A171)="N/A",0,RTD("tos.rtd",,BO$2,"."&amp;$D$134&amp;$AW$82&amp;"P"&amp;$A171)))</f>
        <v>-5.8614248239754021E-4</v>
      </c>
      <c r="BQ171" s="3">
        <f t="shared" ca="1" si="648"/>
        <v>-103700.54849947958</v>
      </c>
      <c r="BR171" s="3" t="str">
        <f t="shared" ca="1" si="550"/>
        <v>Cruce -</v>
      </c>
      <c r="BS171" s="3">
        <f t="shared" ca="1" si="649"/>
        <v>1548571.2043388309</v>
      </c>
      <c r="BT171" s="3" t="str">
        <f t="shared" ca="1" si="551"/>
        <v/>
      </c>
      <c r="BU171" s="3">
        <f t="shared" ca="1" si="650"/>
        <v>4925953.0195782129</v>
      </c>
      <c r="BV171" s="3" t="str">
        <f t="shared" ca="1" si="551"/>
        <v/>
      </c>
      <c r="BX171" s="3">
        <f t="shared" ca="1" si="585"/>
        <v>-87871.276708584512</v>
      </c>
      <c r="BY171" s="3" t="str">
        <f t="shared" ca="1" si="586"/>
        <v/>
      </c>
      <c r="BZ171" s="3">
        <f t="shared" ca="1" si="587"/>
        <v>-3610.1809866170615</v>
      </c>
      <c r="CA171" s="3" t="str">
        <f t="shared" ca="1" si="586"/>
        <v/>
      </c>
      <c r="CB171" s="3">
        <f t="shared" ca="1" si="588"/>
        <v>-611.87886962435277</v>
      </c>
      <c r="CC171" s="3" t="str">
        <f t="shared" ca="1" si="586"/>
        <v/>
      </c>
      <c r="CD171" s="3">
        <f>IF(RTD("tos.rtd",,CD$43,"."&amp;$B$134&amp;$AS$82&amp;"C"&amp;$A171)="N/A",0,RTD("tos.rtd",,CD$43,"."&amp;$B$134&amp;$AS$82&amp;"C"&amp;$A171))</f>
        <v>1</v>
      </c>
      <c r="CE171" s="3">
        <f>-IF(RTD("tos.rtd",,CE$43,"."&amp;$B$134&amp;$AS$82&amp;"P"&amp;$A171)="N/A",0,RTD("tos.rtd",,CE$43,"."&amp;$B$134&amp;$AS$82&amp;"P"&amp;$A171))</f>
        <v>0.01</v>
      </c>
      <c r="CF171" s="3">
        <f>IF(RTD("tos.rtd",,CF$2,"."&amp;$C$134&amp;$AU$82&amp;"C"&amp;$A171)="N/A",0,RTD("tos.rtd",,CF$2,"."&amp;$C$134&amp;$AU$82&amp;"C"&amp;$A171))</f>
        <v>0.8</v>
      </c>
      <c r="CG171" s="3">
        <f>-IF(RTD("tos.rtd",,CG$2,"."&amp;$C$134&amp;$AU$82&amp;"P"&amp;$A171)="N/A",0,RTD("tos.rtd",,CG$2,"."&amp;$C$134&amp;$AU$82&amp;"P"&amp;$A171))</f>
        <v>0.22</v>
      </c>
      <c r="CH171" s="3">
        <f>IF(RTD("tos.rtd",,CH$2,"."&amp;$D$134&amp;$AW$82&amp;"C"&amp;$A171)="N/A",0,RTD("tos.rtd",,CH$2,"."&amp;$D$134&amp;$AW$82&amp;"C"&amp;$A171))</f>
        <v>0.65</v>
      </c>
      <c r="CI171" s="3">
        <f>-IF(RTD("tos.rtd",,CI$2,"."&amp;$D$134&amp;$AW$82&amp;"P"&amp;$A171)="N/A",0,RTD("tos.rtd",,CI$2,"."&amp;$D$134&amp;$AW$82&amp;"P"&amp;$A171))</f>
        <v>0.36</v>
      </c>
      <c r="CK171" s="3">
        <f t="shared" si="651"/>
        <v>2495</v>
      </c>
      <c r="CL171" s="3"/>
      <c r="CM171" s="3">
        <f t="shared" si="652"/>
        <v>13684</v>
      </c>
      <c r="CN171" s="3"/>
      <c r="CO171" s="3">
        <f t="shared" si="653"/>
        <v>17870</v>
      </c>
      <c r="CP171" s="3">
        <f t="shared" si="542"/>
        <v>34049</v>
      </c>
      <c r="CQ171" s="3">
        <f t="shared" si="552"/>
        <v>-515</v>
      </c>
      <c r="CR171" s="3"/>
      <c r="CS171" s="3">
        <f t="shared" si="553"/>
        <v>-26</v>
      </c>
      <c r="CT171" s="3"/>
      <c r="CU171" s="3">
        <f t="shared" si="554"/>
        <v>-5</v>
      </c>
      <c r="CV171" s="3"/>
      <c r="CW171" s="3">
        <f t="shared" ca="1" si="555"/>
        <v>6370823.6754175639</v>
      </c>
      <c r="CY171" s="3">
        <f t="shared" ca="1" si="556"/>
        <v>-92093.336564825935</v>
      </c>
      <c r="CZ171" s="70" t="str">
        <f t="shared" ca="1" si="589"/>
        <v/>
      </c>
      <c r="DA171" s="3">
        <f>IF(RTD("tos.rtd",,DA$43,"."&amp;$B$134&amp;$AS$82&amp;"C"&amp;$A171)="N/A",0,RTD("tos.rtd",,DA$43,"."&amp;$B$134&amp;$AS$82&amp;"C"&amp;$A171))</f>
        <v>352.25</v>
      </c>
      <c r="DB171" s="3">
        <f>IF(RTD("tos.rtd",,DB$43,"."&amp;$B$134&amp;$AS$82&amp;"P"&amp;$A171)="N/A",0,RTD("tos.rtd",,DB$43,"."&amp;$B$134&amp;$AS$82&amp;"P"&amp;$A171))</f>
        <v>0.05</v>
      </c>
      <c r="DC171" s="3">
        <f>IF(RTD("tos.rtd",,DC$43,"."&amp;$B$134&amp;$AS$82&amp;"C"&amp;$A171)="N/A",0,RTD("tos.rtd",,DC$43,"."&amp;$B$134&amp;$AS$82&amp;"C"&amp;$A171))</f>
        <v>387.4</v>
      </c>
      <c r="DD171" s="3">
        <f>IF(RTD("tos.rtd",,DD$43,"."&amp;$B$134&amp;$AS$82&amp;"P"&amp;$A171)="N/A",0,RTD("tos.rtd",,DD$43,"."&amp;$B$134&amp;$AS$82&amp;"P"&amp;$A171))</f>
        <v>0.75</v>
      </c>
      <c r="DE171" s="3">
        <f>IF(RTD("tos.rtd",,DE$43,"."&amp;$B$134&amp;$AS$82&amp;"C"&amp;$A171)="N/A",0,RTD("tos.rtd",,DE$43,"."&amp;$B$134&amp;$AS$82&amp;"C"&amp;$A171))</f>
        <v>337.4</v>
      </c>
      <c r="DF171" s="3">
        <f>IF(RTD("tos.rtd",,DF$43,"."&amp;$B$134&amp;$AS$82&amp;"P"&amp;$A171)="N/A",0,RTD("tos.rtd",,DF$43,"."&amp;$B$134&amp;$AS$82&amp;"P"&amp;$A171))</f>
        <v>0</v>
      </c>
      <c r="DG171" s="86">
        <f t="shared" si="590"/>
        <v>-343.75</v>
      </c>
      <c r="DH171" s="3">
        <f t="shared" si="557"/>
        <v>0</v>
      </c>
      <c r="DI171" s="3">
        <f t="shared" si="558"/>
        <v>0</v>
      </c>
      <c r="DJ171" s="3">
        <f t="shared" si="559"/>
        <v>0</v>
      </c>
      <c r="DK171" s="3">
        <f t="shared" si="560"/>
        <v>0</v>
      </c>
      <c r="DL171" s="3">
        <f t="shared" si="561"/>
        <v>0</v>
      </c>
      <c r="DM171" s="3">
        <f t="shared" si="562"/>
        <v>0</v>
      </c>
      <c r="DN171" s="64" t="str">
        <f t="shared" si="563"/>
        <v>UNKNOWN</v>
      </c>
      <c r="DO171" s="64" t="str">
        <f t="shared" si="564"/>
        <v>UNKNOWN</v>
      </c>
      <c r="DP171" s="3">
        <f t="shared" si="565"/>
        <v>0</v>
      </c>
      <c r="DQ171" s="3">
        <f t="shared" si="566"/>
        <v>0</v>
      </c>
      <c r="DR171" s="3">
        <f t="shared" ca="1" si="567"/>
        <v>0</v>
      </c>
      <c r="DS171" s="3">
        <f t="shared" si="568"/>
        <v>0</v>
      </c>
      <c r="DT171" s="3">
        <f t="shared" si="591"/>
        <v>0</v>
      </c>
      <c r="DU171" s="3">
        <f t="shared" si="592"/>
        <v>0</v>
      </c>
      <c r="DV171" s="3">
        <f t="shared" si="569"/>
        <v>14</v>
      </c>
      <c r="DW171" s="3">
        <f t="shared" si="570"/>
        <v>-60</v>
      </c>
      <c r="DX171" s="3">
        <f t="shared" ca="1" si="654"/>
        <v>3.7189611319992629E-9</v>
      </c>
      <c r="DY171" s="3">
        <f t="shared" ca="1" si="655"/>
        <v>-6.0776880076746835E-4</v>
      </c>
      <c r="DZ171" s="3">
        <f t="shared" ca="1" si="656"/>
        <v>5.7372218706825914E-4</v>
      </c>
      <c r="EA171" s="3">
        <f t="shared" ca="1" si="657"/>
        <v>-5.4007208816349858E-4</v>
      </c>
      <c r="EB171" s="3">
        <f t="shared" ca="1" si="658"/>
        <v>6.030061197942739E-4</v>
      </c>
      <c r="EC171" s="3">
        <f t="shared" ca="1" si="659"/>
        <v>-5.8614248239754021E-4</v>
      </c>
      <c r="ED171" s="63">
        <f t="shared" si="593"/>
        <v>-46</v>
      </c>
      <c r="EE171" s="59">
        <f t="shared" si="577"/>
        <v>0.25</v>
      </c>
      <c r="EF171" s="59">
        <f t="shared" si="578"/>
        <v>0.96950000000000003</v>
      </c>
      <c r="EG171" s="59">
        <f t="shared" si="579"/>
        <v>0.218</v>
      </c>
      <c r="EH171" s="59">
        <f t="shared" si="580"/>
        <v>0.24010000000000001</v>
      </c>
      <c r="EI171" s="59">
        <f t="shared" si="581"/>
        <v>0.1991</v>
      </c>
      <c r="EJ171" s="59">
        <f t="shared" si="582"/>
        <v>0.21</v>
      </c>
      <c r="EK171" s="63">
        <f t="shared" ca="1" si="594"/>
        <v>15843166.409791877</v>
      </c>
      <c r="EL171" s="3" t="str">
        <f>RTD("tos.rtd",,EL$43,"."&amp;$B$134&amp;$AS$82&amp;"C"&amp;$A171)</f>
        <v>--</v>
      </c>
      <c r="EM171" s="3" t="str">
        <f>RTD("tos.rtd",,EM$43,"."&amp;$B$134&amp;$AS$82&amp;"P"&amp;$A171)</f>
        <v>96.95%</v>
      </c>
      <c r="EN171" s="3" t="str">
        <f>RTD("tos.rtd",,EN$2,"."&amp;$C$134&amp;$AU$82&amp;"C"&amp;$A171)</f>
        <v>21.80%</v>
      </c>
      <c r="EO171" s="3" t="str">
        <f>RTD("tos.rtd",,EO$2,"."&amp;$C$134&amp;$AU$82&amp;"P"&amp;$A171)</f>
        <v>24.01%</v>
      </c>
      <c r="EP171" s="3" t="str">
        <f>RTD("tos.rtd",,EP$2,"."&amp;$D$134&amp;$AW$82&amp;"C"&amp;$A171)</f>
        <v>19.91%</v>
      </c>
      <c r="EQ171" s="3" t="str">
        <f>RTD("tos.rtd",,EQ$2,"."&amp;$D$134&amp;$AW$82&amp;"P"&amp;$A171)</f>
        <v>21.00%</v>
      </c>
      <c r="ES171" s="63" t="str">
        <f t="shared" si="583"/>
        <v>20500,-46.00</v>
      </c>
      <c r="ET171" s="63" t="str">
        <f t="shared" ca="1" si="584"/>
        <v>20500,-92.09</v>
      </c>
      <c r="EU171" s="68">
        <v>572.22</v>
      </c>
      <c r="EV171" s="68" t="s">
        <v>1387</v>
      </c>
      <c r="EW171" s="68">
        <v>497.59</v>
      </c>
      <c r="EX171" s="68" t="s">
        <v>1388</v>
      </c>
      <c r="EY171" s="68">
        <v>5733</v>
      </c>
      <c r="EZ171" s="68" t="s">
        <v>1389</v>
      </c>
      <c r="FA171" s="68">
        <v>20430.5</v>
      </c>
      <c r="FB171" s="68" t="s">
        <v>1390</v>
      </c>
      <c r="FC171" s="68" t="s">
        <v>1391</v>
      </c>
      <c r="FD171" s="68" t="s">
        <v>1392</v>
      </c>
      <c r="FE171" s="68" t="s">
        <v>1393</v>
      </c>
      <c r="FF171" s="68" t="s">
        <v>1394</v>
      </c>
    </row>
    <row r="172" spans="1:162" ht="11.1" customHeight="1" thickBot="1" x14ac:dyDescent="0.25">
      <c r="A172" s="2">
        <f t="shared" si="595"/>
        <v>20475</v>
      </c>
      <c r="B172" s="3">
        <f t="shared" si="641"/>
        <v>2</v>
      </c>
      <c r="C172" s="3">
        <f t="shared" si="642"/>
        <v>30</v>
      </c>
      <c r="D172" s="3">
        <f t="shared" si="643"/>
        <v>72</v>
      </c>
      <c r="E172" s="3">
        <f t="shared" si="644"/>
        <v>104</v>
      </c>
      <c r="F172" s="4">
        <f t="shared" si="645"/>
        <v>20573.230884557721</v>
      </c>
      <c r="G172" s="5">
        <f t="shared" si="646"/>
        <v>498.67890854572715</v>
      </c>
      <c r="AM172" s="1">
        <v>1</v>
      </c>
      <c r="AN172" s="1">
        <v>0</v>
      </c>
      <c r="AO172" s="1">
        <v>20475</v>
      </c>
      <c r="AP172" s="1">
        <v>1</v>
      </c>
      <c r="AQ172" s="1">
        <v>-82</v>
      </c>
      <c r="AS172" s="54">
        <f>IF(RTD("tos.rtd",,AS$83,"."&amp;$B$134&amp;$AS$82&amp;"C"&amp;$A172)="N/A",0,RTD("tos.rtd",,AS$83,"."&amp;$B$134&amp;$AS$82&amp;"C"&amp;$A172))</f>
        <v>2</v>
      </c>
      <c r="AT172" s="3">
        <f>-IF(RTD("tos.rtd",,AT$83,"."&amp;$B$134&amp;$AS$82&amp;"P"&amp;$A172)="N/A",0,RTD("tos.rtd",,AT$83,"."&amp;$B$134&amp;$AS$82&amp;"P"&amp;$A172))</f>
        <v>0</v>
      </c>
      <c r="AU172" s="54">
        <f>IF(RTD("tos.rtd",,AU$2,"."&amp;$C$134&amp;$AU$134&amp;"C"&amp;$A172)="N/A",0,RTD("tos.rtd",,AU$2,"."&amp;$C$134&amp;$AU$134&amp;"C"&amp;$A172))</f>
        <v>27</v>
      </c>
      <c r="AV172" s="3">
        <f>-IF(RTD("tos.rtd",,AV$2,"."&amp;$C$134&amp;$AU$134&amp;"P"&amp;$A172)="N/A",0,RTD("tos.rtd",,AV$2,"."&amp;$C$134&amp;$AU$134&amp;"P"&amp;$A172))</f>
        <v>-3</v>
      </c>
      <c r="AW172" s="54">
        <f>IF(RTD("tos.rtd",,AW$2,"."&amp;$D$134&amp;$AW$134&amp;"C"&amp;$A172)="N/A",0,RTD("tos.rtd",,AW$2,"."&amp;$D$134&amp;$AW$134&amp;"C"&amp;$A172))</f>
        <v>39</v>
      </c>
      <c r="AX172" s="3">
        <f>-IF(RTD("tos.rtd",,AX$2,"."&amp;$D$134&amp;$AW$134&amp;"P"&amp;$A172)="N/A",0,RTD("tos.rtd",,AX$2,"."&amp;$D$134&amp;$AW$134&amp;"P"&amp;$A172))</f>
        <v>-33</v>
      </c>
      <c r="AY172" s="76">
        <f t="shared" si="647"/>
        <v>32</v>
      </c>
      <c r="AZ172" s="8">
        <f t="shared" si="548"/>
        <v>20475</v>
      </c>
      <c r="BA172" s="54">
        <f>IF(RTD("tos.rtd",,BA$43,"."&amp;$B$134&amp;$AS$82&amp;"C"&amp;$A172)="N/A",0,RTD("tos.rtd",,BA$43,"."&amp;$B$134&amp;$AS$82&amp;"C"&amp;$A172))</f>
        <v>1</v>
      </c>
      <c r="BB172" s="3">
        <f>-IF(RTD("tos.rtd",,BB$43,"."&amp;$B$134&amp;$AS$82&amp;"P"&amp;$A172)="N/A",0,RTD("tos.rtd",,BB$43,"."&amp;$B$134&amp;$AS$82&amp;"P"&amp;$A172))</f>
        <v>-82</v>
      </c>
      <c r="BC172" s="54">
        <f>IF(RTD("tos.rtd",,BC$2,"."&amp;$C$134&amp;$AU$82&amp;"C"&amp;$A172)="N/A",0,RTD("tos.rtd",,BC$2,"."&amp;$C$134&amp;$AU$82&amp;"C"&amp;$A172))</f>
        <v>2</v>
      </c>
      <c r="BD172" s="3">
        <f>-IF(RTD("tos.rtd",,BD$2,"."&amp;$C$134&amp;$AU$82&amp;"P"&amp;$A172)="N/A",0,RTD("tos.rtd",,BD$2,"."&amp;$C$134&amp;$AU$82&amp;"P"&amp;$A172))</f>
        <v>-5</v>
      </c>
      <c r="BE172" s="54">
        <f>IF(RTD("tos.rtd",,BE$2,"."&amp;$D$134&amp;$AW$82&amp;"C"&amp;$A172)="N/A",0,RTD("tos.rtd",,BE$2,"."&amp;$D$134&amp;$AW$82&amp;"C"&amp;$A172))</f>
        <v>0</v>
      </c>
      <c r="BF172" s="3">
        <f>-IF(RTD("tos.rtd",,BF$2,"."&amp;$D$134&amp;$AW$82&amp;"P"&amp;$A172)="N/A",0,RTD("tos.rtd",,BF$2,"."&amp;$D$134&amp;$AW$82&amp;"P"&amp;$A172))</f>
        <v>0</v>
      </c>
      <c r="BG172" s="3">
        <f ca="1">+Hoja2!Y173</f>
        <v>0</v>
      </c>
      <c r="BH172" s="7">
        <f t="shared" ca="1" si="549"/>
        <v>-84</v>
      </c>
      <c r="BI172" s="32" t="str">
        <f t="shared" ca="1" si="609"/>
        <v/>
      </c>
      <c r="BJ172" s="3">
        <f ca="1">IF($BP$1=1,DX172,IF(RTD("tos.rtd",,BJ$43,"."&amp;$B$134&amp;$AS$82&amp;"C"&amp;$A172)="N/A",0,RTD("tos.rtd",,BJ$43,"."&amp;$B$134&amp;$AS$82&amp;"C"&amp;$A172)))</f>
        <v>4.2162600041528472E-10</v>
      </c>
      <c r="BK172" s="3">
        <f ca="1">IF($BP$1=1,DY172,-IF(RTD("tos.rtd",,BK$43,"."&amp;$B$134&amp;$AS$82&amp;"P"&amp;$A172)="N/A",0,RTD("tos.rtd",,BK$43,"."&amp;$B$134&amp;$AS$82&amp;"P"&amp;$A172)))</f>
        <v>-6.1866780389560313E-4</v>
      </c>
      <c r="BL172" s="3">
        <f ca="1">IF($BP$1=1,DZ172,IF(RTD("tos.rtd",,BL$2,"."&amp;$C$134&amp;$AU$82&amp;"C"&amp;$A172)="N/A",0,RTD("tos.rtd",,BL$2,"."&amp;$C$134&amp;$AU$82&amp;"C"&amp;$A172)))</f>
        <v>5.6174656746789246E-4</v>
      </c>
      <c r="BM172" s="3">
        <f ca="1">IF($BP$1=1,EA172,-IF(RTD("tos.rtd",,BM$2,"."&amp;$C$134&amp;$AU$82&amp;"P"&amp;$A172)="N/A",0,RTD("tos.rtd",,BM$2,"."&amp;$C$134&amp;$AU$82&amp;"P"&amp;$A172)))</f>
        <v>-5.2503813540653074E-4</v>
      </c>
      <c r="BN172" s="3">
        <f ca="1">IF($BP$1=1,EB172,IF(RTD("tos.rtd",,BN$2,"."&amp;$D$134&amp;$AW$82&amp;"C"&amp;$A172)="N/A",0,RTD("tos.rtd",,BN$2,"."&amp;$D$134&amp;$AW$82&amp;"C"&amp;$A172)))</f>
        <v>5.8025746394187736E-4</v>
      </c>
      <c r="BO172" s="3">
        <f ca="1">IF($BP$1=1,EC172,-IF(RTD("tos.rtd",,BO$2,"."&amp;$D$134&amp;$AW$82&amp;"P"&amp;$A172)="N/A",0,RTD("tos.rtd",,BO$2,"."&amp;$D$134&amp;$AW$82&amp;"P"&amp;$A172)))</f>
        <v>-5.6615430074522899E-4</v>
      </c>
      <c r="BQ172" s="3">
        <f t="shared" ca="1" si="648"/>
        <v>2.8776854092883299E-2</v>
      </c>
      <c r="BR172" s="3" t="str">
        <f t="shared" ca="1" si="550"/>
        <v>Cruce +</v>
      </c>
      <c r="BS172" s="3">
        <f t="shared" ca="1" si="649"/>
        <v>463842.64183874929</v>
      </c>
      <c r="BT172" s="3" t="str">
        <f t="shared" ca="1" si="551"/>
        <v/>
      </c>
      <c r="BU172" s="3">
        <f t="shared" ca="1" si="650"/>
        <v>134693.75731159269</v>
      </c>
      <c r="BV172" s="3" t="str">
        <f t="shared" ca="1" si="551"/>
        <v/>
      </c>
      <c r="BX172" s="3">
        <f t="shared" ca="1" si="585"/>
        <v>-13074.264149958606</v>
      </c>
      <c r="BY172" s="3" t="str">
        <f t="shared" ca="1" si="586"/>
        <v/>
      </c>
      <c r="BZ172" s="3">
        <f t="shared" ca="1" si="587"/>
        <v>-387.01550170098028</v>
      </c>
      <c r="CA172" s="3" t="str">
        <f t="shared" ca="1" si="586"/>
        <v/>
      </c>
      <c r="CB172" s="3">
        <f t="shared" ca="1" si="588"/>
        <v>0</v>
      </c>
      <c r="CC172" s="3" t="str">
        <f t="shared" ca="1" si="586"/>
        <v/>
      </c>
      <c r="CD172" s="3">
        <f>IF(RTD("tos.rtd",,CD$43,"."&amp;$B$134&amp;$AS$82&amp;"C"&amp;$A172)="N/A",0,RTD("tos.rtd",,CD$43,"."&amp;$B$134&amp;$AS$82&amp;"C"&amp;$A172))</f>
        <v>1</v>
      </c>
      <c r="CE172" s="3">
        <f>-IF(RTD("tos.rtd",,CE$43,"."&amp;$B$134&amp;$AS$82&amp;"P"&amp;$A172)="N/A",0,RTD("tos.rtd",,CE$43,"."&amp;$B$134&amp;$AS$82&amp;"P"&amp;$A172))</f>
        <v>0.08</v>
      </c>
      <c r="CF172" s="3">
        <f>IF(RTD("tos.rtd",,CF$2,"."&amp;$C$134&amp;$AU$82&amp;"C"&amp;$A172)="N/A",0,RTD("tos.rtd",,CF$2,"."&amp;$C$134&amp;$AU$82&amp;"C"&amp;$A172))</f>
        <v>0.82</v>
      </c>
      <c r="CG172" s="3">
        <f>-IF(RTD("tos.rtd",,CG$2,"."&amp;$C$134&amp;$AU$82&amp;"P"&amp;$A172)="N/A",0,RTD("tos.rtd",,CG$2,"."&amp;$C$134&amp;$AU$82&amp;"P"&amp;$A172))</f>
        <v>0.21</v>
      </c>
      <c r="CH172" s="3">
        <f>IF(RTD("tos.rtd",,CH$2,"."&amp;$D$134&amp;$AW$82&amp;"C"&amp;$A172)="N/A",0,RTD("tos.rtd",,CH$2,"."&amp;$D$134&amp;$AW$82&amp;"C"&amp;$A172))</f>
        <v>0.65</v>
      </c>
      <c r="CI172" s="3">
        <f>-IF(RTD("tos.rtd",,CI$2,"."&amp;$D$134&amp;$AW$82&amp;"P"&amp;$A172)="N/A",0,RTD("tos.rtd",,CI$2,"."&amp;$D$134&amp;$AW$82&amp;"P"&amp;$A172))</f>
        <v>0.35</v>
      </c>
      <c r="CK172" s="3">
        <f t="shared" si="651"/>
        <v>200</v>
      </c>
      <c r="CL172" s="3"/>
      <c r="CM172" s="3">
        <f t="shared" si="652"/>
        <v>2150.9999999999995</v>
      </c>
      <c r="CN172" s="3"/>
      <c r="CO172" s="3">
        <f t="shared" si="653"/>
        <v>1380</v>
      </c>
      <c r="CP172" s="3">
        <f t="shared" si="542"/>
        <v>3730.9999999999995</v>
      </c>
      <c r="CQ172" s="3">
        <f t="shared" si="552"/>
        <v>-81</v>
      </c>
      <c r="CR172" s="3"/>
      <c r="CS172" s="3">
        <f t="shared" si="553"/>
        <v>-3</v>
      </c>
      <c r="CT172" s="3"/>
      <c r="CU172" s="3">
        <f t="shared" si="554"/>
        <v>0</v>
      </c>
      <c r="CV172" s="3"/>
      <c r="CW172" s="3">
        <f t="shared" ca="1" si="555"/>
        <v>598536.42792719603</v>
      </c>
      <c r="CY172" s="3">
        <f t="shared" ca="1" si="556"/>
        <v>-13461.279651659586</v>
      </c>
      <c r="CZ172" s="70" t="str">
        <f t="shared" ca="1" si="589"/>
        <v/>
      </c>
      <c r="DA172" s="3">
        <f>IF(RTD("tos.rtd",,DA$43,"."&amp;$B$134&amp;$AS$82&amp;"C"&amp;$A172)="N/A",0,RTD("tos.rtd",,DA$43,"."&amp;$B$134&amp;$AS$82&amp;"C"&amp;$A172))</f>
        <v>245.34</v>
      </c>
      <c r="DB172" s="3">
        <f>IF(RTD("tos.rtd",,DB$43,"."&amp;$B$134&amp;$AS$82&amp;"P"&amp;$A172)="N/A",0,RTD("tos.rtd",,DB$43,"."&amp;$B$134&amp;$AS$82&amp;"P"&amp;$A172))</f>
        <v>0.2</v>
      </c>
      <c r="DC172" s="3">
        <f>IF(RTD("tos.rtd",,DC$43,"."&amp;$B$134&amp;$AS$82&amp;"C"&amp;$A172)="N/A",0,RTD("tos.rtd",,DC$43,"."&amp;$B$134&amp;$AS$82&amp;"C"&amp;$A172))</f>
        <v>412.5</v>
      </c>
      <c r="DD172" s="3">
        <f>IF(RTD("tos.rtd",,DD$43,"."&amp;$B$134&amp;$AS$82&amp;"P"&amp;$A172)="N/A",0,RTD("tos.rtd",,DD$43,"."&amp;$B$134&amp;$AS$82&amp;"P"&amp;$A172))</f>
        <v>19.8</v>
      </c>
      <c r="DE172" s="3">
        <f>IF(RTD("tos.rtd",,DE$43,"."&amp;$B$134&amp;$AS$82&amp;"C"&amp;$A172)="N/A",0,RTD("tos.rtd",,DE$43,"."&amp;$B$134&amp;$AS$82&amp;"C"&amp;$A172))</f>
        <v>362.5</v>
      </c>
      <c r="DF172" s="3">
        <f>IF(RTD("tos.rtd",,DF$43,"."&amp;$B$134&amp;$AS$82&amp;"P"&amp;$A172)="N/A",0,RTD("tos.rtd",,DF$43,"."&amp;$B$134&amp;$AS$82&amp;"P"&amp;$A172))</f>
        <v>0</v>
      </c>
      <c r="DG172" s="86">
        <f t="shared" si="590"/>
        <v>-368.75</v>
      </c>
      <c r="DH172" s="3">
        <f t="shared" si="557"/>
        <v>0</v>
      </c>
      <c r="DI172" s="3">
        <f t="shared" si="558"/>
        <v>0</v>
      </c>
      <c r="DJ172" s="3">
        <f t="shared" si="559"/>
        <v>0</v>
      </c>
      <c r="DK172" s="3">
        <f t="shared" si="560"/>
        <v>0</v>
      </c>
      <c r="DL172" s="3">
        <f t="shared" si="561"/>
        <v>0</v>
      </c>
      <c r="DM172" s="3">
        <f t="shared" si="562"/>
        <v>0</v>
      </c>
      <c r="DN172" s="64" t="str">
        <f t="shared" si="563"/>
        <v>UNKNOWN</v>
      </c>
      <c r="DO172" s="64" t="str">
        <f t="shared" si="564"/>
        <v>UNKNOWN</v>
      </c>
      <c r="DP172" s="3">
        <f t="shared" si="565"/>
        <v>0</v>
      </c>
      <c r="DQ172" s="3">
        <f t="shared" si="566"/>
        <v>0</v>
      </c>
      <c r="DR172" s="3">
        <f t="shared" ca="1" si="567"/>
        <v>0</v>
      </c>
      <c r="DS172" s="3">
        <f t="shared" si="568"/>
        <v>0</v>
      </c>
      <c r="DT172" s="3">
        <f t="shared" si="591"/>
        <v>0</v>
      </c>
      <c r="DU172" s="3">
        <f t="shared" si="592"/>
        <v>0</v>
      </c>
      <c r="DV172" s="3">
        <f t="shared" si="569"/>
        <v>1</v>
      </c>
      <c r="DW172" s="3">
        <f t="shared" si="570"/>
        <v>0</v>
      </c>
      <c r="DX172" s="3">
        <f t="shared" ca="1" si="654"/>
        <v>4.2162600041528472E-10</v>
      </c>
      <c r="DY172" s="3">
        <f t="shared" ca="1" si="655"/>
        <v>-6.1866780389560313E-4</v>
      </c>
      <c r="DZ172" s="3">
        <f t="shared" ca="1" si="656"/>
        <v>5.6174656746789246E-4</v>
      </c>
      <c r="EA172" s="3">
        <f t="shared" ca="1" si="657"/>
        <v>-5.2503813540653074E-4</v>
      </c>
      <c r="EB172" s="3">
        <f t="shared" ca="1" si="658"/>
        <v>5.8025746394187736E-4</v>
      </c>
      <c r="EC172" s="3">
        <f t="shared" ca="1" si="659"/>
        <v>-5.6615430074522899E-4</v>
      </c>
      <c r="ED172" s="63">
        <f t="shared" si="593"/>
        <v>1</v>
      </c>
      <c r="EE172" s="59">
        <f t="shared" si="577"/>
        <v>0.25</v>
      </c>
      <c r="EF172" s="59">
        <f t="shared" si="578"/>
        <v>1.7818000000000001</v>
      </c>
      <c r="EG172" s="59">
        <f t="shared" si="579"/>
        <v>0.214</v>
      </c>
      <c r="EH172" s="59">
        <f t="shared" si="580"/>
        <v>0.2412</v>
      </c>
      <c r="EI172" s="59">
        <f t="shared" si="581"/>
        <v>0.19989999999999999</v>
      </c>
      <c r="EJ172" s="59">
        <f t="shared" si="582"/>
        <v>0.2107</v>
      </c>
      <c r="EK172" s="63">
        <f t="shared" ca="1" si="594"/>
        <v>0.18318043915894103</v>
      </c>
      <c r="EL172" s="3" t="str">
        <f>RTD("tos.rtd",,EL$43,"."&amp;$B$134&amp;$AS$82&amp;"C"&amp;$A172)</f>
        <v>--</v>
      </c>
      <c r="EM172" s="3" t="str">
        <f>RTD("tos.rtd",,EM$43,"."&amp;$B$134&amp;$AS$82&amp;"P"&amp;$A172)</f>
        <v>178.18%</v>
      </c>
      <c r="EN172" s="3" t="str">
        <f>RTD("tos.rtd",,EN$2,"."&amp;$C$134&amp;$AU$82&amp;"C"&amp;$A172)</f>
        <v>21.40%</v>
      </c>
      <c r="EO172" s="3" t="str">
        <f>RTD("tos.rtd",,EO$2,"."&amp;$C$134&amp;$AU$82&amp;"P"&amp;$A172)</f>
        <v>24.12%</v>
      </c>
      <c r="EP172" s="3" t="str">
        <f>RTD("tos.rtd",,EP$2,"."&amp;$D$134&amp;$AW$82&amp;"C"&amp;$A172)</f>
        <v>19.99%</v>
      </c>
      <c r="EQ172" s="3" t="str">
        <f>RTD("tos.rtd",,EQ$2,"."&amp;$D$134&amp;$AW$82&amp;"P"&amp;$A172)</f>
        <v>21.07%</v>
      </c>
      <c r="ES172" s="63" t="str">
        <f t="shared" si="583"/>
        <v>20475,01.00</v>
      </c>
      <c r="ET172" s="63" t="str">
        <f t="shared" ca="1" si="584"/>
        <v>20475,-13.46</v>
      </c>
      <c r="EU172" s="68">
        <v>572.23</v>
      </c>
      <c r="EV172" s="68" t="s">
        <v>1395</v>
      </c>
      <c r="EW172" s="68">
        <v>497.54</v>
      </c>
      <c r="EX172" s="68" t="s">
        <v>1396</v>
      </c>
      <c r="EY172" s="68">
        <v>5732</v>
      </c>
      <c r="EZ172" s="68" t="s">
        <v>1397</v>
      </c>
      <c r="FA172" s="68">
        <v>20426</v>
      </c>
      <c r="FB172" s="68" t="s">
        <v>1398</v>
      </c>
      <c r="FC172" s="68" t="s">
        <v>1399</v>
      </c>
      <c r="FD172" s="68" t="s">
        <v>1400</v>
      </c>
      <c r="FE172" s="68" t="s">
        <v>1401</v>
      </c>
      <c r="FF172" s="68" t="s">
        <v>1402</v>
      </c>
    </row>
    <row r="173" spans="1:162" ht="11.1" customHeight="1" thickBot="1" x14ac:dyDescent="0.25">
      <c r="A173" s="2">
        <f t="shared" si="595"/>
        <v>20450</v>
      </c>
      <c r="B173" s="3">
        <f t="shared" si="641"/>
        <v>66</v>
      </c>
      <c r="C173" s="3">
        <f t="shared" si="642"/>
        <v>16</v>
      </c>
      <c r="D173" s="3">
        <f t="shared" si="643"/>
        <v>217</v>
      </c>
      <c r="E173" s="3">
        <f t="shared" si="644"/>
        <v>299</v>
      </c>
      <c r="F173" s="4">
        <f t="shared" si="645"/>
        <v>20548.110944527732</v>
      </c>
      <c r="G173" s="5">
        <f t="shared" si="646"/>
        <v>498.07002098950528</v>
      </c>
      <c r="AM173" s="1">
        <v>3</v>
      </c>
      <c r="AN173" s="1">
        <v>-37</v>
      </c>
      <c r="AO173" s="1">
        <v>20450</v>
      </c>
      <c r="AP173" s="1">
        <v>6</v>
      </c>
      <c r="AQ173" s="1">
        <v>-252</v>
      </c>
      <c r="AS173" s="54">
        <f>IF(RTD("tos.rtd",,AS$83,"."&amp;$B$134&amp;$AS$82&amp;"C"&amp;$A173)="N/A",0,RTD("tos.rtd",,AS$83,"."&amp;$B$134&amp;$AS$82&amp;"C"&amp;$A173))</f>
        <v>66</v>
      </c>
      <c r="AT173" s="3">
        <f>-IF(RTD("tos.rtd",,AT$83,"."&amp;$B$134&amp;$AS$82&amp;"P"&amp;$A173)="N/A",0,RTD("tos.rtd",,AT$83,"."&amp;$B$134&amp;$AS$82&amp;"P"&amp;$A173))</f>
        <v>0</v>
      </c>
      <c r="AU173" s="54">
        <f>IF(RTD("tos.rtd",,AU$2,"."&amp;$C$134&amp;$AU$134&amp;"C"&amp;$A173)="N/A",0,RTD("tos.rtd",,AU$2,"."&amp;$C$134&amp;$AU$134&amp;"C"&amp;$A173))</f>
        <v>11</v>
      </c>
      <c r="AV173" s="3">
        <f>-IF(RTD("tos.rtd",,AV$2,"."&amp;$C$134&amp;$AU$134&amp;"P"&amp;$A173)="N/A",0,RTD("tos.rtd",,AV$2,"."&amp;$C$134&amp;$AU$134&amp;"P"&amp;$A173))</f>
        <v>-5</v>
      </c>
      <c r="AW173" s="54">
        <f>IF(RTD("tos.rtd",,AW$2,"."&amp;$D$134&amp;$AW$134&amp;"C"&amp;$A173)="N/A",0,RTD("tos.rtd",,AW$2,"."&amp;$D$134&amp;$AW$134&amp;"C"&amp;$A173))</f>
        <v>204</v>
      </c>
      <c r="AX173" s="3">
        <f>-IF(RTD("tos.rtd",,AX$2,"."&amp;$D$134&amp;$AW$134&amp;"P"&amp;$A173)="N/A",0,RTD("tos.rtd",,AX$2,"."&amp;$D$134&amp;$AW$134&amp;"P"&amp;$A173))</f>
        <v>-13</v>
      </c>
      <c r="AY173" s="76">
        <f t="shared" si="647"/>
        <v>263</v>
      </c>
      <c r="AZ173" s="8">
        <f t="shared" si="548"/>
        <v>20450</v>
      </c>
      <c r="BA173" s="54">
        <f>IF(RTD("tos.rtd",,BA$43,"."&amp;$B$134&amp;$AS$82&amp;"C"&amp;$A173)="N/A",0,RTD("tos.rtd",,BA$43,"."&amp;$B$134&amp;$AS$82&amp;"C"&amp;$A173))</f>
        <v>6</v>
      </c>
      <c r="BB173" s="3">
        <f>-IF(RTD("tos.rtd",,BB$43,"."&amp;$B$134&amp;$AS$82&amp;"P"&amp;$A173)="N/A",0,RTD("tos.rtd",,BB$43,"."&amp;$B$134&amp;$AS$82&amp;"P"&amp;$A173))</f>
        <v>-252</v>
      </c>
      <c r="BC173" s="54">
        <f>IF(RTD("tos.rtd",,BC$2,"."&amp;$C$134&amp;$AU$82&amp;"C"&amp;$A173)="N/A",0,RTD("tos.rtd",,BC$2,"."&amp;$C$134&amp;$AU$82&amp;"C"&amp;$A173))</f>
        <v>1</v>
      </c>
      <c r="BD173" s="3">
        <f>-IF(RTD("tos.rtd",,BD$2,"."&amp;$C$134&amp;$AU$82&amp;"P"&amp;$A173)="N/A",0,RTD("tos.rtd",,BD$2,"."&amp;$C$134&amp;$AU$82&amp;"P"&amp;$A173))</f>
        <v>-4</v>
      </c>
      <c r="BE173" s="54">
        <f>IF(RTD("tos.rtd",,BE$2,"."&amp;$D$134&amp;$AW$82&amp;"C"&amp;$A173)="N/A",0,RTD("tos.rtd",,BE$2,"."&amp;$D$134&amp;$AW$82&amp;"C"&amp;$A173))</f>
        <v>1</v>
      </c>
      <c r="BF173" s="3">
        <f>-IF(RTD("tos.rtd",,BF$2,"."&amp;$D$134&amp;$AW$82&amp;"P"&amp;$A173)="N/A",0,RTD("tos.rtd",,BF$2,"."&amp;$D$134&amp;$AW$82&amp;"P"&amp;$A173))</f>
        <v>-3</v>
      </c>
      <c r="BG173" s="3">
        <f ca="1">+Hoja2!Y174</f>
        <v>0</v>
      </c>
      <c r="BH173" s="7">
        <f t="shared" ca="1" si="549"/>
        <v>-251</v>
      </c>
      <c r="BI173" s="32" t="str">
        <f t="shared" ca="1" si="609"/>
        <v/>
      </c>
      <c r="BJ173" s="3">
        <f ca="1">IF($BP$1=1,DX173,IF(RTD("tos.rtd",,BJ$43,"."&amp;$B$134&amp;$AS$82&amp;"C"&amp;$A173)="N/A",0,RTD("tos.rtd",,BJ$43,"."&amp;$B$134&amp;$AS$82&amp;"C"&amp;$A173)))</f>
        <v>4.0857740510352481E-11</v>
      </c>
      <c r="BK173" s="3">
        <f ca="1">IF($BP$1=1,DY173,-IF(RTD("tos.rtd",,BK$43,"."&amp;$B$134&amp;$AS$82&amp;"P"&amp;$A173)="N/A",0,RTD("tos.rtd",,BK$43,"."&amp;$B$134&amp;$AS$82&amp;"P"&amp;$A173)))</f>
        <v>-5.823708868915549E-4</v>
      </c>
      <c r="BL173" s="3">
        <f ca="1">IF($BP$1=1,DZ173,IF(RTD("tos.rtd",,BL$2,"."&amp;$C$134&amp;$AU$82&amp;"C"&amp;$A173)="N/A",0,RTD("tos.rtd",,BL$2,"."&amp;$C$134&amp;$AU$82&amp;"C"&amp;$A173)))</f>
        <v>5.3344211126435815E-4</v>
      </c>
      <c r="BM173" s="3">
        <f ca="1">IF($BP$1=1,EA173,-IF(RTD("tos.rtd",,BM$2,"."&amp;$C$134&amp;$AU$82&amp;"P"&amp;$A173)="N/A",0,RTD("tos.rtd",,BM$2,"."&amp;$C$134&amp;$AU$82&amp;"P"&amp;$A173)))</f>
        <v>-5.0990346738399015E-4</v>
      </c>
      <c r="BN173" s="3">
        <f ca="1">IF($BP$1=1,EB173,IF(RTD("tos.rtd",,BN$2,"."&amp;$D$134&amp;$AW$82&amp;"C"&amp;$A173)="N/A",0,RTD("tos.rtd",,BN$2,"."&amp;$D$134&amp;$AW$82&amp;"C"&amp;$A173)))</f>
        <v>5.5770868287591193E-4</v>
      </c>
      <c r="BO173" s="3">
        <f ca="1">IF($BP$1=1,EC173,-IF(RTD("tos.rtd",,BO$2,"."&amp;$D$134&amp;$AW$82&amp;"P"&amp;$A173)="N/A",0,RTD("tos.rtd",,BO$2,"."&amp;$D$134&amp;$AW$82&amp;"P"&amp;$A173)))</f>
        <v>-5.4563869476305002E-4</v>
      </c>
      <c r="BQ173" s="3">
        <f t="shared" ca="1" si="648"/>
        <v>9.2024658798120801E-2</v>
      </c>
      <c r="BR173" s="3" t="str">
        <f t="shared" ca="1" si="550"/>
        <v/>
      </c>
      <c r="BS173" s="3">
        <f t="shared" ca="1" si="649"/>
        <v>113242.01463562188</v>
      </c>
      <c r="BT173" s="3" t="str">
        <f t="shared" ca="1" si="551"/>
        <v/>
      </c>
      <c r="BU173" s="3">
        <f t="shared" ca="1" si="650"/>
        <v>3640541.3030206678</v>
      </c>
      <c r="BV173" s="3" t="str">
        <f t="shared" ca="1" si="551"/>
        <v/>
      </c>
      <c r="BX173" s="3">
        <f t="shared" ca="1" si="585"/>
        <v>-37822.139063598799</v>
      </c>
      <c r="BY173" s="3" t="str">
        <f t="shared" ca="1" si="586"/>
        <v/>
      </c>
      <c r="BZ173" s="3">
        <f t="shared" ca="1" si="587"/>
        <v>-388.1685907678808</v>
      </c>
      <c r="CA173" s="3" t="str">
        <f t="shared" ca="1" si="586"/>
        <v/>
      </c>
      <c r="CB173" s="3">
        <f t="shared" ca="1" si="588"/>
        <v>-278.13190218993736</v>
      </c>
      <c r="CC173" s="3" t="str">
        <f t="shared" ca="1" si="586"/>
        <v/>
      </c>
      <c r="CD173" s="3">
        <f>IF(RTD("tos.rtd",,CD$43,"."&amp;$B$134&amp;$AS$82&amp;"C"&amp;$A173)="N/A",0,RTD("tos.rtd",,CD$43,"."&amp;$B$134&amp;$AS$82&amp;"C"&amp;$A173))</f>
        <v>1</v>
      </c>
      <c r="CE173" s="3">
        <f>-IF(RTD("tos.rtd",,CE$43,"."&amp;$B$134&amp;$AS$82&amp;"P"&amp;$A173)="N/A",0,RTD("tos.rtd",,CE$43,"."&amp;$B$134&amp;$AS$82&amp;"P"&amp;$A173))</f>
        <v>7.0000000000000007E-2</v>
      </c>
      <c r="CF173" s="3">
        <f>IF(RTD("tos.rtd",,CF$2,"."&amp;$C$134&amp;$AU$82&amp;"C"&amp;$A173)="N/A",0,RTD("tos.rtd",,CF$2,"."&amp;$C$134&amp;$AU$82&amp;"C"&amp;$A173))</f>
        <v>0.82</v>
      </c>
      <c r="CG173" s="3">
        <f>-IF(RTD("tos.rtd",,CG$2,"."&amp;$C$134&amp;$AU$82&amp;"P"&amp;$A173)="N/A",0,RTD("tos.rtd",,CG$2,"."&amp;$C$134&amp;$AU$82&amp;"P"&amp;$A173))</f>
        <v>0.2</v>
      </c>
      <c r="CH173" s="3">
        <f>IF(RTD("tos.rtd",,CH$2,"."&amp;$D$134&amp;$AW$82&amp;"C"&amp;$A173)="N/A",0,RTD("tos.rtd",,CH$2,"."&amp;$D$134&amp;$AW$82&amp;"C"&amp;$A173))</f>
        <v>0.66</v>
      </c>
      <c r="CI173" s="3">
        <f>-IF(RTD("tos.rtd",,CI$2,"."&amp;$D$134&amp;$AW$82&amp;"P"&amp;$A173)="N/A",0,RTD("tos.rtd",,CI$2,"."&amp;$D$134&amp;$AW$82&amp;"P"&amp;$A173))</f>
        <v>0.35</v>
      </c>
      <c r="CK173" s="3">
        <f t="shared" si="651"/>
        <v>6600</v>
      </c>
      <c r="CL173" s="3"/>
      <c r="CM173" s="3">
        <f t="shared" si="652"/>
        <v>802</v>
      </c>
      <c r="CN173" s="3"/>
      <c r="CO173" s="3">
        <f t="shared" si="653"/>
        <v>13009.000000000002</v>
      </c>
      <c r="CP173" s="3">
        <f t="shared" si="542"/>
        <v>20411</v>
      </c>
      <c r="CQ173" s="3">
        <f t="shared" si="552"/>
        <v>-246</v>
      </c>
      <c r="CR173" s="3"/>
      <c r="CS173" s="3">
        <f t="shared" si="553"/>
        <v>-3</v>
      </c>
      <c r="CT173" s="3"/>
      <c r="CU173" s="3">
        <f t="shared" si="554"/>
        <v>-2</v>
      </c>
      <c r="CV173" s="3"/>
      <c r="CW173" s="3">
        <f t="shared" ca="1" si="555"/>
        <v>3753783.4096809486</v>
      </c>
      <c r="CY173" s="3">
        <f t="shared" ca="1" si="556"/>
        <v>-38488.439556556623</v>
      </c>
      <c r="CZ173" s="70" t="str">
        <f t="shared" ca="1" si="589"/>
        <v/>
      </c>
      <c r="DA173" s="3">
        <f>IF(RTD("tos.rtd",,DA$43,"."&amp;$B$134&amp;$AS$82&amp;"C"&amp;$A173)="N/A",0,RTD("tos.rtd",,DA$43,"."&amp;$B$134&amp;$AS$82&amp;"C"&amp;$A173))</f>
        <v>370.3</v>
      </c>
      <c r="DB173" s="3">
        <f>IF(RTD("tos.rtd",,DB$43,"."&amp;$B$134&amp;$AS$82&amp;"P"&amp;$A173)="N/A",0,RTD("tos.rtd",,DB$43,"."&amp;$B$134&amp;$AS$82&amp;"P"&amp;$A173))</f>
        <v>0.05</v>
      </c>
      <c r="DC173" s="3">
        <f>IF(RTD("tos.rtd",,DC$43,"."&amp;$B$134&amp;$AS$82&amp;"C"&amp;$A173)="N/A",0,RTD("tos.rtd",,DC$43,"."&amp;$B$134&amp;$AS$82&amp;"C"&amp;$A173))</f>
        <v>437.5</v>
      </c>
      <c r="DD173" s="3">
        <f>IF(RTD("tos.rtd",,DD$43,"."&amp;$B$134&amp;$AS$82&amp;"P"&amp;$A173)="N/A",0,RTD("tos.rtd",,DD$43,"."&amp;$B$134&amp;$AS$82&amp;"P"&amp;$A173))</f>
        <v>19.8</v>
      </c>
      <c r="DE173" s="3">
        <f>IF(RTD("tos.rtd",,DE$43,"."&amp;$B$134&amp;$AS$82&amp;"C"&amp;$A173)="N/A",0,RTD("tos.rtd",,DE$43,"."&amp;$B$134&amp;$AS$82&amp;"C"&amp;$A173))</f>
        <v>387.5</v>
      </c>
      <c r="DF173" s="3">
        <f>IF(RTD("tos.rtd",,DF$43,"."&amp;$B$134&amp;$AS$82&amp;"P"&amp;$A173)="N/A",0,RTD("tos.rtd",,DF$43,"."&amp;$B$134&amp;$AS$82&amp;"P"&amp;$A173))</f>
        <v>0</v>
      </c>
      <c r="DG173" s="86">
        <f t="shared" si="590"/>
        <v>-393.75</v>
      </c>
      <c r="DH173" s="3">
        <f t="shared" si="557"/>
        <v>0</v>
      </c>
      <c r="DI173" s="3">
        <f t="shared" si="558"/>
        <v>0</v>
      </c>
      <c r="DJ173" s="3">
        <f t="shared" si="559"/>
        <v>0</v>
      </c>
      <c r="DK173" s="3">
        <f t="shared" si="560"/>
        <v>0</v>
      </c>
      <c r="DL173" s="3">
        <f t="shared" si="561"/>
        <v>0</v>
      </c>
      <c r="DM173" s="3">
        <f t="shared" si="562"/>
        <v>0</v>
      </c>
      <c r="DN173" s="64" t="str">
        <f t="shared" si="563"/>
        <v>UNKNOWN</v>
      </c>
      <c r="DO173" s="64" t="str">
        <f t="shared" si="564"/>
        <v>UNKNOWN</v>
      </c>
      <c r="DP173" s="3">
        <f t="shared" si="565"/>
        <v>0</v>
      </c>
      <c r="DQ173" s="3">
        <f t="shared" si="566"/>
        <v>0</v>
      </c>
      <c r="DR173" s="3">
        <f t="shared" ca="1" si="567"/>
        <v>0</v>
      </c>
      <c r="DS173" s="3">
        <f t="shared" si="568"/>
        <v>0</v>
      </c>
      <c r="DT173" s="3">
        <f t="shared" si="591"/>
        <v>0</v>
      </c>
      <c r="DU173" s="3">
        <f t="shared" si="592"/>
        <v>0</v>
      </c>
      <c r="DV173" s="3">
        <f t="shared" si="569"/>
        <v>3</v>
      </c>
      <c r="DW173" s="3">
        <f t="shared" si="570"/>
        <v>-37</v>
      </c>
      <c r="DX173" s="3">
        <f t="shared" ca="1" si="654"/>
        <v>4.0857740510352481E-11</v>
      </c>
      <c r="DY173" s="3">
        <f t="shared" ca="1" si="655"/>
        <v>-5.823708868915549E-4</v>
      </c>
      <c r="DZ173" s="3">
        <f t="shared" ca="1" si="656"/>
        <v>5.3344211126435815E-4</v>
      </c>
      <c r="EA173" s="3">
        <f t="shared" ca="1" si="657"/>
        <v>-5.0990346738399015E-4</v>
      </c>
      <c r="EB173" s="3">
        <f t="shared" ca="1" si="658"/>
        <v>5.5770868287591193E-4</v>
      </c>
      <c r="EC173" s="3">
        <f t="shared" ca="1" si="659"/>
        <v>-5.4563869476305002E-4</v>
      </c>
      <c r="ED173" s="63">
        <f t="shared" si="593"/>
        <v>-34</v>
      </c>
      <c r="EE173" s="59">
        <f t="shared" si="577"/>
        <v>0.25</v>
      </c>
      <c r="EF173" s="59">
        <f t="shared" si="578"/>
        <v>1.8684000000000001</v>
      </c>
      <c r="EG173" s="59">
        <f t="shared" si="579"/>
        <v>0.2223</v>
      </c>
      <c r="EH173" s="59">
        <f t="shared" si="580"/>
        <v>0.2422</v>
      </c>
      <c r="EI173" s="59">
        <f t="shared" si="581"/>
        <v>0.20030000000000001</v>
      </c>
      <c r="EJ173" s="59">
        <f t="shared" si="582"/>
        <v>0.21160000000000001</v>
      </c>
      <c r="EK173" s="63">
        <f t="shared" ca="1" si="594"/>
        <v>9361664.9511410799</v>
      </c>
      <c r="EL173" s="3" t="str">
        <f>RTD("tos.rtd",,EL$43,"."&amp;$B$134&amp;$AS$82&amp;"C"&amp;$A173)</f>
        <v>--</v>
      </c>
      <c r="EM173" s="3" t="str">
        <f>RTD("tos.rtd",,EM$43,"."&amp;$B$134&amp;$AS$82&amp;"P"&amp;$A173)</f>
        <v>186.84%</v>
      </c>
      <c r="EN173" s="3" t="str">
        <f>RTD("tos.rtd",,EN$2,"."&amp;$C$134&amp;$AU$82&amp;"C"&amp;$A173)</f>
        <v>22.23%</v>
      </c>
      <c r="EO173" s="3" t="str">
        <f>RTD("tos.rtd",,EO$2,"."&amp;$C$134&amp;$AU$82&amp;"P"&amp;$A173)</f>
        <v>24.22%</v>
      </c>
      <c r="EP173" s="3" t="str">
        <f>RTD("tos.rtd",,EP$2,"."&amp;$D$134&amp;$AW$82&amp;"C"&amp;$A173)</f>
        <v>20.03%</v>
      </c>
      <c r="EQ173" s="3" t="str">
        <f>RTD("tos.rtd",,EQ$2,"."&amp;$D$134&amp;$AW$82&amp;"P"&amp;$A173)</f>
        <v>21.16%</v>
      </c>
      <c r="ES173" s="63" t="str">
        <f t="shared" si="583"/>
        <v>20450,-34.00</v>
      </c>
      <c r="ET173" s="63" t="str">
        <f t="shared" ca="1" si="584"/>
        <v>20450,-38.49</v>
      </c>
      <c r="EU173" s="68">
        <v>572.23</v>
      </c>
      <c r="EV173" s="68" t="s">
        <v>1403</v>
      </c>
      <c r="EW173" s="68">
        <v>497.54</v>
      </c>
      <c r="EX173" s="68" t="s">
        <v>1404</v>
      </c>
      <c r="EY173" s="68">
        <v>5732.25</v>
      </c>
      <c r="EZ173" s="68" t="s">
        <v>1405</v>
      </c>
      <c r="FA173" s="68">
        <v>20427</v>
      </c>
      <c r="FB173" s="68" t="s">
        <v>1406</v>
      </c>
      <c r="FC173" s="68" t="s">
        <v>1407</v>
      </c>
      <c r="FD173" s="68" t="s">
        <v>1408</v>
      </c>
      <c r="FE173" s="68" t="s">
        <v>1409</v>
      </c>
      <c r="FF173" s="68" t="s">
        <v>1410</v>
      </c>
    </row>
    <row r="174" spans="1:162" ht="11.1" customHeight="1" thickBot="1" x14ac:dyDescent="0.25">
      <c r="A174" s="2">
        <f t="shared" si="595"/>
        <v>20425</v>
      </c>
      <c r="B174" s="3">
        <f t="shared" si="641"/>
        <v>13</v>
      </c>
      <c r="C174" s="3">
        <f t="shared" si="642"/>
        <v>67</v>
      </c>
      <c r="D174" s="3">
        <f t="shared" si="643"/>
        <v>29</v>
      </c>
      <c r="E174" s="3">
        <f t="shared" si="644"/>
        <v>109</v>
      </c>
      <c r="F174" s="4">
        <f t="shared" si="645"/>
        <v>20522.991004497748</v>
      </c>
      <c r="G174" s="5">
        <f t="shared" si="646"/>
        <v>497.46113343328341</v>
      </c>
      <c r="AM174" s="1">
        <v>0</v>
      </c>
      <c r="AN174" s="1">
        <v>-35</v>
      </c>
      <c r="AO174" s="1">
        <v>20425</v>
      </c>
      <c r="AP174" s="1">
        <v>0</v>
      </c>
      <c r="AQ174" s="1">
        <v>-103</v>
      </c>
      <c r="AS174" s="54">
        <f>IF(RTD("tos.rtd",,AS$83,"."&amp;$B$134&amp;$AS$82&amp;"C"&amp;$A174)="N/A",0,RTD("tos.rtd",,AS$83,"."&amp;$B$134&amp;$AS$82&amp;"C"&amp;$A174))</f>
        <v>13</v>
      </c>
      <c r="AT174" s="3">
        <f>-IF(RTD("tos.rtd",,AT$83,"."&amp;$B$134&amp;$AS$82&amp;"P"&amp;$A174)="N/A",0,RTD("tos.rtd",,AT$83,"."&amp;$B$134&amp;$AS$82&amp;"P"&amp;$A174))</f>
        <v>0</v>
      </c>
      <c r="AU174" s="54">
        <f>IF(RTD("tos.rtd",,AU$2,"."&amp;$C$134&amp;$AU$134&amp;"C"&amp;$A174)="N/A",0,RTD("tos.rtd",,AU$2,"."&amp;$C$134&amp;$AU$134&amp;"C"&amp;$A174))</f>
        <v>23</v>
      </c>
      <c r="AV174" s="3">
        <f>-IF(RTD("tos.rtd",,AV$2,"."&amp;$C$134&amp;$AU$134&amp;"P"&amp;$A174)="N/A",0,RTD("tos.rtd",,AV$2,"."&amp;$C$134&amp;$AU$134&amp;"P"&amp;$A174))</f>
        <v>-44</v>
      </c>
      <c r="AW174" s="54">
        <f>IF(RTD("tos.rtd",,AW$2,"."&amp;$D$134&amp;$AW$134&amp;"C"&amp;$A174)="N/A",0,RTD("tos.rtd",,AW$2,"."&amp;$D$134&amp;$AW$134&amp;"C"&amp;$A174))</f>
        <v>23</v>
      </c>
      <c r="AX174" s="3">
        <f>-IF(RTD("tos.rtd",,AX$2,"."&amp;$D$134&amp;$AW$134&amp;"P"&amp;$A174)="N/A",0,RTD("tos.rtd",,AX$2,"."&amp;$D$134&amp;$AW$134&amp;"P"&amp;$A174))</f>
        <v>-6</v>
      </c>
      <c r="AY174" s="76">
        <f t="shared" si="647"/>
        <v>9</v>
      </c>
      <c r="AZ174" s="8">
        <f t="shared" si="548"/>
        <v>20425</v>
      </c>
      <c r="BA174" s="54">
        <f>IF(RTD("tos.rtd",,BA$43,"."&amp;$B$134&amp;$AS$82&amp;"C"&amp;$A174)="N/A",0,RTD("tos.rtd",,BA$43,"."&amp;$B$134&amp;$AS$82&amp;"C"&amp;$A174))</f>
        <v>0</v>
      </c>
      <c r="BB174" s="3">
        <f>-IF(RTD("tos.rtd",,BB$43,"."&amp;$B$134&amp;$AS$82&amp;"P"&amp;$A174)="N/A",0,RTD("tos.rtd",,BB$43,"."&amp;$B$134&amp;$AS$82&amp;"P"&amp;$A174))</f>
        <v>-103</v>
      </c>
      <c r="BC174" s="54">
        <f>IF(RTD("tos.rtd",,BC$2,"."&amp;$C$134&amp;$AU$82&amp;"C"&amp;$A174)="N/A",0,RTD("tos.rtd",,BC$2,"."&amp;$C$134&amp;$AU$82&amp;"C"&amp;$A174))</f>
        <v>3</v>
      </c>
      <c r="BD174" s="3">
        <f>-IF(RTD("tos.rtd",,BD$2,"."&amp;$C$134&amp;$AU$82&amp;"P"&amp;$A174)="N/A",0,RTD("tos.rtd",,BD$2,"."&amp;$C$134&amp;$AU$82&amp;"P"&amp;$A174))</f>
        <v>-17</v>
      </c>
      <c r="BE174" s="54">
        <f>IF(RTD("tos.rtd",,BE$2,"."&amp;$D$134&amp;$AW$82&amp;"C"&amp;$A174)="N/A",0,RTD("tos.rtd",,BE$2,"."&amp;$D$134&amp;$AW$82&amp;"C"&amp;$A174))</f>
        <v>0</v>
      </c>
      <c r="BF174" s="3">
        <f>-IF(RTD("tos.rtd",,BF$2,"."&amp;$D$134&amp;$AW$82&amp;"P"&amp;$A174)="N/A",0,RTD("tos.rtd",,BF$2,"."&amp;$D$134&amp;$AW$82&amp;"P"&amp;$A174))</f>
        <v>-2</v>
      </c>
      <c r="BG174" s="3">
        <f ca="1">+Hoja2!Y175</f>
        <v>-1</v>
      </c>
      <c r="BH174" s="7">
        <f t="shared" ca="1" si="549"/>
        <v>-120</v>
      </c>
      <c r="BI174" s="32" t="str">
        <f t="shared" ca="1" si="609"/>
        <v/>
      </c>
      <c r="BJ174" s="3">
        <f ca="1">IF($BP$1=1,DX174,IF(RTD("tos.rtd",,BJ$43,"."&amp;$B$134&amp;$AS$82&amp;"C"&amp;$A174)="N/A",0,RTD("tos.rtd",,BJ$43,"."&amp;$B$134&amp;$AS$82&amp;"C"&amp;$A174)))</f>
        <v>3.3823127433444304E-12</v>
      </c>
      <c r="BK174" s="3">
        <f ca="1">IF($BP$1=1,DY174,-IF(RTD("tos.rtd",,BK$43,"."&amp;$B$134&amp;$AS$82&amp;"P"&amp;$A174)="N/A",0,RTD("tos.rtd",,BK$43,"."&amp;$B$134&amp;$AS$82&amp;"P"&amp;$A174)))</f>
        <v>-5.4990667110754591E-4</v>
      </c>
      <c r="BL174" s="3">
        <f ca="1">IF($BP$1=1,DZ174,IF(RTD("tos.rtd",,BL$2,"."&amp;$C$134&amp;$AU$82&amp;"C"&amp;$A174)="N/A",0,RTD("tos.rtd",,BL$2,"."&amp;$C$134&amp;$AU$82&amp;"C"&amp;$A174)))</f>
        <v>5.1879625240074871E-4</v>
      </c>
      <c r="BM174" s="3">
        <f ca="1">IF($BP$1=1,EA174,-IF(RTD("tos.rtd",,BM$2,"."&amp;$C$134&amp;$AU$82&amp;"P"&amp;$A174)="N/A",0,RTD("tos.rtd",,BM$2,"."&amp;$C$134&amp;$AU$82&amp;"P"&amp;$A174)))</f>
        <v>-4.943699597965539E-4</v>
      </c>
      <c r="BN174" s="3">
        <f ca="1">IF($BP$1=1,EB174,IF(RTD("tos.rtd",,BN$2,"."&amp;$D$134&amp;$AW$82&amp;"C"&amp;$A174)="N/A",0,RTD("tos.rtd",,BN$2,"."&amp;$D$134&amp;$AW$82&amp;"C"&amp;$A174)))</f>
        <v>5.3440764636212559E-4</v>
      </c>
      <c r="BO174" s="3">
        <f ca="1">IF($BP$1=1,EC174,-IF(RTD("tos.rtd",,BO$2,"."&amp;$D$134&amp;$AW$82&amp;"P"&amp;$A174)="N/A",0,RTD("tos.rtd",,BO$2,"."&amp;$D$134&amp;$AW$82&amp;"P"&amp;$A174)))</f>
        <v>-5.2518160192820975E-4</v>
      </c>
      <c r="BQ174" s="3">
        <f t="shared" ca="1" si="648"/>
        <v>1.5005243542927889E-3</v>
      </c>
      <c r="BR174" s="3" t="str">
        <f t="shared" ca="1" si="550"/>
        <v/>
      </c>
      <c r="BS174" s="3">
        <f t="shared" ca="1" si="649"/>
        <v>-335116.52886813198</v>
      </c>
      <c r="BT174" s="3" t="str">
        <f t="shared" ca="1" si="551"/>
        <v>Cruce -</v>
      </c>
      <c r="BU174" s="3">
        <f t="shared" ca="1" si="650"/>
        <v>311921.80233350396</v>
      </c>
      <c r="BV174" s="3" t="str">
        <f t="shared" ca="1" si="551"/>
        <v/>
      </c>
      <c r="BX174" s="3">
        <f t="shared" ca="1" si="585"/>
        <v>-14597.285555088478</v>
      </c>
      <c r="BY174" s="3" t="str">
        <f t="shared" ca="1" si="586"/>
        <v/>
      </c>
      <c r="BZ174" s="3">
        <f t="shared" ca="1" si="587"/>
        <v>-1764.83186279339</v>
      </c>
      <c r="CA174" s="3" t="str">
        <f t="shared" ca="1" si="586"/>
        <v/>
      </c>
      <c r="CB174" s="3">
        <f t="shared" ca="1" si="588"/>
        <v>-270.69821379684925</v>
      </c>
      <c r="CC174" s="3" t="str">
        <f t="shared" ca="1" si="586"/>
        <v/>
      </c>
      <c r="CD174" s="3">
        <f>IF(RTD("tos.rtd",,CD$43,"."&amp;$B$134&amp;$AS$82&amp;"C"&amp;$A174)="N/A",0,RTD("tos.rtd",,CD$43,"."&amp;$B$134&amp;$AS$82&amp;"C"&amp;$A174))</f>
        <v>1</v>
      </c>
      <c r="CE174" s="3">
        <f>-IF(RTD("tos.rtd",,CE$43,"."&amp;$B$134&amp;$AS$82&amp;"P"&amp;$A174)="N/A",0,RTD("tos.rtd",,CE$43,"."&amp;$B$134&amp;$AS$82&amp;"P"&amp;$A174))</f>
        <v>7.0000000000000007E-2</v>
      </c>
      <c r="CF174" s="3">
        <f>IF(RTD("tos.rtd",,CF$2,"."&amp;$C$134&amp;$AU$82&amp;"C"&amp;$A174)="N/A",0,RTD("tos.rtd",,CF$2,"."&amp;$C$134&amp;$AU$82&amp;"C"&amp;$A174))</f>
        <v>0.84</v>
      </c>
      <c r="CG174" s="3">
        <f>-IF(RTD("tos.rtd",,CG$2,"."&amp;$C$134&amp;$AU$82&amp;"P"&amp;$A174)="N/A",0,RTD("tos.rtd",,CG$2,"."&amp;$C$134&amp;$AU$82&amp;"P"&amp;$A174))</f>
        <v>0.18</v>
      </c>
      <c r="CH174" s="3">
        <f>IF(RTD("tos.rtd",,CH$2,"."&amp;$D$134&amp;$AW$82&amp;"C"&amp;$A174)="N/A",0,RTD("tos.rtd",,CH$2,"."&amp;$D$134&amp;$AW$82&amp;"C"&amp;$A174))</f>
        <v>0.67</v>
      </c>
      <c r="CI174" s="3">
        <f>-IF(RTD("tos.rtd",,CI$2,"."&amp;$D$134&amp;$AW$82&amp;"P"&amp;$A174)="N/A",0,RTD("tos.rtd",,CI$2,"."&amp;$D$134&amp;$AW$82&amp;"P"&amp;$A174))</f>
        <v>0.34</v>
      </c>
      <c r="CK174" s="3">
        <f t="shared" si="651"/>
        <v>1300</v>
      </c>
      <c r="CL174" s="3"/>
      <c r="CM174" s="3">
        <f t="shared" si="652"/>
        <v>1140</v>
      </c>
      <c r="CN174" s="3"/>
      <c r="CO174" s="3">
        <f t="shared" si="653"/>
        <v>1337</v>
      </c>
      <c r="CP174" s="3">
        <f t="shared" si="542"/>
        <v>3777</v>
      </c>
      <c r="CQ174" s="3">
        <f t="shared" si="552"/>
        <v>-103</v>
      </c>
      <c r="CR174" s="3"/>
      <c r="CS174" s="3">
        <f t="shared" si="553"/>
        <v>-14</v>
      </c>
      <c r="CT174" s="3"/>
      <c r="CU174" s="3">
        <f t="shared" si="554"/>
        <v>-2</v>
      </c>
      <c r="CV174" s="3"/>
      <c r="CW174" s="3">
        <f t="shared" ca="1" si="555"/>
        <v>-23194.725034103671</v>
      </c>
      <c r="CY174" s="3">
        <f t="shared" ca="1" si="556"/>
        <v>-16632.815631678717</v>
      </c>
      <c r="CZ174" s="70" t="str">
        <f t="shared" ca="1" si="589"/>
        <v/>
      </c>
      <c r="DA174" s="3">
        <f>IF(RTD("tos.rtd",,DA$43,"."&amp;$B$134&amp;$AS$82&amp;"C"&amp;$A174)="N/A",0,RTD("tos.rtd",,DA$43,"."&amp;$B$134&amp;$AS$82&amp;"C"&amp;$A174))</f>
        <v>39.15</v>
      </c>
      <c r="DB174" s="3">
        <f>IF(RTD("tos.rtd",,DB$43,"."&amp;$B$134&amp;$AS$82&amp;"P"&amp;$A174)="N/A",0,RTD("tos.rtd",,DB$43,"."&amp;$B$134&amp;$AS$82&amp;"P"&amp;$A174))</f>
        <v>0.55000000000000004</v>
      </c>
      <c r="DC174" s="3">
        <f>IF(RTD("tos.rtd",,DC$43,"."&amp;$B$134&amp;$AS$82&amp;"C"&amp;$A174)="N/A",0,RTD("tos.rtd",,DC$43,"."&amp;$B$134&amp;$AS$82&amp;"C"&amp;$A174))</f>
        <v>462.5</v>
      </c>
      <c r="DD174" s="3">
        <f>IF(RTD("tos.rtd",,DD$43,"."&amp;$B$134&amp;$AS$82&amp;"P"&amp;$A174)="N/A",0,RTD("tos.rtd",,DD$43,"."&amp;$B$134&amp;$AS$82&amp;"P"&amp;$A174))</f>
        <v>19.8</v>
      </c>
      <c r="DE174" s="3">
        <f>IF(RTD("tos.rtd",,DE$43,"."&amp;$B$134&amp;$AS$82&amp;"C"&amp;$A174)="N/A",0,RTD("tos.rtd",,DE$43,"."&amp;$B$134&amp;$AS$82&amp;"C"&amp;$A174))</f>
        <v>412.5</v>
      </c>
      <c r="DF174" s="3">
        <f>IF(RTD("tos.rtd",,DF$43,"."&amp;$B$134&amp;$AS$82&amp;"P"&amp;$A174)="N/A",0,RTD("tos.rtd",,DF$43,"."&amp;$B$134&amp;$AS$82&amp;"P"&amp;$A174))</f>
        <v>0</v>
      </c>
      <c r="DG174" s="86">
        <f t="shared" si="590"/>
        <v>-418.75</v>
      </c>
      <c r="DH174" s="3">
        <f t="shared" si="557"/>
        <v>0</v>
      </c>
      <c r="DI174" s="3">
        <f t="shared" si="558"/>
        <v>0</v>
      </c>
      <c r="DJ174" s="3">
        <f t="shared" si="559"/>
        <v>0</v>
      </c>
      <c r="DK174" s="3">
        <f t="shared" si="560"/>
        <v>0</v>
      </c>
      <c r="DL174" s="3">
        <f t="shared" si="561"/>
        <v>0</v>
      </c>
      <c r="DM174" s="3">
        <f t="shared" si="562"/>
        <v>0</v>
      </c>
      <c r="DN174" s="64" t="str">
        <f t="shared" si="563"/>
        <v>UNKNOWN</v>
      </c>
      <c r="DO174" s="64" t="str">
        <f t="shared" si="564"/>
        <v>UNKNOWN</v>
      </c>
      <c r="DP174" s="3">
        <f t="shared" si="565"/>
        <v>0</v>
      </c>
      <c r="DQ174" s="3">
        <f t="shared" si="566"/>
        <v>0</v>
      </c>
      <c r="DR174" s="3">
        <f t="shared" ca="1" si="567"/>
        <v>0</v>
      </c>
      <c r="DS174" s="3">
        <f t="shared" si="568"/>
        <v>0</v>
      </c>
      <c r="DT174" s="3">
        <f t="shared" si="591"/>
        <v>0</v>
      </c>
      <c r="DU174" s="3">
        <f t="shared" si="592"/>
        <v>0</v>
      </c>
      <c r="DV174" s="3">
        <f t="shared" si="569"/>
        <v>0</v>
      </c>
      <c r="DW174" s="3">
        <f t="shared" si="570"/>
        <v>-35</v>
      </c>
      <c r="DX174" s="3">
        <f t="shared" ca="1" si="654"/>
        <v>3.3823127433444304E-12</v>
      </c>
      <c r="DY174" s="3">
        <f t="shared" ca="1" si="655"/>
        <v>-5.4990667110754591E-4</v>
      </c>
      <c r="DZ174" s="3">
        <f t="shared" ca="1" si="656"/>
        <v>5.1879625240074871E-4</v>
      </c>
      <c r="EA174" s="3">
        <f t="shared" ca="1" si="657"/>
        <v>-4.943699597965539E-4</v>
      </c>
      <c r="EB174" s="3">
        <f t="shared" ca="1" si="658"/>
        <v>5.3440764636212559E-4</v>
      </c>
      <c r="EC174" s="3">
        <f t="shared" ca="1" si="659"/>
        <v>-5.2518160192820975E-4</v>
      </c>
      <c r="ED174" s="63">
        <f t="shared" si="593"/>
        <v>-35</v>
      </c>
      <c r="EE174" s="59">
        <f t="shared" si="577"/>
        <v>0.25</v>
      </c>
      <c r="EF174" s="59">
        <f t="shared" si="578"/>
        <v>1.9542999999999999</v>
      </c>
      <c r="EG174" s="59">
        <f t="shared" si="579"/>
        <v>0.21920000000000001</v>
      </c>
      <c r="EH174" s="59">
        <f t="shared" si="580"/>
        <v>0.24340000000000001</v>
      </c>
      <c r="EI174" s="59">
        <f t="shared" si="581"/>
        <v>0.20130000000000001</v>
      </c>
      <c r="EJ174" s="59">
        <f t="shared" si="582"/>
        <v>0.21229999999999999</v>
      </c>
      <c r="EK174" s="63">
        <f t="shared" ca="1" si="594"/>
        <v>8361972.6709792716</v>
      </c>
      <c r="EL174" s="3" t="str">
        <f>RTD("tos.rtd",,EL$43,"."&amp;$B$134&amp;$AS$82&amp;"C"&amp;$A174)</f>
        <v>--</v>
      </c>
      <c r="EM174" s="3" t="str">
        <f>RTD("tos.rtd",,EM$43,"."&amp;$B$134&amp;$AS$82&amp;"P"&amp;$A174)</f>
        <v>195.43%</v>
      </c>
      <c r="EN174" s="3" t="str">
        <f>RTD("tos.rtd",,EN$2,"."&amp;$C$134&amp;$AU$82&amp;"C"&amp;$A174)</f>
        <v>21.92%</v>
      </c>
      <c r="EO174" s="3" t="str">
        <f>RTD("tos.rtd",,EO$2,"."&amp;$C$134&amp;$AU$82&amp;"P"&amp;$A174)</f>
        <v>24.34%</v>
      </c>
      <c r="EP174" s="3" t="str">
        <f>RTD("tos.rtd",,EP$2,"."&amp;$D$134&amp;$AW$82&amp;"C"&amp;$A174)</f>
        <v>20.13%</v>
      </c>
      <c r="EQ174" s="3" t="str">
        <f>RTD("tos.rtd",,EQ$2,"."&amp;$D$134&amp;$AW$82&amp;"P"&amp;$A174)</f>
        <v>21.23%</v>
      </c>
      <c r="ES174" s="63" t="str">
        <f t="shared" si="583"/>
        <v>20425,-35.00</v>
      </c>
      <c r="ET174" s="63" t="str">
        <f t="shared" ca="1" si="584"/>
        <v>20425,-16.63</v>
      </c>
      <c r="EU174" s="68">
        <v>572.23</v>
      </c>
      <c r="EV174" s="68" t="s">
        <v>1411</v>
      </c>
      <c r="EW174" s="68">
        <v>497.54</v>
      </c>
      <c r="EX174" s="68" t="s">
        <v>1412</v>
      </c>
      <c r="EY174" s="68">
        <v>5732.25</v>
      </c>
      <c r="EZ174" s="68" t="s">
        <v>1413</v>
      </c>
      <c r="FA174" s="68">
        <v>20427.5</v>
      </c>
      <c r="FB174" s="68" t="s">
        <v>1414</v>
      </c>
      <c r="FC174" s="68" t="s">
        <v>1415</v>
      </c>
      <c r="FD174" s="68" t="s">
        <v>1416</v>
      </c>
      <c r="FE174" s="68" t="s">
        <v>1417</v>
      </c>
      <c r="FF174" s="68" t="s">
        <v>1418</v>
      </c>
    </row>
    <row r="175" spans="1:162" ht="11.1" customHeight="1" thickBot="1" x14ac:dyDescent="0.25">
      <c r="A175" s="2">
        <f t="shared" si="595"/>
        <v>20400</v>
      </c>
      <c r="B175" s="3">
        <f t="shared" si="641"/>
        <v>123</v>
      </c>
      <c r="C175" s="3">
        <f t="shared" si="642"/>
        <v>159</v>
      </c>
      <c r="D175" s="3">
        <f t="shared" si="643"/>
        <v>62</v>
      </c>
      <c r="E175" s="3">
        <f t="shared" si="644"/>
        <v>344</v>
      </c>
      <c r="F175" s="4">
        <f t="shared" si="645"/>
        <v>20497.871064467763</v>
      </c>
      <c r="G175" s="5">
        <f t="shared" si="646"/>
        <v>496.85224587706148</v>
      </c>
      <c r="AM175" s="1">
        <v>11</v>
      </c>
      <c r="AN175" s="1">
        <v>-56</v>
      </c>
      <c r="AO175" s="1">
        <v>20400</v>
      </c>
      <c r="AP175" s="1">
        <v>21</v>
      </c>
      <c r="AQ175" s="1">
        <v>-382</v>
      </c>
      <c r="AS175" s="54">
        <f>IF(RTD("tos.rtd",,AS$83,"."&amp;$B$134&amp;$AS$82&amp;"C"&amp;$A175)="N/A",0,RTD("tos.rtd",,AS$83,"."&amp;$B$134&amp;$AS$82&amp;"C"&amp;$A175))</f>
        <v>121</v>
      </c>
      <c r="AT175" s="3">
        <f>-IF(RTD("tos.rtd",,AT$83,"."&amp;$B$134&amp;$AS$82&amp;"P"&amp;$A175)="N/A",0,RTD("tos.rtd",,AT$83,"."&amp;$B$134&amp;$AS$82&amp;"P"&amp;$A175))</f>
        <v>-2</v>
      </c>
      <c r="AU175" s="54">
        <f>IF(RTD("tos.rtd",,AU$2,"."&amp;$C$134&amp;$AU$134&amp;"C"&amp;$A175)="N/A",0,RTD("tos.rtd",,AU$2,"."&amp;$C$134&amp;$AU$134&amp;"C"&amp;$A175))</f>
        <v>64</v>
      </c>
      <c r="AV175" s="3">
        <f>-IF(RTD("tos.rtd",,AV$2,"."&amp;$C$134&amp;$AU$134&amp;"P"&amp;$A175)="N/A",0,RTD("tos.rtd",,AV$2,"."&amp;$C$134&amp;$AU$134&amp;"P"&amp;$A175))</f>
        <v>-95</v>
      </c>
      <c r="AW175" s="54">
        <f>IF(RTD("tos.rtd",,AW$2,"."&amp;$D$134&amp;$AW$134&amp;"C"&amp;$A175)="N/A",0,RTD("tos.rtd",,AW$2,"."&amp;$D$134&amp;$AW$134&amp;"C"&amp;$A175))</f>
        <v>30</v>
      </c>
      <c r="AX175" s="3">
        <f>-IF(RTD("tos.rtd",,AX$2,"."&amp;$D$134&amp;$AW$134&amp;"P"&amp;$A175)="N/A",0,RTD("tos.rtd",,AX$2,"."&amp;$D$134&amp;$AW$134&amp;"P"&amp;$A175))</f>
        <v>-32</v>
      </c>
      <c r="AY175" s="76">
        <f t="shared" si="647"/>
        <v>86</v>
      </c>
      <c r="AZ175" s="8">
        <f t="shared" si="548"/>
        <v>20400</v>
      </c>
      <c r="BA175" s="54">
        <f>IF(RTD("tos.rtd",,BA$43,"."&amp;$B$134&amp;$AS$82&amp;"C"&amp;$A175)="N/A",0,RTD("tos.rtd",,BA$43,"."&amp;$B$134&amp;$AS$82&amp;"C"&amp;$A175))</f>
        <v>21</v>
      </c>
      <c r="BB175" s="3">
        <f>-IF(RTD("tos.rtd",,BB$43,"."&amp;$B$134&amp;$AS$82&amp;"P"&amp;$A175)="N/A",0,RTD("tos.rtd",,BB$43,"."&amp;$B$134&amp;$AS$82&amp;"P"&amp;$A175))</f>
        <v>-382</v>
      </c>
      <c r="BC175" s="54">
        <f>IF(RTD("tos.rtd",,BC$2,"."&amp;$C$134&amp;$AU$82&amp;"C"&amp;$A175)="N/A",0,RTD("tos.rtd",,BC$2,"."&amp;$C$134&amp;$AU$82&amp;"C"&amp;$A175))</f>
        <v>9</v>
      </c>
      <c r="BD175" s="3">
        <f>-IF(RTD("tos.rtd",,BD$2,"."&amp;$C$134&amp;$AU$82&amp;"P"&amp;$A175)="N/A",0,RTD("tos.rtd",,BD$2,"."&amp;$C$134&amp;$AU$82&amp;"P"&amp;$A175))</f>
        <v>-11</v>
      </c>
      <c r="BE175" s="54">
        <f>IF(RTD("tos.rtd",,BE$2,"."&amp;$D$134&amp;$AW$82&amp;"C"&amp;$A175)="N/A",0,RTD("tos.rtd",,BE$2,"."&amp;$D$134&amp;$AW$82&amp;"C"&amp;$A175))</f>
        <v>2</v>
      </c>
      <c r="BF175" s="3">
        <f>-IF(RTD("tos.rtd",,BF$2,"."&amp;$D$134&amp;$AW$82&amp;"P"&amp;$A175)="N/A",0,RTD("tos.rtd",,BF$2,"."&amp;$D$134&amp;$AW$82&amp;"P"&amp;$A175))</f>
        <v>0</v>
      </c>
      <c r="BG175" s="3">
        <f ca="1">+Hoja2!Y176</f>
        <v>3</v>
      </c>
      <c r="BH175" s="7">
        <f t="shared" ca="1" si="549"/>
        <v>-358</v>
      </c>
      <c r="BI175" s="32" t="str">
        <f t="shared" ca="1" si="609"/>
        <v/>
      </c>
      <c r="BJ175" s="3">
        <f ca="1">IF($BP$1=1,DX175,IF(RTD("tos.rtd",,BJ$43,"."&amp;$B$134&amp;$AS$82&amp;"C"&amp;$A175)="N/A",0,RTD("tos.rtd",,BJ$43,"."&amp;$B$134&amp;$AS$82&amp;"C"&amp;$A175)))</f>
        <v>2.3905385772074569E-13</v>
      </c>
      <c r="BK175" s="3">
        <f ca="1">IF($BP$1=1,DY175,-IF(RTD("tos.rtd",,BK$43,"."&amp;$B$134&amp;$AS$82&amp;"P"&amp;$A175)="N/A",0,RTD("tos.rtd",,BK$43,"."&amp;$B$134&amp;$AS$82&amp;"P"&amp;$A175)))</f>
        <v>-5.3329034699448313E-4</v>
      </c>
      <c r="BL175" s="3">
        <f ca="1">IF($BP$1=1,DZ175,IF(RTD("tos.rtd",,BL$2,"."&amp;$C$134&amp;$AU$82&amp;"C"&amp;$A175)="N/A",0,RTD("tos.rtd",,BL$2,"."&amp;$C$134&amp;$AU$82&amp;"C"&amp;$A175)))</f>
        <v>4.9681665035921242E-4</v>
      </c>
      <c r="BM175" s="3">
        <f ca="1">IF($BP$1=1,EA175,-IF(RTD("tos.rtd",,BM$2,"."&amp;$C$134&amp;$AU$82&amp;"P"&amp;$A175)="N/A",0,RTD("tos.rtd",,BM$2,"."&amp;$C$134&amp;$AU$82&amp;"P"&amp;$A175)))</f>
        <v>-4.7885128697383437E-4</v>
      </c>
      <c r="BN175" s="3">
        <f ca="1">IF($BP$1=1,EB175,IF(RTD("tos.rtd",,BN$2,"."&amp;$D$134&amp;$AW$82&amp;"C"&amp;$A175)="N/A",0,RTD("tos.rtd",,BN$2,"."&amp;$D$134&amp;$AW$82&amp;"C"&amp;$A175)))</f>
        <v>5.1143486296508054E-4</v>
      </c>
      <c r="BO175" s="3">
        <f ca="1">IF($BP$1=1,EC175,-IF(RTD("tos.rtd",,BO$2,"."&amp;$D$134&amp;$AW$82&amp;"P"&amp;$A175)="N/A",0,RTD("tos.rtd",,BO$2,"."&amp;$D$134&amp;$AW$82&amp;"P"&amp;$A175)))</f>
        <v>-5.0454161078184649E-4</v>
      </c>
      <c r="BQ175" s="3">
        <f t="shared" ca="1" si="648"/>
        <v>-36398.177705585163</v>
      </c>
      <c r="BR175" s="3" t="str">
        <f t="shared" ca="1" si="550"/>
        <v>Cruce -</v>
      </c>
      <c r="BS175" s="3">
        <f t="shared" ca="1" si="649"/>
        <v>-467342.73590441723</v>
      </c>
      <c r="BT175" s="3" t="str">
        <f t="shared" ca="1" si="551"/>
        <v/>
      </c>
      <c r="BU175" s="3">
        <f t="shared" ca="1" si="650"/>
        <v>-27378.834847357357</v>
      </c>
      <c r="BV175" s="3" t="str">
        <f t="shared" ca="1" si="551"/>
        <v>Cruce -</v>
      </c>
      <c r="BX175" s="3">
        <f t="shared" ca="1" si="585"/>
        <v>-52501.652898900982</v>
      </c>
      <c r="BY175" s="3" t="str">
        <f t="shared" ca="1" si="586"/>
        <v/>
      </c>
      <c r="BZ175" s="3">
        <f t="shared" ca="1" si="587"/>
        <v>-205.14775205133287</v>
      </c>
      <c r="CA175" s="3" t="str">
        <f t="shared" ca="1" si="586"/>
        <v/>
      </c>
      <c r="CB175" s="3">
        <f t="shared" ca="1" si="588"/>
        <v>263.6126310780561</v>
      </c>
      <c r="CC175" s="3" t="str">
        <f t="shared" ca="1" si="586"/>
        <v>Cruce +</v>
      </c>
      <c r="CD175" s="3">
        <f>IF(RTD("tos.rtd",,CD$43,"."&amp;$B$134&amp;$AS$82&amp;"C"&amp;$A175)="N/A",0,RTD("tos.rtd",,CD$43,"."&amp;$B$134&amp;$AS$82&amp;"C"&amp;$A175))</f>
        <v>1</v>
      </c>
      <c r="CE175" s="3">
        <f>-IF(RTD("tos.rtd",,CE$43,"."&amp;$B$134&amp;$AS$82&amp;"P"&amp;$A175)="N/A",0,RTD("tos.rtd",,CE$43,"."&amp;$B$134&amp;$AS$82&amp;"P"&amp;$A175))</f>
        <v>0.04</v>
      </c>
      <c r="CF175" s="3">
        <f>IF(RTD("tos.rtd",,CF$2,"."&amp;$C$134&amp;$AU$82&amp;"C"&amp;$A175)="N/A",0,RTD("tos.rtd",,CF$2,"."&amp;$C$134&amp;$AU$82&amp;"C"&amp;$A175))</f>
        <v>0.85</v>
      </c>
      <c r="CG175" s="3">
        <f>-IF(RTD("tos.rtd",,CG$2,"."&amp;$C$134&amp;$AU$82&amp;"P"&amp;$A175)="N/A",0,RTD("tos.rtd",,CG$2,"."&amp;$C$134&amp;$AU$82&amp;"P"&amp;$A175))</f>
        <v>0.17</v>
      </c>
      <c r="CH175" s="3">
        <f>IF(RTD("tos.rtd",,CH$2,"."&amp;$D$134&amp;$AW$82&amp;"C"&amp;$A175)="N/A",0,RTD("tos.rtd",,CH$2,"."&amp;$D$134&amp;$AW$82&amp;"C"&amp;$A175))</f>
        <v>0.67</v>
      </c>
      <c r="CI175" s="3">
        <f>-IF(RTD("tos.rtd",,CI$2,"."&amp;$D$134&amp;$AW$82&amp;"P"&amp;$A175)="N/A",0,RTD("tos.rtd",,CI$2,"."&amp;$D$134&amp;$AW$82&amp;"P"&amp;$A175))</f>
        <v>0.33</v>
      </c>
      <c r="CK175" s="3">
        <f t="shared" si="651"/>
        <v>12092</v>
      </c>
      <c r="CL175" s="3"/>
      <c r="CM175" s="3">
        <f t="shared" si="652"/>
        <v>3825</v>
      </c>
      <c r="CN175" s="3"/>
      <c r="CO175" s="3">
        <f t="shared" si="653"/>
        <v>954.00000000000023</v>
      </c>
      <c r="CP175" s="3">
        <f t="shared" si="542"/>
        <v>16871</v>
      </c>
      <c r="CQ175" s="3">
        <f t="shared" si="552"/>
        <v>-361</v>
      </c>
      <c r="CR175" s="3"/>
      <c r="CS175" s="3">
        <f t="shared" si="553"/>
        <v>-2</v>
      </c>
      <c r="CT175" s="3"/>
      <c r="CU175" s="3">
        <f t="shared" si="554"/>
        <v>2</v>
      </c>
      <c r="CV175" s="3"/>
      <c r="CW175" s="3">
        <f t="shared" ca="1" si="555"/>
        <v>-531119.74845735973</v>
      </c>
      <c r="CY175" s="3">
        <f t="shared" ca="1" si="556"/>
        <v>-52443.188019874266</v>
      </c>
      <c r="CZ175" s="70" t="str">
        <f t="shared" ca="1" si="589"/>
        <v/>
      </c>
      <c r="DA175" s="3">
        <f>IF(RTD("tos.rtd",,DA$43,"."&amp;$B$134&amp;$AS$82&amp;"C"&amp;$A175)="N/A",0,RTD("tos.rtd",,DA$43,"."&amp;$B$134&amp;$AS$82&amp;"C"&amp;$A175))</f>
        <v>394.2</v>
      </c>
      <c r="DB175" s="3">
        <f>IF(RTD("tos.rtd",,DB$43,"."&amp;$B$134&amp;$AS$82&amp;"P"&amp;$A175)="N/A",0,RTD("tos.rtd",,DB$43,"."&amp;$B$134&amp;$AS$82&amp;"P"&amp;$A175))</f>
        <v>0.05</v>
      </c>
      <c r="DC175" s="3">
        <f>IF(RTD("tos.rtd",,DC$43,"."&amp;$B$134&amp;$AS$82&amp;"C"&amp;$A175)="N/A",0,RTD("tos.rtd",,DC$43,"."&amp;$B$134&amp;$AS$82&amp;"C"&amp;$A175))</f>
        <v>501.3</v>
      </c>
      <c r="DD175" s="3">
        <f>IF(RTD("tos.rtd",,DD$43,"."&amp;$B$134&amp;$AS$82&amp;"P"&amp;$A175)="N/A",0,RTD("tos.rtd",,DD$43,"."&amp;$B$134&amp;$AS$82&amp;"P"&amp;$A175))</f>
        <v>10</v>
      </c>
      <c r="DE175" s="3">
        <f>IF(RTD("tos.rtd",,DE$43,"."&amp;$B$134&amp;$AS$82&amp;"C"&amp;$A175)="N/A",0,RTD("tos.rtd",,DE$43,"."&amp;$B$134&amp;$AS$82&amp;"C"&amp;$A175))</f>
        <v>421.3</v>
      </c>
      <c r="DF175" s="3">
        <f>IF(RTD("tos.rtd",,DF$43,"."&amp;$B$134&amp;$AS$82&amp;"P"&amp;$A175)="N/A",0,RTD("tos.rtd",,DF$43,"."&amp;$B$134&amp;$AS$82&amp;"P"&amp;$A175))</f>
        <v>0</v>
      </c>
      <c r="DG175" s="86">
        <f t="shared" si="590"/>
        <v>-443.75</v>
      </c>
      <c r="DH175" s="3">
        <f t="shared" si="557"/>
        <v>0</v>
      </c>
      <c r="DI175" s="3">
        <f t="shared" si="558"/>
        <v>0</v>
      </c>
      <c r="DJ175" s="3">
        <f t="shared" si="559"/>
        <v>0</v>
      </c>
      <c r="DK175" s="3">
        <f t="shared" si="560"/>
        <v>0</v>
      </c>
      <c r="DL175" s="3">
        <f t="shared" si="561"/>
        <v>0</v>
      </c>
      <c r="DM175" s="3">
        <f t="shared" si="562"/>
        <v>0</v>
      </c>
      <c r="DN175" s="64" t="str">
        <f t="shared" si="563"/>
        <v>UNKNOWN</v>
      </c>
      <c r="DO175" s="64" t="str">
        <f t="shared" si="564"/>
        <v>UNKNOWN</v>
      </c>
      <c r="DP175" s="3">
        <f t="shared" si="565"/>
        <v>0</v>
      </c>
      <c r="DQ175" s="3">
        <f t="shared" si="566"/>
        <v>0</v>
      </c>
      <c r="DR175" s="3">
        <f t="shared" ca="1" si="567"/>
        <v>0</v>
      </c>
      <c r="DS175" s="3">
        <f t="shared" si="568"/>
        <v>0</v>
      </c>
      <c r="DT175" s="3">
        <f t="shared" si="591"/>
        <v>0</v>
      </c>
      <c r="DU175" s="3">
        <f t="shared" si="592"/>
        <v>0</v>
      </c>
      <c r="DV175" s="3">
        <f t="shared" si="569"/>
        <v>11</v>
      </c>
      <c r="DW175" s="3">
        <f t="shared" si="570"/>
        <v>-56</v>
      </c>
      <c r="DX175" s="3">
        <f t="shared" ca="1" si="654"/>
        <v>2.3905385772074569E-13</v>
      </c>
      <c r="DY175" s="3">
        <f t="shared" ca="1" si="655"/>
        <v>-5.3329034699448313E-4</v>
      </c>
      <c r="DZ175" s="3">
        <f t="shared" ca="1" si="656"/>
        <v>4.9681665035921242E-4</v>
      </c>
      <c r="EA175" s="3">
        <f t="shared" ca="1" si="657"/>
        <v>-4.7885128697383437E-4</v>
      </c>
      <c r="EB175" s="3">
        <f t="shared" ca="1" si="658"/>
        <v>5.1143486296508054E-4</v>
      </c>
      <c r="EC175" s="3">
        <f t="shared" ca="1" si="659"/>
        <v>-5.0454161078184649E-4</v>
      </c>
      <c r="ED175" s="63">
        <f t="shared" si="593"/>
        <v>-45</v>
      </c>
      <c r="EE175" s="59">
        <f t="shared" si="577"/>
        <v>0.25</v>
      </c>
      <c r="EF175" s="59">
        <f t="shared" si="578"/>
        <v>1.7648999999999999</v>
      </c>
      <c r="EG175" s="59">
        <f t="shared" si="579"/>
        <v>0.2235</v>
      </c>
      <c r="EH175" s="59">
        <f t="shared" si="580"/>
        <v>0.2445</v>
      </c>
      <c r="EI175" s="59">
        <f t="shared" si="581"/>
        <v>0.2019</v>
      </c>
      <c r="EJ175" s="59">
        <f t="shared" si="582"/>
        <v>0.21310000000000001</v>
      </c>
      <c r="EK175" s="63">
        <f t="shared" ca="1" si="594"/>
        <v>12974883.315894023</v>
      </c>
      <c r="EL175" s="3" t="str">
        <f>RTD("tos.rtd",,EL$43,"."&amp;$B$134&amp;$AS$82&amp;"C"&amp;$A175)</f>
        <v>--</v>
      </c>
      <c r="EM175" s="3" t="str">
        <f>RTD("tos.rtd",,EM$43,"."&amp;$B$134&amp;$AS$82&amp;"P"&amp;$A175)</f>
        <v>176.49%</v>
      </c>
      <c r="EN175" s="3" t="str">
        <f>RTD("tos.rtd",,EN$2,"."&amp;$C$134&amp;$AU$82&amp;"C"&amp;$A175)</f>
        <v>22.35%</v>
      </c>
      <c r="EO175" s="3" t="str">
        <f>RTD("tos.rtd",,EO$2,"."&amp;$C$134&amp;$AU$82&amp;"P"&amp;$A175)</f>
        <v>24.45%</v>
      </c>
      <c r="EP175" s="3" t="str">
        <f>RTD("tos.rtd",,EP$2,"."&amp;$D$134&amp;$AW$82&amp;"C"&amp;$A175)</f>
        <v>20.19%</v>
      </c>
      <c r="EQ175" s="3" t="str">
        <f>RTD("tos.rtd",,EQ$2,"."&amp;$D$134&amp;$AW$82&amp;"P"&amp;$A175)</f>
        <v>21.31%</v>
      </c>
      <c r="ES175" s="63" t="str">
        <f t="shared" si="583"/>
        <v>20400,-45.00</v>
      </c>
      <c r="ET175" s="63" t="str">
        <f t="shared" ca="1" si="584"/>
        <v>20400,-52.44</v>
      </c>
      <c r="EU175" s="68">
        <v>572.23</v>
      </c>
      <c r="EV175" s="68" t="s">
        <v>1419</v>
      </c>
      <c r="EW175" s="68">
        <v>497.49</v>
      </c>
      <c r="EX175" s="68" t="s">
        <v>1420</v>
      </c>
      <c r="EY175" s="68">
        <v>5732</v>
      </c>
      <c r="EZ175" s="68" t="s">
        <v>1421</v>
      </c>
      <c r="FA175" s="68">
        <v>20426.5</v>
      </c>
      <c r="FB175" s="68" t="s">
        <v>1422</v>
      </c>
      <c r="FC175" s="68" t="s">
        <v>1423</v>
      </c>
      <c r="FD175" s="68" t="s">
        <v>1424</v>
      </c>
      <c r="FE175" s="68" t="s">
        <v>1425</v>
      </c>
      <c r="FF175" s="68" t="s">
        <v>1426</v>
      </c>
    </row>
    <row r="176" spans="1:162" ht="11.1" customHeight="1" thickBot="1" x14ac:dyDescent="0.25">
      <c r="A176" s="2">
        <f t="shared" si="595"/>
        <v>20375</v>
      </c>
      <c r="B176" s="3">
        <f t="shared" si="631"/>
        <v>5</v>
      </c>
      <c r="C176" s="3">
        <f t="shared" si="632"/>
        <v>22</v>
      </c>
      <c r="D176" s="3">
        <f t="shared" si="633"/>
        <v>40</v>
      </c>
      <c r="E176" s="3">
        <f t="shared" si="634"/>
        <v>67</v>
      </c>
      <c r="F176" s="4">
        <f t="shared" si="635"/>
        <v>20472.751124437778</v>
      </c>
      <c r="G176" s="5">
        <f t="shared" si="636"/>
        <v>496.2433583208396</v>
      </c>
      <c r="AM176" s="1">
        <v>1</v>
      </c>
      <c r="AN176" s="1">
        <v>11</v>
      </c>
      <c r="AO176" s="1">
        <v>20375</v>
      </c>
      <c r="AP176" s="1">
        <v>1</v>
      </c>
      <c r="AQ176" s="1">
        <v>-64</v>
      </c>
      <c r="AS176" s="54">
        <f>IF(RTD("tos.rtd",,AS$83,"."&amp;$B$134&amp;$AS$82&amp;"C"&amp;$A176)="N/A",0,RTD("tos.rtd",,AS$83,"."&amp;$B$134&amp;$AS$82&amp;"C"&amp;$A176))</f>
        <v>5</v>
      </c>
      <c r="AT176" s="3">
        <f>-IF(RTD("tos.rtd",,AT$83,"."&amp;$B$134&amp;$AS$82&amp;"P"&amp;$A176)="N/A",0,RTD("tos.rtd",,AT$83,"."&amp;$B$134&amp;$AS$82&amp;"P"&amp;$A176))</f>
        <v>0</v>
      </c>
      <c r="AU176" s="54">
        <f>IF(RTD("tos.rtd",,AU$2,"."&amp;$C$134&amp;$AU$134&amp;"C"&amp;$A176)="N/A",0,RTD("tos.rtd",,AU$2,"."&amp;$C$134&amp;$AU$134&amp;"C"&amp;$A176))</f>
        <v>16</v>
      </c>
      <c r="AV176" s="3">
        <f>-IF(RTD("tos.rtd",,AV$2,"."&amp;$C$134&amp;$AU$134&amp;"P"&amp;$A176)="N/A",0,RTD("tos.rtd",,AV$2,"."&amp;$C$134&amp;$AU$134&amp;"P"&amp;$A176))</f>
        <v>-6</v>
      </c>
      <c r="AW176" s="54">
        <f>IF(RTD("tos.rtd",,AW$2,"."&amp;$D$134&amp;$AW$134&amp;"C"&amp;$A176)="N/A",0,RTD("tos.rtd",,AW$2,"."&amp;$D$134&amp;$AW$134&amp;"C"&amp;$A176))</f>
        <v>22</v>
      </c>
      <c r="AX176" s="3">
        <f>-IF(RTD("tos.rtd",,AX$2,"."&amp;$D$134&amp;$AW$134&amp;"P"&amp;$A176)="N/A",0,RTD("tos.rtd",,AX$2,"."&amp;$D$134&amp;$AW$134&amp;"P"&amp;$A176))</f>
        <v>-18</v>
      </c>
      <c r="AY176" s="76">
        <f t="shared" si="637"/>
        <v>19</v>
      </c>
      <c r="AZ176" s="8">
        <f t="shared" si="548"/>
        <v>20375</v>
      </c>
      <c r="BA176" s="54">
        <f>IF(RTD("tos.rtd",,BA$43,"."&amp;$B$134&amp;$AS$82&amp;"C"&amp;$A176)="N/A",0,RTD("tos.rtd",,BA$43,"."&amp;$B$134&amp;$AS$82&amp;"C"&amp;$A176))</f>
        <v>1</v>
      </c>
      <c r="BB176" s="3">
        <f>-IF(RTD("tos.rtd",,BB$43,"."&amp;$B$134&amp;$AS$82&amp;"P"&amp;$A176)="N/A",0,RTD("tos.rtd",,BB$43,"."&amp;$B$134&amp;$AS$82&amp;"P"&amp;$A176))</f>
        <v>-64</v>
      </c>
      <c r="BC176" s="54">
        <f>IF(RTD("tos.rtd",,BC$2,"."&amp;$C$134&amp;$AU$82&amp;"C"&amp;$A176)="N/A",0,RTD("tos.rtd",,BC$2,"."&amp;$C$134&amp;$AU$82&amp;"C"&amp;$A176))</f>
        <v>1</v>
      </c>
      <c r="BD176" s="3">
        <f>-IF(RTD("tos.rtd",,BD$2,"."&amp;$C$134&amp;$AU$82&amp;"P"&amp;$A176)="N/A",0,RTD("tos.rtd",,BD$2,"."&amp;$C$134&amp;$AU$82&amp;"P"&amp;$A176))</f>
        <v>-2</v>
      </c>
      <c r="BE176" s="54">
        <f>IF(RTD("tos.rtd",,BE$2,"."&amp;$D$134&amp;$AW$82&amp;"C"&amp;$A176)="N/A",0,RTD("tos.rtd",,BE$2,"."&amp;$D$134&amp;$AW$82&amp;"C"&amp;$A176))</f>
        <v>0</v>
      </c>
      <c r="BF176" s="3">
        <f>-IF(RTD("tos.rtd",,BF$2,"."&amp;$D$134&amp;$AW$82&amp;"P"&amp;$A176)="N/A",0,RTD("tos.rtd",,BF$2,"."&amp;$D$134&amp;$AW$82&amp;"P"&amp;$A176))</f>
        <v>0</v>
      </c>
      <c r="BG176" s="3">
        <f ca="1">+Hoja2!Y177</f>
        <v>-1</v>
      </c>
      <c r="BH176" s="7">
        <f t="shared" ca="1" si="549"/>
        <v>-65</v>
      </c>
      <c r="BI176" s="32" t="str">
        <f t="shared" ca="1" si="609"/>
        <v/>
      </c>
      <c r="BJ176" s="3">
        <f ca="1">IF($BP$1=1,DX176,IF(RTD("tos.rtd",,BJ$43,"."&amp;$B$134&amp;$AS$82&amp;"C"&amp;$A176)="N/A",0,RTD("tos.rtd",,BJ$43,"."&amp;$B$134&amp;$AS$82&amp;"C"&amp;$A176)))</f>
        <v>1.4416815226195148E-14</v>
      </c>
      <c r="BK176" s="3">
        <f ca="1">IF($BP$1=1,DY176,-IF(RTD("tos.rtd",,BK$43,"."&amp;$B$134&amp;$AS$82&amp;"P"&amp;$A176)="N/A",0,RTD("tos.rtd",,BK$43,"."&amp;$B$134&amp;$AS$82&amp;"P"&amp;$A176)))</f>
        <v>-4.9398738484523292E-4</v>
      </c>
      <c r="BL176" s="3">
        <f ca="1">IF($BP$1=1,DZ176,IF(RTD("tos.rtd",,BL$2,"."&amp;$C$134&amp;$AU$82&amp;"C"&amp;$A176)="N/A",0,RTD("tos.rtd",,BL$2,"."&amp;$C$134&amp;$AU$82&amp;"C"&amp;$A176)))</f>
        <v>4.8000164859531057E-4</v>
      </c>
      <c r="BM176" s="3">
        <f ca="1">IF($BP$1=1,EA176,-IF(RTD("tos.rtd",,BM$2,"."&amp;$C$134&amp;$AU$82&amp;"P"&amp;$A176)="N/A",0,RTD("tos.rtd",,BM$2,"."&amp;$C$134&amp;$AU$82&amp;"P"&amp;$A176)))</f>
        <v>-4.6312836330724273E-4</v>
      </c>
      <c r="BN176" s="3">
        <f ca="1">IF($BP$1=1,EB176,IF(RTD("tos.rtd",,BN$2,"."&amp;$D$134&amp;$AW$82&amp;"C"&amp;$A176)="N/A",0,RTD("tos.rtd",,BN$2,"."&amp;$D$134&amp;$AW$82&amp;"C"&amp;$A176)))</f>
        <v>4.8842874556628737E-4</v>
      </c>
      <c r="BO176" s="3">
        <f ca="1">IF($BP$1=1,EC176,-IF(RTD("tos.rtd",,BO$2,"."&amp;$D$134&amp;$AW$82&amp;"P"&amp;$A176)="N/A",0,RTD("tos.rtd",,BO$2,"."&amp;$D$134&amp;$AW$82&amp;"P"&amp;$A176)))</f>
        <v>-4.839162677343439E-4</v>
      </c>
      <c r="BQ176" s="3">
        <f t="shared" ca="1" si="638"/>
        <v>2.4599442861662064E-6</v>
      </c>
      <c r="BR176" s="3" t="str">
        <f t="shared" ca="1" si="550"/>
        <v>Cruce +</v>
      </c>
      <c r="BS176" s="3">
        <f t="shared" ca="1" si="639"/>
        <v>167260.48006242432</v>
      </c>
      <c r="BT176" s="3" t="str">
        <f t="shared" ca="1" si="551"/>
        <v>Cruce +</v>
      </c>
      <c r="BU176" s="3">
        <f t="shared" ca="1" si="640"/>
        <v>69444.435847238521</v>
      </c>
      <c r="BV176" s="3" t="str">
        <f t="shared" ca="1" si="551"/>
        <v>Cruce +</v>
      </c>
      <c r="BX176" s="3">
        <f t="shared" ca="1" si="585"/>
        <v>-8147.8255734632257</v>
      </c>
      <c r="BY176" s="3" t="str">
        <f t="shared" ca="1" si="586"/>
        <v/>
      </c>
      <c r="BZ176" s="3">
        <f t="shared" ca="1" si="587"/>
        <v>-115.00826768687645</v>
      </c>
      <c r="CA176" s="3" t="str">
        <f t="shared" ca="1" si="586"/>
        <v/>
      </c>
      <c r="CB176" s="3">
        <f t="shared" ca="1" si="588"/>
        <v>0</v>
      </c>
      <c r="CC176" s="3" t="str">
        <f t="shared" ca="1" si="586"/>
        <v/>
      </c>
      <c r="CD176" s="3">
        <f>IF(RTD("tos.rtd",,CD$43,"."&amp;$B$134&amp;$AS$82&amp;"C"&amp;$A176)="N/A",0,RTD("tos.rtd",,CD$43,"."&amp;$B$134&amp;$AS$82&amp;"C"&amp;$A176))</f>
        <v>1</v>
      </c>
      <c r="CE176" s="3">
        <f>-IF(RTD("tos.rtd",,CE$43,"."&amp;$B$134&amp;$AS$82&amp;"P"&amp;$A176)="N/A",0,RTD("tos.rtd",,CE$43,"."&amp;$B$134&amp;$AS$82&amp;"P"&amp;$A176))</f>
        <v>7.0000000000000007E-2</v>
      </c>
      <c r="CF176" s="3">
        <f>IF(RTD("tos.rtd",,CF$2,"."&amp;$C$134&amp;$AU$82&amp;"C"&amp;$A176)="N/A",0,RTD("tos.rtd",,CF$2,"."&amp;$C$134&amp;$AU$82&amp;"C"&amp;$A176))</f>
        <v>0.87</v>
      </c>
      <c r="CG176" s="3">
        <f>-IF(RTD("tos.rtd",,CG$2,"."&amp;$C$134&amp;$AU$82&amp;"P"&amp;$A176)="N/A",0,RTD("tos.rtd",,CG$2,"."&amp;$C$134&amp;$AU$82&amp;"P"&amp;$A176))</f>
        <v>0.16</v>
      </c>
      <c r="CH176" s="3">
        <f>IF(RTD("tos.rtd",,CH$2,"."&amp;$D$134&amp;$AW$82&amp;"C"&amp;$A176)="N/A",0,RTD("tos.rtd",,CH$2,"."&amp;$D$134&amp;$AW$82&amp;"C"&amp;$A176))</f>
        <v>0.68</v>
      </c>
      <c r="CI176" s="3">
        <f>-IF(RTD("tos.rtd",,CI$2,"."&amp;$D$134&amp;$AW$82&amp;"P"&amp;$A176)="N/A",0,RTD("tos.rtd",,CI$2,"."&amp;$D$134&amp;$AW$82&amp;"P"&amp;$A176))</f>
        <v>0.33</v>
      </c>
      <c r="CK176" s="3">
        <f t="shared" ref="CK176:CK189" si="660">+AS176*CD176*100+AT176*CE176*100</f>
        <v>500</v>
      </c>
      <c r="CL176" s="3"/>
      <c r="CM176" s="3">
        <f t="shared" ref="CM176:CM189" si="661">+AU176*CF176*100+AV176*CG176*100</f>
        <v>1296</v>
      </c>
      <c r="CN176" s="3"/>
      <c r="CO176" s="3">
        <f t="shared" ref="CO176:CO189" si="662">+AW176*CH176*100+AX176*CI176*100</f>
        <v>902</v>
      </c>
      <c r="CP176" s="3">
        <f t="shared" si="542"/>
        <v>2698</v>
      </c>
      <c r="CQ176" s="3">
        <f t="shared" si="552"/>
        <v>-63</v>
      </c>
      <c r="CR176" s="3"/>
      <c r="CS176" s="3">
        <f t="shared" si="553"/>
        <v>-1</v>
      </c>
      <c r="CT176" s="3"/>
      <c r="CU176" s="3">
        <f t="shared" si="554"/>
        <v>0</v>
      </c>
      <c r="CV176" s="3"/>
      <c r="CW176" s="3">
        <f t="shared" ca="1" si="555"/>
        <v>236704.91591212279</v>
      </c>
      <c r="CY176" s="3">
        <f t="shared" ca="1" si="556"/>
        <v>-8262.8338411501027</v>
      </c>
      <c r="CZ176" s="70" t="str">
        <f t="shared" ca="1" si="589"/>
        <v/>
      </c>
      <c r="DA176" s="3">
        <f>IF(RTD("tos.rtd",,DA$43,"."&amp;$B$134&amp;$AS$82&amp;"C"&amp;$A176)="N/A",0,RTD("tos.rtd",,DA$43,"."&amp;$B$134&amp;$AS$82&amp;"C"&amp;$A176))</f>
        <v>329.43</v>
      </c>
      <c r="DB176" s="3">
        <f>IF(RTD("tos.rtd",,DB$43,"."&amp;$B$134&amp;$AS$82&amp;"P"&amp;$A176)="N/A",0,RTD("tos.rtd",,DB$43,"."&amp;$B$134&amp;$AS$82&amp;"P"&amp;$A176))</f>
        <v>0.2</v>
      </c>
      <c r="DC176" s="3">
        <f>IF(RTD("tos.rtd",,DC$43,"."&amp;$B$134&amp;$AS$82&amp;"C"&amp;$A176)="N/A",0,RTD("tos.rtd",,DC$43,"."&amp;$B$134&amp;$AS$82&amp;"C"&amp;$A176))</f>
        <v>528</v>
      </c>
      <c r="DD176" s="3">
        <f>IF(RTD("tos.rtd",,DD$43,"."&amp;$B$134&amp;$AS$82&amp;"P"&amp;$A176)="N/A",0,RTD("tos.rtd",,DD$43,"."&amp;$B$134&amp;$AS$82&amp;"P"&amp;$A176))</f>
        <v>20</v>
      </c>
      <c r="DE176" s="3">
        <f>IF(RTD("tos.rtd",,DE$43,"."&amp;$B$134&amp;$AS$82&amp;"C"&amp;$A176)="N/A",0,RTD("tos.rtd",,DE$43,"."&amp;$B$134&amp;$AS$82&amp;"C"&amp;$A176))</f>
        <v>448</v>
      </c>
      <c r="DF176" s="3">
        <f>IF(RTD("tos.rtd",,DF$43,"."&amp;$B$134&amp;$AS$82&amp;"P"&amp;$A176)="N/A",0,RTD("tos.rtd",,DF$43,"."&amp;$B$134&amp;$AS$82&amp;"P"&amp;$A176))</f>
        <v>0</v>
      </c>
      <c r="DG176" s="86">
        <f t="shared" si="590"/>
        <v>-468.75</v>
      </c>
      <c r="DH176" s="3">
        <f t="shared" si="557"/>
        <v>0</v>
      </c>
      <c r="DI176" s="3">
        <f t="shared" si="558"/>
        <v>0</v>
      </c>
      <c r="DJ176" s="3">
        <f t="shared" si="559"/>
        <v>0</v>
      </c>
      <c r="DK176" s="3">
        <f t="shared" si="560"/>
        <v>0</v>
      </c>
      <c r="DL176" s="3">
        <f t="shared" si="561"/>
        <v>0</v>
      </c>
      <c r="DM176" s="3">
        <f t="shared" si="562"/>
        <v>0</v>
      </c>
      <c r="DN176" s="64" t="str">
        <f t="shared" si="563"/>
        <v>UNKNOWN</v>
      </c>
      <c r="DO176" s="64" t="str">
        <f t="shared" si="564"/>
        <v>UNKNOWN</v>
      </c>
      <c r="DP176" s="3">
        <f t="shared" si="565"/>
        <v>0</v>
      </c>
      <c r="DQ176" s="3">
        <f t="shared" si="566"/>
        <v>0</v>
      </c>
      <c r="DR176" s="3">
        <f t="shared" ca="1" si="567"/>
        <v>0</v>
      </c>
      <c r="DS176" s="3">
        <f t="shared" si="568"/>
        <v>0</v>
      </c>
      <c r="DT176" s="3">
        <f t="shared" si="591"/>
        <v>0</v>
      </c>
      <c r="DU176" s="3">
        <f t="shared" si="592"/>
        <v>0</v>
      </c>
      <c r="DV176" s="3">
        <f t="shared" si="569"/>
        <v>1</v>
      </c>
      <c r="DW176" s="3">
        <f t="shared" si="570"/>
        <v>11</v>
      </c>
      <c r="DX176" s="3">
        <f t="shared" ca="1" si="654"/>
        <v>1.4416815226195148E-14</v>
      </c>
      <c r="DY176" s="3">
        <f t="shared" ca="1" si="655"/>
        <v>-4.9398738484523292E-4</v>
      </c>
      <c r="DZ176" s="3">
        <f t="shared" ca="1" si="656"/>
        <v>4.8000164859531057E-4</v>
      </c>
      <c r="EA176" s="3">
        <f t="shared" ca="1" si="657"/>
        <v>-4.6312836330724273E-4</v>
      </c>
      <c r="EB176" s="3">
        <f t="shared" ca="1" si="658"/>
        <v>4.8842874556628737E-4</v>
      </c>
      <c r="EC176" s="3">
        <f t="shared" ca="1" si="659"/>
        <v>-4.839162677343439E-4</v>
      </c>
      <c r="ED176" s="63">
        <f t="shared" si="593"/>
        <v>12</v>
      </c>
      <c r="EE176" s="59">
        <f t="shared" si="577"/>
        <v>0.25</v>
      </c>
      <c r="EF176" s="59">
        <f t="shared" si="578"/>
        <v>2.1292</v>
      </c>
      <c r="EG176" s="59">
        <f t="shared" si="579"/>
        <v>0.22120000000000001</v>
      </c>
      <c r="EH176" s="59">
        <f t="shared" si="580"/>
        <v>0.24579999999999999</v>
      </c>
      <c r="EI176" s="59">
        <f t="shared" si="581"/>
        <v>0.20269999999999999</v>
      </c>
      <c r="EJ176" s="59">
        <f t="shared" si="582"/>
        <v>0.21390000000000001</v>
      </c>
      <c r="EK176" s="63">
        <f t="shared" ca="1" si="594"/>
        <v>-2360805.752162212</v>
      </c>
      <c r="EL176" s="3" t="str">
        <f>RTD("tos.rtd",,EL$43,"."&amp;$B$134&amp;$AS$82&amp;"C"&amp;$A176)</f>
        <v>--</v>
      </c>
      <c r="EM176" s="3" t="str">
        <f>RTD("tos.rtd",,EM$43,"."&amp;$B$134&amp;$AS$82&amp;"P"&amp;$A176)</f>
        <v>212.92%</v>
      </c>
      <c r="EN176" s="3" t="str">
        <f>RTD("tos.rtd",,EN$2,"."&amp;$C$134&amp;$AU$82&amp;"C"&amp;$A176)</f>
        <v>22.12%</v>
      </c>
      <c r="EO176" s="3" t="str">
        <f>RTD("tos.rtd",,EO$2,"."&amp;$C$134&amp;$AU$82&amp;"P"&amp;$A176)</f>
        <v>24.58%</v>
      </c>
      <c r="EP176" s="3" t="str">
        <f>RTD("tos.rtd",,EP$2,"."&amp;$D$134&amp;$AW$82&amp;"C"&amp;$A176)</f>
        <v>20.27%</v>
      </c>
      <c r="EQ176" s="3" t="str">
        <f>RTD("tos.rtd",,EQ$2,"."&amp;$D$134&amp;$AW$82&amp;"P"&amp;$A176)</f>
        <v>21.39%</v>
      </c>
      <c r="ES176" s="63" t="str">
        <f t="shared" si="583"/>
        <v>20375,12.00</v>
      </c>
      <c r="ET176" s="63" t="str">
        <f t="shared" ca="1" si="584"/>
        <v>20375,-08.26</v>
      </c>
      <c r="EU176" s="68">
        <v>572.16</v>
      </c>
      <c r="EV176" s="68" t="s">
        <v>1427</v>
      </c>
      <c r="EW176" s="68">
        <v>497.47</v>
      </c>
      <c r="EX176" s="68" t="s">
        <v>1428</v>
      </c>
      <c r="EY176" s="68">
        <v>5731.75</v>
      </c>
      <c r="EZ176" s="68" t="s">
        <v>1429</v>
      </c>
      <c r="FA176" s="68">
        <v>20424.25</v>
      </c>
      <c r="FB176" s="68" t="s">
        <v>1430</v>
      </c>
      <c r="FC176" s="68" t="s">
        <v>1431</v>
      </c>
      <c r="FD176" s="68" t="s">
        <v>1432</v>
      </c>
      <c r="FE176" s="68" t="s">
        <v>1433</v>
      </c>
      <c r="FF176" s="68" t="s">
        <v>1434</v>
      </c>
    </row>
    <row r="177" spans="1:162" ht="11.1" customHeight="1" thickBot="1" x14ac:dyDescent="0.25">
      <c r="A177" s="2">
        <f t="shared" si="595"/>
        <v>20350</v>
      </c>
      <c r="B177" s="3">
        <f t="shared" si="631"/>
        <v>17</v>
      </c>
      <c r="C177" s="3">
        <f t="shared" si="632"/>
        <v>33</v>
      </c>
      <c r="D177" s="3">
        <f t="shared" si="633"/>
        <v>132</v>
      </c>
      <c r="E177" s="3">
        <f t="shared" si="634"/>
        <v>182</v>
      </c>
      <c r="F177" s="4">
        <f t="shared" si="635"/>
        <v>20447.631184407794</v>
      </c>
      <c r="G177" s="5">
        <f t="shared" si="636"/>
        <v>495.63447076461773</v>
      </c>
      <c r="AM177" s="1">
        <v>-2</v>
      </c>
      <c r="AN177" s="1">
        <v>-8</v>
      </c>
      <c r="AO177" s="1">
        <v>20350</v>
      </c>
      <c r="AP177" s="1">
        <v>5</v>
      </c>
      <c r="AQ177" s="1">
        <v>-176</v>
      </c>
      <c r="AS177" s="54">
        <f>IF(RTD("tos.rtd",,AS$83,"."&amp;$B$134&amp;$AS$82&amp;"C"&amp;$A177)="N/A",0,RTD("tos.rtd",,AS$83,"."&amp;$B$134&amp;$AS$82&amp;"C"&amp;$A177))</f>
        <v>16</v>
      </c>
      <c r="AT177" s="3">
        <f>-IF(RTD("tos.rtd",,AT$83,"."&amp;$B$134&amp;$AS$82&amp;"P"&amp;$A177)="N/A",0,RTD("tos.rtd",,AT$83,"."&amp;$B$134&amp;$AS$82&amp;"P"&amp;$A177))</f>
        <v>-1</v>
      </c>
      <c r="AU177" s="54">
        <f>IF(RTD("tos.rtd",,AU$2,"."&amp;$C$134&amp;$AU$134&amp;"C"&amp;$A177)="N/A",0,RTD("tos.rtd",,AU$2,"."&amp;$C$134&amp;$AU$134&amp;"C"&amp;$A177))</f>
        <v>21</v>
      </c>
      <c r="AV177" s="3">
        <f>-IF(RTD("tos.rtd",,AV$2,"."&amp;$C$134&amp;$AU$134&amp;"P"&amp;$A177)="N/A",0,RTD("tos.rtd",,AV$2,"."&amp;$C$134&amp;$AU$134&amp;"P"&amp;$A177))</f>
        <v>-12</v>
      </c>
      <c r="AW177" s="54">
        <f>IF(RTD("tos.rtd",,AW$2,"."&amp;$D$134&amp;$AW$134&amp;"C"&amp;$A177)="N/A",0,RTD("tos.rtd",,AW$2,"."&amp;$D$134&amp;$AW$134&amp;"C"&amp;$A177))</f>
        <v>67</v>
      </c>
      <c r="AX177" s="3">
        <f>-IF(RTD("tos.rtd",,AX$2,"."&amp;$D$134&amp;$AW$134&amp;"P"&amp;$A177)="N/A",0,RTD("tos.rtd",,AX$2,"."&amp;$D$134&amp;$AW$134&amp;"P"&amp;$A177))</f>
        <v>-65</v>
      </c>
      <c r="AY177" s="76">
        <f t="shared" si="637"/>
        <v>26</v>
      </c>
      <c r="AZ177" s="8">
        <f t="shared" si="548"/>
        <v>20350</v>
      </c>
      <c r="BA177" s="54">
        <f>IF(RTD("tos.rtd",,BA$43,"."&amp;$B$134&amp;$AS$82&amp;"C"&amp;$A177)="N/A",0,RTD("tos.rtd",,BA$43,"."&amp;$B$134&amp;$AS$82&amp;"C"&amp;$A177))</f>
        <v>5</v>
      </c>
      <c r="BB177" s="3">
        <f>-IF(RTD("tos.rtd",,BB$43,"."&amp;$B$134&amp;$AS$82&amp;"P"&amp;$A177)="N/A",0,RTD("tos.rtd",,BB$43,"."&amp;$B$134&amp;$AS$82&amp;"P"&amp;$A177))</f>
        <v>-176</v>
      </c>
      <c r="BC177" s="54">
        <f>IF(RTD("tos.rtd",,BC$2,"."&amp;$C$134&amp;$AU$82&amp;"C"&amp;$A177)="N/A",0,RTD("tos.rtd",,BC$2,"."&amp;$C$134&amp;$AU$82&amp;"C"&amp;$A177))</f>
        <v>3</v>
      </c>
      <c r="BD177" s="3">
        <f>-IF(RTD("tos.rtd",,BD$2,"."&amp;$C$134&amp;$AU$82&amp;"P"&amp;$A177)="N/A",0,RTD("tos.rtd",,BD$2,"."&amp;$C$134&amp;$AU$82&amp;"P"&amp;$A177))</f>
        <v>-5</v>
      </c>
      <c r="BE177" s="54">
        <f>IF(RTD("tos.rtd",,BE$2,"."&amp;$D$134&amp;$AW$82&amp;"C"&amp;$A177)="N/A",0,RTD("tos.rtd",,BE$2,"."&amp;$D$134&amp;$AW$82&amp;"C"&amp;$A177))</f>
        <v>0</v>
      </c>
      <c r="BF177" s="3">
        <f>-IF(RTD("tos.rtd",,BF$2,"."&amp;$D$134&amp;$AW$82&amp;"P"&amp;$A177)="N/A",0,RTD("tos.rtd",,BF$2,"."&amp;$D$134&amp;$AW$82&amp;"P"&amp;$A177))</f>
        <v>0</v>
      </c>
      <c r="BG177" s="3">
        <f ca="1">+Hoja2!Y178</f>
        <v>0</v>
      </c>
      <c r="BH177" s="7">
        <f t="shared" ca="1" si="549"/>
        <v>-173</v>
      </c>
      <c r="BI177" s="32" t="str">
        <f t="shared" ca="1" si="609"/>
        <v/>
      </c>
      <c r="BJ177" s="3">
        <f ca="1">IF($BP$1=1,DX177,IF(RTD("tos.rtd",,BJ$43,"."&amp;$B$134&amp;$AS$82&amp;"C"&amp;$A177)="N/A",0,RTD("tos.rtd",,BJ$43,"."&amp;$B$134&amp;$AS$82&amp;"C"&amp;$A177)))</f>
        <v>7.414508450963699E-16</v>
      </c>
      <c r="BK177" s="3">
        <f ca="1">IF($BP$1=1,DY177,-IF(RTD("tos.rtd",,BK$43,"."&amp;$B$134&amp;$AS$82&amp;"P"&amp;$A177)="N/A",0,RTD("tos.rtd",,BK$43,"."&amp;$B$134&amp;$AS$82&amp;"P"&amp;$A177)))</f>
        <v>-4.7002585917419338E-4</v>
      </c>
      <c r="BL177" s="3">
        <f ca="1">IF($BP$1=1,DZ177,IF(RTD("tos.rtd",,BL$2,"."&amp;$C$134&amp;$AU$82&amp;"C"&amp;$A177)="N/A",0,RTD("tos.rtd",,BL$2,"."&amp;$C$134&amp;$AU$82&amp;"C"&amp;$A177)))</f>
        <v>4.6224794282148987E-4</v>
      </c>
      <c r="BM177" s="3">
        <f ca="1">IF($BP$1=1,EA177,-IF(RTD("tos.rtd",,BM$2,"."&amp;$C$134&amp;$AU$82&amp;"P"&amp;$A177)="N/A",0,RTD("tos.rtd",,BM$2,"."&amp;$C$134&amp;$AU$82&amp;"P"&amp;$A177)))</f>
        <v>-4.47521108435018E-4</v>
      </c>
      <c r="BN177" s="3">
        <f ca="1">IF($BP$1=1,EB177,IF(RTD("tos.rtd",,BN$2,"."&amp;$D$134&amp;$AW$82&amp;"C"&amp;$A177)="N/A",0,RTD("tos.rtd",,BN$2,"."&amp;$D$134&amp;$AW$82&amp;"C"&amp;$A177)))</f>
        <v>4.6564552160501742E-4</v>
      </c>
      <c r="BO177" s="3">
        <f ca="1">IF($BP$1=1,EC177,-IF(RTD("tos.rtd",,BO$2,"."&amp;$D$134&amp;$AW$82&amp;"P"&amp;$A177)="N/A",0,RTD("tos.rtd",,BO$2,"."&amp;$D$134&amp;$AW$82&amp;"P"&amp;$A177)))</f>
        <v>-4.6338614607007399E-4</v>
      </c>
      <c r="BQ177" s="3">
        <f t="shared" ca="1" si="638"/>
        <v>-16040.122710262238</v>
      </c>
      <c r="BR177" s="3" t="str">
        <f t="shared" ca="1" si="550"/>
        <v>Cruce -</v>
      </c>
      <c r="BS177" s="3">
        <f t="shared" ca="1" si="639"/>
        <v>148003.06183386833</v>
      </c>
      <c r="BT177" s="3" t="str">
        <f t="shared" ca="1" si="551"/>
        <v/>
      </c>
      <c r="BU177" s="3">
        <f t="shared" ca="1" si="640"/>
        <v>36793.008786295657</v>
      </c>
      <c r="BV177" s="3" t="str">
        <f t="shared" ca="1" si="551"/>
        <v/>
      </c>
      <c r="BX177" s="3">
        <f t="shared" ca="1" si="585"/>
        <v>-21319.661778645084</v>
      </c>
      <c r="BY177" s="3" t="str">
        <f t="shared" ca="1" si="586"/>
        <v/>
      </c>
      <c r="BZ177" s="3">
        <f t="shared" ca="1" si="587"/>
        <v>-219.28295397624743</v>
      </c>
      <c r="CA177" s="3" t="str">
        <f t="shared" ca="1" si="586"/>
        <v/>
      </c>
      <c r="CB177" s="3">
        <f t="shared" ca="1" si="588"/>
        <v>0</v>
      </c>
      <c r="CC177" s="3" t="str">
        <f t="shared" ca="1" si="586"/>
        <v/>
      </c>
      <c r="CD177" s="3">
        <f>IF(RTD("tos.rtd",,CD$43,"."&amp;$B$134&amp;$AS$82&amp;"C"&amp;$A177)="N/A",0,RTD("tos.rtd",,CD$43,"."&amp;$B$134&amp;$AS$82&amp;"C"&amp;$A177))</f>
        <v>1</v>
      </c>
      <c r="CE177" s="3">
        <f>-IF(RTD("tos.rtd",,CE$43,"."&amp;$B$134&amp;$AS$82&amp;"P"&amp;$A177)="N/A",0,RTD("tos.rtd",,CE$43,"."&amp;$B$134&amp;$AS$82&amp;"P"&amp;$A177))</f>
        <v>7.0000000000000007E-2</v>
      </c>
      <c r="CF177" s="3">
        <f>IF(RTD("tos.rtd",,CF$2,"."&amp;$C$134&amp;$AU$82&amp;"C"&amp;$A177)="N/A",0,RTD("tos.rtd",,CF$2,"."&amp;$C$134&amp;$AU$82&amp;"C"&amp;$A177))</f>
        <v>0.88</v>
      </c>
      <c r="CG177" s="3">
        <f>-IF(RTD("tos.rtd",,CG$2,"."&amp;$C$134&amp;$AU$82&amp;"P"&amp;$A177)="N/A",0,RTD("tos.rtd",,CG$2,"."&amp;$C$134&amp;$AU$82&amp;"P"&amp;$A177))</f>
        <v>0.15</v>
      </c>
      <c r="CH177" s="3">
        <f>IF(RTD("tos.rtd",,CH$2,"."&amp;$D$134&amp;$AW$82&amp;"C"&amp;$A177)="N/A",0,RTD("tos.rtd",,CH$2,"."&amp;$D$134&amp;$AW$82&amp;"C"&amp;$A177))</f>
        <v>0.69</v>
      </c>
      <c r="CI177" s="3">
        <f>-IF(RTD("tos.rtd",,CI$2,"."&amp;$D$134&amp;$AW$82&amp;"P"&amp;$A177)="N/A",0,RTD("tos.rtd",,CI$2,"."&amp;$D$134&amp;$AW$82&amp;"P"&amp;$A177))</f>
        <v>0.32</v>
      </c>
      <c r="CK177" s="3">
        <f t="shared" si="660"/>
        <v>1593</v>
      </c>
      <c r="CL177" s="3"/>
      <c r="CM177" s="3">
        <f t="shared" si="661"/>
        <v>1668</v>
      </c>
      <c r="CN177" s="3"/>
      <c r="CO177" s="3">
        <f t="shared" si="662"/>
        <v>2543</v>
      </c>
      <c r="CP177" s="3">
        <f t="shared" si="542"/>
        <v>5804</v>
      </c>
      <c r="CQ177" s="3">
        <f t="shared" si="552"/>
        <v>-171</v>
      </c>
      <c r="CR177" s="3"/>
      <c r="CS177" s="3">
        <f t="shared" si="553"/>
        <v>-2</v>
      </c>
      <c r="CT177" s="3"/>
      <c r="CU177" s="3">
        <f t="shared" si="554"/>
        <v>0</v>
      </c>
      <c r="CV177" s="3"/>
      <c r="CW177" s="3">
        <f t="shared" ca="1" si="555"/>
        <v>168755.94790990173</v>
      </c>
      <c r="CY177" s="3">
        <f t="shared" ca="1" si="556"/>
        <v>-21538.94473262133</v>
      </c>
      <c r="CZ177" s="70" t="str">
        <f t="shared" ca="1" si="589"/>
        <v/>
      </c>
      <c r="DA177" s="3">
        <f>IF(RTD("tos.rtd",,DA$43,"."&amp;$B$134&amp;$AS$82&amp;"C"&amp;$A177)="N/A",0,RTD("tos.rtd",,DA$43,"."&amp;$B$134&amp;$AS$82&amp;"C"&amp;$A177))</f>
        <v>496.45</v>
      </c>
      <c r="DB177" s="3">
        <f>IF(RTD("tos.rtd",,DB$43,"."&amp;$B$134&amp;$AS$82&amp;"P"&amp;$A177)="N/A",0,RTD("tos.rtd",,DB$43,"."&amp;$B$134&amp;$AS$82&amp;"P"&amp;$A177))</f>
        <v>0.2</v>
      </c>
      <c r="DC177" s="3">
        <f>IF(RTD("tos.rtd",,DC$43,"."&amp;$B$134&amp;$AS$82&amp;"C"&amp;$A177)="N/A",0,RTD("tos.rtd",,DC$43,"."&amp;$B$134&amp;$AS$82&amp;"C"&amp;$A177))</f>
        <v>554</v>
      </c>
      <c r="DD177" s="3">
        <f>IF(RTD("tos.rtd",,DD$43,"."&amp;$B$134&amp;$AS$82&amp;"P"&amp;$A177)="N/A",0,RTD("tos.rtd",,DD$43,"."&amp;$B$134&amp;$AS$82&amp;"P"&amp;$A177))</f>
        <v>20</v>
      </c>
      <c r="DE177" s="3">
        <f>IF(RTD("tos.rtd",,DE$43,"."&amp;$B$134&amp;$AS$82&amp;"C"&amp;$A177)="N/A",0,RTD("tos.rtd",,DE$43,"."&amp;$B$134&amp;$AS$82&amp;"C"&amp;$A177))</f>
        <v>474</v>
      </c>
      <c r="DF177" s="3">
        <f>IF(RTD("tos.rtd",,DF$43,"."&amp;$B$134&amp;$AS$82&amp;"P"&amp;$A177)="N/A",0,RTD("tos.rtd",,DF$43,"."&amp;$B$134&amp;$AS$82&amp;"P"&amp;$A177))</f>
        <v>0</v>
      </c>
      <c r="DG177" s="86">
        <f t="shared" si="590"/>
        <v>-493.75</v>
      </c>
      <c r="DH177" s="3">
        <f t="shared" si="557"/>
        <v>0</v>
      </c>
      <c r="DI177" s="3">
        <f t="shared" si="558"/>
        <v>0</v>
      </c>
      <c r="DJ177" s="3">
        <f t="shared" si="559"/>
        <v>0</v>
      </c>
      <c r="DK177" s="3">
        <f t="shared" si="560"/>
        <v>0</v>
      </c>
      <c r="DL177" s="3">
        <f t="shared" si="561"/>
        <v>0</v>
      </c>
      <c r="DM177" s="3">
        <f t="shared" si="562"/>
        <v>0</v>
      </c>
      <c r="DN177" s="64" t="str">
        <f t="shared" si="563"/>
        <v>UNKNOWN</v>
      </c>
      <c r="DO177" s="64" t="str">
        <f t="shared" si="564"/>
        <v>UNKNOWN</v>
      </c>
      <c r="DP177" s="3">
        <f t="shared" si="565"/>
        <v>0</v>
      </c>
      <c r="DQ177" s="3">
        <f t="shared" si="566"/>
        <v>0</v>
      </c>
      <c r="DR177" s="3">
        <f t="shared" ca="1" si="567"/>
        <v>0</v>
      </c>
      <c r="DS177" s="3">
        <f t="shared" si="568"/>
        <v>0</v>
      </c>
      <c r="DT177" s="3">
        <f t="shared" si="591"/>
        <v>0</v>
      </c>
      <c r="DU177" s="3">
        <f t="shared" si="592"/>
        <v>0</v>
      </c>
      <c r="DV177" s="3">
        <f t="shared" si="569"/>
        <v>-2</v>
      </c>
      <c r="DW177" s="3">
        <f t="shared" si="570"/>
        <v>-8</v>
      </c>
      <c r="DX177" s="3">
        <f t="shared" ca="1" si="654"/>
        <v>7.414508450963699E-16</v>
      </c>
      <c r="DY177" s="3">
        <f t="shared" ca="1" si="655"/>
        <v>-4.7002585917419338E-4</v>
      </c>
      <c r="DZ177" s="3">
        <f t="shared" ca="1" si="656"/>
        <v>4.6224794282148987E-4</v>
      </c>
      <c r="EA177" s="3">
        <f t="shared" ca="1" si="657"/>
        <v>-4.47521108435018E-4</v>
      </c>
      <c r="EB177" s="3">
        <f t="shared" ca="1" si="658"/>
        <v>4.6564552160501742E-4</v>
      </c>
      <c r="EC177" s="3">
        <f t="shared" ca="1" si="659"/>
        <v>-4.6338614607007399E-4</v>
      </c>
      <c r="ED177" s="63">
        <f t="shared" si="593"/>
        <v>-10</v>
      </c>
      <c r="EE177" s="59">
        <f t="shared" si="577"/>
        <v>0.25</v>
      </c>
      <c r="EF177" s="59">
        <f t="shared" si="578"/>
        <v>2.2134999999999998</v>
      </c>
      <c r="EG177" s="59">
        <f t="shared" si="579"/>
        <v>0.21820000000000001</v>
      </c>
      <c r="EH177" s="59">
        <f t="shared" si="580"/>
        <v>0.247</v>
      </c>
      <c r="EI177" s="59">
        <f t="shared" si="581"/>
        <v>0.2034</v>
      </c>
      <c r="EJ177" s="59">
        <f t="shared" si="582"/>
        <v>0.2147</v>
      </c>
      <c r="EK177" s="63">
        <f t="shared" ca="1" si="594"/>
        <v>1633666.6754848848</v>
      </c>
      <c r="EL177" s="3" t="str">
        <f>RTD("tos.rtd",,EL$43,"."&amp;$B$134&amp;$AS$82&amp;"C"&amp;$A177)</f>
        <v>--</v>
      </c>
      <c r="EM177" s="3" t="str">
        <f>RTD("tos.rtd",,EM$43,"."&amp;$B$134&amp;$AS$82&amp;"P"&amp;$A177)</f>
        <v>221.35%</v>
      </c>
      <c r="EN177" s="3" t="str">
        <f>RTD("tos.rtd",,EN$2,"."&amp;$C$134&amp;$AU$82&amp;"C"&amp;$A177)</f>
        <v>21.82%</v>
      </c>
      <c r="EO177" s="3" t="str">
        <f>RTD("tos.rtd",,EO$2,"."&amp;$C$134&amp;$AU$82&amp;"P"&amp;$A177)</f>
        <v>24.70%</v>
      </c>
      <c r="EP177" s="3" t="str">
        <f>RTD("tos.rtd",,EP$2,"."&amp;$D$134&amp;$AW$82&amp;"C"&amp;$A177)</f>
        <v>20.34%</v>
      </c>
      <c r="EQ177" s="3" t="str">
        <f>RTD("tos.rtd",,EQ$2,"."&amp;$D$134&amp;$AW$82&amp;"P"&amp;$A177)</f>
        <v>21.47%</v>
      </c>
      <c r="ES177" s="63" t="str">
        <f t="shared" si="583"/>
        <v>20350,-10.00</v>
      </c>
      <c r="ET177" s="63" t="str">
        <f t="shared" ca="1" si="584"/>
        <v>20350,-21.54</v>
      </c>
      <c r="EU177" s="68">
        <v>572.16</v>
      </c>
      <c r="EV177" s="68" t="s">
        <v>1435</v>
      </c>
      <c r="EW177" s="68">
        <v>497.49</v>
      </c>
      <c r="EX177" s="68" t="s">
        <v>1436</v>
      </c>
      <c r="EY177" s="68">
        <v>5732</v>
      </c>
      <c r="EZ177" s="68" t="s">
        <v>1437</v>
      </c>
      <c r="FA177" s="68">
        <v>20426.5</v>
      </c>
      <c r="FB177" s="68" t="s">
        <v>1438</v>
      </c>
      <c r="FC177" s="68" t="s">
        <v>1439</v>
      </c>
      <c r="FD177" s="68" t="s">
        <v>1440</v>
      </c>
      <c r="FE177" s="68" t="s">
        <v>1441</v>
      </c>
      <c r="FF177" s="68" t="s">
        <v>1442</v>
      </c>
    </row>
    <row r="178" spans="1:162" ht="11.1" customHeight="1" thickBot="1" x14ac:dyDescent="0.25">
      <c r="A178" s="2">
        <f t="shared" si="595"/>
        <v>20325</v>
      </c>
      <c r="B178" s="3">
        <f t="shared" si="631"/>
        <v>4</v>
      </c>
      <c r="C178" s="3">
        <f t="shared" si="632"/>
        <v>23</v>
      </c>
      <c r="D178" s="3">
        <f t="shared" si="633"/>
        <v>70</v>
      </c>
      <c r="E178" s="3">
        <f t="shared" si="634"/>
        <v>97</v>
      </c>
      <c r="F178" s="4">
        <f t="shared" si="635"/>
        <v>20422.511244377809</v>
      </c>
      <c r="G178" s="5">
        <f t="shared" si="636"/>
        <v>495.02558320839586</v>
      </c>
      <c r="AM178" s="1">
        <v>-1</v>
      </c>
      <c r="AN178" s="1">
        <v>-28</v>
      </c>
      <c r="AO178" s="1">
        <v>20325</v>
      </c>
      <c r="AP178" s="1">
        <v>1</v>
      </c>
      <c r="AQ178" s="1">
        <v>-59</v>
      </c>
      <c r="AS178" s="54">
        <f>IF(RTD("tos.rtd",,AS$83,"."&amp;$B$134&amp;$AS$82&amp;"C"&amp;$A178)="N/A",0,RTD("tos.rtd",,AS$83,"."&amp;$B$134&amp;$AS$82&amp;"C"&amp;$A178))</f>
        <v>4</v>
      </c>
      <c r="AT178" s="3">
        <f>-IF(RTD("tos.rtd",,AT$83,"."&amp;$B$134&amp;$AS$82&amp;"P"&amp;$A178)="N/A",0,RTD("tos.rtd",,AT$83,"."&amp;$B$134&amp;$AS$82&amp;"P"&amp;$A178))</f>
        <v>0</v>
      </c>
      <c r="AU178" s="54">
        <f>IF(RTD("tos.rtd",,AU$2,"."&amp;$C$134&amp;$AU$134&amp;"C"&amp;$A178)="N/A",0,RTD("tos.rtd",,AU$2,"."&amp;$C$134&amp;$AU$134&amp;"C"&amp;$A178))</f>
        <v>13</v>
      </c>
      <c r="AV178" s="3">
        <f>-IF(RTD("tos.rtd",,AV$2,"."&amp;$C$134&amp;$AU$134&amp;"P"&amp;$A178)="N/A",0,RTD("tos.rtd",,AV$2,"."&amp;$C$134&amp;$AU$134&amp;"P"&amp;$A178))</f>
        <v>-10</v>
      </c>
      <c r="AW178" s="54">
        <f>IF(RTD("tos.rtd",,AW$2,"."&amp;$D$134&amp;$AW$134&amp;"C"&amp;$A178)="N/A",0,RTD("tos.rtd",,AW$2,"."&amp;$D$134&amp;$AW$134&amp;"C"&amp;$A178))</f>
        <v>33</v>
      </c>
      <c r="AX178" s="3">
        <f>-IF(RTD("tos.rtd",,AX$2,"."&amp;$D$134&amp;$AW$134&amp;"P"&amp;$A178)="N/A",0,RTD("tos.rtd",,AX$2,"."&amp;$D$134&amp;$AW$134&amp;"P"&amp;$A178))</f>
        <v>-37</v>
      </c>
      <c r="AY178" s="76">
        <f t="shared" si="637"/>
        <v>3</v>
      </c>
      <c r="AZ178" s="8">
        <f t="shared" si="548"/>
        <v>20325</v>
      </c>
      <c r="BA178" s="54">
        <f>IF(RTD("tos.rtd",,BA$43,"."&amp;$B$134&amp;$AS$82&amp;"C"&amp;$A178)="N/A",0,RTD("tos.rtd",,BA$43,"."&amp;$B$134&amp;$AS$82&amp;"C"&amp;$A178))</f>
        <v>1</v>
      </c>
      <c r="BB178" s="3">
        <f>-IF(RTD("tos.rtd",,BB$43,"."&amp;$B$134&amp;$AS$82&amp;"P"&amp;$A178)="N/A",0,RTD("tos.rtd",,BB$43,"."&amp;$B$134&amp;$AS$82&amp;"P"&amp;$A178))</f>
        <v>-59</v>
      </c>
      <c r="BC178" s="54">
        <f>IF(RTD("tos.rtd",,BC$2,"."&amp;$C$134&amp;$AU$82&amp;"C"&amp;$A178)="N/A",0,RTD("tos.rtd",,BC$2,"."&amp;$C$134&amp;$AU$82&amp;"C"&amp;$A178))</f>
        <v>4</v>
      </c>
      <c r="BD178" s="3">
        <f>-IF(RTD("tos.rtd",,BD$2,"."&amp;$C$134&amp;$AU$82&amp;"P"&amp;$A178)="N/A",0,RTD("tos.rtd",,BD$2,"."&amp;$C$134&amp;$AU$82&amp;"P"&amp;$A178))</f>
        <v>-1</v>
      </c>
      <c r="BE178" s="54">
        <f>IF(RTD("tos.rtd",,BE$2,"."&amp;$D$134&amp;$AW$82&amp;"C"&amp;$A178)="N/A",0,RTD("tos.rtd",,BE$2,"."&amp;$D$134&amp;$AW$82&amp;"C"&amp;$A178))</f>
        <v>0</v>
      </c>
      <c r="BF178" s="3">
        <f>-IF(RTD("tos.rtd",,BF$2,"."&amp;$D$134&amp;$AW$82&amp;"P"&amp;$A178)="N/A",0,RTD("tos.rtd",,BF$2,"."&amp;$D$134&amp;$AW$82&amp;"P"&amp;$A178))</f>
        <v>0</v>
      </c>
      <c r="BG178" s="3">
        <f ca="1">+Hoja2!Y179</f>
        <v>0</v>
      </c>
      <c r="BH178" s="7">
        <f t="shared" ca="1" si="549"/>
        <v>-55</v>
      </c>
      <c r="BI178" s="32" t="str">
        <f t="shared" ca="1" si="609"/>
        <v/>
      </c>
      <c r="BJ178" s="3">
        <f ca="1">IF($BP$1=1,DX178,IF(RTD("tos.rtd",,BJ$43,"."&amp;$B$134&amp;$AS$82&amp;"C"&amp;$A178)="N/A",0,RTD("tos.rtd",,BJ$43,"."&amp;$B$134&amp;$AS$82&amp;"C"&amp;$A178)))</f>
        <v>3.2499867800825096E-17</v>
      </c>
      <c r="BK178" s="3">
        <f ca="1">IF($BP$1=1,DY178,-IF(RTD("tos.rtd",,BK$43,"."&amp;$B$134&amp;$AS$82&amp;"P"&amp;$A178)="N/A",0,RTD("tos.rtd",,BK$43,"."&amp;$B$134&amp;$AS$82&amp;"P"&amp;$A178)))</f>
        <v>-4.4815784891272551E-4</v>
      </c>
      <c r="BL178" s="3">
        <f ca="1">IF($BP$1=1,DZ178,IF(RTD("tos.rtd",,BL$2,"."&amp;$C$134&amp;$AU$82&amp;"C"&amp;$A178)="N/A",0,RTD("tos.rtd",,BL$2,"."&amp;$C$134&amp;$AU$82&amp;"C"&amp;$A178)))</f>
        <v>4.4191361649139515E-4</v>
      </c>
      <c r="BM178" s="3">
        <f ca="1">IF($BP$1=1,EA178,-IF(RTD("tos.rtd",,BM$2,"."&amp;$C$134&amp;$AU$82&amp;"P"&amp;$A178)="N/A",0,RTD("tos.rtd",,BM$2,"."&amp;$C$134&amp;$AU$82&amp;"P"&amp;$A178)))</f>
        <v>-4.3203462455467201E-4</v>
      </c>
      <c r="BN178" s="3">
        <f ca="1">IF($BP$1=1,EB178,IF(RTD("tos.rtd",,BN$2,"."&amp;$D$134&amp;$AW$82&amp;"C"&amp;$A178)="N/A",0,RTD("tos.rtd",,BN$2,"."&amp;$D$134&amp;$AW$82&amp;"C"&amp;$A178)))</f>
        <v>4.4340069676866391E-4</v>
      </c>
      <c r="BO178" s="3">
        <f ca="1">IF($BP$1=1,EC178,-IF(RTD("tos.rtd",,BO$2,"."&amp;$D$134&amp;$AW$82&amp;"P"&amp;$A178)="N/A",0,RTD("tos.rtd",,BO$2,"."&amp;$D$134&amp;$AW$82&amp;"P"&amp;$A178)))</f>
        <v>-4.4302577750925467E-4</v>
      </c>
      <c r="BQ178" s="3">
        <f t="shared" ca="1" si="638"/>
        <v>4.4363675523860576E-9</v>
      </c>
      <c r="BR178" s="3" t="str">
        <f t="shared" ca="1" si="550"/>
        <v>Cruce +</v>
      </c>
      <c r="BS178" s="3">
        <f t="shared" ca="1" si="639"/>
        <v>48613.598361338431</v>
      </c>
      <c r="BT178" s="3" t="str">
        <f t="shared" ca="1" si="551"/>
        <v/>
      </c>
      <c r="BU178" s="3">
        <f t="shared" ca="1" si="640"/>
        <v>-60052.648188191932</v>
      </c>
      <c r="BV178" s="3" t="str">
        <f t="shared" ca="1" si="551"/>
        <v>Cruce -</v>
      </c>
      <c r="BX178" s="3">
        <f t="shared" ca="1" si="585"/>
        <v>-6814.4201896104105</v>
      </c>
      <c r="BY178" s="3" t="str">
        <f t="shared" ca="1" si="586"/>
        <v/>
      </c>
      <c r="BZ178" s="3">
        <f t="shared" ca="1" si="587"/>
        <v>344.21417663350144</v>
      </c>
      <c r="CA178" s="3" t="str">
        <f t="shared" ca="1" si="586"/>
        <v>Cruce +</v>
      </c>
      <c r="CB178" s="3">
        <f t="shared" ca="1" si="588"/>
        <v>0</v>
      </c>
      <c r="CC178" s="3" t="str">
        <f t="shared" ca="1" si="586"/>
        <v/>
      </c>
      <c r="CD178" s="3">
        <f>IF(RTD("tos.rtd",,CD$43,"."&amp;$B$134&amp;$AS$82&amp;"C"&amp;$A178)="N/A",0,RTD("tos.rtd",,CD$43,"."&amp;$B$134&amp;$AS$82&amp;"C"&amp;$A178))</f>
        <v>1</v>
      </c>
      <c r="CE178" s="3">
        <f>-IF(RTD("tos.rtd",,CE$43,"."&amp;$B$134&amp;$AS$82&amp;"P"&amp;$A178)="N/A",0,RTD("tos.rtd",,CE$43,"."&amp;$B$134&amp;$AS$82&amp;"P"&amp;$A178))</f>
        <v>0.06</v>
      </c>
      <c r="CF178" s="3">
        <f>IF(RTD("tos.rtd",,CF$2,"."&amp;$C$134&amp;$AU$82&amp;"C"&amp;$A178)="N/A",0,RTD("tos.rtd",,CF$2,"."&amp;$C$134&amp;$AU$82&amp;"C"&amp;$A178))</f>
        <v>0.89</v>
      </c>
      <c r="CG178" s="3">
        <f>-IF(RTD("tos.rtd",,CG$2,"."&amp;$C$134&amp;$AU$82&amp;"P"&amp;$A178)="N/A",0,RTD("tos.rtd",,CG$2,"."&amp;$C$134&amp;$AU$82&amp;"P"&amp;$A178))</f>
        <v>0.14000000000000001</v>
      </c>
      <c r="CH178" s="3">
        <f>IF(RTD("tos.rtd",,CH$2,"."&amp;$D$134&amp;$AW$82&amp;"C"&amp;$A178)="N/A",0,RTD("tos.rtd",,CH$2,"."&amp;$D$134&amp;$AW$82&amp;"C"&amp;$A178))</f>
        <v>0.69</v>
      </c>
      <c r="CI178" s="3">
        <f>-IF(RTD("tos.rtd",,CI$2,"."&amp;$D$134&amp;$AW$82&amp;"P"&amp;$A178)="N/A",0,RTD("tos.rtd",,CI$2,"."&amp;$D$134&amp;$AW$82&amp;"P"&amp;$A178))</f>
        <v>0.32</v>
      </c>
      <c r="CK178" s="3">
        <f t="shared" si="660"/>
        <v>400</v>
      </c>
      <c r="CL178" s="3"/>
      <c r="CM178" s="3">
        <f t="shared" si="661"/>
        <v>1017</v>
      </c>
      <c r="CN178" s="3"/>
      <c r="CO178" s="3">
        <f t="shared" si="662"/>
        <v>1093</v>
      </c>
      <c r="CP178" s="3">
        <f t="shared" si="542"/>
        <v>2510</v>
      </c>
      <c r="CQ178" s="3">
        <f t="shared" si="552"/>
        <v>-58</v>
      </c>
      <c r="CR178" s="3"/>
      <c r="CS178" s="3">
        <f t="shared" si="553"/>
        <v>3</v>
      </c>
      <c r="CT178" s="3"/>
      <c r="CU178" s="3">
        <f t="shared" si="554"/>
        <v>0</v>
      </c>
      <c r="CV178" s="3"/>
      <c r="CW178" s="3">
        <f t="shared" ca="1" si="555"/>
        <v>-11439.049826849063</v>
      </c>
      <c r="CY178" s="3">
        <f t="shared" ca="1" si="556"/>
        <v>-6470.2060129769088</v>
      </c>
      <c r="CZ178" s="70" t="str">
        <f t="shared" ca="1" si="589"/>
        <v/>
      </c>
      <c r="DA178" s="3">
        <f>IF(RTD("tos.rtd",,DA$43,"."&amp;$B$134&amp;$AS$82&amp;"C"&amp;$A178)="N/A",0,RTD("tos.rtd",,DA$43,"."&amp;$B$134&amp;$AS$82&amp;"C"&amp;$A178))</f>
        <v>425.22</v>
      </c>
      <c r="DB178" s="3">
        <f>IF(RTD("tos.rtd",,DB$43,"."&amp;$B$134&amp;$AS$82&amp;"P"&amp;$A178)="N/A",0,RTD("tos.rtd",,DB$43,"."&amp;$B$134&amp;$AS$82&amp;"P"&amp;$A178))</f>
        <v>0.25</v>
      </c>
      <c r="DC178" s="3">
        <f>IF(RTD("tos.rtd",,DC$43,"."&amp;$B$134&amp;$AS$82&amp;"C"&amp;$A178)="N/A",0,RTD("tos.rtd",,DC$43,"."&amp;$B$134&amp;$AS$82&amp;"C"&amp;$A178))</f>
        <v>578</v>
      </c>
      <c r="DD178" s="3">
        <f>IF(RTD("tos.rtd",,DD$43,"."&amp;$B$134&amp;$AS$82&amp;"P"&amp;$A178)="N/A",0,RTD("tos.rtd",,DD$43,"."&amp;$B$134&amp;$AS$82&amp;"P"&amp;$A178))</f>
        <v>20</v>
      </c>
      <c r="DE178" s="3">
        <f>IF(RTD("tos.rtd",,DE$43,"."&amp;$B$134&amp;$AS$82&amp;"C"&amp;$A178)="N/A",0,RTD("tos.rtd",,DE$43,"."&amp;$B$134&amp;$AS$82&amp;"C"&amp;$A178))</f>
        <v>498</v>
      </c>
      <c r="DF178" s="3">
        <f>IF(RTD("tos.rtd",,DF$43,"."&amp;$B$134&amp;$AS$82&amp;"P"&amp;$A178)="N/A",0,RTD("tos.rtd",,DF$43,"."&amp;$B$134&amp;$AS$82&amp;"P"&amp;$A178))</f>
        <v>0</v>
      </c>
      <c r="DG178" s="86">
        <f t="shared" si="590"/>
        <v>-518.75</v>
      </c>
      <c r="DH178" s="3">
        <f t="shared" si="557"/>
        <v>0</v>
      </c>
      <c r="DI178" s="3">
        <f t="shared" si="558"/>
        <v>0</v>
      </c>
      <c r="DJ178" s="3">
        <f t="shared" si="559"/>
        <v>0</v>
      </c>
      <c r="DK178" s="3">
        <f t="shared" si="560"/>
        <v>0</v>
      </c>
      <c r="DL178" s="3">
        <f t="shared" si="561"/>
        <v>0</v>
      </c>
      <c r="DM178" s="3">
        <f t="shared" si="562"/>
        <v>0</v>
      </c>
      <c r="DN178" s="64" t="str">
        <f t="shared" si="563"/>
        <v>UNKNOWN</v>
      </c>
      <c r="DO178" s="64" t="str">
        <f t="shared" si="564"/>
        <v>UNKNOWN</v>
      </c>
      <c r="DP178" s="3">
        <f t="shared" si="565"/>
        <v>0</v>
      </c>
      <c r="DQ178" s="3">
        <f t="shared" si="566"/>
        <v>0</v>
      </c>
      <c r="DR178" s="3">
        <f t="shared" ca="1" si="567"/>
        <v>0</v>
      </c>
      <c r="DS178" s="3">
        <f t="shared" si="568"/>
        <v>0</v>
      </c>
      <c r="DT178" s="3">
        <f t="shared" si="591"/>
        <v>0</v>
      </c>
      <c r="DU178" s="3">
        <f t="shared" si="592"/>
        <v>0</v>
      </c>
      <c r="DV178" s="3">
        <f t="shared" si="569"/>
        <v>-1</v>
      </c>
      <c r="DW178" s="3">
        <f t="shared" si="570"/>
        <v>-28</v>
      </c>
      <c r="DX178" s="3">
        <f t="shared" ca="1" si="654"/>
        <v>3.2499867800825096E-17</v>
      </c>
      <c r="DY178" s="3">
        <f t="shared" ca="1" si="655"/>
        <v>-4.4815784891272551E-4</v>
      </c>
      <c r="DZ178" s="3">
        <f t="shared" ca="1" si="656"/>
        <v>4.4191361649139515E-4</v>
      </c>
      <c r="EA178" s="3">
        <f t="shared" ca="1" si="657"/>
        <v>-4.3203462455467201E-4</v>
      </c>
      <c r="EB178" s="3">
        <f t="shared" ca="1" si="658"/>
        <v>4.4340069676866391E-4</v>
      </c>
      <c r="EC178" s="3">
        <f t="shared" ca="1" si="659"/>
        <v>-4.4302577750925467E-4</v>
      </c>
      <c r="ED178" s="63">
        <f t="shared" si="593"/>
        <v>-29</v>
      </c>
      <c r="EE178" s="59">
        <f t="shared" si="577"/>
        <v>0.25</v>
      </c>
      <c r="EF178" s="59">
        <f t="shared" si="578"/>
        <v>2.2972999999999999</v>
      </c>
      <c r="EG178" s="59">
        <f t="shared" si="579"/>
        <v>0.222</v>
      </c>
      <c r="EH178" s="59">
        <f t="shared" si="580"/>
        <v>0.24809999999999999</v>
      </c>
      <c r="EI178" s="59">
        <f t="shared" si="581"/>
        <v>0.20949999999999999</v>
      </c>
      <c r="EJ178" s="59">
        <f t="shared" si="582"/>
        <v>0.2155</v>
      </c>
      <c r="EK178" s="63">
        <f t="shared" ca="1" si="594"/>
        <v>5451810.4715411384</v>
      </c>
      <c r="EL178" s="3" t="str">
        <f>RTD("tos.rtd",,EL$43,"."&amp;$B$134&amp;$AS$82&amp;"C"&amp;$A178)</f>
        <v>--</v>
      </c>
      <c r="EM178" s="3" t="str">
        <f>RTD("tos.rtd",,EM$43,"."&amp;$B$134&amp;$AS$82&amp;"P"&amp;$A178)</f>
        <v>229.73%</v>
      </c>
      <c r="EN178" s="3" t="str">
        <f>RTD("tos.rtd",,EN$2,"."&amp;$C$134&amp;$AU$82&amp;"C"&amp;$A178)</f>
        <v>22.20%</v>
      </c>
      <c r="EO178" s="3" t="str">
        <f>RTD("tos.rtd",,EO$2,"."&amp;$C$134&amp;$AU$82&amp;"P"&amp;$A178)</f>
        <v>24.81%</v>
      </c>
      <c r="EP178" s="3" t="str">
        <f>RTD("tos.rtd",,EP$2,"."&amp;$D$134&amp;$AW$82&amp;"C"&amp;$A178)</f>
        <v>20.95%</v>
      </c>
      <c r="EQ178" s="3" t="str">
        <f>RTD("tos.rtd",,EQ$2,"."&amp;$D$134&amp;$AW$82&amp;"P"&amp;$A178)</f>
        <v>21.55%</v>
      </c>
      <c r="ES178" s="63" t="str">
        <f t="shared" si="583"/>
        <v>20325,-29.00</v>
      </c>
      <c r="ET178" s="63" t="str">
        <f t="shared" ca="1" si="584"/>
        <v>20325,-06.47</v>
      </c>
      <c r="EU178" s="68">
        <v>572.16</v>
      </c>
      <c r="EV178" s="68" t="s">
        <v>1443</v>
      </c>
      <c r="EW178" s="68">
        <v>497.49</v>
      </c>
      <c r="EX178" s="68" t="s">
        <v>1444</v>
      </c>
      <c r="EY178" s="68">
        <v>5731.75</v>
      </c>
      <c r="EZ178" s="68" t="s">
        <v>1445</v>
      </c>
      <c r="FA178" s="68">
        <v>20425</v>
      </c>
      <c r="FB178" s="68" t="s">
        <v>1446</v>
      </c>
      <c r="FC178" s="68" t="s">
        <v>1447</v>
      </c>
      <c r="FD178" s="68" t="s">
        <v>1448</v>
      </c>
      <c r="FE178" s="68" t="s">
        <v>1449</v>
      </c>
      <c r="FF178" s="68" t="s">
        <v>1450</v>
      </c>
    </row>
    <row r="179" spans="1:162" ht="11.1" customHeight="1" thickBot="1" x14ac:dyDescent="0.25">
      <c r="A179" s="2">
        <f t="shared" si="595"/>
        <v>20300</v>
      </c>
      <c r="B179" s="3">
        <f t="shared" si="631"/>
        <v>147</v>
      </c>
      <c r="C179" s="3">
        <f t="shared" si="632"/>
        <v>84</v>
      </c>
      <c r="D179" s="3">
        <f t="shared" si="633"/>
        <v>263</v>
      </c>
      <c r="E179" s="3">
        <f t="shared" si="634"/>
        <v>494</v>
      </c>
      <c r="F179" s="4">
        <f t="shared" si="635"/>
        <v>20397.391304347824</v>
      </c>
      <c r="G179" s="5">
        <f t="shared" si="636"/>
        <v>494.41669565217393</v>
      </c>
      <c r="AM179" s="1">
        <v>1</v>
      </c>
      <c r="AN179" s="1">
        <v>118</v>
      </c>
      <c r="AO179" s="1">
        <v>20300</v>
      </c>
      <c r="AP179" s="1">
        <v>19</v>
      </c>
      <c r="AQ179" s="1">
        <v>-366</v>
      </c>
      <c r="AS179" s="54">
        <f>IF(RTD("tos.rtd",,AS$83,"."&amp;$B$134&amp;$AS$82&amp;"C"&amp;$A179)="N/A",0,RTD("tos.rtd",,AS$83,"."&amp;$B$134&amp;$AS$82&amp;"C"&amp;$A179))</f>
        <v>142</v>
      </c>
      <c r="AT179" s="3">
        <f>-IF(RTD("tos.rtd",,AT$83,"."&amp;$B$134&amp;$AS$82&amp;"P"&amp;$A179)="N/A",0,RTD("tos.rtd",,AT$83,"."&amp;$B$134&amp;$AS$82&amp;"P"&amp;$A179))</f>
        <v>-5</v>
      </c>
      <c r="AU179" s="54">
        <f>IF(RTD("tos.rtd",,AU$2,"."&amp;$C$134&amp;$AU$134&amp;"C"&amp;$A179)="N/A",0,RTD("tos.rtd",,AU$2,"."&amp;$C$134&amp;$AU$134&amp;"C"&amp;$A179))</f>
        <v>57</v>
      </c>
      <c r="AV179" s="3">
        <f>-IF(RTD("tos.rtd",,AV$2,"."&amp;$C$134&amp;$AU$134&amp;"P"&amp;$A179)="N/A",0,RTD("tos.rtd",,AV$2,"."&amp;$C$134&amp;$AU$134&amp;"P"&amp;$A179))</f>
        <v>-27</v>
      </c>
      <c r="AW179" s="54">
        <f>IF(RTD("tos.rtd",,AW$2,"."&amp;$D$134&amp;$AW$134&amp;"C"&amp;$A179)="N/A",0,RTD("tos.rtd",,AW$2,"."&amp;$D$134&amp;$AW$134&amp;"C"&amp;$A179))</f>
        <v>111</v>
      </c>
      <c r="AX179" s="3">
        <f>-IF(RTD("tos.rtd",,AX$2,"."&amp;$D$134&amp;$AW$134&amp;"P"&amp;$A179)="N/A",0,RTD("tos.rtd",,AX$2,"."&amp;$D$134&amp;$AW$134&amp;"P"&amp;$A179))</f>
        <v>-152</v>
      </c>
      <c r="AY179" s="76">
        <f t="shared" si="637"/>
        <v>126</v>
      </c>
      <c r="AZ179" s="8">
        <f t="shared" si="548"/>
        <v>20300</v>
      </c>
      <c r="BA179" s="54">
        <f>IF(RTD("tos.rtd",,BA$43,"."&amp;$B$134&amp;$AS$82&amp;"C"&amp;$A179)="N/A",0,RTD("tos.rtd",,BA$43,"."&amp;$B$134&amp;$AS$82&amp;"C"&amp;$A179))</f>
        <v>19</v>
      </c>
      <c r="BB179" s="3">
        <f>-IF(RTD("tos.rtd",,BB$43,"."&amp;$B$134&amp;$AS$82&amp;"P"&amp;$A179)="N/A",0,RTD("tos.rtd",,BB$43,"."&amp;$B$134&amp;$AS$82&amp;"P"&amp;$A179))</f>
        <v>-366</v>
      </c>
      <c r="BC179" s="54">
        <f>IF(RTD("tos.rtd",,BC$2,"."&amp;$C$134&amp;$AU$82&amp;"C"&amp;$A179)="N/A",0,RTD("tos.rtd",,BC$2,"."&amp;$C$134&amp;$AU$82&amp;"C"&amp;$A179))</f>
        <v>3</v>
      </c>
      <c r="BD179" s="3">
        <f>-IF(RTD("tos.rtd",,BD$2,"."&amp;$C$134&amp;$AU$82&amp;"P"&amp;$A179)="N/A",0,RTD("tos.rtd",,BD$2,"."&amp;$C$134&amp;$AU$82&amp;"P"&amp;$A179))</f>
        <v>-6</v>
      </c>
      <c r="BE179" s="54">
        <f>IF(RTD("tos.rtd",,BE$2,"."&amp;$D$134&amp;$AW$82&amp;"C"&amp;$A179)="N/A",0,RTD("tos.rtd",,BE$2,"."&amp;$D$134&amp;$AW$82&amp;"C"&amp;$A179))</f>
        <v>0</v>
      </c>
      <c r="BF179" s="3">
        <f>-IF(RTD("tos.rtd",,BF$2,"."&amp;$D$134&amp;$AW$82&amp;"P"&amp;$A179)="N/A",0,RTD("tos.rtd",,BF$2,"."&amp;$D$134&amp;$AW$82&amp;"P"&amp;$A179))</f>
        <v>0</v>
      </c>
      <c r="BG179" s="3">
        <f ca="1">+Hoja2!Y180</f>
        <v>-2</v>
      </c>
      <c r="BH179" s="7">
        <f t="shared" ca="1" si="549"/>
        <v>-352</v>
      </c>
      <c r="BI179" s="32" t="str">
        <f t="shared" ca="1" si="609"/>
        <v/>
      </c>
      <c r="BJ179" s="3">
        <f ca="1">IF($BP$1=1,DX179,IF(RTD("tos.rtd",,BJ$43,"."&amp;$B$134&amp;$AS$82&amp;"C"&amp;$A179)="N/A",0,RTD("tos.rtd",,BJ$43,"."&amp;$B$134&amp;$AS$82&amp;"C"&amp;$A179)))</f>
        <v>1.2134241195102474E-18</v>
      </c>
      <c r="BK179" s="3">
        <f ca="1">IF($BP$1=1,DY179,-IF(RTD("tos.rtd",,BK$43,"."&amp;$B$134&amp;$AS$82&amp;"P"&amp;$A179)="N/A",0,RTD("tos.rtd",,BK$43,"."&amp;$B$134&amp;$AS$82&amp;"P"&amp;$A179)))</f>
        <v>-3.9452246689296875E-4</v>
      </c>
      <c r="BL179" s="3">
        <f ca="1">IF($BP$1=1,DZ179,IF(RTD("tos.rtd",,BL$2,"."&amp;$C$134&amp;$AU$82&amp;"C"&amp;$A179)="N/A",0,RTD("tos.rtd",,BL$2,"."&amp;$C$134&amp;$AU$82&amp;"C"&amp;$A179)))</f>
        <v>4.2264966360781126E-4</v>
      </c>
      <c r="BM179" s="3">
        <f ca="1">IF($BP$1=1,EA179,-IF(RTD("tos.rtd",,BM$2,"."&amp;$C$134&amp;$AU$82&amp;"P"&amp;$A179)="N/A",0,RTD("tos.rtd",,BM$2,"."&amp;$C$134&amp;$AU$82&amp;"P"&amp;$A179)))</f>
        <v>-4.1659763657241972E-4</v>
      </c>
      <c r="BN179" s="3">
        <f ca="1">IF($BP$1=1,EB179,IF(RTD("tos.rtd",,BN$2,"."&amp;$D$134&amp;$AW$82&amp;"C"&amp;$A179)="N/A",0,RTD("tos.rtd",,BN$2,"."&amp;$D$134&amp;$AW$82&amp;"C"&amp;$A179)))</f>
        <v>4.2090346979783429E-4</v>
      </c>
      <c r="BO179" s="3">
        <f ca="1">IF($BP$1=1,EC179,-IF(RTD("tos.rtd",,BO$2,"."&amp;$D$134&amp;$AW$82&amp;"P"&amp;$A179)="N/A",0,RTD("tos.rtd",,BO$2,"."&amp;$D$134&amp;$AW$82&amp;"P"&amp;$A179)))</f>
        <v>-4.2290353090046874E-4</v>
      </c>
      <c r="BQ179" s="3">
        <f t="shared" ca="1" si="638"/>
        <v>-67317.453471560031</v>
      </c>
      <c r="BR179" s="3" t="str">
        <f t="shared" ca="1" si="550"/>
        <v>Cruce -</v>
      </c>
      <c r="BS179" s="3">
        <f t="shared" ca="1" si="639"/>
        <v>438277.17547001917</v>
      </c>
      <c r="BT179" s="3" t="str">
        <f t="shared" ca="1" si="551"/>
        <v/>
      </c>
      <c r="BU179" s="3">
        <f t="shared" ca="1" si="640"/>
        <v>-599289.20139459125</v>
      </c>
      <c r="BV179" s="3" t="str">
        <f t="shared" ca="1" si="551"/>
        <v/>
      </c>
      <c r="BX179" s="3">
        <f t="shared" ca="1" si="585"/>
        <v>-37213.345604328868</v>
      </c>
      <c r="BY179" s="3" t="str">
        <f t="shared" ca="1" si="586"/>
        <v/>
      </c>
      <c r="BZ179" s="3">
        <f t="shared" ca="1" si="587"/>
        <v>-317.4158122898329</v>
      </c>
      <c r="CA179" s="3" t="str">
        <f t="shared" ca="1" si="586"/>
        <v>Cruce -</v>
      </c>
      <c r="CB179" s="3">
        <f t="shared" ca="1" si="588"/>
        <v>0</v>
      </c>
      <c r="CC179" s="3" t="str">
        <f t="shared" ca="1" si="586"/>
        <v/>
      </c>
      <c r="CD179" s="3">
        <f>IF(RTD("tos.rtd",,CD$43,"."&amp;$B$134&amp;$AS$82&amp;"C"&amp;$A179)="N/A",0,RTD("tos.rtd",,CD$43,"."&amp;$B$134&amp;$AS$82&amp;"C"&amp;$A179))</f>
        <v>1</v>
      </c>
      <c r="CE179" s="3">
        <f>-IF(RTD("tos.rtd",,CE$43,"."&amp;$B$134&amp;$AS$82&amp;"P"&amp;$A179)="N/A",0,RTD("tos.rtd",,CE$43,"."&amp;$B$134&amp;$AS$82&amp;"P"&amp;$A179))</f>
        <v>0.01</v>
      </c>
      <c r="CF179" s="3">
        <f>IF(RTD("tos.rtd",,CF$2,"."&amp;$C$134&amp;$AU$82&amp;"C"&amp;$A179)="N/A",0,RTD("tos.rtd",,CF$2,"."&amp;$C$134&amp;$AU$82&amp;"C"&amp;$A179))</f>
        <v>0.89</v>
      </c>
      <c r="CG179" s="3">
        <f>-IF(RTD("tos.rtd",,CG$2,"."&amp;$C$134&amp;$AU$82&amp;"P"&amp;$A179)="N/A",0,RTD("tos.rtd",,CG$2,"."&amp;$C$134&amp;$AU$82&amp;"P"&amp;$A179))</f>
        <v>0.13</v>
      </c>
      <c r="CH179" s="3">
        <f>IF(RTD("tos.rtd",,CH$2,"."&amp;$D$134&amp;$AW$82&amp;"C"&amp;$A179)="N/A",0,RTD("tos.rtd",,CH$2,"."&amp;$D$134&amp;$AW$82&amp;"C"&amp;$A179))</f>
        <v>0.7</v>
      </c>
      <c r="CI179" s="3">
        <f>-IF(RTD("tos.rtd",,CI$2,"."&amp;$D$134&amp;$AW$82&amp;"P"&amp;$A179)="N/A",0,RTD("tos.rtd",,CI$2,"."&amp;$D$134&amp;$AW$82&amp;"P"&amp;$A179))</f>
        <v>0.31</v>
      </c>
      <c r="CK179" s="3">
        <f t="shared" si="660"/>
        <v>14195</v>
      </c>
      <c r="CL179" s="3"/>
      <c r="CM179" s="3">
        <f t="shared" si="661"/>
        <v>4722</v>
      </c>
      <c r="CN179" s="3"/>
      <c r="CO179" s="3">
        <f t="shared" si="662"/>
        <v>3057.9999999999991</v>
      </c>
      <c r="CP179" s="3">
        <f t="shared" si="542"/>
        <v>21975</v>
      </c>
      <c r="CQ179" s="3">
        <f t="shared" si="552"/>
        <v>-347</v>
      </c>
      <c r="CR179" s="3"/>
      <c r="CS179" s="3">
        <f t="shared" si="553"/>
        <v>-3</v>
      </c>
      <c r="CT179" s="3"/>
      <c r="CU179" s="3">
        <f t="shared" si="554"/>
        <v>0</v>
      </c>
      <c r="CV179" s="3"/>
      <c r="CW179" s="3">
        <f t="shared" ca="1" si="555"/>
        <v>-228329.47939613211</v>
      </c>
      <c r="CY179" s="3">
        <f t="shared" ca="1" si="556"/>
        <v>-37530.761416618698</v>
      </c>
      <c r="CZ179" s="70" t="str">
        <f t="shared" ca="1" si="589"/>
        <v/>
      </c>
      <c r="DA179" s="3">
        <f>IF(RTD("tos.rtd",,DA$43,"."&amp;$B$134&amp;$AS$82&amp;"C"&amp;$A179)="N/A",0,RTD("tos.rtd",,DA$43,"."&amp;$B$134&amp;$AS$82&amp;"C"&amp;$A179))</f>
        <v>520.80999999999995</v>
      </c>
      <c r="DB179" s="3">
        <f>IF(RTD("tos.rtd",,DB$43,"."&amp;$B$134&amp;$AS$82&amp;"P"&amp;$A179)="N/A",0,RTD("tos.rtd",,DB$43,"."&amp;$B$134&amp;$AS$82&amp;"P"&amp;$A179))</f>
        <v>0.05</v>
      </c>
      <c r="DC179" s="3">
        <f>IF(RTD("tos.rtd",,DC$43,"."&amp;$B$134&amp;$AS$82&amp;"C"&amp;$A179)="N/A",0,RTD("tos.rtd",,DC$43,"."&amp;$B$134&amp;$AS$82&amp;"C"&amp;$A179))</f>
        <v>604</v>
      </c>
      <c r="DD179" s="3">
        <f>IF(RTD("tos.rtd",,DD$43,"."&amp;$B$134&amp;$AS$82&amp;"P"&amp;$A179)="N/A",0,RTD("tos.rtd",,DD$43,"."&amp;$B$134&amp;$AS$82&amp;"P"&amp;$A179))</f>
        <v>2</v>
      </c>
      <c r="DE179" s="3">
        <f>IF(RTD("tos.rtd",,DE$43,"."&amp;$B$134&amp;$AS$82&amp;"C"&amp;$A179)="N/A",0,RTD("tos.rtd",,DE$43,"."&amp;$B$134&amp;$AS$82&amp;"C"&amp;$A179))</f>
        <v>524</v>
      </c>
      <c r="DF179" s="3">
        <f>IF(RTD("tos.rtd",,DF$43,"."&amp;$B$134&amp;$AS$82&amp;"P"&amp;$A179)="N/A",0,RTD("tos.rtd",,DF$43,"."&amp;$B$134&amp;$AS$82&amp;"P"&amp;$A179))</f>
        <v>0</v>
      </c>
      <c r="DG179" s="86">
        <f t="shared" si="590"/>
        <v>-543.75</v>
      </c>
      <c r="DH179" s="3">
        <f t="shared" si="557"/>
        <v>0</v>
      </c>
      <c r="DI179" s="3">
        <f t="shared" si="558"/>
        <v>0</v>
      </c>
      <c r="DJ179" s="3">
        <f t="shared" si="559"/>
        <v>0</v>
      </c>
      <c r="DK179" s="3">
        <f t="shared" si="560"/>
        <v>0</v>
      </c>
      <c r="DL179" s="3">
        <f t="shared" si="561"/>
        <v>0</v>
      </c>
      <c r="DM179" s="3">
        <f t="shared" si="562"/>
        <v>0</v>
      </c>
      <c r="DN179" s="64" t="str">
        <f t="shared" si="563"/>
        <v>UNKNOWN</v>
      </c>
      <c r="DO179" s="64" t="str">
        <f t="shared" si="564"/>
        <v>UNKNOWN</v>
      </c>
      <c r="DP179" s="3">
        <f t="shared" si="565"/>
        <v>0</v>
      </c>
      <c r="DQ179" s="3">
        <f t="shared" si="566"/>
        <v>0</v>
      </c>
      <c r="DR179" s="3">
        <f t="shared" ca="1" si="567"/>
        <v>0</v>
      </c>
      <c r="DS179" s="3">
        <f t="shared" si="568"/>
        <v>0</v>
      </c>
      <c r="DT179" s="3">
        <f t="shared" si="591"/>
        <v>0</v>
      </c>
      <c r="DU179" s="3">
        <f t="shared" si="592"/>
        <v>0</v>
      </c>
      <c r="DV179" s="3">
        <f t="shared" si="569"/>
        <v>1</v>
      </c>
      <c r="DW179" s="3">
        <f t="shared" si="570"/>
        <v>118</v>
      </c>
      <c r="DX179" s="3">
        <f t="shared" ca="1" si="654"/>
        <v>1.2134241195102474E-18</v>
      </c>
      <c r="DY179" s="3">
        <f t="shared" ca="1" si="655"/>
        <v>-3.9452246689296875E-4</v>
      </c>
      <c r="DZ179" s="3">
        <f t="shared" ca="1" si="656"/>
        <v>4.2264966360781126E-4</v>
      </c>
      <c r="EA179" s="3">
        <f t="shared" ca="1" si="657"/>
        <v>-4.1659763657241972E-4</v>
      </c>
      <c r="EB179" s="3">
        <f t="shared" ca="1" si="658"/>
        <v>4.2090346979783429E-4</v>
      </c>
      <c r="EC179" s="3">
        <f t="shared" ca="1" si="659"/>
        <v>-4.2290353090046874E-4</v>
      </c>
      <c r="ED179" s="63">
        <f t="shared" si="593"/>
        <v>119</v>
      </c>
      <c r="EE179" s="59">
        <f t="shared" si="577"/>
        <v>0.25</v>
      </c>
      <c r="EF179" s="59">
        <f t="shared" si="578"/>
        <v>1.6101000000000001</v>
      </c>
      <c r="EG179" s="59">
        <f t="shared" si="579"/>
        <v>0.22550000000000001</v>
      </c>
      <c r="EH179" s="59">
        <f t="shared" si="580"/>
        <v>0.24929999999999999</v>
      </c>
      <c r="EI179" s="59">
        <f t="shared" si="581"/>
        <v>0.20469999999999999</v>
      </c>
      <c r="EJ179" s="59">
        <f t="shared" si="582"/>
        <v>0.21629999999999999</v>
      </c>
      <c r="EK179" s="63">
        <f t="shared" ca="1" si="594"/>
        <v>-20225788.360623464</v>
      </c>
      <c r="EL179" s="3" t="str">
        <f>RTD("tos.rtd",,EL$43,"."&amp;$B$134&amp;$AS$82&amp;"C"&amp;$A179)</f>
        <v>--</v>
      </c>
      <c r="EM179" s="3" t="str">
        <f>RTD("tos.rtd",,EM$43,"."&amp;$B$134&amp;$AS$82&amp;"P"&amp;$A179)</f>
        <v>161.01%</v>
      </c>
      <c r="EN179" s="3" t="str">
        <f>RTD("tos.rtd",,EN$2,"."&amp;$C$134&amp;$AU$82&amp;"C"&amp;$A179)</f>
        <v>22.55%</v>
      </c>
      <c r="EO179" s="3" t="str">
        <f>RTD("tos.rtd",,EO$2,"."&amp;$C$134&amp;$AU$82&amp;"P"&amp;$A179)</f>
        <v>24.93%</v>
      </c>
      <c r="EP179" s="3" t="str">
        <f>RTD("tos.rtd",,EP$2,"."&amp;$D$134&amp;$AW$82&amp;"C"&amp;$A179)</f>
        <v>20.47%</v>
      </c>
      <c r="EQ179" s="3" t="str">
        <f>RTD("tos.rtd",,EQ$2,"."&amp;$D$134&amp;$AW$82&amp;"P"&amp;$A179)</f>
        <v>21.63%</v>
      </c>
      <c r="ES179" s="63" t="str">
        <f t="shared" si="583"/>
        <v>20300,119.00</v>
      </c>
      <c r="ET179" s="63" t="str">
        <f t="shared" ca="1" si="584"/>
        <v>20300,-37.53</v>
      </c>
      <c r="EU179" s="68">
        <v>572.02</v>
      </c>
      <c r="EV179" s="68" t="s">
        <v>1451</v>
      </c>
      <c r="EW179" s="68">
        <v>497.47</v>
      </c>
      <c r="EX179" s="68" t="s">
        <v>1452</v>
      </c>
      <c r="EY179" s="68">
        <v>5731.5</v>
      </c>
      <c r="EZ179" s="68" t="s">
        <v>1453</v>
      </c>
      <c r="FA179" s="68">
        <v>20423</v>
      </c>
      <c r="FB179" s="68" t="s">
        <v>1454</v>
      </c>
      <c r="FC179" s="68" t="s">
        <v>1455</v>
      </c>
      <c r="FD179" s="68" t="s">
        <v>1456</v>
      </c>
      <c r="FE179" s="68" t="s">
        <v>1457</v>
      </c>
      <c r="FF179" s="68" t="s">
        <v>1458</v>
      </c>
    </row>
    <row r="180" spans="1:162" ht="11.1" customHeight="1" thickBot="1" x14ac:dyDescent="0.25">
      <c r="A180" s="2">
        <f t="shared" si="595"/>
        <v>20275</v>
      </c>
      <c r="B180" s="3">
        <f t="shared" si="631"/>
        <v>96</v>
      </c>
      <c r="C180" s="3">
        <f t="shared" si="632"/>
        <v>32</v>
      </c>
      <c r="D180" s="3">
        <f t="shared" si="633"/>
        <v>41</v>
      </c>
      <c r="E180" s="3">
        <f t="shared" si="634"/>
        <v>169</v>
      </c>
      <c r="F180" s="4">
        <f t="shared" si="635"/>
        <v>20372.271364317839</v>
      </c>
      <c r="G180" s="5">
        <f t="shared" si="636"/>
        <v>493.80780809595205</v>
      </c>
      <c r="AM180" s="1">
        <v>0</v>
      </c>
      <c r="AN180" s="1">
        <v>-17</v>
      </c>
      <c r="AO180" s="1">
        <v>20275</v>
      </c>
      <c r="AP180" s="1">
        <v>0</v>
      </c>
      <c r="AQ180" s="1">
        <v>-58</v>
      </c>
      <c r="AS180" s="54">
        <f>IF(RTD("tos.rtd",,AS$83,"."&amp;$B$134&amp;$AS$82&amp;"C"&amp;$A180)="N/A",0,RTD("tos.rtd",,AS$83,"."&amp;$B$134&amp;$AS$82&amp;"C"&amp;$A180))</f>
        <v>96</v>
      </c>
      <c r="AT180" s="3">
        <f>-IF(RTD("tos.rtd",,AT$83,"."&amp;$B$134&amp;$AS$82&amp;"P"&amp;$A180)="N/A",0,RTD("tos.rtd",,AT$83,"."&amp;$B$134&amp;$AS$82&amp;"P"&amp;$A180))</f>
        <v>0</v>
      </c>
      <c r="AU180" s="54">
        <f>IF(RTD("tos.rtd",,AU$2,"."&amp;$C$134&amp;$AU$134&amp;"C"&amp;$A180)="N/A",0,RTD("tos.rtd",,AU$2,"."&amp;$C$134&amp;$AU$134&amp;"C"&amp;$A180))</f>
        <v>28</v>
      </c>
      <c r="AV180" s="3">
        <f>-IF(RTD("tos.rtd",,AV$2,"."&amp;$C$134&amp;$AU$134&amp;"P"&amp;$A180)="N/A",0,RTD("tos.rtd",,AV$2,"."&amp;$C$134&amp;$AU$134&amp;"P"&amp;$A180))</f>
        <v>-4</v>
      </c>
      <c r="AW180" s="54">
        <f>IF(RTD("tos.rtd",,AW$2,"."&amp;$D$134&amp;$AW$134&amp;"C"&amp;$A180)="N/A",0,RTD("tos.rtd",,AW$2,"."&amp;$D$134&amp;$AW$134&amp;"C"&amp;$A180))</f>
        <v>29</v>
      </c>
      <c r="AX180" s="3">
        <f>-IF(RTD("tos.rtd",,AX$2,"."&amp;$D$134&amp;$AW$134&amp;"P"&amp;$A180)="N/A",0,RTD("tos.rtd",,AX$2,"."&amp;$D$134&amp;$AW$134&amp;"P"&amp;$A180))</f>
        <v>-12</v>
      </c>
      <c r="AY180" s="76">
        <f t="shared" si="637"/>
        <v>137</v>
      </c>
      <c r="AZ180" s="8">
        <f t="shared" si="548"/>
        <v>20275</v>
      </c>
      <c r="BA180" s="54">
        <f>IF(RTD("tos.rtd",,BA$43,"."&amp;$B$134&amp;$AS$82&amp;"C"&amp;$A180)="N/A",0,RTD("tos.rtd",,BA$43,"."&amp;$B$134&amp;$AS$82&amp;"C"&amp;$A180))</f>
        <v>0</v>
      </c>
      <c r="BB180" s="3">
        <f>-IF(RTD("tos.rtd",,BB$43,"."&amp;$B$134&amp;$AS$82&amp;"P"&amp;$A180)="N/A",0,RTD("tos.rtd",,BB$43,"."&amp;$B$134&amp;$AS$82&amp;"P"&amp;$A180))</f>
        <v>-58</v>
      </c>
      <c r="BC180" s="54">
        <f>IF(RTD("tos.rtd",,BC$2,"."&amp;$C$134&amp;$AU$82&amp;"C"&amp;$A180)="N/A",0,RTD("tos.rtd",,BC$2,"."&amp;$C$134&amp;$AU$82&amp;"C"&amp;$A180))</f>
        <v>0</v>
      </c>
      <c r="BD180" s="3">
        <f>-IF(RTD("tos.rtd",,BD$2,"."&amp;$C$134&amp;$AU$82&amp;"P"&amp;$A180)="N/A",0,RTD("tos.rtd",,BD$2,"."&amp;$C$134&amp;$AU$82&amp;"P"&amp;$A180))</f>
        <v>-8</v>
      </c>
      <c r="BE180" s="54">
        <f>IF(RTD("tos.rtd",,BE$2,"."&amp;$D$134&amp;$AW$82&amp;"C"&amp;$A180)="N/A",0,RTD("tos.rtd",,BE$2,"."&amp;$D$134&amp;$AW$82&amp;"C"&amp;$A180))</f>
        <v>0</v>
      </c>
      <c r="BF180" s="3">
        <f>-IF(RTD("tos.rtd",,BF$2,"."&amp;$D$134&amp;$AW$82&amp;"P"&amp;$A180)="N/A",0,RTD("tos.rtd",,BF$2,"."&amp;$D$134&amp;$AW$82&amp;"P"&amp;$A180))</f>
        <v>0</v>
      </c>
      <c r="BG180" s="3">
        <f ca="1">+Hoja2!Y181</f>
        <v>2</v>
      </c>
      <c r="BH180" s="7">
        <f t="shared" ca="1" si="549"/>
        <v>-64</v>
      </c>
      <c r="BI180" s="32" t="str">
        <f t="shared" ca="1" si="609"/>
        <v/>
      </c>
      <c r="BJ180" s="3">
        <f ca="1">IF($BP$1=1,DX180,IF(RTD("tos.rtd",,BJ$43,"."&amp;$B$134&amp;$AS$82&amp;"C"&amp;$A180)="N/A",0,RTD("tos.rtd",,BJ$43,"."&amp;$B$134&amp;$AS$82&amp;"C"&amp;$A180)))</f>
        <v>3.8567359481646087E-20</v>
      </c>
      <c r="BK180" s="3">
        <f ca="1">IF($BP$1=1,DY180,-IF(RTD("tos.rtd",,BK$43,"."&amp;$B$134&amp;$AS$82&amp;"P"&amp;$A180)="N/A",0,RTD("tos.rtd",,BK$43,"."&amp;$B$134&amp;$AS$82&amp;"P"&amp;$A180)))</f>
        <v>-4.0969708600354282E-4</v>
      </c>
      <c r="BL180" s="3">
        <f ca="1">IF($BP$1=1,DZ180,IF(RTD("tos.rtd",,BL$2,"."&amp;$C$134&amp;$AU$82&amp;"C"&amp;$A180)="N/A",0,RTD("tos.rtd",,BL$2,"."&amp;$C$134&amp;$AU$82&amp;"C"&amp;$A180)))</f>
        <v>4.0430048157046738E-4</v>
      </c>
      <c r="BM180" s="3">
        <f ca="1">IF($BP$1=1,EA180,-IF(RTD("tos.rtd",,BM$2,"."&amp;$C$134&amp;$AU$82&amp;"P"&amp;$A180)="N/A",0,RTD("tos.rtd",,BM$2,"."&amp;$C$134&amp;$AU$82&amp;"P"&amp;$A180)))</f>
        <v>-4.0128550117654967E-4</v>
      </c>
      <c r="BN180" s="3">
        <f ca="1">IF($BP$1=1,EB180,IF(RTD("tos.rtd",,BN$2,"."&amp;$D$134&amp;$AW$82&amp;"C"&amp;$A180)="N/A",0,RTD("tos.rtd",,BN$2,"."&amp;$D$134&amp;$AW$82&amp;"C"&amp;$A180)))</f>
        <v>3.9997052944575284E-4</v>
      </c>
      <c r="BO180" s="3">
        <f ca="1">IF($BP$1=1,EC180,-IF(RTD("tos.rtd",,BO$2,"."&amp;$D$134&amp;$AW$82&amp;"P"&amp;$A180)="N/A",0,RTD("tos.rtd",,BO$2,"."&amp;$D$134&amp;$AW$82&amp;"P"&amp;$A180)))</f>
        <v>-4.0310274271723566E-4</v>
      </c>
      <c r="BQ180" s="3">
        <f t="shared" ca="1" si="638"/>
        <v>1.2635053156584692E-10</v>
      </c>
      <c r="BR180" s="3" t="str">
        <f t="shared" ca="1" si="550"/>
        <v>Cruce +</v>
      </c>
      <c r="BS180" s="3">
        <f t="shared" ca="1" si="639"/>
        <v>331543.77286533988</v>
      </c>
      <c r="BT180" s="3" t="str">
        <f t="shared" ca="1" si="551"/>
        <v/>
      </c>
      <c r="BU180" s="3">
        <f t="shared" ca="1" si="640"/>
        <v>230757.31515734099</v>
      </c>
      <c r="BV180" s="3" t="str">
        <f t="shared" ca="1" si="551"/>
        <v>Cruce +</v>
      </c>
      <c r="BX180" s="3">
        <f t="shared" ca="1" si="585"/>
        <v>-6124.0222433167164</v>
      </c>
      <c r="BY180" s="3" t="str">
        <f t="shared" ca="1" si="586"/>
        <v/>
      </c>
      <c r="BZ180" s="3">
        <f t="shared" ca="1" si="587"/>
        <v>-827.35014320562107</v>
      </c>
      <c r="CA180" s="3" t="str">
        <f t="shared" ca="1" si="586"/>
        <v/>
      </c>
      <c r="CB180" s="3">
        <f t="shared" ca="1" si="588"/>
        <v>0</v>
      </c>
      <c r="CC180" s="3" t="str">
        <f t="shared" ca="1" si="586"/>
        <v/>
      </c>
      <c r="CD180" s="3">
        <f>IF(RTD("tos.rtd",,CD$43,"."&amp;$B$134&amp;$AS$82&amp;"C"&amp;$A180)="N/A",0,RTD("tos.rtd",,CD$43,"."&amp;$B$134&amp;$AS$82&amp;"C"&amp;$A180))</f>
        <v>1</v>
      </c>
      <c r="CE180" s="3">
        <f>-IF(RTD("tos.rtd",,CE$43,"."&amp;$B$134&amp;$AS$82&amp;"P"&amp;$A180)="N/A",0,RTD("tos.rtd",,CE$43,"."&amp;$B$134&amp;$AS$82&amp;"P"&amp;$A180))</f>
        <v>0.06</v>
      </c>
      <c r="CF180" s="3">
        <f>IF(RTD("tos.rtd",,CF$2,"."&amp;$C$134&amp;$AU$82&amp;"C"&amp;$A180)="N/A",0,RTD("tos.rtd",,CF$2,"."&amp;$C$134&amp;$AU$82&amp;"C"&amp;$A180))</f>
        <v>0.9</v>
      </c>
      <c r="CG180" s="3">
        <f>-IF(RTD("tos.rtd",,CG$2,"."&amp;$C$134&amp;$AU$82&amp;"P"&amp;$A180)="N/A",0,RTD("tos.rtd",,CG$2,"."&amp;$C$134&amp;$AU$82&amp;"P"&amp;$A180))</f>
        <v>0.12</v>
      </c>
      <c r="CH180" s="3">
        <f>IF(RTD("tos.rtd",,CH$2,"."&amp;$D$134&amp;$AW$82&amp;"C"&amp;$A180)="N/A",0,RTD("tos.rtd",,CH$2,"."&amp;$D$134&amp;$AW$82&amp;"C"&amp;$A180))</f>
        <v>0.7</v>
      </c>
      <c r="CI180" s="3">
        <f>-IF(RTD("tos.rtd",,CI$2,"."&amp;$D$134&amp;$AW$82&amp;"P"&amp;$A180)="N/A",0,RTD("tos.rtd",,CI$2,"."&amp;$D$134&amp;$AW$82&amp;"P"&amp;$A180))</f>
        <v>0.3</v>
      </c>
      <c r="CK180" s="3">
        <f t="shared" si="660"/>
        <v>9600</v>
      </c>
      <c r="CL180" s="3"/>
      <c r="CM180" s="3">
        <f t="shared" si="661"/>
        <v>2472</v>
      </c>
      <c r="CN180" s="3"/>
      <c r="CO180" s="3">
        <f t="shared" si="662"/>
        <v>1669.9999999999998</v>
      </c>
      <c r="CP180" s="3">
        <f t="shared" si="542"/>
        <v>13742</v>
      </c>
      <c r="CQ180" s="3">
        <f t="shared" si="552"/>
        <v>-58</v>
      </c>
      <c r="CR180" s="3"/>
      <c r="CS180" s="3">
        <f t="shared" si="553"/>
        <v>-8</v>
      </c>
      <c r="CT180" s="3"/>
      <c r="CU180" s="3">
        <f t="shared" si="554"/>
        <v>0</v>
      </c>
      <c r="CV180" s="3"/>
      <c r="CW180" s="3">
        <f t="shared" ca="1" si="555"/>
        <v>562301.08802268095</v>
      </c>
      <c r="CY180" s="3">
        <f t="shared" ca="1" si="556"/>
        <v>-6951.3723865223374</v>
      </c>
      <c r="CZ180" s="70" t="str">
        <f t="shared" ca="1" si="589"/>
        <v/>
      </c>
      <c r="DA180" s="3">
        <f>IF(RTD("tos.rtd",,DA$43,"."&amp;$B$134&amp;$AS$82&amp;"C"&amp;$A180)="N/A",0,RTD("tos.rtd",,DA$43,"."&amp;$B$134&amp;$AS$82&amp;"C"&amp;$A180))</f>
        <v>63.36</v>
      </c>
      <c r="DB180" s="3">
        <f>IF(RTD("tos.rtd",,DB$43,"."&amp;$B$134&amp;$AS$82&amp;"P"&amp;$A180)="N/A",0,RTD("tos.rtd",,DB$43,"."&amp;$B$134&amp;$AS$82&amp;"P"&amp;$A180))</f>
        <v>0.2</v>
      </c>
      <c r="DC180" s="3">
        <f>IF(RTD("tos.rtd",,DC$43,"."&amp;$B$134&amp;$AS$82&amp;"C"&amp;$A180)="N/A",0,RTD("tos.rtd",,DC$43,"."&amp;$B$134&amp;$AS$82&amp;"C"&amp;$A180))</f>
        <v>628</v>
      </c>
      <c r="DD180" s="3">
        <f>IF(RTD("tos.rtd",,DD$43,"."&amp;$B$134&amp;$AS$82&amp;"P"&amp;$A180)="N/A",0,RTD("tos.rtd",,DD$43,"."&amp;$B$134&amp;$AS$82&amp;"P"&amp;$A180))</f>
        <v>20</v>
      </c>
      <c r="DE180" s="3">
        <f>IF(RTD("tos.rtd",,DE$43,"."&amp;$B$134&amp;$AS$82&amp;"C"&amp;$A180)="N/A",0,RTD("tos.rtd",,DE$43,"."&amp;$B$134&amp;$AS$82&amp;"C"&amp;$A180))</f>
        <v>548</v>
      </c>
      <c r="DF180" s="3">
        <f>IF(RTD("tos.rtd",,DF$43,"."&amp;$B$134&amp;$AS$82&amp;"P"&amp;$A180)="N/A",0,RTD("tos.rtd",,DF$43,"."&amp;$B$134&amp;$AS$82&amp;"P"&amp;$A180))</f>
        <v>0</v>
      </c>
      <c r="DG180" s="86">
        <f t="shared" si="590"/>
        <v>-568.75</v>
      </c>
      <c r="DH180" s="3">
        <f t="shared" si="557"/>
        <v>0</v>
      </c>
      <c r="DI180" s="3">
        <f t="shared" si="558"/>
        <v>0</v>
      </c>
      <c r="DJ180" s="3">
        <f t="shared" si="559"/>
        <v>0</v>
      </c>
      <c r="DK180" s="3">
        <f t="shared" si="560"/>
        <v>0</v>
      </c>
      <c r="DL180" s="3">
        <f t="shared" si="561"/>
        <v>0</v>
      </c>
      <c r="DM180" s="3">
        <f t="shared" si="562"/>
        <v>0</v>
      </c>
      <c r="DN180" s="64" t="str">
        <f t="shared" si="563"/>
        <v>UNKNOWN</v>
      </c>
      <c r="DO180" s="64" t="str">
        <f t="shared" si="564"/>
        <v>UNKNOWN</v>
      </c>
      <c r="DP180" s="3">
        <f t="shared" si="565"/>
        <v>0</v>
      </c>
      <c r="DQ180" s="3">
        <f t="shared" si="566"/>
        <v>0</v>
      </c>
      <c r="DR180" s="3">
        <f t="shared" ca="1" si="567"/>
        <v>0</v>
      </c>
      <c r="DS180" s="3">
        <f t="shared" si="568"/>
        <v>0</v>
      </c>
      <c r="DT180" s="3">
        <f t="shared" si="591"/>
        <v>0</v>
      </c>
      <c r="DU180" s="3">
        <f t="shared" si="592"/>
        <v>0</v>
      </c>
      <c r="DV180" s="3">
        <f t="shared" si="569"/>
        <v>0</v>
      </c>
      <c r="DW180" s="3">
        <f t="shared" si="570"/>
        <v>-17</v>
      </c>
      <c r="DX180" s="3">
        <f t="shared" ca="1" si="654"/>
        <v>3.8567359481646087E-20</v>
      </c>
      <c r="DY180" s="3">
        <f t="shared" ca="1" si="655"/>
        <v>-4.0969708600354282E-4</v>
      </c>
      <c r="DZ180" s="3">
        <f t="shared" ca="1" si="656"/>
        <v>4.0430048157046738E-4</v>
      </c>
      <c r="EA180" s="3">
        <f t="shared" ca="1" si="657"/>
        <v>-4.0128550117654967E-4</v>
      </c>
      <c r="EB180" s="3">
        <f t="shared" ca="1" si="658"/>
        <v>3.9997052944575284E-4</v>
      </c>
      <c r="EC180" s="3">
        <f t="shared" ca="1" si="659"/>
        <v>-4.0310274271723566E-4</v>
      </c>
      <c r="ED180" s="63">
        <f t="shared" si="593"/>
        <v>-17</v>
      </c>
      <c r="EE180" s="59">
        <f t="shared" si="577"/>
        <v>0.25</v>
      </c>
      <c r="EF180" s="59">
        <f t="shared" si="578"/>
        <v>2.4636</v>
      </c>
      <c r="EG180" s="59">
        <f t="shared" si="579"/>
        <v>0.22789999999999999</v>
      </c>
      <c r="EH180" s="59">
        <f t="shared" si="580"/>
        <v>0.25059999999999999</v>
      </c>
      <c r="EI180" s="59">
        <f t="shared" si="581"/>
        <v>0.20730000000000001</v>
      </c>
      <c r="EJ180" s="59">
        <f t="shared" si="582"/>
        <v>0.2172</v>
      </c>
      <c r="EK180" s="63">
        <f t="shared" ca="1" si="594"/>
        <v>3025962.2629057742</v>
      </c>
      <c r="EL180" s="3" t="str">
        <f>RTD("tos.rtd",,EL$43,"."&amp;$B$134&amp;$AS$82&amp;"C"&amp;$A180)</f>
        <v>--</v>
      </c>
      <c r="EM180" s="3" t="str">
        <f>RTD("tos.rtd",,EM$43,"."&amp;$B$134&amp;$AS$82&amp;"P"&amp;$A180)</f>
        <v>246.36%</v>
      </c>
      <c r="EN180" s="3" t="str">
        <f>RTD("tos.rtd",,EN$2,"."&amp;$C$134&amp;$AU$82&amp;"C"&amp;$A180)</f>
        <v>22.79%</v>
      </c>
      <c r="EO180" s="3" t="str">
        <f>RTD("tos.rtd",,EO$2,"."&amp;$C$134&amp;$AU$82&amp;"P"&amp;$A180)</f>
        <v>25.06%</v>
      </c>
      <c r="EP180" s="3" t="str">
        <f>RTD("tos.rtd",,EP$2,"."&amp;$D$134&amp;$AW$82&amp;"C"&amp;$A180)</f>
        <v>20.73%</v>
      </c>
      <c r="EQ180" s="3" t="str">
        <f>RTD("tos.rtd",,EQ$2,"."&amp;$D$134&amp;$AW$82&amp;"P"&amp;$A180)</f>
        <v>21.72%</v>
      </c>
      <c r="ES180" s="63" t="str">
        <f t="shared" si="583"/>
        <v>20275,-17.00</v>
      </c>
      <c r="ET180" s="63" t="str">
        <f t="shared" ca="1" si="584"/>
        <v>20275,-06.95</v>
      </c>
      <c r="EU180" s="68">
        <v>572.11</v>
      </c>
      <c r="EV180" s="68" t="s">
        <v>1459</v>
      </c>
      <c r="EW180" s="68">
        <v>497.54</v>
      </c>
      <c r="EX180" s="68" t="s">
        <v>1460</v>
      </c>
      <c r="EY180" s="68">
        <v>5732.25</v>
      </c>
      <c r="EZ180" s="68" t="s">
        <v>1461</v>
      </c>
      <c r="FA180" s="68">
        <v>20427.25</v>
      </c>
      <c r="FB180" s="68" t="s">
        <v>1462</v>
      </c>
      <c r="FC180" s="68" t="s">
        <v>1463</v>
      </c>
      <c r="FD180" s="68" t="s">
        <v>1464</v>
      </c>
      <c r="FE180" s="68" t="s">
        <v>1465</v>
      </c>
      <c r="FF180" s="68" t="s">
        <v>1466</v>
      </c>
    </row>
    <row r="181" spans="1:162" ht="11.1" customHeight="1" thickBot="1" x14ac:dyDescent="0.25">
      <c r="A181" s="2">
        <f t="shared" si="595"/>
        <v>20250</v>
      </c>
      <c r="B181" s="3">
        <f t="shared" si="631"/>
        <v>18</v>
      </c>
      <c r="C181" s="3">
        <f t="shared" si="632"/>
        <v>55</v>
      </c>
      <c r="D181" s="3">
        <f t="shared" si="633"/>
        <v>42</v>
      </c>
      <c r="E181" s="3">
        <f t="shared" si="634"/>
        <v>115</v>
      </c>
      <c r="F181" s="4">
        <f t="shared" si="635"/>
        <v>20347.151424287855</v>
      </c>
      <c r="G181" s="5">
        <f t="shared" si="636"/>
        <v>493.19892053973018</v>
      </c>
      <c r="AM181" s="1">
        <v>4</v>
      </c>
      <c r="AN181" s="1">
        <v>65</v>
      </c>
      <c r="AO181" s="1">
        <v>20250</v>
      </c>
      <c r="AP181" s="1">
        <v>8</v>
      </c>
      <c r="AQ181" s="1">
        <v>-218</v>
      </c>
      <c r="AS181" s="54">
        <f>IF(RTD("tos.rtd",,AS$83,"."&amp;$B$134&amp;$AS$82&amp;"C"&amp;$A181)="N/A",0,RTD("tos.rtd",,AS$83,"."&amp;$B$134&amp;$AS$82&amp;"C"&amp;$A181))</f>
        <v>13</v>
      </c>
      <c r="AT181" s="3">
        <f>-IF(RTD("tos.rtd",,AT$83,"."&amp;$B$134&amp;$AS$82&amp;"P"&amp;$A181)="N/A",0,RTD("tos.rtd",,AT$83,"."&amp;$B$134&amp;$AS$82&amp;"P"&amp;$A181))</f>
        <v>-5</v>
      </c>
      <c r="AU181" s="54">
        <f>IF(RTD("tos.rtd",,AU$2,"."&amp;$C$134&amp;$AU$134&amp;"C"&amp;$A181)="N/A",0,RTD("tos.rtd",,AU$2,"."&amp;$C$134&amp;$AU$134&amp;"C"&amp;$A181))</f>
        <v>50</v>
      </c>
      <c r="AV181" s="3">
        <f>-IF(RTD("tos.rtd",,AV$2,"."&amp;$C$134&amp;$AU$134&amp;"P"&amp;$A181)="N/A",0,RTD("tos.rtd",,AV$2,"."&amp;$C$134&amp;$AU$134&amp;"P"&amp;$A181))</f>
        <v>-5</v>
      </c>
      <c r="AW181" s="54">
        <f>IF(RTD("tos.rtd",,AW$2,"."&amp;$D$134&amp;$AW$134&amp;"C"&amp;$A181)="N/A",0,RTD("tos.rtd",,AW$2,"."&amp;$D$134&amp;$AW$134&amp;"C"&amp;$A181))</f>
        <v>19</v>
      </c>
      <c r="AX181" s="3">
        <f>-IF(RTD("tos.rtd",,AX$2,"."&amp;$D$134&amp;$AW$134&amp;"P"&amp;$A181)="N/A",0,RTD("tos.rtd",,AX$2,"."&amp;$D$134&amp;$AW$134&amp;"P"&amp;$A181))</f>
        <v>-23</v>
      </c>
      <c r="AY181" s="76">
        <f t="shared" si="637"/>
        <v>49</v>
      </c>
      <c r="AZ181" s="8">
        <f t="shared" si="548"/>
        <v>20250</v>
      </c>
      <c r="BA181" s="54">
        <f>IF(RTD("tos.rtd",,BA$43,"."&amp;$B$134&amp;$AS$82&amp;"C"&amp;$A181)="N/A",0,RTD("tos.rtd",,BA$43,"."&amp;$B$134&amp;$AS$82&amp;"C"&amp;$A181))</f>
        <v>8</v>
      </c>
      <c r="BB181" s="3">
        <f>-IF(RTD("tos.rtd",,BB$43,"."&amp;$B$134&amp;$AS$82&amp;"P"&amp;$A181)="N/A",0,RTD("tos.rtd",,BB$43,"."&amp;$B$134&amp;$AS$82&amp;"P"&amp;$A181))</f>
        <v>-218</v>
      </c>
      <c r="BC181" s="54">
        <f>IF(RTD("tos.rtd",,BC$2,"."&amp;$C$134&amp;$AU$82&amp;"C"&amp;$A181)="N/A",0,RTD("tos.rtd",,BC$2,"."&amp;$C$134&amp;$AU$82&amp;"C"&amp;$A181))</f>
        <v>26</v>
      </c>
      <c r="BD181" s="3">
        <f>-IF(RTD("tos.rtd",,BD$2,"."&amp;$C$134&amp;$AU$82&amp;"P"&amp;$A181)="N/A",0,RTD("tos.rtd",,BD$2,"."&amp;$C$134&amp;$AU$82&amp;"P"&amp;$A181))</f>
        <v>-10</v>
      </c>
      <c r="BE181" s="54">
        <f>IF(RTD("tos.rtd",,BE$2,"."&amp;$D$134&amp;$AW$82&amp;"C"&amp;$A181)="N/A",0,RTD("tos.rtd",,BE$2,"."&amp;$D$134&amp;$AW$82&amp;"C"&amp;$A181))</f>
        <v>1</v>
      </c>
      <c r="BF181" s="3">
        <f>-IF(RTD("tos.rtd",,BF$2,"."&amp;$D$134&amp;$AW$82&amp;"P"&amp;$A181)="N/A",0,RTD("tos.rtd",,BF$2,"."&amp;$D$134&amp;$AW$82&amp;"P"&amp;$A181))</f>
        <v>0</v>
      </c>
      <c r="BG181" s="3">
        <f ca="1">+Hoja2!Y182</f>
        <v>0</v>
      </c>
      <c r="BH181" s="7">
        <f t="shared" ca="1" si="549"/>
        <v>-193</v>
      </c>
      <c r="BI181" s="32" t="str">
        <f t="shared" ca="1" si="609"/>
        <v/>
      </c>
      <c r="BJ181" s="3">
        <f ca="1">IF($BP$1=1,DX181,IF(RTD("tos.rtd",,BJ$43,"."&amp;$B$134&amp;$AS$82&amp;"C"&amp;$A181)="N/A",0,RTD("tos.rtd",,BJ$43,"."&amp;$B$134&amp;$AS$82&amp;"C"&amp;$A181)))</f>
        <v>1.0429097895418956E-21</v>
      </c>
      <c r="BK181" s="3">
        <f ca="1">IF($BP$1=1,DY181,-IF(RTD("tos.rtd",,BK$43,"."&amp;$B$134&amp;$AS$82&amp;"P"&amp;$A181)="N/A",0,RTD("tos.rtd",,BK$43,"."&amp;$B$134&amp;$AS$82&amp;"P"&amp;$A181)))</f>
        <v>-3.9270106954767737E-4</v>
      </c>
      <c r="BL181" s="3">
        <f ca="1">IF($BP$1=1,DZ181,IF(RTD("tos.rtd",,BL$2,"."&amp;$C$134&amp;$AU$82&amp;"C"&amp;$A181)="N/A",0,RTD("tos.rtd",,BL$2,"."&amp;$C$134&amp;$AU$82&amp;"C"&amp;$A181)))</f>
        <v>3.8630091188042182E-4</v>
      </c>
      <c r="BM181" s="3">
        <f ca="1">IF($BP$1=1,EA181,-IF(RTD("tos.rtd",,BM$2,"."&amp;$C$134&amp;$AU$82&amp;"P"&amp;$A181)="N/A",0,RTD("tos.rtd",,BM$2,"."&amp;$C$134&amp;$AU$82&amp;"P"&amp;$A181)))</f>
        <v>-3.8619660652266868E-4</v>
      </c>
      <c r="BN181" s="3">
        <f ca="1">IF($BP$1=1,EB181,IF(RTD("tos.rtd",,BN$2,"."&amp;$D$134&amp;$AW$82&amp;"C"&amp;$A181)="N/A",0,RTD("tos.rtd",,BN$2,"."&amp;$D$134&amp;$AW$82&amp;"C"&amp;$A181)))</f>
        <v>3.7785725323182104E-4</v>
      </c>
      <c r="BO181" s="3">
        <f ca="1">IF($BP$1=1,EC181,-IF(RTD("tos.rtd",,BO$2,"."&amp;$D$134&amp;$AW$82&amp;"P"&amp;$A181)="N/A",0,RTD("tos.rtd",,BO$2,"."&amp;$D$134&amp;$AW$82&amp;"P"&amp;$A181)))</f>
        <v>-3.8361582971131481E-4</v>
      </c>
      <c r="BQ181" s="3">
        <f t="shared" ca="1" si="638"/>
        <v>-67006.668050369233</v>
      </c>
      <c r="BR181" s="3" t="str">
        <f t="shared" ca="1" si="550"/>
        <v>Cruce -</v>
      </c>
      <c r="BS181" s="3">
        <f t="shared" ca="1" si="639"/>
        <v>593249.2675717948</v>
      </c>
      <c r="BT181" s="3" t="str">
        <f t="shared" ca="1" si="551"/>
        <v/>
      </c>
      <c r="BU181" s="3">
        <f t="shared" ca="1" si="640"/>
        <v>-56098.992446180142</v>
      </c>
      <c r="BV181" s="3" t="str">
        <f t="shared" ca="1" si="551"/>
        <v>Cruce -</v>
      </c>
      <c r="BX181" s="3">
        <f t="shared" ca="1" si="585"/>
        <v>-22062.995102015739</v>
      </c>
      <c r="BY181" s="3" t="str">
        <f t="shared" ca="1" si="586"/>
        <v/>
      </c>
      <c r="BZ181" s="3">
        <f t="shared" ca="1" si="587"/>
        <v>1593.180164672895</v>
      </c>
      <c r="CA181" s="3" t="str">
        <f t="shared" ca="1" si="586"/>
        <v>Cruce +</v>
      </c>
      <c r="CB181" s="3">
        <f t="shared" ca="1" si="588"/>
        <v>97.380870868758748</v>
      </c>
      <c r="CC181" s="3" t="str">
        <f t="shared" ca="1" si="586"/>
        <v/>
      </c>
      <c r="CD181" s="3">
        <f>IF(RTD("tos.rtd",,CD$43,"."&amp;$B$134&amp;$AS$82&amp;"C"&amp;$A181)="N/A",0,RTD("tos.rtd",,CD$43,"."&amp;$B$134&amp;$AS$82&amp;"C"&amp;$A181))</f>
        <v>1</v>
      </c>
      <c r="CE181" s="3">
        <f>-IF(RTD("tos.rtd",,CE$43,"."&amp;$B$134&amp;$AS$82&amp;"P"&amp;$A181)="N/A",0,RTD("tos.rtd",,CE$43,"."&amp;$B$134&amp;$AS$82&amp;"P"&amp;$A181))</f>
        <v>0.06</v>
      </c>
      <c r="CF181" s="3">
        <f>IF(RTD("tos.rtd",,CF$2,"."&amp;$C$134&amp;$AU$82&amp;"C"&amp;$A181)="N/A",0,RTD("tos.rtd",,CF$2,"."&amp;$C$134&amp;$AU$82&amp;"C"&amp;$A181))</f>
        <v>0.91</v>
      </c>
      <c r="CG181" s="3">
        <f>-IF(RTD("tos.rtd",,CG$2,"."&amp;$C$134&amp;$AU$82&amp;"P"&amp;$A181)="N/A",0,RTD("tos.rtd",,CG$2,"."&amp;$C$134&amp;$AU$82&amp;"P"&amp;$A181))</f>
        <v>0.11</v>
      </c>
      <c r="CH181" s="3">
        <f>IF(RTD("tos.rtd",,CH$2,"."&amp;$D$134&amp;$AW$82&amp;"C"&amp;$A181)="N/A",0,RTD("tos.rtd",,CH$2,"."&amp;$D$134&amp;$AW$82&amp;"C"&amp;$A181))</f>
        <v>0.71</v>
      </c>
      <c r="CI181" s="3">
        <f>-IF(RTD("tos.rtd",,CI$2,"."&amp;$D$134&amp;$AW$82&amp;"P"&amp;$A181)="N/A",0,RTD("tos.rtd",,CI$2,"."&amp;$D$134&amp;$AW$82&amp;"P"&amp;$A181))</f>
        <v>0.3</v>
      </c>
      <c r="CK181" s="3">
        <f t="shared" si="660"/>
        <v>1270</v>
      </c>
      <c r="CL181" s="3"/>
      <c r="CM181" s="3">
        <f t="shared" si="661"/>
        <v>4495</v>
      </c>
      <c r="CN181" s="3"/>
      <c r="CO181" s="3">
        <f t="shared" si="662"/>
        <v>658.99999999999977</v>
      </c>
      <c r="CP181" s="3">
        <f t="shared" si="542"/>
        <v>6424</v>
      </c>
      <c r="CQ181" s="3">
        <f t="shared" si="552"/>
        <v>-210</v>
      </c>
      <c r="CR181" s="3"/>
      <c r="CS181" s="3">
        <f t="shared" si="553"/>
        <v>16</v>
      </c>
      <c r="CT181" s="3"/>
      <c r="CU181" s="3">
        <f t="shared" si="554"/>
        <v>1</v>
      </c>
      <c r="CV181" s="3"/>
      <c r="CW181" s="3">
        <f t="shared" ca="1" si="555"/>
        <v>470143.60707524541</v>
      </c>
      <c r="CY181" s="3">
        <f t="shared" ca="1" si="556"/>
        <v>-20372.434066474085</v>
      </c>
      <c r="CZ181" s="70" t="str">
        <f t="shared" ca="1" si="589"/>
        <v/>
      </c>
      <c r="DA181" s="3">
        <f>IF(RTD("tos.rtd",,DA$43,"."&amp;$B$134&amp;$AS$82&amp;"C"&amp;$A181)="N/A",0,RTD("tos.rtd",,DA$43,"."&amp;$B$134&amp;$AS$82&amp;"C"&amp;$A181))</f>
        <v>588.76</v>
      </c>
      <c r="DB181" s="3">
        <f>IF(RTD("tos.rtd",,DB$43,"."&amp;$B$134&amp;$AS$82&amp;"P"&amp;$A181)="N/A",0,RTD("tos.rtd",,DB$43,"."&amp;$B$134&amp;$AS$82&amp;"P"&amp;$A181))</f>
        <v>0.1</v>
      </c>
      <c r="DC181" s="3">
        <f>IF(RTD("tos.rtd",,DC$43,"."&amp;$B$134&amp;$AS$82&amp;"C"&amp;$A181)="N/A",0,RTD("tos.rtd",,DC$43,"."&amp;$B$134&amp;$AS$82&amp;"C"&amp;$A181))</f>
        <v>654</v>
      </c>
      <c r="DD181" s="3">
        <f>IF(RTD("tos.rtd",,DD$43,"."&amp;$B$134&amp;$AS$82&amp;"P"&amp;$A181)="N/A",0,RTD("tos.rtd",,DD$43,"."&amp;$B$134&amp;$AS$82&amp;"P"&amp;$A181))</f>
        <v>20</v>
      </c>
      <c r="DE181" s="3">
        <f>IF(RTD("tos.rtd",,DE$43,"."&amp;$B$134&amp;$AS$82&amp;"C"&amp;$A181)="N/A",0,RTD("tos.rtd",,DE$43,"."&amp;$B$134&amp;$AS$82&amp;"C"&amp;$A181))</f>
        <v>574</v>
      </c>
      <c r="DF181" s="3">
        <f>IF(RTD("tos.rtd",,DF$43,"."&amp;$B$134&amp;$AS$82&amp;"P"&amp;$A181)="N/A",0,RTD("tos.rtd",,DF$43,"."&amp;$B$134&amp;$AS$82&amp;"P"&amp;$A181))</f>
        <v>0</v>
      </c>
      <c r="DG181" s="86">
        <f t="shared" si="590"/>
        <v>-593.75</v>
      </c>
      <c r="DH181" s="3">
        <f t="shared" si="557"/>
        <v>0</v>
      </c>
      <c r="DI181" s="3">
        <f t="shared" si="558"/>
        <v>0</v>
      </c>
      <c r="DJ181" s="3">
        <f t="shared" si="559"/>
        <v>0</v>
      </c>
      <c r="DK181" s="3">
        <f t="shared" si="560"/>
        <v>0</v>
      </c>
      <c r="DL181" s="3">
        <f t="shared" si="561"/>
        <v>0</v>
      </c>
      <c r="DM181" s="3">
        <f t="shared" si="562"/>
        <v>0</v>
      </c>
      <c r="DN181" s="64" t="str">
        <f t="shared" si="563"/>
        <v>UNKNOWN</v>
      </c>
      <c r="DO181" s="64" t="str">
        <f t="shared" si="564"/>
        <v>UNKNOWN</v>
      </c>
      <c r="DP181" s="3">
        <f t="shared" si="565"/>
        <v>0</v>
      </c>
      <c r="DQ181" s="3">
        <f t="shared" si="566"/>
        <v>0</v>
      </c>
      <c r="DR181" s="3">
        <f t="shared" ca="1" si="567"/>
        <v>0</v>
      </c>
      <c r="DS181" s="3">
        <f t="shared" si="568"/>
        <v>0</v>
      </c>
      <c r="DT181" s="3">
        <f t="shared" si="591"/>
        <v>0</v>
      </c>
      <c r="DU181" s="3">
        <f t="shared" si="592"/>
        <v>0</v>
      </c>
      <c r="DV181" s="3">
        <f t="shared" si="569"/>
        <v>4</v>
      </c>
      <c r="DW181" s="3">
        <f t="shared" si="570"/>
        <v>65</v>
      </c>
      <c r="DX181" s="3">
        <f t="shared" ca="1" si="654"/>
        <v>1.0429097895418956E-21</v>
      </c>
      <c r="DY181" s="3">
        <f t="shared" ca="1" si="655"/>
        <v>-3.9270106954767737E-4</v>
      </c>
      <c r="DZ181" s="3">
        <f t="shared" ca="1" si="656"/>
        <v>3.8630091188042182E-4</v>
      </c>
      <c r="EA181" s="3">
        <f t="shared" ca="1" si="657"/>
        <v>-3.8619660652266868E-4</v>
      </c>
      <c r="EB181" s="3">
        <f t="shared" ca="1" si="658"/>
        <v>3.7785725323182104E-4</v>
      </c>
      <c r="EC181" s="3">
        <f t="shared" ca="1" si="659"/>
        <v>-3.8361582971131481E-4</v>
      </c>
      <c r="ED181" s="63">
        <f t="shared" si="593"/>
        <v>69</v>
      </c>
      <c r="EE181" s="59">
        <f t="shared" si="577"/>
        <v>0.25</v>
      </c>
      <c r="EF181" s="59">
        <f t="shared" si="578"/>
        <v>2.5461</v>
      </c>
      <c r="EG181" s="59">
        <f t="shared" si="579"/>
        <v>0.22819999999999999</v>
      </c>
      <c r="EH181" s="59">
        <f t="shared" si="580"/>
        <v>0.25180000000000002</v>
      </c>
      <c r="EI181" s="59">
        <f t="shared" si="581"/>
        <v>0.20619999999999999</v>
      </c>
      <c r="EJ181" s="59">
        <f t="shared" si="582"/>
        <v>0.21790000000000001</v>
      </c>
      <c r="EK181" s="63">
        <f t="shared" ca="1" si="594"/>
        <v>-11089887.791454865</v>
      </c>
      <c r="EL181" s="3" t="str">
        <f>RTD("tos.rtd",,EL$43,"."&amp;$B$134&amp;$AS$82&amp;"C"&amp;$A181)</f>
        <v>--</v>
      </c>
      <c r="EM181" s="3" t="str">
        <f>RTD("tos.rtd",,EM$43,"."&amp;$B$134&amp;$AS$82&amp;"P"&amp;$A181)</f>
        <v>254.61%</v>
      </c>
      <c r="EN181" s="3" t="str">
        <f>RTD("tos.rtd",,EN$2,"."&amp;$C$134&amp;$AU$82&amp;"C"&amp;$A181)</f>
        <v>22.82%</v>
      </c>
      <c r="EO181" s="3" t="str">
        <f>RTD("tos.rtd",,EO$2,"."&amp;$C$134&amp;$AU$82&amp;"P"&amp;$A181)</f>
        <v>25.18%</v>
      </c>
      <c r="EP181" s="3" t="str">
        <f>RTD("tos.rtd",,EP$2,"."&amp;$D$134&amp;$AW$82&amp;"C"&amp;$A181)</f>
        <v>20.62%</v>
      </c>
      <c r="EQ181" s="3" t="str">
        <f>RTD("tos.rtd",,EQ$2,"."&amp;$D$134&amp;$AW$82&amp;"P"&amp;$A181)</f>
        <v>21.79%</v>
      </c>
      <c r="ES181" s="63" t="str">
        <f t="shared" si="583"/>
        <v>20250,69.00</v>
      </c>
      <c r="ET181" s="63" t="str">
        <f t="shared" ca="1" si="584"/>
        <v>20250,-20.37</v>
      </c>
      <c r="EU181" s="68">
        <v>572.19000000000005</v>
      </c>
      <c r="EV181" s="68" t="s">
        <v>1467</v>
      </c>
      <c r="EW181" s="68">
        <v>497.64</v>
      </c>
      <c r="EX181" s="68" t="s">
        <v>1468</v>
      </c>
      <c r="EY181" s="68">
        <v>5733</v>
      </c>
      <c r="EZ181" s="68" t="s">
        <v>1469</v>
      </c>
      <c r="FA181" s="68">
        <v>20432.25</v>
      </c>
      <c r="FB181" s="68" t="s">
        <v>1470</v>
      </c>
      <c r="FC181" s="68" t="s">
        <v>1471</v>
      </c>
      <c r="FD181" s="68" t="s">
        <v>1472</v>
      </c>
      <c r="FE181" s="68" t="s">
        <v>1473</v>
      </c>
      <c r="FF181" s="68" t="s">
        <v>1474</v>
      </c>
    </row>
    <row r="182" spans="1:162" ht="11.1" customHeight="1" thickBot="1" x14ac:dyDescent="0.25">
      <c r="A182" s="2">
        <f t="shared" si="595"/>
        <v>20225</v>
      </c>
      <c r="B182" s="3">
        <f t="shared" si="628"/>
        <v>10</v>
      </c>
      <c r="C182" s="3">
        <f t="shared" si="629"/>
        <v>67</v>
      </c>
      <c r="D182" s="3">
        <f t="shared" si="630"/>
        <v>39</v>
      </c>
      <c r="E182" s="3">
        <f t="shared" ref="E182:E189" si="663">SUM(B182:D182)</f>
        <v>116</v>
      </c>
      <c r="F182" s="4">
        <f t="shared" si="623"/>
        <v>20322.03148425787</v>
      </c>
      <c r="G182" s="5">
        <f t="shared" ref="G182:G189" si="664">+$G$136/$A$136*A182</f>
        <v>492.59003298350825</v>
      </c>
      <c r="AM182" s="1">
        <v>-1</v>
      </c>
      <c r="AN182" s="1">
        <v>-21</v>
      </c>
      <c r="AO182" s="1">
        <v>20225</v>
      </c>
      <c r="AP182" s="1">
        <v>7</v>
      </c>
      <c r="AQ182" s="1">
        <v>-54</v>
      </c>
      <c r="AS182" s="54">
        <f>IF(RTD("tos.rtd",,AS$83,"."&amp;$B$134&amp;$AS$82&amp;"C"&amp;$A182)="N/A",0,RTD("tos.rtd",,AS$83,"."&amp;$B$134&amp;$AS$82&amp;"C"&amp;$A182))</f>
        <v>8</v>
      </c>
      <c r="AT182" s="3">
        <f>-IF(RTD("tos.rtd",,AT$83,"."&amp;$B$134&amp;$AS$82&amp;"P"&amp;$A182)="N/A",0,RTD("tos.rtd",,AT$83,"."&amp;$B$134&amp;$AS$82&amp;"P"&amp;$A182))</f>
        <v>-2</v>
      </c>
      <c r="AU182" s="54">
        <f>IF(RTD("tos.rtd",,AU$2,"."&amp;$C$134&amp;$AU$134&amp;"C"&amp;$A182)="N/A",0,RTD("tos.rtd",,AU$2,"."&amp;$C$134&amp;$AU$134&amp;"C"&amp;$A182))</f>
        <v>34</v>
      </c>
      <c r="AV182" s="3">
        <f>-IF(RTD("tos.rtd",,AV$2,"."&amp;$C$134&amp;$AU$134&amp;"P"&amp;$A182)="N/A",0,RTD("tos.rtd",,AV$2,"."&amp;$C$134&amp;$AU$134&amp;"P"&amp;$A182))</f>
        <v>-33</v>
      </c>
      <c r="AW182" s="54">
        <f>IF(RTD("tos.rtd",,AW$2,"."&amp;$D$134&amp;$AW$134&amp;"C"&amp;$A182)="N/A",0,RTD("tos.rtd",,AW$2,"."&amp;$D$134&amp;$AW$134&amp;"C"&amp;$A182))</f>
        <v>23</v>
      </c>
      <c r="AX182" s="3">
        <f>-IF(RTD("tos.rtd",,AX$2,"."&amp;$D$134&amp;$AW$134&amp;"P"&amp;$A182)="N/A",0,RTD("tos.rtd",,AX$2,"."&amp;$D$134&amp;$AW$134&amp;"P"&amp;$A182))</f>
        <v>-16</v>
      </c>
      <c r="AY182" s="76">
        <f t="shared" si="624"/>
        <v>14</v>
      </c>
      <c r="AZ182" s="8">
        <f t="shared" si="548"/>
        <v>20225</v>
      </c>
      <c r="BA182" s="54">
        <f>IF(RTD("tos.rtd",,BA$43,"."&amp;$B$134&amp;$AS$82&amp;"C"&amp;$A182)="N/A",0,RTD("tos.rtd",,BA$43,"."&amp;$B$134&amp;$AS$82&amp;"C"&amp;$A182))</f>
        <v>7</v>
      </c>
      <c r="BB182" s="3">
        <f>-IF(RTD("tos.rtd",,BB$43,"."&amp;$B$134&amp;$AS$82&amp;"P"&amp;$A182)="N/A",0,RTD("tos.rtd",,BB$43,"."&amp;$B$134&amp;$AS$82&amp;"P"&amp;$A182))</f>
        <v>-54</v>
      </c>
      <c r="BC182" s="54">
        <f>IF(RTD("tos.rtd",,BC$2,"."&amp;$C$134&amp;$AU$82&amp;"C"&amp;$A182)="N/A",0,RTD("tos.rtd",,BC$2,"."&amp;$C$134&amp;$AU$82&amp;"C"&amp;$A182))</f>
        <v>0</v>
      </c>
      <c r="BD182" s="3">
        <f>-IF(RTD("tos.rtd",,BD$2,"."&amp;$C$134&amp;$AU$82&amp;"P"&amp;$A182)="N/A",0,RTD("tos.rtd",,BD$2,"."&amp;$C$134&amp;$AU$82&amp;"P"&amp;$A182))</f>
        <v>-6</v>
      </c>
      <c r="BE182" s="54">
        <f>IF(RTD("tos.rtd",,BE$2,"."&amp;$D$134&amp;$AW$82&amp;"C"&amp;$A182)="N/A",0,RTD("tos.rtd",,BE$2,"."&amp;$D$134&amp;$AW$82&amp;"C"&amp;$A182))</f>
        <v>0</v>
      </c>
      <c r="BF182" s="3">
        <f>-IF(RTD("tos.rtd",,BF$2,"."&amp;$D$134&amp;$AW$82&amp;"P"&amp;$A182)="N/A",0,RTD("tos.rtd",,BF$2,"."&amp;$D$134&amp;$AW$82&amp;"P"&amp;$A182))</f>
        <v>0</v>
      </c>
      <c r="BG182" s="3">
        <f ca="1">+Hoja2!Y183</f>
        <v>1</v>
      </c>
      <c r="BH182" s="7">
        <f t="shared" ca="1" si="549"/>
        <v>-52</v>
      </c>
      <c r="BI182" s="32" t="str">
        <f t="shared" ca="1" si="609"/>
        <v/>
      </c>
      <c r="BJ182" s="3">
        <f ca="1">IF($BP$1=1,DX182,IF(RTD("tos.rtd",,BJ$43,"."&amp;$B$134&amp;$AS$82&amp;"C"&amp;$A182)="N/A",0,RTD("tos.rtd",,BJ$43,"."&amp;$B$134&amp;$AS$82&amp;"C"&amp;$A182)))</f>
        <v>2.3979232604081081E-23</v>
      </c>
      <c r="BK182" s="3">
        <f ca="1">IF($BP$1=1,DY182,-IF(RTD("tos.rtd",,BK$43,"."&amp;$B$134&amp;$AS$82&amp;"P"&amp;$A182)="N/A",0,RTD("tos.rtd",,BK$43,"."&amp;$B$134&amp;$AS$82&amp;"P"&amp;$A182)))</f>
        <v>-3.7697175213503696E-4</v>
      </c>
      <c r="BL182" s="3">
        <f ca="1">IF($BP$1=1,DZ182,IF(RTD("tos.rtd",,BL$2,"."&amp;$C$134&amp;$AU$82&amp;"C"&amp;$A182)="N/A",0,RTD("tos.rtd",,BL$2,"."&amp;$C$134&amp;$AU$82&amp;"C"&amp;$A182)))</f>
        <v>3.6724356646502675E-4</v>
      </c>
      <c r="BM182" s="3">
        <f ca="1">IF($BP$1=1,EA182,-IF(RTD("tos.rtd",,BM$2,"."&amp;$C$134&amp;$AU$82&amp;"P"&amp;$A182)="N/A",0,RTD("tos.rtd",,BM$2,"."&amp;$C$134&amp;$AU$82&amp;"P"&amp;$A182)))</f>
        <v>-3.7131553383243945E-4</v>
      </c>
      <c r="BN182" s="3">
        <f ca="1">IF($BP$1=1,EB182,IF(RTD("tos.rtd",,BN$2,"."&amp;$D$134&amp;$AW$82&amp;"C"&amp;$A182)="N/A",0,RTD("tos.rtd",,BN$2,"."&amp;$D$134&amp;$AW$82&amp;"C"&amp;$A182)))</f>
        <v>3.5972230746748798E-4</v>
      </c>
      <c r="BO182" s="3">
        <f ca="1">IF($BP$1=1,EC182,-IF(RTD("tos.rtd",,BO$2,"."&amp;$D$134&amp;$AW$82&amp;"P"&amp;$A182)="N/A",0,RTD("tos.rtd",,BO$2,"."&amp;$D$134&amp;$AW$82&amp;"P"&amp;$A182)))</f>
        <v>-3.6455616750939452E-4</v>
      </c>
      <c r="BQ182" s="3">
        <f t="shared" ca="1" si="625"/>
        <v>-25729.108493412696</v>
      </c>
      <c r="BR182" s="3" t="str">
        <f t="shared" ca="1" si="550"/>
        <v/>
      </c>
      <c r="BS182" s="3">
        <f t="shared" ca="1" si="626"/>
        <v>7946.885350540746</v>
      </c>
      <c r="BT182" s="3" t="str">
        <f t="shared" ca="1" si="551"/>
        <v/>
      </c>
      <c r="BU182" s="3">
        <f t="shared" ca="1" si="627"/>
        <v>83291.924431070278</v>
      </c>
      <c r="BV182" s="3" t="str">
        <f t="shared" ca="1" si="551"/>
        <v>Cruce +</v>
      </c>
      <c r="BX182" s="3">
        <f t="shared" ca="1" si="585"/>
        <v>-5246.2436777380726</v>
      </c>
      <c r="BY182" s="3" t="str">
        <f t="shared" ca="1" si="586"/>
        <v/>
      </c>
      <c r="BZ182" s="3">
        <f t="shared" ca="1" si="587"/>
        <v>-574.16968565401976</v>
      </c>
      <c r="CA182" s="3" t="str">
        <f t="shared" ca="1" si="586"/>
        <v>Cruce -</v>
      </c>
      <c r="CB182" s="3">
        <f t="shared" ca="1" si="588"/>
        <v>0</v>
      </c>
      <c r="CC182" s="3" t="str">
        <f t="shared" ca="1" si="586"/>
        <v/>
      </c>
      <c r="CD182" s="3">
        <f>IF(RTD("tos.rtd",,CD$43,"."&amp;$B$134&amp;$AS$82&amp;"C"&amp;$A182)="N/A",0,RTD("tos.rtd",,CD$43,"."&amp;$B$134&amp;$AS$82&amp;"C"&amp;$A182))</f>
        <v>1</v>
      </c>
      <c r="CE182" s="3">
        <f>-IF(RTD("tos.rtd",,CE$43,"."&amp;$B$134&amp;$AS$82&amp;"P"&amp;$A182)="N/A",0,RTD("tos.rtd",,CE$43,"."&amp;$B$134&amp;$AS$82&amp;"P"&amp;$A182))</f>
        <v>0.06</v>
      </c>
      <c r="CF182" s="3">
        <f>IF(RTD("tos.rtd",,CF$2,"."&amp;$C$134&amp;$AU$82&amp;"C"&amp;$A182)="N/A",0,RTD("tos.rtd",,CF$2,"."&amp;$C$134&amp;$AU$82&amp;"C"&amp;$A182))</f>
        <v>0.92</v>
      </c>
      <c r="CG182" s="3">
        <f>-IF(RTD("tos.rtd",,CG$2,"."&amp;$C$134&amp;$AU$82&amp;"P"&amp;$A182)="N/A",0,RTD("tos.rtd",,CG$2,"."&amp;$C$134&amp;$AU$82&amp;"P"&amp;$A182))</f>
        <v>0.1</v>
      </c>
      <c r="CH182" s="3">
        <f>IF(RTD("tos.rtd",,CH$2,"."&amp;$D$134&amp;$AW$82&amp;"C"&amp;$A182)="N/A",0,RTD("tos.rtd",,CH$2,"."&amp;$D$134&amp;$AW$82&amp;"C"&amp;$A182))</f>
        <v>0.71</v>
      </c>
      <c r="CI182" s="3">
        <f>-IF(RTD("tos.rtd",,CI$2,"."&amp;$D$134&amp;$AW$82&amp;"P"&amp;$A182)="N/A",0,RTD("tos.rtd",,CI$2,"."&amp;$D$134&amp;$AW$82&amp;"P"&amp;$A182))</f>
        <v>0.28999999999999998</v>
      </c>
      <c r="CK182" s="3">
        <f t="shared" si="660"/>
        <v>788</v>
      </c>
      <c r="CL182" s="3"/>
      <c r="CM182" s="3">
        <f t="shared" si="661"/>
        <v>2798</v>
      </c>
      <c r="CN182" s="3"/>
      <c r="CO182" s="3">
        <f t="shared" si="662"/>
        <v>1168.9999999999998</v>
      </c>
      <c r="CP182" s="3">
        <f t="shared" si="542"/>
        <v>4755</v>
      </c>
      <c r="CQ182" s="3">
        <f t="shared" si="552"/>
        <v>-47</v>
      </c>
      <c r="CR182" s="3"/>
      <c r="CS182" s="3">
        <f t="shared" si="553"/>
        <v>-6</v>
      </c>
      <c r="CT182" s="3"/>
      <c r="CU182" s="3">
        <f t="shared" si="554"/>
        <v>0</v>
      </c>
      <c r="CV182" s="3"/>
      <c r="CW182" s="3">
        <f t="shared" ca="1" si="555"/>
        <v>65509.701288198325</v>
      </c>
      <c r="CY182" s="3">
        <f t="shared" ca="1" si="556"/>
        <v>-5820.4133633920919</v>
      </c>
      <c r="CZ182" s="70" t="str">
        <f t="shared" ca="1" si="589"/>
        <v/>
      </c>
      <c r="DA182" s="3">
        <f>IF(RTD("tos.rtd",,DA$43,"."&amp;$B$134&amp;$AS$82&amp;"C"&amp;$A182)="N/A",0,RTD("tos.rtd",,DA$43,"."&amp;$B$134&amp;$AS$82&amp;"C"&amp;$A182))</f>
        <v>568.58000000000004</v>
      </c>
      <c r="DB182" s="3">
        <f>IF(RTD("tos.rtd",,DB$43,"."&amp;$B$134&amp;$AS$82&amp;"P"&amp;$A182)="N/A",0,RTD("tos.rtd",,DB$43,"."&amp;$B$134&amp;$AS$82&amp;"P"&amp;$A182))</f>
        <v>0.3</v>
      </c>
      <c r="DC182" s="3">
        <f>IF(RTD("tos.rtd",,DC$43,"."&amp;$B$134&amp;$AS$82&amp;"C"&amp;$A182)="N/A",0,RTD("tos.rtd",,DC$43,"."&amp;$B$134&amp;$AS$82&amp;"C"&amp;$A182))</f>
        <v>678</v>
      </c>
      <c r="DD182" s="3">
        <f>IF(RTD("tos.rtd",,DD$43,"."&amp;$B$134&amp;$AS$82&amp;"P"&amp;$A182)="N/A",0,RTD("tos.rtd",,DD$43,"."&amp;$B$134&amp;$AS$82&amp;"P"&amp;$A182))</f>
        <v>20</v>
      </c>
      <c r="DE182" s="3">
        <f>IF(RTD("tos.rtd",,DE$43,"."&amp;$B$134&amp;$AS$82&amp;"C"&amp;$A182)="N/A",0,RTD("tos.rtd",,DE$43,"."&amp;$B$134&amp;$AS$82&amp;"C"&amp;$A182))</f>
        <v>598</v>
      </c>
      <c r="DF182" s="3">
        <f>IF(RTD("tos.rtd",,DF$43,"."&amp;$B$134&amp;$AS$82&amp;"P"&amp;$A182)="N/A",0,RTD("tos.rtd",,DF$43,"."&amp;$B$134&amp;$AS$82&amp;"P"&amp;$A182))</f>
        <v>0</v>
      </c>
      <c r="DG182" s="86">
        <f t="shared" si="590"/>
        <v>-618.75</v>
      </c>
      <c r="DH182" s="3">
        <f t="shared" si="557"/>
        <v>0</v>
      </c>
      <c r="DI182" s="3">
        <f t="shared" si="558"/>
        <v>0</v>
      </c>
      <c r="DJ182" s="3">
        <f t="shared" si="559"/>
        <v>0</v>
      </c>
      <c r="DK182" s="3">
        <f t="shared" si="560"/>
        <v>0</v>
      </c>
      <c r="DL182" s="3">
        <f t="shared" si="561"/>
        <v>0</v>
      </c>
      <c r="DM182" s="3">
        <f t="shared" si="562"/>
        <v>0</v>
      </c>
      <c r="DN182" s="64" t="str">
        <f t="shared" si="563"/>
        <v>UNKNOWN</v>
      </c>
      <c r="DO182" s="64" t="str">
        <f t="shared" si="564"/>
        <v>UNKNOWN</v>
      </c>
      <c r="DP182" s="3">
        <f t="shared" si="565"/>
        <v>0</v>
      </c>
      <c r="DQ182" s="3">
        <f t="shared" si="566"/>
        <v>0</v>
      </c>
      <c r="DR182" s="3">
        <f t="shared" ca="1" si="567"/>
        <v>0</v>
      </c>
      <c r="DS182" s="3">
        <f t="shared" si="568"/>
        <v>0</v>
      </c>
      <c r="DT182" s="3">
        <f t="shared" si="591"/>
        <v>0</v>
      </c>
      <c r="DU182" s="3">
        <f t="shared" si="592"/>
        <v>0</v>
      </c>
      <c r="DV182" s="3">
        <f t="shared" si="569"/>
        <v>-1</v>
      </c>
      <c r="DW182" s="3">
        <f t="shared" si="570"/>
        <v>-21</v>
      </c>
      <c r="DX182" s="3">
        <f t="shared" ca="1" si="654"/>
        <v>2.3979232604081081E-23</v>
      </c>
      <c r="DY182" s="3">
        <f t="shared" ca="1" si="655"/>
        <v>-3.7697175213503696E-4</v>
      </c>
      <c r="DZ182" s="3">
        <f t="shared" ca="1" si="656"/>
        <v>3.6724356646502675E-4</v>
      </c>
      <c r="EA182" s="3">
        <f t="shared" ca="1" si="657"/>
        <v>-3.7131553383243945E-4</v>
      </c>
      <c r="EB182" s="3">
        <f t="shared" ca="1" si="658"/>
        <v>3.5972230746748798E-4</v>
      </c>
      <c r="EC182" s="3">
        <f t="shared" ca="1" si="659"/>
        <v>-3.6455616750939452E-4</v>
      </c>
      <c r="ED182" s="63">
        <f t="shared" si="593"/>
        <v>-22</v>
      </c>
      <c r="EE182" s="59">
        <f t="shared" si="577"/>
        <v>0.25</v>
      </c>
      <c r="EF182" s="59">
        <f t="shared" si="578"/>
        <v>2.6282999999999999</v>
      </c>
      <c r="EG182" s="59">
        <f t="shared" si="579"/>
        <v>0.22489999999999999</v>
      </c>
      <c r="EH182" s="59">
        <f t="shared" si="580"/>
        <v>0.25319999999999998</v>
      </c>
      <c r="EI182" s="59">
        <f t="shared" si="581"/>
        <v>0.21049999999999999</v>
      </c>
      <c r="EJ182" s="59">
        <f t="shared" si="582"/>
        <v>0.21870000000000001</v>
      </c>
      <c r="EK182" s="63">
        <f t="shared" ca="1" si="594"/>
        <v>3439377.2485817322</v>
      </c>
      <c r="EL182" s="3" t="str">
        <f>RTD("tos.rtd",,EL$43,"."&amp;$B$134&amp;$AS$82&amp;"C"&amp;$A182)</f>
        <v>--</v>
      </c>
      <c r="EM182" s="3" t="str">
        <f>RTD("tos.rtd",,EM$43,"."&amp;$B$134&amp;$AS$82&amp;"P"&amp;$A182)</f>
        <v>262.83%</v>
      </c>
      <c r="EN182" s="3" t="str">
        <f>RTD("tos.rtd",,EN$2,"."&amp;$C$134&amp;$AU$82&amp;"C"&amp;$A182)</f>
        <v>22.49%</v>
      </c>
      <c r="EO182" s="3" t="str">
        <f>RTD("tos.rtd",,EO$2,"."&amp;$C$134&amp;$AU$82&amp;"P"&amp;$A182)</f>
        <v>25.32%</v>
      </c>
      <c r="EP182" s="3" t="str">
        <f>RTD("tos.rtd",,EP$2,"."&amp;$D$134&amp;$AW$82&amp;"C"&amp;$A182)</f>
        <v>21.05%</v>
      </c>
      <c r="EQ182" s="3" t="str">
        <f>RTD("tos.rtd",,EQ$2,"."&amp;$D$134&amp;$AW$82&amp;"P"&amp;$A182)</f>
        <v>21.87%</v>
      </c>
      <c r="ES182" s="63" t="str">
        <f t="shared" si="583"/>
        <v>20225,-22.00</v>
      </c>
      <c r="ET182" s="63" t="str">
        <f t="shared" ca="1" si="584"/>
        <v>20225,-05.82</v>
      </c>
      <c r="EU182" s="68">
        <v>572.26</v>
      </c>
      <c r="EV182" s="68" t="s">
        <v>1475</v>
      </c>
      <c r="EW182" s="68">
        <v>497.69</v>
      </c>
      <c r="EX182" s="68" t="s">
        <v>1476</v>
      </c>
      <c r="EY182" s="68">
        <v>5733</v>
      </c>
      <c r="EZ182" s="68" t="s">
        <v>1477</v>
      </c>
      <c r="FA182" s="68">
        <v>20434</v>
      </c>
      <c r="FB182" s="68" t="s">
        <v>1478</v>
      </c>
      <c r="FC182" s="68" t="s">
        <v>1479</v>
      </c>
      <c r="FD182" s="68" t="s">
        <v>1480</v>
      </c>
      <c r="FE182" s="68" t="s">
        <v>1481</v>
      </c>
      <c r="FF182" s="68" t="s">
        <v>1482</v>
      </c>
    </row>
    <row r="183" spans="1:162" ht="11.1" customHeight="1" thickBot="1" x14ac:dyDescent="0.25">
      <c r="A183" s="2">
        <f t="shared" si="595"/>
        <v>20200</v>
      </c>
      <c r="B183" s="3">
        <f t="shared" si="628"/>
        <v>83</v>
      </c>
      <c r="C183" s="3">
        <f t="shared" si="629"/>
        <v>79</v>
      </c>
      <c r="D183" s="3">
        <f t="shared" si="630"/>
        <v>674</v>
      </c>
      <c r="E183" s="3">
        <f t="shared" si="663"/>
        <v>836</v>
      </c>
      <c r="F183" s="4">
        <f t="shared" si="623"/>
        <v>20296.911544227885</v>
      </c>
      <c r="G183" s="5">
        <f t="shared" si="664"/>
        <v>491.98114542728638</v>
      </c>
      <c r="AM183" s="1">
        <v>0</v>
      </c>
      <c r="AN183" s="1">
        <v>-140</v>
      </c>
      <c r="AO183" s="1">
        <v>20200</v>
      </c>
      <c r="AP183" s="1">
        <v>8</v>
      </c>
      <c r="AQ183" s="1">
        <v>-749</v>
      </c>
      <c r="AS183" s="54">
        <f>IF(RTD("tos.rtd",,AS$83,"."&amp;$B$134&amp;$AS$82&amp;"C"&amp;$A183)="N/A",0,RTD("tos.rtd",,AS$83,"."&amp;$B$134&amp;$AS$82&amp;"C"&amp;$A183))</f>
        <v>75</v>
      </c>
      <c r="AT183" s="3">
        <f>-IF(RTD("tos.rtd",,AT$83,"."&amp;$B$134&amp;$AS$82&amp;"P"&amp;$A183)="N/A",0,RTD("tos.rtd",,AT$83,"."&amp;$B$134&amp;$AS$82&amp;"P"&amp;$A183))</f>
        <v>-8</v>
      </c>
      <c r="AU183" s="54">
        <f>IF(RTD("tos.rtd",,AU$2,"."&amp;$C$134&amp;$AU$134&amp;"C"&amp;$A183)="N/A",0,RTD("tos.rtd",,AU$2,"."&amp;$C$134&amp;$AU$134&amp;"C"&amp;$A183))</f>
        <v>56</v>
      </c>
      <c r="AV183" s="3">
        <f>-IF(RTD("tos.rtd",,AV$2,"."&amp;$C$134&amp;$AU$134&amp;"P"&amp;$A183)="N/A",0,RTD("tos.rtd",,AV$2,"."&amp;$C$134&amp;$AU$134&amp;"P"&amp;$A183))</f>
        <v>-23</v>
      </c>
      <c r="AW183" s="54">
        <f>IF(RTD("tos.rtd",,AW$2,"."&amp;$D$134&amp;$AW$134&amp;"C"&amp;$A183)="N/A",0,RTD("tos.rtd",,AW$2,"."&amp;$D$134&amp;$AW$134&amp;"C"&amp;$A183))</f>
        <v>372</v>
      </c>
      <c r="AX183" s="3">
        <f>-IF(RTD("tos.rtd",,AX$2,"."&amp;$D$134&amp;$AW$134&amp;"P"&amp;$A183)="N/A",0,RTD("tos.rtd",,AX$2,"."&amp;$D$134&amp;$AW$134&amp;"P"&amp;$A183))</f>
        <v>-302</v>
      </c>
      <c r="AY183" s="76">
        <f t="shared" si="624"/>
        <v>170</v>
      </c>
      <c r="AZ183" s="8">
        <f t="shared" si="548"/>
        <v>20200</v>
      </c>
      <c r="BA183" s="54">
        <f>IF(RTD("tos.rtd",,BA$43,"."&amp;$B$134&amp;$AS$82&amp;"C"&amp;$A183)="N/A",0,RTD("tos.rtd",,BA$43,"."&amp;$B$134&amp;$AS$82&amp;"C"&amp;$A183))</f>
        <v>8</v>
      </c>
      <c r="BB183" s="3">
        <f>-IF(RTD("tos.rtd",,BB$43,"."&amp;$B$134&amp;$AS$82&amp;"P"&amp;$A183)="N/A",0,RTD("tos.rtd",,BB$43,"."&amp;$B$134&amp;$AS$82&amp;"P"&amp;$A183))</f>
        <v>-749</v>
      </c>
      <c r="BC183" s="54">
        <f>IF(RTD("tos.rtd",,BC$2,"."&amp;$C$134&amp;$AU$82&amp;"C"&amp;$A183)="N/A",0,RTD("tos.rtd",,BC$2,"."&amp;$C$134&amp;$AU$82&amp;"C"&amp;$A183))</f>
        <v>3</v>
      </c>
      <c r="BD183" s="3">
        <f>-IF(RTD("tos.rtd",,BD$2,"."&amp;$C$134&amp;$AU$82&amp;"P"&amp;$A183)="N/A",0,RTD("tos.rtd",,BD$2,"."&amp;$C$134&amp;$AU$82&amp;"P"&amp;$A183))</f>
        <v>-4</v>
      </c>
      <c r="BE183" s="54">
        <f>IF(RTD("tos.rtd",,BE$2,"."&amp;$D$134&amp;$AW$82&amp;"C"&amp;$A183)="N/A",0,RTD("tos.rtd",,BE$2,"."&amp;$D$134&amp;$AW$82&amp;"C"&amp;$A183))</f>
        <v>1</v>
      </c>
      <c r="BF183" s="3">
        <f>-IF(RTD("tos.rtd",,BF$2,"."&amp;$D$134&amp;$AW$82&amp;"P"&amp;$A183)="N/A",0,RTD("tos.rtd",,BF$2,"."&amp;$D$134&amp;$AW$82&amp;"P"&amp;$A183))</f>
        <v>-1</v>
      </c>
      <c r="BG183" s="3">
        <f ca="1">+Hoja2!Y184</f>
        <v>-1</v>
      </c>
      <c r="BH183" s="7">
        <f t="shared" ca="1" si="549"/>
        <v>-743</v>
      </c>
      <c r="BI183" s="32" t="str">
        <f t="shared" ca="1" si="609"/>
        <v/>
      </c>
      <c r="BJ183" s="3">
        <f ca="1">IF($BP$1=1,DX183,IF(RTD("tos.rtd",,BJ$43,"."&amp;$B$134&amp;$AS$82&amp;"C"&amp;$A183)="N/A",0,RTD("tos.rtd",,BJ$43,"."&amp;$B$134&amp;$AS$82&amp;"C"&amp;$A183)))</f>
        <v>4.6851822753715122E-25</v>
      </c>
      <c r="BK183" s="3">
        <f ca="1">IF($BP$1=1,DY183,-IF(RTD("tos.rtd",,BK$43,"."&amp;$B$134&amp;$AS$82&amp;"P"&amp;$A183)="N/A",0,RTD("tos.rtd",,BK$43,"."&amp;$B$134&amp;$AS$82&amp;"P"&amp;$A183)))</f>
        <v>-2.4129291597704068E-4</v>
      </c>
      <c r="BL183" s="3">
        <f ca="1">IF($BP$1=1,DZ183,IF(RTD("tos.rtd",,BL$2,"."&amp;$C$134&amp;$AU$82&amp;"C"&amp;$A183)="N/A",0,RTD("tos.rtd",,BL$2,"."&amp;$C$134&amp;$AU$82&amp;"C"&amp;$A183)))</f>
        <v>3.4858306917025169E-4</v>
      </c>
      <c r="BM183" s="3">
        <f ca="1">IF($BP$1=1,EA183,-IF(RTD("tos.rtd",,BM$2,"."&amp;$C$134&amp;$AU$82&amp;"P"&amp;$A183)="N/A",0,RTD("tos.rtd",,BM$2,"."&amp;$C$134&amp;$AU$82&amp;"P"&amp;$A183)))</f>
        <v>-3.5671380298553303E-4</v>
      </c>
      <c r="BN183" s="3">
        <f ca="1">IF($BP$1=1,EB183,IF(RTD("tos.rtd",,BN$2,"."&amp;$D$134&amp;$AW$82&amp;"C"&amp;$A183)="N/A",0,RTD("tos.rtd",,BN$2,"."&amp;$D$134&amp;$AW$82&amp;"C"&amp;$A183)))</f>
        <v>3.3690074614363202E-4</v>
      </c>
      <c r="BO183" s="3">
        <f ca="1">IF($BP$1=1,EC183,-IF(RTD("tos.rtd",,BO$2,"."&amp;$D$134&amp;$AW$82&amp;"P"&amp;$A183)="N/A",0,RTD("tos.rtd",,BO$2,"."&amp;$D$134&amp;$AW$82&amp;"P"&amp;$A183)))</f>
        <v>-3.4600849789333688E-4</v>
      </c>
      <c r="BQ183" s="3">
        <f t="shared" ca="1" si="625"/>
        <v>-65874.979530469471</v>
      </c>
      <c r="BR183" s="3" t="str">
        <f t="shared" ca="1" si="550"/>
        <v/>
      </c>
      <c r="BS183" s="3">
        <f t="shared" ca="1" si="626"/>
        <v>386178.30260582967</v>
      </c>
      <c r="BT183" s="3" t="str">
        <f t="shared" ca="1" si="551"/>
        <v/>
      </c>
      <c r="BU183" s="3">
        <f t="shared" ca="1" si="627"/>
        <v>710931.17436729558</v>
      </c>
      <c r="BV183" s="3" t="str">
        <f t="shared" ca="1" si="551"/>
        <v/>
      </c>
      <c r="BX183" s="3">
        <f t="shared" ca="1" si="585"/>
        <v>-46577.082362211491</v>
      </c>
      <c r="BY183" s="3" t="str">
        <f t="shared" ca="1" si="586"/>
        <v/>
      </c>
      <c r="BZ183" s="3">
        <f t="shared" ca="1" si="587"/>
        <v>-98.218134725262189</v>
      </c>
      <c r="CA183" s="3" t="str">
        <f t="shared" ca="1" si="586"/>
        <v/>
      </c>
      <c r="CB183" s="3">
        <f t="shared" ca="1" si="588"/>
        <v>-2.3472377186275253</v>
      </c>
      <c r="CC183" s="3" t="str">
        <f t="shared" ca="1" si="586"/>
        <v/>
      </c>
      <c r="CD183" s="3">
        <f>IF(RTD("tos.rtd",,CD$43,"."&amp;$B$134&amp;$AS$82&amp;"C"&amp;$A183)="N/A",0,RTD("tos.rtd",,CD$43,"."&amp;$B$134&amp;$AS$82&amp;"C"&amp;$A183))</f>
        <v>1</v>
      </c>
      <c r="CE183" s="3">
        <f>-IF(RTD("tos.rtd",,CE$43,"."&amp;$B$134&amp;$AS$82&amp;"P"&amp;$A183)="N/A",0,RTD("tos.rtd",,CE$43,"."&amp;$B$134&amp;$AS$82&amp;"P"&amp;$A183))</f>
        <v>0</v>
      </c>
      <c r="CF183" s="3">
        <f>IF(RTD("tos.rtd",,CF$2,"."&amp;$C$134&amp;$AU$82&amp;"C"&amp;$A183)="N/A",0,RTD("tos.rtd",,CF$2,"."&amp;$C$134&amp;$AU$82&amp;"C"&amp;$A183))</f>
        <v>0.93</v>
      </c>
      <c r="CG183" s="3">
        <f>-IF(RTD("tos.rtd",,CG$2,"."&amp;$C$134&amp;$AU$82&amp;"P"&amp;$A183)="N/A",0,RTD("tos.rtd",,CG$2,"."&amp;$C$134&amp;$AU$82&amp;"P"&amp;$A183))</f>
        <v>0.1</v>
      </c>
      <c r="CH183" s="3">
        <f>IF(RTD("tos.rtd",,CH$2,"."&amp;$D$134&amp;$AW$82&amp;"C"&amp;$A183)="N/A",0,RTD("tos.rtd",,CH$2,"."&amp;$D$134&amp;$AW$82&amp;"C"&amp;$A183))</f>
        <v>0.72</v>
      </c>
      <c r="CI183" s="3">
        <f>-IF(RTD("tos.rtd",,CI$2,"."&amp;$D$134&amp;$AW$82&amp;"P"&amp;$A183)="N/A",0,RTD("tos.rtd",,CI$2,"."&amp;$D$134&amp;$AW$82&amp;"P"&amp;$A183))</f>
        <v>0.28999999999999998</v>
      </c>
      <c r="CK183" s="3">
        <f t="shared" si="660"/>
        <v>7500</v>
      </c>
      <c r="CL183" s="3"/>
      <c r="CM183" s="3">
        <f t="shared" si="661"/>
        <v>4978.0000000000009</v>
      </c>
      <c r="CN183" s="3"/>
      <c r="CO183" s="3">
        <f t="shared" si="662"/>
        <v>18025.999999999996</v>
      </c>
      <c r="CP183" s="3">
        <f t="shared" si="542"/>
        <v>30503.999999999996</v>
      </c>
      <c r="CQ183" s="3">
        <f t="shared" si="552"/>
        <v>-741</v>
      </c>
      <c r="CR183" s="3"/>
      <c r="CS183" s="3">
        <f t="shared" si="553"/>
        <v>-1</v>
      </c>
      <c r="CT183" s="3"/>
      <c r="CU183" s="3">
        <f t="shared" si="554"/>
        <v>0</v>
      </c>
      <c r="CV183" s="3"/>
      <c r="CW183" s="3">
        <f t="shared" ca="1" si="555"/>
        <v>1031234.4974426557</v>
      </c>
      <c r="CY183" s="3">
        <f t="shared" ca="1" si="556"/>
        <v>-46677.64773465538</v>
      </c>
      <c r="CZ183" s="70" t="str">
        <f t="shared" ca="1" si="589"/>
        <v/>
      </c>
      <c r="DA183" s="3">
        <f>IF(RTD("tos.rtd",,DA$43,"."&amp;$B$134&amp;$AS$82&amp;"C"&amp;$A183)="N/A",0,RTD("tos.rtd",,DA$43,"."&amp;$B$134&amp;$AS$82&amp;"C"&amp;$A183))</f>
        <v>620.99</v>
      </c>
      <c r="DB183" s="3">
        <f>IF(RTD("tos.rtd",,DB$43,"."&amp;$B$134&amp;$AS$82&amp;"P"&amp;$A183)="N/A",0,RTD("tos.rtd",,DB$43,"."&amp;$B$134&amp;$AS$82&amp;"P"&amp;$A183))</f>
        <v>0.05</v>
      </c>
      <c r="DC183" s="3">
        <f>IF(RTD("tos.rtd",,DC$43,"."&amp;$B$134&amp;$AS$82&amp;"C"&amp;$A183)="N/A",0,RTD("tos.rtd",,DC$43,"."&amp;$B$134&amp;$AS$82&amp;"C"&amp;$A183))</f>
        <v>704</v>
      </c>
      <c r="DD183" s="3">
        <f>IF(RTD("tos.rtd",,DD$43,"."&amp;$B$134&amp;$AS$82&amp;"P"&amp;$A183)="N/A",0,RTD("tos.rtd",,DD$43,"."&amp;$B$134&amp;$AS$82&amp;"P"&amp;$A183))</f>
        <v>0.25</v>
      </c>
      <c r="DE183" s="3">
        <f>IF(RTD("tos.rtd",,DE$43,"."&amp;$B$134&amp;$AS$82&amp;"C"&amp;$A183)="N/A",0,RTD("tos.rtd",,DE$43,"."&amp;$B$134&amp;$AS$82&amp;"C"&amp;$A183))</f>
        <v>624</v>
      </c>
      <c r="DF183" s="3">
        <f>IF(RTD("tos.rtd",,DF$43,"."&amp;$B$134&amp;$AS$82&amp;"P"&amp;$A183)="N/A",0,RTD("tos.rtd",,DF$43,"."&amp;$B$134&amp;$AS$82&amp;"P"&amp;$A183))</f>
        <v>0</v>
      </c>
      <c r="DG183" s="86">
        <f t="shared" si="590"/>
        <v>-643.75</v>
      </c>
      <c r="DH183" s="3">
        <f t="shared" si="557"/>
        <v>0</v>
      </c>
      <c r="DI183" s="3">
        <f t="shared" si="558"/>
        <v>0</v>
      </c>
      <c r="DJ183" s="3">
        <f t="shared" si="559"/>
        <v>0</v>
      </c>
      <c r="DK183" s="3">
        <f t="shared" si="560"/>
        <v>0</v>
      </c>
      <c r="DL183" s="3">
        <f t="shared" si="561"/>
        <v>0</v>
      </c>
      <c r="DM183" s="3">
        <f t="shared" si="562"/>
        <v>0</v>
      </c>
      <c r="DN183" s="64" t="str">
        <f t="shared" si="563"/>
        <v>UNKNOWN</v>
      </c>
      <c r="DO183" s="64" t="str">
        <f t="shared" si="564"/>
        <v>UNKNOWN</v>
      </c>
      <c r="DP183" s="3">
        <f t="shared" si="565"/>
        <v>0</v>
      </c>
      <c r="DQ183" s="3">
        <f t="shared" si="566"/>
        <v>0</v>
      </c>
      <c r="DR183" s="3">
        <f t="shared" ca="1" si="567"/>
        <v>0</v>
      </c>
      <c r="DS183" s="3">
        <f t="shared" si="568"/>
        <v>0</v>
      </c>
      <c r="DT183" s="3">
        <f t="shared" si="591"/>
        <v>0</v>
      </c>
      <c r="DU183" s="3">
        <f t="shared" si="592"/>
        <v>0</v>
      </c>
      <c r="DV183" s="3">
        <f t="shared" si="569"/>
        <v>0</v>
      </c>
      <c r="DW183" s="3">
        <f t="shared" si="570"/>
        <v>-140</v>
      </c>
      <c r="DX183" s="3">
        <f t="shared" ca="1" si="654"/>
        <v>4.6851822753715122E-25</v>
      </c>
      <c r="DY183" s="3">
        <f t="shared" ca="1" si="655"/>
        <v>-2.4129291597704068E-4</v>
      </c>
      <c r="DZ183" s="3">
        <f t="shared" ca="1" si="656"/>
        <v>3.4858306917025169E-4</v>
      </c>
      <c r="EA183" s="3">
        <f t="shared" ca="1" si="657"/>
        <v>-3.5671380298553303E-4</v>
      </c>
      <c r="EB183" s="3">
        <f t="shared" ca="1" si="658"/>
        <v>3.3690074614363202E-4</v>
      </c>
      <c r="EC183" s="3">
        <f t="shared" ca="1" si="659"/>
        <v>-3.4600849789333688E-4</v>
      </c>
      <c r="ED183" s="63">
        <f t="shared" si="593"/>
        <v>-140</v>
      </c>
      <c r="EE183" s="59">
        <f t="shared" si="577"/>
        <v>0.25</v>
      </c>
      <c r="EF183" s="59">
        <f t="shared" si="578"/>
        <v>1.4861</v>
      </c>
      <c r="EG183" s="59">
        <f t="shared" si="579"/>
        <v>0.22409999999999999</v>
      </c>
      <c r="EH183" s="59">
        <f t="shared" si="580"/>
        <v>0.2545</v>
      </c>
      <c r="EI183" s="59">
        <f t="shared" si="581"/>
        <v>0.20760000000000001</v>
      </c>
      <c r="EJ183" s="59">
        <f t="shared" si="582"/>
        <v>0.21959999999999999</v>
      </c>
      <c r="EK183" s="63">
        <f t="shared" ca="1" si="594"/>
        <v>14676561.497514991</v>
      </c>
      <c r="EL183" s="3" t="str">
        <f>RTD("tos.rtd",,EL$43,"."&amp;$B$134&amp;$AS$82&amp;"C"&amp;$A183)</f>
        <v>--</v>
      </c>
      <c r="EM183" s="3" t="str">
        <f>RTD("tos.rtd",,EM$43,"."&amp;$B$134&amp;$AS$82&amp;"P"&amp;$A183)</f>
        <v>148.61%</v>
      </c>
      <c r="EN183" s="3" t="str">
        <f>RTD("tos.rtd",,EN$2,"."&amp;$C$134&amp;$AU$82&amp;"C"&amp;$A183)</f>
        <v>22.41%</v>
      </c>
      <c r="EO183" s="3" t="str">
        <f>RTD("tos.rtd",,EO$2,"."&amp;$C$134&amp;$AU$82&amp;"P"&amp;$A183)</f>
        <v>25.45%</v>
      </c>
      <c r="EP183" s="3" t="str">
        <f>RTD("tos.rtd",,EP$2,"."&amp;$D$134&amp;$AW$82&amp;"C"&amp;$A183)</f>
        <v>20.76%</v>
      </c>
      <c r="EQ183" s="3" t="str">
        <f>RTD("tos.rtd",,EQ$2,"."&amp;$D$134&amp;$AW$82&amp;"P"&amp;$A183)</f>
        <v>21.96%</v>
      </c>
      <c r="ES183" s="63" t="str">
        <f t="shared" si="583"/>
        <v>20200,-140.00</v>
      </c>
      <c r="ET183" s="63" t="str">
        <f t="shared" ca="1" si="584"/>
        <v>20200,-46.68</v>
      </c>
      <c r="EU183" s="68">
        <v>572.11</v>
      </c>
      <c r="EV183" s="68" t="s">
        <v>1483</v>
      </c>
      <c r="EW183" s="68">
        <v>497.59</v>
      </c>
      <c r="EX183" s="68" t="s">
        <v>1484</v>
      </c>
      <c r="EY183" s="68">
        <v>5732</v>
      </c>
      <c r="EZ183" s="68" t="s">
        <v>1485</v>
      </c>
      <c r="FA183" s="68">
        <v>20428.75</v>
      </c>
      <c r="FB183" s="68" t="s">
        <v>1486</v>
      </c>
      <c r="FC183" s="68" t="s">
        <v>1487</v>
      </c>
      <c r="FD183" s="68" t="s">
        <v>1488</v>
      </c>
      <c r="FE183" s="68" t="s">
        <v>1489</v>
      </c>
      <c r="FF183" s="68" t="s">
        <v>1490</v>
      </c>
    </row>
    <row r="184" spans="1:162" ht="11.1" customHeight="1" thickBot="1" x14ac:dyDescent="0.25">
      <c r="A184" s="2">
        <f t="shared" si="595"/>
        <v>20175</v>
      </c>
      <c r="B184" s="3">
        <f t="shared" si="628"/>
        <v>23</v>
      </c>
      <c r="C184" s="3">
        <f t="shared" si="629"/>
        <v>26</v>
      </c>
      <c r="D184" s="3">
        <f t="shared" si="630"/>
        <v>38</v>
      </c>
      <c r="E184" s="3">
        <f t="shared" si="663"/>
        <v>87</v>
      </c>
      <c r="F184" s="4">
        <f t="shared" si="623"/>
        <v>20271.791604197901</v>
      </c>
      <c r="G184" s="5">
        <f t="shared" si="664"/>
        <v>491.37225787106451</v>
      </c>
      <c r="AM184" s="1">
        <v>1</v>
      </c>
      <c r="AN184" s="1">
        <v>2</v>
      </c>
      <c r="AO184" s="1">
        <v>20175</v>
      </c>
      <c r="AP184" s="1">
        <v>5</v>
      </c>
      <c r="AQ184" s="1">
        <v>-32</v>
      </c>
      <c r="AS184" s="54">
        <f>IF(RTD("tos.rtd",,AS$83,"."&amp;$B$134&amp;$AS$82&amp;"C"&amp;$A184)="N/A",0,RTD("tos.rtd",,AS$83,"."&amp;$B$134&amp;$AS$82&amp;"C"&amp;$A184))</f>
        <v>19</v>
      </c>
      <c r="AT184" s="3">
        <f>-IF(RTD("tos.rtd",,AT$83,"."&amp;$B$134&amp;$AS$82&amp;"P"&amp;$A184)="N/A",0,RTD("tos.rtd",,AT$83,"."&amp;$B$134&amp;$AS$82&amp;"P"&amp;$A184))</f>
        <v>-4</v>
      </c>
      <c r="AU184" s="54">
        <f>IF(RTD("tos.rtd",,AU$2,"."&amp;$C$134&amp;$AU$134&amp;"C"&amp;$A184)="N/A",0,RTD("tos.rtd",,AU$2,"."&amp;$C$134&amp;$AU$134&amp;"C"&amp;$A184))</f>
        <v>20</v>
      </c>
      <c r="AV184" s="3">
        <f>-IF(RTD("tos.rtd",,AV$2,"."&amp;$C$134&amp;$AU$134&amp;"P"&amp;$A184)="N/A",0,RTD("tos.rtd",,AV$2,"."&amp;$C$134&amp;$AU$134&amp;"P"&amp;$A184))</f>
        <v>-6</v>
      </c>
      <c r="AW184" s="54">
        <f>IF(RTD("tos.rtd",,AW$2,"."&amp;$D$134&amp;$AW$134&amp;"C"&amp;$A184)="N/A",0,RTD("tos.rtd",,AW$2,"."&amp;$D$134&amp;$AW$134&amp;"C"&amp;$A184))</f>
        <v>20</v>
      </c>
      <c r="AX184" s="3">
        <f>-IF(RTD("tos.rtd",,AX$2,"."&amp;$D$134&amp;$AW$134&amp;"P"&amp;$A184)="N/A",0,RTD("tos.rtd",,AX$2,"."&amp;$D$134&amp;$AW$134&amp;"P"&amp;$A184))</f>
        <v>-18</v>
      </c>
      <c r="AY184" s="76">
        <f t="shared" si="624"/>
        <v>31</v>
      </c>
      <c r="AZ184" s="8">
        <f t="shared" si="548"/>
        <v>20175</v>
      </c>
      <c r="BA184" s="54">
        <f>IF(RTD("tos.rtd",,BA$43,"."&amp;$B$134&amp;$AS$82&amp;"C"&amp;$A184)="N/A",0,RTD("tos.rtd",,BA$43,"."&amp;$B$134&amp;$AS$82&amp;"C"&amp;$A184))</f>
        <v>5</v>
      </c>
      <c r="BB184" s="3">
        <f>-IF(RTD("tos.rtd",,BB$43,"."&amp;$B$134&amp;$AS$82&amp;"P"&amp;$A184)="N/A",0,RTD("tos.rtd",,BB$43,"."&amp;$B$134&amp;$AS$82&amp;"P"&amp;$A184))</f>
        <v>-32</v>
      </c>
      <c r="BC184" s="54">
        <f>IF(RTD("tos.rtd",,BC$2,"."&amp;$C$134&amp;$AU$82&amp;"C"&amp;$A184)="N/A",0,RTD("tos.rtd",,BC$2,"."&amp;$C$134&amp;$AU$82&amp;"C"&amp;$A184))</f>
        <v>1</v>
      </c>
      <c r="BD184" s="3">
        <f>-IF(RTD("tos.rtd",,BD$2,"."&amp;$C$134&amp;$AU$82&amp;"P"&amp;$A184)="N/A",0,RTD("tos.rtd",,BD$2,"."&amp;$C$134&amp;$AU$82&amp;"P"&amp;$A184))</f>
        <v>-2</v>
      </c>
      <c r="BE184" s="54">
        <f>IF(RTD("tos.rtd",,BE$2,"."&amp;$D$134&amp;$AW$82&amp;"C"&amp;$A184)="N/A",0,RTD("tos.rtd",,BE$2,"."&amp;$D$134&amp;$AW$82&amp;"C"&amp;$A184))</f>
        <v>0</v>
      </c>
      <c r="BF184" s="3">
        <f>-IF(RTD("tos.rtd",,BF$2,"."&amp;$D$134&amp;$AW$82&amp;"P"&amp;$A184)="N/A",0,RTD("tos.rtd",,BF$2,"."&amp;$D$134&amp;$AW$82&amp;"P"&amp;$A184))</f>
        <v>0</v>
      </c>
      <c r="BG184" s="3">
        <f ca="1">+Hoja2!Y185</f>
        <v>0</v>
      </c>
      <c r="BH184" s="7">
        <f t="shared" ca="1" si="549"/>
        <v>-28</v>
      </c>
      <c r="BI184" s="32" t="str">
        <f t="shared" ca="1" si="609"/>
        <v/>
      </c>
      <c r="BJ184" s="3">
        <f ca="1">IF($BP$1=1,DX184,IF(RTD("tos.rtd",,BJ$43,"."&amp;$B$134&amp;$AS$82&amp;"C"&amp;$A184)="N/A",0,RTD("tos.rtd",,BJ$43,"."&amp;$B$134&amp;$AS$82&amp;"C"&amp;$A184)))</f>
        <v>7.7742800641087536E-27</v>
      </c>
      <c r="BK184" s="3">
        <f ca="1">IF($BP$1=1,DY184,-IF(RTD("tos.rtd",,BK$43,"."&amp;$B$134&amp;$AS$82&amp;"P"&amp;$A184)="N/A",0,RTD("tos.rtd",,BK$43,"."&amp;$B$134&amp;$AS$82&amp;"P"&amp;$A184)))</f>
        <v>-3.4879614540499193E-4</v>
      </c>
      <c r="BL184" s="3">
        <f ca="1">IF($BP$1=1,DZ184,IF(RTD("tos.rtd",,BL$2,"."&amp;$C$134&amp;$AU$82&amp;"C"&amp;$A184)="N/A",0,RTD("tos.rtd",,BL$2,"."&amp;$C$134&amp;$AU$82&amp;"C"&amp;$A184)))</f>
        <v>3.277509917806715E-4</v>
      </c>
      <c r="BM184" s="3">
        <f ca="1">IF($BP$1=1,EA184,-IF(RTD("tos.rtd",,BM$2,"."&amp;$C$134&amp;$AU$82&amp;"P"&amp;$A184)="N/A",0,RTD("tos.rtd",,BM$2,"."&amp;$C$134&amp;$AU$82&amp;"P"&amp;$A184)))</f>
        <v>-3.4237053155062463E-4</v>
      </c>
      <c r="BN184" s="3">
        <f ca="1">IF($BP$1=1,EB184,IF(RTD("tos.rtd",,BN$2,"."&amp;$D$134&amp;$AW$82&amp;"C"&amp;$A184)="N/A",0,RTD("tos.rtd",,BN$2,"."&amp;$D$134&amp;$AW$82&amp;"C"&amp;$A184)))</f>
        <v>3.2265981147688025E-4</v>
      </c>
      <c r="BO184" s="3">
        <f ca="1">IF($BP$1=1,EC184,-IF(RTD("tos.rtd",,BO$2,"."&amp;$D$134&amp;$AW$82&amp;"P"&amp;$A184)="N/A",0,RTD("tos.rtd",,BO$2,"."&amp;$D$134&amp;$AW$82&amp;"P"&amp;$A184)))</f>
        <v>-3.279710712430003E-4</v>
      </c>
      <c r="BQ184" s="3">
        <f t="shared" ca="1" si="625"/>
        <v>-47612.129112499068</v>
      </c>
      <c r="BR184" s="3" t="str">
        <f t="shared" ca="1" si="550"/>
        <v/>
      </c>
      <c r="BS184" s="3">
        <f t="shared" ca="1" si="626"/>
        <v>153594.38016751979</v>
      </c>
      <c r="BT184" s="3" t="str">
        <f t="shared" ca="1" si="551"/>
        <v/>
      </c>
      <c r="BU184" s="3">
        <f t="shared" ca="1" si="627"/>
        <v>18759.664211091032</v>
      </c>
      <c r="BV184" s="3" t="str">
        <f t="shared" ca="1" si="551"/>
        <v/>
      </c>
      <c r="BX184" s="3">
        <f t="shared" ca="1" si="585"/>
        <v>-2876.5209807411056</v>
      </c>
      <c r="BY184" s="3" t="str">
        <f t="shared" ca="1" si="586"/>
        <v/>
      </c>
      <c r="BZ184" s="3">
        <f t="shared" ca="1" si="587"/>
        <v>-92.003008383088854</v>
      </c>
      <c r="CA184" s="3" t="str">
        <f t="shared" ca="1" si="586"/>
        <v/>
      </c>
      <c r="CB184" s="3">
        <f t="shared" ca="1" si="588"/>
        <v>0</v>
      </c>
      <c r="CC184" s="3" t="str">
        <f t="shared" ca="1" si="586"/>
        <v/>
      </c>
      <c r="CD184" s="3">
        <f>IF(RTD("tos.rtd",,CD$43,"."&amp;$B$134&amp;$AS$82&amp;"C"&amp;$A184)="N/A",0,RTD("tos.rtd",,CD$43,"."&amp;$B$134&amp;$AS$82&amp;"C"&amp;$A184))</f>
        <v>1</v>
      </c>
      <c r="CE184" s="3">
        <f>-IF(RTD("tos.rtd",,CE$43,"."&amp;$B$134&amp;$AS$82&amp;"P"&amp;$A184)="N/A",0,RTD("tos.rtd",,CE$43,"."&amp;$B$134&amp;$AS$82&amp;"P"&amp;$A184))</f>
        <v>0.05</v>
      </c>
      <c r="CF184" s="3">
        <f>IF(RTD("tos.rtd",,CF$2,"."&amp;$C$134&amp;$AU$82&amp;"C"&amp;$A184)="N/A",0,RTD("tos.rtd",,CF$2,"."&amp;$C$134&amp;$AU$82&amp;"C"&amp;$A184))</f>
        <v>0.94</v>
      </c>
      <c r="CG184" s="3">
        <f>-IF(RTD("tos.rtd",,CG$2,"."&amp;$C$134&amp;$AU$82&amp;"P"&amp;$A184)="N/A",0,RTD("tos.rtd",,CG$2,"."&amp;$C$134&amp;$AU$82&amp;"P"&amp;$A184))</f>
        <v>0.09</v>
      </c>
      <c r="CH184" s="3">
        <f>IF(RTD("tos.rtd",,CH$2,"."&amp;$D$134&amp;$AW$82&amp;"C"&amp;$A184)="N/A",0,RTD("tos.rtd",,CH$2,"."&amp;$D$134&amp;$AW$82&amp;"C"&amp;$A184))</f>
        <v>0.72</v>
      </c>
      <c r="CI184" s="3">
        <f>-IF(RTD("tos.rtd",,CI$2,"."&amp;$D$134&amp;$AW$82&amp;"P"&amp;$A184)="N/A",0,RTD("tos.rtd",,CI$2,"."&amp;$D$134&amp;$AW$82&amp;"P"&amp;$A184))</f>
        <v>0.28000000000000003</v>
      </c>
      <c r="CK184" s="3">
        <f t="shared" si="660"/>
        <v>1880</v>
      </c>
      <c r="CL184" s="3"/>
      <c r="CM184" s="3">
        <f t="shared" si="661"/>
        <v>1825.9999999999998</v>
      </c>
      <c r="CN184" s="3"/>
      <c r="CO184" s="3">
        <f t="shared" si="662"/>
        <v>935.99999999999966</v>
      </c>
      <c r="CP184" s="3">
        <f t="shared" si="542"/>
        <v>4642</v>
      </c>
      <c r="CQ184" s="3">
        <f t="shared" si="552"/>
        <v>-27</v>
      </c>
      <c r="CR184" s="3"/>
      <c r="CS184" s="3">
        <f t="shared" si="553"/>
        <v>-1</v>
      </c>
      <c r="CT184" s="3"/>
      <c r="CU184" s="3">
        <f t="shared" si="554"/>
        <v>0</v>
      </c>
      <c r="CV184" s="3"/>
      <c r="CW184" s="3">
        <f t="shared" ca="1" si="555"/>
        <v>124741.91526611176</v>
      </c>
      <c r="CY184" s="3">
        <f t="shared" ca="1" si="556"/>
        <v>-2968.5239891241945</v>
      </c>
      <c r="CZ184" s="70" t="str">
        <f t="shared" ca="1" si="589"/>
        <v/>
      </c>
      <c r="DA184" s="3">
        <f>IF(RTD("tos.rtd",,DA$43,"."&amp;$B$134&amp;$AS$82&amp;"C"&amp;$A184)="N/A",0,RTD("tos.rtd",,DA$43,"."&amp;$B$134&amp;$AS$82&amp;"C"&amp;$A184))</f>
        <v>521.38</v>
      </c>
      <c r="DB184" s="3">
        <f>IF(RTD("tos.rtd",,DB$43,"."&amp;$B$134&amp;$AS$82&amp;"P"&amp;$A184)="N/A",0,RTD("tos.rtd",,DB$43,"."&amp;$B$134&amp;$AS$82&amp;"P"&amp;$A184))</f>
        <v>0.6</v>
      </c>
      <c r="DC184" s="3">
        <f>IF(RTD("tos.rtd",,DC$43,"."&amp;$B$134&amp;$AS$82&amp;"C"&amp;$A184)="N/A",0,RTD("tos.rtd",,DC$43,"."&amp;$B$134&amp;$AS$82&amp;"C"&amp;$A184))</f>
        <v>728</v>
      </c>
      <c r="DD184" s="3">
        <f>IF(RTD("tos.rtd",,DD$43,"."&amp;$B$134&amp;$AS$82&amp;"P"&amp;$A184)="N/A",0,RTD("tos.rtd",,DD$43,"."&amp;$B$134&amp;$AS$82&amp;"P"&amp;$A184))</f>
        <v>20</v>
      </c>
      <c r="DE184" s="3">
        <f>IF(RTD("tos.rtd",,DE$43,"."&amp;$B$134&amp;$AS$82&amp;"C"&amp;$A184)="N/A",0,RTD("tos.rtd",,DE$43,"."&amp;$B$134&amp;$AS$82&amp;"C"&amp;$A184))</f>
        <v>648</v>
      </c>
      <c r="DF184" s="3">
        <f>IF(RTD("tos.rtd",,DF$43,"."&amp;$B$134&amp;$AS$82&amp;"P"&amp;$A184)="N/A",0,RTD("tos.rtd",,DF$43,"."&amp;$B$134&amp;$AS$82&amp;"P"&amp;$A184))</f>
        <v>0</v>
      </c>
      <c r="DG184" s="86">
        <f t="shared" si="590"/>
        <v>-668.75</v>
      </c>
      <c r="DH184" s="3">
        <f t="shared" si="557"/>
        <v>0</v>
      </c>
      <c r="DI184" s="3">
        <f t="shared" si="558"/>
        <v>0</v>
      </c>
      <c r="DJ184" s="3">
        <f t="shared" si="559"/>
        <v>0</v>
      </c>
      <c r="DK184" s="3">
        <f t="shared" si="560"/>
        <v>0</v>
      </c>
      <c r="DL184" s="3">
        <f t="shared" si="561"/>
        <v>0</v>
      </c>
      <c r="DM184" s="3">
        <f t="shared" si="562"/>
        <v>0</v>
      </c>
      <c r="DN184" s="64" t="str">
        <f t="shared" si="563"/>
        <v>UNKNOWN</v>
      </c>
      <c r="DO184" s="64" t="str">
        <f t="shared" si="564"/>
        <v>UNKNOWN</v>
      </c>
      <c r="DP184" s="3">
        <f t="shared" si="565"/>
        <v>0</v>
      </c>
      <c r="DQ184" s="3">
        <f t="shared" si="566"/>
        <v>0</v>
      </c>
      <c r="DR184" s="3">
        <f t="shared" ca="1" si="567"/>
        <v>0</v>
      </c>
      <c r="DS184" s="3">
        <f t="shared" si="568"/>
        <v>0</v>
      </c>
      <c r="DT184" s="3">
        <f t="shared" si="591"/>
        <v>0</v>
      </c>
      <c r="DU184" s="3">
        <f t="shared" si="592"/>
        <v>0</v>
      </c>
      <c r="DV184" s="3">
        <f t="shared" si="569"/>
        <v>1</v>
      </c>
      <c r="DW184" s="3">
        <f t="shared" si="570"/>
        <v>2</v>
      </c>
      <c r="DX184" s="3">
        <f t="shared" ca="1" si="654"/>
        <v>7.7742800641087536E-27</v>
      </c>
      <c r="DY184" s="3">
        <f t="shared" ca="1" si="655"/>
        <v>-3.4879614540499193E-4</v>
      </c>
      <c r="DZ184" s="3">
        <f t="shared" ca="1" si="656"/>
        <v>3.277509917806715E-4</v>
      </c>
      <c r="EA184" s="3">
        <f t="shared" ca="1" si="657"/>
        <v>-3.4237053155062463E-4</v>
      </c>
      <c r="EB184" s="3">
        <f t="shared" ca="1" si="658"/>
        <v>3.2265981147688025E-4</v>
      </c>
      <c r="EC184" s="3">
        <f t="shared" ca="1" si="659"/>
        <v>-3.279710712430003E-4</v>
      </c>
      <c r="ED184" s="63">
        <f t="shared" si="593"/>
        <v>3</v>
      </c>
      <c r="EE184" s="59">
        <f t="shared" si="577"/>
        <v>0.25</v>
      </c>
      <c r="EF184" s="59">
        <f t="shared" si="578"/>
        <v>2.7915999999999999</v>
      </c>
      <c r="EG184" s="59">
        <f t="shared" si="579"/>
        <v>0.22020000000000001</v>
      </c>
      <c r="EH184" s="59">
        <f t="shared" si="580"/>
        <v>0.25559999999999999</v>
      </c>
      <c r="EI184" s="59">
        <f t="shared" si="581"/>
        <v>0.21390000000000001</v>
      </c>
      <c r="EJ184" s="59">
        <f t="shared" si="582"/>
        <v>0.2205</v>
      </c>
      <c r="EK184" s="63">
        <f t="shared" ca="1" si="594"/>
        <v>-303077.28190054971</v>
      </c>
      <c r="EL184" s="3" t="str">
        <f>RTD("tos.rtd",,EL$43,"."&amp;$B$134&amp;$AS$82&amp;"C"&amp;$A184)</f>
        <v>--</v>
      </c>
      <c r="EM184" s="3" t="str">
        <f>RTD("tos.rtd",,EM$43,"."&amp;$B$134&amp;$AS$82&amp;"P"&amp;$A184)</f>
        <v>279.16%</v>
      </c>
      <c r="EN184" s="3" t="str">
        <f>RTD("tos.rtd",,EN$2,"."&amp;$C$134&amp;$AU$82&amp;"C"&amp;$A184)</f>
        <v>22.02%</v>
      </c>
      <c r="EO184" s="3" t="str">
        <f>RTD("tos.rtd",,EO$2,"."&amp;$C$134&amp;$AU$82&amp;"P"&amp;$A184)</f>
        <v>25.56%</v>
      </c>
      <c r="EP184" s="3" t="str">
        <f>RTD("tos.rtd",,EP$2,"."&amp;$D$134&amp;$AW$82&amp;"C"&amp;$A184)</f>
        <v>21.39%</v>
      </c>
      <c r="EQ184" s="3" t="str">
        <f>RTD("tos.rtd",,EQ$2,"."&amp;$D$134&amp;$AW$82&amp;"P"&amp;$A184)</f>
        <v>22.05%</v>
      </c>
      <c r="ES184" s="63" t="str">
        <f t="shared" si="583"/>
        <v>20175,03.00</v>
      </c>
      <c r="ET184" s="63" t="str">
        <f t="shared" ca="1" si="584"/>
        <v>20175,-02.97</v>
      </c>
      <c r="EU184" s="68">
        <v>572.14</v>
      </c>
      <c r="EV184" s="68" t="s">
        <v>1491</v>
      </c>
      <c r="EW184" s="68">
        <v>497.63</v>
      </c>
      <c r="EX184" s="68" t="s">
        <v>1492</v>
      </c>
      <c r="EY184" s="68">
        <v>5732.5</v>
      </c>
      <c r="EZ184" s="68" t="s">
        <v>1493</v>
      </c>
      <c r="FA184" s="68">
        <v>20431.25</v>
      </c>
      <c r="FB184" s="68" t="s">
        <v>1494</v>
      </c>
      <c r="FC184" s="68" t="s">
        <v>1495</v>
      </c>
      <c r="FD184" s="68" t="s">
        <v>1496</v>
      </c>
      <c r="FE184" s="68" t="s">
        <v>1497</v>
      </c>
      <c r="FF184" s="68" t="s">
        <v>1498</v>
      </c>
    </row>
    <row r="185" spans="1:162" ht="11.1" customHeight="1" thickBot="1" x14ac:dyDescent="0.25">
      <c r="A185" s="2">
        <f t="shared" si="595"/>
        <v>20150</v>
      </c>
      <c r="B185" s="3">
        <f t="shared" si="628"/>
        <v>45</v>
      </c>
      <c r="C185" s="3">
        <f t="shared" si="629"/>
        <v>29</v>
      </c>
      <c r="D185" s="3">
        <f t="shared" si="630"/>
        <v>39</v>
      </c>
      <c r="E185" s="3">
        <f t="shared" si="663"/>
        <v>113</v>
      </c>
      <c r="F185" s="4">
        <f t="shared" si="623"/>
        <v>20246.671664167916</v>
      </c>
      <c r="G185" s="5">
        <f t="shared" si="664"/>
        <v>490.76337031484263</v>
      </c>
      <c r="AM185" s="1">
        <v>0</v>
      </c>
      <c r="AN185" s="1">
        <v>-180</v>
      </c>
      <c r="AO185" s="1">
        <v>20150</v>
      </c>
      <c r="AP185" s="1">
        <v>1</v>
      </c>
      <c r="AQ185" s="1">
        <v>-386</v>
      </c>
      <c r="AS185" s="54">
        <f>IF(RTD("tos.rtd",,AS$83,"."&amp;$B$134&amp;$AS$82&amp;"C"&amp;$A185)="N/A",0,RTD("tos.rtd",,AS$83,"."&amp;$B$134&amp;$AS$82&amp;"C"&amp;$A185))</f>
        <v>41</v>
      </c>
      <c r="AT185" s="3">
        <f>-IF(RTD("tos.rtd",,AT$83,"."&amp;$B$134&amp;$AS$82&amp;"P"&amp;$A185)="N/A",0,RTD("tos.rtd",,AT$83,"."&amp;$B$134&amp;$AS$82&amp;"P"&amp;$A185))</f>
        <v>-4</v>
      </c>
      <c r="AU185" s="54">
        <f>IF(RTD("tos.rtd",,AU$2,"."&amp;$C$134&amp;$AU$134&amp;"C"&amp;$A185)="N/A",0,RTD("tos.rtd",,AU$2,"."&amp;$C$134&amp;$AU$134&amp;"C"&amp;$A185))</f>
        <v>20</v>
      </c>
      <c r="AV185" s="3">
        <f>-IF(RTD("tos.rtd",,AV$2,"."&amp;$C$134&amp;$AU$134&amp;"P"&amp;$A185)="N/A",0,RTD("tos.rtd",,AV$2,"."&amp;$C$134&amp;$AU$134&amp;"P"&amp;$A185))</f>
        <v>-9</v>
      </c>
      <c r="AW185" s="54">
        <f>IF(RTD("tos.rtd",,AW$2,"."&amp;$D$134&amp;$AW$134&amp;"C"&amp;$A185)="N/A",0,RTD("tos.rtd",,AW$2,"."&amp;$D$134&amp;$AW$134&amp;"C"&amp;$A185))</f>
        <v>19</v>
      </c>
      <c r="AX185" s="3">
        <f>-IF(RTD("tos.rtd",,AX$2,"."&amp;$D$134&amp;$AW$134&amp;"P"&amp;$A185)="N/A",0,RTD("tos.rtd",,AX$2,"."&amp;$D$134&amp;$AW$134&amp;"P"&amp;$A185))</f>
        <v>-20</v>
      </c>
      <c r="AY185" s="76">
        <f t="shared" si="624"/>
        <v>47</v>
      </c>
      <c r="AZ185" s="8">
        <f t="shared" si="548"/>
        <v>20150</v>
      </c>
      <c r="BA185" s="54">
        <f>IF(RTD("tos.rtd",,BA$43,"."&amp;$B$134&amp;$AS$82&amp;"C"&amp;$A185)="N/A",0,RTD("tos.rtd",,BA$43,"."&amp;$B$134&amp;$AS$82&amp;"C"&amp;$A185))</f>
        <v>1</v>
      </c>
      <c r="BB185" s="3">
        <f>-IF(RTD("tos.rtd",,BB$43,"."&amp;$B$134&amp;$AS$82&amp;"P"&amp;$A185)="N/A",0,RTD("tos.rtd",,BB$43,"."&amp;$B$134&amp;$AS$82&amp;"P"&amp;$A185))</f>
        <v>-386</v>
      </c>
      <c r="BC185" s="54">
        <f>IF(RTD("tos.rtd",,BC$2,"."&amp;$C$134&amp;$AU$82&amp;"C"&amp;$A185)="N/A",0,RTD("tos.rtd",,BC$2,"."&amp;$C$134&amp;$AU$82&amp;"C"&amp;$A185))</f>
        <v>11</v>
      </c>
      <c r="BD185" s="3">
        <f>-IF(RTD("tos.rtd",,BD$2,"."&amp;$C$134&amp;$AU$82&amp;"P"&amp;$A185)="N/A",0,RTD("tos.rtd",,BD$2,"."&amp;$C$134&amp;$AU$82&amp;"P"&amp;$A185))</f>
        <v>-6</v>
      </c>
      <c r="BE185" s="54">
        <f>IF(RTD("tos.rtd",,BE$2,"."&amp;$D$134&amp;$AW$82&amp;"C"&amp;$A185)="N/A",0,RTD("tos.rtd",,BE$2,"."&amp;$D$134&amp;$AW$82&amp;"C"&amp;$A185))</f>
        <v>0</v>
      </c>
      <c r="BF185" s="3">
        <f>-IF(RTD("tos.rtd",,BF$2,"."&amp;$D$134&amp;$AW$82&amp;"P"&amp;$A185)="N/A",0,RTD("tos.rtd",,BF$2,"."&amp;$D$134&amp;$AW$82&amp;"P"&amp;$A185))</f>
        <v>0</v>
      </c>
      <c r="BG185" s="3">
        <f ca="1">+Hoja2!Y186</f>
        <v>1</v>
      </c>
      <c r="BH185" s="7">
        <f t="shared" ca="1" si="549"/>
        <v>-379</v>
      </c>
      <c r="BI185" s="32" t="str">
        <f t="shared" ca="1" si="609"/>
        <v/>
      </c>
      <c r="BJ185" s="3">
        <f ca="1">IF($BP$1=1,DX185,IF(RTD("tos.rtd",,BJ$43,"."&amp;$B$134&amp;$AS$82&amp;"C"&amp;$A185)="N/A",0,RTD("tos.rtd",,BJ$43,"."&amp;$B$134&amp;$AS$82&amp;"C"&amp;$A185)))</f>
        <v>1.0949013119711099E-28</v>
      </c>
      <c r="BK185" s="3">
        <f ca="1">IF($BP$1=1,DY185,-IF(RTD("tos.rtd",,BK$43,"."&amp;$B$134&amp;$AS$82&amp;"P"&amp;$A185)="N/A",0,RTD("tos.rtd",,BK$43,"."&amp;$B$134&amp;$AS$82&amp;"P"&amp;$A185)))</f>
        <v>-3.3612996185907211E-4</v>
      </c>
      <c r="BL185" s="3">
        <f ca="1">IF($BP$1=1,DZ185,IF(RTD("tos.rtd",,BL$2,"."&amp;$C$134&amp;$AU$82&amp;"C"&amp;$A185)="N/A",0,RTD("tos.rtd",,BL$2,"."&amp;$C$134&amp;$AU$82&amp;"C"&amp;$A185)))</f>
        <v>3.1428109879544461E-4</v>
      </c>
      <c r="BM185" s="3">
        <f ca="1">IF($BP$1=1,EA185,-IF(RTD("tos.rtd",,BM$2,"."&amp;$C$134&amp;$AU$82&amp;"P"&amp;$A185)="N/A",0,RTD("tos.rtd",,BM$2,"."&amp;$C$134&amp;$AU$82&amp;"P"&amp;$A185)))</f>
        <v>-3.2837020288725027E-4</v>
      </c>
      <c r="BN185" s="3">
        <f ca="1">IF($BP$1=1,EB185,IF(RTD("tos.rtd",,BN$2,"."&amp;$D$134&amp;$AW$82&amp;"C"&amp;$A185)="N/A",0,RTD("tos.rtd",,BN$2,"."&amp;$D$134&amp;$AW$82&amp;"C"&amp;$A185)))</f>
        <v>2.9842551596987366E-4</v>
      </c>
      <c r="BO185" s="3">
        <f ca="1">IF($BP$1=1,EC185,-IF(RTD("tos.rtd",,BO$2,"."&amp;$D$134&amp;$AW$82&amp;"P"&amp;$A185)="N/A",0,RTD("tos.rtd",,BO$2,"."&amp;$D$134&amp;$AW$82&amp;"P"&amp;$A185)))</f>
        <v>-3.1030649422320017E-4</v>
      </c>
      <c r="BQ185" s="3">
        <f t="shared" ca="1" si="625"/>
        <v>-45883.14221199671</v>
      </c>
      <c r="BR185" s="3" t="str">
        <f t="shared" ca="1" si="550"/>
        <v/>
      </c>
      <c r="BS185" s="3">
        <f t="shared" ca="1" si="626"/>
        <v>113649.62506691371</v>
      </c>
      <c r="BT185" s="3" t="str">
        <f t="shared" ca="1" si="551"/>
        <v/>
      </c>
      <c r="BU185" s="3">
        <f t="shared" ca="1" si="627"/>
        <v>-18293.097518889641</v>
      </c>
      <c r="BV185" s="3" t="str">
        <f t="shared" ca="1" si="551"/>
        <v>Cruce -</v>
      </c>
      <c r="BX185" s="3">
        <f t="shared" ca="1" si="585"/>
        <v>-33438.009879522258</v>
      </c>
      <c r="BY185" s="3" t="str">
        <f t="shared" ca="1" si="586"/>
        <v/>
      </c>
      <c r="BZ185" s="3">
        <f t="shared" ca="1" si="587"/>
        <v>383.19439125678957</v>
      </c>
      <c r="CA185" s="3" t="str">
        <f t="shared" ca="1" si="586"/>
        <v>Cruce +</v>
      </c>
      <c r="CB185" s="3">
        <f t="shared" ca="1" si="588"/>
        <v>0</v>
      </c>
      <c r="CC185" s="3" t="str">
        <f t="shared" ca="1" si="586"/>
        <v/>
      </c>
      <c r="CD185" s="3">
        <f>IF(RTD("tos.rtd",,CD$43,"."&amp;$B$134&amp;$AS$82&amp;"C"&amp;$A185)="N/A",0,RTD("tos.rtd",,CD$43,"."&amp;$B$134&amp;$AS$82&amp;"C"&amp;$A185))</f>
        <v>1</v>
      </c>
      <c r="CE185" s="3">
        <f>-IF(RTD("tos.rtd",,CE$43,"."&amp;$B$134&amp;$AS$82&amp;"P"&amp;$A185)="N/A",0,RTD("tos.rtd",,CE$43,"."&amp;$B$134&amp;$AS$82&amp;"P"&amp;$A185))</f>
        <v>0.05</v>
      </c>
      <c r="CF185" s="3">
        <f>IF(RTD("tos.rtd",,CF$2,"."&amp;$C$134&amp;$AU$82&amp;"C"&amp;$A185)="N/A",0,RTD("tos.rtd",,CF$2,"."&amp;$C$134&amp;$AU$82&amp;"C"&amp;$A185))</f>
        <v>0.94</v>
      </c>
      <c r="CG185" s="3">
        <f>-IF(RTD("tos.rtd",,CG$2,"."&amp;$C$134&amp;$AU$82&amp;"P"&amp;$A185)="N/A",0,RTD("tos.rtd",,CG$2,"."&amp;$C$134&amp;$AU$82&amp;"P"&amp;$A185))</f>
        <v>0.08</v>
      </c>
      <c r="CH185" s="3">
        <f>IF(RTD("tos.rtd",,CH$2,"."&amp;$D$134&amp;$AW$82&amp;"C"&amp;$A185)="N/A",0,RTD("tos.rtd",,CH$2,"."&amp;$D$134&amp;$AW$82&amp;"C"&amp;$A185))</f>
        <v>0.73</v>
      </c>
      <c r="CI185" s="3">
        <f>-IF(RTD("tos.rtd",,CI$2,"."&amp;$D$134&amp;$AW$82&amp;"P"&amp;$A185)="N/A",0,RTD("tos.rtd",,CI$2,"."&amp;$D$134&amp;$AW$82&amp;"P"&amp;$A185))</f>
        <v>0.28000000000000003</v>
      </c>
      <c r="CK185" s="3">
        <f t="shared" si="660"/>
        <v>4080</v>
      </c>
      <c r="CL185" s="3"/>
      <c r="CM185" s="3">
        <f t="shared" si="661"/>
        <v>1807.9999999999998</v>
      </c>
      <c r="CN185" s="3"/>
      <c r="CO185" s="3">
        <f t="shared" si="662"/>
        <v>827</v>
      </c>
      <c r="CP185" s="3">
        <f t="shared" si="542"/>
        <v>6715</v>
      </c>
      <c r="CQ185" s="3">
        <f t="shared" si="552"/>
        <v>-385</v>
      </c>
      <c r="CR185" s="3"/>
      <c r="CS185" s="3">
        <f t="shared" si="553"/>
        <v>5</v>
      </c>
      <c r="CT185" s="3"/>
      <c r="CU185" s="3">
        <f t="shared" si="554"/>
        <v>0</v>
      </c>
      <c r="CV185" s="3"/>
      <c r="CW185" s="3">
        <f t="shared" ca="1" si="555"/>
        <v>49473.385336027364</v>
      </c>
      <c r="CY185" s="3">
        <f t="shared" ca="1" si="556"/>
        <v>-33054.815488265471</v>
      </c>
      <c r="CZ185" s="70" t="str">
        <f t="shared" ca="1" si="589"/>
        <v/>
      </c>
      <c r="DA185" s="3">
        <f>IF(RTD("tos.rtd",,DA$43,"."&amp;$B$134&amp;$AS$82&amp;"C"&amp;$A185)="N/A",0,RTD("tos.rtd",,DA$43,"."&amp;$B$134&amp;$AS$82&amp;"C"&amp;$A185))</f>
        <v>560</v>
      </c>
      <c r="DB185" s="3">
        <f>IF(RTD("tos.rtd",,DB$43,"."&amp;$B$134&amp;$AS$82&amp;"P"&amp;$A185)="N/A",0,RTD("tos.rtd",,DB$43,"."&amp;$B$134&amp;$AS$82&amp;"P"&amp;$A185))</f>
        <v>0.2</v>
      </c>
      <c r="DC185" s="3">
        <f>IF(RTD("tos.rtd",,DC$43,"."&amp;$B$134&amp;$AS$82&amp;"C"&amp;$A185)="N/A",0,RTD("tos.rtd",,DC$43,"."&amp;$B$134&amp;$AS$82&amp;"C"&amp;$A185))</f>
        <v>754</v>
      </c>
      <c r="DD185" s="3">
        <f>IF(RTD("tos.rtd",,DD$43,"."&amp;$B$134&amp;$AS$82&amp;"P"&amp;$A185)="N/A",0,RTD("tos.rtd",,DD$43,"."&amp;$B$134&amp;$AS$82&amp;"P"&amp;$A185))</f>
        <v>20</v>
      </c>
      <c r="DE185" s="3">
        <f>IF(RTD("tos.rtd",,DE$43,"."&amp;$B$134&amp;$AS$82&amp;"C"&amp;$A185)="N/A",0,RTD("tos.rtd",,DE$43,"."&amp;$B$134&amp;$AS$82&amp;"C"&amp;$A185))</f>
        <v>674</v>
      </c>
      <c r="DF185" s="3">
        <f>IF(RTD("tos.rtd",,DF$43,"."&amp;$B$134&amp;$AS$82&amp;"P"&amp;$A185)="N/A",0,RTD("tos.rtd",,DF$43,"."&amp;$B$134&amp;$AS$82&amp;"P"&amp;$A185))</f>
        <v>0</v>
      </c>
      <c r="DG185" s="86">
        <f t="shared" si="590"/>
        <v>-693.75</v>
      </c>
      <c r="DH185" s="3">
        <f t="shared" si="557"/>
        <v>0</v>
      </c>
      <c r="DI185" s="3">
        <f t="shared" si="558"/>
        <v>0</v>
      </c>
      <c r="DJ185" s="3">
        <f t="shared" si="559"/>
        <v>0</v>
      </c>
      <c r="DK185" s="3">
        <f t="shared" si="560"/>
        <v>0</v>
      </c>
      <c r="DL185" s="3">
        <f t="shared" si="561"/>
        <v>0</v>
      </c>
      <c r="DM185" s="3">
        <f t="shared" si="562"/>
        <v>0</v>
      </c>
      <c r="DN185" s="64" t="str">
        <f t="shared" si="563"/>
        <v>UNKNOWN</v>
      </c>
      <c r="DO185" s="64" t="str">
        <f t="shared" si="564"/>
        <v>UNKNOWN</v>
      </c>
      <c r="DP185" s="3">
        <f t="shared" si="565"/>
        <v>0</v>
      </c>
      <c r="DQ185" s="3">
        <f t="shared" si="566"/>
        <v>0</v>
      </c>
      <c r="DR185" s="3">
        <f t="shared" ca="1" si="567"/>
        <v>0</v>
      </c>
      <c r="DS185" s="3">
        <f t="shared" si="568"/>
        <v>0</v>
      </c>
      <c r="DT185" s="3">
        <f t="shared" si="591"/>
        <v>0</v>
      </c>
      <c r="DU185" s="3">
        <f t="shared" si="592"/>
        <v>0</v>
      </c>
      <c r="DV185" s="3">
        <f t="shared" si="569"/>
        <v>0</v>
      </c>
      <c r="DW185" s="3">
        <f t="shared" si="570"/>
        <v>-180</v>
      </c>
      <c r="DX185" s="3">
        <f t="shared" ca="1" si="654"/>
        <v>1.0949013119711099E-28</v>
      </c>
      <c r="DY185" s="3">
        <f t="shared" ca="1" si="655"/>
        <v>-3.3612996185907211E-4</v>
      </c>
      <c r="DZ185" s="3">
        <f t="shared" ca="1" si="656"/>
        <v>3.1428109879544461E-4</v>
      </c>
      <c r="EA185" s="3">
        <f t="shared" ca="1" si="657"/>
        <v>-3.2837020288725027E-4</v>
      </c>
      <c r="EB185" s="3">
        <f t="shared" ca="1" si="658"/>
        <v>2.9842551596987366E-4</v>
      </c>
      <c r="EC185" s="3">
        <f t="shared" ca="1" si="659"/>
        <v>-3.1030649422320017E-4</v>
      </c>
      <c r="ED185" s="63">
        <f t="shared" si="593"/>
        <v>-180</v>
      </c>
      <c r="EE185" s="59">
        <f t="shared" si="577"/>
        <v>0.25</v>
      </c>
      <c r="EF185" s="59">
        <f t="shared" si="578"/>
        <v>2.8727999999999998</v>
      </c>
      <c r="EG185" s="59">
        <f t="shared" si="579"/>
        <v>0.2263</v>
      </c>
      <c r="EH185" s="59">
        <f t="shared" si="580"/>
        <v>0.25700000000000001</v>
      </c>
      <c r="EI185" s="59">
        <f t="shared" si="581"/>
        <v>0.20899999999999999</v>
      </c>
      <c r="EJ185" s="59">
        <f t="shared" si="582"/>
        <v>0.22120000000000001</v>
      </c>
      <c r="EK185" s="63">
        <f t="shared" ca="1" si="594"/>
        <v>26286419.988548566</v>
      </c>
      <c r="EL185" s="3" t="str">
        <f>RTD("tos.rtd",,EL$43,"."&amp;$B$134&amp;$AS$82&amp;"C"&amp;$A185)</f>
        <v>--</v>
      </c>
      <c r="EM185" s="3" t="str">
        <f>RTD("tos.rtd",,EM$43,"."&amp;$B$134&amp;$AS$82&amp;"P"&amp;$A185)</f>
        <v>287.28%</v>
      </c>
      <c r="EN185" s="3" t="str">
        <f>RTD("tos.rtd",,EN$2,"."&amp;$C$134&amp;$AU$82&amp;"C"&amp;$A185)</f>
        <v>22.63%</v>
      </c>
      <c r="EO185" s="3" t="str">
        <f>RTD("tos.rtd",,EO$2,"."&amp;$C$134&amp;$AU$82&amp;"P"&amp;$A185)</f>
        <v>25.70%</v>
      </c>
      <c r="EP185" s="3" t="str">
        <f>RTD("tos.rtd",,EP$2,"."&amp;$D$134&amp;$AW$82&amp;"C"&amp;$A185)</f>
        <v>20.90%</v>
      </c>
      <c r="EQ185" s="3" t="str">
        <f>RTD("tos.rtd",,EQ$2,"."&amp;$D$134&amp;$AW$82&amp;"P"&amp;$A185)</f>
        <v>22.12%</v>
      </c>
      <c r="ES185" s="63" t="str">
        <f t="shared" si="583"/>
        <v>20150,-180.00</v>
      </c>
      <c r="ET185" s="63" t="str">
        <f t="shared" ca="1" si="584"/>
        <v>20150,-33.05</v>
      </c>
      <c r="EU185" s="68">
        <v>572.14</v>
      </c>
      <c r="EV185" s="68" t="s">
        <v>1499</v>
      </c>
      <c r="EW185" s="68">
        <v>497.62</v>
      </c>
      <c r="EX185" s="68" t="s">
        <v>1500</v>
      </c>
      <c r="EY185" s="68">
        <v>5732.5</v>
      </c>
      <c r="EZ185" s="68" t="s">
        <v>1501</v>
      </c>
      <c r="FA185" s="68">
        <v>20430.25</v>
      </c>
      <c r="FB185" s="68" t="s">
        <v>1502</v>
      </c>
      <c r="FC185" s="68" t="s">
        <v>1503</v>
      </c>
      <c r="FD185" s="68" t="s">
        <v>1504</v>
      </c>
      <c r="FE185" s="68" t="s">
        <v>1505</v>
      </c>
      <c r="FF185" s="68" t="s">
        <v>1506</v>
      </c>
    </row>
    <row r="186" spans="1:162" ht="11.1" customHeight="1" thickBot="1" x14ac:dyDescent="0.25">
      <c r="A186" s="2">
        <f t="shared" si="595"/>
        <v>20125</v>
      </c>
      <c r="B186" s="3">
        <f t="shared" si="628"/>
        <v>35</v>
      </c>
      <c r="C186" s="3">
        <f t="shared" si="629"/>
        <v>63</v>
      </c>
      <c r="D186" s="3">
        <f t="shared" si="630"/>
        <v>243</v>
      </c>
      <c r="E186" s="3">
        <f t="shared" si="663"/>
        <v>341</v>
      </c>
      <c r="F186" s="4">
        <f t="shared" si="623"/>
        <v>20221.551724137928</v>
      </c>
      <c r="G186" s="5">
        <f t="shared" si="664"/>
        <v>490.1544827586207</v>
      </c>
      <c r="AM186" s="1">
        <v>2</v>
      </c>
      <c r="AN186" s="1">
        <v>80</v>
      </c>
      <c r="AO186" s="1">
        <v>20125</v>
      </c>
      <c r="AP186" s="1">
        <v>2</v>
      </c>
      <c r="AQ186" s="1">
        <v>-98</v>
      </c>
      <c r="AS186" s="54">
        <f>IF(RTD("tos.rtd",,AS$83,"."&amp;$B$134&amp;$AS$82&amp;"C"&amp;$A186)="N/A",0,RTD("tos.rtd",,AS$83,"."&amp;$B$134&amp;$AS$82&amp;"C"&amp;$A186))</f>
        <v>29</v>
      </c>
      <c r="AT186" s="3">
        <f>-IF(RTD("tos.rtd",,AT$83,"."&amp;$B$134&amp;$AS$82&amp;"P"&amp;$A186)="N/A",0,RTD("tos.rtd",,AT$83,"."&amp;$B$134&amp;$AS$82&amp;"P"&amp;$A186))</f>
        <v>-6</v>
      </c>
      <c r="AU186" s="54">
        <f>IF(RTD("tos.rtd",,AU$2,"."&amp;$C$134&amp;$AU$134&amp;"C"&amp;$A186)="N/A",0,RTD("tos.rtd",,AU$2,"."&amp;$C$134&amp;$AU$134&amp;"C"&amp;$A186))</f>
        <v>27</v>
      </c>
      <c r="AV186" s="3">
        <f>-IF(RTD("tos.rtd",,AV$2,"."&amp;$C$134&amp;$AU$134&amp;"P"&amp;$A186)="N/A",0,RTD("tos.rtd",,AV$2,"."&amp;$C$134&amp;$AU$134&amp;"P"&amp;$A186))</f>
        <v>-36</v>
      </c>
      <c r="AW186" s="54">
        <f>IF(RTD("tos.rtd",,AW$2,"."&amp;$D$134&amp;$AW$134&amp;"C"&amp;$A186)="N/A",0,RTD("tos.rtd",,AW$2,"."&amp;$D$134&amp;$AW$134&amp;"C"&amp;$A186))</f>
        <v>118</v>
      </c>
      <c r="AX186" s="3">
        <f>-IF(RTD("tos.rtd",,AX$2,"."&amp;$D$134&amp;$AW$134&amp;"P"&amp;$A186)="N/A",0,RTD("tos.rtd",,AX$2,"."&amp;$D$134&amp;$AW$134&amp;"P"&amp;$A186))</f>
        <v>-125</v>
      </c>
      <c r="AY186" s="76">
        <f t="shared" si="624"/>
        <v>7</v>
      </c>
      <c r="AZ186" s="8">
        <f t="shared" si="548"/>
        <v>20125</v>
      </c>
      <c r="BA186" s="54">
        <f>IF(RTD("tos.rtd",,BA$43,"."&amp;$B$134&amp;$AS$82&amp;"C"&amp;$A186)="N/A",0,RTD("tos.rtd",,BA$43,"."&amp;$B$134&amp;$AS$82&amp;"C"&amp;$A186))</f>
        <v>2</v>
      </c>
      <c r="BB186" s="3">
        <f>-IF(RTD("tos.rtd",,BB$43,"."&amp;$B$134&amp;$AS$82&amp;"P"&amp;$A186)="N/A",0,RTD("tos.rtd",,BB$43,"."&amp;$B$134&amp;$AS$82&amp;"P"&amp;$A186))</f>
        <v>-98</v>
      </c>
      <c r="BC186" s="54">
        <f>IF(RTD("tos.rtd",,BC$2,"."&amp;$C$134&amp;$AU$82&amp;"C"&amp;$A186)="N/A",0,RTD("tos.rtd",,BC$2,"."&amp;$C$134&amp;$AU$82&amp;"C"&amp;$A186))</f>
        <v>1</v>
      </c>
      <c r="BD186" s="3">
        <f>-IF(RTD("tos.rtd",,BD$2,"."&amp;$C$134&amp;$AU$82&amp;"P"&amp;$A186)="N/A",0,RTD("tos.rtd",,BD$2,"."&amp;$C$134&amp;$AU$82&amp;"P"&amp;$A186))</f>
        <v>-4</v>
      </c>
      <c r="BE186" s="54">
        <f>IF(RTD("tos.rtd",,BE$2,"."&amp;$D$134&amp;$AW$82&amp;"C"&amp;$A186)="N/A",0,RTD("tos.rtd",,BE$2,"."&amp;$D$134&amp;$AW$82&amp;"C"&amp;$A186))</f>
        <v>5</v>
      </c>
      <c r="BF186" s="3">
        <f>-IF(RTD("tos.rtd",,BF$2,"."&amp;$D$134&amp;$AW$82&amp;"P"&amp;$A186)="N/A",0,RTD("tos.rtd",,BF$2,"."&amp;$D$134&amp;$AW$82&amp;"P"&amp;$A186))</f>
        <v>-5</v>
      </c>
      <c r="BG186" s="3">
        <f ca="1">+Hoja2!Y187</f>
        <v>1</v>
      </c>
      <c r="BH186" s="7">
        <f t="shared" ca="1" si="549"/>
        <v>-98</v>
      </c>
      <c r="BI186" s="32" t="str">
        <f t="shared" ca="1" si="609"/>
        <v/>
      </c>
      <c r="BJ186" s="3">
        <f ca="1">IF($BP$1=1,DX186,IF(RTD("tos.rtd",,BJ$43,"."&amp;$B$134&amp;$AS$82&amp;"C"&amp;$A186)="N/A",0,RTD("tos.rtd",,BJ$43,"."&amp;$B$134&amp;$AS$82&amp;"C"&amp;$A186)))</f>
        <v>1.308001717568795E-30</v>
      </c>
      <c r="BK186" s="3">
        <f ca="1">IF($BP$1=1,DY186,-IF(RTD("tos.rtd",,BK$43,"."&amp;$B$134&amp;$AS$82&amp;"P"&amp;$A186)="N/A",0,RTD("tos.rtd",,BK$43,"."&amp;$B$134&amp;$AS$82&amp;"P"&amp;$A186)))</f>
        <v>-3.2428957523862221E-4</v>
      </c>
      <c r="BL186" s="3">
        <f ca="1">IF($BP$1=1,DZ186,IF(RTD("tos.rtd",,BL$2,"."&amp;$C$134&amp;$AU$82&amp;"C"&amp;$A186)="N/A",0,RTD("tos.rtd",,BL$2,"."&amp;$C$134&amp;$AU$82&amp;"C"&amp;$A186)))</f>
        <v>2.8898847849864664E-4</v>
      </c>
      <c r="BM186" s="3">
        <f ca="1">IF($BP$1=1,EA186,-IF(RTD("tos.rtd",,BM$2,"."&amp;$C$134&amp;$AU$82&amp;"P"&amp;$A186)="N/A",0,RTD("tos.rtd",,BM$2,"."&amp;$C$134&amp;$AU$82&amp;"P"&amp;$A186)))</f>
        <v>-3.1474288889297644E-4</v>
      </c>
      <c r="BN186" s="3">
        <f ca="1">IF($BP$1=1,EB186,IF(RTD("tos.rtd",,BN$2,"."&amp;$D$134&amp;$AW$82&amp;"C"&amp;$A186)="N/A",0,RTD("tos.rtd",,BN$2,"."&amp;$D$134&amp;$AW$82&amp;"C"&amp;$A186)))</f>
        <v>2.8668894673937689E-4</v>
      </c>
      <c r="BO186" s="3">
        <f ca="1">IF($BP$1=1,EC186,-IF(RTD("tos.rtd",,BO$2,"."&amp;$D$134&amp;$AW$82&amp;"P"&amp;$A186)="N/A",0,RTD("tos.rtd",,BO$2,"."&amp;$D$134&amp;$AW$82&amp;"P"&amp;$A186)))</f>
        <v>-2.9335341618104909E-4</v>
      </c>
      <c r="BQ186" s="3">
        <f t="shared" ca="1" si="625"/>
        <v>-66400.320055878328</v>
      </c>
      <c r="BR186" s="3" t="str">
        <f t="shared" ca="1" si="550"/>
        <v/>
      </c>
      <c r="BS186" s="3">
        <f t="shared" ca="1" si="626"/>
        <v>-120398.55961028358</v>
      </c>
      <c r="BT186" s="3" t="str">
        <f t="shared" ca="1" si="551"/>
        <v>Cruce -</v>
      </c>
      <c r="BU186" s="3">
        <f t="shared" ca="1" si="627"/>
        <v>-96913.911788197933</v>
      </c>
      <c r="BV186" s="3" t="str">
        <f t="shared" ca="1" si="551"/>
        <v/>
      </c>
      <c r="BX186" s="3">
        <f t="shared" ca="1" si="585"/>
        <v>-8190.3970244556594</v>
      </c>
      <c r="BY186" s="3" t="str">
        <f t="shared" ca="1" si="586"/>
        <v/>
      </c>
      <c r="BZ186" s="3">
        <f t="shared" ca="1" si="587"/>
        <v>-249.9827539777331</v>
      </c>
      <c r="CA186" s="3" t="str">
        <f t="shared" ca="1" si="586"/>
        <v>Cruce -</v>
      </c>
      <c r="CB186" s="3">
        <f t="shared" ca="1" si="588"/>
        <v>-8.5877911904221378</v>
      </c>
      <c r="CC186" s="3" t="str">
        <f t="shared" ca="1" si="586"/>
        <v/>
      </c>
      <c r="CD186" s="3">
        <f>IF(RTD("tos.rtd",,CD$43,"."&amp;$B$134&amp;$AS$82&amp;"C"&amp;$A186)="N/A",0,RTD("tos.rtd",,CD$43,"."&amp;$B$134&amp;$AS$82&amp;"C"&amp;$A186))</f>
        <v>1</v>
      </c>
      <c r="CE186" s="3">
        <f>-IF(RTD("tos.rtd",,CE$43,"."&amp;$B$134&amp;$AS$82&amp;"P"&amp;$A186)="N/A",0,RTD("tos.rtd",,CE$43,"."&amp;$B$134&amp;$AS$82&amp;"P"&amp;$A186))</f>
        <v>0.05</v>
      </c>
      <c r="CF186" s="3">
        <f>IF(RTD("tos.rtd",,CF$2,"."&amp;$C$134&amp;$AU$82&amp;"C"&amp;$A186)="N/A",0,RTD("tos.rtd",,CF$2,"."&amp;$C$134&amp;$AU$82&amp;"C"&amp;$A186))</f>
        <v>0.95</v>
      </c>
      <c r="CG186" s="3">
        <f>-IF(RTD("tos.rtd",,CG$2,"."&amp;$C$134&amp;$AU$82&amp;"P"&amp;$A186)="N/A",0,RTD("tos.rtd",,CG$2,"."&amp;$C$134&amp;$AU$82&amp;"P"&amp;$A186))</f>
        <v>0.08</v>
      </c>
      <c r="CH186" s="3">
        <f>IF(RTD("tos.rtd",,CH$2,"."&amp;$D$134&amp;$AW$82&amp;"C"&amp;$A186)="N/A",0,RTD("tos.rtd",,CH$2,"."&amp;$D$134&amp;$AW$82&amp;"C"&amp;$A186))</f>
        <v>0.73</v>
      </c>
      <c r="CI186" s="3">
        <f>-IF(RTD("tos.rtd",,CI$2,"."&amp;$D$134&amp;$AW$82&amp;"P"&amp;$A186)="N/A",0,RTD("tos.rtd",,CI$2,"."&amp;$D$134&amp;$AW$82&amp;"P"&amp;$A186))</f>
        <v>0.27</v>
      </c>
      <c r="CK186" s="3">
        <f t="shared" si="660"/>
        <v>2870</v>
      </c>
      <c r="CL186" s="3"/>
      <c r="CM186" s="3">
        <f t="shared" si="661"/>
        <v>2277</v>
      </c>
      <c r="CN186" s="3"/>
      <c r="CO186" s="3">
        <f t="shared" si="662"/>
        <v>5239</v>
      </c>
      <c r="CP186" s="3">
        <f t="shared" si="542"/>
        <v>10386</v>
      </c>
      <c r="CQ186" s="3">
        <f t="shared" si="552"/>
        <v>-96</v>
      </c>
      <c r="CR186" s="3"/>
      <c r="CS186" s="3">
        <f t="shared" si="553"/>
        <v>-3</v>
      </c>
      <c r="CT186" s="3"/>
      <c r="CU186" s="3">
        <f t="shared" si="554"/>
        <v>0</v>
      </c>
      <c r="CV186" s="3"/>
      <c r="CW186" s="3">
        <f t="shared" ca="1" si="555"/>
        <v>-283712.79145435983</v>
      </c>
      <c r="CY186" s="3">
        <f t="shared" ca="1" si="556"/>
        <v>-8448.9675696238155</v>
      </c>
      <c r="CZ186" s="70" t="str">
        <f t="shared" ca="1" si="589"/>
        <v/>
      </c>
      <c r="DA186" s="3">
        <f>IF(RTD("tos.rtd",,DA$43,"."&amp;$B$134&amp;$AS$82&amp;"C"&amp;$A186)="N/A",0,RTD("tos.rtd",,DA$43,"."&amp;$B$134&amp;$AS$82&amp;"C"&amp;$A186))</f>
        <v>708.01</v>
      </c>
      <c r="DB186" s="3">
        <f>IF(RTD("tos.rtd",,DB$43,"."&amp;$B$134&amp;$AS$82&amp;"P"&amp;$A186)="N/A",0,RTD("tos.rtd",,DB$43,"."&amp;$B$134&amp;$AS$82&amp;"P"&amp;$A186))</f>
        <v>0.05</v>
      </c>
      <c r="DC186" s="3">
        <f>IF(RTD("tos.rtd",,DC$43,"."&amp;$B$134&amp;$AS$82&amp;"C"&amp;$A186)="N/A",0,RTD("tos.rtd",,DC$43,"."&amp;$B$134&amp;$AS$82&amp;"C"&amp;$A186))</f>
        <v>778</v>
      </c>
      <c r="DD186" s="3">
        <f>IF(RTD("tos.rtd",,DD$43,"."&amp;$B$134&amp;$AS$82&amp;"P"&amp;$A186)="N/A",0,RTD("tos.rtd",,DD$43,"."&amp;$B$134&amp;$AS$82&amp;"P"&amp;$A186))</f>
        <v>20</v>
      </c>
      <c r="DE186" s="3">
        <f>IF(RTD("tos.rtd",,DE$43,"."&amp;$B$134&amp;$AS$82&amp;"C"&amp;$A186)="N/A",0,RTD("tos.rtd",,DE$43,"."&amp;$B$134&amp;$AS$82&amp;"C"&amp;$A186))</f>
        <v>698</v>
      </c>
      <c r="DF186" s="3">
        <f>IF(RTD("tos.rtd",,DF$43,"."&amp;$B$134&amp;$AS$82&amp;"P"&amp;$A186)="N/A",0,RTD("tos.rtd",,DF$43,"."&amp;$B$134&amp;$AS$82&amp;"P"&amp;$A186))</f>
        <v>0</v>
      </c>
      <c r="DG186" s="86">
        <f t="shared" si="590"/>
        <v>-718.75</v>
      </c>
      <c r="DH186" s="3">
        <f t="shared" si="557"/>
        <v>0</v>
      </c>
      <c r="DI186" s="3">
        <f t="shared" si="558"/>
        <v>0</v>
      </c>
      <c r="DJ186" s="3">
        <f t="shared" si="559"/>
        <v>0</v>
      </c>
      <c r="DK186" s="3">
        <f t="shared" si="560"/>
        <v>0</v>
      </c>
      <c r="DL186" s="3">
        <f t="shared" si="561"/>
        <v>0</v>
      </c>
      <c r="DM186" s="3">
        <f t="shared" si="562"/>
        <v>0</v>
      </c>
      <c r="DN186" s="64" t="str">
        <f t="shared" si="563"/>
        <v>UNKNOWN</v>
      </c>
      <c r="DO186" s="64" t="str">
        <f t="shared" si="564"/>
        <v>UNKNOWN</v>
      </c>
      <c r="DP186" s="3">
        <f t="shared" si="565"/>
        <v>0</v>
      </c>
      <c r="DQ186" s="3">
        <f t="shared" si="566"/>
        <v>0</v>
      </c>
      <c r="DR186" s="3">
        <f t="shared" ca="1" si="567"/>
        <v>0</v>
      </c>
      <c r="DS186" s="3">
        <f t="shared" si="568"/>
        <v>0</v>
      </c>
      <c r="DT186" s="3">
        <f t="shared" si="591"/>
        <v>0</v>
      </c>
      <c r="DU186" s="3">
        <f t="shared" si="592"/>
        <v>0</v>
      </c>
      <c r="DV186" s="3">
        <f t="shared" si="569"/>
        <v>2</v>
      </c>
      <c r="DW186" s="3">
        <f t="shared" si="570"/>
        <v>80</v>
      </c>
      <c r="DX186" s="3">
        <f t="shared" ca="1" si="654"/>
        <v>1.308001717568795E-30</v>
      </c>
      <c r="DY186" s="3">
        <f t="shared" ca="1" si="655"/>
        <v>-3.2428957523862221E-4</v>
      </c>
      <c r="DZ186" s="3">
        <f t="shared" ca="1" si="656"/>
        <v>2.8898847849864664E-4</v>
      </c>
      <c r="EA186" s="3">
        <f t="shared" ca="1" si="657"/>
        <v>-3.1474288889297644E-4</v>
      </c>
      <c r="EB186" s="3">
        <f t="shared" ca="1" si="658"/>
        <v>2.8668894673937689E-4</v>
      </c>
      <c r="EC186" s="3">
        <f t="shared" ca="1" si="659"/>
        <v>-2.9335341618104909E-4</v>
      </c>
      <c r="ED186" s="63">
        <f t="shared" si="593"/>
        <v>82</v>
      </c>
      <c r="EE186" s="59">
        <f t="shared" si="577"/>
        <v>0.25</v>
      </c>
      <c r="EF186" s="59">
        <f t="shared" si="578"/>
        <v>2.9537</v>
      </c>
      <c r="EG186" s="59">
        <f t="shared" si="579"/>
        <v>0.21759999999999999</v>
      </c>
      <c r="EH186" s="59">
        <f t="shared" si="580"/>
        <v>0.25850000000000001</v>
      </c>
      <c r="EI186" s="59">
        <f t="shared" si="581"/>
        <v>0.21540000000000001</v>
      </c>
      <c r="EJ186" s="59">
        <f t="shared" si="582"/>
        <v>0.22209999999999999</v>
      </c>
      <c r="EK186" s="63">
        <f t="shared" ca="1" si="594"/>
        <v>-11271317.565494953</v>
      </c>
      <c r="EL186" s="3" t="str">
        <f>RTD("tos.rtd",,EL$43,"."&amp;$B$134&amp;$AS$82&amp;"C"&amp;$A186)</f>
        <v>--</v>
      </c>
      <c r="EM186" s="3" t="str">
        <f>RTD("tos.rtd",,EM$43,"."&amp;$B$134&amp;$AS$82&amp;"P"&amp;$A186)</f>
        <v>295.37%</v>
      </c>
      <c r="EN186" s="3" t="str">
        <f>RTD("tos.rtd",,EN$2,"."&amp;$C$134&amp;$AU$82&amp;"C"&amp;$A186)</f>
        <v>21.76%</v>
      </c>
      <c r="EO186" s="3" t="str">
        <f>RTD("tos.rtd",,EO$2,"."&amp;$C$134&amp;$AU$82&amp;"P"&amp;$A186)</f>
        <v>25.85%</v>
      </c>
      <c r="EP186" s="3" t="str">
        <f>RTD("tos.rtd",,EP$2,"."&amp;$D$134&amp;$AW$82&amp;"C"&amp;$A186)</f>
        <v>21.54%</v>
      </c>
      <c r="EQ186" s="3" t="str">
        <f>RTD("tos.rtd",,EQ$2,"."&amp;$D$134&amp;$AW$82&amp;"P"&amp;$A186)</f>
        <v>22.21%</v>
      </c>
      <c r="ES186" s="63" t="str">
        <f t="shared" si="583"/>
        <v>20125,82.00</v>
      </c>
      <c r="ET186" s="63" t="str">
        <f t="shared" ca="1" si="584"/>
        <v>20125,-08.45</v>
      </c>
      <c r="EU186" s="68">
        <v>572.11</v>
      </c>
      <c r="EV186" s="68" t="s">
        <v>1507</v>
      </c>
      <c r="EW186" s="68">
        <v>497.57</v>
      </c>
      <c r="EX186" s="68" t="s">
        <v>1508</v>
      </c>
      <c r="EY186" s="68">
        <v>5732.25</v>
      </c>
      <c r="EZ186" s="68" t="s">
        <v>1509</v>
      </c>
      <c r="FA186" s="68">
        <v>20430.25</v>
      </c>
      <c r="FB186" s="68" t="s">
        <v>1510</v>
      </c>
      <c r="FC186" s="68" t="s">
        <v>1511</v>
      </c>
      <c r="FD186" s="68" t="s">
        <v>1512</v>
      </c>
      <c r="FE186" s="68" t="s">
        <v>1513</v>
      </c>
      <c r="FF186" s="68" t="s">
        <v>1514</v>
      </c>
    </row>
    <row r="187" spans="1:162" ht="11.1" customHeight="1" thickBot="1" x14ac:dyDescent="0.25">
      <c r="A187" s="2">
        <f t="shared" si="595"/>
        <v>20100</v>
      </c>
      <c r="B187" s="3">
        <f t="shared" si="628"/>
        <v>560</v>
      </c>
      <c r="C187" s="3">
        <f t="shared" si="629"/>
        <v>168</v>
      </c>
      <c r="D187" s="3">
        <f t="shared" si="630"/>
        <v>262</v>
      </c>
      <c r="E187" s="3">
        <f t="shared" si="663"/>
        <v>990</v>
      </c>
      <c r="F187" s="4">
        <f t="shared" si="623"/>
        <v>20196.431784107943</v>
      </c>
      <c r="G187" s="5">
        <f t="shared" si="664"/>
        <v>489.54559520239883</v>
      </c>
      <c r="AM187" s="1">
        <v>3</v>
      </c>
      <c r="AN187" s="1">
        <v>129</v>
      </c>
      <c r="AO187" s="1">
        <v>20100</v>
      </c>
      <c r="AP187" s="1">
        <v>371</v>
      </c>
      <c r="AQ187" s="1">
        <v>-201</v>
      </c>
      <c r="AS187" s="54">
        <f>IF(RTD("tos.rtd",,AS$83,"."&amp;$B$134&amp;$AS$82&amp;"C"&amp;$A187)="N/A",0,RTD("tos.rtd",,AS$83,"."&amp;$B$134&amp;$AS$82&amp;"C"&amp;$A187))</f>
        <v>457</v>
      </c>
      <c r="AT187" s="3">
        <f>-IF(RTD("tos.rtd",,AT$83,"."&amp;$B$134&amp;$AS$82&amp;"P"&amp;$A187)="N/A",0,RTD("tos.rtd",,AT$83,"."&amp;$B$134&amp;$AS$82&amp;"P"&amp;$A187))</f>
        <v>-103</v>
      </c>
      <c r="AU187" s="54">
        <f>IF(RTD("tos.rtd",,AU$2,"."&amp;$C$134&amp;$AU$134&amp;"C"&amp;$A187)="N/A",0,RTD("tos.rtd",,AU$2,"."&amp;$C$134&amp;$AU$134&amp;"C"&amp;$A187))</f>
        <v>92</v>
      </c>
      <c r="AV187" s="3">
        <f>-IF(RTD("tos.rtd",,AV$2,"."&amp;$C$134&amp;$AU$134&amp;"P"&amp;$A187)="N/A",0,RTD("tos.rtd",,AV$2,"."&amp;$C$134&amp;$AU$134&amp;"P"&amp;$A187))</f>
        <v>-76</v>
      </c>
      <c r="AW187" s="54">
        <f>IF(RTD("tos.rtd",,AW$2,"."&amp;$D$134&amp;$AW$134&amp;"C"&amp;$A187)="N/A",0,RTD("tos.rtd",,AW$2,"."&amp;$D$134&amp;$AW$134&amp;"C"&amp;$A187))</f>
        <v>134</v>
      </c>
      <c r="AX187" s="3">
        <f>-IF(RTD("tos.rtd",,AX$2,"."&amp;$D$134&amp;$AW$134&amp;"P"&amp;$A187)="N/A",0,RTD("tos.rtd",,AX$2,"."&amp;$D$134&amp;$AW$134&amp;"P"&amp;$A187))</f>
        <v>-128</v>
      </c>
      <c r="AY187" s="76">
        <f t="shared" si="624"/>
        <v>376</v>
      </c>
      <c r="AZ187" s="8">
        <f t="shared" si="548"/>
        <v>20100</v>
      </c>
      <c r="BA187" s="54">
        <f>IF(RTD("tos.rtd",,BA$43,"."&amp;$B$134&amp;$AS$82&amp;"C"&amp;$A187)="N/A",0,RTD("tos.rtd",,BA$43,"."&amp;$B$134&amp;$AS$82&amp;"C"&amp;$A187))</f>
        <v>371</v>
      </c>
      <c r="BB187" s="3">
        <f>-IF(RTD("tos.rtd",,BB$43,"."&amp;$B$134&amp;$AS$82&amp;"P"&amp;$A187)="N/A",0,RTD("tos.rtd",,BB$43,"."&amp;$B$134&amp;$AS$82&amp;"P"&amp;$A187))</f>
        <v>-201</v>
      </c>
      <c r="BC187" s="54">
        <f>IF(RTD("tos.rtd",,BC$2,"."&amp;$C$134&amp;$AU$82&amp;"C"&amp;$A187)="N/A",0,RTD("tos.rtd",,BC$2,"."&amp;$C$134&amp;$AU$82&amp;"C"&amp;$A187))</f>
        <v>1</v>
      </c>
      <c r="BD187" s="3">
        <f>-IF(RTD("tos.rtd",,BD$2,"."&amp;$C$134&amp;$AU$82&amp;"P"&amp;$A187)="N/A",0,RTD("tos.rtd",,BD$2,"."&amp;$C$134&amp;$AU$82&amp;"P"&amp;$A187))</f>
        <v>-48</v>
      </c>
      <c r="BE187" s="54">
        <f>IF(RTD("tos.rtd",,BE$2,"."&amp;$D$134&amp;$AW$82&amp;"C"&amp;$A187)="N/A",0,RTD("tos.rtd",,BE$2,"."&amp;$D$134&amp;$AW$82&amp;"C"&amp;$A187))</f>
        <v>1</v>
      </c>
      <c r="BF187" s="3">
        <f>-IF(RTD("tos.rtd",,BF$2,"."&amp;$D$134&amp;$AW$82&amp;"P"&amp;$A187)="N/A",0,RTD("tos.rtd",,BF$2,"."&amp;$D$134&amp;$AW$82&amp;"P"&amp;$A187))</f>
        <v>0</v>
      </c>
      <c r="BG187" s="3">
        <f ca="1">+Hoja2!Y188</f>
        <v>52</v>
      </c>
      <c r="BH187" s="7">
        <f t="shared" ca="1" si="549"/>
        <v>176</v>
      </c>
      <c r="BI187" s="32" t="str">
        <f t="shared" ca="1" si="609"/>
        <v>Cruce +</v>
      </c>
      <c r="BJ187" s="3">
        <f ca="1">IF($BP$1=1,DX187,IF(RTD("tos.rtd",,BJ$43,"."&amp;$B$134&amp;$AS$82&amp;"C"&amp;$A187)="N/A",0,RTD("tos.rtd",,BJ$43,"."&amp;$B$134&amp;$AS$82&amp;"C"&amp;$A187)))</f>
        <v>1.324635662916933E-32</v>
      </c>
      <c r="BK187" s="3">
        <f ca="1">IF($BP$1=1,DY187,-IF(RTD("tos.rtd",,BK$43,"."&amp;$B$134&amp;$AS$82&amp;"P"&amp;$A187)="N/A",0,RTD("tos.rtd",,BK$43,"."&amp;$B$134&amp;$AS$82&amp;"P"&amp;$A187)))</f>
        <v>-3.1319683386496537E-4</v>
      </c>
      <c r="BL187" s="3">
        <f ca="1">IF($BP$1=1,DZ187,IF(RTD("tos.rtd",,BL$2,"."&amp;$C$134&amp;$AU$82&amp;"C"&amp;$A187)="N/A",0,RTD("tos.rtd",,BL$2,"."&amp;$C$134&amp;$AU$82&amp;"C"&amp;$A187)))</f>
        <v>2.7728203032029213E-4</v>
      </c>
      <c r="BM187" s="3">
        <f ca="1">IF($BP$1=1,EA187,-IF(RTD("tos.rtd",,BM$2,"."&amp;$C$134&amp;$AU$82&amp;"P"&amp;$A187)="N/A",0,RTD("tos.rtd",,BM$2,"."&amp;$C$134&amp;$AU$82&amp;"P"&amp;$A187)))</f>
        <v>-3.0137073963822916E-4</v>
      </c>
      <c r="BN187" s="3">
        <f ca="1">IF($BP$1=1,EB187,IF(RTD("tos.rtd",,BN$2,"."&amp;$D$134&amp;$AW$82&amp;"C"&amp;$A187)="N/A",0,RTD("tos.rtd",,BN$2,"."&amp;$D$134&amp;$AW$82&amp;"C"&amp;$A187)))</f>
        <v>2.6242263330096701E-4</v>
      </c>
      <c r="BO187" s="3">
        <f ca="1">IF($BP$1=1,EC187,-IF(RTD("tos.rtd",,BO$2,"."&amp;$D$134&amp;$AW$82&amp;"P"&amp;$A187)="N/A",0,RTD("tos.rtd",,BO$2,"."&amp;$D$134&amp;$AW$82&amp;"P"&amp;$A187)))</f>
        <v>-2.7688408163534917E-4</v>
      </c>
      <c r="BQ187" s="3">
        <f t="shared" ca="1" si="625"/>
        <v>-1100881.36986999</v>
      </c>
      <c r="BR187" s="3" t="str">
        <f t="shared" ca="1" si="550"/>
        <v/>
      </c>
      <c r="BS187" s="3">
        <f t="shared" ca="1" si="626"/>
        <v>88924.638920382247</v>
      </c>
      <c r="BT187" s="3" t="str">
        <f t="shared" ca="1" si="551"/>
        <v>Cruce +</v>
      </c>
      <c r="BU187" s="3">
        <f t="shared" ca="1" si="627"/>
        <v>-9436.8605938507244</v>
      </c>
      <c r="BV187" s="3" t="str">
        <f t="shared" ca="1" si="551"/>
        <v/>
      </c>
      <c r="BX187" s="3">
        <f t="shared" ca="1" si="585"/>
        <v>-16224.051318384214</v>
      </c>
      <c r="BY187" s="3" t="str">
        <f t="shared" ca="1" si="586"/>
        <v/>
      </c>
      <c r="BZ187" s="3">
        <f t="shared" ca="1" si="587"/>
        <v>-3656.6449008177042</v>
      </c>
      <c r="CA187" s="3" t="str">
        <f t="shared" ca="1" si="586"/>
        <v/>
      </c>
      <c r="CB187" s="3">
        <f t="shared" ca="1" si="588"/>
        <v>67.631213501789674</v>
      </c>
      <c r="CC187" s="3" t="str">
        <f t="shared" ca="1" si="586"/>
        <v>Cruce +</v>
      </c>
      <c r="CD187" s="3">
        <f>IF(RTD("tos.rtd",,CD$43,"."&amp;$B$134&amp;$AS$82&amp;"C"&amp;$A187)="N/A",0,RTD("tos.rtd",,CD$43,"."&amp;$B$134&amp;$AS$82&amp;"C"&amp;$A187))</f>
        <v>1</v>
      </c>
      <c r="CE187" s="3">
        <f>-IF(RTD("tos.rtd",,CE$43,"."&amp;$B$134&amp;$AS$82&amp;"P"&amp;$A187)="N/A",0,RTD("tos.rtd",,CE$43,"."&amp;$B$134&amp;$AS$82&amp;"P"&amp;$A187))</f>
        <v>0.05</v>
      </c>
      <c r="CF187" s="3">
        <f>IF(RTD("tos.rtd",,CF$2,"."&amp;$C$134&amp;$AU$82&amp;"C"&amp;$A187)="N/A",0,RTD("tos.rtd",,CF$2,"."&amp;$C$134&amp;$AU$82&amp;"C"&amp;$A187))</f>
        <v>0.96</v>
      </c>
      <c r="CG187" s="3">
        <f>-IF(RTD("tos.rtd",,CG$2,"."&amp;$C$134&amp;$AU$82&amp;"P"&amp;$A187)="N/A",0,RTD("tos.rtd",,CG$2,"."&amp;$C$134&amp;$AU$82&amp;"P"&amp;$A187))</f>
        <v>7.0000000000000007E-2</v>
      </c>
      <c r="CH187" s="3">
        <f>IF(RTD("tos.rtd",,CH$2,"."&amp;$D$134&amp;$AW$82&amp;"C"&amp;$A187)="N/A",0,RTD("tos.rtd",,CH$2,"."&amp;$D$134&amp;$AW$82&amp;"C"&amp;$A187))</f>
        <v>0.74</v>
      </c>
      <c r="CI187" s="3">
        <f>-IF(RTD("tos.rtd",,CI$2,"."&amp;$D$134&amp;$AW$82&amp;"P"&amp;$A187)="N/A",0,RTD("tos.rtd",,CI$2,"."&amp;$D$134&amp;$AW$82&amp;"P"&amp;$A187))</f>
        <v>0.27</v>
      </c>
      <c r="CK187" s="3">
        <f t="shared" si="660"/>
        <v>45185</v>
      </c>
      <c r="CL187" s="3"/>
      <c r="CM187" s="3">
        <f t="shared" si="661"/>
        <v>8300</v>
      </c>
      <c r="CN187" s="3"/>
      <c r="CO187" s="3">
        <f t="shared" si="662"/>
        <v>6460</v>
      </c>
      <c r="CP187" s="3">
        <f t="shared" si="542"/>
        <v>59945</v>
      </c>
      <c r="CQ187" s="3">
        <f t="shared" si="552"/>
        <v>170</v>
      </c>
      <c r="CR187" s="3"/>
      <c r="CS187" s="3">
        <f t="shared" si="553"/>
        <v>-47</v>
      </c>
      <c r="CT187" s="3"/>
      <c r="CU187" s="3">
        <f t="shared" si="554"/>
        <v>1</v>
      </c>
      <c r="CV187" s="3"/>
      <c r="CW187" s="3">
        <f t="shared" ca="1" si="555"/>
        <v>-1021393.5915434585</v>
      </c>
      <c r="CY187" s="3">
        <f t="shared" ca="1" si="556"/>
        <v>-19813.065005700129</v>
      </c>
      <c r="CZ187" s="70" t="str">
        <f t="shared" ca="1" si="589"/>
        <v/>
      </c>
      <c r="DA187" s="3">
        <f>IF(RTD("tos.rtd",,DA$43,"."&amp;$B$134&amp;$AS$82&amp;"C"&amp;$A187)="N/A",0,RTD("tos.rtd",,DA$43,"."&amp;$B$134&amp;$AS$82&amp;"C"&amp;$A187))</f>
        <v>689.44</v>
      </c>
      <c r="DB187" s="3">
        <f>IF(RTD("tos.rtd",,DB$43,"."&amp;$B$134&amp;$AS$82&amp;"P"&amp;$A187)="N/A",0,RTD("tos.rtd",,DB$43,"."&amp;$B$134&amp;$AS$82&amp;"P"&amp;$A187))</f>
        <v>0.05</v>
      </c>
      <c r="DC187" s="3">
        <f>IF(RTD("tos.rtd",,DC$43,"."&amp;$B$134&amp;$AS$82&amp;"C"&amp;$A187)="N/A",0,RTD("tos.rtd",,DC$43,"."&amp;$B$134&amp;$AS$82&amp;"C"&amp;$A187))</f>
        <v>804</v>
      </c>
      <c r="DD187" s="3">
        <f>IF(RTD("tos.rtd",,DD$43,"."&amp;$B$134&amp;$AS$82&amp;"P"&amp;$A187)="N/A",0,RTD("tos.rtd",,DD$43,"."&amp;$B$134&amp;$AS$82&amp;"P"&amp;$A187))</f>
        <v>20</v>
      </c>
      <c r="DE187" s="3">
        <f>IF(RTD("tos.rtd",,DE$43,"."&amp;$B$134&amp;$AS$82&amp;"C"&amp;$A187)="N/A",0,RTD("tos.rtd",,DE$43,"."&amp;$B$134&amp;$AS$82&amp;"C"&amp;$A187))</f>
        <v>724</v>
      </c>
      <c r="DF187" s="3">
        <f>IF(RTD("tos.rtd",,DF$43,"."&amp;$B$134&amp;$AS$82&amp;"P"&amp;$A187)="N/A",0,RTD("tos.rtd",,DF$43,"."&amp;$B$134&amp;$AS$82&amp;"P"&amp;$A187))</f>
        <v>0</v>
      </c>
      <c r="DG187" s="86">
        <f t="shared" si="590"/>
        <v>-743.75</v>
      </c>
      <c r="DH187" s="3">
        <f t="shared" si="557"/>
        <v>0</v>
      </c>
      <c r="DI187" s="3">
        <f t="shared" si="558"/>
        <v>0</v>
      </c>
      <c r="DJ187" s="3">
        <f t="shared" si="559"/>
        <v>0</v>
      </c>
      <c r="DK187" s="3">
        <f t="shared" si="560"/>
        <v>0</v>
      </c>
      <c r="DL187" s="3">
        <f t="shared" si="561"/>
        <v>0</v>
      </c>
      <c r="DM187" s="3">
        <f t="shared" si="562"/>
        <v>0</v>
      </c>
      <c r="DN187" s="64" t="str">
        <f t="shared" si="563"/>
        <v>UNKNOWN</v>
      </c>
      <c r="DO187" s="64" t="str">
        <f t="shared" si="564"/>
        <v>UNKNOWN</v>
      </c>
      <c r="DP187" s="3">
        <f t="shared" si="565"/>
        <v>0</v>
      </c>
      <c r="DQ187" s="3">
        <f t="shared" si="566"/>
        <v>0</v>
      </c>
      <c r="DR187" s="3">
        <f t="shared" ca="1" si="567"/>
        <v>0</v>
      </c>
      <c r="DS187" s="3">
        <f t="shared" si="568"/>
        <v>0</v>
      </c>
      <c r="DT187" s="3">
        <f t="shared" si="591"/>
        <v>0</v>
      </c>
      <c r="DU187" s="3">
        <f t="shared" si="592"/>
        <v>0</v>
      </c>
      <c r="DV187" s="3">
        <f t="shared" si="569"/>
        <v>3</v>
      </c>
      <c r="DW187" s="3">
        <f t="shared" si="570"/>
        <v>129</v>
      </c>
      <c r="DX187" s="3">
        <f t="shared" ca="1" si="654"/>
        <v>1.324635662916933E-32</v>
      </c>
      <c r="DY187" s="3">
        <f t="shared" ca="1" si="655"/>
        <v>-3.1319683386496537E-4</v>
      </c>
      <c r="DZ187" s="3">
        <f t="shared" ca="1" si="656"/>
        <v>2.7728203032029213E-4</v>
      </c>
      <c r="EA187" s="3">
        <f t="shared" ca="1" si="657"/>
        <v>-3.0137073963822916E-4</v>
      </c>
      <c r="EB187" s="3">
        <f t="shared" ca="1" si="658"/>
        <v>2.6242263330096701E-4</v>
      </c>
      <c r="EC187" s="3">
        <f t="shared" ca="1" si="659"/>
        <v>-2.7688408163534917E-4</v>
      </c>
      <c r="ED187" s="63">
        <f t="shared" si="593"/>
        <v>132</v>
      </c>
      <c r="EE187" s="59">
        <f t="shared" si="577"/>
        <v>0.25</v>
      </c>
      <c r="EF187" s="59">
        <f t="shared" si="578"/>
        <v>3.0344000000000002</v>
      </c>
      <c r="EG187" s="59">
        <f t="shared" si="579"/>
        <v>0.2233</v>
      </c>
      <c r="EH187" s="59">
        <f t="shared" si="580"/>
        <v>0.25969999999999999</v>
      </c>
      <c r="EI187" s="59">
        <f t="shared" si="581"/>
        <v>0.2102</v>
      </c>
      <c r="EJ187" s="59">
        <f t="shared" si="582"/>
        <v>0.22289999999999999</v>
      </c>
      <c r="EK187" s="63">
        <f t="shared" ca="1" si="594"/>
        <v>-17553300.373588111</v>
      </c>
      <c r="EL187" s="3" t="str">
        <f>RTD("tos.rtd",,EL$43,"."&amp;$B$134&amp;$AS$82&amp;"C"&amp;$A187)</f>
        <v>--</v>
      </c>
      <c r="EM187" s="3" t="str">
        <f>RTD("tos.rtd",,EM$43,"."&amp;$B$134&amp;$AS$82&amp;"P"&amp;$A187)</f>
        <v>303.44%</v>
      </c>
      <c r="EN187" s="3" t="str">
        <f>RTD("tos.rtd",,EN$2,"."&amp;$C$134&amp;$AU$82&amp;"C"&amp;$A187)</f>
        <v>22.33%</v>
      </c>
      <c r="EO187" s="3" t="str">
        <f>RTD("tos.rtd",,EO$2,"."&amp;$C$134&amp;$AU$82&amp;"P"&amp;$A187)</f>
        <v>25.97%</v>
      </c>
      <c r="EP187" s="3" t="str">
        <f>RTD("tos.rtd",,EP$2,"."&amp;$D$134&amp;$AW$82&amp;"C"&amp;$A187)</f>
        <v>21.02%</v>
      </c>
      <c r="EQ187" s="3" t="str">
        <f>RTD("tos.rtd",,EQ$2,"."&amp;$D$134&amp;$AW$82&amp;"P"&amp;$A187)</f>
        <v>22.29%</v>
      </c>
      <c r="ES187" s="63" t="str">
        <f t="shared" si="583"/>
        <v>20100,132.00</v>
      </c>
      <c r="ET187" s="63" t="str">
        <f t="shared" ca="1" si="584"/>
        <v>20100,-19.81</v>
      </c>
      <c r="EU187" s="68">
        <v>572.16</v>
      </c>
      <c r="EV187" s="68" t="s">
        <v>1515</v>
      </c>
      <c r="EW187" s="68">
        <v>497.72</v>
      </c>
      <c r="EX187" s="68" t="s">
        <v>1516</v>
      </c>
      <c r="EY187" s="68">
        <v>5732.75</v>
      </c>
      <c r="EZ187" s="68" t="s">
        <v>1517</v>
      </c>
      <c r="FA187" s="68">
        <v>20436</v>
      </c>
      <c r="FB187" s="68" t="s">
        <v>1518</v>
      </c>
      <c r="FC187" s="68" t="s">
        <v>1519</v>
      </c>
      <c r="FD187" s="68" t="s">
        <v>1520</v>
      </c>
      <c r="FE187" s="68" t="s">
        <v>1521</v>
      </c>
      <c r="FF187" s="68" t="s">
        <v>1522</v>
      </c>
    </row>
    <row r="188" spans="1:162" ht="11.1" customHeight="1" thickBot="1" x14ac:dyDescent="0.25">
      <c r="A188" s="2">
        <f t="shared" si="595"/>
        <v>20075</v>
      </c>
      <c r="B188" s="3">
        <f t="shared" si="628"/>
        <v>7</v>
      </c>
      <c r="C188" s="3">
        <f t="shared" si="629"/>
        <v>73</v>
      </c>
      <c r="D188" s="3">
        <f t="shared" si="630"/>
        <v>128</v>
      </c>
      <c r="E188" s="3">
        <f t="shared" si="663"/>
        <v>208</v>
      </c>
      <c r="F188" s="11">
        <f t="shared" si="623"/>
        <v>20171.311844077958</v>
      </c>
      <c r="G188" s="5">
        <f t="shared" si="664"/>
        <v>488.93670764617696</v>
      </c>
      <c r="AM188" s="1">
        <v>0</v>
      </c>
      <c r="AN188" s="1">
        <v>-20</v>
      </c>
      <c r="AO188" s="1">
        <v>20075</v>
      </c>
      <c r="AP188" s="1">
        <v>0</v>
      </c>
      <c r="AQ188" s="1">
        <v>-31</v>
      </c>
      <c r="AS188" s="54">
        <f>IF(RTD("tos.rtd",,AS$83,"."&amp;$B$134&amp;$AS$82&amp;"C"&amp;$A188)="N/A",0,RTD("tos.rtd",,AS$83,"."&amp;$B$134&amp;$AS$82&amp;"C"&amp;$A188))</f>
        <v>3</v>
      </c>
      <c r="AT188" s="3">
        <f>-IF(RTD("tos.rtd",,AT$83,"."&amp;$B$134&amp;$AS$82&amp;"P"&amp;$A188)="N/A",0,RTD("tos.rtd",,AT$83,"."&amp;$B$134&amp;$AS$82&amp;"P"&amp;$A188))</f>
        <v>-4</v>
      </c>
      <c r="AU188" s="54">
        <f>IF(RTD("tos.rtd",,AU$2,"."&amp;$C$134&amp;$AU$134&amp;"C"&amp;$A188)="N/A",0,RTD("tos.rtd",,AU$2,"."&amp;$C$134&amp;$AU$134&amp;"C"&amp;$A188))</f>
        <v>39</v>
      </c>
      <c r="AV188" s="3">
        <f>-IF(RTD("tos.rtd",,AV$2,"."&amp;$C$134&amp;$AU$134&amp;"P"&amp;$A188)="N/A",0,RTD("tos.rtd",,AV$2,"."&amp;$C$134&amp;$AU$134&amp;"P"&amp;$A188))</f>
        <v>-34</v>
      </c>
      <c r="AW188" s="54">
        <f>IF(RTD("tos.rtd",,AW$2,"."&amp;$D$134&amp;$AW$134&amp;"C"&amp;$A188)="N/A",0,RTD("tos.rtd",,AW$2,"."&amp;$D$134&amp;$AW$134&amp;"C"&amp;$A188))</f>
        <v>54</v>
      </c>
      <c r="AX188" s="3">
        <f>-IF(RTD("tos.rtd",,AX$2,"."&amp;$D$134&amp;$AW$134&amp;"P"&amp;$A188)="N/A",0,RTD("tos.rtd",,AX$2,"."&amp;$D$134&amp;$AW$134&amp;"P"&amp;$A188))</f>
        <v>-74</v>
      </c>
      <c r="AY188" s="76">
        <f t="shared" si="624"/>
        <v>-16</v>
      </c>
      <c r="AZ188" s="8">
        <f t="shared" si="548"/>
        <v>20075</v>
      </c>
      <c r="BA188" s="54">
        <f>IF(RTD("tos.rtd",,BA$43,"."&amp;$B$134&amp;$AS$82&amp;"C"&amp;$A188)="N/A",0,RTD("tos.rtd",,BA$43,"."&amp;$B$134&amp;$AS$82&amp;"C"&amp;$A188))</f>
        <v>0</v>
      </c>
      <c r="BB188" s="3">
        <f>-IF(RTD("tos.rtd",,BB$43,"."&amp;$B$134&amp;$AS$82&amp;"P"&amp;$A188)="N/A",0,RTD("tos.rtd",,BB$43,"."&amp;$B$134&amp;$AS$82&amp;"P"&amp;$A188))</f>
        <v>-31</v>
      </c>
      <c r="BC188" s="54">
        <f>IF(RTD("tos.rtd",,BC$2,"."&amp;$C$134&amp;$AU$82&amp;"C"&amp;$A188)="N/A",0,RTD("tos.rtd",,BC$2,"."&amp;$C$134&amp;$AU$82&amp;"C"&amp;$A188))</f>
        <v>0</v>
      </c>
      <c r="BD188" s="3">
        <f>-IF(RTD("tos.rtd",,BD$2,"."&amp;$C$134&amp;$AU$82&amp;"P"&amp;$A188)="N/A",0,RTD("tos.rtd",,BD$2,"."&amp;$C$134&amp;$AU$82&amp;"P"&amp;$A188))</f>
        <v>-6</v>
      </c>
      <c r="BE188" s="54">
        <f>IF(RTD("tos.rtd",,BE$2,"."&amp;$D$134&amp;$AW$82&amp;"C"&amp;$A188)="N/A",0,RTD("tos.rtd",,BE$2,"."&amp;$D$134&amp;$AW$82&amp;"C"&amp;$A188))</f>
        <v>1</v>
      </c>
      <c r="BF188" s="3">
        <f>-IF(RTD("tos.rtd",,BF$2,"."&amp;$D$134&amp;$AW$82&amp;"P"&amp;$A188)="N/A",0,RTD("tos.rtd",,BF$2,"."&amp;$D$134&amp;$AW$82&amp;"P"&amp;$A188))</f>
        <v>-1</v>
      </c>
      <c r="BG188" s="3">
        <f ca="1">+Hoja2!Y189</f>
        <v>0</v>
      </c>
      <c r="BH188" s="7">
        <f t="shared" ca="1" si="549"/>
        <v>-37</v>
      </c>
      <c r="BI188" s="32" t="str">
        <f t="shared" ca="1" si="609"/>
        <v>Cruce -</v>
      </c>
      <c r="BJ188" s="3">
        <f ca="1">IF($BP$1=1,DX188,IF(RTD("tos.rtd",,BJ$43,"."&amp;$B$134&amp;$AS$82&amp;"C"&amp;$A188)="N/A",0,RTD("tos.rtd",,BJ$43,"."&amp;$B$134&amp;$AS$82&amp;"C"&amp;$A188)))</f>
        <v>1.1365130093538724E-34</v>
      </c>
      <c r="BK188" s="3">
        <f ca="1">IF($BP$1=1,DY188,-IF(RTD("tos.rtd",,BK$43,"."&amp;$B$134&amp;$AS$82&amp;"P"&amp;$A188)="N/A",0,RTD("tos.rtd",,BK$43,"."&amp;$B$134&amp;$AS$82&amp;"P"&amp;$A188)))</f>
        <v>-3.0278471841441038E-4</v>
      </c>
      <c r="BL188" s="3">
        <f ca="1">IF($BP$1=1,DZ188,IF(RTD("tos.rtd",,BL$2,"."&amp;$C$134&amp;$AU$82&amp;"C"&amp;$A188)="N/A",0,RTD("tos.rtd",,BL$2,"."&amp;$C$134&amp;$AU$82&amp;"C"&amp;$A188)))</f>
        <v>2.5042546438804573E-4</v>
      </c>
      <c r="BM188" s="3">
        <f ca="1">IF($BP$1=1,EA188,-IF(RTD("tos.rtd",,BM$2,"."&amp;$C$134&amp;$AU$82&amp;"P"&amp;$A188)="N/A",0,RTD("tos.rtd",,BM$2,"."&amp;$C$134&amp;$AU$82&amp;"P"&amp;$A188)))</f>
        <v>-2.8855983763613442E-4</v>
      </c>
      <c r="BN188" s="3">
        <f ca="1">IF($BP$1=1,EB188,IF(RTD("tos.rtd",,BN$2,"."&amp;$D$134&amp;$AW$82&amp;"C"&amp;$A188)="N/A",0,RTD("tos.rtd",,BN$2,"."&amp;$D$134&amp;$AW$82&amp;"C"&amp;$A188)))</f>
        <v>2.5622216174935367E-4</v>
      </c>
      <c r="BO188" s="3">
        <f ca="1">IF($BP$1=1,EC188,-IF(RTD("tos.rtd",,BO$2,"."&amp;$D$134&amp;$AW$82&amp;"P"&amp;$A188)="N/A",0,RTD("tos.rtd",,BO$2,"."&amp;$D$134&amp;$AW$82&amp;"P"&amp;$A188)))</f>
        <v>-2.6110544173843834E-4</v>
      </c>
      <c r="BQ188" s="3">
        <f t="shared" ca="1" si="625"/>
        <v>-41331.377357108424</v>
      </c>
      <c r="BR188" s="3" t="str">
        <f t="shared" ca="1" si="550"/>
        <v/>
      </c>
      <c r="BS188" s="3">
        <f t="shared" ca="1" si="626"/>
        <v>-1516.6080550095066</v>
      </c>
      <c r="BT188" s="3" t="str">
        <f t="shared" ca="1" si="551"/>
        <v>Cruce -</v>
      </c>
      <c r="BU188" s="3">
        <f t="shared" ca="1" si="627"/>
        <v>-187208.85022484302</v>
      </c>
      <c r="BV188" s="3" t="str">
        <f t="shared" ca="1" si="551"/>
        <v/>
      </c>
      <c r="BX188" s="3">
        <f t="shared" ca="1" si="585"/>
        <v>-2419.0315752721044</v>
      </c>
      <c r="BY188" s="3" t="str">
        <f t="shared" ca="1" si="586"/>
        <v/>
      </c>
      <c r="BZ188" s="3">
        <f t="shared" ca="1" si="587"/>
        <v>-446.20355512161365</v>
      </c>
      <c r="CA188" s="3" t="str">
        <f t="shared" ca="1" si="586"/>
        <v/>
      </c>
      <c r="CB188" s="3">
        <f t="shared" ca="1" si="588"/>
        <v>-1.2585124513708905</v>
      </c>
      <c r="CC188" s="3" t="str">
        <f t="shared" ca="1" si="586"/>
        <v>Cruce -</v>
      </c>
      <c r="CD188" s="3">
        <f>IF(RTD("tos.rtd",,CD$43,"."&amp;$B$134&amp;$AS$82&amp;"C"&amp;$A188)="N/A",0,RTD("tos.rtd",,CD$43,"."&amp;$B$134&amp;$AS$82&amp;"C"&amp;$A188))</f>
        <v>1</v>
      </c>
      <c r="CE188" s="3">
        <f>-IF(RTD("tos.rtd",,CE$43,"."&amp;$B$134&amp;$AS$82&amp;"P"&amp;$A188)="N/A",0,RTD("tos.rtd",,CE$43,"."&amp;$B$134&amp;$AS$82&amp;"P"&amp;$A188))</f>
        <v>0.05</v>
      </c>
      <c r="CF188" s="3">
        <f>IF(RTD("tos.rtd",,CF$2,"."&amp;$C$134&amp;$AU$82&amp;"C"&amp;$A188)="N/A",0,RTD("tos.rtd",,CF$2,"."&amp;$C$134&amp;$AU$82&amp;"C"&amp;$A188))</f>
        <v>0.97</v>
      </c>
      <c r="CG188" s="3">
        <f>-IF(RTD("tos.rtd",,CG$2,"."&amp;$C$134&amp;$AU$82&amp;"P"&amp;$A188)="N/A",0,RTD("tos.rtd",,CG$2,"."&amp;$C$134&amp;$AU$82&amp;"P"&amp;$A188))</f>
        <v>7.0000000000000007E-2</v>
      </c>
      <c r="CH188" s="3">
        <f>IF(RTD("tos.rtd",,CH$2,"."&amp;$D$134&amp;$AW$82&amp;"C"&amp;$A188)="N/A",0,RTD("tos.rtd",,CH$2,"."&amp;$D$134&amp;$AW$82&amp;"C"&amp;$A188))</f>
        <v>0.74</v>
      </c>
      <c r="CI188" s="3">
        <f>-IF(RTD("tos.rtd",,CI$2,"."&amp;$D$134&amp;$AW$82&amp;"P"&amp;$A188)="N/A",0,RTD("tos.rtd",,CI$2,"."&amp;$D$134&amp;$AW$82&amp;"P"&amp;$A188))</f>
        <v>0.26</v>
      </c>
      <c r="CK188" s="3">
        <f t="shared" si="660"/>
        <v>280</v>
      </c>
      <c r="CL188" s="3"/>
      <c r="CM188" s="3">
        <f t="shared" si="661"/>
        <v>3545</v>
      </c>
      <c r="CN188" s="3"/>
      <c r="CO188" s="3">
        <f t="shared" si="662"/>
        <v>2072</v>
      </c>
      <c r="CP188" s="3">
        <f t="shared" si="542"/>
        <v>5897</v>
      </c>
      <c r="CQ188" s="3">
        <f t="shared" si="552"/>
        <v>-31</v>
      </c>
      <c r="CR188" s="3"/>
      <c r="CS188" s="3">
        <f t="shared" si="553"/>
        <v>-6</v>
      </c>
      <c r="CT188" s="3"/>
      <c r="CU188" s="3">
        <f t="shared" si="554"/>
        <v>0</v>
      </c>
      <c r="CV188" s="3"/>
      <c r="CW188" s="3">
        <f t="shared" ca="1" si="555"/>
        <v>-230056.83563696095</v>
      </c>
      <c r="CY188" s="3">
        <f t="shared" ca="1" si="556"/>
        <v>-2866.4936428450887</v>
      </c>
      <c r="CZ188" s="70" t="str">
        <f t="shared" ca="1" si="589"/>
        <v/>
      </c>
      <c r="DA188" s="3">
        <f>IF(RTD("tos.rtd",,DA$43,"."&amp;$B$134&amp;$AS$82&amp;"C"&amp;$A188)="N/A",0,RTD("tos.rtd",,DA$43,"."&amp;$B$134&amp;$AS$82&amp;"C"&amp;$A188))</f>
        <v>146.30000000000001</v>
      </c>
      <c r="DB188" s="3">
        <f>IF(RTD("tos.rtd",,DB$43,"."&amp;$B$134&amp;$AS$82&amp;"P"&amp;$A188)="N/A",0,RTD("tos.rtd",,DB$43,"."&amp;$B$134&amp;$AS$82&amp;"P"&amp;$A188))</f>
        <v>0.1</v>
      </c>
      <c r="DC188" s="3">
        <f>IF(RTD("tos.rtd",,DC$43,"."&amp;$B$134&amp;$AS$82&amp;"C"&amp;$A188)="N/A",0,RTD("tos.rtd",,DC$43,"."&amp;$B$134&amp;$AS$82&amp;"C"&amp;$A188))</f>
        <v>828</v>
      </c>
      <c r="DD188" s="3">
        <f>IF(RTD("tos.rtd",,DD$43,"."&amp;$B$134&amp;$AS$82&amp;"P"&amp;$A188)="N/A",0,RTD("tos.rtd",,DD$43,"."&amp;$B$134&amp;$AS$82&amp;"P"&amp;$A188))</f>
        <v>20</v>
      </c>
      <c r="DE188" s="3">
        <f>IF(RTD("tos.rtd",,DE$43,"."&amp;$B$134&amp;$AS$82&amp;"C"&amp;$A188)="N/A",0,RTD("tos.rtd",,DE$43,"."&amp;$B$134&amp;$AS$82&amp;"C"&amp;$A188))</f>
        <v>748</v>
      </c>
      <c r="DF188" s="3">
        <f>IF(RTD("tos.rtd",,DF$43,"."&amp;$B$134&amp;$AS$82&amp;"P"&amp;$A188)="N/A",0,RTD("tos.rtd",,DF$43,"."&amp;$B$134&amp;$AS$82&amp;"P"&amp;$A188))</f>
        <v>0</v>
      </c>
      <c r="DG188" s="86">
        <f t="shared" si="590"/>
        <v>-768.75</v>
      </c>
      <c r="DH188" s="3">
        <f t="shared" si="557"/>
        <v>0</v>
      </c>
      <c r="DI188" s="3">
        <f t="shared" si="558"/>
        <v>0</v>
      </c>
      <c r="DJ188" s="3">
        <f t="shared" si="559"/>
        <v>0</v>
      </c>
      <c r="DK188" s="3">
        <f t="shared" si="560"/>
        <v>0</v>
      </c>
      <c r="DL188" s="3">
        <f t="shared" si="561"/>
        <v>0</v>
      </c>
      <c r="DM188" s="3">
        <f t="shared" si="562"/>
        <v>0</v>
      </c>
      <c r="DN188" s="64" t="str">
        <f t="shared" si="563"/>
        <v>UNKNOWN</v>
      </c>
      <c r="DO188" s="64" t="str">
        <f t="shared" si="564"/>
        <v>UNKNOWN</v>
      </c>
      <c r="DP188" s="3">
        <f t="shared" si="565"/>
        <v>0</v>
      </c>
      <c r="DQ188" s="3">
        <f t="shared" si="566"/>
        <v>0</v>
      </c>
      <c r="DR188" s="3">
        <f t="shared" ca="1" si="567"/>
        <v>0</v>
      </c>
      <c r="DS188" s="3">
        <f t="shared" si="568"/>
        <v>0</v>
      </c>
      <c r="DT188" s="3">
        <f t="shared" si="591"/>
        <v>0</v>
      </c>
      <c r="DU188" s="3">
        <f t="shared" si="592"/>
        <v>0</v>
      </c>
      <c r="DV188" s="3">
        <f t="shared" si="569"/>
        <v>0</v>
      </c>
      <c r="DW188" s="3">
        <f t="shared" si="570"/>
        <v>-20</v>
      </c>
      <c r="DX188" s="3">
        <f t="shared" ca="1" si="654"/>
        <v>1.1365130093538724E-34</v>
      </c>
      <c r="DY188" s="3">
        <f t="shared" ca="1" si="655"/>
        <v>-3.0278471841441038E-4</v>
      </c>
      <c r="DZ188" s="3">
        <f t="shared" ca="1" si="656"/>
        <v>2.5042546438804573E-4</v>
      </c>
      <c r="EA188" s="3">
        <f t="shared" ca="1" si="657"/>
        <v>-2.8855983763613442E-4</v>
      </c>
      <c r="EB188" s="3">
        <f t="shared" ca="1" si="658"/>
        <v>2.5622216174935367E-4</v>
      </c>
      <c r="EC188" s="3">
        <f t="shared" ca="1" si="659"/>
        <v>-2.6110544173843834E-4</v>
      </c>
      <c r="ED188" s="63">
        <f t="shared" si="593"/>
        <v>-20</v>
      </c>
      <c r="EE188" s="59">
        <f t="shared" si="577"/>
        <v>0.25</v>
      </c>
      <c r="EF188" s="59">
        <f t="shared" si="578"/>
        <v>3.1147999999999998</v>
      </c>
      <c r="EG188" s="59">
        <f t="shared" si="579"/>
        <v>0.21460000000000001</v>
      </c>
      <c r="EH188" s="59">
        <f t="shared" si="580"/>
        <v>0.26140000000000002</v>
      </c>
      <c r="EI188" s="59">
        <f t="shared" si="581"/>
        <v>0.21940000000000001</v>
      </c>
      <c r="EJ188" s="59">
        <f t="shared" si="582"/>
        <v>0.2238</v>
      </c>
      <c r="EK188" s="63">
        <f t="shared" ca="1" si="594"/>
        <v>2630968.5662239967</v>
      </c>
      <c r="EL188" s="3" t="str">
        <f>RTD("tos.rtd",,EL$43,"."&amp;$B$134&amp;$AS$82&amp;"C"&amp;$A188)</f>
        <v>--</v>
      </c>
      <c r="EM188" s="3" t="str">
        <f>RTD("tos.rtd",,EM$43,"."&amp;$B$134&amp;$AS$82&amp;"P"&amp;$A188)</f>
        <v>311.48%</v>
      </c>
      <c r="EN188" s="3" t="str">
        <f>RTD("tos.rtd",,EN$2,"."&amp;$C$134&amp;$AU$82&amp;"C"&amp;$A188)</f>
        <v>21.46%</v>
      </c>
      <c r="EO188" s="3" t="str">
        <f>RTD("tos.rtd",,EO$2,"."&amp;$C$134&amp;$AU$82&amp;"P"&amp;$A188)</f>
        <v>26.14%</v>
      </c>
      <c r="EP188" s="3" t="str">
        <f>RTD("tos.rtd",,EP$2,"."&amp;$D$134&amp;$AW$82&amp;"C"&amp;$A188)</f>
        <v>21.94%</v>
      </c>
      <c r="EQ188" s="3" t="str">
        <f>RTD("tos.rtd",,EQ$2,"."&amp;$D$134&amp;$AW$82&amp;"P"&amp;$A188)</f>
        <v>22.38%</v>
      </c>
      <c r="ES188" s="63" t="str">
        <f t="shared" si="583"/>
        <v>20075,-20.00</v>
      </c>
      <c r="ET188" s="63" t="str">
        <f t="shared" ca="1" si="584"/>
        <v>20075,-02.87</v>
      </c>
      <c r="EU188" s="68">
        <v>572.22</v>
      </c>
      <c r="EV188" s="68" t="s">
        <v>1523</v>
      </c>
      <c r="EW188" s="68">
        <v>497.74</v>
      </c>
      <c r="EX188" s="68" t="s">
        <v>1524</v>
      </c>
      <c r="EY188" s="68">
        <v>5733.25</v>
      </c>
      <c r="EZ188" s="68" t="s">
        <v>1525</v>
      </c>
      <c r="FA188" s="68">
        <v>20437</v>
      </c>
      <c r="FB188" s="68" t="s">
        <v>1526</v>
      </c>
      <c r="FC188" s="68" t="s">
        <v>1527</v>
      </c>
      <c r="FD188" s="68" t="s">
        <v>1528</v>
      </c>
      <c r="FE188" s="68" t="s">
        <v>1529</v>
      </c>
      <c r="FF188" s="68" t="s">
        <v>1530</v>
      </c>
    </row>
    <row r="189" spans="1:162" ht="11.1" customHeight="1" thickBot="1" x14ac:dyDescent="0.25">
      <c r="A189" s="2">
        <f t="shared" si="595"/>
        <v>20050</v>
      </c>
      <c r="B189" s="3">
        <f t="shared" si="628"/>
        <v>26</v>
      </c>
      <c r="C189" s="3">
        <f t="shared" si="629"/>
        <v>56</v>
      </c>
      <c r="D189" s="3">
        <f t="shared" si="630"/>
        <v>166</v>
      </c>
      <c r="E189" s="3">
        <f t="shared" si="663"/>
        <v>248</v>
      </c>
      <c r="F189" s="11">
        <f t="shared" si="623"/>
        <v>20146.191904047973</v>
      </c>
      <c r="G189" s="5">
        <f t="shared" si="664"/>
        <v>488.32782008995503</v>
      </c>
      <c r="AM189" s="1">
        <v>0</v>
      </c>
      <c r="AN189" s="1">
        <v>-75</v>
      </c>
      <c r="AO189" s="1">
        <v>20050</v>
      </c>
      <c r="AP189" s="1">
        <v>1</v>
      </c>
      <c r="AQ189" s="1">
        <v>-184</v>
      </c>
      <c r="AS189" s="56">
        <f>IF(RTD("tos.rtd",,AS$83,"."&amp;$B$134&amp;$AS$82&amp;"C"&amp;$A189)="N/A",0,RTD("tos.rtd",,AS$83,"."&amp;$B$134&amp;$AS$82&amp;"C"&amp;$A189))</f>
        <v>23</v>
      </c>
      <c r="AT189" s="35">
        <f>-IF(RTD("tos.rtd",,AT$83,"."&amp;$B$134&amp;$AS$82&amp;"P"&amp;$A189)="N/A",0,RTD("tos.rtd",,AT$83,"."&amp;$B$134&amp;$AS$82&amp;"P"&amp;$A189))</f>
        <v>-3</v>
      </c>
      <c r="AU189" s="16">
        <f>IF(RTD("tos.rtd",,AU$2,"."&amp;$C$134&amp;$AU$134&amp;"C"&amp;$A189)="N/A",0,RTD("tos.rtd",,AU$2,"."&amp;$C$134&amp;$AU$134&amp;"C"&amp;$A189))</f>
        <v>32</v>
      </c>
      <c r="AV189" s="16">
        <f>-IF(RTD("tos.rtd",,AV$2,"."&amp;$C$134&amp;$AU$134&amp;"P"&amp;$A189)="N/A",0,RTD("tos.rtd",,AV$2,"."&amp;$C$134&amp;$AU$134&amp;"P"&amp;$A189))</f>
        <v>-24</v>
      </c>
      <c r="AW189" s="56">
        <f>IF(RTD("tos.rtd",,AW$2,"."&amp;$D$134&amp;$AW$134&amp;"C"&amp;$A189)="N/A",0,RTD("tos.rtd",,AW$2,"."&amp;$D$134&amp;$AW$134&amp;"C"&amp;$A189))</f>
        <v>138</v>
      </c>
      <c r="AX189" s="35">
        <f>-IF(RTD("tos.rtd",,AX$2,"."&amp;$D$134&amp;$AW$134&amp;"P"&amp;$A189)="N/A",0,RTD("tos.rtd",,AX$2,"."&amp;$D$134&amp;$AW$134&amp;"P"&amp;$A189))</f>
        <v>-28</v>
      </c>
      <c r="AY189" s="77">
        <f t="shared" si="624"/>
        <v>138</v>
      </c>
      <c r="AZ189" s="8">
        <f t="shared" si="548"/>
        <v>20050</v>
      </c>
      <c r="BA189" s="56">
        <f>IF(RTD("tos.rtd",,BA$43,"."&amp;$B$134&amp;$AS$82&amp;"C"&amp;$A189)="N/A",0,RTD("tos.rtd",,BA$43,"."&amp;$B$134&amp;$AS$82&amp;"C"&amp;$A189))</f>
        <v>1</v>
      </c>
      <c r="BB189" s="35">
        <f>-IF(RTD("tos.rtd",,BB$43,"."&amp;$B$134&amp;$AS$82&amp;"P"&amp;$A189)="N/A",0,RTD("tos.rtd",,BB$43,"."&amp;$B$134&amp;$AS$82&amp;"P"&amp;$A189))</f>
        <v>-184</v>
      </c>
      <c r="BC189" s="16">
        <f>IF(RTD("tos.rtd",,BC$2,"."&amp;$C$134&amp;$AU$82&amp;"C"&amp;$A189)="N/A",0,RTD("tos.rtd",,BC$2,"."&amp;$C$134&amp;$AU$82&amp;"C"&amp;$A189))</f>
        <v>1</v>
      </c>
      <c r="BD189" s="16">
        <f>-IF(RTD("tos.rtd",,BD$2,"."&amp;$C$134&amp;$AU$82&amp;"P"&amp;$A189)="N/A",0,RTD("tos.rtd",,BD$2,"."&amp;$C$134&amp;$AU$82&amp;"P"&amp;$A189))</f>
        <v>-2</v>
      </c>
      <c r="BE189" s="56">
        <f>IF(RTD("tos.rtd",,BE$2,"."&amp;$D$134&amp;$AW$82&amp;"C"&amp;$A189)="N/A",0,RTD("tos.rtd",,BE$2,"."&amp;$D$134&amp;$AW$82&amp;"C"&amp;$A189))</f>
        <v>11</v>
      </c>
      <c r="BF189" s="35">
        <f>-IF(RTD("tos.rtd",,BF$2,"."&amp;$D$134&amp;$AW$82&amp;"P"&amp;$A189)="N/A",0,RTD("tos.rtd",,BF$2,"."&amp;$D$134&amp;$AW$82&amp;"P"&amp;$A189))</f>
        <v>0</v>
      </c>
      <c r="BG189" s="35">
        <f ca="1">+Hoja2!Y190</f>
        <v>0</v>
      </c>
      <c r="BH189" s="36">
        <f t="shared" ca="1" si="549"/>
        <v>-173</v>
      </c>
      <c r="BI189" s="32" t="str">
        <f t="shared" ca="1" si="609"/>
        <v/>
      </c>
      <c r="BJ189" s="3">
        <f ca="1">IF($BP$1=1,DX189,IF(RTD("tos.rtd",,BJ$43,"."&amp;$B$134&amp;$AS$82&amp;"C"&amp;$A189)="N/A",0,RTD("tos.rtd",,BJ$43,"."&amp;$B$134&amp;$AS$82&amp;"C"&amp;$A189)))</f>
        <v>8.2561212162842693E-37</v>
      </c>
      <c r="BK189" s="3">
        <f ca="1">IF($BP$1=1,DY189,-IF(RTD("tos.rtd",,BK$43,"."&amp;$B$134&amp;$AS$82&amp;"P"&amp;$A189)="N/A",0,RTD("tos.rtd",,BK$43,"."&amp;$B$134&amp;$AS$82&amp;"P"&amp;$A189)))</f>
        <v>-2.9299295485010881E-4</v>
      </c>
      <c r="BL189" s="83">
        <f ca="1">IF($BP$1=1,DZ189,IF(RTD("tos.rtd",,BL$2,"."&amp;$C$134&amp;$AU$82&amp;"C"&amp;$A189)="N/A",0,RTD("tos.rtd",,BL$2,"."&amp;$C$134&amp;$AU$82&amp;"C"&amp;$A189)))</f>
        <v>2.3723031420432847E-4</v>
      </c>
      <c r="BM189" s="83">
        <f ca="1">IF($BP$1=1,EA189,-IF(RTD("tos.rtd",,BM$2,"."&amp;$C$134&amp;$AU$82&amp;"P"&amp;$A189)="N/A",0,RTD("tos.rtd",,BM$2,"."&amp;$C$134&amp;$AU$82&amp;"P"&amp;$A189)))</f>
        <v>-2.7595664176852856E-4</v>
      </c>
      <c r="BN189" s="3">
        <f ca="1">IF($BP$1=1,EB189,IF(RTD("tos.rtd",,BN$2,"."&amp;$D$134&amp;$AW$82&amp;"C"&amp;$A189)="N/A",0,RTD("tos.rtd",,BN$2,"."&amp;$D$134&amp;$AW$82&amp;"C"&amp;$A189)))</f>
        <v>2.2994498819527674E-4</v>
      </c>
      <c r="BO189" s="3">
        <f ca="1">IF($BP$1=1,EC189,-IF(RTD("tos.rtd",,BO$2,"."&amp;$D$134&amp;$AW$82&amp;"P"&amp;$A189)="N/A",0,RTD("tos.rtd",,BO$2,"."&amp;$D$134&amp;$AW$82&amp;"P"&amp;$A189)))</f>
        <v>-2.4582278040385979E-4</v>
      </c>
      <c r="BQ189" s="3">
        <f t="shared" ca="1" si="625"/>
        <v>-29996.070582671793</v>
      </c>
      <c r="BR189" s="3"/>
      <c r="BS189" s="83">
        <f t="shared" ca="1" si="626"/>
        <v>33048.023615537619</v>
      </c>
      <c r="BT189" s="83"/>
      <c r="BU189" s="3">
        <f t="shared" ca="1" si="627"/>
        <v>848010.68842925667</v>
      </c>
      <c r="BV189" s="3" t="str">
        <f t="shared" ref="BV189" ca="1" si="665">IF(AND(BU189&lt;0,BU188&gt;0), "Cruce -", IF(AND(BU189&gt;0,BU188&lt;0),"Cruce +", ""))</f>
        <v>Cruce +</v>
      </c>
      <c r="BX189" s="3">
        <f t="shared" ca="1" si="585"/>
        <v>-13893.795156274518</v>
      </c>
      <c r="BY189" s="3" t="str">
        <f t="shared" ca="1" si="586"/>
        <v/>
      </c>
      <c r="BZ189" s="83">
        <f t="shared" ca="1" si="587"/>
        <v>-81.099678090306242</v>
      </c>
      <c r="CA189" s="83" t="str">
        <f t="shared" ca="1" si="586"/>
        <v/>
      </c>
      <c r="CB189" s="3">
        <f t="shared" ca="1" si="588"/>
        <v>651.87229600398791</v>
      </c>
      <c r="CC189" s="3" t="str">
        <f t="shared" ca="1" si="586"/>
        <v>Cruce +</v>
      </c>
      <c r="CD189" s="3">
        <f>IF(RTD("tos.rtd",,CD$43,"."&amp;$B$134&amp;$AS$82&amp;"C"&amp;$A189)="N/A",0,RTD("tos.rtd",,CD$43,"."&amp;$B$134&amp;$AS$82&amp;"C"&amp;$A189))</f>
        <v>1</v>
      </c>
      <c r="CE189" s="3">
        <f>-IF(RTD("tos.rtd",,CE$43,"."&amp;$B$134&amp;$AS$82&amp;"P"&amp;$A189)="N/A",0,RTD("tos.rtd",,CE$43,"."&amp;$B$134&amp;$AS$82&amp;"P"&amp;$A189))</f>
        <v>0.05</v>
      </c>
      <c r="CF189" s="83">
        <f>IF(RTD("tos.rtd",,CF$2,"."&amp;$C$134&amp;$AU$82&amp;"C"&amp;$A189)="N/A",0,RTD("tos.rtd",,CF$2,"."&amp;$C$134&amp;$AU$82&amp;"C"&amp;$A189))</f>
        <v>0.97</v>
      </c>
      <c r="CG189" s="83">
        <f>-IF(RTD("tos.rtd",,CG$2,"."&amp;$C$134&amp;$AU$82&amp;"P"&amp;$A189)="N/A",0,RTD("tos.rtd",,CG$2,"."&amp;$C$134&amp;$AU$82&amp;"P"&amp;$A189))</f>
        <v>0.06</v>
      </c>
      <c r="CH189" s="3">
        <f>IF(RTD("tos.rtd",,CH$2,"."&amp;$D$134&amp;$AW$82&amp;"C"&amp;$A189)="N/A",0,RTD("tos.rtd",,CH$2,"."&amp;$D$134&amp;$AW$82&amp;"C"&amp;$A189))</f>
        <v>0.75</v>
      </c>
      <c r="CI189" s="3">
        <f>-IF(RTD("tos.rtd",,CI$2,"."&amp;$D$134&amp;$AW$82&amp;"P"&amp;$A189)="N/A",0,RTD("tos.rtd",,CI$2,"."&amp;$D$134&amp;$AW$82&amp;"P"&amp;$A189))</f>
        <v>0.26</v>
      </c>
      <c r="CK189" s="3">
        <f t="shared" si="660"/>
        <v>2285</v>
      </c>
      <c r="CL189" s="3"/>
      <c r="CM189" s="83">
        <f t="shared" si="661"/>
        <v>2960</v>
      </c>
      <c r="CN189" s="83"/>
      <c r="CO189" s="3">
        <f t="shared" si="662"/>
        <v>9622</v>
      </c>
      <c r="CP189" s="3">
        <f t="shared" si="542"/>
        <v>14867</v>
      </c>
      <c r="CQ189" s="3">
        <f t="shared" si="552"/>
        <v>-183</v>
      </c>
      <c r="CR189" s="3"/>
      <c r="CS189" s="83">
        <f t="shared" si="553"/>
        <v>-1</v>
      </c>
      <c r="CT189" s="83"/>
      <c r="CU189" s="3">
        <f t="shared" si="554"/>
        <v>11</v>
      </c>
      <c r="CV189" s="3"/>
      <c r="CW189" s="3">
        <f t="shared" ca="1" si="555"/>
        <v>851062.64146212244</v>
      </c>
      <c r="CY189" s="3">
        <f t="shared" ca="1" si="556"/>
        <v>-13323.022538360836</v>
      </c>
      <c r="CZ189" s="70" t="str">
        <f t="shared" ca="1" si="589"/>
        <v/>
      </c>
      <c r="DA189" s="3">
        <f>IF(RTD("tos.rtd",,DA$43,"."&amp;$B$134&amp;$AS$82&amp;"C"&amp;$A189)="N/A",0,RTD("tos.rtd",,DA$43,"."&amp;$B$134&amp;$AS$82&amp;"C"&amp;$A189))</f>
        <v>653.94000000000005</v>
      </c>
      <c r="DB189" s="3">
        <f>IF(RTD("tos.rtd",,DB$43,"."&amp;$B$134&amp;$AS$82&amp;"P"&amp;$A189)="N/A",0,RTD("tos.rtd",,DB$43,"."&amp;$B$134&amp;$AS$82&amp;"P"&amp;$A189))</f>
        <v>0.05</v>
      </c>
      <c r="DC189" s="3">
        <f>IF(RTD("tos.rtd",,DC$43,"."&amp;$B$134&amp;$AS$82&amp;"C"&amp;$A189)="N/A",0,RTD("tos.rtd",,DC$43,"."&amp;$B$134&amp;$AS$82&amp;"C"&amp;$A189))</f>
        <v>854</v>
      </c>
      <c r="DD189" s="3">
        <f>IF(RTD("tos.rtd",,DD$43,"."&amp;$B$134&amp;$AS$82&amp;"P"&amp;$A189)="N/A",0,RTD("tos.rtd",,DD$43,"."&amp;$B$134&amp;$AS$82&amp;"P"&amp;$A189))</f>
        <v>20</v>
      </c>
      <c r="DE189" s="3">
        <f>IF(RTD("tos.rtd",,DE$43,"."&amp;$B$134&amp;$AS$82&amp;"C"&amp;$A189)="N/A",0,RTD("tos.rtd",,DE$43,"."&amp;$B$134&amp;$AS$82&amp;"C"&amp;$A189))</f>
        <v>774</v>
      </c>
      <c r="DF189" s="3">
        <f>IF(RTD("tos.rtd",,DF$43,"."&amp;$B$134&amp;$AS$82&amp;"P"&amp;$A189)="N/A",0,RTD("tos.rtd",,DF$43,"."&amp;$B$134&amp;$AS$82&amp;"P"&amp;$A189))</f>
        <v>0</v>
      </c>
      <c r="DG189" s="86">
        <f t="shared" si="590"/>
        <v>-793.75</v>
      </c>
      <c r="DH189" s="3">
        <f t="shared" si="557"/>
        <v>0</v>
      </c>
      <c r="DI189" s="3">
        <f t="shared" si="558"/>
        <v>0</v>
      </c>
      <c r="DJ189" s="3">
        <f t="shared" ref="DJ189" si="666">IF(DA189&gt;=(DE189+(DC189-DE189)*0.6),(BA189-AP189),IF(DA189&lt;=(DE189+(DC189-DE189)*0.4),-(BA189-AP189),0))</f>
        <v>0</v>
      </c>
      <c r="DK189" s="3">
        <f t="shared" ref="DK189" si="667">IF(DB189&lt;=(DF189+(DD189-DF189)*0.4),-(BB189-AQ189),IF(DB189&gt;=(DF189+(DD189-DF189)*0.6),(BB189-AQ189),0))</f>
        <v>0</v>
      </c>
      <c r="DL189" s="3">
        <f t="shared" si="561"/>
        <v>0</v>
      </c>
      <c r="DM189" s="3">
        <f t="shared" si="562"/>
        <v>0</v>
      </c>
      <c r="DN189" s="64" t="str">
        <f t="shared" si="563"/>
        <v>UNKNOWN</v>
      </c>
      <c r="DO189" s="64" t="str">
        <f t="shared" si="564"/>
        <v>UNKNOWN</v>
      </c>
      <c r="DP189" s="3">
        <f t="shared" si="565"/>
        <v>0</v>
      </c>
      <c r="DQ189" s="3">
        <f t="shared" si="566"/>
        <v>0</v>
      </c>
      <c r="DR189" s="83">
        <f t="shared" ca="1" si="567"/>
        <v>0</v>
      </c>
      <c r="DS189" s="83">
        <f t="shared" si="568"/>
        <v>0</v>
      </c>
      <c r="DT189" s="3">
        <f t="shared" si="591"/>
        <v>0</v>
      </c>
      <c r="DU189" s="3">
        <f t="shared" si="592"/>
        <v>0</v>
      </c>
      <c r="DV189" s="3">
        <f t="shared" si="569"/>
        <v>0</v>
      </c>
      <c r="DW189" s="3">
        <f t="shared" si="570"/>
        <v>-75</v>
      </c>
      <c r="DX189" s="3">
        <f t="shared" ca="1" si="654"/>
        <v>8.2561212162842693E-37</v>
      </c>
      <c r="DY189" s="3">
        <f t="shared" ca="1" si="655"/>
        <v>-2.9299295485010881E-4</v>
      </c>
      <c r="DZ189" s="83">
        <f t="shared" ca="1" si="656"/>
        <v>2.3723031420432847E-4</v>
      </c>
      <c r="EA189" s="83">
        <f t="shared" ca="1" si="657"/>
        <v>-2.7595664176852856E-4</v>
      </c>
      <c r="EB189" s="3">
        <f t="shared" ca="1" si="658"/>
        <v>2.2994498819527674E-4</v>
      </c>
      <c r="EC189" s="3">
        <f t="shared" ca="1" si="659"/>
        <v>-2.4582278040385979E-4</v>
      </c>
      <c r="ED189" s="63">
        <f t="shared" si="593"/>
        <v>-75</v>
      </c>
      <c r="EE189" s="59">
        <f t="shared" si="577"/>
        <v>0.25</v>
      </c>
      <c r="EF189" s="59">
        <f t="shared" si="578"/>
        <v>3.1949000000000001</v>
      </c>
      <c r="EG189" s="84">
        <f t="shared" si="579"/>
        <v>0.21740000000000001</v>
      </c>
      <c r="EH189" s="84">
        <f t="shared" si="580"/>
        <v>0.26269999999999999</v>
      </c>
      <c r="EI189" s="59">
        <f t="shared" si="581"/>
        <v>0.21190000000000001</v>
      </c>
      <c r="EJ189" s="59">
        <f t="shared" si="582"/>
        <v>0.22459999999999999</v>
      </c>
      <c r="EK189" s="63">
        <f t="shared" ca="1" si="594"/>
        <v>9547070.9978254437</v>
      </c>
      <c r="EL189" s="3" t="str">
        <f>RTD("tos.rtd",,EL$43,"."&amp;$B$134&amp;$AS$82&amp;"C"&amp;$A189)</f>
        <v>--</v>
      </c>
      <c r="EM189" s="3" t="str">
        <f>RTD("tos.rtd",,EM$43,"."&amp;$B$134&amp;$AS$82&amp;"P"&amp;$A189)</f>
        <v>319.49%</v>
      </c>
      <c r="EN189" s="83" t="str">
        <f>RTD("tos.rtd",,EN$2,"."&amp;$C$134&amp;$AU$82&amp;"C"&amp;$A189)</f>
        <v>21.74%</v>
      </c>
      <c r="EO189" s="83" t="str">
        <f>RTD("tos.rtd",,EO$2,"."&amp;$C$134&amp;$AU$82&amp;"P"&amp;$A189)</f>
        <v>26.27%</v>
      </c>
      <c r="EP189" s="3" t="str">
        <f>RTD("tos.rtd",,EP$2,"."&amp;$D$134&amp;$AW$82&amp;"C"&amp;$A189)</f>
        <v>21.19%</v>
      </c>
      <c r="EQ189" s="3" t="str">
        <f>RTD("tos.rtd",,EQ$2,"."&amp;$D$134&amp;$AW$82&amp;"P"&amp;$A189)</f>
        <v>22.46%</v>
      </c>
      <c r="ES189" s="63" t="str">
        <f t="shared" si="583"/>
        <v>20050,-75.00</v>
      </c>
      <c r="ET189" s="63" t="str">
        <f t="shared" ca="1" si="584"/>
        <v>20050,-13.32</v>
      </c>
      <c r="EU189" s="68">
        <v>572.16</v>
      </c>
      <c r="EV189" s="68" t="s">
        <v>1531</v>
      </c>
      <c r="EW189" s="68">
        <v>497.65</v>
      </c>
      <c r="EX189" s="68" t="s">
        <v>1532</v>
      </c>
      <c r="EY189" s="68">
        <v>5732.75</v>
      </c>
      <c r="EZ189" s="68" t="s">
        <v>1533</v>
      </c>
      <c r="FA189" s="68">
        <v>20432.5</v>
      </c>
      <c r="FB189" s="68" t="s">
        <v>1534</v>
      </c>
      <c r="FC189" s="68" t="s">
        <v>1535</v>
      </c>
      <c r="FD189" s="68" t="s">
        <v>1536</v>
      </c>
      <c r="FE189" s="68" t="s">
        <v>1537</v>
      </c>
      <c r="FF189" s="68" t="s">
        <v>1538</v>
      </c>
    </row>
    <row r="190" spans="1:162" ht="13.5" thickBot="1" x14ac:dyDescent="0.25">
      <c r="A190" s="56"/>
      <c r="C190" s="35"/>
      <c r="D190" s="35"/>
      <c r="E190" s="35"/>
      <c r="F190" s="57"/>
      <c r="BH190" s="1">
        <f ca="1">MIN(BH137:BH189)</f>
        <v>-743</v>
      </c>
      <c r="BI190" s="1">
        <f ca="1">IFERROR(IF(MIN(BH137:BH189)&lt;&gt;0,INDEX(A137:A189,MATCH(MIN(BH137:BH189),BH137:BH189,0)),""),"")</f>
        <v>20200</v>
      </c>
      <c r="BP190" s="64">
        <f ca="1">INDEX(BQ190:BU190,MATCH(MAX(BQ136:BU136),BQ136:BU136,0))</f>
        <v>20700</v>
      </c>
      <c r="BQ190" s="1">
        <f ca="1">IF(AND(BQ136&gt;0,ABS(MAX(BQ137:BQ189))&gt;ABS(MIN(BQ137:BQ189))),IF(MAX(BQ137:BQ189)&lt;&gt;0,INDEX($A137:$A189,MATCH(MAX(BQ137:BQ189),BQ137:BQ189,0)),""),"")</f>
        <v>20700</v>
      </c>
      <c r="BS190" s="1">
        <f ca="1">IF(AND(BS136&gt;0,ABS(MAX(BS137:BS189))&gt;ABS(MIN(BS137:BS189))),IF(MAX(BS137:BS189)&lt;&gt;0,INDEX($A137:$A189,MATCH(MAX(BS137:BS189),BS137:BS189,0)),""),"")</f>
        <v>21000</v>
      </c>
      <c r="BU190" s="1">
        <f ca="1">IF(AND(BU136&gt;0,ABS(MAX(BU137:BU189))&gt;ABS(MIN(BU137:BU189))),IF(MAX(BU137:BU189)&lt;&gt;0,INDEX($A137:$A189,MATCH(MAX(BU137:BU189),BU137:BU189,0)),""),"")</f>
        <v>20800</v>
      </c>
      <c r="BW190" s="64">
        <f ca="1">INDEX(BX190:CB190,MATCH(MAX(BX136:CB136),BX136:CB136,0))</f>
        <v>20850</v>
      </c>
      <c r="BX190" s="1">
        <f ca="1">IF(AND(BX136&gt;0,ABS(MAX(BX137:BX189))&gt;ABS(MIN(BX137:BX189))),IF(MAX(BX137:BX189)&lt;&gt;0,INDEX($A137:$A189,MATCH(MAX(BX137:BX189),BX137:BX189,0)),""),"")</f>
        <v>20850</v>
      </c>
      <c r="BY190" s="1">
        <f ca="1">INDEX($A$137:$A$189,MATCH("Cruce -",BY137:BY189,)+1)</f>
        <v>20800</v>
      </c>
      <c r="BZ190" s="1">
        <f ca="1">IF(AND(BZ136&gt;0,ABS(MAX(BZ137:BZ189))&gt;ABS(MIN(BZ137:BZ189))),IF(MAX(BZ137:BZ189)&lt;&gt;0,INDEX($A137:$A189,MATCH(MAX(BZ137:BZ189),BZ137:BZ189,0)),""),"")</f>
        <v>21000</v>
      </c>
      <c r="CB190" s="1">
        <f ca="1">IF(AND(CB136&gt;0,ABS(MAX(CB137:CB189))&gt;ABS(MIN(CB137:CB189))),IF(MAX(CB137:CB189)&lt;&gt;0,INDEX($A137:$A189,MATCH(MAX(CB137:CB189),CB137:CB189,0)),""),"")</f>
        <v>21000</v>
      </c>
      <c r="CJ190" s="64">
        <f>INDEX(CK190:CO190,MATCH(MAX(CK136:CO136),CK136:CO136,0))</f>
        <v>20700</v>
      </c>
      <c r="CK190" s="1">
        <f>IF(AND(CK136&gt;0,ABS(MAX(CK137:CK189))&gt;ABS(MIN(CK137:CK189))),IF(MAX(CK137:CK189)&lt;&gt;0,INDEX($A137:$A189,MATCH(MAX(CK137:CK189),CK137:CK189,0)),""),"")</f>
        <v>20700</v>
      </c>
      <c r="CM190" s="1">
        <f>IF(AND(CM136&gt;0,ABS(MAX(CM137:CM189))&gt;ABS(MIN(CM137:CM189))),IF(MAX(CM137:CM189)&lt;&gt;0,INDEX($A137:$A189,MATCH(MAX(CM137:CM189),CM137:CM189,0)),""),"")</f>
        <v>21000</v>
      </c>
      <c r="CO190" s="1">
        <f>IF(AND(CO136&gt;0,ABS(MAX(CO137:CO189))&gt;ABS(MIN(CO137:CO189))),IF(MAX(CO137:CO189)&lt;&gt;0,INDEX($A137:$A189,MATCH(MAX(CO137:CO189),CO137:CO189,0)),""),"")</f>
        <v>20800</v>
      </c>
      <c r="CP190" s="1">
        <f>IF(ABS(MAX(CP137:CP189))&gt;ABS(MIN(CP137:CP189)),IF(MAX(CP137:CP189)&lt;&gt;0,INDEX($A137:$A189,MATCH(MAX(CP137:CP189),CP137:CP189,0)),""),"")</f>
        <v>20700</v>
      </c>
      <c r="CW190" s="1">
        <f ca="1">IF(AND(CW136&gt;0,ABS(MAX(CW137:CW189))&gt;ABS(MIN(CW137:CW189))),IF(MAX(CW137:CW189)&lt;&gt;0,INDEX($A137:$A189,MATCH(MAX(CW137:CW189),CW137:CW189,0)),""),"")</f>
        <v>20700</v>
      </c>
      <c r="CY190" s="1">
        <f ca="1">IF(AND(CY136&gt;0,ABS(MAX(CY137:CY189))&gt;ABS(MIN(CY137:CY189))),IF(MAX(CY137:CY189)&lt;&gt;0,INDEX($A137:$A189,MATCH(MAX(CY137:CY189),CY137:CY189,0)),""),"")</f>
        <v>20850</v>
      </c>
      <c r="DH190" s="1" t="e">
        <f t="shared" ref="DH190:DM190" si="668">IF(AND(DH136&gt;0,ABS(MAX(DH137:DH189))&gt;ABS(MIN(DH137:DH189))),IF(MAX(DH137:DH189)&lt;&gt;0,INDEX($A137:$A189,MATCH(MAX(DH137:DH189),DH137:DH189,0)),""),"")</f>
        <v>#DIV/0!</v>
      </c>
      <c r="DI190" s="1" t="e">
        <f t="shared" si="668"/>
        <v>#DIV/0!</v>
      </c>
      <c r="DJ190" s="89" t="str">
        <f>IF(AND(ABS(MAX(DJ137:DJ189))&gt;$DG$135,ABS(INDEX($DG$137:$DG$189,MATCH(MAX(DJ137:DJ189),DJ137:DJ189,0)))&lt;25,1),IF(MAX(DJ137:DJ189)&lt;&gt;0,INDEX($A137:$A189,MATCH(MAX(DJ137:DJ189),DJ137:DJ189,0)),""),"")</f>
        <v/>
      </c>
      <c r="DK190" s="89" t="str">
        <f>IF(AND(ABS(MAX(DK137:DK189))&gt;$DG$135,ABS(INDEX($DG$137:$DG$189,MATCH(MAX(DK137:DK189),DK137:DK189,0)))&lt;25,1),IF(MAX(DK137:DK189)&lt;&gt;0,INDEX($A137:$A189,MATCH(MAX(DK137:DK189),DK137:DK189,0)),""),"")</f>
        <v/>
      </c>
      <c r="DL190" s="1" t="e">
        <f t="shared" si="668"/>
        <v>#DIV/0!</v>
      </c>
      <c r="DM190" s="1" t="str">
        <f t="shared" si="668"/>
        <v/>
      </c>
      <c r="DN190" s="64" t="str">
        <f>DJ190&amp;","&amp;DJ191&amp;","&amp;DK190&amp;","&amp;DK191</f>
        <v>,,,</v>
      </c>
      <c r="DP190" s="1" t="e">
        <f>IF(AND(DP136&gt;0,ABS(MAX(DP137:DP189))&gt;ABS(MIN(DP137:DP189))),IF(MAX(DP137:DP189)&lt;&gt;0,INDEX($A137:$A189,MATCH(MAX(DP137:DP189),DP137:DP189,0)),""),"")</f>
        <v>#DIV/0!</v>
      </c>
      <c r="DQ190" s="1" t="str">
        <f>IF(AND(DQ136&gt;0,ABS(MAX(DQ137:DQ189))&gt;ABS(MIN(DQ137:DQ189))),IF(MAX(DQ137:DQ189)&lt;&gt;0,INDEX($A137:$A189,MATCH(MAX(DQ137:DQ189),DQ137:DQ189,0)),""),"")</f>
        <v/>
      </c>
      <c r="DR190" s="1" t="str">
        <f ca="1">IF(AND(DR136&gt;0,ABS(MAX(DR137:DR189))&gt;ABS(MIN(DR137:DR189))),IF(MAX(DR137:DR189)&lt;&gt;0,INDEX($A137:$A189,MATCH(MAX(DR137:DR189),DR137:DR189,0)),""),"")</f>
        <v/>
      </c>
      <c r="ED190" s="103">
        <f>IFERROR(IF(MAX(ED137:ED189)&lt;&gt;0,INDEX($A137:$A189,MATCH(MAX(ED137:ED189),ED137:ED189,0)),""),"")</f>
        <v>20950</v>
      </c>
      <c r="EU190" s="68">
        <v>572.16</v>
      </c>
      <c r="EV190" s="68" t="s">
        <v>1539</v>
      </c>
      <c r="EW190" s="68">
        <v>497.64</v>
      </c>
      <c r="EX190" s="68" t="s">
        <v>1540</v>
      </c>
      <c r="EY190" s="68">
        <v>5732.25</v>
      </c>
      <c r="EZ190" s="68" t="s">
        <v>1541</v>
      </c>
      <c r="FA190" s="68">
        <v>20432.5</v>
      </c>
      <c r="FB190" s="68" t="s">
        <v>1542</v>
      </c>
      <c r="FC190" s="68" t="s">
        <v>1543</v>
      </c>
      <c r="FD190" s="68" t="s">
        <v>1544</v>
      </c>
      <c r="FE190" s="68" t="s">
        <v>1545</v>
      </c>
      <c r="FF190" s="68" t="s">
        <v>1546</v>
      </c>
    </row>
    <row r="191" spans="1:162" x14ac:dyDescent="0.2">
      <c r="BP191" s="64" t="str">
        <f ca="1">INDEX(BQ191:BU191,MATCH(MIN(BQ136:BU136),BQ136:BU136,0))</f>
        <v/>
      </c>
      <c r="BQ191" s="1" t="str">
        <f ca="1">IF(AND(BQ136&lt;0,ABS(MIN(BQ137:BQ189))&gt;ABS(MAX(BQ137:BQ189))),IF(MIN(BQ137:BQ189)&lt;&gt;0,INDEX($A137:$A189,MATCH(MIN(BQ137:BQ189),BQ137:BQ189,0)),""),"")</f>
        <v/>
      </c>
      <c r="BS191" s="1" t="str">
        <f ca="1">IF(AND(BS136&lt;0,ABS(MIN(BS137:BS189))&gt;ABS(MAX(BS137:BS189))),IF(MIN(BS137:BS189)&lt;&gt;0,INDEX($A137:$A189,MATCH(MIN(BS137:BS189),BS137:BS189,0)),""),"")</f>
        <v/>
      </c>
      <c r="BU191" s="1" t="str">
        <f ca="1">IF(AND(BU136&lt;0,ABS(MIN(BU137:BU189))&gt;ABS(MAX(BU137:BU189))),IF(MIN(BU137:BU189)&lt;&gt;0,INDEX($A137:$A189,MATCH(MIN(BU137:BU189),BU137:BU189,0)),""),"")</f>
        <v/>
      </c>
      <c r="BW191" s="64" t="str">
        <f ca="1">INDEX(BX191:CB191,MATCH(MIN(BX136:CB136),BX136:CB136,0))</f>
        <v/>
      </c>
      <c r="BX191" s="1" t="str">
        <f ca="1">IF(AND(BX136&lt;0,ABS(MIN(BX137:BX189))&gt;ABS(MAX(BX137:BX189))),IF(MIN(BX137:BX189)&lt;&gt;0,INDEX($A137:$A189,MATCH(MIN(BX137:BX189),BX137:BX189,0)),""),"")</f>
        <v/>
      </c>
      <c r="BY191" s="1">
        <f ca="1">INDEX($A$137:$A$189,MATCH("Cruce -",BY137:BY189,)-1)</f>
        <v>20850</v>
      </c>
      <c r="BZ191" s="1" t="str">
        <f ca="1">IF(AND(BZ136&lt;0,ABS(MIN(BZ137:BZ189))&gt;ABS(MAX(BZ137:BZ189))),IF(MIN(BZ137:BZ189)&lt;&gt;0,INDEX($A137:$A189,MATCH(MIN(BZ137:BZ189),BZ137:BZ189,0)),""),"")</f>
        <v/>
      </c>
      <c r="CB191" s="1" t="str">
        <f ca="1">IF(AND(CB136&lt;0,ABS(MIN(CB137:CB189))&gt;ABS(MAX(CB137:CB189))),IF(MIN(CB137:CB189)&lt;&gt;0,INDEX($A137:$A189,MATCH(MIN(CB137:CB189),CB137:CB189,0)),""),"")</f>
        <v/>
      </c>
      <c r="CJ191" s="64" t="str">
        <f>INDEX(CK191:CO191,MATCH(MIN(CK136:CO136),CK136:CO136,0))</f>
        <v/>
      </c>
      <c r="CK191" s="1" t="str">
        <f>IF(AND(CK136&lt;0,ABS(MIN(CK137:CK189))&gt;ABS(MAX(CK137:CK189))),IF(MIN(CK137:CK189)&lt;&gt;0,INDEX($A137:$A189,MATCH(MIN(CK137:CK189),CK137:CK189,0)),""),"")</f>
        <v/>
      </c>
      <c r="CM191" s="1" t="str">
        <f>IF(AND(CM136&lt;0,ABS(MIN(CM137:CM189))&gt;ABS(MAX(CM137:CM189))),IF(MIN(CM137:CM189)&lt;&gt;0,INDEX($A137:$A189,MATCH(MIN(CM137:CM189),CM137:CM189,0)),""),"")</f>
        <v/>
      </c>
      <c r="CO191" s="1" t="str">
        <f>IF(AND(CO136&lt;0,ABS(MIN(CO137:CO189))&gt;ABS(MAX(CO137:CO189))),IF(MIN(CO137:CO189)&lt;&gt;0,INDEX($A137:$A189,MATCH(MIN(CO137:CO189),CO137:CO189,0)),""),"")</f>
        <v/>
      </c>
      <c r="CP191" s="1" t="str">
        <f>IF(ABS(MIN(CP137:CP189))&gt;ABS(MAX(CP137:CP189)),IF(MIN(CP137:CP189)&lt;&gt;0,INDEX($A137:$A189,MATCH(MIN(CP137:CP189),CP137:CP189,0)),""),"")</f>
        <v/>
      </c>
      <c r="CW191" s="1" t="str">
        <f ca="1">IF(AND(CW136&lt;0,ABS(MIN(CW137:CW189))&gt;ABS(MAX(CW137:CW189))),IF(MIN(CW137:CW189)&lt;&gt;0,INDEX($A137:$A189,MATCH(MIN(CW137:CW189),CW137:CW189,0)),""),"")</f>
        <v/>
      </c>
      <c r="CY191" s="1" t="str">
        <f ca="1">IF(AND(CY136&lt;0,ABS(MIN(CY137:CY189))&gt;ABS(MAX(CY137:CY189))),IF(MIN(CY137:CY189)&lt;&gt;0,INDEX($A137:$A189,MATCH(MIN(CY137:CY189),CY137:CY189,0)),""),"")</f>
        <v/>
      </c>
      <c r="DH191" s="1" t="e">
        <f t="shared" ref="DH191:DM191" si="669">IF(AND(DH136&lt;0,ABS(MIN(DH137:DH189))&gt;ABS(MAX(DH137:DH189))),IF(MIN(DH137:DH189)&lt;&gt;0,INDEX($A137:$A189,MATCH(MIN(DH137:DH189),DH137:DH189,0)),""),"")</f>
        <v>#DIV/0!</v>
      </c>
      <c r="DI191" s="1" t="e">
        <f t="shared" si="669"/>
        <v>#DIV/0!</v>
      </c>
      <c r="DJ191" s="89" t="str">
        <f>IF(AND(ABS(MIN(DJ137:DJ189))&gt;$DG$135,ABS(INDEX($DG$137:$DG$189,MATCH(MIN(DJ137:DJ189),DJ137:DJ189,0)))&lt;25,1),IF(MIN(DJ137:DJ189)&lt;&gt;0,INDEX($A137:$A189,MATCH(MIN(DJ137:DJ189),DJ137:DJ189,0)),""),"")</f>
        <v/>
      </c>
      <c r="DK191" s="89" t="str">
        <f>IF(AND(ABS(MIN(DK137:DK189))&gt;$DG$135,ABS(INDEX($DG$137:$DG$189,MATCH(MIN(DK137:DK189),DK137:DK189,0)))&lt;25,1),IF(MIN(DK137:DK189)&lt;&gt;0,INDEX($A137:$A189,MATCH(MIN(DK137:DK189),DK137:DK189,0)),""),"")</f>
        <v/>
      </c>
      <c r="DL191" s="1" t="e">
        <f t="shared" si="669"/>
        <v>#DIV/0!</v>
      </c>
      <c r="DM191" s="1" t="str">
        <f t="shared" si="669"/>
        <v/>
      </c>
      <c r="DN191" s="64" t="str">
        <f ca="1">BI134&amp;","&amp;BI190&amp;","&amp;ED190&amp;","&amp;ED191</f>
        <v>20950,20200,20950,20150</v>
      </c>
      <c r="DP191" s="1" t="e">
        <f>IF(AND(DP136&lt;0,ABS(MIN(DP137:DP189))&gt;ABS(MAX(DP137:DP189))),IF(MIN(DP137:DP189)&lt;&gt;0,INDEX($A137:$A189,MATCH(MIN(DP137:DP189),DP137:DP189,0)),""),"")</f>
        <v>#DIV/0!</v>
      </c>
      <c r="DQ191" s="1" t="str">
        <f>IF(AND(DQ136&lt;0,ABS(MIN(DQ137:DQ189))&gt;ABS(MAX(DQ137:DQ189))),IF(MIN(DQ137:DQ189)&lt;&gt;0,INDEX($A137:$A189,MATCH(MIN(DQ137:DQ189),DQ137:DQ189,0)),""),"")</f>
        <v/>
      </c>
      <c r="DR191" s="1" t="str">
        <f ca="1">IF(AND(DR136&lt;0,ABS(MIN(DR137:DR189))&gt;ABS(MAX(DR137:DR189))),IF(MIN(DR137:DR189)&lt;&gt;0,INDEX($A137:$A189,MATCH(MIN(DR137:DR189),DR137:DR189,0)),""),"")</f>
        <v/>
      </c>
      <c r="ED191" s="103">
        <f>IFERROR(IF(MIN(ED137:ED189)&lt;&gt;0,INDEX($A137:$A189,MATCH(MIN(ED137:ED189),ED137:ED189,0)),""),"")</f>
        <v>20150</v>
      </c>
      <c r="EU191" s="68">
        <v>572.16</v>
      </c>
      <c r="EV191" s="68" t="s">
        <v>1547</v>
      </c>
      <c r="EW191" s="68">
        <v>497.62</v>
      </c>
      <c r="EX191" s="68" t="s">
        <v>1548</v>
      </c>
      <c r="EY191" s="68">
        <v>5732.25</v>
      </c>
      <c r="EZ191" s="68" t="s">
        <v>1549</v>
      </c>
      <c r="FA191" s="68">
        <v>20431.25</v>
      </c>
      <c r="FB191" s="68" t="s">
        <v>1550</v>
      </c>
      <c r="FC191" s="68" t="s">
        <v>1551</v>
      </c>
      <c r="FD191" s="68" t="s">
        <v>1552</v>
      </c>
      <c r="FE191" s="68" t="s">
        <v>1553</v>
      </c>
      <c r="FF191" s="68" t="s">
        <v>1554</v>
      </c>
    </row>
    <row r="192" spans="1:162" x14ac:dyDescent="0.2">
      <c r="ET192" s="64">
        <v>250410</v>
      </c>
      <c r="EU192" s="68">
        <v>572.16</v>
      </c>
      <c r="EV192" s="68" t="s">
        <v>1555</v>
      </c>
      <c r="EW192" s="68">
        <v>497.56</v>
      </c>
      <c r="EX192" s="68" t="s">
        <v>1556</v>
      </c>
      <c r="EY192" s="68">
        <v>5732.25</v>
      </c>
      <c r="EZ192" s="68" t="s">
        <v>1557</v>
      </c>
      <c r="FA192" s="68">
        <v>20429.5</v>
      </c>
      <c r="FB192" s="68" t="s">
        <v>1558</v>
      </c>
      <c r="FC192" s="68" t="s">
        <v>1559</v>
      </c>
      <c r="FD192" s="68" t="s">
        <v>1560</v>
      </c>
      <c r="FE192" s="68" t="s">
        <v>1561</v>
      </c>
      <c r="FF192" s="68" t="s">
        <v>1562</v>
      </c>
    </row>
    <row r="193" spans="151:162" x14ac:dyDescent="0.2">
      <c r="EU193" s="67">
        <v>572.16</v>
      </c>
      <c r="EV193" s="67" t="s">
        <v>1563</v>
      </c>
      <c r="EW193" s="67">
        <v>497.53</v>
      </c>
      <c r="EX193" s="67" t="s">
        <v>1564</v>
      </c>
      <c r="EY193" s="67">
        <v>5731.75</v>
      </c>
      <c r="EZ193" s="67" t="s">
        <v>1565</v>
      </c>
      <c r="FA193" s="67">
        <v>20427.25</v>
      </c>
      <c r="FB193" s="67" t="s">
        <v>1566</v>
      </c>
      <c r="FC193" s="67" t="s">
        <v>1567</v>
      </c>
      <c r="FD193" s="67" t="s">
        <v>1568</v>
      </c>
      <c r="FE193" s="68" t="s">
        <v>1569</v>
      </c>
      <c r="FF193" s="68" t="s">
        <v>1570</v>
      </c>
    </row>
    <row r="194" spans="151:162" x14ac:dyDescent="0.2">
      <c r="EU194" s="67">
        <v>572.16</v>
      </c>
      <c r="EV194" s="67" t="s">
        <v>1571</v>
      </c>
      <c r="EW194" s="67">
        <v>497.59</v>
      </c>
      <c r="EX194" s="67" t="s">
        <v>1572</v>
      </c>
      <c r="EY194" s="67">
        <v>5732.75</v>
      </c>
      <c r="EZ194" s="67" t="s">
        <v>1573</v>
      </c>
      <c r="FA194" s="67">
        <v>20430.25</v>
      </c>
      <c r="FB194" s="67" t="s">
        <v>1574</v>
      </c>
      <c r="FC194" s="67" t="s">
        <v>1575</v>
      </c>
      <c r="FD194" s="67" t="s">
        <v>1576</v>
      </c>
      <c r="FE194" s="68" t="s">
        <v>1577</v>
      </c>
      <c r="FF194" s="68" t="s">
        <v>1578</v>
      </c>
    </row>
    <row r="195" spans="151:162" x14ac:dyDescent="0.2">
      <c r="EU195" s="67">
        <v>572.19000000000005</v>
      </c>
      <c r="EV195" s="67" t="s">
        <v>1579</v>
      </c>
      <c r="EW195" s="67">
        <v>497.61</v>
      </c>
      <c r="EX195" s="67" t="s">
        <v>1580</v>
      </c>
      <c r="EY195" s="67">
        <v>5733</v>
      </c>
      <c r="EZ195" s="67" t="s">
        <v>1581</v>
      </c>
      <c r="FA195" s="67">
        <v>20431</v>
      </c>
      <c r="FB195" s="67" t="s">
        <v>1582</v>
      </c>
      <c r="FC195" s="67" t="s">
        <v>1583</v>
      </c>
      <c r="FD195" s="67" t="s">
        <v>1584</v>
      </c>
      <c r="FE195" s="68" t="s">
        <v>1585</v>
      </c>
      <c r="FF195" s="68" t="s">
        <v>1586</v>
      </c>
    </row>
    <row r="196" spans="151:162" x14ac:dyDescent="0.2">
      <c r="EU196" s="67">
        <v>572.16</v>
      </c>
      <c r="EV196" s="67" t="s">
        <v>1587</v>
      </c>
      <c r="EW196" s="67">
        <v>497.53</v>
      </c>
      <c r="EX196" s="67" t="s">
        <v>1588</v>
      </c>
      <c r="EY196" s="67">
        <v>5732.5</v>
      </c>
      <c r="EZ196" s="67" t="s">
        <v>1589</v>
      </c>
      <c r="FA196" s="67">
        <v>20427.5</v>
      </c>
      <c r="FB196" s="67" t="s">
        <v>1590</v>
      </c>
      <c r="FC196" s="67" t="s">
        <v>1591</v>
      </c>
      <c r="FD196" s="67" t="s">
        <v>1592</v>
      </c>
      <c r="FE196" s="68" t="s">
        <v>1593</v>
      </c>
      <c r="FF196" s="68" t="s">
        <v>1594</v>
      </c>
    </row>
    <row r="197" spans="151:162" x14ac:dyDescent="0.2">
      <c r="EU197" s="67">
        <v>572.28</v>
      </c>
      <c r="EV197" s="67" t="s">
        <v>1595</v>
      </c>
      <c r="EW197" s="67">
        <v>497.63</v>
      </c>
      <c r="EX197" s="67" t="s">
        <v>1596</v>
      </c>
      <c r="EY197" s="67">
        <v>5734</v>
      </c>
      <c r="EZ197" s="67" t="s">
        <v>1597</v>
      </c>
      <c r="FA197" s="67">
        <v>20431.75</v>
      </c>
      <c r="FB197" s="67" t="s">
        <v>1598</v>
      </c>
      <c r="FC197" s="67" t="s">
        <v>1599</v>
      </c>
      <c r="FD197" s="67" t="s">
        <v>1600</v>
      </c>
      <c r="FE197" s="68" t="s">
        <v>1601</v>
      </c>
      <c r="FF197" s="68" t="s">
        <v>1602</v>
      </c>
    </row>
    <row r="198" spans="151:162" x14ac:dyDescent="0.2">
      <c r="EU198" s="67">
        <v>572.24</v>
      </c>
      <c r="EV198" s="67" t="s">
        <v>1603</v>
      </c>
      <c r="EW198" s="67">
        <v>497.61</v>
      </c>
      <c r="EX198" s="67" t="s">
        <v>1604</v>
      </c>
      <c r="EY198" s="67">
        <v>5733.75</v>
      </c>
      <c r="EZ198" s="67" t="s">
        <v>1605</v>
      </c>
      <c r="FA198" s="67">
        <v>20430.25</v>
      </c>
      <c r="FB198" s="67" t="s">
        <v>1606</v>
      </c>
      <c r="FC198" s="67" t="s">
        <v>1607</v>
      </c>
      <c r="FD198" s="67" t="s">
        <v>1608</v>
      </c>
      <c r="FE198" s="68" t="s">
        <v>1609</v>
      </c>
      <c r="FF198" s="68" t="s">
        <v>1610</v>
      </c>
    </row>
    <row r="199" spans="151:162" x14ac:dyDescent="0.2">
      <c r="EU199" s="67">
        <v>572.25</v>
      </c>
      <c r="EV199" s="67" t="s">
        <v>1611</v>
      </c>
      <c r="EW199" s="67">
        <v>497.53</v>
      </c>
      <c r="EX199" s="67" t="s">
        <v>1612</v>
      </c>
      <c r="EY199" s="67">
        <v>5733.75</v>
      </c>
      <c r="EZ199" s="67" t="s">
        <v>1613</v>
      </c>
      <c r="FA199" s="67">
        <v>20426.5</v>
      </c>
      <c r="FB199" s="67" t="s">
        <v>1614</v>
      </c>
      <c r="FC199" s="67" t="s">
        <v>1615</v>
      </c>
      <c r="FD199" s="67" t="s">
        <v>1616</v>
      </c>
      <c r="FE199" s="68" t="s">
        <v>1617</v>
      </c>
      <c r="FF199" s="68" t="s">
        <v>1618</v>
      </c>
    </row>
    <row r="200" spans="151:162" x14ac:dyDescent="0.2">
      <c r="EU200" s="67">
        <v>572.20000000000005</v>
      </c>
      <c r="EV200" s="67" t="s">
        <v>1619</v>
      </c>
      <c r="EW200" s="67">
        <v>497.45</v>
      </c>
      <c r="EX200" s="67" t="s">
        <v>1620</v>
      </c>
      <c r="EY200" s="67">
        <v>5733.25</v>
      </c>
      <c r="EZ200" s="67" t="s">
        <v>1621</v>
      </c>
      <c r="FA200" s="67">
        <v>20424.5</v>
      </c>
      <c r="FB200" s="67" t="s">
        <v>1622</v>
      </c>
      <c r="FC200" s="67" t="s">
        <v>1623</v>
      </c>
      <c r="FD200" s="67" t="s">
        <v>1624</v>
      </c>
      <c r="FE200" s="68" t="s">
        <v>1625</v>
      </c>
      <c r="FF200" s="68" t="s">
        <v>1626</v>
      </c>
    </row>
    <row r="201" spans="151:162" x14ac:dyDescent="0.2">
      <c r="EU201" s="67">
        <v>572.24</v>
      </c>
      <c r="EV201" s="67" t="s">
        <v>1627</v>
      </c>
      <c r="EW201" s="67">
        <v>497.43</v>
      </c>
      <c r="EX201" s="67" t="s">
        <v>1628</v>
      </c>
      <c r="EY201" s="67">
        <v>5733.25</v>
      </c>
      <c r="EZ201" s="67" t="s">
        <v>1629</v>
      </c>
      <c r="FA201" s="67">
        <v>20423.5</v>
      </c>
      <c r="FB201" s="67" t="s">
        <v>1630</v>
      </c>
      <c r="FC201" s="67" t="s">
        <v>1631</v>
      </c>
      <c r="FD201" s="67" t="s">
        <v>1632</v>
      </c>
      <c r="FE201" s="68" t="s">
        <v>1633</v>
      </c>
      <c r="FF201" s="68" t="s">
        <v>1634</v>
      </c>
    </row>
    <row r="202" spans="151:162" x14ac:dyDescent="0.2">
      <c r="EU202" s="67">
        <v>572.16</v>
      </c>
      <c r="EV202" s="67" t="s">
        <v>1635</v>
      </c>
      <c r="EW202" s="67">
        <v>497.32</v>
      </c>
      <c r="EX202" s="67" t="s">
        <v>1636</v>
      </c>
      <c r="EY202" s="67">
        <v>5732.5</v>
      </c>
      <c r="EZ202" s="67" t="s">
        <v>1637</v>
      </c>
      <c r="FA202" s="67">
        <v>20419.5</v>
      </c>
      <c r="FB202" s="67" t="s">
        <v>1638</v>
      </c>
      <c r="FC202" s="67" t="s">
        <v>1639</v>
      </c>
      <c r="FD202" s="67" t="s">
        <v>1640</v>
      </c>
      <c r="FE202" s="68" t="s">
        <v>1641</v>
      </c>
      <c r="FF202" s="68" t="s">
        <v>1642</v>
      </c>
    </row>
    <row r="203" spans="151:162" x14ac:dyDescent="0.2">
      <c r="EU203" s="67">
        <v>572.21</v>
      </c>
      <c r="EV203" s="67" t="s">
        <v>1643</v>
      </c>
      <c r="EW203" s="67">
        <v>497.34</v>
      </c>
      <c r="EX203" s="67" t="s">
        <v>1644</v>
      </c>
      <c r="EY203" s="67">
        <v>5733.25</v>
      </c>
      <c r="EZ203" s="67" t="s">
        <v>1645</v>
      </c>
      <c r="FA203" s="67">
        <v>20420</v>
      </c>
      <c r="FB203" s="67" t="s">
        <v>1646</v>
      </c>
      <c r="FC203" s="67" t="s">
        <v>1647</v>
      </c>
      <c r="FD203" s="67" t="s">
        <v>1648</v>
      </c>
      <c r="FE203" s="68" t="s">
        <v>1649</v>
      </c>
      <c r="FF203" s="68" t="s">
        <v>1650</v>
      </c>
    </row>
    <row r="204" spans="151:162" x14ac:dyDescent="0.2">
      <c r="EU204" s="67">
        <v>572.20000000000005</v>
      </c>
      <c r="EV204" s="67" t="s">
        <v>1651</v>
      </c>
      <c r="EW204" s="67">
        <v>497.3</v>
      </c>
      <c r="EX204" s="67" t="s">
        <v>1652</v>
      </c>
      <c r="EY204" s="67">
        <v>5733</v>
      </c>
      <c r="EZ204" s="67" t="s">
        <v>1653</v>
      </c>
      <c r="FA204" s="67">
        <v>20417.5</v>
      </c>
      <c r="FB204" s="67" t="s">
        <v>1654</v>
      </c>
      <c r="FC204" s="67" t="s">
        <v>1655</v>
      </c>
      <c r="FD204" s="67" t="s">
        <v>1656</v>
      </c>
      <c r="FE204" s="68" t="s">
        <v>1657</v>
      </c>
      <c r="FF204" s="68" t="s">
        <v>1658</v>
      </c>
    </row>
    <row r="205" spans="151:162" x14ac:dyDescent="0.2">
      <c r="EU205" s="67">
        <v>572.16999999999996</v>
      </c>
      <c r="EV205" s="67" t="s">
        <v>1659</v>
      </c>
      <c r="EW205" s="67">
        <v>497.25</v>
      </c>
      <c r="EX205" s="67" t="s">
        <v>1660</v>
      </c>
      <c r="EY205" s="67">
        <v>5732.75</v>
      </c>
      <c r="EZ205" s="67" t="s">
        <v>1661</v>
      </c>
      <c r="FA205" s="67">
        <v>20416</v>
      </c>
      <c r="FB205" s="67" t="s">
        <v>1662</v>
      </c>
      <c r="FC205" s="67" t="s">
        <v>1663</v>
      </c>
      <c r="FD205" s="67" t="s">
        <v>1664</v>
      </c>
      <c r="FE205" s="68" t="s">
        <v>1665</v>
      </c>
      <c r="FF205" s="68" t="s">
        <v>1666</v>
      </c>
    </row>
    <row r="206" spans="151:162" x14ac:dyDescent="0.2">
      <c r="EU206" s="67">
        <v>572.16</v>
      </c>
      <c r="EV206" s="67" t="s">
        <v>1667</v>
      </c>
      <c r="EW206" s="67">
        <v>497.22</v>
      </c>
      <c r="EX206" s="67" t="s">
        <v>1668</v>
      </c>
      <c r="EY206" s="67">
        <v>5732.5</v>
      </c>
      <c r="EZ206" s="67" t="s">
        <v>1669</v>
      </c>
      <c r="FA206" s="67">
        <v>20414.75</v>
      </c>
      <c r="FB206" s="67" t="s">
        <v>1670</v>
      </c>
      <c r="FC206" s="67" t="s">
        <v>1671</v>
      </c>
      <c r="FD206" s="67" t="s">
        <v>1672</v>
      </c>
      <c r="FE206" s="68" t="s">
        <v>1673</v>
      </c>
      <c r="FF206" s="68" t="s">
        <v>1674</v>
      </c>
    </row>
    <row r="207" spans="151:162" x14ac:dyDescent="0.2">
      <c r="EU207" s="67">
        <v>572.16</v>
      </c>
      <c r="EV207" s="67" t="s">
        <v>1675</v>
      </c>
      <c r="EW207" s="67">
        <v>497.25</v>
      </c>
      <c r="EX207" s="67" t="s">
        <v>1676</v>
      </c>
      <c r="EY207" s="67">
        <v>5732.75</v>
      </c>
      <c r="EZ207" s="67" t="s">
        <v>1677</v>
      </c>
      <c r="FA207" s="67">
        <v>20416.25</v>
      </c>
      <c r="FB207" s="67" t="s">
        <v>1678</v>
      </c>
      <c r="FC207" s="67" t="s">
        <v>1679</v>
      </c>
      <c r="FD207" s="67" t="s">
        <v>1680</v>
      </c>
      <c r="FE207" s="68" t="s">
        <v>1681</v>
      </c>
      <c r="FF207" s="68" t="s">
        <v>1682</v>
      </c>
    </row>
    <row r="208" spans="151:162" x14ac:dyDescent="0.2">
      <c r="EU208" s="67">
        <v>572.16999999999996</v>
      </c>
      <c r="EV208" s="67" t="s">
        <v>1683</v>
      </c>
      <c r="EW208" s="67">
        <v>497.26</v>
      </c>
      <c r="EX208" s="67" t="s">
        <v>1684</v>
      </c>
      <c r="EY208" s="67">
        <v>5733</v>
      </c>
      <c r="EZ208" s="67" t="s">
        <v>1685</v>
      </c>
      <c r="FA208" s="67">
        <v>20416.5</v>
      </c>
      <c r="FB208" s="67" t="s">
        <v>1686</v>
      </c>
      <c r="FC208" s="67" t="s">
        <v>1687</v>
      </c>
      <c r="FD208" s="67" t="s">
        <v>1688</v>
      </c>
      <c r="FE208" s="68" t="s">
        <v>1689</v>
      </c>
      <c r="FF208" s="68" t="s">
        <v>1690</v>
      </c>
    </row>
    <row r="209" spans="151:162" x14ac:dyDescent="0.2">
      <c r="EU209" s="67">
        <v>572.16999999999996</v>
      </c>
      <c r="EV209" s="67" t="s">
        <v>1691</v>
      </c>
      <c r="EW209" s="67">
        <v>497.26</v>
      </c>
      <c r="EX209" s="67" t="s">
        <v>1692</v>
      </c>
      <c r="EY209" s="67">
        <v>5733</v>
      </c>
      <c r="EZ209" s="67" t="s">
        <v>1693</v>
      </c>
      <c r="FA209" s="67">
        <v>20416.25</v>
      </c>
      <c r="FB209" s="67" t="s">
        <v>1694</v>
      </c>
      <c r="FC209" s="67" t="s">
        <v>1695</v>
      </c>
      <c r="FD209" s="67" t="s">
        <v>1696</v>
      </c>
      <c r="FE209" s="68" t="s">
        <v>1697</v>
      </c>
      <c r="FF209" s="68" t="s">
        <v>1698</v>
      </c>
    </row>
    <row r="210" spans="151:162" x14ac:dyDescent="0.2">
      <c r="EU210" s="67">
        <v>572.16</v>
      </c>
      <c r="EV210" s="67" t="s">
        <v>1699</v>
      </c>
      <c r="EW210" s="67">
        <v>497.23</v>
      </c>
      <c r="EX210" s="67" t="s">
        <v>1700</v>
      </c>
      <c r="EY210" s="67">
        <v>5732.5</v>
      </c>
      <c r="EZ210" s="67" t="s">
        <v>1701</v>
      </c>
      <c r="FA210" s="67">
        <v>20415.75</v>
      </c>
      <c r="FB210" s="67" t="s">
        <v>1702</v>
      </c>
      <c r="FC210" s="67" t="s">
        <v>1703</v>
      </c>
      <c r="FD210" s="67" t="s">
        <v>1704</v>
      </c>
      <c r="FE210" s="68" t="s">
        <v>1705</v>
      </c>
      <c r="FF210" s="68" t="s">
        <v>1706</v>
      </c>
    </row>
    <row r="211" spans="151:162" x14ac:dyDescent="0.2">
      <c r="EU211" s="67">
        <v>572.16999999999996</v>
      </c>
      <c r="EV211" s="67" t="s">
        <v>1707</v>
      </c>
      <c r="EW211" s="67">
        <v>497.22</v>
      </c>
      <c r="EX211" s="67" t="s">
        <v>1708</v>
      </c>
      <c r="EY211" s="67">
        <v>5732.75</v>
      </c>
      <c r="EZ211" s="67" t="s">
        <v>1709</v>
      </c>
      <c r="FA211" s="67">
        <v>20414.75</v>
      </c>
      <c r="FB211" s="67" t="s">
        <v>1710</v>
      </c>
      <c r="FC211" s="67" t="s">
        <v>1711</v>
      </c>
      <c r="FD211" s="67" t="s">
        <v>1712</v>
      </c>
      <c r="FE211" s="68" t="s">
        <v>1713</v>
      </c>
      <c r="FF211" s="68" t="s">
        <v>1714</v>
      </c>
    </row>
    <row r="212" spans="151:162" x14ac:dyDescent="0.2">
      <c r="EU212" s="67">
        <v>572.26</v>
      </c>
      <c r="EV212" s="67" t="s">
        <v>1715</v>
      </c>
      <c r="EW212" s="67">
        <v>497.4</v>
      </c>
      <c r="EX212" s="67" t="s">
        <v>1716</v>
      </c>
      <c r="EY212" s="67">
        <v>5734</v>
      </c>
      <c r="EZ212" s="67" t="s">
        <v>1717</v>
      </c>
      <c r="FA212" s="67">
        <v>20422.25</v>
      </c>
      <c r="FB212" s="67" t="s">
        <v>1718</v>
      </c>
      <c r="FC212" s="67" t="s">
        <v>1719</v>
      </c>
      <c r="FD212" s="67" t="s">
        <v>1720</v>
      </c>
      <c r="FE212" s="68" t="s">
        <v>1721</v>
      </c>
      <c r="FF212" s="68" t="s">
        <v>1722</v>
      </c>
    </row>
    <row r="213" spans="151:162" x14ac:dyDescent="0.2">
      <c r="EU213" s="67">
        <v>572.26</v>
      </c>
      <c r="EV213" s="67" t="s">
        <v>1723</v>
      </c>
      <c r="EW213" s="67">
        <v>497.32</v>
      </c>
      <c r="EX213" s="67" t="s">
        <v>1724</v>
      </c>
      <c r="EY213" s="67">
        <v>5733.5</v>
      </c>
      <c r="EZ213" s="67" t="s">
        <v>1725</v>
      </c>
      <c r="FA213" s="67">
        <v>20419</v>
      </c>
      <c r="FB213" s="67" t="s">
        <v>1726</v>
      </c>
      <c r="FC213" s="67" t="s">
        <v>1727</v>
      </c>
      <c r="FD213" s="67" t="s">
        <v>1728</v>
      </c>
      <c r="FE213" s="68" t="s">
        <v>1729</v>
      </c>
      <c r="FF213" s="68" t="s">
        <v>1730</v>
      </c>
    </row>
    <row r="214" spans="151:162" x14ac:dyDescent="0.2">
      <c r="EU214" s="67">
        <v>572.25</v>
      </c>
      <c r="EV214" s="67" t="s">
        <v>1731</v>
      </c>
      <c r="EW214" s="67">
        <v>497.36</v>
      </c>
      <c r="EX214" s="67" t="s">
        <v>1732</v>
      </c>
      <c r="EY214" s="67">
        <v>5733.75</v>
      </c>
      <c r="EZ214" s="67" t="s">
        <v>1733</v>
      </c>
      <c r="FA214" s="67">
        <v>20419.5</v>
      </c>
      <c r="FB214" s="67" t="s">
        <v>1734</v>
      </c>
      <c r="FC214" s="67" t="s">
        <v>1735</v>
      </c>
      <c r="FD214" s="67" t="s">
        <v>1736</v>
      </c>
      <c r="FE214" s="68" t="s">
        <v>1737</v>
      </c>
      <c r="FF214" s="68" t="s">
        <v>1738</v>
      </c>
    </row>
    <row r="215" spans="151:162" x14ac:dyDescent="0.2">
      <c r="EU215" s="67">
        <v>572.27</v>
      </c>
      <c r="EV215" s="67" t="s">
        <v>1739</v>
      </c>
      <c r="EW215" s="67">
        <v>497.36</v>
      </c>
      <c r="EX215" s="67" t="s">
        <v>1740</v>
      </c>
      <c r="EY215" s="67">
        <v>5734.25</v>
      </c>
      <c r="EZ215" s="67" t="s">
        <v>1741</v>
      </c>
      <c r="FA215" s="67">
        <v>20420.75</v>
      </c>
      <c r="FB215" s="67" t="s">
        <v>1742</v>
      </c>
      <c r="FC215" s="67" t="s">
        <v>1743</v>
      </c>
      <c r="FD215" s="67" t="s">
        <v>1744</v>
      </c>
      <c r="FE215" s="68" t="s">
        <v>1745</v>
      </c>
      <c r="FF215" s="68" t="s">
        <v>1746</v>
      </c>
    </row>
    <row r="216" spans="151:162" x14ac:dyDescent="0.2">
      <c r="EU216" s="67">
        <v>572.37</v>
      </c>
      <c r="EV216" s="67" t="s">
        <v>1747</v>
      </c>
      <c r="EW216" s="67">
        <v>497.42</v>
      </c>
      <c r="EX216" s="67" t="s">
        <v>1748</v>
      </c>
      <c r="EY216" s="67">
        <v>5735</v>
      </c>
      <c r="EZ216" s="67" t="s">
        <v>1749</v>
      </c>
      <c r="FA216" s="67">
        <v>20423.5</v>
      </c>
      <c r="FB216" s="67" t="s">
        <v>1750</v>
      </c>
      <c r="FC216" s="67" t="s">
        <v>1751</v>
      </c>
      <c r="FD216" s="67" t="s">
        <v>1752</v>
      </c>
      <c r="FE216" s="68" t="s">
        <v>1753</v>
      </c>
      <c r="FF216" s="68" t="s">
        <v>1754</v>
      </c>
    </row>
    <row r="217" spans="151:162" x14ac:dyDescent="0.2">
      <c r="EU217" s="67">
        <v>572.33000000000004</v>
      </c>
      <c r="EV217" s="67" t="s">
        <v>1755</v>
      </c>
      <c r="EW217" s="67">
        <v>497.39</v>
      </c>
      <c r="EX217" s="67" t="s">
        <v>1756</v>
      </c>
      <c r="EY217" s="67">
        <v>5734.5</v>
      </c>
      <c r="EZ217" s="67" t="s">
        <v>1757</v>
      </c>
      <c r="FA217" s="67">
        <v>20421.5</v>
      </c>
      <c r="FB217" s="67" t="s">
        <v>1758</v>
      </c>
      <c r="FC217" s="67" t="s">
        <v>1759</v>
      </c>
      <c r="FD217" s="67" t="s">
        <v>1760</v>
      </c>
      <c r="FE217" s="68" t="s">
        <v>1761</v>
      </c>
      <c r="FF217" s="68" t="s">
        <v>1762</v>
      </c>
    </row>
    <row r="218" spans="151:162" x14ac:dyDescent="0.2">
      <c r="EU218" s="67">
        <v>572.33000000000004</v>
      </c>
      <c r="EV218" s="67" t="s">
        <v>1763</v>
      </c>
      <c r="EW218" s="67">
        <v>497.39</v>
      </c>
      <c r="EX218" s="67" t="s">
        <v>1764</v>
      </c>
      <c r="EY218" s="67">
        <v>5734.5</v>
      </c>
      <c r="EZ218" s="67" t="s">
        <v>1765</v>
      </c>
      <c r="FA218" s="67">
        <v>20420.75</v>
      </c>
      <c r="FB218" s="67" t="s">
        <v>1766</v>
      </c>
      <c r="FC218" s="67" t="s">
        <v>1767</v>
      </c>
      <c r="FD218" s="67" t="s">
        <v>1768</v>
      </c>
      <c r="FE218" s="68" t="s">
        <v>1769</v>
      </c>
      <c r="FF218" s="68" t="s">
        <v>1770</v>
      </c>
    </row>
    <row r="219" spans="151:162" x14ac:dyDescent="0.2">
      <c r="EU219" s="67">
        <v>572.38</v>
      </c>
      <c r="EV219" s="67" t="s">
        <v>1771</v>
      </c>
      <c r="EW219" s="67">
        <v>497.41</v>
      </c>
      <c r="EX219" s="67" t="s">
        <v>1772</v>
      </c>
      <c r="EY219" s="67">
        <v>5734.75</v>
      </c>
      <c r="EZ219" s="67" t="s">
        <v>1773</v>
      </c>
      <c r="FA219" s="67">
        <v>20422.5</v>
      </c>
      <c r="FB219" s="67" t="s">
        <v>1774</v>
      </c>
      <c r="FC219" s="67" t="s">
        <v>1775</v>
      </c>
      <c r="FD219" s="67" t="s">
        <v>1776</v>
      </c>
      <c r="FE219" s="68" t="s">
        <v>1777</v>
      </c>
      <c r="FF219" s="68" t="s">
        <v>1778</v>
      </c>
    </row>
    <row r="220" spans="151:162" x14ac:dyDescent="0.2">
      <c r="EU220" s="67">
        <v>572.35</v>
      </c>
      <c r="EV220" s="67" t="s">
        <v>1779</v>
      </c>
      <c r="EW220" s="67">
        <v>497.39</v>
      </c>
      <c r="EX220" s="67" t="s">
        <v>1780</v>
      </c>
      <c r="EY220" s="67">
        <v>5734.5</v>
      </c>
      <c r="EZ220" s="67" t="s">
        <v>1781</v>
      </c>
      <c r="FA220" s="67">
        <v>20421.5</v>
      </c>
      <c r="FB220" s="67" t="s">
        <v>1782</v>
      </c>
      <c r="FC220" s="67" t="s">
        <v>1783</v>
      </c>
      <c r="FD220" s="67" t="s">
        <v>1784</v>
      </c>
      <c r="FE220" s="68" t="s">
        <v>1785</v>
      </c>
      <c r="FF220" s="68" t="s">
        <v>1786</v>
      </c>
    </row>
    <row r="221" spans="151:162" x14ac:dyDescent="0.2">
      <c r="EU221" s="67">
        <v>572.4</v>
      </c>
      <c r="EV221" s="67" t="s">
        <v>1787</v>
      </c>
      <c r="EW221" s="67">
        <v>497.43</v>
      </c>
      <c r="EX221" s="67" t="s">
        <v>1788</v>
      </c>
      <c r="EY221" s="67">
        <v>5735.25</v>
      </c>
      <c r="EZ221" s="67" t="s">
        <v>1789</v>
      </c>
      <c r="FA221" s="67">
        <v>20423.25</v>
      </c>
      <c r="FB221" s="67" t="s">
        <v>1790</v>
      </c>
      <c r="FC221" s="67" t="s">
        <v>1791</v>
      </c>
      <c r="FD221" s="67" t="s">
        <v>1792</v>
      </c>
      <c r="FE221" s="68" t="s">
        <v>1793</v>
      </c>
      <c r="FF221" s="68" t="s">
        <v>1794</v>
      </c>
    </row>
    <row r="222" spans="151:162" x14ac:dyDescent="0.2">
      <c r="EU222" s="67">
        <v>572.35</v>
      </c>
      <c r="EV222" s="67" t="s">
        <v>1795</v>
      </c>
      <c r="EW222" s="67">
        <v>497.38</v>
      </c>
      <c r="EX222" s="67" t="s">
        <v>1796</v>
      </c>
      <c r="EY222" s="67">
        <v>5734.5</v>
      </c>
      <c r="EZ222" s="67" t="s">
        <v>1797</v>
      </c>
      <c r="FA222" s="67">
        <v>20420.5</v>
      </c>
      <c r="FB222" s="67" t="s">
        <v>1798</v>
      </c>
      <c r="FC222" s="67" t="s">
        <v>1799</v>
      </c>
      <c r="FD222" s="67" t="s">
        <v>1800</v>
      </c>
      <c r="FE222" s="68" t="s">
        <v>1801</v>
      </c>
      <c r="FF222" s="68" t="s">
        <v>1802</v>
      </c>
    </row>
    <row r="223" spans="151:162" x14ac:dyDescent="0.2">
      <c r="EU223" s="67">
        <v>572.44000000000005</v>
      </c>
      <c r="EV223" s="67" t="s">
        <v>1803</v>
      </c>
      <c r="EW223" s="67">
        <v>497.4</v>
      </c>
      <c r="EX223" s="67" t="s">
        <v>1804</v>
      </c>
      <c r="EY223" s="67">
        <v>5735</v>
      </c>
      <c r="EZ223" s="67" t="s">
        <v>1805</v>
      </c>
      <c r="FA223" s="67">
        <v>20423</v>
      </c>
      <c r="FB223" s="67" t="s">
        <v>1806</v>
      </c>
      <c r="FC223" s="67" t="s">
        <v>1807</v>
      </c>
      <c r="FD223" s="67" t="s">
        <v>1808</v>
      </c>
      <c r="FE223" s="68" t="s">
        <v>1809</v>
      </c>
      <c r="FF223" s="68" t="s">
        <v>1810</v>
      </c>
    </row>
    <row r="224" spans="151:162" x14ac:dyDescent="0.2">
      <c r="EU224" s="67">
        <v>572.49</v>
      </c>
      <c r="EV224" s="67" t="s">
        <v>1811</v>
      </c>
      <c r="EW224" s="67">
        <v>497.48</v>
      </c>
      <c r="EX224" s="67" t="s">
        <v>1812</v>
      </c>
      <c r="EY224" s="67">
        <v>5736</v>
      </c>
      <c r="EZ224" s="67" t="s">
        <v>1813</v>
      </c>
      <c r="FA224" s="67">
        <v>20426.25</v>
      </c>
      <c r="FB224" s="67" t="s">
        <v>1814</v>
      </c>
      <c r="FC224" s="67" t="s">
        <v>1815</v>
      </c>
      <c r="FD224" s="67" t="s">
        <v>1816</v>
      </c>
      <c r="FE224" s="68" t="s">
        <v>1817</v>
      </c>
      <c r="FF224" s="68" t="s">
        <v>1818</v>
      </c>
    </row>
    <row r="225" spans="151:162" x14ac:dyDescent="0.2">
      <c r="EU225" s="67">
        <v>572.54999999999995</v>
      </c>
      <c r="EV225" s="67" t="s">
        <v>1819</v>
      </c>
      <c r="EW225" s="67">
        <v>497.57</v>
      </c>
      <c r="EX225" s="67" t="s">
        <v>1820</v>
      </c>
      <c r="EY225" s="67">
        <v>5736</v>
      </c>
      <c r="EZ225" s="67" t="s">
        <v>1821</v>
      </c>
      <c r="FA225" s="67">
        <v>20429.25</v>
      </c>
      <c r="FB225" s="67" t="s">
        <v>1822</v>
      </c>
      <c r="FC225" s="67" t="s">
        <v>1823</v>
      </c>
      <c r="FD225" s="67" t="s">
        <v>1824</v>
      </c>
      <c r="FE225" s="68" t="s">
        <v>1825</v>
      </c>
      <c r="FF225" s="68" t="s">
        <v>1826</v>
      </c>
    </row>
    <row r="226" spans="151:162" x14ac:dyDescent="0.2">
      <c r="EU226" s="67">
        <v>572.52</v>
      </c>
      <c r="EV226" s="67" t="s">
        <v>1827</v>
      </c>
      <c r="EW226" s="67">
        <v>497.53</v>
      </c>
      <c r="EX226" s="67" t="s">
        <v>1828</v>
      </c>
      <c r="EY226" s="67">
        <v>5736.5</v>
      </c>
      <c r="EZ226" s="67" t="s">
        <v>1829</v>
      </c>
      <c r="FA226" s="67">
        <v>20427.75</v>
      </c>
      <c r="FB226" s="67" t="s">
        <v>1830</v>
      </c>
      <c r="FC226" s="67" t="s">
        <v>1831</v>
      </c>
      <c r="FD226" s="67" t="s">
        <v>1832</v>
      </c>
      <c r="FE226" s="68" t="s">
        <v>1833</v>
      </c>
      <c r="FF226" s="68" t="s">
        <v>1834</v>
      </c>
    </row>
    <row r="227" spans="151:162" x14ac:dyDescent="0.2">
      <c r="EU227" s="67">
        <v>572.57000000000005</v>
      </c>
      <c r="EV227" s="67" t="s">
        <v>1835</v>
      </c>
      <c r="EW227" s="67">
        <v>497.58</v>
      </c>
      <c r="EX227" s="67" t="s">
        <v>1836</v>
      </c>
      <c r="EY227" s="67">
        <v>5736.75</v>
      </c>
      <c r="EZ227" s="67" t="s">
        <v>1837</v>
      </c>
      <c r="FA227" s="67">
        <v>20429.25</v>
      </c>
      <c r="FB227" s="67" t="s">
        <v>1838</v>
      </c>
      <c r="FC227" s="67" t="s">
        <v>1839</v>
      </c>
      <c r="FD227" s="67" t="s">
        <v>1840</v>
      </c>
      <c r="FE227" s="68" t="s">
        <v>1841</v>
      </c>
      <c r="FF227" s="68" t="s">
        <v>1842</v>
      </c>
    </row>
    <row r="228" spans="151:162" x14ac:dyDescent="0.2">
      <c r="EU228" s="67">
        <v>572.5</v>
      </c>
      <c r="EV228" s="67" t="s">
        <v>1843</v>
      </c>
      <c r="EW228" s="67">
        <v>497.53</v>
      </c>
      <c r="EX228" s="67" t="s">
        <v>1844</v>
      </c>
      <c r="EY228" s="67">
        <v>5736.25</v>
      </c>
      <c r="EZ228" s="67" t="s">
        <v>1845</v>
      </c>
      <c r="FA228" s="67">
        <v>20426.5</v>
      </c>
      <c r="FB228" s="67" t="s">
        <v>1846</v>
      </c>
      <c r="FC228" s="67" t="s">
        <v>1847</v>
      </c>
      <c r="FD228" s="67" t="s">
        <v>1848</v>
      </c>
      <c r="FE228" s="68" t="s">
        <v>1849</v>
      </c>
      <c r="FF228" s="68" t="s">
        <v>1850</v>
      </c>
    </row>
    <row r="229" spans="151:162" x14ac:dyDescent="0.2">
      <c r="EU229" s="67">
        <v>572.52</v>
      </c>
      <c r="EV229" s="67" t="s">
        <v>1851</v>
      </c>
      <c r="EW229" s="67">
        <v>497.58</v>
      </c>
      <c r="EX229" s="67" t="s">
        <v>1852</v>
      </c>
      <c r="EY229" s="67">
        <v>5736.75</v>
      </c>
      <c r="EZ229" s="67" t="s">
        <v>1853</v>
      </c>
      <c r="FA229" s="67">
        <v>20429.25</v>
      </c>
      <c r="FB229" s="67" t="s">
        <v>1854</v>
      </c>
      <c r="FC229" s="67" t="s">
        <v>1855</v>
      </c>
      <c r="FD229" s="67" t="s">
        <v>1856</v>
      </c>
      <c r="FE229" s="68" t="s">
        <v>1857</v>
      </c>
      <c r="FF229" s="68" t="s">
        <v>1858</v>
      </c>
    </row>
    <row r="230" spans="151:162" x14ac:dyDescent="0.2">
      <c r="EU230" s="67">
        <v>572.54999999999995</v>
      </c>
      <c r="EV230" s="67" t="s">
        <v>1859</v>
      </c>
      <c r="EW230" s="67">
        <v>497.56</v>
      </c>
      <c r="EX230" s="67" t="s">
        <v>1860</v>
      </c>
      <c r="EY230" s="67">
        <v>5736.75</v>
      </c>
      <c r="EZ230" s="67" t="s">
        <v>1861</v>
      </c>
      <c r="FA230" s="67">
        <v>20428.75</v>
      </c>
      <c r="FB230" s="67" t="s">
        <v>1862</v>
      </c>
      <c r="FC230" s="67" t="s">
        <v>1863</v>
      </c>
      <c r="FD230" s="67" t="s">
        <v>1864</v>
      </c>
      <c r="FE230" s="68" t="s">
        <v>1865</v>
      </c>
      <c r="FF230" s="68" t="s">
        <v>1866</v>
      </c>
    </row>
    <row r="231" spans="151:162" x14ac:dyDescent="0.2">
      <c r="EU231" s="67">
        <v>572.5</v>
      </c>
      <c r="EV231" s="67" t="s">
        <v>1867</v>
      </c>
      <c r="EW231" s="67">
        <v>497.55</v>
      </c>
      <c r="EX231" s="67" t="s">
        <v>1868</v>
      </c>
      <c r="EY231" s="67">
        <v>5736</v>
      </c>
      <c r="EZ231" s="67" t="s">
        <v>1869</v>
      </c>
      <c r="FA231" s="67">
        <v>20425.25</v>
      </c>
      <c r="FB231" s="67" t="s">
        <v>1870</v>
      </c>
      <c r="FC231" s="67" t="s">
        <v>1871</v>
      </c>
      <c r="FD231" s="67" t="s">
        <v>1872</v>
      </c>
      <c r="FE231" s="68" t="s">
        <v>1873</v>
      </c>
      <c r="FF231" s="68" t="s">
        <v>1874</v>
      </c>
    </row>
    <row r="232" spans="151:162" x14ac:dyDescent="0.2">
      <c r="EU232" s="67">
        <v>572.51</v>
      </c>
      <c r="EV232" s="67" t="s">
        <v>1875</v>
      </c>
      <c r="EW232" s="67">
        <v>497.56</v>
      </c>
      <c r="EX232" s="67" t="s">
        <v>1876</v>
      </c>
      <c r="EY232" s="67">
        <v>5736.25</v>
      </c>
      <c r="EZ232" s="67" t="s">
        <v>1877</v>
      </c>
      <c r="FA232" s="67">
        <v>20427</v>
      </c>
      <c r="FB232" s="67" t="s">
        <v>1878</v>
      </c>
      <c r="FC232" s="67" t="s">
        <v>1879</v>
      </c>
      <c r="FD232" s="67" t="s">
        <v>1880</v>
      </c>
      <c r="FE232" s="68" t="s">
        <v>1881</v>
      </c>
      <c r="FF232" s="68" t="s">
        <v>1882</v>
      </c>
    </row>
    <row r="233" spans="151:162" x14ac:dyDescent="0.2">
      <c r="EU233" s="67">
        <v>572.54999999999995</v>
      </c>
      <c r="EV233" s="67" t="s">
        <v>1883</v>
      </c>
      <c r="EW233" s="67">
        <v>497.56</v>
      </c>
      <c r="EX233" s="67" t="s">
        <v>1884</v>
      </c>
      <c r="EY233" s="67">
        <v>5736.25</v>
      </c>
      <c r="EZ233" s="67" t="s">
        <v>1885</v>
      </c>
      <c r="FA233" s="67">
        <v>20428</v>
      </c>
      <c r="FB233" s="67" t="s">
        <v>1886</v>
      </c>
      <c r="FC233" s="67" t="s">
        <v>1887</v>
      </c>
      <c r="FD233" s="67" t="s">
        <v>1888</v>
      </c>
      <c r="FE233" s="68" t="s">
        <v>1889</v>
      </c>
      <c r="FF233" s="68" t="s">
        <v>1890</v>
      </c>
    </row>
    <row r="234" spans="151:162" x14ac:dyDescent="0.2">
      <c r="EU234" s="67">
        <v>572.54999999999995</v>
      </c>
      <c r="EV234" s="67" t="s">
        <v>1891</v>
      </c>
      <c r="EW234" s="67">
        <v>497.56</v>
      </c>
      <c r="EX234" s="67" t="s">
        <v>1892</v>
      </c>
      <c r="EY234" s="67">
        <v>5736.75</v>
      </c>
      <c r="EZ234" s="67" t="s">
        <v>1893</v>
      </c>
      <c r="FA234" s="67">
        <v>20427.5</v>
      </c>
      <c r="FB234" s="67" t="s">
        <v>1894</v>
      </c>
      <c r="FC234" s="67" t="s">
        <v>1895</v>
      </c>
      <c r="FD234" s="67" t="s">
        <v>1896</v>
      </c>
      <c r="FE234" s="68" t="s">
        <v>1897</v>
      </c>
      <c r="FF234" s="68" t="s">
        <v>1898</v>
      </c>
    </row>
    <row r="235" spans="151:162" x14ac:dyDescent="0.2">
      <c r="EU235" s="67">
        <v>572.64</v>
      </c>
      <c r="EV235" s="67" t="s">
        <v>1899</v>
      </c>
      <c r="EW235" s="67">
        <v>497.6</v>
      </c>
      <c r="EX235" s="67" t="s">
        <v>1900</v>
      </c>
      <c r="EY235" s="67">
        <v>5737</v>
      </c>
      <c r="EZ235" s="67" t="s">
        <v>1901</v>
      </c>
      <c r="FA235" s="67">
        <v>20430.25</v>
      </c>
      <c r="FB235" s="67" t="s">
        <v>1902</v>
      </c>
      <c r="FC235" s="67" t="s">
        <v>1903</v>
      </c>
      <c r="FD235" s="67" t="s">
        <v>1904</v>
      </c>
      <c r="FE235" s="68" t="s">
        <v>1905</v>
      </c>
      <c r="FF235" s="68" t="s">
        <v>1906</v>
      </c>
    </row>
    <row r="236" spans="151:162" x14ac:dyDescent="0.2">
      <c r="EU236" s="67">
        <v>572.64</v>
      </c>
      <c r="EV236" s="67" t="s">
        <v>1907</v>
      </c>
      <c r="EW236" s="67">
        <v>497.59</v>
      </c>
      <c r="EX236" s="67" t="s">
        <v>1908</v>
      </c>
      <c r="EY236" s="67">
        <v>5736.75</v>
      </c>
      <c r="EZ236" s="67" t="s">
        <v>1909</v>
      </c>
      <c r="FA236" s="67">
        <v>20428.25</v>
      </c>
      <c r="FB236" s="67" t="s">
        <v>1910</v>
      </c>
      <c r="FC236" s="67" t="s">
        <v>1911</v>
      </c>
      <c r="FD236" s="67" t="s">
        <v>1912</v>
      </c>
      <c r="FE236" s="68" t="s">
        <v>1913</v>
      </c>
      <c r="FF236" s="68" t="s">
        <v>1914</v>
      </c>
    </row>
    <row r="237" spans="151:162" x14ac:dyDescent="0.2">
      <c r="EU237" s="67">
        <v>572.48</v>
      </c>
      <c r="EV237" s="67" t="s">
        <v>1915</v>
      </c>
      <c r="EW237" s="67">
        <v>497.5</v>
      </c>
      <c r="EX237" s="67" t="s">
        <v>1916</v>
      </c>
      <c r="EY237" s="67">
        <v>5736</v>
      </c>
      <c r="EZ237" s="67" t="s">
        <v>1917</v>
      </c>
      <c r="FA237" s="67">
        <v>20425.25</v>
      </c>
      <c r="FB237" s="67" t="s">
        <v>1918</v>
      </c>
      <c r="FC237" s="67" t="s">
        <v>1919</v>
      </c>
      <c r="FD237" s="67" t="s">
        <v>1920</v>
      </c>
      <c r="FE237" s="68" t="s">
        <v>1921</v>
      </c>
      <c r="FF237" s="68" t="s">
        <v>1922</v>
      </c>
    </row>
    <row r="238" spans="151:162" x14ac:dyDescent="0.2">
      <c r="EU238" s="67">
        <v>572.42999999999995</v>
      </c>
      <c r="EV238" s="67" t="s">
        <v>1923</v>
      </c>
      <c r="EW238" s="67">
        <v>497.46</v>
      </c>
      <c r="EX238" s="67" t="s">
        <v>1924</v>
      </c>
      <c r="EY238" s="67">
        <v>5735.25</v>
      </c>
      <c r="EZ238" s="67" t="s">
        <v>1925</v>
      </c>
      <c r="FA238" s="67">
        <v>20422.25</v>
      </c>
      <c r="FB238" s="67" t="s">
        <v>1926</v>
      </c>
      <c r="FC238" s="67" t="s">
        <v>1927</v>
      </c>
      <c r="FD238" s="67" t="s">
        <v>1928</v>
      </c>
      <c r="FE238" s="68" t="s">
        <v>1929</v>
      </c>
      <c r="FF238" s="68" t="s">
        <v>1930</v>
      </c>
    </row>
    <row r="239" spans="151:162" x14ac:dyDescent="0.2">
      <c r="EU239" s="67">
        <v>572.42999999999995</v>
      </c>
      <c r="EV239" s="67" t="s">
        <v>1931</v>
      </c>
      <c r="EW239" s="67">
        <v>497.46</v>
      </c>
      <c r="EX239" s="67" t="s">
        <v>1932</v>
      </c>
      <c r="EY239" s="67">
        <v>5735.75</v>
      </c>
      <c r="EZ239" s="67" t="s">
        <v>1933</v>
      </c>
      <c r="FA239" s="67">
        <v>20423.25</v>
      </c>
      <c r="FB239" s="67" t="s">
        <v>1934</v>
      </c>
      <c r="FC239" s="67" t="s">
        <v>1935</v>
      </c>
      <c r="FD239" s="67" t="s">
        <v>1936</v>
      </c>
      <c r="FE239" s="68" t="s">
        <v>1937</v>
      </c>
      <c r="FF239" s="68" t="s">
        <v>1938</v>
      </c>
    </row>
    <row r="240" spans="151:162" x14ac:dyDescent="0.2">
      <c r="EU240" s="67">
        <v>572.48</v>
      </c>
      <c r="EV240" s="67" t="s">
        <v>1939</v>
      </c>
      <c r="EW240" s="67">
        <v>497.46</v>
      </c>
      <c r="EX240" s="67" t="s">
        <v>1940</v>
      </c>
      <c r="EY240" s="67">
        <v>5735.5</v>
      </c>
      <c r="EZ240" s="67" t="s">
        <v>1941</v>
      </c>
      <c r="FA240" s="67">
        <v>20425.25</v>
      </c>
      <c r="FB240" s="67" t="s">
        <v>1942</v>
      </c>
      <c r="FC240" s="67" t="s">
        <v>1943</v>
      </c>
      <c r="FD240" s="67" t="s">
        <v>1944</v>
      </c>
      <c r="FE240" s="68" t="s">
        <v>1945</v>
      </c>
      <c r="FF240" s="68" t="s">
        <v>1946</v>
      </c>
    </row>
    <row r="241" spans="151:162" x14ac:dyDescent="0.2">
      <c r="EU241" s="67">
        <v>572.5</v>
      </c>
      <c r="EV241" s="67" t="s">
        <v>1947</v>
      </c>
      <c r="EW241" s="67">
        <v>497.5</v>
      </c>
      <c r="EX241" s="67" t="s">
        <v>1948</v>
      </c>
      <c r="EY241" s="67">
        <v>5736.25</v>
      </c>
      <c r="EZ241" s="67" t="s">
        <v>1949</v>
      </c>
      <c r="FA241" s="67">
        <v>20425.5</v>
      </c>
      <c r="FB241" s="67" t="s">
        <v>1950</v>
      </c>
      <c r="FC241" s="67" t="s">
        <v>1951</v>
      </c>
      <c r="FD241" s="67" t="s">
        <v>1952</v>
      </c>
      <c r="FE241" s="68" t="s">
        <v>1953</v>
      </c>
      <c r="FF241" s="68" t="s">
        <v>1954</v>
      </c>
    </row>
    <row r="242" spans="151:162" x14ac:dyDescent="0.2">
      <c r="EU242" s="67">
        <v>572.53</v>
      </c>
      <c r="EV242" s="67" t="s">
        <v>1955</v>
      </c>
      <c r="EW242" s="67">
        <v>497.51</v>
      </c>
      <c r="EX242" s="67" t="s">
        <v>1956</v>
      </c>
      <c r="EY242" s="67">
        <v>5736.25</v>
      </c>
      <c r="EZ242" s="67" t="s">
        <v>1957</v>
      </c>
      <c r="FA242" s="67">
        <v>20426.5</v>
      </c>
      <c r="FB242" s="67" t="s">
        <v>1958</v>
      </c>
      <c r="FC242" s="67" t="s">
        <v>1959</v>
      </c>
      <c r="FD242" s="67" t="s">
        <v>1960</v>
      </c>
      <c r="FE242" s="68" t="s">
        <v>1961</v>
      </c>
      <c r="FF242" s="68" t="s">
        <v>1962</v>
      </c>
    </row>
    <row r="243" spans="151:162" x14ac:dyDescent="0.2">
      <c r="EU243" s="67">
        <v>572.54999999999995</v>
      </c>
      <c r="EV243" s="67" t="s">
        <v>1963</v>
      </c>
      <c r="EW243" s="67">
        <v>497.5</v>
      </c>
      <c r="EX243" s="67" t="s">
        <v>1964</v>
      </c>
      <c r="EY243" s="67">
        <v>5736.5</v>
      </c>
      <c r="EZ243" s="67" t="s">
        <v>1965</v>
      </c>
      <c r="FA243" s="67">
        <v>20426.25</v>
      </c>
      <c r="FB243" s="67" t="s">
        <v>1966</v>
      </c>
      <c r="FC243" s="67" t="s">
        <v>1967</v>
      </c>
      <c r="FD243" s="67" t="s">
        <v>1968</v>
      </c>
      <c r="FE243" s="68" t="s">
        <v>1969</v>
      </c>
      <c r="FF243" s="68" t="s">
        <v>1970</v>
      </c>
    </row>
    <row r="244" spans="151:162" x14ac:dyDescent="0.2">
      <c r="EU244" s="67">
        <v>572.57000000000005</v>
      </c>
      <c r="EV244" s="67" t="s">
        <v>1971</v>
      </c>
      <c r="EW244" s="67">
        <v>497.57</v>
      </c>
      <c r="EX244" s="67" t="s">
        <v>1972</v>
      </c>
      <c r="EY244" s="67">
        <v>5737</v>
      </c>
      <c r="EZ244" s="67" t="s">
        <v>1973</v>
      </c>
      <c r="FA244" s="67">
        <v>20427.25</v>
      </c>
      <c r="FB244" s="67" t="s">
        <v>1974</v>
      </c>
      <c r="FC244" s="67" t="s">
        <v>1975</v>
      </c>
      <c r="FD244" s="67" t="s">
        <v>1976</v>
      </c>
      <c r="FE244" s="68" t="s">
        <v>1977</v>
      </c>
      <c r="FF244" s="68" t="s">
        <v>1978</v>
      </c>
    </row>
    <row r="245" spans="151:162" x14ac:dyDescent="0.2">
      <c r="EU245" s="67">
        <v>572.48</v>
      </c>
      <c r="EV245" s="67" t="s">
        <v>1979</v>
      </c>
      <c r="EW245" s="67">
        <v>497.45</v>
      </c>
      <c r="EX245" s="67" t="s">
        <v>1980</v>
      </c>
      <c r="EY245" s="67">
        <v>5736</v>
      </c>
      <c r="EZ245" s="67" t="s">
        <v>1981</v>
      </c>
      <c r="FA245" s="67">
        <v>20422.25</v>
      </c>
      <c r="FB245" s="67" t="s">
        <v>1982</v>
      </c>
      <c r="FC245" s="67" t="s">
        <v>1983</v>
      </c>
      <c r="FD245" s="67" t="s">
        <v>1984</v>
      </c>
      <c r="FE245" s="68" t="s">
        <v>1985</v>
      </c>
      <c r="FF245" s="68" t="s">
        <v>1986</v>
      </c>
    </row>
    <row r="246" spans="151:162" x14ac:dyDescent="0.2">
      <c r="EU246" s="67">
        <v>572.48</v>
      </c>
      <c r="EV246" s="67" t="s">
        <v>1987</v>
      </c>
      <c r="EW246" s="67">
        <v>497.45</v>
      </c>
      <c r="EX246" s="67" t="s">
        <v>1988</v>
      </c>
      <c r="EY246" s="67">
        <v>5736</v>
      </c>
      <c r="EZ246" s="67" t="s">
        <v>1989</v>
      </c>
      <c r="FA246" s="67">
        <v>20421.25</v>
      </c>
      <c r="FB246" s="67" t="s">
        <v>1990</v>
      </c>
      <c r="FC246" s="67" t="s">
        <v>1991</v>
      </c>
      <c r="FD246" s="67" t="s">
        <v>1992</v>
      </c>
      <c r="FE246" s="68" t="s">
        <v>1993</v>
      </c>
      <c r="FF246" s="68" t="s">
        <v>1994</v>
      </c>
    </row>
    <row r="247" spans="151:162" x14ac:dyDescent="0.2">
      <c r="EU247" s="67">
        <v>572.54</v>
      </c>
      <c r="EV247" s="67" t="s">
        <v>1995</v>
      </c>
      <c r="EW247" s="67">
        <v>497.46</v>
      </c>
      <c r="EX247" s="67" t="s">
        <v>1996</v>
      </c>
      <c r="EY247" s="67">
        <v>5736.75</v>
      </c>
      <c r="EZ247" s="67" t="s">
        <v>1997</v>
      </c>
      <c r="FA247" s="67">
        <v>20424.5</v>
      </c>
      <c r="FB247" s="67" t="s">
        <v>1998</v>
      </c>
      <c r="FC247" s="67" t="s">
        <v>1999</v>
      </c>
      <c r="FD247" s="67" t="s">
        <v>2000</v>
      </c>
      <c r="FE247" s="68" t="s">
        <v>2001</v>
      </c>
      <c r="FF247" s="68" t="s">
        <v>2002</v>
      </c>
    </row>
    <row r="248" spans="151:162" x14ac:dyDescent="0.2">
      <c r="EU248" s="67">
        <v>572.57000000000005</v>
      </c>
      <c r="EV248" s="67" t="s">
        <v>2003</v>
      </c>
      <c r="EW248" s="67">
        <v>497.51</v>
      </c>
      <c r="EX248" s="67" t="s">
        <v>2004</v>
      </c>
      <c r="EY248" s="67">
        <v>5737</v>
      </c>
      <c r="EZ248" s="67" t="s">
        <v>2005</v>
      </c>
      <c r="FA248" s="67">
        <v>20426</v>
      </c>
      <c r="FB248" s="67" t="s">
        <v>2006</v>
      </c>
      <c r="FC248" s="67" t="s">
        <v>2007</v>
      </c>
      <c r="FD248" s="67" t="s">
        <v>2008</v>
      </c>
      <c r="FE248" s="68" t="s">
        <v>2009</v>
      </c>
      <c r="FF248" s="68" t="s">
        <v>2010</v>
      </c>
    </row>
    <row r="249" spans="151:162" x14ac:dyDescent="0.2">
      <c r="EU249" s="67">
        <v>572.5</v>
      </c>
      <c r="EV249" s="67" t="s">
        <v>2011</v>
      </c>
      <c r="EW249" s="67">
        <v>497.45</v>
      </c>
      <c r="EX249" s="67" t="s">
        <v>2012</v>
      </c>
      <c r="EY249" s="67">
        <v>5736</v>
      </c>
      <c r="EZ249" s="67" t="s">
        <v>2013</v>
      </c>
      <c r="FA249" s="67">
        <v>20423.75</v>
      </c>
      <c r="FB249" s="67" t="s">
        <v>2014</v>
      </c>
      <c r="FC249" s="67" t="s">
        <v>2015</v>
      </c>
      <c r="FD249" s="67" t="s">
        <v>2016</v>
      </c>
      <c r="FE249" s="68" t="s">
        <v>2017</v>
      </c>
      <c r="FF249" s="68" t="s">
        <v>2018</v>
      </c>
    </row>
    <row r="250" spans="151:162" x14ac:dyDescent="0.2">
      <c r="EU250" s="67">
        <v>572.5</v>
      </c>
      <c r="EV250" s="67" t="s">
        <v>2019</v>
      </c>
      <c r="EW250" s="67">
        <v>497.46</v>
      </c>
      <c r="EX250" s="67" t="s">
        <v>2020</v>
      </c>
      <c r="EY250" s="67">
        <v>5736.25</v>
      </c>
      <c r="EZ250" s="67" t="s">
        <v>2021</v>
      </c>
      <c r="FA250" s="67">
        <v>20425</v>
      </c>
      <c r="FB250" s="67" t="s">
        <v>2022</v>
      </c>
      <c r="FC250" s="67" t="s">
        <v>2023</v>
      </c>
      <c r="FD250" s="67" t="s">
        <v>2024</v>
      </c>
      <c r="FE250" s="68" t="s">
        <v>2025</v>
      </c>
      <c r="FF250" s="68" t="s">
        <v>2026</v>
      </c>
    </row>
    <row r="251" spans="151:162" x14ac:dyDescent="0.2">
      <c r="EU251" s="67">
        <v>572.54999999999995</v>
      </c>
      <c r="EV251" s="67" t="s">
        <v>2027</v>
      </c>
      <c r="EW251" s="67">
        <v>497.5</v>
      </c>
      <c r="EX251" s="67" t="s">
        <v>2028</v>
      </c>
      <c r="EY251" s="67">
        <v>5736.5</v>
      </c>
      <c r="EZ251" s="67" t="s">
        <v>2029</v>
      </c>
      <c r="FA251" s="67">
        <v>20426.75</v>
      </c>
      <c r="FB251" s="67" t="s">
        <v>2030</v>
      </c>
      <c r="FC251" s="67" t="s">
        <v>2031</v>
      </c>
      <c r="FD251" s="67" t="s">
        <v>2032</v>
      </c>
      <c r="FE251" s="68" t="s">
        <v>2033</v>
      </c>
      <c r="FF251" s="68" t="s">
        <v>2034</v>
      </c>
    </row>
    <row r="252" spans="151:162" x14ac:dyDescent="0.2">
      <c r="EU252" s="67">
        <v>572.52</v>
      </c>
      <c r="EV252" s="67" t="s">
        <v>2035</v>
      </c>
      <c r="EW252" s="67">
        <v>497.5</v>
      </c>
      <c r="EX252" s="67" t="s">
        <v>2036</v>
      </c>
      <c r="EY252" s="67">
        <v>5736.5</v>
      </c>
      <c r="EZ252" s="67" t="s">
        <v>2037</v>
      </c>
      <c r="FA252" s="67">
        <v>20426.75</v>
      </c>
      <c r="FB252" s="67" t="s">
        <v>2038</v>
      </c>
      <c r="FC252" s="67" t="s">
        <v>2039</v>
      </c>
      <c r="FD252" s="67" t="s">
        <v>2040</v>
      </c>
      <c r="FE252" s="68" t="s">
        <v>2041</v>
      </c>
      <c r="FF252" s="68" t="s">
        <v>2042</v>
      </c>
    </row>
    <row r="253" spans="151:162" x14ac:dyDescent="0.2">
      <c r="EU253" s="67">
        <v>572.54</v>
      </c>
      <c r="EV253" s="67" t="s">
        <v>2043</v>
      </c>
      <c r="EW253" s="67">
        <v>497.54</v>
      </c>
      <c r="EX253" s="67" t="s">
        <v>2044</v>
      </c>
      <c r="EY253" s="67">
        <v>5736.75</v>
      </c>
      <c r="EZ253" s="67" t="s">
        <v>2045</v>
      </c>
      <c r="FA253" s="67">
        <v>20428.25</v>
      </c>
      <c r="FB253" s="67" t="s">
        <v>2046</v>
      </c>
      <c r="FC253" s="67" t="s">
        <v>2047</v>
      </c>
      <c r="FD253" s="67" t="s">
        <v>2048</v>
      </c>
      <c r="FE253" s="68" t="s">
        <v>2049</v>
      </c>
      <c r="FF253" s="68" t="s">
        <v>2050</v>
      </c>
    </row>
    <row r="254" spans="151:162" x14ac:dyDescent="0.2">
      <c r="EU254" s="67">
        <v>572.5</v>
      </c>
      <c r="EV254" s="67" t="s">
        <v>2051</v>
      </c>
      <c r="EW254" s="67">
        <v>497.53</v>
      </c>
      <c r="EX254" s="67" t="s">
        <v>2052</v>
      </c>
      <c r="EY254" s="67">
        <v>5736.75</v>
      </c>
      <c r="EZ254" s="67" t="s">
        <v>2053</v>
      </c>
      <c r="FA254" s="67">
        <v>20427</v>
      </c>
      <c r="FB254" s="67" t="s">
        <v>2054</v>
      </c>
      <c r="FC254" s="67" t="s">
        <v>2055</v>
      </c>
      <c r="FD254" s="67" t="s">
        <v>2056</v>
      </c>
      <c r="FE254" s="68" t="s">
        <v>2057</v>
      </c>
      <c r="FF254" s="68" t="s">
        <v>2058</v>
      </c>
    </row>
    <row r="255" spans="151:162" x14ac:dyDescent="0.2">
      <c r="EU255" s="67">
        <v>572.53</v>
      </c>
      <c r="EV255" s="67" t="s">
        <v>2059</v>
      </c>
      <c r="EW255" s="67">
        <v>497.54</v>
      </c>
      <c r="EX255" s="67" t="s">
        <v>2060</v>
      </c>
      <c r="EY255" s="67">
        <v>5736.75</v>
      </c>
      <c r="EZ255" s="67" t="s">
        <v>2061</v>
      </c>
      <c r="FA255" s="67">
        <v>20427.75</v>
      </c>
      <c r="FB255" s="67" t="s">
        <v>2062</v>
      </c>
      <c r="FC255" s="67" t="s">
        <v>2063</v>
      </c>
      <c r="FD255" s="67" t="s">
        <v>2064</v>
      </c>
      <c r="FE255" s="68" t="s">
        <v>2065</v>
      </c>
      <c r="FF255" s="68" t="s">
        <v>2066</v>
      </c>
    </row>
    <row r="256" spans="151:162" x14ac:dyDescent="0.2">
      <c r="EU256" s="67">
        <v>572.5</v>
      </c>
      <c r="EV256" s="67" t="s">
        <v>2067</v>
      </c>
      <c r="EW256" s="67">
        <v>497.51</v>
      </c>
      <c r="EX256" s="67" t="s">
        <v>2068</v>
      </c>
      <c r="EY256" s="67">
        <v>5736.5</v>
      </c>
      <c r="EZ256" s="67" t="s">
        <v>2069</v>
      </c>
      <c r="FA256" s="67">
        <v>20426.25</v>
      </c>
      <c r="FB256" s="67" t="s">
        <v>2070</v>
      </c>
      <c r="FC256" s="67" t="s">
        <v>2071</v>
      </c>
      <c r="FD256" s="67" t="s">
        <v>2072</v>
      </c>
      <c r="FE256" s="68" t="s">
        <v>2073</v>
      </c>
      <c r="FF256" s="68" t="s">
        <v>2074</v>
      </c>
    </row>
    <row r="257" spans="151:162" x14ac:dyDescent="0.2">
      <c r="EU257" s="67">
        <v>572.51</v>
      </c>
      <c r="EV257" s="67" t="s">
        <v>2075</v>
      </c>
      <c r="EW257" s="67">
        <v>497.47</v>
      </c>
      <c r="EX257" s="67" t="s">
        <v>2076</v>
      </c>
      <c r="EY257" s="67">
        <v>5736.5</v>
      </c>
      <c r="EZ257" s="67" t="s">
        <v>2077</v>
      </c>
      <c r="FA257" s="67">
        <v>20425</v>
      </c>
      <c r="FB257" s="67" t="s">
        <v>2078</v>
      </c>
      <c r="FC257" s="67" t="s">
        <v>2079</v>
      </c>
      <c r="FD257" s="67" t="s">
        <v>2080</v>
      </c>
      <c r="FE257" s="68" t="s">
        <v>2081</v>
      </c>
      <c r="FF257" s="68" t="s">
        <v>2082</v>
      </c>
    </row>
    <row r="258" spans="151:162" x14ac:dyDescent="0.2">
      <c r="EU258" s="67">
        <v>572.6</v>
      </c>
      <c r="EV258" s="67" t="s">
        <v>2083</v>
      </c>
      <c r="EW258" s="67">
        <v>497.46</v>
      </c>
      <c r="EX258" s="67" t="s">
        <v>2084</v>
      </c>
      <c r="EY258" s="67">
        <v>5736.25</v>
      </c>
      <c r="EZ258" s="67" t="s">
        <v>2085</v>
      </c>
      <c r="FA258" s="67">
        <v>20423.25</v>
      </c>
      <c r="FB258" s="67" t="s">
        <v>2086</v>
      </c>
      <c r="FC258" s="67" t="s">
        <v>2087</v>
      </c>
      <c r="FD258" s="67" t="s">
        <v>2088</v>
      </c>
      <c r="FE258" s="68" t="s">
        <v>2089</v>
      </c>
      <c r="FF258" s="68" t="s">
        <v>2090</v>
      </c>
    </row>
    <row r="259" spans="151:162" x14ac:dyDescent="0.2">
      <c r="EU259" s="67">
        <v>572.6</v>
      </c>
      <c r="EV259" s="67" t="s">
        <v>2091</v>
      </c>
      <c r="EW259" s="67">
        <v>497.49</v>
      </c>
      <c r="EX259" s="67" t="s">
        <v>2092</v>
      </c>
      <c r="EY259" s="67">
        <v>5736.25</v>
      </c>
      <c r="EZ259" s="67" t="s">
        <v>2093</v>
      </c>
      <c r="FA259" s="67">
        <v>20425.5</v>
      </c>
      <c r="FB259" s="67" t="s">
        <v>2094</v>
      </c>
      <c r="FC259" s="67" t="s">
        <v>2095</v>
      </c>
      <c r="FD259" s="67" t="s">
        <v>2096</v>
      </c>
      <c r="FE259" s="68" t="s">
        <v>2097</v>
      </c>
      <c r="FF259" s="68" t="s">
        <v>2098</v>
      </c>
    </row>
    <row r="260" spans="151:162" x14ac:dyDescent="0.2">
      <c r="EU260" s="67">
        <v>572.6</v>
      </c>
      <c r="EV260" s="67" t="s">
        <v>2099</v>
      </c>
      <c r="EW260" s="67">
        <v>497.5</v>
      </c>
      <c r="EX260" s="67" t="s">
        <v>2100</v>
      </c>
      <c r="EY260" s="67">
        <v>5736.5</v>
      </c>
      <c r="EZ260" s="67" t="s">
        <v>2101</v>
      </c>
      <c r="FA260" s="67">
        <v>20427</v>
      </c>
      <c r="FB260" s="67" t="s">
        <v>2102</v>
      </c>
      <c r="FC260" s="67" t="s">
        <v>2103</v>
      </c>
      <c r="FD260" s="67" t="s">
        <v>2104</v>
      </c>
      <c r="FE260" s="68" t="s">
        <v>2105</v>
      </c>
      <c r="FF260" s="68" t="s">
        <v>2106</v>
      </c>
    </row>
    <row r="261" spans="151:162" x14ac:dyDescent="0.2">
      <c r="EU261" s="67">
        <v>572.66</v>
      </c>
      <c r="EV261" s="67" t="s">
        <v>2107</v>
      </c>
      <c r="EW261" s="67">
        <v>497.56</v>
      </c>
      <c r="EX261" s="67" t="s">
        <v>2108</v>
      </c>
      <c r="EY261" s="67">
        <v>5738.25</v>
      </c>
      <c r="EZ261" s="67" t="s">
        <v>2109</v>
      </c>
      <c r="FA261" s="67">
        <v>20431.5</v>
      </c>
      <c r="FB261" s="67" t="s">
        <v>2110</v>
      </c>
      <c r="FC261" s="67" t="s">
        <v>2111</v>
      </c>
      <c r="FD261" s="67" t="s">
        <v>2112</v>
      </c>
      <c r="FE261" s="68" t="s">
        <v>2113</v>
      </c>
      <c r="FF261" s="68" t="s">
        <v>2114</v>
      </c>
    </row>
    <row r="262" spans="151:162" x14ac:dyDescent="0.2">
      <c r="EU262" s="67">
        <v>572.62</v>
      </c>
      <c r="EV262" s="67" t="s">
        <v>2115</v>
      </c>
      <c r="EW262" s="67">
        <v>497.6</v>
      </c>
      <c r="EX262" s="67" t="s">
        <v>2116</v>
      </c>
      <c r="EY262" s="67">
        <v>5737.5</v>
      </c>
      <c r="EZ262" s="67" t="s">
        <v>2117</v>
      </c>
      <c r="FA262" s="67">
        <v>20430.75</v>
      </c>
      <c r="FB262" s="67" t="s">
        <v>2118</v>
      </c>
      <c r="FC262" s="67" t="s">
        <v>2119</v>
      </c>
      <c r="FD262" s="67" t="s">
        <v>2120</v>
      </c>
      <c r="FE262" s="68" t="s">
        <v>2121</v>
      </c>
      <c r="FF262" s="68" t="s">
        <v>2122</v>
      </c>
    </row>
    <row r="263" spans="151:162" x14ac:dyDescent="0.2">
      <c r="EU263" s="67">
        <v>572.65</v>
      </c>
      <c r="EV263" s="67" t="s">
        <v>2123</v>
      </c>
      <c r="EW263" s="67">
        <v>497.7</v>
      </c>
      <c r="EX263" s="67" t="s">
        <v>2124</v>
      </c>
      <c r="EY263" s="67">
        <v>5738</v>
      </c>
      <c r="EZ263" s="67" t="s">
        <v>2125</v>
      </c>
      <c r="FA263" s="67">
        <v>20430.5</v>
      </c>
      <c r="FB263" s="67" t="s">
        <v>2126</v>
      </c>
      <c r="FC263" s="67" t="s">
        <v>2127</v>
      </c>
      <c r="FD263" s="67" t="s">
        <v>2128</v>
      </c>
      <c r="FE263" s="68" t="s">
        <v>2129</v>
      </c>
      <c r="FF263" s="68" t="s">
        <v>2130</v>
      </c>
    </row>
    <row r="264" spans="151:162" x14ac:dyDescent="0.2">
      <c r="EU264" s="67">
        <v>572.67999999999995</v>
      </c>
      <c r="EV264" s="67" t="s">
        <v>2131</v>
      </c>
      <c r="EW264" s="67">
        <v>497.5</v>
      </c>
      <c r="EX264" s="67" t="s">
        <v>2132</v>
      </c>
      <c r="EY264" s="67">
        <v>5737</v>
      </c>
      <c r="EZ264" s="67" t="s">
        <v>2133</v>
      </c>
      <c r="FA264" s="67">
        <v>20426</v>
      </c>
      <c r="FB264" s="67" t="s">
        <v>2134</v>
      </c>
      <c r="FC264" s="67" t="s">
        <v>2135</v>
      </c>
      <c r="FD264" s="67" t="s">
        <v>2136</v>
      </c>
      <c r="FE264" s="68" t="s">
        <v>2137</v>
      </c>
      <c r="FF264" s="68" t="s">
        <v>2138</v>
      </c>
    </row>
    <row r="265" spans="151:162" x14ac:dyDescent="0.2">
      <c r="EU265" s="67">
        <v>572.67999999999995</v>
      </c>
      <c r="EV265" s="67" t="s">
        <v>2139</v>
      </c>
      <c r="EW265" s="67">
        <v>497.51</v>
      </c>
      <c r="EX265" s="67" t="s">
        <v>2140</v>
      </c>
      <c r="EY265" s="67">
        <v>5737.25</v>
      </c>
      <c r="EZ265" s="67" t="s">
        <v>2141</v>
      </c>
      <c r="FA265" s="67">
        <v>20426.75</v>
      </c>
      <c r="FB265" s="67" t="s">
        <v>2142</v>
      </c>
      <c r="FC265" s="67" t="s">
        <v>2143</v>
      </c>
      <c r="FD265" s="67" t="s">
        <v>2144</v>
      </c>
      <c r="FE265" s="68" t="s">
        <v>2145</v>
      </c>
      <c r="FF265" s="68" t="s">
        <v>2146</v>
      </c>
    </row>
    <row r="266" spans="151:162" x14ac:dyDescent="0.2">
      <c r="EU266" s="67">
        <v>572.67999999999995</v>
      </c>
      <c r="EV266" s="67" t="s">
        <v>2147</v>
      </c>
      <c r="EW266" s="67">
        <v>497.59</v>
      </c>
      <c r="EX266" s="67" t="s">
        <v>2148</v>
      </c>
      <c r="EY266" s="67">
        <v>5737.75</v>
      </c>
      <c r="EZ266" s="67" t="s">
        <v>2149</v>
      </c>
      <c r="FA266" s="67">
        <v>20429.75</v>
      </c>
      <c r="FB266" s="67" t="s">
        <v>2150</v>
      </c>
      <c r="FC266" s="67" t="s">
        <v>2151</v>
      </c>
      <c r="FD266" s="67" t="s">
        <v>2152</v>
      </c>
      <c r="FE266" s="68" t="s">
        <v>2153</v>
      </c>
      <c r="FF266" s="68" t="s">
        <v>2154</v>
      </c>
    </row>
    <row r="267" spans="151:162" x14ac:dyDescent="0.2">
      <c r="EU267" s="67">
        <v>572.67999999999995</v>
      </c>
      <c r="EV267" s="67" t="s">
        <v>2155</v>
      </c>
      <c r="EW267" s="67">
        <v>497.59</v>
      </c>
      <c r="EX267" s="67" t="s">
        <v>2156</v>
      </c>
      <c r="EY267" s="67">
        <v>5737.5</v>
      </c>
      <c r="EZ267" s="67" t="s">
        <v>2157</v>
      </c>
      <c r="FA267" s="67">
        <v>20430.25</v>
      </c>
      <c r="FB267" s="67" t="s">
        <v>2158</v>
      </c>
      <c r="FC267" s="67" t="s">
        <v>2159</v>
      </c>
      <c r="FD267" s="67" t="s">
        <v>2160</v>
      </c>
      <c r="FE267" s="68" t="s">
        <v>2161</v>
      </c>
      <c r="FF267" s="68" t="s">
        <v>2162</v>
      </c>
    </row>
    <row r="268" spans="151:162" x14ac:dyDescent="0.2">
      <c r="EU268" s="67">
        <v>572.67999999999995</v>
      </c>
      <c r="EV268" s="67" t="s">
        <v>2163</v>
      </c>
      <c r="EW268" s="67">
        <v>497.64</v>
      </c>
      <c r="EX268" s="67" t="s">
        <v>2164</v>
      </c>
      <c r="EY268" s="67">
        <v>5738</v>
      </c>
      <c r="EZ268" s="67" t="s">
        <v>2165</v>
      </c>
      <c r="FA268" s="67">
        <v>20432</v>
      </c>
      <c r="FB268" s="67" t="s">
        <v>2166</v>
      </c>
      <c r="FC268" s="67" t="s">
        <v>2167</v>
      </c>
      <c r="FD268" s="67" t="s">
        <v>2168</v>
      </c>
      <c r="FE268" s="68" t="s">
        <v>2169</v>
      </c>
      <c r="FF268" s="68" t="s">
        <v>2170</v>
      </c>
    </row>
    <row r="269" spans="151:162" x14ac:dyDescent="0.2">
      <c r="EU269" s="67">
        <v>572.67999999999995</v>
      </c>
      <c r="EV269" s="67" t="s">
        <v>2171</v>
      </c>
      <c r="EW269" s="67">
        <v>497.69</v>
      </c>
      <c r="EX269" s="67" t="s">
        <v>2172</v>
      </c>
      <c r="EY269" s="67">
        <v>5738</v>
      </c>
      <c r="EZ269" s="67" t="s">
        <v>2173</v>
      </c>
      <c r="FA269" s="67">
        <v>20432.5</v>
      </c>
      <c r="FB269" s="67" t="s">
        <v>2174</v>
      </c>
      <c r="FC269" s="67" t="s">
        <v>2175</v>
      </c>
      <c r="FD269" s="67" t="s">
        <v>2176</v>
      </c>
      <c r="FE269" s="68" t="s">
        <v>2177</v>
      </c>
      <c r="FF269" s="68" t="s">
        <v>2178</v>
      </c>
    </row>
    <row r="270" spans="151:162" x14ac:dyDescent="0.2">
      <c r="EU270" s="67">
        <v>572.69000000000005</v>
      </c>
      <c r="EV270" s="67" t="s">
        <v>2179</v>
      </c>
      <c r="EW270" s="67">
        <v>497.7</v>
      </c>
      <c r="EX270" s="67" t="s">
        <v>2180</v>
      </c>
      <c r="EY270" s="67">
        <v>5738</v>
      </c>
      <c r="EZ270" s="67" t="s">
        <v>2181</v>
      </c>
      <c r="FA270" s="67">
        <v>20434.5</v>
      </c>
      <c r="FB270" s="67" t="s">
        <v>2182</v>
      </c>
      <c r="FC270" s="67" t="s">
        <v>2183</v>
      </c>
      <c r="FD270" s="67" t="s">
        <v>2184</v>
      </c>
      <c r="FE270" s="68" t="s">
        <v>2185</v>
      </c>
      <c r="FF270" s="68" t="s">
        <v>2186</v>
      </c>
    </row>
    <row r="271" spans="151:162" x14ac:dyDescent="0.2">
      <c r="EU271" s="67">
        <v>572.67999999999995</v>
      </c>
      <c r="EV271" s="67" t="s">
        <v>2187</v>
      </c>
      <c r="EW271" s="67">
        <v>497.69</v>
      </c>
      <c r="EX271" s="67" t="s">
        <v>2188</v>
      </c>
      <c r="EY271" s="67">
        <v>5737.25</v>
      </c>
      <c r="EZ271" s="67" t="s">
        <v>2189</v>
      </c>
      <c r="FA271" s="67">
        <v>20431.25</v>
      </c>
      <c r="FB271" s="67" t="s">
        <v>2190</v>
      </c>
      <c r="FC271" s="67" t="s">
        <v>2191</v>
      </c>
      <c r="FD271" s="67" t="s">
        <v>2192</v>
      </c>
      <c r="FE271" s="68" t="s">
        <v>2193</v>
      </c>
      <c r="FF271" s="68" t="s">
        <v>2194</v>
      </c>
    </row>
    <row r="272" spans="151:162" x14ac:dyDescent="0.2">
      <c r="EU272" s="67">
        <v>572.67999999999995</v>
      </c>
      <c r="EV272" s="67" t="s">
        <v>2195</v>
      </c>
      <c r="EW272" s="67">
        <v>497.69</v>
      </c>
      <c r="EX272" s="67" t="s">
        <v>2196</v>
      </c>
      <c r="EY272" s="67">
        <v>5737.25</v>
      </c>
      <c r="EZ272" s="67" t="s">
        <v>2197</v>
      </c>
      <c r="FA272" s="67">
        <v>20430.5</v>
      </c>
      <c r="FB272" s="67" t="s">
        <v>2198</v>
      </c>
      <c r="FC272" s="67" t="s">
        <v>2199</v>
      </c>
      <c r="FD272" s="67" t="s">
        <v>2200</v>
      </c>
      <c r="FE272" s="68" t="s">
        <v>2201</v>
      </c>
      <c r="FF272" s="68" t="s">
        <v>2202</v>
      </c>
    </row>
    <row r="273" spans="151:162" x14ac:dyDescent="0.2">
      <c r="EU273" s="67">
        <v>572.73</v>
      </c>
      <c r="EV273" s="67" t="s">
        <v>2203</v>
      </c>
      <c r="EW273" s="67">
        <v>497.69</v>
      </c>
      <c r="EX273" s="67" t="s">
        <v>2204</v>
      </c>
      <c r="EY273" s="67">
        <v>5737.25</v>
      </c>
      <c r="EZ273" s="67" t="s">
        <v>2205</v>
      </c>
      <c r="FA273" s="67">
        <v>20432</v>
      </c>
      <c r="FB273" s="67" t="s">
        <v>2206</v>
      </c>
      <c r="FC273" s="67" t="s">
        <v>2207</v>
      </c>
      <c r="FD273" s="67" t="s">
        <v>2208</v>
      </c>
      <c r="FE273" s="68" t="s">
        <v>2209</v>
      </c>
      <c r="FF273" s="68" t="s">
        <v>2210</v>
      </c>
    </row>
    <row r="274" spans="151:162" x14ac:dyDescent="0.2">
      <c r="EU274" s="67">
        <v>572.73</v>
      </c>
      <c r="EV274" s="67" t="s">
        <v>2211</v>
      </c>
      <c r="EW274" s="67">
        <v>497.69</v>
      </c>
      <c r="EX274" s="67" t="s">
        <v>2212</v>
      </c>
      <c r="EY274" s="67">
        <v>5737.25</v>
      </c>
      <c r="EZ274" s="67" t="s">
        <v>2213</v>
      </c>
      <c r="FA274" s="67">
        <v>20431.5</v>
      </c>
      <c r="FB274" s="67" t="s">
        <v>2214</v>
      </c>
      <c r="FC274" s="67" t="s">
        <v>2215</v>
      </c>
      <c r="FD274" s="67" t="s">
        <v>2216</v>
      </c>
      <c r="FE274" s="68" t="s">
        <v>2217</v>
      </c>
      <c r="FF274" s="68" t="s">
        <v>2218</v>
      </c>
    </row>
    <row r="275" spans="151:162" x14ac:dyDescent="0.2">
      <c r="EU275" s="67">
        <v>572.62</v>
      </c>
      <c r="EV275" s="67" t="s">
        <v>2219</v>
      </c>
      <c r="EW275" s="67">
        <v>497.69</v>
      </c>
      <c r="EX275" s="67" t="s">
        <v>2220</v>
      </c>
      <c r="EY275" s="67">
        <v>5737</v>
      </c>
      <c r="EZ275" s="67" t="s">
        <v>2221</v>
      </c>
      <c r="FA275" s="67">
        <v>20431.5</v>
      </c>
      <c r="FB275" s="67" t="s">
        <v>2222</v>
      </c>
      <c r="FC275" s="67" t="s">
        <v>2223</v>
      </c>
      <c r="FD275" s="67" t="s">
        <v>2224</v>
      </c>
      <c r="FE275" s="68" t="s">
        <v>2225</v>
      </c>
      <c r="FF275" s="68" t="s">
        <v>2226</v>
      </c>
    </row>
    <row r="276" spans="151:162" x14ac:dyDescent="0.2">
      <c r="EU276" s="67">
        <v>572.67999999999995</v>
      </c>
      <c r="EV276" s="67" t="s">
        <v>2227</v>
      </c>
      <c r="EW276" s="67">
        <v>497.69</v>
      </c>
      <c r="EX276" s="67" t="s">
        <v>2228</v>
      </c>
      <c r="EY276" s="67">
        <v>5737.25</v>
      </c>
      <c r="EZ276" s="67" t="s">
        <v>2229</v>
      </c>
      <c r="FA276" s="67">
        <v>20431.5</v>
      </c>
      <c r="FB276" s="67" t="s">
        <v>2230</v>
      </c>
      <c r="FC276" s="67" t="s">
        <v>2231</v>
      </c>
      <c r="FD276" s="67" t="s">
        <v>2232</v>
      </c>
      <c r="FE276" s="68" t="s">
        <v>2233</v>
      </c>
      <c r="FF276" s="68" t="s">
        <v>2234</v>
      </c>
    </row>
    <row r="277" spans="151:162" x14ac:dyDescent="0.2">
      <c r="EU277" s="67">
        <v>572.67999999999995</v>
      </c>
      <c r="EV277" s="67" t="s">
        <v>2235</v>
      </c>
      <c r="EW277" s="67">
        <v>497.71</v>
      </c>
      <c r="EX277" s="67" t="s">
        <v>2236</v>
      </c>
      <c r="EY277" s="67">
        <v>5737.25</v>
      </c>
      <c r="EZ277" s="67" t="s">
        <v>2237</v>
      </c>
      <c r="FA277" s="67">
        <v>20433.25</v>
      </c>
      <c r="FB277" s="67" t="s">
        <v>2238</v>
      </c>
      <c r="FC277" s="67" t="s">
        <v>2239</v>
      </c>
      <c r="FD277" s="67" t="s">
        <v>2240</v>
      </c>
      <c r="FE277" s="68" t="s">
        <v>2241</v>
      </c>
      <c r="FF277" s="68" t="s">
        <v>2242</v>
      </c>
    </row>
    <row r="278" spans="151:162" x14ac:dyDescent="0.2">
      <c r="EU278" s="67">
        <v>572.67999999999995</v>
      </c>
      <c r="EV278" s="67" t="s">
        <v>2243</v>
      </c>
      <c r="EW278" s="67">
        <v>497.69</v>
      </c>
      <c r="EX278" s="67" t="s">
        <v>2244</v>
      </c>
      <c r="EY278" s="67">
        <v>5737.25</v>
      </c>
      <c r="EZ278" s="67" t="s">
        <v>2245</v>
      </c>
      <c r="FA278" s="67">
        <v>20432</v>
      </c>
      <c r="FB278" s="67" t="s">
        <v>2246</v>
      </c>
      <c r="FC278" s="67" t="s">
        <v>2247</v>
      </c>
      <c r="FD278" s="67" t="s">
        <v>2248</v>
      </c>
      <c r="FE278" s="68" t="s">
        <v>2249</v>
      </c>
      <c r="FF278" s="68" t="s">
        <v>2250</v>
      </c>
    </row>
    <row r="279" spans="151:162" x14ac:dyDescent="0.2">
      <c r="EU279" s="67">
        <v>572.67999999999995</v>
      </c>
      <c r="EV279" s="67" t="s">
        <v>2251</v>
      </c>
      <c r="EW279" s="67">
        <v>497.69</v>
      </c>
      <c r="EX279" s="67" t="s">
        <v>2252</v>
      </c>
      <c r="EY279" s="67">
        <v>5737.25</v>
      </c>
      <c r="EZ279" s="67" t="s">
        <v>2253</v>
      </c>
      <c r="FA279" s="67">
        <v>20433.25</v>
      </c>
      <c r="FB279" s="67" t="s">
        <v>2254</v>
      </c>
      <c r="FC279" s="67" t="s">
        <v>2255</v>
      </c>
      <c r="FD279" s="67" t="s">
        <v>2256</v>
      </c>
      <c r="FE279" s="68" t="s">
        <v>2257</v>
      </c>
      <c r="FF279" s="68" t="s">
        <v>2258</v>
      </c>
    </row>
    <row r="280" spans="151:162" x14ac:dyDescent="0.2">
      <c r="EU280" s="67">
        <v>572.67999999999995</v>
      </c>
      <c r="EV280" s="67" t="s">
        <v>2259</v>
      </c>
      <c r="EW280" s="67">
        <v>497.7</v>
      </c>
      <c r="EX280" s="67" t="s">
        <v>2260</v>
      </c>
      <c r="EY280" s="67">
        <v>5737.5</v>
      </c>
      <c r="EZ280" s="67" t="s">
        <v>2261</v>
      </c>
      <c r="FA280" s="67">
        <v>20434</v>
      </c>
      <c r="FB280" s="67" t="s">
        <v>2262</v>
      </c>
      <c r="FC280" s="67" t="s">
        <v>2263</v>
      </c>
      <c r="FD280" s="67" t="s">
        <v>2264</v>
      </c>
      <c r="FE280" s="68" t="s">
        <v>2265</v>
      </c>
      <c r="FF280" s="68" t="s">
        <v>2266</v>
      </c>
    </row>
    <row r="281" spans="151:162" x14ac:dyDescent="0.2">
      <c r="EU281" s="67">
        <v>572.75</v>
      </c>
      <c r="EV281" s="67" t="s">
        <v>2267</v>
      </c>
      <c r="EW281" s="67">
        <v>497.71</v>
      </c>
      <c r="EX281" s="67" t="s">
        <v>2268</v>
      </c>
      <c r="EY281" s="67">
        <v>5737.5</v>
      </c>
      <c r="EZ281" s="67" t="s">
        <v>2269</v>
      </c>
      <c r="FA281" s="67">
        <v>20433</v>
      </c>
      <c r="FB281" s="67" t="s">
        <v>2270</v>
      </c>
      <c r="FC281" s="67" t="s">
        <v>2271</v>
      </c>
      <c r="FD281" s="67" t="s">
        <v>2272</v>
      </c>
      <c r="FE281" s="68" t="s">
        <v>2273</v>
      </c>
      <c r="FF281" s="68" t="s">
        <v>2274</v>
      </c>
    </row>
    <row r="282" spans="151:162" x14ac:dyDescent="0.2">
      <c r="EU282" s="67">
        <v>572.75</v>
      </c>
      <c r="EV282" s="67" t="s">
        <v>2275</v>
      </c>
      <c r="EW282" s="67">
        <v>497.69</v>
      </c>
      <c r="EX282" s="67" t="s">
        <v>2276</v>
      </c>
      <c r="EY282" s="67">
        <v>5737.25</v>
      </c>
      <c r="EZ282" s="67" t="s">
        <v>2277</v>
      </c>
      <c r="FA282" s="67">
        <v>20432.5</v>
      </c>
      <c r="FB282" s="67" t="s">
        <v>2278</v>
      </c>
      <c r="FC282" s="67" t="s">
        <v>2279</v>
      </c>
      <c r="FD282" s="67" t="s">
        <v>2280</v>
      </c>
      <c r="FE282" s="68" t="s">
        <v>2281</v>
      </c>
      <c r="FF282" s="68" t="s">
        <v>2282</v>
      </c>
    </row>
    <row r="283" spans="151:162" x14ac:dyDescent="0.2">
      <c r="EU283" s="67">
        <v>572.6</v>
      </c>
      <c r="EV283" s="67" t="s">
        <v>2283</v>
      </c>
      <c r="EW283" s="67">
        <v>497.69</v>
      </c>
      <c r="EX283" s="67" t="s">
        <v>2284</v>
      </c>
      <c r="EY283" s="67">
        <v>5737</v>
      </c>
      <c r="EZ283" s="67" t="s">
        <v>2285</v>
      </c>
      <c r="FA283" s="67">
        <v>20431.5</v>
      </c>
      <c r="FB283" s="67" t="s">
        <v>2286</v>
      </c>
      <c r="FC283" s="67" t="s">
        <v>2287</v>
      </c>
      <c r="FD283" s="67" t="s">
        <v>2288</v>
      </c>
      <c r="FE283" s="68" t="s">
        <v>2289</v>
      </c>
      <c r="FF283" s="68" t="s">
        <v>2290</v>
      </c>
    </row>
    <row r="284" spans="151:162" x14ac:dyDescent="0.2">
      <c r="EU284" s="67">
        <v>572.6</v>
      </c>
      <c r="EV284" s="67" t="s">
        <v>2291</v>
      </c>
      <c r="EW284" s="67">
        <v>497.69</v>
      </c>
      <c r="EX284" s="67" t="s">
        <v>2292</v>
      </c>
      <c r="EY284" s="67">
        <v>5737</v>
      </c>
      <c r="EZ284" s="67" t="s">
        <v>2293</v>
      </c>
      <c r="FA284" s="67">
        <v>20430</v>
      </c>
      <c r="FB284" s="67" t="s">
        <v>2294</v>
      </c>
      <c r="FC284" s="67" t="s">
        <v>2295</v>
      </c>
      <c r="FD284" s="67" t="s">
        <v>2296</v>
      </c>
      <c r="FE284" s="68" t="s">
        <v>2297</v>
      </c>
      <c r="FF284" s="68" t="s">
        <v>2298</v>
      </c>
    </row>
    <row r="285" spans="151:162" x14ac:dyDescent="0.2">
      <c r="EU285" s="67">
        <v>572.62</v>
      </c>
      <c r="EV285" s="67" t="s">
        <v>2299</v>
      </c>
      <c r="EW285" s="67">
        <v>497.67</v>
      </c>
      <c r="EX285" s="67" t="s">
        <v>2300</v>
      </c>
      <c r="EY285" s="67">
        <v>5737.25</v>
      </c>
      <c r="EZ285" s="67" t="s">
        <v>2301</v>
      </c>
      <c r="FA285" s="67">
        <v>20432.5</v>
      </c>
      <c r="FB285" s="67" t="s">
        <v>2302</v>
      </c>
      <c r="FC285" s="67" t="s">
        <v>2303</v>
      </c>
      <c r="FD285" s="67" t="s">
        <v>2304</v>
      </c>
      <c r="FE285" s="68" t="s">
        <v>2305</v>
      </c>
      <c r="FF285" s="68" t="s">
        <v>2306</v>
      </c>
    </row>
    <row r="286" spans="151:162" x14ac:dyDescent="0.2">
      <c r="EU286" s="67">
        <v>572.6</v>
      </c>
      <c r="EV286" s="67" t="s">
        <v>2307</v>
      </c>
      <c r="EW286" s="67">
        <v>497.66</v>
      </c>
      <c r="EX286" s="67" t="s">
        <v>2308</v>
      </c>
      <c r="EY286" s="67">
        <v>5737.25</v>
      </c>
      <c r="EZ286" s="67" t="s">
        <v>2309</v>
      </c>
      <c r="FA286" s="67">
        <v>20431.25</v>
      </c>
      <c r="FB286" s="67" t="s">
        <v>2310</v>
      </c>
      <c r="FC286" s="67" t="s">
        <v>2311</v>
      </c>
      <c r="FD286" s="67" t="s">
        <v>2312</v>
      </c>
      <c r="FE286" s="68" t="s">
        <v>2313</v>
      </c>
      <c r="FF286" s="68" t="s">
        <v>2314</v>
      </c>
    </row>
    <row r="287" spans="151:162" x14ac:dyDescent="0.2">
      <c r="EU287" s="67">
        <v>572.6</v>
      </c>
      <c r="EV287" s="67" t="s">
        <v>2315</v>
      </c>
      <c r="EW287" s="67">
        <v>497.62</v>
      </c>
      <c r="EX287" s="67" t="s">
        <v>2316</v>
      </c>
      <c r="EY287" s="67">
        <v>5737</v>
      </c>
      <c r="EZ287" s="67" t="s">
        <v>2317</v>
      </c>
      <c r="FA287" s="67">
        <v>20431</v>
      </c>
      <c r="FB287" s="67" t="s">
        <v>2318</v>
      </c>
      <c r="FC287" s="67" t="s">
        <v>2319</v>
      </c>
      <c r="FD287" s="67" t="s">
        <v>2320</v>
      </c>
      <c r="FE287" s="68" t="s">
        <v>2321</v>
      </c>
      <c r="FF287" s="68" t="s">
        <v>2322</v>
      </c>
    </row>
    <row r="288" spans="151:162" x14ac:dyDescent="0.2">
      <c r="EU288" s="67">
        <v>572.6</v>
      </c>
      <c r="EV288" s="67" t="s">
        <v>2323</v>
      </c>
      <c r="EW288" s="67">
        <v>497.63</v>
      </c>
      <c r="EX288" s="67" t="s">
        <v>2324</v>
      </c>
      <c r="EY288" s="67">
        <v>5737</v>
      </c>
      <c r="EZ288" s="67" t="s">
        <v>2325</v>
      </c>
      <c r="FA288" s="67">
        <v>20430.75</v>
      </c>
      <c r="FB288" s="67" t="s">
        <v>2326</v>
      </c>
      <c r="FC288" s="67" t="s">
        <v>2327</v>
      </c>
      <c r="FD288" s="67" t="s">
        <v>2328</v>
      </c>
      <c r="FE288" s="68" t="s">
        <v>2329</v>
      </c>
      <c r="FF288" s="68" t="s">
        <v>2330</v>
      </c>
    </row>
    <row r="289" spans="151:162" x14ac:dyDescent="0.2">
      <c r="EU289" s="67">
        <v>572.6</v>
      </c>
      <c r="EV289" s="67" t="s">
        <v>2331</v>
      </c>
      <c r="EW289" s="67">
        <v>497.64</v>
      </c>
      <c r="EX289" s="67" t="s">
        <v>2332</v>
      </c>
      <c r="EY289" s="67">
        <v>5737</v>
      </c>
      <c r="EZ289" s="67" t="s">
        <v>2333</v>
      </c>
      <c r="FA289" s="67">
        <v>20431.75</v>
      </c>
      <c r="FB289" s="67" t="s">
        <v>2334</v>
      </c>
      <c r="FC289" s="67" t="s">
        <v>2335</v>
      </c>
      <c r="FD289" s="67" t="s">
        <v>2336</v>
      </c>
      <c r="FE289" s="68" t="s">
        <v>2337</v>
      </c>
      <c r="FF289" s="68" t="s">
        <v>2338</v>
      </c>
    </row>
    <row r="290" spans="151:162" x14ac:dyDescent="0.2">
      <c r="EU290" s="67">
        <v>572.6</v>
      </c>
      <c r="EV290" s="67" t="s">
        <v>2339</v>
      </c>
      <c r="EW290" s="67">
        <v>497.63</v>
      </c>
      <c r="EX290" s="67" t="s">
        <v>2340</v>
      </c>
      <c r="EY290" s="67">
        <v>5737</v>
      </c>
      <c r="EZ290" s="67" t="s">
        <v>2341</v>
      </c>
      <c r="FA290" s="67">
        <v>20430.75</v>
      </c>
      <c r="FB290" s="67" t="s">
        <v>2342</v>
      </c>
      <c r="FC290" s="67" t="s">
        <v>2343</v>
      </c>
      <c r="FD290" s="67" t="s">
        <v>2344</v>
      </c>
      <c r="FE290" s="68" t="s">
        <v>2345</v>
      </c>
      <c r="FF290" s="68" t="s">
        <v>2346</v>
      </c>
    </row>
    <row r="291" spans="151:162" x14ac:dyDescent="0.2">
      <c r="EU291" s="67">
        <v>572.6</v>
      </c>
      <c r="EV291" s="67" t="s">
        <v>2347</v>
      </c>
      <c r="EW291" s="67">
        <v>497.56</v>
      </c>
      <c r="EX291" s="67" t="s">
        <v>2348</v>
      </c>
      <c r="EY291" s="67">
        <v>5736.75</v>
      </c>
      <c r="EZ291" s="67" t="s">
        <v>2349</v>
      </c>
      <c r="FA291" s="67">
        <v>20427.75</v>
      </c>
      <c r="FB291" s="67" t="s">
        <v>2350</v>
      </c>
      <c r="FC291" s="67" t="s">
        <v>2351</v>
      </c>
      <c r="FD291" s="67" t="s">
        <v>2352</v>
      </c>
      <c r="FE291" s="68" t="s">
        <v>2353</v>
      </c>
      <c r="FF291" s="68" t="s">
        <v>2354</v>
      </c>
    </row>
    <row r="292" spans="151:162" x14ac:dyDescent="0.2">
      <c r="EU292" s="67">
        <v>572.65</v>
      </c>
      <c r="EV292" s="67" t="s">
        <v>2355</v>
      </c>
      <c r="EW292" s="67">
        <v>497.61</v>
      </c>
      <c r="EX292" s="67" t="s">
        <v>2356</v>
      </c>
      <c r="EY292" s="67">
        <v>5737.25</v>
      </c>
      <c r="EZ292" s="67" t="s">
        <v>2357</v>
      </c>
      <c r="FA292" s="67">
        <v>20432</v>
      </c>
      <c r="FB292" s="67" t="s">
        <v>2358</v>
      </c>
      <c r="FC292" s="67" t="s">
        <v>2359</v>
      </c>
      <c r="FD292" s="67" t="s">
        <v>2360</v>
      </c>
      <c r="FE292" s="68" t="s">
        <v>2361</v>
      </c>
      <c r="FF292" s="68" t="s">
        <v>2362</v>
      </c>
    </row>
    <row r="293" spans="151:162" x14ac:dyDescent="0.2">
      <c r="EU293" s="67">
        <v>572.6</v>
      </c>
      <c r="EV293" s="67" t="s">
        <v>2363</v>
      </c>
      <c r="EW293" s="67">
        <v>497.61</v>
      </c>
      <c r="EX293" s="67" t="s">
        <v>2364</v>
      </c>
      <c r="EY293" s="67">
        <v>5737</v>
      </c>
      <c r="EZ293" s="67" t="s">
        <v>2365</v>
      </c>
      <c r="FA293" s="67">
        <v>20430.5</v>
      </c>
      <c r="FB293" s="67" t="s">
        <v>2366</v>
      </c>
      <c r="FC293" s="67" t="s">
        <v>2367</v>
      </c>
      <c r="FD293" s="67" t="s">
        <v>2368</v>
      </c>
      <c r="FE293" s="68" t="s">
        <v>2369</v>
      </c>
      <c r="FF293" s="68" t="s">
        <v>2370</v>
      </c>
    </row>
    <row r="294" spans="151:162" x14ac:dyDescent="0.2">
      <c r="EU294" s="67">
        <v>572.67999999999995</v>
      </c>
      <c r="EV294" s="67" t="s">
        <v>2371</v>
      </c>
      <c r="EW294" s="67">
        <v>497.7</v>
      </c>
      <c r="EX294" s="67" t="s">
        <v>2372</v>
      </c>
      <c r="EY294" s="67">
        <v>5738</v>
      </c>
      <c r="EZ294" s="67" t="s">
        <v>2373</v>
      </c>
      <c r="FA294" s="67">
        <v>20434.25</v>
      </c>
      <c r="FB294" s="67" t="s">
        <v>2374</v>
      </c>
      <c r="FC294" s="67" t="s">
        <v>2375</v>
      </c>
      <c r="FD294" s="67" t="s">
        <v>2376</v>
      </c>
      <c r="FE294" s="68" t="s">
        <v>2377</v>
      </c>
      <c r="FF294" s="68" t="s">
        <v>2378</v>
      </c>
    </row>
    <row r="295" spans="151:162" x14ac:dyDescent="0.2">
      <c r="EU295" s="67">
        <v>572.65</v>
      </c>
      <c r="EV295" s="67" t="s">
        <v>2379</v>
      </c>
      <c r="EW295" s="67">
        <v>497.72</v>
      </c>
      <c r="EX295" s="67" t="s">
        <v>2380</v>
      </c>
      <c r="EY295" s="67">
        <v>5737.5</v>
      </c>
      <c r="EZ295" s="67" t="s">
        <v>2381</v>
      </c>
      <c r="FA295" s="67">
        <v>20434.25</v>
      </c>
      <c r="FB295" s="67" t="s">
        <v>2382</v>
      </c>
      <c r="FC295" s="67" t="s">
        <v>2383</v>
      </c>
      <c r="FD295" s="67" t="s">
        <v>2384</v>
      </c>
      <c r="FE295" s="68" t="s">
        <v>2385</v>
      </c>
      <c r="FF295" s="68" t="s">
        <v>2386</v>
      </c>
    </row>
    <row r="296" spans="151:162" x14ac:dyDescent="0.2">
      <c r="EU296" s="67">
        <v>572.65</v>
      </c>
      <c r="EV296" s="67" t="s">
        <v>2387</v>
      </c>
      <c r="EW296" s="67">
        <v>497.71</v>
      </c>
      <c r="EX296" s="67" t="s">
        <v>2388</v>
      </c>
      <c r="EY296" s="67">
        <v>5737.75</v>
      </c>
      <c r="EZ296" s="67" t="s">
        <v>2389</v>
      </c>
      <c r="FA296" s="67">
        <v>20434.25</v>
      </c>
      <c r="FB296" s="67" t="s">
        <v>2390</v>
      </c>
      <c r="FC296" s="67" t="s">
        <v>2391</v>
      </c>
      <c r="FD296" s="67" t="s">
        <v>2392</v>
      </c>
      <c r="FE296" s="68" t="s">
        <v>2393</v>
      </c>
      <c r="FF296" s="68" t="s">
        <v>2394</v>
      </c>
    </row>
    <row r="297" spans="151:162" x14ac:dyDescent="0.2">
      <c r="EU297" s="67">
        <v>572.67999999999995</v>
      </c>
      <c r="EV297" s="67" t="s">
        <v>2395</v>
      </c>
      <c r="EW297" s="67">
        <v>497.73</v>
      </c>
      <c r="EX297" s="67" t="s">
        <v>2396</v>
      </c>
      <c r="EY297" s="67">
        <v>5738</v>
      </c>
      <c r="EZ297" s="67" t="s">
        <v>2397</v>
      </c>
      <c r="FA297" s="67">
        <v>20435.5</v>
      </c>
      <c r="FB297" s="67" t="s">
        <v>2398</v>
      </c>
      <c r="FC297" s="67" t="s">
        <v>2399</v>
      </c>
      <c r="FD297" s="67" t="s">
        <v>2400</v>
      </c>
      <c r="FE297" s="68" t="s">
        <v>2401</v>
      </c>
      <c r="FF297" s="68" t="s">
        <v>2402</v>
      </c>
    </row>
    <row r="298" spans="151:162" x14ac:dyDescent="0.2">
      <c r="EU298" s="67">
        <v>572.72</v>
      </c>
      <c r="EV298" s="67" t="s">
        <v>2403</v>
      </c>
      <c r="EW298" s="67">
        <v>497.59</v>
      </c>
      <c r="EX298" s="67" t="s">
        <v>2404</v>
      </c>
      <c r="EY298" s="67">
        <v>5736.75</v>
      </c>
      <c r="EZ298" s="67" t="s">
        <v>2405</v>
      </c>
      <c r="FA298" s="67">
        <v>20429.75</v>
      </c>
      <c r="FB298" s="67" t="s">
        <v>2406</v>
      </c>
      <c r="FC298" s="67" t="s">
        <v>2407</v>
      </c>
      <c r="FD298" s="67" t="s">
        <v>2408</v>
      </c>
      <c r="FE298" s="68" t="s">
        <v>2409</v>
      </c>
      <c r="FF298" s="68" t="s">
        <v>2410</v>
      </c>
    </row>
    <row r="299" spans="151:162" x14ac:dyDescent="0.2">
      <c r="EU299" s="67">
        <v>572.6</v>
      </c>
      <c r="EV299" s="67" t="s">
        <v>2411</v>
      </c>
      <c r="EW299" s="67">
        <v>497.63</v>
      </c>
      <c r="EX299" s="67" t="s">
        <v>2412</v>
      </c>
      <c r="EY299" s="67">
        <v>5737.25</v>
      </c>
      <c r="EZ299" s="67" t="s">
        <v>2413</v>
      </c>
      <c r="FA299" s="67">
        <v>20431.5</v>
      </c>
      <c r="FB299" s="67" t="s">
        <v>2414</v>
      </c>
      <c r="FC299" s="67" t="s">
        <v>2415</v>
      </c>
      <c r="FD299" s="67" t="s">
        <v>2416</v>
      </c>
      <c r="FE299" s="68" t="s">
        <v>2417</v>
      </c>
      <c r="FF299" s="68" t="s">
        <v>2418</v>
      </c>
    </row>
    <row r="300" spans="151:162" x14ac:dyDescent="0.2">
      <c r="EU300" s="67">
        <v>572.6</v>
      </c>
      <c r="EV300" s="67" t="s">
        <v>2419</v>
      </c>
      <c r="EW300" s="67">
        <v>497.67</v>
      </c>
      <c r="EX300" s="67" t="s">
        <v>2420</v>
      </c>
      <c r="EY300" s="67">
        <v>5737.25</v>
      </c>
      <c r="EZ300" s="67" t="s">
        <v>2421</v>
      </c>
      <c r="FA300" s="67">
        <v>20432.75</v>
      </c>
      <c r="FB300" s="67" t="s">
        <v>2422</v>
      </c>
      <c r="FC300" s="67" t="s">
        <v>2423</v>
      </c>
      <c r="FD300" s="67" t="s">
        <v>2424</v>
      </c>
      <c r="FE300" s="68" t="s">
        <v>2425</v>
      </c>
      <c r="FF300" s="68" t="s">
        <v>2426</v>
      </c>
    </row>
    <row r="301" spans="151:162" x14ac:dyDescent="0.2">
      <c r="EU301" s="67">
        <v>572.6</v>
      </c>
      <c r="EV301" s="67" t="s">
        <v>2427</v>
      </c>
      <c r="EW301" s="67">
        <v>497.71</v>
      </c>
      <c r="EX301" s="67" t="s">
        <v>2428</v>
      </c>
      <c r="EY301" s="67">
        <v>5737.25</v>
      </c>
      <c r="EZ301" s="67" t="s">
        <v>2429</v>
      </c>
      <c r="FA301" s="67">
        <v>20433.75</v>
      </c>
      <c r="FB301" s="67" t="s">
        <v>2430</v>
      </c>
      <c r="FC301" s="67" t="s">
        <v>2431</v>
      </c>
      <c r="FD301" s="67" t="s">
        <v>2432</v>
      </c>
      <c r="FE301" s="68" t="s">
        <v>2433</v>
      </c>
      <c r="FF301" s="68" t="s">
        <v>2434</v>
      </c>
    </row>
    <row r="302" spans="151:162" x14ac:dyDescent="0.2">
      <c r="EU302" s="67">
        <v>572.6</v>
      </c>
      <c r="EV302" s="67" t="s">
        <v>2435</v>
      </c>
      <c r="EW302" s="67">
        <v>497.71</v>
      </c>
      <c r="EX302" s="67" t="s">
        <v>2436</v>
      </c>
      <c r="EY302" s="67">
        <v>5737.25</v>
      </c>
      <c r="EZ302" s="67" t="s">
        <v>2437</v>
      </c>
      <c r="FA302" s="67">
        <v>20434</v>
      </c>
      <c r="FB302" s="67" t="s">
        <v>2438</v>
      </c>
      <c r="FC302" s="67" t="s">
        <v>2439</v>
      </c>
      <c r="FD302" s="67" t="s">
        <v>2440</v>
      </c>
      <c r="FE302" s="68" t="s">
        <v>2441</v>
      </c>
      <c r="FF302" s="68" t="s">
        <v>2442</v>
      </c>
    </row>
    <row r="303" spans="151:162" x14ac:dyDescent="0.2">
      <c r="EU303" s="67">
        <v>572.53</v>
      </c>
      <c r="EV303" s="67" t="s">
        <v>2443</v>
      </c>
      <c r="EW303" s="67">
        <v>497.61</v>
      </c>
      <c r="EX303" s="67" t="s">
        <v>2444</v>
      </c>
      <c r="EY303" s="67">
        <v>5736.5</v>
      </c>
      <c r="EZ303" s="67" t="s">
        <v>2445</v>
      </c>
      <c r="FA303" s="67">
        <v>20430.75</v>
      </c>
      <c r="FB303" s="67" t="s">
        <v>2446</v>
      </c>
      <c r="FC303" s="67" t="s">
        <v>2447</v>
      </c>
      <c r="FD303" s="67" t="s">
        <v>2448</v>
      </c>
      <c r="FE303" s="68" t="s">
        <v>2449</v>
      </c>
      <c r="FF303" s="68" t="s">
        <v>2450</v>
      </c>
    </row>
    <row r="304" spans="151:162" x14ac:dyDescent="0.2">
      <c r="EU304" s="67">
        <v>572.61</v>
      </c>
      <c r="EV304" s="67" t="s">
        <v>2451</v>
      </c>
      <c r="EW304" s="67">
        <v>497.72</v>
      </c>
      <c r="EX304" s="67" t="s">
        <v>2452</v>
      </c>
      <c r="EY304" s="67">
        <v>5737</v>
      </c>
      <c r="EZ304" s="67" t="s">
        <v>2453</v>
      </c>
      <c r="FA304" s="67">
        <v>20435</v>
      </c>
      <c r="FB304" s="67" t="s">
        <v>2454</v>
      </c>
      <c r="FC304" s="67" t="s">
        <v>2455</v>
      </c>
      <c r="FD304" s="67" t="s">
        <v>2456</v>
      </c>
      <c r="FE304" s="68" t="s">
        <v>2457</v>
      </c>
      <c r="FF304" s="68" t="s">
        <v>2458</v>
      </c>
    </row>
    <row r="305" spans="151:162" x14ac:dyDescent="0.2">
      <c r="EU305" s="67">
        <v>572.64</v>
      </c>
      <c r="EV305" s="67" t="s">
        <v>2459</v>
      </c>
      <c r="EW305" s="67">
        <v>497.75</v>
      </c>
      <c r="EX305" s="67" t="s">
        <v>2460</v>
      </c>
      <c r="EY305" s="67">
        <v>5737.5</v>
      </c>
      <c r="EZ305" s="67" t="s">
        <v>2461</v>
      </c>
      <c r="FA305" s="67">
        <v>20436</v>
      </c>
      <c r="FB305" s="67" t="s">
        <v>2462</v>
      </c>
      <c r="FC305" s="67" t="s">
        <v>2463</v>
      </c>
      <c r="FD305" s="67" t="s">
        <v>2464</v>
      </c>
      <c r="FE305" s="68" t="s">
        <v>2465</v>
      </c>
      <c r="FF305" s="68" t="s">
        <v>2466</v>
      </c>
    </row>
    <row r="306" spans="151:162" x14ac:dyDescent="0.2">
      <c r="EU306" s="67">
        <v>572.6</v>
      </c>
      <c r="EV306" s="67" t="s">
        <v>2467</v>
      </c>
      <c r="EW306" s="67">
        <v>497.71</v>
      </c>
      <c r="EX306" s="67" t="s">
        <v>2468</v>
      </c>
      <c r="EY306" s="67">
        <v>5737.25</v>
      </c>
      <c r="EZ306" s="67" t="s">
        <v>2469</v>
      </c>
      <c r="FA306" s="67">
        <v>20434.25</v>
      </c>
      <c r="FB306" s="67" t="s">
        <v>2470</v>
      </c>
      <c r="FC306" s="67" t="s">
        <v>2471</v>
      </c>
      <c r="FD306" s="67" t="s">
        <v>2472</v>
      </c>
      <c r="FE306" s="68" t="s">
        <v>2473</v>
      </c>
      <c r="FF306" s="68" t="s">
        <v>2474</v>
      </c>
    </row>
    <row r="307" spans="151:162" x14ac:dyDescent="0.2">
      <c r="EU307" s="67">
        <v>572.59</v>
      </c>
      <c r="EV307" s="67" t="s">
        <v>2475</v>
      </c>
      <c r="EW307" s="67">
        <v>497.71</v>
      </c>
      <c r="EX307" s="67" t="s">
        <v>2476</v>
      </c>
      <c r="EY307" s="67">
        <v>5737</v>
      </c>
      <c r="EZ307" s="67" t="s">
        <v>2477</v>
      </c>
      <c r="FA307" s="67">
        <v>20433</v>
      </c>
      <c r="FB307" s="67" t="s">
        <v>2478</v>
      </c>
      <c r="FC307" s="67" t="s">
        <v>2479</v>
      </c>
      <c r="FD307" s="67" t="s">
        <v>2480</v>
      </c>
      <c r="FE307" s="68" t="s">
        <v>2481</v>
      </c>
      <c r="FF307" s="68" t="s">
        <v>2482</v>
      </c>
    </row>
    <row r="308" spans="151:162" x14ac:dyDescent="0.2">
      <c r="EU308" s="67">
        <v>572.58000000000004</v>
      </c>
      <c r="EV308" s="67" t="s">
        <v>2483</v>
      </c>
      <c r="EW308" s="67">
        <v>497.66</v>
      </c>
      <c r="EX308" s="67" t="s">
        <v>2484</v>
      </c>
      <c r="EY308" s="67">
        <v>5736.75</v>
      </c>
      <c r="EZ308" s="67" t="s">
        <v>2485</v>
      </c>
      <c r="FA308" s="67">
        <v>20432.25</v>
      </c>
      <c r="FB308" s="67" t="s">
        <v>2486</v>
      </c>
      <c r="FC308" s="67" t="s">
        <v>2487</v>
      </c>
      <c r="FD308" s="67" t="s">
        <v>2488</v>
      </c>
      <c r="FE308" s="68" t="s">
        <v>2489</v>
      </c>
      <c r="FF308" s="68" t="s">
        <v>2490</v>
      </c>
    </row>
    <row r="309" spans="151:162" x14ac:dyDescent="0.2">
      <c r="EU309" s="67">
        <v>572.59</v>
      </c>
      <c r="EV309" s="67" t="s">
        <v>2491</v>
      </c>
      <c r="EW309" s="67">
        <v>497.65</v>
      </c>
      <c r="EX309" s="67" t="s">
        <v>2492</v>
      </c>
      <c r="EY309" s="67">
        <v>5736.75</v>
      </c>
      <c r="EZ309" s="67" t="s">
        <v>2493</v>
      </c>
      <c r="FA309" s="67">
        <v>20432</v>
      </c>
      <c r="FB309" s="67" t="s">
        <v>2494</v>
      </c>
      <c r="FC309" s="67" t="s">
        <v>2495</v>
      </c>
      <c r="FD309" s="67" t="s">
        <v>2496</v>
      </c>
      <c r="FE309" s="68" t="s">
        <v>2497</v>
      </c>
      <c r="FF309" s="68" t="s">
        <v>2498</v>
      </c>
    </row>
    <row r="310" spans="151:162" x14ac:dyDescent="0.2">
      <c r="EU310" s="67">
        <v>572.6</v>
      </c>
      <c r="EV310" s="67" t="s">
        <v>2499</v>
      </c>
      <c r="EW310" s="67">
        <v>497.68</v>
      </c>
      <c r="EX310" s="67" t="s">
        <v>2500</v>
      </c>
      <c r="EY310" s="67">
        <v>5737</v>
      </c>
      <c r="EZ310" s="67" t="s">
        <v>2501</v>
      </c>
      <c r="FA310" s="67">
        <v>20433</v>
      </c>
      <c r="FB310" s="67" t="s">
        <v>2502</v>
      </c>
      <c r="FC310" s="67" t="s">
        <v>2503</v>
      </c>
      <c r="FD310" s="67" t="s">
        <v>2504</v>
      </c>
      <c r="FE310" s="68" t="s">
        <v>2505</v>
      </c>
      <c r="FF310" s="68" t="s">
        <v>2506</v>
      </c>
    </row>
    <row r="311" spans="151:162" x14ac:dyDescent="0.2">
      <c r="EU311" s="67">
        <v>572.58000000000004</v>
      </c>
      <c r="EV311" s="67" t="s">
        <v>2507</v>
      </c>
      <c r="EW311" s="67">
        <v>497.68</v>
      </c>
      <c r="EX311" s="67" t="s">
        <v>2508</v>
      </c>
      <c r="EY311" s="67">
        <v>5737</v>
      </c>
      <c r="EZ311" s="67" t="s">
        <v>2509</v>
      </c>
      <c r="FA311" s="67">
        <v>20430.5</v>
      </c>
      <c r="FB311" s="67" t="s">
        <v>2510</v>
      </c>
      <c r="FC311" s="67" t="s">
        <v>2511</v>
      </c>
      <c r="FD311" s="67" t="s">
        <v>2512</v>
      </c>
      <c r="FE311" s="68" t="s">
        <v>2513</v>
      </c>
      <c r="FF311" s="68" t="s">
        <v>2514</v>
      </c>
    </row>
    <row r="312" spans="151:162" x14ac:dyDescent="0.2">
      <c r="EU312" s="67">
        <v>572.53</v>
      </c>
      <c r="EV312" s="67" t="s">
        <v>2515</v>
      </c>
      <c r="EW312" s="67">
        <v>497.68</v>
      </c>
      <c r="EX312" s="67" t="s">
        <v>2516</v>
      </c>
      <c r="EY312" s="67">
        <v>5736.5</v>
      </c>
      <c r="EZ312" s="67" t="s">
        <v>2517</v>
      </c>
      <c r="FA312" s="67">
        <v>20429</v>
      </c>
      <c r="FB312" s="67" t="s">
        <v>2518</v>
      </c>
      <c r="FC312" s="67" t="s">
        <v>2519</v>
      </c>
      <c r="FD312" s="67" t="s">
        <v>2520</v>
      </c>
      <c r="FE312" s="68" t="s">
        <v>2521</v>
      </c>
      <c r="FF312" s="68" t="s">
        <v>2522</v>
      </c>
    </row>
    <row r="313" spans="151:162" x14ac:dyDescent="0.2">
      <c r="EU313" s="67">
        <v>572.48</v>
      </c>
      <c r="EV313" s="67" t="s">
        <v>2523</v>
      </c>
      <c r="EW313" s="67">
        <v>497.5</v>
      </c>
      <c r="EX313" s="67" t="s">
        <v>2524</v>
      </c>
      <c r="EY313" s="67">
        <v>5736</v>
      </c>
      <c r="EZ313" s="67" t="s">
        <v>2525</v>
      </c>
      <c r="FA313" s="67">
        <v>20425</v>
      </c>
      <c r="FB313" s="67" t="s">
        <v>2526</v>
      </c>
      <c r="FC313" s="67" t="s">
        <v>2527</v>
      </c>
      <c r="FD313" s="67" t="s">
        <v>2528</v>
      </c>
      <c r="FE313" s="68" t="s">
        <v>2529</v>
      </c>
      <c r="FF313" s="68" t="s">
        <v>2530</v>
      </c>
    </row>
    <row r="314" spans="151:162" x14ac:dyDescent="0.2">
      <c r="EU314" s="67">
        <v>572.5</v>
      </c>
      <c r="EV314" s="67" t="s">
        <v>2531</v>
      </c>
      <c r="EW314" s="67">
        <v>497.54</v>
      </c>
      <c r="EX314" s="67" t="s">
        <v>2532</v>
      </c>
      <c r="EY314" s="67">
        <v>5736</v>
      </c>
      <c r="EZ314" s="67" t="s">
        <v>2533</v>
      </c>
      <c r="FA314" s="67">
        <v>20427.5</v>
      </c>
      <c r="FB314" s="67" t="s">
        <v>2534</v>
      </c>
      <c r="FC314" s="67" t="s">
        <v>2535</v>
      </c>
      <c r="FD314" s="67" t="s">
        <v>2536</v>
      </c>
      <c r="FE314" s="68" t="s">
        <v>2537</v>
      </c>
      <c r="FF314" s="68" t="s">
        <v>2538</v>
      </c>
    </row>
    <row r="315" spans="151:162" x14ac:dyDescent="0.2">
      <c r="EU315" s="67">
        <v>572.5</v>
      </c>
      <c r="EV315" s="67" t="s">
        <v>2539</v>
      </c>
      <c r="EW315" s="67">
        <v>497.53</v>
      </c>
      <c r="EX315" s="67" t="s">
        <v>2540</v>
      </c>
      <c r="EY315" s="67">
        <v>5736.25</v>
      </c>
      <c r="EZ315" s="67" t="s">
        <v>2541</v>
      </c>
      <c r="FA315" s="67">
        <v>20427.75</v>
      </c>
      <c r="FB315" s="67" t="s">
        <v>2542</v>
      </c>
      <c r="FC315" s="67" t="s">
        <v>2543</v>
      </c>
      <c r="FD315" s="67" t="s">
        <v>2544</v>
      </c>
      <c r="FE315" s="68" t="s">
        <v>2545</v>
      </c>
      <c r="FF315" s="68" t="s">
        <v>2546</v>
      </c>
    </row>
    <row r="316" spans="151:162" x14ac:dyDescent="0.2">
      <c r="EU316" s="67">
        <v>572.48</v>
      </c>
      <c r="EV316" s="67" t="s">
        <v>2547</v>
      </c>
      <c r="EW316" s="67">
        <v>497.51</v>
      </c>
      <c r="EX316" s="67" t="s">
        <v>2548</v>
      </c>
      <c r="EY316" s="67">
        <v>5736</v>
      </c>
      <c r="EZ316" s="67" t="s">
        <v>2549</v>
      </c>
      <c r="FA316" s="67">
        <v>20427</v>
      </c>
      <c r="FB316" s="67" t="s">
        <v>2550</v>
      </c>
      <c r="FC316" s="67" t="s">
        <v>2551</v>
      </c>
      <c r="FD316" s="67" t="s">
        <v>2552</v>
      </c>
      <c r="FE316" s="68" t="s">
        <v>2553</v>
      </c>
      <c r="FF316" s="68" t="s">
        <v>2554</v>
      </c>
    </row>
    <row r="317" spans="151:162" x14ac:dyDescent="0.2">
      <c r="EU317" s="67">
        <v>572.5</v>
      </c>
      <c r="EV317" s="67" t="s">
        <v>2555</v>
      </c>
      <c r="EW317" s="67">
        <v>497.56</v>
      </c>
      <c r="EX317" s="67" t="s">
        <v>2556</v>
      </c>
      <c r="EY317" s="67">
        <v>5736.25</v>
      </c>
      <c r="EZ317" s="67" t="s">
        <v>2557</v>
      </c>
      <c r="FA317" s="67">
        <v>20429</v>
      </c>
      <c r="FB317" s="67" t="s">
        <v>2558</v>
      </c>
      <c r="FC317" s="67" t="s">
        <v>2559</v>
      </c>
      <c r="FD317" s="67" t="s">
        <v>2560</v>
      </c>
      <c r="FE317" s="68" t="s">
        <v>2561</v>
      </c>
      <c r="FF317" s="68" t="s">
        <v>2562</v>
      </c>
    </row>
    <row r="318" spans="151:162" x14ac:dyDescent="0.2">
      <c r="EU318" s="67">
        <v>572.49</v>
      </c>
      <c r="EV318" s="67" t="s">
        <v>2563</v>
      </c>
      <c r="EW318" s="67">
        <v>497.54</v>
      </c>
      <c r="EX318" s="67" t="s">
        <v>2564</v>
      </c>
      <c r="EY318" s="67">
        <v>5736</v>
      </c>
      <c r="EZ318" s="67" t="s">
        <v>2565</v>
      </c>
      <c r="FA318" s="67">
        <v>20428</v>
      </c>
      <c r="FB318" s="67" t="s">
        <v>2566</v>
      </c>
      <c r="FC318" s="67" t="s">
        <v>2567</v>
      </c>
      <c r="FD318" s="67" t="s">
        <v>2568</v>
      </c>
      <c r="FE318" s="68" t="s">
        <v>2569</v>
      </c>
      <c r="FF318" s="68" t="s">
        <v>2570</v>
      </c>
    </row>
    <row r="319" spans="151:162" x14ac:dyDescent="0.2">
      <c r="EU319" s="67">
        <v>572.54999999999995</v>
      </c>
      <c r="EV319" s="67" t="s">
        <v>2571</v>
      </c>
      <c r="EW319" s="67">
        <v>497.68</v>
      </c>
      <c r="EX319" s="67" t="s">
        <v>2572</v>
      </c>
      <c r="EY319" s="67">
        <v>5736.75</v>
      </c>
      <c r="EZ319" s="67" t="s">
        <v>2573</v>
      </c>
      <c r="FA319" s="67">
        <v>20433.5</v>
      </c>
      <c r="FB319" s="67" t="s">
        <v>2574</v>
      </c>
      <c r="FC319" s="67" t="s">
        <v>2575</v>
      </c>
      <c r="FD319" s="67" t="s">
        <v>2576</v>
      </c>
      <c r="FE319" s="68" t="s">
        <v>2577</v>
      </c>
      <c r="FF319" s="68" t="s">
        <v>2578</v>
      </c>
    </row>
    <row r="320" spans="151:162" x14ac:dyDescent="0.2">
      <c r="EU320" s="67">
        <v>572.6</v>
      </c>
      <c r="EV320" s="67" t="s">
        <v>2579</v>
      </c>
      <c r="EW320" s="67">
        <v>497.74</v>
      </c>
      <c r="EX320" s="67" t="s">
        <v>2580</v>
      </c>
      <c r="EY320" s="67">
        <v>5737</v>
      </c>
      <c r="EZ320" s="67" t="s">
        <v>2581</v>
      </c>
      <c r="FA320" s="67">
        <v>20436.75</v>
      </c>
      <c r="FB320" s="67" t="s">
        <v>2582</v>
      </c>
      <c r="FC320" s="67" t="s">
        <v>2583</v>
      </c>
      <c r="FD320" s="67" t="s">
        <v>2584</v>
      </c>
      <c r="FE320" s="68" t="s">
        <v>2585</v>
      </c>
      <c r="FF320" s="68" t="s">
        <v>2586</v>
      </c>
    </row>
    <row r="321" spans="151:162" x14ac:dyDescent="0.2">
      <c r="EU321" s="67">
        <v>572.55999999999995</v>
      </c>
      <c r="EV321" s="67" t="s">
        <v>2587</v>
      </c>
      <c r="EW321" s="67">
        <v>497.71</v>
      </c>
      <c r="EX321" s="67" t="s">
        <v>2588</v>
      </c>
      <c r="EY321" s="67">
        <v>5736.75</v>
      </c>
      <c r="EZ321" s="67" t="s">
        <v>2589</v>
      </c>
      <c r="FA321" s="67">
        <v>20434.5</v>
      </c>
      <c r="FB321" s="67" t="s">
        <v>2590</v>
      </c>
      <c r="FC321" s="67" t="s">
        <v>2591</v>
      </c>
      <c r="FD321" s="67" t="s">
        <v>2592</v>
      </c>
      <c r="FE321" s="68" t="s">
        <v>2593</v>
      </c>
      <c r="FF321" s="68" t="s">
        <v>2594</v>
      </c>
    </row>
    <row r="322" spans="151:162" x14ac:dyDescent="0.2">
      <c r="EU322" s="67">
        <v>572.54999999999995</v>
      </c>
      <c r="EV322" s="67" t="s">
        <v>2595</v>
      </c>
      <c r="EW322" s="67">
        <v>497.7</v>
      </c>
      <c r="EX322" s="67" t="s">
        <v>2596</v>
      </c>
      <c r="EY322" s="67">
        <v>5736.5</v>
      </c>
      <c r="EZ322" s="67" t="s">
        <v>2597</v>
      </c>
      <c r="FA322" s="67">
        <v>20435</v>
      </c>
      <c r="FB322" s="67" t="s">
        <v>2598</v>
      </c>
      <c r="FC322" s="67" t="s">
        <v>2599</v>
      </c>
      <c r="FD322" s="67" t="s">
        <v>2600</v>
      </c>
      <c r="FE322" s="68" t="s">
        <v>2601</v>
      </c>
      <c r="FF322" s="68" t="s">
        <v>2602</v>
      </c>
    </row>
    <row r="323" spans="151:162" x14ac:dyDescent="0.2">
      <c r="EU323" s="67">
        <v>572.48</v>
      </c>
      <c r="EV323" s="67" t="s">
        <v>2603</v>
      </c>
      <c r="EW323" s="67">
        <v>497.68</v>
      </c>
      <c r="EX323" s="67" t="s">
        <v>2604</v>
      </c>
      <c r="EY323" s="67">
        <v>5735.75</v>
      </c>
      <c r="EZ323" s="67" t="s">
        <v>2605</v>
      </c>
      <c r="FA323" s="67">
        <v>20430.25</v>
      </c>
      <c r="FB323" s="67" t="s">
        <v>2606</v>
      </c>
      <c r="FC323" s="67" t="s">
        <v>2607</v>
      </c>
      <c r="FD323" s="67" t="s">
        <v>2608</v>
      </c>
      <c r="FE323" s="68" t="s">
        <v>2609</v>
      </c>
      <c r="FF323" s="68" t="s">
        <v>2610</v>
      </c>
    </row>
    <row r="324" spans="151:162" x14ac:dyDescent="0.2">
      <c r="EU324" s="67">
        <v>572.54999999999995</v>
      </c>
      <c r="EV324" s="67" t="s">
        <v>2611</v>
      </c>
      <c r="EW324" s="67">
        <v>497.68</v>
      </c>
      <c r="EX324" s="67" t="s">
        <v>2612</v>
      </c>
      <c r="EY324" s="67">
        <v>5736.25</v>
      </c>
      <c r="EZ324" s="67" t="s">
        <v>2613</v>
      </c>
      <c r="FA324" s="67">
        <v>20430.5</v>
      </c>
      <c r="FB324" s="67" t="s">
        <v>2614</v>
      </c>
      <c r="FC324" s="67" t="s">
        <v>2615</v>
      </c>
      <c r="FD324" s="67" t="s">
        <v>2616</v>
      </c>
      <c r="FE324" s="68" t="s">
        <v>2617</v>
      </c>
      <c r="FF324" s="68" t="s">
        <v>2618</v>
      </c>
    </row>
    <row r="325" spans="151:162" x14ac:dyDescent="0.2">
      <c r="EU325" s="67">
        <v>572.51</v>
      </c>
      <c r="EV325" s="67" t="s">
        <v>2619</v>
      </c>
      <c r="EW325" s="67">
        <v>497.68</v>
      </c>
      <c r="EX325" s="67" t="s">
        <v>2620</v>
      </c>
      <c r="EY325" s="67">
        <v>5736.25</v>
      </c>
      <c r="EZ325" s="67" t="s">
        <v>2621</v>
      </c>
      <c r="FA325" s="67">
        <v>20431</v>
      </c>
      <c r="FB325" s="67" t="s">
        <v>2622</v>
      </c>
      <c r="FC325" s="67" t="s">
        <v>2623</v>
      </c>
      <c r="FD325" s="67" t="s">
        <v>2624</v>
      </c>
      <c r="FE325" s="68" t="s">
        <v>2625</v>
      </c>
      <c r="FF325" s="68" t="s">
        <v>2626</v>
      </c>
    </row>
    <row r="326" spans="151:162" x14ac:dyDescent="0.2">
      <c r="EU326" s="67">
        <v>572.5</v>
      </c>
      <c r="EV326" s="67" t="s">
        <v>2627</v>
      </c>
      <c r="EW326" s="67">
        <v>497.6</v>
      </c>
      <c r="EX326" s="67" t="s">
        <v>2628</v>
      </c>
      <c r="EY326" s="67">
        <v>5736</v>
      </c>
      <c r="EZ326" s="67" t="s">
        <v>2629</v>
      </c>
      <c r="FA326" s="67">
        <v>20430.25</v>
      </c>
      <c r="FB326" s="67" t="s">
        <v>2630</v>
      </c>
      <c r="FC326" s="67" t="s">
        <v>2631</v>
      </c>
      <c r="FD326" s="67" t="s">
        <v>2632</v>
      </c>
      <c r="FE326" s="68" t="s">
        <v>2633</v>
      </c>
      <c r="FF326" s="68" t="s">
        <v>2634</v>
      </c>
    </row>
    <row r="327" spans="151:162" x14ac:dyDescent="0.2">
      <c r="EU327" s="67">
        <v>572.53</v>
      </c>
      <c r="EV327" s="67" t="s">
        <v>2635</v>
      </c>
      <c r="EW327" s="67">
        <v>497.64</v>
      </c>
      <c r="EX327" s="67" t="s">
        <v>2636</v>
      </c>
      <c r="EY327" s="67">
        <v>5736.25</v>
      </c>
      <c r="EZ327" s="67" t="s">
        <v>2637</v>
      </c>
      <c r="FA327" s="67">
        <v>20431.75</v>
      </c>
      <c r="FB327" s="67" t="s">
        <v>2638</v>
      </c>
      <c r="FC327" s="67" t="s">
        <v>2639</v>
      </c>
      <c r="FD327" s="67" t="s">
        <v>2640</v>
      </c>
      <c r="FE327" s="68" t="s">
        <v>2641</v>
      </c>
      <c r="FF327" s="68" t="s">
        <v>2642</v>
      </c>
    </row>
    <row r="328" spans="151:162" x14ac:dyDescent="0.2">
      <c r="EU328" s="67">
        <v>572.63</v>
      </c>
      <c r="EV328" s="67" t="s">
        <v>2643</v>
      </c>
      <c r="EW328" s="67">
        <v>497.74</v>
      </c>
      <c r="EX328" s="67" t="s">
        <v>2644</v>
      </c>
      <c r="EY328" s="67">
        <v>5737.5</v>
      </c>
      <c r="EZ328" s="67" t="s">
        <v>2645</v>
      </c>
      <c r="FA328" s="67">
        <v>20435.5</v>
      </c>
      <c r="FB328" s="67" t="s">
        <v>2646</v>
      </c>
      <c r="FC328" s="67" t="s">
        <v>2647</v>
      </c>
      <c r="FD328" s="67" t="s">
        <v>2648</v>
      </c>
      <c r="FE328" s="68" t="s">
        <v>2649</v>
      </c>
      <c r="FF328" s="68" t="s">
        <v>2650</v>
      </c>
    </row>
    <row r="329" spans="151:162" x14ac:dyDescent="0.2">
      <c r="EU329" s="67">
        <v>572.63</v>
      </c>
      <c r="EV329" s="67" t="s">
        <v>2651</v>
      </c>
      <c r="EW329" s="67">
        <v>497.79</v>
      </c>
      <c r="EX329" s="67" t="s">
        <v>2652</v>
      </c>
      <c r="EY329" s="67">
        <v>5737.75</v>
      </c>
      <c r="EZ329" s="67" t="s">
        <v>2653</v>
      </c>
      <c r="FA329" s="67">
        <v>20436.75</v>
      </c>
      <c r="FB329" s="67" t="s">
        <v>2654</v>
      </c>
      <c r="FC329" s="67" t="s">
        <v>2655</v>
      </c>
      <c r="FD329" s="67" t="s">
        <v>2656</v>
      </c>
      <c r="FE329" s="68" t="s">
        <v>2657</v>
      </c>
      <c r="FF329" s="68" t="s">
        <v>2658</v>
      </c>
    </row>
    <row r="330" spans="151:162" x14ac:dyDescent="0.2">
      <c r="EU330" s="67">
        <v>572.79</v>
      </c>
      <c r="EV330" s="67" t="s">
        <v>2659</v>
      </c>
      <c r="EW330" s="67">
        <v>497.92</v>
      </c>
      <c r="EX330" s="67" t="s">
        <v>2660</v>
      </c>
      <c r="EY330" s="67">
        <v>5739</v>
      </c>
      <c r="EZ330" s="67" t="s">
        <v>2661</v>
      </c>
      <c r="FA330" s="67">
        <v>20443.75</v>
      </c>
      <c r="FB330" s="67" t="s">
        <v>2662</v>
      </c>
      <c r="FC330" s="67" t="s">
        <v>2663</v>
      </c>
      <c r="FD330" s="67" t="s">
        <v>2664</v>
      </c>
      <c r="FE330" s="68" t="s">
        <v>2665</v>
      </c>
      <c r="FF330" s="68" t="s">
        <v>2666</v>
      </c>
    </row>
    <row r="331" spans="151:162" x14ac:dyDescent="0.2">
      <c r="EU331" s="67">
        <v>572.78</v>
      </c>
      <c r="EV331" s="67" t="s">
        <v>2667</v>
      </c>
      <c r="EW331" s="67">
        <v>497.95</v>
      </c>
      <c r="EX331" s="67" t="s">
        <v>2668</v>
      </c>
      <c r="EY331" s="67">
        <v>5739</v>
      </c>
      <c r="EZ331" s="67" t="s">
        <v>2669</v>
      </c>
      <c r="FA331" s="67">
        <v>20444.75</v>
      </c>
      <c r="FB331" s="67" t="s">
        <v>2670</v>
      </c>
      <c r="FC331" s="67" t="s">
        <v>2671</v>
      </c>
      <c r="FD331" s="67" t="s">
        <v>2672</v>
      </c>
      <c r="FE331" s="68" t="s">
        <v>2673</v>
      </c>
      <c r="FF331" s="68" t="s">
        <v>2674</v>
      </c>
    </row>
    <row r="332" spans="151:162" x14ac:dyDescent="0.2">
      <c r="EU332" s="67">
        <v>572.86</v>
      </c>
      <c r="EV332" s="67" t="s">
        <v>2675</v>
      </c>
      <c r="EW332" s="67">
        <v>498.03</v>
      </c>
      <c r="EX332" s="67" t="s">
        <v>2676</v>
      </c>
      <c r="EY332" s="67">
        <v>5740</v>
      </c>
      <c r="EZ332" s="67" t="s">
        <v>2677</v>
      </c>
      <c r="FA332" s="67">
        <v>20449</v>
      </c>
      <c r="FB332" s="67" t="s">
        <v>2678</v>
      </c>
      <c r="FC332" s="67" t="s">
        <v>2679</v>
      </c>
      <c r="FD332" s="67" t="s">
        <v>2680</v>
      </c>
      <c r="FE332" s="68" t="s">
        <v>2681</v>
      </c>
      <c r="FF332" s="68" t="s">
        <v>2682</v>
      </c>
    </row>
    <row r="333" spans="151:162" x14ac:dyDescent="0.2">
      <c r="EU333" s="67">
        <v>572.87</v>
      </c>
      <c r="EV333" s="67" t="s">
        <v>2683</v>
      </c>
      <c r="EW333" s="67">
        <v>498.1</v>
      </c>
      <c r="EX333" s="67" t="s">
        <v>2684</v>
      </c>
      <c r="EY333" s="67">
        <v>5739.75</v>
      </c>
      <c r="EZ333" s="67" t="s">
        <v>2685</v>
      </c>
      <c r="FA333" s="67">
        <v>20451.75</v>
      </c>
      <c r="FB333" s="67" t="s">
        <v>2686</v>
      </c>
      <c r="FC333" s="67" t="s">
        <v>2687</v>
      </c>
      <c r="FD333" s="67" t="s">
        <v>2688</v>
      </c>
      <c r="FE333" s="68" t="s">
        <v>2689</v>
      </c>
      <c r="FF333" s="68" t="s">
        <v>2690</v>
      </c>
    </row>
    <row r="334" spans="151:162" x14ac:dyDescent="0.2">
      <c r="EU334" s="67">
        <v>572.84</v>
      </c>
      <c r="EV334" s="67" t="s">
        <v>2691</v>
      </c>
      <c r="EW334" s="67">
        <v>498.07</v>
      </c>
      <c r="EX334" s="67" t="s">
        <v>2692</v>
      </c>
      <c r="EY334" s="67">
        <v>5739.75</v>
      </c>
      <c r="EZ334" s="67" t="s">
        <v>2693</v>
      </c>
      <c r="FA334" s="67">
        <v>20450</v>
      </c>
      <c r="FB334" s="67" t="s">
        <v>2694</v>
      </c>
      <c r="FC334" s="67" t="s">
        <v>2695</v>
      </c>
      <c r="FD334" s="67" t="s">
        <v>2696</v>
      </c>
      <c r="FE334" s="68" t="s">
        <v>2697</v>
      </c>
      <c r="FF334" s="68" t="s">
        <v>2698</v>
      </c>
    </row>
    <row r="335" spans="151:162" x14ac:dyDescent="0.2">
      <c r="EU335" s="67">
        <v>572.82000000000005</v>
      </c>
      <c r="EV335" s="67" t="s">
        <v>2699</v>
      </c>
      <c r="EW335" s="67">
        <v>498.12</v>
      </c>
      <c r="EX335" s="67" t="s">
        <v>2700</v>
      </c>
      <c r="EY335" s="67">
        <v>5739.75</v>
      </c>
      <c r="EZ335" s="67" t="s">
        <v>2701</v>
      </c>
      <c r="FA335" s="67">
        <v>20449.75</v>
      </c>
      <c r="FB335" s="67" t="s">
        <v>2702</v>
      </c>
      <c r="FC335" s="67" t="s">
        <v>2703</v>
      </c>
      <c r="FD335" s="67" t="s">
        <v>2704</v>
      </c>
      <c r="FE335" s="68" t="s">
        <v>2705</v>
      </c>
      <c r="FF335" s="68" t="s">
        <v>2706</v>
      </c>
    </row>
    <row r="336" spans="151:162" x14ac:dyDescent="0.2">
      <c r="EU336" s="67">
        <v>572.88</v>
      </c>
      <c r="EV336" s="67" t="s">
        <v>2707</v>
      </c>
      <c r="EW336" s="67">
        <v>498.12</v>
      </c>
      <c r="EX336" s="67" t="s">
        <v>2708</v>
      </c>
      <c r="EY336" s="67">
        <v>5740</v>
      </c>
      <c r="EZ336" s="67" t="s">
        <v>2709</v>
      </c>
      <c r="FA336" s="67">
        <v>20452</v>
      </c>
      <c r="FB336" s="67" t="s">
        <v>2710</v>
      </c>
      <c r="FC336" s="67" t="s">
        <v>2711</v>
      </c>
      <c r="FD336" s="67" t="s">
        <v>2712</v>
      </c>
      <c r="FE336" s="68" t="s">
        <v>2713</v>
      </c>
      <c r="FF336" s="68" t="s">
        <v>2714</v>
      </c>
    </row>
    <row r="337" spans="151:162" x14ac:dyDescent="0.2">
      <c r="EU337" s="67">
        <v>572.89</v>
      </c>
      <c r="EV337" s="67" t="s">
        <v>2715</v>
      </c>
      <c r="EW337" s="67">
        <v>498.11</v>
      </c>
      <c r="EX337" s="67" t="s">
        <v>2716</v>
      </c>
      <c r="EY337" s="67">
        <v>5740.25</v>
      </c>
      <c r="EZ337" s="67" t="s">
        <v>2717</v>
      </c>
      <c r="FA337" s="67">
        <v>20451.75</v>
      </c>
      <c r="FB337" s="67" t="s">
        <v>2718</v>
      </c>
      <c r="FC337" s="67" t="s">
        <v>2719</v>
      </c>
      <c r="FD337" s="67" t="s">
        <v>2720</v>
      </c>
      <c r="FE337" s="68" t="s">
        <v>2721</v>
      </c>
      <c r="FF337" s="68" t="s">
        <v>2722</v>
      </c>
    </row>
    <row r="338" spans="151:162" x14ac:dyDescent="0.2">
      <c r="EU338" s="67">
        <v>572.92999999999995</v>
      </c>
      <c r="EV338" s="67" t="s">
        <v>2723</v>
      </c>
      <c r="EW338" s="67">
        <v>498.15</v>
      </c>
      <c r="EX338" s="67" t="s">
        <v>2724</v>
      </c>
      <c r="EY338" s="67">
        <v>5740.5</v>
      </c>
      <c r="EZ338" s="67" t="s">
        <v>2725</v>
      </c>
      <c r="FA338" s="67">
        <v>20453.25</v>
      </c>
      <c r="FB338" s="67" t="s">
        <v>2726</v>
      </c>
      <c r="FC338" s="67" t="s">
        <v>2727</v>
      </c>
      <c r="FD338" s="67" t="s">
        <v>2728</v>
      </c>
      <c r="FE338" s="68" t="s">
        <v>2729</v>
      </c>
      <c r="FF338" s="68" t="s">
        <v>2730</v>
      </c>
    </row>
    <row r="339" spans="151:162" x14ac:dyDescent="0.2">
      <c r="EU339" s="67">
        <v>572.91</v>
      </c>
      <c r="EV339" s="67" t="s">
        <v>2731</v>
      </c>
      <c r="EW339" s="67">
        <v>498.14</v>
      </c>
      <c r="EX339" s="67" t="s">
        <v>2732</v>
      </c>
      <c r="EY339" s="67">
        <v>5740</v>
      </c>
      <c r="EZ339" s="67" t="s">
        <v>2733</v>
      </c>
      <c r="FA339" s="67">
        <v>20452.75</v>
      </c>
      <c r="FB339" s="67" t="s">
        <v>2734</v>
      </c>
      <c r="FC339" s="67" t="s">
        <v>2735</v>
      </c>
      <c r="FD339" s="67" t="s">
        <v>2736</v>
      </c>
      <c r="FE339" s="68" t="s">
        <v>2737</v>
      </c>
      <c r="FF339" s="68" t="s">
        <v>2738</v>
      </c>
    </row>
    <row r="340" spans="151:162" x14ac:dyDescent="0.2">
      <c r="EU340" s="67">
        <v>573.1</v>
      </c>
      <c r="EV340" s="67" t="s">
        <v>2739</v>
      </c>
      <c r="EW340" s="67">
        <v>498.34</v>
      </c>
      <c r="EX340" s="67" t="s">
        <v>2740</v>
      </c>
      <c r="EY340" s="67">
        <v>5742.25</v>
      </c>
      <c r="EZ340" s="67" t="s">
        <v>2741</v>
      </c>
      <c r="FA340" s="67">
        <v>20462.5</v>
      </c>
      <c r="FB340" s="67" t="s">
        <v>2742</v>
      </c>
      <c r="FC340" s="67" t="s">
        <v>2743</v>
      </c>
      <c r="FD340" s="67" t="s">
        <v>2744</v>
      </c>
      <c r="FE340" s="68" t="s">
        <v>2745</v>
      </c>
      <c r="FF340" s="68" t="s">
        <v>2746</v>
      </c>
    </row>
    <row r="341" spans="151:162" x14ac:dyDescent="0.2">
      <c r="EU341" s="67">
        <v>573</v>
      </c>
      <c r="EV341" s="67" t="s">
        <v>2747</v>
      </c>
      <c r="EW341" s="67">
        <v>498.24</v>
      </c>
      <c r="EX341" s="67" t="s">
        <v>2748</v>
      </c>
      <c r="EY341" s="67">
        <v>5741.25</v>
      </c>
      <c r="EZ341" s="67" t="s">
        <v>2749</v>
      </c>
      <c r="FA341" s="67">
        <v>20457.25</v>
      </c>
      <c r="FB341" s="67" t="s">
        <v>2750</v>
      </c>
      <c r="FC341" s="67" t="s">
        <v>2751</v>
      </c>
      <c r="FD341" s="67" t="s">
        <v>2752</v>
      </c>
      <c r="FE341" s="68" t="s">
        <v>2753</v>
      </c>
      <c r="FF341" s="68" t="s">
        <v>2754</v>
      </c>
    </row>
    <row r="342" spans="151:162" x14ac:dyDescent="0.2">
      <c r="EU342" s="67">
        <v>573</v>
      </c>
      <c r="EV342" s="67" t="s">
        <v>2755</v>
      </c>
      <c r="EW342" s="67">
        <v>498.28</v>
      </c>
      <c r="EX342" s="67" t="s">
        <v>2756</v>
      </c>
      <c r="EY342" s="67">
        <v>5741</v>
      </c>
      <c r="EZ342" s="67" t="s">
        <v>2757</v>
      </c>
      <c r="FA342" s="67">
        <v>20458</v>
      </c>
      <c r="FB342" s="67" t="s">
        <v>2758</v>
      </c>
      <c r="FC342" s="67" t="s">
        <v>2759</v>
      </c>
      <c r="FD342" s="67" t="s">
        <v>2760</v>
      </c>
      <c r="FE342" s="68" t="s">
        <v>2761</v>
      </c>
      <c r="FF342" s="68" t="s">
        <v>2762</v>
      </c>
    </row>
    <row r="343" spans="151:162" x14ac:dyDescent="0.2">
      <c r="EU343" s="67">
        <v>572.86</v>
      </c>
      <c r="EV343" s="67" t="s">
        <v>2763</v>
      </c>
      <c r="EW343" s="67">
        <v>498.17</v>
      </c>
      <c r="EX343" s="67" t="s">
        <v>2764</v>
      </c>
      <c r="EY343" s="67">
        <v>5740</v>
      </c>
      <c r="EZ343" s="67" t="s">
        <v>2765</v>
      </c>
      <c r="FA343" s="67">
        <v>20454</v>
      </c>
      <c r="FB343" s="67" t="s">
        <v>2766</v>
      </c>
      <c r="FC343" s="67" t="s">
        <v>2767</v>
      </c>
      <c r="FD343" s="67" t="s">
        <v>2768</v>
      </c>
      <c r="FE343" s="68" t="s">
        <v>2769</v>
      </c>
      <c r="FF343" s="68" t="s">
        <v>2770</v>
      </c>
    </row>
    <row r="344" spans="151:162" x14ac:dyDescent="0.2">
      <c r="EU344" s="67">
        <v>572.91</v>
      </c>
      <c r="EV344" s="67" t="s">
        <v>2771</v>
      </c>
      <c r="EW344" s="67">
        <v>498.17</v>
      </c>
      <c r="EX344" s="67" t="s">
        <v>2772</v>
      </c>
      <c r="EY344" s="67">
        <v>5740.25</v>
      </c>
      <c r="EZ344" s="67" t="s">
        <v>2773</v>
      </c>
      <c r="FA344" s="67">
        <v>20454.75</v>
      </c>
      <c r="FB344" s="67" t="s">
        <v>2774</v>
      </c>
      <c r="FC344" s="67" t="s">
        <v>2775</v>
      </c>
      <c r="FD344" s="67" t="s">
        <v>2776</v>
      </c>
      <c r="FE344" s="68" t="s">
        <v>2777</v>
      </c>
      <c r="FF344" s="68" t="s">
        <v>2778</v>
      </c>
    </row>
    <row r="345" spans="151:162" x14ac:dyDescent="0.2">
      <c r="EU345" s="67">
        <v>572.89</v>
      </c>
      <c r="EV345" s="67" t="s">
        <v>2779</v>
      </c>
      <c r="EW345" s="67">
        <v>498.11</v>
      </c>
      <c r="EX345" s="67" t="s">
        <v>2780</v>
      </c>
      <c r="EY345" s="67">
        <v>5740</v>
      </c>
      <c r="EZ345" s="67" t="s">
        <v>2781</v>
      </c>
      <c r="FA345" s="67">
        <v>20451.75</v>
      </c>
      <c r="FB345" s="67" t="s">
        <v>2782</v>
      </c>
      <c r="FC345" s="67" t="s">
        <v>2783</v>
      </c>
      <c r="FD345" s="67" t="s">
        <v>2784</v>
      </c>
      <c r="FE345" s="68" t="s">
        <v>2785</v>
      </c>
      <c r="FF345" s="68" t="s">
        <v>2786</v>
      </c>
    </row>
    <row r="346" spans="151:162" x14ac:dyDescent="0.2">
      <c r="EU346" s="67">
        <v>572.84</v>
      </c>
      <c r="EV346" s="67" t="s">
        <v>2787</v>
      </c>
      <c r="EW346" s="67">
        <v>498.11</v>
      </c>
      <c r="EX346" s="67" t="s">
        <v>2788</v>
      </c>
      <c r="EY346" s="67">
        <v>5739.5</v>
      </c>
      <c r="EZ346" s="67" t="s">
        <v>2789</v>
      </c>
      <c r="FA346" s="67">
        <v>20449.75</v>
      </c>
      <c r="FB346" s="67" t="s">
        <v>2790</v>
      </c>
      <c r="FC346" s="67" t="s">
        <v>2791</v>
      </c>
      <c r="FD346" s="67" t="s">
        <v>2792</v>
      </c>
      <c r="FE346" s="68" t="s">
        <v>2793</v>
      </c>
      <c r="FF346" s="68" t="s">
        <v>2794</v>
      </c>
    </row>
    <row r="347" spans="151:162" x14ac:dyDescent="0.2">
      <c r="EU347" s="67">
        <v>572.84</v>
      </c>
      <c r="EV347" s="67" t="s">
        <v>2795</v>
      </c>
      <c r="EW347" s="67">
        <v>498.13</v>
      </c>
      <c r="EX347" s="67" t="s">
        <v>2796</v>
      </c>
      <c r="EY347" s="67">
        <v>5739.5</v>
      </c>
      <c r="EZ347" s="67" t="s">
        <v>2797</v>
      </c>
      <c r="FA347" s="67">
        <v>20452.75</v>
      </c>
      <c r="FB347" s="67" t="s">
        <v>2798</v>
      </c>
      <c r="FC347" s="67" t="s">
        <v>2799</v>
      </c>
      <c r="FD347" s="67" t="s">
        <v>2800</v>
      </c>
      <c r="FE347" s="68" t="s">
        <v>2801</v>
      </c>
      <c r="FF347" s="68" t="s">
        <v>2802</v>
      </c>
    </row>
    <row r="348" spans="151:162" x14ac:dyDescent="0.2">
      <c r="EU348" s="67">
        <v>572.84</v>
      </c>
      <c r="EV348" s="67" t="s">
        <v>2803</v>
      </c>
      <c r="EW348" s="67">
        <v>498.13</v>
      </c>
      <c r="EX348" s="67" t="s">
        <v>2804</v>
      </c>
      <c r="EY348" s="67">
        <v>5739.75</v>
      </c>
      <c r="EZ348" s="67" t="s">
        <v>2805</v>
      </c>
      <c r="FA348" s="67">
        <v>20452</v>
      </c>
      <c r="FB348" s="67" t="s">
        <v>2806</v>
      </c>
      <c r="FC348" s="67" t="s">
        <v>2807</v>
      </c>
      <c r="FD348" s="67" t="s">
        <v>2808</v>
      </c>
      <c r="FE348" s="68" t="s">
        <v>2809</v>
      </c>
      <c r="FF348" s="68" t="s">
        <v>2810</v>
      </c>
    </row>
    <row r="349" spans="151:162" x14ac:dyDescent="0.2">
      <c r="EU349" s="67">
        <v>572.88</v>
      </c>
      <c r="EV349" s="67" t="s">
        <v>2811</v>
      </c>
      <c r="EW349" s="67">
        <v>498.17</v>
      </c>
      <c r="EX349" s="67" t="s">
        <v>2812</v>
      </c>
      <c r="EY349" s="67">
        <v>5740</v>
      </c>
      <c r="EZ349" s="67" t="s">
        <v>2813</v>
      </c>
      <c r="FA349" s="67">
        <v>20453.75</v>
      </c>
      <c r="FB349" s="67" t="s">
        <v>2814</v>
      </c>
      <c r="FC349" s="67" t="s">
        <v>2815</v>
      </c>
      <c r="FD349" s="67" t="s">
        <v>2816</v>
      </c>
      <c r="FE349" s="68" t="s">
        <v>2817</v>
      </c>
      <c r="FF349" s="68" t="s">
        <v>2818</v>
      </c>
    </row>
    <row r="350" spans="151:162" x14ac:dyDescent="0.2">
      <c r="EU350" s="67">
        <v>572.75</v>
      </c>
      <c r="EV350" s="67" t="s">
        <v>2819</v>
      </c>
      <c r="EW350" s="67">
        <v>498.03</v>
      </c>
      <c r="EX350" s="67" t="s">
        <v>2820</v>
      </c>
      <c r="EY350" s="67">
        <v>5738.75</v>
      </c>
      <c r="EZ350" s="67" t="s">
        <v>2821</v>
      </c>
      <c r="FA350" s="67">
        <v>20448.5</v>
      </c>
      <c r="FB350" s="67" t="s">
        <v>2822</v>
      </c>
      <c r="FC350" s="67" t="s">
        <v>2823</v>
      </c>
      <c r="FD350" s="67" t="s">
        <v>2824</v>
      </c>
      <c r="FE350" s="68" t="s">
        <v>2825</v>
      </c>
      <c r="FF350" s="68" t="s">
        <v>2826</v>
      </c>
    </row>
    <row r="351" spans="151:162" x14ac:dyDescent="0.2">
      <c r="EU351" s="67">
        <v>572.86</v>
      </c>
      <c r="EV351" s="67" t="s">
        <v>2827</v>
      </c>
      <c r="EW351" s="67">
        <v>498.17</v>
      </c>
      <c r="EX351" s="67" t="s">
        <v>2828</v>
      </c>
      <c r="EY351" s="67">
        <v>5739.75</v>
      </c>
      <c r="EZ351" s="67" t="s">
        <v>2829</v>
      </c>
      <c r="FA351" s="67">
        <v>20454.25</v>
      </c>
      <c r="FB351" s="67" t="s">
        <v>2830</v>
      </c>
      <c r="FC351" s="67" t="s">
        <v>2831</v>
      </c>
      <c r="FD351" s="67" t="s">
        <v>2832</v>
      </c>
      <c r="FE351" s="68" t="s">
        <v>2833</v>
      </c>
      <c r="FF351" s="68" t="s">
        <v>2834</v>
      </c>
    </row>
    <row r="352" spans="151:162" x14ac:dyDescent="0.2">
      <c r="EU352" s="67">
        <v>572.79999999999995</v>
      </c>
      <c r="EV352" s="67" t="s">
        <v>2835</v>
      </c>
      <c r="EW352" s="67">
        <v>498.09</v>
      </c>
      <c r="EX352" s="67" t="s">
        <v>2836</v>
      </c>
      <c r="EY352" s="67">
        <v>5739</v>
      </c>
      <c r="EZ352" s="67" t="s">
        <v>2837</v>
      </c>
      <c r="FA352" s="67">
        <v>20451.25</v>
      </c>
      <c r="FB352" s="67" t="s">
        <v>2838</v>
      </c>
      <c r="FC352" s="67" t="s">
        <v>2839</v>
      </c>
      <c r="FD352" s="67" t="s">
        <v>2840</v>
      </c>
      <c r="FE352" s="68" t="s">
        <v>2841</v>
      </c>
      <c r="FF352" s="68" t="s">
        <v>2842</v>
      </c>
    </row>
    <row r="353" spans="151:162" x14ac:dyDescent="0.2">
      <c r="EU353" s="67">
        <v>572.75</v>
      </c>
      <c r="EV353" s="67" t="s">
        <v>2843</v>
      </c>
      <c r="EW353" s="67">
        <v>498.06</v>
      </c>
      <c r="EX353" s="67" t="s">
        <v>2844</v>
      </c>
      <c r="EY353" s="67">
        <v>5738.75</v>
      </c>
      <c r="EZ353" s="67" t="s">
        <v>2845</v>
      </c>
      <c r="FA353" s="67">
        <v>20450.25</v>
      </c>
      <c r="FB353" s="67" t="s">
        <v>2846</v>
      </c>
      <c r="FC353" s="67" t="s">
        <v>2847</v>
      </c>
      <c r="FD353" s="67" t="s">
        <v>2848</v>
      </c>
      <c r="FE353" s="68" t="s">
        <v>2849</v>
      </c>
      <c r="FF353" s="68" t="s">
        <v>2850</v>
      </c>
    </row>
    <row r="354" spans="151:162" x14ac:dyDescent="0.2">
      <c r="EU354" s="67">
        <v>572.72</v>
      </c>
      <c r="EV354" s="67" t="s">
        <v>2851</v>
      </c>
      <c r="EW354" s="67">
        <v>497.98</v>
      </c>
      <c r="EX354" s="67" t="s">
        <v>2852</v>
      </c>
      <c r="EY354" s="67">
        <v>5738.25</v>
      </c>
      <c r="EZ354" s="67" t="s">
        <v>2853</v>
      </c>
      <c r="FA354" s="67">
        <v>20446.5</v>
      </c>
      <c r="FB354" s="67" t="s">
        <v>2854</v>
      </c>
      <c r="FC354" s="67" t="s">
        <v>2855</v>
      </c>
      <c r="FD354" s="67" t="s">
        <v>2856</v>
      </c>
      <c r="FE354" s="68" t="s">
        <v>2857</v>
      </c>
      <c r="FF354" s="68" t="s">
        <v>2858</v>
      </c>
    </row>
    <row r="355" spans="151:162" x14ac:dyDescent="0.2">
      <c r="EU355" s="67">
        <v>572.92999999999995</v>
      </c>
      <c r="EV355" s="67" t="s">
        <v>2859</v>
      </c>
      <c r="EW355" s="67">
        <v>498.31</v>
      </c>
      <c r="EX355" s="67" t="s">
        <v>2860</v>
      </c>
      <c r="EY355" s="67">
        <v>5740.5</v>
      </c>
      <c r="EZ355" s="67" t="s">
        <v>2861</v>
      </c>
      <c r="FA355" s="67">
        <v>20457.25</v>
      </c>
      <c r="FB355" s="67" t="s">
        <v>2862</v>
      </c>
      <c r="FC355" s="67" t="s">
        <v>2863</v>
      </c>
      <c r="FD355" s="67" t="s">
        <v>2864</v>
      </c>
      <c r="FE355" s="68" t="s">
        <v>2865</v>
      </c>
      <c r="FF355" s="68" t="s">
        <v>2866</v>
      </c>
    </row>
    <row r="356" spans="151:162" x14ac:dyDescent="0.2">
      <c r="EU356" s="67">
        <v>572.88</v>
      </c>
      <c r="EV356" s="67" t="s">
        <v>2867</v>
      </c>
      <c r="EW356" s="67">
        <v>498.29</v>
      </c>
      <c r="EX356" s="67" t="s">
        <v>2868</v>
      </c>
      <c r="EY356" s="67">
        <v>5740</v>
      </c>
      <c r="EZ356" s="67" t="s">
        <v>2869</v>
      </c>
      <c r="FA356" s="67">
        <v>20457.25</v>
      </c>
      <c r="FB356" s="67" t="s">
        <v>2870</v>
      </c>
      <c r="FC356" s="67" t="s">
        <v>2871</v>
      </c>
      <c r="FD356" s="67" t="s">
        <v>2872</v>
      </c>
      <c r="FE356" s="68" t="s">
        <v>2873</v>
      </c>
      <c r="FF356" s="68" t="s">
        <v>2874</v>
      </c>
    </row>
    <row r="357" spans="151:162" x14ac:dyDescent="0.2">
      <c r="EU357" s="67">
        <v>572.77</v>
      </c>
      <c r="EV357" s="67" t="s">
        <v>2875</v>
      </c>
      <c r="EW357" s="67">
        <v>498.2</v>
      </c>
      <c r="EX357" s="67" t="s">
        <v>2876</v>
      </c>
      <c r="EY357" s="67">
        <v>5738.75</v>
      </c>
      <c r="EZ357" s="67" t="s">
        <v>2877</v>
      </c>
      <c r="FA357" s="67">
        <v>20453.25</v>
      </c>
      <c r="FB357" s="67" t="s">
        <v>2878</v>
      </c>
      <c r="FC357" s="67" t="s">
        <v>2879</v>
      </c>
      <c r="FD357" s="67" t="s">
        <v>2880</v>
      </c>
      <c r="FE357" s="68" t="s">
        <v>2881</v>
      </c>
      <c r="FF357" s="68" t="s">
        <v>2882</v>
      </c>
    </row>
    <row r="358" spans="151:162" x14ac:dyDescent="0.2">
      <c r="EU358" s="67">
        <v>572.66999999999996</v>
      </c>
      <c r="EV358" s="67" t="s">
        <v>2883</v>
      </c>
      <c r="EW358" s="67">
        <v>498.05</v>
      </c>
      <c r="EX358" s="67" t="s">
        <v>2884</v>
      </c>
      <c r="EY358" s="67">
        <v>5738</v>
      </c>
      <c r="EZ358" s="67" t="s">
        <v>2885</v>
      </c>
      <c r="FA358" s="67">
        <v>20449.75</v>
      </c>
      <c r="FB358" s="67" t="s">
        <v>2886</v>
      </c>
      <c r="FC358" s="67" t="s">
        <v>2887</v>
      </c>
      <c r="FD358" s="67" t="s">
        <v>2888</v>
      </c>
      <c r="FE358" s="68" t="s">
        <v>2889</v>
      </c>
      <c r="FF358" s="68" t="s">
        <v>2890</v>
      </c>
    </row>
    <row r="359" spans="151:162" x14ac:dyDescent="0.2">
      <c r="EU359" s="67">
        <v>572.72</v>
      </c>
      <c r="EV359" s="67" t="s">
        <v>2891</v>
      </c>
      <c r="EW359" s="67">
        <v>498.12</v>
      </c>
      <c r="EX359" s="67" t="s">
        <v>2892</v>
      </c>
      <c r="EY359" s="67">
        <v>5738.5</v>
      </c>
      <c r="EZ359" s="67" t="s">
        <v>2893</v>
      </c>
      <c r="FA359" s="67">
        <v>20451.25</v>
      </c>
      <c r="FB359" s="67" t="s">
        <v>2894</v>
      </c>
      <c r="FC359" s="67" t="s">
        <v>2895</v>
      </c>
      <c r="FD359" s="67" t="s">
        <v>2896</v>
      </c>
      <c r="FE359" s="68" t="s">
        <v>2897</v>
      </c>
      <c r="FF359" s="68" t="s">
        <v>2898</v>
      </c>
    </row>
    <row r="360" spans="151:162" x14ac:dyDescent="0.2">
      <c r="EU360" s="67">
        <v>572.70000000000005</v>
      </c>
      <c r="EV360" s="67" t="s">
        <v>2899</v>
      </c>
      <c r="EW360" s="67">
        <v>498.09</v>
      </c>
      <c r="EX360" s="67" t="s">
        <v>2900</v>
      </c>
      <c r="EY360" s="67">
        <v>5738</v>
      </c>
      <c r="EZ360" s="67" t="s">
        <v>2901</v>
      </c>
      <c r="FA360" s="67">
        <v>20451</v>
      </c>
      <c r="FB360" s="67" t="s">
        <v>2902</v>
      </c>
      <c r="FC360" s="67" t="s">
        <v>2903</v>
      </c>
      <c r="FD360" s="67" t="s">
        <v>2904</v>
      </c>
      <c r="FE360" s="68" t="s">
        <v>2905</v>
      </c>
      <c r="FF360" s="68" t="s">
        <v>2906</v>
      </c>
    </row>
    <row r="361" spans="151:162" x14ac:dyDescent="0.2">
      <c r="EU361" s="67">
        <v>572.78</v>
      </c>
      <c r="EV361" s="67" t="s">
        <v>2907</v>
      </c>
      <c r="EW361" s="67">
        <v>498.21</v>
      </c>
      <c r="EX361" s="67" t="s">
        <v>2908</v>
      </c>
      <c r="EY361" s="67">
        <v>5739</v>
      </c>
      <c r="EZ361" s="67" t="s">
        <v>2909</v>
      </c>
      <c r="FA361" s="67">
        <v>20455.75</v>
      </c>
      <c r="FB361" s="67" t="s">
        <v>2910</v>
      </c>
      <c r="FC361" s="67" t="s">
        <v>2911</v>
      </c>
      <c r="FD361" s="67" t="s">
        <v>2912</v>
      </c>
      <c r="FE361" s="68" t="s">
        <v>2913</v>
      </c>
      <c r="FF361" s="68" t="s">
        <v>2914</v>
      </c>
    </row>
    <row r="362" spans="151:162" x14ac:dyDescent="0.2">
      <c r="EU362" s="67">
        <v>572.73</v>
      </c>
      <c r="EV362" s="67" t="s">
        <v>2915</v>
      </c>
      <c r="EW362" s="67">
        <v>498.17</v>
      </c>
      <c r="EX362" s="67" t="s">
        <v>2916</v>
      </c>
      <c r="EY362" s="67">
        <v>5738.25</v>
      </c>
      <c r="EZ362" s="67" t="s">
        <v>2917</v>
      </c>
      <c r="FA362" s="67">
        <v>20454.25</v>
      </c>
      <c r="FB362" s="67" t="s">
        <v>2918</v>
      </c>
      <c r="FC362" s="67" t="s">
        <v>2919</v>
      </c>
      <c r="FD362" s="67" t="s">
        <v>2920</v>
      </c>
      <c r="FE362" s="68" t="s">
        <v>2921</v>
      </c>
      <c r="FF362" s="68" t="s">
        <v>2922</v>
      </c>
    </row>
    <row r="363" spans="151:162" x14ac:dyDescent="0.2">
      <c r="EU363" s="67">
        <v>572.74</v>
      </c>
      <c r="EV363" s="67" t="s">
        <v>2923</v>
      </c>
      <c r="EW363" s="67">
        <v>498.26</v>
      </c>
      <c r="EX363" s="67" t="s">
        <v>2924</v>
      </c>
      <c r="EY363" s="67">
        <v>5738.75</v>
      </c>
      <c r="EZ363" s="67" t="s">
        <v>2925</v>
      </c>
      <c r="FA363" s="67">
        <v>20454</v>
      </c>
      <c r="FB363" s="67" t="s">
        <v>2926</v>
      </c>
      <c r="FC363" s="67" t="s">
        <v>2927</v>
      </c>
      <c r="FD363" s="67" t="s">
        <v>2928</v>
      </c>
      <c r="FE363" s="68" t="s">
        <v>2929</v>
      </c>
      <c r="FF363" s="68" t="s">
        <v>2930</v>
      </c>
    </row>
    <row r="364" spans="151:162" x14ac:dyDescent="0.2">
      <c r="EU364" s="67">
        <v>572.78</v>
      </c>
      <c r="EV364" s="67" t="s">
        <v>2931</v>
      </c>
      <c r="EW364" s="67">
        <v>498.24</v>
      </c>
      <c r="EX364" s="67" t="s">
        <v>2932</v>
      </c>
      <c r="EY364" s="67">
        <v>5738.75</v>
      </c>
      <c r="EZ364" s="67" t="s">
        <v>2933</v>
      </c>
      <c r="FA364" s="67">
        <v>20457</v>
      </c>
      <c r="FB364" s="67" t="s">
        <v>2934</v>
      </c>
      <c r="FC364" s="67" t="s">
        <v>2935</v>
      </c>
      <c r="FD364" s="67" t="s">
        <v>2936</v>
      </c>
      <c r="FE364" s="68" t="s">
        <v>2937</v>
      </c>
      <c r="FF364" s="68" t="s">
        <v>2938</v>
      </c>
    </row>
    <row r="365" spans="151:162" x14ac:dyDescent="0.2">
      <c r="EU365" s="67">
        <v>572.79999999999995</v>
      </c>
      <c r="EV365" s="67" t="s">
        <v>2939</v>
      </c>
      <c r="EW365" s="67">
        <v>498.17</v>
      </c>
      <c r="EX365" s="67" t="s">
        <v>2940</v>
      </c>
      <c r="EY365" s="67">
        <v>5738.5</v>
      </c>
      <c r="EZ365" s="67" t="s">
        <v>2941</v>
      </c>
      <c r="FA365" s="67">
        <v>20454</v>
      </c>
      <c r="FB365" s="67" t="s">
        <v>2942</v>
      </c>
      <c r="FC365" s="67" t="s">
        <v>2943</v>
      </c>
      <c r="FD365" s="67" t="s">
        <v>2944</v>
      </c>
      <c r="FE365" s="68" t="s">
        <v>2945</v>
      </c>
      <c r="FF365" s="68" t="s">
        <v>2946</v>
      </c>
    </row>
    <row r="366" spans="151:162" x14ac:dyDescent="0.2">
      <c r="EU366" s="67">
        <v>572.79999999999995</v>
      </c>
      <c r="EV366" s="67" t="s">
        <v>2947</v>
      </c>
      <c r="EW366" s="67">
        <v>498.22</v>
      </c>
      <c r="EX366" s="67" t="s">
        <v>2948</v>
      </c>
      <c r="EY366" s="67">
        <v>5738</v>
      </c>
      <c r="EZ366" s="67" t="s">
        <v>2949</v>
      </c>
      <c r="FA366" s="67">
        <v>20452.75</v>
      </c>
      <c r="FB366" s="67" t="s">
        <v>2950</v>
      </c>
      <c r="FC366" s="67" t="s">
        <v>2951</v>
      </c>
      <c r="FD366" s="67" t="s">
        <v>2952</v>
      </c>
      <c r="FE366" s="68" t="s">
        <v>2953</v>
      </c>
      <c r="FF366" s="68" t="s">
        <v>2954</v>
      </c>
    </row>
    <row r="367" spans="151:162" x14ac:dyDescent="0.2">
      <c r="EU367" s="67">
        <v>572.55999999999995</v>
      </c>
      <c r="EV367" s="67" t="s">
        <v>2955</v>
      </c>
      <c r="EW367" s="67">
        <v>498.02</v>
      </c>
      <c r="EX367" s="67" t="s">
        <v>2956</v>
      </c>
      <c r="EY367" s="67">
        <v>5736.25</v>
      </c>
      <c r="EZ367" s="67" t="s">
        <v>2957</v>
      </c>
      <c r="FA367" s="67">
        <v>20448</v>
      </c>
      <c r="FB367" s="67" t="s">
        <v>2958</v>
      </c>
      <c r="FC367" s="67" t="s">
        <v>2959</v>
      </c>
      <c r="FD367" s="67" t="s">
        <v>2960</v>
      </c>
      <c r="FE367" s="68" t="s">
        <v>2961</v>
      </c>
      <c r="FF367" s="68" t="s">
        <v>2962</v>
      </c>
    </row>
    <row r="368" spans="151:162" x14ac:dyDescent="0.2">
      <c r="EU368" s="67">
        <v>572.5</v>
      </c>
      <c r="EV368" s="67" t="s">
        <v>2963</v>
      </c>
      <c r="EW368" s="67">
        <v>497.98</v>
      </c>
      <c r="EX368" s="67" t="s">
        <v>2964</v>
      </c>
      <c r="EY368" s="67">
        <v>5736</v>
      </c>
      <c r="EZ368" s="67" t="s">
        <v>2965</v>
      </c>
      <c r="FA368" s="67">
        <v>20446.25</v>
      </c>
      <c r="FB368" s="67" t="s">
        <v>2966</v>
      </c>
      <c r="FC368" s="67" t="s">
        <v>2967</v>
      </c>
      <c r="FD368" s="67" t="s">
        <v>2968</v>
      </c>
      <c r="FE368" s="68" t="s">
        <v>2969</v>
      </c>
      <c r="FF368" s="68" t="s">
        <v>2970</v>
      </c>
    </row>
    <row r="369" spans="151:162" x14ac:dyDescent="0.2">
      <c r="EU369" s="67">
        <v>572.62</v>
      </c>
      <c r="EV369" s="67" t="s">
        <v>2971</v>
      </c>
      <c r="EW369" s="67">
        <v>498.25</v>
      </c>
      <c r="EX369" s="67" t="s">
        <v>2972</v>
      </c>
      <c r="EY369" s="67">
        <v>5737.5</v>
      </c>
      <c r="EZ369" s="67" t="s">
        <v>2973</v>
      </c>
      <c r="FA369" s="67">
        <v>20457</v>
      </c>
      <c r="FB369" s="67" t="s">
        <v>2974</v>
      </c>
      <c r="FC369" s="67" t="s">
        <v>2975</v>
      </c>
      <c r="FD369" s="67" t="s">
        <v>2976</v>
      </c>
      <c r="FE369" s="68" t="s">
        <v>2977</v>
      </c>
      <c r="FF369" s="68" t="s">
        <v>2978</v>
      </c>
    </row>
    <row r="370" spans="151:162" x14ac:dyDescent="0.2">
      <c r="EU370" s="67">
        <v>572.62</v>
      </c>
      <c r="EV370" s="67" t="s">
        <v>2979</v>
      </c>
      <c r="EW370" s="67">
        <v>498.22</v>
      </c>
      <c r="EX370" s="67" t="s">
        <v>2980</v>
      </c>
      <c r="EY370" s="67">
        <v>5737.25</v>
      </c>
      <c r="EZ370" s="67" t="s">
        <v>2981</v>
      </c>
      <c r="FA370" s="67">
        <v>20455.75</v>
      </c>
      <c r="FB370" s="67" t="s">
        <v>2982</v>
      </c>
      <c r="FC370" s="67" t="s">
        <v>2983</v>
      </c>
      <c r="FD370" s="67" t="s">
        <v>2984</v>
      </c>
      <c r="FE370" s="68" t="s">
        <v>2985</v>
      </c>
      <c r="FF370" s="68" t="s">
        <v>2986</v>
      </c>
    </row>
    <row r="371" spans="151:162" x14ac:dyDescent="0.2">
      <c r="EU371" s="67">
        <v>572.54999999999995</v>
      </c>
      <c r="EV371" s="67" t="s">
        <v>2987</v>
      </c>
      <c r="EW371" s="67">
        <v>498.19</v>
      </c>
      <c r="EX371" s="67" t="s">
        <v>2988</v>
      </c>
      <c r="EY371" s="67">
        <v>5736.75</v>
      </c>
      <c r="EZ371" s="67" t="s">
        <v>2989</v>
      </c>
      <c r="FA371" s="67">
        <v>20454.25</v>
      </c>
      <c r="FB371" s="67" t="s">
        <v>2990</v>
      </c>
      <c r="FC371" s="67" t="s">
        <v>2991</v>
      </c>
      <c r="FD371" s="67" t="s">
        <v>2992</v>
      </c>
      <c r="FE371" s="68" t="s">
        <v>2993</v>
      </c>
      <c r="FF371" s="68" t="s">
        <v>2994</v>
      </c>
    </row>
    <row r="372" spans="151:162" x14ac:dyDescent="0.2">
      <c r="EU372" s="67">
        <v>572.57000000000005</v>
      </c>
      <c r="EV372" s="67" t="s">
        <v>2995</v>
      </c>
      <c r="EW372" s="67">
        <v>498.17</v>
      </c>
      <c r="EX372" s="67" t="s">
        <v>2996</v>
      </c>
      <c r="EY372" s="67">
        <v>5736.75</v>
      </c>
      <c r="EZ372" s="67" t="s">
        <v>2997</v>
      </c>
      <c r="FA372" s="67">
        <v>20452.5</v>
      </c>
      <c r="FB372" s="67" t="s">
        <v>2998</v>
      </c>
      <c r="FC372" s="67" t="s">
        <v>2999</v>
      </c>
      <c r="FD372" s="67" t="s">
        <v>3000</v>
      </c>
      <c r="FE372" s="68" t="s">
        <v>3001</v>
      </c>
      <c r="FF372" s="68" t="s">
        <v>3002</v>
      </c>
    </row>
    <row r="373" spans="151:162" x14ac:dyDescent="0.2">
      <c r="EU373" s="67">
        <v>572.5</v>
      </c>
      <c r="EV373" s="67" t="s">
        <v>3003</v>
      </c>
      <c r="EW373" s="67">
        <v>498.05</v>
      </c>
      <c r="EX373" s="67" t="s">
        <v>3004</v>
      </c>
      <c r="EY373" s="67">
        <v>5736</v>
      </c>
      <c r="EZ373" s="67" t="s">
        <v>3005</v>
      </c>
      <c r="FA373" s="67">
        <v>20449</v>
      </c>
      <c r="FB373" s="67" t="s">
        <v>3006</v>
      </c>
      <c r="FC373" s="67" t="s">
        <v>3007</v>
      </c>
      <c r="FD373" s="67" t="s">
        <v>3008</v>
      </c>
      <c r="FE373" s="68" t="s">
        <v>3009</v>
      </c>
      <c r="FF373" s="68" t="s">
        <v>3010</v>
      </c>
    </row>
    <row r="374" spans="151:162" x14ac:dyDescent="0.2">
      <c r="EU374" s="67">
        <v>572.91999999999996</v>
      </c>
      <c r="EV374" s="67" t="s">
        <v>3011</v>
      </c>
      <c r="EW374" s="67">
        <v>498.4</v>
      </c>
      <c r="EX374" s="67" t="s">
        <v>3012</v>
      </c>
      <c r="EY374" s="67">
        <v>5740.5</v>
      </c>
      <c r="EZ374" s="67" t="s">
        <v>3013</v>
      </c>
      <c r="FA374" s="67">
        <v>20463.75</v>
      </c>
      <c r="FB374" s="67" t="s">
        <v>3014</v>
      </c>
      <c r="FC374" s="67" t="s">
        <v>3015</v>
      </c>
      <c r="FD374" s="67" t="s">
        <v>3016</v>
      </c>
      <c r="FE374" s="68" t="s">
        <v>3017</v>
      </c>
      <c r="FF374" s="68" t="s">
        <v>3018</v>
      </c>
    </row>
    <row r="375" spans="151:162" x14ac:dyDescent="0.2">
      <c r="EU375" s="67">
        <v>572.82000000000005</v>
      </c>
      <c r="EV375" s="67" t="s">
        <v>3019</v>
      </c>
      <c r="EW375" s="67">
        <v>498.34</v>
      </c>
      <c r="EX375" s="67" t="s">
        <v>3020</v>
      </c>
      <c r="EY375" s="67">
        <v>5739.25</v>
      </c>
      <c r="EZ375" s="67" t="s">
        <v>3021</v>
      </c>
      <c r="FA375" s="67">
        <v>20461.5</v>
      </c>
      <c r="FB375" s="67" t="s">
        <v>3022</v>
      </c>
      <c r="FC375" s="67" t="s">
        <v>3023</v>
      </c>
      <c r="FD375" s="67" t="s">
        <v>3024</v>
      </c>
      <c r="FE375" s="68" t="s">
        <v>3025</v>
      </c>
      <c r="FF375" s="68" t="s">
        <v>3026</v>
      </c>
    </row>
    <row r="376" spans="151:162" x14ac:dyDescent="0.2">
      <c r="EU376" s="67">
        <v>572.95000000000005</v>
      </c>
      <c r="EV376" s="67" t="s">
        <v>3027</v>
      </c>
      <c r="EW376" s="67">
        <v>498.5</v>
      </c>
      <c r="EX376" s="67" t="s">
        <v>3028</v>
      </c>
      <c r="EY376" s="67">
        <v>5740.75</v>
      </c>
      <c r="EZ376" s="67" t="s">
        <v>3029</v>
      </c>
      <c r="FA376" s="67">
        <v>20468</v>
      </c>
      <c r="FB376" s="67" t="s">
        <v>3030</v>
      </c>
      <c r="FC376" s="67" t="s">
        <v>3031</v>
      </c>
      <c r="FD376" s="67" t="s">
        <v>3032</v>
      </c>
      <c r="FE376" s="68" t="s">
        <v>3033</v>
      </c>
      <c r="FF376" s="68" t="s">
        <v>3034</v>
      </c>
    </row>
    <row r="377" spans="151:162" x14ac:dyDescent="0.2">
      <c r="EU377" s="67">
        <v>573.07000000000005</v>
      </c>
      <c r="EV377" s="67" t="s">
        <v>3035</v>
      </c>
      <c r="EW377" s="67">
        <v>498.65</v>
      </c>
      <c r="EX377" s="67" t="s">
        <v>3036</v>
      </c>
      <c r="EY377" s="67">
        <v>5741.75</v>
      </c>
      <c r="EZ377" s="67" t="s">
        <v>3037</v>
      </c>
      <c r="FA377" s="67">
        <v>20473.25</v>
      </c>
      <c r="FB377" s="67" t="s">
        <v>3038</v>
      </c>
      <c r="FC377" s="67" t="s">
        <v>3039</v>
      </c>
      <c r="FD377" s="67" t="s">
        <v>3040</v>
      </c>
      <c r="FE377" s="68" t="s">
        <v>3041</v>
      </c>
      <c r="FF377" s="68" t="s">
        <v>3042</v>
      </c>
    </row>
    <row r="378" spans="151:162" x14ac:dyDescent="0.2">
      <c r="EU378" s="67">
        <v>573.09</v>
      </c>
      <c r="EV378" s="67" t="s">
        <v>3043</v>
      </c>
      <c r="EW378" s="67">
        <v>498.63</v>
      </c>
      <c r="EX378" s="67" t="s">
        <v>3044</v>
      </c>
      <c r="EY378" s="67">
        <v>5742.25</v>
      </c>
      <c r="EZ378" s="67" t="s">
        <v>3045</v>
      </c>
      <c r="FA378" s="67">
        <v>20474.5</v>
      </c>
      <c r="FB378" s="67" t="s">
        <v>3046</v>
      </c>
      <c r="FC378" s="67" t="s">
        <v>3047</v>
      </c>
      <c r="FD378" s="67" t="s">
        <v>3048</v>
      </c>
      <c r="FE378" s="68" t="s">
        <v>3049</v>
      </c>
      <c r="FF378" s="68" t="s">
        <v>3050</v>
      </c>
    </row>
    <row r="379" spans="151:162" x14ac:dyDescent="0.2">
      <c r="EU379" s="67">
        <v>573.16</v>
      </c>
      <c r="EV379" s="67" t="s">
        <v>3051</v>
      </c>
      <c r="EW379" s="67">
        <v>498.72</v>
      </c>
      <c r="EX379" s="67" t="s">
        <v>3052</v>
      </c>
      <c r="EY379" s="67">
        <v>5742.75</v>
      </c>
      <c r="EZ379" s="67" t="s">
        <v>3053</v>
      </c>
      <c r="FA379" s="67">
        <v>20477</v>
      </c>
      <c r="FB379" s="67" t="s">
        <v>3054</v>
      </c>
      <c r="FC379" s="67" t="s">
        <v>3055</v>
      </c>
      <c r="FD379" s="67" t="s">
        <v>3056</v>
      </c>
      <c r="FE379" s="68" t="s">
        <v>3057</v>
      </c>
      <c r="FF379" s="68" t="s">
        <v>3058</v>
      </c>
    </row>
    <row r="380" spans="151:162" x14ac:dyDescent="0.2">
      <c r="EU380" s="67">
        <v>573.04</v>
      </c>
      <c r="EV380" s="67" t="s">
        <v>3059</v>
      </c>
      <c r="EW380" s="67">
        <v>498.65</v>
      </c>
      <c r="EX380" s="67" t="s">
        <v>3060</v>
      </c>
      <c r="EY380" s="67">
        <v>5741.75</v>
      </c>
      <c r="EZ380" s="67" t="s">
        <v>3061</v>
      </c>
      <c r="FA380" s="67">
        <v>20473.75</v>
      </c>
      <c r="FB380" s="67" t="s">
        <v>3062</v>
      </c>
      <c r="FC380" s="67" t="s">
        <v>3063</v>
      </c>
      <c r="FD380" s="67" t="s">
        <v>3064</v>
      </c>
      <c r="FE380" s="68" t="s">
        <v>3065</v>
      </c>
      <c r="FF380" s="68" t="s">
        <v>3066</v>
      </c>
    </row>
    <row r="381" spans="151:162" x14ac:dyDescent="0.2">
      <c r="EU381" s="67">
        <v>572.82000000000005</v>
      </c>
      <c r="EV381" s="67" t="s">
        <v>3067</v>
      </c>
      <c r="EW381" s="67">
        <v>498.46</v>
      </c>
      <c r="EX381" s="67" t="s">
        <v>3068</v>
      </c>
      <c r="EY381" s="67">
        <v>5739.5</v>
      </c>
      <c r="EZ381" s="67" t="s">
        <v>3069</v>
      </c>
      <c r="FA381" s="67">
        <v>20465.75</v>
      </c>
      <c r="FB381" s="67" t="s">
        <v>3070</v>
      </c>
      <c r="FC381" s="67" t="s">
        <v>3071</v>
      </c>
      <c r="FD381" s="67" t="s">
        <v>3072</v>
      </c>
      <c r="FE381" s="68" t="s">
        <v>3073</v>
      </c>
      <c r="FF381" s="68" t="s">
        <v>3074</v>
      </c>
    </row>
    <row r="382" spans="151:162" x14ac:dyDescent="0.2">
      <c r="EU382" s="67">
        <v>572.9</v>
      </c>
      <c r="EV382" s="67" t="s">
        <v>3075</v>
      </c>
      <c r="EW382" s="67">
        <v>498.57</v>
      </c>
      <c r="EX382" s="67" t="s">
        <v>3076</v>
      </c>
      <c r="EY382" s="67">
        <v>5740.25</v>
      </c>
      <c r="EZ382" s="67" t="s">
        <v>3077</v>
      </c>
      <c r="FA382" s="67">
        <v>20469.25</v>
      </c>
      <c r="FB382" s="67" t="s">
        <v>3078</v>
      </c>
      <c r="FC382" s="67" t="s">
        <v>3079</v>
      </c>
      <c r="FD382" s="67" t="s">
        <v>3080</v>
      </c>
      <c r="FE382" s="68" t="s">
        <v>3081</v>
      </c>
      <c r="FF382" s="68" t="s">
        <v>3082</v>
      </c>
    </row>
    <row r="383" spans="151:162" x14ac:dyDescent="0.2">
      <c r="EU383" s="67">
        <v>572.94000000000005</v>
      </c>
      <c r="EV383" s="67" t="s">
        <v>3083</v>
      </c>
      <c r="EW383" s="67">
        <v>498.58</v>
      </c>
      <c r="EX383" s="67" t="s">
        <v>3084</v>
      </c>
      <c r="EY383" s="67">
        <v>5740.75</v>
      </c>
      <c r="EZ383" s="67" t="s">
        <v>3085</v>
      </c>
      <c r="FA383" s="67">
        <v>20471.25</v>
      </c>
      <c r="FB383" s="67" t="s">
        <v>3086</v>
      </c>
      <c r="FC383" s="67" t="s">
        <v>3087</v>
      </c>
      <c r="FD383" s="67" t="s">
        <v>3088</v>
      </c>
      <c r="FE383" s="68" t="s">
        <v>3089</v>
      </c>
      <c r="FF383" s="68" t="s">
        <v>3090</v>
      </c>
    </row>
    <row r="384" spans="151:162" x14ac:dyDescent="0.2">
      <c r="EU384" s="67">
        <v>572.94000000000005</v>
      </c>
      <c r="EV384" s="67" t="s">
        <v>3091</v>
      </c>
      <c r="EW384" s="67">
        <v>498.57</v>
      </c>
      <c r="EX384" s="67" t="s">
        <v>3092</v>
      </c>
      <c r="EY384" s="67">
        <v>5740.5</v>
      </c>
      <c r="EZ384" s="67" t="s">
        <v>3093</v>
      </c>
      <c r="FA384" s="67">
        <v>20470.75</v>
      </c>
      <c r="FB384" s="67" t="s">
        <v>3094</v>
      </c>
      <c r="FC384" s="67" t="s">
        <v>3095</v>
      </c>
      <c r="FD384" s="67" t="s">
        <v>3096</v>
      </c>
      <c r="FE384" s="68" t="s">
        <v>3097</v>
      </c>
      <c r="FF384" s="68" t="s">
        <v>3098</v>
      </c>
    </row>
    <row r="385" spans="151:162" x14ac:dyDescent="0.2">
      <c r="EU385" s="67">
        <v>572.99</v>
      </c>
      <c r="EV385" s="67" t="s">
        <v>3099</v>
      </c>
      <c r="EW385" s="67">
        <v>498.65</v>
      </c>
      <c r="EX385" s="67" t="s">
        <v>3100</v>
      </c>
      <c r="EY385" s="67">
        <v>5741</v>
      </c>
      <c r="EZ385" s="67" t="s">
        <v>3101</v>
      </c>
      <c r="FA385" s="67">
        <v>20470.75</v>
      </c>
      <c r="FB385" s="67" t="s">
        <v>3102</v>
      </c>
      <c r="FC385" s="67" t="s">
        <v>3103</v>
      </c>
      <c r="FD385" s="67" t="s">
        <v>3104</v>
      </c>
      <c r="FE385" s="68" t="s">
        <v>3105</v>
      </c>
      <c r="FF385" s="68" t="s">
        <v>3106</v>
      </c>
    </row>
    <row r="386" spans="151:162" x14ac:dyDescent="0.2">
      <c r="EU386" s="67">
        <v>573.02</v>
      </c>
      <c r="EV386" s="67" t="s">
        <v>3107</v>
      </c>
      <c r="EW386" s="67">
        <v>498.65</v>
      </c>
      <c r="EX386" s="67" t="s">
        <v>3108</v>
      </c>
      <c r="EY386" s="67">
        <v>5741.25</v>
      </c>
      <c r="EZ386" s="67" t="s">
        <v>3109</v>
      </c>
      <c r="FA386" s="67">
        <v>20473.25</v>
      </c>
      <c r="FB386" s="67" t="s">
        <v>3110</v>
      </c>
      <c r="FC386" s="67" t="s">
        <v>3111</v>
      </c>
      <c r="FD386" s="67" t="s">
        <v>3112</v>
      </c>
      <c r="FE386" s="68" t="s">
        <v>3113</v>
      </c>
      <c r="FF386" s="68" t="s">
        <v>3114</v>
      </c>
    </row>
    <row r="387" spans="151:162" x14ac:dyDescent="0.2">
      <c r="EU387" s="67">
        <v>573.09</v>
      </c>
      <c r="EV387" s="67" t="s">
        <v>3115</v>
      </c>
      <c r="EW387" s="67">
        <v>498.72</v>
      </c>
      <c r="EX387" s="67" t="s">
        <v>3116</v>
      </c>
      <c r="EY387" s="67">
        <v>5742</v>
      </c>
      <c r="EZ387" s="67" t="s">
        <v>3117</v>
      </c>
      <c r="FA387" s="67">
        <v>20476.75</v>
      </c>
      <c r="FB387" s="67" t="s">
        <v>3118</v>
      </c>
      <c r="FC387" s="67" t="s">
        <v>3119</v>
      </c>
      <c r="FD387" s="67" t="s">
        <v>3120</v>
      </c>
      <c r="FE387" s="68" t="s">
        <v>3121</v>
      </c>
      <c r="FF387" s="68" t="s">
        <v>3122</v>
      </c>
    </row>
    <row r="388" spans="151:162" x14ac:dyDescent="0.2">
      <c r="EU388" s="67">
        <v>573.17999999999995</v>
      </c>
      <c r="EV388" s="67" t="s">
        <v>3123</v>
      </c>
      <c r="EW388" s="67">
        <v>498.8</v>
      </c>
      <c r="EX388" s="67" t="s">
        <v>3124</v>
      </c>
      <c r="EY388" s="67">
        <v>5743</v>
      </c>
      <c r="EZ388" s="67" t="s">
        <v>3125</v>
      </c>
      <c r="FA388" s="67">
        <v>20480.5</v>
      </c>
      <c r="FB388" s="67" t="s">
        <v>3126</v>
      </c>
      <c r="FC388" s="67" t="s">
        <v>3127</v>
      </c>
      <c r="FD388" s="67" t="s">
        <v>3128</v>
      </c>
      <c r="FE388" s="68" t="s">
        <v>3129</v>
      </c>
      <c r="FF388" s="68" t="s">
        <v>3130</v>
      </c>
    </row>
    <row r="389" spans="151:162" x14ac:dyDescent="0.2">
      <c r="EU389" s="67">
        <v>573.17999999999995</v>
      </c>
      <c r="EV389" s="67" t="s">
        <v>3131</v>
      </c>
      <c r="EW389" s="67">
        <v>498.85</v>
      </c>
      <c r="EX389" s="67" t="s">
        <v>3132</v>
      </c>
      <c r="EY389" s="67">
        <v>5743</v>
      </c>
      <c r="EZ389" s="67" t="s">
        <v>3133</v>
      </c>
      <c r="FA389" s="67">
        <v>20479.25</v>
      </c>
      <c r="FB389" s="67" t="s">
        <v>3134</v>
      </c>
      <c r="FC389" s="67" t="s">
        <v>3135</v>
      </c>
      <c r="FD389" s="67" t="s">
        <v>3136</v>
      </c>
      <c r="FE389" s="68" t="s">
        <v>3137</v>
      </c>
      <c r="FF389" s="68" t="s">
        <v>3138</v>
      </c>
    </row>
    <row r="390" spans="151:162" x14ac:dyDescent="0.2">
      <c r="EU390" s="67">
        <v>573.09</v>
      </c>
      <c r="EV390" s="67" t="s">
        <v>3139</v>
      </c>
      <c r="EW390" s="67">
        <v>498.68</v>
      </c>
      <c r="EX390" s="67" t="s">
        <v>3140</v>
      </c>
      <c r="EY390" s="67">
        <v>5742.25</v>
      </c>
      <c r="EZ390" s="67" t="s">
        <v>3141</v>
      </c>
      <c r="FA390" s="67">
        <v>20474.75</v>
      </c>
      <c r="FB390" s="67" t="s">
        <v>3142</v>
      </c>
      <c r="FC390" s="67" t="s">
        <v>3143</v>
      </c>
      <c r="FD390" s="67" t="s">
        <v>3144</v>
      </c>
      <c r="FE390" s="68" t="s">
        <v>3145</v>
      </c>
      <c r="FF390" s="68" t="s">
        <v>3146</v>
      </c>
    </row>
    <row r="391" spans="151:162" x14ac:dyDescent="0.2">
      <c r="EU391" s="67">
        <v>573.17999999999995</v>
      </c>
      <c r="EV391" s="67" t="s">
        <v>3147</v>
      </c>
      <c r="EW391" s="67">
        <v>498.77</v>
      </c>
      <c r="EX391" s="67" t="s">
        <v>3148</v>
      </c>
      <c r="EY391" s="67">
        <v>5743</v>
      </c>
      <c r="EZ391" s="67" t="s">
        <v>3149</v>
      </c>
      <c r="FA391" s="67">
        <v>20476.5</v>
      </c>
      <c r="FB391" s="67" t="s">
        <v>3150</v>
      </c>
      <c r="FC391" s="67" t="s">
        <v>3151</v>
      </c>
      <c r="FD391" s="67" t="s">
        <v>3152</v>
      </c>
      <c r="FE391" s="68" t="s">
        <v>3153</v>
      </c>
      <c r="FF391" s="68" t="s">
        <v>3154</v>
      </c>
    </row>
    <row r="392" spans="151:162" x14ac:dyDescent="0.2">
      <c r="EU392" s="67">
        <v>573.19000000000005</v>
      </c>
      <c r="EV392" s="67" t="s">
        <v>3155</v>
      </c>
      <c r="EW392" s="67">
        <v>498.77</v>
      </c>
      <c r="EX392" s="67" t="s">
        <v>3156</v>
      </c>
      <c r="EY392" s="67">
        <v>5743</v>
      </c>
      <c r="EZ392" s="67" t="s">
        <v>3157</v>
      </c>
      <c r="FA392" s="67">
        <v>20477.75</v>
      </c>
      <c r="FB392" s="67" t="s">
        <v>3158</v>
      </c>
      <c r="FC392" s="67" t="s">
        <v>3159</v>
      </c>
      <c r="FD392" s="67" t="s">
        <v>3160</v>
      </c>
      <c r="FE392" s="68" t="s">
        <v>3161</v>
      </c>
      <c r="FF392" s="68" t="s">
        <v>3162</v>
      </c>
    </row>
    <row r="393" spans="151:162" x14ac:dyDescent="0.2">
      <c r="EU393" s="67">
        <v>573.29</v>
      </c>
      <c r="EV393" s="67" t="s">
        <v>3163</v>
      </c>
      <c r="EW393" s="67">
        <v>498.78</v>
      </c>
      <c r="EX393" s="67" t="s">
        <v>3164</v>
      </c>
      <c r="EY393" s="67">
        <v>5744</v>
      </c>
      <c r="EZ393" s="67" t="s">
        <v>3165</v>
      </c>
      <c r="FA393" s="67">
        <v>20479.5</v>
      </c>
      <c r="FB393" s="67" t="s">
        <v>3166</v>
      </c>
      <c r="FC393" s="67" t="s">
        <v>3167</v>
      </c>
      <c r="FD393" s="67" t="s">
        <v>3168</v>
      </c>
      <c r="FE393" s="68" t="s">
        <v>3169</v>
      </c>
      <c r="FF393" s="68" t="s">
        <v>3170</v>
      </c>
    </row>
    <row r="394" spans="151:162" x14ac:dyDescent="0.2">
      <c r="EU394" s="67">
        <v>573.37</v>
      </c>
      <c r="EV394" s="67" t="s">
        <v>3171</v>
      </c>
      <c r="EW394" s="67">
        <v>498.89</v>
      </c>
      <c r="EX394" s="67" t="s">
        <v>3172</v>
      </c>
      <c r="EY394" s="67">
        <v>5745</v>
      </c>
      <c r="EZ394" s="67" t="s">
        <v>3173</v>
      </c>
      <c r="FA394" s="67">
        <v>20483.5</v>
      </c>
      <c r="FB394" s="67" t="s">
        <v>3174</v>
      </c>
      <c r="FC394" s="67" t="s">
        <v>3175</v>
      </c>
      <c r="FD394" s="67" t="s">
        <v>3176</v>
      </c>
      <c r="FE394" s="68" t="s">
        <v>3177</v>
      </c>
      <c r="FF394" s="68" t="s">
        <v>3178</v>
      </c>
    </row>
    <row r="395" spans="151:162" x14ac:dyDescent="0.2">
      <c r="EU395" s="67">
        <v>573.52</v>
      </c>
      <c r="EV395" s="67" t="s">
        <v>3179</v>
      </c>
      <c r="EW395" s="67">
        <v>499.09</v>
      </c>
      <c r="EX395" s="67" t="s">
        <v>3180</v>
      </c>
      <c r="EY395" s="67">
        <v>5746.75</v>
      </c>
      <c r="EZ395" s="67" t="s">
        <v>3181</v>
      </c>
      <c r="FA395" s="67">
        <v>20492</v>
      </c>
      <c r="FB395" s="67" t="s">
        <v>3182</v>
      </c>
      <c r="FC395" s="67" t="s">
        <v>3183</v>
      </c>
      <c r="FD395" s="67" t="s">
        <v>3184</v>
      </c>
      <c r="FE395" s="68" t="s">
        <v>3185</v>
      </c>
      <c r="FF395" s="68" t="s">
        <v>3186</v>
      </c>
    </row>
    <row r="396" spans="151:162" x14ac:dyDescent="0.2">
      <c r="EU396" s="67">
        <v>573.36</v>
      </c>
      <c r="EV396" s="67" t="s">
        <v>3187</v>
      </c>
      <c r="EW396" s="67">
        <v>498.94</v>
      </c>
      <c r="EX396" s="67" t="s">
        <v>3188</v>
      </c>
      <c r="EY396" s="67">
        <v>5745</v>
      </c>
      <c r="EZ396" s="67" t="s">
        <v>3189</v>
      </c>
      <c r="FA396" s="67">
        <v>20486</v>
      </c>
      <c r="FB396" s="67" t="s">
        <v>3190</v>
      </c>
      <c r="FC396" s="67" t="s">
        <v>3191</v>
      </c>
      <c r="FD396" s="67" t="s">
        <v>3192</v>
      </c>
      <c r="FE396" s="68" t="s">
        <v>3193</v>
      </c>
      <c r="FF396" s="68" t="s">
        <v>3194</v>
      </c>
    </row>
    <row r="397" spans="151:162" x14ac:dyDescent="0.2">
      <c r="EU397" s="67">
        <v>573.4</v>
      </c>
      <c r="EV397" s="67" t="s">
        <v>3195</v>
      </c>
      <c r="EW397" s="67">
        <v>498.88</v>
      </c>
      <c r="EX397" s="67" t="s">
        <v>3196</v>
      </c>
      <c r="EY397" s="67">
        <v>5745.25</v>
      </c>
      <c r="EZ397" s="67" t="s">
        <v>3197</v>
      </c>
      <c r="FA397" s="67">
        <v>20483.5</v>
      </c>
      <c r="FB397" s="67" t="s">
        <v>3198</v>
      </c>
      <c r="FC397" s="67" t="s">
        <v>3199</v>
      </c>
      <c r="FD397" s="67" t="s">
        <v>3200</v>
      </c>
      <c r="FE397" s="68" t="s">
        <v>3201</v>
      </c>
      <c r="FF397" s="68" t="s">
        <v>3202</v>
      </c>
    </row>
    <row r="398" spans="151:162" x14ac:dyDescent="0.2">
      <c r="EU398" s="67">
        <v>573.41</v>
      </c>
      <c r="EV398" s="67" t="s">
        <v>3203</v>
      </c>
      <c r="EW398" s="67">
        <v>498.81</v>
      </c>
      <c r="EX398" s="67" t="s">
        <v>3204</v>
      </c>
      <c r="EY398" s="67">
        <v>5745.25</v>
      </c>
      <c r="EZ398" s="67" t="s">
        <v>3205</v>
      </c>
      <c r="FA398" s="67">
        <v>20481</v>
      </c>
      <c r="FB398" s="67" t="s">
        <v>3206</v>
      </c>
      <c r="FC398" s="67" t="s">
        <v>3207</v>
      </c>
      <c r="FD398" s="67" t="s">
        <v>3208</v>
      </c>
      <c r="FE398" s="68" t="s">
        <v>3209</v>
      </c>
      <c r="FF398" s="68" t="s">
        <v>3210</v>
      </c>
    </row>
    <row r="399" spans="151:162" x14ac:dyDescent="0.2">
      <c r="EU399" s="67">
        <v>573.34</v>
      </c>
      <c r="EV399" s="67" t="s">
        <v>3211</v>
      </c>
      <c r="EW399" s="67">
        <v>498.65</v>
      </c>
      <c r="EX399" s="67" t="s">
        <v>3212</v>
      </c>
      <c r="EY399" s="67">
        <v>5744.75</v>
      </c>
      <c r="EZ399" s="67" t="s">
        <v>3213</v>
      </c>
      <c r="FA399" s="67">
        <v>20473.75</v>
      </c>
      <c r="FB399" s="67" t="s">
        <v>3214</v>
      </c>
      <c r="FC399" s="67" t="s">
        <v>3215</v>
      </c>
      <c r="FD399" s="67" t="s">
        <v>3216</v>
      </c>
      <c r="FE399" s="68" t="s">
        <v>3217</v>
      </c>
      <c r="FF399" s="68" t="s">
        <v>3218</v>
      </c>
    </row>
    <row r="400" spans="151:162" x14ac:dyDescent="0.2">
      <c r="EU400" s="67">
        <v>573.35</v>
      </c>
      <c r="EV400" s="67" t="s">
        <v>3219</v>
      </c>
      <c r="EW400" s="67">
        <v>498.7</v>
      </c>
      <c r="EX400" s="67" t="s">
        <v>3220</v>
      </c>
      <c r="EY400" s="67">
        <v>5744.5</v>
      </c>
      <c r="EZ400" s="67" t="s">
        <v>3221</v>
      </c>
      <c r="FA400" s="67">
        <v>20475.75</v>
      </c>
      <c r="FB400" s="67" t="s">
        <v>3222</v>
      </c>
      <c r="FC400" s="67" t="s">
        <v>3223</v>
      </c>
      <c r="FD400" s="67" t="s">
        <v>3224</v>
      </c>
      <c r="FE400" s="68" t="s">
        <v>3225</v>
      </c>
      <c r="FF400" s="68" t="s">
        <v>3226</v>
      </c>
    </row>
    <row r="401" spans="151:162" x14ac:dyDescent="0.2">
      <c r="EU401" s="67">
        <v>573.29</v>
      </c>
      <c r="EV401" s="67" t="s">
        <v>3227</v>
      </c>
      <c r="EW401" s="67">
        <v>498.54</v>
      </c>
      <c r="EX401" s="67" t="s">
        <v>3228</v>
      </c>
      <c r="EY401" s="67">
        <v>5744.25</v>
      </c>
      <c r="EZ401" s="67" t="s">
        <v>3229</v>
      </c>
      <c r="FA401" s="67">
        <v>20469.5</v>
      </c>
      <c r="FB401" s="67" t="s">
        <v>3230</v>
      </c>
      <c r="FC401" s="67" t="s">
        <v>3231</v>
      </c>
      <c r="FD401" s="67" t="s">
        <v>3232</v>
      </c>
      <c r="FE401" s="68" t="s">
        <v>3233</v>
      </c>
      <c r="FF401" s="68" t="s">
        <v>3234</v>
      </c>
    </row>
    <row r="402" spans="151:162" x14ac:dyDescent="0.2">
      <c r="EU402" s="67">
        <v>573.29</v>
      </c>
      <c r="EV402" s="67" t="s">
        <v>3235</v>
      </c>
      <c r="EW402" s="67">
        <v>498.59</v>
      </c>
      <c r="EX402" s="67" t="s">
        <v>3236</v>
      </c>
      <c r="EY402" s="67">
        <v>5744</v>
      </c>
      <c r="EZ402" s="67" t="s">
        <v>3237</v>
      </c>
      <c r="FA402" s="67">
        <v>20471.25</v>
      </c>
      <c r="FB402" s="67" t="s">
        <v>3238</v>
      </c>
      <c r="FC402" s="67" t="s">
        <v>3239</v>
      </c>
      <c r="FD402" s="67" t="s">
        <v>3240</v>
      </c>
      <c r="FE402" s="68" t="s">
        <v>3241</v>
      </c>
      <c r="FF402" s="68" t="s">
        <v>3242</v>
      </c>
    </row>
    <row r="403" spans="151:162" x14ac:dyDescent="0.2">
      <c r="EU403" s="67">
        <v>573.21</v>
      </c>
      <c r="EV403" s="67" t="s">
        <v>3243</v>
      </c>
      <c r="EW403" s="67">
        <v>498.6</v>
      </c>
      <c r="EX403" s="67" t="s">
        <v>3244</v>
      </c>
      <c r="EY403" s="67">
        <v>5743.5</v>
      </c>
      <c r="EZ403" s="67" t="s">
        <v>3245</v>
      </c>
      <c r="FA403" s="67">
        <v>20468.5</v>
      </c>
      <c r="FB403" s="67" t="s">
        <v>3246</v>
      </c>
      <c r="FC403" s="67" t="s">
        <v>3247</v>
      </c>
      <c r="FD403" s="67" t="s">
        <v>3248</v>
      </c>
      <c r="FE403" s="68" t="s">
        <v>3249</v>
      </c>
      <c r="FF403" s="68" t="s">
        <v>3250</v>
      </c>
    </row>
    <row r="404" spans="151:162" x14ac:dyDescent="0.2">
      <c r="EU404" s="67">
        <v>573.16999999999996</v>
      </c>
      <c r="EV404" s="67" t="s">
        <v>3251</v>
      </c>
      <c r="EW404" s="67">
        <v>498.46</v>
      </c>
      <c r="EX404" s="67" t="s">
        <v>3252</v>
      </c>
      <c r="EY404" s="67">
        <v>5743</v>
      </c>
      <c r="EZ404" s="67" t="s">
        <v>3253</v>
      </c>
      <c r="FA404" s="67">
        <v>20466</v>
      </c>
      <c r="FB404" s="67" t="s">
        <v>3254</v>
      </c>
      <c r="FC404" s="67" t="s">
        <v>3255</v>
      </c>
      <c r="FD404" s="67" t="s">
        <v>3256</v>
      </c>
      <c r="FE404" s="68" t="s">
        <v>3257</v>
      </c>
      <c r="FF404" s="68" t="s">
        <v>3258</v>
      </c>
    </row>
    <row r="405" spans="151:162" x14ac:dyDescent="0.2">
      <c r="EU405" s="67">
        <v>573.16</v>
      </c>
      <c r="EV405" s="67" t="s">
        <v>3259</v>
      </c>
      <c r="EW405" s="67">
        <v>498.38</v>
      </c>
      <c r="EX405" s="67" t="s">
        <v>3260</v>
      </c>
      <c r="EY405" s="67">
        <v>5742.75</v>
      </c>
      <c r="EZ405" s="67" t="s">
        <v>3261</v>
      </c>
      <c r="FA405" s="67">
        <v>20463.25</v>
      </c>
      <c r="FB405" s="67" t="s">
        <v>3262</v>
      </c>
      <c r="FC405" s="67" t="s">
        <v>3263</v>
      </c>
      <c r="FD405" s="67" t="s">
        <v>3264</v>
      </c>
      <c r="FE405" s="68" t="s">
        <v>3265</v>
      </c>
      <c r="FF405" s="68" t="s">
        <v>3266</v>
      </c>
    </row>
    <row r="406" spans="151:162" x14ac:dyDescent="0.2">
      <c r="EU406" s="67">
        <v>573.19000000000005</v>
      </c>
      <c r="EV406" s="67" t="s">
        <v>3267</v>
      </c>
      <c r="EW406" s="67">
        <v>498.41</v>
      </c>
      <c r="EX406" s="67" t="s">
        <v>3268</v>
      </c>
      <c r="EY406" s="67">
        <v>5743.25</v>
      </c>
      <c r="EZ406" s="67" t="s">
        <v>3269</v>
      </c>
      <c r="FA406" s="67">
        <v>20463.75</v>
      </c>
      <c r="FB406" s="67" t="s">
        <v>3270</v>
      </c>
      <c r="FC406" s="67" t="s">
        <v>3271</v>
      </c>
      <c r="FD406" s="67" t="s">
        <v>3272</v>
      </c>
      <c r="FE406" s="68" t="s">
        <v>3273</v>
      </c>
      <c r="FF406" s="68" t="s">
        <v>3274</v>
      </c>
    </row>
    <row r="407" spans="151:162" x14ac:dyDescent="0.2">
      <c r="EU407" s="67">
        <v>573.16</v>
      </c>
      <c r="EV407" s="67" t="s">
        <v>3275</v>
      </c>
      <c r="EW407" s="67">
        <v>498.36</v>
      </c>
      <c r="EX407" s="67" t="s">
        <v>3276</v>
      </c>
      <c r="EY407" s="67">
        <v>5742.75</v>
      </c>
      <c r="EZ407" s="67" t="s">
        <v>3277</v>
      </c>
      <c r="FA407" s="67">
        <v>20462</v>
      </c>
      <c r="FB407" s="67" t="s">
        <v>3278</v>
      </c>
      <c r="FC407" s="67" t="s">
        <v>3279</v>
      </c>
      <c r="FD407" s="67" t="s">
        <v>3280</v>
      </c>
      <c r="FE407" s="68" t="s">
        <v>3281</v>
      </c>
      <c r="FF407" s="68" t="s">
        <v>3282</v>
      </c>
    </row>
    <row r="408" spans="151:162" x14ac:dyDescent="0.2">
      <c r="EU408" s="67">
        <v>573.16</v>
      </c>
      <c r="EV408" s="67" t="s">
        <v>3283</v>
      </c>
      <c r="EW408" s="67">
        <v>498.35</v>
      </c>
      <c r="EX408" s="67" t="s">
        <v>3284</v>
      </c>
      <c r="EY408" s="67">
        <v>5743</v>
      </c>
      <c r="EZ408" s="67" t="s">
        <v>3285</v>
      </c>
      <c r="FA408" s="67">
        <v>20461.5</v>
      </c>
      <c r="FB408" s="67" t="s">
        <v>3286</v>
      </c>
      <c r="FC408" s="67" t="s">
        <v>3287</v>
      </c>
      <c r="FD408" s="67" t="s">
        <v>3288</v>
      </c>
      <c r="FE408" s="68" t="s">
        <v>3289</v>
      </c>
      <c r="FF408" s="68" t="s">
        <v>3290</v>
      </c>
    </row>
    <row r="409" spans="151:162" x14ac:dyDescent="0.2">
      <c r="EU409" s="67">
        <v>576.78</v>
      </c>
      <c r="EV409" s="67" t="s">
        <v>3291</v>
      </c>
      <c r="EW409" s="67">
        <v>501.35</v>
      </c>
      <c r="EX409" s="67" t="s">
        <v>3292</v>
      </c>
      <c r="EY409" s="67">
        <v>5785.25</v>
      </c>
      <c r="EZ409" s="67" t="s">
        <v>3293</v>
      </c>
      <c r="FA409" s="67">
        <v>20617.75</v>
      </c>
      <c r="FB409" s="67" t="s">
        <v>3294</v>
      </c>
      <c r="FC409" s="67" t="s">
        <v>3295</v>
      </c>
      <c r="FD409" s="67" t="s">
        <v>3296</v>
      </c>
      <c r="FE409" s="68" t="s">
        <v>3297</v>
      </c>
      <c r="FF409" s="68" t="s">
        <v>3298</v>
      </c>
    </row>
    <row r="410" spans="151:162" x14ac:dyDescent="0.2">
      <c r="EU410" s="67">
        <v>579.22</v>
      </c>
      <c r="EV410" s="67" t="s">
        <v>3299</v>
      </c>
      <c r="EW410" s="67">
        <v>503.91</v>
      </c>
      <c r="EX410" s="67" t="s">
        <v>3300</v>
      </c>
      <c r="EY410" s="67">
        <v>5804</v>
      </c>
      <c r="EZ410" s="67" t="s">
        <v>3301</v>
      </c>
      <c r="FA410" s="67">
        <v>20697.75</v>
      </c>
      <c r="FB410" s="67" t="s">
        <v>3302</v>
      </c>
      <c r="FC410" s="67" t="s">
        <v>3303</v>
      </c>
      <c r="FD410" s="67" t="s">
        <v>3304</v>
      </c>
      <c r="FE410" s="68" t="s">
        <v>3305</v>
      </c>
      <c r="FF410" s="68" t="s">
        <v>3306</v>
      </c>
    </row>
    <row r="411" spans="151:162" x14ac:dyDescent="0.2">
      <c r="EU411" s="67">
        <v>578.59</v>
      </c>
      <c r="EV411" s="67" t="s">
        <v>3307</v>
      </c>
      <c r="EW411" s="67">
        <v>503.26</v>
      </c>
      <c r="EX411" s="67" t="s">
        <v>3308</v>
      </c>
      <c r="EY411" s="67">
        <v>5798.25</v>
      </c>
      <c r="EZ411" s="67" t="s">
        <v>3309</v>
      </c>
      <c r="FA411" s="67">
        <v>20664</v>
      </c>
      <c r="FB411" s="67" t="s">
        <v>3310</v>
      </c>
      <c r="FC411" s="67" t="s">
        <v>3311</v>
      </c>
      <c r="FD411" s="67" t="s">
        <v>3312</v>
      </c>
      <c r="FE411" s="68" t="s">
        <v>3313</v>
      </c>
      <c r="FF411" s="68" t="s">
        <v>3314</v>
      </c>
    </row>
    <row r="412" spans="151:162" x14ac:dyDescent="0.2">
      <c r="EU412" s="67">
        <v>578.51</v>
      </c>
      <c r="EV412" s="67" t="s">
        <v>3315</v>
      </c>
      <c r="EW412" s="67">
        <v>503.5</v>
      </c>
      <c r="EX412" s="67" t="s">
        <v>3316</v>
      </c>
      <c r="EY412" s="67">
        <v>5796.75</v>
      </c>
      <c r="EZ412" s="67" t="s">
        <v>3317</v>
      </c>
      <c r="FA412" s="67">
        <v>20674.5</v>
      </c>
      <c r="FB412" s="67" t="s">
        <v>3318</v>
      </c>
      <c r="FC412" s="67" t="s">
        <v>3319</v>
      </c>
      <c r="FD412" s="67" t="s">
        <v>3320</v>
      </c>
      <c r="FE412" s="68" t="s">
        <v>3321</v>
      </c>
      <c r="FF412" s="68" t="s">
        <v>3322</v>
      </c>
    </row>
    <row r="413" spans="151:162" x14ac:dyDescent="0.2">
      <c r="EU413" s="67">
        <v>578.45000000000005</v>
      </c>
      <c r="EV413" s="67" t="s">
        <v>3323</v>
      </c>
      <c r="EW413" s="67">
        <v>503.23</v>
      </c>
      <c r="EX413" s="67" t="s">
        <v>3324</v>
      </c>
      <c r="EY413" s="67">
        <v>5797</v>
      </c>
      <c r="EZ413" s="67" t="s">
        <v>3325</v>
      </c>
      <c r="FA413" s="67">
        <v>20665.25</v>
      </c>
      <c r="FB413" s="67" t="s">
        <v>3326</v>
      </c>
      <c r="FC413" s="67" t="s">
        <v>3327</v>
      </c>
      <c r="FD413" s="67" t="s">
        <v>3328</v>
      </c>
      <c r="FE413" s="68" t="s">
        <v>3329</v>
      </c>
      <c r="FF413" s="68" t="s">
        <v>3330</v>
      </c>
    </row>
    <row r="414" spans="151:162" x14ac:dyDescent="0.2">
      <c r="EU414" s="67">
        <v>578.61</v>
      </c>
      <c r="EV414" s="67" t="s">
        <v>3331</v>
      </c>
      <c r="EW414" s="67">
        <v>503.38</v>
      </c>
      <c r="EX414" s="67" t="s">
        <v>3332</v>
      </c>
      <c r="EY414" s="67">
        <v>5798</v>
      </c>
      <c r="EZ414" s="67" t="s">
        <v>3333</v>
      </c>
      <c r="FA414" s="67">
        <v>20670</v>
      </c>
      <c r="FB414" s="67" t="s">
        <v>3334</v>
      </c>
      <c r="FC414" s="67" t="s">
        <v>3335</v>
      </c>
      <c r="FD414" s="67" t="s">
        <v>3336</v>
      </c>
      <c r="FE414" s="68" t="s">
        <v>3337</v>
      </c>
      <c r="FF414" s="68" t="s">
        <v>3338</v>
      </c>
    </row>
    <row r="415" spans="151:162" x14ac:dyDescent="0.2">
      <c r="EU415" s="67">
        <v>578.42999999999995</v>
      </c>
      <c r="EV415" s="67" t="s">
        <v>3339</v>
      </c>
      <c r="EW415" s="67">
        <v>503.46</v>
      </c>
      <c r="EX415" s="67" t="s">
        <v>3340</v>
      </c>
      <c r="EY415" s="67">
        <v>5797</v>
      </c>
      <c r="EZ415" s="67" t="s">
        <v>3341</v>
      </c>
      <c r="FA415" s="67">
        <v>20671</v>
      </c>
      <c r="FB415" s="67" t="s">
        <v>3342</v>
      </c>
      <c r="FC415" s="67" t="s">
        <v>3343</v>
      </c>
      <c r="FD415" s="67" t="s">
        <v>3344</v>
      </c>
      <c r="FE415" s="68" t="s">
        <v>3345</v>
      </c>
      <c r="FF415" s="68" t="s">
        <v>3346</v>
      </c>
    </row>
    <row r="416" spans="151:162" x14ac:dyDescent="0.2">
      <c r="EU416" s="67">
        <v>579.89</v>
      </c>
      <c r="EV416" s="67" t="s">
        <v>3347</v>
      </c>
      <c r="EW416" s="67">
        <v>505.25</v>
      </c>
      <c r="EX416" s="67" t="s">
        <v>3348</v>
      </c>
      <c r="EY416" s="67">
        <v>5811.5</v>
      </c>
      <c r="EZ416" s="67" t="s">
        <v>3349</v>
      </c>
      <c r="FA416" s="67">
        <v>20748</v>
      </c>
      <c r="FB416" s="67" t="s">
        <v>3350</v>
      </c>
      <c r="FC416" s="67" t="s">
        <v>3351</v>
      </c>
      <c r="FD416" s="67" t="s">
        <v>3352</v>
      </c>
      <c r="FE416" s="68" t="s">
        <v>3353</v>
      </c>
      <c r="FF416" s="68" t="s">
        <v>3354</v>
      </c>
    </row>
    <row r="417" spans="151:162" x14ac:dyDescent="0.2">
      <c r="EU417" s="67">
        <v>580.74</v>
      </c>
      <c r="EV417" s="67" t="s">
        <v>3355</v>
      </c>
      <c r="EW417" s="67">
        <v>505.49</v>
      </c>
      <c r="EX417" s="67" t="s">
        <v>3356</v>
      </c>
      <c r="EY417" s="67">
        <v>5819.25</v>
      </c>
      <c r="EZ417" s="67" t="s">
        <v>3357</v>
      </c>
      <c r="FA417" s="67">
        <v>20757.5</v>
      </c>
      <c r="FB417" s="67" t="s">
        <v>3358</v>
      </c>
      <c r="FC417" s="67" t="s">
        <v>3359</v>
      </c>
      <c r="FD417" s="67" t="s">
        <v>3360</v>
      </c>
      <c r="FE417" s="68" t="s">
        <v>3361</v>
      </c>
      <c r="FF417" s="68" t="s">
        <v>3362</v>
      </c>
    </row>
    <row r="418" spans="151:162" x14ac:dyDescent="0.2">
      <c r="EU418" s="67">
        <v>580.4</v>
      </c>
      <c r="EV418" s="67" t="s">
        <v>3363</v>
      </c>
      <c r="EW418" s="67">
        <v>505.35</v>
      </c>
      <c r="EX418" s="67" t="s">
        <v>3364</v>
      </c>
      <c r="EY418" s="67">
        <v>5814.5</v>
      </c>
      <c r="EZ418" s="67" t="s">
        <v>3365</v>
      </c>
      <c r="FA418" s="67">
        <v>20751.25</v>
      </c>
      <c r="FB418" s="67" t="s">
        <v>3366</v>
      </c>
      <c r="FC418" s="67" t="s">
        <v>3367</v>
      </c>
      <c r="FD418" s="67" t="s">
        <v>3368</v>
      </c>
      <c r="FE418" s="68" t="s">
        <v>3369</v>
      </c>
      <c r="FF418" s="68" t="s">
        <v>3370</v>
      </c>
    </row>
    <row r="419" spans="151:162" x14ac:dyDescent="0.2">
      <c r="EU419" s="67">
        <v>580.35</v>
      </c>
      <c r="EV419" s="67" t="s">
        <v>3371</v>
      </c>
      <c r="EW419" s="67">
        <v>505.56</v>
      </c>
      <c r="EX419" s="67" t="s">
        <v>3372</v>
      </c>
      <c r="EY419" s="67">
        <v>5816</v>
      </c>
      <c r="EZ419" s="67" t="s">
        <v>3373</v>
      </c>
      <c r="FA419" s="67">
        <v>20760.5</v>
      </c>
      <c r="FB419" s="67" t="s">
        <v>3374</v>
      </c>
      <c r="FC419" s="67" t="s">
        <v>3375</v>
      </c>
      <c r="FD419" s="67" t="s">
        <v>3376</v>
      </c>
      <c r="FE419" s="68" t="s">
        <v>3377</v>
      </c>
      <c r="FF419" s="68" t="s">
        <v>3378</v>
      </c>
    </row>
    <row r="420" spans="151:162" x14ac:dyDescent="0.2">
      <c r="EU420" s="67">
        <v>579.91</v>
      </c>
      <c r="EV420" s="67" t="s">
        <v>3379</v>
      </c>
      <c r="EW420" s="67">
        <v>504.91</v>
      </c>
      <c r="EX420" s="67" t="s">
        <v>3380</v>
      </c>
      <c r="EY420" s="67">
        <v>5811.25</v>
      </c>
      <c r="EZ420" s="67" t="s">
        <v>3381</v>
      </c>
      <c r="FA420" s="67">
        <v>20733.75</v>
      </c>
      <c r="FB420" s="67" t="s">
        <v>3382</v>
      </c>
      <c r="FC420" s="67" t="s">
        <v>3383</v>
      </c>
      <c r="FD420" s="67" t="s">
        <v>3384</v>
      </c>
      <c r="FE420" s="68" t="s">
        <v>3385</v>
      </c>
      <c r="FF420" s="68" t="s">
        <v>3386</v>
      </c>
    </row>
    <row r="421" spans="151:162" x14ac:dyDescent="0.2">
      <c r="EU421" s="67">
        <v>579.61</v>
      </c>
      <c r="EV421" s="67" t="s">
        <v>3387</v>
      </c>
      <c r="EW421" s="67">
        <v>504.78</v>
      </c>
      <c r="EX421" s="67" t="s">
        <v>3388</v>
      </c>
      <c r="EY421" s="67">
        <v>5808.25</v>
      </c>
      <c r="EZ421" s="67" t="s">
        <v>3389</v>
      </c>
      <c r="FA421" s="67">
        <v>20727.25</v>
      </c>
      <c r="FB421" s="67" t="s">
        <v>3390</v>
      </c>
      <c r="FC421" s="67" t="s">
        <v>3391</v>
      </c>
      <c r="FD421" s="67" t="s">
        <v>3392</v>
      </c>
      <c r="FE421" s="68" t="s">
        <v>3393</v>
      </c>
      <c r="FF421" s="68" t="s">
        <v>3394</v>
      </c>
    </row>
    <row r="422" spans="151:162" x14ac:dyDescent="0.2">
      <c r="EU422" s="67">
        <v>579.80999999999995</v>
      </c>
      <c r="EV422" s="67" t="s">
        <v>3395</v>
      </c>
      <c r="EW422" s="67">
        <v>505.35</v>
      </c>
      <c r="EX422" s="67" t="s">
        <v>3396</v>
      </c>
      <c r="EY422" s="67">
        <v>5810</v>
      </c>
      <c r="EZ422" s="67" t="s">
        <v>3397</v>
      </c>
      <c r="FA422" s="67">
        <v>20749</v>
      </c>
      <c r="FB422" s="67" t="s">
        <v>3398</v>
      </c>
      <c r="FC422" s="67" t="s">
        <v>3399</v>
      </c>
      <c r="FD422" s="67" t="s">
        <v>3400</v>
      </c>
      <c r="FE422" s="68" t="s">
        <v>3401</v>
      </c>
      <c r="FF422" s="68" t="s">
        <v>3402</v>
      </c>
    </row>
    <row r="423" spans="151:162" x14ac:dyDescent="0.2">
      <c r="EU423" s="67">
        <v>580.21</v>
      </c>
      <c r="EV423" s="67" t="s">
        <v>3403</v>
      </c>
      <c r="EW423" s="67">
        <v>505.76</v>
      </c>
      <c r="EX423" s="67" t="s">
        <v>3404</v>
      </c>
      <c r="EY423" s="67">
        <v>5814.25</v>
      </c>
      <c r="EZ423" s="67" t="s">
        <v>3405</v>
      </c>
      <c r="FA423" s="67">
        <v>20769.75</v>
      </c>
      <c r="FB423" s="67" t="s">
        <v>3406</v>
      </c>
      <c r="FC423" s="67" t="s">
        <v>3407</v>
      </c>
      <c r="FD423" s="67" t="s">
        <v>3408</v>
      </c>
      <c r="FE423" s="68" t="s">
        <v>3409</v>
      </c>
      <c r="FF423" s="68" t="s">
        <v>3410</v>
      </c>
    </row>
    <row r="424" spans="151:162" x14ac:dyDescent="0.2">
      <c r="EU424" s="67">
        <v>580.11</v>
      </c>
      <c r="EV424" s="67" t="s">
        <v>3411</v>
      </c>
      <c r="EW424" s="67">
        <v>505.72</v>
      </c>
      <c r="EX424" s="67" t="s">
        <v>3412</v>
      </c>
      <c r="EY424" s="67">
        <v>5813.5</v>
      </c>
      <c r="EZ424" s="67" t="s">
        <v>3413</v>
      </c>
      <c r="FA424" s="67">
        <v>20764.75</v>
      </c>
      <c r="FB424" s="67" t="s">
        <v>3414</v>
      </c>
      <c r="FC424" s="67" t="s">
        <v>3415</v>
      </c>
      <c r="FD424" s="67" t="s">
        <v>3416</v>
      </c>
      <c r="FE424" s="68" t="s">
        <v>3417</v>
      </c>
      <c r="FF424" s="68" t="s">
        <v>3418</v>
      </c>
    </row>
    <row r="425" spans="151:162" x14ac:dyDescent="0.2">
      <c r="EU425" s="67">
        <v>579.89</v>
      </c>
      <c r="EV425" s="67" t="s">
        <v>3419</v>
      </c>
      <c r="EW425" s="67">
        <v>505.69</v>
      </c>
      <c r="EX425" s="67" t="s">
        <v>3420</v>
      </c>
      <c r="EY425" s="67">
        <v>5811.25</v>
      </c>
      <c r="EZ425" s="67" t="s">
        <v>3421</v>
      </c>
      <c r="FA425" s="67">
        <v>20765</v>
      </c>
      <c r="FB425" s="67" t="s">
        <v>3422</v>
      </c>
      <c r="FC425" s="67" t="s">
        <v>3423</v>
      </c>
      <c r="FD425" s="67" t="s">
        <v>3424</v>
      </c>
      <c r="FE425" s="68" t="s">
        <v>3425</v>
      </c>
      <c r="FF425" s="68" t="s">
        <v>3426</v>
      </c>
    </row>
    <row r="426" spans="151:162" x14ac:dyDescent="0.2">
      <c r="EU426" s="67">
        <v>579.79999999999995</v>
      </c>
      <c r="EV426" s="67" t="s">
        <v>3427</v>
      </c>
      <c r="EW426" s="67">
        <v>505.5</v>
      </c>
      <c r="EX426" s="67" t="s">
        <v>3428</v>
      </c>
      <c r="EY426" s="67">
        <v>5810</v>
      </c>
      <c r="EZ426" s="67" t="s">
        <v>3429</v>
      </c>
      <c r="FA426" s="67">
        <v>20755</v>
      </c>
      <c r="FB426" s="67" t="s">
        <v>3430</v>
      </c>
      <c r="FC426" s="67" t="s">
        <v>3431</v>
      </c>
      <c r="FD426" s="67" t="s">
        <v>3432</v>
      </c>
      <c r="FE426" s="68" t="s">
        <v>3433</v>
      </c>
      <c r="FF426" s="68" t="s">
        <v>3434</v>
      </c>
    </row>
    <row r="427" spans="151:162" x14ac:dyDescent="0.2">
      <c r="EU427" s="67">
        <v>579.48</v>
      </c>
      <c r="EV427" s="67" t="s">
        <v>3435</v>
      </c>
      <c r="EW427" s="67">
        <v>505.08</v>
      </c>
      <c r="EX427" s="67" t="s">
        <v>3436</v>
      </c>
      <c r="EY427" s="67">
        <v>5807.25</v>
      </c>
      <c r="EZ427" s="67" t="s">
        <v>3437</v>
      </c>
      <c r="FA427" s="67">
        <v>20741</v>
      </c>
      <c r="FB427" s="67" t="s">
        <v>3438</v>
      </c>
      <c r="FC427" s="67" t="s">
        <v>3439</v>
      </c>
      <c r="FD427" s="67" t="s">
        <v>3440</v>
      </c>
      <c r="FE427" s="68" t="s">
        <v>3441</v>
      </c>
      <c r="FF427" s="68" t="s">
        <v>3442</v>
      </c>
    </row>
    <row r="428" spans="151:162" x14ac:dyDescent="0.2">
      <c r="EU428" s="67">
        <v>579.77</v>
      </c>
      <c r="EV428" s="67" t="s">
        <v>3443</v>
      </c>
      <c r="EW428" s="67">
        <v>505.28</v>
      </c>
      <c r="EX428" s="67" t="s">
        <v>3444</v>
      </c>
      <c r="EY428" s="67">
        <v>5810</v>
      </c>
      <c r="EZ428" s="67" t="s">
        <v>3445</v>
      </c>
      <c r="FA428" s="67">
        <v>20749.75</v>
      </c>
      <c r="FB428" s="67" t="s">
        <v>3446</v>
      </c>
      <c r="FC428" s="67" t="s">
        <v>3447</v>
      </c>
      <c r="FD428" s="67" t="s">
        <v>3448</v>
      </c>
      <c r="FE428" s="68" t="s">
        <v>3449</v>
      </c>
      <c r="FF428" s="68" t="s">
        <v>3450</v>
      </c>
    </row>
    <row r="429" spans="151:162" x14ac:dyDescent="0.2">
      <c r="EU429" s="67">
        <v>580.16</v>
      </c>
      <c r="EV429" s="67" t="s">
        <v>3451</v>
      </c>
      <c r="EW429" s="67">
        <v>505.71</v>
      </c>
      <c r="EX429" s="67" t="s">
        <v>3452</v>
      </c>
      <c r="EY429" s="67">
        <v>5814</v>
      </c>
      <c r="EZ429" s="67" t="s">
        <v>3453</v>
      </c>
      <c r="FA429" s="67">
        <v>20766.75</v>
      </c>
      <c r="FB429" s="67" t="s">
        <v>3454</v>
      </c>
      <c r="FC429" s="67" t="s">
        <v>3455</v>
      </c>
      <c r="FD429" s="67" t="s">
        <v>3456</v>
      </c>
      <c r="FE429" s="68" t="s">
        <v>3457</v>
      </c>
      <c r="FF429" s="68" t="s">
        <v>3458</v>
      </c>
    </row>
    <row r="430" spans="151:162" x14ac:dyDescent="0.2">
      <c r="EU430" s="67">
        <v>580.33000000000004</v>
      </c>
      <c r="EV430" s="67" t="s">
        <v>3459</v>
      </c>
      <c r="EW430" s="67">
        <v>505.74</v>
      </c>
      <c r="EX430" s="67" t="s">
        <v>3460</v>
      </c>
      <c r="EY430" s="67">
        <v>5815.5</v>
      </c>
      <c r="EZ430" s="67" t="s">
        <v>3461</v>
      </c>
      <c r="FA430" s="67">
        <v>20768</v>
      </c>
      <c r="FB430" s="67" t="s">
        <v>3462</v>
      </c>
      <c r="FC430" s="67" t="s">
        <v>3463</v>
      </c>
      <c r="FD430" s="67" t="s">
        <v>3464</v>
      </c>
      <c r="FE430" s="68" t="s">
        <v>3465</v>
      </c>
      <c r="FF430" s="68" t="s">
        <v>3466</v>
      </c>
    </row>
    <row r="431" spans="151:162" x14ac:dyDescent="0.2">
      <c r="EU431" s="67">
        <v>580.46</v>
      </c>
      <c r="EV431" s="67" t="s">
        <v>3467</v>
      </c>
      <c r="EW431" s="67">
        <v>506.01</v>
      </c>
      <c r="EX431" s="67" t="s">
        <v>3468</v>
      </c>
      <c r="EY431" s="67">
        <v>5816.5</v>
      </c>
      <c r="EZ431" s="67" t="s">
        <v>3469</v>
      </c>
      <c r="FA431" s="67">
        <v>20779</v>
      </c>
      <c r="FB431" s="67" t="s">
        <v>3470</v>
      </c>
      <c r="FC431" s="67" t="s">
        <v>3471</v>
      </c>
      <c r="FD431" s="67" t="s">
        <v>3472</v>
      </c>
      <c r="FE431" s="68" t="s">
        <v>3473</v>
      </c>
      <c r="FF431" s="68" t="s">
        <v>3474</v>
      </c>
    </row>
    <row r="432" spans="151:162" x14ac:dyDescent="0.2">
      <c r="EU432" s="67">
        <v>580.73</v>
      </c>
      <c r="EV432" s="67" t="s">
        <v>3475</v>
      </c>
      <c r="EW432" s="67">
        <v>506.3</v>
      </c>
      <c r="EX432" s="67" t="s">
        <v>3476</v>
      </c>
      <c r="EY432" s="67">
        <v>5819</v>
      </c>
      <c r="EZ432" s="67" t="s">
        <v>3477</v>
      </c>
      <c r="FA432" s="67">
        <v>20791</v>
      </c>
      <c r="FB432" s="67" t="s">
        <v>3478</v>
      </c>
      <c r="FC432" s="67" t="s">
        <v>3479</v>
      </c>
      <c r="FD432" s="67" t="s">
        <v>3480</v>
      </c>
      <c r="FE432" s="68" t="s">
        <v>3481</v>
      </c>
      <c r="FF432" s="68" t="s">
        <v>3482</v>
      </c>
    </row>
    <row r="433" spans="151:162" x14ac:dyDescent="0.2">
      <c r="EU433" s="67">
        <v>580.84</v>
      </c>
      <c r="EV433" s="67" t="s">
        <v>3483</v>
      </c>
      <c r="EW433" s="67">
        <v>506.52</v>
      </c>
      <c r="EX433" s="67" t="s">
        <v>3484</v>
      </c>
      <c r="EY433" s="67">
        <v>5820.75</v>
      </c>
      <c r="EZ433" s="67" t="s">
        <v>3485</v>
      </c>
      <c r="FA433" s="67">
        <v>20799.5</v>
      </c>
      <c r="FB433" s="67" t="s">
        <v>3486</v>
      </c>
      <c r="FC433" s="67" t="s">
        <v>3487</v>
      </c>
      <c r="FD433" s="67" t="s">
        <v>3488</v>
      </c>
      <c r="FE433" s="68" t="s">
        <v>3489</v>
      </c>
      <c r="FF433" s="68" t="s">
        <v>3490</v>
      </c>
    </row>
    <row r="434" spans="151:162" x14ac:dyDescent="0.2">
      <c r="EU434" s="67">
        <v>580.91</v>
      </c>
      <c r="EV434" s="67" t="s">
        <v>3491</v>
      </c>
      <c r="EW434" s="67">
        <v>506.84</v>
      </c>
      <c r="EX434" s="67" t="s">
        <v>3492</v>
      </c>
      <c r="EY434" s="67">
        <v>5821.25</v>
      </c>
      <c r="EZ434" s="67" t="s">
        <v>3493</v>
      </c>
      <c r="FA434" s="67">
        <v>20812.5</v>
      </c>
      <c r="FB434" s="67" t="s">
        <v>3494</v>
      </c>
      <c r="FC434" s="67" t="s">
        <v>3495</v>
      </c>
      <c r="FD434" s="67" t="s">
        <v>3496</v>
      </c>
      <c r="FE434" s="68" t="s">
        <v>3497</v>
      </c>
      <c r="FF434" s="68" t="s">
        <v>3498</v>
      </c>
    </row>
    <row r="435" spans="151:162" x14ac:dyDescent="0.2">
      <c r="EU435" s="67">
        <v>581.17999999999995</v>
      </c>
      <c r="EV435" s="67" t="s">
        <v>3499</v>
      </c>
      <c r="EW435" s="67">
        <v>507.06</v>
      </c>
      <c r="EX435" s="67" t="s">
        <v>3500</v>
      </c>
      <c r="EY435" s="67">
        <v>5824</v>
      </c>
      <c r="EZ435" s="67" t="s">
        <v>3501</v>
      </c>
      <c r="FA435" s="67">
        <v>20823.75</v>
      </c>
      <c r="FB435" s="67" t="s">
        <v>3502</v>
      </c>
      <c r="FC435" s="67" t="s">
        <v>3503</v>
      </c>
      <c r="FD435" s="67" t="s">
        <v>3504</v>
      </c>
      <c r="FE435" s="68" t="s">
        <v>3505</v>
      </c>
      <c r="FF435" s="68" t="s">
        <v>3506</v>
      </c>
    </row>
    <row r="436" spans="151:162" x14ac:dyDescent="0.2">
      <c r="EU436" s="67">
        <v>581.01</v>
      </c>
      <c r="EV436" s="67" t="s">
        <v>3507</v>
      </c>
      <c r="EW436" s="67">
        <v>506.34</v>
      </c>
      <c r="EX436" s="67" t="s">
        <v>3508</v>
      </c>
      <c r="EY436" s="67">
        <v>5822</v>
      </c>
      <c r="EZ436" s="67" t="s">
        <v>3509</v>
      </c>
      <c r="FA436" s="67">
        <v>20791.25</v>
      </c>
      <c r="FB436" s="67" t="s">
        <v>3510</v>
      </c>
      <c r="FC436" s="67" t="s">
        <v>3511</v>
      </c>
      <c r="FD436" s="67" t="s">
        <v>3512</v>
      </c>
      <c r="FE436" s="68" t="s">
        <v>3513</v>
      </c>
      <c r="FF436" s="68" t="s">
        <v>3514</v>
      </c>
    </row>
    <row r="437" spans="151:162" x14ac:dyDescent="0.2">
      <c r="EU437" s="67">
        <v>581.37</v>
      </c>
      <c r="EV437" s="67" t="s">
        <v>3515</v>
      </c>
      <c r="EW437" s="67">
        <v>506.89</v>
      </c>
      <c r="EX437" s="67" t="s">
        <v>3516</v>
      </c>
      <c r="EY437" s="67">
        <v>5826.25</v>
      </c>
      <c r="EZ437" s="67" t="s">
        <v>3517</v>
      </c>
      <c r="FA437" s="67">
        <v>20814.25</v>
      </c>
      <c r="FB437" s="67" t="s">
        <v>3518</v>
      </c>
      <c r="FC437" s="67" t="s">
        <v>3519</v>
      </c>
      <c r="FD437" s="67" t="s">
        <v>3520</v>
      </c>
      <c r="FE437" s="68" t="s">
        <v>3521</v>
      </c>
      <c r="FF437" s="68" t="s">
        <v>3522</v>
      </c>
    </row>
    <row r="438" spans="151:162" x14ac:dyDescent="0.2">
      <c r="EU438" s="67">
        <v>581.44000000000005</v>
      </c>
      <c r="EV438" s="67" t="s">
        <v>3523</v>
      </c>
      <c r="EW438" s="67">
        <v>506.9</v>
      </c>
      <c r="EX438" s="67" t="s">
        <v>3524</v>
      </c>
      <c r="EY438" s="67">
        <v>5826.5</v>
      </c>
      <c r="EZ438" s="67" t="s">
        <v>3525</v>
      </c>
      <c r="FA438" s="67">
        <v>20811.75</v>
      </c>
      <c r="FB438" s="67" t="s">
        <v>3526</v>
      </c>
      <c r="FC438" s="67" t="s">
        <v>3527</v>
      </c>
      <c r="FD438" s="67" t="s">
        <v>3528</v>
      </c>
      <c r="FE438" s="68" t="s">
        <v>3529</v>
      </c>
      <c r="FF438" s="68" t="s">
        <v>3530</v>
      </c>
    </row>
    <row r="439" spans="151:162" x14ac:dyDescent="0.2">
      <c r="EU439" s="67">
        <v>581.05999999999995</v>
      </c>
      <c r="EV439" s="67" t="s">
        <v>3531</v>
      </c>
      <c r="EW439" s="67">
        <v>506.51</v>
      </c>
      <c r="EX439" s="67" t="s">
        <v>3532</v>
      </c>
      <c r="EY439" s="67">
        <v>5823</v>
      </c>
      <c r="EZ439" s="67" t="s">
        <v>3533</v>
      </c>
      <c r="FA439" s="67">
        <v>20798.25</v>
      </c>
      <c r="FB439" s="67" t="s">
        <v>3534</v>
      </c>
      <c r="FC439" s="67" t="s">
        <v>3535</v>
      </c>
      <c r="FD439" s="67" t="s">
        <v>3536</v>
      </c>
      <c r="FE439" s="68" t="s">
        <v>3537</v>
      </c>
      <c r="FF439" s="68" t="s">
        <v>3538</v>
      </c>
    </row>
    <row r="440" spans="151:162" x14ac:dyDescent="0.2">
      <c r="EU440" s="67">
        <v>581.17999999999995</v>
      </c>
      <c r="EV440" s="67" t="s">
        <v>3539</v>
      </c>
      <c r="EW440" s="67">
        <v>506.65</v>
      </c>
      <c r="EX440" s="67" t="s">
        <v>3540</v>
      </c>
      <c r="EY440" s="67">
        <v>5824</v>
      </c>
      <c r="EZ440" s="67" t="s">
        <v>3541</v>
      </c>
      <c r="FA440" s="67">
        <v>20805</v>
      </c>
      <c r="FB440" s="67" t="s">
        <v>3542</v>
      </c>
      <c r="FC440" s="67" t="s">
        <v>3543</v>
      </c>
      <c r="FD440" s="67" t="s">
        <v>3544</v>
      </c>
      <c r="FE440" s="68" t="s">
        <v>3545</v>
      </c>
      <c r="FF440" s="68" t="s">
        <v>3546</v>
      </c>
    </row>
    <row r="441" spans="151:162" x14ac:dyDescent="0.2">
      <c r="EU441" s="67">
        <v>580.98</v>
      </c>
      <c r="EV441" s="67" t="s">
        <v>3547</v>
      </c>
      <c r="EW441" s="67">
        <v>506.5</v>
      </c>
      <c r="EX441" s="67" t="s">
        <v>3548</v>
      </c>
      <c r="EY441" s="67">
        <v>5821.75</v>
      </c>
      <c r="EZ441" s="67" t="s">
        <v>3549</v>
      </c>
      <c r="FA441" s="67">
        <v>20797</v>
      </c>
      <c r="FB441" s="67" t="s">
        <v>3550</v>
      </c>
      <c r="FC441" s="67" t="s">
        <v>3551</v>
      </c>
      <c r="FD441" s="67" t="s">
        <v>3552</v>
      </c>
      <c r="FE441" s="68" t="s">
        <v>3553</v>
      </c>
      <c r="FF441" s="68" t="s">
        <v>3554</v>
      </c>
    </row>
    <row r="442" spans="151:162" x14ac:dyDescent="0.2">
      <c r="EU442" s="67">
        <v>580.77</v>
      </c>
      <c r="EV442" s="67" t="s">
        <v>3555</v>
      </c>
      <c r="EW442" s="67">
        <v>506.33</v>
      </c>
      <c r="EX442" s="67" t="s">
        <v>3556</v>
      </c>
      <c r="EY442" s="67">
        <v>5819.75</v>
      </c>
      <c r="EZ442" s="67" t="s">
        <v>3557</v>
      </c>
      <c r="FA442" s="67">
        <v>20790.5</v>
      </c>
      <c r="FB442" s="67" t="s">
        <v>3558</v>
      </c>
      <c r="FC442" s="67" t="s">
        <v>3559</v>
      </c>
      <c r="FD442" s="67" t="s">
        <v>3560</v>
      </c>
      <c r="FE442" s="68" t="s">
        <v>3561</v>
      </c>
      <c r="FF442" s="68" t="s">
        <v>3562</v>
      </c>
    </row>
    <row r="443" spans="151:162" x14ac:dyDescent="0.2">
      <c r="EU443" s="67">
        <v>580.70000000000005</v>
      </c>
      <c r="EV443" s="67" t="s">
        <v>3563</v>
      </c>
      <c r="EW443" s="67">
        <v>506.22</v>
      </c>
      <c r="EX443" s="67" t="s">
        <v>3564</v>
      </c>
      <c r="EY443" s="67">
        <v>5818.75</v>
      </c>
      <c r="EZ443" s="67" t="s">
        <v>3565</v>
      </c>
      <c r="FA443" s="67">
        <v>20787.5</v>
      </c>
      <c r="FB443" s="67" t="s">
        <v>3566</v>
      </c>
      <c r="FC443" s="67" t="s">
        <v>3567</v>
      </c>
      <c r="FD443" s="67" t="s">
        <v>3568</v>
      </c>
      <c r="FE443" s="68" t="s">
        <v>3569</v>
      </c>
      <c r="FF443" s="68" t="s">
        <v>3570</v>
      </c>
    </row>
    <row r="444" spans="151:162" x14ac:dyDescent="0.2">
      <c r="EU444" s="67">
        <v>580.22</v>
      </c>
      <c r="EV444" s="67" t="s">
        <v>3571</v>
      </c>
      <c r="EW444" s="67">
        <v>505.87</v>
      </c>
      <c r="EX444" s="67" t="s">
        <v>3572</v>
      </c>
      <c r="EY444" s="67">
        <v>5814.25</v>
      </c>
      <c r="EZ444" s="67" t="s">
        <v>3573</v>
      </c>
      <c r="FA444" s="67">
        <v>20770.5</v>
      </c>
      <c r="FB444" s="67" t="s">
        <v>3574</v>
      </c>
      <c r="FC444" s="67" t="s">
        <v>3575</v>
      </c>
      <c r="FD444" s="67" t="s">
        <v>3576</v>
      </c>
      <c r="FE444" s="68" t="s">
        <v>3577</v>
      </c>
      <c r="FF444" s="68" t="s">
        <v>3578</v>
      </c>
    </row>
    <row r="445" spans="151:162" x14ac:dyDescent="0.2">
      <c r="EU445" s="67">
        <v>580.16</v>
      </c>
      <c r="EV445" s="67" t="s">
        <v>3579</v>
      </c>
      <c r="EW445" s="67">
        <v>505.81</v>
      </c>
      <c r="EX445" s="67" t="s">
        <v>3580</v>
      </c>
      <c r="EY445" s="67">
        <v>5813.5</v>
      </c>
      <c r="EZ445" s="67" t="s">
        <v>3581</v>
      </c>
      <c r="FA445" s="67">
        <v>20769.5</v>
      </c>
      <c r="FB445" s="67" t="s">
        <v>3582</v>
      </c>
      <c r="FC445" s="67" t="s">
        <v>3583</v>
      </c>
      <c r="FD445" s="67" t="s">
        <v>3584</v>
      </c>
      <c r="FE445" s="68" t="s">
        <v>3585</v>
      </c>
      <c r="FF445" s="68" t="s">
        <v>3586</v>
      </c>
    </row>
    <row r="446" spans="151:162" x14ac:dyDescent="0.2">
      <c r="EU446" s="67">
        <v>580.21</v>
      </c>
      <c r="EV446" s="67" t="s">
        <v>3587</v>
      </c>
      <c r="EW446" s="67">
        <v>505.84</v>
      </c>
      <c r="EX446" s="67" t="s">
        <v>3588</v>
      </c>
      <c r="EY446" s="67">
        <v>5814.25</v>
      </c>
      <c r="EZ446" s="67" t="s">
        <v>3589</v>
      </c>
      <c r="FA446" s="67">
        <v>20770.5</v>
      </c>
      <c r="FB446" s="67" t="s">
        <v>3590</v>
      </c>
      <c r="FC446" s="67" t="s">
        <v>3591</v>
      </c>
      <c r="FD446" s="67" t="s">
        <v>3592</v>
      </c>
      <c r="FE446" s="68" t="s">
        <v>3593</v>
      </c>
      <c r="FF446" s="68" t="s">
        <v>3594</v>
      </c>
    </row>
    <row r="447" spans="151:162" x14ac:dyDescent="0.2">
      <c r="EU447" s="67">
        <v>580.20000000000005</v>
      </c>
      <c r="EV447" s="67" t="s">
        <v>3595</v>
      </c>
      <c r="EW447" s="67">
        <v>505.74</v>
      </c>
      <c r="EX447" s="67" t="s">
        <v>3596</v>
      </c>
      <c r="EY447" s="67">
        <v>5814</v>
      </c>
      <c r="EZ447" s="67" t="s">
        <v>3597</v>
      </c>
      <c r="FA447" s="67">
        <v>20767.25</v>
      </c>
      <c r="FB447" s="67" t="s">
        <v>3598</v>
      </c>
      <c r="FC447" s="67" t="s">
        <v>3599</v>
      </c>
      <c r="FD447" s="67" t="s">
        <v>3600</v>
      </c>
      <c r="FE447" s="68" t="s">
        <v>3601</v>
      </c>
      <c r="FF447" s="68" t="s">
        <v>3602</v>
      </c>
    </row>
    <row r="448" spans="151:162" x14ac:dyDescent="0.2">
      <c r="EU448" s="67">
        <v>580.19000000000005</v>
      </c>
      <c r="EV448" s="67" t="s">
        <v>3603</v>
      </c>
      <c r="EW448" s="67">
        <v>505.76</v>
      </c>
      <c r="EX448" s="67" t="s">
        <v>3604</v>
      </c>
      <c r="EY448" s="67">
        <v>5813.5</v>
      </c>
      <c r="EZ448" s="67" t="s">
        <v>3605</v>
      </c>
      <c r="FA448" s="67">
        <v>20767</v>
      </c>
      <c r="FB448" s="67" t="s">
        <v>3606</v>
      </c>
      <c r="FC448" s="67" t="s">
        <v>3607</v>
      </c>
      <c r="FD448" s="67" t="s">
        <v>3608</v>
      </c>
      <c r="FE448" s="68" t="s">
        <v>3609</v>
      </c>
      <c r="FF448" s="68" t="s">
        <v>3610</v>
      </c>
    </row>
    <row r="449" spans="151:162" x14ac:dyDescent="0.2">
      <c r="EU449" s="67">
        <v>580</v>
      </c>
      <c r="EV449" s="67" t="s">
        <v>3611</v>
      </c>
      <c r="EW449" s="67">
        <v>505.58</v>
      </c>
      <c r="EX449" s="67" t="s">
        <v>3612</v>
      </c>
      <c r="EY449" s="67">
        <v>5812</v>
      </c>
      <c r="EZ449" s="67" t="s">
        <v>3613</v>
      </c>
      <c r="FA449" s="67">
        <v>20759.25</v>
      </c>
      <c r="FB449" s="67" t="s">
        <v>3614</v>
      </c>
      <c r="FC449" s="67" t="s">
        <v>3615</v>
      </c>
      <c r="FD449" s="67" t="s">
        <v>3616</v>
      </c>
      <c r="FE449" s="68" t="s">
        <v>3617</v>
      </c>
      <c r="FF449" s="68" t="s">
        <v>3618</v>
      </c>
    </row>
    <row r="450" spans="151:162" x14ac:dyDescent="0.2">
      <c r="EU450" s="67">
        <v>579.53</v>
      </c>
      <c r="EV450" s="67" t="s">
        <v>3619</v>
      </c>
      <c r="EW450" s="67">
        <v>505.31</v>
      </c>
      <c r="EX450" s="67" t="s">
        <v>3620</v>
      </c>
      <c r="EY450" s="67">
        <v>5807.5</v>
      </c>
      <c r="EZ450" s="67" t="s">
        <v>3621</v>
      </c>
      <c r="FA450" s="67">
        <v>20746.5</v>
      </c>
      <c r="FB450" s="67" t="s">
        <v>3622</v>
      </c>
      <c r="FC450" s="67" t="s">
        <v>3623</v>
      </c>
      <c r="FD450" s="67" t="s">
        <v>3624</v>
      </c>
      <c r="FE450" s="68" t="s">
        <v>3625</v>
      </c>
      <c r="FF450" s="68" t="s">
        <v>3626</v>
      </c>
    </row>
    <row r="451" spans="151:162" x14ac:dyDescent="0.2">
      <c r="EU451" s="67">
        <v>579.54999999999995</v>
      </c>
      <c r="EV451" s="67" t="s">
        <v>3627</v>
      </c>
      <c r="EW451" s="67">
        <v>505.31</v>
      </c>
      <c r="EX451" s="67" t="s">
        <v>3628</v>
      </c>
      <c r="EY451" s="67">
        <v>5808</v>
      </c>
      <c r="EZ451" s="67" t="s">
        <v>3629</v>
      </c>
      <c r="FA451" s="67">
        <v>20748</v>
      </c>
      <c r="FB451" s="67" t="s">
        <v>3630</v>
      </c>
      <c r="FC451" s="67" t="s">
        <v>3631</v>
      </c>
      <c r="FD451" s="67" t="s">
        <v>3632</v>
      </c>
      <c r="FE451" s="68" t="s">
        <v>3633</v>
      </c>
      <c r="FF451" s="68" t="s">
        <v>3634</v>
      </c>
    </row>
    <row r="452" spans="151:162" x14ac:dyDescent="0.2">
      <c r="EU452" s="67">
        <v>579.41</v>
      </c>
      <c r="EV452" s="67" t="s">
        <v>3635</v>
      </c>
      <c r="EW452" s="67">
        <v>505.16</v>
      </c>
      <c r="EX452" s="67" t="s">
        <v>3636</v>
      </c>
      <c r="EY452" s="67">
        <v>5806.25</v>
      </c>
      <c r="EZ452" s="67" t="s">
        <v>3637</v>
      </c>
      <c r="FA452" s="67">
        <v>20743.25</v>
      </c>
      <c r="FB452" s="67" t="s">
        <v>3638</v>
      </c>
      <c r="FC452" s="67" t="s">
        <v>3639</v>
      </c>
      <c r="FD452" s="67" t="s">
        <v>3640</v>
      </c>
      <c r="FE452" s="68" t="s">
        <v>3641</v>
      </c>
      <c r="FF452" s="68" t="s">
        <v>3642</v>
      </c>
    </row>
    <row r="453" spans="151:162" x14ac:dyDescent="0.2">
      <c r="EU453" s="67">
        <v>579.59</v>
      </c>
      <c r="EV453" s="67" t="s">
        <v>3643</v>
      </c>
      <c r="EW453" s="67">
        <v>505.41</v>
      </c>
      <c r="EX453" s="67" t="s">
        <v>3644</v>
      </c>
      <c r="EY453" s="67">
        <v>5807.25</v>
      </c>
      <c r="EZ453" s="67" t="s">
        <v>3645</v>
      </c>
      <c r="FA453" s="67">
        <v>20752.75</v>
      </c>
      <c r="FB453" s="67" t="s">
        <v>3646</v>
      </c>
      <c r="FC453" s="67" t="s">
        <v>3647</v>
      </c>
      <c r="FD453" s="67" t="s">
        <v>3648</v>
      </c>
      <c r="FE453" s="68" t="s">
        <v>3649</v>
      </c>
      <c r="FF453" s="68" t="s">
        <v>3650</v>
      </c>
    </row>
    <row r="454" spans="151:162" x14ac:dyDescent="0.2">
      <c r="EU454" s="67">
        <v>579.52</v>
      </c>
      <c r="EV454" s="67" t="s">
        <v>3651</v>
      </c>
      <c r="EW454" s="67">
        <v>505.42</v>
      </c>
      <c r="EX454" s="67" t="s">
        <v>3652</v>
      </c>
      <c r="EY454" s="67">
        <v>5807.25</v>
      </c>
      <c r="EZ454" s="67" t="s">
        <v>3653</v>
      </c>
      <c r="FA454" s="67">
        <v>20753.25</v>
      </c>
      <c r="FB454" s="67" t="s">
        <v>3654</v>
      </c>
      <c r="FC454" s="67" t="s">
        <v>3655</v>
      </c>
      <c r="FD454" s="67" t="s">
        <v>3656</v>
      </c>
      <c r="FE454" s="68" t="s">
        <v>3657</v>
      </c>
      <c r="FF454" s="68" t="s">
        <v>3658</v>
      </c>
    </row>
    <row r="455" spans="151:162" x14ac:dyDescent="0.2">
      <c r="EU455" s="67">
        <v>579.13</v>
      </c>
      <c r="EV455" s="67" t="s">
        <v>3659</v>
      </c>
      <c r="EW455" s="67">
        <v>505.11</v>
      </c>
      <c r="EX455" s="67" t="s">
        <v>3660</v>
      </c>
      <c r="EY455" s="67">
        <v>5803</v>
      </c>
      <c r="EZ455" s="67" t="s">
        <v>3661</v>
      </c>
      <c r="FA455" s="67">
        <v>20740.25</v>
      </c>
      <c r="FB455" s="67" t="s">
        <v>3662</v>
      </c>
      <c r="FC455" s="67" t="s">
        <v>3663</v>
      </c>
      <c r="FD455" s="67" t="s">
        <v>3664</v>
      </c>
      <c r="FE455" s="68" t="s">
        <v>3665</v>
      </c>
      <c r="FF455" s="68" t="s">
        <v>3666</v>
      </c>
    </row>
    <row r="456" spans="151:162" x14ac:dyDescent="0.2">
      <c r="EU456" s="67">
        <v>578.97</v>
      </c>
      <c r="EV456" s="67" t="s">
        <v>3667</v>
      </c>
      <c r="EW456" s="67">
        <v>504.86</v>
      </c>
      <c r="EX456" s="67" t="s">
        <v>3668</v>
      </c>
      <c r="EY456" s="67">
        <v>5801.75</v>
      </c>
      <c r="EZ456" s="67" t="s">
        <v>3669</v>
      </c>
      <c r="FA456" s="67">
        <v>20730.5</v>
      </c>
      <c r="FB456" s="67" t="s">
        <v>3670</v>
      </c>
      <c r="FC456" s="67" t="s">
        <v>3671</v>
      </c>
      <c r="FD456" s="67" t="s">
        <v>3672</v>
      </c>
      <c r="FE456" s="68" t="s">
        <v>3673</v>
      </c>
      <c r="FF456" s="68" t="s">
        <v>3674</v>
      </c>
    </row>
    <row r="457" spans="151:162" x14ac:dyDescent="0.2">
      <c r="EU457" s="67">
        <v>579.02</v>
      </c>
      <c r="EV457" s="67" t="s">
        <v>3675</v>
      </c>
      <c r="EW457" s="67">
        <v>505.03</v>
      </c>
      <c r="EX457" s="67" t="s">
        <v>3676</v>
      </c>
      <c r="EY457" s="67">
        <v>5802</v>
      </c>
      <c r="EZ457" s="67" t="s">
        <v>3677</v>
      </c>
      <c r="FA457" s="67">
        <v>20736.75</v>
      </c>
      <c r="FB457" s="67" t="s">
        <v>3678</v>
      </c>
      <c r="FC457" s="67" t="s">
        <v>3679</v>
      </c>
      <c r="FD457" s="67" t="s">
        <v>3680</v>
      </c>
      <c r="FE457" s="68" t="s">
        <v>3681</v>
      </c>
      <c r="FF457" s="68" t="s">
        <v>3682</v>
      </c>
    </row>
    <row r="458" spans="151:162" x14ac:dyDescent="0.2">
      <c r="EU458" s="67">
        <v>579.04</v>
      </c>
      <c r="EV458" s="67" t="s">
        <v>3683</v>
      </c>
      <c r="EW458" s="67">
        <v>504.97</v>
      </c>
      <c r="EX458" s="67" t="s">
        <v>3684</v>
      </c>
      <c r="EY458" s="67">
        <v>5802.25</v>
      </c>
      <c r="EZ458" s="67" t="s">
        <v>3685</v>
      </c>
      <c r="FA458" s="67">
        <v>20734.5</v>
      </c>
      <c r="FB458" s="67" t="s">
        <v>3686</v>
      </c>
      <c r="FC458" s="67" t="s">
        <v>3687</v>
      </c>
      <c r="FD458" s="67" t="s">
        <v>3688</v>
      </c>
      <c r="FE458" s="68" t="s">
        <v>3689</v>
      </c>
      <c r="FF458" s="68" t="s">
        <v>3690</v>
      </c>
    </row>
    <row r="459" spans="151:162" x14ac:dyDescent="0.2">
      <c r="EU459" s="67">
        <v>579.04</v>
      </c>
      <c r="EV459" s="67" t="s">
        <v>3691</v>
      </c>
      <c r="EW459" s="67">
        <v>504.81</v>
      </c>
      <c r="EX459" s="67" t="s">
        <v>3692</v>
      </c>
      <c r="EY459" s="67">
        <v>5802</v>
      </c>
      <c r="EZ459" s="67" t="s">
        <v>3693</v>
      </c>
      <c r="FA459" s="67">
        <v>20727.75</v>
      </c>
      <c r="FB459" s="67" t="s">
        <v>3694</v>
      </c>
      <c r="FC459" s="67" t="s">
        <v>3695</v>
      </c>
      <c r="FD459" s="67" t="s">
        <v>3696</v>
      </c>
      <c r="FE459" s="68" t="s">
        <v>3697</v>
      </c>
      <c r="FF459" s="68" t="s">
        <v>3698</v>
      </c>
    </row>
    <row r="460" spans="151:162" x14ac:dyDescent="0.2">
      <c r="EU460" s="67">
        <v>578.85</v>
      </c>
      <c r="EV460" s="67" t="s">
        <v>3699</v>
      </c>
      <c r="EW460" s="67">
        <v>504.72</v>
      </c>
      <c r="EX460" s="67" t="s">
        <v>3700</v>
      </c>
      <c r="EY460" s="67">
        <v>5800</v>
      </c>
      <c r="EZ460" s="67" t="s">
        <v>3701</v>
      </c>
      <c r="FA460" s="67">
        <v>20724.5</v>
      </c>
      <c r="FB460" s="67" t="s">
        <v>3702</v>
      </c>
      <c r="FC460" s="67" t="s">
        <v>3703</v>
      </c>
      <c r="FD460" s="67" t="s">
        <v>3704</v>
      </c>
      <c r="FE460" s="68" t="s">
        <v>3705</v>
      </c>
      <c r="FF460" s="68" t="s">
        <v>3706</v>
      </c>
    </row>
    <row r="461" spans="151:162" x14ac:dyDescent="0.2">
      <c r="EU461" s="67">
        <v>578.76</v>
      </c>
      <c r="EV461" s="67" t="s">
        <v>3707</v>
      </c>
      <c r="EW461" s="67">
        <v>504.62</v>
      </c>
      <c r="EX461" s="67" t="s">
        <v>3708</v>
      </c>
      <c r="EY461" s="67">
        <v>5799.25</v>
      </c>
      <c r="EZ461" s="67" t="s">
        <v>3709</v>
      </c>
      <c r="FA461" s="67">
        <v>20720</v>
      </c>
      <c r="FB461" s="67" t="s">
        <v>3710</v>
      </c>
      <c r="FC461" s="67" t="s">
        <v>3711</v>
      </c>
      <c r="FD461" s="67" t="s">
        <v>3712</v>
      </c>
      <c r="FE461" s="68" t="s">
        <v>3713</v>
      </c>
      <c r="FF461" s="68" t="s">
        <v>3714</v>
      </c>
    </row>
    <row r="462" spans="151:162" x14ac:dyDescent="0.2">
      <c r="EU462" s="67">
        <v>578.59</v>
      </c>
      <c r="EV462" s="67" t="s">
        <v>3715</v>
      </c>
      <c r="EW462" s="67">
        <v>504.49</v>
      </c>
      <c r="EX462" s="67" t="s">
        <v>3716</v>
      </c>
      <c r="EY462" s="67">
        <v>5798</v>
      </c>
      <c r="EZ462" s="67" t="s">
        <v>3717</v>
      </c>
      <c r="FA462" s="67">
        <v>20715.5</v>
      </c>
      <c r="FB462" s="67" t="s">
        <v>3718</v>
      </c>
      <c r="FC462" s="67" t="s">
        <v>3719</v>
      </c>
      <c r="FD462" s="67" t="s">
        <v>3720</v>
      </c>
      <c r="FE462" s="68" t="s">
        <v>3721</v>
      </c>
      <c r="FF462" s="68" t="s">
        <v>3722</v>
      </c>
    </row>
    <row r="463" spans="151:162" x14ac:dyDescent="0.2">
      <c r="EU463" s="67">
        <v>578.25</v>
      </c>
      <c r="EV463" s="67" t="s">
        <v>3723</v>
      </c>
      <c r="EW463" s="67">
        <v>504.17</v>
      </c>
      <c r="EX463" s="67" t="s">
        <v>3724</v>
      </c>
      <c r="EY463" s="67">
        <v>5794</v>
      </c>
      <c r="EZ463" s="67" t="s">
        <v>3725</v>
      </c>
      <c r="FA463" s="67">
        <v>20702.25</v>
      </c>
      <c r="FB463" s="67" t="s">
        <v>3726</v>
      </c>
      <c r="FC463" s="67" t="s">
        <v>3727</v>
      </c>
      <c r="FD463" s="67" t="s">
        <v>3728</v>
      </c>
      <c r="FE463" s="68" t="s">
        <v>3729</v>
      </c>
      <c r="FF463" s="68" t="s">
        <v>3730</v>
      </c>
    </row>
    <row r="464" spans="151:162" x14ac:dyDescent="0.2">
      <c r="EU464" s="67">
        <v>577.88</v>
      </c>
      <c r="EV464" s="67" t="s">
        <v>3731</v>
      </c>
      <c r="EW464" s="67">
        <v>503.85</v>
      </c>
      <c r="EX464" s="67" t="s">
        <v>3732</v>
      </c>
      <c r="EY464" s="67">
        <v>5790.5</v>
      </c>
      <c r="EZ464" s="67" t="s">
        <v>3733</v>
      </c>
      <c r="FA464" s="67">
        <v>20689.5</v>
      </c>
      <c r="FB464" s="67" t="s">
        <v>3734</v>
      </c>
      <c r="FC464" s="67" t="s">
        <v>3735</v>
      </c>
      <c r="FD464" s="67" t="s">
        <v>3736</v>
      </c>
      <c r="FE464" s="68" t="s">
        <v>3737</v>
      </c>
      <c r="FF464" s="68" t="s">
        <v>3738</v>
      </c>
    </row>
    <row r="465" spans="151:162" x14ac:dyDescent="0.2">
      <c r="EU465" s="67">
        <v>578.08000000000004</v>
      </c>
      <c r="EV465" s="67" t="s">
        <v>3739</v>
      </c>
      <c r="EW465" s="67">
        <v>504.07</v>
      </c>
      <c r="EX465" s="67" t="s">
        <v>3740</v>
      </c>
      <c r="EY465" s="67">
        <v>5792.75</v>
      </c>
      <c r="EZ465" s="67" t="s">
        <v>3741</v>
      </c>
      <c r="FA465" s="67">
        <v>20697.75</v>
      </c>
      <c r="FB465" s="67" t="s">
        <v>3742</v>
      </c>
      <c r="FC465" s="67" t="s">
        <v>3743</v>
      </c>
      <c r="FD465" s="67" t="s">
        <v>3744</v>
      </c>
      <c r="FE465" s="68" t="s">
        <v>3745</v>
      </c>
      <c r="FF465" s="68" t="s">
        <v>3746</v>
      </c>
    </row>
    <row r="466" spans="151:162" x14ac:dyDescent="0.2">
      <c r="EU466" s="67">
        <v>578.58000000000004</v>
      </c>
      <c r="EV466" s="67" t="s">
        <v>3747</v>
      </c>
      <c r="EW466" s="67">
        <v>504.35</v>
      </c>
      <c r="EX466" s="67" t="s">
        <v>3748</v>
      </c>
      <c r="EY466" s="67">
        <v>5797.25</v>
      </c>
      <c r="EZ466" s="67" t="s">
        <v>3749</v>
      </c>
      <c r="FA466" s="67">
        <v>20708.5</v>
      </c>
      <c r="FB466" s="67" t="s">
        <v>3750</v>
      </c>
      <c r="FC466" s="67" t="s">
        <v>3751</v>
      </c>
      <c r="FD466" s="67" t="s">
        <v>3752</v>
      </c>
      <c r="FE466" s="68" t="s">
        <v>3753</v>
      </c>
      <c r="FF466" s="68" t="s">
        <v>3754</v>
      </c>
    </row>
    <row r="467" spans="151:162" x14ac:dyDescent="0.2">
      <c r="EU467" s="67">
        <v>578.49</v>
      </c>
      <c r="EV467" s="67" t="s">
        <v>3755</v>
      </c>
      <c r="EW467" s="67">
        <v>504.39</v>
      </c>
      <c r="EX467" s="67" t="s">
        <v>3756</v>
      </c>
      <c r="EY467" s="67">
        <v>5796.75</v>
      </c>
      <c r="EZ467" s="67" t="s">
        <v>3757</v>
      </c>
      <c r="FA467" s="67">
        <v>20712</v>
      </c>
      <c r="FB467" s="67" t="s">
        <v>3758</v>
      </c>
      <c r="FC467" s="67" t="s">
        <v>3759</v>
      </c>
      <c r="FD467" s="67" t="s">
        <v>3760</v>
      </c>
      <c r="FE467" s="68" t="s">
        <v>3761</v>
      </c>
      <c r="FF467" s="68" t="s">
        <v>3762</v>
      </c>
    </row>
    <row r="468" spans="151:162" x14ac:dyDescent="0.2">
      <c r="EU468" s="67">
        <v>578.45000000000005</v>
      </c>
      <c r="EV468" s="67" t="s">
        <v>3763</v>
      </c>
      <c r="EW468" s="67">
        <v>504.29</v>
      </c>
      <c r="EX468" s="67" t="s">
        <v>3764</v>
      </c>
      <c r="EY468" s="67">
        <v>5796.5</v>
      </c>
      <c r="EZ468" s="67" t="s">
        <v>3765</v>
      </c>
      <c r="FA468" s="67">
        <v>20707.5</v>
      </c>
      <c r="FB468" s="67" t="s">
        <v>3766</v>
      </c>
      <c r="FC468" s="67" t="s">
        <v>3767</v>
      </c>
      <c r="FD468" s="67" t="s">
        <v>3768</v>
      </c>
      <c r="FE468" s="68" t="s">
        <v>3769</v>
      </c>
      <c r="FF468" s="68" t="s">
        <v>3770</v>
      </c>
    </row>
    <row r="469" spans="151:162" x14ac:dyDescent="0.2">
      <c r="EU469" s="67">
        <v>578.5</v>
      </c>
      <c r="EV469" s="67" t="s">
        <v>3771</v>
      </c>
      <c r="EW469" s="67">
        <v>504.32</v>
      </c>
      <c r="EX469" s="67" t="s">
        <v>3772</v>
      </c>
      <c r="EY469" s="67">
        <v>5796.75</v>
      </c>
      <c r="EZ469" s="67" t="s">
        <v>3773</v>
      </c>
      <c r="FA469" s="67">
        <v>20709.25</v>
      </c>
      <c r="FB469" s="67" t="s">
        <v>3774</v>
      </c>
      <c r="FC469" s="67" t="s">
        <v>3775</v>
      </c>
      <c r="FD469" s="67" t="s">
        <v>3776</v>
      </c>
      <c r="FE469" s="68" t="s">
        <v>3777</v>
      </c>
      <c r="FF469" s="68" t="s">
        <v>3778</v>
      </c>
    </row>
    <row r="470" spans="151:162" x14ac:dyDescent="0.2">
      <c r="EU470" s="67">
        <v>578.78</v>
      </c>
      <c r="EV470" s="67" t="s">
        <v>3779</v>
      </c>
      <c r="EW470" s="67">
        <v>504.81</v>
      </c>
      <c r="EX470" s="67" t="s">
        <v>3780</v>
      </c>
      <c r="EY470" s="67">
        <v>5799.75</v>
      </c>
      <c r="EZ470" s="67" t="s">
        <v>3781</v>
      </c>
      <c r="FA470" s="67">
        <v>20729.25</v>
      </c>
      <c r="FB470" s="67" t="s">
        <v>3782</v>
      </c>
      <c r="FC470" s="67" t="s">
        <v>3783</v>
      </c>
      <c r="FD470" s="67" t="s">
        <v>3784</v>
      </c>
      <c r="FE470" s="68" t="s">
        <v>3785</v>
      </c>
      <c r="FF470" s="68" t="s">
        <v>3786</v>
      </c>
    </row>
    <row r="471" spans="151:162" x14ac:dyDescent="0.2">
      <c r="EU471" s="67">
        <v>579.01</v>
      </c>
      <c r="EV471" s="67" t="s">
        <v>3787</v>
      </c>
      <c r="EW471" s="67">
        <v>504.98</v>
      </c>
      <c r="EX471" s="67" t="s">
        <v>3788</v>
      </c>
      <c r="EY471" s="67">
        <v>5802</v>
      </c>
      <c r="EZ471" s="67" t="s">
        <v>3789</v>
      </c>
      <c r="FA471" s="67">
        <v>20735.75</v>
      </c>
      <c r="FB471" s="67" t="s">
        <v>3790</v>
      </c>
      <c r="FC471" s="67" t="s">
        <v>3791</v>
      </c>
      <c r="FD471" s="67" t="s">
        <v>3792</v>
      </c>
      <c r="FE471" s="68" t="s">
        <v>3793</v>
      </c>
      <c r="FF471" s="68" t="s">
        <v>3794</v>
      </c>
    </row>
    <row r="472" spans="151:162" x14ac:dyDescent="0.2">
      <c r="EU472" s="67">
        <v>578.4</v>
      </c>
      <c r="EV472" s="67" t="s">
        <v>3795</v>
      </c>
      <c r="EW472" s="67">
        <v>504.17</v>
      </c>
      <c r="EX472" s="67" t="s">
        <v>3796</v>
      </c>
      <c r="EY472" s="67">
        <v>5796</v>
      </c>
      <c r="EZ472" s="67" t="s">
        <v>3797</v>
      </c>
      <c r="FA472" s="67">
        <v>20702.25</v>
      </c>
      <c r="FB472" s="67" t="s">
        <v>3798</v>
      </c>
      <c r="FC472" s="67" t="s">
        <v>3799</v>
      </c>
      <c r="FD472" s="67" t="s">
        <v>3800</v>
      </c>
      <c r="FE472" s="68" t="s">
        <v>3801</v>
      </c>
      <c r="FF472" s="68" t="s">
        <v>3802</v>
      </c>
    </row>
    <row r="473" spans="151:162" x14ac:dyDescent="0.2">
      <c r="EU473" s="67">
        <v>578.34</v>
      </c>
      <c r="EV473" s="67" t="s">
        <v>3803</v>
      </c>
      <c r="EW473" s="67">
        <v>503.99</v>
      </c>
      <c r="EX473" s="67" t="s">
        <v>3804</v>
      </c>
      <c r="EY473" s="67">
        <v>5795.25</v>
      </c>
      <c r="EZ473" s="67" t="s">
        <v>3805</v>
      </c>
      <c r="FA473" s="67">
        <v>20693.25</v>
      </c>
      <c r="FB473" s="67" t="s">
        <v>3806</v>
      </c>
      <c r="FC473" s="67" t="s">
        <v>3807</v>
      </c>
      <c r="FD473" s="67" t="s">
        <v>3808</v>
      </c>
      <c r="FE473" s="68" t="s">
        <v>3809</v>
      </c>
      <c r="FF473" s="68" t="s">
        <v>3810</v>
      </c>
    </row>
    <row r="474" spans="151:162" x14ac:dyDescent="0.2">
      <c r="EU474" s="67">
        <v>578.04999999999995</v>
      </c>
      <c r="EV474" s="67" t="s">
        <v>3811</v>
      </c>
      <c r="EW474" s="67">
        <v>503.66</v>
      </c>
      <c r="EX474" s="67" t="s">
        <v>3812</v>
      </c>
      <c r="EY474" s="67">
        <v>5792.75</v>
      </c>
      <c r="EZ474" s="67" t="s">
        <v>3813</v>
      </c>
      <c r="FA474" s="67">
        <v>20679.25</v>
      </c>
      <c r="FB474" s="67" t="s">
        <v>3814</v>
      </c>
      <c r="FC474" s="67" t="s">
        <v>3815</v>
      </c>
      <c r="FD474" s="67" t="s">
        <v>3816</v>
      </c>
      <c r="FE474" s="68" t="s">
        <v>3817</v>
      </c>
      <c r="FF474" s="68" t="s">
        <v>3818</v>
      </c>
    </row>
    <row r="475" spans="151:162" x14ac:dyDescent="0.2">
      <c r="EU475" s="67">
        <v>578.4</v>
      </c>
      <c r="EV475" s="67" t="s">
        <v>3819</v>
      </c>
      <c r="EW475" s="67">
        <v>504.11</v>
      </c>
      <c r="EX475" s="67" t="s">
        <v>3820</v>
      </c>
      <c r="EY475" s="67">
        <v>5795.75</v>
      </c>
      <c r="EZ475" s="67" t="s">
        <v>3821</v>
      </c>
      <c r="FA475" s="67">
        <v>20699.25</v>
      </c>
      <c r="FB475" s="67" t="s">
        <v>3822</v>
      </c>
      <c r="FC475" s="67" t="s">
        <v>3823</v>
      </c>
      <c r="FD475" s="67" t="s">
        <v>3824</v>
      </c>
      <c r="FE475" s="68" t="s">
        <v>3825</v>
      </c>
      <c r="FF475" s="68" t="s">
        <v>3826</v>
      </c>
    </row>
    <row r="476" spans="151:162" x14ac:dyDescent="0.2">
      <c r="EU476" s="67">
        <v>578.37</v>
      </c>
      <c r="EV476" s="67" t="s">
        <v>3827</v>
      </c>
      <c r="EW476" s="67">
        <v>504.15</v>
      </c>
      <c r="EX476" s="67" t="s">
        <v>3828</v>
      </c>
      <c r="EY476" s="67">
        <v>5795.5</v>
      </c>
      <c r="EZ476" s="67" t="s">
        <v>3829</v>
      </c>
      <c r="FA476" s="67">
        <v>20701.5</v>
      </c>
      <c r="FB476" s="67" t="s">
        <v>3830</v>
      </c>
      <c r="FC476" s="67" t="s">
        <v>3831</v>
      </c>
      <c r="FD476" s="67" t="s">
        <v>3832</v>
      </c>
      <c r="FE476" s="68" t="s">
        <v>3833</v>
      </c>
      <c r="FF476" s="68" t="s">
        <v>3834</v>
      </c>
    </row>
    <row r="477" spans="151:162" x14ac:dyDescent="0.2">
      <c r="EU477" s="67">
        <v>578.52</v>
      </c>
      <c r="EV477" s="67" t="s">
        <v>3835</v>
      </c>
      <c r="EW477" s="67">
        <v>504.38</v>
      </c>
      <c r="EX477" s="67" t="s">
        <v>3836</v>
      </c>
      <c r="EY477" s="67">
        <v>5796.75</v>
      </c>
      <c r="EZ477" s="67" t="s">
        <v>3837</v>
      </c>
      <c r="FA477" s="67">
        <v>20711</v>
      </c>
      <c r="FB477" s="67" t="s">
        <v>3838</v>
      </c>
      <c r="FC477" s="67" t="s">
        <v>3839</v>
      </c>
      <c r="FD477" s="67" t="s">
        <v>3840</v>
      </c>
      <c r="FE477" s="68" t="s">
        <v>3841</v>
      </c>
      <c r="FF477" s="68" t="s">
        <v>3842</v>
      </c>
    </row>
    <row r="478" spans="151:162" x14ac:dyDescent="0.2">
      <c r="EU478" s="67">
        <v>578.51</v>
      </c>
      <c r="EV478" s="67" t="s">
        <v>3843</v>
      </c>
      <c r="EW478" s="67">
        <v>504.3</v>
      </c>
      <c r="EX478" s="67" t="s">
        <v>3844</v>
      </c>
      <c r="EY478" s="67">
        <v>5797</v>
      </c>
      <c r="EZ478" s="67" t="s">
        <v>3845</v>
      </c>
      <c r="FA478" s="67">
        <v>20707.75</v>
      </c>
      <c r="FB478" s="67" t="s">
        <v>3846</v>
      </c>
      <c r="FC478" s="67" t="s">
        <v>3847</v>
      </c>
      <c r="FD478" s="67" t="s">
        <v>3848</v>
      </c>
      <c r="FE478" s="68" t="s">
        <v>3849</v>
      </c>
      <c r="FF478" s="68" t="s">
        <v>3850</v>
      </c>
    </row>
    <row r="479" spans="151:162" x14ac:dyDescent="0.2">
      <c r="EU479" s="67">
        <v>578.37</v>
      </c>
      <c r="EV479" s="67" t="s">
        <v>3851</v>
      </c>
      <c r="EW479" s="67">
        <v>504.21</v>
      </c>
      <c r="EX479" s="67" t="s">
        <v>3852</v>
      </c>
      <c r="EY479" s="67">
        <v>5795</v>
      </c>
      <c r="EZ479" s="67" t="s">
        <v>3853</v>
      </c>
      <c r="FA479" s="67">
        <v>20703.5</v>
      </c>
      <c r="FB479" s="67" t="s">
        <v>3854</v>
      </c>
      <c r="FC479" s="67" t="s">
        <v>3855</v>
      </c>
      <c r="FD479" s="67" t="s">
        <v>3856</v>
      </c>
      <c r="FE479" s="68" t="s">
        <v>3857</v>
      </c>
      <c r="FF479" s="68" t="s">
        <v>3858</v>
      </c>
    </row>
    <row r="480" spans="151:162" x14ac:dyDescent="0.2">
      <c r="EU480" s="67">
        <v>578.33000000000004</v>
      </c>
      <c r="EV480" s="67" t="s">
        <v>3859</v>
      </c>
      <c r="EW480" s="67">
        <v>504.26</v>
      </c>
      <c r="EX480" s="67" t="s">
        <v>3860</v>
      </c>
      <c r="EY480" s="67">
        <v>5795.5</v>
      </c>
      <c r="EZ480" s="67" t="s">
        <v>3861</v>
      </c>
      <c r="FA480" s="67">
        <v>20704.75</v>
      </c>
      <c r="FB480" s="67" t="s">
        <v>3862</v>
      </c>
      <c r="FC480" s="67" t="s">
        <v>3863</v>
      </c>
      <c r="FD480" s="67" t="s">
        <v>3864</v>
      </c>
      <c r="FE480" s="68" t="s">
        <v>3865</v>
      </c>
      <c r="FF480" s="68" t="s">
        <v>3866</v>
      </c>
    </row>
    <row r="481" spans="151:162" x14ac:dyDescent="0.2">
      <c r="EU481" s="67">
        <v>578.9</v>
      </c>
      <c r="EV481" s="67" t="s">
        <v>3867</v>
      </c>
      <c r="EW481" s="67">
        <v>504.78</v>
      </c>
      <c r="EX481" s="67" t="s">
        <v>3868</v>
      </c>
      <c r="EY481" s="67">
        <v>5801</v>
      </c>
      <c r="EZ481" s="67" t="s">
        <v>3869</v>
      </c>
      <c r="FA481" s="67">
        <v>20727.75</v>
      </c>
      <c r="FB481" s="67" t="s">
        <v>3870</v>
      </c>
      <c r="FC481" s="67" t="s">
        <v>3871</v>
      </c>
      <c r="FD481" s="67" t="s">
        <v>3872</v>
      </c>
      <c r="FE481" s="68" t="s">
        <v>3873</v>
      </c>
      <c r="FF481" s="68" t="s">
        <v>3874</v>
      </c>
    </row>
    <row r="482" spans="151:162" x14ac:dyDescent="0.2">
      <c r="EU482" s="67">
        <v>578.46</v>
      </c>
      <c r="EV482" s="67" t="s">
        <v>3875</v>
      </c>
      <c r="EW482" s="67">
        <v>504.5</v>
      </c>
      <c r="EX482" s="67" t="s">
        <v>3876</v>
      </c>
      <c r="EY482" s="67">
        <v>5796.75</v>
      </c>
      <c r="EZ482" s="67" t="s">
        <v>3877</v>
      </c>
      <c r="FA482" s="67">
        <v>20714.25</v>
      </c>
      <c r="FB482" s="67" t="s">
        <v>3878</v>
      </c>
      <c r="FC482" s="67" t="s">
        <v>3879</v>
      </c>
      <c r="FD482" s="67" t="s">
        <v>3880</v>
      </c>
      <c r="FE482" s="68" t="s">
        <v>3881</v>
      </c>
      <c r="FF482" s="68" t="s">
        <v>3882</v>
      </c>
    </row>
    <row r="483" spans="151:162" x14ac:dyDescent="0.2">
      <c r="EU483" s="67">
        <v>578.91</v>
      </c>
      <c r="EV483" s="67" t="s">
        <v>3883</v>
      </c>
      <c r="EW483" s="67">
        <v>504.98</v>
      </c>
      <c r="EX483" s="67" t="s">
        <v>3884</v>
      </c>
      <c r="EY483" s="67">
        <v>5801.25</v>
      </c>
      <c r="EZ483" s="67" t="s">
        <v>3885</v>
      </c>
      <c r="FA483" s="67">
        <v>20735</v>
      </c>
      <c r="FB483" s="67" t="s">
        <v>3886</v>
      </c>
      <c r="FC483" s="67" t="s">
        <v>3887</v>
      </c>
      <c r="FD483" s="67" t="s">
        <v>3888</v>
      </c>
      <c r="FE483" s="68" t="s">
        <v>3889</v>
      </c>
      <c r="FF483" s="68" t="s">
        <v>3890</v>
      </c>
    </row>
    <row r="484" spans="151:162" x14ac:dyDescent="0.2">
      <c r="EU484" s="67">
        <v>578.96</v>
      </c>
      <c r="EV484" s="67" t="s">
        <v>3891</v>
      </c>
      <c r="EW484" s="67">
        <v>505.06</v>
      </c>
      <c r="EX484" s="67" t="s">
        <v>3892</v>
      </c>
      <c r="EY484" s="67">
        <v>5801.5</v>
      </c>
      <c r="EZ484" s="67" t="s">
        <v>3893</v>
      </c>
      <c r="FA484" s="67">
        <v>20738</v>
      </c>
      <c r="FB484" s="67" t="s">
        <v>3894</v>
      </c>
      <c r="FC484" s="67" t="s">
        <v>3895</v>
      </c>
      <c r="FD484" s="67" t="s">
        <v>3896</v>
      </c>
      <c r="FE484" s="68" t="s">
        <v>3897</v>
      </c>
      <c r="FF484" s="68" t="s">
        <v>3898</v>
      </c>
    </row>
    <row r="485" spans="151:162" x14ac:dyDescent="0.2">
      <c r="EU485" s="67">
        <v>578.97</v>
      </c>
      <c r="EV485" s="67" t="s">
        <v>3899</v>
      </c>
      <c r="EW485" s="67">
        <v>505.08</v>
      </c>
      <c r="EX485" s="67" t="s">
        <v>3900</v>
      </c>
      <c r="EY485" s="67">
        <v>5801.5</v>
      </c>
      <c r="EZ485" s="67" t="s">
        <v>3901</v>
      </c>
      <c r="FA485" s="67">
        <v>20739.5</v>
      </c>
      <c r="FB485" s="67" t="s">
        <v>3902</v>
      </c>
      <c r="FC485" s="67" t="s">
        <v>3903</v>
      </c>
      <c r="FD485" s="67" t="s">
        <v>3904</v>
      </c>
      <c r="FE485" s="68" t="s">
        <v>3905</v>
      </c>
      <c r="FF485" s="68" t="s">
        <v>3906</v>
      </c>
    </row>
    <row r="486" spans="151:162" x14ac:dyDescent="0.2">
      <c r="EU486" s="67">
        <v>578.96</v>
      </c>
      <c r="EV486" s="67" t="s">
        <v>3907</v>
      </c>
      <c r="EW486" s="67">
        <v>505.13</v>
      </c>
      <c r="EX486" s="67" t="s">
        <v>3908</v>
      </c>
      <c r="EY486" s="67">
        <v>5801.5</v>
      </c>
      <c r="EZ486" s="67" t="s">
        <v>3909</v>
      </c>
      <c r="FA486" s="67">
        <v>20742.25</v>
      </c>
      <c r="FB486" s="67" t="s">
        <v>3910</v>
      </c>
      <c r="FC486" s="67" t="s">
        <v>3911</v>
      </c>
      <c r="FD486" s="67" t="s">
        <v>3912</v>
      </c>
      <c r="FE486" s="68" t="s">
        <v>3913</v>
      </c>
      <c r="FF486" s="68" t="s">
        <v>3914</v>
      </c>
    </row>
    <row r="487" spans="151:162" x14ac:dyDescent="0.2">
      <c r="EU487" s="67">
        <v>578.82000000000005</v>
      </c>
      <c r="EV487" s="67" t="s">
        <v>3915</v>
      </c>
      <c r="EW487" s="67">
        <v>505.07</v>
      </c>
      <c r="EX487" s="67" t="s">
        <v>3916</v>
      </c>
      <c r="EY487" s="67">
        <v>5800.25</v>
      </c>
      <c r="EZ487" s="67" t="s">
        <v>3917</v>
      </c>
      <c r="FA487" s="67">
        <v>20739.75</v>
      </c>
      <c r="FB487" s="67" t="s">
        <v>3918</v>
      </c>
      <c r="FC487" s="67" t="s">
        <v>3919</v>
      </c>
      <c r="FD487" s="67" t="s">
        <v>3920</v>
      </c>
      <c r="FE487" s="68" t="s">
        <v>3921</v>
      </c>
      <c r="FF487" s="68" t="s">
        <v>3922</v>
      </c>
    </row>
    <row r="488" spans="151:162" x14ac:dyDescent="0.2">
      <c r="EU488" s="67">
        <v>578.44000000000005</v>
      </c>
      <c r="EV488" s="67" t="s">
        <v>3923</v>
      </c>
      <c r="EW488" s="67">
        <v>504.69</v>
      </c>
      <c r="EX488" s="67" t="s">
        <v>3924</v>
      </c>
      <c r="EY488" s="67">
        <v>5796.5</v>
      </c>
      <c r="EZ488" s="67" t="s">
        <v>3925</v>
      </c>
      <c r="FA488" s="67">
        <v>20722.75</v>
      </c>
      <c r="FB488" s="67" t="s">
        <v>3926</v>
      </c>
      <c r="FC488" s="67" t="s">
        <v>3927</v>
      </c>
      <c r="FD488" s="67" t="s">
        <v>3928</v>
      </c>
      <c r="FE488" s="68" t="s">
        <v>3929</v>
      </c>
      <c r="FF488" s="68" t="s">
        <v>3930</v>
      </c>
    </row>
    <row r="489" spans="151:162" x14ac:dyDescent="0.2">
      <c r="EU489" s="67">
        <v>578.52</v>
      </c>
      <c r="EV489" s="67" t="s">
        <v>3931</v>
      </c>
      <c r="EW489" s="67">
        <v>504.66</v>
      </c>
      <c r="EX489" s="67" t="s">
        <v>3932</v>
      </c>
      <c r="EY489" s="67">
        <v>5796.25</v>
      </c>
      <c r="EZ489" s="67" t="s">
        <v>3933</v>
      </c>
      <c r="FA489" s="67">
        <v>20726.5</v>
      </c>
      <c r="FB489" s="67" t="s">
        <v>3934</v>
      </c>
      <c r="FC489" s="67" t="s">
        <v>3935</v>
      </c>
      <c r="FD489" s="67" t="s">
        <v>3936</v>
      </c>
      <c r="FE489" s="68" t="s">
        <v>3937</v>
      </c>
      <c r="FF489" s="68" t="s">
        <v>3938</v>
      </c>
    </row>
    <row r="490" spans="151:162" x14ac:dyDescent="0.2">
      <c r="EU490" s="67">
        <v>578.22</v>
      </c>
      <c r="EV490" s="67" t="s">
        <v>3939</v>
      </c>
      <c r="EW490" s="67">
        <v>504.48</v>
      </c>
      <c r="EX490" s="67" t="s">
        <v>3940</v>
      </c>
      <c r="EY490" s="67">
        <v>5794</v>
      </c>
      <c r="EZ490" s="67" t="s">
        <v>3941</v>
      </c>
      <c r="FA490" s="67">
        <v>20712.75</v>
      </c>
      <c r="FB490" s="67" t="s">
        <v>3942</v>
      </c>
      <c r="FC490" s="67" t="s">
        <v>3943</v>
      </c>
      <c r="FD490" s="67" t="s">
        <v>3944</v>
      </c>
      <c r="FE490" s="68" t="s">
        <v>3945</v>
      </c>
      <c r="FF490" s="68" t="s">
        <v>3946</v>
      </c>
    </row>
    <row r="491" spans="151:162" x14ac:dyDescent="0.2">
      <c r="EU491" s="67">
        <v>578.15</v>
      </c>
      <c r="EV491" s="67" t="s">
        <v>3947</v>
      </c>
      <c r="EW491" s="67">
        <v>504.45</v>
      </c>
      <c r="EX491" s="67" t="s">
        <v>3948</v>
      </c>
      <c r="EY491" s="67">
        <v>5793.5</v>
      </c>
      <c r="EZ491" s="67" t="s">
        <v>3949</v>
      </c>
      <c r="FA491" s="67">
        <v>20713.25</v>
      </c>
      <c r="FB491" s="67" t="s">
        <v>3950</v>
      </c>
      <c r="FC491" s="67" t="s">
        <v>3951</v>
      </c>
      <c r="FD491" s="67" t="s">
        <v>3952</v>
      </c>
      <c r="FE491" s="68" t="s">
        <v>3953</v>
      </c>
      <c r="FF491" s="68" t="s">
        <v>3954</v>
      </c>
    </row>
    <row r="492" spans="151:162" x14ac:dyDescent="0.2">
      <c r="EU492" s="67">
        <v>578.20000000000005</v>
      </c>
      <c r="EV492" s="67" t="s">
        <v>3955</v>
      </c>
      <c r="EW492" s="67">
        <v>504.44</v>
      </c>
      <c r="EX492" s="67" t="s">
        <v>3956</v>
      </c>
      <c r="EY492" s="67">
        <v>5793.75</v>
      </c>
      <c r="EZ492" s="67" t="s">
        <v>3957</v>
      </c>
      <c r="FA492" s="67">
        <v>20717</v>
      </c>
      <c r="FB492" s="67" t="s">
        <v>3958</v>
      </c>
      <c r="FC492" s="67" t="s">
        <v>3959</v>
      </c>
      <c r="FD492" s="67" t="s">
        <v>3960</v>
      </c>
      <c r="FE492" s="68" t="s">
        <v>3961</v>
      </c>
      <c r="FF492" s="68" t="s">
        <v>3962</v>
      </c>
    </row>
    <row r="493" spans="151:162" x14ac:dyDescent="0.2">
      <c r="EU493" s="67">
        <v>578.19000000000005</v>
      </c>
      <c r="EV493" s="67" t="s">
        <v>3963</v>
      </c>
      <c r="EW493" s="67">
        <v>504.43</v>
      </c>
      <c r="EX493" s="67" t="s">
        <v>3964</v>
      </c>
      <c r="EY493" s="67">
        <v>5793.75</v>
      </c>
      <c r="EZ493" s="67" t="s">
        <v>3965</v>
      </c>
      <c r="FA493" s="67">
        <v>20712</v>
      </c>
      <c r="FB493" s="67" t="s">
        <v>3966</v>
      </c>
      <c r="FC493" s="67" t="s">
        <v>3967</v>
      </c>
      <c r="FD493" s="67" t="s">
        <v>3968</v>
      </c>
      <c r="FE493" s="68" t="s">
        <v>3969</v>
      </c>
      <c r="FF493" s="68" t="s">
        <v>3970</v>
      </c>
    </row>
    <row r="494" spans="151:162" x14ac:dyDescent="0.2">
      <c r="EU494" s="67">
        <v>578.17999999999995</v>
      </c>
      <c r="EV494" s="67" t="s">
        <v>3971</v>
      </c>
      <c r="EW494" s="67">
        <v>504.45</v>
      </c>
      <c r="EX494" s="67" t="s">
        <v>3972</v>
      </c>
      <c r="EY494" s="67">
        <v>5793.75</v>
      </c>
      <c r="EZ494" s="67" t="s">
        <v>3973</v>
      </c>
      <c r="FA494" s="67">
        <v>20713</v>
      </c>
      <c r="FB494" s="67" t="s">
        <v>3974</v>
      </c>
      <c r="FC494" s="67" t="s">
        <v>3975</v>
      </c>
      <c r="FD494" s="67" t="s">
        <v>3976</v>
      </c>
      <c r="FE494" s="68" t="s">
        <v>3977</v>
      </c>
      <c r="FF494" s="68" t="s">
        <v>3978</v>
      </c>
    </row>
    <row r="495" spans="151:162" x14ac:dyDescent="0.2">
      <c r="EU495" s="67">
        <v>578.5</v>
      </c>
      <c r="EV495" s="67" t="s">
        <v>3979</v>
      </c>
      <c r="EW495" s="67">
        <v>504.77</v>
      </c>
      <c r="EX495" s="67" t="s">
        <v>3980</v>
      </c>
      <c r="EY495" s="67">
        <v>5797</v>
      </c>
      <c r="EZ495" s="67" t="s">
        <v>3981</v>
      </c>
      <c r="FA495" s="67">
        <v>20727</v>
      </c>
      <c r="FB495" s="67" t="s">
        <v>3982</v>
      </c>
      <c r="FC495" s="67" t="s">
        <v>3983</v>
      </c>
      <c r="FD495" s="67" t="s">
        <v>3984</v>
      </c>
      <c r="FE495" s="68" t="s">
        <v>3985</v>
      </c>
      <c r="FF495" s="68" t="s">
        <v>3986</v>
      </c>
    </row>
    <row r="496" spans="151:162" x14ac:dyDescent="0.2">
      <c r="EU496" s="67">
        <v>578.57000000000005</v>
      </c>
      <c r="EV496" s="67" t="s">
        <v>3987</v>
      </c>
      <c r="EW496" s="67">
        <v>504.81</v>
      </c>
      <c r="EX496" s="67" t="s">
        <v>3988</v>
      </c>
      <c r="EY496" s="67">
        <v>5797.75</v>
      </c>
      <c r="EZ496" s="67" t="s">
        <v>3989</v>
      </c>
      <c r="FA496" s="67">
        <v>20727.75</v>
      </c>
      <c r="FB496" s="67" t="s">
        <v>3990</v>
      </c>
      <c r="FC496" s="67" t="s">
        <v>3991</v>
      </c>
      <c r="FD496" s="67" t="s">
        <v>3992</v>
      </c>
      <c r="FE496" s="68" t="s">
        <v>3993</v>
      </c>
      <c r="FF496" s="68" t="s">
        <v>3994</v>
      </c>
    </row>
    <row r="497" spans="151:162" x14ac:dyDescent="0.2">
      <c r="EU497" s="67">
        <v>578.72</v>
      </c>
      <c r="EV497" s="67" t="s">
        <v>3995</v>
      </c>
      <c r="EW497" s="67">
        <v>504.94</v>
      </c>
      <c r="EX497" s="67" t="s">
        <v>3996</v>
      </c>
      <c r="EY497" s="67">
        <v>5799.25</v>
      </c>
      <c r="EZ497" s="67" t="s">
        <v>3997</v>
      </c>
      <c r="FA497" s="67">
        <v>20733.75</v>
      </c>
      <c r="FB497" s="67" t="s">
        <v>3998</v>
      </c>
      <c r="FC497" s="67" t="s">
        <v>3999</v>
      </c>
      <c r="FD497" s="67" t="s">
        <v>4000</v>
      </c>
      <c r="FE497" s="68" t="s">
        <v>4001</v>
      </c>
      <c r="FF497" s="68" t="s">
        <v>4002</v>
      </c>
    </row>
    <row r="498" spans="151:162" x14ac:dyDescent="0.2">
      <c r="EU498" s="67">
        <v>578.63</v>
      </c>
      <c r="EV498" s="67" t="s">
        <v>4003</v>
      </c>
      <c r="EW498" s="67">
        <v>504.84</v>
      </c>
      <c r="EX498" s="67" t="s">
        <v>4004</v>
      </c>
      <c r="EY498" s="67">
        <v>5798.5</v>
      </c>
      <c r="EZ498" s="67" t="s">
        <v>4005</v>
      </c>
      <c r="FA498" s="67">
        <v>20730</v>
      </c>
      <c r="FB498" s="67" t="s">
        <v>4006</v>
      </c>
      <c r="FC498" s="67" t="s">
        <v>4007</v>
      </c>
      <c r="FD498" s="67" t="s">
        <v>4008</v>
      </c>
      <c r="FE498" s="68" t="s">
        <v>4009</v>
      </c>
      <c r="FF498" s="68" t="s">
        <v>4010</v>
      </c>
    </row>
    <row r="499" spans="151:162" x14ac:dyDescent="0.2">
      <c r="EU499" s="67">
        <v>578.52</v>
      </c>
      <c r="EV499" s="67" t="s">
        <v>4011</v>
      </c>
      <c r="EW499" s="67">
        <v>504.78</v>
      </c>
      <c r="EX499" s="67" t="s">
        <v>4012</v>
      </c>
      <c r="EY499" s="67">
        <v>5797.25</v>
      </c>
      <c r="EZ499" s="67" t="s">
        <v>4013</v>
      </c>
      <c r="FA499" s="67">
        <v>20727</v>
      </c>
      <c r="FB499" s="67" t="s">
        <v>4014</v>
      </c>
      <c r="FC499" s="67" t="s">
        <v>4015</v>
      </c>
      <c r="FD499" s="67" t="s">
        <v>4016</v>
      </c>
      <c r="FE499" s="68" t="s">
        <v>4017</v>
      </c>
      <c r="FF499" s="68" t="s">
        <v>4018</v>
      </c>
    </row>
    <row r="500" spans="151:162" x14ac:dyDescent="0.2">
      <c r="EU500" s="67">
        <v>578.45000000000005</v>
      </c>
      <c r="EV500" s="67" t="s">
        <v>4019</v>
      </c>
      <c r="EW500" s="67">
        <v>504.68</v>
      </c>
      <c r="EX500" s="67" t="s">
        <v>4020</v>
      </c>
      <c r="EY500" s="67">
        <v>5796.75</v>
      </c>
      <c r="EZ500" s="67" t="s">
        <v>4021</v>
      </c>
      <c r="FA500" s="67">
        <v>20723.25</v>
      </c>
      <c r="FB500" s="67" t="s">
        <v>4022</v>
      </c>
      <c r="FC500" s="67" t="s">
        <v>4023</v>
      </c>
      <c r="FD500" s="67" t="s">
        <v>4024</v>
      </c>
      <c r="FE500" s="68" t="s">
        <v>4025</v>
      </c>
      <c r="FF500" s="68" t="s">
        <v>4026</v>
      </c>
    </row>
    <row r="501" spans="151:162" x14ac:dyDescent="0.2">
      <c r="EU501" s="67">
        <v>578.6</v>
      </c>
      <c r="EV501" s="67" t="s">
        <v>4027</v>
      </c>
      <c r="EW501" s="67">
        <v>504.83</v>
      </c>
      <c r="EX501" s="67" t="s">
        <v>4028</v>
      </c>
      <c r="EY501" s="67">
        <v>5798.25</v>
      </c>
      <c r="EZ501" s="67" t="s">
        <v>4029</v>
      </c>
      <c r="FA501" s="67">
        <v>20729.25</v>
      </c>
      <c r="FB501" s="67" t="s">
        <v>4030</v>
      </c>
      <c r="FC501" s="67" t="s">
        <v>4031</v>
      </c>
      <c r="FD501" s="67" t="s">
        <v>4032</v>
      </c>
      <c r="FE501" s="68" t="s">
        <v>4033</v>
      </c>
      <c r="FF501" s="68" t="s">
        <v>4034</v>
      </c>
    </row>
    <row r="502" spans="151:162" x14ac:dyDescent="0.2">
      <c r="EU502" s="67">
        <v>578.63</v>
      </c>
      <c r="EV502" s="67" t="s">
        <v>4035</v>
      </c>
      <c r="EW502" s="67">
        <v>504.82</v>
      </c>
      <c r="EX502" s="67" t="s">
        <v>4036</v>
      </c>
      <c r="EY502" s="67">
        <v>5798.5</v>
      </c>
      <c r="EZ502" s="67" t="s">
        <v>4037</v>
      </c>
      <c r="FA502" s="67">
        <v>20728.75</v>
      </c>
      <c r="FB502" s="67" t="s">
        <v>4038</v>
      </c>
      <c r="FC502" s="67" t="s">
        <v>4039</v>
      </c>
      <c r="FD502" s="67" t="s">
        <v>4040</v>
      </c>
      <c r="FE502" s="68" t="s">
        <v>4041</v>
      </c>
      <c r="FF502" s="68" t="s">
        <v>4042</v>
      </c>
    </row>
    <row r="503" spans="151:162" x14ac:dyDescent="0.2">
      <c r="EU503" s="67">
        <v>578.72</v>
      </c>
      <c r="EV503" s="67" t="s">
        <v>4043</v>
      </c>
      <c r="EW503" s="67">
        <v>504.88</v>
      </c>
      <c r="EX503" s="67" t="s">
        <v>4044</v>
      </c>
      <c r="EY503" s="67">
        <v>5799.25</v>
      </c>
      <c r="EZ503" s="67" t="s">
        <v>4045</v>
      </c>
      <c r="FA503" s="67">
        <v>20730.5</v>
      </c>
      <c r="FB503" s="67" t="s">
        <v>4046</v>
      </c>
      <c r="FC503" s="67" t="s">
        <v>4047</v>
      </c>
      <c r="FD503" s="67" t="s">
        <v>4048</v>
      </c>
      <c r="FE503" s="68" t="s">
        <v>4049</v>
      </c>
      <c r="FF503" s="68" t="s">
        <v>4050</v>
      </c>
    </row>
    <row r="504" spans="151:162" x14ac:dyDescent="0.2">
      <c r="EU504" s="67">
        <v>578.76</v>
      </c>
      <c r="EV504" s="67" t="s">
        <v>4051</v>
      </c>
      <c r="EW504" s="67">
        <v>504.93</v>
      </c>
      <c r="EX504" s="67" t="s">
        <v>4052</v>
      </c>
      <c r="EY504" s="67">
        <v>5799.5</v>
      </c>
      <c r="EZ504" s="67" t="s">
        <v>4053</v>
      </c>
      <c r="FA504" s="67">
        <v>20732.75</v>
      </c>
      <c r="FB504" s="67" t="s">
        <v>4054</v>
      </c>
      <c r="FC504" s="67" t="s">
        <v>4055</v>
      </c>
      <c r="FD504" s="67" t="s">
        <v>4056</v>
      </c>
      <c r="FE504" s="68" t="s">
        <v>4057</v>
      </c>
      <c r="FF504" s="68" t="s">
        <v>4058</v>
      </c>
    </row>
    <row r="505" spans="151:162" x14ac:dyDescent="0.2">
      <c r="EU505" s="67">
        <v>578.79</v>
      </c>
      <c r="EV505" s="67" t="s">
        <v>4059</v>
      </c>
      <c r="EW505" s="67">
        <v>505.08</v>
      </c>
      <c r="EX505" s="67" t="s">
        <v>4060</v>
      </c>
      <c r="EY505" s="67">
        <v>5800</v>
      </c>
      <c r="EZ505" s="67" t="s">
        <v>4061</v>
      </c>
      <c r="FA505" s="67">
        <v>20738.75</v>
      </c>
      <c r="FB505" s="67" t="s">
        <v>4062</v>
      </c>
      <c r="FC505" s="67" t="s">
        <v>4063</v>
      </c>
      <c r="FD505" s="67" t="s">
        <v>4064</v>
      </c>
      <c r="FE505" s="68" t="s">
        <v>4065</v>
      </c>
      <c r="FF505" s="68" t="s">
        <v>4066</v>
      </c>
    </row>
    <row r="506" spans="151:162" x14ac:dyDescent="0.2">
      <c r="EU506" s="67">
        <v>578.80999999999995</v>
      </c>
      <c r="EV506" s="67" t="s">
        <v>4067</v>
      </c>
      <c r="EW506" s="67">
        <v>505.01</v>
      </c>
      <c r="EX506" s="67" t="s">
        <v>4068</v>
      </c>
      <c r="EY506" s="67">
        <v>5800.25</v>
      </c>
      <c r="EZ506" s="67" t="s">
        <v>4069</v>
      </c>
      <c r="FA506" s="67">
        <v>20736.75</v>
      </c>
      <c r="FB506" s="67" t="s">
        <v>4070</v>
      </c>
      <c r="FC506" s="67" t="s">
        <v>4071</v>
      </c>
      <c r="FD506" s="67" t="s">
        <v>4072</v>
      </c>
      <c r="FE506" s="68" t="s">
        <v>4073</v>
      </c>
      <c r="FF506" s="68" t="s">
        <v>4074</v>
      </c>
    </row>
    <row r="507" spans="151:162" x14ac:dyDescent="0.2">
      <c r="EU507" s="67">
        <v>578.72</v>
      </c>
      <c r="EV507" s="67" t="s">
        <v>4075</v>
      </c>
      <c r="EW507" s="67">
        <v>504.97</v>
      </c>
      <c r="EX507" s="67" t="s">
        <v>4076</v>
      </c>
      <c r="EY507" s="67">
        <v>5799.75</v>
      </c>
      <c r="EZ507" s="67" t="s">
        <v>4077</v>
      </c>
      <c r="FA507" s="67">
        <v>20733.5</v>
      </c>
      <c r="FB507" s="67" t="s">
        <v>4078</v>
      </c>
      <c r="FC507" s="67" t="s">
        <v>4079</v>
      </c>
      <c r="FD507" s="67" t="s">
        <v>4080</v>
      </c>
      <c r="FE507" s="68" t="s">
        <v>4081</v>
      </c>
      <c r="FF507" s="68" t="s">
        <v>4082</v>
      </c>
    </row>
    <row r="508" spans="151:162" x14ac:dyDescent="0.2">
      <c r="EU508" s="67">
        <v>579.01</v>
      </c>
      <c r="EV508" s="67" t="s">
        <v>4083</v>
      </c>
      <c r="EW508" s="67">
        <v>505.21</v>
      </c>
      <c r="EX508" s="67" t="s">
        <v>4084</v>
      </c>
      <c r="EY508" s="67">
        <v>5802.5</v>
      </c>
      <c r="EZ508" s="67" t="s">
        <v>4085</v>
      </c>
      <c r="FA508" s="67">
        <v>20744.75</v>
      </c>
      <c r="FB508" s="67" t="s">
        <v>4086</v>
      </c>
      <c r="FC508" s="67" t="s">
        <v>4087</v>
      </c>
      <c r="FD508" s="67" t="s">
        <v>4088</v>
      </c>
      <c r="FE508" s="68" t="s">
        <v>4089</v>
      </c>
      <c r="FF508" s="68" t="s">
        <v>4090</v>
      </c>
    </row>
    <row r="509" spans="151:162" x14ac:dyDescent="0.2">
      <c r="EU509" s="67">
        <v>579.20000000000005</v>
      </c>
      <c r="EV509" s="67" t="s">
        <v>4091</v>
      </c>
      <c r="EW509" s="67">
        <v>505.38</v>
      </c>
      <c r="EX509" s="67" t="s">
        <v>4092</v>
      </c>
      <c r="EY509" s="67">
        <v>5804.25</v>
      </c>
      <c r="EZ509" s="67" t="s">
        <v>4093</v>
      </c>
      <c r="FA509" s="67">
        <v>20750.75</v>
      </c>
      <c r="FB509" s="67" t="s">
        <v>4094</v>
      </c>
      <c r="FC509" s="67" t="s">
        <v>4095</v>
      </c>
      <c r="FD509" s="67" t="s">
        <v>4096</v>
      </c>
      <c r="FE509" s="68" t="s">
        <v>4097</v>
      </c>
      <c r="FF509" s="68" t="s">
        <v>4098</v>
      </c>
    </row>
    <row r="510" spans="151:162" x14ac:dyDescent="0.2">
      <c r="EU510" s="67">
        <v>579.15</v>
      </c>
      <c r="EV510" s="67" t="s">
        <v>4099</v>
      </c>
      <c r="EW510" s="67">
        <v>505.32</v>
      </c>
      <c r="EX510" s="67" t="s">
        <v>4100</v>
      </c>
      <c r="EY510" s="67">
        <v>5803.5</v>
      </c>
      <c r="EZ510" s="67" t="s">
        <v>4101</v>
      </c>
      <c r="FA510" s="67">
        <v>20750.25</v>
      </c>
      <c r="FB510" s="67" t="s">
        <v>4102</v>
      </c>
      <c r="FC510" s="67" t="s">
        <v>4103</v>
      </c>
      <c r="FD510" s="67" t="s">
        <v>4104</v>
      </c>
      <c r="FE510" s="68" t="s">
        <v>4105</v>
      </c>
      <c r="FF510" s="68" t="s">
        <v>4106</v>
      </c>
    </row>
    <row r="511" spans="151:162" x14ac:dyDescent="0.2">
      <c r="EU511" s="67">
        <v>579.21</v>
      </c>
      <c r="EV511" s="67" t="s">
        <v>4107</v>
      </c>
      <c r="EW511" s="67">
        <v>505.49</v>
      </c>
      <c r="EX511" s="67" t="s">
        <v>4108</v>
      </c>
      <c r="EY511" s="67">
        <v>5804.25</v>
      </c>
      <c r="EZ511" s="67" t="s">
        <v>4109</v>
      </c>
      <c r="FA511" s="67">
        <v>20755.5</v>
      </c>
      <c r="FB511" s="67" t="s">
        <v>4110</v>
      </c>
      <c r="FC511" s="67" t="s">
        <v>4111</v>
      </c>
      <c r="FD511" s="67" t="s">
        <v>4112</v>
      </c>
      <c r="FE511" s="68" t="s">
        <v>4113</v>
      </c>
      <c r="FF511" s="68" t="s">
        <v>4114</v>
      </c>
    </row>
    <row r="512" spans="151:162" x14ac:dyDescent="0.2">
      <c r="EU512" s="67">
        <v>579.29999999999995</v>
      </c>
      <c r="EV512" s="67" t="s">
        <v>4115</v>
      </c>
      <c r="EW512" s="67">
        <v>505.63</v>
      </c>
      <c r="EX512" s="67" t="s">
        <v>4116</v>
      </c>
      <c r="EY512" s="67">
        <v>5805.25</v>
      </c>
      <c r="EZ512" s="67" t="s">
        <v>4117</v>
      </c>
      <c r="FA512" s="67">
        <v>20761</v>
      </c>
      <c r="FB512" s="67" t="s">
        <v>4118</v>
      </c>
      <c r="FC512" s="67" t="s">
        <v>4119</v>
      </c>
      <c r="FD512" s="67" t="s">
        <v>4120</v>
      </c>
      <c r="FE512" s="68" t="s">
        <v>4121</v>
      </c>
      <c r="FF512" s="68" t="s">
        <v>4122</v>
      </c>
    </row>
    <row r="513" spans="151:162" x14ac:dyDescent="0.2">
      <c r="EU513" s="67">
        <v>579.66999999999996</v>
      </c>
      <c r="EV513" s="67" t="s">
        <v>4123</v>
      </c>
      <c r="EW513" s="67">
        <v>505.97</v>
      </c>
      <c r="EX513" s="67" t="s">
        <v>4124</v>
      </c>
      <c r="EY513" s="67">
        <v>5809.5</v>
      </c>
      <c r="EZ513" s="67" t="s">
        <v>4125</v>
      </c>
      <c r="FA513" s="67">
        <v>20773.25</v>
      </c>
      <c r="FB513" s="67" t="s">
        <v>4126</v>
      </c>
      <c r="FC513" s="67" t="s">
        <v>4127</v>
      </c>
      <c r="FD513" s="67" t="s">
        <v>4128</v>
      </c>
      <c r="FE513" s="68" t="s">
        <v>4129</v>
      </c>
      <c r="FF513" s="68" t="s">
        <v>4130</v>
      </c>
    </row>
    <row r="514" spans="151:162" x14ac:dyDescent="0.2">
      <c r="EU514" s="67">
        <v>579.36</v>
      </c>
      <c r="EV514" s="67" t="s">
        <v>4131</v>
      </c>
      <c r="EW514" s="67">
        <v>505.65</v>
      </c>
      <c r="EX514" s="67" t="s">
        <v>4132</v>
      </c>
      <c r="EY514" s="67">
        <v>5805.75</v>
      </c>
      <c r="EZ514" s="67" t="s">
        <v>4133</v>
      </c>
      <c r="FA514" s="67">
        <v>20763.75</v>
      </c>
      <c r="FB514" s="67" t="s">
        <v>4134</v>
      </c>
      <c r="FC514" s="67" t="s">
        <v>4135</v>
      </c>
      <c r="FD514" s="67" t="s">
        <v>4136</v>
      </c>
      <c r="FE514" s="68" t="s">
        <v>4137</v>
      </c>
      <c r="FF514" s="68" t="s">
        <v>4138</v>
      </c>
    </row>
    <row r="515" spans="151:162" x14ac:dyDescent="0.2">
      <c r="EU515" s="67">
        <v>579.5</v>
      </c>
      <c r="EV515" s="67" t="s">
        <v>4139</v>
      </c>
      <c r="EW515" s="67">
        <v>505.76</v>
      </c>
      <c r="EX515" s="67" t="s">
        <v>4140</v>
      </c>
      <c r="EY515" s="67">
        <v>5807.25</v>
      </c>
      <c r="EZ515" s="67" t="s">
        <v>4141</v>
      </c>
      <c r="FA515" s="67">
        <v>20767</v>
      </c>
      <c r="FB515" s="67" t="s">
        <v>4142</v>
      </c>
      <c r="FC515" s="67" t="s">
        <v>4143</v>
      </c>
      <c r="FD515" s="67" t="s">
        <v>4144</v>
      </c>
      <c r="FE515" s="68" t="s">
        <v>4145</v>
      </c>
      <c r="FF515" s="68" t="s">
        <v>4146</v>
      </c>
    </row>
    <row r="516" spans="151:162" x14ac:dyDescent="0.2">
      <c r="EU516" s="67">
        <v>579.63</v>
      </c>
      <c r="EV516" s="67" t="s">
        <v>4147</v>
      </c>
      <c r="EW516" s="67">
        <v>505.94</v>
      </c>
      <c r="EX516" s="67" t="s">
        <v>4148</v>
      </c>
      <c r="EY516" s="67">
        <v>5808.5</v>
      </c>
      <c r="EZ516" s="67" t="s">
        <v>4149</v>
      </c>
      <c r="FA516" s="67">
        <v>20775.25</v>
      </c>
      <c r="FB516" s="67" t="s">
        <v>4150</v>
      </c>
      <c r="FC516" s="67" t="s">
        <v>4151</v>
      </c>
      <c r="FD516" s="67" t="s">
        <v>4152</v>
      </c>
      <c r="FE516" s="68" t="s">
        <v>4153</v>
      </c>
      <c r="FF516" s="68" t="s">
        <v>4154</v>
      </c>
    </row>
    <row r="517" spans="151:162" x14ac:dyDescent="0.2">
      <c r="EU517" s="67">
        <v>579.96</v>
      </c>
      <c r="EV517" s="67" t="s">
        <v>4155</v>
      </c>
      <c r="EW517" s="67">
        <v>506.31</v>
      </c>
      <c r="EX517" s="67" t="s">
        <v>4156</v>
      </c>
      <c r="EY517" s="67">
        <v>5811.75</v>
      </c>
      <c r="EZ517" s="67" t="s">
        <v>4157</v>
      </c>
      <c r="FA517" s="67">
        <v>20789.75</v>
      </c>
      <c r="FB517" s="67" t="s">
        <v>4158</v>
      </c>
      <c r="FC517" s="67" t="s">
        <v>4159</v>
      </c>
      <c r="FD517" s="67" t="s">
        <v>4160</v>
      </c>
      <c r="FE517" s="68" t="s">
        <v>4161</v>
      </c>
      <c r="FF517" s="68" t="s">
        <v>4162</v>
      </c>
    </row>
    <row r="518" spans="151:162" x14ac:dyDescent="0.2">
      <c r="EU518" s="67">
        <v>579.92999999999995</v>
      </c>
      <c r="EV518" s="67" t="s">
        <v>4163</v>
      </c>
      <c r="EW518" s="67">
        <v>506.4</v>
      </c>
      <c r="EX518" s="67" t="s">
        <v>4164</v>
      </c>
      <c r="EY518" s="67">
        <v>5811.5</v>
      </c>
      <c r="EZ518" s="67" t="s">
        <v>4165</v>
      </c>
      <c r="FA518" s="67">
        <v>20794</v>
      </c>
      <c r="FB518" s="67" t="s">
        <v>4166</v>
      </c>
      <c r="FC518" s="67" t="s">
        <v>4167</v>
      </c>
      <c r="FD518" s="67" t="s">
        <v>4168</v>
      </c>
      <c r="FE518" s="68" t="s">
        <v>4169</v>
      </c>
      <c r="FF518" s="68" t="s">
        <v>4170</v>
      </c>
    </row>
    <row r="519" spans="151:162" x14ac:dyDescent="0.2">
      <c r="EU519" s="67">
        <v>579.91999999999996</v>
      </c>
      <c r="EV519" s="67" t="s">
        <v>4171</v>
      </c>
      <c r="EW519" s="67">
        <v>506.38</v>
      </c>
      <c r="EX519" s="67" t="s">
        <v>4172</v>
      </c>
      <c r="EY519" s="67">
        <v>5811.5</v>
      </c>
      <c r="EZ519" s="67" t="s">
        <v>4173</v>
      </c>
      <c r="FA519" s="67">
        <v>20793</v>
      </c>
      <c r="FB519" s="67" t="s">
        <v>4174</v>
      </c>
      <c r="FC519" s="67" t="s">
        <v>4175</v>
      </c>
      <c r="FD519" s="67" t="s">
        <v>4176</v>
      </c>
      <c r="FE519" s="68" t="s">
        <v>4177</v>
      </c>
      <c r="FF519" s="68" t="s">
        <v>4178</v>
      </c>
    </row>
    <row r="520" spans="151:162" x14ac:dyDescent="0.2">
      <c r="EU520" s="67">
        <v>579.86</v>
      </c>
      <c r="EV520" s="67" t="s">
        <v>4179</v>
      </c>
      <c r="EW520" s="67">
        <v>506.28</v>
      </c>
      <c r="EX520" s="67" t="s">
        <v>4180</v>
      </c>
      <c r="EY520" s="67">
        <v>5810.75</v>
      </c>
      <c r="EZ520" s="67" t="s">
        <v>4181</v>
      </c>
      <c r="FA520" s="67">
        <v>20788.75</v>
      </c>
      <c r="FB520" s="67" t="s">
        <v>4182</v>
      </c>
      <c r="FC520" s="67" t="s">
        <v>4183</v>
      </c>
      <c r="FD520" s="67" t="s">
        <v>4184</v>
      </c>
      <c r="FE520" s="68" t="s">
        <v>4185</v>
      </c>
      <c r="FF520" s="68" t="s">
        <v>4186</v>
      </c>
    </row>
    <row r="521" spans="151:162" x14ac:dyDescent="0.2">
      <c r="EU521" s="67">
        <v>579.84</v>
      </c>
      <c r="EV521" s="67" t="s">
        <v>4187</v>
      </c>
      <c r="EW521" s="67">
        <v>506.37</v>
      </c>
      <c r="EX521" s="67" t="s">
        <v>4188</v>
      </c>
      <c r="EY521" s="67">
        <v>5810.75</v>
      </c>
      <c r="EZ521" s="67" t="s">
        <v>4189</v>
      </c>
      <c r="FA521" s="67">
        <v>20792.5</v>
      </c>
      <c r="FB521" s="67" t="s">
        <v>4190</v>
      </c>
      <c r="FC521" s="67" t="s">
        <v>4191</v>
      </c>
      <c r="FD521" s="67" t="s">
        <v>4192</v>
      </c>
      <c r="FE521" s="68" t="s">
        <v>4193</v>
      </c>
      <c r="FF521" s="68" t="s">
        <v>4194</v>
      </c>
    </row>
    <row r="522" spans="151:162" x14ac:dyDescent="0.2">
      <c r="EU522" s="67">
        <v>579.67999999999995</v>
      </c>
      <c r="EV522" s="67" t="s">
        <v>4195</v>
      </c>
      <c r="EW522" s="67">
        <v>506.12</v>
      </c>
      <c r="EX522" s="67" t="s">
        <v>4196</v>
      </c>
      <c r="EY522" s="67">
        <v>5809.25</v>
      </c>
      <c r="EZ522" s="67" t="s">
        <v>4197</v>
      </c>
      <c r="FA522" s="67">
        <v>20781.25</v>
      </c>
      <c r="FB522" s="67" t="s">
        <v>4198</v>
      </c>
      <c r="FC522" s="67" t="s">
        <v>4199</v>
      </c>
      <c r="FD522" s="67" t="s">
        <v>4200</v>
      </c>
      <c r="FE522" s="68" t="s">
        <v>4201</v>
      </c>
      <c r="FF522" s="68" t="s">
        <v>4202</v>
      </c>
    </row>
    <row r="523" spans="151:162" x14ac:dyDescent="0.2">
      <c r="EU523" s="67">
        <v>579.66</v>
      </c>
      <c r="EV523" s="67" t="s">
        <v>4203</v>
      </c>
      <c r="EW523" s="67">
        <v>506.18</v>
      </c>
      <c r="EX523" s="67" t="s">
        <v>4204</v>
      </c>
      <c r="EY523" s="67">
        <v>5808.75</v>
      </c>
      <c r="EZ523" s="67" t="s">
        <v>4205</v>
      </c>
      <c r="FA523" s="67">
        <v>20784.5</v>
      </c>
      <c r="FB523" s="67" t="s">
        <v>4206</v>
      </c>
      <c r="FC523" s="67" t="s">
        <v>4207</v>
      </c>
      <c r="FD523" s="67" t="s">
        <v>4208</v>
      </c>
      <c r="FE523" s="68" t="s">
        <v>4209</v>
      </c>
      <c r="FF523" s="68" t="s">
        <v>4210</v>
      </c>
    </row>
    <row r="524" spans="151:162" x14ac:dyDescent="0.2">
      <c r="EU524" s="67">
        <v>579.59</v>
      </c>
      <c r="EV524" s="67" t="s">
        <v>4211</v>
      </c>
      <c r="EW524" s="67">
        <v>506.15</v>
      </c>
      <c r="EX524" s="67" t="s">
        <v>4212</v>
      </c>
      <c r="EY524" s="67">
        <v>5808.25</v>
      </c>
      <c r="EZ524" s="67" t="s">
        <v>4213</v>
      </c>
      <c r="FA524" s="67">
        <v>20783.75</v>
      </c>
      <c r="FB524" s="67" t="s">
        <v>4214</v>
      </c>
      <c r="FC524" s="67" t="s">
        <v>4215</v>
      </c>
      <c r="FD524" s="67" t="s">
        <v>4216</v>
      </c>
      <c r="FE524" s="68" t="s">
        <v>4217</v>
      </c>
      <c r="FF524" s="68" t="s">
        <v>4218</v>
      </c>
    </row>
    <row r="525" spans="151:162" x14ac:dyDescent="0.2">
      <c r="EU525" s="67">
        <v>579.53</v>
      </c>
      <c r="EV525" s="67" t="s">
        <v>4219</v>
      </c>
      <c r="EW525" s="67">
        <v>506.08</v>
      </c>
      <c r="EX525" s="67" t="s">
        <v>4220</v>
      </c>
      <c r="EY525" s="67">
        <v>5807.5</v>
      </c>
      <c r="EZ525" s="67" t="s">
        <v>4221</v>
      </c>
      <c r="FA525" s="67">
        <v>20780.5</v>
      </c>
      <c r="FB525" s="67" t="s">
        <v>4222</v>
      </c>
      <c r="FC525" s="67" t="s">
        <v>4223</v>
      </c>
      <c r="FD525" s="67" t="s">
        <v>4224</v>
      </c>
      <c r="FE525" s="68" t="s">
        <v>4225</v>
      </c>
      <c r="FF525" s="68" t="s">
        <v>4226</v>
      </c>
    </row>
    <row r="526" spans="151:162" x14ac:dyDescent="0.2">
      <c r="EU526" s="67">
        <v>579.39</v>
      </c>
      <c r="EV526" s="67" t="s">
        <v>4227</v>
      </c>
      <c r="EW526" s="67">
        <v>505.96</v>
      </c>
      <c r="EX526" s="67" t="s">
        <v>4228</v>
      </c>
      <c r="EY526" s="67">
        <v>5806</v>
      </c>
      <c r="EZ526" s="67" t="s">
        <v>4229</v>
      </c>
      <c r="FA526" s="67">
        <v>20775.25</v>
      </c>
      <c r="FB526" s="67" t="s">
        <v>4230</v>
      </c>
      <c r="FC526" s="67" t="s">
        <v>4231</v>
      </c>
      <c r="FD526" s="67" t="s">
        <v>4232</v>
      </c>
      <c r="FE526" s="68" t="s">
        <v>4233</v>
      </c>
      <c r="FF526" s="68" t="s">
        <v>4234</v>
      </c>
    </row>
    <row r="527" spans="151:162" x14ac:dyDescent="0.2">
      <c r="EU527" s="67">
        <v>579.37</v>
      </c>
      <c r="EV527" s="67" t="s">
        <v>4235</v>
      </c>
      <c r="EW527" s="67">
        <v>505.98</v>
      </c>
      <c r="EX527" s="67" t="s">
        <v>4236</v>
      </c>
      <c r="EY527" s="67">
        <v>5805.75</v>
      </c>
      <c r="EZ527" s="67" t="s">
        <v>4237</v>
      </c>
      <c r="FA527" s="67">
        <v>20775.25</v>
      </c>
      <c r="FB527" s="67" t="s">
        <v>4238</v>
      </c>
      <c r="FC527" s="67" t="s">
        <v>4239</v>
      </c>
      <c r="FD527" s="67" t="s">
        <v>4240</v>
      </c>
      <c r="FE527" s="68" t="s">
        <v>4241</v>
      </c>
      <c r="FF527" s="68" t="s">
        <v>4242</v>
      </c>
    </row>
    <row r="528" spans="151:162" x14ac:dyDescent="0.2">
      <c r="EU528" s="67">
        <v>579.59</v>
      </c>
      <c r="EV528" s="67" t="s">
        <v>4243</v>
      </c>
      <c r="EW528" s="67">
        <v>506.25</v>
      </c>
      <c r="EX528" s="67" t="s">
        <v>4244</v>
      </c>
      <c r="EY528" s="67">
        <v>5807.5</v>
      </c>
      <c r="EZ528" s="67" t="s">
        <v>4245</v>
      </c>
      <c r="FA528" s="67">
        <v>20786.75</v>
      </c>
      <c r="FB528" s="67" t="s">
        <v>4246</v>
      </c>
      <c r="FC528" s="67" t="s">
        <v>4247</v>
      </c>
      <c r="FD528" s="67" t="s">
        <v>4248</v>
      </c>
      <c r="FE528" s="68" t="s">
        <v>4249</v>
      </c>
      <c r="FF528" s="68" t="s">
        <v>4250</v>
      </c>
    </row>
    <row r="529" spans="151:162" x14ac:dyDescent="0.2">
      <c r="EU529" s="67">
        <v>579.70000000000005</v>
      </c>
      <c r="EV529" s="67" t="s">
        <v>4251</v>
      </c>
      <c r="EW529" s="67">
        <v>506.4</v>
      </c>
      <c r="EX529" s="67" t="s">
        <v>4252</v>
      </c>
      <c r="EY529" s="67">
        <v>5809</v>
      </c>
      <c r="EZ529" s="67" t="s">
        <v>4253</v>
      </c>
      <c r="FA529" s="67">
        <v>20793</v>
      </c>
      <c r="FB529" s="67" t="s">
        <v>4254</v>
      </c>
      <c r="FC529" s="67" t="s">
        <v>4255</v>
      </c>
      <c r="FD529" s="67" t="s">
        <v>4256</v>
      </c>
      <c r="FE529" s="68" t="s">
        <v>4257</v>
      </c>
      <c r="FF529" s="68" t="s">
        <v>4258</v>
      </c>
    </row>
    <row r="530" spans="151:162" x14ac:dyDescent="0.2">
      <c r="EU530" s="67">
        <v>579.63</v>
      </c>
      <c r="EV530" s="67" t="s">
        <v>4259</v>
      </c>
      <c r="EW530" s="67">
        <v>506.41</v>
      </c>
      <c r="EX530" s="67" t="s">
        <v>4260</v>
      </c>
      <c r="EY530" s="67">
        <v>5808.5</v>
      </c>
      <c r="EZ530" s="67" t="s">
        <v>4261</v>
      </c>
      <c r="FA530" s="67">
        <v>20792.5</v>
      </c>
      <c r="FB530" s="67" t="s">
        <v>4262</v>
      </c>
      <c r="FC530" s="67" t="s">
        <v>4263</v>
      </c>
      <c r="FD530" s="67" t="s">
        <v>4264</v>
      </c>
      <c r="FE530" s="68" t="s">
        <v>4265</v>
      </c>
      <c r="FF530" s="68" t="s">
        <v>4266</v>
      </c>
    </row>
    <row r="531" spans="151:162" x14ac:dyDescent="0.2">
      <c r="EU531" s="67">
        <v>579.65</v>
      </c>
      <c r="EV531" s="67" t="s">
        <v>4267</v>
      </c>
      <c r="EW531" s="67">
        <v>506.44</v>
      </c>
      <c r="EX531" s="67" t="s">
        <v>4268</v>
      </c>
      <c r="EY531" s="67">
        <v>5808.75</v>
      </c>
      <c r="EZ531" s="67" t="s">
        <v>4269</v>
      </c>
      <c r="FA531" s="67">
        <v>20795</v>
      </c>
      <c r="FB531" s="67" t="s">
        <v>4270</v>
      </c>
      <c r="FC531" s="67" t="s">
        <v>4271</v>
      </c>
      <c r="FD531" s="67" t="s">
        <v>4272</v>
      </c>
      <c r="FE531" s="68" t="s">
        <v>4273</v>
      </c>
      <c r="FF531" s="68" t="s">
        <v>4274</v>
      </c>
    </row>
    <row r="532" spans="151:162" x14ac:dyDescent="0.2">
      <c r="EU532" s="67">
        <v>579.72</v>
      </c>
      <c r="EV532" s="67" t="s">
        <v>4275</v>
      </c>
      <c r="EW532" s="67">
        <v>506.54</v>
      </c>
      <c r="EX532" s="67" t="s">
        <v>4276</v>
      </c>
      <c r="EY532" s="67">
        <v>5809.25</v>
      </c>
      <c r="EZ532" s="67" t="s">
        <v>4277</v>
      </c>
      <c r="FA532" s="67">
        <v>20799.25</v>
      </c>
      <c r="FB532" s="67" t="s">
        <v>4278</v>
      </c>
      <c r="FC532" s="67" t="s">
        <v>4279</v>
      </c>
      <c r="FD532" s="67" t="s">
        <v>4280</v>
      </c>
      <c r="FE532" s="68" t="s">
        <v>4281</v>
      </c>
      <c r="FF532" s="68" t="s">
        <v>4282</v>
      </c>
    </row>
    <row r="533" spans="151:162" x14ac:dyDescent="0.2">
      <c r="EU533" s="67">
        <v>579.70000000000005</v>
      </c>
      <c r="EV533" s="67" t="s">
        <v>4283</v>
      </c>
      <c r="EW533" s="67">
        <v>506.53</v>
      </c>
      <c r="EX533" s="67" t="s">
        <v>4284</v>
      </c>
      <c r="EY533" s="67">
        <v>5809</v>
      </c>
      <c r="EZ533" s="67" t="s">
        <v>4285</v>
      </c>
      <c r="FA533" s="67">
        <v>20797.5</v>
      </c>
      <c r="FB533" s="67" t="s">
        <v>4286</v>
      </c>
      <c r="FC533" s="67" t="s">
        <v>4287</v>
      </c>
      <c r="FD533" s="67" t="s">
        <v>4288</v>
      </c>
      <c r="FE533" s="68" t="s">
        <v>4289</v>
      </c>
      <c r="FF533" s="68" t="s">
        <v>4290</v>
      </c>
    </row>
    <row r="534" spans="151:162" x14ac:dyDescent="0.2">
      <c r="EU534" s="67">
        <v>579.78</v>
      </c>
      <c r="EV534" s="67" t="s">
        <v>4291</v>
      </c>
      <c r="EW534" s="67">
        <v>506.5</v>
      </c>
      <c r="EX534" s="67" t="s">
        <v>4292</v>
      </c>
      <c r="EY534" s="67">
        <v>5809.75</v>
      </c>
      <c r="EZ534" s="67" t="s">
        <v>4293</v>
      </c>
      <c r="FA534" s="67">
        <v>20797.25</v>
      </c>
      <c r="FB534" s="67" t="s">
        <v>4294</v>
      </c>
      <c r="FC534" s="67" t="s">
        <v>4295</v>
      </c>
      <c r="FD534" s="67" t="s">
        <v>4296</v>
      </c>
      <c r="FE534" s="68" t="s">
        <v>4297</v>
      </c>
      <c r="FF534" s="68" t="s">
        <v>4298</v>
      </c>
    </row>
    <row r="535" spans="151:162" x14ac:dyDescent="0.2">
      <c r="EU535" s="67">
        <v>579.80999999999995</v>
      </c>
      <c r="EV535" s="67" t="s">
        <v>4299</v>
      </c>
      <c r="EW535" s="67">
        <v>506.55</v>
      </c>
      <c r="EX535" s="67" t="s">
        <v>4300</v>
      </c>
      <c r="EY535" s="67">
        <v>5810.5</v>
      </c>
      <c r="EZ535" s="67" t="s">
        <v>4301</v>
      </c>
      <c r="FA535" s="67">
        <v>20799.75</v>
      </c>
      <c r="FB535" s="67" t="s">
        <v>4302</v>
      </c>
      <c r="FC535" s="67" t="s">
        <v>4303</v>
      </c>
      <c r="FD535" s="67" t="s">
        <v>4304</v>
      </c>
      <c r="FE535" s="68" t="s">
        <v>4305</v>
      </c>
      <c r="FF535" s="68" t="s">
        <v>4306</v>
      </c>
    </row>
    <row r="536" spans="151:162" x14ac:dyDescent="0.2">
      <c r="EU536" s="67">
        <v>579.75</v>
      </c>
      <c r="EV536" s="67" t="s">
        <v>4307</v>
      </c>
      <c r="EW536" s="67">
        <v>506.46</v>
      </c>
      <c r="EX536" s="67" t="s">
        <v>4308</v>
      </c>
      <c r="EY536" s="67">
        <v>5810</v>
      </c>
      <c r="EZ536" s="67" t="s">
        <v>4309</v>
      </c>
      <c r="FA536" s="67">
        <v>20795.75</v>
      </c>
      <c r="FB536" s="67" t="s">
        <v>4310</v>
      </c>
      <c r="FC536" s="67" t="s">
        <v>4311</v>
      </c>
      <c r="FD536" s="67" t="s">
        <v>4312</v>
      </c>
      <c r="FE536" s="68" t="s">
        <v>4313</v>
      </c>
      <c r="FF536" s="68" t="s">
        <v>4314</v>
      </c>
    </row>
    <row r="537" spans="151:162" x14ac:dyDescent="0.2">
      <c r="EU537" s="67">
        <v>579.78</v>
      </c>
      <c r="EV537" s="67" t="s">
        <v>4315</v>
      </c>
      <c r="EW537" s="67">
        <v>506.4</v>
      </c>
      <c r="EX537" s="67" t="s">
        <v>4316</v>
      </c>
      <c r="EY537" s="67">
        <v>5810.75</v>
      </c>
      <c r="EZ537" s="67" t="s">
        <v>4317</v>
      </c>
      <c r="FA537" s="67">
        <v>20793.25</v>
      </c>
      <c r="FB537" s="67" t="s">
        <v>4318</v>
      </c>
      <c r="FC537" s="67" t="s">
        <v>4319</v>
      </c>
      <c r="FD537" s="67" t="s">
        <v>4320</v>
      </c>
      <c r="FE537" s="68" t="s">
        <v>4321</v>
      </c>
      <c r="FF537" s="68" t="s">
        <v>4322</v>
      </c>
    </row>
    <row r="538" spans="151:162" x14ac:dyDescent="0.2">
      <c r="EU538" s="67">
        <v>579.83000000000004</v>
      </c>
      <c r="EV538" s="67" t="s">
        <v>4323</v>
      </c>
      <c r="EW538" s="67">
        <v>506.51</v>
      </c>
      <c r="EX538" s="67" t="s">
        <v>4324</v>
      </c>
      <c r="EY538" s="67">
        <v>5810.75</v>
      </c>
      <c r="EZ538" s="67" t="s">
        <v>4325</v>
      </c>
      <c r="FA538" s="67">
        <v>20797.75</v>
      </c>
      <c r="FB538" s="67" t="s">
        <v>4326</v>
      </c>
      <c r="FC538" s="67" t="s">
        <v>4327</v>
      </c>
      <c r="FD538" s="67" t="s">
        <v>4328</v>
      </c>
      <c r="FE538" s="68" t="s">
        <v>4329</v>
      </c>
      <c r="FF538" s="68" t="s">
        <v>4330</v>
      </c>
    </row>
    <row r="539" spans="151:162" x14ac:dyDescent="0.2">
      <c r="EU539" s="67">
        <v>579.95000000000005</v>
      </c>
      <c r="EV539" s="67" t="s">
        <v>4331</v>
      </c>
      <c r="EW539" s="67">
        <v>506.68</v>
      </c>
      <c r="EX539" s="67" t="s">
        <v>4332</v>
      </c>
      <c r="EY539" s="67">
        <v>5811.75</v>
      </c>
      <c r="EZ539" s="67" t="s">
        <v>4333</v>
      </c>
      <c r="FA539" s="67">
        <v>20804.25</v>
      </c>
      <c r="FB539" s="67" t="s">
        <v>4334</v>
      </c>
      <c r="FC539" s="67" t="s">
        <v>4335</v>
      </c>
      <c r="FD539" s="67" t="s">
        <v>4336</v>
      </c>
      <c r="FE539" s="68" t="s">
        <v>4337</v>
      </c>
      <c r="FF539" s="68" t="s">
        <v>4338</v>
      </c>
    </row>
    <row r="540" spans="151:162" x14ac:dyDescent="0.2">
      <c r="EU540" s="67">
        <v>580.12</v>
      </c>
      <c r="EV540" s="67" t="s">
        <v>4339</v>
      </c>
      <c r="EW540" s="67">
        <v>506.85</v>
      </c>
      <c r="EX540" s="67" t="s">
        <v>4340</v>
      </c>
      <c r="EY540" s="67">
        <v>5813.5</v>
      </c>
      <c r="EZ540" s="67" t="s">
        <v>4341</v>
      </c>
      <c r="FA540" s="67">
        <v>20811.25</v>
      </c>
      <c r="FB540" s="67" t="s">
        <v>4342</v>
      </c>
      <c r="FC540" s="67" t="s">
        <v>4343</v>
      </c>
      <c r="FD540" s="67" t="s">
        <v>4344</v>
      </c>
      <c r="FE540" s="68" t="s">
        <v>4345</v>
      </c>
      <c r="FF540" s="68" t="s">
        <v>4346</v>
      </c>
    </row>
    <row r="541" spans="151:162" x14ac:dyDescent="0.2">
      <c r="EU541" s="67">
        <v>579.9</v>
      </c>
      <c r="EV541" s="67" t="s">
        <v>4347</v>
      </c>
      <c r="EW541" s="67">
        <v>506.48</v>
      </c>
      <c r="EX541" s="67" t="s">
        <v>4348</v>
      </c>
      <c r="EY541" s="67">
        <v>5811.5</v>
      </c>
      <c r="EZ541" s="67" t="s">
        <v>4349</v>
      </c>
      <c r="FA541" s="67">
        <v>20796.25</v>
      </c>
      <c r="FB541" s="67" t="s">
        <v>4350</v>
      </c>
      <c r="FC541" s="67" t="s">
        <v>4351</v>
      </c>
      <c r="FD541" s="67" t="s">
        <v>4352</v>
      </c>
      <c r="FE541" s="68" t="s">
        <v>4353</v>
      </c>
      <c r="FF541" s="68" t="s">
        <v>4354</v>
      </c>
    </row>
    <row r="542" spans="151:162" x14ac:dyDescent="0.2">
      <c r="EU542" s="67">
        <v>579.89</v>
      </c>
      <c r="EV542" s="67" t="s">
        <v>4355</v>
      </c>
      <c r="EW542" s="67">
        <v>506.44</v>
      </c>
      <c r="EX542" s="67" t="s">
        <v>4356</v>
      </c>
      <c r="EY542" s="67">
        <v>5811</v>
      </c>
      <c r="EZ542" s="67" t="s">
        <v>4357</v>
      </c>
      <c r="FA542" s="67">
        <v>20793.5</v>
      </c>
      <c r="FB542" s="67" t="s">
        <v>4358</v>
      </c>
      <c r="FC542" s="67" t="s">
        <v>4359</v>
      </c>
      <c r="FD542" s="67" t="s">
        <v>4360</v>
      </c>
      <c r="FE542" s="68" t="s">
        <v>4361</v>
      </c>
      <c r="FF542" s="68" t="s">
        <v>4362</v>
      </c>
    </row>
    <row r="543" spans="151:162" x14ac:dyDescent="0.2">
      <c r="EU543" s="67">
        <v>579.91</v>
      </c>
      <c r="EV543" s="67" t="s">
        <v>4363</v>
      </c>
      <c r="EW543" s="67">
        <v>506.48</v>
      </c>
      <c r="EX543" s="67" t="s">
        <v>4364</v>
      </c>
      <c r="EY543" s="67">
        <v>5811.25</v>
      </c>
      <c r="EZ543" s="67" t="s">
        <v>4365</v>
      </c>
      <c r="FA543" s="67">
        <v>20796</v>
      </c>
      <c r="FB543" s="67" t="s">
        <v>4366</v>
      </c>
      <c r="FC543" s="67" t="s">
        <v>4367</v>
      </c>
      <c r="FD543" s="67" t="s">
        <v>4368</v>
      </c>
      <c r="FE543" s="68" t="s">
        <v>4369</v>
      </c>
      <c r="FF543" s="68" t="s">
        <v>4370</v>
      </c>
    </row>
    <row r="544" spans="151:162" x14ac:dyDescent="0.2">
      <c r="EU544" s="67">
        <v>579.9</v>
      </c>
      <c r="EV544" s="67" t="s">
        <v>4371</v>
      </c>
      <c r="EW544" s="67">
        <v>506.54</v>
      </c>
      <c r="EX544" s="67" t="s">
        <v>4372</v>
      </c>
      <c r="EY544" s="67">
        <v>5811.25</v>
      </c>
      <c r="EZ544" s="67" t="s">
        <v>4373</v>
      </c>
      <c r="FA544" s="67">
        <v>20799.25</v>
      </c>
      <c r="FB544" s="67" t="s">
        <v>4374</v>
      </c>
      <c r="FC544" s="67" t="s">
        <v>4375</v>
      </c>
      <c r="FD544" s="67" t="s">
        <v>4376</v>
      </c>
      <c r="FE544" s="68" t="s">
        <v>4377</v>
      </c>
      <c r="FF544" s="68" t="s">
        <v>4378</v>
      </c>
    </row>
    <row r="545" spans="151:162" x14ac:dyDescent="0.2">
      <c r="EU545" s="67">
        <v>579.79</v>
      </c>
      <c r="EV545" s="67" t="s">
        <v>4379</v>
      </c>
      <c r="EW545" s="67">
        <v>506.45</v>
      </c>
      <c r="EX545" s="67" t="s">
        <v>4380</v>
      </c>
      <c r="EY545" s="67">
        <v>5810.25</v>
      </c>
      <c r="EZ545" s="67" t="s">
        <v>4381</v>
      </c>
      <c r="FA545" s="67">
        <v>20795.5</v>
      </c>
      <c r="FB545" s="67" t="s">
        <v>4382</v>
      </c>
      <c r="FC545" s="67" t="s">
        <v>4383</v>
      </c>
      <c r="FD545" s="67" t="s">
        <v>4384</v>
      </c>
      <c r="FE545" s="68" t="s">
        <v>4385</v>
      </c>
      <c r="FF545" s="68" t="s">
        <v>4386</v>
      </c>
    </row>
    <row r="546" spans="151:162" x14ac:dyDescent="0.2">
      <c r="EU546" s="67">
        <v>579.63</v>
      </c>
      <c r="EV546" s="67" t="s">
        <v>4387</v>
      </c>
      <c r="EW546" s="67">
        <v>506.33</v>
      </c>
      <c r="EX546" s="67" t="s">
        <v>4388</v>
      </c>
      <c r="EY546" s="67">
        <v>5808.5</v>
      </c>
      <c r="EZ546" s="67" t="s">
        <v>4389</v>
      </c>
      <c r="FA546" s="67">
        <v>20790.75</v>
      </c>
      <c r="FB546" s="67" t="s">
        <v>4390</v>
      </c>
      <c r="FC546" s="67" t="s">
        <v>4391</v>
      </c>
      <c r="FD546" s="67" t="s">
        <v>4392</v>
      </c>
      <c r="FE546" s="68" t="s">
        <v>4393</v>
      </c>
      <c r="FF546" s="68" t="s">
        <v>4394</v>
      </c>
    </row>
    <row r="547" spans="151:162" x14ac:dyDescent="0.2">
      <c r="EU547" s="67">
        <v>579.46</v>
      </c>
      <c r="EV547" s="67" t="s">
        <v>4395</v>
      </c>
      <c r="EW547" s="67">
        <v>506.16</v>
      </c>
      <c r="EX547" s="67" t="s">
        <v>4396</v>
      </c>
      <c r="EY547" s="67">
        <v>5806.75</v>
      </c>
      <c r="EZ547" s="67" t="s">
        <v>4397</v>
      </c>
      <c r="FA547" s="67">
        <v>20783.25</v>
      </c>
      <c r="FB547" s="67" t="s">
        <v>4398</v>
      </c>
      <c r="FC547" s="67" t="s">
        <v>4399</v>
      </c>
      <c r="FD547" s="67" t="s">
        <v>4400</v>
      </c>
      <c r="FE547" s="68" t="s">
        <v>4401</v>
      </c>
      <c r="FF547" s="68" t="s">
        <v>4402</v>
      </c>
    </row>
    <row r="548" spans="151:162" x14ac:dyDescent="0.2">
      <c r="EU548" s="67">
        <v>579.35</v>
      </c>
      <c r="EV548" s="67" t="s">
        <v>4403</v>
      </c>
      <c r="EW548" s="67">
        <v>506.05</v>
      </c>
      <c r="EX548" s="67" t="s">
        <v>4404</v>
      </c>
      <c r="EY548" s="67">
        <v>5806</v>
      </c>
      <c r="EZ548" s="67" t="s">
        <v>4405</v>
      </c>
      <c r="FA548" s="67">
        <v>20779</v>
      </c>
      <c r="FB548" s="67" t="s">
        <v>4406</v>
      </c>
      <c r="FC548" s="67" t="s">
        <v>4407</v>
      </c>
      <c r="FD548" s="67" t="s">
        <v>4408</v>
      </c>
      <c r="FE548" s="68" t="s">
        <v>4409</v>
      </c>
      <c r="FF548" s="68" t="s">
        <v>4410</v>
      </c>
    </row>
    <row r="549" spans="151:162" x14ac:dyDescent="0.2">
      <c r="EU549" s="67">
        <v>579.63</v>
      </c>
      <c r="EV549" s="67" t="s">
        <v>4411</v>
      </c>
      <c r="EW549" s="67">
        <v>506.29</v>
      </c>
      <c r="EX549" s="67" t="s">
        <v>4412</v>
      </c>
      <c r="EY549" s="67">
        <v>5808.25</v>
      </c>
      <c r="EZ549" s="67" t="s">
        <v>4413</v>
      </c>
      <c r="FA549" s="67">
        <v>20790</v>
      </c>
      <c r="FB549" s="67" t="s">
        <v>4414</v>
      </c>
      <c r="FC549" s="67" t="s">
        <v>4415</v>
      </c>
      <c r="FD549" s="67" t="s">
        <v>4416</v>
      </c>
      <c r="FE549" s="68" t="s">
        <v>4417</v>
      </c>
      <c r="FF549" s="68" t="s">
        <v>4418</v>
      </c>
    </row>
    <row r="550" spans="151:162" x14ac:dyDescent="0.2">
      <c r="EU550" s="67">
        <v>579.66</v>
      </c>
      <c r="EV550" s="67" t="s">
        <v>4419</v>
      </c>
      <c r="EW550" s="67">
        <v>506.36</v>
      </c>
      <c r="EX550" s="67" t="s">
        <v>4420</v>
      </c>
      <c r="EY550" s="67">
        <v>5809</v>
      </c>
      <c r="EZ550" s="67" t="s">
        <v>4421</v>
      </c>
      <c r="FA550" s="67">
        <v>20791.5</v>
      </c>
      <c r="FB550" s="67" t="s">
        <v>4422</v>
      </c>
      <c r="FC550" s="67" t="s">
        <v>4423</v>
      </c>
      <c r="FD550" s="67" t="s">
        <v>4424</v>
      </c>
      <c r="FE550" s="68" t="s">
        <v>4425</v>
      </c>
      <c r="FF550" s="68" t="s">
        <v>4426</v>
      </c>
    </row>
    <row r="551" spans="151:162" x14ac:dyDescent="0.2">
      <c r="EU551" s="67">
        <v>579.74</v>
      </c>
      <c r="EV551" s="67" t="s">
        <v>4427</v>
      </c>
      <c r="EW551" s="67">
        <v>506.4</v>
      </c>
      <c r="EX551" s="67" t="s">
        <v>4428</v>
      </c>
      <c r="EY551" s="67">
        <v>5809.75</v>
      </c>
      <c r="EZ551" s="67" t="s">
        <v>4429</v>
      </c>
      <c r="FA551" s="67">
        <v>20793.5</v>
      </c>
      <c r="FB551" s="67" t="s">
        <v>4430</v>
      </c>
      <c r="FC551" s="67" t="s">
        <v>4431</v>
      </c>
      <c r="FD551" s="67" t="s">
        <v>4432</v>
      </c>
      <c r="FE551" s="68" t="s">
        <v>4433</v>
      </c>
      <c r="FF551" s="68" t="s">
        <v>4434</v>
      </c>
    </row>
    <row r="552" spans="151:162" x14ac:dyDescent="0.2">
      <c r="EU552" s="67">
        <v>579.62</v>
      </c>
      <c r="EV552" s="67" t="s">
        <v>4435</v>
      </c>
      <c r="EW552" s="67">
        <v>506.29</v>
      </c>
      <c r="EX552" s="67" t="s">
        <v>4436</v>
      </c>
      <c r="EY552" s="67">
        <v>5808.25</v>
      </c>
      <c r="EZ552" s="67" t="s">
        <v>4437</v>
      </c>
      <c r="FA552" s="67">
        <v>20788.5</v>
      </c>
      <c r="FB552" s="67" t="s">
        <v>4438</v>
      </c>
      <c r="FC552" s="67" t="s">
        <v>4439</v>
      </c>
      <c r="FD552" s="67" t="s">
        <v>4440</v>
      </c>
      <c r="FE552" s="68" t="s">
        <v>4441</v>
      </c>
      <c r="FF552" s="68" t="s">
        <v>4442</v>
      </c>
    </row>
    <row r="553" spans="151:162" x14ac:dyDescent="0.2">
      <c r="EU553" s="67">
        <v>579.79999999999995</v>
      </c>
      <c r="EV553" s="67" t="s">
        <v>4443</v>
      </c>
      <c r="EW553" s="67">
        <v>506.44</v>
      </c>
      <c r="EX553" s="67" t="s">
        <v>4444</v>
      </c>
      <c r="EY553" s="67">
        <v>5810.5</v>
      </c>
      <c r="EZ553" s="67" t="s">
        <v>4445</v>
      </c>
      <c r="FA553" s="67">
        <v>20795.5</v>
      </c>
      <c r="FB553" s="67" t="s">
        <v>4446</v>
      </c>
      <c r="FC553" s="67" t="s">
        <v>4447</v>
      </c>
      <c r="FD553" s="67" t="s">
        <v>4448</v>
      </c>
      <c r="FE553" s="68" t="s">
        <v>4449</v>
      </c>
      <c r="FF553" s="68" t="s">
        <v>4450</v>
      </c>
    </row>
    <row r="554" spans="151:162" x14ac:dyDescent="0.2">
      <c r="EU554" s="67">
        <v>579.85</v>
      </c>
      <c r="EV554" s="67" t="s">
        <v>4451</v>
      </c>
      <c r="EW554" s="67">
        <v>506.5</v>
      </c>
      <c r="EX554" s="67" t="s">
        <v>4452</v>
      </c>
      <c r="EY554" s="67">
        <v>5810.75</v>
      </c>
      <c r="EZ554" s="67" t="s">
        <v>4453</v>
      </c>
      <c r="FA554" s="67">
        <v>20797.75</v>
      </c>
      <c r="FB554" s="67" t="s">
        <v>4454</v>
      </c>
      <c r="FC554" s="67" t="s">
        <v>4455</v>
      </c>
      <c r="FD554" s="67" t="s">
        <v>4456</v>
      </c>
      <c r="FE554" s="68" t="s">
        <v>4457</v>
      </c>
      <c r="FF554" s="68" t="s">
        <v>4458</v>
      </c>
    </row>
    <row r="555" spans="151:162" x14ac:dyDescent="0.2">
      <c r="EU555" s="67">
        <v>579.96</v>
      </c>
      <c r="EV555" s="67" t="s">
        <v>4459</v>
      </c>
      <c r="EW555" s="67">
        <v>506.61</v>
      </c>
      <c r="EX555" s="67" t="s">
        <v>4460</v>
      </c>
      <c r="EY555" s="67">
        <v>5811.5</v>
      </c>
      <c r="EZ555" s="67" t="s">
        <v>4461</v>
      </c>
      <c r="FA555" s="67">
        <v>20802</v>
      </c>
      <c r="FB555" s="67" t="s">
        <v>4462</v>
      </c>
      <c r="FC555" s="67" t="s">
        <v>4463</v>
      </c>
      <c r="FD555" s="67" t="s">
        <v>4464</v>
      </c>
      <c r="FE555" s="68" t="s">
        <v>4465</v>
      </c>
      <c r="FF555" s="68" t="s">
        <v>4466</v>
      </c>
    </row>
    <row r="556" spans="151:162" x14ac:dyDescent="0.2">
      <c r="EU556" s="67">
        <v>579.99</v>
      </c>
      <c r="EV556" s="67" t="s">
        <v>4467</v>
      </c>
      <c r="EW556" s="67">
        <v>506.6</v>
      </c>
      <c r="EX556" s="67" t="s">
        <v>4468</v>
      </c>
      <c r="EY556" s="67">
        <v>5812</v>
      </c>
      <c r="EZ556" s="67" t="s">
        <v>4469</v>
      </c>
      <c r="FA556" s="67">
        <v>20802</v>
      </c>
      <c r="FB556" s="67" t="s">
        <v>4470</v>
      </c>
      <c r="FC556" s="67" t="s">
        <v>4471</v>
      </c>
      <c r="FD556" s="67" t="s">
        <v>4472</v>
      </c>
      <c r="FE556" s="68" t="s">
        <v>4473</v>
      </c>
      <c r="FF556" s="68" t="s">
        <v>4474</v>
      </c>
    </row>
    <row r="557" spans="151:162" x14ac:dyDescent="0.2">
      <c r="EU557" s="67">
        <v>580</v>
      </c>
      <c r="EV557" s="67" t="s">
        <v>4475</v>
      </c>
      <c r="EW557" s="67">
        <v>506.57</v>
      </c>
      <c r="EX557" s="67" t="s">
        <v>4476</v>
      </c>
      <c r="EY557" s="67">
        <v>5812.25</v>
      </c>
      <c r="EZ557" s="67" t="s">
        <v>4477</v>
      </c>
      <c r="FA557" s="67">
        <v>20801.25</v>
      </c>
      <c r="FB557" s="67" t="s">
        <v>4478</v>
      </c>
      <c r="FC557" s="67" t="s">
        <v>4479</v>
      </c>
      <c r="FD557" s="67" t="s">
        <v>4480</v>
      </c>
      <c r="FE557" s="68" t="s">
        <v>4481</v>
      </c>
      <c r="FF557" s="68" t="s">
        <v>4482</v>
      </c>
    </row>
    <row r="558" spans="151:162" x14ac:dyDescent="0.2">
      <c r="EU558" s="67">
        <v>580.19000000000005</v>
      </c>
      <c r="EV558" s="67" t="s">
        <v>4483</v>
      </c>
      <c r="EW558" s="67">
        <v>506.73</v>
      </c>
      <c r="EX558" s="67" t="s">
        <v>4484</v>
      </c>
      <c r="EY558" s="67">
        <v>5814.25</v>
      </c>
      <c r="EZ558" s="67" t="s">
        <v>4485</v>
      </c>
      <c r="FA558" s="67">
        <v>20807.75</v>
      </c>
      <c r="FB558" s="67" t="s">
        <v>4486</v>
      </c>
      <c r="FC558" s="67" t="s">
        <v>4487</v>
      </c>
      <c r="FD558" s="67" t="s">
        <v>4488</v>
      </c>
      <c r="FE558" s="68" t="s">
        <v>4489</v>
      </c>
      <c r="FF558" s="68" t="s">
        <v>4490</v>
      </c>
    </row>
    <row r="559" spans="151:162" x14ac:dyDescent="0.2">
      <c r="EU559" s="67">
        <v>580.13</v>
      </c>
      <c r="EV559" s="67" t="s">
        <v>4491</v>
      </c>
      <c r="EW559" s="67">
        <v>506.67</v>
      </c>
      <c r="EX559" s="67" t="s">
        <v>4492</v>
      </c>
      <c r="EY559" s="67">
        <v>5813.75</v>
      </c>
      <c r="EZ559" s="67" t="s">
        <v>4493</v>
      </c>
      <c r="FA559" s="67">
        <v>20804.75</v>
      </c>
      <c r="FB559" s="67" t="s">
        <v>4494</v>
      </c>
      <c r="FC559" s="67" t="s">
        <v>4495</v>
      </c>
      <c r="FD559" s="67" t="s">
        <v>4496</v>
      </c>
      <c r="FE559" s="68" t="s">
        <v>4497</v>
      </c>
      <c r="FF559" s="68" t="s">
        <v>4498</v>
      </c>
    </row>
    <row r="560" spans="151:162" x14ac:dyDescent="0.2">
      <c r="EU560" s="67">
        <v>580.12</v>
      </c>
      <c r="EV560" s="67" t="s">
        <v>4499</v>
      </c>
      <c r="EW560" s="67">
        <v>506.69</v>
      </c>
      <c r="EX560" s="67" t="s">
        <v>4500</v>
      </c>
      <c r="EY560" s="67">
        <v>5813.5</v>
      </c>
      <c r="EZ560" s="67" t="s">
        <v>4501</v>
      </c>
      <c r="FA560" s="67">
        <v>20805.25</v>
      </c>
      <c r="FB560" s="67" t="s">
        <v>4502</v>
      </c>
      <c r="FC560" s="67" t="s">
        <v>4503</v>
      </c>
      <c r="FD560" s="67" t="s">
        <v>4504</v>
      </c>
      <c r="FE560" s="68" t="s">
        <v>4505</v>
      </c>
      <c r="FF560" s="68" t="s">
        <v>4506</v>
      </c>
    </row>
    <row r="561" spans="151:162" x14ac:dyDescent="0.2">
      <c r="EU561" s="67">
        <v>580.12</v>
      </c>
      <c r="EV561" s="67" t="s">
        <v>4507</v>
      </c>
      <c r="EW561" s="67">
        <v>506.66</v>
      </c>
      <c r="EX561" s="67" t="s">
        <v>4508</v>
      </c>
      <c r="EY561" s="67">
        <v>5813.5</v>
      </c>
      <c r="EZ561" s="67" t="s">
        <v>4509</v>
      </c>
      <c r="FA561" s="67">
        <v>20804.75</v>
      </c>
      <c r="FB561" s="67" t="s">
        <v>4510</v>
      </c>
      <c r="FC561" s="67" t="s">
        <v>4511</v>
      </c>
      <c r="FD561" s="67" t="s">
        <v>4512</v>
      </c>
      <c r="FE561" s="68" t="s">
        <v>4513</v>
      </c>
      <c r="FF561" s="68" t="s">
        <v>4514</v>
      </c>
    </row>
    <row r="562" spans="151:162" x14ac:dyDescent="0.2">
      <c r="EU562" s="67">
        <v>580.15</v>
      </c>
      <c r="EV562" s="67" t="s">
        <v>4515</v>
      </c>
      <c r="EW562" s="67">
        <v>506.7</v>
      </c>
      <c r="EX562" s="67" t="s">
        <v>4516</v>
      </c>
      <c r="EY562" s="67">
        <v>5814</v>
      </c>
      <c r="EZ562" s="67" t="s">
        <v>4517</v>
      </c>
      <c r="FA562" s="67">
        <v>20806</v>
      </c>
      <c r="FB562" s="67" t="s">
        <v>4518</v>
      </c>
      <c r="FC562" s="67" t="s">
        <v>4519</v>
      </c>
      <c r="FD562" s="67" t="s">
        <v>4520</v>
      </c>
      <c r="FE562" s="68" t="s">
        <v>4521</v>
      </c>
      <c r="FF562" s="68" t="s">
        <v>4522</v>
      </c>
    </row>
    <row r="563" spans="151:162" x14ac:dyDescent="0.2">
      <c r="EU563" s="67">
        <v>580.09</v>
      </c>
      <c r="EV563" s="67" t="s">
        <v>4523</v>
      </c>
      <c r="EW563" s="67">
        <v>506.59</v>
      </c>
      <c r="EX563" s="67" t="s">
        <v>4524</v>
      </c>
      <c r="EY563" s="67">
        <v>5813.5</v>
      </c>
      <c r="EZ563" s="67" t="s">
        <v>4525</v>
      </c>
      <c r="FA563" s="67">
        <v>20802.25</v>
      </c>
      <c r="FB563" s="67" t="s">
        <v>4526</v>
      </c>
      <c r="FC563" s="67" t="s">
        <v>4527</v>
      </c>
      <c r="FD563" s="67" t="s">
        <v>4528</v>
      </c>
      <c r="FE563" s="68" t="s">
        <v>4529</v>
      </c>
      <c r="FF563" s="68" t="s">
        <v>4530</v>
      </c>
    </row>
    <row r="564" spans="151:162" x14ac:dyDescent="0.2">
      <c r="EU564" s="67">
        <v>580.11</v>
      </c>
      <c r="EV564" s="67" t="s">
        <v>4531</v>
      </c>
      <c r="EW564" s="67">
        <v>506.6</v>
      </c>
      <c r="EX564" s="67" t="s">
        <v>4532</v>
      </c>
      <c r="EY564" s="67">
        <v>5813.5</v>
      </c>
      <c r="EZ564" s="67" t="s">
        <v>4533</v>
      </c>
      <c r="FA564" s="67">
        <v>20803.5</v>
      </c>
      <c r="FB564" s="67" t="s">
        <v>4534</v>
      </c>
      <c r="FC564" s="67" t="s">
        <v>4535</v>
      </c>
      <c r="FD564" s="67" t="s">
        <v>4536</v>
      </c>
      <c r="FE564" s="68" t="s">
        <v>4537</v>
      </c>
      <c r="FF564" s="68" t="s">
        <v>4538</v>
      </c>
    </row>
    <row r="565" spans="151:162" x14ac:dyDescent="0.2">
      <c r="EU565" s="67">
        <v>580.1</v>
      </c>
      <c r="EV565" s="67" t="s">
        <v>4539</v>
      </c>
      <c r="EW565" s="67">
        <v>506.57</v>
      </c>
      <c r="EX565" s="67" t="s">
        <v>4540</v>
      </c>
      <c r="EY565" s="67">
        <v>5813.25</v>
      </c>
      <c r="EZ565" s="67" t="s">
        <v>4541</v>
      </c>
      <c r="FA565" s="67">
        <v>20800.25</v>
      </c>
      <c r="FB565" s="67" t="s">
        <v>4542</v>
      </c>
      <c r="FC565" s="67" t="s">
        <v>4543</v>
      </c>
      <c r="FD565" s="67" t="s">
        <v>4544</v>
      </c>
      <c r="FE565" s="68" t="s">
        <v>4545</v>
      </c>
      <c r="FF565" s="68" t="s">
        <v>4546</v>
      </c>
    </row>
    <row r="566" spans="151:162" x14ac:dyDescent="0.2">
      <c r="EU566" s="67">
        <v>580.20000000000005</v>
      </c>
      <c r="EV566" s="67" t="s">
        <v>4547</v>
      </c>
      <c r="EW566" s="67">
        <v>506.62</v>
      </c>
      <c r="EX566" s="67" t="s">
        <v>4548</v>
      </c>
      <c r="EY566" s="67">
        <v>5813.5</v>
      </c>
      <c r="EZ566" s="67" t="s">
        <v>4549</v>
      </c>
      <c r="FA566" s="67">
        <v>20803.25</v>
      </c>
      <c r="FB566" s="67" t="s">
        <v>4550</v>
      </c>
      <c r="FC566" s="67" t="s">
        <v>4551</v>
      </c>
      <c r="FD566" s="67" t="s">
        <v>4552</v>
      </c>
      <c r="FE566" s="68" t="s">
        <v>4553</v>
      </c>
      <c r="FF566" s="68" t="s">
        <v>4554</v>
      </c>
    </row>
    <row r="567" spans="151:162" x14ac:dyDescent="0.2">
      <c r="EU567" s="67">
        <v>580.13</v>
      </c>
      <c r="EV567" s="67" t="s">
        <v>4555</v>
      </c>
      <c r="EW567" s="67">
        <v>506.58</v>
      </c>
      <c r="EX567" s="67" t="s">
        <v>4556</v>
      </c>
      <c r="EY567" s="67">
        <v>5813.75</v>
      </c>
      <c r="EZ567" s="67" t="s">
        <v>4557</v>
      </c>
      <c r="FA567" s="67">
        <v>20800.75</v>
      </c>
      <c r="FB567" s="67" t="s">
        <v>4558</v>
      </c>
      <c r="FC567" s="67" t="s">
        <v>4559</v>
      </c>
      <c r="FD567" s="67" t="s">
        <v>4560</v>
      </c>
      <c r="FE567" s="68" t="s">
        <v>4561</v>
      </c>
      <c r="FF567" s="68" t="s">
        <v>4562</v>
      </c>
    </row>
    <row r="568" spans="151:162" x14ac:dyDescent="0.2">
      <c r="EU568" s="67">
        <v>580.11</v>
      </c>
      <c r="EV568" s="67" t="s">
        <v>4563</v>
      </c>
      <c r="EW568" s="67">
        <v>506.48</v>
      </c>
      <c r="EX568" s="67" t="s">
        <v>4564</v>
      </c>
      <c r="EY568" s="67">
        <v>5813.25</v>
      </c>
      <c r="EZ568" s="67" t="s">
        <v>4565</v>
      </c>
      <c r="FA568" s="67">
        <v>20797.5</v>
      </c>
      <c r="FB568" s="67" t="s">
        <v>4566</v>
      </c>
      <c r="FC568" s="67" t="s">
        <v>4567</v>
      </c>
      <c r="FD568" s="67" t="s">
        <v>4568</v>
      </c>
      <c r="FE568" s="68" t="s">
        <v>4569</v>
      </c>
      <c r="FF568" s="68" t="s">
        <v>4570</v>
      </c>
    </row>
    <row r="569" spans="151:162" x14ac:dyDescent="0.2">
      <c r="EU569" s="67">
        <v>580.13</v>
      </c>
      <c r="EV569" s="67" t="s">
        <v>4571</v>
      </c>
      <c r="EW569" s="67">
        <v>506.52</v>
      </c>
      <c r="EX569" s="67" t="s">
        <v>4572</v>
      </c>
      <c r="EY569" s="67">
        <v>5813.5</v>
      </c>
      <c r="EZ569" s="67" t="s">
        <v>4573</v>
      </c>
      <c r="FA569" s="67">
        <v>20798.5</v>
      </c>
      <c r="FB569" s="67" t="s">
        <v>4574</v>
      </c>
      <c r="FC569" s="67" t="s">
        <v>4575</v>
      </c>
      <c r="FD569" s="67" t="s">
        <v>4576</v>
      </c>
      <c r="FE569" s="68" t="s">
        <v>4577</v>
      </c>
      <c r="FF569" s="68" t="s">
        <v>4578</v>
      </c>
    </row>
    <row r="570" spans="151:162" x14ac:dyDescent="0.2">
      <c r="EU570" s="67">
        <v>580.11</v>
      </c>
      <c r="EV570" s="67" t="s">
        <v>4579</v>
      </c>
      <c r="EW570" s="67">
        <v>506.55</v>
      </c>
      <c r="EX570" s="67" t="s">
        <v>4580</v>
      </c>
      <c r="EY570" s="67">
        <v>5813.25</v>
      </c>
      <c r="EZ570" s="67" t="s">
        <v>4581</v>
      </c>
      <c r="FA570" s="67">
        <v>20798.5</v>
      </c>
      <c r="FB570" s="67" t="s">
        <v>4582</v>
      </c>
      <c r="FC570" s="67" t="s">
        <v>4583</v>
      </c>
      <c r="FD570" s="67" t="s">
        <v>4584</v>
      </c>
      <c r="FE570" s="68" t="s">
        <v>4585</v>
      </c>
      <c r="FF570" s="68" t="s">
        <v>4586</v>
      </c>
    </row>
    <row r="571" spans="151:162" x14ac:dyDescent="0.2">
      <c r="EU571" s="67">
        <v>580.11</v>
      </c>
      <c r="EV571" s="67" t="s">
        <v>4587</v>
      </c>
      <c r="EW571" s="67">
        <v>506.46</v>
      </c>
      <c r="EX571" s="67" t="s">
        <v>4588</v>
      </c>
      <c r="EY571" s="67">
        <v>5813</v>
      </c>
      <c r="EZ571" s="67" t="s">
        <v>4589</v>
      </c>
      <c r="FA571" s="67">
        <v>20795.75</v>
      </c>
      <c r="FB571" s="67" t="s">
        <v>4590</v>
      </c>
      <c r="FC571" s="67" t="s">
        <v>4591</v>
      </c>
      <c r="FD571" s="67" t="s">
        <v>4592</v>
      </c>
      <c r="FE571" s="68" t="s">
        <v>4593</v>
      </c>
      <c r="FF571" s="68" t="s">
        <v>4594</v>
      </c>
    </row>
    <row r="572" spans="151:162" x14ac:dyDescent="0.2">
      <c r="EU572" s="67">
        <v>580</v>
      </c>
      <c r="EV572" s="67" t="s">
        <v>4595</v>
      </c>
      <c r="EW572" s="67">
        <v>506.33</v>
      </c>
      <c r="EX572" s="67" t="s">
        <v>4596</v>
      </c>
      <c r="EY572" s="67">
        <v>5811.75</v>
      </c>
      <c r="EZ572" s="67" t="s">
        <v>4597</v>
      </c>
      <c r="FA572" s="67">
        <v>20790.75</v>
      </c>
      <c r="FB572" s="67" t="s">
        <v>4598</v>
      </c>
      <c r="FC572" s="67" t="s">
        <v>4599</v>
      </c>
      <c r="FD572" s="67" t="s">
        <v>4600</v>
      </c>
      <c r="FE572" s="68" t="s">
        <v>4601</v>
      </c>
      <c r="FF572" s="68" t="s">
        <v>4602</v>
      </c>
    </row>
    <row r="573" spans="151:162" x14ac:dyDescent="0.2">
      <c r="EU573" s="67">
        <v>580.03</v>
      </c>
      <c r="EV573" s="67" t="s">
        <v>4603</v>
      </c>
      <c r="EW573" s="67">
        <v>506.44</v>
      </c>
      <c r="EX573" s="67" t="s">
        <v>4604</v>
      </c>
      <c r="EY573" s="67">
        <v>5812</v>
      </c>
      <c r="EZ573" s="67" t="s">
        <v>4605</v>
      </c>
      <c r="FA573" s="67">
        <v>20795.5</v>
      </c>
      <c r="FB573" s="67" t="s">
        <v>4606</v>
      </c>
      <c r="FC573" s="67" t="s">
        <v>4607</v>
      </c>
      <c r="FD573" s="67" t="s">
        <v>4608</v>
      </c>
      <c r="FE573" s="68" t="s">
        <v>4609</v>
      </c>
      <c r="FF573" s="68" t="s">
        <v>4610</v>
      </c>
    </row>
    <row r="574" spans="151:162" x14ac:dyDescent="0.2">
      <c r="EU574" s="67">
        <v>580.19000000000005</v>
      </c>
      <c r="EV574" s="67" t="s">
        <v>4611</v>
      </c>
      <c r="EW574" s="67">
        <v>506.66</v>
      </c>
      <c r="EX574" s="67" t="s">
        <v>4612</v>
      </c>
      <c r="EY574" s="67">
        <v>5813.75</v>
      </c>
      <c r="EZ574" s="67" t="s">
        <v>4613</v>
      </c>
      <c r="FA574" s="67">
        <v>20804.5</v>
      </c>
      <c r="FB574" s="67" t="s">
        <v>4614</v>
      </c>
      <c r="FC574" s="67" t="s">
        <v>4615</v>
      </c>
      <c r="FD574" s="67" t="s">
        <v>4616</v>
      </c>
      <c r="FE574" s="68" t="s">
        <v>4617</v>
      </c>
      <c r="FF574" s="68" t="s">
        <v>4618</v>
      </c>
    </row>
    <row r="575" spans="151:162" x14ac:dyDescent="0.2">
      <c r="EU575" s="67">
        <v>580.15</v>
      </c>
      <c r="EV575" s="67" t="s">
        <v>4619</v>
      </c>
      <c r="EW575" s="67">
        <v>506.6</v>
      </c>
      <c r="EX575" s="67" t="s">
        <v>4620</v>
      </c>
      <c r="EY575" s="67">
        <v>5813.5</v>
      </c>
      <c r="EZ575" s="67" t="s">
        <v>4621</v>
      </c>
      <c r="FA575" s="67">
        <v>20801.25</v>
      </c>
      <c r="FB575" s="67" t="s">
        <v>4622</v>
      </c>
      <c r="FC575" s="67" t="s">
        <v>4623</v>
      </c>
      <c r="FD575" s="67" t="s">
        <v>4624</v>
      </c>
      <c r="FE575" s="68" t="s">
        <v>4625</v>
      </c>
      <c r="FF575" s="68" t="s">
        <v>4626</v>
      </c>
    </row>
    <row r="576" spans="151:162" x14ac:dyDescent="0.2">
      <c r="EU576" s="67">
        <v>580.20000000000005</v>
      </c>
      <c r="EV576" s="67" t="s">
        <v>4627</v>
      </c>
      <c r="EW576" s="67">
        <v>506.64</v>
      </c>
      <c r="EX576" s="67" t="s">
        <v>4628</v>
      </c>
      <c r="EY576" s="67">
        <v>5814</v>
      </c>
      <c r="EZ576" s="67" t="s">
        <v>4629</v>
      </c>
      <c r="FA576" s="67">
        <v>20803.25</v>
      </c>
      <c r="FB576" s="67" t="s">
        <v>4630</v>
      </c>
      <c r="FC576" s="67" t="s">
        <v>4631</v>
      </c>
      <c r="FD576" s="67" t="s">
        <v>4632</v>
      </c>
      <c r="FE576" s="68" t="s">
        <v>4633</v>
      </c>
      <c r="FF576" s="68" t="s">
        <v>4634</v>
      </c>
    </row>
    <row r="577" spans="151:162" x14ac:dyDescent="0.2">
      <c r="EU577" s="67">
        <v>580.23</v>
      </c>
      <c r="EV577" s="67" t="s">
        <v>4635</v>
      </c>
      <c r="EW577" s="67">
        <v>506.7</v>
      </c>
      <c r="EX577" s="67" t="s">
        <v>4636</v>
      </c>
      <c r="EY577" s="67">
        <v>5814.25</v>
      </c>
      <c r="EZ577" s="67" t="s">
        <v>4637</v>
      </c>
      <c r="FA577" s="67">
        <v>20805</v>
      </c>
      <c r="FB577" s="67" t="s">
        <v>4638</v>
      </c>
      <c r="FC577" s="67" t="s">
        <v>4639</v>
      </c>
      <c r="FD577" s="67" t="s">
        <v>4640</v>
      </c>
      <c r="FE577" s="68" t="s">
        <v>4641</v>
      </c>
      <c r="FF577" s="68" t="s">
        <v>4642</v>
      </c>
    </row>
    <row r="578" spans="151:162" x14ac:dyDescent="0.2">
      <c r="EU578" s="67">
        <v>580.37</v>
      </c>
      <c r="EV578" s="67" t="s">
        <v>4643</v>
      </c>
      <c r="EW578" s="67">
        <v>506.77</v>
      </c>
      <c r="EX578" s="67" t="s">
        <v>4644</v>
      </c>
      <c r="EY578" s="67">
        <v>5815.5</v>
      </c>
      <c r="EZ578" s="67" t="s">
        <v>4645</v>
      </c>
      <c r="FA578" s="67">
        <v>20808.5</v>
      </c>
      <c r="FB578" s="67" t="s">
        <v>4646</v>
      </c>
      <c r="FC578" s="67" t="s">
        <v>4647</v>
      </c>
      <c r="FD578" s="67" t="s">
        <v>4648</v>
      </c>
      <c r="FE578" s="68" t="s">
        <v>4649</v>
      </c>
      <c r="FF578" s="68" t="s">
        <v>4650</v>
      </c>
    </row>
    <row r="579" spans="151:162" x14ac:dyDescent="0.2">
      <c r="EU579" s="67">
        <v>580.25</v>
      </c>
      <c r="EV579" s="67" t="s">
        <v>4651</v>
      </c>
      <c r="EW579" s="67">
        <v>506.61</v>
      </c>
      <c r="EX579" s="67" t="s">
        <v>4652</v>
      </c>
      <c r="EY579" s="67">
        <v>5814.5</v>
      </c>
      <c r="EZ579" s="67" t="s">
        <v>4653</v>
      </c>
      <c r="FA579" s="67">
        <v>20802.75</v>
      </c>
      <c r="FB579" s="67" t="s">
        <v>4654</v>
      </c>
      <c r="FC579" s="67" t="s">
        <v>4655</v>
      </c>
      <c r="FD579" s="67" t="s">
        <v>4656</v>
      </c>
      <c r="FE579" s="68" t="s">
        <v>4657</v>
      </c>
      <c r="FF579" s="68" t="s">
        <v>4658</v>
      </c>
    </row>
    <row r="580" spans="151:162" x14ac:dyDescent="0.2">
      <c r="EU580" s="67">
        <v>580.21</v>
      </c>
      <c r="EV580" s="67" t="s">
        <v>4659</v>
      </c>
      <c r="EW580" s="67">
        <v>506.55</v>
      </c>
      <c r="EX580" s="67" t="s">
        <v>4660</v>
      </c>
      <c r="EY580" s="67">
        <v>5814</v>
      </c>
      <c r="EZ580" s="67" t="s">
        <v>4661</v>
      </c>
      <c r="FA580" s="67">
        <v>20800.5</v>
      </c>
      <c r="FB580" s="67" t="s">
        <v>4662</v>
      </c>
      <c r="FC580" s="67" t="s">
        <v>4663</v>
      </c>
      <c r="FD580" s="67" t="s">
        <v>4664</v>
      </c>
      <c r="FE580" s="68" t="s">
        <v>4665</v>
      </c>
      <c r="FF580" s="68" t="s">
        <v>4666</v>
      </c>
    </row>
    <row r="581" spans="151:162" x14ac:dyDescent="0.2">
      <c r="EU581" s="67">
        <v>580.20000000000005</v>
      </c>
      <c r="EV581" s="67" t="s">
        <v>4667</v>
      </c>
      <c r="EW581" s="67">
        <v>506.53</v>
      </c>
      <c r="EX581" s="67" t="s">
        <v>4668</v>
      </c>
      <c r="EY581" s="67">
        <v>5813.75</v>
      </c>
      <c r="EZ581" s="67" t="s">
        <v>4669</v>
      </c>
      <c r="FA581" s="67">
        <v>20798.75</v>
      </c>
      <c r="FB581" s="67" t="s">
        <v>4670</v>
      </c>
      <c r="FC581" s="67" t="s">
        <v>4671</v>
      </c>
      <c r="FD581" s="67" t="s">
        <v>4672</v>
      </c>
      <c r="FE581" s="68" t="s">
        <v>4673</v>
      </c>
      <c r="FF581" s="68" t="s">
        <v>4674</v>
      </c>
    </row>
    <row r="582" spans="151:162" x14ac:dyDescent="0.2">
      <c r="EU582" s="67">
        <v>580.16999999999996</v>
      </c>
      <c r="EV582" s="67" t="s">
        <v>4675</v>
      </c>
      <c r="EW582" s="67">
        <v>506.56</v>
      </c>
      <c r="EX582" s="67" t="s">
        <v>4676</v>
      </c>
      <c r="EY582" s="67">
        <v>5813.75</v>
      </c>
      <c r="EZ582" s="67" t="s">
        <v>4677</v>
      </c>
      <c r="FA582" s="67">
        <v>20800</v>
      </c>
      <c r="FB582" s="67" t="s">
        <v>4678</v>
      </c>
      <c r="FC582" s="67" t="s">
        <v>4679</v>
      </c>
      <c r="FD582" s="67" t="s">
        <v>4680</v>
      </c>
      <c r="FE582" s="68" t="s">
        <v>4681</v>
      </c>
      <c r="FF582" s="68" t="s">
        <v>4682</v>
      </c>
    </row>
    <row r="583" spans="151:162" x14ac:dyDescent="0.2">
      <c r="EU583" s="67">
        <v>580.17999999999995</v>
      </c>
      <c r="EV583" s="67" t="s">
        <v>4683</v>
      </c>
      <c r="EW583" s="67">
        <v>506.57</v>
      </c>
      <c r="EX583" s="67" t="s">
        <v>4684</v>
      </c>
      <c r="EY583" s="67">
        <v>5813.75</v>
      </c>
      <c r="EZ583" s="67" t="s">
        <v>4685</v>
      </c>
      <c r="FA583" s="67">
        <v>20800.25</v>
      </c>
      <c r="FB583" s="67" t="s">
        <v>4686</v>
      </c>
      <c r="FC583" s="67" t="s">
        <v>4687</v>
      </c>
      <c r="FD583" s="67" t="s">
        <v>4688</v>
      </c>
      <c r="FE583" s="68" t="s">
        <v>4689</v>
      </c>
      <c r="FF583" s="68" t="s">
        <v>4690</v>
      </c>
    </row>
    <row r="584" spans="151:162" x14ac:dyDescent="0.2">
      <c r="EU584" s="67">
        <v>580.07000000000005</v>
      </c>
      <c r="EV584" s="67" t="s">
        <v>4691</v>
      </c>
      <c r="EW584" s="67">
        <v>506.51</v>
      </c>
      <c r="EX584" s="67" t="s">
        <v>4692</v>
      </c>
      <c r="EY584" s="67">
        <v>5812.75</v>
      </c>
      <c r="EZ584" s="67" t="s">
        <v>4693</v>
      </c>
      <c r="FA584" s="67">
        <v>20797.75</v>
      </c>
      <c r="FB584" s="67" t="s">
        <v>4694</v>
      </c>
      <c r="FC584" s="67" t="s">
        <v>4695</v>
      </c>
      <c r="FD584" s="67" t="s">
        <v>4696</v>
      </c>
      <c r="FE584" s="68" t="s">
        <v>4697</v>
      </c>
      <c r="FF584" s="68" t="s">
        <v>4698</v>
      </c>
    </row>
    <row r="585" spans="151:162" x14ac:dyDescent="0.2">
      <c r="EU585" s="67">
        <v>580.16</v>
      </c>
      <c r="EV585" s="67" t="s">
        <v>4699</v>
      </c>
      <c r="EW585" s="67">
        <v>506.6</v>
      </c>
      <c r="EX585" s="67" t="s">
        <v>4700</v>
      </c>
      <c r="EY585" s="67">
        <v>5813.75</v>
      </c>
      <c r="EZ585" s="67" t="s">
        <v>4701</v>
      </c>
      <c r="FA585" s="67">
        <v>20801.5</v>
      </c>
      <c r="FB585" s="67" t="s">
        <v>4702</v>
      </c>
      <c r="FC585" s="67" t="s">
        <v>4703</v>
      </c>
      <c r="FD585" s="67" t="s">
        <v>4704</v>
      </c>
      <c r="FE585" s="68" t="s">
        <v>4705</v>
      </c>
      <c r="FF585" s="68" t="s">
        <v>4706</v>
      </c>
    </row>
    <row r="586" spans="151:162" x14ac:dyDescent="0.2">
      <c r="EU586" s="67">
        <v>580.20000000000005</v>
      </c>
      <c r="EV586" s="67" t="s">
        <v>4707</v>
      </c>
      <c r="EW586" s="67">
        <v>506.54</v>
      </c>
      <c r="EX586" s="67" t="s">
        <v>4708</v>
      </c>
      <c r="EY586" s="67">
        <v>5814</v>
      </c>
      <c r="EZ586" s="67" t="s">
        <v>4709</v>
      </c>
      <c r="FA586" s="67">
        <v>20799.25</v>
      </c>
      <c r="FB586" s="67" t="s">
        <v>4710</v>
      </c>
      <c r="FC586" s="67" t="s">
        <v>4711</v>
      </c>
      <c r="FD586" s="67" t="s">
        <v>4712</v>
      </c>
      <c r="FE586" s="68" t="s">
        <v>4713</v>
      </c>
      <c r="FF586" s="68" t="s">
        <v>4714</v>
      </c>
    </row>
    <row r="587" spans="151:162" x14ac:dyDescent="0.2">
      <c r="EU587" s="67">
        <v>580.23</v>
      </c>
      <c r="EV587" s="67" t="s">
        <v>4715</v>
      </c>
      <c r="EW587" s="67">
        <v>506.67</v>
      </c>
      <c r="EX587" s="67" t="s">
        <v>4716</v>
      </c>
      <c r="EY587" s="67">
        <v>5814.25</v>
      </c>
      <c r="EZ587" s="67" t="s">
        <v>4717</v>
      </c>
      <c r="FA587" s="67">
        <v>20803.75</v>
      </c>
      <c r="FB587" s="67" t="s">
        <v>4718</v>
      </c>
      <c r="FC587" s="67" t="s">
        <v>4719</v>
      </c>
      <c r="FD587" s="67" t="s">
        <v>4720</v>
      </c>
      <c r="FE587" s="68" t="s">
        <v>4721</v>
      </c>
      <c r="FF587" s="68" t="s">
        <v>4722</v>
      </c>
    </row>
    <row r="588" spans="151:162" x14ac:dyDescent="0.2">
      <c r="EU588" s="67">
        <v>580.4</v>
      </c>
      <c r="EV588" s="67" t="s">
        <v>4723</v>
      </c>
      <c r="EW588" s="67">
        <v>506.77</v>
      </c>
      <c r="EX588" s="67" t="s">
        <v>4724</v>
      </c>
      <c r="EY588" s="67">
        <v>5815.75</v>
      </c>
      <c r="EZ588" s="67" t="s">
        <v>4725</v>
      </c>
      <c r="FA588" s="67">
        <v>20808</v>
      </c>
      <c r="FB588" s="67" t="s">
        <v>4726</v>
      </c>
      <c r="FC588" s="67" t="s">
        <v>4727</v>
      </c>
      <c r="FD588" s="67" t="s">
        <v>4728</v>
      </c>
      <c r="FE588" s="68" t="s">
        <v>4729</v>
      </c>
      <c r="FF588" s="68" t="s">
        <v>4730</v>
      </c>
    </row>
    <row r="589" spans="151:162" x14ac:dyDescent="0.2">
      <c r="EU589" s="67">
        <v>580.03</v>
      </c>
      <c r="EV589" s="67" t="s">
        <v>4731</v>
      </c>
      <c r="EW589" s="67">
        <v>506.22</v>
      </c>
      <c r="EX589" s="67" t="s">
        <v>4732</v>
      </c>
      <c r="EY589" s="67">
        <v>5812</v>
      </c>
      <c r="EZ589" s="67" t="s">
        <v>4733</v>
      </c>
      <c r="FA589" s="67">
        <v>20786.5</v>
      </c>
      <c r="FB589" s="67" t="s">
        <v>4734</v>
      </c>
      <c r="FC589" s="67" t="s">
        <v>4735</v>
      </c>
      <c r="FD589" s="67" t="s">
        <v>4736</v>
      </c>
      <c r="FE589" s="68" t="s">
        <v>4737</v>
      </c>
      <c r="FF589" s="68" t="s">
        <v>4738</v>
      </c>
    </row>
    <row r="590" spans="151:162" x14ac:dyDescent="0.2">
      <c r="EU590" s="67">
        <v>579.92999999999995</v>
      </c>
      <c r="EV590" s="67" t="s">
        <v>4739</v>
      </c>
      <c r="EW590" s="67">
        <v>506.21</v>
      </c>
      <c r="EX590" s="67" t="s">
        <v>4740</v>
      </c>
      <c r="EY590" s="67">
        <v>5811.25</v>
      </c>
      <c r="EZ590" s="67" t="s">
        <v>4741</v>
      </c>
      <c r="FA590" s="67">
        <v>20784.5</v>
      </c>
      <c r="FB590" s="67" t="s">
        <v>4742</v>
      </c>
      <c r="FC590" s="67" t="s">
        <v>4743</v>
      </c>
      <c r="FD590" s="67" t="s">
        <v>4744</v>
      </c>
      <c r="FE590" s="68" t="s">
        <v>4745</v>
      </c>
      <c r="FF590" s="68" t="s">
        <v>4746</v>
      </c>
    </row>
    <row r="591" spans="151:162" x14ac:dyDescent="0.2">
      <c r="EU591" s="67">
        <v>580.5</v>
      </c>
      <c r="EV591" s="67" t="s">
        <v>4747</v>
      </c>
      <c r="EW591" s="67">
        <v>507.03</v>
      </c>
      <c r="EX591" s="67" t="s">
        <v>4748</v>
      </c>
      <c r="EY591" s="67">
        <v>5817</v>
      </c>
      <c r="EZ591" s="67" t="s">
        <v>4749</v>
      </c>
      <c r="FA591" s="67">
        <v>20820</v>
      </c>
      <c r="FB591" s="67" t="s">
        <v>4750</v>
      </c>
      <c r="FC591" s="67" t="s">
        <v>4751</v>
      </c>
      <c r="FD591" s="67" t="s">
        <v>4752</v>
      </c>
      <c r="FE591" s="68" t="s">
        <v>4753</v>
      </c>
      <c r="FF591" s="68" t="s">
        <v>4754</v>
      </c>
    </row>
    <row r="592" spans="151:162" x14ac:dyDescent="0.2">
      <c r="EU592" s="67">
        <v>580.41999999999996</v>
      </c>
      <c r="EV592" s="67" t="s">
        <v>4755</v>
      </c>
      <c r="EW592" s="67">
        <v>506.96</v>
      </c>
      <c r="EX592" s="67" t="s">
        <v>4756</v>
      </c>
      <c r="EY592" s="67">
        <v>5816.25</v>
      </c>
      <c r="EZ592" s="67" t="s">
        <v>4757</v>
      </c>
      <c r="FA592" s="67">
        <v>20816.75</v>
      </c>
      <c r="FB592" s="67" t="s">
        <v>4758</v>
      </c>
      <c r="FC592" s="67" t="s">
        <v>4759</v>
      </c>
      <c r="FD592" s="67" t="s">
        <v>4760</v>
      </c>
      <c r="FE592" s="68" t="s">
        <v>4761</v>
      </c>
      <c r="FF592" s="68" t="s">
        <v>4762</v>
      </c>
    </row>
    <row r="593" spans="151:162" x14ac:dyDescent="0.2">
      <c r="EU593" s="67">
        <v>580.52</v>
      </c>
      <c r="EV593" s="67" t="s">
        <v>4763</v>
      </c>
      <c r="EW593" s="67">
        <v>507</v>
      </c>
      <c r="EX593" s="67" t="s">
        <v>4764</v>
      </c>
      <c r="EY593" s="67">
        <v>5817.5</v>
      </c>
      <c r="EZ593" s="67" t="s">
        <v>4765</v>
      </c>
      <c r="FA593" s="67">
        <v>20818.75</v>
      </c>
      <c r="FB593" s="67" t="s">
        <v>4766</v>
      </c>
      <c r="FC593" s="67" t="s">
        <v>4767</v>
      </c>
      <c r="FD593" s="67" t="s">
        <v>4768</v>
      </c>
      <c r="FE593" s="68" t="s">
        <v>4769</v>
      </c>
      <c r="FF593" s="68" t="s">
        <v>4770</v>
      </c>
    </row>
    <row r="594" spans="151:162" x14ac:dyDescent="0.2">
      <c r="EU594" s="67">
        <v>580.41999999999996</v>
      </c>
      <c r="EV594" s="67" t="s">
        <v>4771</v>
      </c>
      <c r="EW594" s="67">
        <v>506.88</v>
      </c>
      <c r="EX594" s="67" t="s">
        <v>4772</v>
      </c>
      <c r="EY594" s="67">
        <v>5816.25</v>
      </c>
      <c r="EZ594" s="67" t="s">
        <v>4773</v>
      </c>
      <c r="FA594" s="67">
        <v>20814</v>
      </c>
      <c r="FB594" s="67" t="s">
        <v>4774</v>
      </c>
      <c r="FC594" s="67" t="s">
        <v>4775</v>
      </c>
      <c r="FD594" s="67" t="s">
        <v>4776</v>
      </c>
      <c r="FE594" s="68" t="s">
        <v>4777</v>
      </c>
      <c r="FF594" s="68" t="s">
        <v>4778</v>
      </c>
    </row>
    <row r="595" spans="151:162" x14ac:dyDescent="0.2">
      <c r="EU595" s="67">
        <v>580.12</v>
      </c>
      <c r="EV595" s="67" t="s">
        <v>4779</v>
      </c>
      <c r="EW595" s="67">
        <v>506.56</v>
      </c>
      <c r="EX595" s="67" t="s">
        <v>4780</v>
      </c>
      <c r="EY595" s="67">
        <v>5813.5</v>
      </c>
      <c r="EZ595" s="67" t="s">
        <v>4781</v>
      </c>
      <c r="FA595" s="67">
        <v>20800</v>
      </c>
      <c r="FB595" s="67" t="s">
        <v>4782</v>
      </c>
      <c r="FC595" s="67" t="s">
        <v>4783</v>
      </c>
      <c r="FD595" s="67" t="s">
        <v>4784</v>
      </c>
      <c r="FE595" s="68" t="s">
        <v>4785</v>
      </c>
      <c r="FF595" s="68" t="s">
        <v>4786</v>
      </c>
    </row>
    <row r="596" spans="151:162" x14ac:dyDescent="0.2">
      <c r="EU596" s="67">
        <v>580.14</v>
      </c>
      <c r="EV596" s="67" t="s">
        <v>4787</v>
      </c>
      <c r="EW596" s="67">
        <v>506.6</v>
      </c>
      <c r="EX596" s="67" t="s">
        <v>4788</v>
      </c>
      <c r="EY596" s="67">
        <v>5813.25</v>
      </c>
      <c r="EZ596" s="67" t="s">
        <v>4789</v>
      </c>
      <c r="FA596" s="67">
        <v>20800.25</v>
      </c>
      <c r="FB596" s="67" t="s">
        <v>4790</v>
      </c>
      <c r="FC596" s="67" t="s">
        <v>4791</v>
      </c>
      <c r="FD596" s="67" t="s">
        <v>4792</v>
      </c>
      <c r="FE596" s="68" t="s">
        <v>4793</v>
      </c>
      <c r="FF596" s="68" t="s">
        <v>4794</v>
      </c>
    </row>
    <row r="597" spans="151:162" x14ac:dyDescent="0.2">
      <c r="EU597" s="67">
        <v>580.35</v>
      </c>
      <c r="EV597" s="67" t="s">
        <v>4795</v>
      </c>
      <c r="EW597" s="67">
        <v>506.67</v>
      </c>
      <c r="EX597" s="67" t="s">
        <v>4796</v>
      </c>
      <c r="EY597" s="67">
        <v>5815.5</v>
      </c>
      <c r="EZ597" s="67" t="s">
        <v>4797</v>
      </c>
      <c r="FA597" s="67">
        <v>20805</v>
      </c>
      <c r="FB597" s="67" t="s">
        <v>4798</v>
      </c>
      <c r="FC597" s="67" t="s">
        <v>4799</v>
      </c>
      <c r="FD597" s="67" t="s">
        <v>4800</v>
      </c>
      <c r="FE597" s="68" t="s">
        <v>4801</v>
      </c>
      <c r="FF597" s="68" t="s">
        <v>4802</v>
      </c>
    </row>
    <row r="598" spans="151:162" x14ac:dyDescent="0.2">
      <c r="EU598" s="67">
        <v>580.35</v>
      </c>
      <c r="EV598" s="67" t="s">
        <v>4803</v>
      </c>
      <c r="EW598" s="67">
        <v>506.62</v>
      </c>
      <c r="EX598" s="67" t="s">
        <v>4804</v>
      </c>
      <c r="EY598" s="67">
        <v>5815.25</v>
      </c>
      <c r="EZ598" s="67" t="s">
        <v>4805</v>
      </c>
      <c r="FA598" s="67">
        <v>20802.75</v>
      </c>
      <c r="FB598" s="67" t="s">
        <v>4806</v>
      </c>
      <c r="FC598" s="67" t="s">
        <v>4807</v>
      </c>
      <c r="FD598" s="67" t="s">
        <v>4808</v>
      </c>
      <c r="FE598" s="68" t="s">
        <v>4809</v>
      </c>
      <c r="FF598" s="68" t="s">
        <v>4810</v>
      </c>
    </row>
    <row r="599" spans="151:162" x14ac:dyDescent="0.2">
      <c r="EU599" s="67">
        <v>580.49</v>
      </c>
      <c r="EV599" s="67" t="s">
        <v>4811</v>
      </c>
      <c r="EW599" s="67">
        <v>506.79</v>
      </c>
      <c r="EX599" s="67" t="s">
        <v>4812</v>
      </c>
      <c r="EY599" s="67">
        <v>5816.75</v>
      </c>
      <c r="EZ599" s="67" t="s">
        <v>4813</v>
      </c>
      <c r="FA599" s="67">
        <v>20808.75</v>
      </c>
      <c r="FB599" s="67" t="s">
        <v>4814</v>
      </c>
      <c r="FC599" s="67" t="s">
        <v>4815</v>
      </c>
      <c r="FD599" s="67" t="s">
        <v>4816</v>
      </c>
      <c r="FE599" s="68" t="s">
        <v>4817</v>
      </c>
      <c r="FF599" s="68" t="s">
        <v>4818</v>
      </c>
    </row>
    <row r="600" spans="151:162" x14ac:dyDescent="0.2">
      <c r="EU600" s="67">
        <v>580.42999999999995</v>
      </c>
      <c r="EV600" s="67" t="s">
        <v>4819</v>
      </c>
      <c r="EW600" s="67">
        <v>506.72</v>
      </c>
      <c r="EX600" s="67" t="s">
        <v>4820</v>
      </c>
      <c r="EY600" s="67">
        <v>5816</v>
      </c>
      <c r="EZ600" s="67" t="s">
        <v>4821</v>
      </c>
      <c r="FA600" s="67">
        <v>20806.25</v>
      </c>
      <c r="FB600" s="67" t="s">
        <v>4822</v>
      </c>
      <c r="FC600" s="67" t="s">
        <v>4823</v>
      </c>
      <c r="FD600" s="67" t="s">
        <v>4824</v>
      </c>
      <c r="FE600" s="68" t="s">
        <v>4825</v>
      </c>
      <c r="FF600" s="68" t="s">
        <v>4826</v>
      </c>
    </row>
    <row r="601" spans="151:162" x14ac:dyDescent="0.2">
      <c r="EU601" s="67">
        <v>580.41999999999996</v>
      </c>
      <c r="EV601" s="67" t="s">
        <v>4827</v>
      </c>
      <c r="EW601" s="67">
        <v>506.66</v>
      </c>
      <c r="EX601" s="67" t="s">
        <v>4828</v>
      </c>
      <c r="EY601" s="67">
        <v>5816.25</v>
      </c>
      <c r="EZ601" s="67" t="s">
        <v>4829</v>
      </c>
      <c r="FA601" s="67">
        <v>20804</v>
      </c>
      <c r="FB601" s="67" t="s">
        <v>4830</v>
      </c>
      <c r="FC601" s="67" t="s">
        <v>4831</v>
      </c>
      <c r="FD601" s="67" t="s">
        <v>4832</v>
      </c>
      <c r="FE601" s="68" t="s">
        <v>4833</v>
      </c>
      <c r="FF601" s="68" t="s">
        <v>4834</v>
      </c>
    </row>
    <row r="602" spans="151:162" x14ac:dyDescent="0.2">
      <c r="EU602" s="67">
        <v>580.4</v>
      </c>
      <c r="EV602" s="67" t="s">
        <v>4835</v>
      </c>
      <c r="EW602" s="67">
        <v>506.65</v>
      </c>
      <c r="EX602" s="67" t="s">
        <v>4836</v>
      </c>
      <c r="EY602" s="67">
        <v>5816</v>
      </c>
      <c r="EZ602" s="67" t="s">
        <v>4837</v>
      </c>
      <c r="FA602" s="67">
        <v>20803.5</v>
      </c>
      <c r="FB602" s="67" t="s">
        <v>4838</v>
      </c>
      <c r="FC602" s="67" t="s">
        <v>4839</v>
      </c>
      <c r="FD602" s="67" t="s">
        <v>4840</v>
      </c>
      <c r="FE602" s="68" t="s">
        <v>4841</v>
      </c>
      <c r="FF602" s="68" t="s">
        <v>4842</v>
      </c>
    </row>
    <row r="603" spans="151:162" x14ac:dyDescent="0.2">
      <c r="EU603" s="67">
        <v>580.51</v>
      </c>
      <c r="EV603" s="67" t="s">
        <v>4843</v>
      </c>
      <c r="EW603" s="67">
        <v>506.74</v>
      </c>
      <c r="EX603" s="67" t="s">
        <v>4844</v>
      </c>
      <c r="EY603" s="67">
        <v>5817</v>
      </c>
      <c r="EZ603" s="67" t="s">
        <v>4845</v>
      </c>
      <c r="FA603" s="67">
        <v>20807.25</v>
      </c>
      <c r="FB603" s="67" t="s">
        <v>4846</v>
      </c>
      <c r="FC603" s="67" t="s">
        <v>4847</v>
      </c>
      <c r="FD603" s="67" t="s">
        <v>4848</v>
      </c>
      <c r="FE603" s="68" t="s">
        <v>4849</v>
      </c>
      <c r="FF603" s="68" t="s">
        <v>4850</v>
      </c>
    </row>
    <row r="604" spans="151:162" x14ac:dyDescent="0.2">
      <c r="EU604" s="67">
        <v>580.4</v>
      </c>
      <c r="EV604" s="67" t="s">
        <v>4851</v>
      </c>
      <c r="EW604" s="67">
        <v>506.62</v>
      </c>
      <c r="EX604" s="67" t="s">
        <v>4852</v>
      </c>
      <c r="EY604" s="67">
        <v>5816</v>
      </c>
      <c r="EZ604" s="67" t="s">
        <v>4853</v>
      </c>
      <c r="FA604" s="67">
        <v>20803</v>
      </c>
      <c r="FB604" s="67" t="s">
        <v>4854</v>
      </c>
      <c r="FC604" s="67" t="s">
        <v>4855</v>
      </c>
      <c r="FD604" s="67" t="s">
        <v>4856</v>
      </c>
      <c r="FE604" s="68" t="s">
        <v>4857</v>
      </c>
      <c r="FF604" s="68" t="s">
        <v>4858</v>
      </c>
    </row>
    <row r="605" spans="151:162" x14ac:dyDescent="0.2">
      <c r="EU605" s="67">
        <v>580.41999999999996</v>
      </c>
      <c r="EV605" s="67" t="s">
        <v>4859</v>
      </c>
      <c r="EW605" s="67">
        <v>506.56</v>
      </c>
      <c r="EX605" s="67" t="s">
        <v>4860</v>
      </c>
      <c r="EY605" s="67">
        <v>5816.25</v>
      </c>
      <c r="EZ605" s="67" t="s">
        <v>4861</v>
      </c>
      <c r="FA605" s="67">
        <v>20800</v>
      </c>
      <c r="FB605" s="67" t="s">
        <v>4862</v>
      </c>
      <c r="FC605" s="67" t="s">
        <v>4863</v>
      </c>
      <c r="FD605" s="67" t="s">
        <v>4864</v>
      </c>
      <c r="FE605" s="68" t="s">
        <v>4865</v>
      </c>
      <c r="FF605" s="68" t="s">
        <v>4866</v>
      </c>
    </row>
    <row r="606" spans="151:162" x14ac:dyDescent="0.2">
      <c r="EU606" s="67">
        <v>580.41</v>
      </c>
      <c r="EV606" s="67" t="s">
        <v>4867</v>
      </c>
      <c r="EW606" s="67">
        <v>506.52</v>
      </c>
      <c r="EX606" s="67" t="s">
        <v>4868</v>
      </c>
      <c r="EY606" s="67">
        <v>5816</v>
      </c>
      <c r="EZ606" s="67" t="s">
        <v>4869</v>
      </c>
      <c r="FA606" s="67">
        <v>20798.5</v>
      </c>
      <c r="FB606" s="67" t="s">
        <v>4870</v>
      </c>
      <c r="FC606" s="67" t="s">
        <v>4871</v>
      </c>
      <c r="FD606" s="67" t="s">
        <v>4872</v>
      </c>
      <c r="FE606" s="68" t="s">
        <v>4873</v>
      </c>
      <c r="FF606" s="68" t="s">
        <v>4874</v>
      </c>
    </row>
    <row r="607" spans="151:162" x14ac:dyDescent="0.2">
      <c r="EU607" s="67">
        <v>580.35</v>
      </c>
      <c r="EV607" s="67" t="s">
        <v>4875</v>
      </c>
      <c r="EW607" s="67">
        <v>506.42</v>
      </c>
      <c r="EX607" s="67" t="s">
        <v>4876</v>
      </c>
      <c r="EY607" s="67">
        <v>5815.5</v>
      </c>
      <c r="EZ607" s="67" t="s">
        <v>4877</v>
      </c>
      <c r="FA607" s="67">
        <v>20793.25</v>
      </c>
      <c r="FB607" s="67" t="s">
        <v>4878</v>
      </c>
      <c r="FC607" s="67" t="s">
        <v>4879</v>
      </c>
      <c r="FD607" s="67" t="s">
        <v>4880</v>
      </c>
      <c r="FE607" s="68" t="s">
        <v>4881</v>
      </c>
      <c r="FF607" s="68" t="s">
        <v>4882</v>
      </c>
    </row>
    <row r="608" spans="151:162" x14ac:dyDescent="0.2">
      <c r="EU608" s="67">
        <v>580.29</v>
      </c>
      <c r="EV608" s="67" t="s">
        <v>4883</v>
      </c>
      <c r="EW608" s="67">
        <v>506.28</v>
      </c>
      <c r="EX608" s="67" t="s">
        <v>4884</v>
      </c>
      <c r="EY608" s="67">
        <v>5815</v>
      </c>
      <c r="EZ608" s="67" t="s">
        <v>4885</v>
      </c>
      <c r="FA608" s="67">
        <v>20790</v>
      </c>
      <c r="FB608" s="67" t="s">
        <v>4886</v>
      </c>
      <c r="FC608" s="67" t="s">
        <v>4887</v>
      </c>
      <c r="FD608" s="67" t="s">
        <v>4888</v>
      </c>
      <c r="FE608" s="68" t="s">
        <v>4889</v>
      </c>
      <c r="FF608" s="68" t="s">
        <v>4890</v>
      </c>
    </row>
    <row r="609" spans="151:162" x14ac:dyDescent="0.2">
      <c r="EU609" s="67">
        <v>580.67999999999995</v>
      </c>
      <c r="EV609" s="67" t="s">
        <v>4891</v>
      </c>
      <c r="EW609" s="67">
        <v>506.65</v>
      </c>
      <c r="EX609" s="67" t="s">
        <v>4892</v>
      </c>
      <c r="EY609" s="67">
        <v>5818.5</v>
      </c>
      <c r="EZ609" s="67" t="s">
        <v>4893</v>
      </c>
      <c r="FA609" s="67">
        <v>20803.25</v>
      </c>
      <c r="FB609" s="67" t="s">
        <v>4894</v>
      </c>
      <c r="FC609" s="67" t="s">
        <v>4895</v>
      </c>
      <c r="FD609" s="67" t="s">
        <v>4896</v>
      </c>
      <c r="FE609" s="68" t="s">
        <v>4897</v>
      </c>
      <c r="FF609" s="68" t="s">
        <v>4898</v>
      </c>
    </row>
    <row r="610" spans="151:162" x14ac:dyDescent="0.2">
      <c r="EU610" s="67">
        <v>580.66999999999996</v>
      </c>
      <c r="EV610" s="67" t="s">
        <v>4899</v>
      </c>
      <c r="EW610" s="67">
        <v>506.67</v>
      </c>
      <c r="EX610" s="67" t="s">
        <v>4900</v>
      </c>
      <c r="EY610" s="67">
        <v>5818.75</v>
      </c>
      <c r="EZ610" s="67" t="s">
        <v>4901</v>
      </c>
      <c r="FA610" s="67">
        <v>20804</v>
      </c>
      <c r="FB610" s="67" t="s">
        <v>4902</v>
      </c>
      <c r="FC610" s="67" t="s">
        <v>4903</v>
      </c>
      <c r="FD610" s="67" t="s">
        <v>4904</v>
      </c>
      <c r="FE610" s="68" t="s">
        <v>4905</v>
      </c>
      <c r="FF610" s="68" t="s">
        <v>4906</v>
      </c>
    </row>
    <row r="611" spans="151:162" x14ac:dyDescent="0.2">
      <c r="EU611" s="67">
        <v>580.79999999999995</v>
      </c>
      <c r="EV611" s="67" t="s">
        <v>4907</v>
      </c>
      <c r="EW611" s="67">
        <v>506.78</v>
      </c>
      <c r="EX611" s="67" t="s">
        <v>4908</v>
      </c>
      <c r="EY611" s="67">
        <v>5820</v>
      </c>
      <c r="EZ611" s="67" t="s">
        <v>4909</v>
      </c>
      <c r="FA611" s="67">
        <v>20809</v>
      </c>
      <c r="FB611" s="67" t="s">
        <v>4910</v>
      </c>
      <c r="FC611" s="67" t="s">
        <v>4911</v>
      </c>
      <c r="FD611" s="67" t="s">
        <v>4912</v>
      </c>
      <c r="FE611" s="68" t="s">
        <v>4913</v>
      </c>
      <c r="FF611" s="68" t="s">
        <v>4914</v>
      </c>
    </row>
    <row r="612" spans="151:162" x14ac:dyDescent="0.2">
      <c r="EU612" s="67">
        <v>580.79999999999995</v>
      </c>
      <c r="EV612" s="67" t="s">
        <v>4915</v>
      </c>
      <c r="EW612" s="67">
        <v>506.77</v>
      </c>
      <c r="EX612" s="67" t="s">
        <v>4916</v>
      </c>
      <c r="EY612" s="67">
        <v>5820</v>
      </c>
      <c r="EZ612" s="67" t="s">
        <v>4917</v>
      </c>
      <c r="FA612" s="67">
        <v>20808.75</v>
      </c>
      <c r="FB612" s="67" t="s">
        <v>4918</v>
      </c>
      <c r="FC612" s="67" t="s">
        <v>4919</v>
      </c>
      <c r="FD612" s="67" t="s">
        <v>4920</v>
      </c>
      <c r="FE612" s="68" t="s">
        <v>4921</v>
      </c>
      <c r="FF612" s="68" t="s">
        <v>4922</v>
      </c>
    </row>
    <row r="613" spans="151:162" x14ac:dyDescent="0.2">
      <c r="EU613" s="67">
        <v>581.02</v>
      </c>
      <c r="EV613" s="67" t="s">
        <v>4923</v>
      </c>
      <c r="EW613" s="67">
        <v>506.94</v>
      </c>
      <c r="EX613" s="67" t="s">
        <v>4924</v>
      </c>
      <c r="EY613" s="67">
        <v>5822</v>
      </c>
      <c r="EZ613" s="67" t="s">
        <v>4925</v>
      </c>
      <c r="FA613" s="67">
        <v>20815.5</v>
      </c>
      <c r="FB613" s="67" t="s">
        <v>4926</v>
      </c>
      <c r="FC613" s="67" t="s">
        <v>4927</v>
      </c>
      <c r="FD613" s="67" t="s">
        <v>4928</v>
      </c>
      <c r="FE613" s="68" t="s">
        <v>4929</v>
      </c>
      <c r="FF613" s="68" t="s">
        <v>4930</v>
      </c>
    </row>
    <row r="614" spans="151:162" x14ac:dyDescent="0.2">
      <c r="EU614" s="67">
        <v>581.13</v>
      </c>
      <c r="EV614" s="67" t="s">
        <v>4931</v>
      </c>
      <c r="EW614" s="67">
        <v>507.08</v>
      </c>
      <c r="EX614" s="67" t="s">
        <v>4932</v>
      </c>
      <c r="EY614" s="67">
        <v>5823.25</v>
      </c>
      <c r="EZ614" s="67" t="s">
        <v>4933</v>
      </c>
      <c r="FA614" s="67">
        <v>20821.75</v>
      </c>
      <c r="FB614" s="67" t="s">
        <v>4934</v>
      </c>
      <c r="FC614" s="67" t="s">
        <v>4935</v>
      </c>
      <c r="FD614" s="67" t="s">
        <v>4936</v>
      </c>
      <c r="FE614" s="68" t="s">
        <v>4937</v>
      </c>
      <c r="FF614" s="68" t="s">
        <v>4938</v>
      </c>
    </row>
    <row r="615" spans="151:162" x14ac:dyDescent="0.2">
      <c r="EU615" s="67">
        <v>581.16999999999996</v>
      </c>
      <c r="EV615" s="67" t="s">
        <v>4939</v>
      </c>
      <c r="EW615" s="67">
        <v>507.18</v>
      </c>
      <c r="EX615" s="67" t="s">
        <v>4940</v>
      </c>
      <c r="EY615" s="67">
        <v>5823.5</v>
      </c>
      <c r="EZ615" s="67" t="s">
        <v>4941</v>
      </c>
      <c r="FA615" s="67">
        <v>20825.75</v>
      </c>
      <c r="FB615" s="67" t="s">
        <v>4942</v>
      </c>
      <c r="FC615" s="67" t="s">
        <v>4943</v>
      </c>
      <c r="FD615" s="67" t="s">
        <v>4944</v>
      </c>
      <c r="FE615" s="68" t="s">
        <v>4945</v>
      </c>
      <c r="FF615" s="68" t="s">
        <v>4946</v>
      </c>
    </row>
    <row r="616" spans="151:162" x14ac:dyDescent="0.2">
      <c r="EU616" s="67">
        <v>581.13</v>
      </c>
      <c r="EV616" s="67" t="s">
        <v>4947</v>
      </c>
      <c r="EW616" s="67">
        <v>507.15</v>
      </c>
      <c r="EX616" s="67" t="s">
        <v>4948</v>
      </c>
      <c r="EY616" s="67">
        <v>5823.25</v>
      </c>
      <c r="EZ616" s="67" t="s">
        <v>4949</v>
      </c>
      <c r="FA616" s="67">
        <v>20823.25</v>
      </c>
      <c r="FB616" s="67" t="s">
        <v>4950</v>
      </c>
      <c r="FC616" s="67" t="s">
        <v>4951</v>
      </c>
      <c r="FD616" s="67" t="s">
        <v>4952</v>
      </c>
      <c r="FE616" s="68" t="s">
        <v>4953</v>
      </c>
      <c r="FF616" s="68" t="s">
        <v>4954</v>
      </c>
    </row>
    <row r="617" spans="151:162" x14ac:dyDescent="0.2">
      <c r="EU617" s="67">
        <v>581.24</v>
      </c>
      <c r="EV617" s="67" t="s">
        <v>4955</v>
      </c>
      <c r="EW617" s="67">
        <v>507.31</v>
      </c>
      <c r="EX617" s="67" t="s">
        <v>4956</v>
      </c>
      <c r="EY617" s="67">
        <v>5824.25</v>
      </c>
      <c r="EZ617" s="67" t="s">
        <v>4957</v>
      </c>
      <c r="FA617" s="67">
        <v>20830.5</v>
      </c>
      <c r="FB617" s="67" t="s">
        <v>4958</v>
      </c>
      <c r="FC617" s="67" t="s">
        <v>4959</v>
      </c>
      <c r="FD617" s="67" t="s">
        <v>4960</v>
      </c>
      <c r="FE617" s="68" t="s">
        <v>4961</v>
      </c>
      <c r="FF617" s="68" t="s">
        <v>4962</v>
      </c>
    </row>
    <row r="618" spans="151:162" x14ac:dyDescent="0.2">
      <c r="EU618" s="67">
        <v>581.45000000000005</v>
      </c>
      <c r="EV618" s="67" t="s">
        <v>4963</v>
      </c>
      <c r="EW618" s="67">
        <v>507.51</v>
      </c>
      <c r="EX618" s="67" t="s">
        <v>4964</v>
      </c>
      <c r="EY618" s="67">
        <v>5826.75</v>
      </c>
      <c r="EZ618" s="67" t="s">
        <v>4965</v>
      </c>
      <c r="FA618" s="67">
        <v>20839.75</v>
      </c>
      <c r="FB618" s="67" t="s">
        <v>4966</v>
      </c>
      <c r="FC618" s="67" t="s">
        <v>4967</v>
      </c>
      <c r="FD618" s="67" t="s">
        <v>4968</v>
      </c>
      <c r="FE618" s="68" t="s">
        <v>4969</v>
      </c>
      <c r="FF618" s="68" t="s">
        <v>4970</v>
      </c>
    </row>
    <row r="619" spans="151:162" x14ac:dyDescent="0.2">
      <c r="EU619" s="67">
        <v>581.85</v>
      </c>
      <c r="EV619" s="67" t="s">
        <v>4971</v>
      </c>
      <c r="EW619" s="67">
        <v>507.98</v>
      </c>
      <c r="EX619" s="67" t="s">
        <v>4972</v>
      </c>
      <c r="EY619" s="67">
        <v>5830.5</v>
      </c>
      <c r="EZ619" s="67" t="s">
        <v>4973</v>
      </c>
      <c r="FA619" s="67">
        <v>20858.5</v>
      </c>
      <c r="FB619" s="67" t="s">
        <v>4974</v>
      </c>
      <c r="FC619" s="67" t="s">
        <v>4975</v>
      </c>
      <c r="FD619" s="67" t="s">
        <v>4976</v>
      </c>
      <c r="FE619" s="68" t="s">
        <v>4977</v>
      </c>
      <c r="FF619" s="68" t="s">
        <v>4978</v>
      </c>
    </row>
    <row r="620" spans="151:162" x14ac:dyDescent="0.2">
      <c r="EU620" s="67">
        <v>582</v>
      </c>
      <c r="EV620" s="67" t="s">
        <v>4979</v>
      </c>
      <c r="EW620" s="67">
        <v>508.1</v>
      </c>
      <c r="EX620" s="67" t="s">
        <v>4980</v>
      </c>
      <c r="EY620" s="67">
        <v>5832.5</v>
      </c>
      <c r="EZ620" s="67" t="s">
        <v>4981</v>
      </c>
      <c r="FA620" s="67">
        <v>20863.5</v>
      </c>
      <c r="FB620" s="67" t="s">
        <v>4982</v>
      </c>
      <c r="FC620" s="67" t="s">
        <v>4983</v>
      </c>
      <c r="FD620" s="67" t="s">
        <v>4984</v>
      </c>
      <c r="FE620" s="68" t="s">
        <v>4985</v>
      </c>
      <c r="FF620" s="68" t="s">
        <v>4986</v>
      </c>
    </row>
    <row r="621" spans="151:162" x14ac:dyDescent="0.2">
      <c r="EU621" s="67">
        <v>581.72</v>
      </c>
      <c r="EV621" s="67" t="s">
        <v>4987</v>
      </c>
      <c r="EW621" s="67">
        <v>507.74</v>
      </c>
      <c r="EX621" s="67" t="s">
        <v>4988</v>
      </c>
      <c r="EY621" s="67">
        <v>5829.5</v>
      </c>
      <c r="EZ621" s="67" t="s">
        <v>4989</v>
      </c>
      <c r="FA621" s="67">
        <v>20848.75</v>
      </c>
      <c r="FB621" s="67" t="s">
        <v>4990</v>
      </c>
      <c r="FC621" s="67" t="s">
        <v>4991</v>
      </c>
      <c r="FD621" s="67" t="s">
        <v>4992</v>
      </c>
      <c r="FE621" s="68" t="s">
        <v>4993</v>
      </c>
      <c r="FF621" s="68" t="s">
        <v>4994</v>
      </c>
    </row>
    <row r="622" spans="151:162" x14ac:dyDescent="0.2">
      <c r="EU622" s="67">
        <v>581.78</v>
      </c>
      <c r="EV622" s="67" t="s">
        <v>4995</v>
      </c>
      <c r="EW622" s="67">
        <v>507.77</v>
      </c>
      <c r="EX622" s="67" t="s">
        <v>4996</v>
      </c>
      <c r="EY622" s="67">
        <v>5830</v>
      </c>
      <c r="EZ622" s="67" t="s">
        <v>4997</v>
      </c>
      <c r="FA622" s="67">
        <v>20850</v>
      </c>
      <c r="FB622" s="67" t="s">
        <v>4998</v>
      </c>
      <c r="FC622" s="67" t="s">
        <v>4999</v>
      </c>
      <c r="FD622" s="67" t="s">
        <v>5000</v>
      </c>
      <c r="FE622" s="68" t="s">
        <v>5001</v>
      </c>
      <c r="FF622" s="68" t="s">
        <v>5002</v>
      </c>
    </row>
    <row r="623" spans="151:162" x14ac:dyDescent="0.2">
      <c r="EU623" s="67">
        <v>581.66</v>
      </c>
      <c r="EV623" s="67" t="s">
        <v>5003</v>
      </c>
      <c r="EW623" s="67">
        <v>507.65</v>
      </c>
      <c r="EX623" s="67" t="s">
        <v>5004</v>
      </c>
      <c r="EY623" s="67">
        <v>5828.75</v>
      </c>
      <c r="EZ623" s="67" t="s">
        <v>5005</v>
      </c>
      <c r="FA623" s="67">
        <v>20845</v>
      </c>
      <c r="FB623" s="67" t="s">
        <v>5006</v>
      </c>
      <c r="FC623" s="67" t="s">
        <v>5007</v>
      </c>
      <c r="FD623" s="67" t="s">
        <v>5008</v>
      </c>
      <c r="FE623" s="68" t="s">
        <v>5009</v>
      </c>
      <c r="FF623" s="68" t="s">
        <v>5010</v>
      </c>
    </row>
    <row r="624" spans="151:162" x14ac:dyDescent="0.2">
      <c r="EU624" s="67">
        <v>581.70000000000005</v>
      </c>
      <c r="EV624" s="67" t="s">
        <v>5011</v>
      </c>
      <c r="EW624" s="67">
        <v>507.63</v>
      </c>
      <c r="EX624" s="67" t="s">
        <v>5012</v>
      </c>
      <c r="EY624" s="67">
        <v>5829</v>
      </c>
      <c r="EZ624" s="67" t="s">
        <v>5013</v>
      </c>
      <c r="FA624" s="67">
        <v>20845.5</v>
      </c>
      <c r="FB624" s="67" t="s">
        <v>5014</v>
      </c>
      <c r="FC624" s="67" t="s">
        <v>5015</v>
      </c>
      <c r="FD624" s="67" t="s">
        <v>5016</v>
      </c>
      <c r="FE624" s="68" t="s">
        <v>5017</v>
      </c>
      <c r="FF624" s="68" t="s">
        <v>5018</v>
      </c>
    </row>
    <row r="625" spans="151:162" x14ac:dyDescent="0.2">
      <c r="EU625" s="67">
        <v>581.46</v>
      </c>
      <c r="EV625" s="67" t="s">
        <v>5019</v>
      </c>
      <c r="EW625" s="67">
        <v>507.31</v>
      </c>
      <c r="EX625" s="67" t="s">
        <v>5020</v>
      </c>
      <c r="EY625" s="67">
        <v>5826.25</v>
      </c>
      <c r="EZ625" s="67" t="s">
        <v>5021</v>
      </c>
      <c r="FA625" s="67">
        <v>20834</v>
      </c>
      <c r="FB625" s="67" t="s">
        <v>5022</v>
      </c>
      <c r="FC625" s="67" t="s">
        <v>5023</v>
      </c>
      <c r="FD625" s="67" t="s">
        <v>5024</v>
      </c>
      <c r="FE625" s="68" t="s">
        <v>5025</v>
      </c>
      <c r="FF625" s="68" t="s">
        <v>5026</v>
      </c>
    </row>
    <row r="626" spans="151:162" x14ac:dyDescent="0.2">
      <c r="EU626" s="67">
        <v>581.66</v>
      </c>
      <c r="EV626" s="67" t="s">
        <v>5027</v>
      </c>
      <c r="EW626" s="67">
        <v>507.66</v>
      </c>
      <c r="EX626" s="67" t="s">
        <v>5028</v>
      </c>
      <c r="EY626" s="67">
        <v>5828.75</v>
      </c>
      <c r="EZ626" s="67" t="s">
        <v>5029</v>
      </c>
      <c r="FA626" s="67">
        <v>20846</v>
      </c>
      <c r="FB626" s="67" t="s">
        <v>5030</v>
      </c>
      <c r="FC626" s="67" t="s">
        <v>5031</v>
      </c>
      <c r="FD626" s="67" t="s">
        <v>5032</v>
      </c>
      <c r="FE626" s="68" t="s">
        <v>5033</v>
      </c>
      <c r="FF626" s="68" t="s">
        <v>5034</v>
      </c>
    </row>
    <row r="627" spans="151:162" x14ac:dyDescent="0.2">
      <c r="EU627" s="67">
        <v>581.47</v>
      </c>
      <c r="EV627" s="67" t="s">
        <v>5035</v>
      </c>
      <c r="EW627" s="67">
        <v>507.52</v>
      </c>
      <c r="EX627" s="67" t="s">
        <v>5036</v>
      </c>
      <c r="EY627" s="67">
        <v>5827</v>
      </c>
      <c r="EZ627" s="67" t="s">
        <v>5037</v>
      </c>
      <c r="FA627" s="67">
        <v>20841</v>
      </c>
      <c r="FB627" s="67" t="s">
        <v>5038</v>
      </c>
      <c r="FC627" s="67" t="s">
        <v>5039</v>
      </c>
      <c r="FD627" s="67" t="s">
        <v>5040</v>
      </c>
      <c r="FE627" s="68" t="s">
        <v>5041</v>
      </c>
      <c r="FF627" s="68" t="s">
        <v>5042</v>
      </c>
    </row>
    <row r="628" spans="151:162" x14ac:dyDescent="0.2">
      <c r="EU628" s="67">
        <v>581.38</v>
      </c>
      <c r="EV628" s="67" t="s">
        <v>5043</v>
      </c>
      <c r="EW628" s="67">
        <v>507.42</v>
      </c>
      <c r="EX628" s="67" t="s">
        <v>5044</v>
      </c>
      <c r="EY628" s="67">
        <v>5826</v>
      </c>
      <c r="EZ628" s="67" t="s">
        <v>5045</v>
      </c>
      <c r="FA628" s="67">
        <v>20837.5</v>
      </c>
      <c r="FB628" s="67" t="s">
        <v>5046</v>
      </c>
      <c r="FC628" s="67" t="s">
        <v>5047</v>
      </c>
      <c r="FD628" s="67" t="s">
        <v>5048</v>
      </c>
      <c r="FE628" s="68" t="s">
        <v>5049</v>
      </c>
      <c r="FF628" s="68" t="s">
        <v>5050</v>
      </c>
    </row>
    <row r="629" spans="151:162" x14ac:dyDescent="0.2">
      <c r="EU629" s="67">
        <v>581.38</v>
      </c>
      <c r="EV629" s="67" t="s">
        <v>5051</v>
      </c>
      <c r="EW629" s="67">
        <v>507.29</v>
      </c>
      <c r="EX629" s="67" t="s">
        <v>5052</v>
      </c>
      <c r="EY629" s="67">
        <v>5826.25</v>
      </c>
      <c r="EZ629" s="67" t="s">
        <v>5053</v>
      </c>
      <c r="FA629" s="67">
        <v>20831.25</v>
      </c>
      <c r="FB629" s="67" t="s">
        <v>5054</v>
      </c>
      <c r="FC629" s="67" t="s">
        <v>5055</v>
      </c>
      <c r="FD629" s="67" t="s">
        <v>5056</v>
      </c>
      <c r="FE629" s="68" t="s">
        <v>5057</v>
      </c>
      <c r="FF629" s="68" t="s">
        <v>5058</v>
      </c>
    </row>
    <row r="630" spans="151:162" x14ac:dyDescent="0.2">
      <c r="EU630" s="67">
        <v>581.04999999999995</v>
      </c>
      <c r="EV630" s="67" t="s">
        <v>5059</v>
      </c>
      <c r="EW630" s="67">
        <v>507.04</v>
      </c>
      <c r="EX630" s="67" t="s">
        <v>5060</v>
      </c>
      <c r="EY630" s="67">
        <v>5822.5</v>
      </c>
      <c r="EZ630" s="67" t="s">
        <v>5061</v>
      </c>
      <c r="FA630" s="67">
        <v>20821.25</v>
      </c>
      <c r="FB630" s="67" t="s">
        <v>5062</v>
      </c>
      <c r="FC630" s="67" t="s">
        <v>5063</v>
      </c>
      <c r="FD630" s="67" t="s">
        <v>5064</v>
      </c>
      <c r="FE630" s="68" t="s">
        <v>5065</v>
      </c>
      <c r="FF630" s="68" t="s">
        <v>5066</v>
      </c>
    </row>
    <row r="631" spans="151:162" x14ac:dyDescent="0.2">
      <c r="EU631" s="67">
        <v>581.01</v>
      </c>
      <c r="EV631" s="67" t="s">
        <v>5067</v>
      </c>
      <c r="EW631" s="67">
        <v>507.02</v>
      </c>
      <c r="EX631" s="67" t="s">
        <v>5068</v>
      </c>
      <c r="EY631" s="67">
        <v>5821.75</v>
      </c>
      <c r="EZ631" s="67" t="s">
        <v>5069</v>
      </c>
      <c r="FA631" s="67">
        <v>20820</v>
      </c>
      <c r="FB631" s="67" t="s">
        <v>5070</v>
      </c>
      <c r="FC631" s="67" t="s">
        <v>5071</v>
      </c>
      <c r="FD631" s="67" t="s">
        <v>5072</v>
      </c>
      <c r="FE631" s="68" t="s">
        <v>5073</v>
      </c>
      <c r="FF631" s="68" t="s">
        <v>5074</v>
      </c>
    </row>
    <row r="632" spans="151:162" x14ac:dyDescent="0.2">
      <c r="EU632" s="67">
        <v>581.1</v>
      </c>
      <c r="EV632" s="67" t="s">
        <v>5075</v>
      </c>
      <c r="EW632" s="67">
        <v>507.07</v>
      </c>
      <c r="EX632" s="67" t="s">
        <v>5076</v>
      </c>
      <c r="EY632" s="67">
        <v>5823.5</v>
      </c>
      <c r="EZ632" s="67" t="s">
        <v>5077</v>
      </c>
      <c r="FA632" s="67">
        <v>20822.25</v>
      </c>
      <c r="FB632" s="67" t="s">
        <v>5078</v>
      </c>
      <c r="FC632" s="67" t="s">
        <v>5079</v>
      </c>
      <c r="FD632" s="67" t="s">
        <v>5080</v>
      </c>
      <c r="FE632" s="68" t="s">
        <v>5081</v>
      </c>
      <c r="FF632" s="68" t="s">
        <v>5082</v>
      </c>
    </row>
    <row r="633" spans="151:162" x14ac:dyDescent="0.2">
      <c r="EU633" s="67">
        <v>581.16999999999996</v>
      </c>
      <c r="EV633" s="67" t="s">
        <v>5083</v>
      </c>
      <c r="EW633" s="67">
        <v>507.16</v>
      </c>
      <c r="EX633" s="67" t="s">
        <v>5084</v>
      </c>
      <c r="EY633" s="67">
        <v>5823.5</v>
      </c>
      <c r="EZ633" s="67" t="s">
        <v>5085</v>
      </c>
      <c r="FA633" s="67">
        <v>20827.25</v>
      </c>
      <c r="FB633" s="67" t="s">
        <v>5086</v>
      </c>
      <c r="FC633" s="67" t="s">
        <v>5087</v>
      </c>
      <c r="FD633" s="67" t="s">
        <v>5088</v>
      </c>
      <c r="FE633" s="68" t="s">
        <v>5089</v>
      </c>
      <c r="FF633" s="68" t="s">
        <v>5090</v>
      </c>
    </row>
    <row r="634" spans="151:162" x14ac:dyDescent="0.2">
      <c r="EU634" s="67">
        <v>581.29</v>
      </c>
      <c r="EV634" s="67" t="s">
        <v>5091</v>
      </c>
      <c r="EW634" s="67">
        <v>507.29</v>
      </c>
      <c r="EX634" s="67" t="s">
        <v>5092</v>
      </c>
      <c r="EY634" s="67">
        <v>5825</v>
      </c>
      <c r="EZ634" s="67" t="s">
        <v>5093</v>
      </c>
      <c r="FA634" s="67">
        <v>20830.75</v>
      </c>
      <c r="FB634" s="67" t="s">
        <v>5094</v>
      </c>
      <c r="FC634" s="67" t="s">
        <v>5095</v>
      </c>
      <c r="FD634" s="67" t="s">
        <v>5096</v>
      </c>
      <c r="FE634" s="68" t="s">
        <v>5097</v>
      </c>
      <c r="FF634" s="68" t="s">
        <v>5098</v>
      </c>
    </row>
    <row r="635" spans="151:162" x14ac:dyDescent="0.2">
      <c r="EU635" s="67">
        <v>581.5</v>
      </c>
      <c r="EV635" s="67" t="s">
        <v>5099</v>
      </c>
      <c r="EW635" s="67">
        <v>507.36</v>
      </c>
      <c r="EX635" s="67" t="s">
        <v>5100</v>
      </c>
      <c r="EY635" s="67">
        <v>5826.5</v>
      </c>
      <c r="EZ635" s="67" t="s">
        <v>5101</v>
      </c>
      <c r="FA635" s="67">
        <v>20834.25</v>
      </c>
      <c r="FB635" s="67" t="s">
        <v>5102</v>
      </c>
      <c r="FC635" s="67" t="s">
        <v>5103</v>
      </c>
      <c r="FD635" s="67" t="s">
        <v>5104</v>
      </c>
      <c r="FE635" s="68" t="s">
        <v>5105</v>
      </c>
      <c r="FF635" s="68" t="s">
        <v>5106</v>
      </c>
    </row>
    <row r="636" spans="151:162" x14ac:dyDescent="0.2">
      <c r="EU636" s="67">
        <v>581.48</v>
      </c>
      <c r="EV636" s="67" t="s">
        <v>5107</v>
      </c>
      <c r="EW636" s="67">
        <v>507.37</v>
      </c>
      <c r="EX636" s="67" t="s">
        <v>5108</v>
      </c>
      <c r="EY636" s="67">
        <v>5826.5</v>
      </c>
      <c r="EZ636" s="67" t="s">
        <v>5109</v>
      </c>
      <c r="FA636" s="67">
        <v>20834.75</v>
      </c>
      <c r="FB636" s="67" t="s">
        <v>5110</v>
      </c>
      <c r="FC636" s="67" t="s">
        <v>5111</v>
      </c>
      <c r="FD636" s="67" t="s">
        <v>5112</v>
      </c>
      <c r="FE636" s="68" t="s">
        <v>5113</v>
      </c>
      <c r="FF636" s="68" t="s">
        <v>5114</v>
      </c>
    </row>
    <row r="637" spans="151:162" x14ac:dyDescent="0.2">
      <c r="EU637" s="67">
        <v>581.54999999999995</v>
      </c>
      <c r="EV637" s="67" t="s">
        <v>5115</v>
      </c>
      <c r="EW637" s="67">
        <v>507.44</v>
      </c>
      <c r="EX637" s="67" t="s">
        <v>5116</v>
      </c>
      <c r="EY637" s="67">
        <v>5827.25</v>
      </c>
      <c r="EZ637" s="67" t="s">
        <v>5117</v>
      </c>
      <c r="FA637" s="67">
        <v>20837.75</v>
      </c>
      <c r="FB637" s="67" t="s">
        <v>5118</v>
      </c>
      <c r="FC637" s="67" t="s">
        <v>5119</v>
      </c>
      <c r="FD637" s="67" t="s">
        <v>5120</v>
      </c>
      <c r="FE637" s="68" t="s">
        <v>5121</v>
      </c>
      <c r="FF637" s="68" t="s">
        <v>5122</v>
      </c>
    </row>
    <row r="638" spans="151:162" x14ac:dyDescent="0.2">
      <c r="EU638" s="67">
        <v>581.35</v>
      </c>
      <c r="EV638" s="67" t="s">
        <v>5123</v>
      </c>
      <c r="EW638" s="67">
        <v>507.3</v>
      </c>
      <c r="EX638" s="67" t="s">
        <v>5124</v>
      </c>
      <c r="EY638" s="67">
        <v>5825.5</v>
      </c>
      <c r="EZ638" s="67" t="s">
        <v>5125</v>
      </c>
      <c r="FA638" s="67">
        <v>20831.75</v>
      </c>
      <c r="FB638" s="67" t="s">
        <v>5126</v>
      </c>
      <c r="FC638" s="67" t="s">
        <v>5127</v>
      </c>
      <c r="FD638" s="67" t="s">
        <v>5128</v>
      </c>
      <c r="FE638" s="68" t="s">
        <v>5129</v>
      </c>
      <c r="FF638" s="68" t="s">
        <v>5130</v>
      </c>
    </row>
    <row r="639" spans="151:162" x14ac:dyDescent="0.2">
      <c r="EU639" s="67">
        <v>581.38</v>
      </c>
      <c r="EV639" s="67" t="s">
        <v>5131</v>
      </c>
      <c r="EW639" s="67">
        <v>507.31</v>
      </c>
      <c r="EX639" s="67" t="s">
        <v>5132</v>
      </c>
      <c r="EY639" s="67">
        <v>5826</v>
      </c>
      <c r="EZ639" s="67" t="s">
        <v>5133</v>
      </c>
      <c r="FA639" s="67">
        <v>20832</v>
      </c>
      <c r="FB639" s="67" t="s">
        <v>5134</v>
      </c>
      <c r="FC639" s="67" t="s">
        <v>5135</v>
      </c>
      <c r="FD639" s="67" t="s">
        <v>5136</v>
      </c>
      <c r="FE639" s="68" t="s">
        <v>5137</v>
      </c>
      <c r="FF639" s="68" t="s">
        <v>5138</v>
      </c>
    </row>
    <row r="640" spans="151:162" x14ac:dyDescent="0.2">
      <c r="EU640" s="67">
        <v>581.64</v>
      </c>
      <c r="EV640" s="67" t="s">
        <v>5139</v>
      </c>
      <c r="EW640" s="67">
        <v>507.71</v>
      </c>
      <c r="EX640" s="67" t="s">
        <v>5140</v>
      </c>
      <c r="EY640" s="67">
        <v>5829</v>
      </c>
      <c r="EZ640" s="67" t="s">
        <v>5141</v>
      </c>
      <c r="FA640" s="67">
        <v>20848.5</v>
      </c>
      <c r="FB640" s="67" t="s">
        <v>5142</v>
      </c>
      <c r="FC640" s="67" t="s">
        <v>5143</v>
      </c>
      <c r="FD640" s="67" t="s">
        <v>5144</v>
      </c>
      <c r="FE640" s="68" t="s">
        <v>5145</v>
      </c>
      <c r="FF640" s="68" t="s">
        <v>5146</v>
      </c>
    </row>
    <row r="641" spans="151:162" x14ac:dyDescent="0.2">
      <c r="EU641" s="67">
        <v>581.84</v>
      </c>
      <c r="EV641" s="67" t="s">
        <v>5147</v>
      </c>
      <c r="EW641" s="67">
        <v>507.98</v>
      </c>
      <c r="EX641" s="67" t="s">
        <v>5148</v>
      </c>
      <c r="EY641" s="67">
        <v>5831</v>
      </c>
      <c r="EZ641" s="67" t="s">
        <v>5149</v>
      </c>
      <c r="FA641" s="67">
        <v>20859.25</v>
      </c>
      <c r="FB641" s="67" t="s">
        <v>5150</v>
      </c>
      <c r="FC641" s="67" t="s">
        <v>5151</v>
      </c>
      <c r="FD641" s="67" t="s">
        <v>5152</v>
      </c>
      <c r="FE641" s="68" t="s">
        <v>5153</v>
      </c>
      <c r="FF641" s="68" t="s">
        <v>5154</v>
      </c>
    </row>
    <row r="642" spans="151:162" x14ac:dyDescent="0.2">
      <c r="EU642" s="67">
        <v>581.77</v>
      </c>
      <c r="EV642" s="67" t="s">
        <v>5155</v>
      </c>
      <c r="EW642" s="67">
        <v>507.95</v>
      </c>
      <c r="EX642" s="67" t="s">
        <v>5156</v>
      </c>
      <c r="EY642" s="67">
        <v>5830</v>
      </c>
      <c r="EZ642" s="67" t="s">
        <v>5157</v>
      </c>
      <c r="FA642" s="67">
        <v>20859</v>
      </c>
      <c r="FB642" s="67" t="s">
        <v>5158</v>
      </c>
      <c r="FC642" s="67" t="s">
        <v>5159</v>
      </c>
      <c r="FD642" s="67" t="s">
        <v>5160</v>
      </c>
      <c r="FE642" s="68" t="s">
        <v>5161</v>
      </c>
      <c r="FF642" s="68" t="s">
        <v>5162</v>
      </c>
    </row>
    <row r="643" spans="151:162" x14ac:dyDescent="0.2">
      <c r="EU643" s="67">
        <v>582</v>
      </c>
      <c r="EV643" s="67" t="s">
        <v>5163</v>
      </c>
      <c r="EW643" s="67">
        <v>508.15</v>
      </c>
      <c r="EX643" s="67" t="s">
        <v>5164</v>
      </c>
      <c r="EY643" s="67">
        <v>5832.25</v>
      </c>
      <c r="EZ643" s="67" t="s">
        <v>5165</v>
      </c>
      <c r="FA643" s="67">
        <v>20866.5</v>
      </c>
      <c r="FB643" s="67" t="s">
        <v>5166</v>
      </c>
      <c r="FC643" s="67" t="s">
        <v>5167</v>
      </c>
      <c r="FD643" s="67" t="s">
        <v>5168</v>
      </c>
      <c r="FE643" s="68" t="s">
        <v>5169</v>
      </c>
      <c r="FF643" s="68" t="s">
        <v>5170</v>
      </c>
    </row>
    <row r="644" spans="151:162" x14ac:dyDescent="0.2">
      <c r="EU644" s="67">
        <v>582.29</v>
      </c>
      <c r="EV644" s="67" t="s">
        <v>5171</v>
      </c>
      <c r="EW644" s="67">
        <v>508.37</v>
      </c>
      <c r="EX644" s="67" t="s">
        <v>5172</v>
      </c>
      <c r="EY644" s="67">
        <v>5835</v>
      </c>
      <c r="EZ644" s="67" t="s">
        <v>5173</v>
      </c>
      <c r="FA644" s="67">
        <v>20876.25</v>
      </c>
      <c r="FB644" s="67" t="s">
        <v>5174</v>
      </c>
      <c r="FC644" s="67" t="s">
        <v>5175</v>
      </c>
      <c r="FD644" s="67" t="s">
        <v>5176</v>
      </c>
      <c r="FE644" s="68" t="s">
        <v>5177</v>
      </c>
      <c r="FF644" s="68" t="s">
        <v>5178</v>
      </c>
    </row>
    <row r="645" spans="151:162" x14ac:dyDescent="0.2">
      <c r="EU645" s="67">
        <v>582</v>
      </c>
      <c r="EV645" s="67" t="s">
        <v>5179</v>
      </c>
      <c r="EW645" s="67">
        <v>507.78</v>
      </c>
      <c r="EX645" s="67" t="s">
        <v>5180</v>
      </c>
      <c r="EY645" s="67">
        <v>5832.5</v>
      </c>
      <c r="EZ645" s="67" t="s">
        <v>5181</v>
      </c>
      <c r="FA645" s="67">
        <v>20853.25</v>
      </c>
      <c r="FB645" s="67" t="s">
        <v>5182</v>
      </c>
      <c r="FC645" s="67" t="s">
        <v>5183</v>
      </c>
      <c r="FD645" s="67" t="s">
        <v>5184</v>
      </c>
      <c r="FE645" s="68" t="s">
        <v>5185</v>
      </c>
      <c r="FF645" s="68" t="s">
        <v>5186</v>
      </c>
    </row>
    <row r="646" spans="151:162" x14ac:dyDescent="0.2">
      <c r="EU646" s="67">
        <v>581.91999999999996</v>
      </c>
      <c r="EV646" s="67" t="s">
        <v>5187</v>
      </c>
      <c r="EW646" s="67">
        <v>507.82</v>
      </c>
      <c r="EX646" s="67" t="s">
        <v>5188</v>
      </c>
      <c r="EY646" s="67">
        <v>5831.75</v>
      </c>
      <c r="EZ646" s="67" t="s">
        <v>5189</v>
      </c>
      <c r="FA646" s="67">
        <v>20854.5</v>
      </c>
      <c r="FB646" s="67" t="s">
        <v>5190</v>
      </c>
      <c r="FC646" s="67" t="s">
        <v>5191</v>
      </c>
      <c r="FD646" s="67" t="s">
        <v>5192</v>
      </c>
      <c r="FE646" s="68" t="s">
        <v>5193</v>
      </c>
      <c r="FF646" s="68" t="s">
        <v>5194</v>
      </c>
    </row>
    <row r="647" spans="151:162" x14ac:dyDescent="0.2">
      <c r="EU647" s="67">
        <v>582.4</v>
      </c>
      <c r="EV647" s="67" t="s">
        <v>5195</v>
      </c>
      <c r="EW647" s="67">
        <v>508.27</v>
      </c>
      <c r="EX647" s="67" t="s">
        <v>5196</v>
      </c>
      <c r="EY647" s="67">
        <v>5836.75</v>
      </c>
      <c r="EZ647" s="67" t="s">
        <v>5197</v>
      </c>
      <c r="FA647" s="67">
        <v>20874</v>
      </c>
      <c r="FB647" s="67" t="s">
        <v>5198</v>
      </c>
      <c r="FC647" s="67" t="s">
        <v>5199</v>
      </c>
      <c r="FD647" s="67" t="s">
        <v>5200</v>
      </c>
      <c r="FE647" s="68" t="s">
        <v>5201</v>
      </c>
      <c r="FF647" s="68" t="s">
        <v>5202</v>
      </c>
    </row>
    <row r="648" spans="151:162" x14ac:dyDescent="0.2">
      <c r="EU648" s="67">
        <v>582.08000000000004</v>
      </c>
      <c r="EV648" s="67" t="s">
        <v>5203</v>
      </c>
      <c r="EW648" s="67">
        <v>508.07</v>
      </c>
      <c r="EX648" s="67" t="s">
        <v>5204</v>
      </c>
      <c r="EY648" s="67">
        <v>5833.75</v>
      </c>
      <c r="EZ648" s="67" t="s">
        <v>5205</v>
      </c>
      <c r="FA648" s="67">
        <v>20866.5</v>
      </c>
      <c r="FB648" s="67" t="s">
        <v>5206</v>
      </c>
      <c r="FC648" s="67" t="s">
        <v>5207</v>
      </c>
      <c r="FD648" s="67" t="s">
        <v>5208</v>
      </c>
      <c r="FE648" s="68" t="s">
        <v>5209</v>
      </c>
      <c r="FF648" s="68" t="s">
        <v>5210</v>
      </c>
    </row>
    <row r="649" spans="151:162" x14ac:dyDescent="0.2">
      <c r="EU649" s="67">
        <v>582.19000000000005</v>
      </c>
      <c r="EV649" s="67" t="s">
        <v>5211</v>
      </c>
      <c r="EW649" s="67">
        <v>508.2</v>
      </c>
      <c r="EX649" s="67" t="s">
        <v>5212</v>
      </c>
      <c r="EY649" s="67">
        <v>5834.75</v>
      </c>
      <c r="EZ649" s="67" t="s">
        <v>5213</v>
      </c>
      <c r="FA649" s="67">
        <v>20871.25</v>
      </c>
      <c r="FB649" s="67" t="s">
        <v>5214</v>
      </c>
      <c r="FC649" s="67" t="s">
        <v>5215</v>
      </c>
      <c r="FD649" s="67" t="s">
        <v>5216</v>
      </c>
      <c r="FE649" s="68" t="s">
        <v>5217</v>
      </c>
      <c r="FF649" s="68" t="s">
        <v>5218</v>
      </c>
    </row>
    <row r="650" spans="151:162" x14ac:dyDescent="0.2">
      <c r="EU650" s="67">
        <v>582.41999999999996</v>
      </c>
      <c r="EV650" s="67" t="s">
        <v>5219</v>
      </c>
      <c r="EW650" s="67">
        <v>508.29</v>
      </c>
      <c r="EX650" s="67" t="s">
        <v>5220</v>
      </c>
      <c r="EY650" s="67">
        <v>5836.5</v>
      </c>
      <c r="EZ650" s="67" t="s">
        <v>5221</v>
      </c>
      <c r="FA650" s="67">
        <v>20873.75</v>
      </c>
      <c r="FB650" s="67" t="s">
        <v>5222</v>
      </c>
      <c r="FC650" s="67" t="s">
        <v>5223</v>
      </c>
      <c r="FD650" s="67" t="s">
        <v>5224</v>
      </c>
      <c r="FE650" s="68" t="s">
        <v>5225</v>
      </c>
      <c r="FF650" s="68" t="s">
        <v>5226</v>
      </c>
    </row>
    <row r="651" spans="151:162" x14ac:dyDescent="0.2">
      <c r="EU651" s="67">
        <v>582.71</v>
      </c>
      <c r="EV651" s="67" t="s">
        <v>5227</v>
      </c>
      <c r="EW651" s="67">
        <v>508.5</v>
      </c>
      <c r="EX651" s="67" t="s">
        <v>5228</v>
      </c>
      <c r="EY651" s="67">
        <v>5839</v>
      </c>
      <c r="EZ651" s="67" t="s">
        <v>5229</v>
      </c>
      <c r="FA651" s="67">
        <v>20882.5</v>
      </c>
      <c r="FB651" s="67" t="s">
        <v>5230</v>
      </c>
      <c r="FC651" s="67" t="s">
        <v>5231</v>
      </c>
      <c r="FD651" s="67" t="s">
        <v>5232</v>
      </c>
      <c r="FE651" s="68" t="s">
        <v>5233</v>
      </c>
      <c r="FF651" s="68" t="s">
        <v>5234</v>
      </c>
    </row>
    <row r="652" spans="151:162" x14ac:dyDescent="0.2">
      <c r="EU652" s="67">
        <v>582.64</v>
      </c>
      <c r="EV652" s="67" t="s">
        <v>5235</v>
      </c>
      <c r="EW652" s="67">
        <v>508.45</v>
      </c>
      <c r="EX652" s="67" t="s">
        <v>5236</v>
      </c>
      <c r="EY652" s="67">
        <v>5838.5</v>
      </c>
      <c r="EZ652" s="67" t="s">
        <v>5237</v>
      </c>
      <c r="FA652" s="67">
        <v>20880.75</v>
      </c>
      <c r="FB652" s="67" t="s">
        <v>5238</v>
      </c>
      <c r="FC652" s="67" t="s">
        <v>5239</v>
      </c>
      <c r="FD652" s="67" t="s">
        <v>5240</v>
      </c>
      <c r="FE652" s="68" t="s">
        <v>5241</v>
      </c>
      <c r="FF652" s="68" t="s">
        <v>5242</v>
      </c>
    </row>
    <row r="653" spans="151:162" x14ac:dyDescent="0.2">
      <c r="EU653" s="67">
        <v>582.54999999999995</v>
      </c>
      <c r="EV653" s="67" t="s">
        <v>5243</v>
      </c>
      <c r="EW653" s="67">
        <v>508.39</v>
      </c>
      <c r="EX653" s="67" t="s">
        <v>5244</v>
      </c>
      <c r="EY653" s="67">
        <v>5838</v>
      </c>
      <c r="EZ653" s="67" t="s">
        <v>5245</v>
      </c>
      <c r="FA653" s="67">
        <v>20879</v>
      </c>
      <c r="FB653" s="67" t="s">
        <v>5246</v>
      </c>
      <c r="FC653" s="67" t="s">
        <v>5247</v>
      </c>
      <c r="FD653" s="67" t="s">
        <v>5248</v>
      </c>
      <c r="FE653" s="68" t="s">
        <v>5249</v>
      </c>
      <c r="FF653" s="68" t="s">
        <v>5250</v>
      </c>
    </row>
    <row r="654" spans="151:162" x14ac:dyDescent="0.2">
      <c r="EU654" s="67">
        <v>582.53</v>
      </c>
      <c r="EV654" s="67" t="s">
        <v>5251</v>
      </c>
      <c r="EW654" s="67">
        <v>508.42</v>
      </c>
      <c r="EX654" s="67" t="s">
        <v>5252</v>
      </c>
      <c r="EY654" s="67">
        <v>5837.75</v>
      </c>
      <c r="EZ654" s="67" t="s">
        <v>5253</v>
      </c>
      <c r="FA654" s="67">
        <v>20879.75</v>
      </c>
      <c r="FB654" s="67" t="s">
        <v>5254</v>
      </c>
      <c r="FC654" s="67" t="s">
        <v>5255</v>
      </c>
      <c r="FD654" s="67" t="s">
        <v>5256</v>
      </c>
      <c r="FE654" s="68" t="s">
        <v>5257</v>
      </c>
      <c r="FF654" s="68" t="s">
        <v>5258</v>
      </c>
    </row>
    <row r="655" spans="151:162" x14ac:dyDescent="0.2">
      <c r="EU655" s="67">
        <v>582.5</v>
      </c>
      <c r="EV655" s="67" t="s">
        <v>5259</v>
      </c>
      <c r="EW655" s="67">
        <v>508.31</v>
      </c>
      <c r="EX655" s="67" t="s">
        <v>5260</v>
      </c>
      <c r="EY655" s="67">
        <v>5836.75</v>
      </c>
      <c r="EZ655" s="67" t="s">
        <v>5261</v>
      </c>
      <c r="FA655" s="67">
        <v>20875.75</v>
      </c>
      <c r="FB655" s="67" t="s">
        <v>5262</v>
      </c>
      <c r="FC655" s="67" t="s">
        <v>5263</v>
      </c>
      <c r="FD655" s="67" t="s">
        <v>5264</v>
      </c>
      <c r="FE655" s="68" t="s">
        <v>5265</v>
      </c>
      <c r="FF655" s="68" t="s">
        <v>5266</v>
      </c>
    </row>
    <row r="656" spans="151:162" x14ac:dyDescent="0.2">
      <c r="EU656" s="67">
        <v>582.29999999999995</v>
      </c>
      <c r="EV656" s="67" t="s">
        <v>5267</v>
      </c>
      <c r="EW656" s="67">
        <v>508.25</v>
      </c>
      <c r="EX656" s="67" t="s">
        <v>5268</v>
      </c>
      <c r="EY656" s="67">
        <v>5836</v>
      </c>
      <c r="EZ656" s="67" t="s">
        <v>5269</v>
      </c>
      <c r="FA656" s="67">
        <v>20868.25</v>
      </c>
      <c r="FB656" s="67" t="s">
        <v>5270</v>
      </c>
      <c r="FC656" s="67" t="s">
        <v>5271</v>
      </c>
      <c r="FD656" s="67" t="s">
        <v>5272</v>
      </c>
      <c r="FE656" s="68" t="s">
        <v>5273</v>
      </c>
      <c r="FF656" s="68" t="s">
        <v>5274</v>
      </c>
    </row>
    <row r="657" spans="151:162" x14ac:dyDescent="0.2">
      <c r="EU657" s="67">
        <v>581.96</v>
      </c>
      <c r="EV657" s="67" t="s">
        <v>5275</v>
      </c>
      <c r="EW657" s="67">
        <v>507.87</v>
      </c>
      <c r="EX657" s="67" t="s">
        <v>5276</v>
      </c>
      <c r="EY657" s="67">
        <v>5831.5</v>
      </c>
      <c r="EZ657" s="67" t="s">
        <v>5277</v>
      </c>
      <c r="FA657" s="67">
        <v>20857.25</v>
      </c>
      <c r="FB657" s="67" t="s">
        <v>5278</v>
      </c>
      <c r="FC657" s="67" t="s">
        <v>5279</v>
      </c>
      <c r="FD657" s="67" t="s">
        <v>5280</v>
      </c>
      <c r="FE657" s="68" t="s">
        <v>5281</v>
      </c>
      <c r="FF657" s="68" t="s">
        <v>5282</v>
      </c>
    </row>
    <row r="658" spans="151:162" x14ac:dyDescent="0.2">
      <c r="EU658" s="67">
        <v>581.66</v>
      </c>
      <c r="EV658" s="67" t="s">
        <v>5283</v>
      </c>
      <c r="EW658" s="67">
        <v>507.6</v>
      </c>
      <c r="EX658" s="67" t="s">
        <v>5284</v>
      </c>
      <c r="EY658" s="67">
        <v>5828.5</v>
      </c>
      <c r="EZ658" s="67" t="s">
        <v>5285</v>
      </c>
      <c r="FA658" s="67">
        <v>20844.5</v>
      </c>
      <c r="FB658" s="67" t="s">
        <v>5286</v>
      </c>
      <c r="FC658" s="67" t="s">
        <v>5287</v>
      </c>
      <c r="FD658" s="67" t="s">
        <v>5288</v>
      </c>
      <c r="FE658" s="68" t="s">
        <v>5289</v>
      </c>
      <c r="FF658" s="68" t="s">
        <v>5290</v>
      </c>
    </row>
    <row r="659" spans="151:162" x14ac:dyDescent="0.2">
      <c r="EU659" s="67">
        <v>581.6</v>
      </c>
      <c r="EV659" s="67" t="s">
        <v>5291</v>
      </c>
      <c r="EW659" s="67">
        <v>507.54</v>
      </c>
      <c r="EX659" s="67" t="s">
        <v>5292</v>
      </c>
      <c r="EY659" s="67">
        <v>5828.25</v>
      </c>
      <c r="EZ659" s="67" t="s">
        <v>5293</v>
      </c>
      <c r="FA659" s="67">
        <v>20843.5</v>
      </c>
      <c r="FB659" s="67" t="s">
        <v>5294</v>
      </c>
      <c r="FC659" s="67" t="s">
        <v>5295</v>
      </c>
      <c r="FD659" s="67" t="s">
        <v>5296</v>
      </c>
      <c r="FE659" s="68" t="s">
        <v>5297</v>
      </c>
      <c r="FF659" s="68" t="s">
        <v>5298</v>
      </c>
    </row>
    <row r="660" spans="151:162" x14ac:dyDescent="0.2">
      <c r="EU660" s="67">
        <v>581.57000000000005</v>
      </c>
      <c r="EV660" s="67" t="s">
        <v>5299</v>
      </c>
      <c r="EW660" s="67">
        <v>507.44</v>
      </c>
      <c r="EX660" s="67" t="s">
        <v>5300</v>
      </c>
      <c r="EY660" s="67">
        <v>5827.5</v>
      </c>
      <c r="EZ660" s="67" t="s">
        <v>5301</v>
      </c>
      <c r="FA660" s="67">
        <v>20837.25</v>
      </c>
      <c r="FB660" s="67" t="s">
        <v>5302</v>
      </c>
      <c r="FC660" s="67" t="s">
        <v>5303</v>
      </c>
      <c r="FD660" s="67" t="s">
        <v>5304</v>
      </c>
      <c r="FE660" s="68" t="s">
        <v>5305</v>
      </c>
      <c r="FF660" s="68" t="s">
        <v>5306</v>
      </c>
    </row>
    <row r="661" spans="151:162" x14ac:dyDescent="0.2">
      <c r="EU661" s="67">
        <v>581.73</v>
      </c>
      <c r="EV661" s="67" t="s">
        <v>5307</v>
      </c>
      <c r="EW661" s="67">
        <v>507.64</v>
      </c>
      <c r="EX661" s="67" t="s">
        <v>5308</v>
      </c>
      <c r="EY661" s="67">
        <v>5829.5</v>
      </c>
      <c r="EZ661" s="67" t="s">
        <v>5309</v>
      </c>
      <c r="FA661" s="67">
        <v>20847.75</v>
      </c>
      <c r="FB661" s="67" t="s">
        <v>5310</v>
      </c>
      <c r="FC661" s="67" t="s">
        <v>5311</v>
      </c>
      <c r="FD661" s="67" t="s">
        <v>5312</v>
      </c>
      <c r="FE661" s="68" t="s">
        <v>5313</v>
      </c>
      <c r="FF661" s="68" t="s">
        <v>5314</v>
      </c>
    </row>
    <row r="662" spans="151:162" x14ac:dyDescent="0.2">
      <c r="EU662" s="67">
        <v>581.67999999999995</v>
      </c>
      <c r="EV662" s="67" t="s">
        <v>5315</v>
      </c>
      <c r="EW662" s="67">
        <v>507.54</v>
      </c>
      <c r="EX662" s="67" t="s">
        <v>5316</v>
      </c>
      <c r="EY662" s="67">
        <v>5829.25</v>
      </c>
      <c r="EZ662" s="67" t="s">
        <v>5317</v>
      </c>
      <c r="FA662" s="67">
        <v>20843.75</v>
      </c>
      <c r="FB662" s="67" t="s">
        <v>5318</v>
      </c>
      <c r="FC662" s="67" t="s">
        <v>5319</v>
      </c>
      <c r="FD662" s="67" t="s">
        <v>5320</v>
      </c>
      <c r="FE662" s="68" t="s">
        <v>5321</v>
      </c>
      <c r="FF662" s="68" t="s">
        <v>5322</v>
      </c>
    </row>
    <row r="663" spans="151:162" x14ac:dyDescent="0.2">
      <c r="EU663" s="67">
        <v>581.75</v>
      </c>
      <c r="EV663" s="67" t="s">
        <v>5323</v>
      </c>
      <c r="EW663" s="67">
        <v>507.59</v>
      </c>
      <c r="EX663" s="67" t="s">
        <v>5324</v>
      </c>
      <c r="EY663" s="67">
        <v>5829.75</v>
      </c>
      <c r="EZ663" s="67" t="s">
        <v>5325</v>
      </c>
      <c r="FA663" s="67">
        <v>20844.5</v>
      </c>
      <c r="FB663" s="67" t="s">
        <v>5326</v>
      </c>
      <c r="FC663" s="67" t="s">
        <v>5327</v>
      </c>
      <c r="FD663" s="67" t="s">
        <v>5328</v>
      </c>
      <c r="FE663" s="68" t="s">
        <v>5329</v>
      </c>
      <c r="FF663" s="68" t="s">
        <v>5330</v>
      </c>
    </row>
    <row r="664" spans="151:162" x14ac:dyDescent="0.2">
      <c r="EU664" s="67">
        <v>581.66</v>
      </c>
      <c r="EV664" s="67" t="s">
        <v>5331</v>
      </c>
      <c r="EW664" s="67">
        <v>507.5</v>
      </c>
      <c r="EX664" s="67" t="s">
        <v>5332</v>
      </c>
      <c r="EY664" s="67">
        <v>5829</v>
      </c>
      <c r="EZ664" s="67" t="s">
        <v>5333</v>
      </c>
      <c r="FA664" s="67">
        <v>20841.25</v>
      </c>
      <c r="FB664" s="67" t="s">
        <v>5334</v>
      </c>
      <c r="FC664" s="67" t="s">
        <v>5335</v>
      </c>
      <c r="FD664" s="67" t="s">
        <v>5336</v>
      </c>
      <c r="FE664" s="68" t="s">
        <v>5337</v>
      </c>
      <c r="FF664" s="68" t="s">
        <v>5338</v>
      </c>
    </row>
    <row r="665" spans="151:162" x14ac:dyDescent="0.2">
      <c r="EU665" s="67">
        <v>581.47</v>
      </c>
      <c r="EV665" s="67" t="s">
        <v>5339</v>
      </c>
      <c r="EW665" s="67">
        <v>507.26</v>
      </c>
      <c r="EX665" s="67" t="s">
        <v>5340</v>
      </c>
      <c r="EY665" s="67">
        <v>5827</v>
      </c>
      <c r="EZ665" s="67" t="s">
        <v>5341</v>
      </c>
      <c r="FA665" s="67">
        <v>20832</v>
      </c>
      <c r="FB665" s="67" t="s">
        <v>5342</v>
      </c>
      <c r="FC665" s="67" t="s">
        <v>5343</v>
      </c>
      <c r="FD665" s="67" t="s">
        <v>5344</v>
      </c>
      <c r="FE665" s="68" t="s">
        <v>5345</v>
      </c>
      <c r="FF665" s="68" t="s">
        <v>5346</v>
      </c>
    </row>
    <row r="666" spans="151:162" x14ac:dyDescent="0.2">
      <c r="EU666" s="67">
        <v>581.42999999999995</v>
      </c>
      <c r="EV666" s="67" t="s">
        <v>5347</v>
      </c>
      <c r="EW666" s="67">
        <v>507.31</v>
      </c>
      <c r="EX666" s="67" t="s">
        <v>5348</v>
      </c>
      <c r="EY666" s="67">
        <v>5826.75</v>
      </c>
      <c r="EZ666" s="67" t="s">
        <v>5349</v>
      </c>
      <c r="FA666" s="67">
        <v>20832</v>
      </c>
      <c r="FB666" s="67" t="s">
        <v>5350</v>
      </c>
      <c r="FC666" s="67" t="s">
        <v>5351</v>
      </c>
      <c r="FD666" s="67" t="s">
        <v>5352</v>
      </c>
      <c r="FE666" s="68" t="s">
        <v>5353</v>
      </c>
      <c r="FF666" s="68" t="s">
        <v>5354</v>
      </c>
    </row>
    <row r="667" spans="151:162" x14ac:dyDescent="0.2">
      <c r="EU667" s="67">
        <v>581.61</v>
      </c>
      <c r="EV667" s="67" t="s">
        <v>5355</v>
      </c>
      <c r="EW667" s="67">
        <v>507.44</v>
      </c>
      <c r="EX667" s="67" t="s">
        <v>5356</v>
      </c>
      <c r="EY667" s="67">
        <v>5828.5</v>
      </c>
      <c r="EZ667" s="67" t="s">
        <v>5357</v>
      </c>
      <c r="FA667" s="67">
        <v>20838.75</v>
      </c>
      <c r="FB667" s="67" t="s">
        <v>5358</v>
      </c>
      <c r="FC667" s="67" t="s">
        <v>5359</v>
      </c>
      <c r="FD667" s="67" t="s">
        <v>5360</v>
      </c>
      <c r="FE667" s="68" t="s">
        <v>5361</v>
      </c>
      <c r="FF667" s="68" t="s">
        <v>5362</v>
      </c>
    </row>
    <row r="668" spans="151:162" x14ac:dyDescent="0.2">
      <c r="EU668" s="67">
        <v>581.64</v>
      </c>
      <c r="EV668" s="67" t="s">
        <v>5363</v>
      </c>
      <c r="EW668" s="67">
        <v>507.47</v>
      </c>
      <c r="EX668" s="67" t="s">
        <v>5364</v>
      </c>
      <c r="EY668" s="67">
        <v>5829</v>
      </c>
      <c r="EZ668" s="67" t="s">
        <v>5365</v>
      </c>
      <c r="FA668" s="67">
        <v>20838.5</v>
      </c>
      <c r="FB668" s="67" t="s">
        <v>5366</v>
      </c>
      <c r="FC668" s="67" t="s">
        <v>5367</v>
      </c>
      <c r="FD668" s="67" t="s">
        <v>5368</v>
      </c>
      <c r="FE668" s="68" t="s">
        <v>5369</v>
      </c>
      <c r="FF668" s="68" t="s">
        <v>5370</v>
      </c>
    </row>
    <row r="669" spans="151:162" x14ac:dyDescent="0.2">
      <c r="EU669" s="67">
        <v>581.69000000000005</v>
      </c>
      <c r="EV669" s="67" t="s">
        <v>5371</v>
      </c>
      <c r="EW669" s="67">
        <v>507.41</v>
      </c>
      <c r="EX669" s="67" t="s">
        <v>5372</v>
      </c>
      <c r="EY669" s="67">
        <v>5829.5</v>
      </c>
      <c r="EZ669" s="67" t="s">
        <v>5373</v>
      </c>
      <c r="FA669" s="67">
        <v>20838.25</v>
      </c>
      <c r="FB669" s="67" t="s">
        <v>5374</v>
      </c>
      <c r="FC669" s="67" t="s">
        <v>5375</v>
      </c>
      <c r="FD669" s="67" t="s">
        <v>5376</v>
      </c>
      <c r="FE669" s="68" t="s">
        <v>5377</v>
      </c>
      <c r="FF669" s="68" t="s">
        <v>5378</v>
      </c>
    </row>
    <row r="670" spans="151:162" x14ac:dyDescent="0.2">
      <c r="EU670" s="67">
        <v>581.91999999999996</v>
      </c>
      <c r="EV670" s="67" t="s">
        <v>5379</v>
      </c>
      <c r="EW670" s="67">
        <v>507.53</v>
      </c>
      <c r="EX670" s="67" t="s">
        <v>5380</v>
      </c>
      <c r="EY670" s="67">
        <v>5832</v>
      </c>
      <c r="EZ670" s="67" t="s">
        <v>5381</v>
      </c>
      <c r="FA670" s="67">
        <v>20842.75</v>
      </c>
      <c r="FB670" s="67" t="s">
        <v>5382</v>
      </c>
      <c r="FC670" s="67" t="s">
        <v>5383</v>
      </c>
      <c r="FD670" s="67" t="s">
        <v>5384</v>
      </c>
      <c r="FE670" s="68" t="s">
        <v>5385</v>
      </c>
      <c r="FF670" s="68" t="s">
        <v>5386</v>
      </c>
    </row>
    <row r="671" spans="151:162" x14ac:dyDescent="0.2">
      <c r="EU671" s="67">
        <v>582</v>
      </c>
      <c r="EV671" s="67" t="s">
        <v>5387</v>
      </c>
      <c r="EW671" s="67">
        <v>507.6</v>
      </c>
      <c r="EX671" s="67" t="s">
        <v>5388</v>
      </c>
      <c r="EY671" s="67">
        <v>5832.5</v>
      </c>
      <c r="EZ671" s="67" t="s">
        <v>5389</v>
      </c>
      <c r="FA671" s="67">
        <v>20845.25</v>
      </c>
      <c r="FB671" s="67" t="s">
        <v>5390</v>
      </c>
      <c r="FC671" s="67" t="s">
        <v>5391</v>
      </c>
      <c r="FD671" s="67" t="s">
        <v>5392</v>
      </c>
      <c r="FE671" s="68" t="s">
        <v>5393</v>
      </c>
      <c r="FF671" s="68" t="s">
        <v>5394</v>
      </c>
    </row>
    <row r="672" spans="151:162" x14ac:dyDescent="0.2">
      <c r="EU672" s="67">
        <v>581.91999999999996</v>
      </c>
      <c r="EV672" s="67" t="s">
        <v>5395</v>
      </c>
      <c r="EW672" s="67">
        <v>507.42</v>
      </c>
      <c r="EX672" s="67" t="s">
        <v>5396</v>
      </c>
      <c r="EY672" s="67">
        <v>5831.75</v>
      </c>
      <c r="EZ672" s="67" t="s">
        <v>5397</v>
      </c>
      <c r="FA672" s="67">
        <v>20838.25</v>
      </c>
      <c r="FB672" s="67" t="s">
        <v>5398</v>
      </c>
      <c r="FC672" s="67" t="s">
        <v>5399</v>
      </c>
      <c r="FD672" s="67" t="s">
        <v>5400</v>
      </c>
      <c r="FE672" s="68" t="s">
        <v>5401</v>
      </c>
      <c r="FF672" s="68" t="s">
        <v>5402</v>
      </c>
    </row>
    <row r="673" spans="151:162" x14ac:dyDescent="0.2">
      <c r="EU673" s="67">
        <v>581.66</v>
      </c>
      <c r="EV673" s="67" t="s">
        <v>5403</v>
      </c>
      <c r="EW673" s="67">
        <v>507.13</v>
      </c>
      <c r="EX673" s="67" t="s">
        <v>5404</v>
      </c>
      <c r="EY673" s="67">
        <v>5829.25</v>
      </c>
      <c r="EZ673" s="67" t="s">
        <v>5405</v>
      </c>
      <c r="FA673" s="67">
        <v>20826.25</v>
      </c>
      <c r="FB673" s="67" t="s">
        <v>5406</v>
      </c>
      <c r="FC673" s="67" t="s">
        <v>5407</v>
      </c>
      <c r="FD673" s="67" t="s">
        <v>5408</v>
      </c>
      <c r="FE673" s="68" t="s">
        <v>5409</v>
      </c>
      <c r="FF673" s="68" t="s">
        <v>5410</v>
      </c>
    </row>
    <row r="674" spans="151:162" x14ac:dyDescent="0.2">
      <c r="EU674" s="67">
        <v>581.63</v>
      </c>
      <c r="EV674" s="67" t="s">
        <v>5411</v>
      </c>
      <c r="EW674" s="67">
        <v>507.25</v>
      </c>
      <c r="EX674" s="67" t="s">
        <v>5412</v>
      </c>
      <c r="EY674" s="67">
        <v>5828.75</v>
      </c>
      <c r="EZ674" s="67" t="s">
        <v>5413</v>
      </c>
      <c r="FA674" s="67">
        <v>20829.5</v>
      </c>
      <c r="FB674" s="67" t="s">
        <v>5414</v>
      </c>
      <c r="FC674" s="67" t="s">
        <v>5415</v>
      </c>
      <c r="FD674" s="67" t="s">
        <v>5416</v>
      </c>
      <c r="FE674" s="68" t="s">
        <v>5417</v>
      </c>
      <c r="FF674" s="68" t="s">
        <v>5418</v>
      </c>
    </row>
    <row r="675" spans="151:162" x14ac:dyDescent="0.2">
      <c r="EU675" s="67">
        <v>581.45000000000005</v>
      </c>
      <c r="EV675" s="67" t="s">
        <v>5419</v>
      </c>
      <c r="EW675" s="67">
        <v>507.07</v>
      </c>
      <c r="EX675" s="67" t="s">
        <v>5420</v>
      </c>
      <c r="EY675" s="67">
        <v>5827</v>
      </c>
      <c r="EZ675" s="67" t="s">
        <v>5421</v>
      </c>
      <c r="FA675" s="67">
        <v>20823.75</v>
      </c>
      <c r="FB675" s="67" t="s">
        <v>5422</v>
      </c>
      <c r="FC675" s="67" t="s">
        <v>5423</v>
      </c>
      <c r="FD675" s="67" t="s">
        <v>5424</v>
      </c>
      <c r="FE675" s="68" t="s">
        <v>5425</v>
      </c>
      <c r="FF675" s="68" t="s">
        <v>5426</v>
      </c>
    </row>
    <row r="676" spans="151:162" x14ac:dyDescent="0.2">
      <c r="EU676" s="67">
        <v>581.5</v>
      </c>
      <c r="EV676" s="67" t="s">
        <v>5427</v>
      </c>
      <c r="EW676" s="67">
        <v>507.21</v>
      </c>
      <c r="EX676" s="67" t="s">
        <v>5428</v>
      </c>
      <c r="EY676" s="67">
        <v>5827.5</v>
      </c>
      <c r="EZ676" s="67" t="s">
        <v>5429</v>
      </c>
      <c r="FA676" s="67">
        <v>20829.75</v>
      </c>
      <c r="FB676" s="67" t="s">
        <v>5430</v>
      </c>
      <c r="FC676" s="67" t="s">
        <v>5431</v>
      </c>
      <c r="FD676" s="67" t="s">
        <v>5432</v>
      </c>
      <c r="FE676" s="68" t="s">
        <v>5433</v>
      </c>
      <c r="FF676" s="68" t="s">
        <v>5434</v>
      </c>
    </row>
    <row r="677" spans="151:162" x14ac:dyDescent="0.2">
      <c r="EU677" s="67">
        <v>581.36</v>
      </c>
      <c r="EV677" s="67" t="s">
        <v>5435</v>
      </c>
      <c r="EW677" s="67">
        <v>507.08</v>
      </c>
      <c r="EX677" s="67" t="s">
        <v>5436</v>
      </c>
      <c r="EY677" s="67">
        <v>5826.25</v>
      </c>
      <c r="EZ677" s="67" t="s">
        <v>5437</v>
      </c>
      <c r="FA677" s="67">
        <v>20823</v>
      </c>
      <c r="FB677" s="67" t="s">
        <v>5438</v>
      </c>
      <c r="FC677" s="67" t="s">
        <v>5439</v>
      </c>
      <c r="FD677" s="67" t="s">
        <v>5440</v>
      </c>
      <c r="FE677" s="68" t="s">
        <v>5441</v>
      </c>
      <c r="FF677" s="68" t="s">
        <v>5442</v>
      </c>
    </row>
    <row r="678" spans="151:162" x14ac:dyDescent="0.2">
      <c r="EU678" s="67">
        <v>581.32000000000005</v>
      </c>
      <c r="EV678" s="67" t="s">
        <v>5443</v>
      </c>
      <c r="EW678" s="67">
        <v>507.01</v>
      </c>
      <c r="EX678" s="67" t="s">
        <v>5444</v>
      </c>
      <c r="EY678" s="67">
        <v>5825.5</v>
      </c>
      <c r="EZ678" s="67" t="s">
        <v>5445</v>
      </c>
      <c r="FA678" s="67">
        <v>20820.5</v>
      </c>
      <c r="FB678" s="67" t="s">
        <v>5446</v>
      </c>
      <c r="FC678" s="67" t="s">
        <v>5447</v>
      </c>
      <c r="FD678" s="67" t="s">
        <v>5448</v>
      </c>
      <c r="FE678" s="68" t="s">
        <v>5449</v>
      </c>
      <c r="FF678" s="68" t="s">
        <v>5450</v>
      </c>
    </row>
    <row r="679" spans="151:162" x14ac:dyDescent="0.2">
      <c r="EU679" s="67">
        <v>581.33000000000004</v>
      </c>
      <c r="EV679" s="67" t="s">
        <v>5451</v>
      </c>
      <c r="EW679" s="67">
        <v>507</v>
      </c>
      <c r="EX679" s="67" t="s">
        <v>5452</v>
      </c>
      <c r="EY679" s="67">
        <v>5826</v>
      </c>
      <c r="EZ679" s="67" t="s">
        <v>5453</v>
      </c>
      <c r="FA679" s="67">
        <v>20820.5</v>
      </c>
      <c r="FB679" s="67" t="s">
        <v>5454</v>
      </c>
      <c r="FC679" s="67" t="s">
        <v>5455</v>
      </c>
      <c r="FD679" s="67" t="s">
        <v>5456</v>
      </c>
      <c r="FE679" s="68" t="s">
        <v>5457</v>
      </c>
      <c r="FF679" s="68" t="s">
        <v>5458</v>
      </c>
    </row>
    <row r="680" spans="151:162" x14ac:dyDescent="0.2">
      <c r="EU680" s="67">
        <v>581.41999999999996</v>
      </c>
      <c r="EV680" s="67" t="s">
        <v>5459</v>
      </c>
      <c r="EW680" s="67">
        <v>507.08</v>
      </c>
      <c r="EX680" s="67" t="s">
        <v>5460</v>
      </c>
      <c r="EY680" s="67">
        <v>5827</v>
      </c>
      <c r="EZ680" s="67" t="s">
        <v>5461</v>
      </c>
      <c r="FA680" s="67">
        <v>20824.75</v>
      </c>
      <c r="FB680" s="67" t="s">
        <v>5462</v>
      </c>
      <c r="FC680" s="67" t="s">
        <v>5463</v>
      </c>
      <c r="FD680" s="67" t="s">
        <v>5464</v>
      </c>
      <c r="FE680" s="68" t="s">
        <v>5465</v>
      </c>
      <c r="FF680" s="68" t="s">
        <v>5466</v>
      </c>
    </row>
    <row r="681" spans="151:162" x14ac:dyDescent="0.2">
      <c r="EU681" s="67">
        <v>581.55999999999995</v>
      </c>
      <c r="EV681" s="67" t="s">
        <v>5467</v>
      </c>
      <c r="EW681" s="67">
        <v>507.13</v>
      </c>
      <c r="EX681" s="67" t="s">
        <v>5468</v>
      </c>
      <c r="EY681" s="67">
        <v>5828.25</v>
      </c>
      <c r="EZ681" s="67" t="s">
        <v>5469</v>
      </c>
      <c r="FA681" s="67">
        <v>20827.25</v>
      </c>
      <c r="FB681" s="67" t="s">
        <v>5470</v>
      </c>
      <c r="FC681" s="67" t="s">
        <v>5471</v>
      </c>
      <c r="FD681" s="67" t="s">
        <v>5472</v>
      </c>
      <c r="FE681" s="68" t="s">
        <v>5473</v>
      </c>
      <c r="FF681" s="68" t="s">
        <v>5474</v>
      </c>
    </row>
    <row r="682" spans="151:162" x14ac:dyDescent="0.2">
      <c r="EU682" s="67">
        <v>581.73</v>
      </c>
      <c r="EV682" s="67" t="s">
        <v>5475</v>
      </c>
      <c r="EW682" s="67">
        <v>507.32</v>
      </c>
      <c r="EX682" s="67" t="s">
        <v>5476</v>
      </c>
      <c r="EY682" s="67">
        <v>5830</v>
      </c>
      <c r="EZ682" s="67" t="s">
        <v>5477</v>
      </c>
      <c r="FA682" s="67">
        <v>20835</v>
      </c>
      <c r="FB682" s="67" t="s">
        <v>5478</v>
      </c>
      <c r="FC682" s="67" t="s">
        <v>5479</v>
      </c>
      <c r="FD682" s="67" t="s">
        <v>5480</v>
      </c>
      <c r="FE682" s="68" t="s">
        <v>5481</v>
      </c>
      <c r="FF682" s="68" t="s">
        <v>5482</v>
      </c>
    </row>
    <row r="683" spans="151:162" x14ac:dyDescent="0.2">
      <c r="EU683" s="67">
        <v>581.79999999999995</v>
      </c>
      <c r="EV683" s="67" t="s">
        <v>5483</v>
      </c>
      <c r="EW683" s="67">
        <v>507.32</v>
      </c>
      <c r="EX683" s="67" t="s">
        <v>5484</v>
      </c>
      <c r="EY683" s="67">
        <v>5830.75</v>
      </c>
      <c r="EZ683" s="67" t="s">
        <v>5485</v>
      </c>
      <c r="FA683" s="67">
        <v>20835</v>
      </c>
      <c r="FB683" s="67" t="s">
        <v>5486</v>
      </c>
      <c r="FC683" s="67" t="s">
        <v>5487</v>
      </c>
      <c r="FD683" s="67" t="s">
        <v>5488</v>
      </c>
      <c r="FE683" s="68" t="s">
        <v>5489</v>
      </c>
      <c r="FF683" s="68" t="s">
        <v>5490</v>
      </c>
    </row>
    <row r="684" spans="151:162" x14ac:dyDescent="0.2">
      <c r="EU684" s="67">
        <v>581.55999999999995</v>
      </c>
      <c r="EV684" s="67" t="s">
        <v>5491</v>
      </c>
      <c r="EW684" s="67">
        <v>507.08</v>
      </c>
      <c r="EX684" s="67" t="s">
        <v>5492</v>
      </c>
      <c r="EY684" s="67">
        <v>5828.25</v>
      </c>
      <c r="EZ684" s="67" t="s">
        <v>5493</v>
      </c>
      <c r="FA684" s="67">
        <v>20824</v>
      </c>
      <c r="FB684" s="67" t="s">
        <v>5494</v>
      </c>
      <c r="FC684" s="67" t="s">
        <v>5495</v>
      </c>
      <c r="FD684" s="67" t="s">
        <v>5496</v>
      </c>
      <c r="FE684" s="68" t="s">
        <v>5497</v>
      </c>
      <c r="FF684" s="68" t="s">
        <v>5498</v>
      </c>
    </row>
    <row r="685" spans="151:162" x14ac:dyDescent="0.2">
      <c r="EU685" s="67">
        <v>581.44000000000005</v>
      </c>
      <c r="EV685" s="67" t="s">
        <v>5499</v>
      </c>
      <c r="EW685" s="67">
        <v>506.99</v>
      </c>
      <c r="EX685" s="67" t="s">
        <v>5500</v>
      </c>
      <c r="EY685" s="67">
        <v>5826.25</v>
      </c>
      <c r="EZ685" s="67" t="s">
        <v>5501</v>
      </c>
      <c r="FA685" s="67">
        <v>20820.25</v>
      </c>
      <c r="FB685" s="67" t="s">
        <v>5502</v>
      </c>
      <c r="FC685" s="67" t="s">
        <v>5503</v>
      </c>
      <c r="FD685" s="67" t="s">
        <v>5504</v>
      </c>
      <c r="FE685" s="68" t="s">
        <v>5505</v>
      </c>
      <c r="FF685" s="68" t="s">
        <v>5506</v>
      </c>
    </row>
    <row r="686" spans="151:162" x14ac:dyDescent="0.2">
      <c r="EU686" s="67">
        <v>581.28</v>
      </c>
      <c r="EV686" s="67" t="s">
        <v>5507</v>
      </c>
      <c r="EW686" s="67">
        <v>506.87</v>
      </c>
      <c r="EX686" s="67" t="s">
        <v>5508</v>
      </c>
      <c r="EY686" s="67">
        <v>5825.5</v>
      </c>
      <c r="EZ686" s="67" t="s">
        <v>5509</v>
      </c>
      <c r="FA686" s="67">
        <v>20814.5</v>
      </c>
      <c r="FB686" s="67" t="s">
        <v>5510</v>
      </c>
      <c r="FC686" s="67" t="s">
        <v>5511</v>
      </c>
      <c r="FD686" s="67" t="s">
        <v>5512</v>
      </c>
      <c r="FE686" s="68" t="s">
        <v>5513</v>
      </c>
      <c r="FF686" s="68" t="s">
        <v>5514</v>
      </c>
    </row>
    <row r="687" spans="151:162" x14ac:dyDescent="0.2">
      <c r="EU687" s="67">
        <v>581.16</v>
      </c>
      <c r="EV687" s="67" t="s">
        <v>5515</v>
      </c>
      <c r="EW687" s="67">
        <v>506.78</v>
      </c>
      <c r="EX687" s="67" t="s">
        <v>5516</v>
      </c>
      <c r="EY687" s="67">
        <v>5824.25</v>
      </c>
      <c r="EZ687" s="67" t="s">
        <v>5517</v>
      </c>
      <c r="FA687" s="67">
        <v>20811.5</v>
      </c>
      <c r="FB687" s="67" t="s">
        <v>5518</v>
      </c>
      <c r="FC687" s="67" t="s">
        <v>5519</v>
      </c>
      <c r="FD687" s="67" t="s">
        <v>5520</v>
      </c>
      <c r="FE687" s="68" t="s">
        <v>5521</v>
      </c>
      <c r="FF687" s="68" t="s">
        <v>5522</v>
      </c>
    </row>
    <row r="688" spans="151:162" x14ac:dyDescent="0.2">
      <c r="EU688" s="67">
        <v>581.13</v>
      </c>
      <c r="EV688" s="67" t="s">
        <v>5523</v>
      </c>
      <c r="EW688" s="67">
        <v>506.72</v>
      </c>
      <c r="EX688" s="67" t="s">
        <v>5524</v>
      </c>
      <c r="EY688" s="67">
        <v>5823.75</v>
      </c>
      <c r="EZ688" s="67" t="s">
        <v>5525</v>
      </c>
      <c r="FA688" s="67">
        <v>20808.25</v>
      </c>
      <c r="FB688" s="67" t="s">
        <v>5526</v>
      </c>
      <c r="FC688" s="67" t="s">
        <v>5527</v>
      </c>
      <c r="FD688" s="67" t="s">
        <v>5528</v>
      </c>
      <c r="FE688" s="68" t="s">
        <v>5529</v>
      </c>
      <c r="FF688" s="68" t="s">
        <v>5530</v>
      </c>
    </row>
    <row r="689" spans="151:162" x14ac:dyDescent="0.2">
      <c r="EU689" s="67">
        <v>581.08000000000004</v>
      </c>
      <c r="EV689" s="67" t="s">
        <v>5531</v>
      </c>
      <c r="EW689" s="67">
        <v>506.66</v>
      </c>
      <c r="EX689" s="67" t="s">
        <v>5532</v>
      </c>
      <c r="EY689" s="67">
        <v>5823.25</v>
      </c>
      <c r="EZ689" s="67" t="s">
        <v>5533</v>
      </c>
      <c r="FA689" s="67">
        <v>20806.5</v>
      </c>
      <c r="FB689" s="67" t="s">
        <v>5534</v>
      </c>
      <c r="FC689" s="67" t="s">
        <v>5535</v>
      </c>
      <c r="FD689" s="67" t="s">
        <v>5536</v>
      </c>
      <c r="FE689" s="68" t="s">
        <v>5537</v>
      </c>
      <c r="FF689" s="68" t="s">
        <v>5538</v>
      </c>
    </row>
    <row r="690" spans="151:162" x14ac:dyDescent="0.2">
      <c r="EU690" s="67">
        <v>581.20000000000005</v>
      </c>
      <c r="EV690" s="67" t="s">
        <v>5539</v>
      </c>
      <c r="EW690" s="67">
        <v>506.85</v>
      </c>
      <c r="EX690" s="67" t="s">
        <v>5540</v>
      </c>
      <c r="EY690" s="67">
        <v>5824</v>
      </c>
      <c r="EZ690" s="67" t="s">
        <v>5541</v>
      </c>
      <c r="FA690" s="67">
        <v>20814</v>
      </c>
      <c r="FB690" s="67" t="s">
        <v>5542</v>
      </c>
      <c r="FC690" s="67" t="s">
        <v>5543</v>
      </c>
      <c r="FD690" s="67" t="s">
        <v>5544</v>
      </c>
      <c r="FE690" s="68" t="s">
        <v>5545</v>
      </c>
      <c r="FF690" s="68" t="s">
        <v>5546</v>
      </c>
    </row>
    <row r="691" spans="151:162" x14ac:dyDescent="0.2">
      <c r="EU691" s="67">
        <v>581.32000000000005</v>
      </c>
      <c r="EV691" s="67" t="s">
        <v>5547</v>
      </c>
      <c r="EW691" s="67">
        <v>507</v>
      </c>
      <c r="EX691" s="67" t="s">
        <v>5548</v>
      </c>
      <c r="EY691" s="67">
        <v>5825.5</v>
      </c>
      <c r="EZ691" s="67" t="s">
        <v>5549</v>
      </c>
      <c r="FA691" s="67">
        <v>20820</v>
      </c>
      <c r="FB691" s="67" t="s">
        <v>5550</v>
      </c>
      <c r="FC691" s="67" t="s">
        <v>5551</v>
      </c>
      <c r="FD691" s="67" t="s">
        <v>5552</v>
      </c>
      <c r="FE691" s="68" t="s">
        <v>5553</v>
      </c>
      <c r="FF691" s="68" t="s">
        <v>5554</v>
      </c>
    </row>
    <row r="692" spans="151:162" x14ac:dyDescent="0.2">
      <c r="EU692" s="67">
        <v>581.29</v>
      </c>
      <c r="EV692" s="67" t="s">
        <v>5555</v>
      </c>
      <c r="EW692" s="67">
        <v>506.9</v>
      </c>
      <c r="EX692" s="67" t="s">
        <v>5556</v>
      </c>
      <c r="EY692" s="67">
        <v>5824.75</v>
      </c>
      <c r="EZ692" s="67" t="s">
        <v>5557</v>
      </c>
      <c r="FA692" s="67">
        <v>20816.5</v>
      </c>
      <c r="FB692" s="67" t="s">
        <v>5558</v>
      </c>
      <c r="FC692" s="67" t="s">
        <v>5559</v>
      </c>
      <c r="FD692" s="67" t="s">
        <v>5560</v>
      </c>
      <c r="FE692" s="68" t="s">
        <v>5561</v>
      </c>
      <c r="FF692" s="68" t="s">
        <v>5562</v>
      </c>
    </row>
    <row r="693" spans="151:162" x14ac:dyDescent="0.2">
      <c r="EU693" s="67">
        <v>581.07000000000005</v>
      </c>
      <c r="EV693" s="67" t="s">
        <v>5563</v>
      </c>
      <c r="EW693" s="67">
        <v>506.86</v>
      </c>
      <c r="EX693" s="67" t="s">
        <v>5564</v>
      </c>
      <c r="EY693" s="67">
        <v>5822.5</v>
      </c>
      <c r="EZ693" s="67" t="s">
        <v>5565</v>
      </c>
      <c r="FA693" s="67">
        <v>20813.5</v>
      </c>
      <c r="FB693" s="67" t="s">
        <v>5566</v>
      </c>
      <c r="FC693" s="67" t="s">
        <v>5567</v>
      </c>
      <c r="FD693" s="67" t="s">
        <v>5568</v>
      </c>
      <c r="FE693" s="68" t="s">
        <v>5569</v>
      </c>
      <c r="FF693" s="68" t="s">
        <v>5570</v>
      </c>
    </row>
    <row r="694" spans="151:162" x14ac:dyDescent="0.2">
      <c r="EU694" s="67">
        <v>581.11</v>
      </c>
      <c r="EV694" s="67" t="s">
        <v>5571</v>
      </c>
      <c r="EW694" s="67">
        <v>506.91</v>
      </c>
      <c r="EX694" s="67" t="s">
        <v>5572</v>
      </c>
      <c r="EY694" s="67">
        <v>5823</v>
      </c>
      <c r="EZ694" s="67" t="s">
        <v>5573</v>
      </c>
      <c r="FA694" s="67">
        <v>20815.25</v>
      </c>
      <c r="FB694" s="67" t="s">
        <v>5574</v>
      </c>
      <c r="FC694" s="67" t="s">
        <v>5575</v>
      </c>
      <c r="FD694" s="67" t="s">
        <v>5576</v>
      </c>
      <c r="FE694" s="68" t="s">
        <v>5577</v>
      </c>
      <c r="FF694" s="68" t="s">
        <v>5578</v>
      </c>
    </row>
    <row r="695" spans="151:162" x14ac:dyDescent="0.2">
      <c r="EU695" s="67">
        <v>580.77</v>
      </c>
      <c r="EV695" s="67" t="s">
        <v>5579</v>
      </c>
      <c r="EW695" s="67">
        <v>506.52</v>
      </c>
      <c r="EX695" s="67" t="s">
        <v>5580</v>
      </c>
      <c r="EY695" s="67">
        <v>5819.5</v>
      </c>
      <c r="EZ695" s="67" t="s">
        <v>5581</v>
      </c>
      <c r="FA695" s="67">
        <v>20800.75</v>
      </c>
      <c r="FB695" s="67" t="s">
        <v>5582</v>
      </c>
      <c r="FC695" s="67" t="s">
        <v>5583</v>
      </c>
      <c r="FD695" s="67" t="s">
        <v>5584</v>
      </c>
      <c r="FE695" s="68" t="s">
        <v>5585</v>
      </c>
      <c r="FF695" s="68" t="s">
        <v>5586</v>
      </c>
    </row>
    <row r="696" spans="151:162" x14ac:dyDescent="0.2">
      <c r="EU696" s="67">
        <v>580.42999999999995</v>
      </c>
      <c r="EV696" s="67" t="s">
        <v>5587</v>
      </c>
      <c r="EW696" s="67">
        <v>506.3</v>
      </c>
      <c r="EX696" s="67" t="s">
        <v>5588</v>
      </c>
      <c r="EY696" s="67">
        <v>5816.75</v>
      </c>
      <c r="EZ696" s="67" t="s">
        <v>5589</v>
      </c>
      <c r="FA696" s="67">
        <v>20792</v>
      </c>
      <c r="FB696" s="67" t="s">
        <v>5590</v>
      </c>
      <c r="FC696" s="67" t="s">
        <v>5591</v>
      </c>
      <c r="FD696" s="67" t="s">
        <v>5592</v>
      </c>
      <c r="FE696" s="68" t="s">
        <v>5593</v>
      </c>
      <c r="FF696" s="68" t="s">
        <v>5594</v>
      </c>
    </row>
    <row r="697" spans="151:162" x14ac:dyDescent="0.2">
      <c r="EU697" s="67">
        <v>580.36</v>
      </c>
      <c r="EV697" s="67" t="s">
        <v>5595</v>
      </c>
      <c r="EW697" s="67">
        <v>506.23</v>
      </c>
      <c r="EX697" s="67" t="s">
        <v>5596</v>
      </c>
      <c r="EY697" s="67">
        <v>5816</v>
      </c>
      <c r="EZ697" s="67" t="s">
        <v>5597</v>
      </c>
      <c r="FA697" s="67">
        <v>20789</v>
      </c>
      <c r="FB697" s="67" t="s">
        <v>5598</v>
      </c>
      <c r="FC697" s="67" t="s">
        <v>5599</v>
      </c>
      <c r="FD697" s="67" t="s">
        <v>5600</v>
      </c>
      <c r="FE697" s="68" t="s">
        <v>5601</v>
      </c>
      <c r="FF697" s="68" t="s">
        <v>5602</v>
      </c>
    </row>
    <row r="698" spans="151:162" x14ac:dyDescent="0.2">
      <c r="EU698" s="67">
        <v>580.54</v>
      </c>
      <c r="EV698" s="67" t="s">
        <v>5603</v>
      </c>
      <c r="EW698" s="67">
        <v>506.37</v>
      </c>
      <c r="EX698" s="67" t="s">
        <v>5604</v>
      </c>
      <c r="EY698" s="67">
        <v>5817.75</v>
      </c>
      <c r="EZ698" s="67" t="s">
        <v>5605</v>
      </c>
      <c r="FA698" s="67">
        <v>20793.5</v>
      </c>
      <c r="FB698" s="67" t="s">
        <v>5606</v>
      </c>
      <c r="FC698" s="67" t="s">
        <v>5607</v>
      </c>
      <c r="FD698" s="67" t="s">
        <v>5608</v>
      </c>
      <c r="FE698" s="68" t="s">
        <v>5609</v>
      </c>
      <c r="FF698" s="68" t="s">
        <v>5610</v>
      </c>
    </row>
    <row r="699" spans="151:162" x14ac:dyDescent="0.2">
      <c r="EU699" s="67">
        <v>580.66999999999996</v>
      </c>
      <c r="EV699" s="67" t="s">
        <v>5611</v>
      </c>
      <c r="EW699" s="67">
        <v>506.62</v>
      </c>
      <c r="EX699" s="67" t="s">
        <v>5612</v>
      </c>
      <c r="EY699" s="67">
        <v>5819</v>
      </c>
      <c r="EZ699" s="67" t="s">
        <v>5613</v>
      </c>
      <c r="FA699" s="67">
        <v>20803.75</v>
      </c>
      <c r="FB699" s="67" t="s">
        <v>5614</v>
      </c>
      <c r="FC699" s="67" t="s">
        <v>5615</v>
      </c>
      <c r="FD699" s="67" t="s">
        <v>5616</v>
      </c>
      <c r="FE699" s="68" t="s">
        <v>5617</v>
      </c>
      <c r="FF699" s="68" t="s">
        <v>5618</v>
      </c>
    </row>
    <row r="700" spans="151:162" x14ac:dyDescent="0.2">
      <c r="EU700" s="67">
        <v>580.84</v>
      </c>
      <c r="EV700" s="67" t="s">
        <v>5619</v>
      </c>
      <c r="EW700" s="67">
        <v>506.7</v>
      </c>
      <c r="EX700" s="67" t="s">
        <v>5620</v>
      </c>
      <c r="EY700" s="67">
        <v>5820.75</v>
      </c>
      <c r="EZ700" s="67" t="s">
        <v>5621</v>
      </c>
      <c r="FA700" s="67">
        <v>20807.5</v>
      </c>
      <c r="FB700" s="67" t="s">
        <v>5622</v>
      </c>
      <c r="FC700" s="67" t="s">
        <v>5623</v>
      </c>
      <c r="FD700" s="67" t="s">
        <v>5624</v>
      </c>
      <c r="FE700" s="68" t="s">
        <v>5625</v>
      </c>
      <c r="FF700" s="68" t="s">
        <v>5626</v>
      </c>
    </row>
    <row r="701" spans="151:162" x14ac:dyDescent="0.2">
      <c r="EU701" s="67">
        <v>580.91999999999996</v>
      </c>
      <c r="EV701" s="67" t="s">
        <v>5627</v>
      </c>
      <c r="EW701" s="67">
        <v>506.76</v>
      </c>
      <c r="EX701" s="67" t="s">
        <v>5628</v>
      </c>
      <c r="EY701" s="67">
        <v>5821.5</v>
      </c>
      <c r="EZ701" s="67" t="s">
        <v>5629</v>
      </c>
      <c r="FA701" s="67">
        <v>20810.75</v>
      </c>
      <c r="FB701" s="67" t="s">
        <v>5630</v>
      </c>
      <c r="FC701" s="67" t="s">
        <v>5631</v>
      </c>
      <c r="FD701" s="67" t="s">
        <v>5632</v>
      </c>
      <c r="FE701" s="68" t="s">
        <v>5633</v>
      </c>
      <c r="FF701" s="68" t="s">
        <v>5634</v>
      </c>
    </row>
    <row r="702" spans="151:162" x14ac:dyDescent="0.2">
      <c r="EU702" s="67">
        <v>580.95000000000005</v>
      </c>
      <c r="EV702" s="67" t="s">
        <v>5635</v>
      </c>
      <c r="EW702" s="67">
        <v>506.82</v>
      </c>
      <c r="EX702" s="67" t="s">
        <v>5636</v>
      </c>
      <c r="EY702" s="67">
        <v>5821.75</v>
      </c>
      <c r="EZ702" s="67" t="s">
        <v>5637</v>
      </c>
      <c r="FA702" s="67">
        <v>20812.75</v>
      </c>
      <c r="FB702" s="67" t="s">
        <v>5638</v>
      </c>
      <c r="FC702" s="67" t="s">
        <v>5639</v>
      </c>
      <c r="FD702" s="67" t="s">
        <v>5640</v>
      </c>
      <c r="FE702" s="68" t="s">
        <v>5641</v>
      </c>
      <c r="FF702" s="68" t="s">
        <v>5642</v>
      </c>
    </row>
    <row r="703" spans="151:162" x14ac:dyDescent="0.2">
      <c r="EU703" s="67">
        <v>581.37</v>
      </c>
      <c r="EV703" s="67" t="s">
        <v>5643</v>
      </c>
      <c r="EW703" s="67">
        <v>507.17</v>
      </c>
      <c r="EX703" s="67" t="s">
        <v>5644</v>
      </c>
      <c r="EY703" s="67">
        <v>5826.5</v>
      </c>
      <c r="EZ703" s="67" t="s">
        <v>5645</v>
      </c>
      <c r="FA703" s="67">
        <v>20828.5</v>
      </c>
      <c r="FB703" s="67" t="s">
        <v>5646</v>
      </c>
      <c r="FC703" s="67" t="s">
        <v>5647</v>
      </c>
      <c r="FD703" s="67" t="s">
        <v>5648</v>
      </c>
      <c r="FE703" s="68" t="s">
        <v>5649</v>
      </c>
      <c r="FF703" s="68" t="s">
        <v>5650</v>
      </c>
    </row>
    <row r="704" spans="151:162" x14ac:dyDescent="0.2">
      <c r="EU704" s="67">
        <v>581.39</v>
      </c>
      <c r="EV704" s="67" t="s">
        <v>5651</v>
      </c>
      <c r="EW704" s="67">
        <v>507.29</v>
      </c>
      <c r="EX704" s="67" t="s">
        <v>5652</v>
      </c>
      <c r="EY704" s="67">
        <v>5826.25</v>
      </c>
      <c r="EZ704" s="67" t="s">
        <v>5653</v>
      </c>
      <c r="FA704" s="67">
        <v>20830.5</v>
      </c>
      <c r="FB704" s="67" t="s">
        <v>5654</v>
      </c>
      <c r="FC704" s="67" t="s">
        <v>5655</v>
      </c>
      <c r="FD704" s="67" t="s">
        <v>5656</v>
      </c>
      <c r="FE704" s="68" t="s">
        <v>5657</v>
      </c>
      <c r="FF704" s="68" t="s">
        <v>5658</v>
      </c>
    </row>
    <row r="705" spans="151:162" x14ac:dyDescent="0.2">
      <c r="EU705" s="67">
        <v>581.29999999999995</v>
      </c>
      <c r="EV705" s="67" t="s">
        <v>5659</v>
      </c>
      <c r="EW705" s="67">
        <v>507.21</v>
      </c>
      <c r="EX705" s="67" t="s">
        <v>5660</v>
      </c>
      <c r="EY705" s="67">
        <v>5825.5</v>
      </c>
      <c r="EZ705" s="67" t="s">
        <v>5661</v>
      </c>
      <c r="FA705" s="67">
        <v>20827.5</v>
      </c>
      <c r="FB705" s="67" t="s">
        <v>5662</v>
      </c>
      <c r="FC705" s="67" t="s">
        <v>5663</v>
      </c>
      <c r="FD705" s="67" t="s">
        <v>5664</v>
      </c>
      <c r="FE705" s="68" t="s">
        <v>5665</v>
      </c>
      <c r="FF705" s="68" t="s">
        <v>5666</v>
      </c>
    </row>
    <row r="706" spans="151:162" x14ac:dyDescent="0.2">
      <c r="EU706" s="67">
        <v>581.35</v>
      </c>
      <c r="EV706" s="67" t="s">
        <v>5667</v>
      </c>
      <c r="EW706" s="67">
        <v>507.12</v>
      </c>
      <c r="EX706" s="67" t="s">
        <v>5668</v>
      </c>
      <c r="EY706" s="67">
        <v>5825.75</v>
      </c>
      <c r="EZ706" s="67" t="s">
        <v>5669</v>
      </c>
      <c r="FA706" s="67">
        <v>20824.25</v>
      </c>
      <c r="FB706" s="67" t="s">
        <v>5670</v>
      </c>
      <c r="FC706" s="67" t="s">
        <v>5671</v>
      </c>
      <c r="FD706" s="67" t="s">
        <v>5672</v>
      </c>
      <c r="FE706" s="68" t="s">
        <v>5673</v>
      </c>
      <c r="FF706" s="68" t="s">
        <v>5674</v>
      </c>
    </row>
    <row r="707" spans="151:162" x14ac:dyDescent="0.2">
      <c r="EU707" s="67">
        <v>581.25</v>
      </c>
      <c r="EV707" s="67" t="s">
        <v>5675</v>
      </c>
      <c r="EW707" s="67">
        <v>507.05</v>
      </c>
      <c r="EX707" s="67" t="s">
        <v>5676</v>
      </c>
      <c r="EY707" s="67">
        <v>5825</v>
      </c>
      <c r="EZ707" s="67" t="s">
        <v>5677</v>
      </c>
      <c r="FA707" s="67">
        <v>20821.75</v>
      </c>
      <c r="FB707" s="67" t="s">
        <v>5678</v>
      </c>
      <c r="FC707" s="67" t="s">
        <v>5679</v>
      </c>
      <c r="FD707" s="67" t="s">
        <v>5680</v>
      </c>
      <c r="FE707" s="68" t="s">
        <v>5681</v>
      </c>
      <c r="FF707" s="68" t="s">
        <v>5682</v>
      </c>
    </row>
    <row r="708" spans="151:162" x14ac:dyDescent="0.2">
      <c r="EU708" s="67">
        <v>581.14</v>
      </c>
      <c r="EV708" s="67" t="s">
        <v>5683</v>
      </c>
      <c r="EW708" s="67">
        <v>507.02</v>
      </c>
      <c r="EX708" s="67" t="s">
        <v>5684</v>
      </c>
      <c r="EY708" s="67">
        <v>5823.75</v>
      </c>
      <c r="EZ708" s="67" t="s">
        <v>5685</v>
      </c>
      <c r="FA708" s="67">
        <v>20821.25</v>
      </c>
      <c r="FB708" s="67" t="s">
        <v>5686</v>
      </c>
      <c r="FC708" s="67" t="s">
        <v>5687</v>
      </c>
      <c r="FD708" s="67" t="s">
        <v>5688</v>
      </c>
      <c r="FE708" s="68" t="s">
        <v>5689</v>
      </c>
      <c r="FF708" s="68" t="s">
        <v>5690</v>
      </c>
    </row>
    <row r="709" spans="151:162" x14ac:dyDescent="0.2">
      <c r="EU709" s="67">
        <v>581.04999999999995</v>
      </c>
      <c r="EV709" s="67" t="s">
        <v>5691</v>
      </c>
      <c r="EW709" s="67">
        <v>507</v>
      </c>
      <c r="EX709" s="67" t="s">
        <v>5692</v>
      </c>
      <c r="EY709" s="67">
        <v>5823</v>
      </c>
      <c r="EZ709" s="67" t="s">
        <v>5693</v>
      </c>
      <c r="FA709" s="67">
        <v>20819</v>
      </c>
      <c r="FB709" s="67" t="s">
        <v>5694</v>
      </c>
      <c r="FC709" s="67" t="s">
        <v>5695</v>
      </c>
      <c r="FD709" s="67" t="s">
        <v>5696</v>
      </c>
      <c r="FE709" s="68" t="s">
        <v>5697</v>
      </c>
      <c r="FF709" s="68" t="s">
        <v>5698</v>
      </c>
    </row>
    <row r="710" spans="151:162" x14ac:dyDescent="0.2">
      <c r="EU710" s="67">
        <v>581.01</v>
      </c>
      <c r="EV710" s="67" t="s">
        <v>5699</v>
      </c>
      <c r="EW710" s="67">
        <v>506.91</v>
      </c>
      <c r="EX710" s="67" t="s">
        <v>5700</v>
      </c>
      <c r="EY710" s="67">
        <v>5822.25</v>
      </c>
      <c r="EZ710" s="67" t="s">
        <v>5701</v>
      </c>
      <c r="FA710" s="67">
        <v>20815.25</v>
      </c>
      <c r="FB710" s="67" t="s">
        <v>5702</v>
      </c>
      <c r="FC710" s="67" t="s">
        <v>5703</v>
      </c>
      <c r="FD710" s="67" t="s">
        <v>5704</v>
      </c>
      <c r="FE710" s="68" t="s">
        <v>5705</v>
      </c>
      <c r="FF710" s="68" t="s">
        <v>5706</v>
      </c>
    </row>
    <row r="711" spans="151:162" x14ac:dyDescent="0.2">
      <c r="EU711" s="67">
        <v>580.97</v>
      </c>
      <c r="EV711" s="67" t="s">
        <v>5707</v>
      </c>
      <c r="EW711" s="67">
        <v>506.85</v>
      </c>
      <c r="EX711" s="67" t="s">
        <v>5708</v>
      </c>
      <c r="EY711" s="67">
        <v>5822</v>
      </c>
      <c r="EZ711" s="67" t="s">
        <v>5709</v>
      </c>
      <c r="FA711" s="67">
        <v>20813.75</v>
      </c>
      <c r="FB711" s="67" t="s">
        <v>5710</v>
      </c>
      <c r="FC711" s="67" t="s">
        <v>5711</v>
      </c>
      <c r="FD711" s="67" t="s">
        <v>5712</v>
      </c>
      <c r="FE711" s="68" t="s">
        <v>5713</v>
      </c>
      <c r="FF711" s="68" t="s">
        <v>5714</v>
      </c>
    </row>
    <row r="712" spans="151:162" x14ac:dyDescent="0.2">
      <c r="EU712" s="67">
        <v>580.91999999999996</v>
      </c>
      <c r="EV712" s="67" t="s">
        <v>5715</v>
      </c>
      <c r="EW712" s="67">
        <v>506.84</v>
      </c>
      <c r="EX712" s="67" t="s">
        <v>5716</v>
      </c>
      <c r="EY712" s="67">
        <v>5821.75</v>
      </c>
      <c r="EZ712" s="67" t="s">
        <v>5717</v>
      </c>
      <c r="FA712" s="67">
        <v>20814</v>
      </c>
      <c r="FB712" s="67" t="s">
        <v>5718</v>
      </c>
      <c r="FC712" s="67" t="s">
        <v>5719</v>
      </c>
      <c r="FD712" s="67" t="s">
        <v>5720</v>
      </c>
      <c r="FE712" s="68" t="s">
        <v>5721</v>
      </c>
      <c r="FF712" s="68" t="s">
        <v>5722</v>
      </c>
    </row>
    <row r="713" spans="151:162" x14ac:dyDescent="0.2">
      <c r="EU713" s="67">
        <v>581.08000000000004</v>
      </c>
      <c r="EV713" s="67" t="s">
        <v>5723</v>
      </c>
      <c r="EW713" s="67">
        <v>506.97</v>
      </c>
      <c r="EX713" s="67" t="s">
        <v>5724</v>
      </c>
      <c r="EY713" s="67">
        <v>5823</v>
      </c>
      <c r="EZ713" s="67" t="s">
        <v>5725</v>
      </c>
      <c r="FA713" s="67">
        <v>20819.5</v>
      </c>
      <c r="FB713" s="67" t="s">
        <v>5726</v>
      </c>
      <c r="FC713" s="67" t="s">
        <v>5727</v>
      </c>
      <c r="FD713" s="67" t="s">
        <v>5728</v>
      </c>
      <c r="FE713" s="68" t="s">
        <v>5729</v>
      </c>
      <c r="FF713" s="68" t="s">
        <v>5730</v>
      </c>
    </row>
    <row r="714" spans="151:162" x14ac:dyDescent="0.2">
      <c r="EU714" s="67">
        <v>581.04999999999995</v>
      </c>
      <c r="EV714" s="67" t="s">
        <v>5731</v>
      </c>
      <c r="EW714" s="67">
        <v>506.89</v>
      </c>
      <c r="EX714" s="67" t="s">
        <v>5732</v>
      </c>
      <c r="EY714" s="67">
        <v>5822.75</v>
      </c>
      <c r="EZ714" s="67" t="s">
        <v>5733</v>
      </c>
      <c r="FA714" s="67">
        <v>20815</v>
      </c>
      <c r="FB714" s="67" t="s">
        <v>5734</v>
      </c>
      <c r="FC714" s="67" t="s">
        <v>5735</v>
      </c>
      <c r="FD714" s="67" t="s">
        <v>5736</v>
      </c>
      <c r="FE714" s="68" t="s">
        <v>5737</v>
      </c>
      <c r="FF714" s="68" t="s">
        <v>5738</v>
      </c>
    </row>
    <row r="715" spans="151:162" x14ac:dyDescent="0.2">
      <c r="EU715" s="67">
        <v>581.22</v>
      </c>
      <c r="EV715" s="67" t="s">
        <v>5739</v>
      </c>
      <c r="EW715" s="67">
        <v>507.01</v>
      </c>
      <c r="EX715" s="67" t="s">
        <v>5740</v>
      </c>
      <c r="EY715" s="67">
        <v>5824</v>
      </c>
      <c r="EZ715" s="67" t="s">
        <v>5741</v>
      </c>
      <c r="FA715" s="67">
        <v>20819.5</v>
      </c>
      <c r="FB715" s="67" t="s">
        <v>5742</v>
      </c>
      <c r="FC715" s="67" t="s">
        <v>5743</v>
      </c>
      <c r="FD715" s="67" t="s">
        <v>5744</v>
      </c>
      <c r="FE715" s="68" t="s">
        <v>5745</v>
      </c>
      <c r="FF715" s="68" t="s">
        <v>5746</v>
      </c>
    </row>
    <row r="716" spans="151:162" x14ac:dyDescent="0.2">
      <c r="EU716" s="67">
        <v>581.35</v>
      </c>
      <c r="EV716" s="67" t="s">
        <v>5747</v>
      </c>
      <c r="EW716" s="67">
        <v>507.13</v>
      </c>
      <c r="EX716" s="67" t="s">
        <v>5748</v>
      </c>
      <c r="EY716" s="67">
        <v>5826</v>
      </c>
      <c r="EZ716" s="67" t="s">
        <v>5749</v>
      </c>
      <c r="FA716" s="67">
        <v>20825.25</v>
      </c>
      <c r="FB716" s="67" t="s">
        <v>5750</v>
      </c>
      <c r="FC716" s="67" t="s">
        <v>5751</v>
      </c>
      <c r="FD716" s="67" t="s">
        <v>5752</v>
      </c>
      <c r="FE716" s="68" t="s">
        <v>5753</v>
      </c>
      <c r="FF716" s="68" t="s">
        <v>5754</v>
      </c>
    </row>
    <row r="717" spans="151:162" x14ac:dyDescent="0.2">
      <c r="EU717" s="67">
        <v>581.53</v>
      </c>
      <c r="EV717" s="67" t="s">
        <v>5755</v>
      </c>
      <c r="EW717" s="67">
        <v>507.3</v>
      </c>
      <c r="EX717" s="67" t="s">
        <v>5756</v>
      </c>
      <c r="EY717" s="67">
        <v>5827.75</v>
      </c>
      <c r="EZ717" s="67" t="s">
        <v>5757</v>
      </c>
      <c r="FA717" s="67">
        <v>20831.5</v>
      </c>
      <c r="FB717" s="67" t="s">
        <v>5758</v>
      </c>
      <c r="FC717" s="67" t="s">
        <v>5759</v>
      </c>
      <c r="FD717" s="67" t="s">
        <v>5760</v>
      </c>
      <c r="FE717" s="68" t="s">
        <v>5761</v>
      </c>
      <c r="FF717" s="68" t="s">
        <v>5762</v>
      </c>
    </row>
    <row r="718" spans="151:162" x14ac:dyDescent="0.2">
      <c r="EU718" s="67">
        <v>581.5</v>
      </c>
      <c r="EV718" s="67" t="s">
        <v>5763</v>
      </c>
      <c r="EW718" s="67">
        <v>507.26</v>
      </c>
      <c r="EX718" s="67" t="s">
        <v>5764</v>
      </c>
      <c r="EY718" s="67">
        <v>5827.25</v>
      </c>
      <c r="EZ718" s="67" t="s">
        <v>5765</v>
      </c>
      <c r="FA718" s="67">
        <v>20831.25</v>
      </c>
      <c r="FB718" s="67" t="s">
        <v>5766</v>
      </c>
      <c r="FC718" s="67" t="s">
        <v>5767</v>
      </c>
      <c r="FD718" s="67" t="s">
        <v>5768</v>
      </c>
      <c r="FE718" s="68" t="s">
        <v>5769</v>
      </c>
      <c r="FF718" s="68" t="s">
        <v>5770</v>
      </c>
    </row>
    <row r="719" spans="151:162" x14ac:dyDescent="0.2">
      <c r="EU719" s="67">
        <v>581.52</v>
      </c>
      <c r="EV719" s="67" t="s">
        <v>5771</v>
      </c>
      <c r="EW719" s="67">
        <v>507.26</v>
      </c>
      <c r="EX719" s="67" t="s">
        <v>5772</v>
      </c>
      <c r="EY719" s="67">
        <v>5827.5</v>
      </c>
      <c r="EZ719" s="67" t="s">
        <v>5773</v>
      </c>
      <c r="FA719" s="67">
        <v>20831</v>
      </c>
      <c r="FB719" s="67" t="s">
        <v>5774</v>
      </c>
      <c r="FC719" s="67" t="s">
        <v>5775</v>
      </c>
      <c r="FD719" s="67" t="s">
        <v>5776</v>
      </c>
      <c r="FE719" s="68" t="s">
        <v>5777</v>
      </c>
      <c r="FF719" s="68" t="s">
        <v>5778</v>
      </c>
    </row>
    <row r="720" spans="151:162" x14ac:dyDescent="0.2">
      <c r="EU720" s="67">
        <v>581.66</v>
      </c>
      <c r="EV720" s="67" t="s">
        <v>5779</v>
      </c>
      <c r="EW720" s="67">
        <v>507.33</v>
      </c>
      <c r="EX720" s="67" t="s">
        <v>5780</v>
      </c>
      <c r="EY720" s="67">
        <v>5828.75</v>
      </c>
      <c r="EZ720" s="67" t="s">
        <v>5781</v>
      </c>
      <c r="FA720" s="67">
        <v>20834</v>
      </c>
      <c r="FB720" s="67" t="s">
        <v>5782</v>
      </c>
      <c r="FC720" s="67" t="s">
        <v>5783</v>
      </c>
      <c r="FD720" s="67" t="s">
        <v>5784</v>
      </c>
      <c r="FE720" s="68" t="s">
        <v>5785</v>
      </c>
      <c r="FF720" s="68" t="s">
        <v>5786</v>
      </c>
    </row>
    <row r="721" spans="151:162" x14ac:dyDescent="0.2">
      <c r="EU721" s="67">
        <v>581.76</v>
      </c>
      <c r="EV721" s="67" t="s">
        <v>5787</v>
      </c>
      <c r="EW721" s="67">
        <v>507.43</v>
      </c>
      <c r="EX721" s="67" t="s">
        <v>5788</v>
      </c>
      <c r="EY721" s="67">
        <v>5829.75</v>
      </c>
      <c r="EZ721" s="67" t="s">
        <v>5789</v>
      </c>
      <c r="FA721" s="67">
        <v>20838.25</v>
      </c>
      <c r="FB721" s="67" t="s">
        <v>5790</v>
      </c>
      <c r="FC721" s="67" t="s">
        <v>5791</v>
      </c>
      <c r="FD721" s="67" t="s">
        <v>5792</v>
      </c>
      <c r="FE721" s="68" t="s">
        <v>5793</v>
      </c>
      <c r="FF721" s="68" t="s">
        <v>5794</v>
      </c>
    </row>
    <row r="722" spans="151:162" x14ac:dyDescent="0.2">
      <c r="EU722" s="67">
        <v>581.91</v>
      </c>
      <c r="EV722" s="67" t="s">
        <v>5795</v>
      </c>
      <c r="EW722" s="67">
        <v>507.6</v>
      </c>
      <c r="EX722" s="67" t="s">
        <v>5796</v>
      </c>
      <c r="EY722" s="67">
        <v>5831.25</v>
      </c>
      <c r="EZ722" s="67" t="s">
        <v>5797</v>
      </c>
      <c r="FA722" s="67">
        <v>20844.25</v>
      </c>
      <c r="FB722" s="67" t="s">
        <v>5798</v>
      </c>
      <c r="FC722" s="67" t="s">
        <v>5799</v>
      </c>
      <c r="FD722" s="67" t="s">
        <v>5800</v>
      </c>
      <c r="FE722" s="68" t="s">
        <v>5801</v>
      </c>
      <c r="FF722" s="68" t="s">
        <v>5802</v>
      </c>
    </row>
    <row r="723" spans="151:162" x14ac:dyDescent="0.2">
      <c r="EU723" s="67">
        <v>581.96</v>
      </c>
      <c r="EV723" s="67" t="s">
        <v>5803</v>
      </c>
      <c r="EW723" s="67">
        <v>507.64</v>
      </c>
      <c r="EX723" s="67" t="s">
        <v>5804</v>
      </c>
      <c r="EY723" s="67">
        <v>5832</v>
      </c>
      <c r="EZ723" s="67" t="s">
        <v>5805</v>
      </c>
      <c r="FA723" s="67">
        <v>20846.25</v>
      </c>
      <c r="FB723" s="67" t="s">
        <v>5806</v>
      </c>
      <c r="FC723" s="67" t="s">
        <v>5807</v>
      </c>
      <c r="FD723" s="67" t="s">
        <v>5808</v>
      </c>
      <c r="FE723" s="68" t="s">
        <v>5809</v>
      </c>
      <c r="FF723" s="68" t="s">
        <v>5810</v>
      </c>
    </row>
    <row r="724" spans="151:162" x14ac:dyDescent="0.2">
      <c r="EU724" s="67">
        <v>581.91</v>
      </c>
      <c r="EV724" s="67" t="s">
        <v>5811</v>
      </c>
      <c r="EW724" s="67">
        <v>507.55</v>
      </c>
      <c r="EX724" s="67" t="s">
        <v>5812</v>
      </c>
      <c r="EY724" s="67">
        <v>5831.5</v>
      </c>
      <c r="EZ724" s="67" t="s">
        <v>5813</v>
      </c>
      <c r="FA724" s="67">
        <v>20841.75</v>
      </c>
      <c r="FB724" s="67" t="s">
        <v>5814</v>
      </c>
      <c r="FC724" s="67" t="s">
        <v>5815</v>
      </c>
      <c r="FD724" s="67" t="s">
        <v>5816</v>
      </c>
      <c r="FE724" s="68" t="s">
        <v>5817</v>
      </c>
      <c r="FF724" s="68" t="s">
        <v>5818</v>
      </c>
    </row>
    <row r="725" spans="151:162" x14ac:dyDescent="0.2">
      <c r="EU725" s="67">
        <v>581.85</v>
      </c>
      <c r="EV725" s="67" t="s">
        <v>5819</v>
      </c>
      <c r="EW725" s="67">
        <v>507.41</v>
      </c>
      <c r="EX725" s="67" t="s">
        <v>5820</v>
      </c>
      <c r="EY725" s="67">
        <v>5830.75</v>
      </c>
      <c r="EZ725" s="67" t="s">
        <v>5821</v>
      </c>
      <c r="FA725" s="67">
        <v>20837.5</v>
      </c>
      <c r="FB725" s="67" t="s">
        <v>5822</v>
      </c>
      <c r="FC725" s="67" t="s">
        <v>5823</v>
      </c>
      <c r="FD725" s="67" t="s">
        <v>5824</v>
      </c>
      <c r="FE725" s="68" t="s">
        <v>5825</v>
      </c>
      <c r="FF725" s="68" t="s">
        <v>5826</v>
      </c>
    </row>
    <row r="726" spans="151:162" x14ac:dyDescent="0.2">
      <c r="EU726" s="67">
        <v>582.32000000000005</v>
      </c>
      <c r="EV726" s="67" t="s">
        <v>5827</v>
      </c>
      <c r="EW726" s="67">
        <v>507.86</v>
      </c>
      <c r="EX726" s="67" t="s">
        <v>5828</v>
      </c>
      <c r="EY726" s="67">
        <v>5835.75</v>
      </c>
      <c r="EZ726" s="67" t="s">
        <v>5829</v>
      </c>
      <c r="FA726" s="67">
        <v>20855.5</v>
      </c>
      <c r="FB726" s="67" t="s">
        <v>5830</v>
      </c>
      <c r="FC726" s="67" t="s">
        <v>5831</v>
      </c>
      <c r="FD726" s="67" t="s">
        <v>5832</v>
      </c>
      <c r="FE726" s="68" t="s">
        <v>5833</v>
      </c>
      <c r="FF726" s="68" t="s">
        <v>5834</v>
      </c>
    </row>
    <row r="727" spans="151:162" x14ac:dyDescent="0.2">
      <c r="EU727" s="67">
        <v>582.24</v>
      </c>
      <c r="EV727" s="67" t="s">
        <v>5835</v>
      </c>
      <c r="EW727" s="67">
        <v>507.82</v>
      </c>
      <c r="EX727" s="67" t="s">
        <v>5836</v>
      </c>
      <c r="EY727" s="67">
        <v>5834.75</v>
      </c>
      <c r="EZ727" s="67" t="s">
        <v>5837</v>
      </c>
      <c r="FA727" s="67">
        <v>20854.25</v>
      </c>
      <c r="FB727" s="67" t="s">
        <v>5838</v>
      </c>
      <c r="FC727" s="67" t="s">
        <v>5839</v>
      </c>
      <c r="FD727" s="67" t="s">
        <v>5840</v>
      </c>
      <c r="FE727" s="68" t="s">
        <v>5841</v>
      </c>
      <c r="FF727" s="68" t="s">
        <v>5842</v>
      </c>
    </row>
    <row r="728" spans="151:162" x14ac:dyDescent="0.2">
      <c r="EU728" s="67">
        <v>582.29999999999995</v>
      </c>
      <c r="EV728" s="67" t="s">
        <v>5843</v>
      </c>
      <c r="EW728" s="67">
        <v>507.78</v>
      </c>
      <c r="EX728" s="67" t="s">
        <v>5844</v>
      </c>
      <c r="EY728" s="67">
        <v>5835</v>
      </c>
      <c r="EZ728" s="67" t="s">
        <v>5845</v>
      </c>
      <c r="FA728" s="67">
        <v>20853.25</v>
      </c>
      <c r="FB728" s="67" t="s">
        <v>5846</v>
      </c>
      <c r="FC728" s="67" t="s">
        <v>5847</v>
      </c>
      <c r="FD728" s="67" t="s">
        <v>5848</v>
      </c>
      <c r="FE728" s="68" t="s">
        <v>5849</v>
      </c>
      <c r="FF728" s="68" t="s">
        <v>5850</v>
      </c>
    </row>
    <row r="729" spans="151:162" x14ac:dyDescent="0.2">
      <c r="EU729" s="67">
        <v>582.35</v>
      </c>
      <c r="EV729" s="67" t="s">
        <v>5851</v>
      </c>
      <c r="EW729" s="67">
        <v>507.86</v>
      </c>
      <c r="EX729" s="67" t="s">
        <v>5852</v>
      </c>
      <c r="EY729" s="67">
        <v>5836</v>
      </c>
      <c r="EZ729" s="67" t="s">
        <v>5853</v>
      </c>
      <c r="FA729" s="67">
        <v>20856.25</v>
      </c>
      <c r="FB729" s="67" t="s">
        <v>5854</v>
      </c>
      <c r="FC729" s="67" t="s">
        <v>5855</v>
      </c>
      <c r="FD729" s="67" t="s">
        <v>5856</v>
      </c>
      <c r="FE729" s="68" t="s">
        <v>5857</v>
      </c>
      <c r="FF729" s="68" t="s">
        <v>5858</v>
      </c>
    </row>
    <row r="730" spans="151:162" x14ac:dyDescent="0.2">
      <c r="EU730" s="67">
        <v>582.41999999999996</v>
      </c>
      <c r="EV730" s="67" t="s">
        <v>5859</v>
      </c>
      <c r="EW730" s="67">
        <v>507.94</v>
      </c>
      <c r="EX730" s="67" t="s">
        <v>5860</v>
      </c>
      <c r="EY730" s="67">
        <v>5836.5</v>
      </c>
      <c r="EZ730" s="67" t="s">
        <v>5861</v>
      </c>
      <c r="FA730" s="67">
        <v>20859.5</v>
      </c>
      <c r="FB730" s="67" t="s">
        <v>5862</v>
      </c>
      <c r="FC730" s="67" t="s">
        <v>5863</v>
      </c>
      <c r="FD730" s="67" t="s">
        <v>5864</v>
      </c>
      <c r="FE730" s="68" t="s">
        <v>5865</v>
      </c>
      <c r="FF730" s="68" t="s">
        <v>5866</v>
      </c>
    </row>
    <row r="731" spans="151:162" x14ac:dyDescent="0.2">
      <c r="EU731" s="67">
        <v>582.47</v>
      </c>
      <c r="EV731" s="67" t="s">
        <v>5867</v>
      </c>
      <c r="EW731" s="67">
        <v>508</v>
      </c>
      <c r="EX731" s="67" t="s">
        <v>5868</v>
      </c>
      <c r="EY731" s="67">
        <v>5837</v>
      </c>
      <c r="EZ731" s="67" t="s">
        <v>5869</v>
      </c>
      <c r="FA731" s="67">
        <v>20862.25</v>
      </c>
      <c r="FB731" s="67" t="s">
        <v>5870</v>
      </c>
      <c r="FC731" s="67" t="s">
        <v>5871</v>
      </c>
      <c r="FD731" s="67" t="s">
        <v>5872</v>
      </c>
      <c r="FE731" s="68" t="s">
        <v>5873</v>
      </c>
      <c r="FF731" s="68" t="s">
        <v>5874</v>
      </c>
    </row>
    <row r="732" spans="151:162" x14ac:dyDescent="0.2">
      <c r="EU732" s="67">
        <v>582.41999999999996</v>
      </c>
      <c r="EV732" s="67" t="s">
        <v>5875</v>
      </c>
      <c r="EW732" s="67">
        <v>507.88</v>
      </c>
      <c r="EX732" s="67" t="s">
        <v>5876</v>
      </c>
      <c r="EY732" s="67">
        <v>5836.5</v>
      </c>
      <c r="EZ732" s="67" t="s">
        <v>5877</v>
      </c>
      <c r="FA732" s="67">
        <v>20856.5</v>
      </c>
      <c r="FB732" s="67" t="s">
        <v>5878</v>
      </c>
      <c r="FC732" s="67" t="s">
        <v>5879</v>
      </c>
      <c r="FD732" s="67" t="s">
        <v>5880</v>
      </c>
      <c r="FE732" s="68" t="s">
        <v>5881</v>
      </c>
      <c r="FF732" s="68" t="s">
        <v>5882</v>
      </c>
    </row>
    <row r="733" spans="151:162" x14ac:dyDescent="0.2">
      <c r="EU733" s="67">
        <v>582.19000000000005</v>
      </c>
      <c r="EV733" s="67" t="s">
        <v>5883</v>
      </c>
      <c r="EW733" s="67">
        <v>507.69</v>
      </c>
      <c r="EX733" s="67" t="s">
        <v>5884</v>
      </c>
      <c r="EY733" s="67">
        <v>5834.5</v>
      </c>
      <c r="EZ733" s="67" t="s">
        <v>5885</v>
      </c>
      <c r="FA733" s="67">
        <v>20850</v>
      </c>
      <c r="FB733" s="67" t="s">
        <v>5886</v>
      </c>
      <c r="FC733" s="67" t="s">
        <v>5887</v>
      </c>
      <c r="FD733" s="67" t="s">
        <v>5888</v>
      </c>
      <c r="FE733" s="68" t="s">
        <v>5889</v>
      </c>
      <c r="FF733" s="68" t="s">
        <v>5890</v>
      </c>
    </row>
    <row r="734" spans="151:162" x14ac:dyDescent="0.2">
      <c r="EU734" s="67">
        <v>582.12</v>
      </c>
      <c r="EV734" s="67" t="s">
        <v>5891</v>
      </c>
      <c r="EW734" s="67">
        <v>507.7</v>
      </c>
      <c r="EX734" s="67" t="s">
        <v>5892</v>
      </c>
      <c r="EY734" s="67">
        <v>5833.25</v>
      </c>
      <c r="EZ734" s="67" t="s">
        <v>5893</v>
      </c>
      <c r="FA734" s="67">
        <v>20849.75</v>
      </c>
      <c r="FB734" s="67" t="s">
        <v>5894</v>
      </c>
      <c r="FC734" s="67" t="s">
        <v>5895</v>
      </c>
      <c r="FD734" s="67" t="s">
        <v>5896</v>
      </c>
      <c r="FE734" s="68" t="s">
        <v>5897</v>
      </c>
      <c r="FF734" s="68" t="s">
        <v>5898</v>
      </c>
    </row>
    <row r="735" spans="151:162" x14ac:dyDescent="0.2">
      <c r="EU735" s="67">
        <v>582.16</v>
      </c>
      <c r="EV735" s="67" t="s">
        <v>5899</v>
      </c>
      <c r="EW735" s="67">
        <v>507.75</v>
      </c>
      <c r="EX735" s="67" t="s">
        <v>5900</v>
      </c>
      <c r="EY735" s="67">
        <v>5834</v>
      </c>
      <c r="EZ735" s="67" t="s">
        <v>5901</v>
      </c>
      <c r="FA735" s="67">
        <v>20851.5</v>
      </c>
      <c r="FB735" s="67" t="s">
        <v>5902</v>
      </c>
      <c r="FC735" s="67" t="s">
        <v>5903</v>
      </c>
      <c r="FD735" s="67" t="s">
        <v>5904</v>
      </c>
      <c r="FE735" s="68" t="s">
        <v>5905</v>
      </c>
      <c r="FF735" s="68" t="s">
        <v>5906</v>
      </c>
    </row>
    <row r="736" spans="151:162" x14ac:dyDescent="0.2">
      <c r="EU736" s="67">
        <v>582.03</v>
      </c>
      <c r="EV736" s="67" t="s">
        <v>5907</v>
      </c>
      <c r="EW736" s="67">
        <v>507.64</v>
      </c>
      <c r="EX736" s="67" t="s">
        <v>5908</v>
      </c>
      <c r="EY736" s="67">
        <v>5832.5</v>
      </c>
      <c r="EZ736" s="67" t="s">
        <v>5909</v>
      </c>
      <c r="FA736" s="67">
        <v>20846.75</v>
      </c>
      <c r="FB736" s="67" t="s">
        <v>5910</v>
      </c>
      <c r="FC736" s="67" t="s">
        <v>5911</v>
      </c>
      <c r="FD736" s="67" t="s">
        <v>5912</v>
      </c>
      <c r="FE736" s="68" t="s">
        <v>5913</v>
      </c>
      <c r="FF736" s="68" t="s">
        <v>5914</v>
      </c>
    </row>
    <row r="737" spans="151:162" x14ac:dyDescent="0.2">
      <c r="EU737" s="67">
        <v>581.89</v>
      </c>
      <c r="EV737" s="67" t="s">
        <v>5915</v>
      </c>
      <c r="EW737" s="67">
        <v>507.54</v>
      </c>
      <c r="EX737" s="67" t="s">
        <v>5916</v>
      </c>
      <c r="EY737" s="67">
        <v>5831.25</v>
      </c>
      <c r="EZ737" s="67" t="s">
        <v>5917</v>
      </c>
      <c r="FA737" s="67">
        <v>20842.75</v>
      </c>
      <c r="FB737" s="67" t="s">
        <v>5918</v>
      </c>
      <c r="FC737" s="67" t="s">
        <v>5919</v>
      </c>
      <c r="FD737" s="67" t="s">
        <v>5920</v>
      </c>
      <c r="FE737" s="68" t="s">
        <v>5921</v>
      </c>
      <c r="FF737" s="68" t="s">
        <v>5922</v>
      </c>
    </row>
    <row r="738" spans="151:162" x14ac:dyDescent="0.2">
      <c r="EU738" s="67">
        <v>581.79</v>
      </c>
      <c r="EV738" s="67" t="s">
        <v>5923</v>
      </c>
      <c r="EW738" s="67">
        <v>507.38</v>
      </c>
      <c r="EX738" s="67" t="s">
        <v>5924</v>
      </c>
      <c r="EY738" s="67">
        <v>5830</v>
      </c>
      <c r="EZ738" s="67" t="s">
        <v>5925</v>
      </c>
      <c r="FA738" s="67">
        <v>20836.5</v>
      </c>
      <c r="FB738" s="67" t="s">
        <v>5926</v>
      </c>
      <c r="FC738" s="67" t="s">
        <v>5927</v>
      </c>
      <c r="FD738" s="67" t="s">
        <v>5928</v>
      </c>
      <c r="FE738" s="68" t="s">
        <v>5929</v>
      </c>
      <c r="FF738" s="68" t="s">
        <v>5930</v>
      </c>
    </row>
    <row r="739" spans="151:162" x14ac:dyDescent="0.2">
      <c r="EU739" s="67">
        <v>581.79999999999995</v>
      </c>
      <c r="EV739" s="67" t="s">
        <v>5931</v>
      </c>
      <c r="EW739" s="67">
        <v>507.39</v>
      </c>
      <c r="EX739" s="67" t="s">
        <v>5932</v>
      </c>
      <c r="EY739" s="67">
        <v>5829.75</v>
      </c>
      <c r="EZ739" s="67" t="s">
        <v>5933</v>
      </c>
      <c r="FA739" s="67">
        <v>20837.25</v>
      </c>
      <c r="FB739" s="67" t="s">
        <v>5934</v>
      </c>
      <c r="FC739" s="67" t="s">
        <v>5935</v>
      </c>
      <c r="FD739" s="67" t="s">
        <v>5936</v>
      </c>
      <c r="FE739" s="68" t="s">
        <v>5937</v>
      </c>
      <c r="FF739" s="68" t="s">
        <v>5938</v>
      </c>
    </row>
    <row r="740" spans="151:162" x14ac:dyDescent="0.2">
      <c r="EU740" s="67">
        <v>581.46</v>
      </c>
      <c r="EV740" s="67" t="s">
        <v>5939</v>
      </c>
      <c r="EW740" s="67">
        <v>507.05</v>
      </c>
      <c r="EX740" s="67" t="s">
        <v>5940</v>
      </c>
      <c r="EY740" s="67">
        <v>5826.75</v>
      </c>
      <c r="EZ740" s="67" t="s">
        <v>5941</v>
      </c>
      <c r="FA740" s="67">
        <v>20821</v>
      </c>
      <c r="FB740" s="67" t="s">
        <v>5942</v>
      </c>
      <c r="FC740" s="67" t="s">
        <v>5943</v>
      </c>
      <c r="FD740" s="67" t="s">
        <v>5944</v>
      </c>
      <c r="FE740" s="68" t="s">
        <v>5945</v>
      </c>
      <c r="FF740" s="68" t="s">
        <v>5946</v>
      </c>
    </row>
    <row r="741" spans="151:162" x14ac:dyDescent="0.2">
      <c r="EU741" s="67">
        <v>581.25</v>
      </c>
      <c r="EV741" s="67" t="s">
        <v>5947</v>
      </c>
      <c r="EW741" s="67">
        <v>506.81</v>
      </c>
      <c r="EX741" s="67" t="s">
        <v>5948</v>
      </c>
      <c r="EY741" s="67">
        <v>5824.75</v>
      </c>
      <c r="EZ741" s="67" t="s">
        <v>5949</v>
      </c>
      <c r="FA741" s="67">
        <v>20813.5</v>
      </c>
      <c r="FB741" s="67" t="s">
        <v>5950</v>
      </c>
      <c r="FC741" s="67" t="s">
        <v>5951</v>
      </c>
      <c r="FD741" s="67" t="s">
        <v>5952</v>
      </c>
      <c r="FE741" s="68" t="s">
        <v>5953</v>
      </c>
      <c r="FF741" s="68" t="s">
        <v>5954</v>
      </c>
    </row>
    <row r="742" spans="151:162" x14ac:dyDescent="0.2">
      <c r="EU742" s="67">
        <v>581.26</v>
      </c>
      <c r="EV742" s="67" t="s">
        <v>5955</v>
      </c>
      <c r="EW742" s="67">
        <v>506.84</v>
      </c>
      <c r="EX742" s="67" t="s">
        <v>5956</v>
      </c>
      <c r="EY742" s="67">
        <v>5824.75</v>
      </c>
      <c r="EZ742" s="67" t="s">
        <v>5957</v>
      </c>
      <c r="FA742" s="67">
        <v>20814.25</v>
      </c>
      <c r="FB742" s="67" t="s">
        <v>5958</v>
      </c>
      <c r="FC742" s="67" t="s">
        <v>5959</v>
      </c>
      <c r="FD742" s="67" t="s">
        <v>5960</v>
      </c>
      <c r="FE742" s="68" t="s">
        <v>5961</v>
      </c>
      <c r="FF742" s="68" t="s">
        <v>5962</v>
      </c>
    </row>
    <row r="743" spans="151:162" x14ac:dyDescent="0.2">
      <c r="EU743" s="67">
        <v>581.37</v>
      </c>
      <c r="EV743" s="67" t="s">
        <v>5963</v>
      </c>
      <c r="EW743" s="67">
        <v>506.97</v>
      </c>
      <c r="EX743" s="67" t="s">
        <v>5964</v>
      </c>
      <c r="EY743" s="67">
        <v>5826</v>
      </c>
      <c r="EZ743" s="67" t="s">
        <v>5965</v>
      </c>
      <c r="FA743" s="67">
        <v>20820.25</v>
      </c>
      <c r="FB743" s="67" t="s">
        <v>5966</v>
      </c>
      <c r="FC743" s="67" t="s">
        <v>5967</v>
      </c>
      <c r="FD743" s="67" t="s">
        <v>5968</v>
      </c>
      <c r="FE743" s="68" t="s">
        <v>5969</v>
      </c>
      <c r="FF743" s="68" t="s">
        <v>5970</v>
      </c>
    </row>
    <row r="744" spans="151:162" x14ac:dyDescent="0.2">
      <c r="EU744" s="67">
        <v>581.33000000000004</v>
      </c>
      <c r="EV744" s="67" t="s">
        <v>5971</v>
      </c>
      <c r="EW744" s="67">
        <v>506.95</v>
      </c>
      <c r="EX744" s="67" t="s">
        <v>5972</v>
      </c>
      <c r="EY744" s="67">
        <v>5825.5</v>
      </c>
      <c r="EZ744" s="67" t="s">
        <v>5973</v>
      </c>
      <c r="FA744" s="67">
        <v>20817.75</v>
      </c>
      <c r="FB744" s="67" t="s">
        <v>5974</v>
      </c>
      <c r="FC744" s="67" t="s">
        <v>5975</v>
      </c>
      <c r="FD744" s="67" t="s">
        <v>5976</v>
      </c>
      <c r="FE744" s="68" t="s">
        <v>5977</v>
      </c>
      <c r="FF744" s="68" t="s">
        <v>5978</v>
      </c>
    </row>
    <row r="745" spans="151:162" x14ac:dyDescent="0.2">
      <c r="EU745" s="67">
        <v>581.16</v>
      </c>
      <c r="EV745" s="67" t="s">
        <v>5979</v>
      </c>
      <c r="EW745" s="67">
        <v>506.77</v>
      </c>
      <c r="EX745" s="67" t="s">
        <v>5980</v>
      </c>
      <c r="EY745" s="67">
        <v>5823.75</v>
      </c>
      <c r="EZ745" s="67" t="s">
        <v>5981</v>
      </c>
      <c r="FA745" s="67">
        <v>20812</v>
      </c>
      <c r="FB745" s="67" t="s">
        <v>5982</v>
      </c>
      <c r="FC745" s="67" t="s">
        <v>5983</v>
      </c>
      <c r="FD745" s="67" t="s">
        <v>5984</v>
      </c>
      <c r="FE745" s="68" t="s">
        <v>5985</v>
      </c>
      <c r="FF745" s="68" t="s">
        <v>5986</v>
      </c>
    </row>
    <row r="746" spans="151:162" x14ac:dyDescent="0.2">
      <c r="EU746" s="67">
        <v>581.26</v>
      </c>
      <c r="EV746" s="67" t="s">
        <v>5987</v>
      </c>
      <c r="EW746" s="67">
        <v>506.85</v>
      </c>
      <c r="EX746" s="67" t="s">
        <v>5988</v>
      </c>
      <c r="EY746" s="67">
        <v>5824.5</v>
      </c>
      <c r="EZ746" s="67" t="s">
        <v>5989</v>
      </c>
      <c r="FA746" s="67">
        <v>20813.75</v>
      </c>
      <c r="FB746" s="67" t="s">
        <v>5990</v>
      </c>
      <c r="FC746" s="67" t="s">
        <v>5991</v>
      </c>
      <c r="FD746" s="67" t="s">
        <v>5992</v>
      </c>
      <c r="FE746" s="68" t="s">
        <v>5993</v>
      </c>
      <c r="FF746" s="68" t="s">
        <v>5994</v>
      </c>
    </row>
    <row r="747" spans="151:162" x14ac:dyDescent="0.2">
      <c r="EU747" s="67">
        <v>581.20000000000005</v>
      </c>
      <c r="EV747" s="67" t="s">
        <v>5995</v>
      </c>
      <c r="EW747" s="67">
        <v>506.85</v>
      </c>
      <c r="EX747" s="67" t="s">
        <v>5996</v>
      </c>
      <c r="EY747" s="67">
        <v>5824</v>
      </c>
      <c r="EZ747" s="67" t="s">
        <v>5997</v>
      </c>
      <c r="FA747" s="67">
        <v>20814.5</v>
      </c>
      <c r="FB747" s="67" t="s">
        <v>5998</v>
      </c>
      <c r="FC747" s="67" t="s">
        <v>5999</v>
      </c>
      <c r="FD747" s="67" t="s">
        <v>6000</v>
      </c>
      <c r="FE747" s="68" t="s">
        <v>6001</v>
      </c>
      <c r="FF747" s="68" t="s">
        <v>6002</v>
      </c>
    </row>
    <row r="748" spans="151:162" x14ac:dyDescent="0.2">
      <c r="EU748" s="67">
        <v>581.16999999999996</v>
      </c>
      <c r="EV748" s="67" t="s">
        <v>6003</v>
      </c>
      <c r="EW748" s="67">
        <v>506.88</v>
      </c>
      <c r="EX748" s="67" t="s">
        <v>6004</v>
      </c>
      <c r="EY748" s="67">
        <v>5823.75</v>
      </c>
      <c r="EZ748" s="67" t="s">
        <v>6005</v>
      </c>
      <c r="FA748" s="67">
        <v>20815.75</v>
      </c>
      <c r="FB748" s="67" t="s">
        <v>6006</v>
      </c>
      <c r="FC748" s="67" t="s">
        <v>6007</v>
      </c>
      <c r="FD748" s="67" t="s">
        <v>6008</v>
      </c>
      <c r="FE748" s="68" t="s">
        <v>6009</v>
      </c>
      <c r="FF748" s="68" t="s">
        <v>6010</v>
      </c>
    </row>
    <row r="749" spans="151:162" x14ac:dyDescent="0.2">
      <c r="EU749" s="67">
        <v>581.36</v>
      </c>
      <c r="EV749" s="67" t="s">
        <v>6011</v>
      </c>
      <c r="EW749" s="67">
        <v>507.1</v>
      </c>
      <c r="EX749" s="67" t="s">
        <v>6012</v>
      </c>
      <c r="EY749" s="67">
        <v>5825.75</v>
      </c>
      <c r="EZ749" s="67" t="s">
        <v>6013</v>
      </c>
      <c r="FA749" s="67">
        <v>20825</v>
      </c>
      <c r="FB749" s="67" t="s">
        <v>6014</v>
      </c>
      <c r="FC749" s="67" t="s">
        <v>6015</v>
      </c>
      <c r="FD749" s="67" t="s">
        <v>6016</v>
      </c>
      <c r="FE749" s="68" t="s">
        <v>6017</v>
      </c>
      <c r="FF749" s="68" t="s">
        <v>6018</v>
      </c>
    </row>
    <row r="750" spans="151:162" x14ac:dyDescent="0.2">
      <c r="EU750" s="67">
        <v>581.46</v>
      </c>
      <c r="EV750" s="67" t="s">
        <v>6019</v>
      </c>
      <c r="EW750" s="67">
        <v>507.11</v>
      </c>
      <c r="EX750" s="67" t="s">
        <v>6020</v>
      </c>
      <c r="EY750" s="67">
        <v>5826.75</v>
      </c>
      <c r="EZ750" s="67" t="s">
        <v>6021</v>
      </c>
      <c r="FA750" s="67">
        <v>20825</v>
      </c>
      <c r="FB750" s="67" t="s">
        <v>6022</v>
      </c>
      <c r="FC750" s="67" t="s">
        <v>6023</v>
      </c>
      <c r="FD750" s="67" t="s">
        <v>6024</v>
      </c>
      <c r="FE750" s="68" t="s">
        <v>6025</v>
      </c>
      <c r="FF750" s="68" t="s">
        <v>6026</v>
      </c>
    </row>
    <row r="751" spans="151:162" x14ac:dyDescent="0.2">
      <c r="EU751" s="67">
        <v>581.51</v>
      </c>
      <c r="EV751" s="67" t="s">
        <v>6027</v>
      </c>
      <c r="EW751" s="67">
        <v>507.12</v>
      </c>
      <c r="EX751" s="67" t="s">
        <v>6028</v>
      </c>
      <c r="EY751" s="67">
        <v>5827</v>
      </c>
      <c r="EZ751" s="67" t="s">
        <v>6029</v>
      </c>
      <c r="FA751" s="67">
        <v>20825.75</v>
      </c>
      <c r="FB751" s="67" t="s">
        <v>6030</v>
      </c>
      <c r="FC751" s="67" t="s">
        <v>6031</v>
      </c>
      <c r="FD751" s="67" t="s">
        <v>6032</v>
      </c>
      <c r="FE751" s="68" t="s">
        <v>6033</v>
      </c>
      <c r="FF751" s="68" t="s">
        <v>6034</v>
      </c>
    </row>
    <row r="752" spans="151:162" x14ac:dyDescent="0.2">
      <c r="EU752" s="67">
        <v>581.62</v>
      </c>
      <c r="EV752" s="67" t="s">
        <v>6035</v>
      </c>
      <c r="EW752" s="67">
        <v>507.24</v>
      </c>
      <c r="EX752" s="67" t="s">
        <v>6036</v>
      </c>
      <c r="EY752" s="67">
        <v>5828.5</v>
      </c>
      <c r="EZ752" s="67" t="s">
        <v>6037</v>
      </c>
      <c r="FA752" s="67">
        <v>20831.5</v>
      </c>
      <c r="FB752" s="67" t="s">
        <v>6038</v>
      </c>
      <c r="FC752" s="67" t="s">
        <v>6039</v>
      </c>
      <c r="FD752" s="67" t="s">
        <v>6040</v>
      </c>
      <c r="FE752" s="68" t="s">
        <v>6041</v>
      </c>
      <c r="FF752" s="68" t="s">
        <v>6042</v>
      </c>
    </row>
    <row r="753" spans="151:162" x14ac:dyDescent="0.2">
      <c r="EU753" s="67">
        <v>581.54</v>
      </c>
      <c r="EV753" s="67" t="s">
        <v>6043</v>
      </c>
      <c r="EW753" s="67">
        <v>507.2</v>
      </c>
      <c r="EX753" s="67" t="s">
        <v>6044</v>
      </c>
      <c r="EY753" s="67">
        <v>5827.75</v>
      </c>
      <c r="EZ753" s="67" t="s">
        <v>6045</v>
      </c>
      <c r="FA753" s="67">
        <v>20829</v>
      </c>
      <c r="FB753" s="67" t="s">
        <v>6046</v>
      </c>
      <c r="FC753" s="67" t="s">
        <v>6047</v>
      </c>
      <c r="FD753" s="67" t="s">
        <v>6048</v>
      </c>
      <c r="FE753" s="68" t="s">
        <v>6049</v>
      </c>
      <c r="FF753" s="68" t="s">
        <v>6050</v>
      </c>
    </row>
    <row r="754" spans="151:162" x14ac:dyDescent="0.2">
      <c r="EU754" s="67">
        <v>581.57000000000005</v>
      </c>
      <c r="EV754" s="67" t="s">
        <v>6051</v>
      </c>
      <c r="EW754" s="67">
        <v>507.19</v>
      </c>
      <c r="EX754" s="67" t="s">
        <v>6052</v>
      </c>
      <c r="EY754" s="67">
        <v>5827.75</v>
      </c>
      <c r="EZ754" s="67" t="s">
        <v>6053</v>
      </c>
      <c r="FA754" s="67">
        <v>20828.5</v>
      </c>
      <c r="FB754" s="67" t="s">
        <v>6054</v>
      </c>
      <c r="FC754" s="67" t="s">
        <v>6055</v>
      </c>
      <c r="FD754" s="67" t="s">
        <v>6056</v>
      </c>
      <c r="FE754" s="68" t="s">
        <v>6057</v>
      </c>
      <c r="FF754" s="68" t="s">
        <v>6058</v>
      </c>
    </row>
    <row r="755" spans="151:162" x14ac:dyDescent="0.2">
      <c r="EU755" s="67">
        <v>581.62</v>
      </c>
      <c r="EV755" s="67" t="s">
        <v>6059</v>
      </c>
      <c r="EW755" s="67">
        <v>507.24</v>
      </c>
      <c r="EX755" s="67" t="s">
        <v>6060</v>
      </c>
      <c r="EY755" s="67">
        <v>5828.5</v>
      </c>
      <c r="EZ755" s="67" t="s">
        <v>6061</v>
      </c>
      <c r="FA755" s="67">
        <v>20830.75</v>
      </c>
      <c r="FB755" s="67" t="s">
        <v>6062</v>
      </c>
      <c r="FC755" s="67" t="s">
        <v>6063</v>
      </c>
      <c r="FD755" s="67" t="s">
        <v>6064</v>
      </c>
      <c r="FE755" s="68" t="s">
        <v>6065</v>
      </c>
      <c r="FF755" s="68" t="s">
        <v>6066</v>
      </c>
    </row>
    <row r="756" spans="151:162" x14ac:dyDescent="0.2">
      <c r="EU756" s="67">
        <v>581.25</v>
      </c>
      <c r="EV756" s="67" t="s">
        <v>6067</v>
      </c>
      <c r="EW756" s="67">
        <v>506.91</v>
      </c>
      <c r="EX756" s="67" t="s">
        <v>6068</v>
      </c>
      <c r="EY756" s="67">
        <v>5824.5</v>
      </c>
      <c r="EZ756" s="67" t="s">
        <v>6069</v>
      </c>
      <c r="FA756" s="67">
        <v>20817.25</v>
      </c>
      <c r="FB756" s="67" t="s">
        <v>6070</v>
      </c>
      <c r="FC756" s="67" t="s">
        <v>6071</v>
      </c>
      <c r="FD756" s="67" t="s">
        <v>6072</v>
      </c>
      <c r="FE756" s="68" t="s">
        <v>6073</v>
      </c>
      <c r="FF756" s="68" t="s">
        <v>6074</v>
      </c>
    </row>
    <row r="757" spans="151:162" x14ac:dyDescent="0.2">
      <c r="EU757" s="67">
        <v>581.5</v>
      </c>
      <c r="EV757" s="67" t="s">
        <v>6075</v>
      </c>
      <c r="EW757" s="67">
        <v>507.13</v>
      </c>
      <c r="EX757" s="67" t="s">
        <v>6076</v>
      </c>
      <c r="EY757" s="67">
        <v>5827</v>
      </c>
      <c r="EZ757" s="67" t="s">
        <v>6077</v>
      </c>
      <c r="FA757" s="67">
        <v>20826.75</v>
      </c>
      <c r="FB757" s="67" t="s">
        <v>6078</v>
      </c>
      <c r="FC757" s="67" t="s">
        <v>6079</v>
      </c>
      <c r="FD757" s="67" t="s">
        <v>6080</v>
      </c>
      <c r="FE757" s="68" t="s">
        <v>6081</v>
      </c>
      <c r="FF757" s="68" t="s">
        <v>6082</v>
      </c>
    </row>
    <row r="758" spans="151:162" x14ac:dyDescent="0.2">
      <c r="EU758" s="67">
        <v>581.54999999999995</v>
      </c>
      <c r="EV758" s="67" t="s">
        <v>6083</v>
      </c>
      <c r="EW758" s="67">
        <v>507.09</v>
      </c>
      <c r="EX758" s="67" t="s">
        <v>6084</v>
      </c>
      <c r="EY758" s="67">
        <v>5827.25</v>
      </c>
      <c r="EZ758" s="67" t="s">
        <v>6085</v>
      </c>
      <c r="FA758" s="67">
        <v>20824</v>
      </c>
      <c r="FB758" s="67" t="s">
        <v>6086</v>
      </c>
      <c r="FC758" s="67" t="s">
        <v>6087</v>
      </c>
      <c r="FD758" s="67" t="s">
        <v>6088</v>
      </c>
      <c r="FE758" s="68" t="s">
        <v>6089</v>
      </c>
      <c r="FF758" s="68" t="s">
        <v>6090</v>
      </c>
    </row>
    <row r="759" spans="151:162" x14ac:dyDescent="0.2">
      <c r="EU759" s="67">
        <v>581.59</v>
      </c>
      <c r="EV759" s="67" t="s">
        <v>6091</v>
      </c>
      <c r="EW759" s="67">
        <v>507.15</v>
      </c>
      <c r="EX759" s="67" t="s">
        <v>6092</v>
      </c>
      <c r="EY759" s="67">
        <v>5827.5</v>
      </c>
      <c r="EZ759" s="67" t="s">
        <v>6093</v>
      </c>
      <c r="FA759" s="67">
        <v>20825.25</v>
      </c>
      <c r="FB759" s="67" t="s">
        <v>6094</v>
      </c>
      <c r="FC759" s="67" t="s">
        <v>6095</v>
      </c>
      <c r="FD759" s="67" t="s">
        <v>6096</v>
      </c>
      <c r="FE759" s="68" t="s">
        <v>6097</v>
      </c>
      <c r="FF759" s="68" t="s">
        <v>6098</v>
      </c>
    </row>
    <row r="760" spans="151:162" x14ac:dyDescent="0.2">
      <c r="EU760" s="67">
        <v>581.78</v>
      </c>
      <c r="EV760" s="67" t="s">
        <v>6099</v>
      </c>
      <c r="EW760" s="67">
        <v>507.23</v>
      </c>
      <c r="EX760" s="67" t="s">
        <v>6100</v>
      </c>
      <c r="EY760" s="67">
        <v>5829.5</v>
      </c>
      <c r="EZ760" s="67" t="s">
        <v>6101</v>
      </c>
      <c r="FA760" s="67">
        <v>20830</v>
      </c>
      <c r="FB760" s="67" t="s">
        <v>6102</v>
      </c>
      <c r="FC760" s="67" t="s">
        <v>6103</v>
      </c>
      <c r="FD760" s="67" t="s">
        <v>6104</v>
      </c>
      <c r="FE760" s="68" t="s">
        <v>6105</v>
      </c>
      <c r="FF760" s="68" t="s">
        <v>6106</v>
      </c>
    </row>
    <row r="761" spans="151:162" x14ac:dyDescent="0.2">
      <c r="EU761" s="67">
        <v>581.70000000000005</v>
      </c>
      <c r="EV761" s="67" t="s">
        <v>6107</v>
      </c>
      <c r="EW761" s="67">
        <v>507.13</v>
      </c>
      <c r="EX761" s="67" t="s">
        <v>6108</v>
      </c>
      <c r="EY761" s="67">
        <v>5828.5</v>
      </c>
      <c r="EZ761" s="67" t="s">
        <v>6109</v>
      </c>
      <c r="FA761" s="67">
        <v>20824.75</v>
      </c>
      <c r="FB761" s="67" t="s">
        <v>6110</v>
      </c>
      <c r="FC761" s="67" t="s">
        <v>6111</v>
      </c>
      <c r="FD761" s="67" t="s">
        <v>6112</v>
      </c>
      <c r="FE761" s="68" t="s">
        <v>6113</v>
      </c>
      <c r="FF761" s="68" t="s">
        <v>6114</v>
      </c>
    </row>
    <row r="762" spans="151:162" x14ac:dyDescent="0.2">
      <c r="EU762" s="67">
        <v>580.97</v>
      </c>
      <c r="EV762" s="67" t="s">
        <v>8516</v>
      </c>
      <c r="EW762" s="67">
        <v>506.3</v>
      </c>
      <c r="EX762" s="67" t="s">
        <v>8517</v>
      </c>
      <c r="EY762" s="67">
        <v>5821.25</v>
      </c>
      <c r="EZ762" s="67" t="s">
        <v>8518</v>
      </c>
      <c r="FA762" s="67">
        <v>20791.25</v>
      </c>
      <c r="FB762" s="67" t="s">
        <v>8519</v>
      </c>
      <c r="FC762" s="67" t="s">
        <v>8520</v>
      </c>
      <c r="FD762" s="67" t="s">
        <v>8521</v>
      </c>
      <c r="FE762" s="68" t="s">
        <v>8522</v>
      </c>
      <c r="FF762" s="68" t="s">
        <v>8523</v>
      </c>
    </row>
    <row r="763" spans="151:162" x14ac:dyDescent="0.2">
      <c r="EU763" s="67">
        <v>580.10500000000002</v>
      </c>
      <c r="EV763" s="67" t="s">
        <v>8524</v>
      </c>
      <c r="EW763" s="67">
        <v>505.1</v>
      </c>
      <c r="EX763" s="67" t="s">
        <v>8525</v>
      </c>
      <c r="EY763" s="67">
        <v>5812.5</v>
      </c>
      <c r="EZ763" s="67" t="s">
        <v>8526</v>
      </c>
      <c r="FA763" s="67">
        <v>20740.25</v>
      </c>
      <c r="FB763" s="67" t="s">
        <v>8527</v>
      </c>
      <c r="FC763" s="67" t="s">
        <v>8528</v>
      </c>
      <c r="FD763" s="67" t="s">
        <v>8529</v>
      </c>
      <c r="FE763" s="68" t="s">
        <v>8530</v>
      </c>
      <c r="FF763" s="68" t="s">
        <v>8531</v>
      </c>
    </row>
    <row r="764" spans="151:162" x14ac:dyDescent="0.2">
      <c r="EU764" s="67">
        <v>579.6</v>
      </c>
      <c r="EV764" s="67" t="s">
        <v>8532</v>
      </c>
      <c r="EW764" s="67">
        <v>504.75</v>
      </c>
      <c r="EX764" s="67" t="s">
        <v>8533</v>
      </c>
      <c r="EY764" s="67">
        <v>5807.75</v>
      </c>
      <c r="EZ764" s="67" t="s">
        <v>8534</v>
      </c>
      <c r="FA764" s="67">
        <v>20726</v>
      </c>
      <c r="FB764" s="67" t="s">
        <v>8535</v>
      </c>
      <c r="FC764" s="67" t="s">
        <v>8536</v>
      </c>
      <c r="FD764" s="67" t="s">
        <v>8537</v>
      </c>
      <c r="FE764" s="68" t="s">
        <v>8538</v>
      </c>
      <c r="FF764" s="68" t="s">
        <v>8539</v>
      </c>
    </row>
    <row r="765" spans="151:162" x14ac:dyDescent="0.2">
      <c r="EU765" s="67">
        <v>579.67499999999995</v>
      </c>
      <c r="EV765" s="67" t="s">
        <v>8540</v>
      </c>
      <c r="EW765" s="67">
        <v>504.8</v>
      </c>
      <c r="EX765" s="67" t="s">
        <v>8541</v>
      </c>
      <c r="EY765" s="67">
        <v>5808.75</v>
      </c>
      <c r="EZ765" s="67" t="s">
        <v>8542</v>
      </c>
      <c r="FA765" s="67">
        <v>20728.75</v>
      </c>
      <c r="FB765" s="67" t="s">
        <v>8543</v>
      </c>
      <c r="FC765" s="67" t="s">
        <v>8544</v>
      </c>
      <c r="FD765" s="67" t="s">
        <v>8545</v>
      </c>
      <c r="FE765" s="68" t="s">
        <v>8546</v>
      </c>
      <c r="FF765" s="68" t="s">
        <v>8547</v>
      </c>
    </row>
    <row r="766" spans="151:162" x14ac:dyDescent="0.2">
      <c r="EU766" s="67">
        <v>579.46</v>
      </c>
      <c r="EV766" s="67" t="s">
        <v>8548</v>
      </c>
      <c r="EW766" s="67">
        <v>504.41</v>
      </c>
      <c r="EX766" s="67" t="s">
        <v>8549</v>
      </c>
      <c r="EY766" s="67">
        <v>5806.25</v>
      </c>
      <c r="EZ766" s="67" t="s">
        <v>8550</v>
      </c>
      <c r="FA766" s="67">
        <v>20711.5</v>
      </c>
      <c r="FB766" s="67" t="s">
        <v>8551</v>
      </c>
      <c r="FC766" s="67" t="s">
        <v>8552</v>
      </c>
      <c r="FD766" s="67" t="s">
        <v>8553</v>
      </c>
      <c r="FE766" s="68" t="s">
        <v>8554</v>
      </c>
      <c r="FF766" s="68" t="s">
        <v>8555</v>
      </c>
    </row>
    <row r="767" spans="151:162" x14ac:dyDescent="0.2">
      <c r="EU767" s="67">
        <v>579.20000000000005</v>
      </c>
      <c r="EV767" s="67" t="s">
        <v>8556</v>
      </c>
      <c r="EW767" s="67">
        <v>504.21</v>
      </c>
      <c r="EX767" s="67" t="s">
        <v>8557</v>
      </c>
      <c r="EY767" s="67">
        <v>5803.5</v>
      </c>
      <c r="EZ767" s="67" t="s">
        <v>8558</v>
      </c>
      <c r="FA767" s="67">
        <v>20704.25</v>
      </c>
      <c r="FB767" s="67" t="s">
        <v>8559</v>
      </c>
      <c r="FC767" s="67" t="s">
        <v>8560</v>
      </c>
      <c r="FD767" s="67" t="s">
        <v>8561</v>
      </c>
      <c r="FE767" s="68" t="s">
        <v>8562</v>
      </c>
      <c r="FF767" s="68" t="s">
        <v>8563</v>
      </c>
    </row>
    <row r="768" spans="151:162" x14ac:dyDescent="0.2">
      <c r="EU768" s="67">
        <v>579.03</v>
      </c>
      <c r="EV768" s="67" t="s">
        <v>8564</v>
      </c>
      <c r="EW768" s="67">
        <v>504.04</v>
      </c>
      <c r="EX768" s="67" t="s">
        <v>8565</v>
      </c>
      <c r="EY768" s="67">
        <v>5802</v>
      </c>
      <c r="EZ768" s="67" t="s">
        <v>8566</v>
      </c>
      <c r="FA768" s="67">
        <v>20696.5</v>
      </c>
      <c r="FB768" s="67" t="s">
        <v>8567</v>
      </c>
      <c r="FC768" s="67" t="s">
        <v>8568</v>
      </c>
      <c r="FD768" s="67" t="s">
        <v>8569</v>
      </c>
      <c r="FE768" s="68" t="s">
        <v>8570</v>
      </c>
      <c r="FF768" s="68" t="s">
        <v>8571</v>
      </c>
    </row>
    <row r="769" spans="151:162" x14ac:dyDescent="0.2">
      <c r="EU769" s="67">
        <v>579.09</v>
      </c>
      <c r="EV769" s="67" t="s">
        <v>8572</v>
      </c>
      <c r="EW769" s="67">
        <v>503.95</v>
      </c>
      <c r="EX769" s="67" t="s">
        <v>8573</v>
      </c>
      <c r="EY769" s="67">
        <v>5802.5</v>
      </c>
      <c r="EZ769" s="67" t="s">
        <v>8574</v>
      </c>
      <c r="FA769" s="67">
        <v>20689</v>
      </c>
      <c r="FB769" s="67" t="s">
        <v>8575</v>
      </c>
      <c r="FC769" s="67" t="s">
        <v>8576</v>
      </c>
      <c r="FD769" s="67" t="s">
        <v>8577</v>
      </c>
      <c r="FE769" s="68" t="s">
        <v>8578</v>
      </c>
      <c r="FF769" s="68" t="s">
        <v>8579</v>
      </c>
    </row>
    <row r="770" spans="151:162" x14ac:dyDescent="0.2">
      <c r="EU770" s="67">
        <v>579.11</v>
      </c>
      <c r="EV770" s="67" t="s">
        <v>8580</v>
      </c>
      <c r="EW770" s="67">
        <v>503.78500000000003</v>
      </c>
      <c r="EX770" s="67" t="s">
        <v>8581</v>
      </c>
      <c r="EY770" s="67">
        <v>5802.75</v>
      </c>
      <c r="EZ770" s="67" t="s">
        <v>8582</v>
      </c>
      <c r="FA770" s="67">
        <v>20687.25</v>
      </c>
      <c r="FB770" s="67" t="s">
        <v>8583</v>
      </c>
      <c r="FC770" s="67" t="s">
        <v>8584</v>
      </c>
      <c r="FD770" s="67" t="s">
        <v>8585</v>
      </c>
      <c r="FE770" s="68" t="s">
        <v>8586</v>
      </c>
      <c r="FF770" s="68" t="s">
        <v>8587</v>
      </c>
    </row>
    <row r="771" spans="151:162" x14ac:dyDescent="0.2">
      <c r="EU771" s="67">
        <v>579.09</v>
      </c>
      <c r="EV771" s="67" t="s">
        <v>8588</v>
      </c>
      <c r="EW771" s="67">
        <v>503.69</v>
      </c>
      <c r="EX771" s="67" t="s">
        <v>8589</v>
      </c>
      <c r="EY771" s="67">
        <v>5802.25</v>
      </c>
      <c r="EZ771" s="67" t="s">
        <v>8590</v>
      </c>
      <c r="FA771" s="67">
        <v>20687.25</v>
      </c>
      <c r="FB771" s="67" t="s">
        <v>8591</v>
      </c>
      <c r="FC771" s="67" t="s">
        <v>8592</v>
      </c>
      <c r="FD771" s="67" t="s">
        <v>8593</v>
      </c>
      <c r="FE771" s="68" t="s">
        <v>8594</v>
      </c>
      <c r="FF771" s="68" t="s">
        <v>8595</v>
      </c>
    </row>
    <row r="772" spans="151:162" x14ac:dyDescent="0.2">
      <c r="EU772" s="67">
        <v>579.32000000000005</v>
      </c>
      <c r="EV772" s="67" t="s">
        <v>8596</v>
      </c>
      <c r="EW772" s="67">
        <v>503.95</v>
      </c>
      <c r="EX772" s="67" t="s">
        <v>8597</v>
      </c>
      <c r="EY772" s="67">
        <v>5804.75</v>
      </c>
      <c r="EZ772" s="67" t="s">
        <v>8598</v>
      </c>
      <c r="FA772" s="67">
        <v>20693</v>
      </c>
      <c r="FB772" s="67" t="s">
        <v>8599</v>
      </c>
      <c r="FC772" s="67" t="s">
        <v>8600</v>
      </c>
      <c r="FD772" s="67" t="s">
        <v>8601</v>
      </c>
      <c r="FE772" s="68" t="s">
        <v>8602</v>
      </c>
      <c r="FF772" s="68" t="s">
        <v>8603</v>
      </c>
    </row>
    <row r="773" spans="151:162" x14ac:dyDescent="0.2">
      <c r="EU773" s="67">
        <v>578.99</v>
      </c>
      <c r="EV773" s="67" t="s">
        <v>8604</v>
      </c>
      <c r="EW773" s="67">
        <v>503.43</v>
      </c>
      <c r="EX773" s="67" t="s">
        <v>8605</v>
      </c>
      <c r="EY773" s="67">
        <v>5801.5</v>
      </c>
      <c r="EZ773" s="67" t="s">
        <v>8606</v>
      </c>
      <c r="FA773" s="67">
        <v>20671</v>
      </c>
      <c r="FB773" s="67" t="s">
        <v>8607</v>
      </c>
      <c r="FC773" s="67" t="s">
        <v>8608</v>
      </c>
      <c r="FD773" s="67" t="s">
        <v>8609</v>
      </c>
      <c r="FE773" s="68" t="s">
        <v>8610</v>
      </c>
      <c r="FF773" s="68" t="s">
        <v>8611</v>
      </c>
    </row>
    <row r="774" spans="151:162" x14ac:dyDescent="0.2">
      <c r="EU774" s="67">
        <v>578.51</v>
      </c>
      <c r="EV774" s="67" t="s">
        <v>8612</v>
      </c>
      <c r="EW774" s="67">
        <v>502.99</v>
      </c>
      <c r="EX774" s="67" t="s">
        <v>8613</v>
      </c>
      <c r="EY774" s="67">
        <v>5797.25</v>
      </c>
      <c r="EZ774" s="67" t="s">
        <v>8614</v>
      </c>
      <c r="FA774" s="67">
        <v>20651.25</v>
      </c>
      <c r="FB774" s="67" t="s">
        <v>8615</v>
      </c>
      <c r="FC774" s="67" t="s">
        <v>8616</v>
      </c>
      <c r="FD774" s="67" t="s">
        <v>8617</v>
      </c>
      <c r="FE774" s="68" t="s">
        <v>8618</v>
      </c>
      <c r="FF774" s="68" t="s">
        <v>8619</v>
      </c>
    </row>
    <row r="775" spans="151:162" x14ac:dyDescent="0.2">
      <c r="EU775" s="67">
        <v>578.62</v>
      </c>
      <c r="EV775" s="67" t="s">
        <v>8620</v>
      </c>
      <c r="EW775" s="67">
        <v>503.31</v>
      </c>
      <c r="EX775" s="67" t="s">
        <v>8621</v>
      </c>
      <c r="EY775" s="67">
        <v>5799.25</v>
      </c>
      <c r="EZ775" s="67" t="s">
        <v>8622</v>
      </c>
      <c r="FA775" s="67">
        <v>20663.75</v>
      </c>
      <c r="FB775" s="67" t="s">
        <v>8623</v>
      </c>
      <c r="FC775" s="67" t="s">
        <v>8624</v>
      </c>
      <c r="FD775" s="67" t="s">
        <v>8625</v>
      </c>
      <c r="FE775" s="68" t="s">
        <v>8626</v>
      </c>
      <c r="FF775" s="68" t="s">
        <v>8627</v>
      </c>
    </row>
    <row r="776" spans="151:162" x14ac:dyDescent="0.2">
      <c r="EU776" s="67">
        <v>579.05999999999995</v>
      </c>
      <c r="EV776" s="67" t="s">
        <v>8628</v>
      </c>
      <c r="EW776" s="67">
        <v>503.68</v>
      </c>
      <c r="EX776" s="67" t="s">
        <v>8629</v>
      </c>
      <c r="EY776" s="67">
        <v>5802.25</v>
      </c>
      <c r="EZ776" s="67" t="s">
        <v>8630</v>
      </c>
      <c r="FA776" s="67">
        <v>20682.25</v>
      </c>
      <c r="FB776" s="67" t="s">
        <v>8631</v>
      </c>
      <c r="FC776" s="67" t="s">
        <v>8632</v>
      </c>
      <c r="FD776" s="67" t="s">
        <v>8633</v>
      </c>
      <c r="FE776" s="68" t="s">
        <v>8634</v>
      </c>
      <c r="FF776" s="68" t="s">
        <v>8635</v>
      </c>
    </row>
    <row r="777" spans="151:162" x14ac:dyDescent="0.2">
      <c r="EU777" s="67">
        <v>578.745</v>
      </c>
      <c r="EV777" s="67" t="s">
        <v>8636</v>
      </c>
      <c r="EW777" s="67">
        <v>503.63</v>
      </c>
      <c r="EX777" s="67" t="s">
        <v>8637</v>
      </c>
      <c r="EY777" s="67">
        <v>5800.25</v>
      </c>
      <c r="EZ777" s="67" t="s">
        <v>8638</v>
      </c>
      <c r="FA777" s="67">
        <v>20679.5</v>
      </c>
      <c r="FB777" s="67" t="s">
        <v>8639</v>
      </c>
      <c r="FC777" s="67" t="s">
        <v>8640</v>
      </c>
      <c r="FD777" s="67" t="s">
        <v>8641</v>
      </c>
      <c r="FE777" s="68" t="s">
        <v>8642</v>
      </c>
      <c r="FF777" s="68" t="s">
        <v>8643</v>
      </c>
    </row>
    <row r="778" spans="151:162" x14ac:dyDescent="0.2">
      <c r="EU778" s="67">
        <v>578.51</v>
      </c>
      <c r="EV778" s="67" t="s">
        <v>8644</v>
      </c>
      <c r="EW778" s="67">
        <v>503.07</v>
      </c>
      <c r="EX778" s="67" t="s">
        <v>8645</v>
      </c>
      <c r="EY778" s="67">
        <v>5795.25</v>
      </c>
      <c r="EZ778" s="67" t="s">
        <v>8646</v>
      </c>
      <c r="FA778" s="67">
        <v>20662.25</v>
      </c>
      <c r="FB778" s="67" t="s">
        <v>8647</v>
      </c>
      <c r="FC778" s="67" t="s">
        <v>8648</v>
      </c>
      <c r="FD778" s="67" t="s">
        <v>8649</v>
      </c>
      <c r="FE778" s="68" t="s">
        <v>8650</v>
      </c>
      <c r="FF778" s="68" t="s">
        <v>8651</v>
      </c>
    </row>
    <row r="779" spans="151:162" x14ac:dyDescent="0.2">
      <c r="EU779" s="67">
        <v>578.63</v>
      </c>
      <c r="EV779" s="67" t="s">
        <v>8652</v>
      </c>
      <c r="EW779" s="67">
        <v>503.23</v>
      </c>
      <c r="EX779" s="67" t="s">
        <v>8653</v>
      </c>
      <c r="EY779" s="67">
        <v>5798.25</v>
      </c>
      <c r="EZ779" s="67" t="s">
        <v>8654</v>
      </c>
      <c r="FA779" s="67">
        <v>20667.25</v>
      </c>
      <c r="FB779" s="67" t="s">
        <v>8655</v>
      </c>
      <c r="FC779" s="67" t="s">
        <v>8656</v>
      </c>
      <c r="FD779" s="67" t="s">
        <v>8657</v>
      </c>
      <c r="FE779" s="68" t="s">
        <v>8658</v>
      </c>
      <c r="FF779" s="68" t="s">
        <v>8659</v>
      </c>
    </row>
    <row r="780" spans="151:162" x14ac:dyDescent="0.2">
      <c r="EU780" s="67">
        <v>578.91</v>
      </c>
      <c r="EV780" s="67" t="s">
        <v>8660</v>
      </c>
      <c r="EW780" s="67">
        <v>503.88</v>
      </c>
      <c r="EX780" s="67" t="s">
        <v>8661</v>
      </c>
      <c r="EY780" s="67">
        <v>5800.5</v>
      </c>
      <c r="EZ780" s="67" t="s">
        <v>8662</v>
      </c>
      <c r="FA780" s="67">
        <v>20690.25</v>
      </c>
      <c r="FB780" s="67" t="s">
        <v>8663</v>
      </c>
      <c r="FC780" s="67" t="s">
        <v>8664</v>
      </c>
      <c r="FD780" s="67" t="s">
        <v>8665</v>
      </c>
      <c r="FE780" s="68" t="s">
        <v>8666</v>
      </c>
      <c r="FF780" s="68" t="s">
        <v>8667</v>
      </c>
    </row>
    <row r="781" spans="151:162" x14ac:dyDescent="0.2">
      <c r="EU781" s="67">
        <v>579.24</v>
      </c>
      <c r="EV781" s="67" t="s">
        <v>8668</v>
      </c>
      <c r="EW781" s="67">
        <v>504.22</v>
      </c>
      <c r="EX781" s="67" t="s">
        <v>8669</v>
      </c>
      <c r="EY781" s="67">
        <v>5804</v>
      </c>
      <c r="EZ781" s="67" t="s">
        <v>8670</v>
      </c>
      <c r="FA781" s="67">
        <v>20704</v>
      </c>
      <c r="FB781" s="67" t="s">
        <v>8671</v>
      </c>
      <c r="FC781" s="67" t="s">
        <v>8672</v>
      </c>
      <c r="FD781" s="67" t="s">
        <v>8673</v>
      </c>
      <c r="FE781" s="68" t="s">
        <v>8674</v>
      </c>
      <c r="FF781" s="68" t="s">
        <v>8675</v>
      </c>
    </row>
    <row r="782" spans="151:162" x14ac:dyDescent="0.2">
      <c r="EU782" s="67">
        <v>579.21</v>
      </c>
      <c r="EV782" s="67" t="s">
        <v>8676</v>
      </c>
      <c r="EW782" s="67">
        <v>504.12</v>
      </c>
      <c r="EX782" s="67" t="s">
        <v>8677</v>
      </c>
      <c r="EY782" s="67">
        <v>5803.75</v>
      </c>
      <c r="EZ782" s="67" t="s">
        <v>8678</v>
      </c>
      <c r="FA782" s="67">
        <v>20700</v>
      </c>
      <c r="FB782" s="67" t="s">
        <v>8679</v>
      </c>
      <c r="FC782" s="67" t="s">
        <v>8680</v>
      </c>
      <c r="FD782" s="67" t="s">
        <v>8681</v>
      </c>
      <c r="FE782" s="68" t="s">
        <v>8682</v>
      </c>
      <c r="FF782" s="68" t="s">
        <v>8683</v>
      </c>
    </row>
    <row r="783" spans="151:162" x14ac:dyDescent="0.2">
      <c r="EU783" s="67">
        <v>579.41</v>
      </c>
      <c r="EV783" s="67" t="s">
        <v>8684</v>
      </c>
      <c r="EW783" s="67">
        <v>504.37</v>
      </c>
      <c r="EX783" s="67" t="s">
        <v>8685</v>
      </c>
      <c r="EY783" s="67">
        <v>5805.75</v>
      </c>
      <c r="EZ783" s="67" t="s">
        <v>8686</v>
      </c>
      <c r="FA783" s="67">
        <v>20710.75</v>
      </c>
      <c r="FB783" s="67" t="s">
        <v>8687</v>
      </c>
      <c r="FC783" s="67" t="s">
        <v>8688</v>
      </c>
      <c r="FD783" s="67" t="s">
        <v>8689</v>
      </c>
      <c r="FE783" s="68" t="s">
        <v>8690</v>
      </c>
      <c r="FF783" s="68" t="s">
        <v>8691</v>
      </c>
    </row>
    <row r="784" spans="151:162" x14ac:dyDescent="0.2">
      <c r="EU784" s="67">
        <v>579.88</v>
      </c>
      <c r="EV784" s="67" t="s">
        <v>8692</v>
      </c>
      <c r="EW784" s="67">
        <v>504.87</v>
      </c>
      <c r="EX784" s="67" t="s">
        <v>8693</v>
      </c>
      <c r="EY784" s="67">
        <v>5810.5</v>
      </c>
      <c r="EZ784" s="67" t="s">
        <v>8694</v>
      </c>
      <c r="FA784" s="67">
        <v>20732</v>
      </c>
      <c r="FB784" s="67" t="s">
        <v>8695</v>
      </c>
      <c r="FC784" s="67" t="s">
        <v>8696</v>
      </c>
      <c r="FD784" s="67" t="s">
        <v>8697</v>
      </c>
      <c r="FE784" s="68" t="s">
        <v>8698</v>
      </c>
      <c r="FF784" s="68" t="s">
        <v>8699</v>
      </c>
    </row>
    <row r="785" spans="151:162" x14ac:dyDescent="0.2">
      <c r="EU785" s="67">
        <v>579.98</v>
      </c>
      <c r="EV785" s="67" t="s">
        <v>8700</v>
      </c>
      <c r="EW785" s="67">
        <v>505.048</v>
      </c>
      <c r="EX785" s="67" t="s">
        <v>8701</v>
      </c>
      <c r="EY785" s="67">
        <v>5812.5</v>
      </c>
      <c r="EZ785" s="67" t="s">
        <v>8702</v>
      </c>
      <c r="FA785" s="67">
        <v>20734.75</v>
      </c>
      <c r="FB785" s="67" t="s">
        <v>8703</v>
      </c>
      <c r="FC785" s="67" t="s">
        <v>8704</v>
      </c>
      <c r="FD785" s="67" t="s">
        <v>8705</v>
      </c>
      <c r="FE785" s="68" t="s">
        <v>8706</v>
      </c>
      <c r="FF785" s="68" t="s">
        <v>8707</v>
      </c>
    </row>
    <row r="786" spans="151:162" x14ac:dyDescent="0.2">
      <c r="EU786" s="67">
        <v>579.08000000000004</v>
      </c>
      <c r="EV786" s="67" t="s">
        <v>8708</v>
      </c>
      <c r="EW786" s="67">
        <v>503.93</v>
      </c>
      <c r="EX786" s="67" t="s">
        <v>8709</v>
      </c>
      <c r="EY786" s="67">
        <v>5802.5</v>
      </c>
      <c r="EZ786" s="67" t="s">
        <v>8710</v>
      </c>
      <c r="FA786" s="67">
        <v>20692.25</v>
      </c>
      <c r="FB786" s="67" t="s">
        <v>8711</v>
      </c>
      <c r="FC786" s="67" t="s">
        <v>8712</v>
      </c>
      <c r="FD786" s="67" t="s">
        <v>8713</v>
      </c>
      <c r="FE786" s="68" t="s">
        <v>8714</v>
      </c>
      <c r="FF786" s="68" t="s">
        <v>8715</v>
      </c>
    </row>
    <row r="787" spans="151:162" x14ac:dyDescent="0.2">
      <c r="EU787" s="67">
        <v>578.97</v>
      </c>
      <c r="EV787" s="67" t="s">
        <v>8716</v>
      </c>
      <c r="EW787" s="67">
        <v>503.9</v>
      </c>
      <c r="EX787" s="67" t="s">
        <v>8717</v>
      </c>
      <c r="EY787" s="67">
        <v>5801.25</v>
      </c>
      <c r="EZ787" s="67" t="s">
        <v>8718</v>
      </c>
      <c r="FA787" s="67">
        <v>20691.75</v>
      </c>
      <c r="FB787" s="67" t="s">
        <v>8719</v>
      </c>
      <c r="FC787" s="67" t="s">
        <v>8720</v>
      </c>
      <c r="FD787" s="67" t="s">
        <v>8721</v>
      </c>
      <c r="FE787" s="68" t="s">
        <v>8722</v>
      </c>
      <c r="FF787" s="68" t="s">
        <v>8723</v>
      </c>
    </row>
    <row r="788" spans="151:162" x14ac:dyDescent="0.2">
      <c r="EU788" s="67">
        <v>579.07000000000005</v>
      </c>
      <c r="EV788" s="67" t="s">
        <v>8724</v>
      </c>
      <c r="EW788" s="67">
        <v>504.02</v>
      </c>
      <c r="EX788" s="67" t="s">
        <v>8725</v>
      </c>
      <c r="EY788" s="67">
        <v>5802.25</v>
      </c>
      <c r="EZ788" s="67" t="s">
        <v>8726</v>
      </c>
      <c r="FA788" s="67">
        <v>20695.25</v>
      </c>
      <c r="FB788" s="67" t="s">
        <v>8727</v>
      </c>
      <c r="FC788" s="67" t="s">
        <v>8728</v>
      </c>
      <c r="FD788" s="67" t="s">
        <v>8729</v>
      </c>
      <c r="FE788" s="68" t="s">
        <v>8730</v>
      </c>
      <c r="FF788" s="68" t="s">
        <v>8731</v>
      </c>
    </row>
    <row r="789" spans="151:162" x14ac:dyDescent="0.2">
      <c r="EU789" s="67">
        <v>578.83000000000004</v>
      </c>
      <c r="EV789" s="67" t="s">
        <v>8732</v>
      </c>
      <c r="EW789" s="67">
        <v>503.96</v>
      </c>
      <c r="EX789" s="67" t="s">
        <v>8733</v>
      </c>
      <c r="EY789" s="67">
        <v>5800.25</v>
      </c>
      <c r="EZ789" s="67" t="s">
        <v>8734</v>
      </c>
      <c r="FA789" s="67">
        <v>20693.25</v>
      </c>
      <c r="FB789" s="67" t="s">
        <v>8735</v>
      </c>
      <c r="FC789" s="67" t="s">
        <v>8736</v>
      </c>
      <c r="FD789" s="67" t="s">
        <v>8737</v>
      </c>
      <c r="FE789" s="68" t="s">
        <v>8738</v>
      </c>
      <c r="FF789" s="68" t="s">
        <v>8739</v>
      </c>
    </row>
    <row r="790" spans="151:162" x14ac:dyDescent="0.2">
      <c r="EU790" s="67">
        <v>578.70000000000005</v>
      </c>
      <c r="EV790" s="67" t="s">
        <v>8740</v>
      </c>
      <c r="EW790" s="67">
        <v>503.75</v>
      </c>
      <c r="EX790" s="67" t="s">
        <v>8741</v>
      </c>
      <c r="EY790" s="67">
        <v>5798.75</v>
      </c>
      <c r="EZ790" s="67" t="s">
        <v>8742</v>
      </c>
      <c r="FA790" s="67">
        <v>20685</v>
      </c>
      <c r="FB790" s="67" t="s">
        <v>8743</v>
      </c>
      <c r="FC790" s="67" t="s">
        <v>8744</v>
      </c>
      <c r="FD790" s="67" t="s">
        <v>8745</v>
      </c>
      <c r="FE790" s="68" t="s">
        <v>8746</v>
      </c>
      <c r="FF790" s="68" t="s">
        <v>8747</v>
      </c>
    </row>
    <row r="791" spans="151:162" x14ac:dyDescent="0.2">
      <c r="EU791" s="67">
        <v>578.75</v>
      </c>
      <c r="EV791" s="67" t="s">
        <v>8748</v>
      </c>
      <c r="EW791" s="67">
        <v>503.61</v>
      </c>
      <c r="EX791" s="67" t="s">
        <v>8749</v>
      </c>
      <c r="EY791" s="67">
        <v>5799.25</v>
      </c>
      <c r="EZ791" s="67" t="s">
        <v>8750</v>
      </c>
      <c r="FA791" s="67">
        <v>20676.25</v>
      </c>
      <c r="FB791" s="67" t="s">
        <v>8751</v>
      </c>
      <c r="FC791" s="67" t="s">
        <v>8752</v>
      </c>
      <c r="FD791" s="67" t="s">
        <v>8753</v>
      </c>
      <c r="FE791" s="68" t="s">
        <v>8754</v>
      </c>
      <c r="FF791" s="68" t="s">
        <v>8755</v>
      </c>
    </row>
    <row r="792" spans="151:162" x14ac:dyDescent="0.2">
      <c r="EU792" s="67">
        <v>579.16999999999996</v>
      </c>
      <c r="EV792" s="67" t="s">
        <v>8756</v>
      </c>
      <c r="EW792" s="67">
        <v>503.74</v>
      </c>
      <c r="EX792" s="67" t="s">
        <v>8757</v>
      </c>
      <c r="EY792" s="67">
        <v>5803.25</v>
      </c>
      <c r="EZ792" s="67" t="s">
        <v>8758</v>
      </c>
      <c r="FA792" s="67">
        <v>20685.75</v>
      </c>
      <c r="FB792" s="67" t="s">
        <v>8759</v>
      </c>
      <c r="FC792" s="67" t="s">
        <v>8760</v>
      </c>
      <c r="FD792" s="67" t="s">
        <v>8761</v>
      </c>
      <c r="FE792" s="68" t="s">
        <v>8762</v>
      </c>
      <c r="FF792" s="68" t="s">
        <v>8763</v>
      </c>
    </row>
    <row r="793" spans="151:162" x14ac:dyDescent="0.2">
      <c r="EU793" s="67">
        <v>579.255</v>
      </c>
      <c r="EV793" s="67" t="s">
        <v>8764</v>
      </c>
      <c r="EW793" s="67">
        <v>504.04899999999998</v>
      </c>
      <c r="EX793" s="67" t="s">
        <v>8765</v>
      </c>
      <c r="EY793" s="67">
        <v>5803.75</v>
      </c>
      <c r="EZ793" s="67" t="s">
        <v>8766</v>
      </c>
      <c r="FA793" s="67">
        <v>20696.75</v>
      </c>
      <c r="FB793" s="67" t="s">
        <v>8767</v>
      </c>
      <c r="FC793" s="67" t="s">
        <v>8768</v>
      </c>
      <c r="FD793" s="67" t="s">
        <v>8769</v>
      </c>
      <c r="FE793" s="68" t="s">
        <v>8770</v>
      </c>
      <c r="FF793" s="68" t="s">
        <v>8771</v>
      </c>
    </row>
    <row r="794" spans="151:162" x14ac:dyDescent="0.2">
      <c r="EU794" s="67">
        <v>579.08000000000004</v>
      </c>
      <c r="EV794" s="67" t="s">
        <v>8772</v>
      </c>
      <c r="EW794" s="67">
        <v>503.76</v>
      </c>
      <c r="EX794" s="67" t="s">
        <v>8773</v>
      </c>
      <c r="EY794" s="67">
        <v>5802.25</v>
      </c>
      <c r="EZ794" s="67" t="s">
        <v>8774</v>
      </c>
      <c r="FA794" s="67">
        <v>20685.5</v>
      </c>
      <c r="FB794" s="67" t="s">
        <v>8775</v>
      </c>
      <c r="FC794" s="67" t="s">
        <v>8776</v>
      </c>
      <c r="FD794" s="67" t="s">
        <v>8777</v>
      </c>
      <c r="FE794" s="68" t="s">
        <v>8778</v>
      </c>
      <c r="FF794" s="68" t="s">
        <v>8779</v>
      </c>
    </row>
    <row r="795" spans="151:162" x14ac:dyDescent="0.2">
      <c r="EU795" s="67">
        <v>579.23</v>
      </c>
      <c r="EV795" s="67" t="s">
        <v>8780</v>
      </c>
      <c r="EW795" s="67">
        <v>503.99</v>
      </c>
      <c r="EX795" s="67" t="s">
        <v>8781</v>
      </c>
      <c r="EY795" s="67">
        <v>5804.5</v>
      </c>
      <c r="EZ795" s="67" t="s">
        <v>8782</v>
      </c>
      <c r="FA795" s="67">
        <v>20693</v>
      </c>
      <c r="FB795" s="67" t="s">
        <v>8783</v>
      </c>
      <c r="FC795" s="67" t="s">
        <v>8784</v>
      </c>
      <c r="FD795" s="67" t="s">
        <v>8785</v>
      </c>
      <c r="FE795" s="68" t="s">
        <v>8786</v>
      </c>
      <c r="FF795" s="68" t="s">
        <v>8787</v>
      </c>
    </row>
    <row r="796" spans="151:162" x14ac:dyDescent="0.2">
      <c r="EU796" s="67">
        <v>579.6</v>
      </c>
      <c r="EV796" s="67" t="s">
        <v>8788</v>
      </c>
      <c r="EW796" s="67">
        <v>504.42</v>
      </c>
      <c r="EX796" s="67" t="s">
        <v>8789</v>
      </c>
      <c r="EY796" s="67">
        <v>5807.75</v>
      </c>
      <c r="EZ796" s="67" t="s">
        <v>8790</v>
      </c>
      <c r="FA796" s="67">
        <v>20712.75</v>
      </c>
      <c r="FB796" s="67" t="s">
        <v>8791</v>
      </c>
      <c r="FC796" s="67" t="s">
        <v>8792</v>
      </c>
      <c r="FD796" s="67" t="s">
        <v>8793</v>
      </c>
      <c r="FE796" s="68" t="s">
        <v>8794</v>
      </c>
      <c r="FF796" s="68" t="s">
        <v>8795</v>
      </c>
    </row>
    <row r="797" spans="151:162" x14ac:dyDescent="0.2">
      <c r="EU797" s="67">
        <v>579.32000000000005</v>
      </c>
      <c r="EV797" s="67" t="s">
        <v>8796</v>
      </c>
      <c r="EW797" s="67">
        <v>504.24</v>
      </c>
      <c r="EX797" s="67" t="s">
        <v>8797</v>
      </c>
      <c r="EY797" s="67">
        <v>5805</v>
      </c>
      <c r="EZ797" s="67" t="s">
        <v>8798</v>
      </c>
      <c r="FA797" s="67">
        <v>20704.25</v>
      </c>
      <c r="FB797" s="67" t="s">
        <v>8799</v>
      </c>
      <c r="FC797" s="67" t="s">
        <v>8800</v>
      </c>
      <c r="FD797" s="67" t="s">
        <v>8801</v>
      </c>
      <c r="FE797" s="68" t="s">
        <v>8802</v>
      </c>
      <c r="FF797" s="68" t="s">
        <v>8803</v>
      </c>
    </row>
    <row r="798" spans="151:162" x14ac:dyDescent="0.2">
      <c r="EU798" s="67">
        <v>579.39</v>
      </c>
      <c r="EV798" s="67" t="s">
        <v>8804</v>
      </c>
      <c r="EW798" s="67">
        <v>504.47</v>
      </c>
      <c r="EX798" s="67" t="s">
        <v>8805</v>
      </c>
      <c r="EY798" s="67">
        <v>5806.25</v>
      </c>
      <c r="EZ798" s="67" t="s">
        <v>8806</v>
      </c>
      <c r="FA798" s="67">
        <v>20711.75</v>
      </c>
      <c r="FB798" s="67" t="s">
        <v>8807</v>
      </c>
      <c r="FC798" s="67" t="s">
        <v>8808</v>
      </c>
      <c r="FD798" s="67" t="s">
        <v>8809</v>
      </c>
      <c r="FE798" s="68" t="s">
        <v>8810</v>
      </c>
      <c r="FF798" s="68" t="s">
        <v>8811</v>
      </c>
    </row>
    <row r="799" spans="151:162" x14ac:dyDescent="0.2">
      <c r="EU799" s="67">
        <v>579.08500000000004</v>
      </c>
      <c r="EV799" s="67" t="s">
        <v>8812</v>
      </c>
      <c r="EW799" s="67">
        <v>504.04</v>
      </c>
      <c r="EX799" s="67" t="s">
        <v>8813</v>
      </c>
      <c r="EY799" s="67">
        <v>5802.5</v>
      </c>
      <c r="EZ799" s="67" t="s">
        <v>8814</v>
      </c>
      <c r="FA799" s="67">
        <v>20696</v>
      </c>
      <c r="FB799" s="67" t="s">
        <v>8815</v>
      </c>
      <c r="FC799" s="67" t="s">
        <v>8816</v>
      </c>
      <c r="FD799" s="67" t="s">
        <v>8817</v>
      </c>
      <c r="FE799" s="68" t="s">
        <v>8818</v>
      </c>
      <c r="FF799" s="68" t="s">
        <v>8819</v>
      </c>
    </row>
    <row r="800" spans="151:162" x14ac:dyDescent="0.2">
      <c r="EU800" s="67">
        <v>579.21</v>
      </c>
      <c r="EV800" s="67" t="s">
        <v>8820</v>
      </c>
      <c r="EW800" s="67">
        <v>504.07</v>
      </c>
      <c r="EX800" s="67" t="s">
        <v>8821</v>
      </c>
      <c r="EY800" s="67">
        <v>5804</v>
      </c>
      <c r="EZ800" s="67" t="s">
        <v>8822</v>
      </c>
      <c r="FA800" s="67">
        <v>20698</v>
      </c>
      <c r="FB800" s="67" t="s">
        <v>8823</v>
      </c>
      <c r="FC800" s="67" t="s">
        <v>8824</v>
      </c>
      <c r="FD800" s="67" t="s">
        <v>8825</v>
      </c>
      <c r="FE800" s="68" t="s">
        <v>8826</v>
      </c>
      <c r="FF800" s="68" t="s">
        <v>8827</v>
      </c>
    </row>
    <row r="801" spans="151:162" x14ac:dyDescent="0.2">
      <c r="EU801" s="67">
        <v>579.38</v>
      </c>
      <c r="EV801" s="67" t="s">
        <v>8828</v>
      </c>
      <c r="EW801" s="67">
        <v>504.25</v>
      </c>
      <c r="EX801" s="67" t="s">
        <v>8829</v>
      </c>
      <c r="EY801" s="67">
        <v>5805.5</v>
      </c>
      <c r="EZ801" s="67" t="s">
        <v>8830</v>
      </c>
      <c r="FA801" s="67">
        <v>20704.25</v>
      </c>
      <c r="FB801" s="67" t="s">
        <v>8831</v>
      </c>
      <c r="FC801" s="67" t="s">
        <v>8832</v>
      </c>
      <c r="FD801" s="67" t="s">
        <v>8833</v>
      </c>
      <c r="FE801" s="68" t="s">
        <v>8834</v>
      </c>
      <c r="FF801" s="68" t="s">
        <v>8835</v>
      </c>
    </row>
    <row r="802" spans="151:162" x14ac:dyDescent="0.2">
      <c r="EU802" s="67">
        <v>579.79100000000005</v>
      </c>
      <c r="EV802" s="67" t="s">
        <v>8836</v>
      </c>
      <c r="EW802" s="67">
        <v>504.64800000000002</v>
      </c>
      <c r="EX802" s="67" t="s">
        <v>8837</v>
      </c>
      <c r="EY802" s="67">
        <v>5809.75</v>
      </c>
      <c r="EZ802" s="67" t="s">
        <v>8838</v>
      </c>
      <c r="FA802" s="67">
        <v>20721.5</v>
      </c>
      <c r="FB802" s="67" t="s">
        <v>8839</v>
      </c>
      <c r="FC802" s="67" t="s">
        <v>8840</v>
      </c>
      <c r="FD802" s="67" t="s">
        <v>8841</v>
      </c>
      <c r="FE802" s="68" t="s">
        <v>8842</v>
      </c>
      <c r="FF802" s="68" t="s">
        <v>8843</v>
      </c>
    </row>
    <row r="803" spans="151:162" x14ac:dyDescent="0.2">
      <c r="EU803" s="67">
        <v>580.1</v>
      </c>
      <c r="EV803" s="67" t="s">
        <v>8844</v>
      </c>
      <c r="EW803" s="67">
        <v>504.89</v>
      </c>
      <c r="EX803" s="67" t="s">
        <v>8845</v>
      </c>
      <c r="EY803" s="67">
        <v>5812.75</v>
      </c>
      <c r="EZ803" s="67" t="s">
        <v>8846</v>
      </c>
      <c r="FA803" s="67">
        <v>20732.25</v>
      </c>
      <c r="FB803" s="67" t="s">
        <v>8847</v>
      </c>
      <c r="FC803" s="67" t="s">
        <v>8848</v>
      </c>
      <c r="FD803" s="67" t="s">
        <v>8849</v>
      </c>
      <c r="FE803" s="68" t="s">
        <v>8850</v>
      </c>
      <c r="FF803" s="68" t="s">
        <v>8851</v>
      </c>
    </row>
    <row r="804" spans="151:162" x14ac:dyDescent="0.2">
      <c r="EU804" s="67">
        <v>580.11</v>
      </c>
      <c r="EV804" s="67" t="s">
        <v>8852</v>
      </c>
      <c r="EW804" s="67">
        <v>504.97</v>
      </c>
      <c r="EX804" s="67" t="s">
        <v>8853</v>
      </c>
      <c r="EY804" s="67">
        <v>5813</v>
      </c>
      <c r="EZ804" s="67" t="s">
        <v>8854</v>
      </c>
      <c r="FA804" s="67">
        <v>20734.75</v>
      </c>
      <c r="FB804" s="67" t="s">
        <v>8855</v>
      </c>
      <c r="FC804" s="67" t="s">
        <v>8856</v>
      </c>
      <c r="FD804" s="67" t="s">
        <v>8857</v>
      </c>
      <c r="FE804" s="68" t="s">
        <v>8858</v>
      </c>
      <c r="FF804" s="68" t="s">
        <v>8859</v>
      </c>
    </row>
    <row r="805" spans="151:162" x14ac:dyDescent="0.2">
      <c r="EU805" s="67">
        <v>580.16</v>
      </c>
      <c r="EV805" s="67" t="s">
        <v>8860</v>
      </c>
      <c r="EW805" s="67">
        <v>504.9</v>
      </c>
      <c r="EX805" s="67" t="s">
        <v>8861</v>
      </c>
      <c r="EY805" s="67">
        <v>5813.5</v>
      </c>
      <c r="EZ805" s="67" t="s">
        <v>8862</v>
      </c>
      <c r="FA805" s="67">
        <v>20731</v>
      </c>
      <c r="FB805" s="67" t="s">
        <v>8863</v>
      </c>
      <c r="FC805" s="67" t="s">
        <v>8864</v>
      </c>
      <c r="FD805" s="67" t="s">
        <v>8865</v>
      </c>
      <c r="FE805" s="68" t="s">
        <v>8866</v>
      </c>
      <c r="FF805" s="68" t="s">
        <v>8867</v>
      </c>
    </row>
    <row r="806" spans="151:162" x14ac:dyDescent="0.2">
      <c r="EU806" s="67">
        <v>580.32000000000005</v>
      </c>
      <c r="EV806" s="67" t="s">
        <v>8868</v>
      </c>
      <c r="EW806" s="67">
        <v>505.25</v>
      </c>
      <c r="EX806" s="67" t="s">
        <v>8869</v>
      </c>
      <c r="EY806" s="67">
        <v>5815</v>
      </c>
      <c r="EZ806" s="67" t="s">
        <v>8870</v>
      </c>
      <c r="FA806" s="67">
        <v>20747</v>
      </c>
      <c r="FB806" s="67" t="s">
        <v>8871</v>
      </c>
      <c r="FC806" s="67" t="s">
        <v>8872</v>
      </c>
      <c r="FD806" s="67" t="s">
        <v>8873</v>
      </c>
      <c r="FE806" s="68" t="s">
        <v>8874</v>
      </c>
      <c r="FF806" s="68" t="s">
        <v>8875</v>
      </c>
    </row>
    <row r="807" spans="151:162" x14ac:dyDescent="0.2">
      <c r="EU807" s="67">
        <v>580.16999999999996</v>
      </c>
      <c r="EV807" s="67" t="s">
        <v>8876</v>
      </c>
      <c r="EW807" s="67">
        <v>505.08</v>
      </c>
      <c r="EX807" s="67" t="s">
        <v>8877</v>
      </c>
      <c r="EY807" s="67">
        <v>5814</v>
      </c>
      <c r="EZ807" s="67" t="s">
        <v>8878</v>
      </c>
      <c r="FA807" s="67">
        <v>20739.5</v>
      </c>
      <c r="FB807" s="67" t="s">
        <v>8879</v>
      </c>
      <c r="FC807" s="67" t="s">
        <v>8880</v>
      </c>
      <c r="FD807" s="67" t="s">
        <v>8881</v>
      </c>
      <c r="FE807" s="68" t="s">
        <v>8882</v>
      </c>
      <c r="FF807" s="68" t="s">
        <v>8883</v>
      </c>
    </row>
    <row r="808" spans="151:162" x14ac:dyDescent="0.2">
      <c r="EU808" s="67">
        <v>580</v>
      </c>
      <c r="EV808" s="67" t="s">
        <v>8884</v>
      </c>
      <c r="EW808" s="67">
        <v>504.81</v>
      </c>
      <c r="EX808" s="67" t="s">
        <v>8885</v>
      </c>
      <c r="EY808" s="67">
        <v>5811.75</v>
      </c>
      <c r="EZ808" s="67" t="s">
        <v>8886</v>
      </c>
      <c r="FA808" s="67">
        <v>20729.25</v>
      </c>
      <c r="FB808" s="67" t="s">
        <v>8887</v>
      </c>
      <c r="FC808" s="67" t="s">
        <v>8888</v>
      </c>
      <c r="FD808" s="67" t="s">
        <v>8889</v>
      </c>
      <c r="FE808" s="68" t="s">
        <v>8890</v>
      </c>
      <c r="FF808" s="68" t="s">
        <v>8891</v>
      </c>
    </row>
    <row r="809" spans="151:162" x14ac:dyDescent="0.2">
      <c r="EU809" s="67">
        <v>580.02499999999998</v>
      </c>
      <c r="EV809" s="67" t="s">
        <v>8892</v>
      </c>
      <c r="EW809" s="67">
        <v>504.78</v>
      </c>
      <c r="EX809" s="67" t="s">
        <v>8893</v>
      </c>
      <c r="EY809" s="67">
        <v>5812</v>
      </c>
      <c r="EZ809" s="67" t="s">
        <v>8894</v>
      </c>
      <c r="FA809" s="67">
        <v>20726.75</v>
      </c>
      <c r="FB809" s="67" t="s">
        <v>8895</v>
      </c>
      <c r="FC809" s="67" t="s">
        <v>8896</v>
      </c>
      <c r="FD809" s="67" t="s">
        <v>8897</v>
      </c>
      <c r="FE809" s="68" t="s">
        <v>8898</v>
      </c>
      <c r="FF809" s="68" t="s">
        <v>8899</v>
      </c>
    </row>
    <row r="810" spans="151:162" x14ac:dyDescent="0.2">
      <c r="EU810" s="67">
        <v>579.67999999999995</v>
      </c>
      <c r="EV810" s="67" t="s">
        <v>8900</v>
      </c>
      <c r="EW810" s="67">
        <v>504.42</v>
      </c>
      <c r="EX810" s="67" t="s">
        <v>8901</v>
      </c>
      <c r="EY810" s="67">
        <v>5810</v>
      </c>
      <c r="EZ810" s="67" t="s">
        <v>8902</v>
      </c>
      <c r="FA810" s="67">
        <v>20710.75</v>
      </c>
      <c r="FB810" s="67" t="s">
        <v>8903</v>
      </c>
      <c r="FC810" s="67" t="s">
        <v>8904</v>
      </c>
      <c r="FD810" s="67" t="s">
        <v>8905</v>
      </c>
      <c r="FE810" s="68" t="s">
        <v>8906</v>
      </c>
      <c r="FF810" s="68" t="s">
        <v>8907</v>
      </c>
    </row>
    <row r="811" spans="151:162" x14ac:dyDescent="0.2">
      <c r="EU811" s="67">
        <v>579.27</v>
      </c>
      <c r="EV811" s="67" t="s">
        <v>8908</v>
      </c>
      <c r="EW811" s="67">
        <v>504.23</v>
      </c>
      <c r="EX811" s="67" t="s">
        <v>8909</v>
      </c>
      <c r="EY811" s="67">
        <v>5805</v>
      </c>
      <c r="EZ811" s="67" t="s">
        <v>8910</v>
      </c>
      <c r="FA811" s="67">
        <v>20699.75</v>
      </c>
      <c r="FB811" s="67" t="s">
        <v>8911</v>
      </c>
      <c r="FC811" s="67" t="s">
        <v>8912</v>
      </c>
      <c r="FD811" s="67" t="s">
        <v>8913</v>
      </c>
      <c r="FE811" s="68" t="s">
        <v>8914</v>
      </c>
      <c r="FF811" s="68" t="s">
        <v>8915</v>
      </c>
    </row>
    <row r="812" spans="151:162" x14ac:dyDescent="0.2">
      <c r="EU812" s="67">
        <v>579.53</v>
      </c>
      <c r="EV812" s="67" t="s">
        <v>8916</v>
      </c>
      <c r="EW812" s="67">
        <v>504.38</v>
      </c>
      <c r="EX812" s="67" t="s">
        <v>8917</v>
      </c>
      <c r="EY812" s="67">
        <v>5806.75</v>
      </c>
      <c r="EZ812" s="67" t="s">
        <v>8918</v>
      </c>
      <c r="FA812" s="67">
        <v>20710.25</v>
      </c>
      <c r="FB812" s="67" t="s">
        <v>8919</v>
      </c>
      <c r="FC812" s="67" t="s">
        <v>8920</v>
      </c>
      <c r="FD812" s="67" t="s">
        <v>8921</v>
      </c>
      <c r="FE812" s="68" t="s">
        <v>8922</v>
      </c>
      <c r="FF812" s="68" t="s">
        <v>8923</v>
      </c>
    </row>
    <row r="813" spans="151:162" x14ac:dyDescent="0.2">
      <c r="EU813" s="67">
        <v>579.95500000000004</v>
      </c>
      <c r="EV813" s="67" t="s">
        <v>8924</v>
      </c>
      <c r="EW813" s="67">
        <v>504.86</v>
      </c>
      <c r="EX813" s="67" t="s">
        <v>8925</v>
      </c>
      <c r="EY813" s="67">
        <v>5812</v>
      </c>
      <c r="EZ813" s="67" t="s">
        <v>8926</v>
      </c>
      <c r="FA813" s="67">
        <v>20728</v>
      </c>
      <c r="FB813" s="67" t="s">
        <v>8927</v>
      </c>
      <c r="FC813" s="67" t="s">
        <v>8928</v>
      </c>
      <c r="FD813" s="67" t="s">
        <v>8929</v>
      </c>
      <c r="FE813" s="68" t="s">
        <v>8930</v>
      </c>
      <c r="FF813" s="68" t="s">
        <v>8931</v>
      </c>
    </row>
    <row r="814" spans="151:162" x14ac:dyDescent="0.2">
      <c r="EU814" s="67">
        <v>579.45000000000005</v>
      </c>
      <c r="EV814" s="67" t="s">
        <v>8932</v>
      </c>
      <c r="EW814" s="67">
        <v>504.24</v>
      </c>
      <c r="EX814" s="67" t="s">
        <v>8933</v>
      </c>
      <c r="EY814" s="67">
        <v>5806.5</v>
      </c>
      <c r="EZ814" s="67" t="s">
        <v>8934</v>
      </c>
      <c r="FA814" s="67">
        <v>20704.25</v>
      </c>
      <c r="FB814" s="67" t="s">
        <v>8935</v>
      </c>
      <c r="FC814" s="67" t="s">
        <v>8936</v>
      </c>
      <c r="FD814" s="67" t="s">
        <v>8937</v>
      </c>
      <c r="FE814" s="68" t="s">
        <v>8938</v>
      </c>
      <c r="FF814" s="68" t="s">
        <v>8939</v>
      </c>
    </row>
    <row r="815" spans="151:162" x14ac:dyDescent="0.2">
      <c r="EU815" s="67">
        <v>579.16</v>
      </c>
      <c r="EV815" s="67" t="s">
        <v>8940</v>
      </c>
      <c r="EW815" s="67">
        <v>504</v>
      </c>
      <c r="EX815" s="67" t="s">
        <v>8941</v>
      </c>
      <c r="EY815" s="67">
        <v>5803.25</v>
      </c>
      <c r="EZ815" s="67" t="s">
        <v>8942</v>
      </c>
      <c r="FA815" s="67">
        <v>20694.75</v>
      </c>
      <c r="FB815" s="67" t="s">
        <v>8943</v>
      </c>
      <c r="FC815" s="67" t="s">
        <v>8944</v>
      </c>
      <c r="FD815" s="67" t="s">
        <v>8945</v>
      </c>
      <c r="FE815" s="68" t="s">
        <v>8946</v>
      </c>
      <c r="FF815" s="68" t="s">
        <v>8947</v>
      </c>
    </row>
    <row r="816" spans="151:162" x14ac:dyDescent="0.2">
      <c r="EU816" s="67">
        <v>578.76</v>
      </c>
      <c r="EV816" s="67" t="s">
        <v>8948</v>
      </c>
      <c r="EW816" s="67">
        <v>503.45499999999998</v>
      </c>
      <c r="EX816" s="67" t="s">
        <v>8949</v>
      </c>
      <c r="EY816" s="67">
        <v>5799.5</v>
      </c>
      <c r="EZ816" s="67" t="s">
        <v>8950</v>
      </c>
      <c r="FA816" s="67">
        <v>20671.25</v>
      </c>
      <c r="FB816" s="67" t="s">
        <v>8951</v>
      </c>
      <c r="FC816" s="67" t="s">
        <v>8952</v>
      </c>
      <c r="FD816" s="67" t="s">
        <v>8953</v>
      </c>
      <c r="FE816" s="68" t="s">
        <v>8954</v>
      </c>
      <c r="FF816" s="68" t="s">
        <v>8955</v>
      </c>
    </row>
    <row r="817" spans="151:162" x14ac:dyDescent="0.2">
      <c r="EU817" s="67">
        <v>578.02</v>
      </c>
      <c r="EV817" s="67" t="s">
        <v>8956</v>
      </c>
      <c r="EW817" s="67">
        <v>502.625</v>
      </c>
      <c r="EX817" s="67" t="s">
        <v>8957</v>
      </c>
      <c r="EY817" s="67">
        <v>5792</v>
      </c>
      <c r="EZ817" s="67" t="s">
        <v>8958</v>
      </c>
      <c r="FA817" s="67">
        <v>20637.75</v>
      </c>
      <c r="FB817" s="67" t="s">
        <v>8959</v>
      </c>
      <c r="FC817" s="67" t="s">
        <v>8960</v>
      </c>
      <c r="FD817" s="67" t="s">
        <v>8961</v>
      </c>
      <c r="FE817" s="68" t="s">
        <v>8962</v>
      </c>
      <c r="FF817" s="68" t="s">
        <v>8963</v>
      </c>
    </row>
    <row r="818" spans="151:162" x14ac:dyDescent="0.2">
      <c r="EU818" s="67">
        <v>578.01</v>
      </c>
      <c r="EV818" s="67" t="s">
        <v>8964</v>
      </c>
      <c r="EW818" s="67">
        <v>502.47</v>
      </c>
      <c r="EX818" s="67" t="s">
        <v>8965</v>
      </c>
      <c r="EY818" s="67">
        <v>5791.5</v>
      </c>
      <c r="EZ818" s="67" t="s">
        <v>8966</v>
      </c>
      <c r="FA818" s="67">
        <v>20629.5</v>
      </c>
      <c r="FB818" s="67" t="s">
        <v>8967</v>
      </c>
      <c r="FC818" s="67" t="s">
        <v>8968</v>
      </c>
      <c r="FD818" s="67" t="s">
        <v>8969</v>
      </c>
      <c r="FE818" s="68" t="s">
        <v>8970</v>
      </c>
      <c r="FF818" s="68" t="s">
        <v>8971</v>
      </c>
    </row>
    <row r="819" spans="151:162" x14ac:dyDescent="0.2">
      <c r="EU819" s="67">
        <v>577.69000000000005</v>
      </c>
      <c r="EV819" s="67" t="s">
        <v>8972</v>
      </c>
      <c r="EW819" s="67">
        <v>502.1</v>
      </c>
      <c r="EX819" s="67" t="s">
        <v>8973</v>
      </c>
      <c r="EY819" s="67">
        <v>5788.5</v>
      </c>
      <c r="EZ819" s="67" t="s">
        <v>8974</v>
      </c>
      <c r="FA819" s="67">
        <v>20617.25</v>
      </c>
      <c r="FB819" s="67" t="s">
        <v>8975</v>
      </c>
      <c r="FC819" s="67" t="s">
        <v>8976</v>
      </c>
      <c r="FD819" s="67" t="s">
        <v>8977</v>
      </c>
      <c r="FE819" s="68" t="s">
        <v>8978</v>
      </c>
      <c r="FF819" s="68" t="s">
        <v>8979</v>
      </c>
    </row>
    <row r="820" spans="151:162" x14ac:dyDescent="0.2">
      <c r="EU820" s="67">
        <v>577.33000000000004</v>
      </c>
      <c r="EV820" s="67" t="s">
        <v>8980</v>
      </c>
      <c r="EW820" s="67">
        <v>501.83</v>
      </c>
      <c r="EX820" s="67" t="s">
        <v>8981</v>
      </c>
      <c r="EY820" s="67">
        <v>5785</v>
      </c>
      <c r="EZ820" s="67" t="s">
        <v>8982</v>
      </c>
      <c r="FA820" s="67">
        <v>20605</v>
      </c>
      <c r="FB820" s="67" t="s">
        <v>8983</v>
      </c>
      <c r="FC820" s="67" t="s">
        <v>8984</v>
      </c>
      <c r="FD820" s="67" t="s">
        <v>8985</v>
      </c>
      <c r="FE820" s="68" t="s">
        <v>8986</v>
      </c>
      <c r="FF820" s="68" t="s">
        <v>8987</v>
      </c>
    </row>
    <row r="821" spans="151:162" x14ac:dyDescent="0.2">
      <c r="EU821" s="67">
        <v>577.66999999999996</v>
      </c>
      <c r="EV821" s="67" t="s">
        <v>8988</v>
      </c>
      <c r="EW821" s="67">
        <v>502.08</v>
      </c>
      <c r="EX821" s="67" t="s">
        <v>8989</v>
      </c>
      <c r="EY821" s="67">
        <v>5787.75</v>
      </c>
      <c r="EZ821" s="67" t="s">
        <v>8990</v>
      </c>
      <c r="FA821" s="67">
        <v>20615.5</v>
      </c>
      <c r="FB821" s="67" t="s">
        <v>8991</v>
      </c>
      <c r="FC821" s="67" t="s">
        <v>8992</v>
      </c>
      <c r="FD821" s="67" t="s">
        <v>8993</v>
      </c>
      <c r="FE821" s="68" t="s">
        <v>8994</v>
      </c>
      <c r="FF821" s="68" t="s">
        <v>8995</v>
      </c>
    </row>
    <row r="822" spans="151:162" x14ac:dyDescent="0.2">
      <c r="EU822" s="67">
        <v>577.9</v>
      </c>
      <c r="EV822" s="67" t="s">
        <v>8996</v>
      </c>
      <c r="EW822" s="67">
        <v>502.35</v>
      </c>
      <c r="EX822" s="67" t="s">
        <v>8997</v>
      </c>
      <c r="EY822" s="67">
        <v>5790.75</v>
      </c>
      <c r="EZ822" s="67" t="s">
        <v>8998</v>
      </c>
      <c r="FA822" s="67">
        <v>20625.5</v>
      </c>
      <c r="FB822" s="67" t="s">
        <v>8999</v>
      </c>
      <c r="FC822" s="67" t="s">
        <v>9000</v>
      </c>
      <c r="FD822" s="67" t="s">
        <v>9001</v>
      </c>
      <c r="FE822" s="68" t="s">
        <v>9002</v>
      </c>
      <c r="FF822" s="68" t="s">
        <v>9003</v>
      </c>
    </row>
    <row r="823" spans="151:162" x14ac:dyDescent="0.2">
      <c r="EU823" s="67">
        <v>577.82000000000005</v>
      </c>
      <c r="EV823" s="67" t="s">
        <v>9004</v>
      </c>
      <c r="EW823" s="67">
        <v>502.26</v>
      </c>
      <c r="EX823" s="67" t="s">
        <v>9005</v>
      </c>
      <c r="EY823" s="67">
        <v>5790</v>
      </c>
      <c r="EZ823" s="67" t="s">
        <v>9006</v>
      </c>
      <c r="FA823" s="67">
        <v>20622</v>
      </c>
      <c r="FB823" s="67" t="s">
        <v>9007</v>
      </c>
      <c r="FC823" s="67" t="s">
        <v>9008</v>
      </c>
      <c r="FD823" s="67" t="s">
        <v>9009</v>
      </c>
      <c r="FE823" s="68" t="s">
        <v>9010</v>
      </c>
      <c r="FF823" s="68" t="s">
        <v>9011</v>
      </c>
    </row>
    <row r="824" spans="151:162" x14ac:dyDescent="0.2">
      <c r="EU824" s="67">
        <v>577.64499999999998</v>
      </c>
      <c r="EV824" s="67" t="s">
        <v>9012</v>
      </c>
      <c r="EW824" s="67">
        <v>502.08</v>
      </c>
      <c r="EX824" s="67" t="s">
        <v>9013</v>
      </c>
      <c r="EY824" s="67">
        <v>5788.5</v>
      </c>
      <c r="EZ824" s="67" t="s">
        <v>9014</v>
      </c>
      <c r="FA824" s="67">
        <v>20615</v>
      </c>
      <c r="FB824" s="67" t="s">
        <v>9015</v>
      </c>
      <c r="FC824" s="67" t="s">
        <v>9016</v>
      </c>
      <c r="FD824" s="67" t="s">
        <v>9017</v>
      </c>
      <c r="FE824" s="68" t="s">
        <v>9018</v>
      </c>
      <c r="FF824" s="68" t="s">
        <v>9019</v>
      </c>
    </row>
    <row r="825" spans="151:162" x14ac:dyDescent="0.2">
      <c r="EU825" s="67">
        <v>577.91999999999996</v>
      </c>
      <c r="EV825" s="67" t="s">
        <v>9020</v>
      </c>
      <c r="EW825" s="67">
        <v>502.37</v>
      </c>
      <c r="EX825" s="67" t="s">
        <v>9021</v>
      </c>
      <c r="EY825" s="67">
        <v>5791.75</v>
      </c>
      <c r="EZ825" s="67" t="s">
        <v>9022</v>
      </c>
      <c r="FA825" s="67">
        <v>20623</v>
      </c>
      <c r="FB825" s="67" t="s">
        <v>9023</v>
      </c>
      <c r="FC825" s="67" t="s">
        <v>9024</v>
      </c>
      <c r="FD825" s="67" t="s">
        <v>9025</v>
      </c>
      <c r="FE825" s="68" t="s">
        <v>9026</v>
      </c>
      <c r="FF825" s="68" t="s">
        <v>9027</v>
      </c>
    </row>
    <row r="826" spans="151:162" x14ac:dyDescent="0.2">
      <c r="EU826" s="67">
        <v>577.94000000000005</v>
      </c>
      <c r="EV826" s="67" t="s">
        <v>9028</v>
      </c>
      <c r="EW826" s="67">
        <v>502.38499999999999</v>
      </c>
      <c r="EX826" s="67" t="s">
        <v>9029</v>
      </c>
      <c r="EY826" s="67">
        <v>5790.75</v>
      </c>
      <c r="EZ826" s="67" t="s">
        <v>9030</v>
      </c>
      <c r="FA826" s="67">
        <v>20629</v>
      </c>
      <c r="FB826" s="67" t="s">
        <v>9031</v>
      </c>
      <c r="FC826" s="67" t="s">
        <v>9032</v>
      </c>
      <c r="FD826" s="67" t="s">
        <v>9033</v>
      </c>
      <c r="FE826" s="68" t="s">
        <v>9034</v>
      </c>
      <c r="FF826" s="68" t="s">
        <v>9035</v>
      </c>
    </row>
    <row r="827" spans="151:162" x14ac:dyDescent="0.2">
      <c r="EU827" s="67">
        <v>577.66</v>
      </c>
      <c r="EV827" s="67" t="s">
        <v>9036</v>
      </c>
      <c r="EW827" s="67">
        <v>502.12</v>
      </c>
      <c r="EX827" s="67" t="s">
        <v>9037</v>
      </c>
      <c r="EY827" s="67">
        <v>5788.5</v>
      </c>
      <c r="EZ827" s="67" t="s">
        <v>9038</v>
      </c>
      <c r="FA827" s="67">
        <v>20615.75</v>
      </c>
      <c r="FB827" s="67" t="s">
        <v>9039</v>
      </c>
      <c r="FC827" s="67" t="s">
        <v>9040</v>
      </c>
      <c r="FD827" s="67" t="s">
        <v>9041</v>
      </c>
      <c r="FE827" s="68" t="s">
        <v>9042</v>
      </c>
      <c r="FF827" s="68" t="s">
        <v>9043</v>
      </c>
    </row>
    <row r="828" spans="151:162" x14ac:dyDescent="0.2">
      <c r="EU828" s="67">
        <v>578.17999999999995</v>
      </c>
      <c r="EV828" s="67" t="s">
        <v>9044</v>
      </c>
      <c r="EW828" s="67">
        <v>502.72</v>
      </c>
      <c r="EX828" s="67" t="s">
        <v>9045</v>
      </c>
      <c r="EY828" s="67">
        <v>5794</v>
      </c>
      <c r="EZ828" s="67" t="s">
        <v>9046</v>
      </c>
      <c r="FA828" s="67">
        <v>20640.5</v>
      </c>
      <c r="FB828" s="67" t="s">
        <v>9047</v>
      </c>
      <c r="FC828" s="67" t="s">
        <v>9048</v>
      </c>
      <c r="FD828" s="67" t="s">
        <v>9049</v>
      </c>
      <c r="FE828" s="68" t="s">
        <v>9050</v>
      </c>
      <c r="FF828" s="68" t="s">
        <v>9051</v>
      </c>
    </row>
    <row r="829" spans="151:162" x14ac:dyDescent="0.2">
      <c r="EU829" s="67">
        <v>578.6</v>
      </c>
      <c r="EV829" s="67" t="s">
        <v>9052</v>
      </c>
      <c r="EW829" s="67">
        <v>503.24</v>
      </c>
      <c r="EX829" s="67" t="s">
        <v>9053</v>
      </c>
      <c r="EY829" s="67">
        <v>5797.75</v>
      </c>
      <c r="EZ829" s="67" t="s">
        <v>9054</v>
      </c>
      <c r="FA829" s="67">
        <v>20663</v>
      </c>
      <c r="FB829" s="67" t="s">
        <v>9055</v>
      </c>
      <c r="FC829" s="67" t="s">
        <v>9056</v>
      </c>
      <c r="FD829" s="67" t="s">
        <v>9057</v>
      </c>
      <c r="FE829" s="68" t="s">
        <v>9058</v>
      </c>
      <c r="FF829" s="68" t="s">
        <v>9059</v>
      </c>
    </row>
    <row r="830" spans="151:162" x14ac:dyDescent="0.2">
      <c r="EU830" s="67">
        <v>578.89</v>
      </c>
      <c r="EV830" s="67" t="s">
        <v>9060</v>
      </c>
      <c r="EW830" s="67">
        <v>503.43</v>
      </c>
      <c r="EX830" s="67" t="s">
        <v>9061</v>
      </c>
      <c r="EY830" s="67">
        <v>5800.75</v>
      </c>
      <c r="EZ830" s="67" t="s">
        <v>9062</v>
      </c>
      <c r="FA830" s="67">
        <v>20672</v>
      </c>
      <c r="FB830" s="67" t="s">
        <v>9063</v>
      </c>
      <c r="FC830" s="67" t="s">
        <v>9064</v>
      </c>
      <c r="FD830" s="67" t="s">
        <v>9065</v>
      </c>
      <c r="FE830" s="68" t="s">
        <v>9066</v>
      </c>
      <c r="FF830" s="68" t="s">
        <v>9067</v>
      </c>
    </row>
    <row r="831" spans="151:162" x14ac:dyDescent="0.2">
      <c r="EU831" s="67">
        <v>579.09</v>
      </c>
      <c r="EV831" s="67" t="s">
        <v>9068</v>
      </c>
      <c r="EW831" s="67">
        <v>503.80500000000001</v>
      </c>
      <c r="EX831" s="67" t="s">
        <v>9069</v>
      </c>
      <c r="EY831" s="67">
        <v>5802.75</v>
      </c>
      <c r="EZ831" s="67" t="s">
        <v>9070</v>
      </c>
      <c r="FA831" s="67">
        <v>20687</v>
      </c>
      <c r="FB831" s="67" t="s">
        <v>9071</v>
      </c>
      <c r="FC831" s="67" t="s">
        <v>9072</v>
      </c>
      <c r="FD831" s="67" t="s">
        <v>9073</v>
      </c>
      <c r="FE831" s="68" t="s">
        <v>9074</v>
      </c>
      <c r="FF831" s="68" t="s">
        <v>9075</v>
      </c>
    </row>
    <row r="832" spans="151:162" x14ac:dyDescent="0.2">
      <c r="EU832" s="67">
        <v>579.03099999999995</v>
      </c>
      <c r="EV832" s="67" t="s">
        <v>9076</v>
      </c>
      <c r="EW832" s="67">
        <v>503.74</v>
      </c>
      <c r="EX832" s="67" t="s">
        <v>9077</v>
      </c>
      <c r="EY832" s="67">
        <v>5802.25</v>
      </c>
      <c r="EZ832" s="67" t="s">
        <v>9078</v>
      </c>
      <c r="FA832" s="67">
        <v>20683.5</v>
      </c>
      <c r="FB832" s="67" t="s">
        <v>9079</v>
      </c>
      <c r="FC832" s="67" t="s">
        <v>9080</v>
      </c>
      <c r="FD832" s="67" t="s">
        <v>9081</v>
      </c>
      <c r="FE832" s="68" t="s">
        <v>9082</v>
      </c>
      <c r="FF832" s="68" t="s">
        <v>9083</v>
      </c>
    </row>
    <row r="833" spans="151:162" x14ac:dyDescent="0.2">
      <c r="EU833" s="67">
        <v>579.26</v>
      </c>
      <c r="EV833" s="67" t="s">
        <v>9084</v>
      </c>
      <c r="EW833" s="67">
        <v>503.94</v>
      </c>
      <c r="EX833" s="67" t="s">
        <v>9085</v>
      </c>
      <c r="EY833" s="67">
        <v>5804.25</v>
      </c>
      <c r="EZ833" s="67" t="s">
        <v>9086</v>
      </c>
      <c r="FA833" s="67">
        <v>20692.5</v>
      </c>
      <c r="FB833" s="67" t="s">
        <v>9087</v>
      </c>
      <c r="FC833" s="67" t="s">
        <v>9088</v>
      </c>
      <c r="FD833" s="67" t="s">
        <v>9089</v>
      </c>
      <c r="FE833" s="68" t="s">
        <v>9090</v>
      </c>
      <c r="FF833" s="68" t="s">
        <v>9091</v>
      </c>
    </row>
    <row r="834" spans="151:162" x14ac:dyDescent="0.2">
      <c r="EU834" s="67">
        <v>579.41</v>
      </c>
      <c r="EV834" s="67" t="s">
        <v>9092</v>
      </c>
      <c r="EW834" s="67">
        <v>504.05</v>
      </c>
      <c r="EX834" s="67" t="s">
        <v>9093</v>
      </c>
      <c r="EY834" s="67">
        <v>5806</v>
      </c>
      <c r="EZ834" s="67" t="s">
        <v>9094</v>
      </c>
      <c r="FA834" s="67">
        <v>20696.5</v>
      </c>
      <c r="FB834" s="67" t="s">
        <v>9095</v>
      </c>
      <c r="FC834" s="67" t="s">
        <v>9096</v>
      </c>
      <c r="FD834" s="67" t="s">
        <v>9097</v>
      </c>
      <c r="FE834" s="68" t="s">
        <v>9098</v>
      </c>
      <c r="FF834" s="68" t="s">
        <v>9099</v>
      </c>
    </row>
    <row r="835" spans="151:162" x14ac:dyDescent="0.2">
      <c r="EU835" s="67">
        <v>579.70000000000005</v>
      </c>
      <c r="EV835" s="67" t="s">
        <v>9100</v>
      </c>
      <c r="EW835" s="67">
        <v>504.303</v>
      </c>
      <c r="EX835" s="67" t="s">
        <v>9101</v>
      </c>
      <c r="EY835" s="67">
        <v>5808.75</v>
      </c>
      <c r="EZ835" s="67" t="s">
        <v>9102</v>
      </c>
      <c r="FA835" s="67">
        <v>20707.5</v>
      </c>
      <c r="FB835" s="67" t="s">
        <v>9103</v>
      </c>
      <c r="FC835" s="67" t="s">
        <v>9104</v>
      </c>
      <c r="FD835" s="67" t="s">
        <v>9105</v>
      </c>
      <c r="FE835" s="68" t="s">
        <v>9106</v>
      </c>
      <c r="FF835" s="68" t="s">
        <v>9107</v>
      </c>
    </row>
    <row r="836" spans="151:162" x14ac:dyDescent="0.2">
      <c r="EU836" s="67">
        <v>579.24099999999999</v>
      </c>
      <c r="EV836" s="67" t="s">
        <v>9108</v>
      </c>
      <c r="EW836" s="67">
        <v>503.91500000000002</v>
      </c>
      <c r="EX836" s="67" t="s">
        <v>9109</v>
      </c>
      <c r="EY836" s="67">
        <v>5804.25</v>
      </c>
      <c r="EZ836" s="67" t="s">
        <v>9110</v>
      </c>
      <c r="FA836" s="67">
        <v>20691</v>
      </c>
      <c r="FB836" s="67" t="s">
        <v>9111</v>
      </c>
      <c r="FC836" s="67" t="s">
        <v>9112</v>
      </c>
      <c r="FD836" s="67" t="s">
        <v>9113</v>
      </c>
      <c r="FE836" s="68" t="s">
        <v>9114</v>
      </c>
      <c r="FF836" s="68" t="s">
        <v>9115</v>
      </c>
    </row>
    <row r="837" spans="151:162" x14ac:dyDescent="0.2">
      <c r="EU837" s="67">
        <v>579.41</v>
      </c>
      <c r="EV837" s="67" t="s">
        <v>9116</v>
      </c>
      <c r="EW837" s="67">
        <v>503.89</v>
      </c>
      <c r="EX837" s="67" t="s">
        <v>9117</v>
      </c>
      <c r="EY837" s="67">
        <v>5806</v>
      </c>
      <c r="EZ837" s="67" t="s">
        <v>9118</v>
      </c>
      <c r="FA837" s="67">
        <v>20691</v>
      </c>
      <c r="FB837" s="67" t="s">
        <v>9119</v>
      </c>
      <c r="FC837" s="67" t="s">
        <v>9120</v>
      </c>
      <c r="FD837" s="67" t="s">
        <v>9121</v>
      </c>
      <c r="FE837" s="68" t="s">
        <v>9122</v>
      </c>
      <c r="FF837" s="68" t="s">
        <v>9123</v>
      </c>
    </row>
    <row r="838" spans="151:162" x14ac:dyDescent="0.2">
      <c r="EU838" s="67">
        <v>579.61</v>
      </c>
      <c r="EV838" s="67" t="s">
        <v>9124</v>
      </c>
      <c r="EW838" s="67">
        <v>503.92</v>
      </c>
      <c r="EX838" s="67" t="s">
        <v>9125</v>
      </c>
      <c r="EY838" s="67">
        <v>5807.75</v>
      </c>
      <c r="EZ838" s="67" t="s">
        <v>9126</v>
      </c>
      <c r="FA838" s="67">
        <v>20693.75</v>
      </c>
      <c r="FB838" s="67" t="s">
        <v>9127</v>
      </c>
      <c r="FC838" s="67" t="s">
        <v>9128</v>
      </c>
      <c r="FD838" s="67" t="s">
        <v>9129</v>
      </c>
      <c r="FE838" s="68" t="s">
        <v>9130</v>
      </c>
      <c r="FF838" s="68" t="s">
        <v>9131</v>
      </c>
    </row>
    <row r="839" spans="151:162" x14ac:dyDescent="0.2">
      <c r="EU839" s="67">
        <v>579.57100000000003</v>
      </c>
      <c r="EV839" s="67" t="s">
        <v>9132</v>
      </c>
      <c r="EW839" s="67">
        <v>503.79</v>
      </c>
      <c r="EX839" s="67" t="s">
        <v>9133</v>
      </c>
      <c r="EY839" s="67">
        <v>5807.75</v>
      </c>
      <c r="EZ839" s="67" t="s">
        <v>9134</v>
      </c>
      <c r="FA839" s="67">
        <v>20686</v>
      </c>
      <c r="FB839" s="67" t="s">
        <v>9135</v>
      </c>
      <c r="FC839" s="67" t="s">
        <v>9136</v>
      </c>
      <c r="FD839" s="67" t="s">
        <v>9137</v>
      </c>
      <c r="FE839" s="68" t="s">
        <v>9138</v>
      </c>
      <c r="FF839" s="68" t="s">
        <v>9139</v>
      </c>
    </row>
    <row r="840" spans="151:162" x14ac:dyDescent="0.2">
      <c r="EU840" s="67">
        <v>579.54</v>
      </c>
      <c r="EV840" s="67" t="s">
        <v>9140</v>
      </c>
      <c r="EW840" s="67">
        <v>503.75</v>
      </c>
      <c r="EX840" s="67" t="s">
        <v>9141</v>
      </c>
      <c r="EY840" s="67">
        <v>5807.25</v>
      </c>
      <c r="EZ840" s="67" t="s">
        <v>9142</v>
      </c>
      <c r="FA840" s="67">
        <v>20683.75</v>
      </c>
      <c r="FB840" s="67" t="s">
        <v>9143</v>
      </c>
      <c r="FC840" s="67" t="s">
        <v>9144</v>
      </c>
      <c r="FD840" s="67" t="s">
        <v>9145</v>
      </c>
      <c r="FE840" s="68" t="s">
        <v>9146</v>
      </c>
      <c r="FF840" s="68" t="s">
        <v>9147</v>
      </c>
    </row>
    <row r="841" spans="151:162" x14ac:dyDescent="0.2">
      <c r="EU841" s="67">
        <v>579.72</v>
      </c>
      <c r="EV841" s="67" t="s">
        <v>9148</v>
      </c>
      <c r="EW841" s="67">
        <v>503.99</v>
      </c>
      <c r="EX841" s="67" t="s">
        <v>9149</v>
      </c>
      <c r="EY841" s="67">
        <v>5808.5</v>
      </c>
      <c r="EZ841" s="67" t="s">
        <v>9150</v>
      </c>
      <c r="FA841" s="67">
        <v>20691.75</v>
      </c>
      <c r="FB841" s="67" t="s">
        <v>9151</v>
      </c>
      <c r="FC841" s="67" t="s">
        <v>9152</v>
      </c>
      <c r="FD841" s="67" t="s">
        <v>9153</v>
      </c>
      <c r="FE841" s="68" t="s">
        <v>9154</v>
      </c>
      <c r="FF841" s="68" t="s">
        <v>9155</v>
      </c>
    </row>
    <row r="842" spans="151:162" x14ac:dyDescent="0.2">
      <c r="EU842" s="67">
        <v>580.13</v>
      </c>
      <c r="EV842" s="67" t="s">
        <v>9156</v>
      </c>
      <c r="EW842" s="67">
        <v>504.32</v>
      </c>
      <c r="EX842" s="67" t="s">
        <v>9157</v>
      </c>
      <c r="EY842" s="67">
        <v>5813</v>
      </c>
      <c r="EZ842" s="67" t="s">
        <v>9158</v>
      </c>
      <c r="FA842" s="67">
        <v>20708.25</v>
      </c>
      <c r="FB842" s="67" t="s">
        <v>9159</v>
      </c>
      <c r="FC842" s="67" t="s">
        <v>9160</v>
      </c>
      <c r="FD842" s="67" t="s">
        <v>9161</v>
      </c>
      <c r="FE842" s="68" t="s">
        <v>9162</v>
      </c>
      <c r="FF842" s="68" t="s">
        <v>9163</v>
      </c>
    </row>
    <row r="843" spans="151:162" x14ac:dyDescent="0.2">
      <c r="EU843" s="67">
        <v>580.03</v>
      </c>
      <c r="EV843" s="67" t="s">
        <v>9164</v>
      </c>
      <c r="EW843" s="67">
        <v>504.26299999999998</v>
      </c>
      <c r="EX843" s="67" t="s">
        <v>9165</v>
      </c>
      <c r="EY843" s="67">
        <v>5812</v>
      </c>
      <c r="EZ843" s="67" t="s">
        <v>9166</v>
      </c>
      <c r="FA843" s="67">
        <v>20705.5</v>
      </c>
      <c r="FB843" s="67" t="s">
        <v>9167</v>
      </c>
      <c r="FC843" s="67" t="s">
        <v>9168</v>
      </c>
      <c r="FD843" s="67" t="s">
        <v>9169</v>
      </c>
      <c r="FE843" s="68" t="s">
        <v>9170</v>
      </c>
      <c r="FF843" s="68" t="s">
        <v>9171</v>
      </c>
    </row>
    <row r="844" spans="151:162" x14ac:dyDescent="0.2">
      <c r="EU844" s="67">
        <v>579.64</v>
      </c>
      <c r="EV844" s="67" t="s">
        <v>9172</v>
      </c>
      <c r="EW844" s="67">
        <v>503.82900000000001</v>
      </c>
      <c r="EX844" s="67" t="s">
        <v>9173</v>
      </c>
      <c r="EY844" s="67">
        <v>5808.25</v>
      </c>
      <c r="EZ844" s="67" t="s">
        <v>9174</v>
      </c>
      <c r="FA844" s="67">
        <v>20686</v>
      </c>
      <c r="FB844" s="67" t="s">
        <v>9175</v>
      </c>
      <c r="FC844" s="67" t="s">
        <v>9176</v>
      </c>
      <c r="FD844" s="67" t="s">
        <v>9177</v>
      </c>
      <c r="FE844" s="68" t="s">
        <v>9178</v>
      </c>
      <c r="FF844" s="68" t="s">
        <v>9179</v>
      </c>
    </row>
    <row r="845" spans="151:162" x14ac:dyDescent="0.2">
      <c r="EU845" s="67">
        <v>579.54999999999995</v>
      </c>
      <c r="EV845" s="67" t="s">
        <v>9180</v>
      </c>
      <c r="EW845" s="67">
        <v>503.84</v>
      </c>
      <c r="EX845" s="67" t="s">
        <v>9181</v>
      </c>
      <c r="EY845" s="67">
        <v>5807.25</v>
      </c>
      <c r="EZ845" s="67" t="s">
        <v>9182</v>
      </c>
      <c r="FA845" s="67">
        <v>20687.25</v>
      </c>
      <c r="FB845" s="67" t="s">
        <v>9183</v>
      </c>
      <c r="FC845" s="67" t="s">
        <v>9184</v>
      </c>
      <c r="FD845" s="67" t="s">
        <v>9185</v>
      </c>
      <c r="FE845" s="68" t="s">
        <v>9186</v>
      </c>
      <c r="FF845" s="68" t="s">
        <v>9187</v>
      </c>
    </row>
    <row r="846" spans="151:162" x14ac:dyDescent="0.2">
      <c r="EU846" s="67">
        <v>579.41</v>
      </c>
      <c r="EV846" s="67" t="s">
        <v>9188</v>
      </c>
      <c r="EW846" s="67">
        <v>503.71</v>
      </c>
      <c r="EX846" s="67" t="s">
        <v>9189</v>
      </c>
      <c r="EY846" s="67">
        <v>5806</v>
      </c>
      <c r="EZ846" s="67" t="s">
        <v>9190</v>
      </c>
      <c r="FA846" s="67">
        <v>20682.25</v>
      </c>
      <c r="FB846" s="67" t="s">
        <v>9191</v>
      </c>
      <c r="FC846" s="67" t="s">
        <v>9192</v>
      </c>
      <c r="FD846" s="67" t="s">
        <v>9193</v>
      </c>
      <c r="FE846" s="68" t="s">
        <v>9194</v>
      </c>
      <c r="FF846" s="68" t="s">
        <v>9195</v>
      </c>
    </row>
    <row r="847" spans="151:162" x14ac:dyDescent="0.2">
      <c r="EU847" s="67">
        <v>579.09</v>
      </c>
      <c r="EV847" s="67" t="s">
        <v>9196</v>
      </c>
      <c r="EW847" s="67">
        <v>503.35</v>
      </c>
      <c r="EX847" s="67" t="s">
        <v>9197</v>
      </c>
      <c r="EY847" s="67">
        <v>5801.75</v>
      </c>
      <c r="EZ847" s="67" t="s">
        <v>9198</v>
      </c>
      <c r="FA847" s="67">
        <v>20668</v>
      </c>
      <c r="FB847" s="67" t="s">
        <v>9199</v>
      </c>
      <c r="FC847" s="67" t="s">
        <v>9200</v>
      </c>
      <c r="FD847" s="67" t="s">
        <v>9201</v>
      </c>
      <c r="FE847" s="68" t="s">
        <v>9202</v>
      </c>
      <c r="FF847" s="68" t="s">
        <v>9203</v>
      </c>
    </row>
    <row r="848" spans="151:162" x14ac:dyDescent="0.2">
      <c r="EU848" s="67">
        <v>579.30999999999995</v>
      </c>
      <c r="EV848" s="67" t="s">
        <v>9204</v>
      </c>
      <c r="EW848" s="67">
        <v>503.46</v>
      </c>
      <c r="EX848" s="67" t="s">
        <v>9205</v>
      </c>
      <c r="EY848" s="67">
        <v>5805.25</v>
      </c>
      <c r="EZ848" s="67" t="s">
        <v>9206</v>
      </c>
      <c r="FA848" s="67">
        <v>20677.25</v>
      </c>
      <c r="FB848" s="67" t="s">
        <v>9207</v>
      </c>
      <c r="FC848" s="67" t="s">
        <v>9208</v>
      </c>
      <c r="FD848" s="67" t="s">
        <v>9209</v>
      </c>
      <c r="FE848" s="68" t="s">
        <v>9210</v>
      </c>
      <c r="FF848" s="68" t="s">
        <v>9211</v>
      </c>
    </row>
    <row r="849" spans="151:162" x14ac:dyDescent="0.2">
      <c r="EU849" s="67">
        <v>579.29</v>
      </c>
      <c r="EV849" s="67" t="s">
        <v>9212</v>
      </c>
      <c r="EW849" s="67">
        <v>503.69</v>
      </c>
      <c r="EX849" s="67" t="s">
        <v>9213</v>
      </c>
      <c r="EY849" s="67">
        <v>5805</v>
      </c>
      <c r="EZ849" s="67" t="s">
        <v>9214</v>
      </c>
      <c r="FA849" s="67">
        <v>20681</v>
      </c>
      <c r="FB849" s="67" t="s">
        <v>9215</v>
      </c>
      <c r="FC849" s="67" t="s">
        <v>9216</v>
      </c>
      <c r="FD849" s="67" t="s">
        <v>9217</v>
      </c>
      <c r="FE849" s="68" t="s">
        <v>9218</v>
      </c>
      <c r="FF849" s="68" t="s">
        <v>9219</v>
      </c>
    </row>
    <row r="850" spans="151:162" x14ac:dyDescent="0.2">
      <c r="EU850" s="67">
        <v>579.36</v>
      </c>
      <c r="EV850" s="67" t="s">
        <v>9220</v>
      </c>
      <c r="EW850" s="67">
        <v>503.79</v>
      </c>
      <c r="EX850" s="67" t="s">
        <v>9221</v>
      </c>
      <c r="EY850" s="67">
        <v>5805.5</v>
      </c>
      <c r="EZ850" s="67" t="s">
        <v>9222</v>
      </c>
      <c r="FA850" s="67">
        <v>20685.25</v>
      </c>
      <c r="FB850" s="67" t="s">
        <v>9223</v>
      </c>
      <c r="FC850" s="67" t="s">
        <v>9224</v>
      </c>
      <c r="FD850" s="67" t="s">
        <v>9225</v>
      </c>
      <c r="FE850" s="68" t="s">
        <v>9226</v>
      </c>
      <c r="FF850" s="68" t="s">
        <v>9227</v>
      </c>
    </row>
    <row r="851" spans="151:162" x14ac:dyDescent="0.2">
      <c r="EU851" s="67">
        <v>579.55999999999995</v>
      </c>
      <c r="EV851" s="67" t="s">
        <v>9228</v>
      </c>
      <c r="EW851" s="67">
        <v>503.92</v>
      </c>
      <c r="EX851" s="67" t="s">
        <v>9229</v>
      </c>
      <c r="EY851" s="67">
        <v>5807.75</v>
      </c>
      <c r="EZ851" s="67" t="s">
        <v>9230</v>
      </c>
      <c r="FA851" s="67">
        <v>20691.5</v>
      </c>
      <c r="FB851" s="67" t="s">
        <v>9231</v>
      </c>
      <c r="FC851" s="67" t="s">
        <v>9232</v>
      </c>
      <c r="FD851" s="67" t="s">
        <v>9233</v>
      </c>
      <c r="FE851" s="68" t="s">
        <v>9234</v>
      </c>
      <c r="FF851" s="68" t="s">
        <v>9235</v>
      </c>
    </row>
    <row r="852" spans="151:162" x14ac:dyDescent="0.2">
      <c r="EU852" s="67">
        <v>579.55999999999995</v>
      </c>
      <c r="EV852" s="67" t="s">
        <v>9236</v>
      </c>
      <c r="EW852" s="67">
        <v>503.87</v>
      </c>
      <c r="EX852" s="67" t="s">
        <v>9237</v>
      </c>
      <c r="EY852" s="67">
        <v>5807.75</v>
      </c>
      <c r="EZ852" s="67" t="s">
        <v>9238</v>
      </c>
      <c r="FA852" s="67">
        <v>20688.75</v>
      </c>
      <c r="FB852" s="67" t="s">
        <v>9239</v>
      </c>
      <c r="FC852" s="67" t="s">
        <v>9240</v>
      </c>
      <c r="FD852" s="67" t="s">
        <v>9241</v>
      </c>
      <c r="FE852" s="68" t="s">
        <v>9242</v>
      </c>
      <c r="FF852" s="68" t="s">
        <v>9243</v>
      </c>
    </row>
    <row r="853" spans="151:162" x14ac:dyDescent="0.2">
      <c r="EU853" s="67">
        <v>579.50199999999995</v>
      </c>
      <c r="EV853" s="67" t="s">
        <v>6116</v>
      </c>
      <c r="EW853" s="67">
        <v>503.84</v>
      </c>
      <c r="EX853" s="67" t="s">
        <v>6117</v>
      </c>
      <c r="EY853" s="67">
        <v>5807.25</v>
      </c>
      <c r="EZ853" s="67" t="s">
        <v>6118</v>
      </c>
      <c r="FA853" s="67">
        <v>20683.5</v>
      </c>
      <c r="FB853" s="67" t="s">
        <v>6119</v>
      </c>
      <c r="FC853" s="67" t="s">
        <v>6120</v>
      </c>
      <c r="FD853" s="67" t="s">
        <v>6121</v>
      </c>
      <c r="FE853" s="68" t="s">
        <v>6122</v>
      </c>
      <c r="FF853" s="68" t="s">
        <v>6123</v>
      </c>
    </row>
    <row r="854" spans="151:162" x14ac:dyDescent="0.2">
      <c r="EU854" s="67">
        <v>579.12</v>
      </c>
      <c r="EV854" s="67" t="s">
        <v>6124</v>
      </c>
      <c r="EW854" s="67">
        <v>503.43700000000001</v>
      </c>
      <c r="EX854" s="67" t="s">
        <v>6125</v>
      </c>
      <c r="EY854" s="67">
        <v>5802.75</v>
      </c>
      <c r="EZ854" s="67" t="s">
        <v>6126</v>
      </c>
      <c r="FA854" s="67">
        <v>20670.5</v>
      </c>
      <c r="FB854" s="67" t="s">
        <v>6127</v>
      </c>
      <c r="FC854" s="67" t="s">
        <v>6128</v>
      </c>
      <c r="FD854" s="67" t="s">
        <v>6129</v>
      </c>
      <c r="FE854" s="68" t="s">
        <v>6130</v>
      </c>
      <c r="FF854" s="68" t="s">
        <v>6131</v>
      </c>
    </row>
    <row r="855" spans="151:162" x14ac:dyDescent="0.2">
      <c r="EU855" s="67">
        <v>579.04</v>
      </c>
      <c r="EV855" s="67" t="s">
        <v>6132</v>
      </c>
      <c r="EW855" s="67">
        <v>503.53</v>
      </c>
      <c r="EX855" s="67" t="s">
        <v>6133</v>
      </c>
      <c r="EY855" s="67">
        <v>5802.5</v>
      </c>
      <c r="EZ855" s="67" t="s">
        <v>6134</v>
      </c>
      <c r="FA855" s="67">
        <v>20672.75</v>
      </c>
      <c r="FB855" s="67" t="s">
        <v>6135</v>
      </c>
      <c r="FC855" s="67" t="s">
        <v>6136</v>
      </c>
      <c r="FD855" s="67" t="s">
        <v>6137</v>
      </c>
      <c r="FE855" s="68" t="s">
        <v>6138</v>
      </c>
      <c r="FF855" s="68" t="s">
        <v>6139</v>
      </c>
    </row>
    <row r="856" spans="151:162" x14ac:dyDescent="0.2">
      <c r="EU856" s="67">
        <v>579.28</v>
      </c>
      <c r="EV856" s="67" t="s">
        <v>6140</v>
      </c>
      <c r="EW856" s="67">
        <v>503.71</v>
      </c>
      <c r="EX856" s="67" t="s">
        <v>6141</v>
      </c>
      <c r="EY856" s="67">
        <v>5804.75</v>
      </c>
      <c r="EZ856" s="67" t="s">
        <v>6142</v>
      </c>
      <c r="FA856" s="67">
        <v>20682.25</v>
      </c>
      <c r="FB856" s="67" t="s">
        <v>6143</v>
      </c>
      <c r="FC856" s="67" t="s">
        <v>6144</v>
      </c>
      <c r="FD856" s="67" t="s">
        <v>6145</v>
      </c>
      <c r="FE856" s="68" t="s">
        <v>6146</v>
      </c>
      <c r="FF856" s="68" t="s">
        <v>6147</v>
      </c>
    </row>
    <row r="857" spans="151:162" x14ac:dyDescent="0.2">
      <c r="EU857" s="67">
        <v>579.01499999999999</v>
      </c>
      <c r="EV857" s="67" t="s">
        <v>6148</v>
      </c>
      <c r="EW857" s="67">
        <v>503.46</v>
      </c>
      <c r="EX857" s="67" t="s">
        <v>6149</v>
      </c>
      <c r="EY857" s="67">
        <v>5802.25</v>
      </c>
      <c r="EZ857" s="67" t="s">
        <v>6150</v>
      </c>
      <c r="FA857" s="67">
        <v>20671.5</v>
      </c>
      <c r="FB857" s="67" t="s">
        <v>6151</v>
      </c>
      <c r="FC857" s="67" t="s">
        <v>6152</v>
      </c>
      <c r="FD857" s="67" t="s">
        <v>6153</v>
      </c>
      <c r="FE857" s="68" t="s">
        <v>6154</v>
      </c>
      <c r="FF857" s="68" t="s">
        <v>6155</v>
      </c>
    </row>
    <row r="858" spans="151:162" x14ac:dyDescent="0.2">
      <c r="EU858" s="67">
        <v>579.29</v>
      </c>
      <c r="EV858" s="67" t="s">
        <v>6156</v>
      </c>
      <c r="EW858" s="67">
        <v>503.72</v>
      </c>
      <c r="EX858" s="67" t="s">
        <v>6157</v>
      </c>
      <c r="EY858" s="67">
        <v>5804.75</v>
      </c>
      <c r="EZ858" s="67" t="s">
        <v>6158</v>
      </c>
      <c r="FA858" s="67">
        <v>20682.75</v>
      </c>
      <c r="FB858" s="67" t="s">
        <v>6159</v>
      </c>
      <c r="FC858" s="67" t="s">
        <v>6160</v>
      </c>
      <c r="FD858" s="67" t="s">
        <v>6161</v>
      </c>
      <c r="FE858" s="68" t="s">
        <v>6162</v>
      </c>
      <c r="FF858" s="68" t="s">
        <v>6163</v>
      </c>
    </row>
    <row r="859" spans="151:162" x14ac:dyDescent="0.2">
      <c r="EU859" s="67">
        <v>579.04999999999995</v>
      </c>
      <c r="EV859" s="67" t="s">
        <v>6164</v>
      </c>
      <c r="EW859" s="67">
        <v>503.55</v>
      </c>
      <c r="EX859" s="67" t="s">
        <v>6165</v>
      </c>
      <c r="EY859" s="67">
        <v>5802.25</v>
      </c>
      <c r="EZ859" s="67" t="s">
        <v>6166</v>
      </c>
      <c r="FA859" s="67">
        <v>20674.5</v>
      </c>
      <c r="FB859" s="67" t="s">
        <v>6167</v>
      </c>
      <c r="FC859" s="67" t="s">
        <v>6168</v>
      </c>
      <c r="FD859" s="67" t="s">
        <v>6169</v>
      </c>
      <c r="FE859" s="68" t="s">
        <v>6170</v>
      </c>
      <c r="FF859" s="68" t="s">
        <v>6171</v>
      </c>
    </row>
    <row r="860" spans="151:162" x14ac:dyDescent="0.2">
      <c r="EU860" s="67">
        <v>579.48</v>
      </c>
      <c r="EV860" s="67" t="s">
        <v>6172</v>
      </c>
      <c r="EW860" s="67">
        <v>503.92500000000001</v>
      </c>
      <c r="EX860" s="67" t="s">
        <v>6173</v>
      </c>
      <c r="EY860" s="67">
        <v>5806.75</v>
      </c>
      <c r="EZ860" s="67" t="s">
        <v>6174</v>
      </c>
      <c r="FA860" s="67">
        <v>20690.75</v>
      </c>
      <c r="FB860" s="67" t="s">
        <v>6175</v>
      </c>
      <c r="FC860" s="67" t="s">
        <v>6176</v>
      </c>
      <c r="FD860" s="67" t="s">
        <v>6177</v>
      </c>
      <c r="FE860" s="68" t="s">
        <v>6178</v>
      </c>
      <c r="FF860" s="68" t="s">
        <v>6179</v>
      </c>
    </row>
    <row r="861" spans="151:162" x14ac:dyDescent="0.2">
      <c r="EU861" s="67">
        <v>579.47</v>
      </c>
      <c r="EV861" s="67" t="s">
        <v>6180</v>
      </c>
      <c r="EW861" s="67">
        <v>504</v>
      </c>
      <c r="EX861" s="67" t="s">
        <v>6181</v>
      </c>
      <c r="EY861" s="67">
        <v>5806.5</v>
      </c>
      <c r="EZ861" s="67" t="s">
        <v>6182</v>
      </c>
      <c r="FA861" s="67">
        <v>20693</v>
      </c>
      <c r="FB861" s="67" t="s">
        <v>6183</v>
      </c>
      <c r="FC861" s="67" t="s">
        <v>6184</v>
      </c>
      <c r="FD861" s="67" t="s">
        <v>6185</v>
      </c>
      <c r="FE861" s="68" t="s">
        <v>6186</v>
      </c>
      <c r="FF861" s="68" t="s">
        <v>6187</v>
      </c>
    </row>
    <row r="862" spans="151:162" x14ac:dyDescent="0.2">
      <c r="EU862" s="67">
        <v>579.34</v>
      </c>
      <c r="EV862" s="67" t="s">
        <v>6188</v>
      </c>
      <c r="EW862" s="67">
        <v>503.84</v>
      </c>
      <c r="EX862" s="67" t="s">
        <v>6189</v>
      </c>
      <c r="EY862" s="67">
        <v>5804.5</v>
      </c>
      <c r="EZ862" s="67" t="s">
        <v>6190</v>
      </c>
      <c r="FA862" s="67">
        <v>20690.75</v>
      </c>
      <c r="FB862" s="67" t="s">
        <v>6191</v>
      </c>
      <c r="FC862" s="67" t="s">
        <v>6192</v>
      </c>
      <c r="FD862" s="67" t="s">
        <v>6193</v>
      </c>
      <c r="FE862" s="68" t="s">
        <v>6194</v>
      </c>
      <c r="FF862" s="68" t="s">
        <v>6195</v>
      </c>
    </row>
    <row r="863" spans="151:162" x14ac:dyDescent="0.2">
      <c r="EU863" s="67">
        <v>579.39</v>
      </c>
      <c r="EV863" s="67" t="s">
        <v>6196</v>
      </c>
      <c r="EW863" s="67">
        <v>503.94</v>
      </c>
      <c r="EX863" s="67" t="s">
        <v>6197</v>
      </c>
      <c r="EY863" s="67">
        <v>5806</v>
      </c>
      <c r="EZ863" s="67" t="s">
        <v>6198</v>
      </c>
      <c r="FA863" s="67">
        <v>20691.25</v>
      </c>
      <c r="FB863" s="67" t="s">
        <v>6199</v>
      </c>
      <c r="FC863" s="67" t="s">
        <v>6200</v>
      </c>
      <c r="FD863" s="67" t="s">
        <v>6201</v>
      </c>
      <c r="FE863" s="68" t="s">
        <v>6202</v>
      </c>
      <c r="FF863" s="68" t="s">
        <v>6203</v>
      </c>
    </row>
    <row r="864" spans="151:162" x14ac:dyDescent="0.2">
      <c r="EU864" s="67">
        <v>579.02</v>
      </c>
      <c r="EV864" s="67" t="s">
        <v>6204</v>
      </c>
      <c r="EW864" s="67">
        <v>503.68</v>
      </c>
      <c r="EX864" s="67" t="s">
        <v>6205</v>
      </c>
      <c r="EY864" s="67">
        <v>5802</v>
      </c>
      <c r="EZ864" s="67" t="s">
        <v>6206</v>
      </c>
      <c r="FA864" s="67">
        <v>20680.5</v>
      </c>
      <c r="FB864" s="67" t="s">
        <v>6207</v>
      </c>
      <c r="FC864" s="67" t="s">
        <v>6208</v>
      </c>
      <c r="FD864" s="67" t="s">
        <v>6209</v>
      </c>
      <c r="FE864" s="68" t="s">
        <v>6210</v>
      </c>
      <c r="FF864" s="68" t="s">
        <v>6211</v>
      </c>
    </row>
    <row r="865" spans="151:162" x14ac:dyDescent="0.2">
      <c r="EU865" s="67">
        <v>579.13</v>
      </c>
      <c r="EV865" s="67" t="s">
        <v>6212</v>
      </c>
      <c r="EW865" s="67">
        <v>503.83</v>
      </c>
      <c r="EX865" s="67" t="s">
        <v>6213</v>
      </c>
      <c r="EY865" s="67">
        <v>5803.25</v>
      </c>
      <c r="EZ865" s="67" t="s">
        <v>6214</v>
      </c>
      <c r="FA865" s="67">
        <v>20687.5</v>
      </c>
      <c r="FB865" s="67" t="s">
        <v>6215</v>
      </c>
      <c r="FC865" s="67" t="s">
        <v>6216</v>
      </c>
      <c r="FD865" s="67" t="s">
        <v>6217</v>
      </c>
      <c r="FE865" s="68" t="s">
        <v>6218</v>
      </c>
      <c r="FF865" s="68" t="s">
        <v>6219</v>
      </c>
    </row>
    <row r="866" spans="151:162" x14ac:dyDescent="0.2">
      <c r="EU866" s="67">
        <v>579.27</v>
      </c>
      <c r="EV866" s="67" t="s">
        <v>6220</v>
      </c>
      <c r="EW866" s="67">
        <v>503.94</v>
      </c>
      <c r="EX866" s="67" t="s">
        <v>6221</v>
      </c>
      <c r="EY866" s="67">
        <v>5804.75</v>
      </c>
      <c r="EZ866" s="67" t="s">
        <v>6222</v>
      </c>
      <c r="FA866" s="67">
        <v>20691.5</v>
      </c>
      <c r="FB866" s="67" t="s">
        <v>6223</v>
      </c>
      <c r="FC866" s="67" t="s">
        <v>6224</v>
      </c>
      <c r="FD866" s="67" t="s">
        <v>6225</v>
      </c>
      <c r="FE866" s="68" t="s">
        <v>6226</v>
      </c>
      <c r="FF866" s="68" t="s">
        <v>6227</v>
      </c>
    </row>
    <row r="867" spans="151:162" x14ac:dyDescent="0.2">
      <c r="EU867" s="67">
        <v>579.07000000000005</v>
      </c>
      <c r="EV867" s="67" t="s">
        <v>6228</v>
      </c>
      <c r="EW867" s="67">
        <v>503.82</v>
      </c>
      <c r="EX867" s="67" t="s">
        <v>6229</v>
      </c>
      <c r="EY867" s="67">
        <v>5802.5</v>
      </c>
      <c r="EZ867" s="67" t="s">
        <v>6230</v>
      </c>
      <c r="FA867" s="67">
        <v>20685.5</v>
      </c>
      <c r="FB867" s="67" t="s">
        <v>6231</v>
      </c>
      <c r="FC867" s="67" t="s">
        <v>6232</v>
      </c>
      <c r="FD867" s="67" t="s">
        <v>6233</v>
      </c>
      <c r="FE867" s="68" t="s">
        <v>6234</v>
      </c>
      <c r="FF867" s="68" t="s">
        <v>6235</v>
      </c>
    </row>
    <row r="868" spans="151:162" x14ac:dyDescent="0.2">
      <c r="EU868" s="67">
        <v>579.01300000000003</v>
      </c>
      <c r="EV868" s="67" t="s">
        <v>6236</v>
      </c>
      <c r="EW868" s="67">
        <v>503.85</v>
      </c>
      <c r="EX868" s="67" t="s">
        <v>6237</v>
      </c>
      <c r="EY868" s="67">
        <v>5802</v>
      </c>
      <c r="EZ868" s="67" t="s">
        <v>6238</v>
      </c>
      <c r="FA868" s="67">
        <v>20688.5</v>
      </c>
      <c r="FB868" s="67" t="s">
        <v>6239</v>
      </c>
      <c r="FC868" s="67" t="s">
        <v>6240</v>
      </c>
      <c r="FD868" s="67" t="s">
        <v>6241</v>
      </c>
      <c r="FE868" s="68" t="s">
        <v>6242</v>
      </c>
      <c r="FF868" s="68" t="s">
        <v>6243</v>
      </c>
    </row>
    <row r="869" spans="151:162" x14ac:dyDescent="0.2">
      <c r="EU869" s="67">
        <v>578.51</v>
      </c>
      <c r="EV869" s="67" t="s">
        <v>6244</v>
      </c>
      <c r="EW869" s="67">
        <v>503.36</v>
      </c>
      <c r="EX869" s="67" t="s">
        <v>6245</v>
      </c>
      <c r="EY869" s="67">
        <v>5797.25</v>
      </c>
      <c r="EZ869" s="67" t="s">
        <v>6246</v>
      </c>
      <c r="FA869" s="67">
        <v>20667</v>
      </c>
      <c r="FB869" s="67" t="s">
        <v>6247</v>
      </c>
      <c r="FC869" s="67" t="s">
        <v>6248</v>
      </c>
      <c r="FD869" s="67" t="s">
        <v>6249</v>
      </c>
      <c r="FE869" s="68" t="s">
        <v>6250</v>
      </c>
      <c r="FF869" s="68" t="s">
        <v>6251</v>
      </c>
    </row>
    <row r="870" spans="151:162" x14ac:dyDescent="0.2">
      <c r="EU870" s="67">
        <v>578.16</v>
      </c>
      <c r="EV870" s="67" t="s">
        <v>6252</v>
      </c>
      <c r="EW870" s="67">
        <v>503.11</v>
      </c>
      <c r="EX870" s="67" t="s">
        <v>6253</v>
      </c>
      <c r="EY870" s="67">
        <v>5794.25</v>
      </c>
      <c r="EZ870" s="67" t="s">
        <v>6254</v>
      </c>
      <c r="FA870" s="67">
        <v>20655.25</v>
      </c>
      <c r="FB870" s="67" t="s">
        <v>6255</v>
      </c>
      <c r="FC870" s="67" t="s">
        <v>6256</v>
      </c>
      <c r="FD870" s="67" t="s">
        <v>6257</v>
      </c>
      <c r="FE870" s="68" t="s">
        <v>6258</v>
      </c>
      <c r="FF870" s="68" t="s">
        <v>6259</v>
      </c>
    </row>
    <row r="871" spans="151:162" x14ac:dyDescent="0.2">
      <c r="EU871" s="67">
        <v>578.61</v>
      </c>
      <c r="EV871" s="67" t="s">
        <v>6260</v>
      </c>
      <c r="EW871" s="67">
        <v>503.45</v>
      </c>
      <c r="EX871" s="67" t="s">
        <v>6261</v>
      </c>
      <c r="EY871" s="67">
        <v>5797.75</v>
      </c>
      <c r="EZ871" s="67" t="s">
        <v>6262</v>
      </c>
      <c r="FA871" s="67">
        <v>20671.75</v>
      </c>
      <c r="FB871" s="67" t="s">
        <v>6263</v>
      </c>
      <c r="FC871" s="67" t="s">
        <v>6264</v>
      </c>
      <c r="FD871" s="67" t="s">
        <v>6265</v>
      </c>
      <c r="FE871" s="68" t="s">
        <v>6266</v>
      </c>
      <c r="FF871" s="68" t="s">
        <v>6267</v>
      </c>
    </row>
    <row r="872" spans="151:162" x14ac:dyDescent="0.2">
      <c r="EU872" s="67">
        <v>578.572</v>
      </c>
      <c r="EV872" s="67" t="s">
        <v>6268</v>
      </c>
      <c r="EW872" s="67">
        <v>503.49</v>
      </c>
      <c r="EX872" s="67" t="s">
        <v>6269</v>
      </c>
      <c r="EY872" s="67">
        <v>5797.5</v>
      </c>
      <c r="EZ872" s="67" t="s">
        <v>6270</v>
      </c>
      <c r="FA872" s="67">
        <v>20672.5</v>
      </c>
      <c r="FB872" s="67" t="s">
        <v>6271</v>
      </c>
      <c r="FC872" s="67" t="s">
        <v>6272</v>
      </c>
      <c r="FD872" s="67" t="s">
        <v>6273</v>
      </c>
      <c r="FE872" s="68" t="s">
        <v>6274</v>
      </c>
      <c r="FF872" s="68" t="s">
        <v>6275</v>
      </c>
    </row>
    <row r="873" spans="151:162" x14ac:dyDescent="0.2">
      <c r="EU873" s="67">
        <v>578.78</v>
      </c>
      <c r="EV873" s="67" t="s">
        <v>6276</v>
      </c>
      <c r="EW873" s="67">
        <v>503.65</v>
      </c>
      <c r="EX873" s="67" t="s">
        <v>6277</v>
      </c>
      <c r="EY873" s="67">
        <v>5799.5</v>
      </c>
      <c r="EZ873" s="67" t="s">
        <v>6278</v>
      </c>
      <c r="FA873" s="67">
        <v>20679.25</v>
      </c>
      <c r="FB873" s="67" t="s">
        <v>6279</v>
      </c>
      <c r="FC873" s="67" t="s">
        <v>6280</v>
      </c>
      <c r="FD873" s="67" t="s">
        <v>6281</v>
      </c>
      <c r="FE873" s="68" t="s">
        <v>6282</v>
      </c>
      <c r="FF873" s="68" t="s">
        <v>6283</v>
      </c>
    </row>
    <row r="874" spans="151:162" x14ac:dyDescent="0.2">
      <c r="EU874" s="67">
        <v>578.88</v>
      </c>
      <c r="EV874" s="67" t="s">
        <v>6284</v>
      </c>
      <c r="EW874" s="67">
        <v>503.79</v>
      </c>
      <c r="EX874" s="67" t="s">
        <v>6285</v>
      </c>
      <c r="EY874" s="67">
        <v>5801</v>
      </c>
      <c r="EZ874" s="67" t="s">
        <v>6286</v>
      </c>
      <c r="FA874" s="67">
        <v>20686</v>
      </c>
      <c r="FB874" s="67" t="s">
        <v>6287</v>
      </c>
      <c r="FC874" s="67" t="s">
        <v>6288</v>
      </c>
      <c r="FD874" s="67" t="s">
        <v>6289</v>
      </c>
      <c r="FE874" s="68" t="s">
        <v>6290</v>
      </c>
      <c r="FF874" s="68" t="s">
        <v>6291</v>
      </c>
    </row>
    <row r="875" spans="151:162" x14ac:dyDescent="0.2">
      <c r="EU875" s="67">
        <v>578.84</v>
      </c>
      <c r="EV875" s="67" t="s">
        <v>6292</v>
      </c>
      <c r="EW875" s="67">
        <v>503.78</v>
      </c>
      <c r="EX875" s="67" t="s">
        <v>6293</v>
      </c>
      <c r="EY875" s="67">
        <v>5800.25</v>
      </c>
      <c r="EZ875" s="67" t="s">
        <v>6294</v>
      </c>
      <c r="FA875" s="67">
        <v>20684.5</v>
      </c>
      <c r="FB875" s="67" t="s">
        <v>6295</v>
      </c>
      <c r="FC875" s="67" t="s">
        <v>6296</v>
      </c>
      <c r="FD875" s="67" t="s">
        <v>6297</v>
      </c>
      <c r="FE875" s="68" t="s">
        <v>6298</v>
      </c>
      <c r="FF875" s="68" t="s">
        <v>6299</v>
      </c>
    </row>
    <row r="876" spans="151:162" x14ac:dyDescent="0.2">
      <c r="EU876" s="67">
        <v>578.82000000000005</v>
      </c>
      <c r="EV876" s="67" t="s">
        <v>6300</v>
      </c>
      <c r="EW876" s="67">
        <v>503.75</v>
      </c>
      <c r="EX876" s="67" t="s">
        <v>6301</v>
      </c>
      <c r="EY876" s="67">
        <v>5800</v>
      </c>
      <c r="EZ876" s="67" t="s">
        <v>6302</v>
      </c>
      <c r="FA876" s="67">
        <v>20683.5</v>
      </c>
      <c r="FB876" s="67" t="s">
        <v>6303</v>
      </c>
      <c r="FC876" s="67" t="s">
        <v>6304</v>
      </c>
      <c r="FD876" s="67" t="s">
        <v>6305</v>
      </c>
      <c r="FE876" s="68" t="s">
        <v>6306</v>
      </c>
      <c r="FF876" s="68" t="s">
        <v>6307</v>
      </c>
    </row>
    <row r="877" spans="151:162" x14ac:dyDescent="0.2">
      <c r="EU877" s="67">
        <v>578.88499999999999</v>
      </c>
      <c r="EV877" s="67" t="s">
        <v>6308</v>
      </c>
      <c r="EW877" s="67">
        <v>503.77499999999998</v>
      </c>
      <c r="EX877" s="67" t="s">
        <v>6309</v>
      </c>
      <c r="EY877" s="67">
        <v>5800.75</v>
      </c>
      <c r="EZ877" s="67" t="s">
        <v>6310</v>
      </c>
      <c r="FA877" s="67">
        <v>20683.75</v>
      </c>
      <c r="FB877" s="67" t="s">
        <v>6311</v>
      </c>
      <c r="FC877" s="67" t="s">
        <v>6312</v>
      </c>
      <c r="FD877" s="67" t="s">
        <v>6313</v>
      </c>
      <c r="FE877" s="68" t="s">
        <v>6314</v>
      </c>
      <c r="FF877" s="68" t="s">
        <v>6315</v>
      </c>
    </row>
    <row r="878" spans="151:162" x14ac:dyDescent="0.2">
      <c r="EU878" s="67">
        <v>579.06899999999996</v>
      </c>
      <c r="EV878" s="67" t="s">
        <v>6316</v>
      </c>
      <c r="EW878" s="67">
        <v>503.96</v>
      </c>
      <c r="EX878" s="67" t="s">
        <v>6317</v>
      </c>
      <c r="EY878" s="67">
        <v>5802.5</v>
      </c>
      <c r="EZ878" s="67" t="s">
        <v>6318</v>
      </c>
      <c r="FA878" s="67">
        <v>20693</v>
      </c>
      <c r="FB878" s="67" t="s">
        <v>6319</v>
      </c>
      <c r="FC878" s="67" t="s">
        <v>6320</v>
      </c>
      <c r="FD878" s="67" t="s">
        <v>6321</v>
      </c>
      <c r="FE878" s="68" t="s">
        <v>6322</v>
      </c>
      <c r="FF878" s="68" t="s">
        <v>6323</v>
      </c>
    </row>
    <row r="879" spans="151:162" x14ac:dyDescent="0.2">
      <c r="EU879" s="67">
        <v>579.29999999999995</v>
      </c>
      <c r="EV879" s="67" t="s">
        <v>6324</v>
      </c>
      <c r="EW879" s="67">
        <v>504.16</v>
      </c>
      <c r="EX879" s="67" t="s">
        <v>6325</v>
      </c>
      <c r="EY879" s="67">
        <v>5804.5</v>
      </c>
      <c r="EZ879" s="67" t="s">
        <v>6326</v>
      </c>
      <c r="FA879" s="67">
        <v>20699.5</v>
      </c>
      <c r="FB879" s="67" t="s">
        <v>6327</v>
      </c>
      <c r="FC879" s="67" t="s">
        <v>6328</v>
      </c>
      <c r="FD879" s="67" t="s">
        <v>6329</v>
      </c>
      <c r="FE879" s="68" t="s">
        <v>6330</v>
      </c>
      <c r="FF879" s="68" t="s">
        <v>6331</v>
      </c>
    </row>
    <row r="880" spans="151:162" x14ac:dyDescent="0.2">
      <c r="EU880" s="67">
        <v>579.08000000000004</v>
      </c>
      <c r="EV880" s="67" t="s">
        <v>6332</v>
      </c>
      <c r="EW880" s="67">
        <v>503.99</v>
      </c>
      <c r="EX880" s="67" t="s">
        <v>6333</v>
      </c>
      <c r="EY880" s="67">
        <v>5802.75</v>
      </c>
      <c r="EZ880" s="67" t="s">
        <v>6334</v>
      </c>
      <c r="FA880" s="67">
        <v>20693</v>
      </c>
      <c r="FB880" s="67" t="s">
        <v>6335</v>
      </c>
      <c r="FC880" s="67" t="s">
        <v>6336</v>
      </c>
      <c r="FD880" s="67" t="s">
        <v>6337</v>
      </c>
      <c r="FE880" s="68" t="s">
        <v>6338</v>
      </c>
      <c r="FF880" s="68" t="s">
        <v>6339</v>
      </c>
    </row>
    <row r="881" spans="151:162" x14ac:dyDescent="0.2">
      <c r="EU881" s="67">
        <v>579.12</v>
      </c>
      <c r="EV881" s="67" t="s">
        <v>6340</v>
      </c>
      <c r="EW881" s="67">
        <v>504.04</v>
      </c>
      <c r="EX881" s="67" t="s">
        <v>6341</v>
      </c>
      <c r="EY881" s="67">
        <v>5803</v>
      </c>
      <c r="EZ881" s="67" t="s">
        <v>6342</v>
      </c>
      <c r="FA881" s="67">
        <v>20696</v>
      </c>
      <c r="FB881" s="67" t="s">
        <v>6343</v>
      </c>
      <c r="FC881" s="67" t="s">
        <v>6344</v>
      </c>
      <c r="FD881" s="67" t="s">
        <v>6345</v>
      </c>
      <c r="FE881" s="68" t="s">
        <v>6346</v>
      </c>
      <c r="FF881" s="68" t="s">
        <v>6347</v>
      </c>
    </row>
    <row r="882" spans="151:162" x14ac:dyDescent="0.2">
      <c r="EU882" s="67">
        <v>579.26</v>
      </c>
      <c r="EV882" s="67" t="s">
        <v>6348</v>
      </c>
      <c r="EW882" s="67">
        <v>504.19</v>
      </c>
      <c r="EX882" s="67" t="s">
        <v>6349</v>
      </c>
      <c r="EY882" s="67">
        <v>5804.25</v>
      </c>
      <c r="EZ882" s="67" t="s">
        <v>6350</v>
      </c>
      <c r="FA882" s="67">
        <v>20702.25</v>
      </c>
      <c r="FB882" s="67" t="s">
        <v>6351</v>
      </c>
      <c r="FC882" s="67" t="s">
        <v>6352</v>
      </c>
      <c r="FD882" s="67" t="s">
        <v>6353</v>
      </c>
      <c r="FE882" s="68" t="s">
        <v>6354</v>
      </c>
      <c r="FF882" s="68" t="s">
        <v>6355</v>
      </c>
    </row>
    <row r="883" spans="151:162" x14ac:dyDescent="0.2">
      <c r="EU883" s="67">
        <v>579.22500000000002</v>
      </c>
      <c r="EV883" s="67" t="s">
        <v>6356</v>
      </c>
      <c r="EW883" s="67">
        <v>504.18</v>
      </c>
      <c r="EX883" s="67" t="s">
        <v>6357</v>
      </c>
      <c r="EY883" s="67">
        <v>5803.75</v>
      </c>
      <c r="EZ883" s="67" t="s">
        <v>6358</v>
      </c>
      <c r="FA883" s="67">
        <v>20701</v>
      </c>
      <c r="FB883" s="67" t="s">
        <v>6359</v>
      </c>
      <c r="FC883" s="67" t="s">
        <v>6360</v>
      </c>
      <c r="FD883" s="67" t="s">
        <v>6361</v>
      </c>
      <c r="FE883" s="68" t="s">
        <v>6362</v>
      </c>
      <c r="FF883" s="68" t="s">
        <v>6363</v>
      </c>
    </row>
    <row r="884" spans="151:162" x14ac:dyDescent="0.2">
      <c r="EU884" s="67">
        <v>579.16</v>
      </c>
      <c r="EV884" s="67" t="s">
        <v>6364</v>
      </c>
      <c r="EW884" s="67">
        <v>504.19</v>
      </c>
      <c r="EX884" s="67" t="s">
        <v>6365</v>
      </c>
      <c r="EY884" s="67">
        <v>5803.75</v>
      </c>
      <c r="EZ884" s="67" t="s">
        <v>6366</v>
      </c>
      <c r="FA884" s="67">
        <v>20701.75</v>
      </c>
      <c r="FB884" s="67" t="s">
        <v>6367</v>
      </c>
      <c r="FC884" s="67" t="s">
        <v>6368</v>
      </c>
      <c r="FD884" s="67" t="s">
        <v>6369</v>
      </c>
      <c r="FE884" s="68" t="s">
        <v>6370</v>
      </c>
      <c r="FF884" s="68" t="s">
        <v>6371</v>
      </c>
    </row>
    <row r="885" spans="151:162" x14ac:dyDescent="0.2">
      <c r="EU885" s="67">
        <v>578.79</v>
      </c>
      <c r="EV885" s="67" t="s">
        <v>6372</v>
      </c>
      <c r="EW885" s="67">
        <v>503.84</v>
      </c>
      <c r="EX885" s="67" t="s">
        <v>6373</v>
      </c>
      <c r="EY885" s="67">
        <v>5799.75</v>
      </c>
      <c r="EZ885" s="67" t="s">
        <v>6374</v>
      </c>
      <c r="FA885" s="67">
        <v>20686.75</v>
      </c>
      <c r="FB885" s="67" t="s">
        <v>6375</v>
      </c>
      <c r="FC885" s="67" t="s">
        <v>6376</v>
      </c>
      <c r="FD885" s="67" t="s">
        <v>6377</v>
      </c>
      <c r="FE885" s="68" t="s">
        <v>6378</v>
      </c>
      <c r="FF885" s="68" t="s">
        <v>6379</v>
      </c>
    </row>
    <row r="886" spans="151:162" x14ac:dyDescent="0.2">
      <c r="EU886" s="67">
        <v>578.6</v>
      </c>
      <c r="EV886" s="67" t="s">
        <v>6380</v>
      </c>
      <c r="EW886" s="67">
        <v>503.5</v>
      </c>
      <c r="EX886" s="67" t="s">
        <v>6381</v>
      </c>
      <c r="EY886" s="67">
        <v>5797.25</v>
      </c>
      <c r="EZ886" s="67" t="s">
        <v>6382</v>
      </c>
      <c r="FA886" s="67">
        <v>20677</v>
      </c>
      <c r="FB886" s="67" t="s">
        <v>6383</v>
      </c>
      <c r="FC886" s="67" t="s">
        <v>6384</v>
      </c>
      <c r="FD886" s="67" t="s">
        <v>6385</v>
      </c>
      <c r="FE886" s="68" t="s">
        <v>6386</v>
      </c>
      <c r="FF886" s="68" t="s">
        <v>6387</v>
      </c>
    </row>
    <row r="887" spans="151:162" x14ac:dyDescent="0.2">
      <c r="EU887" s="67">
        <v>578.29</v>
      </c>
      <c r="EV887" s="67" t="s">
        <v>6388</v>
      </c>
      <c r="EW887" s="67">
        <v>503.28</v>
      </c>
      <c r="EX887" s="67" t="s">
        <v>6389</v>
      </c>
      <c r="EY887" s="67">
        <v>5794.5</v>
      </c>
      <c r="EZ887" s="67" t="s">
        <v>6390</v>
      </c>
      <c r="FA887" s="67">
        <v>20664.25</v>
      </c>
      <c r="FB887" s="67" t="s">
        <v>6391</v>
      </c>
      <c r="FC887" s="67" t="s">
        <v>6392</v>
      </c>
      <c r="FD887" s="67" t="s">
        <v>6393</v>
      </c>
      <c r="FE887" s="68" t="s">
        <v>6394</v>
      </c>
      <c r="FF887" s="68" t="s">
        <v>6395</v>
      </c>
    </row>
    <row r="888" spans="151:162" x14ac:dyDescent="0.2">
      <c r="EU888" s="67">
        <v>578.41999999999996</v>
      </c>
      <c r="EV888" s="67" t="s">
        <v>6396</v>
      </c>
      <c r="EW888" s="67">
        <v>503.42</v>
      </c>
      <c r="EX888" s="67" t="s">
        <v>6397</v>
      </c>
      <c r="EY888" s="67">
        <v>5796</v>
      </c>
      <c r="EZ888" s="67" t="s">
        <v>6398</v>
      </c>
      <c r="FA888" s="67">
        <v>20669.75</v>
      </c>
      <c r="FB888" s="67" t="s">
        <v>6399</v>
      </c>
      <c r="FC888" s="67" t="s">
        <v>6400</v>
      </c>
      <c r="FD888" s="67" t="s">
        <v>6401</v>
      </c>
      <c r="FE888" s="68" t="s">
        <v>6402</v>
      </c>
      <c r="FF888" s="68" t="s">
        <v>6403</v>
      </c>
    </row>
    <row r="889" spans="151:162" x14ac:dyDescent="0.2">
      <c r="EU889" s="67">
        <v>578.71</v>
      </c>
      <c r="EV889" s="67" t="s">
        <v>6404</v>
      </c>
      <c r="EW889" s="67">
        <v>503.72</v>
      </c>
      <c r="EX889" s="67" t="s">
        <v>6405</v>
      </c>
      <c r="EY889" s="67">
        <v>5799</v>
      </c>
      <c r="EZ889" s="67" t="s">
        <v>6406</v>
      </c>
      <c r="FA889" s="67">
        <v>20683</v>
      </c>
      <c r="FB889" s="67" t="s">
        <v>6407</v>
      </c>
      <c r="FC889" s="67" t="s">
        <v>6408</v>
      </c>
      <c r="FD889" s="67" t="s">
        <v>6409</v>
      </c>
      <c r="FE889" s="68" t="s">
        <v>6410</v>
      </c>
      <c r="FF889" s="68" t="s">
        <v>6411</v>
      </c>
    </row>
    <row r="890" spans="151:162" x14ac:dyDescent="0.2">
      <c r="EU890" s="67">
        <v>578.65</v>
      </c>
      <c r="EV890" s="67" t="s">
        <v>6412</v>
      </c>
      <c r="EW890" s="67">
        <v>503.79</v>
      </c>
      <c r="EX890" s="67" t="s">
        <v>6413</v>
      </c>
      <c r="EY890" s="67">
        <v>5798.25</v>
      </c>
      <c r="EZ890" s="67" t="s">
        <v>6414</v>
      </c>
      <c r="FA890" s="67">
        <v>20685</v>
      </c>
      <c r="FB890" s="67" t="s">
        <v>6415</v>
      </c>
      <c r="FC890" s="67" t="s">
        <v>6416</v>
      </c>
      <c r="FD890" s="67" t="s">
        <v>6417</v>
      </c>
      <c r="FE890" s="68" t="s">
        <v>6418</v>
      </c>
      <c r="FF890" s="68" t="s">
        <v>6419</v>
      </c>
    </row>
    <row r="891" spans="151:162" x14ac:dyDescent="0.2">
      <c r="EU891" s="67">
        <v>578.39499999999998</v>
      </c>
      <c r="EV891" s="67" t="s">
        <v>6420</v>
      </c>
      <c r="EW891" s="67">
        <v>503.59</v>
      </c>
      <c r="EX891" s="67" t="s">
        <v>6421</v>
      </c>
      <c r="EY891" s="67">
        <v>5796</v>
      </c>
      <c r="EZ891" s="67" t="s">
        <v>6422</v>
      </c>
      <c r="FA891" s="67">
        <v>20676.5</v>
      </c>
      <c r="FB891" s="67" t="s">
        <v>6423</v>
      </c>
      <c r="FC891" s="67" t="s">
        <v>6424</v>
      </c>
      <c r="FD891" s="67" t="s">
        <v>6425</v>
      </c>
      <c r="FE891" s="68" t="s">
        <v>6426</v>
      </c>
      <c r="FF891" s="68" t="s">
        <v>6427</v>
      </c>
    </row>
    <row r="892" spans="151:162" x14ac:dyDescent="0.2">
      <c r="EU892" s="67">
        <v>578.72</v>
      </c>
      <c r="EV892" s="67" t="s">
        <v>6428</v>
      </c>
      <c r="EW892" s="67">
        <v>503.88</v>
      </c>
      <c r="EX892" s="67" t="s">
        <v>6429</v>
      </c>
      <c r="EY892" s="67">
        <v>5799</v>
      </c>
      <c r="EZ892" s="67" t="s">
        <v>6430</v>
      </c>
      <c r="FA892" s="67">
        <v>20689</v>
      </c>
      <c r="FB892" s="67" t="s">
        <v>6431</v>
      </c>
      <c r="FC892" s="67" t="s">
        <v>6432</v>
      </c>
      <c r="FD892" s="67" t="s">
        <v>6433</v>
      </c>
      <c r="FE892" s="68" t="s">
        <v>6434</v>
      </c>
      <c r="FF892" s="68" t="s">
        <v>6435</v>
      </c>
    </row>
    <row r="893" spans="151:162" x14ac:dyDescent="0.2">
      <c r="EU893" s="67">
        <v>578.54999999999995</v>
      </c>
      <c r="EV893" s="67" t="s">
        <v>6436</v>
      </c>
      <c r="EW893" s="67">
        <v>503.83</v>
      </c>
      <c r="EX893" s="67" t="s">
        <v>6437</v>
      </c>
      <c r="EY893" s="67">
        <v>5797.5</v>
      </c>
      <c r="EZ893" s="67" t="s">
        <v>6438</v>
      </c>
      <c r="FA893" s="67">
        <v>20687.25</v>
      </c>
      <c r="FB893" s="67" t="s">
        <v>6439</v>
      </c>
      <c r="FC893" s="67" t="s">
        <v>6440</v>
      </c>
      <c r="FD893" s="67" t="s">
        <v>6441</v>
      </c>
      <c r="FE893" s="68" t="s">
        <v>6442</v>
      </c>
      <c r="FF893" s="68" t="s">
        <v>6443</v>
      </c>
    </row>
    <row r="894" spans="151:162" x14ac:dyDescent="0.2">
      <c r="EU894" s="67">
        <v>578.73</v>
      </c>
      <c r="EV894" s="67" t="s">
        <v>6444</v>
      </c>
      <c r="EW894" s="67">
        <v>503.95</v>
      </c>
      <c r="EX894" s="67" t="s">
        <v>6445</v>
      </c>
      <c r="EY894" s="67">
        <v>5799.5</v>
      </c>
      <c r="EZ894" s="67" t="s">
        <v>6446</v>
      </c>
      <c r="FA894" s="67">
        <v>20692.5</v>
      </c>
      <c r="FB894" s="67" t="s">
        <v>6447</v>
      </c>
      <c r="FC894" s="67" t="s">
        <v>6448</v>
      </c>
      <c r="FD894" s="67" t="s">
        <v>6449</v>
      </c>
      <c r="FE894" s="68" t="s">
        <v>6450</v>
      </c>
      <c r="FF894" s="68" t="s">
        <v>6451</v>
      </c>
    </row>
    <row r="895" spans="151:162" x14ac:dyDescent="0.2">
      <c r="EU895" s="67">
        <v>578.66999999999996</v>
      </c>
      <c r="EV895" s="67" t="s">
        <v>6452</v>
      </c>
      <c r="EW895" s="67">
        <v>503.84500000000003</v>
      </c>
      <c r="EX895" s="67" t="s">
        <v>6453</v>
      </c>
      <c r="EY895" s="67">
        <v>5798.75</v>
      </c>
      <c r="EZ895" s="67" t="s">
        <v>6454</v>
      </c>
      <c r="FA895" s="67">
        <v>20688.25</v>
      </c>
      <c r="FB895" s="67" t="s">
        <v>6455</v>
      </c>
      <c r="FC895" s="67" t="s">
        <v>6456</v>
      </c>
      <c r="FD895" s="67" t="s">
        <v>6457</v>
      </c>
      <c r="FE895" s="68" t="s">
        <v>6458</v>
      </c>
      <c r="FF895" s="68" t="s">
        <v>6459</v>
      </c>
    </row>
    <row r="896" spans="151:162" x14ac:dyDescent="0.2">
      <c r="EU896" s="67">
        <v>578.55999999999995</v>
      </c>
      <c r="EV896" s="67" t="s">
        <v>6460</v>
      </c>
      <c r="EW896" s="67">
        <v>503.71</v>
      </c>
      <c r="EX896" s="67" t="s">
        <v>6461</v>
      </c>
      <c r="EY896" s="67">
        <v>5797.5</v>
      </c>
      <c r="EZ896" s="67" t="s">
        <v>6462</v>
      </c>
      <c r="FA896" s="67">
        <v>20681.5</v>
      </c>
      <c r="FB896" s="67" t="s">
        <v>6463</v>
      </c>
      <c r="FC896" s="67" t="s">
        <v>6464</v>
      </c>
      <c r="FD896" s="67" t="s">
        <v>6465</v>
      </c>
      <c r="FE896" s="68" t="s">
        <v>6466</v>
      </c>
      <c r="FF896" s="68" t="s">
        <v>6467</v>
      </c>
    </row>
    <row r="897" spans="151:162" x14ac:dyDescent="0.2">
      <c r="EU897" s="67">
        <v>578.08000000000004</v>
      </c>
      <c r="EV897" s="67" t="s">
        <v>6468</v>
      </c>
      <c r="EW897" s="67">
        <v>503.25</v>
      </c>
      <c r="EX897" s="67" t="s">
        <v>6469</v>
      </c>
      <c r="EY897" s="67">
        <v>5792.75</v>
      </c>
      <c r="EZ897" s="67" t="s">
        <v>6470</v>
      </c>
      <c r="FA897" s="67">
        <v>20662.75</v>
      </c>
      <c r="FB897" s="67" t="s">
        <v>6471</v>
      </c>
      <c r="FC897" s="67" t="s">
        <v>6472</v>
      </c>
      <c r="FD897" s="67" t="s">
        <v>6473</v>
      </c>
      <c r="FE897" s="68" t="s">
        <v>6474</v>
      </c>
      <c r="FF897" s="68" t="s">
        <v>6475</v>
      </c>
    </row>
    <row r="898" spans="151:162" x14ac:dyDescent="0.2">
      <c r="EU898" s="67">
        <v>578.11</v>
      </c>
      <c r="EV898" s="67" t="s">
        <v>6476</v>
      </c>
      <c r="EW898" s="67">
        <v>503.22</v>
      </c>
      <c r="EX898" s="67" t="s">
        <v>6477</v>
      </c>
      <c r="EY898" s="67">
        <v>5792.75</v>
      </c>
      <c r="EZ898" s="67" t="s">
        <v>6478</v>
      </c>
      <c r="FA898" s="67">
        <v>20662.25</v>
      </c>
      <c r="FB898" s="67" t="s">
        <v>6479</v>
      </c>
      <c r="FC898" s="67" t="s">
        <v>6480</v>
      </c>
      <c r="FD898" s="67" t="s">
        <v>6481</v>
      </c>
      <c r="FE898" s="68" t="s">
        <v>6482</v>
      </c>
      <c r="FF898" s="68" t="s">
        <v>6483</v>
      </c>
    </row>
    <row r="899" spans="151:162" x14ac:dyDescent="0.2">
      <c r="EU899" s="67">
        <v>578.21</v>
      </c>
      <c r="EV899" s="67" t="s">
        <v>6484</v>
      </c>
      <c r="EW899" s="67">
        <v>503.31</v>
      </c>
      <c r="EX899" s="67" t="s">
        <v>6485</v>
      </c>
      <c r="EY899" s="67">
        <v>5794</v>
      </c>
      <c r="EZ899" s="67" t="s">
        <v>6486</v>
      </c>
      <c r="FA899" s="67">
        <v>20664.5</v>
      </c>
      <c r="FB899" s="67" t="s">
        <v>6487</v>
      </c>
      <c r="FC899" s="67" t="s">
        <v>6488</v>
      </c>
      <c r="FD899" s="67" t="s">
        <v>6489</v>
      </c>
      <c r="FE899" s="68" t="s">
        <v>6490</v>
      </c>
      <c r="FF899" s="68" t="s">
        <v>6491</v>
      </c>
    </row>
    <row r="900" spans="151:162" x14ac:dyDescent="0.2">
      <c r="EU900" s="67">
        <v>578.36</v>
      </c>
      <c r="EV900" s="67" t="s">
        <v>6492</v>
      </c>
      <c r="EW900" s="67">
        <v>503.48500000000001</v>
      </c>
      <c r="EX900" s="67" t="s">
        <v>6493</v>
      </c>
      <c r="EY900" s="67">
        <v>5795.5</v>
      </c>
      <c r="EZ900" s="67" t="s">
        <v>6494</v>
      </c>
      <c r="FA900" s="67">
        <v>20672.5</v>
      </c>
      <c r="FB900" s="67" t="s">
        <v>6495</v>
      </c>
      <c r="FC900" s="67" t="s">
        <v>6496</v>
      </c>
      <c r="FD900" s="67" t="s">
        <v>6497</v>
      </c>
      <c r="FE900" s="68" t="s">
        <v>6498</v>
      </c>
      <c r="FF900" s="68" t="s">
        <v>6499</v>
      </c>
    </row>
    <row r="901" spans="151:162" x14ac:dyDescent="0.2">
      <c r="EU901" s="67">
        <v>578.45000000000005</v>
      </c>
      <c r="EV901" s="67" t="s">
        <v>6500</v>
      </c>
      <c r="EW901" s="67">
        <v>503.63</v>
      </c>
      <c r="EX901" s="67" t="s">
        <v>6501</v>
      </c>
      <c r="EY901" s="67">
        <v>5796.5</v>
      </c>
      <c r="EZ901" s="67" t="s">
        <v>6502</v>
      </c>
      <c r="FA901" s="67">
        <v>20678.25</v>
      </c>
      <c r="FB901" s="67" t="s">
        <v>6503</v>
      </c>
      <c r="FC901" s="67" t="s">
        <v>6504</v>
      </c>
      <c r="FD901" s="67" t="s">
        <v>6505</v>
      </c>
      <c r="FE901" s="68" t="s">
        <v>6506</v>
      </c>
      <c r="FF901" s="68" t="s">
        <v>6507</v>
      </c>
    </row>
    <row r="902" spans="151:162" x14ac:dyDescent="0.2">
      <c r="EU902" s="67">
        <v>578.29</v>
      </c>
      <c r="EV902" s="67" t="s">
        <v>6508</v>
      </c>
      <c r="EW902" s="67">
        <v>503.51</v>
      </c>
      <c r="EX902" s="67" t="s">
        <v>6509</v>
      </c>
      <c r="EY902" s="67">
        <v>5794.75</v>
      </c>
      <c r="EZ902" s="67" t="s">
        <v>6510</v>
      </c>
      <c r="FA902" s="67">
        <v>20673.25</v>
      </c>
      <c r="FB902" s="67" t="s">
        <v>6511</v>
      </c>
      <c r="FC902" s="67" t="s">
        <v>6512</v>
      </c>
      <c r="FD902" s="67" t="s">
        <v>6513</v>
      </c>
      <c r="FE902" s="68" t="s">
        <v>6514</v>
      </c>
      <c r="FF902" s="68" t="s">
        <v>6515</v>
      </c>
    </row>
    <row r="903" spans="151:162" x14ac:dyDescent="0.2">
      <c r="EU903" s="67">
        <v>578.27</v>
      </c>
      <c r="EV903" s="67" t="s">
        <v>6516</v>
      </c>
      <c r="EW903" s="67">
        <v>503.39</v>
      </c>
      <c r="EX903" s="67" t="s">
        <v>6517</v>
      </c>
      <c r="EY903" s="67">
        <v>5794</v>
      </c>
      <c r="EZ903" s="67" t="s">
        <v>6518</v>
      </c>
      <c r="FA903" s="67">
        <v>20668</v>
      </c>
      <c r="FB903" s="67" t="s">
        <v>6519</v>
      </c>
      <c r="FC903" s="67" t="s">
        <v>6520</v>
      </c>
      <c r="FD903" s="67" t="s">
        <v>6521</v>
      </c>
      <c r="FE903" s="68" t="s">
        <v>6522</v>
      </c>
      <c r="FF903" s="68" t="s">
        <v>6523</v>
      </c>
    </row>
    <row r="904" spans="151:162" x14ac:dyDescent="0.2">
      <c r="EU904" s="67">
        <v>578.19000000000005</v>
      </c>
      <c r="EV904" s="67" t="s">
        <v>6524</v>
      </c>
      <c r="EW904" s="67">
        <v>503.38900000000001</v>
      </c>
      <c r="EX904" s="67" t="s">
        <v>6525</v>
      </c>
      <c r="EY904" s="67">
        <v>5793.75</v>
      </c>
      <c r="EZ904" s="67" t="s">
        <v>6526</v>
      </c>
      <c r="FA904" s="67">
        <v>20667</v>
      </c>
      <c r="FB904" s="67" t="s">
        <v>6527</v>
      </c>
      <c r="FC904" s="67" t="s">
        <v>6528</v>
      </c>
      <c r="FD904" s="67" t="s">
        <v>6529</v>
      </c>
      <c r="FE904" s="68" t="s">
        <v>6530</v>
      </c>
      <c r="FF904" s="68" t="s">
        <v>6531</v>
      </c>
    </row>
    <row r="905" spans="151:162" x14ac:dyDescent="0.2">
      <c r="EU905" s="67">
        <v>578.14</v>
      </c>
      <c r="EV905" s="67" t="s">
        <v>6532</v>
      </c>
      <c r="EW905" s="67">
        <v>503.23</v>
      </c>
      <c r="EX905" s="67" t="s">
        <v>6533</v>
      </c>
      <c r="EY905" s="67">
        <v>5793.25</v>
      </c>
      <c r="EZ905" s="67" t="s">
        <v>6534</v>
      </c>
      <c r="FA905" s="67">
        <v>20662</v>
      </c>
      <c r="FB905" s="67" t="s">
        <v>6535</v>
      </c>
      <c r="FC905" s="67" t="s">
        <v>6536</v>
      </c>
      <c r="FD905" s="67" t="s">
        <v>6537</v>
      </c>
      <c r="FE905" s="68" t="s">
        <v>6538</v>
      </c>
      <c r="FF905" s="68" t="s">
        <v>6539</v>
      </c>
    </row>
    <row r="906" spans="151:162" x14ac:dyDescent="0.2">
      <c r="EU906" s="67">
        <v>578.21</v>
      </c>
      <c r="EV906" s="67" t="s">
        <v>6540</v>
      </c>
      <c r="EW906" s="67">
        <v>503.37</v>
      </c>
      <c r="EX906" s="67" t="s">
        <v>6541</v>
      </c>
      <c r="EY906" s="67">
        <v>5794</v>
      </c>
      <c r="EZ906" s="67" t="s">
        <v>6542</v>
      </c>
      <c r="FA906" s="67">
        <v>20667.25</v>
      </c>
      <c r="FB906" s="67" t="s">
        <v>6543</v>
      </c>
      <c r="FC906" s="67" t="s">
        <v>6544</v>
      </c>
      <c r="FD906" s="67" t="s">
        <v>6545</v>
      </c>
      <c r="FE906" s="68" t="s">
        <v>6546</v>
      </c>
      <c r="FF906" s="68" t="s">
        <v>6547</v>
      </c>
    </row>
    <row r="907" spans="151:162" x14ac:dyDescent="0.2">
      <c r="EU907" s="67">
        <v>578.44000000000005</v>
      </c>
      <c r="EV907" s="67" t="s">
        <v>6548</v>
      </c>
      <c r="EW907" s="67">
        <v>503.59</v>
      </c>
      <c r="EX907" s="67" t="s">
        <v>6549</v>
      </c>
      <c r="EY907" s="67">
        <v>5796.75</v>
      </c>
      <c r="EZ907" s="67" t="s">
        <v>6550</v>
      </c>
      <c r="FA907" s="67">
        <v>20677.5</v>
      </c>
      <c r="FB907" s="67" t="s">
        <v>6551</v>
      </c>
      <c r="FC907" s="67" t="s">
        <v>6552</v>
      </c>
      <c r="FD907" s="67" t="s">
        <v>6553</v>
      </c>
      <c r="FE907" s="68" t="s">
        <v>6554</v>
      </c>
      <c r="FF907" s="68" t="s">
        <v>6555</v>
      </c>
    </row>
    <row r="908" spans="151:162" x14ac:dyDescent="0.2">
      <c r="EU908" s="67">
        <v>578.27</v>
      </c>
      <c r="EV908" s="67" t="s">
        <v>6556</v>
      </c>
      <c r="EW908" s="67">
        <v>503.41</v>
      </c>
      <c r="EX908" s="67" t="s">
        <v>6557</v>
      </c>
      <c r="EY908" s="67">
        <v>5794.5</v>
      </c>
      <c r="EZ908" s="67" t="s">
        <v>6558</v>
      </c>
      <c r="FA908" s="67">
        <v>20668.5</v>
      </c>
      <c r="FB908" s="67" t="s">
        <v>6559</v>
      </c>
      <c r="FC908" s="67" t="s">
        <v>6560</v>
      </c>
      <c r="FD908" s="67" t="s">
        <v>6561</v>
      </c>
      <c r="FE908" s="68" t="s">
        <v>6562</v>
      </c>
      <c r="FF908" s="68" t="s">
        <v>6563</v>
      </c>
    </row>
    <row r="909" spans="151:162" x14ac:dyDescent="0.2">
      <c r="EU909" s="67">
        <v>578.41999999999996</v>
      </c>
      <c r="EV909" s="67" t="s">
        <v>6564</v>
      </c>
      <c r="EW909" s="67">
        <v>503.55</v>
      </c>
      <c r="EX909" s="67" t="s">
        <v>6565</v>
      </c>
      <c r="EY909" s="67">
        <v>5795.25</v>
      </c>
      <c r="EZ909" s="67" t="s">
        <v>6566</v>
      </c>
      <c r="FA909" s="67">
        <v>20674.75</v>
      </c>
      <c r="FB909" s="67" t="s">
        <v>6567</v>
      </c>
      <c r="FC909" s="67" t="s">
        <v>6568</v>
      </c>
      <c r="FD909" s="67" t="s">
        <v>6569</v>
      </c>
      <c r="FE909" s="68" t="s">
        <v>6570</v>
      </c>
      <c r="FF909" s="68" t="s">
        <v>6571</v>
      </c>
    </row>
    <row r="910" spans="151:162" x14ac:dyDescent="0.2">
      <c r="EU910" s="67">
        <v>578.82000000000005</v>
      </c>
      <c r="EV910" s="67" t="s">
        <v>6572</v>
      </c>
      <c r="EW910" s="67">
        <v>503.93</v>
      </c>
      <c r="EX910" s="67" t="s">
        <v>6573</v>
      </c>
      <c r="EY910" s="67">
        <v>5800.25</v>
      </c>
      <c r="EZ910" s="67" t="s">
        <v>6574</v>
      </c>
      <c r="FA910" s="67">
        <v>20690.5</v>
      </c>
      <c r="FB910" s="67" t="s">
        <v>6575</v>
      </c>
      <c r="FC910" s="67" t="s">
        <v>6576</v>
      </c>
      <c r="FD910" s="67" t="s">
        <v>6577</v>
      </c>
      <c r="FE910" s="68" t="s">
        <v>6578</v>
      </c>
      <c r="FF910" s="68" t="s">
        <v>6579</v>
      </c>
    </row>
    <row r="911" spans="151:162" x14ac:dyDescent="0.2">
      <c r="EU911" s="67">
        <v>579.01</v>
      </c>
      <c r="EV911" s="67" t="s">
        <v>6580</v>
      </c>
      <c r="EW911" s="67">
        <v>504.1</v>
      </c>
      <c r="EX911" s="67" t="s">
        <v>6581</v>
      </c>
      <c r="EY911" s="67">
        <v>5802.25</v>
      </c>
      <c r="EZ911" s="67" t="s">
        <v>6582</v>
      </c>
      <c r="FA911" s="67">
        <v>20698</v>
      </c>
      <c r="FB911" s="67" t="s">
        <v>6583</v>
      </c>
      <c r="FC911" s="67" t="s">
        <v>6584</v>
      </c>
      <c r="FD911" s="67" t="s">
        <v>6585</v>
      </c>
      <c r="FE911" s="68" t="s">
        <v>6586</v>
      </c>
      <c r="FF911" s="68" t="s">
        <v>6587</v>
      </c>
    </row>
    <row r="912" spans="151:162" x14ac:dyDescent="0.2">
      <c r="EU912" s="67">
        <v>578.95000000000005</v>
      </c>
      <c r="EV912" s="67" t="s">
        <v>6588</v>
      </c>
      <c r="EW912" s="67">
        <v>504.02</v>
      </c>
      <c r="EX912" s="67" t="s">
        <v>6589</v>
      </c>
      <c r="EY912" s="67">
        <v>5801</v>
      </c>
      <c r="EZ912" s="67" t="s">
        <v>6590</v>
      </c>
      <c r="FA912" s="67">
        <v>20693.75</v>
      </c>
      <c r="FB912" s="67" t="s">
        <v>6591</v>
      </c>
      <c r="FC912" s="67" t="s">
        <v>6592</v>
      </c>
      <c r="FD912" s="67" t="s">
        <v>6593</v>
      </c>
      <c r="FE912" s="68" t="s">
        <v>6594</v>
      </c>
      <c r="FF912" s="68" t="s">
        <v>6595</v>
      </c>
    </row>
    <row r="913" spans="151:162" x14ac:dyDescent="0.2">
      <c r="EU913" s="67">
        <v>578.91</v>
      </c>
      <c r="EV913" s="67" t="s">
        <v>6596</v>
      </c>
      <c r="EW913" s="67">
        <v>504.02</v>
      </c>
      <c r="EX913" s="67" t="s">
        <v>6597</v>
      </c>
      <c r="EY913" s="67">
        <v>5801</v>
      </c>
      <c r="EZ913" s="67" t="s">
        <v>6598</v>
      </c>
      <c r="FA913" s="67">
        <v>20694.25</v>
      </c>
      <c r="FB913" s="67" t="s">
        <v>6599</v>
      </c>
      <c r="FC913" s="67" t="s">
        <v>6600</v>
      </c>
      <c r="FD913" s="67" t="s">
        <v>6601</v>
      </c>
      <c r="FE913" s="68" t="s">
        <v>6602</v>
      </c>
      <c r="FF913" s="68" t="s">
        <v>6603</v>
      </c>
    </row>
    <row r="914" spans="151:162" x14ac:dyDescent="0.2">
      <c r="EU914" s="67">
        <v>578.88</v>
      </c>
      <c r="EV914" s="67" t="s">
        <v>6604</v>
      </c>
      <c r="EW914" s="67">
        <v>504.01</v>
      </c>
      <c r="EX914" s="67" t="s">
        <v>6605</v>
      </c>
      <c r="EY914" s="67">
        <v>5800.75</v>
      </c>
      <c r="EZ914" s="67" t="s">
        <v>6606</v>
      </c>
      <c r="FA914" s="67">
        <v>20694.5</v>
      </c>
      <c r="FB914" s="67" t="s">
        <v>6607</v>
      </c>
      <c r="FC914" s="67" t="s">
        <v>6608</v>
      </c>
      <c r="FD914" s="67" t="s">
        <v>6609</v>
      </c>
      <c r="FE914" s="68" t="s">
        <v>6610</v>
      </c>
      <c r="FF914" s="68" t="s">
        <v>6611</v>
      </c>
    </row>
    <row r="915" spans="151:162" x14ac:dyDescent="0.2">
      <c r="EU915" s="67">
        <v>579.15</v>
      </c>
      <c r="EV915" s="67" t="s">
        <v>6612</v>
      </c>
      <c r="EW915" s="67">
        <v>504.29</v>
      </c>
      <c r="EX915" s="67" t="s">
        <v>6613</v>
      </c>
      <c r="EY915" s="67">
        <v>5803.5</v>
      </c>
      <c r="EZ915" s="67" t="s">
        <v>6614</v>
      </c>
      <c r="FA915" s="67">
        <v>20705.25</v>
      </c>
      <c r="FB915" s="67" t="s">
        <v>6615</v>
      </c>
      <c r="FC915" s="67" t="s">
        <v>6616</v>
      </c>
      <c r="FD915" s="67" t="s">
        <v>6617</v>
      </c>
      <c r="FE915" s="68" t="s">
        <v>6618</v>
      </c>
      <c r="FF915" s="68" t="s">
        <v>6619</v>
      </c>
    </row>
    <row r="916" spans="151:162" x14ac:dyDescent="0.2">
      <c r="EU916" s="67">
        <v>578.80999999999995</v>
      </c>
      <c r="EV916" s="67" t="s">
        <v>6620</v>
      </c>
      <c r="EW916" s="67">
        <v>504.01</v>
      </c>
      <c r="EX916" s="67" t="s">
        <v>6621</v>
      </c>
      <c r="EY916" s="67">
        <v>5800.25</v>
      </c>
      <c r="EZ916" s="67" t="s">
        <v>6622</v>
      </c>
      <c r="FA916" s="67">
        <v>20692</v>
      </c>
      <c r="FB916" s="67" t="s">
        <v>6623</v>
      </c>
      <c r="FC916" s="67" t="s">
        <v>6624</v>
      </c>
      <c r="FD916" s="67" t="s">
        <v>6625</v>
      </c>
      <c r="FE916" s="68" t="s">
        <v>6626</v>
      </c>
      <c r="FF916" s="68" t="s">
        <v>6627</v>
      </c>
    </row>
    <row r="917" spans="151:162" x14ac:dyDescent="0.2">
      <c r="EU917" s="67">
        <v>578.97500000000002</v>
      </c>
      <c r="EV917" s="67" t="s">
        <v>6628</v>
      </c>
      <c r="EW917" s="67">
        <v>504.17</v>
      </c>
      <c r="EX917" s="67" t="s">
        <v>6629</v>
      </c>
      <c r="EY917" s="67">
        <v>5801.75</v>
      </c>
      <c r="EZ917" s="67" t="s">
        <v>6630</v>
      </c>
      <c r="FA917" s="67">
        <v>20700.25</v>
      </c>
      <c r="FB917" s="67" t="s">
        <v>6631</v>
      </c>
      <c r="FC917" s="67" t="s">
        <v>6632</v>
      </c>
      <c r="FD917" s="67" t="s">
        <v>6633</v>
      </c>
      <c r="FE917" s="68" t="s">
        <v>6634</v>
      </c>
      <c r="FF917" s="68" t="s">
        <v>6635</v>
      </c>
    </row>
    <row r="918" spans="151:162" x14ac:dyDescent="0.2">
      <c r="EU918" s="67">
        <v>578.95000000000005</v>
      </c>
      <c r="EV918" s="67" t="s">
        <v>6636</v>
      </c>
      <c r="EW918" s="67">
        <v>504.23</v>
      </c>
      <c r="EX918" s="67" t="s">
        <v>6637</v>
      </c>
      <c r="EY918" s="67">
        <v>5801.25</v>
      </c>
      <c r="EZ918" s="67" t="s">
        <v>6638</v>
      </c>
      <c r="FA918" s="67">
        <v>20703.5</v>
      </c>
      <c r="FB918" s="67" t="s">
        <v>6639</v>
      </c>
      <c r="FC918" s="67" t="s">
        <v>6640</v>
      </c>
      <c r="FD918" s="67" t="s">
        <v>6641</v>
      </c>
      <c r="FE918" s="68" t="s">
        <v>6642</v>
      </c>
      <c r="FF918" s="68" t="s">
        <v>6643</v>
      </c>
    </row>
    <row r="919" spans="151:162" x14ac:dyDescent="0.2">
      <c r="EU919" s="67">
        <v>579.04999999999995</v>
      </c>
      <c r="EV919" s="67" t="s">
        <v>6644</v>
      </c>
      <c r="EW919" s="67">
        <v>504.33</v>
      </c>
      <c r="EX919" s="67" t="s">
        <v>6645</v>
      </c>
      <c r="EY919" s="67">
        <v>5802.5</v>
      </c>
      <c r="EZ919" s="67" t="s">
        <v>6646</v>
      </c>
      <c r="FA919" s="67">
        <v>20707.75</v>
      </c>
      <c r="FB919" s="67" t="s">
        <v>6647</v>
      </c>
      <c r="FC919" s="67" t="s">
        <v>6648</v>
      </c>
      <c r="FD919" s="67" t="s">
        <v>6649</v>
      </c>
      <c r="FE919" s="68" t="s">
        <v>6650</v>
      </c>
      <c r="FF919" s="68" t="s">
        <v>6651</v>
      </c>
    </row>
    <row r="920" spans="151:162" x14ac:dyDescent="0.2">
      <c r="EU920" s="67">
        <v>579.10500000000002</v>
      </c>
      <c r="EV920" s="67" t="s">
        <v>6652</v>
      </c>
      <c r="EW920" s="67">
        <v>504.34</v>
      </c>
      <c r="EX920" s="67" t="s">
        <v>6653</v>
      </c>
      <c r="EY920" s="67">
        <v>5802.75</v>
      </c>
      <c r="EZ920" s="67" t="s">
        <v>6654</v>
      </c>
      <c r="FA920" s="67">
        <v>20708.5</v>
      </c>
      <c r="FB920" s="67" t="s">
        <v>6655</v>
      </c>
      <c r="FC920" s="67" t="s">
        <v>6656</v>
      </c>
      <c r="FD920" s="67" t="s">
        <v>6657</v>
      </c>
      <c r="FE920" s="68" t="s">
        <v>6658</v>
      </c>
      <c r="FF920" s="68" t="s">
        <v>6659</v>
      </c>
    </row>
    <row r="921" spans="151:162" x14ac:dyDescent="0.2">
      <c r="EU921" s="67">
        <v>579.13</v>
      </c>
      <c r="EV921" s="67" t="s">
        <v>6660</v>
      </c>
      <c r="EW921" s="67">
        <v>504.43</v>
      </c>
      <c r="EX921" s="67" t="s">
        <v>6661</v>
      </c>
      <c r="EY921" s="67">
        <v>5803</v>
      </c>
      <c r="EZ921" s="67" t="s">
        <v>6662</v>
      </c>
      <c r="FA921" s="67">
        <v>20711.75</v>
      </c>
      <c r="FB921" s="67" t="s">
        <v>6663</v>
      </c>
      <c r="FC921" s="67" t="s">
        <v>6664</v>
      </c>
      <c r="FD921" s="67" t="s">
        <v>6665</v>
      </c>
      <c r="FE921" s="68" t="s">
        <v>6666</v>
      </c>
      <c r="FF921" s="68" t="s">
        <v>6667</v>
      </c>
    </row>
    <row r="922" spans="151:162" x14ac:dyDescent="0.2">
      <c r="EU922" s="67">
        <v>579.12</v>
      </c>
      <c r="EV922" s="67" t="s">
        <v>6668</v>
      </c>
      <c r="EW922" s="67">
        <v>504.45</v>
      </c>
      <c r="EX922" s="67" t="s">
        <v>6669</v>
      </c>
      <c r="EY922" s="67">
        <v>5803.25</v>
      </c>
      <c r="EZ922" s="67" t="s">
        <v>6670</v>
      </c>
      <c r="FA922" s="67">
        <v>20713</v>
      </c>
      <c r="FB922" s="67" t="s">
        <v>6671</v>
      </c>
      <c r="FC922" s="67" t="s">
        <v>6672</v>
      </c>
      <c r="FD922" s="67" t="s">
        <v>6673</v>
      </c>
      <c r="FE922" s="68" t="s">
        <v>6674</v>
      </c>
      <c r="FF922" s="68" t="s">
        <v>6675</v>
      </c>
    </row>
    <row r="923" spans="151:162" x14ac:dyDescent="0.2">
      <c r="EU923" s="67">
        <v>579.23</v>
      </c>
      <c r="EV923" s="67" t="s">
        <v>6676</v>
      </c>
      <c r="EW923" s="67">
        <v>504.61</v>
      </c>
      <c r="EX923" s="67" t="s">
        <v>6677</v>
      </c>
      <c r="EY923" s="67">
        <v>5804.5</v>
      </c>
      <c r="EZ923" s="67" t="s">
        <v>6678</v>
      </c>
      <c r="FA923" s="67">
        <v>20719.25</v>
      </c>
      <c r="FB923" s="67" t="s">
        <v>6679</v>
      </c>
      <c r="FC923" s="67" t="s">
        <v>6680</v>
      </c>
      <c r="FD923" s="67" t="s">
        <v>6681</v>
      </c>
      <c r="FE923" s="68" t="s">
        <v>6682</v>
      </c>
      <c r="FF923" s="68" t="s">
        <v>6683</v>
      </c>
    </row>
    <row r="924" spans="151:162" x14ac:dyDescent="0.2">
      <c r="EU924" s="67">
        <v>579.04999999999995</v>
      </c>
      <c r="EV924" s="67" t="s">
        <v>6684</v>
      </c>
      <c r="EW924" s="67">
        <v>504.52</v>
      </c>
      <c r="EX924" s="67" t="s">
        <v>6685</v>
      </c>
      <c r="EY924" s="67">
        <v>5802.5</v>
      </c>
      <c r="EZ924" s="67" t="s">
        <v>6686</v>
      </c>
      <c r="FA924" s="67">
        <v>20716.5</v>
      </c>
      <c r="FB924" s="67" t="s">
        <v>6687</v>
      </c>
      <c r="FC924" s="67" t="s">
        <v>6688</v>
      </c>
      <c r="FD924" s="67" t="s">
        <v>6689</v>
      </c>
      <c r="FE924" s="68" t="s">
        <v>6690</v>
      </c>
      <c r="FF924" s="68" t="s">
        <v>6691</v>
      </c>
    </row>
    <row r="925" spans="151:162" x14ac:dyDescent="0.2">
      <c r="EU925" s="67">
        <v>579.22</v>
      </c>
      <c r="EV925" s="67" t="s">
        <v>6692</v>
      </c>
      <c r="EW925" s="67">
        <v>504.63</v>
      </c>
      <c r="EX925" s="67" t="s">
        <v>6693</v>
      </c>
      <c r="EY925" s="67">
        <v>5804</v>
      </c>
      <c r="EZ925" s="67" t="s">
        <v>6694</v>
      </c>
      <c r="FA925" s="67">
        <v>20721.5</v>
      </c>
      <c r="FB925" s="67" t="s">
        <v>6695</v>
      </c>
      <c r="FC925" s="67" t="s">
        <v>6696</v>
      </c>
      <c r="FD925" s="67" t="s">
        <v>6697</v>
      </c>
      <c r="FE925" s="68" t="s">
        <v>6698</v>
      </c>
      <c r="FF925" s="68" t="s">
        <v>6699</v>
      </c>
    </row>
    <row r="926" spans="151:162" x14ac:dyDescent="0.2">
      <c r="EU926" s="67">
        <v>579.29999999999995</v>
      </c>
      <c r="EV926" s="67" t="s">
        <v>6700</v>
      </c>
      <c r="EW926" s="67">
        <v>504.69</v>
      </c>
      <c r="EX926" s="67" t="s">
        <v>6701</v>
      </c>
      <c r="EY926" s="67">
        <v>5804.5</v>
      </c>
      <c r="EZ926" s="67" t="s">
        <v>6702</v>
      </c>
      <c r="FA926" s="67">
        <v>20722.5</v>
      </c>
      <c r="FB926" s="67" t="s">
        <v>6703</v>
      </c>
      <c r="FC926" s="67" t="s">
        <v>6704</v>
      </c>
      <c r="FD926" s="67" t="s">
        <v>6705</v>
      </c>
      <c r="FE926" s="68" t="s">
        <v>6706</v>
      </c>
      <c r="FF926" s="68" t="s">
        <v>6707</v>
      </c>
    </row>
    <row r="927" spans="151:162" x14ac:dyDescent="0.2">
      <c r="EU927" s="67">
        <v>579.48</v>
      </c>
      <c r="EV927" s="67" t="s">
        <v>6708</v>
      </c>
      <c r="EW927" s="67">
        <v>504.8</v>
      </c>
      <c r="EX927" s="67" t="s">
        <v>6709</v>
      </c>
      <c r="EY927" s="67">
        <v>5806.75</v>
      </c>
      <c r="EZ927" s="67" t="s">
        <v>6710</v>
      </c>
      <c r="FA927" s="67">
        <v>20727.5</v>
      </c>
      <c r="FB927" s="67" t="s">
        <v>6711</v>
      </c>
      <c r="FC927" s="67" t="s">
        <v>6712</v>
      </c>
      <c r="FD927" s="67" t="s">
        <v>6713</v>
      </c>
      <c r="FE927" s="68" t="s">
        <v>6714</v>
      </c>
      <c r="FF927" s="68" t="s">
        <v>6715</v>
      </c>
    </row>
    <row r="928" spans="151:162" x14ac:dyDescent="0.2">
      <c r="EU928" s="67">
        <v>579.67499999999995</v>
      </c>
      <c r="EV928" s="67" t="s">
        <v>6716</v>
      </c>
      <c r="EW928" s="67">
        <v>504.99</v>
      </c>
      <c r="EX928" s="67" t="s">
        <v>6717</v>
      </c>
      <c r="EY928" s="67">
        <v>5809</v>
      </c>
      <c r="EZ928" s="67" t="s">
        <v>6718</v>
      </c>
      <c r="FA928" s="67">
        <v>20734.75</v>
      </c>
      <c r="FB928" s="67" t="s">
        <v>6719</v>
      </c>
      <c r="FC928" s="67" t="s">
        <v>6720</v>
      </c>
      <c r="FD928" s="67" t="s">
        <v>6721</v>
      </c>
      <c r="FE928" s="68" t="s">
        <v>6722</v>
      </c>
      <c r="FF928" s="68" t="s">
        <v>6723</v>
      </c>
    </row>
    <row r="929" spans="151:162" x14ac:dyDescent="0.2">
      <c r="EU929" s="67">
        <v>579.79</v>
      </c>
      <c r="EV929" s="67" t="s">
        <v>6724</v>
      </c>
      <c r="EW929" s="67">
        <v>505</v>
      </c>
      <c r="EX929" s="67" t="s">
        <v>6725</v>
      </c>
      <c r="EY929" s="67">
        <v>5809.75</v>
      </c>
      <c r="EZ929" s="67" t="s">
        <v>6726</v>
      </c>
      <c r="FA929" s="67">
        <v>20735.75</v>
      </c>
      <c r="FB929" s="67" t="s">
        <v>6727</v>
      </c>
      <c r="FC929" s="67" t="s">
        <v>6728</v>
      </c>
      <c r="FD929" s="67" t="s">
        <v>6729</v>
      </c>
      <c r="FE929" s="68" t="s">
        <v>6730</v>
      </c>
      <c r="FF929" s="68" t="s">
        <v>6731</v>
      </c>
    </row>
    <row r="930" spans="151:162" x14ac:dyDescent="0.2">
      <c r="EU930" s="67">
        <v>579.78</v>
      </c>
      <c r="EV930" s="67" t="s">
        <v>6732</v>
      </c>
      <c r="EW930" s="67">
        <v>504.97</v>
      </c>
      <c r="EX930" s="67" t="s">
        <v>6733</v>
      </c>
      <c r="EY930" s="67">
        <v>5809.75</v>
      </c>
      <c r="EZ930" s="67" t="s">
        <v>6734</v>
      </c>
      <c r="FA930" s="67">
        <v>20733.75</v>
      </c>
      <c r="FB930" s="67" t="s">
        <v>6735</v>
      </c>
      <c r="FC930" s="67" t="s">
        <v>6736</v>
      </c>
      <c r="FD930" s="67" t="s">
        <v>6737</v>
      </c>
      <c r="FE930" s="68" t="s">
        <v>6738</v>
      </c>
      <c r="FF930" s="68" t="s">
        <v>6739</v>
      </c>
    </row>
    <row r="931" spans="151:162" x14ac:dyDescent="0.2">
      <c r="EU931" s="67">
        <v>579.745</v>
      </c>
      <c r="EV931" s="67" t="s">
        <v>6740</v>
      </c>
      <c r="EW931" s="67">
        <v>504.97899999999998</v>
      </c>
      <c r="EX931" s="67" t="s">
        <v>6741</v>
      </c>
      <c r="EY931" s="67">
        <v>5809.75</v>
      </c>
      <c r="EZ931" s="67" t="s">
        <v>6742</v>
      </c>
      <c r="FA931" s="67">
        <v>20734</v>
      </c>
      <c r="FB931" s="67" t="s">
        <v>6743</v>
      </c>
      <c r="FC931" s="67" t="s">
        <v>6744</v>
      </c>
      <c r="FD931" s="67" t="s">
        <v>6745</v>
      </c>
      <c r="FE931" s="68" t="s">
        <v>6746</v>
      </c>
      <c r="FF931" s="68" t="s">
        <v>6747</v>
      </c>
    </row>
    <row r="932" spans="151:162" x14ac:dyDescent="0.2">
      <c r="EU932" s="67">
        <v>579.52</v>
      </c>
      <c r="EV932" s="67" t="s">
        <v>6748</v>
      </c>
      <c r="EW932" s="67">
        <v>504.83</v>
      </c>
      <c r="EX932" s="67" t="s">
        <v>6749</v>
      </c>
      <c r="EY932" s="67">
        <v>5807.25</v>
      </c>
      <c r="EZ932" s="67" t="s">
        <v>6750</v>
      </c>
      <c r="FA932" s="67">
        <v>20729</v>
      </c>
      <c r="FB932" s="67" t="s">
        <v>6751</v>
      </c>
      <c r="FC932" s="67" t="s">
        <v>6752</v>
      </c>
      <c r="FD932" s="67" t="s">
        <v>6753</v>
      </c>
      <c r="FE932" s="68" t="s">
        <v>6754</v>
      </c>
      <c r="FF932" s="68" t="s">
        <v>6755</v>
      </c>
    </row>
    <row r="933" spans="151:162" x14ac:dyDescent="0.2">
      <c r="EU933" s="67">
        <v>579.47</v>
      </c>
      <c r="EV933" s="67" t="s">
        <v>6756</v>
      </c>
      <c r="EW933" s="67">
        <v>504.779</v>
      </c>
      <c r="EX933" s="67" t="s">
        <v>6757</v>
      </c>
      <c r="EY933" s="67">
        <v>5806.75</v>
      </c>
      <c r="EZ933" s="67" t="s">
        <v>6758</v>
      </c>
      <c r="FA933" s="67">
        <v>20725.75</v>
      </c>
      <c r="FB933" s="67" t="s">
        <v>6759</v>
      </c>
      <c r="FC933" s="67" t="s">
        <v>6760</v>
      </c>
      <c r="FD933" s="67" t="s">
        <v>6761</v>
      </c>
      <c r="FE933" s="68" t="s">
        <v>6762</v>
      </c>
      <c r="FF933" s="68" t="s">
        <v>6763</v>
      </c>
    </row>
    <row r="934" spans="151:162" x14ac:dyDescent="0.2">
      <c r="EU934" s="67">
        <v>579.37</v>
      </c>
      <c r="EV934" s="67" t="s">
        <v>6764</v>
      </c>
      <c r="EW934" s="67">
        <v>504.73</v>
      </c>
      <c r="EX934" s="67" t="s">
        <v>6765</v>
      </c>
      <c r="EY934" s="67">
        <v>5806</v>
      </c>
      <c r="EZ934" s="67" t="s">
        <v>6766</v>
      </c>
      <c r="FA934" s="67">
        <v>20723.75</v>
      </c>
      <c r="FB934" s="67" t="s">
        <v>6767</v>
      </c>
      <c r="FC934" s="67" t="s">
        <v>6768</v>
      </c>
      <c r="FD934" s="67" t="s">
        <v>6769</v>
      </c>
      <c r="FE934" s="68" t="s">
        <v>6770</v>
      </c>
      <c r="FF934" s="68" t="s">
        <v>6771</v>
      </c>
    </row>
    <row r="935" spans="151:162" x14ac:dyDescent="0.2">
      <c r="EU935" s="67">
        <v>579.44000000000005</v>
      </c>
      <c r="EV935" s="67" t="s">
        <v>6772</v>
      </c>
      <c r="EW935" s="67">
        <v>504.77</v>
      </c>
      <c r="EX935" s="67" t="s">
        <v>6773</v>
      </c>
      <c r="EY935" s="67">
        <v>5806.25</v>
      </c>
      <c r="EZ935" s="67" t="s">
        <v>6774</v>
      </c>
      <c r="FA935" s="67">
        <v>20726.25</v>
      </c>
      <c r="FB935" s="67" t="s">
        <v>6775</v>
      </c>
      <c r="FC935" s="67" t="s">
        <v>6776</v>
      </c>
      <c r="FD935" s="67" t="s">
        <v>6777</v>
      </c>
      <c r="FE935" s="68" t="s">
        <v>6778</v>
      </c>
      <c r="FF935" s="68" t="s">
        <v>6779</v>
      </c>
    </row>
    <row r="936" spans="151:162" x14ac:dyDescent="0.2">
      <c r="EU936" s="67">
        <v>579.58000000000004</v>
      </c>
      <c r="EV936" s="67" t="s">
        <v>6780</v>
      </c>
      <c r="EW936" s="67">
        <v>504.92500000000001</v>
      </c>
      <c r="EX936" s="67" t="s">
        <v>6781</v>
      </c>
      <c r="EY936" s="67">
        <v>5808</v>
      </c>
      <c r="EZ936" s="67" t="s">
        <v>6782</v>
      </c>
      <c r="FA936" s="67">
        <v>20732.25</v>
      </c>
      <c r="FB936" s="67" t="s">
        <v>6783</v>
      </c>
      <c r="FC936" s="67" t="s">
        <v>6784</v>
      </c>
      <c r="FD936" s="67" t="s">
        <v>6785</v>
      </c>
      <c r="FE936" s="68" t="s">
        <v>6786</v>
      </c>
      <c r="FF936" s="68" t="s">
        <v>6787</v>
      </c>
    </row>
    <row r="937" spans="151:162" x14ac:dyDescent="0.2">
      <c r="EU937" s="67">
        <v>579.673</v>
      </c>
      <c r="EV937" s="67" t="s">
        <v>6788</v>
      </c>
      <c r="EW937" s="67">
        <v>505</v>
      </c>
      <c r="EX937" s="67" t="s">
        <v>6789</v>
      </c>
      <c r="EY937" s="67">
        <v>5809</v>
      </c>
      <c r="EZ937" s="67" t="s">
        <v>6790</v>
      </c>
      <c r="FA937" s="67">
        <v>20735.25</v>
      </c>
      <c r="FB937" s="67" t="s">
        <v>6791</v>
      </c>
      <c r="FC937" s="67" t="s">
        <v>6792</v>
      </c>
      <c r="FD937" s="67" t="s">
        <v>6793</v>
      </c>
      <c r="FE937" s="68" t="s">
        <v>6794</v>
      </c>
      <c r="FF937" s="68" t="s">
        <v>6795</v>
      </c>
    </row>
    <row r="938" spans="151:162" x14ac:dyDescent="0.2">
      <c r="EU938" s="67">
        <v>579.64</v>
      </c>
      <c r="EV938" s="67" t="s">
        <v>6796</v>
      </c>
      <c r="EW938" s="67">
        <v>504.95</v>
      </c>
      <c r="EX938" s="67" t="s">
        <v>6797</v>
      </c>
      <c r="EY938" s="67">
        <v>5808.25</v>
      </c>
      <c r="EZ938" s="67" t="s">
        <v>6798</v>
      </c>
      <c r="FA938" s="67">
        <v>20733</v>
      </c>
      <c r="FB938" s="67" t="s">
        <v>6799</v>
      </c>
      <c r="FC938" s="67" t="s">
        <v>6800</v>
      </c>
      <c r="FD938" s="67" t="s">
        <v>6801</v>
      </c>
      <c r="FE938" s="68" t="s">
        <v>6802</v>
      </c>
      <c r="FF938" s="68" t="s">
        <v>6803</v>
      </c>
    </row>
    <row r="939" spans="151:162" x14ac:dyDescent="0.2">
      <c r="EU939" s="67">
        <v>579.70000000000005</v>
      </c>
      <c r="EV939" s="67" t="s">
        <v>6804</v>
      </c>
      <c r="EW939" s="67">
        <v>504.99</v>
      </c>
      <c r="EX939" s="67" t="s">
        <v>6805</v>
      </c>
      <c r="EY939" s="67">
        <v>5809</v>
      </c>
      <c r="EZ939" s="67" t="s">
        <v>6806</v>
      </c>
      <c r="FA939" s="67">
        <v>20734.25</v>
      </c>
      <c r="FB939" s="67" t="s">
        <v>6807</v>
      </c>
      <c r="FC939" s="67" t="s">
        <v>6808</v>
      </c>
      <c r="FD939" s="67" t="s">
        <v>6809</v>
      </c>
      <c r="FE939" s="68" t="s">
        <v>6810</v>
      </c>
      <c r="FF939" s="68" t="s">
        <v>6811</v>
      </c>
    </row>
    <row r="940" spans="151:162" x14ac:dyDescent="0.2">
      <c r="EU940" s="67">
        <v>579.79</v>
      </c>
      <c r="EV940" s="67" t="s">
        <v>6812</v>
      </c>
      <c r="EW940" s="67">
        <v>505.05</v>
      </c>
      <c r="EX940" s="67" t="s">
        <v>6813</v>
      </c>
      <c r="EY940" s="67">
        <v>5810</v>
      </c>
      <c r="EZ940" s="67" t="s">
        <v>6814</v>
      </c>
      <c r="FA940" s="67">
        <v>20736.5</v>
      </c>
      <c r="FB940" s="67" t="s">
        <v>6815</v>
      </c>
      <c r="FC940" s="67" t="s">
        <v>6816</v>
      </c>
      <c r="FD940" s="67" t="s">
        <v>6817</v>
      </c>
      <c r="FE940" s="68" t="s">
        <v>6818</v>
      </c>
      <c r="FF940" s="68" t="s">
        <v>6819</v>
      </c>
    </row>
    <row r="941" spans="151:162" x14ac:dyDescent="0.2">
      <c r="EU941" s="67">
        <v>579.88</v>
      </c>
      <c r="EV941" s="67" t="s">
        <v>6820</v>
      </c>
      <c r="EW941" s="67">
        <v>505.12</v>
      </c>
      <c r="EX941" s="67" t="s">
        <v>6821</v>
      </c>
      <c r="EY941" s="67">
        <v>5810.75</v>
      </c>
      <c r="EZ941" s="67" t="s">
        <v>6822</v>
      </c>
      <c r="FA941" s="67">
        <v>20740.5</v>
      </c>
      <c r="FB941" s="67" t="s">
        <v>6823</v>
      </c>
      <c r="FC941" s="67" t="s">
        <v>6824</v>
      </c>
      <c r="FD941" s="67" t="s">
        <v>6825</v>
      </c>
      <c r="FE941" s="68" t="s">
        <v>6826</v>
      </c>
      <c r="FF941" s="68" t="s">
        <v>6827</v>
      </c>
    </row>
    <row r="942" spans="151:162" x14ac:dyDescent="0.2">
      <c r="EU942" s="67">
        <v>579.91</v>
      </c>
      <c r="EV942" s="67" t="s">
        <v>6828</v>
      </c>
      <c r="EW942" s="67">
        <v>505.13</v>
      </c>
      <c r="EX942" s="67" t="s">
        <v>6829</v>
      </c>
      <c r="EY942" s="67">
        <v>5811.25</v>
      </c>
      <c r="EZ942" s="67" t="s">
        <v>6830</v>
      </c>
      <c r="FA942" s="67">
        <v>20740.5</v>
      </c>
      <c r="FB942" s="67" t="s">
        <v>6831</v>
      </c>
      <c r="FC942" s="67" t="s">
        <v>6832</v>
      </c>
      <c r="FD942" s="67" t="s">
        <v>6833</v>
      </c>
      <c r="FE942" s="68" t="s">
        <v>6834</v>
      </c>
      <c r="FF942" s="68" t="s">
        <v>6835</v>
      </c>
    </row>
    <row r="943" spans="151:162" x14ac:dyDescent="0.2">
      <c r="EU943" s="67">
        <v>579.78</v>
      </c>
      <c r="EV943" s="67" t="s">
        <v>6836</v>
      </c>
      <c r="EW943" s="67">
        <v>504.97</v>
      </c>
      <c r="EX943" s="67" t="s">
        <v>6837</v>
      </c>
      <c r="EY943" s="67">
        <v>5810</v>
      </c>
      <c r="EZ943" s="67" t="s">
        <v>6838</v>
      </c>
      <c r="FA943" s="67">
        <v>20733.75</v>
      </c>
      <c r="FB943" s="67" t="s">
        <v>6839</v>
      </c>
      <c r="FC943" s="67" t="s">
        <v>6840</v>
      </c>
      <c r="FD943" s="67" t="s">
        <v>6841</v>
      </c>
      <c r="FE943" s="68" t="s">
        <v>6842</v>
      </c>
      <c r="FF943" s="68" t="s">
        <v>6843</v>
      </c>
    </row>
    <row r="944" spans="151:162" x14ac:dyDescent="0.2">
      <c r="EU944" s="67">
        <v>579.85</v>
      </c>
      <c r="EV944" s="67" t="s">
        <v>6844</v>
      </c>
      <c r="EW944" s="67">
        <v>505.05</v>
      </c>
      <c r="EX944" s="67" t="s">
        <v>6845</v>
      </c>
      <c r="EY944" s="67">
        <v>5810.75</v>
      </c>
      <c r="EZ944" s="67" t="s">
        <v>6846</v>
      </c>
      <c r="FA944" s="67">
        <v>20737.75</v>
      </c>
      <c r="FB944" s="67" t="s">
        <v>6847</v>
      </c>
      <c r="FC944" s="67" t="s">
        <v>6848</v>
      </c>
      <c r="FD944" s="67" t="s">
        <v>6849</v>
      </c>
      <c r="FE944" s="68" t="s">
        <v>6850</v>
      </c>
      <c r="FF944" s="68" t="s">
        <v>6851</v>
      </c>
    </row>
    <row r="945" spans="151:162" x14ac:dyDescent="0.2">
      <c r="EU945" s="67">
        <v>579.99</v>
      </c>
      <c r="EV945" s="67" t="s">
        <v>6852</v>
      </c>
      <c r="EW945" s="67">
        <v>505.16</v>
      </c>
      <c r="EX945" s="67" t="s">
        <v>6853</v>
      </c>
      <c r="EY945" s="67">
        <v>5812</v>
      </c>
      <c r="EZ945" s="67" t="s">
        <v>6854</v>
      </c>
      <c r="FA945" s="67">
        <v>20742.5</v>
      </c>
      <c r="FB945" s="67" t="s">
        <v>6855</v>
      </c>
      <c r="FC945" s="67" t="s">
        <v>6856</v>
      </c>
      <c r="FD945" s="67" t="s">
        <v>6857</v>
      </c>
      <c r="FE945" s="68" t="s">
        <v>6858</v>
      </c>
      <c r="FF945" s="68" t="s">
        <v>6859</v>
      </c>
    </row>
    <row r="946" spans="151:162" x14ac:dyDescent="0.2">
      <c r="EU946" s="67">
        <v>580.01499999999999</v>
      </c>
      <c r="EV946" s="67" t="s">
        <v>6860</v>
      </c>
      <c r="EW946" s="67">
        <v>505.15</v>
      </c>
      <c r="EX946" s="67" t="s">
        <v>6861</v>
      </c>
      <c r="EY946" s="67">
        <v>5812.25</v>
      </c>
      <c r="EZ946" s="67" t="s">
        <v>6862</v>
      </c>
      <c r="FA946" s="67">
        <v>20742</v>
      </c>
      <c r="FB946" s="67" t="s">
        <v>6863</v>
      </c>
      <c r="FC946" s="67" t="s">
        <v>6864</v>
      </c>
      <c r="FD946" s="67" t="s">
        <v>6865</v>
      </c>
      <c r="FE946" s="68" t="s">
        <v>6866</v>
      </c>
      <c r="FF946" s="68" t="s">
        <v>6867</v>
      </c>
    </row>
    <row r="947" spans="151:162" x14ac:dyDescent="0.2">
      <c r="EU947" s="67">
        <v>580.08000000000004</v>
      </c>
      <c r="EV947" s="67" t="s">
        <v>6868</v>
      </c>
      <c r="EW947" s="67">
        <v>505.19</v>
      </c>
      <c r="EX947" s="67" t="s">
        <v>6869</v>
      </c>
      <c r="EY947" s="67">
        <v>5813</v>
      </c>
      <c r="EZ947" s="67" t="s">
        <v>6870</v>
      </c>
      <c r="FA947" s="67">
        <v>20743.75</v>
      </c>
      <c r="FB947" s="67" t="s">
        <v>6871</v>
      </c>
      <c r="FC947" s="67" t="s">
        <v>6872</v>
      </c>
      <c r="FD947" s="67" t="s">
        <v>6873</v>
      </c>
      <c r="FE947" s="68" t="s">
        <v>6874</v>
      </c>
      <c r="FF947" s="68" t="s">
        <v>6875</v>
      </c>
    </row>
    <row r="948" spans="151:162" x14ac:dyDescent="0.2">
      <c r="EU948" s="67">
        <v>580.26</v>
      </c>
      <c r="EV948" s="67" t="s">
        <v>6876</v>
      </c>
      <c r="EW948" s="67">
        <v>505.37</v>
      </c>
      <c r="EX948" s="67" t="s">
        <v>6877</v>
      </c>
      <c r="EY948" s="67">
        <v>5815</v>
      </c>
      <c r="EZ948" s="67" t="s">
        <v>6878</v>
      </c>
      <c r="FA948" s="67">
        <v>20750.25</v>
      </c>
      <c r="FB948" s="67" t="s">
        <v>6879</v>
      </c>
      <c r="FC948" s="67" t="s">
        <v>6880</v>
      </c>
      <c r="FD948" s="67" t="s">
        <v>6881</v>
      </c>
      <c r="FE948" s="68" t="s">
        <v>6882</v>
      </c>
      <c r="FF948" s="68" t="s">
        <v>6883</v>
      </c>
    </row>
    <row r="949" spans="151:162" x14ac:dyDescent="0.2">
      <c r="EU949" s="67">
        <v>580.25</v>
      </c>
      <c r="EV949" s="67" t="s">
        <v>6884</v>
      </c>
      <c r="EW949" s="67">
        <v>505.29</v>
      </c>
      <c r="EX949" s="67" t="s">
        <v>6885</v>
      </c>
      <c r="EY949" s="67">
        <v>5814.75</v>
      </c>
      <c r="EZ949" s="67" t="s">
        <v>6886</v>
      </c>
      <c r="FA949" s="67">
        <v>20747.25</v>
      </c>
      <c r="FB949" s="67" t="s">
        <v>6887</v>
      </c>
      <c r="FC949" s="67" t="s">
        <v>6888</v>
      </c>
      <c r="FD949" s="67" t="s">
        <v>6889</v>
      </c>
      <c r="FE949" s="68" t="s">
        <v>6890</v>
      </c>
      <c r="FF949" s="68" t="s">
        <v>6891</v>
      </c>
    </row>
    <row r="950" spans="151:162" x14ac:dyDescent="0.2">
      <c r="EU950" s="67">
        <v>580.59</v>
      </c>
      <c r="EV950" s="67" t="s">
        <v>6892</v>
      </c>
      <c r="EW950" s="67">
        <v>505.67</v>
      </c>
      <c r="EX950" s="67" t="s">
        <v>6893</v>
      </c>
      <c r="EY950" s="67">
        <v>5818</v>
      </c>
      <c r="EZ950" s="67" t="s">
        <v>6894</v>
      </c>
      <c r="FA950" s="67">
        <v>20762.75</v>
      </c>
      <c r="FB950" s="67" t="s">
        <v>6895</v>
      </c>
      <c r="FC950" s="67" t="s">
        <v>6896</v>
      </c>
      <c r="FD950" s="67" t="s">
        <v>6897</v>
      </c>
      <c r="FE950" s="68" t="s">
        <v>6898</v>
      </c>
      <c r="FF950" s="68" t="s">
        <v>6899</v>
      </c>
    </row>
    <row r="951" spans="151:162" x14ac:dyDescent="0.2">
      <c r="EU951" s="67">
        <v>580.79</v>
      </c>
      <c r="EV951" s="67" t="s">
        <v>6900</v>
      </c>
      <c r="EW951" s="67">
        <v>505.77</v>
      </c>
      <c r="EX951" s="67" t="s">
        <v>6901</v>
      </c>
      <c r="EY951" s="67">
        <v>5820</v>
      </c>
      <c r="EZ951" s="67" t="s">
        <v>6902</v>
      </c>
      <c r="FA951" s="67">
        <v>20767.5</v>
      </c>
      <c r="FB951" s="67" t="s">
        <v>6903</v>
      </c>
      <c r="FC951" s="67" t="s">
        <v>6904</v>
      </c>
      <c r="FD951" s="67" t="s">
        <v>6905</v>
      </c>
      <c r="FE951" s="68" t="s">
        <v>6906</v>
      </c>
      <c r="FF951" s="68" t="s">
        <v>6907</v>
      </c>
    </row>
    <row r="952" spans="151:162" x14ac:dyDescent="0.2">
      <c r="EU952" s="67">
        <v>580.74</v>
      </c>
      <c r="EV952" s="67" t="s">
        <v>6908</v>
      </c>
      <c r="EW952" s="67">
        <v>505.80399999999997</v>
      </c>
      <c r="EX952" s="67" t="s">
        <v>6909</v>
      </c>
      <c r="EY952" s="67">
        <v>5819.5</v>
      </c>
      <c r="EZ952" s="67" t="s">
        <v>6910</v>
      </c>
      <c r="FA952" s="67">
        <v>20769.75</v>
      </c>
      <c r="FB952" s="67" t="s">
        <v>6911</v>
      </c>
      <c r="FC952" s="67" t="s">
        <v>6912</v>
      </c>
      <c r="FD952" s="67" t="s">
        <v>6913</v>
      </c>
      <c r="FE952" s="68" t="s">
        <v>6914</v>
      </c>
      <c r="FF952" s="68" t="s">
        <v>6915</v>
      </c>
    </row>
    <row r="953" spans="151:162" x14ac:dyDescent="0.2">
      <c r="EU953" s="67">
        <v>580.72500000000002</v>
      </c>
      <c r="EV953" s="67" t="s">
        <v>6916</v>
      </c>
      <c r="EW953" s="67">
        <v>505.83</v>
      </c>
      <c r="EX953" s="67" t="s">
        <v>6917</v>
      </c>
      <c r="EY953" s="67">
        <v>5819.25</v>
      </c>
      <c r="EZ953" s="67" t="s">
        <v>6918</v>
      </c>
      <c r="FA953" s="67">
        <v>20770.25</v>
      </c>
      <c r="FB953" s="67" t="s">
        <v>6919</v>
      </c>
      <c r="FC953" s="67" t="s">
        <v>6920</v>
      </c>
      <c r="FD953" s="67" t="s">
        <v>6921</v>
      </c>
      <c r="FE953" s="68" t="s">
        <v>6922</v>
      </c>
      <c r="FF953" s="68" t="s">
        <v>6923</v>
      </c>
    </row>
    <row r="954" spans="151:162" x14ac:dyDescent="0.2">
      <c r="EU954" s="67">
        <v>580.69600000000003</v>
      </c>
      <c r="EV954" s="67" t="s">
        <v>6924</v>
      </c>
      <c r="EW954" s="67">
        <v>505.74</v>
      </c>
      <c r="EX954" s="67" t="s">
        <v>6925</v>
      </c>
      <c r="EY954" s="67">
        <v>5819</v>
      </c>
      <c r="EZ954" s="67" t="s">
        <v>6926</v>
      </c>
      <c r="FA954" s="67">
        <v>20766.5</v>
      </c>
      <c r="FB954" s="67" t="s">
        <v>6927</v>
      </c>
      <c r="FC954" s="67" t="s">
        <v>6928</v>
      </c>
      <c r="FD954" s="67" t="s">
        <v>6929</v>
      </c>
      <c r="FE954" s="68" t="s">
        <v>6930</v>
      </c>
      <c r="FF954" s="68" t="s">
        <v>6931</v>
      </c>
    </row>
    <row r="955" spans="151:162" x14ac:dyDescent="0.2">
      <c r="EU955" s="67">
        <v>580.78</v>
      </c>
      <c r="EV955" s="67" t="s">
        <v>6932</v>
      </c>
      <c r="EW955" s="67">
        <v>505.84</v>
      </c>
      <c r="EX955" s="67" t="s">
        <v>6933</v>
      </c>
      <c r="EY955" s="67">
        <v>5820</v>
      </c>
      <c r="EZ955" s="67" t="s">
        <v>6934</v>
      </c>
      <c r="FA955" s="67">
        <v>20771</v>
      </c>
      <c r="FB955" s="67" t="s">
        <v>6935</v>
      </c>
      <c r="FC955" s="67" t="s">
        <v>6936</v>
      </c>
      <c r="FD955" s="67" t="s">
        <v>6937</v>
      </c>
      <c r="FE955" s="68" t="s">
        <v>6938</v>
      </c>
      <c r="FF955" s="68" t="s">
        <v>6939</v>
      </c>
    </row>
    <row r="956" spans="151:162" x14ac:dyDescent="0.2">
      <c r="EU956" s="67">
        <v>580.9</v>
      </c>
      <c r="EV956" s="67" t="s">
        <v>6940</v>
      </c>
      <c r="EW956" s="67">
        <v>505.91500000000002</v>
      </c>
      <c r="EX956" s="67" t="s">
        <v>6941</v>
      </c>
      <c r="EY956" s="67">
        <v>5821.5</v>
      </c>
      <c r="EZ956" s="67" t="s">
        <v>6942</v>
      </c>
      <c r="FA956" s="67">
        <v>20773.25</v>
      </c>
      <c r="FB956" s="67" t="s">
        <v>6943</v>
      </c>
      <c r="FC956" s="67" t="s">
        <v>6944</v>
      </c>
      <c r="FD956" s="67" t="s">
        <v>6945</v>
      </c>
      <c r="FE956" s="68" t="s">
        <v>6946</v>
      </c>
      <c r="FF956" s="68" t="s">
        <v>6947</v>
      </c>
    </row>
    <row r="957" spans="151:162" x14ac:dyDescent="0.2">
      <c r="EU957" s="67">
        <v>580.98</v>
      </c>
      <c r="EV957" s="67" t="s">
        <v>6948</v>
      </c>
      <c r="EW957" s="67">
        <v>505.94</v>
      </c>
      <c r="EX957" s="67" t="s">
        <v>6949</v>
      </c>
      <c r="EY957" s="67">
        <v>5822</v>
      </c>
      <c r="EZ957" s="67" t="s">
        <v>6950</v>
      </c>
      <c r="FA957" s="67">
        <v>20774.5</v>
      </c>
      <c r="FB957" s="67" t="s">
        <v>6951</v>
      </c>
      <c r="FC957" s="67" t="s">
        <v>6952</v>
      </c>
      <c r="FD957" s="67" t="s">
        <v>6953</v>
      </c>
      <c r="FE957" s="68" t="s">
        <v>6954</v>
      </c>
      <c r="FF957" s="68" t="s">
        <v>6955</v>
      </c>
    </row>
    <row r="958" spans="151:162" x14ac:dyDescent="0.2">
      <c r="EU958" s="67">
        <v>581.05999999999995</v>
      </c>
      <c r="EV958" s="67" t="s">
        <v>6956</v>
      </c>
      <c r="EW958" s="67">
        <v>505.97</v>
      </c>
      <c r="EX958" s="67" t="s">
        <v>6957</v>
      </c>
      <c r="EY958" s="67">
        <v>5823</v>
      </c>
      <c r="EZ958" s="67" t="s">
        <v>6958</v>
      </c>
      <c r="FA958" s="67">
        <v>20776.75</v>
      </c>
      <c r="FB958" s="67" t="s">
        <v>6959</v>
      </c>
      <c r="FC958" s="67" t="s">
        <v>6960</v>
      </c>
      <c r="FD958" s="67" t="s">
        <v>6961</v>
      </c>
      <c r="FE958" s="68" t="s">
        <v>6962</v>
      </c>
      <c r="FF958" s="68" t="s">
        <v>6963</v>
      </c>
    </row>
    <row r="959" spans="151:162" x14ac:dyDescent="0.2">
      <c r="EU959" s="67">
        <v>580.95000000000005</v>
      </c>
      <c r="EV959" s="67" t="s">
        <v>6964</v>
      </c>
      <c r="EW959" s="67">
        <v>505.9</v>
      </c>
      <c r="EX959" s="67" t="s">
        <v>6965</v>
      </c>
      <c r="EY959" s="67">
        <v>5821.75</v>
      </c>
      <c r="EZ959" s="67" t="s">
        <v>6966</v>
      </c>
      <c r="FA959" s="67">
        <v>20772.75</v>
      </c>
      <c r="FB959" s="67" t="s">
        <v>6967</v>
      </c>
      <c r="FC959" s="67" t="s">
        <v>6968</v>
      </c>
      <c r="FD959" s="67" t="s">
        <v>6969</v>
      </c>
      <c r="FE959" s="68" t="s">
        <v>6970</v>
      </c>
      <c r="FF959" s="68" t="s">
        <v>6971</v>
      </c>
    </row>
    <row r="960" spans="151:162" x14ac:dyDescent="0.2">
      <c r="EU960" s="67">
        <v>581.03</v>
      </c>
      <c r="EV960" s="67" t="s">
        <v>6972</v>
      </c>
      <c r="EW960" s="67">
        <v>505.99</v>
      </c>
      <c r="EX960" s="67" t="s">
        <v>6973</v>
      </c>
      <c r="EY960" s="67">
        <v>5822.75</v>
      </c>
      <c r="EZ960" s="67" t="s">
        <v>6974</v>
      </c>
      <c r="FA960" s="67">
        <v>20776.75</v>
      </c>
      <c r="FB960" s="67" t="s">
        <v>6975</v>
      </c>
      <c r="FC960" s="67" t="s">
        <v>6976</v>
      </c>
      <c r="FD960" s="67" t="s">
        <v>6977</v>
      </c>
      <c r="FE960" s="68" t="s">
        <v>6978</v>
      </c>
      <c r="FF960" s="68" t="s">
        <v>6979</v>
      </c>
    </row>
    <row r="961" spans="151:162" x14ac:dyDescent="0.2">
      <c r="EU961" s="67">
        <v>581.11</v>
      </c>
      <c r="EV961" s="67" t="s">
        <v>6980</v>
      </c>
      <c r="EW961" s="67">
        <v>506.02499999999998</v>
      </c>
      <c r="EX961" s="67" t="s">
        <v>6981</v>
      </c>
      <c r="EY961" s="67">
        <v>5822.75</v>
      </c>
      <c r="EZ961" s="67" t="s">
        <v>6982</v>
      </c>
      <c r="FA961" s="67">
        <v>20778</v>
      </c>
      <c r="FB961" s="67" t="s">
        <v>6983</v>
      </c>
      <c r="FC961" s="67" t="s">
        <v>6984</v>
      </c>
      <c r="FD961" s="67" t="s">
        <v>6985</v>
      </c>
      <c r="FE961" s="68" t="s">
        <v>6986</v>
      </c>
      <c r="FF961" s="68" t="s">
        <v>6987</v>
      </c>
    </row>
    <row r="962" spans="151:162" x14ac:dyDescent="0.2">
      <c r="EU962" s="67">
        <v>581.13</v>
      </c>
      <c r="EV962" s="67" t="s">
        <v>6988</v>
      </c>
      <c r="EW962" s="67">
        <v>506.07</v>
      </c>
      <c r="EX962" s="67" t="s">
        <v>6989</v>
      </c>
      <c r="EY962" s="67">
        <v>5823.5</v>
      </c>
      <c r="EZ962" s="67" t="s">
        <v>6990</v>
      </c>
      <c r="FA962" s="67">
        <v>20780</v>
      </c>
      <c r="FB962" s="67" t="s">
        <v>6991</v>
      </c>
      <c r="FC962" s="67" t="s">
        <v>6992</v>
      </c>
      <c r="FD962" s="67" t="s">
        <v>6993</v>
      </c>
      <c r="FE962" s="68" t="s">
        <v>6994</v>
      </c>
      <c r="FF962" s="68" t="s">
        <v>6995</v>
      </c>
    </row>
    <row r="963" spans="151:162" x14ac:dyDescent="0.2">
      <c r="EU963" s="67">
        <v>581.14</v>
      </c>
      <c r="EV963" s="67" t="s">
        <v>6996</v>
      </c>
      <c r="EW963" s="67">
        <v>506.04</v>
      </c>
      <c r="EX963" s="67" t="s">
        <v>6997</v>
      </c>
      <c r="EY963" s="67">
        <v>5823.5</v>
      </c>
      <c r="EZ963" s="67" t="s">
        <v>6998</v>
      </c>
      <c r="FA963" s="67">
        <v>20778.5</v>
      </c>
      <c r="FB963" s="67" t="s">
        <v>6999</v>
      </c>
      <c r="FC963" s="67" t="s">
        <v>7000</v>
      </c>
      <c r="FD963" s="67" t="s">
        <v>7001</v>
      </c>
      <c r="FE963" s="68" t="s">
        <v>7002</v>
      </c>
      <c r="FF963" s="68" t="s">
        <v>7003</v>
      </c>
    </row>
    <row r="964" spans="151:162" x14ac:dyDescent="0.2">
      <c r="EU964" s="67">
        <v>581.13</v>
      </c>
      <c r="EV964" s="67" t="s">
        <v>7004</v>
      </c>
      <c r="EW964" s="67">
        <v>506.05</v>
      </c>
      <c r="EX964" s="67" t="s">
        <v>7005</v>
      </c>
      <c r="EY964" s="67">
        <v>5823.5</v>
      </c>
      <c r="EZ964" s="67" t="s">
        <v>7006</v>
      </c>
      <c r="FA964" s="67">
        <v>20778</v>
      </c>
      <c r="FB964" s="67" t="s">
        <v>7007</v>
      </c>
      <c r="FC964" s="67" t="s">
        <v>7008</v>
      </c>
      <c r="FD964" s="67" t="s">
        <v>7009</v>
      </c>
      <c r="FE964" s="68" t="s">
        <v>7010</v>
      </c>
      <c r="FF964" s="68" t="s">
        <v>7011</v>
      </c>
    </row>
    <row r="965" spans="151:162" x14ac:dyDescent="0.2">
      <c r="EU965" s="67">
        <v>581.12</v>
      </c>
      <c r="EV965" s="67" t="s">
        <v>7012</v>
      </c>
      <c r="EW965" s="67">
        <v>506.03</v>
      </c>
      <c r="EX965" s="67" t="s">
        <v>7013</v>
      </c>
      <c r="EY965" s="67">
        <v>5823.5</v>
      </c>
      <c r="EZ965" s="67" t="s">
        <v>7014</v>
      </c>
      <c r="FA965" s="67">
        <v>20779.25</v>
      </c>
      <c r="FB965" s="67" t="s">
        <v>7015</v>
      </c>
      <c r="FC965" s="67" t="s">
        <v>7016</v>
      </c>
      <c r="FD965" s="67" t="s">
        <v>7017</v>
      </c>
      <c r="FE965" s="68" t="s">
        <v>7018</v>
      </c>
      <c r="FF965" s="68" t="s">
        <v>7019</v>
      </c>
    </row>
    <row r="966" spans="151:162" x14ac:dyDescent="0.2">
      <c r="EU966" s="67">
        <v>581.16999999999996</v>
      </c>
      <c r="EV966" s="67" t="s">
        <v>7020</v>
      </c>
      <c r="EW966" s="67">
        <v>506.08</v>
      </c>
      <c r="EX966" s="67" t="s">
        <v>7021</v>
      </c>
      <c r="EY966" s="67">
        <v>5823.75</v>
      </c>
      <c r="EZ966" s="67" t="s">
        <v>7022</v>
      </c>
      <c r="FA966" s="67">
        <v>20779.5</v>
      </c>
      <c r="FB966" s="67" t="s">
        <v>7023</v>
      </c>
      <c r="FC966" s="67" t="s">
        <v>7024</v>
      </c>
      <c r="FD966" s="67" t="s">
        <v>7025</v>
      </c>
      <c r="FE966" s="68" t="s">
        <v>7026</v>
      </c>
      <c r="FF966" s="68" t="s">
        <v>7027</v>
      </c>
    </row>
    <row r="967" spans="151:162" x14ac:dyDescent="0.2">
      <c r="EU967" s="67">
        <v>581.26</v>
      </c>
      <c r="EV967" s="67" t="s">
        <v>7028</v>
      </c>
      <c r="EW967" s="67">
        <v>506.125</v>
      </c>
      <c r="EX967" s="67" t="s">
        <v>7029</v>
      </c>
      <c r="EY967" s="67">
        <v>5825.25</v>
      </c>
      <c r="EZ967" s="67" t="s">
        <v>7030</v>
      </c>
      <c r="FA967" s="67">
        <v>20782.75</v>
      </c>
      <c r="FB967" s="67" t="s">
        <v>7031</v>
      </c>
      <c r="FC967" s="67" t="s">
        <v>7032</v>
      </c>
      <c r="FD967" s="67" t="s">
        <v>7033</v>
      </c>
      <c r="FE967" s="68" t="s">
        <v>7034</v>
      </c>
      <c r="FF967" s="68" t="s">
        <v>7035</v>
      </c>
    </row>
    <row r="968" spans="151:162" x14ac:dyDescent="0.2">
      <c r="EU968" s="67">
        <v>581.46</v>
      </c>
      <c r="EV968" s="67" t="s">
        <v>7036</v>
      </c>
      <c r="EW968" s="67">
        <v>506.32</v>
      </c>
      <c r="EX968" s="67" t="s">
        <v>7037</v>
      </c>
      <c r="EY968" s="67">
        <v>5826.75</v>
      </c>
      <c r="EZ968" s="67" t="s">
        <v>7038</v>
      </c>
      <c r="FA968" s="67">
        <v>20790</v>
      </c>
      <c r="FB968" s="67" t="s">
        <v>7039</v>
      </c>
      <c r="FC968" s="67" t="s">
        <v>7040</v>
      </c>
      <c r="FD968" s="67" t="s">
        <v>7041</v>
      </c>
      <c r="FE968" s="68" t="s">
        <v>7042</v>
      </c>
      <c r="FF968" s="68" t="s">
        <v>7043</v>
      </c>
    </row>
    <row r="969" spans="151:162" x14ac:dyDescent="0.2">
      <c r="EU969" s="67">
        <v>581.351</v>
      </c>
      <c r="EV969" s="67" t="s">
        <v>7044</v>
      </c>
      <c r="EW969" s="67">
        <v>506.34500000000003</v>
      </c>
      <c r="EX969" s="67" t="s">
        <v>7045</v>
      </c>
      <c r="EY969" s="67">
        <v>5826</v>
      </c>
      <c r="EZ969" s="67" t="s">
        <v>7046</v>
      </c>
      <c r="FA969" s="67">
        <v>20791.25</v>
      </c>
      <c r="FB969" s="67" t="s">
        <v>7047</v>
      </c>
      <c r="FC969" s="67" t="s">
        <v>7048</v>
      </c>
      <c r="FD969" s="67" t="s">
        <v>7049</v>
      </c>
      <c r="FE969" s="68" t="s">
        <v>7050</v>
      </c>
      <c r="FF969" s="68" t="s">
        <v>7051</v>
      </c>
    </row>
    <row r="970" spans="151:162" x14ac:dyDescent="0.2">
      <c r="EU970" s="67">
        <v>581.49</v>
      </c>
      <c r="EV970" s="67" t="s">
        <v>7052</v>
      </c>
      <c r="EW970" s="67">
        <v>506.48</v>
      </c>
      <c r="EX970" s="67" t="s">
        <v>7053</v>
      </c>
      <c r="EY970" s="67">
        <v>5827.25</v>
      </c>
      <c r="EZ970" s="67" t="s">
        <v>7054</v>
      </c>
      <c r="FA970" s="67">
        <v>20796</v>
      </c>
      <c r="FB970" s="67" t="s">
        <v>7055</v>
      </c>
      <c r="FC970" s="67" t="s">
        <v>7056</v>
      </c>
      <c r="FD970" s="67" t="s">
        <v>7057</v>
      </c>
      <c r="FE970" s="68" t="s">
        <v>7058</v>
      </c>
      <c r="FF970" s="68" t="s">
        <v>7059</v>
      </c>
    </row>
    <row r="971" spans="151:162" x14ac:dyDescent="0.2">
      <c r="EU971" s="67">
        <v>581.89700000000005</v>
      </c>
      <c r="EV971" s="67" t="s">
        <v>7060</v>
      </c>
      <c r="EW971" s="67">
        <v>506.88</v>
      </c>
      <c r="EX971" s="67" t="s">
        <v>7061</v>
      </c>
      <c r="EY971" s="67">
        <v>5831.25</v>
      </c>
      <c r="EZ971" s="67" t="s">
        <v>7062</v>
      </c>
      <c r="FA971" s="67">
        <v>20813.75</v>
      </c>
      <c r="FB971" s="67" t="s">
        <v>7063</v>
      </c>
      <c r="FC971" s="67" t="s">
        <v>7064</v>
      </c>
      <c r="FD971" s="67" t="s">
        <v>7065</v>
      </c>
      <c r="FE971" s="68" t="s">
        <v>7066</v>
      </c>
      <c r="FF971" s="68" t="s">
        <v>7067</v>
      </c>
    </row>
    <row r="972" spans="151:162" x14ac:dyDescent="0.2">
      <c r="EU972" s="67">
        <v>582.39</v>
      </c>
      <c r="EV972" s="67" t="s">
        <v>7068</v>
      </c>
      <c r="EW972" s="67">
        <v>507.34</v>
      </c>
      <c r="EX972" s="67" t="s">
        <v>7069</v>
      </c>
      <c r="EY972" s="67">
        <v>5836.25</v>
      </c>
      <c r="EZ972" s="67" t="s">
        <v>7070</v>
      </c>
      <c r="FA972" s="67">
        <v>20833</v>
      </c>
      <c r="FB972" s="67" t="s">
        <v>7071</v>
      </c>
      <c r="FC972" s="67" t="s">
        <v>7072</v>
      </c>
      <c r="FD972" s="67" t="s">
        <v>7073</v>
      </c>
      <c r="FE972" s="68" t="s">
        <v>7074</v>
      </c>
      <c r="FF972" s="68" t="s">
        <v>7075</v>
      </c>
    </row>
    <row r="973" spans="151:162" x14ac:dyDescent="0.2">
      <c r="EU973" s="67">
        <v>582.16999999999996</v>
      </c>
      <c r="EV973" s="67" t="s">
        <v>7076</v>
      </c>
      <c r="EW973" s="67">
        <v>507.18</v>
      </c>
      <c r="EX973" s="67" t="s">
        <v>7077</v>
      </c>
      <c r="EY973" s="67">
        <v>5834.25</v>
      </c>
      <c r="EZ973" s="67" t="s">
        <v>7078</v>
      </c>
      <c r="FA973" s="67">
        <v>20826.5</v>
      </c>
      <c r="FB973" s="67" t="s">
        <v>7079</v>
      </c>
      <c r="FC973" s="67" t="s">
        <v>7080</v>
      </c>
      <c r="FD973" s="67" t="s">
        <v>7081</v>
      </c>
      <c r="FE973" s="68" t="s">
        <v>7082</v>
      </c>
      <c r="FF973" s="68" t="s">
        <v>7083</v>
      </c>
    </row>
    <row r="974" spans="151:162" x14ac:dyDescent="0.2">
      <c r="EU974" s="67">
        <v>581.88</v>
      </c>
      <c r="EV974" s="67" t="s">
        <v>7084</v>
      </c>
      <c r="EW974" s="67">
        <v>506.9</v>
      </c>
      <c r="EX974" s="67" t="s">
        <v>7085</v>
      </c>
      <c r="EY974" s="67">
        <v>5831</v>
      </c>
      <c r="EZ974" s="67" t="s">
        <v>7086</v>
      </c>
      <c r="FA974" s="67">
        <v>20814.25</v>
      </c>
      <c r="FB974" s="67" t="s">
        <v>7087</v>
      </c>
      <c r="FC974" s="67" t="s">
        <v>7088</v>
      </c>
      <c r="FD974" s="67" t="s">
        <v>7089</v>
      </c>
      <c r="FE974" s="68" t="s">
        <v>7090</v>
      </c>
      <c r="FF974" s="68" t="s">
        <v>7091</v>
      </c>
    </row>
    <row r="975" spans="151:162" x14ac:dyDescent="0.2">
      <c r="EU975" s="67">
        <v>581.98</v>
      </c>
      <c r="EV975" s="67" t="s">
        <v>7092</v>
      </c>
      <c r="EW975" s="67">
        <v>507.03</v>
      </c>
      <c r="EX975" s="67" t="s">
        <v>7093</v>
      </c>
      <c r="EY975" s="67">
        <v>5832.25</v>
      </c>
      <c r="EZ975" s="67" t="s">
        <v>7094</v>
      </c>
      <c r="FA975" s="67">
        <v>20819.75</v>
      </c>
      <c r="FB975" s="67" t="s">
        <v>7095</v>
      </c>
      <c r="FC975" s="67" t="s">
        <v>7096</v>
      </c>
      <c r="FD975" s="67" t="s">
        <v>7097</v>
      </c>
      <c r="FE975" s="68" t="s">
        <v>7098</v>
      </c>
      <c r="FF975" s="68" t="s">
        <v>7099</v>
      </c>
    </row>
    <row r="976" spans="151:162" x14ac:dyDescent="0.2">
      <c r="EU976" s="67">
        <v>581.89</v>
      </c>
      <c r="EV976" s="67" t="s">
        <v>7100</v>
      </c>
      <c r="EW976" s="67">
        <v>506.97</v>
      </c>
      <c r="EX976" s="67" t="s">
        <v>7101</v>
      </c>
      <c r="EY976" s="67">
        <v>5831.25</v>
      </c>
      <c r="EZ976" s="67" t="s">
        <v>7102</v>
      </c>
      <c r="FA976" s="67">
        <v>20816.25</v>
      </c>
      <c r="FB976" s="67" t="s">
        <v>7103</v>
      </c>
      <c r="FC976" s="67" t="s">
        <v>7104</v>
      </c>
      <c r="FD976" s="67" t="s">
        <v>7105</v>
      </c>
      <c r="FE976" s="68" t="s">
        <v>7106</v>
      </c>
      <c r="FF976" s="68" t="s">
        <v>7107</v>
      </c>
    </row>
    <row r="977" spans="151:162" x14ac:dyDescent="0.2">
      <c r="EU977" s="67">
        <v>581.73</v>
      </c>
      <c r="EV977" s="67" t="s">
        <v>7108</v>
      </c>
      <c r="EW977" s="67">
        <v>506.755</v>
      </c>
      <c r="EX977" s="67" t="s">
        <v>7109</v>
      </c>
      <c r="EY977" s="67">
        <v>5829.25</v>
      </c>
      <c r="EZ977" s="67" t="s">
        <v>7110</v>
      </c>
      <c r="FA977" s="67">
        <v>20808.75</v>
      </c>
      <c r="FB977" s="67" t="s">
        <v>7111</v>
      </c>
      <c r="FC977" s="67" t="s">
        <v>7112</v>
      </c>
      <c r="FD977" s="67" t="s">
        <v>7113</v>
      </c>
      <c r="FE977" s="68" t="s">
        <v>7114</v>
      </c>
      <c r="FF977" s="68" t="s">
        <v>7115</v>
      </c>
    </row>
    <row r="978" spans="151:162" x14ac:dyDescent="0.2">
      <c r="EU978" s="67">
        <v>581.79999999999995</v>
      </c>
      <c r="EV978" s="67" t="s">
        <v>7116</v>
      </c>
      <c r="EW978" s="67">
        <v>506.82</v>
      </c>
      <c r="EX978" s="67" t="s">
        <v>7117</v>
      </c>
      <c r="EY978" s="67">
        <v>5830.25</v>
      </c>
      <c r="EZ978" s="67" t="s">
        <v>7118</v>
      </c>
      <c r="FA978" s="67">
        <v>20812.25</v>
      </c>
      <c r="FB978" s="67" t="s">
        <v>7119</v>
      </c>
      <c r="FC978" s="67" t="s">
        <v>7120</v>
      </c>
      <c r="FD978" s="67" t="s">
        <v>7121</v>
      </c>
      <c r="FE978" s="68" t="s">
        <v>7122</v>
      </c>
      <c r="FF978" s="68" t="s">
        <v>7123</v>
      </c>
    </row>
    <row r="979" spans="151:162" x14ac:dyDescent="0.2">
      <c r="EU979" s="67">
        <v>581.74</v>
      </c>
      <c r="EV979" s="67" t="s">
        <v>7124</v>
      </c>
      <c r="EW979" s="67">
        <v>506.79</v>
      </c>
      <c r="EX979" s="67" t="s">
        <v>7125</v>
      </c>
      <c r="EY979" s="67">
        <v>5829.75</v>
      </c>
      <c r="EZ979" s="67" t="s">
        <v>7126</v>
      </c>
      <c r="FA979" s="67">
        <v>20811</v>
      </c>
      <c r="FB979" s="67" t="s">
        <v>7127</v>
      </c>
      <c r="FC979" s="67" t="s">
        <v>7128</v>
      </c>
      <c r="FD979" s="67" t="s">
        <v>7129</v>
      </c>
      <c r="FE979" s="68" t="s">
        <v>7130</v>
      </c>
      <c r="FF979" s="68" t="s">
        <v>7131</v>
      </c>
    </row>
    <row r="980" spans="151:162" x14ac:dyDescent="0.2">
      <c r="EU980" s="67">
        <v>581.82000000000005</v>
      </c>
      <c r="EV980" s="67" t="s">
        <v>7132</v>
      </c>
      <c r="EW980" s="67">
        <v>506.81</v>
      </c>
      <c r="EX980" s="67" t="s">
        <v>7133</v>
      </c>
      <c r="EY980" s="67">
        <v>5830.75</v>
      </c>
      <c r="EZ980" s="67" t="s">
        <v>7134</v>
      </c>
      <c r="FA980" s="67">
        <v>20811.75</v>
      </c>
      <c r="FB980" s="67" t="s">
        <v>7135</v>
      </c>
      <c r="FC980" s="67" t="s">
        <v>7136</v>
      </c>
      <c r="FD980" s="67" t="s">
        <v>7137</v>
      </c>
      <c r="FE980" s="68" t="s">
        <v>7138</v>
      </c>
      <c r="FF980" s="68" t="s">
        <v>7139</v>
      </c>
    </row>
    <row r="981" spans="151:162" x14ac:dyDescent="0.2">
      <c r="EU981" s="67">
        <v>581.82000000000005</v>
      </c>
      <c r="EV981" s="67" t="s">
        <v>7140</v>
      </c>
      <c r="EW981" s="67">
        <v>506.90800000000002</v>
      </c>
      <c r="EX981" s="67" t="s">
        <v>7141</v>
      </c>
      <c r="EY981" s="67">
        <v>5830.5</v>
      </c>
      <c r="EZ981" s="67" t="s">
        <v>7142</v>
      </c>
      <c r="FA981" s="67">
        <v>20815</v>
      </c>
      <c r="FB981" s="67" t="s">
        <v>7143</v>
      </c>
      <c r="FC981" s="67" t="s">
        <v>7144</v>
      </c>
      <c r="FD981" s="67" t="s">
        <v>7145</v>
      </c>
      <c r="FE981" s="68" t="s">
        <v>7146</v>
      </c>
      <c r="FF981" s="68" t="s">
        <v>7147</v>
      </c>
    </row>
    <row r="982" spans="151:162" x14ac:dyDescent="0.2">
      <c r="EU982" s="67">
        <v>581.74300000000005</v>
      </c>
      <c r="EV982" s="67" t="s">
        <v>7148</v>
      </c>
      <c r="EW982" s="67">
        <v>506.9</v>
      </c>
      <c r="EX982" s="67" t="s">
        <v>7149</v>
      </c>
      <c r="EY982" s="67">
        <v>5830</v>
      </c>
      <c r="EZ982" s="67" t="s">
        <v>7150</v>
      </c>
      <c r="FA982" s="67">
        <v>20814.75</v>
      </c>
      <c r="FB982" s="67" t="s">
        <v>7151</v>
      </c>
      <c r="FC982" s="67" t="s">
        <v>7152</v>
      </c>
      <c r="FD982" s="67" t="s">
        <v>7153</v>
      </c>
      <c r="FE982" s="68" t="s">
        <v>7154</v>
      </c>
      <c r="FF982" s="68" t="s">
        <v>7155</v>
      </c>
    </row>
    <row r="983" spans="151:162" x14ac:dyDescent="0.2">
      <c r="EU983" s="67">
        <v>581.52</v>
      </c>
      <c r="EV983" s="67" t="s">
        <v>7156</v>
      </c>
      <c r="EW983" s="67">
        <v>506.65</v>
      </c>
      <c r="EX983" s="67" t="s">
        <v>7157</v>
      </c>
      <c r="EY983" s="67">
        <v>5827.5</v>
      </c>
      <c r="EZ983" s="67" t="s">
        <v>7158</v>
      </c>
      <c r="FA983" s="67">
        <v>20805</v>
      </c>
      <c r="FB983" s="67" t="s">
        <v>7159</v>
      </c>
      <c r="FC983" s="67" t="s">
        <v>7160</v>
      </c>
      <c r="FD983" s="67" t="s">
        <v>7161</v>
      </c>
      <c r="FE983" s="68" t="s">
        <v>7162</v>
      </c>
      <c r="FF983" s="68" t="s">
        <v>7163</v>
      </c>
    </row>
    <row r="984" spans="151:162" x14ac:dyDescent="0.2">
      <c r="EU984" s="67">
        <v>581.46500000000003</v>
      </c>
      <c r="EV984" s="67" t="s">
        <v>7164</v>
      </c>
      <c r="EW984" s="67">
        <v>506.57</v>
      </c>
      <c r="EX984" s="67" t="s">
        <v>7165</v>
      </c>
      <c r="EY984" s="67">
        <v>5826.5</v>
      </c>
      <c r="EZ984" s="67" t="s">
        <v>7166</v>
      </c>
      <c r="FA984" s="67">
        <v>20799.5</v>
      </c>
      <c r="FB984" s="67" t="s">
        <v>7167</v>
      </c>
      <c r="FC984" s="67" t="s">
        <v>7168</v>
      </c>
      <c r="FD984" s="67" t="s">
        <v>7169</v>
      </c>
      <c r="FE984" s="68" t="s">
        <v>7170</v>
      </c>
      <c r="FF984" s="68" t="s">
        <v>7171</v>
      </c>
    </row>
    <row r="985" spans="151:162" x14ac:dyDescent="0.2">
      <c r="EU985" s="67">
        <v>581.32500000000005</v>
      </c>
      <c r="EV985" s="67" t="s">
        <v>7172</v>
      </c>
      <c r="EW985" s="67">
        <v>506.47</v>
      </c>
      <c r="EX985" s="67" t="s">
        <v>7173</v>
      </c>
      <c r="EY985" s="67">
        <v>5825.5</v>
      </c>
      <c r="EZ985" s="67" t="s">
        <v>7174</v>
      </c>
      <c r="FA985" s="67">
        <v>20798.25</v>
      </c>
      <c r="FB985" s="67" t="s">
        <v>7175</v>
      </c>
      <c r="FC985" s="67" t="s">
        <v>7176</v>
      </c>
      <c r="FD985" s="67" t="s">
        <v>7177</v>
      </c>
      <c r="FE985" s="68" t="s">
        <v>7178</v>
      </c>
      <c r="FF985" s="68" t="s">
        <v>7179</v>
      </c>
    </row>
    <row r="986" spans="151:162" x14ac:dyDescent="0.2">
      <c r="EU986" s="67">
        <v>581.33000000000004</v>
      </c>
      <c r="EV986" s="67" t="s">
        <v>7180</v>
      </c>
      <c r="EW986" s="67">
        <v>506.42</v>
      </c>
      <c r="EX986" s="67" t="s">
        <v>7181</v>
      </c>
      <c r="EY986" s="67">
        <v>5825.5</v>
      </c>
      <c r="EZ986" s="67" t="s">
        <v>7182</v>
      </c>
      <c r="FA986" s="67">
        <v>20795</v>
      </c>
      <c r="FB986" s="67" t="s">
        <v>7183</v>
      </c>
      <c r="FC986" s="67" t="s">
        <v>7184</v>
      </c>
      <c r="FD986" s="67" t="s">
        <v>7185</v>
      </c>
      <c r="FE986" s="68" t="s">
        <v>7186</v>
      </c>
      <c r="FF986" s="68" t="s">
        <v>7187</v>
      </c>
    </row>
    <row r="987" spans="151:162" x14ac:dyDescent="0.2">
      <c r="EU987" s="67">
        <v>581.20500000000004</v>
      </c>
      <c r="EV987" s="67" t="s">
        <v>7188</v>
      </c>
      <c r="EW987" s="67">
        <v>506.32</v>
      </c>
      <c r="EX987" s="67" t="s">
        <v>7189</v>
      </c>
      <c r="EY987" s="67">
        <v>5824.5</v>
      </c>
      <c r="EZ987" s="67" t="s">
        <v>7190</v>
      </c>
      <c r="FA987" s="67">
        <v>20790.5</v>
      </c>
      <c r="FB987" s="67" t="s">
        <v>7191</v>
      </c>
      <c r="FC987" s="67" t="s">
        <v>7192</v>
      </c>
      <c r="FD987" s="67" t="s">
        <v>7193</v>
      </c>
      <c r="FE987" s="68" t="s">
        <v>7194</v>
      </c>
      <c r="FF987" s="68" t="s">
        <v>7195</v>
      </c>
    </row>
    <row r="988" spans="151:162" x14ac:dyDescent="0.2">
      <c r="EU988" s="67">
        <v>581.23</v>
      </c>
      <c r="EV988" s="67" t="s">
        <v>7196</v>
      </c>
      <c r="EW988" s="67">
        <v>506.339</v>
      </c>
      <c r="EX988" s="67" t="s">
        <v>7197</v>
      </c>
      <c r="EY988" s="67">
        <v>5824.5</v>
      </c>
      <c r="EZ988" s="67" t="s">
        <v>7198</v>
      </c>
      <c r="FA988" s="67">
        <v>20791</v>
      </c>
      <c r="FB988" s="67" t="s">
        <v>7199</v>
      </c>
      <c r="FC988" s="67" t="s">
        <v>7200</v>
      </c>
      <c r="FD988" s="67" t="s">
        <v>7201</v>
      </c>
      <c r="FE988" s="68" t="s">
        <v>7202</v>
      </c>
      <c r="FF988" s="68" t="s">
        <v>7203</v>
      </c>
    </row>
    <row r="989" spans="151:162" x14ac:dyDescent="0.2">
      <c r="EU989" s="67">
        <v>581.22</v>
      </c>
      <c r="EV989" s="67" t="s">
        <v>7204</v>
      </c>
      <c r="EW989" s="67">
        <v>506.30500000000001</v>
      </c>
      <c r="EX989" s="67" t="s">
        <v>7205</v>
      </c>
      <c r="EY989" s="67">
        <v>5824.5</v>
      </c>
      <c r="EZ989" s="67" t="s">
        <v>7206</v>
      </c>
      <c r="FA989" s="67">
        <v>20790</v>
      </c>
      <c r="FB989" s="67" t="s">
        <v>7207</v>
      </c>
      <c r="FC989" s="67" t="s">
        <v>7208</v>
      </c>
      <c r="FD989" s="67" t="s">
        <v>7209</v>
      </c>
      <c r="FE989" s="68" t="s">
        <v>7210</v>
      </c>
      <c r="FF989" s="68" t="s">
        <v>7211</v>
      </c>
    </row>
    <row r="990" spans="151:162" x14ac:dyDescent="0.2">
      <c r="EU990" s="67">
        <v>581.25</v>
      </c>
      <c r="EV990" s="67" t="s">
        <v>7212</v>
      </c>
      <c r="EW990" s="67">
        <v>506.38099999999997</v>
      </c>
      <c r="EX990" s="67" t="s">
        <v>7213</v>
      </c>
      <c r="EY990" s="67">
        <v>5825</v>
      </c>
      <c r="EZ990" s="67" t="s">
        <v>7214</v>
      </c>
      <c r="FA990" s="67">
        <v>20792.75</v>
      </c>
      <c r="FB990" s="67" t="s">
        <v>7215</v>
      </c>
      <c r="FC990" s="67" t="s">
        <v>7216</v>
      </c>
      <c r="FD990" s="67" t="s">
        <v>7217</v>
      </c>
      <c r="FE990" s="68" t="s">
        <v>7218</v>
      </c>
      <c r="FF990" s="68" t="s">
        <v>7219</v>
      </c>
    </row>
    <row r="991" spans="151:162" x14ac:dyDescent="0.2">
      <c r="EU991" s="67">
        <v>581.4</v>
      </c>
      <c r="EV991" s="67" t="s">
        <v>7220</v>
      </c>
      <c r="EW991" s="67">
        <v>506.56</v>
      </c>
      <c r="EX991" s="67" t="s">
        <v>7221</v>
      </c>
      <c r="EY991" s="67">
        <v>5826.25</v>
      </c>
      <c r="EZ991" s="67" t="s">
        <v>7222</v>
      </c>
      <c r="FA991" s="67">
        <v>20801</v>
      </c>
      <c r="FB991" s="67" t="s">
        <v>7223</v>
      </c>
      <c r="FC991" s="67" t="s">
        <v>7224</v>
      </c>
      <c r="FD991" s="67" t="s">
        <v>7225</v>
      </c>
      <c r="FE991" s="68" t="s">
        <v>7226</v>
      </c>
      <c r="FF991" s="68" t="s">
        <v>7227</v>
      </c>
    </row>
    <row r="992" spans="151:162" x14ac:dyDescent="0.2">
      <c r="EU992" s="67">
        <v>581.49</v>
      </c>
      <c r="EV992" s="67" t="s">
        <v>7228</v>
      </c>
      <c r="EW992" s="67">
        <v>506.67</v>
      </c>
      <c r="EX992" s="67" t="s">
        <v>7229</v>
      </c>
      <c r="EY992" s="67">
        <v>5827.5</v>
      </c>
      <c r="EZ992" s="67" t="s">
        <v>7230</v>
      </c>
      <c r="FA992" s="67">
        <v>20805.25</v>
      </c>
      <c r="FB992" s="67" t="s">
        <v>7231</v>
      </c>
      <c r="FC992" s="67" t="s">
        <v>7232</v>
      </c>
      <c r="FD992" s="67" t="s">
        <v>7233</v>
      </c>
      <c r="FE992" s="68" t="s">
        <v>7234</v>
      </c>
      <c r="FF992" s="68" t="s">
        <v>7235</v>
      </c>
    </row>
    <row r="993" spans="151:162" x14ac:dyDescent="0.2">
      <c r="EU993" s="67">
        <v>581.47</v>
      </c>
      <c r="EV993" s="67" t="s">
        <v>7236</v>
      </c>
      <c r="EW993" s="67">
        <v>506.67</v>
      </c>
      <c r="EX993" s="67" t="s">
        <v>7237</v>
      </c>
      <c r="EY993" s="67">
        <v>5827.25</v>
      </c>
      <c r="EZ993" s="67" t="s">
        <v>7238</v>
      </c>
      <c r="FA993" s="67">
        <v>20804.5</v>
      </c>
      <c r="FB993" s="67" t="s">
        <v>7239</v>
      </c>
      <c r="FC993" s="67" t="s">
        <v>7240</v>
      </c>
      <c r="FD993" s="67" t="s">
        <v>7241</v>
      </c>
      <c r="FE993" s="68" t="s">
        <v>7242</v>
      </c>
      <c r="FF993" s="68" t="s">
        <v>7243</v>
      </c>
    </row>
    <row r="994" spans="151:162" x14ac:dyDescent="0.2">
      <c r="EU994" s="67">
        <v>581.66999999999996</v>
      </c>
      <c r="EV994" s="67" t="s">
        <v>7244</v>
      </c>
      <c r="EW994" s="67">
        <v>506.8</v>
      </c>
      <c r="EX994" s="67" t="s">
        <v>7245</v>
      </c>
      <c r="EY994" s="67">
        <v>5829</v>
      </c>
      <c r="EZ994" s="67" t="s">
        <v>7246</v>
      </c>
      <c r="FA994" s="67">
        <v>20811</v>
      </c>
      <c r="FB994" s="67" t="s">
        <v>7247</v>
      </c>
      <c r="FC994" s="67" t="s">
        <v>7248</v>
      </c>
      <c r="FD994" s="67" t="s">
        <v>7249</v>
      </c>
      <c r="FE994" s="68" t="s">
        <v>7250</v>
      </c>
      <c r="FF994" s="68" t="s">
        <v>7251</v>
      </c>
    </row>
    <row r="995" spans="151:162" x14ac:dyDescent="0.2">
      <c r="EU995" s="67">
        <v>581.79999999999995</v>
      </c>
      <c r="EV995" s="67" t="s">
        <v>7252</v>
      </c>
      <c r="EW995" s="67">
        <v>506.95</v>
      </c>
      <c r="EX995" s="67" t="s">
        <v>7253</v>
      </c>
      <c r="EY995" s="67">
        <v>5830.5</v>
      </c>
      <c r="EZ995" s="67" t="s">
        <v>7254</v>
      </c>
      <c r="FA995" s="67">
        <v>20816.75</v>
      </c>
      <c r="FB995" s="67" t="s">
        <v>7255</v>
      </c>
      <c r="FC995" s="67" t="s">
        <v>7256</v>
      </c>
      <c r="FD995" s="67" t="s">
        <v>7257</v>
      </c>
      <c r="FE995" s="68" t="s">
        <v>7258</v>
      </c>
      <c r="FF995" s="68" t="s">
        <v>7259</v>
      </c>
    </row>
    <row r="996" spans="151:162" x14ac:dyDescent="0.2">
      <c r="EU996" s="67">
        <v>581.52499999999998</v>
      </c>
      <c r="EV996" s="67" t="s">
        <v>7260</v>
      </c>
      <c r="EW996" s="67">
        <v>506.685</v>
      </c>
      <c r="EX996" s="67" t="s">
        <v>7261</v>
      </c>
      <c r="EY996" s="67">
        <v>5827.75</v>
      </c>
      <c r="EZ996" s="67" t="s">
        <v>7262</v>
      </c>
      <c r="FA996" s="67">
        <v>20806.25</v>
      </c>
      <c r="FB996" s="67" t="s">
        <v>7263</v>
      </c>
      <c r="FC996" s="67" t="s">
        <v>7264</v>
      </c>
      <c r="FD996" s="67" t="s">
        <v>7265</v>
      </c>
      <c r="FE996" s="68" t="s">
        <v>7266</v>
      </c>
      <c r="FF996" s="68" t="s">
        <v>7267</v>
      </c>
    </row>
    <row r="997" spans="151:162" x14ac:dyDescent="0.2">
      <c r="EU997" s="67">
        <v>581.51900000000001</v>
      </c>
      <c r="EV997" s="67" t="s">
        <v>7268</v>
      </c>
      <c r="EW997" s="67">
        <v>506.65</v>
      </c>
      <c r="EX997" s="67" t="s">
        <v>7269</v>
      </c>
      <c r="EY997" s="67">
        <v>5827.5</v>
      </c>
      <c r="EZ997" s="67" t="s">
        <v>7270</v>
      </c>
      <c r="FA997" s="67">
        <v>20804.75</v>
      </c>
      <c r="FB997" s="67" t="s">
        <v>7271</v>
      </c>
      <c r="FC997" s="67" t="s">
        <v>7272</v>
      </c>
      <c r="FD997" s="67" t="s">
        <v>7273</v>
      </c>
      <c r="FE997" s="68" t="s">
        <v>7274</v>
      </c>
      <c r="FF997" s="68" t="s">
        <v>7275</v>
      </c>
    </row>
    <row r="998" spans="151:162" x14ac:dyDescent="0.2">
      <c r="EU998" s="67">
        <v>581.35</v>
      </c>
      <c r="EV998" s="67" t="s">
        <v>7276</v>
      </c>
      <c r="EW998" s="67">
        <v>506.57900000000001</v>
      </c>
      <c r="EX998" s="67" t="s">
        <v>7277</v>
      </c>
      <c r="EY998" s="67">
        <v>5826</v>
      </c>
      <c r="EZ998" s="67" t="s">
        <v>7278</v>
      </c>
      <c r="FA998" s="67">
        <v>20800.5</v>
      </c>
      <c r="FB998" s="67" t="s">
        <v>7279</v>
      </c>
      <c r="FC998" s="67" t="s">
        <v>7280</v>
      </c>
      <c r="FD998" s="67" t="s">
        <v>7281</v>
      </c>
      <c r="FE998" s="68" t="s">
        <v>7282</v>
      </c>
      <c r="FF998" s="68" t="s">
        <v>7283</v>
      </c>
    </row>
    <row r="999" spans="151:162" x14ac:dyDescent="0.2">
      <c r="EU999" s="67">
        <v>581.25</v>
      </c>
      <c r="EV999" s="67" t="s">
        <v>7284</v>
      </c>
      <c r="EW999" s="67">
        <v>506.44</v>
      </c>
      <c r="EX999" s="67" t="s">
        <v>7285</v>
      </c>
      <c r="EY999" s="67">
        <v>5824.75</v>
      </c>
      <c r="EZ999" s="67" t="s">
        <v>7286</v>
      </c>
      <c r="FA999" s="67">
        <v>20794.75</v>
      </c>
      <c r="FB999" s="67" t="s">
        <v>7287</v>
      </c>
      <c r="FC999" s="67" t="s">
        <v>7288</v>
      </c>
      <c r="FD999" s="67" t="s">
        <v>7289</v>
      </c>
      <c r="FE999" s="68" t="s">
        <v>7290</v>
      </c>
      <c r="FF999" s="68" t="s">
        <v>7291</v>
      </c>
    </row>
    <row r="1000" spans="151:162" x14ac:dyDescent="0.2">
      <c r="EU1000" s="67">
        <v>581.45000000000005</v>
      </c>
      <c r="EV1000" s="67" t="s">
        <v>7292</v>
      </c>
      <c r="EW1000" s="67">
        <v>506.61</v>
      </c>
      <c r="EX1000" s="67" t="s">
        <v>7293</v>
      </c>
      <c r="EY1000" s="67">
        <v>5826.75</v>
      </c>
      <c r="EZ1000" s="67" t="s">
        <v>7294</v>
      </c>
      <c r="FA1000" s="67">
        <v>20805.25</v>
      </c>
      <c r="FB1000" s="67" t="s">
        <v>7295</v>
      </c>
      <c r="FC1000" s="67" t="s">
        <v>7296</v>
      </c>
      <c r="FD1000" s="67" t="s">
        <v>7297</v>
      </c>
      <c r="FE1000" s="68" t="s">
        <v>7298</v>
      </c>
      <c r="FF1000" s="68" t="s">
        <v>7299</v>
      </c>
    </row>
    <row r="1001" spans="151:162" x14ac:dyDescent="0.2">
      <c r="EU1001" s="67">
        <v>581.57000000000005</v>
      </c>
      <c r="EV1001" s="67" t="s">
        <v>7300</v>
      </c>
      <c r="EW1001" s="67">
        <v>506.70299999999997</v>
      </c>
      <c r="EX1001" s="67" t="s">
        <v>7301</v>
      </c>
      <c r="EY1001" s="67">
        <v>5828</v>
      </c>
      <c r="EZ1001" s="67" t="s">
        <v>7302</v>
      </c>
      <c r="FA1001" s="67">
        <v>20808.25</v>
      </c>
      <c r="FB1001" s="67" t="s">
        <v>7303</v>
      </c>
      <c r="FC1001" s="67" t="s">
        <v>7304</v>
      </c>
      <c r="FD1001" s="67" t="s">
        <v>7305</v>
      </c>
      <c r="FE1001" s="68" t="s">
        <v>7306</v>
      </c>
      <c r="FF1001" s="68" t="s">
        <v>7307</v>
      </c>
    </row>
    <row r="1002" spans="151:162" x14ac:dyDescent="0.2">
      <c r="EU1002" s="67">
        <v>581.54</v>
      </c>
      <c r="EV1002" s="67" t="s">
        <v>7308</v>
      </c>
      <c r="EW1002" s="67">
        <v>506.69</v>
      </c>
      <c r="EX1002" s="67" t="s">
        <v>7309</v>
      </c>
      <c r="EY1002" s="67">
        <v>5827.75</v>
      </c>
      <c r="EZ1002" s="67" t="s">
        <v>7310</v>
      </c>
      <c r="FA1002" s="67">
        <v>20805.25</v>
      </c>
      <c r="FB1002" s="67" t="s">
        <v>7311</v>
      </c>
      <c r="FC1002" s="67" t="s">
        <v>7312</v>
      </c>
      <c r="FD1002" s="67" t="s">
        <v>7313</v>
      </c>
      <c r="FE1002" s="68" t="s">
        <v>7314</v>
      </c>
      <c r="FF1002" s="68" t="s">
        <v>7315</v>
      </c>
    </row>
    <row r="1003" spans="151:162" x14ac:dyDescent="0.2">
      <c r="EU1003" s="67">
        <v>581.54999999999995</v>
      </c>
      <c r="EV1003" s="67" t="s">
        <v>7316</v>
      </c>
      <c r="EW1003" s="67">
        <v>506.69</v>
      </c>
      <c r="EX1003" s="67" t="s">
        <v>7317</v>
      </c>
      <c r="EY1003" s="67">
        <v>5828</v>
      </c>
      <c r="EZ1003" s="67" t="s">
        <v>7318</v>
      </c>
      <c r="FA1003" s="67">
        <v>20803.25</v>
      </c>
      <c r="FB1003" s="67" t="s">
        <v>7319</v>
      </c>
      <c r="FC1003" s="67" t="s">
        <v>7320</v>
      </c>
      <c r="FD1003" s="67" t="s">
        <v>7321</v>
      </c>
      <c r="FE1003" s="68" t="s">
        <v>7322</v>
      </c>
      <c r="FF1003" s="68" t="s">
        <v>7323</v>
      </c>
    </row>
    <row r="1004" spans="151:162" x14ac:dyDescent="0.2">
      <c r="EU1004" s="67">
        <v>581.6</v>
      </c>
      <c r="EV1004" s="67" t="s">
        <v>7324</v>
      </c>
      <c r="EW1004" s="67">
        <v>506.71</v>
      </c>
      <c r="EX1004" s="67" t="s">
        <v>7325</v>
      </c>
      <c r="EY1004" s="67">
        <v>5828.25</v>
      </c>
      <c r="EZ1004" s="67" t="s">
        <v>7326</v>
      </c>
      <c r="FA1004" s="67">
        <v>20806.75</v>
      </c>
      <c r="FB1004" s="67" t="s">
        <v>7327</v>
      </c>
      <c r="FC1004" s="67" t="s">
        <v>7328</v>
      </c>
      <c r="FD1004" s="67" t="s">
        <v>7329</v>
      </c>
      <c r="FE1004" s="68" t="s">
        <v>7330</v>
      </c>
      <c r="FF1004" s="68" t="s">
        <v>7331</v>
      </c>
    </row>
    <row r="1005" spans="151:162" x14ac:dyDescent="0.2">
      <c r="EU1005" s="67">
        <v>581.59</v>
      </c>
      <c r="EV1005" s="67" t="s">
        <v>7332</v>
      </c>
      <c r="EW1005" s="67">
        <v>506.75</v>
      </c>
      <c r="EX1005" s="67" t="s">
        <v>7333</v>
      </c>
      <c r="EY1005" s="67">
        <v>5828.25</v>
      </c>
      <c r="EZ1005" s="67" t="s">
        <v>7334</v>
      </c>
      <c r="FA1005" s="67">
        <v>20807.75</v>
      </c>
      <c r="FB1005" s="67" t="s">
        <v>7335</v>
      </c>
      <c r="FC1005" s="67" t="s">
        <v>7336</v>
      </c>
      <c r="FD1005" s="67" t="s">
        <v>7337</v>
      </c>
      <c r="FE1005" s="68" t="s">
        <v>7338</v>
      </c>
      <c r="FF1005" s="68" t="s">
        <v>7339</v>
      </c>
    </row>
    <row r="1006" spans="151:162" x14ac:dyDescent="0.2">
      <c r="EU1006" s="67">
        <v>581.58000000000004</v>
      </c>
      <c r="EV1006" s="67" t="s">
        <v>7340</v>
      </c>
      <c r="EW1006" s="67">
        <v>506.745</v>
      </c>
      <c r="EX1006" s="67" t="s">
        <v>7341</v>
      </c>
      <c r="EY1006" s="67">
        <v>5828</v>
      </c>
      <c r="EZ1006" s="67" t="s">
        <v>7342</v>
      </c>
      <c r="FA1006" s="67">
        <v>20807.75</v>
      </c>
      <c r="FB1006" s="67" t="s">
        <v>7343</v>
      </c>
      <c r="FC1006" s="67" t="s">
        <v>7344</v>
      </c>
      <c r="FD1006" s="67" t="s">
        <v>7345</v>
      </c>
      <c r="FE1006" s="68" t="s">
        <v>7346</v>
      </c>
      <c r="FF1006" s="68" t="s">
        <v>7347</v>
      </c>
    </row>
    <row r="1007" spans="151:162" x14ac:dyDescent="0.2">
      <c r="EU1007" s="67">
        <v>581.51</v>
      </c>
      <c r="EV1007" s="67" t="s">
        <v>7348</v>
      </c>
      <c r="EW1007" s="67">
        <v>506.65</v>
      </c>
      <c r="EX1007" s="67" t="s">
        <v>7349</v>
      </c>
      <c r="EY1007" s="67">
        <v>5827.75</v>
      </c>
      <c r="EZ1007" s="67" t="s">
        <v>7350</v>
      </c>
      <c r="FA1007" s="67">
        <v>20805</v>
      </c>
      <c r="FB1007" s="67" t="s">
        <v>7351</v>
      </c>
      <c r="FC1007" s="67" t="s">
        <v>7352</v>
      </c>
      <c r="FD1007" s="67" t="s">
        <v>7353</v>
      </c>
      <c r="FE1007" s="68" t="s">
        <v>7354</v>
      </c>
      <c r="FF1007" s="68" t="s">
        <v>7355</v>
      </c>
    </row>
    <row r="1008" spans="151:162" x14ac:dyDescent="0.2">
      <c r="EU1008" s="67">
        <v>581.70500000000004</v>
      </c>
      <c r="EV1008" s="67" t="s">
        <v>7356</v>
      </c>
      <c r="EW1008" s="67">
        <v>506.85700000000003</v>
      </c>
      <c r="EX1008" s="67" t="s">
        <v>7357</v>
      </c>
      <c r="EY1008" s="67">
        <v>5829.5</v>
      </c>
      <c r="EZ1008" s="67" t="s">
        <v>7358</v>
      </c>
      <c r="FA1008" s="67">
        <v>20813</v>
      </c>
      <c r="FB1008" s="67" t="s">
        <v>7359</v>
      </c>
      <c r="FC1008" s="67" t="s">
        <v>7360</v>
      </c>
      <c r="FD1008" s="67" t="s">
        <v>7361</v>
      </c>
      <c r="FE1008" s="68" t="s">
        <v>7362</v>
      </c>
      <c r="FF1008" s="68" t="s">
        <v>7363</v>
      </c>
    </row>
    <row r="1009" spans="151:162" x14ac:dyDescent="0.2">
      <c r="EU1009" s="67">
        <v>581.73500000000001</v>
      </c>
      <c r="EV1009" s="67" t="s">
        <v>7364</v>
      </c>
      <c r="EW1009" s="67">
        <v>506.88</v>
      </c>
      <c r="EX1009" s="67" t="s">
        <v>7365</v>
      </c>
      <c r="EY1009" s="67">
        <v>5829.75</v>
      </c>
      <c r="EZ1009" s="67" t="s">
        <v>7366</v>
      </c>
      <c r="FA1009" s="67">
        <v>20813.25</v>
      </c>
      <c r="FB1009" s="67" t="s">
        <v>7367</v>
      </c>
      <c r="FC1009" s="67" t="s">
        <v>7368</v>
      </c>
      <c r="FD1009" s="67" t="s">
        <v>7369</v>
      </c>
      <c r="FE1009" s="68" t="s">
        <v>7370</v>
      </c>
      <c r="FF1009" s="68" t="s">
        <v>7371</v>
      </c>
    </row>
    <row r="1010" spans="151:162" x14ac:dyDescent="0.2">
      <c r="EU1010" s="67">
        <v>581.79999999999995</v>
      </c>
      <c r="EV1010" s="67" t="s">
        <v>7372</v>
      </c>
      <c r="EW1010" s="67">
        <v>506.94</v>
      </c>
      <c r="EX1010" s="67" t="s">
        <v>7373</v>
      </c>
      <c r="EY1010" s="67">
        <v>5830</v>
      </c>
      <c r="EZ1010" s="67" t="s">
        <v>7374</v>
      </c>
      <c r="FA1010" s="67">
        <v>20815.5</v>
      </c>
      <c r="FB1010" s="67" t="s">
        <v>7375</v>
      </c>
      <c r="FC1010" s="67" t="s">
        <v>7376</v>
      </c>
      <c r="FD1010" s="67" t="s">
        <v>7377</v>
      </c>
      <c r="FE1010" s="68" t="s">
        <v>7378</v>
      </c>
      <c r="FF1010" s="68" t="s">
        <v>7379</v>
      </c>
    </row>
    <row r="1011" spans="151:162" x14ac:dyDescent="0.2">
      <c r="EU1011" s="67">
        <v>581.79999999999995</v>
      </c>
      <c r="EV1011" s="67" t="s">
        <v>7380</v>
      </c>
      <c r="EW1011" s="67">
        <v>506.97</v>
      </c>
      <c r="EX1011" s="67" t="s">
        <v>7381</v>
      </c>
      <c r="EY1011" s="67">
        <v>5830.25</v>
      </c>
      <c r="EZ1011" s="67" t="s">
        <v>7382</v>
      </c>
      <c r="FA1011" s="67">
        <v>20817.25</v>
      </c>
      <c r="FB1011" s="67" t="s">
        <v>7383</v>
      </c>
      <c r="FC1011" s="67" t="s">
        <v>7384</v>
      </c>
      <c r="FD1011" s="67" t="s">
        <v>7385</v>
      </c>
      <c r="FE1011" s="68" t="s">
        <v>7386</v>
      </c>
      <c r="FF1011" s="68" t="s">
        <v>7387</v>
      </c>
    </row>
    <row r="1012" spans="151:162" x14ac:dyDescent="0.2">
      <c r="EU1012" s="67">
        <v>581.63</v>
      </c>
      <c r="EV1012" s="67" t="s">
        <v>7388</v>
      </c>
      <c r="EW1012" s="67">
        <v>506.85</v>
      </c>
      <c r="EX1012" s="67" t="s">
        <v>7389</v>
      </c>
      <c r="EY1012" s="67">
        <v>5828.5</v>
      </c>
      <c r="EZ1012" s="67" t="s">
        <v>7390</v>
      </c>
      <c r="FA1012" s="67">
        <v>20812.25</v>
      </c>
      <c r="FB1012" s="67" t="s">
        <v>7391</v>
      </c>
      <c r="FC1012" s="67" t="s">
        <v>7392</v>
      </c>
      <c r="FD1012" s="67" t="s">
        <v>7393</v>
      </c>
      <c r="FE1012" s="68" t="s">
        <v>7394</v>
      </c>
      <c r="FF1012" s="68" t="s">
        <v>7395</v>
      </c>
    </row>
    <row r="1013" spans="151:162" x14ac:dyDescent="0.2">
      <c r="EU1013" s="67">
        <v>581.77</v>
      </c>
      <c r="EV1013" s="67" t="s">
        <v>7396</v>
      </c>
      <c r="EW1013" s="67">
        <v>506.94</v>
      </c>
      <c r="EX1013" s="67" t="s">
        <v>7397</v>
      </c>
      <c r="EY1013" s="67">
        <v>5830</v>
      </c>
      <c r="EZ1013" s="67" t="s">
        <v>7398</v>
      </c>
      <c r="FA1013" s="67">
        <v>20816.5</v>
      </c>
      <c r="FB1013" s="67" t="s">
        <v>7399</v>
      </c>
      <c r="FC1013" s="67" t="s">
        <v>7400</v>
      </c>
      <c r="FD1013" s="67" t="s">
        <v>7401</v>
      </c>
      <c r="FE1013" s="68" t="s">
        <v>7402</v>
      </c>
      <c r="FF1013" s="68" t="s">
        <v>7403</v>
      </c>
    </row>
    <row r="1014" spans="151:162" x14ac:dyDescent="0.2">
      <c r="EU1014" s="67">
        <v>581.83000000000004</v>
      </c>
      <c r="EV1014" s="67" t="s">
        <v>7404</v>
      </c>
      <c r="EW1014" s="67">
        <v>507.02</v>
      </c>
      <c r="EX1014" s="67" t="s">
        <v>7405</v>
      </c>
      <c r="EY1014" s="67">
        <v>5830.75</v>
      </c>
      <c r="EZ1014" s="67" t="s">
        <v>7406</v>
      </c>
      <c r="FA1014" s="67">
        <v>20819</v>
      </c>
      <c r="FB1014" s="67" t="s">
        <v>7407</v>
      </c>
      <c r="FC1014" s="67" t="s">
        <v>7408</v>
      </c>
      <c r="FD1014" s="67" t="s">
        <v>7409</v>
      </c>
      <c r="FE1014" s="68" t="s">
        <v>7410</v>
      </c>
      <c r="FF1014" s="68" t="s">
        <v>7411</v>
      </c>
    </row>
    <row r="1015" spans="151:162" x14ac:dyDescent="0.2">
      <c r="EU1015" s="67">
        <v>581.75</v>
      </c>
      <c r="EV1015" s="67" t="s">
        <v>7412</v>
      </c>
      <c r="EW1015" s="67">
        <v>507.01</v>
      </c>
      <c r="EX1015" s="67" t="s">
        <v>7413</v>
      </c>
      <c r="EY1015" s="67">
        <v>5829.75</v>
      </c>
      <c r="EZ1015" s="67" t="s">
        <v>7414</v>
      </c>
      <c r="FA1015" s="67">
        <v>20818.75</v>
      </c>
      <c r="FB1015" s="67" t="s">
        <v>7415</v>
      </c>
      <c r="FC1015" s="67" t="s">
        <v>7416</v>
      </c>
      <c r="FD1015" s="67" t="s">
        <v>7417</v>
      </c>
      <c r="FE1015" s="68" t="s">
        <v>7418</v>
      </c>
      <c r="FF1015" s="68" t="s">
        <v>7419</v>
      </c>
    </row>
    <row r="1016" spans="151:162" x14ac:dyDescent="0.2">
      <c r="EU1016" s="67">
        <v>581.89800000000002</v>
      </c>
      <c r="EV1016" s="67" t="s">
        <v>7420</v>
      </c>
      <c r="EW1016" s="67">
        <v>507.07100000000003</v>
      </c>
      <c r="EX1016" s="67" t="s">
        <v>7421</v>
      </c>
      <c r="EY1016" s="67">
        <v>5831.25</v>
      </c>
      <c r="EZ1016" s="67" t="s">
        <v>7422</v>
      </c>
      <c r="FA1016" s="67">
        <v>20822</v>
      </c>
      <c r="FB1016" s="67" t="s">
        <v>7423</v>
      </c>
      <c r="FC1016" s="67" t="s">
        <v>7424</v>
      </c>
      <c r="FD1016" s="67" t="s">
        <v>7425</v>
      </c>
      <c r="FE1016" s="68" t="s">
        <v>7426</v>
      </c>
      <c r="FF1016" s="68" t="s">
        <v>7427</v>
      </c>
    </row>
    <row r="1017" spans="151:162" x14ac:dyDescent="0.2">
      <c r="EU1017" s="67">
        <v>581.97</v>
      </c>
      <c r="EV1017" s="67" t="s">
        <v>7428</v>
      </c>
      <c r="EW1017" s="67">
        <v>507.2</v>
      </c>
      <c r="EX1017" s="67" t="s">
        <v>7429</v>
      </c>
      <c r="EY1017" s="67">
        <v>5831.75</v>
      </c>
      <c r="EZ1017" s="67" t="s">
        <v>7430</v>
      </c>
      <c r="FA1017" s="67">
        <v>20827.25</v>
      </c>
      <c r="FB1017" s="67" t="s">
        <v>7431</v>
      </c>
      <c r="FC1017" s="67" t="s">
        <v>7432</v>
      </c>
      <c r="FD1017" s="67" t="s">
        <v>7433</v>
      </c>
      <c r="FE1017" s="68" t="s">
        <v>7434</v>
      </c>
      <c r="FF1017" s="68" t="s">
        <v>7435</v>
      </c>
    </row>
    <row r="1018" spans="151:162" x14ac:dyDescent="0.2">
      <c r="EU1018" s="67">
        <v>581.95899999999995</v>
      </c>
      <c r="EV1018" s="67" t="s">
        <v>7436</v>
      </c>
      <c r="EW1018" s="67">
        <v>507.18900000000002</v>
      </c>
      <c r="EX1018" s="67" t="s">
        <v>7437</v>
      </c>
      <c r="EY1018" s="67">
        <v>5831.75</v>
      </c>
      <c r="EZ1018" s="67" t="s">
        <v>7438</v>
      </c>
      <c r="FA1018" s="67">
        <v>20825.75</v>
      </c>
      <c r="FB1018" s="67" t="s">
        <v>7439</v>
      </c>
      <c r="FC1018" s="67" t="s">
        <v>7440</v>
      </c>
      <c r="FD1018" s="67" t="s">
        <v>7441</v>
      </c>
      <c r="FE1018" s="68" t="s">
        <v>7442</v>
      </c>
      <c r="FF1018" s="68" t="s">
        <v>7443</v>
      </c>
    </row>
    <row r="1019" spans="151:162" x14ac:dyDescent="0.2">
      <c r="EU1019" s="67">
        <v>581.86</v>
      </c>
      <c r="EV1019" s="67" t="s">
        <v>7444</v>
      </c>
      <c r="EW1019" s="67">
        <v>507.08</v>
      </c>
      <c r="EX1019" s="67" t="s">
        <v>7445</v>
      </c>
      <c r="EY1019" s="67">
        <v>5831</v>
      </c>
      <c r="EZ1019" s="67" t="s">
        <v>7446</v>
      </c>
      <c r="FA1019" s="67">
        <v>20822.25</v>
      </c>
      <c r="FB1019" s="67" t="s">
        <v>7447</v>
      </c>
      <c r="FC1019" s="67" t="s">
        <v>7448</v>
      </c>
      <c r="FD1019" s="67" t="s">
        <v>7449</v>
      </c>
      <c r="FE1019" s="68" t="s">
        <v>7450</v>
      </c>
      <c r="FF1019" s="68" t="s">
        <v>7451</v>
      </c>
    </row>
    <row r="1020" spans="151:162" x14ac:dyDescent="0.2">
      <c r="EU1020" s="67">
        <v>581.68499999999995</v>
      </c>
      <c r="EV1020" s="67" t="s">
        <v>7452</v>
      </c>
      <c r="EW1020" s="67">
        <v>506.92</v>
      </c>
      <c r="EX1020" s="67" t="s">
        <v>7453</v>
      </c>
      <c r="EY1020" s="67">
        <v>5829</v>
      </c>
      <c r="EZ1020" s="67" t="s">
        <v>7454</v>
      </c>
      <c r="FA1020" s="67">
        <v>20815.25</v>
      </c>
      <c r="FB1020" s="67" t="s">
        <v>7455</v>
      </c>
      <c r="FC1020" s="67" t="s">
        <v>7456</v>
      </c>
      <c r="FD1020" s="67" t="s">
        <v>7457</v>
      </c>
      <c r="FE1020" s="68" t="s">
        <v>7458</v>
      </c>
      <c r="FF1020" s="68" t="s">
        <v>7459</v>
      </c>
    </row>
    <row r="1021" spans="151:162" x14ac:dyDescent="0.2">
      <c r="EU1021" s="67">
        <v>581.6</v>
      </c>
      <c r="EV1021" s="67" t="s">
        <v>7460</v>
      </c>
      <c r="EW1021" s="67">
        <v>506.88</v>
      </c>
      <c r="EX1021" s="67" t="s">
        <v>7461</v>
      </c>
      <c r="EY1021" s="67">
        <v>5828.25</v>
      </c>
      <c r="EZ1021" s="67" t="s">
        <v>7462</v>
      </c>
      <c r="FA1021" s="67">
        <v>20813.75</v>
      </c>
      <c r="FB1021" s="67" t="s">
        <v>7463</v>
      </c>
      <c r="FC1021" s="67" t="s">
        <v>7464</v>
      </c>
      <c r="FD1021" s="67" t="s">
        <v>7465</v>
      </c>
      <c r="FE1021" s="68" t="s">
        <v>7466</v>
      </c>
      <c r="FF1021" s="68" t="s">
        <v>7467</v>
      </c>
    </row>
    <row r="1022" spans="151:162" x14ac:dyDescent="0.2">
      <c r="EU1022" s="67">
        <v>581.54999999999995</v>
      </c>
      <c r="EV1022" s="67" t="s">
        <v>7468</v>
      </c>
      <c r="EW1022" s="67">
        <v>506.8</v>
      </c>
      <c r="EX1022" s="67" t="s">
        <v>7469</v>
      </c>
      <c r="EY1022" s="67">
        <v>5827.75</v>
      </c>
      <c r="EZ1022" s="67" t="s">
        <v>7470</v>
      </c>
      <c r="FA1022" s="67">
        <v>20810.25</v>
      </c>
      <c r="FB1022" s="67" t="s">
        <v>7471</v>
      </c>
      <c r="FC1022" s="67" t="s">
        <v>7472</v>
      </c>
      <c r="FD1022" s="67" t="s">
        <v>7473</v>
      </c>
      <c r="FE1022" s="68" t="s">
        <v>7474</v>
      </c>
      <c r="FF1022" s="68" t="s">
        <v>7475</v>
      </c>
    </row>
    <row r="1023" spans="151:162" x14ac:dyDescent="0.2">
      <c r="EU1023" s="67">
        <v>581.70000000000005</v>
      </c>
      <c r="EV1023" s="67" t="s">
        <v>7476</v>
      </c>
      <c r="EW1023" s="67">
        <v>506.96</v>
      </c>
      <c r="EX1023" s="67" t="s">
        <v>7477</v>
      </c>
      <c r="EY1023" s="67">
        <v>5829.5</v>
      </c>
      <c r="EZ1023" s="67" t="s">
        <v>7478</v>
      </c>
      <c r="FA1023" s="67">
        <v>20817</v>
      </c>
      <c r="FB1023" s="67" t="s">
        <v>7479</v>
      </c>
      <c r="FC1023" s="67" t="s">
        <v>7480</v>
      </c>
      <c r="FD1023" s="67" t="s">
        <v>7481</v>
      </c>
      <c r="FE1023" s="68" t="s">
        <v>7482</v>
      </c>
      <c r="FF1023" s="68" t="s">
        <v>7483</v>
      </c>
    </row>
    <row r="1024" spans="151:162" x14ac:dyDescent="0.2">
      <c r="EU1024" s="67">
        <v>581.77</v>
      </c>
      <c r="EV1024" s="67" t="s">
        <v>7484</v>
      </c>
      <c r="EW1024" s="67">
        <v>506.98</v>
      </c>
      <c r="EX1024" s="67" t="s">
        <v>7485</v>
      </c>
      <c r="EY1024" s="67">
        <v>5830</v>
      </c>
      <c r="EZ1024" s="67" t="s">
        <v>7486</v>
      </c>
      <c r="FA1024" s="67">
        <v>20817.75</v>
      </c>
      <c r="FB1024" s="67" t="s">
        <v>7487</v>
      </c>
      <c r="FC1024" s="67" t="s">
        <v>7488</v>
      </c>
      <c r="FD1024" s="67" t="s">
        <v>7489</v>
      </c>
      <c r="FE1024" s="68" t="s">
        <v>7490</v>
      </c>
      <c r="FF1024" s="68" t="s">
        <v>7491</v>
      </c>
    </row>
    <row r="1025" spans="151:162" x14ac:dyDescent="0.2">
      <c r="EU1025" s="67">
        <v>581.89</v>
      </c>
      <c r="EV1025" s="67" t="s">
        <v>7492</v>
      </c>
      <c r="EW1025" s="67">
        <v>507.06</v>
      </c>
      <c r="EX1025" s="67" t="s">
        <v>7493</v>
      </c>
      <c r="EY1025" s="67">
        <v>5831.25</v>
      </c>
      <c r="EZ1025" s="67" t="s">
        <v>7494</v>
      </c>
      <c r="FA1025" s="67">
        <v>20821.5</v>
      </c>
      <c r="FB1025" s="67" t="s">
        <v>7495</v>
      </c>
      <c r="FC1025" s="67" t="s">
        <v>7496</v>
      </c>
      <c r="FD1025" s="67" t="s">
        <v>7497</v>
      </c>
      <c r="FE1025" s="68" t="s">
        <v>7498</v>
      </c>
      <c r="FF1025" s="68" t="s">
        <v>7499</v>
      </c>
    </row>
    <row r="1026" spans="151:162" x14ac:dyDescent="0.2">
      <c r="EU1026" s="67">
        <v>581.97</v>
      </c>
      <c r="EV1026" s="67" t="s">
        <v>7500</v>
      </c>
      <c r="EW1026" s="67">
        <v>507.08</v>
      </c>
      <c r="EX1026" s="67" t="s">
        <v>7501</v>
      </c>
      <c r="EY1026" s="67">
        <v>5832</v>
      </c>
      <c r="EZ1026" s="67" t="s">
        <v>7502</v>
      </c>
      <c r="FA1026" s="67">
        <v>20822.25</v>
      </c>
      <c r="FB1026" s="67" t="s">
        <v>7503</v>
      </c>
      <c r="FC1026" s="67" t="s">
        <v>7504</v>
      </c>
      <c r="FD1026" s="67" t="s">
        <v>7505</v>
      </c>
      <c r="FE1026" s="68" t="s">
        <v>7506</v>
      </c>
      <c r="FF1026" s="68" t="s">
        <v>7507</v>
      </c>
    </row>
    <row r="1027" spans="151:162" x14ac:dyDescent="0.2">
      <c r="EU1027" s="67">
        <v>582.02</v>
      </c>
      <c r="EV1027" s="67" t="s">
        <v>7508</v>
      </c>
      <c r="EW1027" s="67">
        <v>507.11</v>
      </c>
      <c r="EX1027" s="67" t="s">
        <v>7509</v>
      </c>
      <c r="EY1027" s="67">
        <v>5832.5</v>
      </c>
      <c r="EZ1027" s="67" t="s">
        <v>7510</v>
      </c>
      <c r="FA1027" s="67">
        <v>20823</v>
      </c>
      <c r="FB1027" s="67" t="s">
        <v>7511</v>
      </c>
      <c r="FC1027" s="67" t="s">
        <v>7512</v>
      </c>
      <c r="FD1027" s="67" t="s">
        <v>7513</v>
      </c>
      <c r="FE1027" s="68" t="s">
        <v>7514</v>
      </c>
      <c r="FF1027" s="68" t="s">
        <v>7515</v>
      </c>
    </row>
    <row r="1028" spans="151:162" x14ac:dyDescent="0.2">
      <c r="EU1028" s="67">
        <v>581.94000000000005</v>
      </c>
      <c r="EV1028" s="67" t="s">
        <v>7516</v>
      </c>
      <c r="EW1028" s="67">
        <v>506.99</v>
      </c>
      <c r="EX1028" s="67" t="s">
        <v>7517</v>
      </c>
      <c r="EY1028" s="67">
        <v>5831.5</v>
      </c>
      <c r="EZ1028" s="67" t="s">
        <v>7518</v>
      </c>
      <c r="FA1028" s="67">
        <v>20818</v>
      </c>
      <c r="FB1028" s="67" t="s">
        <v>7519</v>
      </c>
      <c r="FC1028" s="67" t="s">
        <v>7520</v>
      </c>
      <c r="FD1028" s="67" t="s">
        <v>7521</v>
      </c>
      <c r="FE1028" s="68" t="s">
        <v>7522</v>
      </c>
      <c r="FF1028" s="68" t="s">
        <v>7523</v>
      </c>
    </row>
    <row r="1029" spans="151:162" x14ac:dyDescent="0.2">
      <c r="EU1029" s="67">
        <v>581.89</v>
      </c>
      <c r="EV1029" s="67" t="s">
        <v>7524</v>
      </c>
      <c r="EW1029" s="67">
        <v>506.94</v>
      </c>
      <c r="EX1029" s="67" t="s">
        <v>7525</v>
      </c>
      <c r="EY1029" s="67">
        <v>5831.25</v>
      </c>
      <c r="EZ1029" s="67" t="s">
        <v>7526</v>
      </c>
      <c r="FA1029" s="67">
        <v>20815.75</v>
      </c>
      <c r="FB1029" s="67" t="s">
        <v>7527</v>
      </c>
      <c r="FC1029" s="67" t="s">
        <v>7528</v>
      </c>
      <c r="FD1029" s="67" t="s">
        <v>7529</v>
      </c>
      <c r="FE1029" s="68" t="s">
        <v>7530</v>
      </c>
      <c r="FF1029" s="68" t="s">
        <v>7531</v>
      </c>
    </row>
    <row r="1030" spans="151:162" x14ac:dyDescent="0.2">
      <c r="EU1030" s="67">
        <v>581.95500000000004</v>
      </c>
      <c r="EV1030" s="67" t="s">
        <v>7532</v>
      </c>
      <c r="EW1030" s="67">
        <v>507</v>
      </c>
      <c r="EX1030" s="67" t="s">
        <v>7533</v>
      </c>
      <c r="EY1030" s="67">
        <v>5832</v>
      </c>
      <c r="EZ1030" s="67" t="s">
        <v>7534</v>
      </c>
      <c r="FA1030" s="67">
        <v>20818.25</v>
      </c>
      <c r="FB1030" s="67" t="s">
        <v>7535</v>
      </c>
      <c r="FC1030" s="67" t="s">
        <v>7536</v>
      </c>
      <c r="FD1030" s="67" t="s">
        <v>7537</v>
      </c>
      <c r="FE1030" s="68" t="s">
        <v>7538</v>
      </c>
      <c r="FF1030" s="68" t="s">
        <v>7539</v>
      </c>
    </row>
    <row r="1031" spans="151:162" x14ac:dyDescent="0.2">
      <c r="EU1031" s="67">
        <v>581.89</v>
      </c>
      <c r="EV1031" s="67" t="s">
        <v>7540</v>
      </c>
      <c r="EW1031" s="67">
        <v>506.995</v>
      </c>
      <c r="EX1031" s="67" t="s">
        <v>7541</v>
      </c>
      <c r="EY1031" s="67">
        <v>5831.25</v>
      </c>
      <c r="EZ1031" s="67" t="s">
        <v>7542</v>
      </c>
      <c r="FA1031" s="67">
        <v>20817.75</v>
      </c>
      <c r="FB1031" s="67" t="s">
        <v>7543</v>
      </c>
      <c r="FC1031" s="67" t="s">
        <v>7544</v>
      </c>
      <c r="FD1031" s="67" t="s">
        <v>7545</v>
      </c>
      <c r="FE1031" s="68" t="s">
        <v>7546</v>
      </c>
      <c r="FF1031" s="68" t="s">
        <v>7547</v>
      </c>
    </row>
    <row r="1032" spans="151:162" x14ac:dyDescent="0.2">
      <c r="EU1032" s="67">
        <v>581.83000000000004</v>
      </c>
      <c r="EV1032" s="67" t="s">
        <v>7548</v>
      </c>
      <c r="EW1032" s="67">
        <v>506.87</v>
      </c>
      <c r="EX1032" s="67" t="s">
        <v>7549</v>
      </c>
      <c r="EY1032" s="67">
        <v>5830.75</v>
      </c>
      <c r="EZ1032" s="67" t="s">
        <v>7550</v>
      </c>
      <c r="FA1032" s="67">
        <v>20813.5</v>
      </c>
      <c r="FB1032" s="67" t="s">
        <v>7551</v>
      </c>
      <c r="FC1032" s="67" t="s">
        <v>7552</v>
      </c>
      <c r="FD1032" s="67" t="s">
        <v>7553</v>
      </c>
      <c r="FE1032" s="68" t="s">
        <v>7554</v>
      </c>
      <c r="FF1032" s="68" t="s">
        <v>7555</v>
      </c>
    </row>
    <row r="1033" spans="151:162" x14ac:dyDescent="0.2">
      <c r="EU1033" s="67">
        <v>581.66</v>
      </c>
      <c r="EV1033" s="67" t="s">
        <v>7556</v>
      </c>
      <c r="EW1033" s="67">
        <v>506.66</v>
      </c>
      <c r="EX1033" s="67" t="s">
        <v>7557</v>
      </c>
      <c r="EY1033" s="67">
        <v>5828.75</v>
      </c>
      <c r="EZ1033" s="67" t="s">
        <v>7558</v>
      </c>
      <c r="FA1033" s="67">
        <v>20804</v>
      </c>
      <c r="FB1033" s="67" t="s">
        <v>7559</v>
      </c>
      <c r="FC1033" s="67" t="s">
        <v>7560</v>
      </c>
      <c r="FD1033" s="67" t="s">
        <v>7561</v>
      </c>
      <c r="FE1033" s="68" t="s">
        <v>7562</v>
      </c>
      <c r="FF1033" s="68" t="s">
        <v>7563</v>
      </c>
    </row>
    <row r="1034" spans="151:162" x14ac:dyDescent="0.2">
      <c r="EU1034" s="67">
        <v>581.39</v>
      </c>
      <c r="EV1034" s="67" t="s">
        <v>7564</v>
      </c>
      <c r="EW1034" s="67">
        <v>506.54</v>
      </c>
      <c r="EX1034" s="67" t="s">
        <v>7565</v>
      </c>
      <c r="EY1034" s="67">
        <v>5826.75</v>
      </c>
      <c r="EZ1034" s="67" t="s">
        <v>7566</v>
      </c>
      <c r="FA1034" s="67">
        <v>20798.75</v>
      </c>
      <c r="FB1034" s="67" t="s">
        <v>7567</v>
      </c>
      <c r="FC1034" s="67" t="s">
        <v>7568</v>
      </c>
      <c r="FD1034" s="67" t="s">
        <v>7569</v>
      </c>
      <c r="FE1034" s="68" t="s">
        <v>7570</v>
      </c>
      <c r="FF1034" s="68" t="s">
        <v>7571</v>
      </c>
    </row>
    <row r="1035" spans="151:162" x14ac:dyDescent="0.2">
      <c r="EU1035" s="67">
        <v>581.452</v>
      </c>
      <c r="EV1035" s="67" t="s">
        <v>7572</v>
      </c>
      <c r="EW1035" s="67">
        <v>506.62</v>
      </c>
      <c r="EX1035" s="67" t="s">
        <v>7573</v>
      </c>
      <c r="EY1035" s="67">
        <v>5826.75</v>
      </c>
      <c r="EZ1035" s="67" t="s">
        <v>7574</v>
      </c>
      <c r="FA1035" s="67">
        <v>20802.75</v>
      </c>
      <c r="FB1035" s="67" t="s">
        <v>7575</v>
      </c>
      <c r="FC1035" s="67" t="s">
        <v>7576</v>
      </c>
      <c r="FD1035" s="67" t="s">
        <v>7577</v>
      </c>
      <c r="FE1035" s="68" t="s">
        <v>7578</v>
      </c>
      <c r="FF1035" s="68" t="s">
        <v>7579</v>
      </c>
    </row>
    <row r="1036" spans="151:162" x14ac:dyDescent="0.2">
      <c r="EU1036" s="67">
        <v>581.44899999999996</v>
      </c>
      <c r="EV1036" s="67" t="s">
        <v>7580</v>
      </c>
      <c r="EW1036" s="67">
        <v>506.59</v>
      </c>
      <c r="EX1036" s="67" t="s">
        <v>7581</v>
      </c>
      <c r="EY1036" s="67">
        <v>5826.5</v>
      </c>
      <c r="EZ1036" s="67" t="s">
        <v>7582</v>
      </c>
      <c r="FA1036" s="67">
        <v>20802.25</v>
      </c>
      <c r="FB1036" s="67" t="s">
        <v>7583</v>
      </c>
      <c r="FC1036" s="67" t="s">
        <v>7584</v>
      </c>
      <c r="FD1036" s="67" t="s">
        <v>7585</v>
      </c>
      <c r="FE1036" s="68" t="s">
        <v>7586</v>
      </c>
      <c r="FF1036" s="68" t="s">
        <v>7587</v>
      </c>
    </row>
    <row r="1037" spans="151:162" x14ac:dyDescent="0.2">
      <c r="EU1037" s="67">
        <v>581.58000000000004</v>
      </c>
      <c r="EV1037" s="67" t="s">
        <v>7588</v>
      </c>
      <c r="EW1037" s="67">
        <v>506.75</v>
      </c>
      <c r="EX1037" s="67" t="s">
        <v>7589</v>
      </c>
      <c r="EY1037" s="67">
        <v>5828.25</v>
      </c>
      <c r="EZ1037" s="67" t="s">
        <v>7590</v>
      </c>
      <c r="FA1037" s="67">
        <v>20809</v>
      </c>
      <c r="FB1037" s="67" t="s">
        <v>7591</v>
      </c>
      <c r="FC1037" s="67" t="s">
        <v>7592</v>
      </c>
      <c r="FD1037" s="67" t="s">
        <v>7593</v>
      </c>
      <c r="FE1037" s="68" t="s">
        <v>7594</v>
      </c>
      <c r="FF1037" s="68" t="s">
        <v>7595</v>
      </c>
    </row>
    <row r="1038" spans="151:162" x14ac:dyDescent="0.2">
      <c r="EU1038" s="67">
        <v>581.76099999999997</v>
      </c>
      <c r="EV1038" s="67" t="s">
        <v>7596</v>
      </c>
      <c r="EW1038" s="67">
        <v>506.81</v>
      </c>
      <c r="EX1038" s="67" t="s">
        <v>7597</v>
      </c>
      <c r="EY1038" s="67">
        <v>5830.25</v>
      </c>
      <c r="EZ1038" s="67" t="s">
        <v>7598</v>
      </c>
      <c r="FA1038" s="67">
        <v>20811</v>
      </c>
      <c r="FB1038" s="67" t="s">
        <v>7599</v>
      </c>
      <c r="FC1038" s="67" t="s">
        <v>7600</v>
      </c>
      <c r="FD1038" s="67" t="s">
        <v>7601</v>
      </c>
      <c r="FE1038" s="68" t="s">
        <v>7602</v>
      </c>
      <c r="FF1038" s="68" t="s">
        <v>7603</v>
      </c>
    </row>
    <row r="1039" spans="151:162" x14ac:dyDescent="0.2">
      <c r="EU1039" s="67">
        <v>581.79999999999995</v>
      </c>
      <c r="EV1039" s="67" t="s">
        <v>7604</v>
      </c>
      <c r="EW1039" s="67">
        <v>506.85</v>
      </c>
      <c r="EX1039" s="67" t="s">
        <v>7605</v>
      </c>
      <c r="EY1039" s="67">
        <v>5830.5</v>
      </c>
      <c r="EZ1039" s="67" t="s">
        <v>7606</v>
      </c>
      <c r="FA1039" s="67">
        <v>20812.75</v>
      </c>
      <c r="FB1039" s="67" t="s">
        <v>7607</v>
      </c>
      <c r="FC1039" s="67" t="s">
        <v>7608</v>
      </c>
      <c r="FD1039" s="67" t="s">
        <v>7609</v>
      </c>
      <c r="FE1039" s="68" t="s">
        <v>7610</v>
      </c>
      <c r="FF1039" s="68" t="s">
        <v>7611</v>
      </c>
    </row>
    <row r="1040" spans="151:162" x14ac:dyDescent="0.2">
      <c r="EU1040" s="67">
        <v>581.9</v>
      </c>
      <c r="EV1040" s="67" t="s">
        <v>7612</v>
      </c>
      <c r="EW1040" s="67">
        <v>507.03</v>
      </c>
      <c r="EX1040" s="67" t="s">
        <v>7613</v>
      </c>
      <c r="EY1040" s="67">
        <v>5831.5</v>
      </c>
      <c r="EZ1040" s="67" t="s">
        <v>7614</v>
      </c>
      <c r="FA1040" s="67">
        <v>20821</v>
      </c>
      <c r="FB1040" s="67" t="s">
        <v>7615</v>
      </c>
      <c r="FC1040" s="67" t="s">
        <v>7616</v>
      </c>
      <c r="FD1040" s="67" t="s">
        <v>7617</v>
      </c>
      <c r="FE1040" s="68" t="s">
        <v>7618</v>
      </c>
      <c r="FF1040" s="68" t="s">
        <v>7619</v>
      </c>
    </row>
    <row r="1041" spans="151:162" x14ac:dyDescent="0.2">
      <c r="EU1041" s="67">
        <v>582.03</v>
      </c>
      <c r="EV1041" s="67" t="s">
        <v>7620</v>
      </c>
      <c r="EW1041" s="67">
        <v>507.16</v>
      </c>
      <c r="EX1041" s="67" t="s">
        <v>7621</v>
      </c>
      <c r="EY1041" s="67">
        <v>5832.75</v>
      </c>
      <c r="EZ1041" s="67" t="s">
        <v>7622</v>
      </c>
      <c r="FA1041" s="67">
        <v>20825.25</v>
      </c>
      <c r="FB1041" s="67" t="s">
        <v>7623</v>
      </c>
      <c r="FC1041" s="67" t="s">
        <v>7624</v>
      </c>
      <c r="FD1041" s="67" t="s">
        <v>7625</v>
      </c>
      <c r="FE1041" s="68" t="s">
        <v>7626</v>
      </c>
      <c r="FF1041" s="68" t="s">
        <v>7627</v>
      </c>
    </row>
    <row r="1042" spans="151:162" x14ac:dyDescent="0.2">
      <c r="EU1042" s="67">
        <v>582.11</v>
      </c>
      <c r="EV1042" s="67" t="s">
        <v>7628</v>
      </c>
      <c r="EW1042" s="67">
        <v>507.22</v>
      </c>
      <c r="EX1042" s="67" t="s">
        <v>7629</v>
      </c>
      <c r="EY1042" s="67">
        <v>5833.5</v>
      </c>
      <c r="EZ1042" s="67" t="s">
        <v>7630</v>
      </c>
      <c r="FA1042" s="67">
        <v>20828.25</v>
      </c>
      <c r="FB1042" s="67" t="s">
        <v>7631</v>
      </c>
      <c r="FC1042" s="67" t="s">
        <v>7632</v>
      </c>
      <c r="FD1042" s="67" t="s">
        <v>7633</v>
      </c>
      <c r="FE1042" s="68" t="s">
        <v>7634</v>
      </c>
      <c r="FF1042" s="68" t="s">
        <v>7635</v>
      </c>
    </row>
    <row r="1043" spans="151:162" x14ac:dyDescent="0.2">
      <c r="EU1043" s="67">
        <v>582.01</v>
      </c>
      <c r="EV1043" s="67" t="s">
        <v>7636</v>
      </c>
      <c r="EW1043" s="67">
        <v>507.19</v>
      </c>
      <c r="EX1043" s="67" t="s">
        <v>7637</v>
      </c>
      <c r="EY1043" s="67">
        <v>5832.25</v>
      </c>
      <c r="EZ1043" s="67" t="s">
        <v>7638</v>
      </c>
      <c r="FA1043" s="67">
        <v>20825.25</v>
      </c>
      <c r="FB1043" s="67" t="s">
        <v>7639</v>
      </c>
      <c r="FC1043" s="67" t="s">
        <v>7640</v>
      </c>
      <c r="FD1043" s="67" t="s">
        <v>7641</v>
      </c>
      <c r="FE1043" s="68" t="s">
        <v>7642</v>
      </c>
      <c r="FF1043" s="68" t="s">
        <v>7643</v>
      </c>
    </row>
    <row r="1044" spans="151:162" x14ac:dyDescent="0.2">
      <c r="EU1044" s="67">
        <v>581.95000000000005</v>
      </c>
      <c r="EV1044" s="67" t="s">
        <v>7644</v>
      </c>
      <c r="EW1044" s="67">
        <v>507.18</v>
      </c>
      <c r="EX1044" s="67" t="s">
        <v>7645</v>
      </c>
      <c r="EY1044" s="67">
        <v>5832</v>
      </c>
      <c r="EZ1044" s="67" t="s">
        <v>7646</v>
      </c>
      <c r="FA1044" s="67">
        <v>20826.5</v>
      </c>
      <c r="FB1044" s="67" t="s">
        <v>7647</v>
      </c>
      <c r="FC1044" s="67" t="s">
        <v>7648</v>
      </c>
      <c r="FD1044" s="67" t="s">
        <v>7649</v>
      </c>
      <c r="FE1044" s="68" t="s">
        <v>7650</v>
      </c>
      <c r="FF1044" s="68" t="s">
        <v>7651</v>
      </c>
    </row>
    <row r="1045" spans="151:162" x14ac:dyDescent="0.2">
      <c r="EU1045" s="67">
        <v>581.91700000000003</v>
      </c>
      <c r="EV1045" s="67" t="s">
        <v>7652</v>
      </c>
      <c r="EW1045" s="67">
        <v>507.11</v>
      </c>
      <c r="EX1045" s="67" t="s">
        <v>7653</v>
      </c>
      <c r="EY1045" s="67">
        <v>5831.5</v>
      </c>
      <c r="EZ1045" s="67" t="s">
        <v>7654</v>
      </c>
      <c r="FA1045" s="67">
        <v>20824</v>
      </c>
      <c r="FB1045" s="67" t="s">
        <v>7655</v>
      </c>
      <c r="FC1045" s="67" t="s">
        <v>7656</v>
      </c>
      <c r="FD1045" s="67" t="s">
        <v>7657</v>
      </c>
      <c r="FE1045" s="68" t="s">
        <v>7658</v>
      </c>
      <c r="FF1045" s="68" t="s">
        <v>7659</v>
      </c>
    </row>
    <row r="1046" spans="151:162" x14ac:dyDescent="0.2">
      <c r="EU1046" s="67">
        <v>581.95500000000004</v>
      </c>
      <c r="EV1046" s="67" t="s">
        <v>7660</v>
      </c>
      <c r="EW1046" s="67">
        <v>507.17</v>
      </c>
      <c r="EX1046" s="67" t="s">
        <v>7661</v>
      </c>
      <c r="EY1046" s="67">
        <v>5832</v>
      </c>
      <c r="EZ1046" s="67" t="s">
        <v>7662</v>
      </c>
      <c r="FA1046" s="67">
        <v>20826</v>
      </c>
      <c r="FB1046" s="67" t="s">
        <v>7663</v>
      </c>
      <c r="FC1046" s="67" t="s">
        <v>7664</v>
      </c>
      <c r="FD1046" s="67" t="s">
        <v>7665</v>
      </c>
      <c r="FE1046" s="68" t="s">
        <v>7666</v>
      </c>
      <c r="FF1046" s="68" t="s">
        <v>7667</v>
      </c>
    </row>
    <row r="1047" spans="151:162" x14ac:dyDescent="0.2">
      <c r="EU1047" s="67">
        <v>581.89</v>
      </c>
      <c r="EV1047" s="67" t="s">
        <v>7668</v>
      </c>
      <c r="EW1047" s="67">
        <v>507.1</v>
      </c>
      <c r="EX1047" s="67" t="s">
        <v>7669</v>
      </c>
      <c r="EY1047" s="67">
        <v>5831.25</v>
      </c>
      <c r="EZ1047" s="67" t="s">
        <v>7670</v>
      </c>
      <c r="FA1047" s="67">
        <v>20822.5</v>
      </c>
      <c r="FB1047" s="67" t="s">
        <v>7671</v>
      </c>
      <c r="FC1047" s="67" t="s">
        <v>7672</v>
      </c>
      <c r="FD1047" s="67" t="s">
        <v>7673</v>
      </c>
      <c r="FE1047" s="68" t="s">
        <v>7674</v>
      </c>
      <c r="FF1047" s="68" t="s">
        <v>7675</v>
      </c>
    </row>
    <row r="1048" spans="151:162" x14ac:dyDescent="0.2">
      <c r="EU1048" s="67">
        <v>581.95500000000004</v>
      </c>
      <c r="EV1048" s="67" t="s">
        <v>7676</v>
      </c>
      <c r="EW1048" s="67">
        <v>507.09</v>
      </c>
      <c r="EX1048" s="67" t="s">
        <v>7677</v>
      </c>
      <c r="EY1048" s="67">
        <v>5831.75</v>
      </c>
      <c r="EZ1048" s="67" t="s">
        <v>7678</v>
      </c>
      <c r="FA1048" s="67">
        <v>20822.25</v>
      </c>
      <c r="FB1048" s="67" t="s">
        <v>7679</v>
      </c>
      <c r="FC1048" s="67" t="s">
        <v>7680</v>
      </c>
      <c r="FD1048" s="67" t="s">
        <v>7681</v>
      </c>
      <c r="FE1048" s="68" t="s">
        <v>7682</v>
      </c>
      <c r="FF1048" s="68" t="s">
        <v>7683</v>
      </c>
    </row>
    <row r="1049" spans="151:162" x14ac:dyDescent="0.2">
      <c r="EU1049" s="67">
        <v>581.96</v>
      </c>
      <c r="EV1049" s="67" t="s">
        <v>7684</v>
      </c>
      <c r="EW1049" s="67">
        <v>507.17</v>
      </c>
      <c r="EX1049" s="67" t="s">
        <v>7685</v>
      </c>
      <c r="EY1049" s="67">
        <v>5832</v>
      </c>
      <c r="EZ1049" s="67" t="s">
        <v>7686</v>
      </c>
      <c r="FA1049" s="67">
        <v>20824.75</v>
      </c>
      <c r="FB1049" s="67" t="s">
        <v>7687</v>
      </c>
      <c r="FC1049" s="67" t="s">
        <v>7688</v>
      </c>
      <c r="FD1049" s="67" t="s">
        <v>7689</v>
      </c>
      <c r="FE1049" s="68" t="s">
        <v>7690</v>
      </c>
      <c r="FF1049" s="68" t="s">
        <v>7691</v>
      </c>
    </row>
    <row r="1050" spans="151:162" x14ac:dyDescent="0.2">
      <c r="EU1050" s="67">
        <v>581.779</v>
      </c>
      <c r="EV1050" s="67" t="s">
        <v>7692</v>
      </c>
      <c r="EW1050" s="67">
        <v>506.99</v>
      </c>
      <c r="EX1050" s="67" t="s">
        <v>7693</v>
      </c>
      <c r="EY1050" s="67">
        <v>5830</v>
      </c>
      <c r="EZ1050" s="67" t="s">
        <v>7694</v>
      </c>
      <c r="FA1050" s="67">
        <v>20818</v>
      </c>
      <c r="FB1050" s="67" t="s">
        <v>7695</v>
      </c>
      <c r="FC1050" s="67" t="s">
        <v>7696</v>
      </c>
      <c r="FD1050" s="67" t="s">
        <v>7697</v>
      </c>
      <c r="FE1050" s="68" t="s">
        <v>7698</v>
      </c>
      <c r="FF1050" s="68" t="s">
        <v>7699</v>
      </c>
    </row>
    <row r="1051" spans="151:162" x14ac:dyDescent="0.2">
      <c r="EU1051" s="67">
        <v>581.96500000000003</v>
      </c>
      <c r="EV1051" s="67" t="s">
        <v>7700</v>
      </c>
      <c r="EW1051" s="67">
        <v>507.17</v>
      </c>
      <c r="EX1051" s="67" t="s">
        <v>7701</v>
      </c>
      <c r="EY1051" s="67">
        <v>5832</v>
      </c>
      <c r="EZ1051" s="67" t="s">
        <v>7702</v>
      </c>
      <c r="FA1051" s="67">
        <v>20824</v>
      </c>
      <c r="FB1051" s="67" t="s">
        <v>7703</v>
      </c>
      <c r="FC1051" s="67" t="s">
        <v>7704</v>
      </c>
      <c r="FD1051" s="67" t="s">
        <v>7705</v>
      </c>
      <c r="FE1051" s="68" t="s">
        <v>7706</v>
      </c>
      <c r="FF1051" s="68" t="s">
        <v>7707</v>
      </c>
    </row>
    <row r="1052" spans="151:162" x14ac:dyDescent="0.2">
      <c r="EU1052" s="67">
        <v>582.19000000000005</v>
      </c>
      <c r="EV1052" s="67" t="s">
        <v>7708</v>
      </c>
      <c r="EW1052" s="67">
        <v>507.32</v>
      </c>
      <c r="EX1052" s="67" t="s">
        <v>7709</v>
      </c>
      <c r="EY1052" s="67">
        <v>5834.25</v>
      </c>
      <c r="EZ1052" s="67" t="s">
        <v>7710</v>
      </c>
      <c r="FA1052" s="67">
        <v>20832.25</v>
      </c>
      <c r="FB1052" s="67" t="s">
        <v>7711</v>
      </c>
      <c r="FC1052" s="67" t="s">
        <v>7712</v>
      </c>
      <c r="FD1052" s="67" t="s">
        <v>7713</v>
      </c>
      <c r="FE1052" s="68" t="s">
        <v>7714</v>
      </c>
      <c r="FF1052" s="68" t="s">
        <v>7715</v>
      </c>
    </row>
    <row r="1053" spans="151:162" x14ac:dyDescent="0.2">
      <c r="EU1053" s="67">
        <v>582.16999999999996</v>
      </c>
      <c r="EV1053" s="67" t="s">
        <v>7716</v>
      </c>
      <c r="EW1053" s="67">
        <v>507.28</v>
      </c>
      <c r="EX1053" s="67" t="s">
        <v>7717</v>
      </c>
      <c r="EY1053" s="67">
        <v>5834</v>
      </c>
      <c r="EZ1053" s="67" t="s">
        <v>7718</v>
      </c>
      <c r="FA1053" s="67">
        <v>20830</v>
      </c>
      <c r="FB1053" s="67" t="s">
        <v>7719</v>
      </c>
      <c r="FC1053" s="67" t="s">
        <v>7720</v>
      </c>
      <c r="FD1053" s="67" t="s">
        <v>7721</v>
      </c>
      <c r="FE1053" s="68" t="s">
        <v>7722</v>
      </c>
      <c r="FF1053" s="68" t="s">
        <v>7723</v>
      </c>
    </row>
    <row r="1054" spans="151:162" x14ac:dyDescent="0.2">
      <c r="EU1054" s="67">
        <v>582.16999999999996</v>
      </c>
      <c r="EV1054" s="67" t="s">
        <v>7724</v>
      </c>
      <c r="EW1054" s="67">
        <v>507.21</v>
      </c>
      <c r="EX1054" s="67" t="s">
        <v>7725</v>
      </c>
      <c r="EY1054" s="67">
        <v>5834</v>
      </c>
      <c r="EZ1054" s="67" t="s">
        <v>7726</v>
      </c>
      <c r="FA1054" s="67">
        <v>20827.75</v>
      </c>
      <c r="FB1054" s="67" t="s">
        <v>7727</v>
      </c>
      <c r="FC1054" s="67" t="s">
        <v>7728</v>
      </c>
      <c r="FD1054" s="67" t="s">
        <v>7729</v>
      </c>
      <c r="FE1054" s="68" t="s">
        <v>7730</v>
      </c>
      <c r="FF1054" s="68" t="s">
        <v>7731</v>
      </c>
    </row>
    <row r="1055" spans="151:162" x14ac:dyDescent="0.2">
      <c r="EU1055" s="67">
        <v>582.16999999999996</v>
      </c>
      <c r="EV1055" s="67" t="s">
        <v>7732</v>
      </c>
      <c r="EW1055" s="67">
        <v>507.21</v>
      </c>
      <c r="EX1055" s="67" t="s">
        <v>7733</v>
      </c>
      <c r="EY1055" s="67">
        <v>5833.75</v>
      </c>
      <c r="EZ1055" s="67" t="s">
        <v>7734</v>
      </c>
      <c r="FA1055" s="67">
        <v>20826.25</v>
      </c>
      <c r="FB1055" s="67" t="s">
        <v>7735</v>
      </c>
      <c r="FC1055" s="67" t="s">
        <v>7736</v>
      </c>
      <c r="FD1055" s="67" t="s">
        <v>7737</v>
      </c>
      <c r="FE1055" s="68" t="s">
        <v>7738</v>
      </c>
      <c r="FF1055" s="68" t="s">
        <v>7739</v>
      </c>
    </row>
    <row r="1056" spans="151:162" x14ac:dyDescent="0.2">
      <c r="EU1056" s="67">
        <v>582.11</v>
      </c>
      <c r="EV1056" s="67" t="s">
        <v>7740</v>
      </c>
      <c r="EW1056" s="67">
        <v>507.16</v>
      </c>
      <c r="EX1056" s="67" t="s">
        <v>7741</v>
      </c>
      <c r="EY1056" s="67">
        <v>5833.5</v>
      </c>
      <c r="EZ1056" s="67" t="s">
        <v>7742</v>
      </c>
      <c r="FA1056" s="67">
        <v>20825</v>
      </c>
      <c r="FB1056" s="67" t="s">
        <v>7743</v>
      </c>
      <c r="FC1056" s="67" t="s">
        <v>7744</v>
      </c>
      <c r="FD1056" s="67" t="s">
        <v>7745</v>
      </c>
      <c r="FE1056" s="68" t="s">
        <v>7746</v>
      </c>
      <c r="FF1056" s="68" t="s">
        <v>7747</v>
      </c>
    </row>
    <row r="1057" spans="151:162" x14ac:dyDescent="0.2">
      <c r="EU1057" s="67">
        <v>581.99</v>
      </c>
      <c r="EV1057" s="67" t="s">
        <v>7748</v>
      </c>
      <c r="EW1057" s="67">
        <v>507.09</v>
      </c>
      <c r="EX1057" s="67" t="s">
        <v>7749</v>
      </c>
      <c r="EY1057" s="67">
        <v>5833.75</v>
      </c>
      <c r="EZ1057" s="67" t="s">
        <v>7750</v>
      </c>
      <c r="FA1057" s="67">
        <v>20821.75</v>
      </c>
      <c r="FB1057" s="67" t="s">
        <v>7751</v>
      </c>
      <c r="FC1057" s="67" t="s">
        <v>7752</v>
      </c>
      <c r="FD1057" s="67" t="s">
        <v>7753</v>
      </c>
      <c r="FE1057" s="68" t="s">
        <v>7754</v>
      </c>
      <c r="FF1057" s="68" t="s">
        <v>7755</v>
      </c>
    </row>
    <row r="1058" spans="151:162" x14ac:dyDescent="0.2">
      <c r="EU1058" s="67">
        <v>582.25</v>
      </c>
      <c r="EV1058" s="67" t="s">
        <v>7756</v>
      </c>
      <c r="EW1058" s="67">
        <v>507.24</v>
      </c>
      <c r="EX1058" s="67" t="s">
        <v>7757</v>
      </c>
      <c r="EY1058" s="67">
        <v>5835</v>
      </c>
      <c r="EZ1058" s="67" t="s">
        <v>7758</v>
      </c>
      <c r="FA1058" s="67">
        <v>20829.25</v>
      </c>
      <c r="FB1058" s="67" t="s">
        <v>7759</v>
      </c>
      <c r="FC1058" s="67" t="s">
        <v>7760</v>
      </c>
      <c r="FD1058" s="67" t="s">
        <v>7761</v>
      </c>
      <c r="FE1058" s="68" t="s">
        <v>7762</v>
      </c>
      <c r="FF1058" s="68" t="s">
        <v>7763</v>
      </c>
    </row>
    <row r="1059" spans="151:162" x14ac:dyDescent="0.2">
      <c r="EU1059" s="67">
        <v>582.34</v>
      </c>
      <c r="EV1059" s="67" t="s">
        <v>7764</v>
      </c>
      <c r="EW1059" s="67">
        <v>507.38</v>
      </c>
      <c r="EX1059" s="67" t="s">
        <v>7765</v>
      </c>
      <c r="EY1059" s="67">
        <v>5835.75</v>
      </c>
      <c r="EZ1059" s="67" t="s">
        <v>7766</v>
      </c>
      <c r="FA1059" s="67">
        <v>20835.5</v>
      </c>
      <c r="FB1059" s="67" t="s">
        <v>7767</v>
      </c>
      <c r="FC1059" s="67" t="s">
        <v>7768</v>
      </c>
      <c r="FD1059" s="67" t="s">
        <v>7769</v>
      </c>
      <c r="FE1059" s="68" t="s">
        <v>7770</v>
      </c>
      <c r="FF1059" s="68" t="s">
        <v>7771</v>
      </c>
    </row>
    <row r="1060" spans="151:162" x14ac:dyDescent="0.2">
      <c r="EU1060" s="67">
        <v>582.30999999999995</v>
      </c>
      <c r="EV1060" s="67" t="s">
        <v>7772</v>
      </c>
      <c r="EW1060" s="67">
        <v>507.36</v>
      </c>
      <c r="EX1060" s="67" t="s">
        <v>7773</v>
      </c>
      <c r="EY1060" s="67">
        <v>5835.5</v>
      </c>
      <c r="EZ1060" s="67" t="s">
        <v>7774</v>
      </c>
      <c r="FA1060" s="67">
        <v>20833.75</v>
      </c>
      <c r="FB1060" s="67" t="s">
        <v>7775</v>
      </c>
      <c r="FC1060" s="67" t="s">
        <v>7776</v>
      </c>
      <c r="FD1060" s="67" t="s">
        <v>7777</v>
      </c>
      <c r="FE1060" s="68" t="s">
        <v>7778</v>
      </c>
      <c r="FF1060" s="68" t="s">
        <v>7779</v>
      </c>
    </row>
    <row r="1061" spans="151:162" x14ac:dyDescent="0.2">
      <c r="EU1061" s="67">
        <v>582.27499999999998</v>
      </c>
      <c r="EV1061" s="67" t="s">
        <v>7780</v>
      </c>
      <c r="EW1061" s="67">
        <v>507.32100000000003</v>
      </c>
      <c r="EX1061" s="67" t="s">
        <v>7781</v>
      </c>
      <c r="EY1061" s="67">
        <v>5835.25</v>
      </c>
      <c r="EZ1061" s="67" t="s">
        <v>7782</v>
      </c>
      <c r="FA1061" s="67">
        <v>20832.5</v>
      </c>
      <c r="FB1061" s="67" t="s">
        <v>7783</v>
      </c>
      <c r="FC1061" s="67" t="s">
        <v>7784</v>
      </c>
      <c r="FD1061" s="67" t="s">
        <v>7785</v>
      </c>
      <c r="FE1061" s="68" t="s">
        <v>7786</v>
      </c>
      <c r="FF1061" s="68" t="s">
        <v>7787</v>
      </c>
    </row>
    <row r="1062" spans="151:162" x14ac:dyDescent="0.2">
      <c r="EU1062" s="67">
        <v>582.41999999999996</v>
      </c>
      <c r="EV1062" s="67" t="s">
        <v>7788</v>
      </c>
      <c r="EW1062" s="67">
        <v>507.43</v>
      </c>
      <c r="EX1062" s="67" t="s">
        <v>7789</v>
      </c>
      <c r="EY1062" s="67">
        <v>5836.75</v>
      </c>
      <c r="EZ1062" s="67" t="s">
        <v>7790</v>
      </c>
      <c r="FA1062" s="67">
        <v>20836</v>
      </c>
      <c r="FB1062" s="67" t="s">
        <v>7791</v>
      </c>
      <c r="FC1062" s="67" t="s">
        <v>7792</v>
      </c>
      <c r="FD1062" s="67" t="s">
        <v>7793</v>
      </c>
      <c r="FE1062" s="68" t="s">
        <v>7794</v>
      </c>
      <c r="FF1062" s="68" t="s">
        <v>7795</v>
      </c>
    </row>
    <row r="1063" spans="151:162" x14ac:dyDescent="0.2">
      <c r="EU1063" s="67">
        <v>582.44000000000005</v>
      </c>
      <c r="EV1063" s="67" t="s">
        <v>7796</v>
      </c>
      <c r="EW1063" s="67">
        <v>507.46</v>
      </c>
      <c r="EX1063" s="67" t="s">
        <v>7797</v>
      </c>
      <c r="EY1063" s="67">
        <v>5837</v>
      </c>
      <c r="EZ1063" s="67" t="s">
        <v>7798</v>
      </c>
      <c r="FA1063" s="67">
        <v>20837.75</v>
      </c>
      <c r="FB1063" s="67" t="s">
        <v>7799</v>
      </c>
      <c r="FC1063" s="67" t="s">
        <v>7800</v>
      </c>
      <c r="FD1063" s="67" t="s">
        <v>7801</v>
      </c>
      <c r="FE1063" s="68" t="s">
        <v>7802</v>
      </c>
      <c r="FF1063" s="68" t="s">
        <v>7803</v>
      </c>
    </row>
    <row r="1064" spans="151:162" x14ac:dyDescent="0.2">
      <c r="EU1064" s="67">
        <v>582.37</v>
      </c>
      <c r="EV1064" s="67" t="s">
        <v>7804</v>
      </c>
      <c r="EW1064" s="67">
        <v>507.35</v>
      </c>
      <c r="EX1064" s="67" t="s">
        <v>7805</v>
      </c>
      <c r="EY1064" s="67">
        <v>5836</v>
      </c>
      <c r="EZ1064" s="67" t="s">
        <v>7806</v>
      </c>
      <c r="FA1064" s="67">
        <v>20833</v>
      </c>
      <c r="FB1064" s="67" t="s">
        <v>7807</v>
      </c>
      <c r="FC1064" s="67" t="s">
        <v>7808</v>
      </c>
      <c r="FD1064" s="67" t="s">
        <v>7809</v>
      </c>
      <c r="FE1064" s="68" t="s">
        <v>7810</v>
      </c>
      <c r="FF1064" s="68" t="s">
        <v>7811</v>
      </c>
    </row>
    <row r="1065" spans="151:162" x14ac:dyDescent="0.2">
      <c r="EU1065" s="67">
        <v>582.30999999999995</v>
      </c>
      <c r="EV1065" s="67" t="s">
        <v>7812</v>
      </c>
      <c r="EW1065" s="67">
        <v>507.3</v>
      </c>
      <c r="EX1065" s="67" t="s">
        <v>7813</v>
      </c>
      <c r="EY1065" s="67">
        <v>5835.5</v>
      </c>
      <c r="EZ1065" s="67" t="s">
        <v>7814</v>
      </c>
      <c r="FA1065" s="67">
        <v>20831</v>
      </c>
      <c r="FB1065" s="67" t="s">
        <v>7815</v>
      </c>
      <c r="FC1065" s="67" t="s">
        <v>7816</v>
      </c>
      <c r="FD1065" s="67" t="s">
        <v>7817</v>
      </c>
      <c r="FE1065" s="68" t="s">
        <v>7818</v>
      </c>
      <c r="FF1065" s="68" t="s">
        <v>7819</v>
      </c>
    </row>
    <row r="1066" spans="151:162" x14ac:dyDescent="0.2">
      <c r="EU1066" s="67">
        <v>582.16999999999996</v>
      </c>
      <c r="EV1066" s="67" t="s">
        <v>7820</v>
      </c>
      <c r="EW1066" s="67">
        <v>507.16</v>
      </c>
      <c r="EX1066" s="67" t="s">
        <v>7821</v>
      </c>
      <c r="EY1066" s="67">
        <v>5834</v>
      </c>
      <c r="EZ1066" s="67" t="s">
        <v>7822</v>
      </c>
      <c r="FA1066" s="67">
        <v>20825.5</v>
      </c>
      <c r="FB1066" s="67" t="s">
        <v>7823</v>
      </c>
      <c r="FC1066" s="67" t="s">
        <v>7824</v>
      </c>
      <c r="FD1066" s="67" t="s">
        <v>7825</v>
      </c>
      <c r="FE1066" s="68" t="s">
        <v>7826</v>
      </c>
      <c r="FF1066" s="68" t="s">
        <v>7827</v>
      </c>
    </row>
    <row r="1067" spans="151:162" x14ac:dyDescent="0.2">
      <c r="EU1067" s="67">
        <v>582.16</v>
      </c>
      <c r="EV1067" s="67" t="s">
        <v>7828</v>
      </c>
      <c r="EW1067" s="67">
        <v>507.17</v>
      </c>
      <c r="EX1067" s="67" t="s">
        <v>7829</v>
      </c>
      <c r="EY1067" s="67">
        <v>5834</v>
      </c>
      <c r="EZ1067" s="67" t="s">
        <v>7830</v>
      </c>
      <c r="FA1067" s="67">
        <v>20825.25</v>
      </c>
      <c r="FB1067" s="67" t="s">
        <v>7831</v>
      </c>
      <c r="FC1067" s="67" t="s">
        <v>7832</v>
      </c>
      <c r="FD1067" s="67" t="s">
        <v>7833</v>
      </c>
      <c r="FE1067" s="68" t="s">
        <v>7834</v>
      </c>
      <c r="FF1067" s="68" t="s">
        <v>7835</v>
      </c>
    </row>
    <row r="1068" spans="151:162" x14ac:dyDescent="0.2">
      <c r="EU1068" s="67">
        <v>582.26</v>
      </c>
      <c r="EV1068" s="67" t="s">
        <v>7836</v>
      </c>
      <c r="EW1068" s="67">
        <v>507.23</v>
      </c>
      <c r="EX1068" s="67" t="s">
        <v>7837</v>
      </c>
      <c r="EY1068" s="67">
        <v>5835</v>
      </c>
      <c r="EZ1068" s="67" t="s">
        <v>7838</v>
      </c>
      <c r="FA1068" s="67">
        <v>20828.25</v>
      </c>
      <c r="FB1068" s="67" t="s">
        <v>7839</v>
      </c>
      <c r="FC1068" s="67" t="s">
        <v>7840</v>
      </c>
      <c r="FD1068" s="67" t="s">
        <v>7841</v>
      </c>
      <c r="FE1068" s="68" t="s">
        <v>7842</v>
      </c>
      <c r="FF1068" s="68" t="s">
        <v>7843</v>
      </c>
    </row>
    <row r="1069" spans="151:162" x14ac:dyDescent="0.2">
      <c r="EU1069" s="67">
        <v>582.15200000000004</v>
      </c>
      <c r="EV1069" s="67" t="s">
        <v>7844</v>
      </c>
      <c r="EW1069" s="67">
        <v>507.19</v>
      </c>
      <c r="EX1069" s="67" t="s">
        <v>7845</v>
      </c>
      <c r="EY1069" s="67">
        <v>5834</v>
      </c>
      <c r="EZ1069" s="67" t="s">
        <v>7846</v>
      </c>
      <c r="FA1069" s="67">
        <v>20826.75</v>
      </c>
      <c r="FB1069" s="67" t="s">
        <v>7847</v>
      </c>
      <c r="FC1069" s="67" t="s">
        <v>7848</v>
      </c>
      <c r="FD1069" s="67" t="s">
        <v>7849</v>
      </c>
      <c r="FE1069" s="68" t="s">
        <v>7850</v>
      </c>
      <c r="FF1069" s="68" t="s">
        <v>7851</v>
      </c>
    </row>
    <row r="1070" spans="151:162" x14ac:dyDescent="0.2">
      <c r="EU1070" s="67">
        <v>582.16</v>
      </c>
      <c r="EV1070" s="67" t="s">
        <v>7852</v>
      </c>
      <c r="EW1070" s="67">
        <v>507.17</v>
      </c>
      <c r="EX1070" s="67" t="s">
        <v>7853</v>
      </c>
      <c r="EY1070" s="67">
        <v>5834</v>
      </c>
      <c r="EZ1070" s="67" t="s">
        <v>7854</v>
      </c>
      <c r="FA1070" s="67">
        <v>20825.5</v>
      </c>
      <c r="FB1070" s="67" t="s">
        <v>7855</v>
      </c>
      <c r="FC1070" s="67" t="s">
        <v>7856</v>
      </c>
      <c r="FD1070" s="67" t="s">
        <v>7857</v>
      </c>
      <c r="FE1070" s="68" t="s">
        <v>7858</v>
      </c>
      <c r="FF1070" s="68" t="s">
        <v>7859</v>
      </c>
    </row>
    <row r="1071" spans="151:162" x14ac:dyDescent="0.2">
      <c r="EU1071" s="67">
        <v>581.94000000000005</v>
      </c>
      <c r="EV1071" s="67" t="s">
        <v>7860</v>
      </c>
      <c r="EW1071" s="67">
        <v>506.99</v>
      </c>
      <c r="EX1071" s="67" t="s">
        <v>7861</v>
      </c>
      <c r="EY1071" s="67">
        <v>5831.5</v>
      </c>
      <c r="EZ1071" s="67" t="s">
        <v>7862</v>
      </c>
      <c r="FA1071" s="67">
        <v>20817.5</v>
      </c>
      <c r="FB1071" s="67" t="s">
        <v>7863</v>
      </c>
      <c r="FC1071" s="67" t="s">
        <v>7864</v>
      </c>
      <c r="FD1071" s="67" t="s">
        <v>7865</v>
      </c>
      <c r="FE1071" s="68" t="s">
        <v>7866</v>
      </c>
      <c r="FF1071" s="68" t="s">
        <v>7867</v>
      </c>
    </row>
    <row r="1072" spans="151:162" x14ac:dyDescent="0.2">
      <c r="EU1072" s="67">
        <v>581.82000000000005</v>
      </c>
      <c r="EV1072" s="67" t="s">
        <v>7868</v>
      </c>
      <c r="EW1072" s="67">
        <v>506.86</v>
      </c>
      <c r="EX1072" s="67" t="s">
        <v>7869</v>
      </c>
      <c r="EY1072" s="67">
        <v>5830.5</v>
      </c>
      <c r="EZ1072" s="67" t="s">
        <v>7870</v>
      </c>
      <c r="FA1072" s="67">
        <v>20812.75</v>
      </c>
      <c r="FB1072" s="67" t="s">
        <v>7871</v>
      </c>
      <c r="FC1072" s="67" t="s">
        <v>7872</v>
      </c>
      <c r="FD1072" s="67" t="s">
        <v>7873</v>
      </c>
      <c r="FE1072" s="68" t="s">
        <v>7874</v>
      </c>
      <c r="FF1072" s="68" t="s">
        <v>7875</v>
      </c>
    </row>
    <row r="1073" spans="151:162" x14ac:dyDescent="0.2">
      <c r="EU1073" s="67">
        <v>581.74</v>
      </c>
      <c r="EV1073" s="67" t="s">
        <v>7876</v>
      </c>
      <c r="EW1073" s="67">
        <v>506.78</v>
      </c>
      <c r="EX1073" s="67" t="s">
        <v>7877</v>
      </c>
      <c r="EY1073" s="67">
        <v>5829.75</v>
      </c>
      <c r="EZ1073" s="67" t="s">
        <v>7878</v>
      </c>
      <c r="FA1073" s="67">
        <v>20808.25</v>
      </c>
      <c r="FB1073" s="67" t="s">
        <v>7879</v>
      </c>
      <c r="FC1073" s="67" t="s">
        <v>7880</v>
      </c>
      <c r="FD1073" s="67" t="s">
        <v>7881</v>
      </c>
      <c r="FE1073" s="68" t="s">
        <v>7882</v>
      </c>
      <c r="FF1073" s="68" t="s">
        <v>7883</v>
      </c>
    </row>
    <row r="1074" spans="151:162" x14ac:dyDescent="0.2">
      <c r="EU1074" s="67">
        <v>581.57100000000003</v>
      </c>
      <c r="EV1074" s="67" t="s">
        <v>7884</v>
      </c>
      <c r="EW1074" s="67">
        <v>506.63</v>
      </c>
      <c r="EX1074" s="67" t="s">
        <v>7885</v>
      </c>
      <c r="EY1074" s="67">
        <v>5828</v>
      </c>
      <c r="EZ1074" s="67" t="s">
        <v>7886</v>
      </c>
      <c r="FA1074" s="67">
        <v>20803.25</v>
      </c>
      <c r="FB1074" s="67" t="s">
        <v>7887</v>
      </c>
      <c r="FC1074" s="67" t="s">
        <v>7888</v>
      </c>
      <c r="FD1074" s="67" t="s">
        <v>7889</v>
      </c>
      <c r="FE1074" s="68" t="s">
        <v>7890</v>
      </c>
      <c r="FF1074" s="68" t="s">
        <v>7891</v>
      </c>
    </row>
    <row r="1075" spans="151:162" x14ac:dyDescent="0.2">
      <c r="EU1075" s="67">
        <v>581.70000000000005</v>
      </c>
      <c r="EV1075" s="67" t="s">
        <v>7892</v>
      </c>
      <c r="EW1075" s="67">
        <v>506.72</v>
      </c>
      <c r="EX1075" s="67" t="s">
        <v>7893</v>
      </c>
      <c r="EY1075" s="67">
        <v>5829.25</v>
      </c>
      <c r="EZ1075" s="67" t="s">
        <v>7894</v>
      </c>
      <c r="FA1075" s="67">
        <v>20807.75</v>
      </c>
      <c r="FB1075" s="67" t="s">
        <v>7895</v>
      </c>
      <c r="FC1075" s="67" t="s">
        <v>7896</v>
      </c>
      <c r="FD1075" s="67" t="s">
        <v>7897</v>
      </c>
      <c r="FE1075" s="68" t="s">
        <v>7898</v>
      </c>
      <c r="FF1075" s="68" t="s">
        <v>7899</v>
      </c>
    </row>
    <row r="1076" spans="151:162" x14ac:dyDescent="0.2">
      <c r="EU1076" s="67">
        <v>581.62</v>
      </c>
      <c r="EV1076" s="67" t="s">
        <v>7900</v>
      </c>
      <c r="EW1076" s="67">
        <v>506.63</v>
      </c>
      <c r="EX1076" s="67" t="s">
        <v>7901</v>
      </c>
      <c r="EY1076" s="67">
        <v>5828.5</v>
      </c>
      <c r="EZ1076" s="67" t="s">
        <v>7902</v>
      </c>
      <c r="FA1076" s="67">
        <v>20803</v>
      </c>
      <c r="FB1076" s="67" t="s">
        <v>7903</v>
      </c>
      <c r="FC1076" s="67" t="s">
        <v>7904</v>
      </c>
      <c r="FD1076" s="67" t="s">
        <v>7905</v>
      </c>
      <c r="FE1076" s="68" t="s">
        <v>7906</v>
      </c>
      <c r="FF1076" s="68" t="s">
        <v>7907</v>
      </c>
    </row>
    <row r="1077" spans="151:162" x14ac:dyDescent="0.2">
      <c r="EU1077" s="67">
        <v>581.62</v>
      </c>
      <c r="EV1077" s="67" t="s">
        <v>7908</v>
      </c>
      <c r="EW1077" s="67">
        <v>506.57</v>
      </c>
      <c r="EX1077" s="67" t="s">
        <v>7909</v>
      </c>
      <c r="EY1077" s="67">
        <v>5828.5</v>
      </c>
      <c r="EZ1077" s="67" t="s">
        <v>7910</v>
      </c>
      <c r="FA1077" s="67">
        <v>20800</v>
      </c>
      <c r="FB1077" s="67" t="s">
        <v>7911</v>
      </c>
      <c r="FC1077" s="67" t="s">
        <v>7912</v>
      </c>
      <c r="FD1077" s="67" t="s">
        <v>7913</v>
      </c>
      <c r="FE1077" s="68" t="s">
        <v>7914</v>
      </c>
      <c r="FF1077" s="68" t="s">
        <v>7915</v>
      </c>
    </row>
    <row r="1078" spans="151:162" x14ac:dyDescent="0.2">
      <c r="EU1078" s="67">
        <v>581.73</v>
      </c>
      <c r="EV1078" s="67" t="s">
        <v>7916</v>
      </c>
      <c r="EW1078" s="67">
        <v>506.64</v>
      </c>
      <c r="EX1078" s="67" t="s">
        <v>7917</v>
      </c>
      <c r="EY1078" s="67">
        <v>5829.75</v>
      </c>
      <c r="EZ1078" s="67" t="s">
        <v>7918</v>
      </c>
      <c r="FA1078" s="67">
        <v>20803.75</v>
      </c>
      <c r="FB1078" s="67" t="s">
        <v>7919</v>
      </c>
      <c r="FC1078" s="67" t="s">
        <v>7920</v>
      </c>
      <c r="FD1078" s="67" t="s">
        <v>7921</v>
      </c>
      <c r="FE1078" s="68" t="s">
        <v>7922</v>
      </c>
      <c r="FF1078" s="68" t="s">
        <v>7923</v>
      </c>
    </row>
    <row r="1079" spans="151:162" x14ac:dyDescent="0.2">
      <c r="EU1079" s="67">
        <v>581.85</v>
      </c>
      <c r="EV1079" s="67" t="s">
        <v>7924</v>
      </c>
      <c r="EW1079" s="67">
        <v>506.73</v>
      </c>
      <c r="EX1079" s="67" t="s">
        <v>7925</v>
      </c>
      <c r="EY1079" s="67">
        <v>5830.5</v>
      </c>
      <c r="EZ1079" s="67" t="s">
        <v>7926</v>
      </c>
      <c r="FA1079" s="67">
        <v>20808.5</v>
      </c>
      <c r="FB1079" s="67" t="s">
        <v>7927</v>
      </c>
      <c r="FC1079" s="67" t="s">
        <v>7928</v>
      </c>
      <c r="FD1079" s="67" t="s">
        <v>7929</v>
      </c>
      <c r="FE1079" s="68" t="s">
        <v>7930</v>
      </c>
      <c r="FF1079" s="68" t="s">
        <v>7931</v>
      </c>
    </row>
    <row r="1080" spans="151:162" x14ac:dyDescent="0.2">
      <c r="EU1080" s="67">
        <v>581.60500000000002</v>
      </c>
      <c r="EV1080" s="67" t="s">
        <v>7932</v>
      </c>
      <c r="EW1080" s="67">
        <v>506.52</v>
      </c>
      <c r="EX1080" s="67" t="s">
        <v>7933</v>
      </c>
      <c r="EY1080" s="67">
        <v>5828.5</v>
      </c>
      <c r="EZ1080" s="67" t="s">
        <v>7934</v>
      </c>
      <c r="FA1080" s="67">
        <v>20799.75</v>
      </c>
      <c r="FB1080" s="67" t="s">
        <v>7935</v>
      </c>
      <c r="FC1080" s="67" t="s">
        <v>7936</v>
      </c>
      <c r="FD1080" s="67" t="s">
        <v>7937</v>
      </c>
      <c r="FE1080" s="68" t="s">
        <v>7938</v>
      </c>
      <c r="FF1080" s="68" t="s">
        <v>7939</v>
      </c>
    </row>
    <row r="1081" spans="151:162" x14ac:dyDescent="0.2">
      <c r="EU1081" s="67">
        <v>581.54</v>
      </c>
      <c r="EV1081" s="67" t="s">
        <v>7940</v>
      </c>
      <c r="EW1081" s="67">
        <v>506.46</v>
      </c>
      <c r="EX1081" s="67" t="s">
        <v>7941</v>
      </c>
      <c r="EY1081" s="67">
        <v>5827.5</v>
      </c>
      <c r="EZ1081" s="67" t="s">
        <v>7942</v>
      </c>
      <c r="FA1081" s="67">
        <v>20794.75</v>
      </c>
      <c r="FB1081" s="67" t="s">
        <v>7943</v>
      </c>
      <c r="FC1081" s="67" t="s">
        <v>7944</v>
      </c>
      <c r="FD1081" s="67" t="s">
        <v>7945</v>
      </c>
      <c r="FE1081" s="68" t="s">
        <v>7946</v>
      </c>
      <c r="FF1081" s="68" t="s">
        <v>7947</v>
      </c>
    </row>
    <row r="1082" spans="151:162" x14ac:dyDescent="0.2">
      <c r="EU1082" s="67">
        <v>581.17999999999995</v>
      </c>
      <c r="EV1082" s="67" t="s">
        <v>7948</v>
      </c>
      <c r="EW1082" s="67">
        <v>506.18</v>
      </c>
      <c r="EX1082" s="67" t="s">
        <v>7949</v>
      </c>
      <c r="EY1082" s="67">
        <v>5824.25</v>
      </c>
      <c r="EZ1082" s="67" t="s">
        <v>7950</v>
      </c>
      <c r="FA1082" s="67">
        <v>20784.5</v>
      </c>
      <c r="FB1082" s="67" t="s">
        <v>7951</v>
      </c>
      <c r="FC1082" s="67" t="s">
        <v>7952</v>
      </c>
      <c r="FD1082" s="67" t="s">
        <v>7953</v>
      </c>
      <c r="FE1082" s="68" t="s">
        <v>7954</v>
      </c>
      <c r="FF1082" s="68" t="s">
        <v>7955</v>
      </c>
    </row>
    <row r="1083" spans="151:162" x14ac:dyDescent="0.2">
      <c r="EU1083" s="67">
        <v>581.39</v>
      </c>
      <c r="EV1083" s="67" t="s">
        <v>7956</v>
      </c>
      <c r="EW1083" s="67">
        <v>506.38499999999999</v>
      </c>
      <c r="EX1083" s="67" t="s">
        <v>7957</v>
      </c>
      <c r="EY1083" s="67">
        <v>5826</v>
      </c>
      <c r="EZ1083" s="67" t="s">
        <v>7958</v>
      </c>
      <c r="FA1083" s="67">
        <v>20794.25</v>
      </c>
      <c r="FB1083" s="67" t="s">
        <v>7959</v>
      </c>
      <c r="FC1083" s="67" t="s">
        <v>7960</v>
      </c>
      <c r="FD1083" s="67" t="s">
        <v>7961</v>
      </c>
      <c r="FE1083" s="68" t="s">
        <v>7962</v>
      </c>
      <c r="FF1083" s="68" t="s">
        <v>7963</v>
      </c>
    </row>
    <row r="1084" spans="151:162" x14ac:dyDescent="0.2">
      <c r="EU1084" s="67">
        <v>581.6</v>
      </c>
      <c r="EV1084" s="67" t="s">
        <v>7964</v>
      </c>
      <c r="EW1084" s="67">
        <v>506.52</v>
      </c>
      <c r="EX1084" s="67" t="s">
        <v>7965</v>
      </c>
      <c r="EY1084" s="67">
        <v>5828</v>
      </c>
      <c r="EZ1084" s="67" t="s">
        <v>7966</v>
      </c>
      <c r="FA1084" s="67">
        <v>20800.25</v>
      </c>
      <c r="FB1084" s="67" t="s">
        <v>7967</v>
      </c>
      <c r="FC1084" s="67" t="s">
        <v>7968</v>
      </c>
      <c r="FD1084" s="67" t="s">
        <v>7969</v>
      </c>
      <c r="FE1084" s="68" t="s">
        <v>7970</v>
      </c>
      <c r="FF1084" s="68" t="s">
        <v>7971</v>
      </c>
    </row>
    <row r="1085" spans="151:162" x14ac:dyDescent="0.2">
      <c r="EU1085" s="67">
        <v>581.86</v>
      </c>
      <c r="EV1085" s="67" t="s">
        <v>7972</v>
      </c>
      <c r="EW1085" s="67">
        <v>506.75</v>
      </c>
      <c r="EX1085" s="67" t="s">
        <v>7973</v>
      </c>
      <c r="EY1085" s="67">
        <v>5830.75</v>
      </c>
      <c r="EZ1085" s="67" t="s">
        <v>7974</v>
      </c>
      <c r="FA1085" s="67">
        <v>20808.5</v>
      </c>
      <c r="FB1085" s="67" t="s">
        <v>7975</v>
      </c>
      <c r="FC1085" s="67" t="s">
        <v>7976</v>
      </c>
      <c r="FD1085" s="67" t="s">
        <v>7977</v>
      </c>
      <c r="FE1085" s="68" t="s">
        <v>7978</v>
      </c>
      <c r="FF1085" s="68" t="s">
        <v>7979</v>
      </c>
    </row>
    <row r="1086" spans="151:162" x14ac:dyDescent="0.2">
      <c r="EU1086" s="67">
        <v>582.02099999999996</v>
      </c>
      <c r="EV1086" s="67" t="s">
        <v>7980</v>
      </c>
      <c r="EW1086" s="67">
        <v>506.92</v>
      </c>
      <c r="EX1086" s="67" t="s">
        <v>7981</v>
      </c>
      <c r="EY1086" s="67">
        <v>5832.75</v>
      </c>
      <c r="EZ1086" s="67" t="s">
        <v>7982</v>
      </c>
      <c r="FA1086" s="67">
        <v>20815.5</v>
      </c>
      <c r="FB1086" s="67" t="s">
        <v>7983</v>
      </c>
      <c r="FC1086" s="67" t="s">
        <v>7984</v>
      </c>
      <c r="FD1086" s="67" t="s">
        <v>7985</v>
      </c>
      <c r="FE1086" s="68" t="s">
        <v>7986</v>
      </c>
      <c r="FF1086" s="68" t="s">
        <v>7987</v>
      </c>
    </row>
    <row r="1087" spans="151:162" x14ac:dyDescent="0.2">
      <c r="EU1087" s="67">
        <v>581.99</v>
      </c>
      <c r="EV1087" s="67" t="s">
        <v>7988</v>
      </c>
      <c r="EW1087" s="67">
        <v>506.94</v>
      </c>
      <c r="EX1087" s="67" t="s">
        <v>7989</v>
      </c>
      <c r="EY1087" s="67">
        <v>5832.25</v>
      </c>
      <c r="EZ1087" s="67" t="s">
        <v>7990</v>
      </c>
      <c r="FA1087" s="67">
        <v>20815.75</v>
      </c>
      <c r="FB1087" s="67" t="s">
        <v>7991</v>
      </c>
      <c r="FC1087" s="67" t="s">
        <v>7992</v>
      </c>
      <c r="FD1087" s="67" t="s">
        <v>7993</v>
      </c>
      <c r="FE1087" s="68" t="s">
        <v>7994</v>
      </c>
      <c r="FF1087" s="68" t="s">
        <v>7995</v>
      </c>
    </row>
    <row r="1088" spans="151:162" x14ac:dyDescent="0.2">
      <c r="EU1088" s="67">
        <v>582.03499999999997</v>
      </c>
      <c r="EV1088" s="67" t="s">
        <v>7996</v>
      </c>
      <c r="EW1088" s="67">
        <v>507.01</v>
      </c>
      <c r="EX1088" s="67" t="s">
        <v>7997</v>
      </c>
      <c r="EY1088" s="67">
        <v>5832.5</v>
      </c>
      <c r="EZ1088" s="67" t="s">
        <v>7998</v>
      </c>
      <c r="FA1088" s="67">
        <v>20819.5</v>
      </c>
      <c r="FB1088" s="67" t="s">
        <v>7999</v>
      </c>
      <c r="FC1088" s="67" t="s">
        <v>8000</v>
      </c>
      <c r="FD1088" s="67" t="s">
        <v>8001</v>
      </c>
      <c r="FE1088" s="68" t="s">
        <v>8002</v>
      </c>
      <c r="FF1088" s="68" t="s">
        <v>8003</v>
      </c>
    </row>
    <row r="1089" spans="151:162" x14ac:dyDescent="0.2">
      <c r="EU1089" s="67">
        <v>582.11</v>
      </c>
      <c r="EV1089" s="67" t="s">
        <v>8004</v>
      </c>
      <c r="EW1089" s="67">
        <v>507.11</v>
      </c>
      <c r="EX1089" s="67" t="s">
        <v>8005</v>
      </c>
      <c r="EY1089" s="67">
        <v>5833.25</v>
      </c>
      <c r="EZ1089" s="67" t="s">
        <v>8006</v>
      </c>
      <c r="FA1089" s="67">
        <v>20822.25</v>
      </c>
      <c r="FB1089" s="67" t="s">
        <v>8007</v>
      </c>
      <c r="FC1089" s="67" t="s">
        <v>8008</v>
      </c>
      <c r="FD1089" s="67" t="s">
        <v>8009</v>
      </c>
      <c r="FE1089" s="68" t="s">
        <v>8010</v>
      </c>
      <c r="FF1089" s="68" t="s">
        <v>8011</v>
      </c>
    </row>
    <row r="1090" spans="151:162" x14ac:dyDescent="0.2">
      <c r="EU1090" s="67">
        <v>582.11</v>
      </c>
      <c r="EV1090" s="67" t="s">
        <v>8012</v>
      </c>
      <c r="EW1090" s="67">
        <v>507.11</v>
      </c>
      <c r="EX1090" s="67" t="s">
        <v>8013</v>
      </c>
      <c r="EY1090" s="67">
        <v>5833.5</v>
      </c>
      <c r="EZ1090" s="67" t="s">
        <v>8014</v>
      </c>
      <c r="FA1090" s="67">
        <v>20822.25</v>
      </c>
      <c r="FB1090" s="67" t="s">
        <v>8015</v>
      </c>
      <c r="FC1090" s="67" t="s">
        <v>8016</v>
      </c>
      <c r="FD1090" s="67" t="s">
        <v>8017</v>
      </c>
      <c r="FE1090" s="68" t="s">
        <v>8018</v>
      </c>
      <c r="FF1090" s="68" t="s">
        <v>8019</v>
      </c>
    </row>
    <row r="1091" spans="151:162" x14ac:dyDescent="0.2">
      <c r="EU1091" s="67">
        <v>582.03</v>
      </c>
      <c r="EV1091" s="67" t="s">
        <v>8020</v>
      </c>
      <c r="EW1091" s="67">
        <v>507.02</v>
      </c>
      <c r="EX1091" s="67" t="s">
        <v>8021</v>
      </c>
      <c r="EY1091" s="67">
        <v>5832.5</v>
      </c>
      <c r="EZ1091" s="67" t="s">
        <v>8022</v>
      </c>
      <c r="FA1091" s="67">
        <v>20819.5</v>
      </c>
      <c r="FB1091" s="67" t="s">
        <v>8023</v>
      </c>
      <c r="FC1091" s="67" t="s">
        <v>8024</v>
      </c>
      <c r="FD1091" s="67" t="s">
        <v>8025</v>
      </c>
      <c r="FE1091" s="68" t="s">
        <v>8026</v>
      </c>
      <c r="FF1091" s="68" t="s">
        <v>8027</v>
      </c>
    </row>
    <row r="1092" spans="151:162" x14ac:dyDescent="0.2">
      <c r="EU1092" s="67">
        <v>581.94000000000005</v>
      </c>
      <c r="EV1092" s="67" t="s">
        <v>8028</v>
      </c>
      <c r="EW1092" s="67">
        <v>506.87</v>
      </c>
      <c r="EX1092" s="67" t="s">
        <v>8029</v>
      </c>
      <c r="EY1092" s="67">
        <v>5831.75</v>
      </c>
      <c r="EZ1092" s="67" t="s">
        <v>8030</v>
      </c>
      <c r="FA1092" s="67">
        <v>20813.25</v>
      </c>
      <c r="FB1092" s="67" t="s">
        <v>8031</v>
      </c>
      <c r="FC1092" s="67" t="s">
        <v>8032</v>
      </c>
      <c r="FD1092" s="67" t="s">
        <v>8033</v>
      </c>
      <c r="FE1092" s="68" t="s">
        <v>8034</v>
      </c>
      <c r="FF1092" s="68" t="s">
        <v>8035</v>
      </c>
    </row>
    <row r="1093" spans="151:162" x14ac:dyDescent="0.2">
      <c r="EU1093" s="67">
        <v>581.92100000000005</v>
      </c>
      <c r="EV1093" s="67" t="s">
        <v>8036</v>
      </c>
      <c r="EW1093" s="67">
        <v>506.89</v>
      </c>
      <c r="EX1093" s="67" t="s">
        <v>8037</v>
      </c>
      <c r="EY1093" s="67">
        <v>5831.5</v>
      </c>
      <c r="EZ1093" s="67" t="s">
        <v>8038</v>
      </c>
      <c r="FA1093" s="67">
        <v>20813.5</v>
      </c>
      <c r="FB1093" s="67" t="s">
        <v>8039</v>
      </c>
      <c r="FC1093" s="67" t="s">
        <v>8040</v>
      </c>
      <c r="FD1093" s="67" t="s">
        <v>8041</v>
      </c>
      <c r="FE1093" s="68" t="s">
        <v>8042</v>
      </c>
      <c r="FF1093" s="68" t="s">
        <v>8043</v>
      </c>
    </row>
    <row r="1094" spans="151:162" x14ac:dyDescent="0.2">
      <c r="EU1094" s="67">
        <v>581.79999999999995</v>
      </c>
      <c r="EV1094" s="67" t="s">
        <v>8044</v>
      </c>
      <c r="EW1094" s="67">
        <v>506.8</v>
      </c>
      <c r="EX1094" s="67" t="s">
        <v>8045</v>
      </c>
      <c r="EY1094" s="67">
        <v>5830</v>
      </c>
      <c r="EZ1094" s="67" t="s">
        <v>8046</v>
      </c>
      <c r="FA1094" s="67">
        <v>20810</v>
      </c>
      <c r="FB1094" s="67" t="s">
        <v>8047</v>
      </c>
      <c r="FC1094" s="67" t="s">
        <v>8048</v>
      </c>
      <c r="FD1094" s="67" t="s">
        <v>8049</v>
      </c>
      <c r="FE1094" s="68" t="s">
        <v>8050</v>
      </c>
      <c r="FF1094" s="68" t="s">
        <v>8051</v>
      </c>
    </row>
    <row r="1095" spans="151:162" x14ac:dyDescent="0.2">
      <c r="EU1095" s="67">
        <v>581.67999999999995</v>
      </c>
      <c r="EV1095" s="67" t="s">
        <v>8052</v>
      </c>
      <c r="EW1095" s="67">
        <v>506.7</v>
      </c>
      <c r="EX1095" s="67" t="s">
        <v>8053</v>
      </c>
      <c r="EY1095" s="67">
        <v>5829</v>
      </c>
      <c r="EZ1095" s="67" t="s">
        <v>8054</v>
      </c>
      <c r="FA1095" s="67">
        <v>20806.25</v>
      </c>
      <c r="FB1095" s="67" t="s">
        <v>8055</v>
      </c>
      <c r="FC1095" s="67" t="s">
        <v>8056</v>
      </c>
      <c r="FD1095" s="67" t="s">
        <v>8057</v>
      </c>
      <c r="FE1095" s="68" t="s">
        <v>8058</v>
      </c>
      <c r="FF1095" s="68" t="s">
        <v>8059</v>
      </c>
    </row>
    <row r="1096" spans="151:162" x14ac:dyDescent="0.2">
      <c r="EU1096" s="67">
        <v>581.625</v>
      </c>
      <c r="EV1096" s="67" t="s">
        <v>8060</v>
      </c>
      <c r="EW1096" s="67">
        <v>506.565</v>
      </c>
      <c r="EX1096" s="67" t="s">
        <v>8061</v>
      </c>
      <c r="EY1096" s="67">
        <v>5828.5</v>
      </c>
      <c r="EZ1096" s="67" t="s">
        <v>8062</v>
      </c>
      <c r="FA1096" s="67">
        <v>20799.25</v>
      </c>
      <c r="FB1096" s="67" t="s">
        <v>8063</v>
      </c>
      <c r="FC1096" s="67" t="s">
        <v>8064</v>
      </c>
      <c r="FD1096" s="67" t="s">
        <v>8065</v>
      </c>
      <c r="FE1096" s="68" t="s">
        <v>8066</v>
      </c>
      <c r="FF1096" s="68" t="s">
        <v>8067</v>
      </c>
    </row>
    <row r="1097" spans="151:162" x14ac:dyDescent="0.2">
      <c r="EU1097" s="67">
        <v>581.84</v>
      </c>
      <c r="EV1097" s="67" t="s">
        <v>8068</v>
      </c>
      <c r="EW1097" s="67">
        <v>506.70499999999998</v>
      </c>
      <c r="EX1097" s="67" t="s">
        <v>8069</v>
      </c>
      <c r="EY1097" s="67">
        <v>5830.5</v>
      </c>
      <c r="EZ1097" s="67" t="s">
        <v>8070</v>
      </c>
      <c r="FA1097" s="67">
        <v>20806.5</v>
      </c>
      <c r="FB1097" s="67" t="s">
        <v>8071</v>
      </c>
      <c r="FC1097" s="67" t="s">
        <v>8072</v>
      </c>
      <c r="FD1097" s="67" t="s">
        <v>8073</v>
      </c>
      <c r="FE1097" s="68" t="s">
        <v>8074</v>
      </c>
      <c r="FF1097" s="68" t="s">
        <v>8075</v>
      </c>
    </row>
    <row r="1098" spans="151:162" x14ac:dyDescent="0.2">
      <c r="EU1098" s="67">
        <v>581.98</v>
      </c>
      <c r="EV1098" s="67" t="s">
        <v>8076</v>
      </c>
      <c r="EW1098" s="67">
        <v>506.83</v>
      </c>
      <c r="EX1098" s="67" t="s">
        <v>8077</v>
      </c>
      <c r="EY1098" s="67">
        <v>5832</v>
      </c>
      <c r="EZ1098" s="67" t="s">
        <v>8078</v>
      </c>
      <c r="FA1098" s="67">
        <v>20811.5</v>
      </c>
      <c r="FB1098" s="67" t="s">
        <v>8079</v>
      </c>
      <c r="FC1098" s="67" t="s">
        <v>8080</v>
      </c>
      <c r="FD1098" s="67" t="s">
        <v>8081</v>
      </c>
      <c r="FE1098" s="68" t="s">
        <v>8082</v>
      </c>
      <c r="FF1098" s="68" t="s">
        <v>8083</v>
      </c>
    </row>
    <row r="1099" spans="151:162" x14ac:dyDescent="0.2">
      <c r="EU1099" s="67">
        <v>582.04</v>
      </c>
      <c r="EV1099" s="67" t="s">
        <v>8084</v>
      </c>
      <c r="EW1099" s="67">
        <v>506.86</v>
      </c>
      <c r="EX1099" s="67" t="s">
        <v>8085</v>
      </c>
      <c r="EY1099" s="67">
        <v>5832.5</v>
      </c>
      <c r="EZ1099" s="67" t="s">
        <v>8086</v>
      </c>
      <c r="FA1099" s="67">
        <v>20809</v>
      </c>
      <c r="FB1099" s="67" t="s">
        <v>8087</v>
      </c>
      <c r="FC1099" s="67" t="s">
        <v>8088</v>
      </c>
      <c r="FD1099" s="67" t="s">
        <v>8089</v>
      </c>
      <c r="FE1099" s="68" t="s">
        <v>8090</v>
      </c>
      <c r="FF1099" s="68" t="s">
        <v>8091</v>
      </c>
    </row>
    <row r="1100" spans="151:162" x14ac:dyDescent="0.2">
      <c r="EU1100" s="67">
        <v>582</v>
      </c>
      <c r="EV1100" s="67" t="s">
        <v>8092</v>
      </c>
      <c r="EW1100" s="67">
        <v>506.87</v>
      </c>
      <c r="EX1100" s="67" t="s">
        <v>8093</v>
      </c>
      <c r="EY1100" s="67">
        <v>5832</v>
      </c>
      <c r="EZ1100" s="67" t="s">
        <v>8094</v>
      </c>
      <c r="FA1100" s="67">
        <v>20812.75</v>
      </c>
      <c r="FB1100" s="67" t="s">
        <v>8095</v>
      </c>
      <c r="FC1100" s="67" t="s">
        <v>8096</v>
      </c>
      <c r="FD1100" s="67" t="s">
        <v>8097</v>
      </c>
      <c r="FE1100" s="68" t="s">
        <v>8098</v>
      </c>
      <c r="FF1100" s="68" t="s">
        <v>8099</v>
      </c>
    </row>
    <row r="1101" spans="151:162" x14ac:dyDescent="0.2">
      <c r="EU1101" s="67">
        <v>581.95000000000005</v>
      </c>
      <c r="EV1101" s="67" t="s">
        <v>8100</v>
      </c>
      <c r="EW1101" s="67">
        <v>506.78</v>
      </c>
      <c r="EX1101" s="67" t="s">
        <v>8101</v>
      </c>
      <c r="EY1101" s="67">
        <v>5831.25</v>
      </c>
      <c r="EZ1101" s="67" t="s">
        <v>8102</v>
      </c>
      <c r="FA1101" s="67">
        <v>20808.75</v>
      </c>
      <c r="FB1101" s="67" t="s">
        <v>8103</v>
      </c>
      <c r="FC1101" s="67" t="s">
        <v>8104</v>
      </c>
      <c r="FD1101" s="67" t="s">
        <v>8105</v>
      </c>
      <c r="FE1101" s="68" t="s">
        <v>8106</v>
      </c>
      <c r="FF1101" s="68" t="s">
        <v>8107</v>
      </c>
    </row>
    <row r="1102" spans="151:162" x14ac:dyDescent="0.2">
      <c r="EU1102" s="67">
        <v>581.79</v>
      </c>
      <c r="EV1102" s="67" t="s">
        <v>8108</v>
      </c>
      <c r="EW1102" s="67">
        <v>506.61</v>
      </c>
      <c r="EX1102" s="67" t="s">
        <v>8109</v>
      </c>
      <c r="EY1102" s="67">
        <v>5829.75</v>
      </c>
      <c r="EZ1102" s="67" t="s">
        <v>8110</v>
      </c>
      <c r="FA1102" s="67">
        <v>20803.5</v>
      </c>
      <c r="FB1102" s="67" t="s">
        <v>8111</v>
      </c>
      <c r="FC1102" s="67" t="s">
        <v>8112</v>
      </c>
      <c r="FD1102" s="67" t="s">
        <v>8113</v>
      </c>
      <c r="FE1102" s="68" t="s">
        <v>8114</v>
      </c>
      <c r="FF1102" s="68" t="s">
        <v>8115</v>
      </c>
    </row>
    <row r="1103" spans="151:162" x14ac:dyDescent="0.2">
      <c r="EU1103" s="67">
        <v>581.95000000000005</v>
      </c>
      <c r="EV1103" s="67" t="s">
        <v>8116</v>
      </c>
      <c r="EW1103" s="67">
        <v>506.75700000000001</v>
      </c>
      <c r="EX1103" s="67" t="s">
        <v>8117</v>
      </c>
      <c r="EY1103" s="67">
        <v>5831.5</v>
      </c>
      <c r="EZ1103" s="67" t="s">
        <v>8118</v>
      </c>
      <c r="FA1103" s="67">
        <v>20808</v>
      </c>
      <c r="FB1103" s="67" t="s">
        <v>8119</v>
      </c>
      <c r="FC1103" s="67" t="s">
        <v>8120</v>
      </c>
      <c r="FD1103" s="67" t="s">
        <v>8121</v>
      </c>
      <c r="FE1103" s="68" t="s">
        <v>8122</v>
      </c>
      <c r="FF1103" s="68" t="s">
        <v>8123</v>
      </c>
    </row>
    <row r="1104" spans="151:162" x14ac:dyDescent="0.2">
      <c r="EU1104" s="67">
        <v>581.90899999999999</v>
      </c>
      <c r="EV1104" s="67" t="s">
        <v>8124</v>
      </c>
      <c r="EW1104" s="67">
        <v>506.64</v>
      </c>
      <c r="EX1104" s="67" t="s">
        <v>8125</v>
      </c>
      <c r="EY1104" s="67">
        <v>5831</v>
      </c>
      <c r="EZ1104" s="67" t="s">
        <v>8126</v>
      </c>
      <c r="FA1104" s="67">
        <v>20803</v>
      </c>
      <c r="FB1104" s="67" t="s">
        <v>8127</v>
      </c>
      <c r="FC1104" s="67" t="s">
        <v>8128</v>
      </c>
      <c r="FD1104" s="67" t="s">
        <v>8129</v>
      </c>
      <c r="FE1104" s="68" t="s">
        <v>8130</v>
      </c>
      <c r="FF1104" s="68" t="s">
        <v>8131</v>
      </c>
    </row>
    <row r="1105" spans="151:162" x14ac:dyDescent="0.2">
      <c r="EU1105" s="67">
        <v>581.80999999999995</v>
      </c>
      <c r="EV1105" s="67" t="s">
        <v>8132</v>
      </c>
      <c r="EW1105" s="67">
        <v>506.5</v>
      </c>
      <c r="EX1105" s="67" t="s">
        <v>8133</v>
      </c>
      <c r="EY1105" s="67">
        <v>5830</v>
      </c>
      <c r="EZ1105" s="67" t="s">
        <v>8134</v>
      </c>
      <c r="FA1105" s="67">
        <v>20797.25</v>
      </c>
      <c r="FB1105" s="67" t="s">
        <v>8135</v>
      </c>
      <c r="FC1105" s="67" t="s">
        <v>8136</v>
      </c>
      <c r="FD1105" s="67" t="s">
        <v>8137</v>
      </c>
      <c r="FE1105" s="68" t="s">
        <v>8138</v>
      </c>
      <c r="FF1105" s="68" t="s">
        <v>8139</v>
      </c>
    </row>
    <row r="1106" spans="151:162" x14ac:dyDescent="0.2">
      <c r="EU1106" s="67">
        <v>581.66</v>
      </c>
      <c r="EV1106" s="67" t="s">
        <v>8140</v>
      </c>
      <c r="EW1106" s="67">
        <v>506.29</v>
      </c>
      <c r="EX1106" s="67" t="s">
        <v>8141</v>
      </c>
      <c r="EY1106" s="67">
        <v>5828.5</v>
      </c>
      <c r="EZ1106" s="67" t="s">
        <v>8142</v>
      </c>
      <c r="FA1106" s="67">
        <v>20789.75</v>
      </c>
      <c r="FB1106" s="67" t="s">
        <v>8143</v>
      </c>
      <c r="FC1106" s="67" t="s">
        <v>8144</v>
      </c>
      <c r="FD1106" s="67" t="s">
        <v>8145</v>
      </c>
      <c r="FE1106" s="68" t="s">
        <v>8146</v>
      </c>
      <c r="FF1106" s="68" t="s">
        <v>8147</v>
      </c>
    </row>
    <row r="1107" spans="151:162" x14ac:dyDescent="0.2">
      <c r="EU1107" s="67">
        <v>581.65</v>
      </c>
      <c r="EV1107" s="67" t="s">
        <v>8148</v>
      </c>
      <c r="EW1107" s="67">
        <v>506.24700000000001</v>
      </c>
      <c r="EX1107" s="67" t="s">
        <v>8149</v>
      </c>
      <c r="EY1107" s="67">
        <v>5828.5</v>
      </c>
      <c r="EZ1107" s="67" t="s">
        <v>8150</v>
      </c>
      <c r="FA1107" s="67">
        <v>20787.75</v>
      </c>
      <c r="FB1107" s="67" t="s">
        <v>8151</v>
      </c>
      <c r="FC1107" s="67" t="s">
        <v>8152</v>
      </c>
      <c r="FD1107" s="67" t="s">
        <v>8153</v>
      </c>
      <c r="FE1107" s="68" t="s">
        <v>8154</v>
      </c>
      <c r="FF1107" s="68" t="s">
        <v>8155</v>
      </c>
    </row>
    <row r="1108" spans="151:162" x14ac:dyDescent="0.2">
      <c r="EU1108" s="67">
        <v>581.46500000000003</v>
      </c>
      <c r="EV1108" s="67" t="s">
        <v>8156</v>
      </c>
      <c r="EW1108" s="67">
        <v>506.08</v>
      </c>
      <c r="EX1108" s="67" t="s">
        <v>8157</v>
      </c>
      <c r="EY1108" s="67">
        <v>5826.5</v>
      </c>
      <c r="EZ1108" s="67" t="s">
        <v>8158</v>
      </c>
      <c r="FA1108" s="67">
        <v>20780.75</v>
      </c>
      <c r="FB1108" s="67" t="s">
        <v>8159</v>
      </c>
      <c r="FC1108" s="67" t="s">
        <v>8160</v>
      </c>
      <c r="FD1108" s="67" t="s">
        <v>8161</v>
      </c>
      <c r="FE1108" s="68" t="s">
        <v>8162</v>
      </c>
      <c r="FF1108" s="68" t="s">
        <v>8163</v>
      </c>
    </row>
    <row r="1109" spans="151:162" x14ac:dyDescent="0.2">
      <c r="EU1109" s="67">
        <v>581.63</v>
      </c>
      <c r="EV1109" s="67" t="s">
        <v>8164</v>
      </c>
      <c r="EW1109" s="67">
        <v>506.27</v>
      </c>
      <c r="EX1109" s="67" t="s">
        <v>8165</v>
      </c>
      <c r="EY1109" s="67">
        <v>5828.25</v>
      </c>
      <c r="EZ1109" s="67" t="s">
        <v>8166</v>
      </c>
      <c r="FA1109" s="67">
        <v>20788.25</v>
      </c>
      <c r="FB1109" s="67" t="s">
        <v>8167</v>
      </c>
      <c r="FC1109" s="67" t="s">
        <v>8168</v>
      </c>
      <c r="FD1109" s="67" t="s">
        <v>8169</v>
      </c>
      <c r="FE1109" s="68" t="s">
        <v>8170</v>
      </c>
      <c r="FF1109" s="68" t="s">
        <v>8171</v>
      </c>
    </row>
    <row r="1110" spans="151:162" x14ac:dyDescent="0.2">
      <c r="EU1110" s="67">
        <v>581.45000000000005</v>
      </c>
      <c r="EV1110" s="67" t="s">
        <v>8172</v>
      </c>
      <c r="EW1110" s="67">
        <v>506.05</v>
      </c>
      <c r="EX1110" s="67" t="s">
        <v>8173</v>
      </c>
      <c r="EY1110" s="67">
        <v>5826.25</v>
      </c>
      <c r="EZ1110" s="67" t="s">
        <v>8174</v>
      </c>
      <c r="FA1110" s="67">
        <v>20779</v>
      </c>
      <c r="FB1110" s="67" t="s">
        <v>8175</v>
      </c>
      <c r="FC1110" s="67" t="s">
        <v>8176</v>
      </c>
      <c r="FD1110" s="67" t="s">
        <v>8177</v>
      </c>
      <c r="FE1110" s="68" t="s">
        <v>8178</v>
      </c>
      <c r="FF1110" s="68" t="s">
        <v>8179</v>
      </c>
    </row>
    <row r="1111" spans="151:162" x14ac:dyDescent="0.2">
      <c r="EU1111" s="67">
        <v>581.42999999999995</v>
      </c>
      <c r="EV1111" s="67" t="s">
        <v>8180</v>
      </c>
      <c r="EW1111" s="67">
        <v>506.05</v>
      </c>
      <c r="EX1111" s="67" t="s">
        <v>8181</v>
      </c>
      <c r="EY1111" s="67">
        <v>5826.25</v>
      </c>
      <c r="EZ1111" s="67" t="s">
        <v>8182</v>
      </c>
      <c r="FA1111" s="67">
        <v>20778.25</v>
      </c>
      <c r="FB1111" s="67" t="s">
        <v>8183</v>
      </c>
      <c r="FC1111" s="67" t="s">
        <v>8184</v>
      </c>
      <c r="FD1111" s="67" t="s">
        <v>8185</v>
      </c>
      <c r="FE1111" s="68" t="s">
        <v>8186</v>
      </c>
      <c r="FF1111" s="68" t="s">
        <v>8187</v>
      </c>
    </row>
    <row r="1112" spans="151:162" x14ac:dyDescent="0.2">
      <c r="EU1112" s="67">
        <v>581.41999999999996</v>
      </c>
      <c r="EV1112" s="67" t="s">
        <v>8188</v>
      </c>
      <c r="EW1112" s="67">
        <v>506.07</v>
      </c>
      <c r="EX1112" s="67" t="s">
        <v>8189</v>
      </c>
      <c r="EY1112" s="67">
        <v>5826</v>
      </c>
      <c r="EZ1112" s="67" t="s">
        <v>8190</v>
      </c>
      <c r="FA1112" s="67">
        <v>20779.75</v>
      </c>
      <c r="FB1112" s="67" t="s">
        <v>8191</v>
      </c>
      <c r="FC1112" s="67" t="s">
        <v>8192</v>
      </c>
      <c r="FD1112" s="67" t="s">
        <v>8193</v>
      </c>
      <c r="FE1112" s="68" t="s">
        <v>8194</v>
      </c>
      <c r="FF1112" s="68" t="s">
        <v>8195</v>
      </c>
    </row>
    <row r="1113" spans="151:162" x14ac:dyDescent="0.2">
      <c r="EU1113" s="67">
        <v>581.52</v>
      </c>
      <c r="EV1113" s="67" t="s">
        <v>8196</v>
      </c>
      <c r="EW1113" s="67">
        <v>506.161</v>
      </c>
      <c r="EX1113" s="67" t="s">
        <v>8197</v>
      </c>
      <c r="EY1113" s="67">
        <v>5827.25</v>
      </c>
      <c r="EZ1113" s="67" t="s">
        <v>8198</v>
      </c>
      <c r="FA1113" s="67">
        <v>20783.75</v>
      </c>
      <c r="FB1113" s="67" t="s">
        <v>8199</v>
      </c>
      <c r="FC1113" s="67" t="s">
        <v>8200</v>
      </c>
      <c r="FD1113" s="67" t="s">
        <v>8201</v>
      </c>
      <c r="FE1113" s="68" t="s">
        <v>8202</v>
      </c>
      <c r="FF1113" s="68" t="s">
        <v>8203</v>
      </c>
    </row>
    <row r="1114" spans="151:162" x14ac:dyDescent="0.2">
      <c r="EU1114" s="67">
        <v>581.70000000000005</v>
      </c>
      <c r="EV1114" s="67" t="s">
        <v>8204</v>
      </c>
      <c r="EW1114" s="67">
        <v>506.28</v>
      </c>
      <c r="EX1114" s="67" t="s">
        <v>8205</v>
      </c>
      <c r="EY1114" s="67">
        <v>5828.75</v>
      </c>
      <c r="EZ1114" s="67" t="s">
        <v>8206</v>
      </c>
      <c r="FA1114" s="67">
        <v>20787.5</v>
      </c>
      <c r="FB1114" s="67" t="s">
        <v>8207</v>
      </c>
      <c r="FC1114" s="67" t="s">
        <v>8208</v>
      </c>
      <c r="FD1114" s="67" t="s">
        <v>8209</v>
      </c>
      <c r="FE1114" s="68" t="s">
        <v>8210</v>
      </c>
      <c r="FF1114" s="68" t="s">
        <v>8211</v>
      </c>
    </row>
    <row r="1115" spans="151:162" x14ac:dyDescent="0.2">
      <c r="EU1115" s="67">
        <v>581.64</v>
      </c>
      <c r="EV1115" s="67" t="s">
        <v>8212</v>
      </c>
      <c r="EW1115" s="67">
        <v>506.25</v>
      </c>
      <c r="EX1115" s="67" t="s">
        <v>8213</v>
      </c>
      <c r="EY1115" s="67">
        <v>5828</v>
      </c>
      <c r="EZ1115" s="67" t="s">
        <v>8214</v>
      </c>
      <c r="FA1115" s="67">
        <v>20786.75</v>
      </c>
      <c r="FB1115" s="67" t="s">
        <v>8215</v>
      </c>
      <c r="FC1115" s="67" t="s">
        <v>8216</v>
      </c>
      <c r="FD1115" s="67" t="s">
        <v>8217</v>
      </c>
      <c r="FE1115" s="68" t="s">
        <v>8218</v>
      </c>
      <c r="FF1115" s="68" t="s">
        <v>8219</v>
      </c>
    </row>
    <row r="1116" spans="151:162" x14ac:dyDescent="0.2">
      <c r="EU1116" s="67">
        <v>581.63</v>
      </c>
      <c r="EV1116" s="67" t="s">
        <v>8220</v>
      </c>
      <c r="EW1116" s="67">
        <v>506.29</v>
      </c>
      <c r="EX1116" s="67" t="s">
        <v>8221</v>
      </c>
      <c r="EY1116" s="67">
        <v>5828.25</v>
      </c>
      <c r="EZ1116" s="67" t="s">
        <v>8222</v>
      </c>
      <c r="FA1116" s="67">
        <v>20788.25</v>
      </c>
      <c r="FB1116" s="67" t="s">
        <v>8223</v>
      </c>
      <c r="FC1116" s="67" t="s">
        <v>8224</v>
      </c>
      <c r="FD1116" s="67" t="s">
        <v>8225</v>
      </c>
      <c r="FE1116" s="68" t="s">
        <v>8226</v>
      </c>
      <c r="FF1116" s="68" t="s">
        <v>8227</v>
      </c>
    </row>
    <row r="1117" spans="151:162" x14ac:dyDescent="0.2">
      <c r="EU1117" s="67">
        <v>581.35</v>
      </c>
      <c r="EV1117" s="67" t="s">
        <v>8228</v>
      </c>
      <c r="EW1117" s="67">
        <v>505.98</v>
      </c>
      <c r="EX1117" s="67" t="s">
        <v>8229</v>
      </c>
      <c r="EY1117" s="67">
        <v>5825.5</v>
      </c>
      <c r="EZ1117" s="67" t="s">
        <v>8230</v>
      </c>
      <c r="FA1117" s="67">
        <v>20776</v>
      </c>
      <c r="FB1117" s="67" t="s">
        <v>8231</v>
      </c>
      <c r="FC1117" s="67" t="s">
        <v>8232</v>
      </c>
      <c r="FD1117" s="67" t="s">
        <v>8233</v>
      </c>
      <c r="FE1117" s="68" t="s">
        <v>8234</v>
      </c>
      <c r="FF1117" s="68" t="s">
        <v>8235</v>
      </c>
    </row>
    <row r="1118" spans="151:162" x14ac:dyDescent="0.2">
      <c r="EU1118" s="67">
        <v>581.51</v>
      </c>
      <c r="EV1118" s="67" t="s">
        <v>8236</v>
      </c>
      <c r="EW1118" s="67">
        <v>506.07</v>
      </c>
      <c r="EX1118" s="67" t="s">
        <v>8237</v>
      </c>
      <c r="EY1118" s="67">
        <v>5827</v>
      </c>
      <c r="EZ1118" s="67" t="s">
        <v>8238</v>
      </c>
      <c r="FA1118" s="67">
        <v>20779.75</v>
      </c>
      <c r="FB1118" s="67" t="s">
        <v>8239</v>
      </c>
      <c r="FC1118" s="67" t="s">
        <v>8240</v>
      </c>
      <c r="FD1118" s="67" t="s">
        <v>8241</v>
      </c>
      <c r="FE1118" s="68" t="s">
        <v>8242</v>
      </c>
      <c r="FF1118" s="68" t="s">
        <v>8243</v>
      </c>
    </row>
    <row r="1119" spans="151:162" x14ac:dyDescent="0.2">
      <c r="EU1119" s="67">
        <v>581.52</v>
      </c>
      <c r="EV1119" s="67" t="s">
        <v>8244</v>
      </c>
      <c r="EW1119" s="67">
        <v>506.16</v>
      </c>
      <c r="EX1119" s="67" t="s">
        <v>8245</v>
      </c>
      <c r="EY1119" s="67">
        <v>5827.25</v>
      </c>
      <c r="EZ1119" s="67" t="s">
        <v>8246</v>
      </c>
      <c r="FA1119" s="67">
        <v>20783.75</v>
      </c>
      <c r="FB1119" s="67" t="s">
        <v>8247</v>
      </c>
      <c r="FC1119" s="67" t="s">
        <v>8248</v>
      </c>
      <c r="FD1119" s="67" t="s">
        <v>8249</v>
      </c>
      <c r="FE1119" s="68" t="s">
        <v>8250</v>
      </c>
      <c r="FF1119" s="68" t="s">
        <v>8251</v>
      </c>
    </row>
    <row r="1120" spans="151:162" x14ac:dyDescent="0.2">
      <c r="EU1120" s="67">
        <v>581.28</v>
      </c>
      <c r="EV1120" s="67" t="s">
        <v>8252</v>
      </c>
      <c r="EW1120" s="67">
        <v>505.92500000000001</v>
      </c>
      <c r="EX1120" s="67" t="s">
        <v>8253</v>
      </c>
      <c r="EY1120" s="67">
        <v>5824.5</v>
      </c>
      <c r="EZ1120" s="67" t="s">
        <v>8254</v>
      </c>
      <c r="FA1120" s="67">
        <v>20773.5</v>
      </c>
      <c r="FB1120" s="67" t="s">
        <v>8255</v>
      </c>
      <c r="FC1120" s="67" t="s">
        <v>8256</v>
      </c>
      <c r="FD1120" s="67" t="s">
        <v>8257</v>
      </c>
      <c r="FE1120" s="68" t="s">
        <v>8258</v>
      </c>
      <c r="FF1120" s="68" t="s">
        <v>8259</v>
      </c>
    </row>
    <row r="1121" spans="151:162" x14ac:dyDescent="0.2">
      <c r="EU1121" s="67">
        <v>581.15</v>
      </c>
      <c r="EV1121" s="67" t="s">
        <v>8260</v>
      </c>
      <c r="EW1121" s="67">
        <v>505.77</v>
      </c>
      <c r="EX1121" s="67" t="s">
        <v>8261</v>
      </c>
      <c r="EY1121" s="67">
        <v>5823.5</v>
      </c>
      <c r="EZ1121" s="67" t="s">
        <v>8262</v>
      </c>
      <c r="FA1121" s="67">
        <v>20767.5</v>
      </c>
      <c r="FB1121" s="67" t="s">
        <v>8263</v>
      </c>
      <c r="FC1121" s="67" t="s">
        <v>8264</v>
      </c>
      <c r="FD1121" s="67" t="s">
        <v>8265</v>
      </c>
      <c r="FE1121" s="68" t="s">
        <v>8266</v>
      </c>
      <c r="FF1121" s="68" t="s">
        <v>8267</v>
      </c>
    </row>
    <row r="1122" spans="151:162" x14ac:dyDescent="0.2">
      <c r="EU1122" s="67">
        <v>581.11</v>
      </c>
      <c r="EV1122" s="67" t="s">
        <v>8268</v>
      </c>
      <c r="EW1122" s="67">
        <v>505.77</v>
      </c>
      <c r="EX1122" s="67" t="s">
        <v>8269</v>
      </c>
      <c r="EY1122" s="67">
        <v>5823</v>
      </c>
      <c r="EZ1122" s="67" t="s">
        <v>8270</v>
      </c>
      <c r="FA1122" s="67">
        <v>20768.25</v>
      </c>
      <c r="FB1122" s="67" t="s">
        <v>8271</v>
      </c>
      <c r="FC1122" s="67" t="s">
        <v>8272</v>
      </c>
      <c r="FD1122" s="67" t="s">
        <v>8273</v>
      </c>
      <c r="FE1122" s="68" t="s">
        <v>8274</v>
      </c>
      <c r="FF1122" s="68" t="s">
        <v>8275</v>
      </c>
    </row>
    <row r="1123" spans="151:162" x14ac:dyDescent="0.2">
      <c r="EU1123" s="67">
        <v>580.995</v>
      </c>
      <c r="EV1123" s="67" t="s">
        <v>8276</v>
      </c>
      <c r="EW1123" s="67">
        <v>505.67</v>
      </c>
      <c r="EX1123" s="67" t="s">
        <v>8277</v>
      </c>
      <c r="EY1123" s="67">
        <v>5821.75</v>
      </c>
      <c r="EZ1123" s="67" t="s">
        <v>8278</v>
      </c>
      <c r="FA1123" s="67">
        <v>20763.5</v>
      </c>
      <c r="FB1123" s="67" t="s">
        <v>8279</v>
      </c>
      <c r="FC1123" s="67" t="s">
        <v>8280</v>
      </c>
      <c r="FD1123" s="67" t="s">
        <v>8281</v>
      </c>
      <c r="FE1123" s="68" t="s">
        <v>8282</v>
      </c>
      <c r="FF1123" s="68" t="s">
        <v>8283</v>
      </c>
    </row>
    <row r="1124" spans="151:162" x14ac:dyDescent="0.2">
      <c r="EU1124" s="67">
        <v>581.19500000000005</v>
      </c>
      <c r="EV1124" s="67" t="s">
        <v>8284</v>
      </c>
      <c r="EW1124" s="67">
        <v>505.87</v>
      </c>
      <c r="EX1124" s="67" t="s">
        <v>8285</v>
      </c>
      <c r="EY1124" s="67">
        <v>5823.5</v>
      </c>
      <c r="EZ1124" s="67" t="s">
        <v>8286</v>
      </c>
      <c r="FA1124" s="67">
        <v>20771.25</v>
      </c>
      <c r="FB1124" s="67" t="s">
        <v>8287</v>
      </c>
      <c r="FC1124" s="67" t="s">
        <v>8288</v>
      </c>
      <c r="FD1124" s="67" t="s">
        <v>8289</v>
      </c>
      <c r="FE1124" s="68" t="s">
        <v>8290</v>
      </c>
      <c r="FF1124" s="68" t="s">
        <v>8291</v>
      </c>
    </row>
    <row r="1125" spans="151:162" x14ac:dyDescent="0.2">
      <c r="EU1125" s="67">
        <v>581.16</v>
      </c>
      <c r="EV1125" s="67" t="s">
        <v>8292</v>
      </c>
      <c r="EW1125" s="67">
        <v>505.92</v>
      </c>
      <c r="EX1125" s="67" t="s">
        <v>8293</v>
      </c>
      <c r="EY1125" s="67">
        <v>5823.5</v>
      </c>
      <c r="EZ1125" s="67" t="s">
        <v>8294</v>
      </c>
      <c r="FA1125" s="67">
        <v>20773.25</v>
      </c>
      <c r="FB1125" s="67" t="s">
        <v>8295</v>
      </c>
      <c r="FC1125" s="67" t="s">
        <v>8296</v>
      </c>
      <c r="FD1125" s="67" t="s">
        <v>8297</v>
      </c>
      <c r="FE1125" s="68" t="s">
        <v>8298</v>
      </c>
      <c r="FF1125" s="68" t="s">
        <v>8299</v>
      </c>
    </row>
    <row r="1126" spans="151:162" x14ac:dyDescent="0.2">
      <c r="EU1126" s="67">
        <v>581.13</v>
      </c>
      <c r="EV1126" s="67" t="s">
        <v>8300</v>
      </c>
      <c r="EW1126" s="67">
        <v>505.93</v>
      </c>
      <c r="EX1126" s="67" t="s">
        <v>8301</v>
      </c>
      <c r="EY1126" s="67">
        <v>5823.25</v>
      </c>
      <c r="EZ1126" s="67" t="s">
        <v>8302</v>
      </c>
      <c r="FA1126" s="67">
        <v>20773.75</v>
      </c>
      <c r="FB1126" s="67" t="s">
        <v>8303</v>
      </c>
      <c r="FC1126" s="67" t="s">
        <v>8304</v>
      </c>
      <c r="FD1126" s="67" t="s">
        <v>8305</v>
      </c>
      <c r="FE1126" s="68" t="s">
        <v>8306</v>
      </c>
      <c r="FF1126" s="68" t="s">
        <v>8307</v>
      </c>
    </row>
    <row r="1127" spans="151:162" x14ac:dyDescent="0.2">
      <c r="EU1127" s="67">
        <v>581.02</v>
      </c>
      <c r="EV1127" s="67" t="s">
        <v>8308</v>
      </c>
      <c r="EW1127" s="67">
        <v>505.74</v>
      </c>
      <c r="EX1127" s="67" t="s">
        <v>8309</v>
      </c>
      <c r="EY1127" s="67">
        <v>5821.75</v>
      </c>
      <c r="EZ1127" s="67" t="s">
        <v>8310</v>
      </c>
      <c r="FA1127" s="67">
        <v>20767.25</v>
      </c>
      <c r="FB1127" s="67" t="s">
        <v>8311</v>
      </c>
      <c r="FC1127" s="67" t="s">
        <v>8312</v>
      </c>
      <c r="FD1127" s="67" t="s">
        <v>8313</v>
      </c>
      <c r="FE1127" s="68" t="s">
        <v>8314</v>
      </c>
      <c r="FF1127" s="68" t="s">
        <v>8315</v>
      </c>
    </row>
    <row r="1128" spans="151:162" x14ac:dyDescent="0.2">
      <c r="EU1128" s="67">
        <v>581.01</v>
      </c>
      <c r="EV1128" s="67" t="s">
        <v>8316</v>
      </c>
      <c r="EW1128" s="67">
        <v>505.78</v>
      </c>
      <c r="EX1128" s="67" t="s">
        <v>8317</v>
      </c>
      <c r="EY1128" s="67">
        <v>5822</v>
      </c>
      <c r="EZ1128" s="67" t="s">
        <v>8318</v>
      </c>
      <c r="FA1128" s="67">
        <v>20769.25</v>
      </c>
      <c r="FB1128" s="67" t="s">
        <v>8319</v>
      </c>
      <c r="FC1128" s="67" t="s">
        <v>8320</v>
      </c>
      <c r="FD1128" s="67" t="s">
        <v>8321</v>
      </c>
      <c r="FE1128" s="68" t="s">
        <v>8322</v>
      </c>
      <c r="FF1128" s="68" t="s">
        <v>8323</v>
      </c>
    </row>
    <row r="1129" spans="151:162" x14ac:dyDescent="0.2">
      <c r="EU1129" s="67">
        <v>581.12</v>
      </c>
      <c r="EV1129" s="67" t="s">
        <v>8324</v>
      </c>
      <c r="EW1129" s="67">
        <v>505.96</v>
      </c>
      <c r="EX1129" s="67" t="s">
        <v>8325</v>
      </c>
      <c r="EY1129" s="67">
        <v>5823</v>
      </c>
      <c r="EZ1129" s="67" t="s">
        <v>8326</v>
      </c>
      <c r="FA1129" s="67">
        <v>20776</v>
      </c>
      <c r="FB1129" s="67" t="s">
        <v>8327</v>
      </c>
      <c r="FC1129" s="67" t="s">
        <v>8328</v>
      </c>
      <c r="FD1129" s="67" t="s">
        <v>8329</v>
      </c>
      <c r="FE1129" s="68" t="s">
        <v>8330</v>
      </c>
      <c r="FF1129" s="68" t="s">
        <v>8331</v>
      </c>
    </row>
    <row r="1130" spans="151:162" x14ac:dyDescent="0.2">
      <c r="EU1130" s="67">
        <v>581.26</v>
      </c>
      <c r="EV1130" s="67" t="s">
        <v>8332</v>
      </c>
      <c r="EW1130" s="67">
        <v>506.14</v>
      </c>
      <c r="EX1130" s="67" t="s">
        <v>8333</v>
      </c>
      <c r="EY1130" s="67">
        <v>5824.5</v>
      </c>
      <c r="EZ1130" s="67" t="s">
        <v>8334</v>
      </c>
      <c r="FA1130" s="67">
        <v>20783.25</v>
      </c>
      <c r="FB1130" s="67" t="s">
        <v>8335</v>
      </c>
      <c r="FC1130" s="67" t="s">
        <v>8336</v>
      </c>
      <c r="FD1130" s="67" t="s">
        <v>8337</v>
      </c>
      <c r="FE1130" s="68" t="s">
        <v>8338</v>
      </c>
      <c r="FF1130" s="68" t="s">
        <v>8339</v>
      </c>
    </row>
    <row r="1131" spans="151:162" x14ac:dyDescent="0.2">
      <c r="EU1131" s="67">
        <v>581.66999999999996</v>
      </c>
      <c r="EV1131" s="67" t="s">
        <v>8340</v>
      </c>
      <c r="EW1131" s="67">
        <v>506.68</v>
      </c>
      <c r="EX1131" s="67" t="s">
        <v>8341</v>
      </c>
      <c r="EY1131" s="67">
        <v>5828.25</v>
      </c>
      <c r="EZ1131" s="67" t="s">
        <v>8342</v>
      </c>
      <c r="FA1131" s="67">
        <v>20805</v>
      </c>
      <c r="FB1131" s="67" t="s">
        <v>8343</v>
      </c>
      <c r="FC1131" s="67" t="s">
        <v>8344</v>
      </c>
      <c r="FD1131" s="67" t="s">
        <v>8345</v>
      </c>
      <c r="FE1131" s="68" t="s">
        <v>8346</v>
      </c>
      <c r="FF1131" s="68" t="s">
        <v>8347</v>
      </c>
    </row>
    <row r="1132" spans="151:162" x14ac:dyDescent="0.2">
      <c r="EU1132" s="67">
        <v>581.59</v>
      </c>
      <c r="EV1132" s="67" t="s">
        <v>8348</v>
      </c>
      <c r="EW1132" s="67">
        <v>506.65</v>
      </c>
      <c r="EX1132" s="67" t="s">
        <v>8349</v>
      </c>
      <c r="EY1132" s="67">
        <v>5827.75</v>
      </c>
      <c r="EZ1132" s="67" t="s">
        <v>8350</v>
      </c>
      <c r="FA1132" s="67">
        <v>20803.5</v>
      </c>
      <c r="FB1132" s="67" t="s">
        <v>8351</v>
      </c>
      <c r="FC1132" s="67" t="s">
        <v>8352</v>
      </c>
      <c r="FD1132" s="67" t="s">
        <v>8353</v>
      </c>
      <c r="FE1132" s="68" t="s">
        <v>8354</v>
      </c>
      <c r="FF1132" s="68" t="s">
        <v>8355</v>
      </c>
    </row>
    <row r="1133" spans="151:162" x14ac:dyDescent="0.2">
      <c r="EU1133" s="67">
        <v>581.9</v>
      </c>
      <c r="EV1133" s="67" t="s">
        <v>8356</v>
      </c>
      <c r="EW1133" s="67">
        <v>506.91</v>
      </c>
      <c r="EX1133" s="67" t="s">
        <v>8357</v>
      </c>
      <c r="EY1133" s="67">
        <v>5830.75</v>
      </c>
      <c r="EZ1133" s="67" t="s">
        <v>8358</v>
      </c>
      <c r="FA1133" s="67">
        <v>20814.75</v>
      </c>
      <c r="FB1133" s="67" t="s">
        <v>8359</v>
      </c>
      <c r="FC1133" s="67" t="s">
        <v>8360</v>
      </c>
      <c r="FD1133" s="67" t="s">
        <v>8361</v>
      </c>
      <c r="FE1133" s="68" t="s">
        <v>8362</v>
      </c>
      <c r="FF1133" s="68" t="s">
        <v>8363</v>
      </c>
    </row>
    <row r="1134" spans="151:162" x14ac:dyDescent="0.2">
      <c r="EU1134" s="67">
        <v>581.91</v>
      </c>
      <c r="EV1134" s="67" t="s">
        <v>8364</v>
      </c>
      <c r="EW1134" s="67">
        <v>506.91</v>
      </c>
      <c r="EX1134" s="67" t="s">
        <v>8365</v>
      </c>
      <c r="EY1134" s="67">
        <v>5830.75</v>
      </c>
      <c r="EZ1134" s="67" t="s">
        <v>8366</v>
      </c>
      <c r="FA1134" s="67">
        <v>20813.5</v>
      </c>
      <c r="FB1134" s="67" t="s">
        <v>8367</v>
      </c>
      <c r="FC1134" s="67" t="s">
        <v>8368</v>
      </c>
      <c r="FD1134" s="67" t="s">
        <v>8369</v>
      </c>
      <c r="FE1134" s="68" t="s">
        <v>8370</v>
      </c>
      <c r="FF1134" s="68" t="s">
        <v>8371</v>
      </c>
    </row>
    <row r="1135" spans="151:162" x14ac:dyDescent="0.2">
      <c r="EU1135" s="67">
        <v>582.14</v>
      </c>
      <c r="EV1135" s="67" t="s">
        <v>8372</v>
      </c>
      <c r="EW1135" s="67">
        <v>507.21</v>
      </c>
      <c r="EX1135" s="67" t="s">
        <v>8373</v>
      </c>
      <c r="EY1135" s="67">
        <v>5833</v>
      </c>
      <c r="EZ1135" s="67" t="s">
        <v>8374</v>
      </c>
      <c r="FA1135" s="67">
        <v>20825.75</v>
      </c>
      <c r="FB1135" s="67" t="s">
        <v>8375</v>
      </c>
      <c r="FC1135" s="67" t="s">
        <v>8376</v>
      </c>
      <c r="FD1135" s="67" t="s">
        <v>8377</v>
      </c>
      <c r="FE1135" s="68" t="s">
        <v>8378</v>
      </c>
      <c r="FF1135" s="68" t="s">
        <v>8379</v>
      </c>
    </row>
    <row r="1136" spans="151:162" x14ac:dyDescent="0.2">
      <c r="EU1136" s="67">
        <v>581.78</v>
      </c>
      <c r="EV1136" s="67" t="s">
        <v>8380</v>
      </c>
      <c r="EW1136" s="67">
        <v>506.91</v>
      </c>
      <c r="EX1136" s="67" t="s">
        <v>8381</v>
      </c>
      <c r="EY1136" s="67">
        <v>5829.5</v>
      </c>
      <c r="EZ1136" s="67" t="s">
        <v>8382</v>
      </c>
      <c r="FA1136" s="67">
        <v>20811.75</v>
      </c>
      <c r="FB1136" s="67" t="s">
        <v>8383</v>
      </c>
      <c r="FC1136" s="67" t="s">
        <v>8384</v>
      </c>
      <c r="FD1136" s="67" t="s">
        <v>8385</v>
      </c>
      <c r="FE1136" s="68" t="s">
        <v>8386</v>
      </c>
      <c r="FF1136" s="68" t="s">
        <v>8387</v>
      </c>
    </row>
    <row r="1137" spans="151:162" x14ac:dyDescent="0.2">
      <c r="EU1137" s="67">
        <v>581.95000000000005</v>
      </c>
      <c r="EV1137" s="67" t="s">
        <v>8388</v>
      </c>
      <c r="EW1137" s="67">
        <v>506.94</v>
      </c>
      <c r="EX1137" s="67" t="s">
        <v>8389</v>
      </c>
      <c r="EY1137" s="67">
        <v>5831.25</v>
      </c>
      <c r="EZ1137" s="67" t="s">
        <v>8390</v>
      </c>
      <c r="FA1137" s="67">
        <v>20815.25</v>
      </c>
      <c r="FB1137" s="67" t="s">
        <v>8391</v>
      </c>
      <c r="FC1137" s="67" t="s">
        <v>8392</v>
      </c>
      <c r="FD1137" s="67" t="s">
        <v>8393</v>
      </c>
      <c r="FE1137" s="68" t="s">
        <v>8394</v>
      </c>
      <c r="FF1137" s="68" t="s">
        <v>8395</v>
      </c>
    </row>
    <row r="1138" spans="151:162" x14ac:dyDescent="0.2">
      <c r="EU1138" s="67">
        <v>582.19000000000005</v>
      </c>
      <c r="EV1138" s="67" t="s">
        <v>8396</v>
      </c>
      <c r="EW1138" s="67">
        <v>507.17599999999999</v>
      </c>
      <c r="EX1138" s="67" t="s">
        <v>8397</v>
      </c>
      <c r="EY1138" s="67">
        <v>5833.5</v>
      </c>
      <c r="EZ1138" s="67" t="s">
        <v>8398</v>
      </c>
      <c r="FA1138" s="67">
        <v>20824.25</v>
      </c>
      <c r="FB1138" s="67" t="s">
        <v>8399</v>
      </c>
      <c r="FC1138" s="67" t="s">
        <v>8400</v>
      </c>
      <c r="FD1138" s="67" t="s">
        <v>8401</v>
      </c>
      <c r="FE1138" s="68" t="s">
        <v>8402</v>
      </c>
      <c r="FF1138" s="68" t="s">
        <v>8403</v>
      </c>
    </row>
    <row r="1139" spans="151:162" x14ac:dyDescent="0.2">
      <c r="EU1139" s="67">
        <v>582.46</v>
      </c>
      <c r="EV1139" s="67" t="s">
        <v>8404</v>
      </c>
      <c r="EW1139" s="67">
        <v>507.41</v>
      </c>
      <c r="EX1139" s="67" t="s">
        <v>8405</v>
      </c>
      <c r="EY1139" s="67">
        <v>5836.5</v>
      </c>
      <c r="EZ1139" s="67" t="s">
        <v>8406</v>
      </c>
      <c r="FA1139" s="67">
        <v>20834.25</v>
      </c>
      <c r="FB1139" s="67" t="s">
        <v>8407</v>
      </c>
      <c r="FC1139" s="67" t="s">
        <v>8408</v>
      </c>
      <c r="FD1139" s="67" t="s">
        <v>8409</v>
      </c>
      <c r="FE1139" s="68" t="s">
        <v>8410</v>
      </c>
      <c r="FF1139" s="68" t="s">
        <v>8411</v>
      </c>
    </row>
    <row r="1140" spans="151:162" x14ac:dyDescent="0.2">
      <c r="EU1140" s="67">
        <v>582.78</v>
      </c>
      <c r="EV1140" s="67" t="s">
        <v>8412</v>
      </c>
      <c r="EW1140" s="67">
        <v>507.71</v>
      </c>
      <c r="EX1140" s="67" t="s">
        <v>8413</v>
      </c>
      <c r="EY1140" s="67">
        <v>5839.5</v>
      </c>
      <c r="EZ1140" s="67" t="s">
        <v>8414</v>
      </c>
      <c r="FA1140" s="67">
        <v>20846.5</v>
      </c>
      <c r="FB1140" s="67" t="s">
        <v>8415</v>
      </c>
      <c r="FC1140" s="67" t="s">
        <v>8416</v>
      </c>
      <c r="FD1140" s="67" t="s">
        <v>8417</v>
      </c>
      <c r="FE1140" s="68" t="s">
        <v>8418</v>
      </c>
      <c r="FF1140" s="68" t="s">
        <v>8419</v>
      </c>
    </row>
    <row r="1141" spans="151:162" x14ac:dyDescent="0.2">
      <c r="EU1141" s="67">
        <v>583.14</v>
      </c>
      <c r="EV1141" s="67" t="s">
        <v>8420</v>
      </c>
      <c r="EW1141" s="67">
        <v>508.17</v>
      </c>
      <c r="EX1141" s="67" t="s">
        <v>8421</v>
      </c>
      <c r="EY1141" s="67">
        <v>5843.25</v>
      </c>
      <c r="EZ1141" s="67" t="s">
        <v>8422</v>
      </c>
      <c r="FA1141" s="67">
        <v>20865.25</v>
      </c>
      <c r="FB1141" s="67" t="s">
        <v>8423</v>
      </c>
      <c r="FC1141" s="67" t="s">
        <v>8424</v>
      </c>
      <c r="FD1141" s="67" t="s">
        <v>8425</v>
      </c>
      <c r="FE1141" s="68" t="s">
        <v>8426</v>
      </c>
      <c r="FF1141" s="68" t="s">
        <v>8427</v>
      </c>
    </row>
    <row r="1142" spans="151:162" x14ac:dyDescent="0.2">
      <c r="EU1142" s="67">
        <v>583.4</v>
      </c>
      <c r="EV1142" s="67" t="s">
        <v>8428</v>
      </c>
      <c r="EW1142" s="67">
        <v>508.45</v>
      </c>
      <c r="EX1142" s="67" t="s">
        <v>8429</v>
      </c>
      <c r="EY1142" s="67">
        <v>5846.75</v>
      </c>
      <c r="EZ1142" s="67" t="s">
        <v>8430</v>
      </c>
      <c r="FA1142" s="67">
        <v>20877.75</v>
      </c>
      <c r="FB1142" s="67" t="s">
        <v>8431</v>
      </c>
      <c r="FC1142" s="67" t="s">
        <v>8432</v>
      </c>
      <c r="FD1142" s="67" t="s">
        <v>8433</v>
      </c>
      <c r="FE1142" s="68" t="s">
        <v>8434</v>
      </c>
      <c r="FF1142" s="68" t="s">
        <v>8435</v>
      </c>
    </row>
    <row r="1143" spans="151:162" x14ac:dyDescent="0.2">
      <c r="EU1143" s="67">
        <v>583.69000000000005</v>
      </c>
      <c r="EV1143" s="67" t="s">
        <v>8436</v>
      </c>
      <c r="EW1143" s="67">
        <v>508.6</v>
      </c>
      <c r="EX1143" s="67" t="s">
        <v>8437</v>
      </c>
      <c r="EY1143" s="67">
        <v>5849.75</v>
      </c>
      <c r="EZ1143" s="67" t="s">
        <v>8438</v>
      </c>
      <c r="FA1143" s="67">
        <v>20884.25</v>
      </c>
      <c r="FB1143" s="67" t="s">
        <v>8439</v>
      </c>
      <c r="FC1143" s="67" t="s">
        <v>8440</v>
      </c>
      <c r="FD1143" s="67" t="s">
        <v>8441</v>
      </c>
      <c r="FE1143" s="68" t="s">
        <v>8442</v>
      </c>
      <c r="FF1143" s="68" t="s">
        <v>8443</v>
      </c>
    </row>
    <row r="1144" spans="151:162" x14ac:dyDescent="0.2">
      <c r="EU1144" s="67">
        <v>583.34</v>
      </c>
      <c r="EV1144" s="67" t="s">
        <v>8444</v>
      </c>
      <c r="EW1144" s="67">
        <v>508.14</v>
      </c>
      <c r="EX1144" s="67" t="s">
        <v>8445</v>
      </c>
      <c r="EY1144" s="67">
        <v>5846.25</v>
      </c>
      <c r="EZ1144" s="67" t="s">
        <v>8446</v>
      </c>
      <c r="FA1144" s="67">
        <v>20865</v>
      </c>
      <c r="FB1144" s="67" t="s">
        <v>8447</v>
      </c>
      <c r="FC1144" s="67" t="s">
        <v>8448</v>
      </c>
      <c r="FD1144" s="67" t="s">
        <v>8449</v>
      </c>
      <c r="FE1144" s="68" t="s">
        <v>8450</v>
      </c>
      <c r="FF1144" s="68" t="s">
        <v>8451</v>
      </c>
    </row>
    <row r="1145" spans="151:162" x14ac:dyDescent="0.2">
      <c r="EU1145" s="67">
        <v>583.23</v>
      </c>
      <c r="EV1145" s="67" t="s">
        <v>8452</v>
      </c>
      <c r="EW1145" s="67">
        <v>508.01</v>
      </c>
      <c r="EX1145" s="67" t="s">
        <v>8453</v>
      </c>
      <c r="EY1145" s="67">
        <v>5844.5</v>
      </c>
      <c r="EZ1145" s="67" t="s">
        <v>8454</v>
      </c>
      <c r="FA1145" s="67">
        <v>20860</v>
      </c>
      <c r="FB1145" s="67" t="s">
        <v>8455</v>
      </c>
      <c r="FC1145" s="67" t="s">
        <v>8456</v>
      </c>
      <c r="FD1145" s="67" t="s">
        <v>8457</v>
      </c>
      <c r="FE1145" s="68" t="s">
        <v>8458</v>
      </c>
      <c r="FF1145" s="68" t="s">
        <v>8459</v>
      </c>
    </row>
    <row r="1146" spans="151:162" x14ac:dyDescent="0.2">
      <c r="EU1146" s="67">
        <v>583.29</v>
      </c>
      <c r="EV1146" s="67" t="s">
        <v>8460</v>
      </c>
      <c r="EW1146" s="67">
        <v>508.1</v>
      </c>
      <c r="EX1146" s="67" t="s">
        <v>8461</v>
      </c>
      <c r="EY1146" s="67">
        <v>5845.5</v>
      </c>
      <c r="EZ1146" s="67" t="s">
        <v>8462</v>
      </c>
      <c r="FA1146" s="67">
        <v>20864</v>
      </c>
      <c r="FB1146" s="67" t="s">
        <v>8463</v>
      </c>
      <c r="FC1146" s="67" t="s">
        <v>8464</v>
      </c>
      <c r="FD1146" s="67" t="s">
        <v>8465</v>
      </c>
      <c r="FE1146" s="68" t="s">
        <v>8466</v>
      </c>
      <c r="FF1146" s="68" t="s">
        <v>8467</v>
      </c>
    </row>
    <row r="1147" spans="151:162" x14ac:dyDescent="0.2">
      <c r="EU1147" s="67">
        <v>583.35</v>
      </c>
      <c r="EV1147" s="67" t="s">
        <v>8468</v>
      </c>
      <c r="EW1147" s="67">
        <v>508.11</v>
      </c>
      <c r="EX1147" s="67" t="s">
        <v>8469</v>
      </c>
      <c r="EY1147" s="67">
        <v>5845.75</v>
      </c>
      <c r="EZ1147" s="67" t="s">
        <v>8470</v>
      </c>
      <c r="FA1147" s="67">
        <v>20864</v>
      </c>
      <c r="FB1147" s="67" t="s">
        <v>8471</v>
      </c>
      <c r="FC1147" s="67" t="s">
        <v>8472</v>
      </c>
      <c r="FD1147" s="67" t="s">
        <v>8473</v>
      </c>
      <c r="FE1147" s="68" t="s">
        <v>8474</v>
      </c>
      <c r="FF1147" s="68" t="s">
        <v>8475</v>
      </c>
    </row>
    <row r="1148" spans="151:162" x14ac:dyDescent="0.2">
      <c r="EU1148" s="67">
        <v>583.16</v>
      </c>
      <c r="EV1148" s="67" t="s">
        <v>8476</v>
      </c>
      <c r="EW1148" s="67">
        <v>508</v>
      </c>
      <c r="EX1148" s="67" t="s">
        <v>8477</v>
      </c>
      <c r="EY1148" s="67">
        <v>5844</v>
      </c>
      <c r="EZ1148" s="67" t="s">
        <v>8478</v>
      </c>
      <c r="FA1148" s="67">
        <v>20858.25</v>
      </c>
      <c r="FB1148" s="67" t="s">
        <v>8479</v>
      </c>
      <c r="FC1148" s="67" t="s">
        <v>8480</v>
      </c>
      <c r="FD1148" s="67" t="s">
        <v>8481</v>
      </c>
      <c r="FE1148" s="68" t="s">
        <v>8482</v>
      </c>
      <c r="FF1148" s="68" t="s">
        <v>8483</v>
      </c>
    </row>
    <row r="1149" spans="151:162" x14ac:dyDescent="0.2">
      <c r="EU1149" s="67">
        <v>583.01</v>
      </c>
      <c r="EV1149" s="67" t="s">
        <v>8484</v>
      </c>
      <c r="EW1149" s="67">
        <v>507.85</v>
      </c>
      <c r="EX1149" s="67" t="s">
        <v>8485</v>
      </c>
      <c r="EY1149" s="67">
        <v>5842.75</v>
      </c>
      <c r="EZ1149" s="67" t="s">
        <v>8486</v>
      </c>
      <c r="FA1149" s="67">
        <v>20852</v>
      </c>
      <c r="FB1149" s="67" t="s">
        <v>8487</v>
      </c>
      <c r="FC1149" s="67" t="s">
        <v>8488</v>
      </c>
      <c r="FD1149" s="67" t="s">
        <v>8489</v>
      </c>
      <c r="FE1149" s="68" t="s">
        <v>8490</v>
      </c>
      <c r="FF1149" s="68" t="s">
        <v>8491</v>
      </c>
    </row>
    <row r="1150" spans="151:162" x14ac:dyDescent="0.2">
      <c r="EU1150" s="67">
        <v>583.02</v>
      </c>
      <c r="EV1150" s="67" t="s">
        <v>8492</v>
      </c>
      <c r="EW1150" s="67">
        <v>507.83</v>
      </c>
      <c r="EX1150" s="67" t="s">
        <v>8493</v>
      </c>
      <c r="EY1150" s="67">
        <v>5843</v>
      </c>
      <c r="EZ1150" s="67" t="s">
        <v>8494</v>
      </c>
      <c r="FA1150" s="67">
        <v>20850.5</v>
      </c>
      <c r="FB1150" s="67" t="s">
        <v>8495</v>
      </c>
      <c r="FC1150" s="67" t="s">
        <v>8496</v>
      </c>
      <c r="FD1150" s="67" t="s">
        <v>8497</v>
      </c>
      <c r="FE1150" s="68" t="s">
        <v>8498</v>
      </c>
      <c r="FF1150" s="68" t="s">
        <v>8499</v>
      </c>
    </row>
    <row r="1151" spans="151:162" x14ac:dyDescent="0.2">
      <c r="EU1151" s="67">
        <v>582.98</v>
      </c>
      <c r="EV1151" s="67" t="s">
        <v>8500</v>
      </c>
      <c r="EW1151" s="67">
        <v>507.72</v>
      </c>
      <c r="EX1151" s="67" t="s">
        <v>8501</v>
      </c>
      <c r="EY1151" s="67">
        <v>5842</v>
      </c>
      <c r="EZ1151" s="67" t="s">
        <v>8502</v>
      </c>
      <c r="FA1151" s="67">
        <v>20846</v>
      </c>
      <c r="FB1151" s="67" t="s">
        <v>8503</v>
      </c>
      <c r="FC1151" s="67" t="s">
        <v>8504</v>
      </c>
      <c r="FD1151" s="67" t="s">
        <v>8505</v>
      </c>
      <c r="FE1151" s="68" t="s">
        <v>8506</v>
      </c>
      <c r="FF1151" s="68" t="s">
        <v>8507</v>
      </c>
    </row>
    <row r="1152" spans="151:162" x14ac:dyDescent="0.2">
      <c r="EU1152" s="67">
        <v>583</v>
      </c>
      <c r="EV1152" s="67" t="s">
        <v>8508</v>
      </c>
      <c r="EW1152" s="67">
        <v>507.79</v>
      </c>
      <c r="EX1152" s="67" t="s">
        <v>8509</v>
      </c>
      <c r="EY1152" s="67">
        <v>5842.5</v>
      </c>
      <c r="EZ1152" s="67" t="s">
        <v>8510</v>
      </c>
      <c r="FA1152" s="67">
        <v>20849</v>
      </c>
      <c r="FB1152" s="67" t="s">
        <v>8511</v>
      </c>
      <c r="FC1152" s="67" t="s">
        <v>8512</v>
      </c>
      <c r="FD1152" s="67" t="s">
        <v>8513</v>
      </c>
      <c r="FE1152" s="68" t="s">
        <v>8514</v>
      </c>
      <c r="FF1152" s="68" t="s">
        <v>8515</v>
      </c>
    </row>
    <row r="1153" spans="151:162" x14ac:dyDescent="0.2">
      <c r="EU1153" s="67">
        <v>582.88</v>
      </c>
      <c r="EV1153" s="67" t="s">
        <v>9244</v>
      </c>
      <c r="EW1153" s="67">
        <v>507.64</v>
      </c>
      <c r="EX1153" s="67" t="s">
        <v>9245</v>
      </c>
      <c r="EY1153" s="67">
        <v>5841</v>
      </c>
      <c r="EZ1153" s="67" t="s">
        <v>9246</v>
      </c>
      <c r="FA1153" s="67">
        <v>20843</v>
      </c>
      <c r="FB1153" s="67" t="s">
        <v>9247</v>
      </c>
      <c r="FC1153" s="67" t="s">
        <v>9248</v>
      </c>
      <c r="FD1153" s="67" t="s">
        <v>9249</v>
      </c>
      <c r="FE1153" s="68" t="s">
        <v>9250</v>
      </c>
      <c r="FF1153" s="68" t="s">
        <v>9251</v>
      </c>
    </row>
  </sheetData>
  <mergeCells count="1">
    <mergeCell ref="I1:P1"/>
  </mergeCells>
  <conditionalFormatting sqref="C39">
    <cfRule type="colorScale" priority="2826">
      <colorScale>
        <cfvo type="min"/>
        <cfvo type="max"/>
        <color rgb="FFFCFCFF"/>
        <color rgb="FFF8696B"/>
      </colorScale>
    </cfRule>
  </conditionalFormatting>
  <conditionalFormatting sqref="C40">
    <cfRule type="colorScale" priority="2568">
      <colorScale>
        <cfvo type="min"/>
        <cfvo type="max"/>
        <color rgb="FFFCFCFF"/>
        <color rgb="FFF8696B"/>
      </colorScale>
    </cfRule>
  </conditionalFormatting>
  <conditionalFormatting sqref="C41 B42">
    <cfRule type="colorScale" priority="2567">
      <colorScale>
        <cfvo type="min"/>
        <cfvo type="max"/>
        <color rgb="FFFCFCFF"/>
        <color rgb="FFF8696B"/>
      </colorScale>
    </cfRule>
  </conditionalFormatting>
  <conditionalFormatting sqref="A4:A38">
    <cfRule type="expression" dxfId="16" priority="2455">
      <formula>A4&lt;$F$1</formula>
    </cfRule>
  </conditionalFormatting>
  <conditionalFormatting sqref="A85:A130">
    <cfRule type="expression" dxfId="15" priority="2453">
      <formula>A85&lt;$F$82</formula>
    </cfRule>
  </conditionalFormatting>
  <conditionalFormatting sqref="A45:A79">
    <cfRule type="expression" dxfId="14" priority="3055">
      <formula>A45&lt;$F$42</formula>
    </cfRule>
  </conditionalFormatting>
  <conditionalFormatting sqref="B3:E3">
    <cfRule type="colorScale" priority="24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E44">
    <cfRule type="colorScale" priority="24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4:E84">
    <cfRule type="colorScale" priority="24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36:E136">
    <cfRule type="colorScale" priority="24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A130">
    <cfRule type="expression" dxfId="13" priority="2378">
      <formula>A86&lt;$F$82</formula>
    </cfRule>
  </conditionalFormatting>
  <conditionalFormatting sqref="A111:A130">
    <cfRule type="expression" dxfId="12" priority="2326">
      <formula>A111&lt;$F$82</formula>
    </cfRule>
  </conditionalFormatting>
  <conditionalFormatting sqref="A59">
    <cfRule type="expression" dxfId="11" priority="2069">
      <formula>A59&lt;$F$42</formula>
    </cfRule>
  </conditionalFormatting>
  <conditionalFormatting sqref="A74">
    <cfRule type="expression" dxfId="10" priority="2008">
      <formula>A74&lt;$F$42</formula>
    </cfRule>
  </conditionalFormatting>
  <conditionalFormatting sqref="Z2:AH2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{94756B91-4852-4BB9-84D5-53514BB9C3AB}</x14:id>
        </ext>
      </extLst>
    </cfRule>
  </conditionalFormatting>
  <conditionalFormatting sqref="Z1:AH1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{70FBBBBD-AEF2-4C23-8DB7-77FAA1E33542}</x14:id>
        </ext>
      </extLst>
    </cfRule>
  </conditionalFormatting>
  <conditionalFormatting sqref="Z43:AH4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{9BD38B5B-FD04-4F23-86FF-65CA58B88AA8}</x14:id>
        </ext>
      </extLst>
    </cfRule>
  </conditionalFormatting>
  <conditionalFormatting sqref="Z83:AH83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{F55B3C41-4249-493A-9904-35131BF4469E}</x14:id>
        </ext>
      </extLst>
    </cfRule>
  </conditionalFormatting>
  <conditionalFormatting sqref="Z135:AH135">
    <cfRule type="dataBar" priority="8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{E8745E3C-E615-470A-BF75-D59A7489C6B8}</x14:id>
        </ext>
      </extLst>
    </cfRule>
  </conditionalFormatting>
  <conditionalFormatting sqref="A93:A98">
    <cfRule type="expression" dxfId="9" priority="778">
      <formula>A93&lt;$F$82</formula>
    </cfRule>
  </conditionalFormatting>
  <conditionalFormatting sqref="A117:A121">
    <cfRule type="expression" dxfId="8" priority="642">
      <formula>A117&lt;$F$82</formula>
    </cfRule>
  </conditionalFormatting>
  <conditionalFormatting sqref="Q2:Y2 AI2:AR2">
    <cfRule type="dataBar" priority="3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{347D005F-749D-475B-BA2B-8FFD6FAC2F55}</x14:id>
        </ext>
      </extLst>
    </cfRule>
  </conditionalFormatting>
  <conditionalFormatting sqref="Q1:Y1 AI1:AR1">
    <cfRule type="dataBar" priority="3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{30BDB15D-9E4E-4582-BD62-69FDF3DCDA63}</x14:id>
        </ext>
      </extLst>
    </cfRule>
  </conditionalFormatting>
  <conditionalFormatting sqref="Q43:Y43 AI43:AR43">
    <cfRule type="dataBar" priority="3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{AC35B083-9921-45A7-9C15-640992C07F11}</x14:id>
        </ext>
      </extLst>
    </cfRule>
  </conditionalFormatting>
  <conditionalFormatting sqref="Q83:Y83 AI83:AR83">
    <cfRule type="dataBar" priority="3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{0284C3E3-1F73-449D-B3B2-6C12BBC8B769}</x14:id>
        </ext>
      </extLst>
    </cfRule>
  </conditionalFormatting>
  <conditionalFormatting sqref="Q135:Y135 AI135:AR135">
    <cfRule type="dataBar" priority="3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{D6C08B44-F03F-46FF-92BB-6D0409D76146}</x14:id>
        </ext>
      </extLst>
    </cfRule>
  </conditionalFormatting>
  <conditionalFormatting sqref="A9:A14">
    <cfRule type="expression" dxfId="7" priority="287">
      <formula>A9&lt;$F$1</formula>
    </cfRule>
  </conditionalFormatting>
  <conditionalFormatting sqref="A23:A38">
    <cfRule type="expression" dxfId="6" priority="237">
      <formula>A23&lt;$F$1</formula>
    </cfRule>
  </conditionalFormatting>
  <conditionalFormatting sqref="B4:B38">
    <cfRule type="colorScale" priority="236">
      <colorScale>
        <cfvo type="min"/>
        <cfvo type="max"/>
        <color rgb="FFFCFCFF"/>
        <color rgb="FFF8696B"/>
      </colorScale>
    </cfRule>
  </conditionalFormatting>
  <conditionalFormatting sqref="C4:C38">
    <cfRule type="colorScale" priority="235">
      <colorScale>
        <cfvo type="min"/>
        <cfvo type="max"/>
        <color rgb="FFFCFCFF"/>
        <color rgb="FFF8696B"/>
      </colorScale>
    </cfRule>
  </conditionalFormatting>
  <conditionalFormatting sqref="D4:D38">
    <cfRule type="colorScale" priority="234">
      <colorScale>
        <cfvo type="min"/>
        <cfvo type="max"/>
        <color rgb="FFFCFCFF"/>
        <color rgb="FFF8696B"/>
      </colorScale>
    </cfRule>
  </conditionalFormatting>
  <conditionalFormatting sqref="E4:E38">
    <cfRule type="colorScale" priority="233">
      <colorScale>
        <cfvo type="min"/>
        <cfvo type="max"/>
        <color rgb="FFFCFCFF"/>
        <color rgb="FFF8696B"/>
      </colorScale>
    </cfRule>
  </conditionalFormatting>
  <conditionalFormatting sqref="A49:A53 A56">
    <cfRule type="expression" dxfId="5" priority="232">
      <formula>A49&lt;$F$42</formula>
    </cfRule>
  </conditionalFormatting>
  <conditionalFormatting sqref="A55">
    <cfRule type="expression" dxfId="4" priority="207">
      <formula>A55&lt;$F$42</formula>
    </cfRule>
  </conditionalFormatting>
  <conditionalFormatting sqref="A55">
    <cfRule type="expression" dxfId="3" priority="206">
      <formula>A55&lt;$F$42</formula>
    </cfRule>
  </conditionalFormatting>
  <conditionalFormatting sqref="A54">
    <cfRule type="expression" dxfId="2" priority="181">
      <formula>A54&lt;$F$42</formula>
    </cfRule>
  </conditionalFormatting>
  <conditionalFormatting sqref="A54">
    <cfRule type="expression" dxfId="1" priority="180">
      <formula>A54&lt;$F$42</formula>
    </cfRule>
  </conditionalFormatting>
  <conditionalFormatting sqref="A65:A69">
    <cfRule type="expression" dxfId="0" priority="155">
      <formula>A65&lt;$F$42</formula>
    </cfRule>
  </conditionalFormatting>
  <conditionalFormatting sqref="AS4:AS38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T4:AT38">
    <cfRule type="colorScale" priority="125">
      <colorScale>
        <cfvo type="min"/>
        <cfvo type="max"/>
        <color rgb="FFF8696B"/>
        <color rgb="FFFCFCFF"/>
      </colorScale>
    </cfRule>
  </conditionalFormatting>
  <conditionalFormatting sqref="AU4:AU38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V4:AV38">
    <cfRule type="colorScale" priority="123">
      <colorScale>
        <cfvo type="min"/>
        <cfvo type="max"/>
        <color rgb="FFF8696B"/>
        <color rgb="FFFCFCFF"/>
      </colorScale>
    </cfRule>
  </conditionalFormatting>
  <conditionalFormatting sqref="AW4:AW38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X4:AX38">
    <cfRule type="colorScale" priority="121">
      <colorScale>
        <cfvo type="min"/>
        <cfvo type="max"/>
        <color rgb="FFF8696B"/>
        <color rgb="FFFCFCFF"/>
      </colorScale>
    </cfRule>
  </conditionalFormatting>
  <conditionalFormatting sqref="AY4:AY38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45:AS7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T45:AT79">
    <cfRule type="colorScale" priority="118">
      <colorScale>
        <cfvo type="min"/>
        <cfvo type="max"/>
        <color rgb="FFF8696B"/>
        <color rgb="FFFCFCFF"/>
      </colorScale>
    </cfRule>
  </conditionalFormatting>
  <conditionalFormatting sqref="AU45:AU7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V45:AV79">
    <cfRule type="colorScale" priority="116">
      <colorScale>
        <cfvo type="min"/>
        <cfvo type="max"/>
        <color rgb="FFF8696B"/>
        <color rgb="FFFCFCFF"/>
      </colorScale>
    </cfRule>
  </conditionalFormatting>
  <conditionalFormatting sqref="AW45:AW79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X45:AX79">
    <cfRule type="colorScale" priority="114">
      <colorScale>
        <cfvo type="min"/>
        <cfvo type="max"/>
        <color rgb="FFF8696B"/>
        <color rgb="FFFCFCFF"/>
      </colorScale>
    </cfRule>
  </conditionalFormatting>
  <conditionalFormatting sqref="AY45:AY7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85:AS130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T85:AT130">
    <cfRule type="colorScale" priority="111">
      <colorScale>
        <cfvo type="min"/>
        <cfvo type="max"/>
        <color rgb="FFF8696B"/>
        <color rgb="FFFCFCFF"/>
      </colorScale>
    </cfRule>
  </conditionalFormatting>
  <conditionalFormatting sqref="AU85:AU130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V85:AV130">
    <cfRule type="colorScale" priority="109">
      <colorScale>
        <cfvo type="min"/>
        <cfvo type="max"/>
        <color rgb="FFF8696B"/>
        <color rgb="FFFCFCFF"/>
      </colorScale>
    </cfRule>
  </conditionalFormatting>
  <conditionalFormatting sqref="AW85:AW130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X85:AX130">
    <cfRule type="colorScale" priority="107">
      <colorScale>
        <cfvo type="min"/>
        <cfvo type="max"/>
        <color rgb="FFF8696B"/>
        <color rgb="FFFCFCFF"/>
      </colorScale>
    </cfRule>
  </conditionalFormatting>
  <conditionalFormatting sqref="AY85:AY13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:BA38">
    <cfRule type="colorScale" priority="98">
      <colorScale>
        <cfvo type="min"/>
        <cfvo type="max"/>
        <color rgb="FFFCFCFF"/>
        <color rgb="FF63BE7B"/>
      </colorScale>
    </cfRule>
  </conditionalFormatting>
  <conditionalFormatting sqref="BB4:BB38">
    <cfRule type="colorScale" priority="97">
      <colorScale>
        <cfvo type="min"/>
        <cfvo type="max"/>
        <color rgb="FFF8696B"/>
        <color rgb="FFFCFCFF"/>
      </colorScale>
    </cfRule>
  </conditionalFormatting>
  <conditionalFormatting sqref="BC4:BC38">
    <cfRule type="colorScale" priority="96">
      <colorScale>
        <cfvo type="min"/>
        <cfvo type="max"/>
        <color rgb="FFFCFCFF"/>
        <color rgb="FF63BE7B"/>
      </colorScale>
    </cfRule>
  </conditionalFormatting>
  <conditionalFormatting sqref="BD4:BD38">
    <cfRule type="colorScale" priority="95">
      <colorScale>
        <cfvo type="min"/>
        <cfvo type="max"/>
        <color rgb="FFF8696B"/>
        <color rgb="FFFCFCFF"/>
      </colorScale>
    </cfRule>
  </conditionalFormatting>
  <conditionalFormatting sqref="BE4:BE38">
    <cfRule type="colorScale" priority="94">
      <colorScale>
        <cfvo type="min"/>
        <cfvo type="max"/>
        <color rgb="FFFCFCFF"/>
        <color rgb="FF63BE7B"/>
      </colorScale>
    </cfRule>
  </conditionalFormatting>
  <conditionalFormatting sqref="BF4:BF38">
    <cfRule type="colorScale" priority="93">
      <colorScale>
        <cfvo type="min"/>
        <cfvo type="max"/>
        <color rgb="FFF8696B"/>
        <color rgb="FFFCFCFF"/>
      </colorScale>
    </cfRule>
  </conditionalFormatting>
  <conditionalFormatting sqref="BH4:BH38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5:BA79">
    <cfRule type="colorScale" priority="91">
      <colorScale>
        <cfvo type="min"/>
        <cfvo type="max"/>
        <color rgb="FFFCFCFF"/>
        <color rgb="FF63BE7B"/>
      </colorScale>
    </cfRule>
  </conditionalFormatting>
  <conditionalFormatting sqref="BB45:BB79">
    <cfRule type="colorScale" priority="90">
      <colorScale>
        <cfvo type="min"/>
        <cfvo type="max"/>
        <color rgb="FFF8696B"/>
        <color rgb="FFFCFCFF"/>
      </colorScale>
    </cfRule>
  </conditionalFormatting>
  <conditionalFormatting sqref="BC45:BC79">
    <cfRule type="colorScale" priority="89">
      <colorScale>
        <cfvo type="min"/>
        <cfvo type="max"/>
        <color rgb="FFFCFCFF"/>
        <color rgb="FF63BE7B"/>
      </colorScale>
    </cfRule>
  </conditionalFormatting>
  <conditionalFormatting sqref="BD45:BD79">
    <cfRule type="colorScale" priority="88">
      <colorScale>
        <cfvo type="min"/>
        <cfvo type="max"/>
        <color rgb="FFF8696B"/>
        <color rgb="FFFCFCFF"/>
      </colorScale>
    </cfRule>
  </conditionalFormatting>
  <conditionalFormatting sqref="BE45:BE79">
    <cfRule type="colorScale" priority="87">
      <colorScale>
        <cfvo type="min"/>
        <cfvo type="max"/>
        <color rgb="FFFCFCFF"/>
        <color rgb="FF63BE7B"/>
      </colorScale>
    </cfRule>
  </conditionalFormatting>
  <conditionalFormatting sqref="BF45:BF79">
    <cfRule type="colorScale" priority="86">
      <colorScale>
        <cfvo type="min"/>
        <cfvo type="max"/>
        <color rgb="FFF8696B"/>
        <color rgb="FFFCFCFF"/>
      </colorScale>
    </cfRule>
  </conditionalFormatting>
  <conditionalFormatting sqref="BH45:BH79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B132">
    <cfRule type="colorScale" priority="83">
      <colorScale>
        <cfvo type="min"/>
        <cfvo type="max"/>
        <color rgb="FFF8696B"/>
        <color rgb="FFFCFCFF"/>
      </colorScale>
    </cfRule>
  </conditionalFormatting>
  <conditionalFormatting sqref="BD132">
    <cfRule type="colorScale" priority="69">
      <colorScale>
        <cfvo type="min"/>
        <cfvo type="max"/>
        <color rgb="FFF8696B"/>
        <color rgb="FFFCFCFF"/>
      </colorScale>
    </cfRule>
  </conditionalFormatting>
  <conditionalFormatting sqref="BF132:BG132">
    <cfRule type="colorScale" priority="68">
      <colorScale>
        <cfvo type="min"/>
        <cfvo type="max"/>
        <color rgb="FFF8696B"/>
        <color rgb="FFFCFCFF"/>
      </colorScale>
    </cfRule>
  </conditionalFormatting>
  <conditionalFormatting sqref="B137:B189">
    <cfRule type="colorScale" priority="65">
      <colorScale>
        <cfvo type="min"/>
        <cfvo type="max"/>
        <color rgb="FFFCFCFF"/>
        <color rgb="FFF8696B"/>
      </colorScale>
    </cfRule>
  </conditionalFormatting>
  <conditionalFormatting sqref="C137:C189">
    <cfRule type="colorScale" priority="64">
      <colorScale>
        <cfvo type="min"/>
        <cfvo type="max"/>
        <color rgb="FFFCFCFF"/>
        <color rgb="FFF8696B"/>
      </colorScale>
    </cfRule>
  </conditionalFormatting>
  <conditionalFormatting sqref="D137:D189">
    <cfRule type="colorScale" priority="63">
      <colorScale>
        <cfvo type="min"/>
        <cfvo type="max"/>
        <color rgb="FFFCFCFF"/>
        <color rgb="FFF8696B"/>
      </colorScale>
    </cfRule>
  </conditionalFormatting>
  <conditionalFormatting sqref="E137:E189">
    <cfRule type="colorScale" priority="62">
      <colorScale>
        <cfvo type="min"/>
        <cfvo type="max"/>
        <color rgb="FFFCFCFF"/>
        <color rgb="FFF8696B"/>
      </colorScale>
    </cfRule>
  </conditionalFormatting>
  <conditionalFormatting sqref="AS137:AS189">
    <cfRule type="colorScale" priority="61">
      <colorScale>
        <cfvo type="min"/>
        <cfvo type="max"/>
        <color rgb="FFFCFCFF"/>
        <color rgb="FF63BE7B"/>
      </colorScale>
    </cfRule>
  </conditionalFormatting>
  <conditionalFormatting sqref="AT137:AT189">
    <cfRule type="colorScale" priority="60">
      <colorScale>
        <cfvo type="min"/>
        <cfvo type="max"/>
        <color rgb="FFF8696B"/>
        <color rgb="FFFCFCFF"/>
      </colorScale>
    </cfRule>
  </conditionalFormatting>
  <conditionalFormatting sqref="AU137:AU188">
    <cfRule type="colorScale" priority="59">
      <colorScale>
        <cfvo type="min"/>
        <cfvo type="max"/>
        <color rgb="FFFCFCFF"/>
        <color rgb="FF63BE7B"/>
      </colorScale>
    </cfRule>
  </conditionalFormatting>
  <conditionalFormatting sqref="AV137:AV188">
    <cfRule type="colorScale" priority="58">
      <colorScale>
        <cfvo type="min"/>
        <cfvo type="max"/>
        <color rgb="FFF8696B"/>
        <color rgb="FFFCFCFF"/>
      </colorScale>
    </cfRule>
  </conditionalFormatting>
  <conditionalFormatting sqref="AW137:AW18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X137:AX189">
    <cfRule type="colorScale" priority="56">
      <colorScale>
        <cfvo type="min"/>
        <cfvo type="max"/>
        <color rgb="FFF8696B"/>
        <color rgb="FFFCFCFF"/>
      </colorScale>
    </cfRule>
  </conditionalFormatting>
  <conditionalFormatting sqref="AY137:AY189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137:BA189">
    <cfRule type="colorScale" priority="54">
      <colorScale>
        <cfvo type="min"/>
        <cfvo type="max"/>
        <color rgb="FFFCFCFF"/>
        <color rgb="FF63BE7B"/>
      </colorScale>
    </cfRule>
  </conditionalFormatting>
  <conditionalFormatting sqref="BB137:BB189">
    <cfRule type="colorScale" priority="53">
      <colorScale>
        <cfvo type="min"/>
        <cfvo type="max"/>
        <color rgb="FFF8696B"/>
        <color rgb="FFFCFCFF"/>
      </colorScale>
    </cfRule>
  </conditionalFormatting>
  <conditionalFormatting sqref="BC137:BC188">
    <cfRule type="colorScale" priority="52">
      <colorScale>
        <cfvo type="min"/>
        <cfvo type="max"/>
        <color rgb="FFFCFCFF"/>
        <color rgb="FF63BE7B"/>
      </colorScale>
    </cfRule>
  </conditionalFormatting>
  <conditionalFormatting sqref="BD137:BD188">
    <cfRule type="colorScale" priority="51">
      <colorScale>
        <cfvo type="min"/>
        <cfvo type="max"/>
        <color rgb="FFF8696B"/>
        <color rgb="FFFCFCFF"/>
      </colorScale>
    </cfRule>
  </conditionalFormatting>
  <conditionalFormatting sqref="BE137:BE189">
    <cfRule type="colorScale" priority="50">
      <colorScale>
        <cfvo type="min"/>
        <cfvo type="max"/>
        <color rgb="FFFCFCFF"/>
        <color rgb="FF63BE7B"/>
      </colorScale>
    </cfRule>
  </conditionalFormatting>
  <conditionalFormatting sqref="BF137:BF189">
    <cfRule type="colorScale" priority="49">
      <colorScale>
        <cfvo type="min"/>
        <cfvo type="max"/>
        <color rgb="FFF8696B"/>
        <color rgb="FFFCFCFF"/>
      </colorScale>
    </cfRule>
  </conditionalFormatting>
  <conditionalFormatting sqref="BH137:BH189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85:BA130">
    <cfRule type="colorScale" priority="47">
      <colorScale>
        <cfvo type="min"/>
        <cfvo type="max"/>
        <color rgb="FFFCFCFF"/>
        <color rgb="FF63BE7B"/>
      </colorScale>
    </cfRule>
  </conditionalFormatting>
  <conditionalFormatting sqref="BB85:BB130">
    <cfRule type="colorScale" priority="46">
      <colorScale>
        <cfvo type="min"/>
        <cfvo type="max"/>
        <color rgb="FFF8696B"/>
        <color rgb="FFFCFCFF"/>
      </colorScale>
    </cfRule>
  </conditionalFormatting>
  <conditionalFormatting sqref="BC85:BC130">
    <cfRule type="colorScale" priority="45">
      <colorScale>
        <cfvo type="min"/>
        <cfvo type="max"/>
        <color rgb="FFFCFCFF"/>
        <color rgb="FF63BE7B"/>
      </colorScale>
    </cfRule>
  </conditionalFormatting>
  <conditionalFormatting sqref="BD85:BD130">
    <cfRule type="colorScale" priority="44">
      <colorScale>
        <cfvo type="min"/>
        <cfvo type="max"/>
        <color rgb="FFF8696B"/>
        <color rgb="FFFCFCFF"/>
      </colorScale>
    </cfRule>
  </conditionalFormatting>
  <conditionalFormatting sqref="BE85:BE130">
    <cfRule type="colorScale" priority="43">
      <colorScale>
        <cfvo type="min"/>
        <cfvo type="max"/>
        <color rgb="FFFCFCFF"/>
        <color rgb="FF63BE7B"/>
      </colorScale>
    </cfRule>
  </conditionalFormatting>
  <conditionalFormatting sqref="BF85:BF130">
    <cfRule type="colorScale" priority="42">
      <colorScale>
        <cfvo type="min"/>
        <cfvo type="max"/>
        <color rgb="FFF8696B"/>
        <color rgb="FFFCFCFF"/>
      </colorScale>
    </cfRule>
  </conditionalFormatting>
  <conditionalFormatting sqref="BH85:BH130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5:B130">
    <cfRule type="colorScale" priority="40">
      <colorScale>
        <cfvo type="min"/>
        <cfvo type="max"/>
        <color rgb="FFFCFCFF"/>
        <color rgb="FFF8696B"/>
      </colorScale>
    </cfRule>
  </conditionalFormatting>
  <conditionalFormatting sqref="C85:C130">
    <cfRule type="colorScale" priority="39">
      <colorScale>
        <cfvo type="min"/>
        <cfvo type="max"/>
        <color rgb="FFFCFCFF"/>
        <color rgb="FFF8696B"/>
      </colorScale>
    </cfRule>
  </conditionalFormatting>
  <conditionalFormatting sqref="D85:D130">
    <cfRule type="colorScale" priority="38">
      <colorScale>
        <cfvo type="min"/>
        <cfvo type="max"/>
        <color rgb="FFFCFCFF"/>
        <color rgb="FFF8696B"/>
      </colorScale>
    </cfRule>
  </conditionalFormatting>
  <conditionalFormatting sqref="E85:E130">
    <cfRule type="colorScale" priority="37">
      <colorScale>
        <cfvo type="min"/>
        <cfvo type="max"/>
        <color rgb="FFFCFCFF"/>
        <color rgb="FFF8696B"/>
      </colorScale>
    </cfRule>
  </conditionalFormatting>
  <conditionalFormatting sqref="B45:B79">
    <cfRule type="colorScale" priority="36">
      <colorScale>
        <cfvo type="min"/>
        <cfvo type="max"/>
        <color rgb="FFFCFCFF"/>
        <color rgb="FFF8696B"/>
      </colorScale>
    </cfRule>
  </conditionalFormatting>
  <conditionalFormatting sqref="C45:C79">
    <cfRule type="colorScale" priority="35">
      <colorScale>
        <cfvo type="min"/>
        <cfvo type="max"/>
        <color rgb="FFFCFCFF"/>
        <color rgb="FFF8696B"/>
      </colorScale>
    </cfRule>
  </conditionalFormatting>
  <conditionalFormatting sqref="D45:D79">
    <cfRule type="colorScale" priority="34">
      <colorScale>
        <cfvo type="min"/>
        <cfvo type="max"/>
        <color rgb="FFFCFCFF"/>
        <color rgb="FFF8696B"/>
      </colorScale>
    </cfRule>
  </conditionalFormatting>
  <conditionalFormatting sqref="E45:E79">
    <cfRule type="colorScale" priority="33">
      <colorScale>
        <cfvo type="min"/>
        <cfvo type="max"/>
        <color rgb="FFFCFCFF"/>
        <color rgb="FFF8696B"/>
      </colorScale>
    </cfRule>
  </conditionalFormatting>
  <conditionalFormatting sqref="BG4:BG3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45:BG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85:BG13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137:BG18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disablePrompts="1" count="2">
    <dataValidation type="list" allowBlank="1" showInputMessage="1" showErrorMessage="1" sqref="A1">
      <formula1>"ABS,NET"</formula1>
    </dataValidation>
    <dataValidation type="list" allowBlank="1" showInputMessage="1" showErrorMessage="1" sqref="E1">
      <formula1>"GEX-OI,GEX-VOL,DEX,VOLPRESS,TRUGEX"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756B91-4852-4BB9-84D5-53514BB9C3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Z2:AH2</xm:sqref>
        </x14:conditionalFormatting>
        <x14:conditionalFormatting xmlns:xm="http://schemas.microsoft.com/office/excel/2006/main">
          <x14:cfRule type="dataBar" id="{70FBBBBD-AEF2-4C23-8DB7-77FAA1E335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Z1:AH1</xm:sqref>
        </x14:conditionalFormatting>
        <x14:conditionalFormatting xmlns:xm="http://schemas.microsoft.com/office/excel/2006/main">
          <x14:cfRule type="dataBar" id="{9BD38B5B-FD04-4F23-86FF-65CA58B88A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Z43:AH43</xm:sqref>
        </x14:conditionalFormatting>
        <x14:conditionalFormatting xmlns:xm="http://schemas.microsoft.com/office/excel/2006/main">
          <x14:cfRule type="dataBar" id="{F55B3C41-4249-493A-9904-35131BF44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Z83:AH83</xm:sqref>
        </x14:conditionalFormatting>
        <x14:conditionalFormatting xmlns:xm="http://schemas.microsoft.com/office/excel/2006/main">
          <x14:cfRule type="dataBar" id="{E8745E3C-E615-470A-BF75-D59A7489C6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Z135:AH135</xm:sqref>
        </x14:conditionalFormatting>
        <x14:conditionalFormatting xmlns:xm="http://schemas.microsoft.com/office/excel/2006/main">
          <x14:cfRule type="dataBar" id="{347D005F-749D-475B-BA2B-8FFD6FAC2F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Q2:Y2 AI2:AR2</xm:sqref>
        </x14:conditionalFormatting>
        <x14:conditionalFormatting xmlns:xm="http://schemas.microsoft.com/office/excel/2006/main">
          <x14:cfRule type="dataBar" id="{30BDB15D-9E4E-4582-BD62-69FDF3DCD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Q1:Y1 AI1:AR1</xm:sqref>
        </x14:conditionalFormatting>
        <x14:conditionalFormatting xmlns:xm="http://schemas.microsoft.com/office/excel/2006/main">
          <x14:cfRule type="dataBar" id="{AC35B083-9921-45A7-9C15-640992C07F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Q43:Y43 AI43:AR43</xm:sqref>
        </x14:conditionalFormatting>
        <x14:conditionalFormatting xmlns:xm="http://schemas.microsoft.com/office/excel/2006/main">
          <x14:cfRule type="dataBar" id="{0284C3E3-1F73-449D-B3B2-6C12BBC8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Q83:Y83 AI83:AR83</xm:sqref>
        </x14:conditionalFormatting>
        <x14:conditionalFormatting xmlns:xm="http://schemas.microsoft.com/office/excel/2006/main">
          <x14:cfRule type="dataBar" id="{D6C08B44-F03F-46FF-92BB-6D0409D76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Q135:Y135 AI135:AR135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90"/>
  <sheetViews>
    <sheetView topLeftCell="A16" zoomScale="80" zoomScaleNormal="80" workbookViewId="0">
      <selection activeCell="AF27" sqref="AF27"/>
    </sheetView>
  </sheetViews>
  <sheetFormatPr baseColWidth="10" defaultColWidth="7.28515625" defaultRowHeight="15" outlineLevelCol="1" x14ac:dyDescent="0.25"/>
  <cols>
    <col min="1" max="1" width="9.140625" style="93" bestFit="1" customWidth="1"/>
    <col min="2" max="2" width="9.85546875" style="93" hidden="1" customWidth="1" outlineLevel="1"/>
    <col min="3" max="3" width="8.42578125" style="93" hidden="1" customWidth="1" outlineLevel="1"/>
    <col min="4" max="10" width="7.7109375" style="93" hidden="1" customWidth="1" outlineLevel="1"/>
    <col min="11" max="11" width="8.42578125" style="93" hidden="1" customWidth="1" outlineLevel="1"/>
    <col min="12" max="24" width="7.7109375" style="93" hidden="1" customWidth="1" outlineLevel="1"/>
    <col min="25" max="25" width="20.42578125" style="93" customWidth="1" collapsed="1"/>
    <col min="26" max="16384" width="7.28515625" style="93"/>
  </cols>
  <sheetData>
    <row r="1" spans="1:25" x14ac:dyDescent="0.25">
      <c r="A1" s="92" t="str">
        <f ca="1">TEXT(IF(HOUR(NOW())&gt;=17,NOW()+1,NOW()),"YYMMDD")</f>
        <v>250512</v>
      </c>
      <c r="B1" s="92" t="str">
        <f ca="1">IF(AND(TEXT(B3,"YYMMDD")&gt;$A$1,TEXT(B3,"YYMMDD")&lt;&gt;Hoja1!$C$2,TEXT(B3,"YYMMDD")&lt;&gt;Hoja1!$D$2),TEXT(B3,"YYMMDD"),"")</f>
        <v/>
      </c>
      <c r="C1" s="92" t="str">
        <f ca="1">IF(AND(TEXT(C3,"YYMMDD")&gt;$A$1,TEXT(C3,"YYMMDD")&lt;&gt;Hoja1!$C$2,TEXT(C3,"YYMMDD")&lt;&gt;Hoja1!$D$2),TEXT(C3,"YYMMDD"),"")</f>
        <v/>
      </c>
      <c r="D1" s="92" t="str">
        <f ca="1">IF(AND(TEXT(D3,"YYMMDD")&gt;$A$1,TEXT(D3,"YYMMDD")&lt;&gt;Hoja1!$C$2,TEXT(D3,"YYMMDD")&lt;&gt;Hoja1!$D$2),TEXT(D3,"YYMMDD"),"")</f>
        <v/>
      </c>
      <c r="E1" s="92" t="str">
        <f ca="1">IF(AND(TEXT(E3,"YYMMDD")&gt;$A$1,TEXT(E3,"YYMMDD")&lt;&gt;Hoja1!$C$2,TEXT(E3,"YYMMDD")&lt;&gt;Hoja1!$D$2),TEXT(E3,"YYMMDD"),"")</f>
        <v/>
      </c>
      <c r="F1" s="92" t="str">
        <f ca="1">IF(AND(TEXT(F3,"YYMMDD")&gt;$A$1,TEXT(F3,"YYMMDD")&lt;&gt;Hoja1!$C$2,TEXT(F3,"YYMMDD")&lt;&gt;Hoja1!$D$2),TEXT(F3,"YYMMDD"),"")</f>
        <v/>
      </c>
      <c r="G1" s="92" t="str">
        <f ca="1">IF(AND(TEXT(G3,"YYMMDD")&gt;$A$1,TEXT(G3,"YYMMDD")&lt;&gt;Hoja1!$C$2,TEXT(G3,"YYMMDD")&lt;&gt;Hoja1!$D$2),TEXT(G3,"YYMMDD"),"")</f>
        <v/>
      </c>
      <c r="H1" s="92" t="str">
        <f ca="1">IF(AND(TEXT(H3,"YYMMDD")&gt;$A$1,TEXT(H3,"YYMMDD")&lt;&gt;Hoja1!$C$2,TEXT(H3,"YYMMDD")&lt;&gt;Hoja1!$D$2),TEXT(H3,"YYMMDD"),"")</f>
        <v>250523</v>
      </c>
      <c r="I1" s="92" t="str">
        <f ca="1">IF(AND(TEXT(I3,"YYMMDD")&gt;$A$1,TEXT(I3,"YYMMDD")&lt;&gt;Hoja1!$C$2,TEXT(I3,"YYMMDD")&lt;&gt;Hoja1!$D$2),TEXT(I3,"YYMMDD"),"")</f>
        <v>250530</v>
      </c>
      <c r="J1" s="92" t="str">
        <f ca="1">IF(AND(TEXT(J3,"YYMMDD")&gt;$A$1,TEXT(J3,"YYMMDD")&lt;&gt;Hoja1!$C$2,TEXT(J3,"YYMMDD")&lt;&gt;Hoja1!$D$2),TEXT(J3,"YYMMDD"),"")</f>
        <v>250606</v>
      </c>
      <c r="K1" s="92" t="str">
        <f ca="1">IF(AND(TEXT(K3,"YYMMDD")&gt;$A$1,TEXT(K3,"YYMMDD")&lt;&gt;Hoja1!$C$2,TEXT(K3,"YYMMDD")&lt;&gt;Hoja1!$D$2),TEXT(K3,"YYMMDD"),"")</f>
        <v/>
      </c>
      <c r="L1" s="92" t="str">
        <f ca="1">IF(AND(TEXT(L3,"YYMMDD")&gt;$A$1,TEXT(L3,"YYMMDD")&lt;&gt;Hoja1!$C$2,TEXT(L3,"YYMMDD")&lt;&gt;Hoja1!$D$2),TEXT(L3,"YYMMDD"),"")</f>
        <v>250630</v>
      </c>
      <c r="M1" s="92" t="str">
        <f ca="1">IF(AND(TEXT(M3,"YYMMDD")&gt;$A$1,TEXT(M3,"YYMMDD")&lt;&gt;Hoja1!$C$2,TEXT(M3,"YYMMDD")&lt;&gt;Hoja1!$D$2),TEXT(M3,"YYMMDD"),"")</f>
        <v>250718</v>
      </c>
      <c r="N1" s="92" t="str">
        <f ca="1">IF(AND(TEXT(N3,"YYMMDD")&gt;$A$1,TEXT(N3,"YYMMDD")&lt;&gt;Hoja1!$C$2,TEXT(N3,"YYMMDD")&lt;&gt;Hoja1!$D$2),TEXT(N3,"YYMMDD"),"")</f>
        <v>250731</v>
      </c>
      <c r="O1" s="92" t="str">
        <f ca="1">IF(AND(TEXT(O3,"YYMMDD")&gt;$A$1,TEXT(O3,"YYMMDD")&lt;&gt;Hoja1!$C$2,TEXT(O3,"YYMMDD")&lt;&gt;Hoja1!$D$2),TEXT(O3,"YYMMDD"),"")</f>
        <v>250815</v>
      </c>
      <c r="P1" s="92" t="str">
        <f ca="1">IF(AND(TEXT(P3,"YYMMDD")&gt;$A$1,TEXT(P3,"YYMMDD")&lt;&gt;Hoja1!$C$2,TEXT(P3,"YYMMDD")&lt;&gt;Hoja1!$D$2),TEXT(P3,"YYMMDD"),"")</f>
        <v>250829</v>
      </c>
      <c r="Q1" s="92" t="str">
        <f ca="1">IF(AND(TEXT(Q3,"YYMMDD")&gt;$A$1,TEXT(Q3,"YYMMDD")&lt;&gt;Hoja1!$C$2,TEXT(Q3,"YYMMDD")&lt;&gt;Hoja1!$D$2),TEXT(Q3,"YYMMDD"),"")</f>
        <v>250919</v>
      </c>
      <c r="R1" s="92" t="str">
        <f ca="1">IF(AND(TEXT(R3,"YYMMDD")&gt;$A$1,TEXT(R3,"YYMMDD")&lt;&gt;Hoja1!$C$2,TEXT(R3,"YYMMDD")&lt;&gt;Hoja1!$D$2),TEXT(R3,"YYMMDD"),"")</f>
        <v>250930</v>
      </c>
      <c r="S1" s="92" t="str">
        <f ca="1">IF(AND(TEXT(S3,"YYMMDD")&gt;$A$1,TEXT(S3,"YYMMDD")&lt;&gt;Hoja1!$C$2,TEXT(S3,"YYMMDD")&lt;&gt;Hoja1!$D$2),TEXT(S3,"YYMMDD"),"")</f>
        <v>251017</v>
      </c>
      <c r="T1" s="92" t="str">
        <f ca="1">IF(AND(TEXT(T3,"YYMMDD")&gt;$A$1,TEXT(T3,"YYMMDD")&lt;&gt;Hoja1!$C$2,TEXT(T3,"YYMMDD")&lt;&gt;Hoja1!$D$2),TEXT(T3,"YYMMDD"),"")</f>
        <v>251031</v>
      </c>
      <c r="U1" s="92" t="str">
        <f ca="1">IF(AND(TEXT(U3,"YYMMDD")&gt;$A$1,TEXT(U3,"YYMMDD")&lt;&gt;Hoja1!$C$2,TEXT(U3,"YYMMDD")&lt;&gt;Hoja1!$D$2),TEXT(U3,"YYMMDD"),"")</f>
        <v>251121</v>
      </c>
      <c r="V1" s="92" t="str">
        <f ca="1">IF(AND(TEXT(V3,"YYMMDD")&gt;$A$1,TEXT(V3,"YYMMDD")&lt;&gt;Hoja1!$C$2,TEXT(V3,"YYMMDD")&lt;&gt;Hoja1!$D$2),TEXT(V3,"YYMMDD"),"")</f>
        <v>251128</v>
      </c>
      <c r="W1" s="92" t="str">
        <f ca="1">IF(AND(TEXT(W3,"YYMMDD")&gt;$A$1,TEXT(W3,"YYMMDD")&lt;&gt;Hoja1!$C$2,TEXT(W3,"YYMMDD")&lt;&gt;Hoja1!$D$2),TEXT(W3,"YYMMDD"),"")</f>
        <v>251219</v>
      </c>
      <c r="X1" s="92" t="str">
        <f ca="1">IF(AND(TEXT(X3,"YYMMDD")&gt;$A$1,TEXT(X3,"YYMMDD")&lt;&gt;Hoja1!$C$2,TEXT(X3,"YYMMDD")&lt;&gt;Hoja1!$D$2),TEXT(X3,"YYMMDD"),"")</f>
        <v>251231</v>
      </c>
    </row>
    <row r="2" spans="1:25" x14ac:dyDescent="0.25">
      <c r="A2" s="92" t="s">
        <v>7</v>
      </c>
      <c r="B2" s="92" t="str">
        <f>+A3</f>
        <v>SPY</v>
      </c>
      <c r="C2" s="92" t="str">
        <f>+B2</f>
        <v>SPY</v>
      </c>
      <c r="D2" s="92" t="str">
        <f t="shared" ref="D2:K2" si="0">+C2</f>
        <v>SPY</v>
      </c>
      <c r="E2" s="92" t="str">
        <f t="shared" si="0"/>
        <v>SPY</v>
      </c>
      <c r="F2" s="92" t="str">
        <f t="shared" si="0"/>
        <v>SPY</v>
      </c>
      <c r="G2" s="92" t="str">
        <f t="shared" si="0"/>
        <v>SPY</v>
      </c>
      <c r="H2" s="92" t="str">
        <f t="shared" si="0"/>
        <v>SPY</v>
      </c>
      <c r="I2" s="92" t="str">
        <f t="shared" si="0"/>
        <v>SPY</v>
      </c>
      <c r="J2" s="92" t="str">
        <f t="shared" si="0"/>
        <v>SPY</v>
      </c>
      <c r="K2" s="92" t="str">
        <f t="shared" si="0"/>
        <v>SPY</v>
      </c>
      <c r="L2" s="92" t="str">
        <f t="shared" ref="L2" si="1">+K2</f>
        <v>SPY</v>
      </c>
      <c r="M2" s="92" t="str">
        <f t="shared" ref="M2:X2" si="2">+K2</f>
        <v>SPY</v>
      </c>
      <c r="N2" s="92" t="str">
        <f t="shared" si="2"/>
        <v>SPY</v>
      </c>
      <c r="O2" s="92" t="str">
        <f t="shared" si="2"/>
        <v>SPY</v>
      </c>
      <c r="P2" s="92" t="str">
        <f t="shared" si="2"/>
        <v>SPY</v>
      </c>
      <c r="Q2" s="92" t="str">
        <f t="shared" si="2"/>
        <v>SPY</v>
      </c>
      <c r="R2" s="92" t="str">
        <f t="shared" si="2"/>
        <v>SPY</v>
      </c>
      <c r="S2" s="92" t="str">
        <f t="shared" si="2"/>
        <v>SPY</v>
      </c>
      <c r="T2" s="92" t="str">
        <f t="shared" si="2"/>
        <v>SPY</v>
      </c>
      <c r="U2" s="92" t="str">
        <f t="shared" si="2"/>
        <v>SPY</v>
      </c>
      <c r="V2" s="92" t="str">
        <f t="shared" si="2"/>
        <v>SPY</v>
      </c>
      <c r="W2" s="92" t="str">
        <f t="shared" si="2"/>
        <v>SPY</v>
      </c>
      <c r="X2" s="92" t="str">
        <f t="shared" si="2"/>
        <v>SPY</v>
      </c>
    </row>
    <row r="3" spans="1:25" x14ac:dyDescent="0.25">
      <c r="A3" s="92" t="str">
        <f>+Hoja1!A2</f>
        <v>SPY</v>
      </c>
      <c r="B3" s="94">
        <v>45782</v>
      </c>
      <c r="C3" s="94">
        <f>+B3+1</f>
        <v>45783</v>
      </c>
      <c r="D3" s="94">
        <f>+C3+1</f>
        <v>45784</v>
      </c>
      <c r="E3" s="94">
        <f>+D3+1</f>
        <v>45785</v>
      </c>
      <c r="F3" s="94">
        <f>+E3+1</f>
        <v>45786</v>
      </c>
      <c r="G3" s="94">
        <f>+F3+7</f>
        <v>45793</v>
      </c>
      <c r="H3" s="94">
        <f>+G3+7</f>
        <v>45800</v>
      </c>
      <c r="I3" s="94">
        <f>+H3+7</f>
        <v>45807</v>
      </c>
      <c r="J3" s="94">
        <f>+I3+7</f>
        <v>45814</v>
      </c>
      <c r="K3" s="94">
        <v>45828</v>
      </c>
      <c r="L3" s="94">
        <v>45838</v>
      </c>
      <c r="M3" s="94">
        <f>+K3+7+7+7+7</f>
        <v>45856</v>
      </c>
      <c r="N3" s="94">
        <v>45869</v>
      </c>
      <c r="O3" s="94">
        <f>+M3+7+7+7+7</f>
        <v>45884</v>
      </c>
      <c r="P3" s="94">
        <v>45898</v>
      </c>
      <c r="Q3" s="94">
        <f>+O3+7+7+7+7+7</f>
        <v>45919</v>
      </c>
      <c r="R3" s="94">
        <v>45930</v>
      </c>
      <c r="S3" s="94">
        <f>+Q3+7+7+7+7</f>
        <v>45947</v>
      </c>
      <c r="T3" s="94">
        <v>45961</v>
      </c>
      <c r="U3" s="94">
        <f>+S3+7+7+7+7+7</f>
        <v>45982</v>
      </c>
      <c r="V3" s="94">
        <v>45989</v>
      </c>
      <c r="W3" s="94">
        <f>+U3+7+7+7+7</f>
        <v>46010</v>
      </c>
      <c r="X3" s="94">
        <v>46022</v>
      </c>
    </row>
    <row r="4" spans="1:25" x14ac:dyDescent="0.25">
      <c r="A4" s="92">
        <f>+Hoja1!A3</f>
        <v>582.95000000000005</v>
      </c>
      <c r="B4" s="92"/>
      <c r="C4" s="92"/>
      <c r="D4" s="92"/>
    </row>
    <row r="5" spans="1:25" x14ac:dyDescent="0.25">
      <c r="A5" s="92">
        <f>+Hoja1!A4</f>
        <v>592</v>
      </c>
      <c r="B5" s="91">
        <f ca="1">IF(RTD("tos.rtd",,$A$2,"."&amp;B$2&amp;B$1&amp;"C"&amp;$A5)="N/A",0,RTD("tos.rtd",,$A$2,"."&amp;B$2&amp;B$1&amp;"C"&amp;$A5))-IF(RTD("tos.rtd",,$A$2,"."&amp;B$2&amp;B$1&amp;"P"&amp;$A5)="N/A",0,RTD("tos.rtd",,$A$2,"."&amp;B$2&amp;B$1&amp;"P"&amp;$A5))</f>
        <v>0</v>
      </c>
      <c r="C5" s="91">
        <f ca="1">IF(RTD("tos.rtd",,$A$2,"."&amp;C$2&amp;C$1&amp;"C"&amp;$A5)="N/A",0,RTD("tos.rtd",,$A$2,"."&amp;C$2&amp;C$1&amp;"C"&amp;$A5))-IF(RTD("tos.rtd",,$A$2,"."&amp;C$2&amp;C$1&amp;"P"&amp;$A5)="N/A",0,RTD("tos.rtd",,$A$2,"."&amp;C$2&amp;C$1&amp;"P"&amp;$A5))</f>
        <v>0</v>
      </c>
      <c r="D5" s="91">
        <f ca="1">IF(RTD("tos.rtd",,$A$2,"."&amp;D$2&amp;D$1&amp;"C"&amp;$A5)="N/A",0,RTD("tos.rtd",,$A$2,"."&amp;D$2&amp;D$1&amp;"C"&amp;$A5))-IF(RTD("tos.rtd",,$A$2,"."&amp;D$2&amp;D$1&amp;"P"&amp;$A5)="N/A",0,RTD("tos.rtd",,$A$2,"."&amp;D$2&amp;D$1&amp;"P"&amp;$A5))</f>
        <v>0</v>
      </c>
      <c r="E5" s="91">
        <f ca="1">IF(RTD("tos.rtd",,$A$2,"."&amp;E$2&amp;E$1&amp;"C"&amp;$A5)="N/A",0,RTD("tos.rtd",,$A$2,"."&amp;E$2&amp;E$1&amp;"C"&amp;$A5))-IF(RTD("tos.rtd",,$A$2,"."&amp;E$2&amp;E$1&amp;"P"&amp;$A5)="N/A",0,RTD("tos.rtd",,$A$2,"."&amp;E$2&amp;E$1&amp;"P"&amp;$A5))</f>
        <v>0</v>
      </c>
      <c r="F5" s="91">
        <f ca="1">IF(RTD("tos.rtd",,$A$2,"."&amp;F$2&amp;F$1&amp;"C"&amp;$A5)="N/A",0,RTD("tos.rtd",,$A$2,"."&amp;F$2&amp;F$1&amp;"C"&amp;$A5))-IF(RTD("tos.rtd",,$A$2,"."&amp;F$2&amp;F$1&amp;"P"&amp;$A5)="N/A",0,RTD("tos.rtd",,$A$2,"."&amp;F$2&amp;F$1&amp;"P"&amp;$A5))</f>
        <v>0</v>
      </c>
      <c r="G5" s="91">
        <f ca="1">IF(RTD("tos.rtd",,$A$2,"."&amp;G$2&amp;G$1&amp;"C"&amp;$A5)="N/A",0,RTD("tos.rtd",,$A$2,"."&amp;G$2&amp;G$1&amp;"C"&amp;$A5))-IF(RTD("tos.rtd",,$A$2,"."&amp;G$2&amp;G$1&amp;"P"&amp;$A5)="N/A",0,RTD("tos.rtd",,$A$2,"."&amp;G$2&amp;G$1&amp;"P"&amp;$A5))</f>
        <v>0</v>
      </c>
      <c r="H5" s="91">
        <f ca="1">IF(RTD("tos.rtd",,$A$2,"."&amp;H$2&amp;H$1&amp;"C"&amp;$A5)="N/A",0,RTD("tos.rtd",,$A$2,"."&amp;H$2&amp;H$1&amp;"C"&amp;$A5))-IF(RTD("tos.rtd",,$A$2,"."&amp;H$2&amp;H$1&amp;"P"&amp;$A5)="N/A",0,RTD("tos.rtd",,$A$2,"."&amp;H$2&amp;H$1&amp;"P"&amp;$A5))</f>
        <v>0</v>
      </c>
      <c r="I5" s="91">
        <f ca="1">IF(RTD("tos.rtd",,$A$2,"."&amp;I$2&amp;I$1&amp;"C"&amp;$A5)="N/A",0,RTD("tos.rtd",,$A$2,"."&amp;I$2&amp;I$1&amp;"C"&amp;$A5))-IF(RTD("tos.rtd",,$A$2,"."&amp;I$2&amp;I$1&amp;"P"&amp;$A5)="N/A",0,RTD("tos.rtd",,$A$2,"."&amp;I$2&amp;I$1&amp;"P"&amp;$A5))</f>
        <v>304</v>
      </c>
      <c r="J5" s="91">
        <f ca="1">IF(RTD("tos.rtd",,$A$2,"."&amp;J$2&amp;J$1&amp;"C"&amp;$A5)="N/A",0,RTD("tos.rtd",,$A$2,"."&amp;J$2&amp;J$1&amp;"C"&amp;$A5))-IF(RTD("tos.rtd",,$A$2,"."&amp;J$2&amp;J$1&amp;"P"&amp;$A5)="N/A",0,RTD("tos.rtd",,$A$2,"."&amp;J$2&amp;J$1&amp;"P"&amp;$A5))</f>
        <v>0</v>
      </c>
      <c r="K5" s="91">
        <f ca="1">IF(RTD("tos.rtd",,$A$2,"."&amp;K$2&amp;K$1&amp;"C"&amp;$A5)="N/A",0,RTD("tos.rtd",,$A$2,"."&amp;K$2&amp;K$1&amp;"C"&amp;$A5))-IF(RTD("tos.rtd",,$A$2,"."&amp;K$2&amp;K$1&amp;"P"&amp;$A5)="N/A",0,RTD("tos.rtd",,$A$2,"."&amp;K$2&amp;K$1&amp;"P"&amp;$A5))</f>
        <v>0</v>
      </c>
      <c r="L5" s="91">
        <f ca="1">IF(RTD("tos.rtd",,$A$2,"."&amp;L$2&amp;L$1&amp;"C"&amp;$A5)="N/A",0,RTD("tos.rtd",,$A$2,"."&amp;L$2&amp;L$1&amp;"C"&amp;$A5))-IF(RTD("tos.rtd",,$A$2,"."&amp;L$2&amp;L$1&amp;"P"&amp;$A5)="N/A",0,RTD("tos.rtd",,$A$2,"."&amp;L$2&amp;L$1&amp;"P"&amp;$A5))</f>
        <v>14</v>
      </c>
      <c r="M5" s="91">
        <f ca="1">IF(RTD("tos.rtd",,$A$2,"."&amp;M$2&amp;M$1&amp;"C"&amp;$A5)="N/A",0,RTD("tos.rtd",,$A$2,"."&amp;M$2&amp;M$1&amp;"C"&amp;$A5))-IF(RTD("tos.rtd",,$A$2,"."&amp;M$2&amp;M$1&amp;"P"&amp;$A5)="N/A",0,RTD("tos.rtd",,$A$2,"."&amp;M$2&amp;M$1&amp;"P"&amp;$A5))</f>
        <v>0</v>
      </c>
      <c r="N5" s="91">
        <f ca="1">IF(RTD("tos.rtd",,$A$2,"."&amp;N$2&amp;N$1&amp;"C"&amp;$A5)="N/A",0,RTD("tos.rtd",,$A$2,"."&amp;N$2&amp;N$1&amp;"C"&amp;$A5))-IF(RTD("tos.rtd",,$A$2,"."&amp;N$2&amp;N$1&amp;"P"&amp;$A5)="N/A",0,RTD("tos.rtd",,$A$2,"."&amp;N$2&amp;N$1&amp;"P"&amp;$A5))</f>
        <v>8</v>
      </c>
      <c r="O5" s="91">
        <f ca="1">IF(RTD("tos.rtd",,$A$2,"."&amp;O$2&amp;O$1&amp;"C"&amp;$A5)="N/A",0,RTD("tos.rtd",,$A$2,"."&amp;O$2&amp;O$1&amp;"C"&amp;$A5))-IF(RTD("tos.rtd",,$A$2,"."&amp;O$2&amp;O$1&amp;"P"&amp;$A5)="N/A",0,RTD("tos.rtd",,$A$2,"."&amp;O$2&amp;O$1&amp;"P"&amp;$A5))</f>
        <v>0</v>
      </c>
      <c r="P5" s="91">
        <f ca="1">IF(RTD("tos.rtd",,$A$2,"."&amp;P$2&amp;P$1&amp;"C"&amp;$A5)="N/A",0,RTD("tos.rtd",,$A$2,"."&amp;P$2&amp;P$1&amp;"C"&amp;$A5))-IF(RTD("tos.rtd",,$A$2,"."&amp;P$2&amp;P$1&amp;"P"&amp;$A5)="N/A",0,RTD("tos.rtd",,$A$2,"."&amp;P$2&amp;P$1&amp;"P"&amp;$A5))</f>
        <v>18</v>
      </c>
      <c r="Q5" s="91">
        <f ca="1">IF(RTD("tos.rtd",,$A$2,"."&amp;Q$2&amp;Q$1&amp;"C"&amp;$A5)="N/A",0,RTD("tos.rtd",,$A$2,"."&amp;Q$2&amp;Q$1&amp;"C"&amp;$A5))-IF(RTD("tos.rtd",,$A$2,"."&amp;Q$2&amp;Q$1&amp;"P"&amp;$A5)="N/A",0,RTD("tos.rtd",,$A$2,"."&amp;Q$2&amp;Q$1&amp;"P"&amp;$A5))</f>
        <v>0</v>
      </c>
      <c r="R5" s="91">
        <f ca="1">IF(RTD("tos.rtd",,$A$2,"."&amp;R$2&amp;R$1&amp;"C"&amp;$A5)="N/A",0,RTD("tos.rtd",,$A$2,"."&amp;R$2&amp;R$1&amp;"C"&amp;$A5))-IF(RTD("tos.rtd",,$A$2,"."&amp;R$2&amp;R$1&amp;"P"&amp;$A5)="N/A",0,RTD("tos.rtd",,$A$2,"."&amp;R$2&amp;R$1&amp;"P"&amp;$A5))</f>
        <v>111</v>
      </c>
      <c r="S5" s="91">
        <f ca="1">IF(RTD("tos.rtd",,$A$2,"."&amp;S$2&amp;S$1&amp;"C"&amp;$A5)="N/A",0,RTD("tos.rtd",,$A$2,"."&amp;S$2&amp;S$1&amp;"C"&amp;$A5))-IF(RTD("tos.rtd",,$A$2,"."&amp;S$2&amp;S$1&amp;"P"&amp;$A5)="N/A",0,RTD("tos.rtd",,$A$2,"."&amp;S$2&amp;S$1&amp;"P"&amp;$A5))</f>
        <v>0</v>
      </c>
      <c r="T5" s="91">
        <f ca="1">IF(RTD("tos.rtd",,$A$2,"."&amp;T$2&amp;T$1&amp;"C"&amp;$A5)="N/A",0,RTD("tos.rtd",,$A$2,"."&amp;T$2&amp;T$1&amp;"C"&amp;$A5))-IF(RTD("tos.rtd",,$A$2,"."&amp;T$2&amp;T$1&amp;"P"&amp;$A5)="N/A",0,RTD("tos.rtd",,$A$2,"."&amp;T$2&amp;T$1&amp;"P"&amp;$A5))</f>
        <v>0</v>
      </c>
      <c r="U5" s="91">
        <f ca="1">IF(RTD("tos.rtd",,$A$2,"."&amp;U$2&amp;U$1&amp;"C"&amp;$A5)="N/A",0,RTD("tos.rtd",,$A$2,"."&amp;U$2&amp;U$1&amp;"C"&amp;$A5))-IF(RTD("tos.rtd",,$A$2,"."&amp;U$2&amp;U$1&amp;"P"&amp;$A5)="N/A",0,RTD("tos.rtd",,$A$2,"."&amp;U$2&amp;U$1&amp;"P"&amp;$A5))</f>
        <v>0</v>
      </c>
      <c r="V5" s="91">
        <f ca="1">IF(RTD("tos.rtd",,$A$2,"."&amp;V$2&amp;V$1&amp;"C"&amp;$A5)="N/A",0,RTD("tos.rtd",,$A$2,"."&amp;V$2&amp;V$1&amp;"C"&amp;$A5))-IF(RTD("tos.rtd",,$A$2,"."&amp;V$2&amp;V$1&amp;"P"&amp;$A5)="N/A",0,RTD("tos.rtd",,$A$2,"."&amp;V$2&amp;V$1&amp;"P"&amp;$A5))</f>
        <v>0</v>
      </c>
      <c r="W5" s="91">
        <f ca="1">IF(RTD("tos.rtd",,$A$2,"."&amp;W$2&amp;W$1&amp;"C"&amp;$A5)="N/A",0,RTD("tos.rtd",,$A$2,"."&amp;W$2&amp;W$1&amp;"C"&amp;$A5))-IF(RTD("tos.rtd",,$A$2,"."&amp;W$2&amp;W$1&amp;"P"&amp;$A5)="N/A",0,RTD("tos.rtd",,$A$2,"."&amp;W$2&amp;W$1&amp;"P"&amp;$A5))</f>
        <v>0</v>
      </c>
      <c r="X5" s="91">
        <f ca="1">IF(RTD("tos.rtd",,$A$2,"."&amp;X$2&amp;X$1&amp;"C"&amp;$A5)="N/A",0,RTD("tos.rtd",,$A$2,"."&amp;X$2&amp;X$1&amp;"C"&amp;$A5))-IF(RTD("tos.rtd",,$A$2,"."&amp;X$2&amp;X$1&amp;"P"&amp;$A5)="N/A",0,RTD("tos.rtd",,$A$2,"."&amp;X$2&amp;X$1&amp;"P"&amp;$A5))</f>
        <v>1</v>
      </c>
      <c r="Y5" s="98">
        <f ca="1">SUM(B5:X5)</f>
        <v>456</v>
      </c>
    </row>
    <row r="6" spans="1:25" x14ac:dyDescent="0.25">
      <c r="A6" s="92">
        <f>+Hoja1!A5</f>
        <v>591</v>
      </c>
      <c r="B6" s="91">
        <f ca="1">IF(RTD("tos.rtd",,$A$2,"."&amp;B$2&amp;B$1&amp;"C"&amp;$A6)="N/A",0,RTD("tos.rtd",,$A$2,"."&amp;B$2&amp;B$1&amp;"C"&amp;$A6))-IF(RTD("tos.rtd",,$A$2,"."&amp;B$2&amp;B$1&amp;"P"&amp;$A6)="N/A",0,RTD("tos.rtd",,$A$2,"."&amp;B$2&amp;B$1&amp;"P"&amp;$A6))</f>
        <v>0</v>
      </c>
      <c r="C6" s="91">
        <f ca="1">IF(RTD("tos.rtd",,$A$2,"."&amp;C$2&amp;C$1&amp;"C"&amp;$A6)="N/A",0,RTD("tos.rtd",,$A$2,"."&amp;C$2&amp;C$1&amp;"C"&amp;$A6))-IF(RTD("tos.rtd",,$A$2,"."&amp;C$2&amp;C$1&amp;"P"&amp;$A6)="N/A",0,RTD("tos.rtd",,$A$2,"."&amp;C$2&amp;C$1&amp;"P"&amp;$A6))</f>
        <v>0</v>
      </c>
      <c r="D6" s="91">
        <f ca="1">IF(RTD("tos.rtd",,$A$2,"."&amp;D$2&amp;D$1&amp;"C"&amp;$A6)="N/A",0,RTD("tos.rtd",,$A$2,"."&amp;D$2&amp;D$1&amp;"C"&amp;$A6))-IF(RTD("tos.rtd",,$A$2,"."&amp;D$2&amp;D$1&amp;"P"&amp;$A6)="N/A",0,RTD("tos.rtd",,$A$2,"."&amp;D$2&amp;D$1&amp;"P"&amp;$A6))</f>
        <v>0</v>
      </c>
      <c r="E6" s="91">
        <f ca="1">IF(RTD("tos.rtd",,$A$2,"."&amp;E$2&amp;E$1&amp;"C"&amp;$A6)="N/A",0,RTD("tos.rtd",,$A$2,"."&amp;E$2&amp;E$1&amp;"C"&amp;$A6))-IF(RTD("tos.rtd",,$A$2,"."&amp;E$2&amp;E$1&amp;"P"&amp;$A6)="N/A",0,RTD("tos.rtd",,$A$2,"."&amp;E$2&amp;E$1&amp;"P"&amp;$A6))</f>
        <v>0</v>
      </c>
      <c r="F6" s="91">
        <f ca="1">IF(RTD("tos.rtd",,$A$2,"."&amp;F$2&amp;F$1&amp;"C"&amp;$A6)="N/A",0,RTD("tos.rtd",,$A$2,"."&amp;F$2&amp;F$1&amp;"C"&amp;$A6))-IF(RTD("tos.rtd",,$A$2,"."&amp;F$2&amp;F$1&amp;"P"&amp;$A6)="N/A",0,RTD("tos.rtd",,$A$2,"."&amp;F$2&amp;F$1&amp;"P"&amp;$A6))</f>
        <v>0</v>
      </c>
      <c r="G6" s="91">
        <f ca="1">IF(RTD("tos.rtd",,$A$2,"."&amp;G$2&amp;G$1&amp;"C"&amp;$A6)="N/A",0,RTD("tos.rtd",,$A$2,"."&amp;G$2&amp;G$1&amp;"C"&amp;$A6))-IF(RTD("tos.rtd",,$A$2,"."&amp;G$2&amp;G$1&amp;"P"&amp;$A6)="N/A",0,RTD("tos.rtd",,$A$2,"."&amp;G$2&amp;G$1&amp;"P"&amp;$A6))</f>
        <v>0</v>
      </c>
      <c r="H6" s="91">
        <f ca="1">IF(RTD("tos.rtd",,$A$2,"."&amp;H$2&amp;H$1&amp;"C"&amp;$A6)="N/A",0,RTD("tos.rtd",,$A$2,"."&amp;H$2&amp;H$1&amp;"C"&amp;$A6))-IF(RTD("tos.rtd",,$A$2,"."&amp;H$2&amp;H$1&amp;"P"&amp;$A6)="N/A",0,RTD("tos.rtd",,$A$2,"."&amp;H$2&amp;H$1&amp;"P"&amp;$A6))</f>
        <v>0</v>
      </c>
      <c r="I6" s="91">
        <f ca="1">IF(RTD("tos.rtd",,$A$2,"."&amp;I$2&amp;I$1&amp;"C"&amp;$A6)="N/A",0,RTD("tos.rtd",,$A$2,"."&amp;I$2&amp;I$1&amp;"C"&amp;$A6))-IF(RTD("tos.rtd",,$A$2,"."&amp;I$2&amp;I$1&amp;"P"&amp;$A6)="N/A",0,RTD("tos.rtd",,$A$2,"."&amp;I$2&amp;I$1&amp;"P"&amp;$A6))</f>
        <v>3355</v>
      </c>
      <c r="J6" s="91">
        <f ca="1">IF(RTD("tos.rtd",,$A$2,"."&amp;J$2&amp;J$1&amp;"C"&amp;$A6)="N/A",0,RTD("tos.rtd",,$A$2,"."&amp;J$2&amp;J$1&amp;"C"&amp;$A6))-IF(RTD("tos.rtd",,$A$2,"."&amp;J$2&amp;J$1&amp;"P"&amp;$A6)="N/A",0,RTD("tos.rtd",,$A$2,"."&amp;J$2&amp;J$1&amp;"P"&amp;$A6))</f>
        <v>0</v>
      </c>
      <c r="K6" s="91">
        <f ca="1">IF(RTD("tos.rtd",,$A$2,"."&amp;K$2&amp;K$1&amp;"C"&amp;$A6)="N/A",0,RTD("tos.rtd",,$A$2,"."&amp;K$2&amp;K$1&amp;"C"&amp;$A6))-IF(RTD("tos.rtd",,$A$2,"."&amp;K$2&amp;K$1&amp;"P"&amp;$A6)="N/A",0,RTD("tos.rtd",,$A$2,"."&amp;K$2&amp;K$1&amp;"P"&amp;$A6))</f>
        <v>0</v>
      </c>
      <c r="L6" s="91">
        <f ca="1">IF(RTD("tos.rtd",,$A$2,"."&amp;L$2&amp;L$1&amp;"C"&amp;$A6)="N/A",0,RTD("tos.rtd",,$A$2,"."&amp;L$2&amp;L$1&amp;"C"&amp;$A6))-IF(RTD("tos.rtd",,$A$2,"."&amp;L$2&amp;L$1&amp;"P"&amp;$A6)="N/A",0,RTD("tos.rtd",,$A$2,"."&amp;L$2&amp;L$1&amp;"P"&amp;$A6))</f>
        <v>816</v>
      </c>
      <c r="M6" s="91">
        <f ca="1">IF(RTD("tos.rtd",,$A$2,"."&amp;M$2&amp;M$1&amp;"C"&amp;$A6)="N/A",0,RTD("tos.rtd",,$A$2,"."&amp;M$2&amp;M$1&amp;"C"&amp;$A6))-IF(RTD("tos.rtd",,$A$2,"."&amp;M$2&amp;M$1&amp;"P"&amp;$A6)="N/A",0,RTD("tos.rtd",,$A$2,"."&amp;M$2&amp;M$1&amp;"P"&amp;$A6))</f>
        <v>0</v>
      </c>
      <c r="N6" s="91">
        <f ca="1">IF(RTD("tos.rtd",,$A$2,"."&amp;N$2&amp;N$1&amp;"C"&amp;$A6)="N/A",0,RTD("tos.rtd",,$A$2,"."&amp;N$2&amp;N$1&amp;"C"&amp;$A6))-IF(RTD("tos.rtd",,$A$2,"."&amp;N$2&amp;N$1&amp;"P"&amp;$A6)="N/A",0,RTD("tos.rtd",,$A$2,"."&amp;N$2&amp;N$1&amp;"P"&amp;$A6))</f>
        <v>11</v>
      </c>
      <c r="O6" s="91">
        <f ca="1">IF(RTD("tos.rtd",,$A$2,"."&amp;O$2&amp;O$1&amp;"C"&amp;$A6)="N/A",0,RTD("tos.rtd",,$A$2,"."&amp;O$2&amp;O$1&amp;"C"&amp;$A6))-IF(RTD("tos.rtd",,$A$2,"."&amp;O$2&amp;O$1&amp;"P"&amp;$A6)="N/A",0,RTD("tos.rtd",,$A$2,"."&amp;O$2&amp;O$1&amp;"P"&amp;$A6))</f>
        <v>0</v>
      </c>
      <c r="P6" s="91">
        <f ca="1">IF(RTD("tos.rtd",,$A$2,"."&amp;P$2&amp;P$1&amp;"C"&amp;$A6)="N/A",0,RTD("tos.rtd",,$A$2,"."&amp;P$2&amp;P$1&amp;"C"&amp;$A6))-IF(RTD("tos.rtd",,$A$2,"."&amp;P$2&amp;P$1&amp;"P"&amp;$A6)="N/A",0,RTD("tos.rtd",,$A$2,"."&amp;P$2&amp;P$1&amp;"P"&amp;$A6))</f>
        <v>24</v>
      </c>
      <c r="Q6" s="91">
        <f ca="1">IF(RTD("tos.rtd",,$A$2,"."&amp;Q$2&amp;Q$1&amp;"C"&amp;$A6)="N/A",0,RTD("tos.rtd",,$A$2,"."&amp;Q$2&amp;Q$1&amp;"C"&amp;$A6))-IF(RTD("tos.rtd",,$A$2,"."&amp;Q$2&amp;Q$1&amp;"P"&amp;$A6)="N/A",0,RTD("tos.rtd",,$A$2,"."&amp;Q$2&amp;Q$1&amp;"P"&amp;$A6))</f>
        <v>0</v>
      </c>
      <c r="R6" s="91">
        <f ca="1">IF(RTD("tos.rtd",,$A$2,"."&amp;R$2&amp;R$1&amp;"C"&amp;$A6)="N/A",0,RTD("tos.rtd",,$A$2,"."&amp;R$2&amp;R$1&amp;"C"&amp;$A6))-IF(RTD("tos.rtd",,$A$2,"."&amp;R$2&amp;R$1&amp;"P"&amp;$A6)="N/A",0,RTD("tos.rtd",,$A$2,"."&amp;R$2&amp;R$1&amp;"P"&amp;$A6))</f>
        <v>15</v>
      </c>
      <c r="S6" s="91">
        <f ca="1">IF(RTD("tos.rtd",,$A$2,"."&amp;S$2&amp;S$1&amp;"C"&amp;$A6)="N/A",0,RTD("tos.rtd",,$A$2,"."&amp;S$2&amp;S$1&amp;"C"&amp;$A6))-IF(RTD("tos.rtd",,$A$2,"."&amp;S$2&amp;S$1&amp;"P"&amp;$A6)="N/A",0,RTD("tos.rtd",,$A$2,"."&amp;S$2&amp;S$1&amp;"P"&amp;$A6))</f>
        <v>0</v>
      </c>
      <c r="T6" s="91">
        <f ca="1">IF(RTD("tos.rtd",,$A$2,"."&amp;T$2&amp;T$1&amp;"C"&amp;$A6)="N/A",0,RTD("tos.rtd",,$A$2,"."&amp;T$2&amp;T$1&amp;"C"&amp;$A6))-IF(RTD("tos.rtd",,$A$2,"."&amp;T$2&amp;T$1&amp;"P"&amp;$A6)="N/A",0,RTD("tos.rtd",,$A$2,"."&amp;T$2&amp;T$1&amp;"P"&amp;$A6))</f>
        <v>0</v>
      </c>
      <c r="U6" s="91">
        <f ca="1">IF(RTD("tos.rtd",,$A$2,"."&amp;U$2&amp;U$1&amp;"C"&amp;$A6)="N/A",0,RTD("tos.rtd",,$A$2,"."&amp;U$2&amp;U$1&amp;"C"&amp;$A6))-IF(RTD("tos.rtd",,$A$2,"."&amp;U$2&amp;U$1&amp;"P"&amp;$A6)="N/A",0,RTD("tos.rtd",,$A$2,"."&amp;U$2&amp;U$1&amp;"P"&amp;$A6))</f>
        <v>0</v>
      </c>
      <c r="V6" s="91">
        <f ca="1">IF(RTD("tos.rtd",,$A$2,"."&amp;V$2&amp;V$1&amp;"C"&amp;$A6)="N/A",0,RTD("tos.rtd",,$A$2,"."&amp;V$2&amp;V$1&amp;"C"&amp;$A6))-IF(RTD("tos.rtd",,$A$2,"."&amp;V$2&amp;V$1&amp;"P"&amp;$A6)="N/A",0,RTD("tos.rtd",,$A$2,"."&amp;V$2&amp;V$1&amp;"P"&amp;$A6))</f>
        <v>0</v>
      </c>
      <c r="W6" s="91">
        <f ca="1">IF(RTD("tos.rtd",,$A$2,"."&amp;W$2&amp;W$1&amp;"C"&amp;$A6)="N/A",0,RTD("tos.rtd",,$A$2,"."&amp;W$2&amp;W$1&amp;"C"&amp;$A6))-IF(RTD("tos.rtd",,$A$2,"."&amp;W$2&amp;W$1&amp;"P"&amp;$A6)="N/A",0,RTD("tos.rtd",,$A$2,"."&amp;W$2&amp;W$1&amp;"P"&amp;$A6))</f>
        <v>0</v>
      </c>
      <c r="X6" s="91">
        <f ca="1">IF(RTD("tos.rtd",,$A$2,"."&amp;X$2&amp;X$1&amp;"C"&amp;$A6)="N/A",0,RTD("tos.rtd",,$A$2,"."&amp;X$2&amp;X$1&amp;"C"&amp;$A6))-IF(RTD("tos.rtd",,$A$2,"."&amp;X$2&amp;X$1&amp;"P"&amp;$A6)="N/A",0,RTD("tos.rtd",,$A$2,"."&amp;X$2&amp;X$1&amp;"P"&amp;$A6))</f>
        <v>59</v>
      </c>
      <c r="Y6" s="98">
        <f t="shared" ref="Y6:Y39" ca="1" si="3">SUM(B6:X6)</f>
        <v>4280</v>
      </c>
    </row>
    <row r="7" spans="1:25" x14ac:dyDescent="0.25">
      <c r="A7" s="92">
        <f>+Hoja1!A6</f>
        <v>590</v>
      </c>
      <c r="B7" s="91">
        <f ca="1">IF(RTD("tos.rtd",,$A$2,"."&amp;B$2&amp;B$1&amp;"C"&amp;$A7)="N/A",0,RTD("tos.rtd",,$A$2,"."&amp;B$2&amp;B$1&amp;"C"&amp;$A7))-IF(RTD("tos.rtd",,$A$2,"."&amp;B$2&amp;B$1&amp;"P"&amp;$A7)="N/A",0,RTD("tos.rtd",,$A$2,"."&amp;B$2&amp;B$1&amp;"P"&amp;$A7))</f>
        <v>0</v>
      </c>
      <c r="C7" s="91">
        <f ca="1">IF(RTD("tos.rtd",,$A$2,"."&amp;C$2&amp;C$1&amp;"C"&amp;$A7)="N/A",0,RTD("tos.rtd",,$A$2,"."&amp;C$2&amp;C$1&amp;"C"&amp;$A7))-IF(RTD("tos.rtd",,$A$2,"."&amp;C$2&amp;C$1&amp;"P"&amp;$A7)="N/A",0,RTD("tos.rtd",,$A$2,"."&amp;C$2&amp;C$1&amp;"P"&amp;$A7))</f>
        <v>0</v>
      </c>
      <c r="D7" s="91">
        <f ca="1">IF(RTD("tos.rtd",,$A$2,"."&amp;D$2&amp;D$1&amp;"C"&amp;$A7)="N/A",0,RTD("tos.rtd",,$A$2,"."&amp;D$2&amp;D$1&amp;"C"&amp;$A7))-IF(RTD("tos.rtd",,$A$2,"."&amp;D$2&amp;D$1&amp;"P"&amp;$A7)="N/A",0,RTD("tos.rtd",,$A$2,"."&amp;D$2&amp;D$1&amp;"P"&amp;$A7))</f>
        <v>0</v>
      </c>
      <c r="E7" s="91">
        <f ca="1">IF(RTD("tos.rtd",,$A$2,"."&amp;E$2&amp;E$1&amp;"C"&amp;$A7)="N/A",0,RTD("tos.rtd",,$A$2,"."&amp;E$2&amp;E$1&amp;"C"&amp;$A7))-IF(RTD("tos.rtd",,$A$2,"."&amp;E$2&amp;E$1&amp;"P"&amp;$A7)="N/A",0,RTD("tos.rtd",,$A$2,"."&amp;E$2&amp;E$1&amp;"P"&amp;$A7))</f>
        <v>0</v>
      </c>
      <c r="F7" s="91">
        <f ca="1">IF(RTD("tos.rtd",,$A$2,"."&amp;F$2&amp;F$1&amp;"C"&amp;$A7)="N/A",0,RTD("tos.rtd",,$A$2,"."&amp;F$2&amp;F$1&amp;"C"&amp;$A7))-IF(RTD("tos.rtd",,$A$2,"."&amp;F$2&amp;F$1&amp;"P"&amp;$A7)="N/A",0,RTD("tos.rtd",,$A$2,"."&amp;F$2&amp;F$1&amp;"P"&amp;$A7))</f>
        <v>0</v>
      </c>
      <c r="G7" s="91">
        <f ca="1">IF(RTD("tos.rtd",,$A$2,"."&amp;G$2&amp;G$1&amp;"C"&amp;$A7)="N/A",0,RTD("tos.rtd",,$A$2,"."&amp;G$2&amp;G$1&amp;"C"&amp;$A7))-IF(RTD("tos.rtd",,$A$2,"."&amp;G$2&amp;G$1&amp;"P"&amp;$A7)="N/A",0,RTD("tos.rtd",,$A$2,"."&amp;G$2&amp;G$1&amp;"P"&amp;$A7))</f>
        <v>0</v>
      </c>
      <c r="H7" s="91">
        <f ca="1">IF(RTD("tos.rtd",,$A$2,"."&amp;H$2&amp;H$1&amp;"C"&amp;$A7)="N/A",0,RTD("tos.rtd",,$A$2,"."&amp;H$2&amp;H$1&amp;"C"&amp;$A7))-IF(RTD("tos.rtd",,$A$2,"."&amp;H$2&amp;H$1&amp;"P"&amp;$A7)="N/A",0,RTD("tos.rtd",,$A$2,"."&amp;H$2&amp;H$1&amp;"P"&amp;$A7))</f>
        <v>5559</v>
      </c>
      <c r="I7" s="91">
        <f ca="1">IF(RTD("tos.rtd",,$A$2,"."&amp;I$2&amp;I$1&amp;"C"&amp;$A7)="N/A",0,RTD("tos.rtd",,$A$2,"."&amp;I$2&amp;I$1&amp;"C"&amp;$A7))-IF(RTD("tos.rtd",,$A$2,"."&amp;I$2&amp;I$1&amp;"P"&amp;$A7)="N/A",0,RTD("tos.rtd",,$A$2,"."&amp;I$2&amp;I$1&amp;"P"&amp;$A7))</f>
        <v>6739</v>
      </c>
      <c r="J7" s="91">
        <f ca="1">IF(RTD("tos.rtd",,$A$2,"."&amp;J$2&amp;J$1&amp;"C"&amp;$A7)="N/A",0,RTD("tos.rtd",,$A$2,"."&amp;J$2&amp;J$1&amp;"C"&amp;$A7))-IF(RTD("tos.rtd",,$A$2,"."&amp;J$2&amp;J$1&amp;"P"&amp;$A7)="N/A",0,RTD("tos.rtd",,$A$2,"."&amp;J$2&amp;J$1&amp;"P"&amp;$A7))</f>
        <v>904</v>
      </c>
      <c r="K7" s="91">
        <f ca="1">IF(RTD("tos.rtd",,$A$2,"."&amp;K$2&amp;K$1&amp;"C"&amp;$A7)="N/A",0,RTD("tos.rtd",,$A$2,"."&amp;K$2&amp;K$1&amp;"C"&amp;$A7))-IF(RTD("tos.rtd",,$A$2,"."&amp;K$2&amp;K$1&amp;"P"&amp;$A7)="N/A",0,RTD("tos.rtd",,$A$2,"."&amp;K$2&amp;K$1&amp;"P"&amp;$A7))</f>
        <v>0</v>
      </c>
      <c r="L7" s="91">
        <f ca="1">IF(RTD("tos.rtd",,$A$2,"."&amp;L$2&amp;L$1&amp;"C"&amp;$A7)="N/A",0,RTD("tos.rtd",,$A$2,"."&amp;L$2&amp;L$1&amp;"C"&amp;$A7))-IF(RTD("tos.rtd",,$A$2,"."&amp;L$2&amp;L$1&amp;"P"&amp;$A7)="N/A",0,RTD("tos.rtd",,$A$2,"."&amp;L$2&amp;L$1&amp;"P"&amp;$A7))</f>
        <v>1081</v>
      </c>
      <c r="M7" s="91">
        <f ca="1">IF(RTD("tos.rtd",,$A$2,"."&amp;M$2&amp;M$1&amp;"C"&amp;$A7)="N/A",0,RTD("tos.rtd",,$A$2,"."&amp;M$2&amp;M$1&amp;"C"&amp;$A7))-IF(RTD("tos.rtd",,$A$2,"."&amp;M$2&amp;M$1&amp;"P"&amp;$A7)="N/A",0,RTD("tos.rtd",,$A$2,"."&amp;M$2&amp;M$1&amp;"P"&amp;$A7))</f>
        <v>9615</v>
      </c>
      <c r="N7" s="91">
        <f ca="1">IF(RTD("tos.rtd",,$A$2,"."&amp;N$2&amp;N$1&amp;"C"&amp;$A7)="N/A",0,RTD("tos.rtd",,$A$2,"."&amp;N$2&amp;N$1&amp;"C"&amp;$A7))-IF(RTD("tos.rtd",,$A$2,"."&amp;N$2&amp;N$1&amp;"P"&amp;$A7)="N/A",0,RTD("tos.rtd",,$A$2,"."&amp;N$2&amp;N$1&amp;"P"&amp;$A7))</f>
        <v>258</v>
      </c>
      <c r="O7" s="91">
        <f ca="1">IF(RTD("tos.rtd",,$A$2,"."&amp;O$2&amp;O$1&amp;"C"&amp;$A7)="N/A",0,RTD("tos.rtd",,$A$2,"."&amp;O$2&amp;O$1&amp;"C"&amp;$A7))-IF(RTD("tos.rtd",,$A$2,"."&amp;O$2&amp;O$1&amp;"P"&amp;$A7)="N/A",0,RTD("tos.rtd",,$A$2,"."&amp;O$2&amp;O$1&amp;"P"&amp;$A7))</f>
        <v>-10</v>
      </c>
      <c r="P7" s="91">
        <f ca="1">IF(RTD("tos.rtd",,$A$2,"."&amp;P$2&amp;P$1&amp;"C"&amp;$A7)="N/A",0,RTD("tos.rtd",,$A$2,"."&amp;P$2&amp;P$1&amp;"C"&amp;$A7))-IF(RTD("tos.rtd",,$A$2,"."&amp;P$2&amp;P$1&amp;"P"&amp;$A7)="N/A",0,RTD("tos.rtd",,$A$2,"."&amp;P$2&amp;P$1&amp;"P"&amp;$A7))</f>
        <v>23</v>
      </c>
      <c r="Q7" s="91">
        <f ca="1">IF(RTD("tos.rtd",,$A$2,"."&amp;Q$2&amp;Q$1&amp;"C"&amp;$A7)="N/A",0,RTD("tos.rtd",,$A$2,"."&amp;Q$2&amp;Q$1&amp;"C"&amp;$A7))-IF(RTD("tos.rtd",,$A$2,"."&amp;Q$2&amp;Q$1&amp;"P"&amp;$A7)="N/A",0,RTD("tos.rtd",,$A$2,"."&amp;Q$2&amp;Q$1&amp;"P"&amp;$A7))</f>
        <v>914</v>
      </c>
      <c r="R7" s="91">
        <f ca="1">IF(RTD("tos.rtd",,$A$2,"."&amp;R$2&amp;R$1&amp;"C"&amp;$A7)="N/A",0,RTD("tos.rtd",,$A$2,"."&amp;R$2&amp;R$1&amp;"C"&amp;$A7))-IF(RTD("tos.rtd",,$A$2,"."&amp;R$2&amp;R$1&amp;"P"&amp;$A7)="N/A",0,RTD("tos.rtd",,$A$2,"."&amp;R$2&amp;R$1&amp;"P"&amp;$A7))</f>
        <v>41</v>
      </c>
      <c r="S7" s="91">
        <f ca="1">IF(RTD("tos.rtd",,$A$2,"."&amp;S$2&amp;S$1&amp;"C"&amp;$A7)="N/A",0,RTD("tos.rtd",,$A$2,"."&amp;S$2&amp;S$1&amp;"C"&amp;$A7))-IF(RTD("tos.rtd",,$A$2,"."&amp;S$2&amp;S$1&amp;"P"&amp;$A7)="N/A",0,RTD("tos.rtd",,$A$2,"."&amp;S$2&amp;S$1&amp;"P"&amp;$A7))</f>
        <v>0</v>
      </c>
      <c r="T7" s="91">
        <f ca="1">IF(RTD("tos.rtd",,$A$2,"."&amp;T$2&amp;T$1&amp;"C"&amp;$A7)="N/A",0,RTD("tos.rtd",,$A$2,"."&amp;T$2&amp;T$1&amp;"C"&amp;$A7))-IF(RTD("tos.rtd",,$A$2,"."&amp;T$2&amp;T$1&amp;"P"&amp;$A7)="N/A",0,RTD("tos.rtd",,$A$2,"."&amp;T$2&amp;T$1&amp;"P"&amp;$A7))</f>
        <v>49</v>
      </c>
      <c r="U7" s="91">
        <f ca="1">IF(RTD("tos.rtd",,$A$2,"."&amp;U$2&amp;U$1&amp;"C"&amp;$A7)="N/A",0,RTD("tos.rtd",,$A$2,"."&amp;U$2&amp;U$1&amp;"C"&amp;$A7))-IF(RTD("tos.rtd",,$A$2,"."&amp;U$2&amp;U$1&amp;"P"&amp;$A7)="N/A",0,RTD("tos.rtd",,$A$2,"."&amp;U$2&amp;U$1&amp;"P"&amp;$A7))</f>
        <v>0</v>
      </c>
      <c r="V7" s="91">
        <f ca="1">IF(RTD("tos.rtd",,$A$2,"."&amp;V$2&amp;V$1&amp;"C"&amp;$A7)="N/A",0,RTD("tos.rtd",,$A$2,"."&amp;V$2&amp;V$1&amp;"C"&amp;$A7))-IF(RTD("tos.rtd",,$A$2,"."&amp;V$2&amp;V$1&amp;"P"&amp;$A7)="N/A",0,RTD("tos.rtd",,$A$2,"."&amp;V$2&amp;V$1&amp;"P"&amp;$A7))</f>
        <v>0</v>
      </c>
      <c r="W7" s="91">
        <f ca="1">IF(RTD("tos.rtd",,$A$2,"."&amp;W$2&amp;W$1&amp;"C"&amp;$A7)="N/A",0,RTD("tos.rtd",,$A$2,"."&amp;W$2&amp;W$1&amp;"C"&amp;$A7))-IF(RTD("tos.rtd",,$A$2,"."&amp;W$2&amp;W$1&amp;"P"&amp;$A7)="N/A",0,RTD("tos.rtd",,$A$2,"."&amp;W$2&amp;W$1&amp;"P"&amp;$A7))</f>
        <v>123</v>
      </c>
      <c r="X7" s="91">
        <f ca="1">IF(RTD("tos.rtd",,$A$2,"."&amp;X$2&amp;X$1&amp;"C"&amp;$A7)="N/A",0,RTD("tos.rtd",,$A$2,"."&amp;X$2&amp;X$1&amp;"C"&amp;$A7))-IF(RTD("tos.rtd",,$A$2,"."&amp;X$2&amp;X$1&amp;"P"&amp;$A7)="N/A",0,RTD("tos.rtd",,$A$2,"."&amp;X$2&amp;X$1&amp;"P"&amp;$A7))</f>
        <v>149</v>
      </c>
      <c r="Y7" s="98">
        <f t="shared" ca="1" si="3"/>
        <v>25445</v>
      </c>
    </row>
    <row r="8" spans="1:25" x14ac:dyDescent="0.25">
      <c r="A8" s="92">
        <f>+Hoja1!A7</f>
        <v>589</v>
      </c>
      <c r="B8" s="91">
        <f ca="1">IF(RTD("tos.rtd",,$A$2,"."&amp;B$2&amp;B$1&amp;"C"&amp;$A8)="N/A",0,RTD("tos.rtd",,$A$2,"."&amp;B$2&amp;B$1&amp;"C"&amp;$A8))-IF(RTD("tos.rtd",,$A$2,"."&amp;B$2&amp;B$1&amp;"P"&amp;$A8)="N/A",0,RTD("tos.rtd",,$A$2,"."&amp;B$2&amp;B$1&amp;"P"&amp;$A8))</f>
        <v>0</v>
      </c>
      <c r="C8" s="91">
        <f ca="1">IF(RTD("tos.rtd",,$A$2,"."&amp;C$2&amp;C$1&amp;"C"&amp;$A8)="N/A",0,RTD("tos.rtd",,$A$2,"."&amp;C$2&amp;C$1&amp;"C"&amp;$A8))-IF(RTD("tos.rtd",,$A$2,"."&amp;C$2&amp;C$1&amp;"P"&amp;$A8)="N/A",0,RTD("tos.rtd",,$A$2,"."&amp;C$2&amp;C$1&amp;"P"&amp;$A8))</f>
        <v>0</v>
      </c>
      <c r="D8" s="91">
        <f ca="1">IF(RTD("tos.rtd",,$A$2,"."&amp;D$2&amp;D$1&amp;"C"&amp;$A8)="N/A",0,RTD("tos.rtd",,$A$2,"."&amp;D$2&amp;D$1&amp;"C"&amp;$A8))-IF(RTD("tos.rtd",,$A$2,"."&amp;D$2&amp;D$1&amp;"P"&amp;$A8)="N/A",0,RTD("tos.rtd",,$A$2,"."&amp;D$2&amp;D$1&amp;"P"&amp;$A8))</f>
        <v>0</v>
      </c>
      <c r="E8" s="91">
        <f ca="1">IF(RTD("tos.rtd",,$A$2,"."&amp;E$2&amp;E$1&amp;"C"&amp;$A8)="N/A",0,RTD("tos.rtd",,$A$2,"."&amp;E$2&amp;E$1&amp;"C"&amp;$A8))-IF(RTD("tos.rtd",,$A$2,"."&amp;E$2&amp;E$1&amp;"P"&amp;$A8)="N/A",0,RTD("tos.rtd",,$A$2,"."&amp;E$2&amp;E$1&amp;"P"&amp;$A8))</f>
        <v>0</v>
      </c>
      <c r="F8" s="91">
        <f ca="1">IF(RTD("tos.rtd",,$A$2,"."&amp;F$2&amp;F$1&amp;"C"&amp;$A8)="N/A",0,RTD("tos.rtd",,$A$2,"."&amp;F$2&amp;F$1&amp;"C"&amp;$A8))-IF(RTD("tos.rtd",,$A$2,"."&amp;F$2&amp;F$1&amp;"P"&amp;$A8)="N/A",0,RTD("tos.rtd",,$A$2,"."&amp;F$2&amp;F$1&amp;"P"&amp;$A8))</f>
        <v>0</v>
      </c>
      <c r="G8" s="91">
        <f ca="1">IF(RTD("tos.rtd",,$A$2,"."&amp;G$2&amp;G$1&amp;"C"&amp;$A8)="N/A",0,RTD("tos.rtd",,$A$2,"."&amp;G$2&amp;G$1&amp;"C"&amp;$A8))-IF(RTD("tos.rtd",,$A$2,"."&amp;G$2&amp;G$1&amp;"P"&amp;$A8)="N/A",0,RTD("tos.rtd",,$A$2,"."&amp;G$2&amp;G$1&amp;"P"&amp;$A8))</f>
        <v>0</v>
      </c>
      <c r="H8" s="91">
        <f ca="1">IF(RTD("tos.rtd",,$A$2,"."&amp;H$2&amp;H$1&amp;"C"&amp;$A8)="N/A",0,RTD("tos.rtd",,$A$2,"."&amp;H$2&amp;H$1&amp;"C"&amp;$A8))-IF(RTD("tos.rtd",,$A$2,"."&amp;H$2&amp;H$1&amp;"P"&amp;$A8)="N/A",0,RTD("tos.rtd",,$A$2,"."&amp;H$2&amp;H$1&amp;"P"&amp;$A8))</f>
        <v>900</v>
      </c>
      <c r="I8" s="91">
        <f ca="1">IF(RTD("tos.rtd",,$A$2,"."&amp;I$2&amp;I$1&amp;"C"&amp;$A8)="N/A",0,RTD("tos.rtd",,$A$2,"."&amp;I$2&amp;I$1&amp;"C"&amp;$A8))-IF(RTD("tos.rtd",,$A$2,"."&amp;I$2&amp;I$1&amp;"P"&amp;$A8)="N/A",0,RTD("tos.rtd",,$A$2,"."&amp;I$2&amp;I$1&amp;"P"&amp;$A8))</f>
        <v>391</v>
      </c>
      <c r="J8" s="91">
        <f ca="1">IF(RTD("tos.rtd",,$A$2,"."&amp;J$2&amp;J$1&amp;"C"&amp;$A8)="N/A",0,RTD("tos.rtd",,$A$2,"."&amp;J$2&amp;J$1&amp;"C"&amp;$A8))-IF(RTD("tos.rtd",,$A$2,"."&amp;J$2&amp;J$1&amp;"P"&amp;$A8)="N/A",0,RTD("tos.rtd",,$A$2,"."&amp;J$2&amp;J$1&amp;"P"&amp;$A8))</f>
        <v>240</v>
      </c>
      <c r="K8" s="91">
        <f ca="1">IF(RTD("tos.rtd",,$A$2,"."&amp;K$2&amp;K$1&amp;"C"&amp;$A8)="N/A",0,RTD("tos.rtd",,$A$2,"."&amp;K$2&amp;K$1&amp;"C"&amp;$A8))-IF(RTD("tos.rtd",,$A$2,"."&amp;K$2&amp;K$1&amp;"P"&amp;$A8)="N/A",0,RTD("tos.rtd",,$A$2,"."&amp;K$2&amp;K$1&amp;"P"&amp;$A8))</f>
        <v>0</v>
      </c>
      <c r="L8" s="91">
        <f ca="1">IF(RTD("tos.rtd",,$A$2,"."&amp;L$2&amp;L$1&amp;"C"&amp;$A8)="N/A",0,RTD("tos.rtd",,$A$2,"."&amp;L$2&amp;L$1&amp;"C"&amp;$A8))-IF(RTD("tos.rtd",,$A$2,"."&amp;L$2&amp;L$1&amp;"P"&amp;$A8)="N/A",0,RTD("tos.rtd",,$A$2,"."&amp;L$2&amp;L$1&amp;"P"&amp;$A8))</f>
        <v>352</v>
      </c>
      <c r="M8" s="91">
        <f ca="1">IF(RTD("tos.rtd",,$A$2,"."&amp;M$2&amp;M$1&amp;"C"&amp;$A8)="N/A",0,RTD("tos.rtd",,$A$2,"."&amp;M$2&amp;M$1&amp;"C"&amp;$A8))-IF(RTD("tos.rtd",,$A$2,"."&amp;M$2&amp;M$1&amp;"P"&amp;$A8)="N/A",0,RTD("tos.rtd",,$A$2,"."&amp;M$2&amp;M$1&amp;"P"&amp;$A8))</f>
        <v>0</v>
      </c>
      <c r="N8" s="91">
        <f ca="1">IF(RTD("tos.rtd",,$A$2,"."&amp;N$2&amp;N$1&amp;"C"&amp;$A8)="N/A",0,RTD("tos.rtd",,$A$2,"."&amp;N$2&amp;N$1&amp;"C"&amp;$A8))-IF(RTD("tos.rtd",,$A$2,"."&amp;N$2&amp;N$1&amp;"P"&amp;$A8)="N/A",0,RTD("tos.rtd",,$A$2,"."&amp;N$2&amp;N$1&amp;"P"&amp;$A8))</f>
        <v>10</v>
      </c>
      <c r="O8" s="91">
        <f ca="1">IF(RTD("tos.rtd",,$A$2,"."&amp;O$2&amp;O$1&amp;"C"&amp;$A8)="N/A",0,RTD("tos.rtd",,$A$2,"."&amp;O$2&amp;O$1&amp;"C"&amp;$A8))-IF(RTD("tos.rtd",,$A$2,"."&amp;O$2&amp;O$1&amp;"P"&amp;$A8)="N/A",0,RTD("tos.rtd",,$A$2,"."&amp;O$2&amp;O$1&amp;"P"&amp;$A8))</f>
        <v>0</v>
      </c>
      <c r="P8" s="91">
        <f ca="1">IF(RTD("tos.rtd",,$A$2,"."&amp;P$2&amp;P$1&amp;"C"&amp;$A8)="N/A",0,RTD("tos.rtd",,$A$2,"."&amp;P$2&amp;P$1&amp;"C"&amp;$A8))-IF(RTD("tos.rtd",,$A$2,"."&amp;P$2&amp;P$1&amp;"P"&amp;$A8)="N/A",0,RTD("tos.rtd",,$A$2,"."&amp;P$2&amp;P$1&amp;"P"&amp;$A8))</f>
        <v>5</v>
      </c>
      <c r="Q8" s="91">
        <f ca="1">IF(RTD("tos.rtd",,$A$2,"."&amp;Q$2&amp;Q$1&amp;"C"&amp;$A8)="N/A",0,RTD("tos.rtd",,$A$2,"."&amp;Q$2&amp;Q$1&amp;"C"&amp;$A8))-IF(RTD("tos.rtd",,$A$2,"."&amp;Q$2&amp;Q$1&amp;"P"&amp;$A8)="N/A",0,RTD("tos.rtd",,$A$2,"."&amp;Q$2&amp;Q$1&amp;"P"&amp;$A8))</f>
        <v>0</v>
      </c>
      <c r="R8" s="91">
        <f ca="1">IF(RTD("tos.rtd",,$A$2,"."&amp;R$2&amp;R$1&amp;"C"&amp;$A8)="N/A",0,RTD("tos.rtd",,$A$2,"."&amp;R$2&amp;R$1&amp;"C"&amp;$A8))-IF(RTD("tos.rtd",,$A$2,"."&amp;R$2&amp;R$1&amp;"P"&amp;$A8)="N/A",0,RTD("tos.rtd",,$A$2,"."&amp;R$2&amp;R$1&amp;"P"&amp;$A8))</f>
        <v>-59</v>
      </c>
      <c r="S8" s="91">
        <f ca="1">IF(RTD("tos.rtd",,$A$2,"."&amp;S$2&amp;S$1&amp;"C"&amp;$A8)="N/A",0,RTD("tos.rtd",,$A$2,"."&amp;S$2&amp;S$1&amp;"C"&amp;$A8))-IF(RTD("tos.rtd",,$A$2,"."&amp;S$2&amp;S$1&amp;"P"&amp;$A8)="N/A",0,RTD("tos.rtd",,$A$2,"."&amp;S$2&amp;S$1&amp;"P"&amp;$A8))</f>
        <v>0</v>
      </c>
      <c r="T8" s="91">
        <f ca="1">IF(RTD("tos.rtd",,$A$2,"."&amp;T$2&amp;T$1&amp;"C"&amp;$A8)="N/A",0,RTD("tos.rtd",,$A$2,"."&amp;T$2&amp;T$1&amp;"C"&amp;$A8))-IF(RTD("tos.rtd",,$A$2,"."&amp;T$2&amp;T$1&amp;"P"&amp;$A8)="N/A",0,RTD("tos.rtd",,$A$2,"."&amp;T$2&amp;T$1&amp;"P"&amp;$A8))</f>
        <v>0</v>
      </c>
      <c r="U8" s="91">
        <f ca="1">IF(RTD("tos.rtd",,$A$2,"."&amp;U$2&amp;U$1&amp;"C"&amp;$A8)="N/A",0,RTD("tos.rtd",,$A$2,"."&amp;U$2&amp;U$1&amp;"C"&amp;$A8))-IF(RTD("tos.rtd",,$A$2,"."&amp;U$2&amp;U$1&amp;"P"&amp;$A8)="N/A",0,RTD("tos.rtd",,$A$2,"."&amp;U$2&amp;U$1&amp;"P"&amp;$A8))</f>
        <v>0</v>
      </c>
      <c r="V8" s="91">
        <f ca="1">IF(RTD("tos.rtd",,$A$2,"."&amp;V$2&amp;V$1&amp;"C"&amp;$A8)="N/A",0,RTD("tos.rtd",,$A$2,"."&amp;V$2&amp;V$1&amp;"C"&amp;$A8))-IF(RTD("tos.rtd",,$A$2,"."&amp;V$2&amp;V$1&amp;"P"&amp;$A8)="N/A",0,RTD("tos.rtd",,$A$2,"."&amp;V$2&amp;V$1&amp;"P"&amp;$A8))</f>
        <v>0</v>
      </c>
      <c r="W8" s="91">
        <f ca="1">IF(RTD("tos.rtd",,$A$2,"."&amp;W$2&amp;W$1&amp;"C"&amp;$A8)="N/A",0,RTD("tos.rtd",,$A$2,"."&amp;W$2&amp;W$1&amp;"C"&amp;$A8))-IF(RTD("tos.rtd",,$A$2,"."&amp;W$2&amp;W$1&amp;"P"&amp;$A8)="N/A",0,RTD("tos.rtd",,$A$2,"."&amp;W$2&amp;W$1&amp;"P"&amp;$A8))</f>
        <v>0</v>
      </c>
      <c r="X8" s="91">
        <f ca="1">IF(RTD("tos.rtd",,$A$2,"."&amp;X$2&amp;X$1&amp;"C"&amp;$A8)="N/A",0,RTD("tos.rtd",,$A$2,"."&amp;X$2&amp;X$1&amp;"C"&amp;$A8))-IF(RTD("tos.rtd",,$A$2,"."&amp;X$2&amp;X$1&amp;"P"&amp;$A8)="N/A",0,RTD("tos.rtd",,$A$2,"."&amp;X$2&amp;X$1&amp;"P"&amp;$A8))</f>
        <v>1</v>
      </c>
      <c r="Y8" s="98">
        <f t="shared" ca="1" si="3"/>
        <v>1840</v>
      </c>
    </row>
    <row r="9" spans="1:25" x14ac:dyDescent="0.25">
      <c r="A9" s="93">
        <f>+Hoja1!A8</f>
        <v>588</v>
      </c>
      <c r="B9" s="91">
        <f ca="1">IF(RTD("tos.rtd",,$A$2,"."&amp;B$2&amp;B$1&amp;"C"&amp;$A9)="N/A",0,RTD("tos.rtd",,$A$2,"."&amp;B$2&amp;B$1&amp;"C"&amp;$A9))-IF(RTD("tos.rtd",,$A$2,"."&amp;B$2&amp;B$1&amp;"P"&amp;$A9)="N/A",0,RTD("tos.rtd",,$A$2,"."&amp;B$2&amp;B$1&amp;"P"&amp;$A9))</f>
        <v>0</v>
      </c>
      <c r="C9" s="91">
        <f ca="1">IF(RTD("tos.rtd",,$A$2,"."&amp;C$2&amp;C$1&amp;"C"&amp;$A9)="N/A",0,RTD("tos.rtd",,$A$2,"."&amp;C$2&amp;C$1&amp;"C"&amp;$A9))-IF(RTD("tos.rtd",,$A$2,"."&amp;C$2&amp;C$1&amp;"P"&amp;$A9)="N/A",0,RTD("tos.rtd",,$A$2,"."&amp;C$2&amp;C$1&amp;"P"&amp;$A9))</f>
        <v>0</v>
      </c>
      <c r="D9" s="91">
        <f ca="1">IF(RTD("tos.rtd",,$A$2,"."&amp;D$2&amp;D$1&amp;"C"&amp;$A9)="N/A",0,RTD("tos.rtd",,$A$2,"."&amp;D$2&amp;D$1&amp;"C"&amp;$A9))-IF(RTD("tos.rtd",,$A$2,"."&amp;D$2&amp;D$1&amp;"P"&amp;$A9)="N/A",0,RTD("tos.rtd",,$A$2,"."&amp;D$2&amp;D$1&amp;"P"&amp;$A9))</f>
        <v>0</v>
      </c>
      <c r="E9" s="91">
        <f ca="1">IF(RTD("tos.rtd",,$A$2,"."&amp;E$2&amp;E$1&amp;"C"&amp;$A9)="N/A",0,RTD("tos.rtd",,$A$2,"."&amp;E$2&amp;E$1&amp;"C"&amp;$A9))-IF(RTD("tos.rtd",,$A$2,"."&amp;E$2&amp;E$1&amp;"P"&amp;$A9)="N/A",0,RTD("tos.rtd",,$A$2,"."&amp;E$2&amp;E$1&amp;"P"&amp;$A9))</f>
        <v>0</v>
      </c>
      <c r="F9" s="91">
        <f ca="1">IF(RTD("tos.rtd",,$A$2,"."&amp;F$2&amp;F$1&amp;"C"&amp;$A9)="N/A",0,RTD("tos.rtd",,$A$2,"."&amp;F$2&amp;F$1&amp;"C"&amp;$A9))-IF(RTD("tos.rtd",,$A$2,"."&amp;F$2&amp;F$1&amp;"P"&amp;$A9)="N/A",0,RTD("tos.rtd",,$A$2,"."&amp;F$2&amp;F$1&amp;"P"&amp;$A9))</f>
        <v>0</v>
      </c>
      <c r="G9" s="91">
        <f ca="1">IF(RTD("tos.rtd",,$A$2,"."&amp;G$2&amp;G$1&amp;"C"&amp;$A9)="N/A",0,RTD("tos.rtd",,$A$2,"."&amp;G$2&amp;G$1&amp;"C"&amp;$A9))-IF(RTD("tos.rtd",,$A$2,"."&amp;G$2&amp;G$1&amp;"P"&amp;$A9)="N/A",0,RTD("tos.rtd",,$A$2,"."&amp;G$2&amp;G$1&amp;"P"&amp;$A9))</f>
        <v>0</v>
      </c>
      <c r="H9" s="91">
        <f ca="1">IF(RTD("tos.rtd",,$A$2,"."&amp;H$2&amp;H$1&amp;"C"&amp;$A9)="N/A",0,RTD("tos.rtd",,$A$2,"."&amp;H$2&amp;H$1&amp;"C"&amp;$A9))-IF(RTD("tos.rtd",,$A$2,"."&amp;H$2&amp;H$1&amp;"P"&amp;$A9)="N/A",0,RTD("tos.rtd",,$A$2,"."&amp;H$2&amp;H$1&amp;"P"&amp;$A9))</f>
        <v>349</v>
      </c>
      <c r="I9" s="91">
        <f ca="1">IF(RTD("tos.rtd",,$A$2,"."&amp;I$2&amp;I$1&amp;"C"&amp;$A9)="N/A",0,RTD("tos.rtd",,$A$2,"."&amp;I$2&amp;I$1&amp;"C"&amp;$A9))-IF(RTD("tos.rtd",,$A$2,"."&amp;I$2&amp;I$1&amp;"P"&amp;$A9)="N/A",0,RTD("tos.rtd",,$A$2,"."&amp;I$2&amp;I$1&amp;"P"&amp;$A9))</f>
        <v>621</v>
      </c>
      <c r="J9" s="91">
        <f ca="1">IF(RTD("tos.rtd",,$A$2,"."&amp;J$2&amp;J$1&amp;"C"&amp;$A9)="N/A",0,RTD("tos.rtd",,$A$2,"."&amp;J$2&amp;J$1&amp;"C"&amp;$A9))-IF(RTD("tos.rtd",,$A$2,"."&amp;J$2&amp;J$1&amp;"P"&amp;$A9)="N/A",0,RTD("tos.rtd",,$A$2,"."&amp;J$2&amp;J$1&amp;"P"&amp;$A9))</f>
        <v>483</v>
      </c>
      <c r="K9" s="91">
        <f ca="1">IF(RTD("tos.rtd",,$A$2,"."&amp;K$2&amp;K$1&amp;"C"&amp;$A9)="N/A",0,RTD("tos.rtd",,$A$2,"."&amp;K$2&amp;K$1&amp;"C"&amp;$A9))-IF(RTD("tos.rtd",,$A$2,"."&amp;K$2&amp;K$1&amp;"P"&amp;$A9)="N/A",0,RTD("tos.rtd",,$A$2,"."&amp;K$2&amp;K$1&amp;"P"&amp;$A9))</f>
        <v>0</v>
      </c>
      <c r="L9" s="91">
        <f ca="1">IF(RTD("tos.rtd",,$A$2,"."&amp;L$2&amp;L$1&amp;"C"&amp;$A9)="N/A",0,RTD("tos.rtd",,$A$2,"."&amp;L$2&amp;L$1&amp;"C"&amp;$A9))-IF(RTD("tos.rtd",,$A$2,"."&amp;L$2&amp;L$1&amp;"P"&amp;$A9)="N/A",0,RTD("tos.rtd",,$A$2,"."&amp;L$2&amp;L$1&amp;"P"&amp;$A9))</f>
        <v>15</v>
      </c>
      <c r="M9" s="91">
        <f ca="1">IF(RTD("tos.rtd",,$A$2,"."&amp;M$2&amp;M$1&amp;"C"&amp;$A9)="N/A",0,RTD("tos.rtd",,$A$2,"."&amp;M$2&amp;M$1&amp;"C"&amp;$A9))-IF(RTD("tos.rtd",,$A$2,"."&amp;M$2&amp;M$1&amp;"P"&amp;$A9)="N/A",0,RTD("tos.rtd",,$A$2,"."&amp;M$2&amp;M$1&amp;"P"&amp;$A9))</f>
        <v>0</v>
      </c>
      <c r="N9" s="91">
        <f ca="1">IF(RTD("tos.rtd",,$A$2,"."&amp;N$2&amp;N$1&amp;"C"&amp;$A9)="N/A",0,RTD("tos.rtd",,$A$2,"."&amp;N$2&amp;N$1&amp;"C"&amp;$A9))-IF(RTD("tos.rtd",,$A$2,"."&amp;N$2&amp;N$1&amp;"P"&amp;$A9)="N/A",0,RTD("tos.rtd",,$A$2,"."&amp;N$2&amp;N$1&amp;"P"&amp;$A9))</f>
        <v>3</v>
      </c>
      <c r="O9" s="91">
        <f ca="1">IF(RTD("tos.rtd",,$A$2,"."&amp;O$2&amp;O$1&amp;"C"&amp;$A9)="N/A",0,RTD("tos.rtd",,$A$2,"."&amp;O$2&amp;O$1&amp;"C"&amp;$A9))-IF(RTD("tos.rtd",,$A$2,"."&amp;O$2&amp;O$1&amp;"P"&amp;$A9)="N/A",0,RTD("tos.rtd",,$A$2,"."&amp;O$2&amp;O$1&amp;"P"&amp;$A9))</f>
        <v>0</v>
      </c>
      <c r="P9" s="91">
        <f ca="1">IF(RTD("tos.rtd",,$A$2,"."&amp;P$2&amp;P$1&amp;"C"&amp;$A9)="N/A",0,RTD("tos.rtd",,$A$2,"."&amp;P$2&amp;P$1&amp;"C"&amp;$A9))-IF(RTD("tos.rtd",,$A$2,"."&amp;P$2&amp;P$1&amp;"P"&amp;$A9)="N/A",0,RTD("tos.rtd",,$A$2,"."&amp;P$2&amp;P$1&amp;"P"&amp;$A9))</f>
        <v>69</v>
      </c>
      <c r="Q9" s="91">
        <f ca="1">IF(RTD("tos.rtd",,$A$2,"."&amp;Q$2&amp;Q$1&amp;"C"&amp;$A9)="N/A",0,RTD("tos.rtd",,$A$2,"."&amp;Q$2&amp;Q$1&amp;"C"&amp;$A9))-IF(RTD("tos.rtd",,$A$2,"."&amp;Q$2&amp;Q$1&amp;"P"&amp;$A9)="N/A",0,RTD("tos.rtd",,$A$2,"."&amp;Q$2&amp;Q$1&amp;"P"&amp;$A9))</f>
        <v>0</v>
      </c>
      <c r="R9" s="91">
        <f ca="1">IF(RTD("tos.rtd",,$A$2,"."&amp;R$2&amp;R$1&amp;"C"&amp;$A9)="N/A",0,RTD("tos.rtd",,$A$2,"."&amp;R$2&amp;R$1&amp;"C"&amp;$A9))-IF(RTD("tos.rtd",,$A$2,"."&amp;R$2&amp;R$1&amp;"P"&amp;$A9)="N/A",0,RTD("tos.rtd",,$A$2,"."&amp;R$2&amp;R$1&amp;"P"&amp;$A9))</f>
        <v>41</v>
      </c>
      <c r="S9" s="91">
        <f ca="1">IF(RTD("tos.rtd",,$A$2,"."&amp;S$2&amp;S$1&amp;"C"&amp;$A9)="N/A",0,RTD("tos.rtd",,$A$2,"."&amp;S$2&amp;S$1&amp;"C"&amp;$A9))-IF(RTD("tos.rtd",,$A$2,"."&amp;S$2&amp;S$1&amp;"P"&amp;$A9)="N/A",0,RTD("tos.rtd",,$A$2,"."&amp;S$2&amp;S$1&amp;"P"&amp;$A9))</f>
        <v>0</v>
      </c>
      <c r="T9" s="91">
        <f ca="1">IF(RTD("tos.rtd",,$A$2,"."&amp;T$2&amp;T$1&amp;"C"&amp;$A9)="N/A",0,RTD("tos.rtd",,$A$2,"."&amp;T$2&amp;T$1&amp;"C"&amp;$A9))-IF(RTD("tos.rtd",,$A$2,"."&amp;T$2&amp;T$1&amp;"P"&amp;$A9)="N/A",0,RTD("tos.rtd",,$A$2,"."&amp;T$2&amp;T$1&amp;"P"&amp;$A9))</f>
        <v>0</v>
      </c>
      <c r="U9" s="91">
        <f ca="1">IF(RTD("tos.rtd",,$A$2,"."&amp;U$2&amp;U$1&amp;"C"&amp;$A9)="N/A",0,RTD("tos.rtd",,$A$2,"."&amp;U$2&amp;U$1&amp;"C"&amp;$A9))-IF(RTD("tos.rtd",,$A$2,"."&amp;U$2&amp;U$1&amp;"P"&amp;$A9)="N/A",0,RTD("tos.rtd",,$A$2,"."&amp;U$2&amp;U$1&amp;"P"&amp;$A9))</f>
        <v>0</v>
      </c>
      <c r="V9" s="91">
        <f ca="1">IF(RTD("tos.rtd",,$A$2,"."&amp;V$2&amp;V$1&amp;"C"&amp;$A9)="N/A",0,RTD("tos.rtd",,$A$2,"."&amp;V$2&amp;V$1&amp;"C"&amp;$A9))-IF(RTD("tos.rtd",,$A$2,"."&amp;V$2&amp;V$1&amp;"P"&amp;$A9)="N/A",0,RTD("tos.rtd",,$A$2,"."&amp;V$2&amp;V$1&amp;"P"&amp;$A9))</f>
        <v>0</v>
      </c>
      <c r="W9" s="91">
        <f ca="1">IF(RTD("tos.rtd",,$A$2,"."&amp;W$2&amp;W$1&amp;"C"&amp;$A9)="N/A",0,RTD("tos.rtd",,$A$2,"."&amp;W$2&amp;W$1&amp;"C"&amp;$A9))-IF(RTD("tos.rtd",,$A$2,"."&amp;W$2&amp;W$1&amp;"P"&amp;$A9)="N/A",0,RTD("tos.rtd",,$A$2,"."&amp;W$2&amp;W$1&amp;"P"&amp;$A9))</f>
        <v>0</v>
      </c>
      <c r="X9" s="91">
        <f ca="1">IF(RTD("tos.rtd",,$A$2,"."&amp;X$2&amp;X$1&amp;"C"&amp;$A9)="N/A",0,RTD("tos.rtd",,$A$2,"."&amp;X$2&amp;X$1&amp;"C"&amp;$A9))-IF(RTD("tos.rtd",,$A$2,"."&amp;X$2&amp;X$1&amp;"P"&amp;$A9)="N/A",0,RTD("tos.rtd",,$A$2,"."&amp;X$2&amp;X$1&amp;"P"&amp;$A9))</f>
        <v>2</v>
      </c>
      <c r="Y9" s="98">
        <f t="shared" ca="1" si="3"/>
        <v>1583</v>
      </c>
    </row>
    <row r="10" spans="1:25" x14ac:dyDescent="0.25">
      <c r="A10" s="93">
        <f>+Hoja1!A9</f>
        <v>587</v>
      </c>
      <c r="B10" s="91">
        <f ca="1">IF(RTD("tos.rtd",,$A$2,"."&amp;B$2&amp;B$1&amp;"C"&amp;$A10)="N/A",0,RTD("tos.rtd",,$A$2,"."&amp;B$2&amp;B$1&amp;"C"&amp;$A10))-IF(RTD("tos.rtd",,$A$2,"."&amp;B$2&amp;B$1&amp;"P"&amp;$A10)="N/A",0,RTD("tos.rtd",,$A$2,"."&amp;B$2&amp;B$1&amp;"P"&amp;$A10))</f>
        <v>0</v>
      </c>
      <c r="C10" s="91">
        <f ca="1">IF(RTD("tos.rtd",,$A$2,"."&amp;C$2&amp;C$1&amp;"C"&amp;$A10)="N/A",0,RTD("tos.rtd",,$A$2,"."&amp;C$2&amp;C$1&amp;"C"&amp;$A10))-IF(RTD("tos.rtd",,$A$2,"."&amp;C$2&amp;C$1&amp;"P"&amp;$A10)="N/A",0,RTD("tos.rtd",,$A$2,"."&amp;C$2&amp;C$1&amp;"P"&amp;$A10))</f>
        <v>0</v>
      </c>
      <c r="D10" s="91">
        <f ca="1">IF(RTD("tos.rtd",,$A$2,"."&amp;D$2&amp;D$1&amp;"C"&amp;$A10)="N/A",0,RTD("tos.rtd",,$A$2,"."&amp;D$2&amp;D$1&amp;"C"&amp;$A10))-IF(RTD("tos.rtd",,$A$2,"."&amp;D$2&amp;D$1&amp;"P"&amp;$A10)="N/A",0,RTD("tos.rtd",,$A$2,"."&amp;D$2&amp;D$1&amp;"P"&amp;$A10))</f>
        <v>0</v>
      </c>
      <c r="E10" s="91">
        <f ca="1">IF(RTD("tos.rtd",,$A$2,"."&amp;E$2&amp;E$1&amp;"C"&amp;$A10)="N/A",0,RTD("tos.rtd",,$A$2,"."&amp;E$2&amp;E$1&amp;"C"&amp;$A10))-IF(RTD("tos.rtd",,$A$2,"."&amp;E$2&amp;E$1&amp;"P"&amp;$A10)="N/A",0,RTD("tos.rtd",,$A$2,"."&amp;E$2&amp;E$1&amp;"P"&amp;$A10))</f>
        <v>0</v>
      </c>
      <c r="F10" s="91">
        <f ca="1">IF(RTD("tos.rtd",,$A$2,"."&amp;F$2&amp;F$1&amp;"C"&amp;$A10)="N/A",0,RTD("tos.rtd",,$A$2,"."&amp;F$2&amp;F$1&amp;"C"&amp;$A10))-IF(RTD("tos.rtd",,$A$2,"."&amp;F$2&amp;F$1&amp;"P"&amp;$A10)="N/A",0,RTD("tos.rtd",,$A$2,"."&amp;F$2&amp;F$1&amp;"P"&amp;$A10))</f>
        <v>0</v>
      </c>
      <c r="G10" s="91">
        <f ca="1">IF(RTD("tos.rtd",,$A$2,"."&amp;G$2&amp;G$1&amp;"C"&amp;$A10)="N/A",0,RTD("tos.rtd",,$A$2,"."&amp;G$2&amp;G$1&amp;"C"&amp;$A10))-IF(RTD("tos.rtd",,$A$2,"."&amp;G$2&amp;G$1&amp;"P"&amp;$A10)="N/A",0,RTD("tos.rtd",,$A$2,"."&amp;G$2&amp;G$1&amp;"P"&amp;$A10))</f>
        <v>0</v>
      </c>
      <c r="H10" s="91">
        <f ca="1">IF(RTD("tos.rtd",,$A$2,"."&amp;H$2&amp;H$1&amp;"C"&amp;$A10)="N/A",0,RTD("tos.rtd",,$A$2,"."&amp;H$2&amp;H$1&amp;"C"&amp;$A10))-IF(RTD("tos.rtd",,$A$2,"."&amp;H$2&amp;H$1&amp;"P"&amp;$A10)="N/A",0,RTD("tos.rtd",,$A$2,"."&amp;H$2&amp;H$1&amp;"P"&amp;$A10))</f>
        <v>301</v>
      </c>
      <c r="I10" s="91">
        <f ca="1">IF(RTD("tos.rtd",,$A$2,"."&amp;I$2&amp;I$1&amp;"C"&amp;$A10)="N/A",0,RTD("tos.rtd",,$A$2,"."&amp;I$2&amp;I$1&amp;"C"&amp;$A10))-IF(RTD("tos.rtd",,$A$2,"."&amp;I$2&amp;I$1&amp;"P"&amp;$A10)="N/A",0,RTD("tos.rtd",,$A$2,"."&amp;I$2&amp;I$1&amp;"P"&amp;$A10))</f>
        <v>508</v>
      </c>
      <c r="J10" s="91">
        <f ca="1">IF(RTD("tos.rtd",,$A$2,"."&amp;J$2&amp;J$1&amp;"C"&amp;$A10)="N/A",0,RTD("tos.rtd",,$A$2,"."&amp;J$2&amp;J$1&amp;"C"&amp;$A10))-IF(RTD("tos.rtd",,$A$2,"."&amp;J$2&amp;J$1&amp;"P"&amp;$A10)="N/A",0,RTD("tos.rtd",,$A$2,"."&amp;J$2&amp;J$1&amp;"P"&amp;$A10))</f>
        <v>389</v>
      </c>
      <c r="K10" s="91">
        <f ca="1">IF(RTD("tos.rtd",,$A$2,"."&amp;K$2&amp;K$1&amp;"C"&amp;$A10)="N/A",0,RTD("tos.rtd",,$A$2,"."&amp;K$2&amp;K$1&amp;"C"&amp;$A10))-IF(RTD("tos.rtd",,$A$2,"."&amp;K$2&amp;K$1&amp;"P"&amp;$A10)="N/A",0,RTD("tos.rtd",,$A$2,"."&amp;K$2&amp;K$1&amp;"P"&amp;$A10))</f>
        <v>0</v>
      </c>
      <c r="L10" s="91">
        <f ca="1">IF(RTD("tos.rtd",,$A$2,"."&amp;L$2&amp;L$1&amp;"C"&amp;$A10)="N/A",0,RTD("tos.rtd",,$A$2,"."&amp;L$2&amp;L$1&amp;"C"&amp;$A10))-IF(RTD("tos.rtd",,$A$2,"."&amp;L$2&amp;L$1&amp;"P"&amp;$A10)="N/A",0,RTD("tos.rtd",,$A$2,"."&amp;L$2&amp;L$1&amp;"P"&amp;$A10))</f>
        <v>102</v>
      </c>
      <c r="M10" s="91">
        <f ca="1">IF(RTD("tos.rtd",,$A$2,"."&amp;M$2&amp;M$1&amp;"C"&amp;$A10)="N/A",0,RTD("tos.rtd",,$A$2,"."&amp;M$2&amp;M$1&amp;"C"&amp;$A10))-IF(RTD("tos.rtd",,$A$2,"."&amp;M$2&amp;M$1&amp;"P"&amp;$A10)="N/A",0,RTD("tos.rtd",,$A$2,"."&amp;M$2&amp;M$1&amp;"P"&amp;$A10))</f>
        <v>0</v>
      </c>
      <c r="N10" s="91">
        <f ca="1">IF(RTD("tos.rtd",,$A$2,"."&amp;N$2&amp;N$1&amp;"C"&amp;$A10)="N/A",0,RTD("tos.rtd",,$A$2,"."&amp;N$2&amp;N$1&amp;"C"&amp;$A10))-IF(RTD("tos.rtd",,$A$2,"."&amp;N$2&amp;N$1&amp;"P"&amp;$A10)="N/A",0,RTD("tos.rtd",,$A$2,"."&amp;N$2&amp;N$1&amp;"P"&amp;$A10))</f>
        <v>-13</v>
      </c>
      <c r="O10" s="91">
        <f ca="1">IF(RTD("tos.rtd",,$A$2,"."&amp;O$2&amp;O$1&amp;"C"&amp;$A10)="N/A",0,RTD("tos.rtd",,$A$2,"."&amp;O$2&amp;O$1&amp;"C"&amp;$A10))-IF(RTD("tos.rtd",,$A$2,"."&amp;O$2&amp;O$1&amp;"P"&amp;$A10)="N/A",0,RTD("tos.rtd",,$A$2,"."&amp;O$2&amp;O$1&amp;"P"&amp;$A10))</f>
        <v>0</v>
      </c>
      <c r="P10" s="91">
        <f ca="1">IF(RTD("tos.rtd",,$A$2,"."&amp;P$2&amp;P$1&amp;"C"&amp;$A10)="N/A",0,RTD("tos.rtd",,$A$2,"."&amp;P$2&amp;P$1&amp;"C"&amp;$A10))-IF(RTD("tos.rtd",,$A$2,"."&amp;P$2&amp;P$1&amp;"P"&amp;$A10)="N/A",0,RTD("tos.rtd",,$A$2,"."&amp;P$2&amp;P$1&amp;"P"&amp;$A10))</f>
        <v>-6</v>
      </c>
      <c r="Q10" s="91">
        <f ca="1">IF(RTD("tos.rtd",,$A$2,"."&amp;Q$2&amp;Q$1&amp;"C"&amp;$A10)="N/A",0,RTD("tos.rtd",,$A$2,"."&amp;Q$2&amp;Q$1&amp;"C"&amp;$A10))-IF(RTD("tos.rtd",,$A$2,"."&amp;Q$2&amp;Q$1&amp;"P"&amp;$A10)="N/A",0,RTD("tos.rtd",,$A$2,"."&amp;Q$2&amp;Q$1&amp;"P"&amp;$A10))</f>
        <v>0</v>
      </c>
      <c r="R10" s="91">
        <f ca="1">IF(RTD("tos.rtd",,$A$2,"."&amp;R$2&amp;R$1&amp;"C"&amp;$A10)="N/A",0,RTD("tos.rtd",,$A$2,"."&amp;R$2&amp;R$1&amp;"C"&amp;$A10))-IF(RTD("tos.rtd",,$A$2,"."&amp;R$2&amp;R$1&amp;"P"&amp;$A10)="N/A",0,RTD("tos.rtd",,$A$2,"."&amp;R$2&amp;R$1&amp;"P"&amp;$A10))</f>
        <v>157</v>
      </c>
      <c r="S10" s="91">
        <f ca="1">IF(RTD("tos.rtd",,$A$2,"."&amp;S$2&amp;S$1&amp;"C"&amp;$A10)="N/A",0,RTD("tos.rtd",,$A$2,"."&amp;S$2&amp;S$1&amp;"C"&amp;$A10))-IF(RTD("tos.rtd",,$A$2,"."&amp;S$2&amp;S$1&amp;"P"&amp;$A10)="N/A",0,RTD("tos.rtd",,$A$2,"."&amp;S$2&amp;S$1&amp;"P"&amp;$A10))</f>
        <v>0</v>
      </c>
      <c r="T10" s="91">
        <f ca="1">IF(RTD("tos.rtd",,$A$2,"."&amp;T$2&amp;T$1&amp;"C"&amp;$A10)="N/A",0,RTD("tos.rtd",,$A$2,"."&amp;T$2&amp;T$1&amp;"C"&amp;$A10))-IF(RTD("tos.rtd",,$A$2,"."&amp;T$2&amp;T$1&amp;"P"&amp;$A10)="N/A",0,RTD("tos.rtd",,$A$2,"."&amp;T$2&amp;T$1&amp;"P"&amp;$A10))</f>
        <v>0</v>
      </c>
      <c r="U10" s="91">
        <f ca="1">IF(RTD("tos.rtd",,$A$2,"."&amp;U$2&amp;U$1&amp;"C"&amp;$A10)="N/A",0,RTD("tos.rtd",,$A$2,"."&amp;U$2&amp;U$1&amp;"C"&amp;$A10))-IF(RTD("tos.rtd",,$A$2,"."&amp;U$2&amp;U$1&amp;"P"&amp;$A10)="N/A",0,RTD("tos.rtd",,$A$2,"."&amp;U$2&amp;U$1&amp;"P"&amp;$A10))</f>
        <v>0</v>
      </c>
      <c r="V10" s="91">
        <f ca="1">IF(RTD("tos.rtd",,$A$2,"."&amp;V$2&amp;V$1&amp;"C"&amp;$A10)="N/A",0,RTD("tos.rtd",,$A$2,"."&amp;V$2&amp;V$1&amp;"C"&amp;$A10))-IF(RTD("tos.rtd",,$A$2,"."&amp;V$2&amp;V$1&amp;"P"&amp;$A10)="N/A",0,RTD("tos.rtd",,$A$2,"."&amp;V$2&amp;V$1&amp;"P"&amp;$A10))</f>
        <v>0</v>
      </c>
      <c r="W10" s="91">
        <f ca="1">IF(RTD("tos.rtd",,$A$2,"."&amp;W$2&amp;W$1&amp;"C"&amp;$A10)="N/A",0,RTD("tos.rtd",,$A$2,"."&amp;W$2&amp;W$1&amp;"C"&amp;$A10))-IF(RTD("tos.rtd",,$A$2,"."&amp;W$2&amp;W$1&amp;"P"&amp;$A10)="N/A",0,RTD("tos.rtd",,$A$2,"."&amp;W$2&amp;W$1&amp;"P"&amp;$A10))</f>
        <v>0</v>
      </c>
      <c r="X10" s="91">
        <f ca="1">IF(RTD("tos.rtd",,$A$2,"."&amp;X$2&amp;X$1&amp;"C"&amp;$A10)="N/A",0,RTD("tos.rtd",,$A$2,"."&amp;X$2&amp;X$1&amp;"C"&amp;$A10))-IF(RTD("tos.rtd",,$A$2,"."&amp;X$2&amp;X$1&amp;"P"&amp;$A10)="N/A",0,RTD("tos.rtd",,$A$2,"."&amp;X$2&amp;X$1&amp;"P"&amp;$A10))</f>
        <v>2</v>
      </c>
      <c r="Y10" s="98">
        <f t="shared" ca="1" si="3"/>
        <v>1440</v>
      </c>
    </row>
    <row r="11" spans="1:25" x14ac:dyDescent="0.25">
      <c r="A11" s="93">
        <f>+Hoja1!A10</f>
        <v>586</v>
      </c>
      <c r="B11" s="91">
        <f ca="1">IF(RTD("tos.rtd",,$A$2,"."&amp;B$2&amp;B$1&amp;"C"&amp;$A11)="N/A",0,RTD("tos.rtd",,$A$2,"."&amp;B$2&amp;B$1&amp;"C"&amp;$A11))-IF(RTD("tos.rtd",,$A$2,"."&amp;B$2&amp;B$1&amp;"P"&amp;$A11)="N/A",0,RTD("tos.rtd",,$A$2,"."&amp;B$2&amp;B$1&amp;"P"&amp;$A11))</f>
        <v>0</v>
      </c>
      <c r="C11" s="91">
        <f ca="1">IF(RTD("tos.rtd",,$A$2,"."&amp;C$2&amp;C$1&amp;"C"&amp;$A11)="N/A",0,RTD("tos.rtd",,$A$2,"."&amp;C$2&amp;C$1&amp;"C"&amp;$A11))-IF(RTD("tos.rtd",,$A$2,"."&amp;C$2&amp;C$1&amp;"P"&amp;$A11)="N/A",0,RTD("tos.rtd",,$A$2,"."&amp;C$2&amp;C$1&amp;"P"&amp;$A11))</f>
        <v>0</v>
      </c>
      <c r="D11" s="91">
        <f ca="1">IF(RTD("tos.rtd",,$A$2,"."&amp;D$2&amp;D$1&amp;"C"&amp;$A11)="N/A",0,RTD("tos.rtd",,$A$2,"."&amp;D$2&amp;D$1&amp;"C"&amp;$A11))-IF(RTD("tos.rtd",,$A$2,"."&amp;D$2&amp;D$1&amp;"P"&amp;$A11)="N/A",0,RTD("tos.rtd",,$A$2,"."&amp;D$2&amp;D$1&amp;"P"&amp;$A11))</f>
        <v>0</v>
      </c>
      <c r="E11" s="91">
        <f ca="1">IF(RTD("tos.rtd",,$A$2,"."&amp;E$2&amp;E$1&amp;"C"&amp;$A11)="N/A",0,RTD("tos.rtd",,$A$2,"."&amp;E$2&amp;E$1&amp;"C"&amp;$A11))-IF(RTD("tos.rtd",,$A$2,"."&amp;E$2&amp;E$1&amp;"P"&amp;$A11)="N/A",0,RTD("tos.rtd",,$A$2,"."&amp;E$2&amp;E$1&amp;"P"&amp;$A11))</f>
        <v>0</v>
      </c>
      <c r="F11" s="91">
        <f ca="1">IF(RTD("tos.rtd",,$A$2,"."&amp;F$2&amp;F$1&amp;"C"&amp;$A11)="N/A",0,RTD("tos.rtd",,$A$2,"."&amp;F$2&amp;F$1&amp;"C"&amp;$A11))-IF(RTD("tos.rtd",,$A$2,"."&amp;F$2&amp;F$1&amp;"P"&amp;$A11)="N/A",0,RTD("tos.rtd",,$A$2,"."&amp;F$2&amp;F$1&amp;"P"&amp;$A11))</f>
        <v>0</v>
      </c>
      <c r="G11" s="91">
        <f ca="1">IF(RTD("tos.rtd",,$A$2,"."&amp;G$2&amp;G$1&amp;"C"&amp;$A11)="N/A",0,RTD("tos.rtd",,$A$2,"."&amp;G$2&amp;G$1&amp;"C"&amp;$A11))-IF(RTD("tos.rtd",,$A$2,"."&amp;G$2&amp;G$1&amp;"P"&amp;$A11)="N/A",0,RTD("tos.rtd",,$A$2,"."&amp;G$2&amp;G$1&amp;"P"&amp;$A11))</f>
        <v>0</v>
      </c>
      <c r="H11" s="91">
        <f ca="1">IF(RTD("tos.rtd",,$A$2,"."&amp;H$2&amp;H$1&amp;"C"&amp;$A11)="N/A",0,RTD("tos.rtd",,$A$2,"."&amp;H$2&amp;H$1&amp;"C"&amp;$A11))-IF(RTD("tos.rtd",,$A$2,"."&amp;H$2&amp;H$1&amp;"P"&amp;$A11)="N/A",0,RTD("tos.rtd",,$A$2,"."&amp;H$2&amp;H$1&amp;"P"&amp;$A11))</f>
        <v>354</v>
      </c>
      <c r="I11" s="91">
        <f ca="1">IF(RTD("tos.rtd",,$A$2,"."&amp;I$2&amp;I$1&amp;"C"&amp;$A11)="N/A",0,RTD("tos.rtd",,$A$2,"."&amp;I$2&amp;I$1&amp;"C"&amp;$A11))-IF(RTD("tos.rtd",,$A$2,"."&amp;I$2&amp;I$1&amp;"P"&amp;$A11)="N/A",0,RTD("tos.rtd",,$A$2,"."&amp;I$2&amp;I$1&amp;"P"&amp;$A11))</f>
        <v>351</v>
      </c>
      <c r="J11" s="91">
        <f ca="1">IF(RTD("tos.rtd",,$A$2,"."&amp;J$2&amp;J$1&amp;"C"&amp;$A11)="N/A",0,RTD("tos.rtd",,$A$2,"."&amp;J$2&amp;J$1&amp;"C"&amp;$A11))-IF(RTD("tos.rtd",,$A$2,"."&amp;J$2&amp;J$1&amp;"P"&amp;$A11)="N/A",0,RTD("tos.rtd",,$A$2,"."&amp;J$2&amp;J$1&amp;"P"&amp;$A11))</f>
        <v>499</v>
      </c>
      <c r="K11" s="91">
        <f ca="1">IF(RTD("tos.rtd",,$A$2,"."&amp;K$2&amp;K$1&amp;"C"&amp;$A11)="N/A",0,RTD("tos.rtd",,$A$2,"."&amp;K$2&amp;K$1&amp;"C"&amp;$A11))-IF(RTD("tos.rtd",,$A$2,"."&amp;K$2&amp;K$1&amp;"P"&amp;$A11)="N/A",0,RTD("tos.rtd",,$A$2,"."&amp;K$2&amp;K$1&amp;"P"&amp;$A11))</f>
        <v>0</v>
      </c>
      <c r="L11" s="91">
        <f ca="1">IF(RTD("tos.rtd",,$A$2,"."&amp;L$2&amp;L$1&amp;"C"&amp;$A11)="N/A",0,RTD("tos.rtd",,$A$2,"."&amp;L$2&amp;L$1&amp;"C"&amp;$A11))-IF(RTD("tos.rtd",,$A$2,"."&amp;L$2&amp;L$1&amp;"P"&amp;$A11)="N/A",0,RTD("tos.rtd",,$A$2,"."&amp;L$2&amp;L$1&amp;"P"&amp;$A11))</f>
        <v>28</v>
      </c>
      <c r="M11" s="91">
        <f ca="1">IF(RTD("tos.rtd",,$A$2,"."&amp;M$2&amp;M$1&amp;"C"&amp;$A11)="N/A",0,RTD("tos.rtd",,$A$2,"."&amp;M$2&amp;M$1&amp;"C"&amp;$A11))-IF(RTD("tos.rtd",,$A$2,"."&amp;M$2&amp;M$1&amp;"P"&amp;$A11)="N/A",0,RTD("tos.rtd",,$A$2,"."&amp;M$2&amp;M$1&amp;"P"&amp;$A11))</f>
        <v>0</v>
      </c>
      <c r="N11" s="91">
        <f ca="1">IF(RTD("tos.rtd",,$A$2,"."&amp;N$2&amp;N$1&amp;"C"&amp;$A11)="N/A",0,RTD("tos.rtd",,$A$2,"."&amp;N$2&amp;N$1&amp;"C"&amp;$A11))-IF(RTD("tos.rtd",,$A$2,"."&amp;N$2&amp;N$1&amp;"P"&amp;$A11)="N/A",0,RTD("tos.rtd",,$A$2,"."&amp;N$2&amp;N$1&amp;"P"&amp;$A11))</f>
        <v>-6</v>
      </c>
      <c r="O11" s="91">
        <f ca="1">IF(RTD("tos.rtd",,$A$2,"."&amp;O$2&amp;O$1&amp;"C"&amp;$A11)="N/A",0,RTD("tos.rtd",,$A$2,"."&amp;O$2&amp;O$1&amp;"C"&amp;$A11))-IF(RTD("tos.rtd",,$A$2,"."&amp;O$2&amp;O$1&amp;"P"&amp;$A11)="N/A",0,RTD("tos.rtd",,$A$2,"."&amp;O$2&amp;O$1&amp;"P"&amp;$A11))</f>
        <v>0</v>
      </c>
      <c r="P11" s="91">
        <f ca="1">IF(RTD("tos.rtd",,$A$2,"."&amp;P$2&amp;P$1&amp;"C"&amp;$A11)="N/A",0,RTD("tos.rtd",,$A$2,"."&amp;P$2&amp;P$1&amp;"C"&amp;$A11))-IF(RTD("tos.rtd",,$A$2,"."&amp;P$2&amp;P$1&amp;"P"&amp;$A11)="N/A",0,RTD("tos.rtd",,$A$2,"."&amp;P$2&amp;P$1&amp;"P"&amp;$A11))</f>
        <v>6</v>
      </c>
      <c r="Q11" s="91">
        <f ca="1">IF(RTD("tos.rtd",,$A$2,"."&amp;Q$2&amp;Q$1&amp;"C"&amp;$A11)="N/A",0,RTD("tos.rtd",,$A$2,"."&amp;Q$2&amp;Q$1&amp;"C"&amp;$A11))-IF(RTD("tos.rtd",,$A$2,"."&amp;Q$2&amp;Q$1&amp;"P"&amp;$A11)="N/A",0,RTD("tos.rtd",,$A$2,"."&amp;Q$2&amp;Q$1&amp;"P"&amp;$A11))</f>
        <v>0</v>
      </c>
      <c r="R11" s="91">
        <f ca="1">IF(RTD("tos.rtd",,$A$2,"."&amp;R$2&amp;R$1&amp;"C"&amp;$A11)="N/A",0,RTD("tos.rtd",,$A$2,"."&amp;R$2&amp;R$1&amp;"C"&amp;$A11))-IF(RTD("tos.rtd",,$A$2,"."&amp;R$2&amp;R$1&amp;"P"&amp;$A11)="N/A",0,RTD("tos.rtd",,$A$2,"."&amp;R$2&amp;R$1&amp;"P"&amp;$A11))</f>
        <v>16</v>
      </c>
      <c r="S11" s="91">
        <f ca="1">IF(RTD("tos.rtd",,$A$2,"."&amp;S$2&amp;S$1&amp;"C"&amp;$A11)="N/A",0,RTD("tos.rtd",,$A$2,"."&amp;S$2&amp;S$1&amp;"C"&amp;$A11))-IF(RTD("tos.rtd",,$A$2,"."&amp;S$2&amp;S$1&amp;"P"&amp;$A11)="N/A",0,RTD("tos.rtd",,$A$2,"."&amp;S$2&amp;S$1&amp;"P"&amp;$A11))</f>
        <v>0</v>
      </c>
      <c r="T11" s="91">
        <f ca="1">IF(RTD("tos.rtd",,$A$2,"."&amp;T$2&amp;T$1&amp;"C"&amp;$A11)="N/A",0,RTD("tos.rtd",,$A$2,"."&amp;T$2&amp;T$1&amp;"C"&amp;$A11))-IF(RTD("tos.rtd",,$A$2,"."&amp;T$2&amp;T$1&amp;"P"&amp;$A11)="N/A",0,RTD("tos.rtd",,$A$2,"."&amp;T$2&amp;T$1&amp;"P"&amp;$A11))</f>
        <v>0</v>
      </c>
      <c r="U11" s="91">
        <f ca="1">IF(RTD("tos.rtd",,$A$2,"."&amp;U$2&amp;U$1&amp;"C"&amp;$A11)="N/A",0,RTD("tos.rtd",,$A$2,"."&amp;U$2&amp;U$1&amp;"C"&amp;$A11))-IF(RTD("tos.rtd",,$A$2,"."&amp;U$2&amp;U$1&amp;"P"&amp;$A11)="N/A",0,RTD("tos.rtd",,$A$2,"."&amp;U$2&amp;U$1&amp;"P"&amp;$A11))</f>
        <v>0</v>
      </c>
      <c r="V11" s="91">
        <f ca="1">IF(RTD("tos.rtd",,$A$2,"."&amp;V$2&amp;V$1&amp;"C"&amp;$A11)="N/A",0,RTD("tos.rtd",,$A$2,"."&amp;V$2&amp;V$1&amp;"C"&amp;$A11))-IF(RTD("tos.rtd",,$A$2,"."&amp;V$2&amp;V$1&amp;"P"&amp;$A11)="N/A",0,RTD("tos.rtd",,$A$2,"."&amp;V$2&amp;V$1&amp;"P"&amp;$A11))</f>
        <v>0</v>
      </c>
      <c r="W11" s="91">
        <f ca="1">IF(RTD("tos.rtd",,$A$2,"."&amp;W$2&amp;W$1&amp;"C"&amp;$A11)="N/A",0,RTD("tos.rtd",,$A$2,"."&amp;W$2&amp;W$1&amp;"C"&amp;$A11))-IF(RTD("tos.rtd",,$A$2,"."&amp;W$2&amp;W$1&amp;"P"&amp;$A11)="N/A",0,RTD("tos.rtd",,$A$2,"."&amp;W$2&amp;W$1&amp;"P"&amp;$A11))</f>
        <v>0</v>
      </c>
      <c r="X11" s="91">
        <f ca="1">IF(RTD("tos.rtd",,$A$2,"."&amp;X$2&amp;X$1&amp;"C"&amp;$A11)="N/A",0,RTD("tos.rtd",,$A$2,"."&amp;X$2&amp;X$1&amp;"C"&amp;$A11))-IF(RTD("tos.rtd",,$A$2,"."&amp;X$2&amp;X$1&amp;"P"&amp;$A11)="N/A",0,RTD("tos.rtd",,$A$2,"."&amp;X$2&amp;X$1&amp;"P"&amp;$A11))</f>
        <v>0</v>
      </c>
      <c r="Y11" s="98">
        <f t="shared" ca="1" si="3"/>
        <v>1248</v>
      </c>
    </row>
    <row r="12" spans="1:25" x14ac:dyDescent="0.25">
      <c r="A12" s="93">
        <f>+Hoja1!A11</f>
        <v>585</v>
      </c>
      <c r="B12" s="91">
        <f ca="1">IF(RTD("tos.rtd",,$A$2,"."&amp;B$2&amp;B$1&amp;"C"&amp;$A12)="N/A",0,RTD("tos.rtd",,$A$2,"."&amp;B$2&amp;B$1&amp;"C"&amp;$A12))-IF(RTD("tos.rtd",,$A$2,"."&amp;B$2&amp;B$1&amp;"P"&amp;$A12)="N/A",0,RTD("tos.rtd",,$A$2,"."&amp;B$2&amp;B$1&amp;"P"&amp;$A12))</f>
        <v>0</v>
      </c>
      <c r="C12" s="91">
        <f ca="1">IF(RTD("tos.rtd",,$A$2,"."&amp;C$2&amp;C$1&amp;"C"&amp;$A12)="N/A",0,RTD("tos.rtd",,$A$2,"."&amp;C$2&amp;C$1&amp;"C"&amp;$A12))-IF(RTD("tos.rtd",,$A$2,"."&amp;C$2&amp;C$1&amp;"P"&amp;$A12)="N/A",0,RTD("tos.rtd",,$A$2,"."&amp;C$2&amp;C$1&amp;"P"&amp;$A12))</f>
        <v>0</v>
      </c>
      <c r="D12" s="91">
        <f ca="1">IF(RTD("tos.rtd",,$A$2,"."&amp;D$2&amp;D$1&amp;"C"&amp;$A12)="N/A",0,RTD("tos.rtd",,$A$2,"."&amp;D$2&amp;D$1&amp;"C"&amp;$A12))-IF(RTD("tos.rtd",,$A$2,"."&amp;D$2&amp;D$1&amp;"P"&amp;$A12)="N/A",0,RTD("tos.rtd",,$A$2,"."&amp;D$2&amp;D$1&amp;"P"&amp;$A12))</f>
        <v>0</v>
      </c>
      <c r="E12" s="91">
        <f ca="1">IF(RTD("tos.rtd",,$A$2,"."&amp;E$2&amp;E$1&amp;"C"&amp;$A12)="N/A",0,RTD("tos.rtd",,$A$2,"."&amp;E$2&amp;E$1&amp;"C"&amp;$A12))-IF(RTD("tos.rtd",,$A$2,"."&amp;E$2&amp;E$1&amp;"P"&amp;$A12)="N/A",0,RTD("tos.rtd",,$A$2,"."&amp;E$2&amp;E$1&amp;"P"&amp;$A12))</f>
        <v>0</v>
      </c>
      <c r="F12" s="91">
        <f ca="1">IF(RTD("tos.rtd",,$A$2,"."&amp;F$2&amp;F$1&amp;"C"&amp;$A12)="N/A",0,RTD("tos.rtd",,$A$2,"."&amp;F$2&amp;F$1&amp;"C"&amp;$A12))-IF(RTD("tos.rtd",,$A$2,"."&amp;F$2&amp;F$1&amp;"P"&amp;$A12)="N/A",0,RTD("tos.rtd",,$A$2,"."&amp;F$2&amp;F$1&amp;"P"&amp;$A12))</f>
        <v>0</v>
      </c>
      <c r="G12" s="91">
        <f ca="1">IF(RTD("tos.rtd",,$A$2,"."&amp;G$2&amp;G$1&amp;"C"&amp;$A12)="N/A",0,RTD("tos.rtd",,$A$2,"."&amp;G$2&amp;G$1&amp;"C"&amp;$A12))-IF(RTD("tos.rtd",,$A$2,"."&amp;G$2&amp;G$1&amp;"P"&amp;$A12)="N/A",0,RTD("tos.rtd",,$A$2,"."&amp;G$2&amp;G$1&amp;"P"&amp;$A12))</f>
        <v>0</v>
      </c>
      <c r="H12" s="91">
        <f ca="1">IF(RTD("tos.rtd",,$A$2,"."&amp;H$2&amp;H$1&amp;"C"&amp;$A12)="N/A",0,RTD("tos.rtd",,$A$2,"."&amp;H$2&amp;H$1&amp;"C"&amp;$A12))-IF(RTD("tos.rtd",,$A$2,"."&amp;H$2&amp;H$1&amp;"P"&amp;$A12)="N/A",0,RTD("tos.rtd",,$A$2,"."&amp;H$2&amp;H$1&amp;"P"&amp;$A12))</f>
        <v>27954</v>
      </c>
      <c r="I12" s="91">
        <f ca="1">IF(RTD("tos.rtd",,$A$2,"."&amp;I$2&amp;I$1&amp;"C"&amp;$A12)="N/A",0,RTD("tos.rtd",,$A$2,"."&amp;I$2&amp;I$1&amp;"C"&amp;$A12))-IF(RTD("tos.rtd",,$A$2,"."&amp;I$2&amp;I$1&amp;"P"&amp;$A12)="N/A",0,RTD("tos.rtd",,$A$2,"."&amp;I$2&amp;I$1&amp;"P"&amp;$A12))</f>
        <v>3208</v>
      </c>
      <c r="J12" s="91">
        <f ca="1">IF(RTD("tos.rtd",,$A$2,"."&amp;J$2&amp;J$1&amp;"C"&amp;$A12)="N/A",0,RTD("tos.rtd",,$A$2,"."&amp;J$2&amp;J$1&amp;"C"&amp;$A12))-IF(RTD("tos.rtd",,$A$2,"."&amp;J$2&amp;J$1&amp;"P"&amp;$A12)="N/A",0,RTD("tos.rtd",,$A$2,"."&amp;J$2&amp;J$1&amp;"P"&amp;$A12))</f>
        <v>835</v>
      </c>
      <c r="K12" s="91">
        <f ca="1">IF(RTD("tos.rtd",,$A$2,"."&amp;K$2&amp;K$1&amp;"C"&amp;$A12)="N/A",0,RTD("tos.rtd",,$A$2,"."&amp;K$2&amp;K$1&amp;"C"&amp;$A12))-IF(RTD("tos.rtd",,$A$2,"."&amp;K$2&amp;K$1&amp;"P"&amp;$A12)="N/A",0,RTD("tos.rtd",,$A$2,"."&amp;K$2&amp;K$1&amp;"P"&amp;$A12))</f>
        <v>0</v>
      </c>
      <c r="L12" s="91">
        <f ca="1">IF(RTD("tos.rtd",,$A$2,"."&amp;L$2&amp;L$1&amp;"C"&amp;$A12)="N/A",0,RTD("tos.rtd",,$A$2,"."&amp;L$2&amp;L$1&amp;"C"&amp;$A12))-IF(RTD("tos.rtd",,$A$2,"."&amp;L$2&amp;L$1&amp;"P"&amp;$A12)="N/A",0,RTD("tos.rtd",,$A$2,"."&amp;L$2&amp;L$1&amp;"P"&amp;$A12))</f>
        <v>2671</v>
      </c>
      <c r="M12" s="91">
        <f ca="1">IF(RTD("tos.rtd",,$A$2,"."&amp;M$2&amp;M$1&amp;"C"&amp;$A12)="N/A",0,RTD("tos.rtd",,$A$2,"."&amp;M$2&amp;M$1&amp;"C"&amp;$A12))-IF(RTD("tos.rtd",,$A$2,"."&amp;M$2&amp;M$1&amp;"P"&amp;$A12)="N/A",0,RTD("tos.rtd",,$A$2,"."&amp;M$2&amp;M$1&amp;"P"&amp;$A12))</f>
        <v>902</v>
      </c>
      <c r="N12" s="91">
        <f ca="1">IF(RTD("tos.rtd",,$A$2,"."&amp;N$2&amp;N$1&amp;"C"&amp;$A12)="N/A",0,RTD("tos.rtd",,$A$2,"."&amp;N$2&amp;N$1&amp;"C"&amp;$A12))-IF(RTD("tos.rtd",,$A$2,"."&amp;N$2&amp;N$1&amp;"P"&amp;$A12)="N/A",0,RTD("tos.rtd",,$A$2,"."&amp;N$2&amp;N$1&amp;"P"&amp;$A12))</f>
        <v>365</v>
      </c>
      <c r="O12" s="91">
        <f ca="1">IF(RTD("tos.rtd",,$A$2,"."&amp;O$2&amp;O$1&amp;"C"&amp;$A12)="N/A",0,RTD("tos.rtd",,$A$2,"."&amp;O$2&amp;O$1&amp;"C"&amp;$A12))-IF(RTD("tos.rtd",,$A$2,"."&amp;O$2&amp;O$1&amp;"P"&amp;$A12)="N/A",0,RTD("tos.rtd",,$A$2,"."&amp;O$2&amp;O$1&amp;"P"&amp;$A12))</f>
        <v>-339</v>
      </c>
      <c r="P12" s="91">
        <f ca="1">IF(RTD("tos.rtd",,$A$2,"."&amp;P$2&amp;P$1&amp;"C"&amp;$A12)="N/A",0,RTD("tos.rtd",,$A$2,"."&amp;P$2&amp;P$1&amp;"C"&amp;$A12))-IF(RTD("tos.rtd",,$A$2,"."&amp;P$2&amp;P$1&amp;"P"&amp;$A12)="N/A",0,RTD("tos.rtd",,$A$2,"."&amp;P$2&amp;P$1&amp;"P"&amp;$A12))</f>
        <v>76</v>
      </c>
      <c r="Q12" s="91">
        <f ca="1">IF(RTD("tos.rtd",,$A$2,"."&amp;Q$2&amp;Q$1&amp;"C"&amp;$A12)="N/A",0,RTD("tos.rtd",,$A$2,"."&amp;Q$2&amp;Q$1&amp;"C"&amp;$A12))-IF(RTD("tos.rtd",,$A$2,"."&amp;Q$2&amp;Q$1&amp;"P"&amp;$A12)="N/A",0,RTD("tos.rtd",,$A$2,"."&amp;Q$2&amp;Q$1&amp;"P"&amp;$A12))</f>
        <v>5144</v>
      </c>
      <c r="R12" s="91">
        <f ca="1">IF(RTD("tos.rtd",,$A$2,"."&amp;R$2&amp;R$1&amp;"C"&amp;$A12)="N/A",0,RTD("tos.rtd",,$A$2,"."&amp;R$2&amp;R$1&amp;"C"&amp;$A12))-IF(RTD("tos.rtd",,$A$2,"."&amp;R$2&amp;R$1&amp;"P"&amp;$A12)="N/A",0,RTD("tos.rtd",,$A$2,"."&amp;R$2&amp;R$1&amp;"P"&amp;$A12))</f>
        <v>1320</v>
      </c>
      <c r="S12" s="91">
        <f ca="1">IF(RTD("tos.rtd",,$A$2,"."&amp;S$2&amp;S$1&amp;"C"&amp;$A12)="N/A",0,RTD("tos.rtd",,$A$2,"."&amp;S$2&amp;S$1&amp;"C"&amp;$A12))-IF(RTD("tos.rtd",,$A$2,"."&amp;S$2&amp;S$1&amp;"P"&amp;$A12)="N/A",0,RTD("tos.rtd",,$A$2,"."&amp;S$2&amp;S$1&amp;"P"&amp;$A12))</f>
        <v>0</v>
      </c>
      <c r="T12" s="91">
        <f ca="1">IF(RTD("tos.rtd",,$A$2,"."&amp;T$2&amp;T$1&amp;"C"&amp;$A12)="N/A",0,RTD("tos.rtd",,$A$2,"."&amp;T$2&amp;T$1&amp;"C"&amp;$A12))-IF(RTD("tos.rtd",,$A$2,"."&amp;T$2&amp;T$1&amp;"P"&amp;$A12)="N/A",0,RTD("tos.rtd",,$A$2,"."&amp;T$2&amp;T$1&amp;"P"&amp;$A12))</f>
        <v>2</v>
      </c>
      <c r="U12" s="91">
        <f ca="1">IF(RTD("tos.rtd",,$A$2,"."&amp;U$2&amp;U$1&amp;"C"&amp;$A12)="N/A",0,RTD("tos.rtd",,$A$2,"."&amp;U$2&amp;U$1&amp;"C"&amp;$A12))-IF(RTD("tos.rtd",,$A$2,"."&amp;U$2&amp;U$1&amp;"P"&amp;$A12)="N/A",0,RTD("tos.rtd",,$A$2,"."&amp;U$2&amp;U$1&amp;"P"&amp;$A12))</f>
        <v>0</v>
      </c>
      <c r="V12" s="91">
        <f ca="1">IF(RTD("tos.rtd",,$A$2,"."&amp;V$2&amp;V$1&amp;"C"&amp;$A12)="N/A",0,RTD("tos.rtd",,$A$2,"."&amp;V$2&amp;V$1&amp;"C"&amp;$A12))-IF(RTD("tos.rtd",,$A$2,"."&amp;V$2&amp;V$1&amp;"P"&amp;$A12)="N/A",0,RTD("tos.rtd",,$A$2,"."&amp;V$2&amp;V$1&amp;"P"&amp;$A12))</f>
        <v>0</v>
      </c>
      <c r="W12" s="91">
        <f ca="1">IF(RTD("tos.rtd",,$A$2,"."&amp;W$2&amp;W$1&amp;"C"&amp;$A12)="N/A",0,RTD("tos.rtd",,$A$2,"."&amp;W$2&amp;W$1&amp;"C"&amp;$A12))-IF(RTD("tos.rtd",,$A$2,"."&amp;W$2&amp;W$1&amp;"P"&amp;$A12)="N/A",0,RTD("tos.rtd",,$A$2,"."&amp;W$2&amp;W$1&amp;"P"&amp;$A12))</f>
        <v>-129</v>
      </c>
      <c r="X12" s="91">
        <f ca="1">IF(RTD("tos.rtd",,$A$2,"."&amp;X$2&amp;X$1&amp;"C"&amp;$A12)="N/A",0,RTD("tos.rtd",,$A$2,"."&amp;X$2&amp;X$1&amp;"C"&amp;$A12))-IF(RTD("tos.rtd",,$A$2,"."&amp;X$2&amp;X$1&amp;"P"&amp;$A12)="N/A",0,RTD("tos.rtd",,$A$2,"."&amp;X$2&amp;X$1&amp;"P"&amp;$A12))</f>
        <v>72</v>
      </c>
      <c r="Y12" s="98">
        <f t="shared" ca="1" si="3"/>
        <v>42081</v>
      </c>
    </row>
    <row r="13" spans="1:25" x14ac:dyDescent="0.25">
      <c r="A13" s="93">
        <f>+Hoja1!A12</f>
        <v>584</v>
      </c>
      <c r="B13" s="91">
        <f ca="1">IF(RTD("tos.rtd",,$A$2,"."&amp;B$2&amp;B$1&amp;"C"&amp;$A13)="N/A",0,RTD("tos.rtd",,$A$2,"."&amp;B$2&amp;B$1&amp;"C"&amp;$A13))-IF(RTD("tos.rtd",,$A$2,"."&amp;B$2&amp;B$1&amp;"P"&amp;$A13)="N/A",0,RTD("tos.rtd",,$A$2,"."&amp;B$2&amp;B$1&amp;"P"&amp;$A13))</f>
        <v>0</v>
      </c>
      <c r="C13" s="91">
        <f ca="1">IF(RTD("tos.rtd",,$A$2,"."&amp;C$2&amp;C$1&amp;"C"&amp;$A13)="N/A",0,RTD("tos.rtd",,$A$2,"."&amp;C$2&amp;C$1&amp;"C"&amp;$A13))-IF(RTD("tos.rtd",,$A$2,"."&amp;C$2&amp;C$1&amp;"P"&amp;$A13)="N/A",0,RTD("tos.rtd",,$A$2,"."&amp;C$2&amp;C$1&amp;"P"&amp;$A13))</f>
        <v>0</v>
      </c>
      <c r="D13" s="91">
        <f ca="1">IF(RTD("tos.rtd",,$A$2,"."&amp;D$2&amp;D$1&amp;"C"&amp;$A13)="N/A",0,RTD("tos.rtd",,$A$2,"."&amp;D$2&amp;D$1&amp;"C"&amp;$A13))-IF(RTD("tos.rtd",,$A$2,"."&amp;D$2&amp;D$1&amp;"P"&amp;$A13)="N/A",0,RTD("tos.rtd",,$A$2,"."&amp;D$2&amp;D$1&amp;"P"&amp;$A13))</f>
        <v>0</v>
      </c>
      <c r="E13" s="91">
        <f ca="1">IF(RTD("tos.rtd",,$A$2,"."&amp;E$2&amp;E$1&amp;"C"&amp;$A13)="N/A",0,RTD("tos.rtd",,$A$2,"."&amp;E$2&amp;E$1&amp;"C"&amp;$A13))-IF(RTD("tos.rtd",,$A$2,"."&amp;E$2&amp;E$1&amp;"P"&amp;$A13)="N/A",0,RTD("tos.rtd",,$A$2,"."&amp;E$2&amp;E$1&amp;"P"&amp;$A13))</f>
        <v>0</v>
      </c>
      <c r="F13" s="91">
        <f ca="1">IF(RTD("tos.rtd",,$A$2,"."&amp;F$2&amp;F$1&amp;"C"&amp;$A13)="N/A",0,RTD("tos.rtd",,$A$2,"."&amp;F$2&amp;F$1&amp;"C"&amp;$A13))-IF(RTD("tos.rtd",,$A$2,"."&amp;F$2&amp;F$1&amp;"P"&amp;$A13)="N/A",0,RTD("tos.rtd",,$A$2,"."&amp;F$2&amp;F$1&amp;"P"&amp;$A13))</f>
        <v>0</v>
      </c>
      <c r="G13" s="91">
        <f ca="1">IF(RTD("tos.rtd",,$A$2,"."&amp;G$2&amp;G$1&amp;"C"&amp;$A13)="N/A",0,RTD("tos.rtd",,$A$2,"."&amp;G$2&amp;G$1&amp;"C"&amp;$A13))-IF(RTD("tos.rtd",,$A$2,"."&amp;G$2&amp;G$1&amp;"P"&amp;$A13)="N/A",0,RTD("tos.rtd",,$A$2,"."&amp;G$2&amp;G$1&amp;"P"&amp;$A13))</f>
        <v>0</v>
      </c>
      <c r="H13" s="91">
        <f ca="1">IF(RTD("tos.rtd",,$A$2,"."&amp;H$2&amp;H$1&amp;"C"&amp;$A13)="N/A",0,RTD("tos.rtd",,$A$2,"."&amp;H$2&amp;H$1&amp;"C"&amp;$A13))-IF(RTD("tos.rtd",,$A$2,"."&amp;H$2&amp;H$1&amp;"P"&amp;$A13)="N/A",0,RTD("tos.rtd",,$A$2,"."&amp;H$2&amp;H$1&amp;"P"&amp;$A13))</f>
        <v>1356</v>
      </c>
      <c r="I13" s="91">
        <f ca="1">IF(RTD("tos.rtd",,$A$2,"."&amp;I$2&amp;I$1&amp;"C"&amp;$A13)="N/A",0,RTD("tos.rtd",,$A$2,"."&amp;I$2&amp;I$1&amp;"C"&amp;$A13))-IF(RTD("tos.rtd",,$A$2,"."&amp;I$2&amp;I$1&amp;"P"&amp;$A13)="N/A",0,RTD("tos.rtd",,$A$2,"."&amp;I$2&amp;I$1&amp;"P"&amp;$A13))</f>
        <v>696</v>
      </c>
      <c r="J13" s="91">
        <f ca="1">IF(RTD("tos.rtd",,$A$2,"."&amp;J$2&amp;J$1&amp;"C"&amp;$A13)="N/A",0,RTD("tos.rtd",,$A$2,"."&amp;J$2&amp;J$1&amp;"C"&amp;$A13))-IF(RTD("tos.rtd",,$A$2,"."&amp;J$2&amp;J$1&amp;"P"&amp;$A13)="N/A",0,RTD("tos.rtd",,$A$2,"."&amp;J$2&amp;J$1&amp;"P"&amp;$A13))</f>
        <v>-156</v>
      </c>
      <c r="K13" s="91">
        <f ca="1">IF(RTD("tos.rtd",,$A$2,"."&amp;K$2&amp;K$1&amp;"C"&amp;$A13)="N/A",0,RTD("tos.rtd",,$A$2,"."&amp;K$2&amp;K$1&amp;"C"&amp;$A13))-IF(RTD("tos.rtd",,$A$2,"."&amp;K$2&amp;K$1&amp;"P"&amp;$A13)="N/A",0,RTD("tos.rtd",,$A$2,"."&amp;K$2&amp;K$1&amp;"P"&amp;$A13))</f>
        <v>0</v>
      </c>
      <c r="L13" s="91">
        <f ca="1">IF(RTD("tos.rtd",,$A$2,"."&amp;L$2&amp;L$1&amp;"C"&amp;$A13)="N/A",0,RTD("tos.rtd",,$A$2,"."&amp;L$2&amp;L$1&amp;"C"&amp;$A13))-IF(RTD("tos.rtd",,$A$2,"."&amp;L$2&amp;L$1&amp;"P"&amp;$A13)="N/A",0,RTD("tos.rtd",,$A$2,"."&amp;L$2&amp;L$1&amp;"P"&amp;$A13))</f>
        <v>118</v>
      </c>
      <c r="M13" s="91">
        <f ca="1">IF(RTD("tos.rtd",,$A$2,"."&amp;M$2&amp;M$1&amp;"C"&amp;$A13)="N/A",0,RTD("tos.rtd",,$A$2,"."&amp;M$2&amp;M$1&amp;"C"&amp;$A13))-IF(RTD("tos.rtd",,$A$2,"."&amp;M$2&amp;M$1&amp;"P"&amp;$A13)="N/A",0,RTD("tos.rtd",,$A$2,"."&amp;M$2&amp;M$1&amp;"P"&amp;$A13))</f>
        <v>0</v>
      </c>
      <c r="N13" s="91">
        <f ca="1">IF(RTD("tos.rtd",,$A$2,"."&amp;N$2&amp;N$1&amp;"C"&amp;$A13)="N/A",0,RTD("tos.rtd",,$A$2,"."&amp;N$2&amp;N$1&amp;"C"&amp;$A13))-IF(RTD("tos.rtd",,$A$2,"."&amp;N$2&amp;N$1&amp;"P"&amp;$A13)="N/A",0,RTD("tos.rtd",,$A$2,"."&amp;N$2&amp;N$1&amp;"P"&amp;$A13))</f>
        <v>15</v>
      </c>
      <c r="O13" s="91">
        <f ca="1">IF(RTD("tos.rtd",,$A$2,"."&amp;O$2&amp;O$1&amp;"C"&amp;$A13)="N/A",0,RTD("tos.rtd",,$A$2,"."&amp;O$2&amp;O$1&amp;"C"&amp;$A13))-IF(RTD("tos.rtd",,$A$2,"."&amp;O$2&amp;O$1&amp;"P"&amp;$A13)="N/A",0,RTD("tos.rtd",,$A$2,"."&amp;O$2&amp;O$1&amp;"P"&amp;$A13))</f>
        <v>0</v>
      </c>
      <c r="P13" s="91">
        <f ca="1">IF(RTD("tos.rtd",,$A$2,"."&amp;P$2&amp;P$1&amp;"C"&amp;$A13)="N/A",0,RTD("tos.rtd",,$A$2,"."&amp;P$2&amp;P$1&amp;"C"&amp;$A13))-IF(RTD("tos.rtd",,$A$2,"."&amp;P$2&amp;P$1&amp;"P"&amp;$A13)="N/A",0,RTD("tos.rtd",,$A$2,"."&amp;P$2&amp;P$1&amp;"P"&amp;$A13))</f>
        <v>8</v>
      </c>
      <c r="Q13" s="91">
        <f ca="1">IF(RTD("tos.rtd",,$A$2,"."&amp;Q$2&amp;Q$1&amp;"C"&amp;$A13)="N/A",0,RTD("tos.rtd",,$A$2,"."&amp;Q$2&amp;Q$1&amp;"C"&amp;$A13))-IF(RTD("tos.rtd",,$A$2,"."&amp;Q$2&amp;Q$1&amp;"P"&amp;$A13)="N/A",0,RTD("tos.rtd",,$A$2,"."&amp;Q$2&amp;Q$1&amp;"P"&amp;$A13))</f>
        <v>0</v>
      </c>
      <c r="R13" s="91">
        <f ca="1">IF(RTD("tos.rtd",,$A$2,"."&amp;R$2&amp;R$1&amp;"C"&amp;$A13)="N/A",0,RTD("tos.rtd",,$A$2,"."&amp;R$2&amp;R$1&amp;"C"&amp;$A13))-IF(RTD("tos.rtd",,$A$2,"."&amp;R$2&amp;R$1&amp;"P"&amp;$A13)="N/A",0,RTD("tos.rtd",,$A$2,"."&amp;R$2&amp;R$1&amp;"P"&amp;$A13))</f>
        <v>9</v>
      </c>
      <c r="S13" s="91">
        <f ca="1">IF(RTD("tos.rtd",,$A$2,"."&amp;S$2&amp;S$1&amp;"C"&amp;$A13)="N/A",0,RTD("tos.rtd",,$A$2,"."&amp;S$2&amp;S$1&amp;"C"&amp;$A13))-IF(RTD("tos.rtd",,$A$2,"."&amp;S$2&amp;S$1&amp;"P"&amp;$A13)="N/A",0,RTD("tos.rtd",,$A$2,"."&amp;S$2&amp;S$1&amp;"P"&amp;$A13))</f>
        <v>0</v>
      </c>
      <c r="T13" s="91">
        <f ca="1">IF(RTD("tos.rtd",,$A$2,"."&amp;T$2&amp;T$1&amp;"C"&amp;$A13)="N/A",0,RTD("tos.rtd",,$A$2,"."&amp;T$2&amp;T$1&amp;"C"&amp;$A13))-IF(RTD("tos.rtd",,$A$2,"."&amp;T$2&amp;T$1&amp;"P"&amp;$A13)="N/A",0,RTD("tos.rtd",,$A$2,"."&amp;T$2&amp;T$1&amp;"P"&amp;$A13))</f>
        <v>0</v>
      </c>
      <c r="U13" s="91">
        <f ca="1">IF(RTD("tos.rtd",,$A$2,"."&amp;U$2&amp;U$1&amp;"C"&amp;$A13)="N/A",0,RTD("tos.rtd",,$A$2,"."&amp;U$2&amp;U$1&amp;"C"&amp;$A13))-IF(RTD("tos.rtd",,$A$2,"."&amp;U$2&amp;U$1&amp;"P"&amp;$A13)="N/A",0,RTD("tos.rtd",,$A$2,"."&amp;U$2&amp;U$1&amp;"P"&amp;$A13))</f>
        <v>0</v>
      </c>
      <c r="V13" s="91">
        <f ca="1">IF(RTD("tos.rtd",,$A$2,"."&amp;V$2&amp;V$1&amp;"C"&amp;$A13)="N/A",0,RTD("tos.rtd",,$A$2,"."&amp;V$2&amp;V$1&amp;"C"&amp;$A13))-IF(RTD("tos.rtd",,$A$2,"."&amp;V$2&amp;V$1&amp;"P"&amp;$A13)="N/A",0,RTD("tos.rtd",,$A$2,"."&amp;V$2&amp;V$1&amp;"P"&amp;$A13))</f>
        <v>0</v>
      </c>
      <c r="W13" s="91">
        <f ca="1">IF(RTD("tos.rtd",,$A$2,"."&amp;W$2&amp;W$1&amp;"C"&amp;$A13)="N/A",0,RTD("tos.rtd",,$A$2,"."&amp;W$2&amp;W$1&amp;"C"&amp;$A13))-IF(RTD("tos.rtd",,$A$2,"."&amp;W$2&amp;W$1&amp;"P"&amp;$A13)="N/A",0,RTD("tos.rtd",,$A$2,"."&amp;W$2&amp;W$1&amp;"P"&amp;$A13))</f>
        <v>0</v>
      </c>
      <c r="X13" s="91">
        <f ca="1">IF(RTD("tos.rtd",,$A$2,"."&amp;X$2&amp;X$1&amp;"C"&amp;$A13)="N/A",0,RTD("tos.rtd",,$A$2,"."&amp;X$2&amp;X$1&amp;"C"&amp;$A13))-IF(RTD("tos.rtd",,$A$2,"."&amp;X$2&amp;X$1&amp;"P"&amp;$A13)="N/A",0,RTD("tos.rtd",,$A$2,"."&amp;X$2&amp;X$1&amp;"P"&amp;$A13))</f>
        <v>1</v>
      </c>
      <c r="Y13" s="98">
        <f t="shared" ca="1" si="3"/>
        <v>2047</v>
      </c>
    </row>
    <row r="14" spans="1:25" x14ac:dyDescent="0.25">
      <c r="A14" s="93">
        <f>+Hoja1!A13</f>
        <v>583</v>
      </c>
      <c r="B14" s="91">
        <f ca="1">IF(RTD("tos.rtd",,$A$2,"."&amp;B$2&amp;B$1&amp;"C"&amp;$A14)="N/A",0,RTD("tos.rtd",,$A$2,"."&amp;B$2&amp;B$1&amp;"C"&amp;$A14))-IF(RTD("tos.rtd",,$A$2,"."&amp;B$2&amp;B$1&amp;"P"&amp;$A14)="N/A",0,RTD("tos.rtd",,$A$2,"."&amp;B$2&amp;B$1&amp;"P"&amp;$A14))</f>
        <v>0</v>
      </c>
      <c r="C14" s="91">
        <f ca="1">IF(RTD("tos.rtd",,$A$2,"."&amp;C$2&amp;C$1&amp;"C"&amp;$A14)="N/A",0,RTD("tos.rtd",,$A$2,"."&amp;C$2&amp;C$1&amp;"C"&amp;$A14))-IF(RTD("tos.rtd",,$A$2,"."&amp;C$2&amp;C$1&amp;"P"&amp;$A14)="N/A",0,RTD("tos.rtd",,$A$2,"."&amp;C$2&amp;C$1&amp;"P"&amp;$A14))</f>
        <v>0</v>
      </c>
      <c r="D14" s="91">
        <f ca="1">IF(RTD("tos.rtd",,$A$2,"."&amp;D$2&amp;D$1&amp;"C"&amp;$A14)="N/A",0,RTD("tos.rtd",,$A$2,"."&amp;D$2&amp;D$1&amp;"C"&amp;$A14))-IF(RTD("tos.rtd",,$A$2,"."&amp;D$2&amp;D$1&amp;"P"&amp;$A14)="N/A",0,RTD("tos.rtd",,$A$2,"."&amp;D$2&amp;D$1&amp;"P"&amp;$A14))</f>
        <v>0</v>
      </c>
      <c r="E14" s="91">
        <f ca="1">IF(RTD("tos.rtd",,$A$2,"."&amp;E$2&amp;E$1&amp;"C"&amp;$A14)="N/A",0,RTD("tos.rtd",,$A$2,"."&amp;E$2&amp;E$1&amp;"C"&amp;$A14))-IF(RTD("tos.rtd",,$A$2,"."&amp;E$2&amp;E$1&amp;"P"&amp;$A14)="N/A",0,RTD("tos.rtd",,$A$2,"."&amp;E$2&amp;E$1&amp;"P"&amp;$A14))</f>
        <v>0</v>
      </c>
      <c r="F14" s="91">
        <f ca="1">IF(RTD("tos.rtd",,$A$2,"."&amp;F$2&amp;F$1&amp;"C"&amp;$A14)="N/A",0,RTD("tos.rtd",,$A$2,"."&amp;F$2&amp;F$1&amp;"C"&amp;$A14))-IF(RTD("tos.rtd",,$A$2,"."&amp;F$2&amp;F$1&amp;"P"&amp;$A14)="N/A",0,RTD("tos.rtd",,$A$2,"."&amp;F$2&amp;F$1&amp;"P"&amp;$A14))</f>
        <v>0</v>
      </c>
      <c r="G14" s="91">
        <f ca="1">IF(RTD("tos.rtd",,$A$2,"."&amp;G$2&amp;G$1&amp;"C"&amp;$A14)="N/A",0,RTD("tos.rtd",,$A$2,"."&amp;G$2&amp;G$1&amp;"C"&amp;$A14))-IF(RTD("tos.rtd",,$A$2,"."&amp;G$2&amp;G$1&amp;"P"&amp;$A14)="N/A",0,RTD("tos.rtd",,$A$2,"."&amp;G$2&amp;G$1&amp;"P"&amp;$A14))</f>
        <v>0</v>
      </c>
      <c r="H14" s="91">
        <f ca="1">IF(RTD("tos.rtd",,$A$2,"."&amp;H$2&amp;H$1&amp;"C"&amp;$A14)="N/A",0,RTD("tos.rtd",,$A$2,"."&amp;H$2&amp;H$1&amp;"C"&amp;$A14))-IF(RTD("tos.rtd",,$A$2,"."&amp;H$2&amp;H$1&amp;"P"&amp;$A14)="N/A",0,RTD("tos.rtd",,$A$2,"."&amp;H$2&amp;H$1&amp;"P"&amp;$A14))</f>
        <v>-618</v>
      </c>
      <c r="I14" s="91">
        <f ca="1">IF(RTD("tos.rtd",,$A$2,"."&amp;I$2&amp;I$1&amp;"C"&amp;$A14)="N/A",0,RTD("tos.rtd",,$A$2,"."&amp;I$2&amp;I$1&amp;"C"&amp;$A14))-IF(RTD("tos.rtd",,$A$2,"."&amp;I$2&amp;I$1&amp;"P"&amp;$A14)="N/A",0,RTD("tos.rtd",,$A$2,"."&amp;I$2&amp;I$1&amp;"P"&amp;$A14))</f>
        <v>600</v>
      </c>
      <c r="J14" s="91">
        <f ca="1">IF(RTD("tos.rtd",,$A$2,"."&amp;J$2&amp;J$1&amp;"C"&amp;$A14)="N/A",0,RTD("tos.rtd",,$A$2,"."&amp;J$2&amp;J$1&amp;"C"&amp;$A14))-IF(RTD("tos.rtd",,$A$2,"."&amp;J$2&amp;J$1&amp;"P"&amp;$A14)="N/A",0,RTD("tos.rtd",,$A$2,"."&amp;J$2&amp;J$1&amp;"P"&amp;$A14))</f>
        <v>166</v>
      </c>
      <c r="K14" s="91">
        <f ca="1">IF(RTD("tos.rtd",,$A$2,"."&amp;K$2&amp;K$1&amp;"C"&amp;$A14)="N/A",0,RTD("tos.rtd",,$A$2,"."&amp;K$2&amp;K$1&amp;"C"&amp;$A14))-IF(RTD("tos.rtd",,$A$2,"."&amp;K$2&amp;K$1&amp;"P"&amp;$A14)="N/A",0,RTD("tos.rtd",,$A$2,"."&amp;K$2&amp;K$1&amp;"P"&amp;$A14))</f>
        <v>0</v>
      </c>
      <c r="L14" s="91">
        <f ca="1">IF(RTD("tos.rtd",,$A$2,"."&amp;L$2&amp;L$1&amp;"C"&amp;$A14)="N/A",0,RTD("tos.rtd",,$A$2,"."&amp;L$2&amp;L$1&amp;"C"&amp;$A14))-IF(RTD("tos.rtd",,$A$2,"."&amp;L$2&amp;L$1&amp;"P"&amp;$A14)="N/A",0,RTD("tos.rtd",,$A$2,"."&amp;L$2&amp;L$1&amp;"P"&amp;$A14))</f>
        <v>-6</v>
      </c>
      <c r="M14" s="91">
        <f ca="1">IF(RTD("tos.rtd",,$A$2,"."&amp;M$2&amp;M$1&amp;"C"&amp;$A14)="N/A",0,RTD("tos.rtd",,$A$2,"."&amp;M$2&amp;M$1&amp;"C"&amp;$A14))-IF(RTD("tos.rtd",,$A$2,"."&amp;M$2&amp;M$1&amp;"P"&amp;$A14)="N/A",0,RTD("tos.rtd",,$A$2,"."&amp;M$2&amp;M$1&amp;"P"&amp;$A14))</f>
        <v>0</v>
      </c>
      <c r="N14" s="91">
        <f ca="1">IF(RTD("tos.rtd",,$A$2,"."&amp;N$2&amp;N$1&amp;"C"&amp;$A14)="N/A",0,RTD("tos.rtd",,$A$2,"."&amp;N$2&amp;N$1&amp;"C"&amp;$A14))-IF(RTD("tos.rtd",,$A$2,"."&amp;N$2&amp;N$1&amp;"P"&amp;$A14)="N/A",0,RTD("tos.rtd",,$A$2,"."&amp;N$2&amp;N$1&amp;"P"&amp;$A14))</f>
        <v>65</v>
      </c>
      <c r="O14" s="91">
        <f ca="1">IF(RTD("tos.rtd",,$A$2,"."&amp;O$2&amp;O$1&amp;"C"&amp;$A14)="N/A",0,RTD("tos.rtd",,$A$2,"."&amp;O$2&amp;O$1&amp;"C"&amp;$A14))-IF(RTD("tos.rtd",,$A$2,"."&amp;O$2&amp;O$1&amp;"P"&amp;$A14)="N/A",0,RTD("tos.rtd",,$A$2,"."&amp;O$2&amp;O$1&amp;"P"&amp;$A14))</f>
        <v>0</v>
      </c>
      <c r="P14" s="91">
        <f ca="1">IF(RTD("tos.rtd",,$A$2,"."&amp;P$2&amp;P$1&amp;"C"&amp;$A14)="N/A",0,RTD("tos.rtd",,$A$2,"."&amp;P$2&amp;P$1&amp;"C"&amp;$A14))-IF(RTD("tos.rtd",,$A$2,"."&amp;P$2&amp;P$1&amp;"P"&amp;$A14)="N/A",0,RTD("tos.rtd",,$A$2,"."&amp;P$2&amp;P$1&amp;"P"&amp;$A14))</f>
        <v>-3</v>
      </c>
      <c r="Q14" s="91">
        <f ca="1">IF(RTD("tos.rtd",,$A$2,"."&amp;Q$2&amp;Q$1&amp;"C"&amp;$A14)="N/A",0,RTD("tos.rtd",,$A$2,"."&amp;Q$2&amp;Q$1&amp;"C"&amp;$A14))-IF(RTD("tos.rtd",,$A$2,"."&amp;Q$2&amp;Q$1&amp;"P"&amp;$A14)="N/A",0,RTD("tos.rtd",,$A$2,"."&amp;Q$2&amp;Q$1&amp;"P"&amp;$A14))</f>
        <v>0</v>
      </c>
      <c r="R14" s="91">
        <f ca="1">IF(RTD("tos.rtd",,$A$2,"."&amp;R$2&amp;R$1&amp;"C"&amp;$A14)="N/A",0,RTD("tos.rtd",,$A$2,"."&amp;R$2&amp;R$1&amp;"C"&amp;$A14))-IF(RTD("tos.rtd",,$A$2,"."&amp;R$2&amp;R$1&amp;"P"&amp;$A14)="N/A",0,RTD("tos.rtd",,$A$2,"."&amp;R$2&amp;R$1&amp;"P"&amp;$A14))</f>
        <v>582</v>
      </c>
      <c r="S14" s="91">
        <f ca="1">IF(RTD("tos.rtd",,$A$2,"."&amp;S$2&amp;S$1&amp;"C"&amp;$A14)="N/A",0,RTD("tos.rtd",,$A$2,"."&amp;S$2&amp;S$1&amp;"C"&amp;$A14))-IF(RTD("tos.rtd",,$A$2,"."&amp;S$2&amp;S$1&amp;"P"&amp;$A14)="N/A",0,RTD("tos.rtd",,$A$2,"."&amp;S$2&amp;S$1&amp;"P"&amp;$A14))</f>
        <v>0</v>
      </c>
      <c r="T14" s="91">
        <f ca="1">IF(RTD("tos.rtd",,$A$2,"."&amp;T$2&amp;T$1&amp;"C"&amp;$A14)="N/A",0,RTD("tos.rtd",,$A$2,"."&amp;T$2&amp;T$1&amp;"C"&amp;$A14))-IF(RTD("tos.rtd",,$A$2,"."&amp;T$2&amp;T$1&amp;"P"&amp;$A14)="N/A",0,RTD("tos.rtd",,$A$2,"."&amp;T$2&amp;T$1&amp;"P"&amp;$A14))</f>
        <v>0</v>
      </c>
      <c r="U14" s="91">
        <f ca="1">IF(RTD("tos.rtd",,$A$2,"."&amp;U$2&amp;U$1&amp;"C"&amp;$A14)="N/A",0,RTD("tos.rtd",,$A$2,"."&amp;U$2&amp;U$1&amp;"C"&amp;$A14))-IF(RTD("tos.rtd",,$A$2,"."&amp;U$2&amp;U$1&amp;"P"&amp;$A14)="N/A",0,RTD("tos.rtd",,$A$2,"."&amp;U$2&amp;U$1&amp;"P"&amp;$A14))</f>
        <v>0</v>
      </c>
      <c r="V14" s="91">
        <f ca="1">IF(RTD("tos.rtd",,$A$2,"."&amp;V$2&amp;V$1&amp;"C"&amp;$A14)="N/A",0,RTD("tos.rtd",,$A$2,"."&amp;V$2&amp;V$1&amp;"C"&amp;$A14))-IF(RTD("tos.rtd",,$A$2,"."&amp;V$2&amp;V$1&amp;"P"&amp;$A14)="N/A",0,RTD("tos.rtd",,$A$2,"."&amp;V$2&amp;V$1&amp;"P"&amp;$A14))</f>
        <v>0</v>
      </c>
      <c r="W14" s="91">
        <f ca="1">IF(RTD("tos.rtd",,$A$2,"."&amp;W$2&amp;W$1&amp;"C"&amp;$A14)="N/A",0,RTD("tos.rtd",,$A$2,"."&amp;W$2&amp;W$1&amp;"C"&amp;$A14))-IF(RTD("tos.rtd",,$A$2,"."&amp;W$2&amp;W$1&amp;"P"&amp;$A14)="N/A",0,RTD("tos.rtd",,$A$2,"."&amp;W$2&amp;W$1&amp;"P"&amp;$A14))</f>
        <v>0</v>
      </c>
      <c r="X14" s="91">
        <f ca="1">IF(RTD("tos.rtd",,$A$2,"."&amp;X$2&amp;X$1&amp;"C"&amp;$A14)="N/A",0,RTD("tos.rtd",,$A$2,"."&amp;X$2&amp;X$1&amp;"C"&amp;$A14))-IF(RTD("tos.rtd",,$A$2,"."&amp;X$2&amp;X$1&amp;"P"&amp;$A14)="N/A",0,RTD("tos.rtd",,$A$2,"."&amp;X$2&amp;X$1&amp;"P"&amp;$A14))</f>
        <v>19</v>
      </c>
      <c r="Y14" s="98">
        <f t="shared" ca="1" si="3"/>
        <v>805</v>
      </c>
    </row>
    <row r="15" spans="1:25" x14ac:dyDescent="0.25">
      <c r="A15" s="93">
        <f>+Hoja1!A14</f>
        <v>582</v>
      </c>
      <c r="B15" s="91">
        <f ca="1">IF(RTD("tos.rtd",,$A$2,"."&amp;B$2&amp;B$1&amp;"C"&amp;$A15)="N/A",0,RTD("tos.rtd",,$A$2,"."&amp;B$2&amp;B$1&amp;"C"&amp;$A15))-IF(RTD("tos.rtd",,$A$2,"."&amp;B$2&amp;B$1&amp;"P"&amp;$A15)="N/A",0,RTD("tos.rtd",,$A$2,"."&amp;B$2&amp;B$1&amp;"P"&amp;$A15))</f>
        <v>0</v>
      </c>
      <c r="C15" s="91">
        <f ca="1">IF(RTD("tos.rtd",,$A$2,"."&amp;C$2&amp;C$1&amp;"C"&amp;$A15)="N/A",0,RTD("tos.rtd",,$A$2,"."&amp;C$2&amp;C$1&amp;"C"&amp;$A15))-IF(RTD("tos.rtd",,$A$2,"."&amp;C$2&amp;C$1&amp;"P"&amp;$A15)="N/A",0,RTD("tos.rtd",,$A$2,"."&amp;C$2&amp;C$1&amp;"P"&amp;$A15))</f>
        <v>0</v>
      </c>
      <c r="D15" s="91">
        <f ca="1">IF(RTD("tos.rtd",,$A$2,"."&amp;D$2&amp;D$1&amp;"C"&amp;$A15)="N/A",0,RTD("tos.rtd",,$A$2,"."&amp;D$2&amp;D$1&amp;"C"&amp;$A15))-IF(RTD("tos.rtd",,$A$2,"."&amp;D$2&amp;D$1&amp;"P"&amp;$A15)="N/A",0,RTD("tos.rtd",,$A$2,"."&amp;D$2&amp;D$1&amp;"P"&amp;$A15))</f>
        <v>0</v>
      </c>
      <c r="E15" s="91">
        <f ca="1">IF(RTD("tos.rtd",,$A$2,"."&amp;E$2&amp;E$1&amp;"C"&amp;$A15)="N/A",0,RTD("tos.rtd",,$A$2,"."&amp;E$2&amp;E$1&amp;"C"&amp;$A15))-IF(RTD("tos.rtd",,$A$2,"."&amp;E$2&amp;E$1&amp;"P"&amp;$A15)="N/A",0,RTD("tos.rtd",,$A$2,"."&amp;E$2&amp;E$1&amp;"P"&amp;$A15))</f>
        <v>0</v>
      </c>
      <c r="F15" s="91">
        <f ca="1">IF(RTD("tos.rtd",,$A$2,"."&amp;F$2&amp;F$1&amp;"C"&amp;$A15)="N/A",0,RTD("tos.rtd",,$A$2,"."&amp;F$2&amp;F$1&amp;"C"&amp;$A15))-IF(RTD("tos.rtd",,$A$2,"."&amp;F$2&amp;F$1&amp;"P"&amp;$A15)="N/A",0,RTD("tos.rtd",,$A$2,"."&amp;F$2&amp;F$1&amp;"P"&amp;$A15))</f>
        <v>0</v>
      </c>
      <c r="G15" s="91">
        <f ca="1">IF(RTD("tos.rtd",,$A$2,"."&amp;G$2&amp;G$1&amp;"C"&amp;$A15)="N/A",0,RTD("tos.rtd",,$A$2,"."&amp;G$2&amp;G$1&amp;"C"&amp;$A15))-IF(RTD("tos.rtd",,$A$2,"."&amp;G$2&amp;G$1&amp;"P"&amp;$A15)="N/A",0,RTD("tos.rtd",,$A$2,"."&amp;G$2&amp;G$1&amp;"P"&amp;$A15))</f>
        <v>0</v>
      </c>
      <c r="H15" s="91">
        <f ca="1">IF(RTD("tos.rtd",,$A$2,"."&amp;H$2&amp;H$1&amp;"C"&amp;$A15)="N/A",0,RTD("tos.rtd",,$A$2,"."&amp;H$2&amp;H$1&amp;"C"&amp;$A15))-IF(RTD("tos.rtd",,$A$2,"."&amp;H$2&amp;H$1&amp;"P"&amp;$A15)="N/A",0,RTD("tos.rtd",,$A$2,"."&amp;H$2&amp;H$1&amp;"P"&amp;$A15))</f>
        <v>447</v>
      </c>
      <c r="I15" s="91">
        <f ca="1">IF(RTD("tos.rtd",,$A$2,"."&amp;I$2&amp;I$1&amp;"C"&amp;$A15)="N/A",0,RTD("tos.rtd",,$A$2,"."&amp;I$2&amp;I$1&amp;"C"&amp;$A15))-IF(RTD("tos.rtd",,$A$2,"."&amp;I$2&amp;I$1&amp;"P"&amp;$A15)="N/A",0,RTD("tos.rtd",,$A$2,"."&amp;I$2&amp;I$1&amp;"P"&amp;$A15))</f>
        <v>1506</v>
      </c>
      <c r="J15" s="91">
        <f ca="1">IF(RTD("tos.rtd",,$A$2,"."&amp;J$2&amp;J$1&amp;"C"&amp;$A15)="N/A",0,RTD("tos.rtd",,$A$2,"."&amp;J$2&amp;J$1&amp;"C"&amp;$A15))-IF(RTD("tos.rtd",,$A$2,"."&amp;J$2&amp;J$1&amp;"P"&amp;$A15)="N/A",0,RTD("tos.rtd",,$A$2,"."&amp;J$2&amp;J$1&amp;"P"&amp;$A15))</f>
        <v>883</v>
      </c>
      <c r="K15" s="91">
        <f ca="1">IF(RTD("tos.rtd",,$A$2,"."&amp;K$2&amp;K$1&amp;"C"&amp;$A15)="N/A",0,RTD("tos.rtd",,$A$2,"."&amp;K$2&amp;K$1&amp;"C"&amp;$A15))-IF(RTD("tos.rtd",,$A$2,"."&amp;K$2&amp;K$1&amp;"P"&amp;$A15)="N/A",0,RTD("tos.rtd",,$A$2,"."&amp;K$2&amp;K$1&amp;"P"&amp;$A15))</f>
        <v>0</v>
      </c>
      <c r="L15" s="91">
        <f ca="1">IF(RTD("tos.rtd",,$A$2,"."&amp;L$2&amp;L$1&amp;"C"&amp;$A15)="N/A",0,RTD("tos.rtd",,$A$2,"."&amp;L$2&amp;L$1&amp;"C"&amp;$A15))-IF(RTD("tos.rtd",,$A$2,"."&amp;L$2&amp;L$1&amp;"P"&amp;$A15)="N/A",0,RTD("tos.rtd",,$A$2,"."&amp;L$2&amp;L$1&amp;"P"&amp;$A15))</f>
        <v>-133</v>
      </c>
      <c r="M15" s="91">
        <f ca="1">IF(RTD("tos.rtd",,$A$2,"."&amp;M$2&amp;M$1&amp;"C"&amp;$A15)="N/A",0,RTD("tos.rtd",,$A$2,"."&amp;M$2&amp;M$1&amp;"C"&amp;$A15))-IF(RTD("tos.rtd",,$A$2,"."&amp;M$2&amp;M$1&amp;"P"&amp;$A15)="N/A",0,RTD("tos.rtd",,$A$2,"."&amp;M$2&amp;M$1&amp;"P"&amp;$A15))</f>
        <v>0</v>
      </c>
      <c r="N15" s="91">
        <f ca="1">IF(RTD("tos.rtd",,$A$2,"."&amp;N$2&amp;N$1&amp;"C"&amp;$A15)="N/A",0,RTD("tos.rtd",,$A$2,"."&amp;N$2&amp;N$1&amp;"C"&amp;$A15))-IF(RTD("tos.rtd",,$A$2,"."&amp;N$2&amp;N$1&amp;"P"&amp;$A15)="N/A",0,RTD("tos.rtd",,$A$2,"."&amp;N$2&amp;N$1&amp;"P"&amp;$A15))</f>
        <v>-21</v>
      </c>
      <c r="O15" s="91">
        <f ca="1">IF(RTD("tos.rtd",,$A$2,"."&amp;O$2&amp;O$1&amp;"C"&amp;$A15)="N/A",0,RTD("tos.rtd",,$A$2,"."&amp;O$2&amp;O$1&amp;"C"&amp;$A15))-IF(RTD("tos.rtd",,$A$2,"."&amp;O$2&amp;O$1&amp;"P"&amp;$A15)="N/A",0,RTD("tos.rtd",,$A$2,"."&amp;O$2&amp;O$1&amp;"P"&amp;$A15))</f>
        <v>0</v>
      </c>
      <c r="P15" s="91">
        <f ca="1">IF(RTD("tos.rtd",,$A$2,"."&amp;P$2&amp;P$1&amp;"C"&amp;$A15)="N/A",0,RTD("tos.rtd",,$A$2,"."&amp;P$2&amp;P$1&amp;"C"&amp;$A15))-IF(RTD("tos.rtd",,$A$2,"."&amp;P$2&amp;P$1&amp;"P"&amp;$A15)="N/A",0,RTD("tos.rtd",,$A$2,"."&amp;P$2&amp;P$1&amp;"P"&amp;$A15))</f>
        <v>-69</v>
      </c>
      <c r="Q15" s="91">
        <f ca="1">IF(RTD("tos.rtd",,$A$2,"."&amp;Q$2&amp;Q$1&amp;"C"&amp;$A15)="N/A",0,RTD("tos.rtd",,$A$2,"."&amp;Q$2&amp;Q$1&amp;"C"&amp;$A15))-IF(RTD("tos.rtd",,$A$2,"."&amp;Q$2&amp;Q$1&amp;"P"&amp;$A15)="N/A",0,RTD("tos.rtd",,$A$2,"."&amp;Q$2&amp;Q$1&amp;"P"&amp;$A15))</f>
        <v>0</v>
      </c>
      <c r="R15" s="91">
        <f ca="1">IF(RTD("tos.rtd",,$A$2,"."&amp;R$2&amp;R$1&amp;"C"&amp;$A15)="N/A",0,RTD("tos.rtd",,$A$2,"."&amp;R$2&amp;R$1&amp;"C"&amp;$A15))-IF(RTD("tos.rtd",,$A$2,"."&amp;R$2&amp;R$1&amp;"P"&amp;$A15)="N/A",0,RTD("tos.rtd",,$A$2,"."&amp;R$2&amp;R$1&amp;"P"&amp;$A15))</f>
        <v>67</v>
      </c>
      <c r="S15" s="91">
        <f ca="1">IF(RTD("tos.rtd",,$A$2,"."&amp;S$2&amp;S$1&amp;"C"&amp;$A15)="N/A",0,RTD("tos.rtd",,$A$2,"."&amp;S$2&amp;S$1&amp;"C"&amp;$A15))-IF(RTD("tos.rtd",,$A$2,"."&amp;S$2&amp;S$1&amp;"P"&amp;$A15)="N/A",0,RTD("tos.rtd",,$A$2,"."&amp;S$2&amp;S$1&amp;"P"&amp;$A15))</f>
        <v>0</v>
      </c>
      <c r="T15" s="91">
        <f ca="1">IF(RTD("tos.rtd",,$A$2,"."&amp;T$2&amp;T$1&amp;"C"&amp;$A15)="N/A",0,RTD("tos.rtd",,$A$2,"."&amp;T$2&amp;T$1&amp;"C"&amp;$A15))-IF(RTD("tos.rtd",,$A$2,"."&amp;T$2&amp;T$1&amp;"P"&amp;$A15)="N/A",0,RTD("tos.rtd",,$A$2,"."&amp;T$2&amp;T$1&amp;"P"&amp;$A15))</f>
        <v>0</v>
      </c>
      <c r="U15" s="91">
        <f ca="1">IF(RTD("tos.rtd",,$A$2,"."&amp;U$2&amp;U$1&amp;"C"&amp;$A15)="N/A",0,RTD("tos.rtd",,$A$2,"."&amp;U$2&amp;U$1&amp;"C"&amp;$A15))-IF(RTD("tos.rtd",,$A$2,"."&amp;U$2&amp;U$1&amp;"P"&amp;$A15)="N/A",0,RTD("tos.rtd",,$A$2,"."&amp;U$2&amp;U$1&amp;"P"&amp;$A15))</f>
        <v>0</v>
      </c>
      <c r="V15" s="91">
        <f ca="1">IF(RTD("tos.rtd",,$A$2,"."&amp;V$2&amp;V$1&amp;"C"&amp;$A15)="N/A",0,RTD("tos.rtd",,$A$2,"."&amp;V$2&amp;V$1&amp;"C"&amp;$A15))-IF(RTD("tos.rtd",,$A$2,"."&amp;V$2&amp;V$1&amp;"P"&amp;$A15)="N/A",0,RTD("tos.rtd",,$A$2,"."&amp;V$2&amp;V$1&amp;"P"&amp;$A15))</f>
        <v>0</v>
      </c>
      <c r="W15" s="91">
        <f ca="1">IF(RTD("tos.rtd",,$A$2,"."&amp;W$2&amp;W$1&amp;"C"&amp;$A15)="N/A",0,RTD("tos.rtd",,$A$2,"."&amp;W$2&amp;W$1&amp;"C"&amp;$A15))-IF(RTD("tos.rtd",,$A$2,"."&amp;W$2&amp;W$1&amp;"P"&amp;$A15)="N/A",0,RTD("tos.rtd",,$A$2,"."&amp;W$2&amp;W$1&amp;"P"&amp;$A15))</f>
        <v>0</v>
      </c>
      <c r="X15" s="91">
        <f ca="1">IF(RTD("tos.rtd",,$A$2,"."&amp;X$2&amp;X$1&amp;"C"&amp;$A15)="N/A",0,RTD("tos.rtd",,$A$2,"."&amp;X$2&amp;X$1&amp;"C"&amp;$A15))-IF(RTD("tos.rtd",,$A$2,"."&amp;X$2&amp;X$1&amp;"P"&amp;$A15)="N/A",0,RTD("tos.rtd",,$A$2,"."&amp;X$2&amp;X$1&amp;"P"&amp;$A15))</f>
        <v>5</v>
      </c>
      <c r="Y15" s="98">
        <f t="shared" ca="1" si="3"/>
        <v>2685</v>
      </c>
    </row>
    <row r="16" spans="1:25" x14ac:dyDescent="0.25">
      <c r="A16" s="93">
        <f>+Hoja1!A15</f>
        <v>581</v>
      </c>
      <c r="B16" s="91">
        <f ca="1">IF(RTD("tos.rtd",,$A$2,"."&amp;B$2&amp;B$1&amp;"C"&amp;$A16)="N/A",0,RTD("tos.rtd",,$A$2,"."&amp;B$2&amp;B$1&amp;"C"&amp;$A16))-IF(RTD("tos.rtd",,$A$2,"."&amp;B$2&amp;B$1&amp;"P"&amp;$A16)="N/A",0,RTD("tos.rtd",,$A$2,"."&amp;B$2&amp;B$1&amp;"P"&amp;$A16))</f>
        <v>0</v>
      </c>
      <c r="C16" s="91">
        <f ca="1">IF(RTD("tos.rtd",,$A$2,"."&amp;C$2&amp;C$1&amp;"C"&amp;$A16)="N/A",0,RTD("tos.rtd",,$A$2,"."&amp;C$2&amp;C$1&amp;"C"&amp;$A16))-IF(RTD("tos.rtd",,$A$2,"."&amp;C$2&amp;C$1&amp;"P"&amp;$A16)="N/A",0,RTD("tos.rtd",,$A$2,"."&amp;C$2&amp;C$1&amp;"P"&amp;$A16))</f>
        <v>0</v>
      </c>
      <c r="D16" s="91">
        <f ca="1">IF(RTD("tos.rtd",,$A$2,"."&amp;D$2&amp;D$1&amp;"C"&amp;$A16)="N/A",0,RTD("tos.rtd",,$A$2,"."&amp;D$2&amp;D$1&amp;"C"&amp;$A16))-IF(RTD("tos.rtd",,$A$2,"."&amp;D$2&amp;D$1&amp;"P"&amp;$A16)="N/A",0,RTD("tos.rtd",,$A$2,"."&amp;D$2&amp;D$1&amp;"P"&amp;$A16))</f>
        <v>0</v>
      </c>
      <c r="E16" s="91">
        <f ca="1">IF(RTD("tos.rtd",,$A$2,"."&amp;E$2&amp;E$1&amp;"C"&amp;$A16)="N/A",0,RTD("tos.rtd",,$A$2,"."&amp;E$2&amp;E$1&amp;"C"&amp;$A16))-IF(RTD("tos.rtd",,$A$2,"."&amp;E$2&amp;E$1&amp;"P"&amp;$A16)="N/A",0,RTD("tos.rtd",,$A$2,"."&amp;E$2&amp;E$1&amp;"P"&amp;$A16))</f>
        <v>0</v>
      </c>
      <c r="F16" s="91">
        <f ca="1">IF(RTD("tos.rtd",,$A$2,"."&amp;F$2&amp;F$1&amp;"C"&amp;$A16)="N/A",0,RTD("tos.rtd",,$A$2,"."&amp;F$2&amp;F$1&amp;"C"&amp;$A16))-IF(RTD("tos.rtd",,$A$2,"."&amp;F$2&amp;F$1&amp;"P"&amp;$A16)="N/A",0,RTD("tos.rtd",,$A$2,"."&amp;F$2&amp;F$1&amp;"P"&amp;$A16))</f>
        <v>0</v>
      </c>
      <c r="G16" s="91">
        <f ca="1">IF(RTD("tos.rtd",,$A$2,"."&amp;G$2&amp;G$1&amp;"C"&amp;$A16)="N/A",0,RTD("tos.rtd",,$A$2,"."&amp;G$2&amp;G$1&amp;"C"&amp;$A16))-IF(RTD("tos.rtd",,$A$2,"."&amp;G$2&amp;G$1&amp;"P"&amp;$A16)="N/A",0,RTD("tos.rtd",,$A$2,"."&amp;G$2&amp;G$1&amp;"P"&amp;$A16))</f>
        <v>0</v>
      </c>
      <c r="H16" s="91">
        <f ca="1">IF(RTD("tos.rtd",,$A$2,"."&amp;H$2&amp;H$1&amp;"C"&amp;$A16)="N/A",0,RTD("tos.rtd",,$A$2,"."&amp;H$2&amp;H$1&amp;"C"&amp;$A16))-IF(RTD("tos.rtd",,$A$2,"."&amp;H$2&amp;H$1&amp;"P"&amp;$A16)="N/A",0,RTD("tos.rtd",,$A$2,"."&amp;H$2&amp;H$1&amp;"P"&amp;$A16))</f>
        <v>-1061</v>
      </c>
      <c r="I16" s="91">
        <f ca="1">IF(RTD("tos.rtd",,$A$2,"."&amp;I$2&amp;I$1&amp;"C"&amp;$A16)="N/A",0,RTD("tos.rtd",,$A$2,"."&amp;I$2&amp;I$1&amp;"C"&amp;$A16))-IF(RTD("tos.rtd",,$A$2,"."&amp;I$2&amp;I$1&amp;"P"&amp;$A16)="N/A",0,RTD("tos.rtd",,$A$2,"."&amp;I$2&amp;I$1&amp;"P"&amp;$A16))</f>
        <v>1156</v>
      </c>
      <c r="J16" s="91">
        <f ca="1">IF(RTD("tos.rtd",,$A$2,"."&amp;J$2&amp;J$1&amp;"C"&amp;$A16)="N/A",0,RTD("tos.rtd",,$A$2,"."&amp;J$2&amp;J$1&amp;"C"&amp;$A16))-IF(RTD("tos.rtd",,$A$2,"."&amp;J$2&amp;J$1&amp;"P"&amp;$A16)="N/A",0,RTD("tos.rtd",,$A$2,"."&amp;J$2&amp;J$1&amp;"P"&amp;$A16))</f>
        <v>65</v>
      </c>
      <c r="K16" s="91">
        <f ca="1">IF(RTD("tos.rtd",,$A$2,"."&amp;K$2&amp;K$1&amp;"C"&amp;$A16)="N/A",0,RTD("tos.rtd",,$A$2,"."&amp;K$2&amp;K$1&amp;"C"&amp;$A16))-IF(RTD("tos.rtd",,$A$2,"."&amp;K$2&amp;K$1&amp;"P"&amp;$A16)="N/A",0,RTD("tos.rtd",,$A$2,"."&amp;K$2&amp;K$1&amp;"P"&amp;$A16))</f>
        <v>0</v>
      </c>
      <c r="L16" s="91">
        <f ca="1">IF(RTD("tos.rtd",,$A$2,"."&amp;L$2&amp;L$1&amp;"C"&amp;$A16)="N/A",0,RTD("tos.rtd",,$A$2,"."&amp;L$2&amp;L$1&amp;"C"&amp;$A16))-IF(RTD("tos.rtd",,$A$2,"."&amp;L$2&amp;L$1&amp;"P"&amp;$A16)="N/A",0,RTD("tos.rtd",,$A$2,"."&amp;L$2&amp;L$1&amp;"P"&amp;$A16))</f>
        <v>-241</v>
      </c>
      <c r="M16" s="91">
        <f ca="1">IF(RTD("tos.rtd",,$A$2,"."&amp;M$2&amp;M$1&amp;"C"&amp;$A16)="N/A",0,RTD("tos.rtd",,$A$2,"."&amp;M$2&amp;M$1&amp;"C"&amp;$A16))-IF(RTD("tos.rtd",,$A$2,"."&amp;M$2&amp;M$1&amp;"P"&amp;$A16)="N/A",0,RTD("tos.rtd",,$A$2,"."&amp;M$2&amp;M$1&amp;"P"&amp;$A16))</f>
        <v>0</v>
      </c>
      <c r="N16" s="91">
        <f ca="1">IF(RTD("tos.rtd",,$A$2,"."&amp;N$2&amp;N$1&amp;"C"&amp;$A16)="N/A",0,RTD("tos.rtd",,$A$2,"."&amp;N$2&amp;N$1&amp;"C"&amp;$A16))-IF(RTD("tos.rtd",,$A$2,"."&amp;N$2&amp;N$1&amp;"P"&amp;$A16)="N/A",0,RTD("tos.rtd",,$A$2,"."&amp;N$2&amp;N$1&amp;"P"&amp;$A16))</f>
        <v>-24</v>
      </c>
      <c r="O16" s="91">
        <f ca="1">IF(RTD("tos.rtd",,$A$2,"."&amp;O$2&amp;O$1&amp;"C"&amp;$A16)="N/A",0,RTD("tos.rtd",,$A$2,"."&amp;O$2&amp;O$1&amp;"C"&amp;$A16))-IF(RTD("tos.rtd",,$A$2,"."&amp;O$2&amp;O$1&amp;"P"&amp;$A16)="N/A",0,RTD("tos.rtd",,$A$2,"."&amp;O$2&amp;O$1&amp;"P"&amp;$A16))</f>
        <v>0</v>
      </c>
      <c r="P16" s="91">
        <f ca="1">IF(RTD("tos.rtd",,$A$2,"."&amp;P$2&amp;P$1&amp;"C"&amp;$A16)="N/A",0,RTD("tos.rtd",,$A$2,"."&amp;P$2&amp;P$1&amp;"C"&amp;$A16))-IF(RTD("tos.rtd",,$A$2,"."&amp;P$2&amp;P$1&amp;"P"&amp;$A16)="N/A",0,RTD("tos.rtd",,$A$2,"."&amp;P$2&amp;P$1&amp;"P"&amp;$A16))</f>
        <v>-29</v>
      </c>
      <c r="Q16" s="91">
        <f ca="1">IF(RTD("tos.rtd",,$A$2,"."&amp;Q$2&amp;Q$1&amp;"C"&amp;$A16)="N/A",0,RTD("tos.rtd",,$A$2,"."&amp;Q$2&amp;Q$1&amp;"C"&amp;$A16))-IF(RTD("tos.rtd",,$A$2,"."&amp;Q$2&amp;Q$1&amp;"P"&amp;$A16)="N/A",0,RTD("tos.rtd",,$A$2,"."&amp;Q$2&amp;Q$1&amp;"P"&amp;$A16))</f>
        <v>0</v>
      </c>
      <c r="R16" s="91">
        <f ca="1">IF(RTD("tos.rtd",,$A$2,"."&amp;R$2&amp;R$1&amp;"C"&amp;$A16)="N/A",0,RTD("tos.rtd",,$A$2,"."&amp;R$2&amp;R$1&amp;"C"&amp;$A16))-IF(RTD("tos.rtd",,$A$2,"."&amp;R$2&amp;R$1&amp;"P"&amp;$A16)="N/A",0,RTD("tos.rtd",,$A$2,"."&amp;R$2&amp;R$1&amp;"P"&amp;$A16))</f>
        <v>27</v>
      </c>
      <c r="S16" s="91">
        <f ca="1">IF(RTD("tos.rtd",,$A$2,"."&amp;S$2&amp;S$1&amp;"C"&amp;$A16)="N/A",0,RTD("tos.rtd",,$A$2,"."&amp;S$2&amp;S$1&amp;"C"&amp;$A16))-IF(RTD("tos.rtd",,$A$2,"."&amp;S$2&amp;S$1&amp;"P"&amp;$A16)="N/A",0,RTD("tos.rtd",,$A$2,"."&amp;S$2&amp;S$1&amp;"P"&amp;$A16))</f>
        <v>0</v>
      </c>
      <c r="T16" s="91">
        <f ca="1">IF(RTD("tos.rtd",,$A$2,"."&amp;T$2&amp;T$1&amp;"C"&amp;$A16)="N/A",0,RTD("tos.rtd",,$A$2,"."&amp;T$2&amp;T$1&amp;"C"&amp;$A16))-IF(RTD("tos.rtd",,$A$2,"."&amp;T$2&amp;T$1&amp;"P"&amp;$A16)="N/A",0,RTD("tos.rtd",,$A$2,"."&amp;T$2&amp;T$1&amp;"P"&amp;$A16))</f>
        <v>0</v>
      </c>
      <c r="U16" s="91">
        <f ca="1">IF(RTD("tos.rtd",,$A$2,"."&amp;U$2&amp;U$1&amp;"C"&amp;$A16)="N/A",0,RTD("tos.rtd",,$A$2,"."&amp;U$2&amp;U$1&amp;"C"&amp;$A16))-IF(RTD("tos.rtd",,$A$2,"."&amp;U$2&amp;U$1&amp;"P"&amp;$A16)="N/A",0,RTD("tos.rtd",,$A$2,"."&amp;U$2&amp;U$1&amp;"P"&amp;$A16))</f>
        <v>0</v>
      </c>
      <c r="V16" s="91">
        <f ca="1">IF(RTD("tos.rtd",,$A$2,"."&amp;V$2&amp;V$1&amp;"C"&amp;$A16)="N/A",0,RTD("tos.rtd",,$A$2,"."&amp;V$2&amp;V$1&amp;"C"&amp;$A16))-IF(RTD("tos.rtd",,$A$2,"."&amp;V$2&amp;V$1&amp;"P"&amp;$A16)="N/A",0,RTD("tos.rtd",,$A$2,"."&amp;V$2&amp;V$1&amp;"P"&amp;$A16))</f>
        <v>0</v>
      </c>
      <c r="W16" s="91">
        <f ca="1">IF(RTD("tos.rtd",,$A$2,"."&amp;W$2&amp;W$1&amp;"C"&amp;$A16)="N/A",0,RTD("tos.rtd",,$A$2,"."&amp;W$2&amp;W$1&amp;"C"&amp;$A16))-IF(RTD("tos.rtd",,$A$2,"."&amp;W$2&amp;W$1&amp;"P"&amp;$A16)="N/A",0,RTD("tos.rtd",,$A$2,"."&amp;W$2&amp;W$1&amp;"P"&amp;$A16))</f>
        <v>0</v>
      </c>
      <c r="X16" s="91">
        <f ca="1">IF(RTD("tos.rtd",,$A$2,"."&amp;X$2&amp;X$1&amp;"C"&amp;$A16)="N/A",0,RTD("tos.rtd",,$A$2,"."&amp;X$2&amp;X$1&amp;"C"&amp;$A16))-IF(RTD("tos.rtd",,$A$2,"."&amp;X$2&amp;X$1&amp;"P"&amp;$A16)="N/A",0,RTD("tos.rtd",,$A$2,"."&amp;X$2&amp;X$1&amp;"P"&amp;$A16))</f>
        <v>-7</v>
      </c>
      <c r="Y16" s="98">
        <f t="shared" ca="1" si="3"/>
        <v>-114</v>
      </c>
    </row>
    <row r="17" spans="1:25" x14ac:dyDescent="0.25">
      <c r="A17" s="93">
        <f>+Hoja1!A16</f>
        <v>580</v>
      </c>
      <c r="B17" s="91">
        <f ca="1">IF(RTD("tos.rtd",,$A$2,"."&amp;B$2&amp;B$1&amp;"C"&amp;$A17)="N/A",0,RTD("tos.rtd",,$A$2,"."&amp;B$2&amp;B$1&amp;"C"&amp;$A17))-IF(RTD("tos.rtd",,$A$2,"."&amp;B$2&amp;B$1&amp;"P"&amp;$A17)="N/A",0,RTD("tos.rtd",,$A$2,"."&amp;B$2&amp;B$1&amp;"P"&amp;$A17))</f>
        <v>0</v>
      </c>
      <c r="C17" s="91">
        <f ca="1">IF(RTD("tos.rtd",,$A$2,"."&amp;C$2&amp;C$1&amp;"C"&amp;$A17)="N/A",0,RTD("tos.rtd",,$A$2,"."&amp;C$2&amp;C$1&amp;"C"&amp;$A17))-IF(RTD("tos.rtd",,$A$2,"."&amp;C$2&amp;C$1&amp;"P"&amp;$A17)="N/A",0,RTD("tos.rtd",,$A$2,"."&amp;C$2&amp;C$1&amp;"P"&amp;$A17))</f>
        <v>0</v>
      </c>
      <c r="D17" s="91">
        <f ca="1">IF(RTD("tos.rtd",,$A$2,"."&amp;D$2&amp;D$1&amp;"C"&amp;$A17)="N/A",0,RTD("tos.rtd",,$A$2,"."&amp;D$2&amp;D$1&amp;"C"&amp;$A17))-IF(RTD("tos.rtd",,$A$2,"."&amp;D$2&amp;D$1&amp;"P"&amp;$A17)="N/A",0,RTD("tos.rtd",,$A$2,"."&amp;D$2&amp;D$1&amp;"P"&amp;$A17))</f>
        <v>0</v>
      </c>
      <c r="E17" s="91">
        <f ca="1">IF(RTD("tos.rtd",,$A$2,"."&amp;E$2&amp;E$1&amp;"C"&amp;$A17)="N/A",0,RTD("tos.rtd",,$A$2,"."&amp;E$2&amp;E$1&amp;"C"&amp;$A17))-IF(RTD("tos.rtd",,$A$2,"."&amp;E$2&amp;E$1&amp;"P"&amp;$A17)="N/A",0,RTD("tos.rtd",,$A$2,"."&amp;E$2&amp;E$1&amp;"P"&amp;$A17))</f>
        <v>0</v>
      </c>
      <c r="F17" s="91">
        <f ca="1">IF(RTD("tos.rtd",,$A$2,"."&amp;F$2&amp;F$1&amp;"C"&amp;$A17)="N/A",0,RTD("tos.rtd",,$A$2,"."&amp;F$2&amp;F$1&amp;"C"&amp;$A17))-IF(RTD("tos.rtd",,$A$2,"."&amp;F$2&amp;F$1&amp;"P"&amp;$A17)="N/A",0,RTD("tos.rtd",,$A$2,"."&amp;F$2&amp;F$1&amp;"P"&amp;$A17))</f>
        <v>0</v>
      </c>
      <c r="G17" s="91">
        <f ca="1">IF(RTD("tos.rtd",,$A$2,"."&amp;G$2&amp;G$1&amp;"C"&amp;$A17)="N/A",0,RTD("tos.rtd",,$A$2,"."&amp;G$2&amp;G$1&amp;"C"&amp;$A17))-IF(RTD("tos.rtd",,$A$2,"."&amp;G$2&amp;G$1&amp;"P"&amp;$A17)="N/A",0,RTD("tos.rtd",,$A$2,"."&amp;G$2&amp;G$1&amp;"P"&amp;$A17))</f>
        <v>0</v>
      </c>
      <c r="H17" s="91">
        <f ca="1">IF(RTD("tos.rtd",,$A$2,"."&amp;H$2&amp;H$1&amp;"C"&amp;$A17)="N/A",0,RTD("tos.rtd",,$A$2,"."&amp;H$2&amp;H$1&amp;"C"&amp;$A17))-IF(RTD("tos.rtd",,$A$2,"."&amp;H$2&amp;H$1&amp;"P"&amp;$A17)="N/A",0,RTD("tos.rtd",,$A$2,"."&amp;H$2&amp;H$1&amp;"P"&amp;$A17))</f>
        <v>-4690</v>
      </c>
      <c r="I17" s="91">
        <f ca="1">IF(RTD("tos.rtd",,$A$2,"."&amp;I$2&amp;I$1&amp;"C"&amp;$A17)="N/A",0,RTD("tos.rtd",,$A$2,"."&amp;I$2&amp;I$1&amp;"C"&amp;$A17))-IF(RTD("tos.rtd",,$A$2,"."&amp;I$2&amp;I$1&amp;"P"&amp;$A17)="N/A",0,RTD("tos.rtd",,$A$2,"."&amp;I$2&amp;I$1&amp;"P"&amp;$A17))</f>
        <v>535</v>
      </c>
      <c r="J17" s="91">
        <f ca="1">IF(RTD("tos.rtd",,$A$2,"."&amp;J$2&amp;J$1&amp;"C"&amp;$A17)="N/A",0,RTD("tos.rtd",,$A$2,"."&amp;J$2&amp;J$1&amp;"C"&amp;$A17))-IF(RTD("tos.rtd",,$A$2,"."&amp;J$2&amp;J$1&amp;"P"&amp;$A17)="N/A",0,RTD("tos.rtd",,$A$2,"."&amp;J$2&amp;J$1&amp;"P"&amp;$A17))</f>
        <v>583</v>
      </c>
      <c r="K17" s="91">
        <f ca="1">IF(RTD("tos.rtd",,$A$2,"."&amp;K$2&amp;K$1&amp;"C"&amp;$A17)="N/A",0,RTD("tos.rtd",,$A$2,"."&amp;K$2&amp;K$1&amp;"C"&amp;$A17))-IF(RTD("tos.rtd",,$A$2,"."&amp;K$2&amp;K$1&amp;"P"&amp;$A17)="N/A",0,RTD("tos.rtd",,$A$2,"."&amp;K$2&amp;K$1&amp;"P"&amp;$A17))</f>
        <v>0</v>
      </c>
      <c r="L17" s="91">
        <f ca="1">IF(RTD("tos.rtd",,$A$2,"."&amp;L$2&amp;L$1&amp;"C"&amp;$A17)="N/A",0,RTD("tos.rtd",,$A$2,"."&amp;L$2&amp;L$1&amp;"C"&amp;$A17))-IF(RTD("tos.rtd",,$A$2,"."&amp;L$2&amp;L$1&amp;"P"&amp;$A17)="N/A",0,RTD("tos.rtd",,$A$2,"."&amp;L$2&amp;L$1&amp;"P"&amp;$A17))</f>
        <v>-80</v>
      </c>
      <c r="M17" s="91">
        <f ca="1">IF(RTD("tos.rtd",,$A$2,"."&amp;M$2&amp;M$1&amp;"C"&amp;$A17)="N/A",0,RTD("tos.rtd",,$A$2,"."&amp;M$2&amp;M$1&amp;"C"&amp;$A17))-IF(RTD("tos.rtd",,$A$2,"."&amp;M$2&amp;M$1&amp;"P"&amp;$A17)="N/A",0,RTD("tos.rtd",,$A$2,"."&amp;M$2&amp;M$1&amp;"P"&amp;$A17))</f>
        <v>-2520</v>
      </c>
      <c r="N17" s="91">
        <f ca="1">IF(RTD("tos.rtd",,$A$2,"."&amp;N$2&amp;N$1&amp;"C"&amp;$A17)="N/A",0,RTD("tos.rtd",,$A$2,"."&amp;N$2&amp;N$1&amp;"C"&amp;$A17))-IF(RTD("tos.rtd",,$A$2,"."&amp;N$2&amp;N$1&amp;"P"&amp;$A17)="N/A",0,RTD("tos.rtd",,$A$2,"."&amp;N$2&amp;N$1&amp;"P"&amp;$A17))</f>
        <v>-265</v>
      </c>
      <c r="O17" s="91">
        <f ca="1">IF(RTD("tos.rtd",,$A$2,"."&amp;O$2&amp;O$1&amp;"C"&amp;$A17)="N/A",0,RTD("tos.rtd",,$A$2,"."&amp;O$2&amp;O$1&amp;"C"&amp;$A17))-IF(RTD("tos.rtd",,$A$2,"."&amp;O$2&amp;O$1&amp;"P"&amp;$A17)="N/A",0,RTD("tos.rtd",,$A$2,"."&amp;O$2&amp;O$1&amp;"P"&amp;$A17))</f>
        <v>1445</v>
      </c>
      <c r="P17" s="91">
        <f ca="1">IF(RTD("tos.rtd",,$A$2,"."&amp;P$2&amp;P$1&amp;"C"&amp;$A17)="N/A",0,RTD("tos.rtd",,$A$2,"."&amp;P$2&amp;P$1&amp;"C"&amp;$A17))-IF(RTD("tos.rtd",,$A$2,"."&amp;P$2&amp;P$1&amp;"P"&amp;$A17)="N/A",0,RTD("tos.rtd",,$A$2,"."&amp;P$2&amp;P$1&amp;"P"&amp;$A17))</f>
        <v>8</v>
      </c>
      <c r="Q17" s="91">
        <f ca="1">IF(RTD("tos.rtd",,$A$2,"."&amp;Q$2&amp;Q$1&amp;"C"&amp;$A17)="N/A",0,RTD("tos.rtd",,$A$2,"."&amp;Q$2&amp;Q$1&amp;"C"&amp;$A17))-IF(RTD("tos.rtd",,$A$2,"."&amp;Q$2&amp;Q$1&amp;"P"&amp;$A17)="N/A",0,RTD("tos.rtd",,$A$2,"."&amp;Q$2&amp;Q$1&amp;"P"&amp;$A17))</f>
        <v>-758</v>
      </c>
      <c r="R17" s="91">
        <f ca="1">IF(RTD("tos.rtd",,$A$2,"."&amp;R$2&amp;R$1&amp;"C"&amp;$A17)="N/A",0,RTD("tos.rtd",,$A$2,"."&amp;R$2&amp;R$1&amp;"C"&amp;$A17))-IF(RTD("tos.rtd",,$A$2,"."&amp;R$2&amp;R$1&amp;"P"&amp;$A17)="N/A",0,RTD("tos.rtd",,$A$2,"."&amp;R$2&amp;R$1&amp;"P"&amp;$A17))</f>
        <v>-21</v>
      </c>
      <c r="S17" s="91">
        <f ca="1">IF(RTD("tos.rtd",,$A$2,"."&amp;S$2&amp;S$1&amp;"C"&amp;$A17)="N/A",0,RTD("tos.rtd",,$A$2,"."&amp;S$2&amp;S$1&amp;"C"&amp;$A17))-IF(RTD("tos.rtd",,$A$2,"."&amp;S$2&amp;S$1&amp;"P"&amp;$A17)="N/A",0,RTD("tos.rtd",,$A$2,"."&amp;S$2&amp;S$1&amp;"P"&amp;$A17))</f>
        <v>0</v>
      </c>
      <c r="T17" s="91">
        <f ca="1">IF(RTD("tos.rtd",,$A$2,"."&amp;T$2&amp;T$1&amp;"C"&amp;$A17)="N/A",0,RTD("tos.rtd",,$A$2,"."&amp;T$2&amp;T$1&amp;"C"&amp;$A17))-IF(RTD("tos.rtd",,$A$2,"."&amp;T$2&amp;T$1&amp;"P"&amp;$A17)="N/A",0,RTD("tos.rtd",,$A$2,"."&amp;T$2&amp;T$1&amp;"P"&amp;$A17))</f>
        <v>-202</v>
      </c>
      <c r="U17" s="91">
        <f ca="1">IF(RTD("tos.rtd",,$A$2,"."&amp;U$2&amp;U$1&amp;"C"&amp;$A17)="N/A",0,RTD("tos.rtd",,$A$2,"."&amp;U$2&amp;U$1&amp;"C"&amp;$A17))-IF(RTD("tos.rtd",,$A$2,"."&amp;U$2&amp;U$1&amp;"P"&amp;$A17)="N/A",0,RTD("tos.rtd",,$A$2,"."&amp;U$2&amp;U$1&amp;"P"&amp;$A17))</f>
        <v>0</v>
      </c>
      <c r="V17" s="91">
        <f ca="1">IF(RTD("tos.rtd",,$A$2,"."&amp;V$2&amp;V$1&amp;"C"&amp;$A17)="N/A",0,RTD("tos.rtd",,$A$2,"."&amp;V$2&amp;V$1&amp;"C"&amp;$A17))-IF(RTD("tos.rtd",,$A$2,"."&amp;V$2&amp;V$1&amp;"P"&amp;$A17)="N/A",0,RTD("tos.rtd",,$A$2,"."&amp;V$2&amp;V$1&amp;"P"&amp;$A17))</f>
        <v>0</v>
      </c>
      <c r="W17" s="91">
        <f ca="1">IF(RTD("tos.rtd",,$A$2,"."&amp;W$2&amp;W$1&amp;"C"&amp;$A17)="N/A",0,RTD("tos.rtd",,$A$2,"."&amp;W$2&amp;W$1&amp;"C"&amp;$A17))-IF(RTD("tos.rtd",,$A$2,"."&amp;W$2&amp;W$1&amp;"P"&amp;$A17)="N/A",0,RTD("tos.rtd",,$A$2,"."&amp;W$2&amp;W$1&amp;"P"&amp;$A17))</f>
        <v>-825</v>
      </c>
      <c r="X17" s="91">
        <f ca="1">IF(RTD("tos.rtd",,$A$2,"."&amp;X$2&amp;X$1&amp;"C"&amp;$A17)="N/A",0,RTD("tos.rtd",,$A$2,"."&amp;X$2&amp;X$1&amp;"C"&amp;$A17))-IF(RTD("tos.rtd",,$A$2,"."&amp;X$2&amp;X$1&amp;"P"&amp;$A17)="N/A",0,RTD("tos.rtd",,$A$2,"."&amp;X$2&amp;X$1&amp;"P"&amp;$A17))</f>
        <v>-37</v>
      </c>
      <c r="Y17" s="98">
        <f t="shared" ca="1" si="3"/>
        <v>-6827</v>
      </c>
    </row>
    <row r="18" spans="1:25" x14ac:dyDescent="0.25">
      <c r="A18" s="93">
        <f>+Hoja1!A17</f>
        <v>579</v>
      </c>
      <c r="B18" s="91">
        <f ca="1">IF(RTD("tos.rtd",,$A$2,"."&amp;B$2&amp;B$1&amp;"C"&amp;$A18)="N/A",0,RTD("tos.rtd",,$A$2,"."&amp;B$2&amp;B$1&amp;"C"&amp;$A18))-IF(RTD("tos.rtd",,$A$2,"."&amp;B$2&amp;B$1&amp;"P"&amp;$A18)="N/A",0,RTD("tos.rtd",,$A$2,"."&amp;B$2&amp;B$1&amp;"P"&amp;$A18))</f>
        <v>0</v>
      </c>
      <c r="C18" s="91">
        <f ca="1">IF(RTD("tos.rtd",,$A$2,"."&amp;C$2&amp;C$1&amp;"C"&amp;$A18)="N/A",0,RTD("tos.rtd",,$A$2,"."&amp;C$2&amp;C$1&amp;"C"&amp;$A18))-IF(RTD("tos.rtd",,$A$2,"."&amp;C$2&amp;C$1&amp;"P"&amp;$A18)="N/A",0,RTD("tos.rtd",,$A$2,"."&amp;C$2&amp;C$1&amp;"P"&amp;$A18))</f>
        <v>0</v>
      </c>
      <c r="D18" s="91">
        <f ca="1">IF(RTD("tos.rtd",,$A$2,"."&amp;D$2&amp;D$1&amp;"C"&amp;$A18)="N/A",0,RTD("tos.rtd",,$A$2,"."&amp;D$2&amp;D$1&amp;"C"&amp;$A18))-IF(RTD("tos.rtd",,$A$2,"."&amp;D$2&amp;D$1&amp;"P"&amp;$A18)="N/A",0,RTD("tos.rtd",,$A$2,"."&amp;D$2&amp;D$1&amp;"P"&amp;$A18))</f>
        <v>0</v>
      </c>
      <c r="E18" s="91">
        <f ca="1">IF(RTD("tos.rtd",,$A$2,"."&amp;E$2&amp;E$1&amp;"C"&amp;$A18)="N/A",0,RTD("tos.rtd",,$A$2,"."&amp;E$2&amp;E$1&amp;"C"&amp;$A18))-IF(RTD("tos.rtd",,$A$2,"."&amp;E$2&amp;E$1&amp;"P"&amp;$A18)="N/A",0,RTD("tos.rtd",,$A$2,"."&amp;E$2&amp;E$1&amp;"P"&amp;$A18))</f>
        <v>0</v>
      </c>
      <c r="F18" s="91">
        <f ca="1">IF(RTD("tos.rtd",,$A$2,"."&amp;F$2&amp;F$1&amp;"C"&amp;$A18)="N/A",0,RTD("tos.rtd",,$A$2,"."&amp;F$2&amp;F$1&amp;"C"&amp;$A18))-IF(RTD("tos.rtd",,$A$2,"."&amp;F$2&amp;F$1&amp;"P"&amp;$A18)="N/A",0,RTD("tos.rtd",,$A$2,"."&amp;F$2&amp;F$1&amp;"P"&amp;$A18))</f>
        <v>0</v>
      </c>
      <c r="G18" s="91">
        <f ca="1">IF(RTD("tos.rtd",,$A$2,"."&amp;G$2&amp;G$1&amp;"C"&amp;$A18)="N/A",0,RTD("tos.rtd",,$A$2,"."&amp;G$2&amp;G$1&amp;"C"&amp;$A18))-IF(RTD("tos.rtd",,$A$2,"."&amp;G$2&amp;G$1&amp;"P"&amp;$A18)="N/A",0,RTD("tos.rtd",,$A$2,"."&amp;G$2&amp;G$1&amp;"P"&amp;$A18))</f>
        <v>0</v>
      </c>
      <c r="H18" s="91">
        <f ca="1">IF(RTD("tos.rtd",,$A$2,"."&amp;H$2&amp;H$1&amp;"C"&amp;$A18)="N/A",0,RTD("tos.rtd",,$A$2,"."&amp;H$2&amp;H$1&amp;"C"&amp;$A18))-IF(RTD("tos.rtd",,$A$2,"."&amp;H$2&amp;H$1&amp;"P"&amp;$A18)="N/A",0,RTD("tos.rtd",,$A$2,"."&amp;H$2&amp;H$1&amp;"P"&amp;$A18))</f>
        <v>-4708</v>
      </c>
      <c r="I18" s="91">
        <f ca="1">IF(RTD("tos.rtd",,$A$2,"."&amp;I$2&amp;I$1&amp;"C"&amp;$A18)="N/A",0,RTD("tos.rtd",,$A$2,"."&amp;I$2&amp;I$1&amp;"C"&amp;$A18))-IF(RTD("tos.rtd",,$A$2,"."&amp;I$2&amp;I$1&amp;"P"&amp;$A18)="N/A",0,RTD("tos.rtd",,$A$2,"."&amp;I$2&amp;I$1&amp;"P"&amp;$A18))</f>
        <v>328</v>
      </c>
      <c r="J18" s="91">
        <f ca="1">IF(RTD("tos.rtd",,$A$2,"."&amp;J$2&amp;J$1&amp;"C"&amp;$A18)="N/A",0,RTD("tos.rtd",,$A$2,"."&amp;J$2&amp;J$1&amp;"C"&amp;$A18))-IF(RTD("tos.rtd",,$A$2,"."&amp;J$2&amp;J$1&amp;"P"&amp;$A18)="N/A",0,RTD("tos.rtd",,$A$2,"."&amp;J$2&amp;J$1&amp;"P"&amp;$A18))</f>
        <v>116</v>
      </c>
      <c r="K18" s="91">
        <f ca="1">IF(RTD("tos.rtd",,$A$2,"."&amp;K$2&amp;K$1&amp;"C"&amp;$A18)="N/A",0,RTD("tos.rtd",,$A$2,"."&amp;K$2&amp;K$1&amp;"C"&amp;$A18))-IF(RTD("tos.rtd",,$A$2,"."&amp;K$2&amp;K$1&amp;"P"&amp;$A18)="N/A",0,RTD("tos.rtd",,$A$2,"."&amp;K$2&amp;K$1&amp;"P"&amp;$A18))</f>
        <v>0</v>
      </c>
      <c r="L18" s="91">
        <f ca="1">IF(RTD("tos.rtd",,$A$2,"."&amp;L$2&amp;L$1&amp;"C"&amp;$A18)="N/A",0,RTD("tos.rtd",,$A$2,"."&amp;L$2&amp;L$1&amp;"C"&amp;$A18))-IF(RTD("tos.rtd",,$A$2,"."&amp;L$2&amp;L$1&amp;"P"&amp;$A18)="N/A",0,RTD("tos.rtd",,$A$2,"."&amp;L$2&amp;L$1&amp;"P"&amp;$A18))</f>
        <v>-355</v>
      </c>
      <c r="M18" s="91">
        <f ca="1">IF(RTD("tos.rtd",,$A$2,"."&amp;M$2&amp;M$1&amp;"C"&amp;$A18)="N/A",0,RTD("tos.rtd",,$A$2,"."&amp;M$2&amp;M$1&amp;"C"&amp;$A18))-IF(RTD("tos.rtd",,$A$2,"."&amp;M$2&amp;M$1&amp;"P"&amp;$A18)="N/A",0,RTD("tos.rtd",,$A$2,"."&amp;M$2&amp;M$1&amp;"P"&amp;$A18))</f>
        <v>0</v>
      </c>
      <c r="N18" s="91">
        <f ca="1">IF(RTD("tos.rtd",,$A$2,"."&amp;N$2&amp;N$1&amp;"C"&amp;$A18)="N/A",0,RTD("tos.rtd",,$A$2,"."&amp;N$2&amp;N$1&amp;"C"&amp;$A18))-IF(RTD("tos.rtd",,$A$2,"."&amp;N$2&amp;N$1&amp;"P"&amp;$A18)="N/A",0,RTD("tos.rtd",,$A$2,"."&amp;N$2&amp;N$1&amp;"P"&amp;$A18))</f>
        <v>436</v>
      </c>
      <c r="O18" s="91">
        <f ca="1">IF(RTD("tos.rtd",,$A$2,"."&amp;O$2&amp;O$1&amp;"C"&amp;$A18)="N/A",0,RTD("tos.rtd",,$A$2,"."&amp;O$2&amp;O$1&amp;"C"&amp;$A18))-IF(RTD("tos.rtd",,$A$2,"."&amp;O$2&amp;O$1&amp;"P"&amp;$A18)="N/A",0,RTD("tos.rtd",,$A$2,"."&amp;O$2&amp;O$1&amp;"P"&amp;$A18))</f>
        <v>27</v>
      </c>
      <c r="P18" s="91">
        <f ca="1">IF(RTD("tos.rtd",,$A$2,"."&amp;P$2&amp;P$1&amp;"C"&amp;$A18)="N/A",0,RTD("tos.rtd",,$A$2,"."&amp;P$2&amp;P$1&amp;"C"&amp;$A18))-IF(RTD("tos.rtd",,$A$2,"."&amp;P$2&amp;P$1&amp;"P"&amp;$A18)="N/A",0,RTD("tos.rtd",,$A$2,"."&amp;P$2&amp;P$1&amp;"P"&amp;$A18))</f>
        <v>-12</v>
      </c>
      <c r="Q18" s="91">
        <f ca="1">IF(RTD("tos.rtd",,$A$2,"."&amp;Q$2&amp;Q$1&amp;"C"&amp;$A18)="N/A",0,RTD("tos.rtd",,$A$2,"."&amp;Q$2&amp;Q$1&amp;"C"&amp;$A18))-IF(RTD("tos.rtd",,$A$2,"."&amp;Q$2&amp;Q$1&amp;"P"&amp;$A18)="N/A",0,RTD("tos.rtd",,$A$2,"."&amp;Q$2&amp;Q$1&amp;"P"&amp;$A18))</f>
        <v>0</v>
      </c>
      <c r="R18" s="91">
        <f ca="1">IF(RTD("tos.rtd",,$A$2,"."&amp;R$2&amp;R$1&amp;"C"&amp;$A18)="N/A",0,RTD("tos.rtd",,$A$2,"."&amp;R$2&amp;R$1&amp;"C"&amp;$A18))-IF(RTD("tos.rtd",,$A$2,"."&amp;R$2&amp;R$1&amp;"P"&amp;$A18)="N/A",0,RTD("tos.rtd",,$A$2,"."&amp;R$2&amp;R$1&amp;"P"&amp;$A18))</f>
        <v>-37</v>
      </c>
      <c r="S18" s="91">
        <f ca="1">IF(RTD("tos.rtd",,$A$2,"."&amp;S$2&amp;S$1&amp;"C"&amp;$A18)="N/A",0,RTD("tos.rtd",,$A$2,"."&amp;S$2&amp;S$1&amp;"C"&amp;$A18))-IF(RTD("tos.rtd",,$A$2,"."&amp;S$2&amp;S$1&amp;"P"&amp;$A18)="N/A",0,RTD("tos.rtd",,$A$2,"."&amp;S$2&amp;S$1&amp;"P"&amp;$A18))</f>
        <v>0</v>
      </c>
      <c r="T18" s="91">
        <f ca="1">IF(RTD("tos.rtd",,$A$2,"."&amp;T$2&amp;T$1&amp;"C"&amp;$A18)="N/A",0,RTD("tos.rtd",,$A$2,"."&amp;T$2&amp;T$1&amp;"C"&amp;$A18))-IF(RTD("tos.rtd",,$A$2,"."&amp;T$2&amp;T$1&amp;"P"&amp;$A18)="N/A",0,RTD("tos.rtd",,$A$2,"."&amp;T$2&amp;T$1&amp;"P"&amp;$A18))</f>
        <v>0</v>
      </c>
      <c r="U18" s="91">
        <f ca="1">IF(RTD("tos.rtd",,$A$2,"."&amp;U$2&amp;U$1&amp;"C"&amp;$A18)="N/A",0,RTD("tos.rtd",,$A$2,"."&amp;U$2&amp;U$1&amp;"C"&amp;$A18))-IF(RTD("tos.rtd",,$A$2,"."&amp;U$2&amp;U$1&amp;"P"&amp;$A18)="N/A",0,RTD("tos.rtd",,$A$2,"."&amp;U$2&amp;U$1&amp;"P"&amp;$A18))</f>
        <v>0</v>
      </c>
      <c r="V18" s="91">
        <f ca="1">IF(RTD("tos.rtd",,$A$2,"."&amp;V$2&amp;V$1&amp;"C"&amp;$A18)="N/A",0,RTD("tos.rtd",,$A$2,"."&amp;V$2&amp;V$1&amp;"C"&amp;$A18))-IF(RTD("tos.rtd",,$A$2,"."&amp;V$2&amp;V$1&amp;"P"&amp;$A18)="N/A",0,RTD("tos.rtd",,$A$2,"."&amp;V$2&amp;V$1&amp;"P"&amp;$A18))</f>
        <v>0</v>
      </c>
      <c r="W18" s="91">
        <f ca="1">IF(RTD("tos.rtd",,$A$2,"."&amp;W$2&amp;W$1&amp;"C"&amp;$A18)="N/A",0,RTD("tos.rtd",,$A$2,"."&amp;W$2&amp;W$1&amp;"C"&amp;$A18))-IF(RTD("tos.rtd",,$A$2,"."&amp;W$2&amp;W$1&amp;"P"&amp;$A18)="N/A",0,RTD("tos.rtd",,$A$2,"."&amp;W$2&amp;W$1&amp;"P"&amp;$A18))</f>
        <v>0</v>
      </c>
      <c r="X18" s="91">
        <f ca="1">IF(RTD("tos.rtd",,$A$2,"."&amp;X$2&amp;X$1&amp;"C"&amp;$A18)="N/A",0,RTD("tos.rtd",,$A$2,"."&amp;X$2&amp;X$1&amp;"C"&amp;$A18))-IF(RTD("tos.rtd",,$A$2,"."&amp;X$2&amp;X$1&amp;"P"&amp;$A18)="N/A",0,RTD("tos.rtd",,$A$2,"."&amp;X$2&amp;X$1&amp;"P"&amp;$A18))</f>
        <v>102</v>
      </c>
      <c r="Y18" s="98">
        <f t="shared" ca="1" si="3"/>
        <v>-4103</v>
      </c>
    </row>
    <row r="19" spans="1:25" x14ac:dyDescent="0.25">
      <c r="A19" s="93">
        <f>+Hoja1!A18</f>
        <v>578</v>
      </c>
      <c r="B19" s="91">
        <f ca="1">IF(RTD("tos.rtd",,$A$2,"."&amp;B$2&amp;B$1&amp;"C"&amp;$A19)="N/A",0,RTD("tos.rtd",,$A$2,"."&amp;B$2&amp;B$1&amp;"C"&amp;$A19))-IF(RTD("tos.rtd",,$A$2,"."&amp;B$2&amp;B$1&amp;"P"&amp;$A19)="N/A",0,RTD("tos.rtd",,$A$2,"."&amp;B$2&amp;B$1&amp;"P"&amp;$A19))</f>
        <v>0</v>
      </c>
      <c r="C19" s="91">
        <f ca="1">IF(RTD("tos.rtd",,$A$2,"."&amp;C$2&amp;C$1&amp;"C"&amp;$A19)="N/A",0,RTD("tos.rtd",,$A$2,"."&amp;C$2&amp;C$1&amp;"C"&amp;$A19))-IF(RTD("tos.rtd",,$A$2,"."&amp;C$2&amp;C$1&amp;"P"&amp;$A19)="N/A",0,RTD("tos.rtd",,$A$2,"."&amp;C$2&amp;C$1&amp;"P"&amp;$A19))</f>
        <v>0</v>
      </c>
      <c r="D19" s="91">
        <f ca="1">IF(RTD("tos.rtd",,$A$2,"."&amp;D$2&amp;D$1&amp;"C"&amp;$A19)="N/A",0,RTD("tos.rtd",,$A$2,"."&amp;D$2&amp;D$1&amp;"C"&amp;$A19))-IF(RTD("tos.rtd",,$A$2,"."&amp;D$2&amp;D$1&amp;"P"&amp;$A19)="N/A",0,RTD("tos.rtd",,$A$2,"."&amp;D$2&amp;D$1&amp;"P"&amp;$A19))</f>
        <v>0</v>
      </c>
      <c r="E19" s="91">
        <f ca="1">IF(RTD("tos.rtd",,$A$2,"."&amp;E$2&amp;E$1&amp;"C"&amp;$A19)="N/A",0,RTD("tos.rtd",,$A$2,"."&amp;E$2&amp;E$1&amp;"C"&amp;$A19))-IF(RTD("tos.rtd",,$A$2,"."&amp;E$2&amp;E$1&amp;"P"&amp;$A19)="N/A",0,RTD("tos.rtd",,$A$2,"."&amp;E$2&amp;E$1&amp;"P"&amp;$A19))</f>
        <v>0</v>
      </c>
      <c r="F19" s="91">
        <f ca="1">IF(RTD("tos.rtd",,$A$2,"."&amp;F$2&amp;F$1&amp;"C"&amp;$A19)="N/A",0,RTD("tos.rtd",,$A$2,"."&amp;F$2&amp;F$1&amp;"C"&amp;$A19))-IF(RTD("tos.rtd",,$A$2,"."&amp;F$2&amp;F$1&amp;"P"&amp;$A19)="N/A",0,RTD("tos.rtd",,$A$2,"."&amp;F$2&amp;F$1&amp;"P"&amp;$A19))</f>
        <v>0</v>
      </c>
      <c r="G19" s="91">
        <f ca="1">IF(RTD("tos.rtd",,$A$2,"."&amp;G$2&amp;G$1&amp;"C"&amp;$A19)="N/A",0,RTD("tos.rtd",,$A$2,"."&amp;G$2&amp;G$1&amp;"C"&amp;$A19))-IF(RTD("tos.rtd",,$A$2,"."&amp;G$2&amp;G$1&amp;"P"&amp;$A19)="N/A",0,RTD("tos.rtd",,$A$2,"."&amp;G$2&amp;G$1&amp;"P"&amp;$A19))</f>
        <v>0</v>
      </c>
      <c r="H19" s="91">
        <f ca="1">IF(RTD("tos.rtd",,$A$2,"."&amp;H$2&amp;H$1&amp;"C"&amp;$A19)="N/A",0,RTD("tos.rtd",,$A$2,"."&amp;H$2&amp;H$1&amp;"C"&amp;$A19))-IF(RTD("tos.rtd",,$A$2,"."&amp;H$2&amp;H$1&amp;"P"&amp;$A19)="N/A",0,RTD("tos.rtd",,$A$2,"."&amp;H$2&amp;H$1&amp;"P"&amp;$A19))</f>
        <v>-930</v>
      </c>
      <c r="I19" s="91">
        <f ca="1">IF(RTD("tos.rtd",,$A$2,"."&amp;I$2&amp;I$1&amp;"C"&amp;$A19)="N/A",0,RTD("tos.rtd",,$A$2,"."&amp;I$2&amp;I$1&amp;"C"&amp;$A19))-IF(RTD("tos.rtd",,$A$2,"."&amp;I$2&amp;I$1&amp;"P"&amp;$A19)="N/A",0,RTD("tos.rtd",,$A$2,"."&amp;I$2&amp;I$1&amp;"P"&amp;$A19))</f>
        <v>387</v>
      </c>
      <c r="J19" s="91">
        <f ca="1">IF(RTD("tos.rtd",,$A$2,"."&amp;J$2&amp;J$1&amp;"C"&amp;$A19)="N/A",0,RTD("tos.rtd",,$A$2,"."&amp;J$2&amp;J$1&amp;"C"&amp;$A19))-IF(RTD("tos.rtd",,$A$2,"."&amp;J$2&amp;J$1&amp;"P"&amp;$A19)="N/A",0,RTD("tos.rtd",,$A$2,"."&amp;J$2&amp;J$1&amp;"P"&amp;$A19))</f>
        <v>-1071</v>
      </c>
      <c r="K19" s="91">
        <f ca="1">IF(RTD("tos.rtd",,$A$2,"."&amp;K$2&amp;K$1&amp;"C"&amp;$A19)="N/A",0,RTD("tos.rtd",,$A$2,"."&amp;K$2&amp;K$1&amp;"C"&amp;$A19))-IF(RTD("tos.rtd",,$A$2,"."&amp;K$2&amp;K$1&amp;"P"&amp;$A19)="N/A",0,RTD("tos.rtd",,$A$2,"."&amp;K$2&amp;K$1&amp;"P"&amp;$A19))</f>
        <v>0</v>
      </c>
      <c r="L19" s="91">
        <f ca="1">IF(RTD("tos.rtd",,$A$2,"."&amp;L$2&amp;L$1&amp;"C"&amp;$A19)="N/A",0,RTD("tos.rtd",,$A$2,"."&amp;L$2&amp;L$1&amp;"C"&amp;$A19))-IF(RTD("tos.rtd",,$A$2,"."&amp;L$2&amp;L$1&amp;"P"&amp;$A19)="N/A",0,RTD("tos.rtd",,$A$2,"."&amp;L$2&amp;L$1&amp;"P"&amp;$A19))</f>
        <v>-5</v>
      </c>
      <c r="M19" s="91">
        <f ca="1">IF(RTD("tos.rtd",,$A$2,"."&amp;M$2&amp;M$1&amp;"C"&amp;$A19)="N/A",0,RTD("tos.rtd",,$A$2,"."&amp;M$2&amp;M$1&amp;"C"&amp;$A19))-IF(RTD("tos.rtd",,$A$2,"."&amp;M$2&amp;M$1&amp;"P"&amp;$A19)="N/A",0,RTD("tos.rtd",,$A$2,"."&amp;M$2&amp;M$1&amp;"P"&amp;$A19))</f>
        <v>0</v>
      </c>
      <c r="N19" s="91">
        <f ca="1">IF(RTD("tos.rtd",,$A$2,"."&amp;N$2&amp;N$1&amp;"C"&amp;$A19)="N/A",0,RTD("tos.rtd",,$A$2,"."&amp;N$2&amp;N$1&amp;"C"&amp;$A19))-IF(RTD("tos.rtd",,$A$2,"."&amp;N$2&amp;N$1&amp;"P"&amp;$A19)="N/A",0,RTD("tos.rtd",,$A$2,"."&amp;N$2&amp;N$1&amp;"P"&amp;$A19))</f>
        <v>20</v>
      </c>
      <c r="O19" s="91">
        <f ca="1">IF(RTD("tos.rtd",,$A$2,"."&amp;O$2&amp;O$1&amp;"C"&amp;$A19)="N/A",0,RTD("tos.rtd",,$A$2,"."&amp;O$2&amp;O$1&amp;"C"&amp;$A19))-IF(RTD("tos.rtd",,$A$2,"."&amp;O$2&amp;O$1&amp;"P"&amp;$A19)="N/A",0,RTD("tos.rtd",,$A$2,"."&amp;O$2&amp;O$1&amp;"P"&amp;$A19))</f>
        <v>125</v>
      </c>
      <c r="P19" s="91">
        <f ca="1">IF(RTD("tos.rtd",,$A$2,"."&amp;P$2&amp;P$1&amp;"C"&amp;$A19)="N/A",0,RTD("tos.rtd",,$A$2,"."&amp;P$2&amp;P$1&amp;"C"&amp;$A19))-IF(RTD("tos.rtd",,$A$2,"."&amp;P$2&amp;P$1&amp;"P"&amp;$A19)="N/A",0,RTD("tos.rtd",,$A$2,"."&amp;P$2&amp;P$1&amp;"P"&amp;$A19))</f>
        <v>-68</v>
      </c>
      <c r="Q19" s="91">
        <f ca="1">IF(RTD("tos.rtd",,$A$2,"."&amp;Q$2&amp;Q$1&amp;"C"&amp;$A19)="N/A",0,RTD("tos.rtd",,$A$2,"."&amp;Q$2&amp;Q$1&amp;"C"&amp;$A19))-IF(RTD("tos.rtd",,$A$2,"."&amp;Q$2&amp;Q$1&amp;"P"&amp;$A19)="N/A",0,RTD("tos.rtd",,$A$2,"."&amp;Q$2&amp;Q$1&amp;"P"&amp;$A19))</f>
        <v>0</v>
      </c>
      <c r="R19" s="91">
        <f ca="1">IF(RTD("tos.rtd",,$A$2,"."&amp;R$2&amp;R$1&amp;"C"&amp;$A19)="N/A",0,RTD("tos.rtd",,$A$2,"."&amp;R$2&amp;R$1&amp;"C"&amp;$A19))-IF(RTD("tos.rtd",,$A$2,"."&amp;R$2&amp;R$1&amp;"P"&amp;$A19)="N/A",0,RTD("tos.rtd",,$A$2,"."&amp;R$2&amp;R$1&amp;"P"&amp;$A19))</f>
        <v>-3</v>
      </c>
      <c r="S19" s="91">
        <f ca="1">IF(RTD("tos.rtd",,$A$2,"."&amp;S$2&amp;S$1&amp;"C"&amp;$A19)="N/A",0,RTD("tos.rtd",,$A$2,"."&amp;S$2&amp;S$1&amp;"C"&amp;$A19))-IF(RTD("tos.rtd",,$A$2,"."&amp;S$2&amp;S$1&amp;"P"&amp;$A19)="N/A",0,RTD("tos.rtd",,$A$2,"."&amp;S$2&amp;S$1&amp;"P"&amp;$A19))</f>
        <v>0</v>
      </c>
      <c r="T19" s="91">
        <f ca="1">IF(RTD("tos.rtd",,$A$2,"."&amp;T$2&amp;T$1&amp;"C"&amp;$A19)="N/A",0,RTD("tos.rtd",,$A$2,"."&amp;T$2&amp;T$1&amp;"C"&amp;$A19))-IF(RTD("tos.rtd",,$A$2,"."&amp;T$2&amp;T$1&amp;"P"&amp;$A19)="N/A",0,RTD("tos.rtd",,$A$2,"."&amp;T$2&amp;T$1&amp;"P"&amp;$A19))</f>
        <v>0</v>
      </c>
      <c r="U19" s="91">
        <f ca="1">IF(RTD("tos.rtd",,$A$2,"."&amp;U$2&amp;U$1&amp;"C"&amp;$A19)="N/A",0,RTD("tos.rtd",,$A$2,"."&amp;U$2&amp;U$1&amp;"C"&amp;$A19))-IF(RTD("tos.rtd",,$A$2,"."&amp;U$2&amp;U$1&amp;"P"&amp;$A19)="N/A",0,RTD("tos.rtd",,$A$2,"."&amp;U$2&amp;U$1&amp;"P"&amp;$A19))</f>
        <v>0</v>
      </c>
      <c r="V19" s="91">
        <f ca="1">IF(RTD("tos.rtd",,$A$2,"."&amp;V$2&amp;V$1&amp;"C"&amp;$A19)="N/A",0,RTD("tos.rtd",,$A$2,"."&amp;V$2&amp;V$1&amp;"C"&amp;$A19))-IF(RTD("tos.rtd",,$A$2,"."&amp;V$2&amp;V$1&amp;"P"&amp;$A19)="N/A",0,RTD("tos.rtd",,$A$2,"."&amp;V$2&amp;V$1&amp;"P"&amp;$A19))</f>
        <v>0</v>
      </c>
      <c r="W19" s="91">
        <f ca="1">IF(RTD("tos.rtd",,$A$2,"."&amp;W$2&amp;W$1&amp;"C"&amp;$A19)="N/A",0,RTD("tos.rtd",,$A$2,"."&amp;W$2&amp;W$1&amp;"C"&amp;$A19))-IF(RTD("tos.rtd",,$A$2,"."&amp;W$2&amp;W$1&amp;"P"&amp;$A19)="N/A",0,RTD("tos.rtd",,$A$2,"."&amp;W$2&amp;W$1&amp;"P"&amp;$A19))</f>
        <v>0</v>
      </c>
      <c r="X19" s="91">
        <f ca="1">IF(RTD("tos.rtd",,$A$2,"."&amp;X$2&amp;X$1&amp;"C"&amp;$A19)="N/A",0,RTD("tos.rtd",,$A$2,"."&amp;X$2&amp;X$1&amp;"C"&amp;$A19))-IF(RTD("tos.rtd",,$A$2,"."&amp;X$2&amp;X$1&amp;"P"&amp;$A19)="N/A",0,RTD("tos.rtd",,$A$2,"."&amp;X$2&amp;X$1&amp;"P"&amp;$A19))</f>
        <v>-94</v>
      </c>
      <c r="Y19" s="98">
        <f t="shared" ca="1" si="3"/>
        <v>-1639</v>
      </c>
    </row>
    <row r="20" spans="1:25" x14ac:dyDescent="0.25">
      <c r="A20" s="93">
        <f>+Hoja1!A19</f>
        <v>577</v>
      </c>
      <c r="B20" s="91">
        <f ca="1">IF(RTD("tos.rtd",,$A$2,"."&amp;B$2&amp;B$1&amp;"C"&amp;$A20)="N/A",0,RTD("tos.rtd",,$A$2,"."&amp;B$2&amp;B$1&amp;"C"&amp;$A20))-IF(RTD("tos.rtd",,$A$2,"."&amp;B$2&amp;B$1&amp;"P"&amp;$A20)="N/A",0,RTD("tos.rtd",,$A$2,"."&amp;B$2&amp;B$1&amp;"P"&amp;$A20))</f>
        <v>0</v>
      </c>
      <c r="C20" s="91">
        <f ca="1">IF(RTD("tos.rtd",,$A$2,"."&amp;C$2&amp;C$1&amp;"C"&amp;$A20)="N/A",0,RTD("tos.rtd",,$A$2,"."&amp;C$2&amp;C$1&amp;"C"&amp;$A20))-IF(RTD("tos.rtd",,$A$2,"."&amp;C$2&amp;C$1&amp;"P"&amp;$A20)="N/A",0,RTD("tos.rtd",,$A$2,"."&amp;C$2&amp;C$1&amp;"P"&amp;$A20))</f>
        <v>0</v>
      </c>
      <c r="D20" s="91">
        <f ca="1">IF(RTD("tos.rtd",,$A$2,"."&amp;D$2&amp;D$1&amp;"C"&amp;$A20)="N/A",0,RTD("tos.rtd",,$A$2,"."&amp;D$2&amp;D$1&amp;"C"&amp;$A20))-IF(RTD("tos.rtd",,$A$2,"."&amp;D$2&amp;D$1&amp;"P"&amp;$A20)="N/A",0,RTD("tos.rtd",,$A$2,"."&amp;D$2&amp;D$1&amp;"P"&amp;$A20))</f>
        <v>0</v>
      </c>
      <c r="E20" s="91">
        <f ca="1">IF(RTD("tos.rtd",,$A$2,"."&amp;E$2&amp;E$1&amp;"C"&amp;$A20)="N/A",0,RTD("tos.rtd",,$A$2,"."&amp;E$2&amp;E$1&amp;"C"&amp;$A20))-IF(RTD("tos.rtd",,$A$2,"."&amp;E$2&amp;E$1&amp;"P"&amp;$A20)="N/A",0,RTD("tos.rtd",,$A$2,"."&amp;E$2&amp;E$1&amp;"P"&amp;$A20))</f>
        <v>0</v>
      </c>
      <c r="F20" s="91">
        <f ca="1">IF(RTD("tos.rtd",,$A$2,"."&amp;F$2&amp;F$1&amp;"C"&amp;$A20)="N/A",0,RTD("tos.rtd",,$A$2,"."&amp;F$2&amp;F$1&amp;"C"&amp;$A20))-IF(RTD("tos.rtd",,$A$2,"."&amp;F$2&amp;F$1&amp;"P"&amp;$A20)="N/A",0,RTD("tos.rtd",,$A$2,"."&amp;F$2&amp;F$1&amp;"P"&amp;$A20))</f>
        <v>0</v>
      </c>
      <c r="G20" s="91">
        <f ca="1">IF(RTD("tos.rtd",,$A$2,"."&amp;G$2&amp;G$1&amp;"C"&amp;$A20)="N/A",0,RTD("tos.rtd",,$A$2,"."&amp;G$2&amp;G$1&amp;"C"&amp;$A20))-IF(RTD("tos.rtd",,$A$2,"."&amp;G$2&amp;G$1&amp;"P"&amp;$A20)="N/A",0,RTD("tos.rtd",,$A$2,"."&amp;G$2&amp;G$1&amp;"P"&amp;$A20))</f>
        <v>0</v>
      </c>
      <c r="H20" s="91">
        <f ca="1">IF(RTD("tos.rtd",,$A$2,"."&amp;H$2&amp;H$1&amp;"C"&amp;$A20)="N/A",0,RTD("tos.rtd",,$A$2,"."&amp;H$2&amp;H$1&amp;"C"&amp;$A20))-IF(RTD("tos.rtd",,$A$2,"."&amp;H$2&amp;H$1&amp;"P"&amp;$A20)="N/A",0,RTD("tos.rtd",,$A$2,"."&amp;H$2&amp;H$1&amp;"P"&amp;$A20))</f>
        <v>-562</v>
      </c>
      <c r="I20" s="91">
        <f ca="1">IF(RTD("tos.rtd",,$A$2,"."&amp;I$2&amp;I$1&amp;"C"&amp;$A20)="N/A",0,RTD("tos.rtd",,$A$2,"."&amp;I$2&amp;I$1&amp;"C"&amp;$A20))-IF(RTD("tos.rtd",,$A$2,"."&amp;I$2&amp;I$1&amp;"P"&amp;$A20)="N/A",0,RTD("tos.rtd",,$A$2,"."&amp;I$2&amp;I$1&amp;"P"&amp;$A20))</f>
        <v>-114</v>
      </c>
      <c r="J20" s="91">
        <f ca="1">IF(RTD("tos.rtd",,$A$2,"."&amp;J$2&amp;J$1&amp;"C"&amp;$A20)="N/A",0,RTD("tos.rtd",,$A$2,"."&amp;J$2&amp;J$1&amp;"C"&amp;$A20))-IF(RTD("tos.rtd",,$A$2,"."&amp;J$2&amp;J$1&amp;"P"&amp;$A20)="N/A",0,RTD("tos.rtd",,$A$2,"."&amp;J$2&amp;J$1&amp;"P"&amp;$A20))</f>
        <v>-436</v>
      </c>
      <c r="K20" s="91">
        <f ca="1">IF(RTD("tos.rtd",,$A$2,"."&amp;K$2&amp;K$1&amp;"C"&amp;$A20)="N/A",0,RTD("tos.rtd",,$A$2,"."&amp;K$2&amp;K$1&amp;"C"&amp;$A20))-IF(RTD("tos.rtd",,$A$2,"."&amp;K$2&amp;K$1&amp;"P"&amp;$A20)="N/A",0,RTD("tos.rtd",,$A$2,"."&amp;K$2&amp;K$1&amp;"P"&amp;$A20))</f>
        <v>0</v>
      </c>
      <c r="L20" s="91">
        <f ca="1">IF(RTD("tos.rtd",,$A$2,"."&amp;L$2&amp;L$1&amp;"C"&amp;$A20)="N/A",0,RTD("tos.rtd",,$A$2,"."&amp;L$2&amp;L$1&amp;"C"&amp;$A20))-IF(RTD("tos.rtd",,$A$2,"."&amp;L$2&amp;L$1&amp;"P"&amp;$A20)="N/A",0,RTD("tos.rtd",,$A$2,"."&amp;L$2&amp;L$1&amp;"P"&amp;$A20))</f>
        <v>14</v>
      </c>
      <c r="M20" s="91">
        <f ca="1">IF(RTD("tos.rtd",,$A$2,"."&amp;M$2&amp;M$1&amp;"C"&amp;$A20)="N/A",0,RTD("tos.rtd",,$A$2,"."&amp;M$2&amp;M$1&amp;"C"&amp;$A20))-IF(RTD("tos.rtd",,$A$2,"."&amp;M$2&amp;M$1&amp;"P"&amp;$A20)="N/A",0,RTD("tos.rtd",,$A$2,"."&amp;M$2&amp;M$1&amp;"P"&amp;$A20))</f>
        <v>0</v>
      </c>
      <c r="N20" s="91">
        <f ca="1">IF(RTD("tos.rtd",,$A$2,"."&amp;N$2&amp;N$1&amp;"C"&amp;$A20)="N/A",0,RTD("tos.rtd",,$A$2,"."&amp;N$2&amp;N$1&amp;"C"&amp;$A20))-IF(RTD("tos.rtd",,$A$2,"."&amp;N$2&amp;N$1&amp;"P"&amp;$A20)="N/A",0,RTD("tos.rtd",,$A$2,"."&amp;N$2&amp;N$1&amp;"P"&amp;$A20))</f>
        <v>-16</v>
      </c>
      <c r="O20" s="91">
        <f ca="1">IF(RTD("tos.rtd",,$A$2,"."&amp;O$2&amp;O$1&amp;"C"&amp;$A20)="N/A",0,RTD("tos.rtd",,$A$2,"."&amp;O$2&amp;O$1&amp;"C"&amp;$A20))-IF(RTD("tos.rtd",,$A$2,"."&amp;O$2&amp;O$1&amp;"P"&amp;$A20)="N/A",0,RTD("tos.rtd",,$A$2,"."&amp;O$2&amp;O$1&amp;"P"&amp;$A20))</f>
        <v>-94</v>
      </c>
      <c r="P20" s="91">
        <f ca="1">IF(RTD("tos.rtd",,$A$2,"."&amp;P$2&amp;P$1&amp;"C"&amp;$A20)="N/A",0,RTD("tos.rtd",,$A$2,"."&amp;P$2&amp;P$1&amp;"C"&amp;$A20))-IF(RTD("tos.rtd",,$A$2,"."&amp;P$2&amp;P$1&amp;"P"&amp;$A20)="N/A",0,RTD("tos.rtd",,$A$2,"."&amp;P$2&amp;P$1&amp;"P"&amp;$A20))</f>
        <v>-11</v>
      </c>
      <c r="Q20" s="91">
        <f ca="1">IF(RTD("tos.rtd",,$A$2,"."&amp;Q$2&amp;Q$1&amp;"C"&amp;$A20)="N/A",0,RTD("tos.rtd",,$A$2,"."&amp;Q$2&amp;Q$1&amp;"C"&amp;$A20))-IF(RTD("tos.rtd",,$A$2,"."&amp;Q$2&amp;Q$1&amp;"P"&amp;$A20)="N/A",0,RTD("tos.rtd",,$A$2,"."&amp;Q$2&amp;Q$1&amp;"P"&amp;$A20))</f>
        <v>0</v>
      </c>
      <c r="R20" s="91">
        <f ca="1">IF(RTD("tos.rtd",,$A$2,"."&amp;R$2&amp;R$1&amp;"C"&amp;$A20)="N/A",0,RTD("tos.rtd",,$A$2,"."&amp;R$2&amp;R$1&amp;"C"&amp;$A20))-IF(RTD("tos.rtd",,$A$2,"."&amp;R$2&amp;R$1&amp;"P"&amp;$A20)="N/A",0,RTD("tos.rtd",,$A$2,"."&amp;R$2&amp;R$1&amp;"P"&amp;$A20))</f>
        <v>4</v>
      </c>
      <c r="S20" s="91">
        <f ca="1">IF(RTD("tos.rtd",,$A$2,"."&amp;S$2&amp;S$1&amp;"C"&amp;$A20)="N/A",0,RTD("tos.rtd",,$A$2,"."&amp;S$2&amp;S$1&amp;"C"&amp;$A20))-IF(RTD("tos.rtd",,$A$2,"."&amp;S$2&amp;S$1&amp;"P"&amp;$A20)="N/A",0,RTD("tos.rtd",,$A$2,"."&amp;S$2&amp;S$1&amp;"P"&amp;$A20))</f>
        <v>0</v>
      </c>
      <c r="T20" s="91">
        <f ca="1">IF(RTD("tos.rtd",,$A$2,"."&amp;T$2&amp;T$1&amp;"C"&amp;$A20)="N/A",0,RTD("tos.rtd",,$A$2,"."&amp;T$2&amp;T$1&amp;"C"&amp;$A20))-IF(RTD("tos.rtd",,$A$2,"."&amp;T$2&amp;T$1&amp;"P"&amp;$A20)="N/A",0,RTD("tos.rtd",,$A$2,"."&amp;T$2&amp;T$1&amp;"P"&amp;$A20))</f>
        <v>0</v>
      </c>
      <c r="U20" s="91">
        <f ca="1">IF(RTD("tos.rtd",,$A$2,"."&amp;U$2&amp;U$1&amp;"C"&amp;$A20)="N/A",0,RTD("tos.rtd",,$A$2,"."&amp;U$2&amp;U$1&amp;"C"&amp;$A20))-IF(RTD("tos.rtd",,$A$2,"."&amp;U$2&amp;U$1&amp;"P"&amp;$A20)="N/A",0,RTD("tos.rtd",,$A$2,"."&amp;U$2&amp;U$1&amp;"P"&amp;$A20))</f>
        <v>0</v>
      </c>
      <c r="V20" s="91">
        <f ca="1">IF(RTD("tos.rtd",,$A$2,"."&amp;V$2&amp;V$1&amp;"C"&amp;$A20)="N/A",0,RTD("tos.rtd",,$A$2,"."&amp;V$2&amp;V$1&amp;"C"&amp;$A20))-IF(RTD("tos.rtd",,$A$2,"."&amp;V$2&amp;V$1&amp;"P"&amp;$A20)="N/A",0,RTD("tos.rtd",,$A$2,"."&amp;V$2&amp;V$1&amp;"P"&amp;$A20))</f>
        <v>0</v>
      </c>
      <c r="W20" s="91">
        <f ca="1">IF(RTD("tos.rtd",,$A$2,"."&amp;W$2&amp;W$1&amp;"C"&amp;$A20)="N/A",0,RTD("tos.rtd",,$A$2,"."&amp;W$2&amp;W$1&amp;"C"&amp;$A20))-IF(RTD("tos.rtd",,$A$2,"."&amp;W$2&amp;W$1&amp;"P"&amp;$A20)="N/A",0,RTD("tos.rtd",,$A$2,"."&amp;W$2&amp;W$1&amp;"P"&amp;$A20))</f>
        <v>0</v>
      </c>
      <c r="X20" s="91">
        <f ca="1">IF(RTD("tos.rtd",,$A$2,"."&amp;X$2&amp;X$1&amp;"C"&amp;$A20)="N/A",0,RTD("tos.rtd",,$A$2,"."&amp;X$2&amp;X$1&amp;"C"&amp;$A20))-IF(RTD("tos.rtd",,$A$2,"."&amp;X$2&amp;X$1&amp;"P"&amp;$A20)="N/A",0,RTD("tos.rtd",,$A$2,"."&amp;X$2&amp;X$1&amp;"P"&amp;$A20))</f>
        <v>6</v>
      </c>
      <c r="Y20" s="98">
        <f t="shared" ca="1" si="3"/>
        <v>-1209</v>
      </c>
    </row>
    <row r="21" spans="1:25" x14ac:dyDescent="0.25">
      <c r="A21" s="93">
        <f>+Hoja1!A20</f>
        <v>576</v>
      </c>
      <c r="B21" s="91">
        <f ca="1">IF(RTD("tos.rtd",,$A$2,"."&amp;B$2&amp;B$1&amp;"C"&amp;$A21)="N/A",0,RTD("tos.rtd",,$A$2,"."&amp;B$2&amp;B$1&amp;"C"&amp;$A21))-IF(RTD("tos.rtd",,$A$2,"."&amp;B$2&amp;B$1&amp;"P"&amp;$A21)="N/A",0,RTD("tos.rtd",,$A$2,"."&amp;B$2&amp;B$1&amp;"P"&amp;$A21))</f>
        <v>0</v>
      </c>
      <c r="C21" s="91">
        <f ca="1">IF(RTD("tos.rtd",,$A$2,"."&amp;C$2&amp;C$1&amp;"C"&amp;$A21)="N/A",0,RTD("tos.rtd",,$A$2,"."&amp;C$2&amp;C$1&amp;"C"&amp;$A21))-IF(RTD("tos.rtd",,$A$2,"."&amp;C$2&amp;C$1&amp;"P"&amp;$A21)="N/A",0,RTD("tos.rtd",,$A$2,"."&amp;C$2&amp;C$1&amp;"P"&amp;$A21))</f>
        <v>0</v>
      </c>
      <c r="D21" s="91">
        <f ca="1">IF(RTD("tos.rtd",,$A$2,"."&amp;D$2&amp;D$1&amp;"C"&amp;$A21)="N/A",0,RTD("tos.rtd",,$A$2,"."&amp;D$2&amp;D$1&amp;"C"&amp;$A21))-IF(RTD("tos.rtd",,$A$2,"."&amp;D$2&amp;D$1&amp;"P"&amp;$A21)="N/A",0,RTD("tos.rtd",,$A$2,"."&amp;D$2&amp;D$1&amp;"P"&amp;$A21))</f>
        <v>0</v>
      </c>
      <c r="E21" s="91">
        <f ca="1">IF(RTD("tos.rtd",,$A$2,"."&amp;E$2&amp;E$1&amp;"C"&amp;$A21)="N/A",0,RTD("tos.rtd",,$A$2,"."&amp;E$2&amp;E$1&amp;"C"&amp;$A21))-IF(RTD("tos.rtd",,$A$2,"."&amp;E$2&amp;E$1&amp;"P"&amp;$A21)="N/A",0,RTD("tos.rtd",,$A$2,"."&amp;E$2&amp;E$1&amp;"P"&amp;$A21))</f>
        <v>0</v>
      </c>
      <c r="F21" s="91">
        <f ca="1">IF(RTD("tos.rtd",,$A$2,"."&amp;F$2&amp;F$1&amp;"C"&amp;$A21)="N/A",0,RTD("tos.rtd",,$A$2,"."&amp;F$2&amp;F$1&amp;"C"&amp;$A21))-IF(RTD("tos.rtd",,$A$2,"."&amp;F$2&amp;F$1&amp;"P"&amp;$A21)="N/A",0,RTD("tos.rtd",,$A$2,"."&amp;F$2&amp;F$1&amp;"P"&amp;$A21))</f>
        <v>0</v>
      </c>
      <c r="G21" s="91">
        <f ca="1">IF(RTD("tos.rtd",,$A$2,"."&amp;G$2&amp;G$1&amp;"C"&amp;$A21)="N/A",0,RTD("tos.rtd",,$A$2,"."&amp;G$2&amp;G$1&amp;"C"&amp;$A21))-IF(RTD("tos.rtd",,$A$2,"."&amp;G$2&amp;G$1&amp;"P"&amp;$A21)="N/A",0,RTD("tos.rtd",,$A$2,"."&amp;G$2&amp;G$1&amp;"P"&amp;$A21))</f>
        <v>0</v>
      </c>
      <c r="H21" s="91">
        <f ca="1">IF(RTD("tos.rtd",,$A$2,"."&amp;H$2&amp;H$1&amp;"C"&amp;$A21)="N/A",0,RTD("tos.rtd",,$A$2,"."&amp;H$2&amp;H$1&amp;"C"&amp;$A21))-IF(RTD("tos.rtd",,$A$2,"."&amp;H$2&amp;H$1&amp;"P"&amp;$A21)="N/A",0,RTD("tos.rtd",,$A$2,"."&amp;H$2&amp;H$1&amp;"P"&amp;$A21))</f>
        <v>-111</v>
      </c>
      <c r="I21" s="91">
        <f ca="1">IF(RTD("tos.rtd",,$A$2,"."&amp;I$2&amp;I$1&amp;"C"&amp;$A21)="N/A",0,RTD("tos.rtd",,$A$2,"."&amp;I$2&amp;I$1&amp;"C"&amp;$A21))-IF(RTD("tos.rtd",,$A$2,"."&amp;I$2&amp;I$1&amp;"P"&amp;$A21)="N/A",0,RTD("tos.rtd",,$A$2,"."&amp;I$2&amp;I$1&amp;"P"&amp;$A21))</f>
        <v>-317</v>
      </c>
      <c r="J21" s="91">
        <f ca="1">IF(RTD("tos.rtd",,$A$2,"."&amp;J$2&amp;J$1&amp;"C"&amp;$A21)="N/A",0,RTD("tos.rtd",,$A$2,"."&amp;J$2&amp;J$1&amp;"C"&amp;$A21))-IF(RTD("tos.rtd",,$A$2,"."&amp;J$2&amp;J$1&amp;"P"&amp;$A21)="N/A",0,RTD("tos.rtd",,$A$2,"."&amp;J$2&amp;J$1&amp;"P"&amp;$A21))</f>
        <v>-291</v>
      </c>
      <c r="K21" s="91">
        <f ca="1">IF(RTD("tos.rtd",,$A$2,"."&amp;K$2&amp;K$1&amp;"C"&amp;$A21)="N/A",0,RTD("tos.rtd",,$A$2,"."&amp;K$2&amp;K$1&amp;"C"&amp;$A21))-IF(RTD("tos.rtd",,$A$2,"."&amp;K$2&amp;K$1&amp;"P"&amp;$A21)="N/A",0,RTD("tos.rtd",,$A$2,"."&amp;K$2&amp;K$1&amp;"P"&amp;$A21))</f>
        <v>0</v>
      </c>
      <c r="L21" s="91">
        <f ca="1">IF(RTD("tos.rtd",,$A$2,"."&amp;L$2&amp;L$1&amp;"C"&amp;$A21)="N/A",0,RTD("tos.rtd",,$A$2,"."&amp;L$2&amp;L$1&amp;"C"&amp;$A21))-IF(RTD("tos.rtd",,$A$2,"."&amp;L$2&amp;L$1&amp;"P"&amp;$A21)="N/A",0,RTD("tos.rtd",,$A$2,"."&amp;L$2&amp;L$1&amp;"P"&amp;$A21))</f>
        <v>-5</v>
      </c>
      <c r="M21" s="91">
        <f ca="1">IF(RTD("tos.rtd",,$A$2,"."&amp;M$2&amp;M$1&amp;"C"&amp;$A21)="N/A",0,RTD("tos.rtd",,$A$2,"."&amp;M$2&amp;M$1&amp;"C"&amp;$A21))-IF(RTD("tos.rtd",,$A$2,"."&amp;M$2&amp;M$1&amp;"P"&amp;$A21)="N/A",0,RTD("tos.rtd",,$A$2,"."&amp;M$2&amp;M$1&amp;"P"&amp;$A21))</f>
        <v>0</v>
      </c>
      <c r="N21" s="91">
        <f ca="1">IF(RTD("tos.rtd",,$A$2,"."&amp;N$2&amp;N$1&amp;"C"&amp;$A21)="N/A",0,RTD("tos.rtd",,$A$2,"."&amp;N$2&amp;N$1&amp;"C"&amp;$A21))-IF(RTD("tos.rtd",,$A$2,"."&amp;N$2&amp;N$1&amp;"P"&amp;$A21)="N/A",0,RTD("tos.rtd",,$A$2,"."&amp;N$2&amp;N$1&amp;"P"&amp;$A21))</f>
        <v>2</v>
      </c>
      <c r="O21" s="91">
        <f ca="1">IF(RTD("tos.rtd",,$A$2,"."&amp;O$2&amp;O$1&amp;"C"&amp;$A21)="N/A",0,RTD("tos.rtd",,$A$2,"."&amp;O$2&amp;O$1&amp;"C"&amp;$A21))-IF(RTD("tos.rtd",,$A$2,"."&amp;O$2&amp;O$1&amp;"P"&amp;$A21)="N/A",0,RTD("tos.rtd",,$A$2,"."&amp;O$2&amp;O$1&amp;"P"&amp;$A21))</f>
        <v>-83</v>
      </c>
      <c r="P21" s="91">
        <f ca="1">IF(RTD("tos.rtd",,$A$2,"."&amp;P$2&amp;P$1&amp;"C"&amp;$A21)="N/A",0,RTD("tos.rtd",,$A$2,"."&amp;P$2&amp;P$1&amp;"C"&amp;$A21))-IF(RTD("tos.rtd",,$A$2,"."&amp;P$2&amp;P$1&amp;"P"&amp;$A21)="N/A",0,RTD("tos.rtd",,$A$2,"."&amp;P$2&amp;P$1&amp;"P"&amp;$A21))</f>
        <v>28</v>
      </c>
      <c r="Q21" s="91">
        <f ca="1">IF(RTD("tos.rtd",,$A$2,"."&amp;Q$2&amp;Q$1&amp;"C"&amp;$A21)="N/A",0,RTD("tos.rtd",,$A$2,"."&amp;Q$2&amp;Q$1&amp;"C"&amp;$A21))-IF(RTD("tos.rtd",,$A$2,"."&amp;Q$2&amp;Q$1&amp;"P"&amp;$A21)="N/A",0,RTD("tos.rtd",,$A$2,"."&amp;Q$2&amp;Q$1&amp;"P"&amp;$A21))</f>
        <v>0</v>
      </c>
      <c r="R21" s="91">
        <f ca="1">IF(RTD("tos.rtd",,$A$2,"."&amp;R$2&amp;R$1&amp;"C"&amp;$A21)="N/A",0,RTD("tos.rtd",,$A$2,"."&amp;R$2&amp;R$1&amp;"C"&amp;$A21))-IF(RTD("tos.rtd",,$A$2,"."&amp;R$2&amp;R$1&amp;"P"&amp;$A21)="N/A",0,RTD("tos.rtd",,$A$2,"."&amp;R$2&amp;R$1&amp;"P"&amp;$A21))</f>
        <v>2</v>
      </c>
      <c r="S21" s="91">
        <f ca="1">IF(RTD("tos.rtd",,$A$2,"."&amp;S$2&amp;S$1&amp;"C"&amp;$A21)="N/A",0,RTD("tos.rtd",,$A$2,"."&amp;S$2&amp;S$1&amp;"C"&amp;$A21))-IF(RTD("tos.rtd",,$A$2,"."&amp;S$2&amp;S$1&amp;"P"&amp;$A21)="N/A",0,RTD("tos.rtd",,$A$2,"."&amp;S$2&amp;S$1&amp;"P"&amp;$A21))</f>
        <v>0</v>
      </c>
      <c r="T21" s="91">
        <f ca="1">IF(RTD("tos.rtd",,$A$2,"."&amp;T$2&amp;T$1&amp;"C"&amp;$A21)="N/A",0,RTD("tos.rtd",,$A$2,"."&amp;T$2&amp;T$1&amp;"C"&amp;$A21))-IF(RTD("tos.rtd",,$A$2,"."&amp;T$2&amp;T$1&amp;"P"&amp;$A21)="N/A",0,RTD("tos.rtd",,$A$2,"."&amp;T$2&amp;T$1&amp;"P"&amp;$A21))</f>
        <v>0</v>
      </c>
      <c r="U21" s="91">
        <f ca="1">IF(RTD("tos.rtd",,$A$2,"."&amp;U$2&amp;U$1&amp;"C"&amp;$A21)="N/A",0,RTD("tos.rtd",,$A$2,"."&amp;U$2&amp;U$1&amp;"C"&amp;$A21))-IF(RTD("tos.rtd",,$A$2,"."&amp;U$2&amp;U$1&amp;"P"&amp;$A21)="N/A",0,RTD("tos.rtd",,$A$2,"."&amp;U$2&amp;U$1&amp;"P"&amp;$A21))</f>
        <v>0</v>
      </c>
      <c r="V21" s="91">
        <f ca="1">IF(RTD("tos.rtd",,$A$2,"."&amp;V$2&amp;V$1&amp;"C"&amp;$A21)="N/A",0,RTD("tos.rtd",,$A$2,"."&amp;V$2&amp;V$1&amp;"C"&amp;$A21))-IF(RTD("tos.rtd",,$A$2,"."&amp;V$2&amp;V$1&amp;"P"&amp;$A21)="N/A",0,RTD("tos.rtd",,$A$2,"."&amp;V$2&amp;V$1&amp;"P"&amp;$A21))</f>
        <v>0</v>
      </c>
      <c r="W21" s="91">
        <f ca="1">IF(RTD("tos.rtd",,$A$2,"."&amp;W$2&amp;W$1&amp;"C"&amp;$A21)="N/A",0,RTD("tos.rtd",,$A$2,"."&amp;W$2&amp;W$1&amp;"C"&amp;$A21))-IF(RTD("tos.rtd",,$A$2,"."&amp;W$2&amp;W$1&amp;"P"&amp;$A21)="N/A",0,RTD("tos.rtd",,$A$2,"."&amp;W$2&amp;W$1&amp;"P"&amp;$A21))</f>
        <v>0</v>
      </c>
      <c r="X21" s="91">
        <f ca="1">IF(RTD("tos.rtd",,$A$2,"."&amp;X$2&amp;X$1&amp;"C"&amp;$A21)="N/A",0,RTD("tos.rtd",,$A$2,"."&amp;X$2&amp;X$1&amp;"C"&amp;$A21))-IF(RTD("tos.rtd",,$A$2,"."&amp;X$2&amp;X$1&amp;"P"&amp;$A21)="N/A",0,RTD("tos.rtd",,$A$2,"."&amp;X$2&amp;X$1&amp;"P"&amp;$A21))</f>
        <v>0</v>
      </c>
      <c r="Y21" s="98">
        <f t="shared" ca="1" si="3"/>
        <v>-775</v>
      </c>
    </row>
    <row r="22" spans="1:25" x14ac:dyDescent="0.25">
      <c r="A22" s="93">
        <f>+Hoja1!A21</f>
        <v>575</v>
      </c>
      <c r="B22" s="91">
        <f ca="1">IF(RTD("tos.rtd",,$A$2,"."&amp;B$2&amp;B$1&amp;"C"&amp;$A22)="N/A",0,RTD("tos.rtd",,$A$2,"."&amp;B$2&amp;B$1&amp;"C"&amp;$A22))-IF(RTD("tos.rtd",,$A$2,"."&amp;B$2&amp;B$1&amp;"P"&amp;$A22)="N/A",0,RTD("tos.rtd",,$A$2,"."&amp;B$2&amp;B$1&amp;"P"&amp;$A22))</f>
        <v>0</v>
      </c>
      <c r="C22" s="91">
        <f ca="1">IF(RTD("tos.rtd",,$A$2,"."&amp;C$2&amp;C$1&amp;"C"&amp;$A22)="N/A",0,RTD("tos.rtd",,$A$2,"."&amp;C$2&amp;C$1&amp;"C"&amp;$A22))-IF(RTD("tos.rtd",,$A$2,"."&amp;C$2&amp;C$1&amp;"P"&amp;$A22)="N/A",0,RTD("tos.rtd",,$A$2,"."&amp;C$2&amp;C$1&amp;"P"&amp;$A22))</f>
        <v>0</v>
      </c>
      <c r="D22" s="91">
        <f ca="1">IF(RTD("tos.rtd",,$A$2,"."&amp;D$2&amp;D$1&amp;"C"&amp;$A22)="N/A",0,RTD("tos.rtd",,$A$2,"."&amp;D$2&amp;D$1&amp;"C"&amp;$A22))-IF(RTD("tos.rtd",,$A$2,"."&amp;D$2&amp;D$1&amp;"P"&amp;$A22)="N/A",0,RTD("tos.rtd",,$A$2,"."&amp;D$2&amp;D$1&amp;"P"&amp;$A22))</f>
        <v>0</v>
      </c>
      <c r="E22" s="91">
        <f ca="1">IF(RTD("tos.rtd",,$A$2,"."&amp;E$2&amp;E$1&amp;"C"&amp;$A22)="N/A",0,RTD("tos.rtd",,$A$2,"."&amp;E$2&amp;E$1&amp;"C"&amp;$A22))-IF(RTD("tos.rtd",,$A$2,"."&amp;E$2&amp;E$1&amp;"P"&amp;$A22)="N/A",0,RTD("tos.rtd",,$A$2,"."&amp;E$2&amp;E$1&amp;"P"&amp;$A22))</f>
        <v>0</v>
      </c>
      <c r="F22" s="91">
        <f ca="1">IF(RTD("tos.rtd",,$A$2,"."&amp;F$2&amp;F$1&amp;"C"&amp;$A22)="N/A",0,RTD("tos.rtd",,$A$2,"."&amp;F$2&amp;F$1&amp;"C"&amp;$A22))-IF(RTD("tos.rtd",,$A$2,"."&amp;F$2&amp;F$1&amp;"P"&amp;$A22)="N/A",0,RTD("tos.rtd",,$A$2,"."&amp;F$2&amp;F$1&amp;"P"&amp;$A22))</f>
        <v>0</v>
      </c>
      <c r="G22" s="91">
        <f ca="1">IF(RTD("tos.rtd",,$A$2,"."&amp;G$2&amp;G$1&amp;"C"&amp;$A22)="N/A",0,RTD("tos.rtd",,$A$2,"."&amp;G$2&amp;G$1&amp;"C"&amp;$A22))-IF(RTD("tos.rtd",,$A$2,"."&amp;G$2&amp;G$1&amp;"P"&amp;$A22)="N/A",0,RTD("tos.rtd",,$A$2,"."&amp;G$2&amp;G$1&amp;"P"&amp;$A22))</f>
        <v>0</v>
      </c>
      <c r="H22" s="91">
        <f ca="1">IF(RTD("tos.rtd",,$A$2,"."&amp;H$2&amp;H$1&amp;"C"&amp;$A22)="N/A",0,RTD("tos.rtd",,$A$2,"."&amp;H$2&amp;H$1&amp;"C"&amp;$A22))-IF(RTD("tos.rtd",,$A$2,"."&amp;H$2&amp;H$1&amp;"P"&amp;$A22)="N/A",0,RTD("tos.rtd",,$A$2,"."&amp;H$2&amp;H$1&amp;"P"&amp;$A22))</f>
        <v>-9482</v>
      </c>
      <c r="I22" s="91">
        <f ca="1">IF(RTD("tos.rtd",,$A$2,"."&amp;I$2&amp;I$1&amp;"C"&amp;$A22)="N/A",0,RTD("tos.rtd",,$A$2,"."&amp;I$2&amp;I$1&amp;"C"&amp;$A22))-IF(RTD("tos.rtd",,$A$2,"."&amp;I$2&amp;I$1&amp;"P"&amp;$A22)="N/A",0,RTD("tos.rtd",,$A$2,"."&amp;I$2&amp;I$1&amp;"P"&amp;$A22))</f>
        <v>-5627</v>
      </c>
      <c r="J22" s="91">
        <f ca="1">IF(RTD("tos.rtd",,$A$2,"."&amp;J$2&amp;J$1&amp;"C"&amp;$A22)="N/A",0,RTD("tos.rtd",,$A$2,"."&amp;J$2&amp;J$1&amp;"C"&amp;$A22))-IF(RTD("tos.rtd",,$A$2,"."&amp;J$2&amp;J$1&amp;"P"&amp;$A22)="N/A",0,RTD("tos.rtd",,$A$2,"."&amp;J$2&amp;J$1&amp;"P"&amp;$A22))</f>
        <v>14</v>
      </c>
      <c r="K22" s="91">
        <f ca="1">IF(RTD("tos.rtd",,$A$2,"."&amp;K$2&amp;K$1&amp;"C"&amp;$A22)="N/A",0,RTD("tos.rtd",,$A$2,"."&amp;K$2&amp;K$1&amp;"C"&amp;$A22))-IF(RTD("tos.rtd",,$A$2,"."&amp;K$2&amp;K$1&amp;"P"&amp;$A22)="N/A",0,RTD("tos.rtd",,$A$2,"."&amp;K$2&amp;K$1&amp;"P"&amp;$A22))</f>
        <v>0</v>
      </c>
      <c r="L22" s="91">
        <f ca="1">IF(RTD("tos.rtd",,$A$2,"."&amp;L$2&amp;L$1&amp;"C"&amp;$A22)="N/A",0,RTD("tos.rtd",,$A$2,"."&amp;L$2&amp;L$1&amp;"C"&amp;$A22))-IF(RTD("tos.rtd",,$A$2,"."&amp;L$2&amp;L$1&amp;"P"&amp;$A22)="N/A",0,RTD("tos.rtd",,$A$2,"."&amp;L$2&amp;L$1&amp;"P"&amp;$A22))</f>
        <v>-1053</v>
      </c>
      <c r="M22" s="91">
        <f ca="1">IF(RTD("tos.rtd",,$A$2,"."&amp;M$2&amp;M$1&amp;"C"&amp;$A22)="N/A",0,RTD("tos.rtd",,$A$2,"."&amp;M$2&amp;M$1&amp;"C"&amp;$A22))-IF(RTD("tos.rtd",,$A$2,"."&amp;M$2&amp;M$1&amp;"P"&amp;$A22)="N/A",0,RTD("tos.rtd",,$A$2,"."&amp;M$2&amp;M$1&amp;"P"&amp;$A22))</f>
        <v>-12838</v>
      </c>
      <c r="N22" s="91">
        <f ca="1">IF(RTD("tos.rtd",,$A$2,"."&amp;N$2&amp;N$1&amp;"C"&amp;$A22)="N/A",0,RTD("tos.rtd",,$A$2,"."&amp;N$2&amp;N$1&amp;"C"&amp;$A22))-IF(RTD("tos.rtd",,$A$2,"."&amp;N$2&amp;N$1&amp;"P"&amp;$A22)="N/A",0,RTD("tos.rtd",,$A$2,"."&amp;N$2&amp;N$1&amp;"P"&amp;$A22))</f>
        <v>166</v>
      </c>
      <c r="O22" s="91">
        <f ca="1">IF(RTD("tos.rtd",,$A$2,"."&amp;O$2&amp;O$1&amp;"C"&amp;$A22)="N/A",0,RTD("tos.rtd",,$A$2,"."&amp;O$2&amp;O$1&amp;"C"&amp;$A22))-IF(RTD("tos.rtd",,$A$2,"."&amp;O$2&amp;O$1&amp;"P"&amp;$A22)="N/A",0,RTD("tos.rtd",,$A$2,"."&amp;O$2&amp;O$1&amp;"P"&amp;$A22))</f>
        <v>-6063</v>
      </c>
      <c r="P22" s="91">
        <f ca="1">IF(RTD("tos.rtd",,$A$2,"."&amp;P$2&amp;P$1&amp;"C"&amp;$A22)="N/A",0,RTD("tos.rtd",,$A$2,"."&amp;P$2&amp;P$1&amp;"C"&amp;$A22))-IF(RTD("tos.rtd",,$A$2,"."&amp;P$2&amp;P$1&amp;"P"&amp;$A22)="N/A",0,RTD("tos.rtd",,$A$2,"."&amp;P$2&amp;P$1&amp;"P"&amp;$A22))</f>
        <v>42</v>
      </c>
      <c r="Q22" s="91">
        <f ca="1">IF(RTD("tos.rtd",,$A$2,"."&amp;Q$2&amp;Q$1&amp;"C"&amp;$A22)="N/A",0,RTD("tos.rtd",,$A$2,"."&amp;Q$2&amp;Q$1&amp;"C"&amp;$A22))-IF(RTD("tos.rtd",,$A$2,"."&amp;Q$2&amp;Q$1&amp;"P"&amp;$A22)="N/A",0,RTD("tos.rtd",,$A$2,"."&amp;Q$2&amp;Q$1&amp;"P"&amp;$A22))</f>
        <v>-2845</v>
      </c>
      <c r="R22" s="91">
        <f ca="1">IF(RTD("tos.rtd",,$A$2,"."&amp;R$2&amp;R$1&amp;"C"&amp;$A22)="N/A",0,RTD("tos.rtd",,$A$2,"."&amp;R$2&amp;R$1&amp;"C"&amp;$A22))-IF(RTD("tos.rtd",,$A$2,"."&amp;R$2&amp;R$1&amp;"P"&amp;$A22)="N/A",0,RTD("tos.rtd",,$A$2,"."&amp;R$2&amp;R$1&amp;"P"&amp;$A22))</f>
        <v>-637</v>
      </c>
      <c r="S22" s="91">
        <f ca="1">IF(RTD("tos.rtd",,$A$2,"."&amp;S$2&amp;S$1&amp;"C"&amp;$A22)="N/A",0,RTD("tos.rtd",,$A$2,"."&amp;S$2&amp;S$1&amp;"C"&amp;$A22))-IF(RTD("tos.rtd",,$A$2,"."&amp;S$2&amp;S$1&amp;"P"&amp;$A22)="N/A",0,RTD("tos.rtd",,$A$2,"."&amp;S$2&amp;S$1&amp;"P"&amp;$A22))</f>
        <v>0</v>
      </c>
      <c r="T22" s="91">
        <f ca="1">IF(RTD("tos.rtd",,$A$2,"."&amp;T$2&amp;T$1&amp;"C"&amp;$A22)="N/A",0,RTD("tos.rtd",,$A$2,"."&amp;T$2&amp;T$1&amp;"C"&amp;$A22))-IF(RTD("tos.rtd",,$A$2,"."&amp;T$2&amp;T$1&amp;"P"&amp;$A22)="N/A",0,RTD("tos.rtd",,$A$2,"."&amp;T$2&amp;T$1&amp;"P"&amp;$A22))</f>
        <v>-120</v>
      </c>
      <c r="U22" s="91">
        <f ca="1">IF(RTD("tos.rtd",,$A$2,"."&amp;U$2&amp;U$1&amp;"C"&amp;$A22)="N/A",0,RTD("tos.rtd",,$A$2,"."&amp;U$2&amp;U$1&amp;"C"&amp;$A22))-IF(RTD("tos.rtd",,$A$2,"."&amp;U$2&amp;U$1&amp;"P"&amp;$A22)="N/A",0,RTD("tos.rtd",,$A$2,"."&amp;U$2&amp;U$1&amp;"P"&amp;$A22))</f>
        <v>0</v>
      </c>
      <c r="V22" s="91">
        <f ca="1">IF(RTD("tos.rtd",,$A$2,"."&amp;V$2&amp;V$1&amp;"C"&amp;$A22)="N/A",0,RTD("tos.rtd",,$A$2,"."&amp;V$2&amp;V$1&amp;"C"&amp;$A22))-IF(RTD("tos.rtd",,$A$2,"."&amp;V$2&amp;V$1&amp;"P"&amp;$A22)="N/A",0,RTD("tos.rtd",,$A$2,"."&amp;V$2&amp;V$1&amp;"P"&amp;$A22))</f>
        <v>0</v>
      </c>
      <c r="W22" s="91">
        <f ca="1">IF(RTD("tos.rtd",,$A$2,"."&amp;W$2&amp;W$1&amp;"C"&amp;$A22)="N/A",0,RTD("tos.rtd",,$A$2,"."&amp;W$2&amp;W$1&amp;"C"&amp;$A22))-IF(RTD("tos.rtd",,$A$2,"."&amp;W$2&amp;W$1&amp;"P"&amp;$A22)="N/A",0,RTD("tos.rtd",,$A$2,"."&amp;W$2&amp;W$1&amp;"P"&amp;$A22))</f>
        <v>-183</v>
      </c>
      <c r="X22" s="91">
        <f ca="1">IF(RTD("tos.rtd",,$A$2,"."&amp;X$2&amp;X$1&amp;"C"&amp;$A22)="N/A",0,RTD("tos.rtd",,$A$2,"."&amp;X$2&amp;X$1&amp;"C"&amp;$A22))-IF(RTD("tos.rtd",,$A$2,"."&amp;X$2&amp;X$1&amp;"P"&amp;$A22)="N/A",0,RTD("tos.rtd",,$A$2,"."&amp;X$2&amp;X$1&amp;"P"&amp;$A22))</f>
        <v>-8</v>
      </c>
      <c r="Y22" s="98">
        <f t="shared" ca="1" si="3"/>
        <v>-38634</v>
      </c>
    </row>
    <row r="23" spans="1:25" x14ac:dyDescent="0.25">
      <c r="A23" s="93">
        <f>+Hoja1!A22</f>
        <v>574</v>
      </c>
      <c r="B23" s="91">
        <f ca="1">IF(RTD("tos.rtd",,$A$2,"."&amp;B$2&amp;B$1&amp;"C"&amp;$A23)="N/A",0,RTD("tos.rtd",,$A$2,"."&amp;B$2&amp;B$1&amp;"C"&amp;$A23))-IF(RTD("tos.rtd",,$A$2,"."&amp;B$2&amp;B$1&amp;"P"&amp;$A23)="N/A",0,RTD("tos.rtd",,$A$2,"."&amp;B$2&amp;B$1&amp;"P"&amp;$A23))</f>
        <v>0</v>
      </c>
      <c r="C23" s="91">
        <f ca="1">IF(RTD("tos.rtd",,$A$2,"."&amp;C$2&amp;C$1&amp;"C"&amp;$A23)="N/A",0,RTD("tos.rtd",,$A$2,"."&amp;C$2&amp;C$1&amp;"C"&amp;$A23))-IF(RTD("tos.rtd",,$A$2,"."&amp;C$2&amp;C$1&amp;"P"&amp;$A23)="N/A",0,RTD("tos.rtd",,$A$2,"."&amp;C$2&amp;C$1&amp;"P"&amp;$A23))</f>
        <v>0</v>
      </c>
      <c r="D23" s="91">
        <f ca="1">IF(RTD("tos.rtd",,$A$2,"."&amp;D$2&amp;D$1&amp;"C"&amp;$A23)="N/A",0,RTD("tos.rtd",,$A$2,"."&amp;D$2&amp;D$1&amp;"C"&amp;$A23))-IF(RTD("tos.rtd",,$A$2,"."&amp;D$2&amp;D$1&amp;"P"&amp;$A23)="N/A",0,RTD("tos.rtd",,$A$2,"."&amp;D$2&amp;D$1&amp;"P"&amp;$A23))</f>
        <v>0</v>
      </c>
      <c r="E23" s="91">
        <f ca="1">IF(RTD("tos.rtd",,$A$2,"."&amp;E$2&amp;E$1&amp;"C"&amp;$A23)="N/A",0,RTD("tos.rtd",,$A$2,"."&amp;E$2&amp;E$1&amp;"C"&amp;$A23))-IF(RTD("tos.rtd",,$A$2,"."&amp;E$2&amp;E$1&amp;"P"&amp;$A23)="N/A",0,RTD("tos.rtd",,$A$2,"."&amp;E$2&amp;E$1&amp;"P"&amp;$A23))</f>
        <v>0</v>
      </c>
      <c r="F23" s="91">
        <f ca="1">IF(RTD("tos.rtd",,$A$2,"."&amp;F$2&amp;F$1&amp;"C"&amp;$A23)="N/A",0,RTD("tos.rtd",,$A$2,"."&amp;F$2&amp;F$1&amp;"C"&amp;$A23))-IF(RTD("tos.rtd",,$A$2,"."&amp;F$2&amp;F$1&amp;"P"&amp;$A23)="N/A",0,RTD("tos.rtd",,$A$2,"."&amp;F$2&amp;F$1&amp;"P"&amp;$A23))</f>
        <v>0</v>
      </c>
      <c r="G23" s="91">
        <f ca="1">IF(RTD("tos.rtd",,$A$2,"."&amp;G$2&amp;G$1&amp;"C"&amp;$A23)="N/A",0,RTD("tos.rtd",,$A$2,"."&amp;G$2&amp;G$1&amp;"C"&amp;$A23))-IF(RTD("tos.rtd",,$A$2,"."&amp;G$2&amp;G$1&amp;"P"&amp;$A23)="N/A",0,RTD("tos.rtd",,$A$2,"."&amp;G$2&amp;G$1&amp;"P"&amp;$A23))</f>
        <v>0</v>
      </c>
      <c r="H23" s="91">
        <f ca="1">IF(RTD("tos.rtd",,$A$2,"."&amp;H$2&amp;H$1&amp;"C"&amp;$A23)="N/A",0,RTD("tos.rtd",,$A$2,"."&amp;H$2&amp;H$1&amp;"C"&amp;$A23))-IF(RTD("tos.rtd",,$A$2,"."&amp;H$2&amp;H$1&amp;"P"&amp;$A23)="N/A",0,RTD("tos.rtd",,$A$2,"."&amp;H$2&amp;H$1&amp;"P"&amp;$A23))</f>
        <v>-358</v>
      </c>
      <c r="I23" s="91">
        <f ca="1">IF(RTD("tos.rtd",,$A$2,"."&amp;I$2&amp;I$1&amp;"C"&amp;$A23)="N/A",0,RTD("tos.rtd",,$A$2,"."&amp;I$2&amp;I$1&amp;"C"&amp;$A23))-IF(RTD("tos.rtd",,$A$2,"."&amp;I$2&amp;I$1&amp;"P"&amp;$A23)="N/A",0,RTD("tos.rtd",,$A$2,"."&amp;I$2&amp;I$1&amp;"P"&amp;$A23))</f>
        <v>-41</v>
      </c>
      <c r="J23" s="91">
        <f ca="1">IF(RTD("tos.rtd",,$A$2,"."&amp;J$2&amp;J$1&amp;"C"&amp;$A23)="N/A",0,RTD("tos.rtd",,$A$2,"."&amp;J$2&amp;J$1&amp;"C"&amp;$A23))-IF(RTD("tos.rtd",,$A$2,"."&amp;J$2&amp;J$1&amp;"P"&amp;$A23)="N/A",0,RTD("tos.rtd",,$A$2,"."&amp;J$2&amp;J$1&amp;"P"&amp;$A23))</f>
        <v>-77</v>
      </c>
      <c r="K23" s="91">
        <f ca="1">IF(RTD("tos.rtd",,$A$2,"."&amp;K$2&amp;K$1&amp;"C"&amp;$A23)="N/A",0,RTD("tos.rtd",,$A$2,"."&amp;K$2&amp;K$1&amp;"C"&amp;$A23))-IF(RTD("tos.rtd",,$A$2,"."&amp;K$2&amp;K$1&amp;"P"&amp;$A23)="N/A",0,RTD("tos.rtd",,$A$2,"."&amp;K$2&amp;K$1&amp;"P"&amp;$A23))</f>
        <v>0</v>
      </c>
      <c r="L23" s="91">
        <f ca="1">IF(RTD("tos.rtd",,$A$2,"."&amp;L$2&amp;L$1&amp;"C"&amp;$A23)="N/A",0,RTD("tos.rtd",,$A$2,"."&amp;L$2&amp;L$1&amp;"C"&amp;$A23))-IF(RTD("tos.rtd",,$A$2,"."&amp;L$2&amp;L$1&amp;"P"&amp;$A23)="N/A",0,RTD("tos.rtd",,$A$2,"."&amp;L$2&amp;L$1&amp;"P"&amp;$A23))</f>
        <v>-40</v>
      </c>
      <c r="M23" s="91">
        <f ca="1">IF(RTD("tos.rtd",,$A$2,"."&amp;M$2&amp;M$1&amp;"C"&amp;$A23)="N/A",0,RTD("tos.rtd",,$A$2,"."&amp;M$2&amp;M$1&amp;"C"&amp;$A23))-IF(RTD("tos.rtd",,$A$2,"."&amp;M$2&amp;M$1&amp;"P"&amp;$A23)="N/A",0,RTD("tos.rtd",,$A$2,"."&amp;M$2&amp;M$1&amp;"P"&amp;$A23))</f>
        <v>0</v>
      </c>
      <c r="N23" s="91">
        <f ca="1">IF(RTD("tos.rtd",,$A$2,"."&amp;N$2&amp;N$1&amp;"C"&amp;$A23)="N/A",0,RTD("tos.rtd",,$A$2,"."&amp;N$2&amp;N$1&amp;"C"&amp;$A23))-IF(RTD("tos.rtd",,$A$2,"."&amp;N$2&amp;N$1&amp;"P"&amp;$A23)="N/A",0,RTD("tos.rtd",,$A$2,"."&amp;N$2&amp;N$1&amp;"P"&amp;$A23))</f>
        <v>-6</v>
      </c>
      <c r="O23" s="91">
        <f ca="1">IF(RTD("tos.rtd",,$A$2,"."&amp;O$2&amp;O$1&amp;"C"&amp;$A23)="N/A",0,RTD("tos.rtd",,$A$2,"."&amp;O$2&amp;O$1&amp;"C"&amp;$A23))-IF(RTD("tos.rtd",,$A$2,"."&amp;O$2&amp;O$1&amp;"P"&amp;$A23)="N/A",0,RTD("tos.rtd",,$A$2,"."&amp;O$2&amp;O$1&amp;"P"&amp;$A23))</f>
        <v>19</v>
      </c>
      <c r="P23" s="91">
        <f ca="1">IF(RTD("tos.rtd",,$A$2,"."&amp;P$2&amp;P$1&amp;"C"&amp;$A23)="N/A",0,RTD("tos.rtd",,$A$2,"."&amp;P$2&amp;P$1&amp;"C"&amp;$A23))-IF(RTD("tos.rtd",,$A$2,"."&amp;P$2&amp;P$1&amp;"P"&amp;$A23)="N/A",0,RTD("tos.rtd",,$A$2,"."&amp;P$2&amp;P$1&amp;"P"&amp;$A23))</f>
        <v>2</v>
      </c>
      <c r="Q23" s="91">
        <f ca="1">IF(RTD("tos.rtd",,$A$2,"."&amp;Q$2&amp;Q$1&amp;"C"&amp;$A23)="N/A",0,RTD("tos.rtd",,$A$2,"."&amp;Q$2&amp;Q$1&amp;"C"&amp;$A23))-IF(RTD("tos.rtd",,$A$2,"."&amp;Q$2&amp;Q$1&amp;"P"&amp;$A23)="N/A",0,RTD("tos.rtd",,$A$2,"."&amp;Q$2&amp;Q$1&amp;"P"&amp;$A23))</f>
        <v>0</v>
      </c>
      <c r="R23" s="91">
        <f ca="1">IF(RTD("tos.rtd",,$A$2,"."&amp;R$2&amp;R$1&amp;"C"&amp;$A23)="N/A",0,RTD("tos.rtd",,$A$2,"."&amp;R$2&amp;R$1&amp;"C"&amp;$A23))-IF(RTD("tos.rtd",,$A$2,"."&amp;R$2&amp;R$1&amp;"P"&amp;$A23)="N/A",0,RTD("tos.rtd",,$A$2,"."&amp;R$2&amp;R$1&amp;"P"&amp;$A23))</f>
        <v>-22</v>
      </c>
      <c r="S23" s="91">
        <f ca="1">IF(RTD("tos.rtd",,$A$2,"."&amp;S$2&amp;S$1&amp;"C"&amp;$A23)="N/A",0,RTD("tos.rtd",,$A$2,"."&amp;S$2&amp;S$1&amp;"C"&amp;$A23))-IF(RTD("tos.rtd",,$A$2,"."&amp;S$2&amp;S$1&amp;"P"&amp;$A23)="N/A",0,RTD("tos.rtd",,$A$2,"."&amp;S$2&amp;S$1&amp;"P"&amp;$A23))</f>
        <v>0</v>
      </c>
      <c r="T23" s="91">
        <f ca="1">IF(RTD("tos.rtd",,$A$2,"."&amp;T$2&amp;T$1&amp;"C"&amp;$A23)="N/A",0,RTD("tos.rtd",,$A$2,"."&amp;T$2&amp;T$1&amp;"C"&amp;$A23))-IF(RTD("tos.rtd",,$A$2,"."&amp;T$2&amp;T$1&amp;"P"&amp;$A23)="N/A",0,RTD("tos.rtd",,$A$2,"."&amp;T$2&amp;T$1&amp;"P"&amp;$A23))</f>
        <v>0</v>
      </c>
      <c r="U23" s="91">
        <f ca="1">IF(RTD("tos.rtd",,$A$2,"."&amp;U$2&amp;U$1&amp;"C"&amp;$A23)="N/A",0,RTD("tos.rtd",,$A$2,"."&amp;U$2&amp;U$1&amp;"C"&amp;$A23))-IF(RTD("tos.rtd",,$A$2,"."&amp;U$2&amp;U$1&amp;"P"&amp;$A23)="N/A",0,RTD("tos.rtd",,$A$2,"."&amp;U$2&amp;U$1&amp;"P"&amp;$A23))</f>
        <v>0</v>
      </c>
      <c r="V23" s="91">
        <f ca="1">IF(RTD("tos.rtd",,$A$2,"."&amp;V$2&amp;V$1&amp;"C"&amp;$A23)="N/A",0,RTD("tos.rtd",,$A$2,"."&amp;V$2&amp;V$1&amp;"C"&amp;$A23))-IF(RTD("tos.rtd",,$A$2,"."&amp;V$2&amp;V$1&amp;"P"&amp;$A23)="N/A",0,RTD("tos.rtd",,$A$2,"."&amp;V$2&amp;V$1&amp;"P"&amp;$A23))</f>
        <v>0</v>
      </c>
      <c r="W23" s="91">
        <f ca="1">IF(RTD("tos.rtd",,$A$2,"."&amp;W$2&amp;W$1&amp;"C"&amp;$A23)="N/A",0,RTD("tos.rtd",,$A$2,"."&amp;W$2&amp;W$1&amp;"C"&amp;$A23))-IF(RTD("tos.rtd",,$A$2,"."&amp;W$2&amp;W$1&amp;"P"&amp;$A23)="N/A",0,RTD("tos.rtd",,$A$2,"."&amp;W$2&amp;W$1&amp;"P"&amp;$A23))</f>
        <v>0</v>
      </c>
      <c r="X23" s="91">
        <f ca="1">IF(RTD("tos.rtd",,$A$2,"."&amp;X$2&amp;X$1&amp;"C"&amp;$A23)="N/A",0,RTD("tos.rtd",,$A$2,"."&amp;X$2&amp;X$1&amp;"C"&amp;$A23))-IF(RTD("tos.rtd",,$A$2,"."&amp;X$2&amp;X$1&amp;"P"&amp;$A23)="N/A",0,RTD("tos.rtd",,$A$2,"."&amp;X$2&amp;X$1&amp;"P"&amp;$A23))</f>
        <v>1</v>
      </c>
      <c r="Y23" s="98">
        <f t="shared" ca="1" si="3"/>
        <v>-522</v>
      </c>
    </row>
    <row r="24" spans="1:25" x14ac:dyDescent="0.25">
      <c r="A24" s="93">
        <f>+Hoja1!A23</f>
        <v>573</v>
      </c>
      <c r="B24" s="91">
        <f ca="1">IF(RTD("tos.rtd",,$A$2,"."&amp;B$2&amp;B$1&amp;"C"&amp;$A24)="N/A",0,RTD("tos.rtd",,$A$2,"."&amp;B$2&amp;B$1&amp;"C"&amp;$A24))-IF(RTD("tos.rtd",,$A$2,"."&amp;B$2&amp;B$1&amp;"P"&amp;$A24)="N/A",0,RTD("tos.rtd",,$A$2,"."&amp;B$2&amp;B$1&amp;"P"&amp;$A24))</f>
        <v>0</v>
      </c>
      <c r="C24" s="91">
        <f ca="1">IF(RTD("tos.rtd",,$A$2,"."&amp;C$2&amp;C$1&amp;"C"&amp;$A24)="N/A",0,RTD("tos.rtd",,$A$2,"."&amp;C$2&amp;C$1&amp;"C"&amp;$A24))-IF(RTD("tos.rtd",,$A$2,"."&amp;C$2&amp;C$1&amp;"P"&amp;$A24)="N/A",0,RTD("tos.rtd",,$A$2,"."&amp;C$2&amp;C$1&amp;"P"&amp;$A24))</f>
        <v>0</v>
      </c>
      <c r="D24" s="91">
        <f ca="1">IF(RTD("tos.rtd",,$A$2,"."&amp;D$2&amp;D$1&amp;"C"&amp;$A24)="N/A",0,RTD("tos.rtd",,$A$2,"."&amp;D$2&amp;D$1&amp;"C"&amp;$A24))-IF(RTD("tos.rtd",,$A$2,"."&amp;D$2&amp;D$1&amp;"P"&amp;$A24)="N/A",0,RTD("tos.rtd",,$A$2,"."&amp;D$2&amp;D$1&amp;"P"&amp;$A24))</f>
        <v>0</v>
      </c>
      <c r="E24" s="91">
        <f ca="1">IF(RTD("tos.rtd",,$A$2,"."&amp;E$2&amp;E$1&amp;"C"&amp;$A24)="N/A",0,RTD("tos.rtd",,$A$2,"."&amp;E$2&amp;E$1&amp;"C"&amp;$A24))-IF(RTD("tos.rtd",,$A$2,"."&amp;E$2&amp;E$1&amp;"P"&amp;$A24)="N/A",0,RTD("tos.rtd",,$A$2,"."&amp;E$2&amp;E$1&amp;"P"&amp;$A24))</f>
        <v>0</v>
      </c>
      <c r="F24" s="91">
        <f ca="1">IF(RTD("tos.rtd",,$A$2,"."&amp;F$2&amp;F$1&amp;"C"&amp;$A24)="N/A",0,RTD("tos.rtd",,$A$2,"."&amp;F$2&amp;F$1&amp;"C"&amp;$A24))-IF(RTD("tos.rtd",,$A$2,"."&amp;F$2&amp;F$1&amp;"P"&amp;$A24)="N/A",0,RTD("tos.rtd",,$A$2,"."&amp;F$2&amp;F$1&amp;"P"&amp;$A24))</f>
        <v>0</v>
      </c>
      <c r="G24" s="91">
        <f ca="1">IF(RTD("tos.rtd",,$A$2,"."&amp;G$2&amp;G$1&amp;"C"&amp;$A24)="N/A",0,RTD("tos.rtd",,$A$2,"."&amp;G$2&amp;G$1&amp;"C"&amp;$A24))-IF(RTD("tos.rtd",,$A$2,"."&amp;G$2&amp;G$1&amp;"P"&amp;$A24)="N/A",0,RTD("tos.rtd",,$A$2,"."&amp;G$2&amp;G$1&amp;"P"&amp;$A24))</f>
        <v>0</v>
      </c>
      <c r="H24" s="91">
        <f ca="1">IF(RTD("tos.rtd",,$A$2,"."&amp;H$2&amp;H$1&amp;"C"&amp;$A24)="N/A",0,RTD("tos.rtd",,$A$2,"."&amp;H$2&amp;H$1&amp;"C"&amp;$A24))-IF(RTD("tos.rtd",,$A$2,"."&amp;H$2&amp;H$1&amp;"P"&amp;$A24)="N/A",0,RTD("tos.rtd",,$A$2,"."&amp;H$2&amp;H$1&amp;"P"&amp;$A24))</f>
        <v>-948</v>
      </c>
      <c r="I24" s="91">
        <f ca="1">IF(RTD("tos.rtd",,$A$2,"."&amp;I$2&amp;I$1&amp;"C"&amp;$A24)="N/A",0,RTD("tos.rtd",,$A$2,"."&amp;I$2&amp;I$1&amp;"C"&amp;$A24))-IF(RTD("tos.rtd",,$A$2,"."&amp;I$2&amp;I$1&amp;"P"&amp;$A24)="N/A",0,RTD("tos.rtd",,$A$2,"."&amp;I$2&amp;I$1&amp;"P"&amp;$A24))</f>
        <v>-1885</v>
      </c>
      <c r="J24" s="91">
        <f ca="1">IF(RTD("tos.rtd",,$A$2,"."&amp;J$2&amp;J$1&amp;"C"&amp;$A24)="N/A",0,RTD("tos.rtd",,$A$2,"."&amp;J$2&amp;J$1&amp;"C"&amp;$A24))-IF(RTD("tos.rtd",,$A$2,"."&amp;J$2&amp;J$1&amp;"P"&amp;$A24)="N/A",0,RTD("tos.rtd",,$A$2,"."&amp;J$2&amp;J$1&amp;"P"&amp;$A24))</f>
        <v>-3</v>
      </c>
      <c r="K24" s="91">
        <f ca="1">IF(RTD("tos.rtd",,$A$2,"."&amp;K$2&amp;K$1&amp;"C"&amp;$A24)="N/A",0,RTD("tos.rtd",,$A$2,"."&amp;K$2&amp;K$1&amp;"C"&amp;$A24))-IF(RTD("tos.rtd",,$A$2,"."&amp;K$2&amp;K$1&amp;"P"&amp;$A24)="N/A",0,RTD("tos.rtd",,$A$2,"."&amp;K$2&amp;K$1&amp;"P"&amp;$A24))</f>
        <v>0</v>
      </c>
      <c r="L24" s="91">
        <f ca="1">IF(RTD("tos.rtd",,$A$2,"."&amp;L$2&amp;L$1&amp;"C"&amp;$A24)="N/A",0,RTD("tos.rtd",,$A$2,"."&amp;L$2&amp;L$1&amp;"C"&amp;$A24))-IF(RTD("tos.rtd",,$A$2,"."&amp;L$2&amp;L$1&amp;"P"&amp;$A24)="N/A",0,RTD("tos.rtd",,$A$2,"."&amp;L$2&amp;L$1&amp;"P"&amp;$A24))</f>
        <v>-23</v>
      </c>
      <c r="M24" s="91">
        <f ca="1">IF(RTD("tos.rtd",,$A$2,"."&amp;M$2&amp;M$1&amp;"C"&amp;$A24)="N/A",0,RTD("tos.rtd",,$A$2,"."&amp;M$2&amp;M$1&amp;"C"&amp;$A24))-IF(RTD("tos.rtd",,$A$2,"."&amp;M$2&amp;M$1&amp;"P"&amp;$A24)="N/A",0,RTD("tos.rtd",,$A$2,"."&amp;M$2&amp;M$1&amp;"P"&amp;$A24))</f>
        <v>0</v>
      </c>
      <c r="N24" s="91">
        <f ca="1">IF(RTD("tos.rtd",,$A$2,"."&amp;N$2&amp;N$1&amp;"C"&amp;$A24)="N/A",0,RTD("tos.rtd",,$A$2,"."&amp;N$2&amp;N$1&amp;"C"&amp;$A24))-IF(RTD("tos.rtd",,$A$2,"."&amp;N$2&amp;N$1&amp;"P"&amp;$A24)="N/A",0,RTD("tos.rtd",,$A$2,"."&amp;N$2&amp;N$1&amp;"P"&amp;$A24))</f>
        <v>-38</v>
      </c>
      <c r="O24" s="91">
        <f ca="1">IF(RTD("tos.rtd",,$A$2,"."&amp;O$2&amp;O$1&amp;"C"&amp;$A24)="N/A",0,RTD("tos.rtd",,$A$2,"."&amp;O$2&amp;O$1&amp;"C"&amp;$A24))-IF(RTD("tos.rtd",,$A$2,"."&amp;O$2&amp;O$1&amp;"P"&amp;$A24)="N/A",0,RTD("tos.rtd",,$A$2,"."&amp;O$2&amp;O$1&amp;"P"&amp;$A24))</f>
        <v>1</v>
      </c>
      <c r="P24" s="91">
        <f ca="1">IF(RTD("tos.rtd",,$A$2,"."&amp;P$2&amp;P$1&amp;"C"&amp;$A24)="N/A",0,RTD("tos.rtd",,$A$2,"."&amp;P$2&amp;P$1&amp;"C"&amp;$A24))-IF(RTD("tos.rtd",,$A$2,"."&amp;P$2&amp;P$1&amp;"P"&amp;$A24)="N/A",0,RTD("tos.rtd",,$A$2,"."&amp;P$2&amp;P$1&amp;"P"&amp;$A24))</f>
        <v>-3</v>
      </c>
      <c r="Q24" s="91">
        <f ca="1">IF(RTD("tos.rtd",,$A$2,"."&amp;Q$2&amp;Q$1&amp;"C"&amp;$A24)="N/A",0,RTD("tos.rtd",,$A$2,"."&amp;Q$2&amp;Q$1&amp;"C"&amp;$A24))-IF(RTD("tos.rtd",,$A$2,"."&amp;Q$2&amp;Q$1&amp;"P"&amp;$A24)="N/A",0,RTD("tos.rtd",,$A$2,"."&amp;Q$2&amp;Q$1&amp;"P"&amp;$A24))</f>
        <v>0</v>
      </c>
      <c r="R24" s="91">
        <f ca="1">IF(RTD("tos.rtd",,$A$2,"."&amp;R$2&amp;R$1&amp;"C"&amp;$A24)="N/A",0,RTD("tos.rtd",,$A$2,"."&amp;R$2&amp;R$1&amp;"C"&amp;$A24))-IF(RTD("tos.rtd",,$A$2,"."&amp;R$2&amp;R$1&amp;"P"&amp;$A24)="N/A",0,RTD("tos.rtd",,$A$2,"."&amp;R$2&amp;R$1&amp;"P"&amp;$A24))</f>
        <v>9</v>
      </c>
      <c r="S24" s="91">
        <f ca="1">IF(RTD("tos.rtd",,$A$2,"."&amp;S$2&amp;S$1&amp;"C"&amp;$A24)="N/A",0,RTD("tos.rtd",,$A$2,"."&amp;S$2&amp;S$1&amp;"C"&amp;$A24))-IF(RTD("tos.rtd",,$A$2,"."&amp;S$2&amp;S$1&amp;"P"&amp;$A24)="N/A",0,RTD("tos.rtd",,$A$2,"."&amp;S$2&amp;S$1&amp;"P"&amp;$A24))</f>
        <v>0</v>
      </c>
      <c r="T24" s="91">
        <f ca="1">IF(RTD("tos.rtd",,$A$2,"."&amp;T$2&amp;T$1&amp;"C"&amp;$A24)="N/A",0,RTD("tos.rtd",,$A$2,"."&amp;T$2&amp;T$1&amp;"C"&amp;$A24))-IF(RTD("tos.rtd",,$A$2,"."&amp;T$2&amp;T$1&amp;"P"&amp;$A24)="N/A",0,RTD("tos.rtd",,$A$2,"."&amp;T$2&amp;T$1&amp;"P"&amp;$A24))</f>
        <v>0</v>
      </c>
      <c r="U24" s="91">
        <f ca="1">IF(RTD("tos.rtd",,$A$2,"."&amp;U$2&amp;U$1&amp;"C"&amp;$A24)="N/A",0,RTD("tos.rtd",,$A$2,"."&amp;U$2&amp;U$1&amp;"C"&amp;$A24))-IF(RTD("tos.rtd",,$A$2,"."&amp;U$2&amp;U$1&amp;"P"&amp;$A24)="N/A",0,RTD("tos.rtd",,$A$2,"."&amp;U$2&amp;U$1&amp;"P"&amp;$A24))</f>
        <v>0</v>
      </c>
      <c r="V24" s="91">
        <f ca="1">IF(RTD("tos.rtd",,$A$2,"."&amp;V$2&amp;V$1&amp;"C"&amp;$A24)="N/A",0,RTD("tos.rtd",,$A$2,"."&amp;V$2&amp;V$1&amp;"C"&amp;$A24))-IF(RTD("tos.rtd",,$A$2,"."&amp;V$2&amp;V$1&amp;"P"&amp;$A24)="N/A",0,RTD("tos.rtd",,$A$2,"."&amp;V$2&amp;V$1&amp;"P"&amp;$A24))</f>
        <v>0</v>
      </c>
      <c r="W24" s="91">
        <f ca="1">IF(RTD("tos.rtd",,$A$2,"."&amp;W$2&amp;W$1&amp;"C"&amp;$A24)="N/A",0,RTD("tos.rtd",,$A$2,"."&amp;W$2&amp;W$1&amp;"C"&amp;$A24))-IF(RTD("tos.rtd",,$A$2,"."&amp;W$2&amp;W$1&amp;"P"&amp;$A24)="N/A",0,RTD("tos.rtd",,$A$2,"."&amp;W$2&amp;W$1&amp;"P"&amp;$A24))</f>
        <v>0</v>
      </c>
      <c r="X24" s="91">
        <f ca="1">IF(RTD("tos.rtd",,$A$2,"."&amp;X$2&amp;X$1&amp;"C"&amp;$A24)="N/A",0,RTD("tos.rtd",,$A$2,"."&amp;X$2&amp;X$1&amp;"C"&amp;$A24))-IF(RTD("tos.rtd",,$A$2,"."&amp;X$2&amp;X$1&amp;"P"&amp;$A24)="N/A",0,RTD("tos.rtd",,$A$2,"."&amp;X$2&amp;X$1&amp;"P"&amp;$A24))</f>
        <v>-1</v>
      </c>
      <c r="Y24" s="98">
        <f t="shared" ca="1" si="3"/>
        <v>-2891</v>
      </c>
    </row>
    <row r="25" spans="1:25" x14ac:dyDescent="0.25">
      <c r="A25" s="93">
        <f>+Hoja1!A24</f>
        <v>572</v>
      </c>
      <c r="B25" s="91">
        <f ca="1">IF(RTD("tos.rtd",,$A$2,"."&amp;B$2&amp;B$1&amp;"C"&amp;$A25)="N/A",0,RTD("tos.rtd",,$A$2,"."&amp;B$2&amp;B$1&amp;"C"&amp;$A25))-IF(RTD("tos.rtd",,$A$2,"."&amp;B$2&amp;B$1&amp;"P"&amp;$A25)="N/A",0,RTD("tos.rtd",,$A$2,"."&amp;B$2&amp;B$1&amp;"P"&amp;$A25))</f>
        <v>0</v>
      </c>
      <c r="C25" s="91">
        <f ca="1">IF(RTD("tos.rtd",,$A$2,"."&amp;C$2&amp;C$1&amp;"C"&amp;$A25)="N/A",0,RTD("tos.rtd",,$A$2,"."&amp;C$2&amp;C$1&amp;"C"&amp;$A25))-IF(RTD("tos.rtd",,$A$2,"."&amp;C$2&amp;C$1&amp;"P"&amp;$A25)="N/A",0,RTD("tos.rtd",,$A$2,"."&amp;C$2&amp;C$1&amp;"P"&amp;$A25))</f>
        <v>0</v>
      </c>
      <c r="D25" s="91">
        <f ca="1">IF(RTD("tos.rtd",,$A$2,"."&amp;D$2&amp;D$1&amp;"C"&amp;$A25)="N/A",0,RTD("tos.rtd",,$A$2,"."&amp;D$2&amp;D$1&amp;"C"&amp;$A25))-IF(RTD("tos.rtd",,$A$2,"."&amp;D$2&amp;D$1&amp;"P"&amp;$A25)="N/A",0,RTD("tos.rtd",,$A$2,"."&amp;D$2&amp;D$1&amp;"P"&amp;$A25))</f>
        <v>0</v>
      </c>
      <c r="E25" s="91">
        <f ca="1">IF(RTD("tos.rtd",,$A$2,"."&amp;E$2&amp;E$1&amp;"C"&amp;$A25)="N/A",0,RTD("tos.rtd",,$A$2,"."&amp;E$2&amp;E$1&amp;"C"&amp;$A25))-IF(RTD("tos.rtd",,$A$2,"."&amp;E$2&amp;E$1&amp;"P"&amp;$A25)="N/A",0,RTD("tos.rtd",,$A$2,"."&amp;E$2&amp;E$1&amp;"P"&amp;$A25))</f>
        <v>0</v>
      </c>
      <c r="F25" s="91">
        <f ca="1">IF(RTD("tos.rtd",,$A$2,"."&amp;F$2&amp;F$1&amp;"C"&amp;$A25)="N/A",0,RTD("tos.rtd",,$A$2,"."&amp;F$2&amp;F$1&amp;"C"&amp;$A25))-IF(RTD("tos.rtd",,$A$2,"."&amp;F$2&amp;F$1&amp;"P"&amp;$A25)="N/A",0,RTD("tos.rtd",,$A$2,"."&amp;F$2&amp;F$1&amp;"P"&amp;$A25))</f>
        <v>0</v>
      </c>
      <c r="G25" s="91">
        <f ca="1">IF(RTD("tos.rtd",,$A$2,"."&amp;G$2&amp;G$1&amp;"C"&amp;$A25)="N/A",0,RTD("tos.rtd",,$A$2,"."&amp;G$2&amp;G$1&amp;"C"&amp;$A25))-IF(RTD("tos.rtd",,$A$2,"."&amp;G$2&amp;G$1&amp;"P"&amp;$A25)="N/A",0,RTD("tos.rtd",,$A$2,"."&amp;G$2&amp;G$1&amp;"P"&amp;$A25))</f>
        <v>0</v>
      </c>
      <c r="H25" s="91">
        <f ca="1">IF(RTD("tos.rtd",,$A$2,"."&amp;H$2&amp;H$1&amp;"C"&amp;$A25)="N/A",0,RTD("tos.rtd",,$A$2,"."&amp;H$2&amp;H$1&amp;"C"&amp;$A25))-IF(RTD("tos.rtd",,$A$2,"."&amp;H$2&amp;H$1&amp;"P"&amp;$A25)="N/A",0,RTD("tos.rtd",,$A$2,"."&amp;H$2&amp;H$1&amp;"P"&amp;$A25))</f>
        <v>-6</v>
      </c>
      <c r="I25" s="91">
        <f ca="1">IF(RTD("tos.rtd",,$A$2,"."&amp;I$2&amp;I$1&amp;"C"&amp;$A25)="N/A",0,RTD("tos.rtd",,$A$2,"."&amp;I$2&amp;I$1&amp;"C"&amp;$A25))-IF(RTD("tos.rtd",,$A$2,"."&amp;I$2&amp;I$1&amp;"P"&amp;$A25)="N/A",0,RTD("tos.rtd",,$A$2,"."&amp;I$2&amp;I$1&amp;"P"&amp;$A25))</f>
        <v>-795</v>
      </c>
      <c r="J25" s="91">
        <f ca="1">IF(RTD("tos.rtd",,$A$2,"."&amp;J$2&amp;J$1&amp;"C"&amp;$A25)="N/A",0,RTD("tos.rtd",,$A$2,"."&amp;J$2&amp;J$1&amp;"C"&amp;$A25))-IF(RTD("tos.rtd",,$A$2,"."&amp;J$2&amp;J$1&amp;"P"&amp;$A25)="N/A",0,RTD("tos.rtd",,$A$2,"."&amp;J$2&amp;J$1&amp;"P"&amp;$A25))</f>
        <v>-12</v>
      </c>
      <c r="K25" s="91">
        <f ca="1">IF(RTD("tos.rtd",,$A$2,"."&amp;K$2&amp;K$1&amp;"C"&amp;$A25)="N/A",0,RTD("tos.rtd",,$A$2,"."&amp;K$2&amp;K$1&amp;"C"&amp;$A25))-IF(RTD("tos.rtd",,$A$2,"."&amp;K$2&amp;K$1&amp;"P"&amp;$A25)="N/A",0,RTD("tos.rtd",,$A$2,"."&amp;K$2&amp;K$1&amp;"P"&amp;$A25))</f>
        <v>0</v>
      </c>
      <c r="L25" s="91">
        <f ca="1">IF(RTD("tos.rtd",,$A$2,"."&amp;L$2&amp;L$1&amp;"C"&amp;$A25)="N/A",0,RTD("tos.rtd",,$A$2,"."&amp;L$2&amp;L$1&amp;"C"&amp;$A25))-IF(RTD("tos.rtd",,$A$2,"."&amp;L$2&amp;L$1&amp;"P"&amp;$A25)="N/A",0,RTD("tos.rtd",,$A$2,"."&amp;L$2&amp;L$1&amp;"P"&amp;$A25))</f>
        <v>-9</v>
      </c>
      <c r="M25" s="91">
        <f ca="1">IF(RTD("tos.rtd",,$A$2,"."&amp;M$2&amp;M$1&amp;"C"&amp;$A25)="N/A",0,RTD("tos.rtd",,$A$2,"."&amp;M$2&amp;M$1&amp;"C"&amp;$A25))-IF(RTD("tos.rtd",,$A$2,"."&amp;M$2&amp;M$1&amp;"P"&amp;$A25)="N/A",0,RTD("tos.rtd",,$A$2,"."&amp;M$2&amp;M$1&amp;"P"&amp;$A25))</f>
        <v>0</v>
      </c>
      <c r="N25" s="91">
        <f ca="1">IF(RTD("tos.rtd",,$A$2,"."&amp;N$2&amp;N$1&amp;"C"&amp;$A25)="N/A",0,RTD("tos.rtd",,$A$2,"."&amp;N$2&amp;N$1&amp;"C"&amp;$A25))-IF(RTD("tos.rtd",,$A$2,"."&amp;N$2&amp;N$1&amp;"P"&amp;$A25)="N/A",0,RTD("tos.rtd",,$A$2,"."&amp;N$2&amp;N$1&amp;"P"&amp;$A25))</f>
        <v>-19</v>
      </c>
      <c r="O25" s="91">
        <f ca="1">IF(RTD("tos.rtd",,$A$2,"."&amp;O$2&amp;O$1&amp;"C"&amp;$A25)="N/A",0,RTD("tos.rtd",,$A$2,"."&amp;O$2&amp;O$1&amp;"C"&amp;$A25))-IF(RTD("tos.rtd",,$A$2,"."&amp;O$2&amp;O$1&amp;"P"&amp;$A25)="N/A",0,RTD("tos.rtd",,$A$2,"."&amp;O$2&amp;O$1&amp;"P"&amp;$A25))</f>
        <v>-117</v>
      </c>
      <c r="P25" s="91">
        <f ca="1">IF(RTD("tos.rtd",,$A$2,"."&amp;P$2&amp;P$1&amp;"C"&amp;$A25)="N/A",0,RTD("tos.rtd",,$A$2,"."&amp;P$2&amp;P$1&amp;"C"&amp;$A25))-IF(RTD("tos.rtd",,$A$2,"."&amp;P$2&amp;P$1&amp;"P"&amp;$A25)="N/A",0,RTD("tos.rtd",,$A$2,"."&amp;P$2&amp;P$1&amp;"P"&amp;$A25))</f>
        <v>1</v>
      </c>
      <c r="Q25" s="91">
        <f ca="1">IF(RTD("tos.rtd",,$A$2,"."&amp;Q$2&amp;Q$1&amp;"C"&amp;$A25)="N/A",0,RTD("tos.rtd",,$A$2,"."&amp;Q$2&amp;Q$1&amp;"C"&amp;$A25))-IF(RTD("tos.rtd",,$A$2,"."&amp;Q$2&amp;Q$1&amp;"P"&amp;$A25)="N/A",0,RTD("tos.rtd",,$A$2,"."&amp;Q$2&amp;Q$1&amp;"P"&amp;$A25))</f>
        <v>0</v>
      </c>
      <c r="R25" s="91">
        <f ca="1">IF(RTD("tos.rtd",,$A$2,"."&amp;R$2&amp;R$1&amp;"C"&amp;$A25)="N/A",0,RTD("tos.rtd",,$A$2,"."&amp;R$2&amp;R$1&amp;"C"&amp;$A25))-IF(RTD("tos.rtd",,$A$2,"."&amp;R$2&amp;R$1&amp;"P"&amp;$A25)="N/A",0,RTD("tos.rtd",,$A$2,"."&amp;R$2&amp;R$1&amp;"P"&amp;$A25))</f>
        <v>7</v>
      </c>
      <c r="S25" s="91">
        <f ca="1">IF(RTD("tos.rtd",,$A$2,"."&amp;S$2&amp;S$1&amp;"C"&amp;$A25)="N/A",0,RTD("tos.rtd",,$A$2,"."&amp;S$2&amp;S$1&amp;"C"&amp;$A25))-IF(RTD("tos.rtd",,$A$2,"."&amp;S$2&amp;S$1&amp;"P"&amp;$A25)="N/A",0,RTD("tos.rtd",,$A$2,"."&amp;S$2&amp;S$1&amp;"P"&amp;$A25))</f>
        <v>0</v>
      </c>
      <c r="T25" s="91">
        <f ca="1">IF(RTD("tos.rtd",,$A$2,"."&amp;T$2&amp;T$1&amp;"C"&amp;$A25)="N/A",0,RTD("tos.rtd",,$A$2,"."&amp;T$2&amp;T$1&amp;"C"&amp;$A25))-IF(RTD("tos.rtd",,$A$2,"."&amp;T$2&amp;T$1&amp;"P"&amp;$A25)="N/A",0,RTD("tos.rtd",,$A$2,"."&amp;T$2&amp;T$1&amp;"P"&amp;$A25))</f>
        <v>-31</v>
      </c>
      <c r="U25" s="91">
        <f ca="1">IF(RTD("tos.rtd",,$A$2,"."&amp;U$2&amp;U$1&amp;"C"&amp;$A25)="N/A",0,RTD("tos.rtd",,$A$2,"."&amp;U$2&amp;U$1&amp;"C"&amp;$A25))-IF(RTD("tos.rtd",,$A$2,"."&amp;U$2&amp;U$1&amp;"P"&amp;$A25)="N/A",0,RTD("tos.rtd",,$A$2,"."&amp;U$2&amp;U$1&amp;"P"&amp;$A25))</f>
        <v>0</v>
      </c>
      <c r="V25" s="91">
        <f ca="1">IF(RTD("tos.rtd",,$A$2,"."&amp;V$2&amp;V$1&amp;"C"&amp;$A25)="N/A",0,RTD("tos.rtd",,$A$2,"."&amp;V$2&amp;V$1&amp;"C"&amp;$A25))-IF(RTD("tos.rtd",,$A$2,"."&amp;V$2&amp;V$1&amp;"P"&amp;$A25)="N/A",0,RTD("tos.rtd",,$A$2,"."&amp;V$2&amp;V$1&amp;"P"&amp;$A25))</f>
        <v>0</v>
      </c>
      <c r="W25" s="91">
        <f ca="1">IF(RTD("tos.rtd",,$A$2,"."&amp;W$2&amp;W$1&amp;"C"&amp;$A25)="N/A",0,RTD("tos.rtd",,$A$2,"."&amp;W$2&amp;W$1&amp;"C"&amp;$A25))-IF(RTD("tos.rtd",,$A$2,"."&amp;W$2&amp;W$1&amp;"P"&amp;$A25)="N/A",0,RTD("tos.rtd",,$A$2,"."&amp;W$2&amp;W$1&amp;"P"&amp;$A25))</f>
        <v>0</v>
      </c>
      <c r="X25" s="91">
        <f ca="1">IF(RTD("tos.rtd",,$A$2,"."&amp;X$2&amp;X$1&amp;"C"&amp;$A25)="N/A",0,RTD("tos.rtd",,$A$2,"."&amp;X$2&amp;X$1&amp;"C"&amp;$A25))-IF(RTD("tos.rtd",,$A$2,"."&amp;X$2&amp;X$1&amp;"P"&amp;$A25)="N/A",0,RTD("tos.rtd",,$A$2,"."&amp;X$2&amp;X$1&amp;"P"&amp;$A25))</f>
        <v>0</v>
      </c>
      <c r="Y25" s="98">
        <f t="shared" ca="1" si="3"/>
        <v>-981</v>
      </c>
    </row>
    <row r="26" spans="1:25" x14ac:dyDescent="0.25">
      <c r="A26" s="93">
        <f>+Hoja1!A25</f>
        <v>571</v>
      </c>
      <c r="B26" s="91">
        <f ca="1">IF(RTD("tos.rtd",,$A$2,"."&amp;B$2&amp;B$1&amp;"C"&amp;$A26)="N/A",0,RTD("tos.rtd",,$A$2,"."&amp;B$2&amp;B$1&amp;"C"&amp;$A26))-IF(RTD("tos.rtd",,$A$2,"."&amp;B$2&amp;B$1&amp;"P"&amp;$A26)="N/A",0,RTD("tos.rtd",,$A$2,"."&amp;B$2&amp;B$1&amp;"P"&amp;$A26))</f>
        <v>0</v>
      </c>
      <c r="C26" s="91">
        <f ca="1">IF(RTD("tos.rtd",,$A$2,"."&amp;C$2&amp;C$1&amp;"C"&amp;$A26)="N/A",0,RTD("tos.rtd",,$A$2,"."&amp;C$2&amp;C$1&amp;"C"&amp;$A26))-IF(RTD("tos.rtd",,$A$2,"."&amp;C$2&amp;C$1&amp;"P"&amp;$A26)="N/A",0,RTD("tos.rtd",,$A$2,"."&amp;C$2&amp;C$1&amp;"P"&amp;$A26))</f>
        <v>0</v>
      </c>
      <c r="D26" s="91">
        <f ca="1">IF(RTD("tos.rtd",,$A$2,"."&amp;D$2&amp;D$1&amp;"C"&amp;$A26)="N/A",0,RTD("tos.rtd",,$A$2,"."&amp;D$2&amp;D$1&amp;"C"&amp;$A26))-IF(RTD("tos.rtd",,$A$2,"."&amp;D$2&amp;D$1&amp;"P"&amp;$A26)="N/A",0,RTD("tos.rtd",,$A$2,"."&amp;D$2&amp;D$1&amp;"P"&amp;$A26))</f>
        <v>0</v>
      </c>
      <c r="E26" s="91">
        <f ca="1">IF(RTD("tos.rtd",,$A$2,"."&amp;E$2&amp;E$1&amp;"C"&amp;$A26)="N/A",0,RTD("tos.rtd",,$A$2,"."&amp;E$2&amp;E$1&amp;"C"&amp;$A26))-IF(RTD("tos.rtd",,$A$2,"."&amp;E$2&amp;E$1&amp;"P"&amp;$A26)="N/A",0,RTD("tos.rtd",,$A$2,"."&amp;E$2&amp;E$1&amp;"P"&amp;$A26))</f>
        <v>0</v>
      </c>
      <c r="F26" s="91">
        <f ca="1">IF(RTD("tos.rtd",,$A$2,"."&amp;F$2&amp;F$1&amp;"C"&amp;$A26)="N/A",0,RTD("tos.rtd",,$A$2,"."&amp;F$2&amp;F$1&amp;"C"&amp;$A26))-IF(RTD("tos.rtd",,$A$2,"."&amp;F$2&amp;F$1&amp;"P"&amp;$A26)="N/A",0,RTD("tos.rtd",,$A$2,"."&amp;F$2&amp;F$1&amp;"P"&amp;$A26))</f>
        <v>0</v>
      </c>
      <c r="G26" s="91">
        <f ca="1">IF(RTD("tos.rtd",,$A$2,"."&amp;G$2&amp;G$1&amp;"C"&amp;$A26)="N/A",0,RTD("tos.rtd",,$A$2,"."&amp;G$2&amp;G$1&amp;"C"&amp;$A26))-IF(RTD("tos.rtd",,$A$2,"."&amp;G$2&amp;G$1&amp;"P"&amp;$A26)="N/A",0,RTD("tos.rtd",,$A$2,"."&amp;G$2&amp;G$1&amp;"P"&amp;$A26))</f>
        <v>0</v>
      </c>
      <c r="H26" s="91">
        <f ca="1">IF(RTD("tos.rtd",,$A$2,"."&amp;H$2&amp;H$1&amp;"C"&amp;$A26)="N/A",0,RTD("tos.rtd",,$A$2,"."&amp;H$2&amp;H$1&amp;"C"&amp;$A26))-IF(RTD("tos.rtd",,$A$2,"."&amp;H$2&amp;H$1&amp;"P"&amp;$A26)="N/A",0,RTD("tos.rtd",,$A$2,"."&amp;H$2&amp;H$1&amp;"P"&amp;$A26))</f>
        <v>-160</v>
      </c>
      <c r="I26" s="91">
        <f ca="1">IF(RTD("tos.rtd",,$A$2,"."&amp;I$2&amp;I$1&amp;"C"&amp;$A26)="N/A",0,RTD("tos.rtd",,$A$2,"."&amp;I$2&amp;I$1&amp;"C"&amp;$A26))-IF(RTD("tos.rtd",,$A$2,"."&amp;I$2&amp;I$1&amp;"P"&amp;$A26)="N/A",0,RTD("tos.rtd",,$A$2,"."&amp;I$2&amp;I$1&amp;"P"&amp;$A26))</f>
        <v>-365</v>
      </c>
      <c r="J26" s="91">
        <f ca="1">IF(RTD("tos.rtd",,$A$2,"."&amp;J$2&amp;J$1&amp;"C"&amp;$A26)="N/A",0,RTD("tos.rtd",,$A$2,"."&amp;J$2&amp;J$1&amp;"C"&amp;$A26))-IF(RTD("tos.rtd",,$A$2,"."&amp;J$2&amp;J$1&amp;"P"&amp;$A26)="N/A",0,RTD("tos.rtd",,$A$2,"."&amp;J$2&amp;J$1&amp;"P"&amp;$A26))</f>
        <v>6</v>
      </c>
      <c r="K26" s="91">
        <f ca="1">IF(RTD("tos.rtd",,$A$2,"."&amp;K$2&amp;K$1&amp;"C"&amp;$A26)="N/A",0,RTD("tos.rtd",,$A$2,"."&amp;K$2&amp;K$1&amp;"C"&amp;$A26))-IF(RTD("tos.rtd",,$A$2,"."&amp;K$2&amp;K$1&amp;"P"&amp;$A26)="N/A",0,RTD("tos.rtd",,$A$2,"."&amp;K$2&amp;K$1&amp;"P"&amp;$A26))</f>
        <v>0</v>
      </c>
      <c r="L26" s="91">
        <f ca="1">IF(RTD("tos.rtd",,$A$2,"."&amp;L$2&amp;L$1&amp;"C"&amp;$A26)="N/A",0,RTD("tos.rtd",,$A$2,"."&amp;L$2&amp;L$1&amp;"C"&amp;$A26))-IF(RTD("tos.rtd",,$A$2,"."&amp;L$2&amp;L$1&amp;"P"&amp;$A26)="N/A",0,RTD("tos.rtd",,$A$2,"."&amp;L$2&amp;L$1&amp;"P"&amp;$A26))</f>
        <v>3</v>
      </c>
      <c r="M26" s="91">
        <f ca="1">IF(RTD("tos.rtd",,$A$2,"."&amp;M$2&amp;M$1&amp;"C"&amp;$A26)="N/A",0,RTD("tos.rtd",,$A$2,"."&amp;M$2&amp;M$1&amp;"C"&amp;$A26))-IF(RTD("tos.rtd",,$A$2,"."&amp;M$2&amp;M$1&amp;"P"&amp;$A26)="N/A",0,RTD("tos.rtd",,$A$2,"."&amp;M$2&amp;M$1&amp;"P"&amp;$A26))</f>
        <v>0</v>
      </c>
      <c r="N26" s="91">
        <f ca="1">IF(RTD("tos.rtd",,$A$2,"."&amp;N$2&amp;N$1&amp;"C"&amp;$A26)="N/A",0,RTD("tos.rtd",,$A$2,"."&amp;N$2&amp;N$1&amp;"C"&amp;$A26))-IF(RTD("tos.rtd",,$A$2,"."&amp;N$2&amp;N$1&amp;"P"&amp;$A26)="N/A",0,RTD("tos.rtd",,$A$2,"."&amp;N$2&amp;N$1&amp;"P"&amp;$A26))</f>
        <v>2</v>
      </c>
      <c r="O26" s="91">
        <f ca="1">IF(RTD("tos.rtd",,$A$2,"."&amp;O$2&amp;O$1&amp;"C"&amp;$A26)="N/A",0,RTD("tos.rtd",,$A$2,"."&amp;O$2&amp;O$1&amp;"C"&amp;$A26))-IF(RTD("tos.rtd",,$A$2,"."&amp;O$2&amp;O$1&amp;"P"&amp;$A26)="N/A",0,RTD("tos.rtd",,$A$2,"."&amp;O$2&amp;O$1&amp;"P"&amp;$A26))</f>
        <v>14</v>
      </c>
      <c r="P26" s="91">
        <f ca="1">IF(RTD("tos.rtd",,$A$2,"."&amp;P$2&amp;P$1&amp;"C"&amp;$A26)="N/A",0,RTD("tos.rtd",,$A$2,"."&amp;P$2&amp;P$1&amp;"C"&amp;$A26))-IF(RTD("tos.rtd",,$A$2,"."&amp;P$2&amp;P$1&amp;"P"&amp;$A26)="N/A",0,RTD("tos.rtd",,$A$2,"."&amp;P$2&amp;P$1&amp;"P"&amp;$A26))</f>
        <v>5</v>
      </c>
      <c r="Q26" s="91">
        <f ca="1">IF(RTD("tos.rtd",,$A$2,"."&amp;Q$2&amp;Q$1&amp;"C"&amp;$A26)="N/A",0,RTD("tos.rtd",,$A$2,"."&amp;Q$2&amp;Q$1&amp;"C"&amp;$A26))-IF(RTD("tos.rtd",,$A$2,"."&amp;Q$2&amp;Q$1&amp;"P"&amp;$A26)="N/A",0,RTD("tos.rtd",,$A$2,"."&amp;Q$2&amp;Q$1&amp;"P"&amp;$A26))</f>
        <v>0</v>
      </c>
      <c r="R26" s="91">
        <f ca="1">IF(RTD("tos.rtd",,$A$2,"."&amp;R$2&amp;R$1&amp;"C"&amp;$A26)="N/A",0,RTD("tos.rtd",,$A$2,"."&amp;R$2&amp;R$1&amp;"C"&amp;$A26))-IF(RTD("tos.rtd",,$A$2,"."&amp;R$2&amp;R$1&amp;"P"&amp;$A26)="N/A",0,RTD("tos.rtd",,$A$2,"."&amp;R$2&amp;R$1&amp;"P"&amp;$A26))</f>
        <v>-2</v>
      </c>
      <c r="S26" s="91">
        <f ca="1">IF(RTD("tos.rtd",,$A$2,"."&amp;S$2&amp;S$1&amp;"C"&amp;$A26)="N/A",0,RTD("tos.rtd",,$A$2,"."&amp;S$2&amp;S$1&amp;"C"&amp;$A26))-IF(RTD("tos.rtd",,$A$2,"."&amp;S$2&amp;S$1&amp;"P"&amp;$A26)="N/A",0,RTD("tos.rtd",,$A$2,"."&amp;S$2&amp;S$1&amp;"P"&amp;$A26))</f>
        <v>0</v>
      </c>
      <c r="T26" s="91">
        <f ca="1">IF(RTD("tos.rtd",,$A$2,"."&amp;T$2&amp;T$1&amp;"C"&amp;$A26)="N/A",0,RTD("tos.rtd",,$A$2,"."&amp;T$2&amp;T$1&amp;"C"&amp;$A26))-IF(RTD("tos.rtd",,$A$2,"."&amp;T$2&amp;T$1&amp;"P"&amp;$A26)="N/A",0,RTD("tos.rtd",,$A$2,"."&amp;T$2&amp;T$1&amp;"P"&amp;$A26))</f>
        <v>-2</v>
      </c>
      <c r="U26" s="91">
        <f ca="1">IF(RTD("tos.rtd",,$A$2,"."&amp;U$2&amp;U$1&amp;"C"&amp;$A26)="N/A",0,RTD("tos.rtd",,$A$2,"."&amp;U$2&amp;U$1&amp;"C"&amp;$A26))-IF(RTD("tos.rtd",,$A$2,"."&amp;U$2&amp;U$1&amp;"P"&amp;$A26)="N/A",0,RTD("tos.rtd",,$A$2,"."&amp;U$2&amp;U$1&amp;"P"&amp;$A26))</f>
        <v>0</v>
      </c>
      <c r="V26" s="91">
        <f ca="1">IF(RTD("tos.rtd",,$A$2,"."&amp;V$2&amp;V$1&amp;"C"&amp;$A26)="N/A",0,RTD("tos.rtd",,$A$2,"."&amp;V$2&amp;V$1&amp;"C"&amp;$A26))-IF(RTD("tos.rtd",,$A$2,"."&amp;V$2&amp;V$1&amp;"P"&amp;$A26)="N/A",0,RTD("tos.rtd",,$A$2,"."&amp;V$2&amp;V$1&amp;"P"&amp;$A26))</f>
        <v>0</v>
      </c>
      <c r="W26" s="91">
        <f ca="1">IF(RTD("tos.rtd",,$A$2,"."&amp;W$2&amp;W$1&amp;"C"&amp;$A26)="N/A",0,RTD("tos.rtd",,$A$2,"."&amp;W$2&amp;W$1&amp;"C"&amp;$A26))-IF(RTD("tos.rtd",,$A$2,"."&amp;W$2&amp;W$1&amp;"P"&amp;$A26)="N/A",0,RTD("tos.rtd",,$A$2,"."&amp;W$2&amp;W$1&amp;"P"&amp;$A26))</f>
        <v>0</v>
      </c>
      <c r="X26" s="91">
        <f ca="1">IF(RTD("tos.rtd",,$A$2,"."&amp;X$2&amp;X$1&amp;"C"&amp;$A26)="N/A",0,RTD("tos.rtd",,$A$2,"."&amp;X$2&amp;X$1&amp;"C"&amp;$A26))-IF(RTD("tos.rtd",,$A$2,"."&amp;X$2&amp;X$1&amp;"P"&amp;$A26)="N/A",0,RTD("tos.rtd",,$A$2,"."&amp;X$2&amp;X$1&amp;"P"&amp;$A26))</f>
        <v>-2</v>
      </c>
      <c r="Y26" s="98">
        <f t="shared" ca="1" si="3"/>
        <v>-501</v>
      </c>
    </row>
    <row r="27" spans="1:25" x14ac:dyDescent="0.25">
      <c r="A27" s="93">
        <f>+Hoja1!A26</f>
        <v>570</v>
      </c>
      <c r="B27" s="91">
        <f ca="1">IF(RTD("tos.rtd",,$A$2,"."&amp;B$2&amp;B$1&amp;"C"&amp;$A27)="N/A",0,RTD("tos.rtd",,$A$2,"."&amp;B$2&amp;B$1&amp;"C"&amp;$A27))-IF(RTD("tos.rtd",,$A$2,"."&amp;B$2&amp;B$1&amp;"P"&amp;$A27)="N/A",0,RTD("tos.rtd",,$A$2,"."&amp;B$2&amp;B$1&amp;"P"&amp;$A27))</f>
        <v>0</v>
      </c>
      <c r="C27" s="91">
        <f ca="1">IF(RTD("tos.rtd",,$A$2,"."&amp;C$2&amp;C$1&amp;"C"&amp;$A27)="N/A",0,RTD("tos.rtd",,$A$2,"."&amp;C$2&amp;C$1&amp;"C"&amp;$A27))-IF(RTD("tos.rtd",,$A$2,"."&amp;C$2&amp;C$1&amp;"P"&amp;$A27)="N/A",0,RTD("tos.rtd",,$A$2,"."&amp;C$2&amp;C$1&amp;"P"&amp;$A27))</f>
        <v>0</v>
      </c>
      <c r="D27" s="91">
        <f ca="1">IF(RTD("tos.rtd",,$A$2,"."&amp;D$2&amp;D$1&amp;"C"&amp;$A27)="N/A",0,RTD("tos.rtd",,$A$2,"."&amp;D$2&amp;D$1&amp;"C"&amp;$A27))-IF(RTD("tos.rtd",,$A$2,"."&amp;D$2&amp;D$1&amp;"P"&amp;$A27)="N/A",0,RTD("tos.rtd",,$A$2,"."&amp;D$2&amp;D$1&amp;"P"&amp;$A27))</f>
        <v>0</v>
      </c>
      <c r="E27" s="91">
        <f ca="1">IF(RTD("tos.rtd",,$A$2,"."&amp;E$2&amp;E$1&amp;"C"&amp;$A27)="N/A",0,RTD("tos.rtd",,$A$2,"."&amp;E$2&amp;E$1&amp;"C"&amp;$A27))-IF(RTD("tos.rtd",,$A$2,"."&amp;E$2&amp;E$1&amp;"P"&amp;$A27)="N/A",0,RTD("tos.rtd",,$A$2,"."&amp;E$2&amp;E$1&amp;"P"&amp;$A27))</f>
        <v>0</v>
      </c>
      <c r="F27" s="91">
        <f ca="1">IF(RTD("tos.rtd",,$A$2,"."&amp;F$2&amp;F$1&amp;"C"&amp;$A27)="N/A",0,RTD("tos.rtd",,$A$2,"."&amp;F$2&amp;F$1&amp;"C"&amp;$A27))-IF(RTD("tos.rtd",,$A$2,"."&amp;F$2&amp;F$1&amp;"P"&amp;$A27)="N/A",0,RTD("tos.rtd",,$A$2,"."&amp;F$2&amp;F$1&amp;"P"&amp;$A27))</f>
        <v>0</v>
      </c>
      <c r="G27" s="91">
        <f ca="1">IF(RTD("tos.rtd",,$A$2,"."&amp;G$2&amp;G$1&amp;"C"&amp;$A27)="N/A",0,RTD("tos.rtd",,$A$2,"."&amp;G$2&amp;G$1&amp;"C"&amp;$A27))-IF(RTD("tos.rtd",,$A$2,"."&amp;G$2&amp;G$1&amp;"P"&amp;$A27)="N/A",0,RTD("tos.rtd",,$A$2,"."&amp;G$2&amp;G$1&amp;"P"&amp;$A27))</f>
        <v>0</v>
      </c>
      <c r="H27" s="91">
        <f ca="1">IF(RTD("tos.rtd",,$A$2,"."&amp;H$2&amp;H$1&amp;"C"&amp;$A27)="N/A",0,RTD("tos.rtd",,$A$2,"."&amp;H$2&amp;H$1&amp;"C"&amp;$A27))-IF(RTD("tos.rtd",,$A$2,"."&amp;H$2&amp;H$1&amp;"P"&amp;$A27)="N/A",0,RTD("tos.rtd",,$A$2,"."&amp;H$2&amp;H$1&amp;"P"&amp;$A27))</f>
        <v>-4257</v>
      </c>
      <c r="I27" s="91">
        <f ca="1">IF(RTD("tos.rtd",,$A$2,"."&amp;I$2&amp;I$1&amp;"C"&amp;$A27)="N/A",0,RTD("tos.rtd",,$A$2,"."&amp;I$2&amp;I$1&amp;"C"&amp;$A27))-IF(RTD("tos.rtd",,$A$2,"."&amp;I$2&amp;I$1&amp;"P"&amp;$A27)="N/A",0,RTD("tos.rtd",,$A$2,"."&amp;I$2&amp;I$1&amp;"P"&amp;$A27))</f>
        <v>-8514</v>
      </c>
      <c r="J27" s="91">
        <f ca="1">IF(RTD("tos.rtd",,$A$2,"."&amp;J$2&amp;J$1&amp;"C"&amp;$A27)="N/A",0,RTD("tos.rtd",,$A$2,"."&amp;J$2&amp;J$1&amp;"C"&amp;$A27))-IF(RTD("tos.rtd",,$A$2,"."&amp;J$2&amp;J$1&amp;"P"&amp;$A27)="N/A",0,RTD("tos.rtd",,$A$2,"."&amp;J$2&amp;J$1&amp;"P"&amp;$A27))</f>
        <v>-284</v>
      </c>
      <c r="K27" s="91">
        <f ca="1">IF(RTD("tos.rtd",,$A$2,"."&amp;K$2&amp;K$1&amp;"C"&amp;$A27)="N/A",0,RTD("tos.rtd",,$A$2,"."&amp;K$2&amp;K$1&amp;"C"&amp;$A27))-IF(RTD("tos.rtd",,$A$2,"."&amp;K$2&amp;K$1&amp;"P"&amp;$A27)="N/A",0,RTD("tos.rtd",,$A$2,"."&amp;K$2&amp;K$1&amp;"P"&amp;$A27))</f>
        <v>0</v>
      </c>
      <c r="L27" s="91">
        <f ca="1">IF(RTD("tos.rtd",,$A$2,"."&amp;L$2&amp;L$1&amp;"C"&amp;$A27)="N/A",0,RTD("tos.rtd",,$A$2,"."&amp;L$2&amp;L$1&amp;"C"&amp;$A27))-IF(RTD("tos.rtd",,$A$2,"."&amp;L$2&amp;L$1&amp;"P"&amp;$A27)="N/A",0,RTD("tos.rtd",,$A$2,"."&amp;L$2&amp;L$1&amp;"P"&amp;$A27))</f>
        <v>-205</v>
      </c>
      <c r="M27" s="91">
        <f ca="1">IF(RTD("tos.rtd",,$A$2,"."&amp;M$2&amp;M$1&amp;"C"&amp;$A27)="N/A",0,RTD("tos.rtd",,$A$2,"."&amp;M$2&amp;M$1&amp;"C"&amp;$A27))-IF(RTD("tos.rtd",,$A$2,"."&amp;M$2&amp;M$1&amp;"P"&amp;$A27)="N/A",0,RTD("tos.rtd",,$A$2,"."&amp;M$2&amp;M$1&amp;"P"&amp;$A27))</f>
        <v>-1301</v>
      </c>
      <c r="N27" s="91">
        <f ca="1">IF(RTD("tos.rtd",,$A$2,"."&amp;N$2&amp;N$1&amp;"C"&amp;$A27)="N/A",0,RTD("tos.rtd",,$A$2,"."&amp;N$2&amp;N$1&amp;"C"&amp;$A27))-IF(RTD("tos.rtd",,$A$2,"."&amp;N$2&amp;N$1&amp;"P"&amp;$A27)="N/A",0,RTD("tos.rtd",,$A$2,"."&amp;N$2&amp;N$1&amp;"P"&amp;$A27))</f>
        <v>84</v>
      </c>
      <c r="O27" s="91">
        <f ca="1">IF(RTD("tos.rtd",,$A$2,"."&amp;O$2&amp;O$1&amp;"C"&amp;$A27)="N/A",0,RTD("tos.rtd",,$A$2,"."&amp;O$2&amp;O$1&amp;"C"&amp;$A27))-IF(RTD("tos.rtd",,$A$2,"."&amp;O$2&amp;O$1&amp;"P"&amp;$A27)="N/A",0,RTD("tos.rtd",,$A$2,"."&amp;O$2&amp;O$1&amp;"P"&amp;$A27))</f>
        <v>-1067</v>
      </c>
      <c r="P27" s="91">
        <f ca="1">IF(RTD("tos.rtd",,$A$2,"."&amp;P$2&amp;P$1&amp;"C"&amp;$A27)="N/A",0,RTD("tos.rtd",,$A$2,"."&amp;P$2&amp;P$1&amp;"C"&amp;$A27))-IF(RTD("tos.rtd",,$A$2,"."&amp;P$2&amp;P$1&amp;"P"&amp;$A27)="N/A",0,RTD("tos.rtd",,$A$2,"."&amp;P$2&amp;P$1&amp;"P"&amp;$A27))</f>
        <v>-434</v>
      </c>
      <c r="Q27" s="91">
        <f ca="1">IF(RTD("tos.rtd",,$A$2,"."&amp;Q$2&amp;Q$1&amp;"C"&amp;$A27)="N/A",0,RTD("tos.rtd",,$A$2,"."&amp;Q$2&amp;Q$1&amp;"C"&amp;$A27))-IF(RTD("tos.rtd",,$A$2,"."&amp;Q$2&amp;Q$1&amp;"P"&amp;$A27)="N/A",0,RTD("tos.rtd",,$A$2,"."&amp;Q$2&amp;Q$1&amp;"P"&amp;$A27))</f>
        <v>-367</v>
      </c>
      <c r="R27" s="91">
        <f ca="1">IF(RTD("tos.rtd",,$A$2,"."&amp;R$2&amp;R$1&amp;"C"&amp;$A27)="N/A",0,RTD("tos.rtd",,$A$2,"."&amp;R$2&amp;R$1&amp;"C"&amp;$A27))-IF(RTD("tos.rtd",,$A$2,"."&amp;R$2&amp;R$1&amp;"P"&amp;$A27)="N/A",0,RTD("tos.rtd",,$A$2,"."&amp;R$2&amp;R$1&amp;"P"&amp;$A27))</f>
        <v>-152</v>
      </c>
      <c r="S27" s="91">
        <f ca="1">IF(RTD("tos.rtd",,$A$2,"."&amp;S$2&amp;S$1&amp;"C"&amp;$A27)="N/A",0,RTD("tos.rtd",,$A$2,"."&amp;S$2&amp;S$1&amp;"C"&amp;$A27))-IF(RTD("tos.rtd",,$A$2,"."&amp;S$2&amp;S$1&amp;"P"&amp;$A27)="N/A",0,RTD("tos.rtd",,$A$2,"."&amp;S$2&amp;S$1&amp;"P"&amp;$A27))</f>
        <v>0</v>
      </c>
      <c r="T27" s="91">
        <f ca="1">IF(RTD("tos.rtd",,$A$2,"."&amp;T$2&amp;T$1&amp;"C"&amp;$A27)="N/A",0,RTD("tos.rtd",,$A$2,"."&amp;T$2&amp;T$1&amp;"C"&amp;$A27))-IF(RTD("tos.rtd",,$A$2,"."&amp;T$2&amp;T$1&amp;"P"&amp;$A27)="N/A",0,RTD("tos.rtd",,$A$2,"."&amp;T$2&amp;T$1&amp;"P"&amp;$A27))</f>
        <v>-121</v>
      </c>
      <c r="U27" s="91">
        <f ca="1">IF(RTD("tos.rtd",,$A$2,"."&amp;U$2&amp;U$1&amp;"C"&amp;$A27)="N/A",0,RTD("tos.rtd",,$A$2,"."&amp;U$2&amp;U$1&amp;"C"&amp;$A27))-IF(RTD("tos.rtd",,$A$2,"."&amp;U$2&amp;U$1&amp;"P"&amp;$A27)="N/A",0,RTD("tos.rtd",,$A$2,"."&amp;U$2&amp;U$1&amp;"P"&amp;$A27))</f>
        <v>0</v>
      </c>
      <c r="V27" s="91">
        <f ca="1">IF(RTD("tos.rtd",,$A$2,"."&amp;V$2&amp;V$1&amp;"C"&amp;$A27)="N/A",0,RTD("tos.rtd",,$A$2,"."&amp;V$2&amp;V$1&amp;"C"&amp;$A27))-IF(RTD("tos.rtd",,$A$2,"."&amp;V$2&amp;V$1&amp;"P"&amp;$A27)="N/A",0,RTD("tos.rtd",,$A$2,"."&amp;V$2&amp;V$1&amp;"P"&amp;$A27))</f>
        <v>0</v>
      </c>
      <c r="W27" s="91">
        <f ca="1">IF(RTD("tos.rtd",,$A$2,"."&amp;W$2&amp;W$1&amp;"C"&amp;$A27)="N/A",0,RTD("tos.rtd",,$A$2,"."&amp;W$2&amp;W$1&amp;"C"&amp;$A27))-IF(RTD("tos.rtd",,$A$2,"."&amp;W$2&amp;W$1&amp;"P"&amp;$A27)="N/A",0,RTD("tos.rtd",,$A$2,"."&amp;W$2&amp;W$1&amp;"P"&amp;$A27))</f>
        <v>-233</v>
      </c>
      <c r="X27" s="91">
        <f ca="1">IF(RTD("tos.rtd",,$A$2,"."&amp;X$2&amp;X$1&amp;"C"&amp;$A27)="N/A",0,RTD("tos.rtd",,$A$2,"."&amp;X$2&amp;X$1&amp;"C"&amp;$A27))-IF(RTD("tos.rtd",,$A$2,"."&amp;X$2&amp;X$1&amp;"P"&amp;$A27)="N/A",0,RTD("tos.rtd",,$A$2,"."&amp;X$2&amp;X$1&amp;"P"&amp;$A27))</f>
        <v>46</v>
      </c>
      <c r="Y27" s="98">
        <f t="shared" ca="1" si="3"/>
        <v>-16805</v>
      </c>
    </row>
    <row r="28" spans="1:25" x14ac:dyDescent="0.25">
      <c r="A28" s="93">
        <f>+Hoja1!A27</f>
        <v>569</v>
      </c>
      <c r="B28" s="91">
        <f ca="1">IF(RTD("tos.rtd",,$A$2,"."&amp;B$2&amp;B$1&amp;"C"&amp;$A28)="N/A",0,RTD("tos.rtd",,$A$2,"."&amp;B$2&amp;B$1&amp;"C"&amp;$A28))-IF(RTD("tos.rtd",,$A$2,"."&amp;B$2&amp;B$1&amp;"P"&amp;$A28)="N/A",0,RTD("tos.rtd",,$A$2,"."&amp;B$2&amp;B$1&amp;"P"&amp;$A28))</f>
        <v>0</v>
      </c>
      <c r="C28" s="91">
        <f ca="1">IF(RTD("tos.rtd",,$A$2,"."&amp;C$2&amp;C$1&amp;"C"&amp;$A28)="N/A",0,RTD("tos.rtd",,$A$2,"."&amp;C$2&amp;C$1&amp;"C"&amp;$A28))-IF(RTD("tos.rtd",,$A$2,"."&amp;C$2&amp;C$1&amp;"P"&amp;$A28)="N/A",0,RTD("tos.rtd",,$A$2,"."&amp;C$2&amp;C$1&amp;"P"&amp;$A28))</f>
        <v>0</v>
      </c>
      <c r="D28" s="91">
        <f ca="1">IF(RTD("tos.rtd",,$A$2,"."&amp;D$2&amp;D$1&amp;"C"&amp;$A28)="N/A",0,RTD("tos.rtd",,$A$2,"."&amp;D$2&amp;D$1&amp;"C"&amp;$A28))-IF(RTD("tos.rtd",,$A$2,"."&amp;D$2&amp;D$1&amp;"P"&amp;$A28)="N/A",0,RTD("tos.rtd",,$A$2,"."&amp;D$2&amp;D$1&amp;"P"&amp;$A28))</f>
        <v>0</v>
      </c>
      <c r="E28" s="91">
        <f ca="1">IF(RTD("tos.rtd",,$A$2,"."&amp;E$2&amp;E$1&amp;"C"&amp;$A28)="N/A",0,RTD("tos.rtd",,$A$2,"."&amp;E$2&amp;E$1&amp;"C"&amp;$A28))-IF(RTD("tos.rtd",,$A$2,"."&amp;E$2&amp;E$1&amp;"P"&amp;$A28)="N/A",0,RTD("tos.rtd",,$A$2,"."&amp;E$2&amp;E$1&amp;"P"&amp;$A28))</f>
        <v>0</v>
      </c>
      <c r="F28" s="91">
        <f ca="1">IF(RTD("tos.rtd",,$A$2,"."&amp;F$2&amp;F$1&amp;"C"&amp;$A28)="N/A",0,RTD("tos.rtd",,$A$2,"."&amp;F$2&amp;F$1&amp;"C"&amp;$A28))-IF(RTD("tos.rtd",,$A$2,"."&amp;F$2&amp;F$1&amp;"P"&amp;$A28)="N/A",0,RTD("tos.rtd",,$A$2,"."&amp;F$2&amp;F$1&amp;"P"&amp;$A28))</f>
        <v>0</v>
      </c>
      <c r="G28" s="91">
        <f ca="1">IF(RTD("tos.rtd",,$A$2,"."&amp;G$2&amp;G$1&amp;"C"&amp;$A28)="N/A",0,RTD("tos.rtd",,$A$2,"."&amp;G$2&amp;G$1&amp;"C"&amp;$A28))-IF(RTD("tos.rtd",,$A$2,"."&amp;G$2&amp;G$1&amp;"P"&amp;$A28)="N/A",0,RTD("tos.rtd",,$A$2,"."&amp;G$2&amp;G$1&amp;"P"&amp;$A28))</f>
        <v>0</v>
      </c>
      <c r="H28" s="91">
        <f ca="1">IF(RTD("tos.rtd",,$A$2,"."&amp;H$2&amp;H$1&amp;"C"&amp;$A28)="N/A",0,RTD("tos.rtd",,$A$2,"."&amp;H$2&amp;H$1&amp;"C"&amp;$A28))-IF(RTD("tos.rtd",,$A$2,"."&amp;H$2&amp;H$1&amp;"P"&amp;$A28)="N/A",0,RTD("tos.rtd",,$A$2,"."&amp;H$2&amp;H$1&amp;"P"&amp;$A28))</f>
        <v>-371</v>
      </c>
      <c r="I28" s="91">
        <f ca="1">IF(RTD("tos.rtd",,$A$2,"."&amp;I$2&amp;I$1&amp;"C"&amp;$A28)="N/A",0,RTD("tos.rtd",,$A$2,"."&amp;I$2&amp;I$1&amp;"C"&amp;$A28))-IF(RTD("tos.rtd",,$A$2,"."&amp;I$2&amp;I$1&amp;"P"&amp;$A28)="N/A",0,RTD("tos.rtd",,$A$2,"."&amp;I$2&amp;I$1&amp;"P"&amp;$A28))</f>
        <v>-230</v>
      </c>
      <c r="J28" s="91">
        <f ca="1">IF(RTD("tos.rtd",,$A$2,"."&amp;J$2&amp;J$1&amp;"C"&amp;$A28)="N/A",0,RTD("tos.rtd",,$A$2,"."&amp;J$2&amp;J$1&amp;"C"&amp;$A28))-IF(RTD("tos.rtd",,$A$2,"."&amp;J$2&amp;J$1&amp;"P"&amp;$A28)="N/A",0,RTD("tos.rtd",,$A$2,"."&amp;J$2&amp;J$1&amp;"P"&amp;$A28))</f>
        <v>-7</v>
      </c>
      <c r="K28" s="91">
        <f ca="1">IF(RTD("tos.rtd",,$A$2,"."&amp;K$2&amp;K$1&amp;"C"&amp;$A28)="N/A",0,RTD("tos.rtd",,$A$2,"."&amp;K$2&amp;K$1&amp;"C"&amp;$A28))-IF(RTD("tos.rtd",,$A$2,"."&amp;K$2&amp;K$1&amp;"P"&amp;$A28)="N/A",0,RTD("tos.rtd",,$A$2,"."&amp;K$2&amp;K$1&amp;"P"&amp;$A28))</f>
        <v>0</v>
      </c>
      <c r="L28" s="91">
        <f ca="1">IF(RTD("tos.rtd",,$A$2,"."&amp;L$2&amp;L$1&amp;"C"&amp;$A28)="N/A",0,RTD("tos.rtd",,$A$2,"."&amp;L$2&amp;L$1&amp;"C"&amp;$A28))-IF(RTD("tos.rtd",,$A$2,"."&amp;L$2&amp;L$1&amp;"P"&amp;$A28)="N/A",0,RTD("tos.rtd",,$A$2,"."&amp;L$2&amp;L$1&amp;"P"&amp;$A28))</f>
        <v>-43</v>
      </c>
      <c r="M28" s="91">
        <f ca="1">IF(RTD("tos.rtd",,$A$2,"."&amp;M$2&amp;M$1&amp;"C"&amp;$A28)="N/A",0,RTD("tos.rtd",,$A$2,"."&amp;M$2&amp;M$1&amp;"C"&amp;$A28))-IF(RTD("tos.rtd",,$A$2,"."&amp;M$2&amp;M$1&amp;"P"&amp;$A28)="N/A",0,RTD("tos.rtd",,$A$2,"."&amp;M$2&amp;M$1&amp;"P"&amp;$A28))</f>
        <v>0</v>
      </c>
      <c r="N28" s="91">
        <f ca="1">IF(RTD("tos.rtd",,$A$2,"."&amp;N$2&amp;N$1&amp;"C"&amp;$A28)="N/A",0,RTD("tos.rtd",,$A$2,"."&amp;N$2&amp;N$1&amp;"C"&amp;$A28))-IF(RTD("tos.rtd",,$A$2,"."&amp;N$2&amp;N$1&amp;"P"&amp;$A28)="N/A",0,RTD("tos.rtd",,$A$2,"."&amp;N$2&amp;N$1&amp;"P"&amp;$A28))</f>
        <v>-63</v>
      </c>
      <c r="O28" s="91">
        <f ca="1">IF(RTD("tos.rtd",,$A$2,"."&amp;O$2&amp;O$1&amp;"C"&amp;$A28)="N/A",0,RTD("tos.rtd",,$A$2,"."&amp;O$2&amp;O$1&amp;"C"&amp;$A28))-IF(RTD("tos.rtd",,$A$2,"."&amp;O$2&amp;O$1&amp;"P"&amp;$A28)="N/A",0,RTD("tos.rtd",,$A$2,"."&amp;O$2&amp;O$1&amp;"P"&amp;$A28))</f>
        <v>-24</v>
      </c>
      <c r="P28" s="91">
        <f ca="1">IF(RTD("tos.rtd",,$A$2,"."&amp;P$2&amp;P$1&amp;"C"&amp;$A28)="N/A",0,RTD("tos.rtd",,$A$2,"."&amp;P$2&amp;P$1&amp;"C"&amp;$A28))-IF(RTD("tos.rtd",,$A$2,"."&amp;P$2&amp;P$1&amp;"P"&amp;$A28)="N/A",0,RTD("tos.rtd",,$A$2,"."&amp;P$2&amp;P$1&amp;"P"&amp;$A28))</f>
        <v>-1</v>
      </c>
      <c r="Q28" s="91">
        <f ca="1">IF(RTD("tos.rtd",,$A$2,"."&amp;Q$2&amp;Q$1&amp;"C"&amp;$A28)="N/A",0,RTD("tos.rtd",,$A$2,"."&amp;Q$2&amp;Q$1&amp;"C"&amp;$A28))-IF(RTD("tos.rtd",,$A$2,"."&amp;Q$2&amp;Q$1&amp;"P"&amp;$A28)="N/A",0,RTD("tos.rtd",,$A$2,"."&amp;Q$2&amp;Q$1&amp;"P"&amp;$A28))</f>
        <v>0</v>
      </c>
      <c r="R28" s="91">
        <f ca="1">IF(RTD("tos.rtd",,$A$2,"."&amp;R$2&amp;R$1&amp;"C"&amp;$A28)="N/A",0,RTD("tos.rtd",,$A$2,"."&amp;R$2&amp;R$1&amp;"C"&amp;$A28))-IF(RTD("tos.rtd",,$A$2,"."&amp;R$2&amp;R$1&amp;"P"&amp;$A28)="N/A",0,RTD("tos.rtd",,$A$2,"."&amp;R$2&amp;R$1&amp;"P"&amp;$A28))</f>
        <v>7</v>
      </c>
      <c r="S28" s="91">
        <f ca="1">IF(RTD("tos.rtd",,$A$2,"."&amp;S$2&amp;S$1&amp;"C"&amp;$A28)="N/A",0,RTD("tos.rtd",,$A$2,"."&amp;S$2&amp;S$1&amp;"C"&amp;$A28))-IF(RTD("tos.rtd",,$A$2,"."&amp;S$2&amp;S$1&amp;"P"&amp;$A28)="N/A",0,RTD("tos.rtd",,$A$2,"."&amp;S$2&amp;S$1&amp;"P"&amp;$A28))</f>
        <v>0</v>
      </c>
      <c r="T28" s="91">
        <f ca="1">IF(RTD("tos.rtd",,$A$2,"."&amp;T$2&amp;T$1&amp;"C"&amp;$A28)="N/A",0,RTD("tos.rtd",,$A$2,"."&amp;T$2&amp;T$1&amp;"C"&amp;$A28))-IF(RTD("tos.rtd",,$A$2,"."&amp;T$2&amp;T$1&amp;"P"&amp;$A28)="N/A",0,RTD("tos.rtd",,$A$2,"."&amp;T$2&amp;T$1&amp;"P"&amp;$A28))</f>
        <v>2</v>
      </c>
      <c r="U28" s="91">
        <f ca="1">IF(RTD("tos.rtd",,$A$2,"."&amp;U$2&amp;U$1&amp;"C"&amp;$A28)="N/A",0,RTD("tos.rtd",,$A$2,"."&amp;U$2&amp;U$1&amp;"C"&amp;$A28))-IF(RTD("tos.rtd",,$A$2,"."&amp;U$2&amp;U$1&amp;"P"&amp;$A28)="N/A",0,RTD("tos.rtd",,$A$2,"."&amp;U$2&amp;U$1&amp;"P"&amp;$A28))</f>
        <v>0</v>
      </c>
      <c r="V28" s="91">
        <f ca="1">IF(RTD("tos.rtd",,$A$2,"."&amp;V$2&amp;V$1&amp;"C"&amp;$A28)="N/A",0,RTD("tos.rtd",,$A$2,"."&amp;V$2&amp;V$1&amp;"C"&amp;$A28))-IF(RTD("tos.rtd",,$A$2,"."&amp;V$2&amp;V$1&amp;"P"&amp;$A28)="N/A",0,RTD("tos.rtd",,$A$2,"."&amp;V$2&amp;V$1&amp;"P"&amp;$A28))</f>
        <v>0</v>
      </c>
      <c r="W28" s="91">
        <f ca="1">IF(RTD("tos.rtd",,$A$2,"."&amp;W$2&amp;W$1&amp;"C"&amp;$A28)="N/A",0,RTD("tos.rtd",,$A$2,"."&amp;W$2&amp;W$1&amp;"C"&amp;$A28))-IF(RTD("tos.rtd",,$A$2,"."&amp;W$2&amp;W$1&amp;"P"&amp;$A28)="N/A",0,RTD("tos.rtd",,$A$2,"."&amp;W$2&amp;W$1&amp;"P"&amp;$A28))</f>
        <v>0</v>
      </c>
      <c r="X28" s="91">
        <f ca="1">IF(RTD("tos.rtd",,$A$2,"."&amp;X$2&amp;X$1&amp;"C"&amp;$A28)="N/A",0,RTD("tos.rtd",,$A$2,"."&amp;X$2&amp;X$1&amp;"C"&amp;$A28))-IF(RTD("tos.rtd",,$A$2,"."&amp;X$2&amp;X$1&amp;"P"&amp;$A28)="N/A",0,RTD("tos.rtd",,$A$2,"."&amp;X$2&amp;X$1&amp;"P"&amp;$A28))</f>
        <v>-45</v>
      </c>
      <c r="Y28" s="98">
        <f t="shared" ca="1" si="3"/>
        <v>-775</v>
      </c>
    </row>
    <row r="29" spans="1:25" x14ac:dyDescent="0.25">
      <c r="A29" s="93">
        <f>+Hoja1!A28</f>
        <v>568</v>
      </c>
      <c r="B29" s="91">
        <f ca="1">IF(RTD("tos.rtd",,$A$2,"."&amp;B$2&amp;B$1&amp;"C"&amp;$A29)="N/A",0,RTD("tos.rtd",,$A$2,"."&amp;B$2&amp;B$1&amp;"C"&amp;$A29))-IF(RTD("tos.rtd",,$A$2,"."&amp;B$2&amp;B$1&amp;"P"&amp;$A29)="N/A",0,RTD("tos.rtd",,$A$2,"."&amp;B$2&amp;B$1&amp;"P"&amp;$A29))</f>
        <v>0</v>
      </c>
      <c r="C29" s="91">
        <f ca="1">IF(RTD("tos.rtd",,$A$2,"."&amp;C$2&amp;C$1&amp;"C"&amp;$A29)="N/A",0,RTD("tos.rtd",,$A$2,"."&amp;C$2&amp;C$1&amp;"C"&amp;$A29))-IF(RTD("tos.rtd",,$A$2,"."&amp;C$2&amp;C$1&amp;"P"&amp;$A29)="N/A",0,RTD("tos.rtd",,$A$2,"."&amp;C$2&amp;C$1&amp;"P"&amp;$A29))</f>
        <v>0</v>
      </c>
      <c r="D29" s="91">
        <f ca="1">IF(RTD("tos.rtd",,$A$2,"."&amp;D$2&amp;D$1&amp;"C"&amp;$A29)="N/A",0,RTD("tos.rtd",,$A$2,"."&amp;D$2&amp;D$1&amp;"C"&amp;$A29))-IF(RTD("tos.rtd",,$A$2,"."&amp;D$2&amp;D$1&amp;"P"&amp;$A29)="N/A",0,RTD("tos.rtd",,$A$2,"."&amp;D$2&amp;D$1&amp;"P"&amp;$A29))</f>
        <v>0</v>
      </c>
      <c r="E29" s="91">
        <f ca="1">IF(RTD("tos.rtd",,$A$2,"."&amp;E$2&amp;E$1&amp;"C"&amp;$A29)="N/A",0,RTD("tos.rtd",,$A$2,"."&amp;E$2&amp;E$1&amp;"C"&amp;$A29))-IF(RTD("tos.rtd",,$A$2,"."&amp;E$2&amp;E$1&amp;"P"&amp;$A29)="N/A",0,RTD("tos.rtd",,$A$2,"."&amp;E$2&amp;E$1&amp;"P"&amp;$A29))</f>
        <v>0</v>
      </c>
      <c r="F29" s="91">
        <f ca="1">IF(RTD("tos.rtd",,$A$2,"."&amp;F$2&amp;F$1&amp;"C"&amp;$A29)="N/A",0,RTD("tos.rtd",,$A$2,"."&amp;F$2&amp;F$1&amp;"C"&amp;$A29))-IF(RTD("tos.rtd",,$A$2,"."&amp;F$2&amp;F$1&amp;"P"&amp;$A29)="N/A",0,RTD("tos.rtd",,$A$2,"."&amp;F$2&amp;F$1&amp;"P"&amp;$A29))</f>
        <v>0</v>
      </c>
      <c r="G29" s="91">
        <f ca="1">IF(RTD("tos.rtd",,$A$2,"."&amp;G$2&amp;G$1&amp;"C"&amp;$A29)="N/A",0,RTD("tos.rtd",,$A$2,"."&amp;G$2&amp;G$1&amp;"C"&amp;$A29))-IF(RTD("tos.rtd",,$A$2,"."&amp;G$2&amp;G$1&amp;"P"&amp;$A29)="N/A",0,RTD("tos.rtd",,$A$2,"."&amp;G$2&amp;G$1&amp;"P"&amp;$A29))</f>
        <v>0</v>
      </c>
      <c r="H29" s="91">
        <f ca="1">IF(RTD("tos.rtd",,$A$2,"."&amp;H$2&amp;H$1&amp;"C"&amp;$A29)="N/A",0,RTD("tos.rtd",,$A$2,"."&amp;H$2&amp;H$1&amp;"C"&amp;$A29))-IF(RTD("tos.rtd",,$A$2,"."&amp;H$2&amp;H$1&amp;"P"&amp;$A29)="N/A",0,RTD("tos.rtd",,$A$2,"."&amp;H$2&amp;H$1&amp;"P"&amp;$A29))</f>
        <v>348</v>
      </c>
      <c r="I29" s="91">
        <f ca="1">IF(RTD("tos.rtd",,$A$2,"."&amp;I$2&amp;I$1&amp;"C"&amp;$A29)="N/A",0,RTD("tos.rtd",,$A$2,"."&amp;I$2&amp;I$1&amp;"C"&amp;$A29))-IF(RTD("tos.rtd",,$A$2,"."&amp;I$2&amp;I$1&amp;"P"&amp;$A29)="N/A",0,RTD("tos.rtd",,$A$2,"."&amp;I$2&amp;I$1&amp;"P"&amp;$A29))</f>
        <v>-283</v>
      </c>
      <c r="J29" s="91">
        <f ca="1">IF(RTD("tos.rtd",,$A$2,"."&amp;J$2&amp;J$1&amp;"C"&amp;$A29)="N/A",0,RTD("tos.rtd",,$A$2,"."&amp;J$2&amp;J$1&amp;"C"&amp;$A29))-IF(RTD("tos.rtd",,$A$2,"."&amp;J$2&amp;J$1&amp;"P"&amp;$A29)="N/A",0,RTD("tos.rtd",,$A$2,"."&amp;J$2&amp;J$1&amp;"P"&amp;$A29))</f>
        <v>215</v>
      </c>
      <c r="K29" s="91">
        <f ca="1">IF(RTD("tos.rtd",,$A$2,"."&amp;K$2&amp;K$1&amp;"C"&amp;$A29)="N/A",0,RTD("tos.rtd",,$A$2,"."&amp;K$2&amp;K$1&amp;"C"&amp;$A29))-IF(RTD("tos.rtd",,$A$2,"."&amp;K$2&amp;K$1&amp;"P"&amp;$A29)="N/A",0,RTD("tos.rtd",,$A$2,"."&amp;K$2&amp;K$1&amp;"P"&amp;$A29))</f>
        <v>0</v>
      </c>
      <c r="L29" s="91">
        <f ca="1">IF(RTD("tos.rtd",,$A$2,"."&amp;L$2&amp;L$1&amp;"C"&amp;$A29)="N/A",0,RTD("tos.rtd",,$A$2,"."&amp;L$2&amp;L$1&amp;"C"&amp;$A29))-IF(RTD("tos.rtd",,$A$2,"."&amp;L$2&amp;L$1&amp;"P"&amp;$A29)="N/A",0,RTD("tos.rtd",,$A$2,"."&amp;L$2&amp;L$1&amp;"P"&amp;$A29))</f>
        <v>-34</v>
      </c>
      <c r="M29" s="91">
        <f ca="1">IF(RTD("tos.rtd",,$A$2,"."&amp;M$2&amp;M$1&amp;"C"&amp;$A29)="N/A",0,RTD("tos.rtd",,$A$2,"."&amp;M$2&amp;M$1&amp;"C"&amp;$A29))-IF(RTD("tos.rtd",,$A$2,"."&amp;M$2&amp;M$1&amp;"P"&amp;$A29)="N/A",0,RTD("tos.rtd",,$A$2,"."&amp;M$2&amp;M$1&amp;"P"&amp;$A29))</f>
        <v>0</v>
      </c>
      <c r="N29" s="91">
        <f ca="1">IF(RTD("tos.rtd",,$A$2,"."&amp;N$2&amp;N$1&amp;"C"&amp;$A29)="N/A",0,RTD("tos.rtd",,$A$2,"."&amp;N$2&amp;N$1&amp;"C"&amp;$A29))-IF(RTD("tos.rtd",,$A$2,"."&amp;N$2&amp;N$1&amp;"P"&amp;$A29)="N/A",0,RTD("tos.rtd",,$A$2,"."&amp;N$2&amp;N$1&amp;"P"&amp;$A29))</f>
        <v>-15</v>
      </c>
      <c r="O29" s="91">
        <f ca="1">IF(RTD("tos.rtd",,$A$2,"."&amp;O$2&amp;O$1&amp;"C"&amp;$A29)="N/A",0,RTD("tos.rtd",,$A$2,"."&amp;O$2&amp;O$1&amp;"C"&amp;$A29))-IF(RTD("tos.rtd",,$A$2,"."&amp;O$2&amp;O$1&amp;"P"&amp;$A29)="N/A",0,RTD("tos.rtd",,$A$2,"."&amp;O$2&amp;O$1&amp;"P"&amp;$A29))</f>
        <v>-81</v>
      </c>
      <c r="P29" s="91">
        <f ca="1">IF(RTD("tos.rtd",,$A$2,"."&amp;P$2&amp;P$1&amp;"C"&amp;$A29)="N/A",0,RTD("tos.rtd",,$A$2,"."&amp;P$2&amp;P$1&amp;"C"&amp;$A29))-IF(RTD("tos.rtd",,$A$2,"."&amp;P$2&amp;P$1&amp;"P"&amp;$A29)="N/A",0,RTD("tos.rtd",,$A$2,"."&amp;P$2&amp;P$1&amp;"P"&amp;$A29))</f>
        <v>-21</v>
      </c>
      <c r="Q29" s="91">
        <f ca="1">IF(RTD("tos.rtd",,$A$2,"."&amp;Q$2&amp;Q$1&amp;"C"&amp;$A29)="N/A",0,RTD("tos.rtd",,$A$2,"."&amp;Q$2&amp;Q$1&amp;"C"&amp;$A29))-IF(RTD("tos.rtd",,$A$2,"."&amp;Q$2&amp;Q$1&amp;"P"&amp;$A29)="N/A",0,RTD("tos.rtd",,$A$2,"."&amp;Q$2&amp;Q$1&amp;"P"&amp;$A29))</f>
        <v>0</v>
      </c>
      <c r="R29" s="91">
        <f ca="1">IF(RTD("tos.rtd",,$A$2,"."&amp;R$2&amp;R$1&amp;"C"&amp;$A29)="N/A",0,RTD("tos.rtd",,$A$2,"."&amp;R$2&amp;R$1&amp;"C"&amp;$A29))-IF(RTD("tos.rtd",,$A$2,"."&amp;R$2&amp;R$1&amp;"P"&amp;$A29)="N/A",0,RTD("tos.rtd",,$A$2,"."&amp;R$2&amp;R$1&amp;"P"&amp;$A29))</f>
        <v>-134</v>
      </c>
      <c r="S29" s="91">
        <f ca="1">IF(RTD("tos.rtd",,$A$2,"."&amp;S$2&amp;S$1&amp;"C"&amp;$A29)="N/A",0,RTD("tos.rtd",,$A$2,"."&amp;S$2&amp;S$1&amp;"C"&amp;$A29))-IF(RTD("tos.rtd",,$A$2,"."&amp;S$2&amp;S$1&amp;"P"&amp;$A29)="N/A",0,RTD("tos.rtd",,$A$2,"."&amp;S$2&amp;S$1&amp;"P"&amp;$A29))</f>
        <v>0</v>
      </c>
      <c r="T29" s="91">
        <f ca="1">IF(RTD("tos.rtd",,$A$2,"."&amp;T$2&amp;T$1&amp;"C"&amp;$A29)="N/A",0,RTD("tos.rtd",,$A$2,"."&amp;T$2&amp;T$1&amp;"C"&amp;$A29))-IF(RTD("tos.rtd",,$A$2,"."&amp;T$2&amp;T$1&amp;"P"&amp;$A29)="N/A",0,RTD("tos.rtd",,$A$2,"."&amp;T$2&amp;T$1&amp;"P"&amp;$A29))</f>
        <v>-9</v>
      </c>
      <c r="U29" s="91">
        <f ca="1">IF(RTD("tos.rtd",,$A$2,"."&amp;U$2&amp;U$1&amp;"C"&amp;$A29)="N/A",0,RTD("tos.rtd",,$A$2,"."&amp;U$2&amp;U$1&amp;"C"&amp;$A29))-IF(RTD("tos.rtd",,$A$2,"."&amp;U$2&amp;U$1&amp;"P"&amp;$A29)="N/A",0,RTD("tos.rtd",,$A$2,"."&amp;U$2&amp;U$1&amp;"P"&amp;$A29))</f>
        <v>0</v>
      </c>
      <c r="V29" s="91">
        <f ca="1">IF(RTD("tos.rtd",,$A$2,"."&amp;V$2&amp;V$1&amp;"C"&amp;$A29)="N/A",0,RTD("tos.rtd",,$A$2,"."&amp;V$2&amp;V$1&amp;"C"&amp;$A29))-IF(RTD("tos.rtd",,$A$2,"."&amp;V$2&amp;V$1&amp;"P"&amp;$A29)="N/A",0,RTD("tos.rtd",,$A$2,"."&amp;V$2&amp;V$1&amp;"P"&amp;$A29))</f>
        <v>0</v>
      </c>
      <c r="W29" s="91">
        <f ca="1">IF(RTD("tos.rtd",,$A$2,"."&amp;W$2&amp;W$1&amp;"C"&amp;$A29)="N/A",0,RTD("tos.rtd",,$A$2,"."&amp;W$2&amp;W$1&amp;"C"&amp;$A29))-IF(RTD("tos.rtd",,$A$2,"."&amp;W$2&amp;W$1&amp;"P"&amp;$A29)="N/A",0,RTD("tos.rtd",,$A$2,"."&amp;W$2&amp;W$1&amp;"P"&amp;$A29))</f>
        <v>0</v>
      </c>
      <c r="X29" s="91">
        <f ca="1">IF(RTD("tos.rtd",,$A$2,"."&amp;X$2&amp;X$1&amp;"C"&amp;$A29)="N/A",0,RTD("tos.rtd",,$A$2,"."&amp;X$2&amp;X$1&amp;"C"&amp;$A29))-IF(RTD("tos.rtd",,$A$2,"."&amp;X$2&amp;X$1&amp;"P"&amp;$A29)="N/A",0,RTD("tos.rtd",,$A$2,"."&amp;X$2&amp;X$1&amp;"P"&amp;$A29))</f>
        <v>0</v>
      </c>
      <c r="Y29" s="98">
        <f t="shared" ca="1" si="3"/>
        <v>-14</v>
      </c>
    </row>
    <row r="30" spans="1:25" x14ac:dyDescent="0.25">
      <c r="A30" s="93">
        <f>+Hoja1!A29</f>
        <v>567</v>
      </c>
      <c r="B30" s="91">
        <f ca="1">IF(RTD("tos.rtd",,$A$2,"."&amp;B$2&amp;B$1&amp;"C"&amp;$A30)="N/A",0,RTD("tos.rtd",,$A$2,"."&amp;B$2&amp;B$1&amp;"C"&amp;$A30))-IF(RTD("tos.rtd",,$A$2,"."&amp;B$2&amp;B$1&amp;"P"&amp;$A30)="N/A",0,RTD("tos.rtd",,$A$2,"."&amp;B$2&amp;B$1&amp;"P"&amp;$A30))</f>
        <v>0</v>
      </c>
      <c r="C30" s="91">
        <f ca="1">IF(RTD("tos.rtd",,$A$2,"."&amp;C$2&amp;C$1&amp;"C"&amp;$A30)="N/A",0,RTD("tos.rtd",,$A$2,"."&amp;C$2&amp;C$1&amp;"C"&amp;$A30))-IF(RTD("tos.rtd",,$A$2,"."&amp;C$2&amp;C$1&amp;"P"&amp;$A30)="N/A",0,RTD("tos.rtd",,$A$2,"."&amp;C$2&amp;C$1&amp;"P"&amp;$A30))</f>
        <v>0</v>
      </c>
      <c r="D30" s="91">
        <f ca="1">IF(RTD("tos.rtd",,$A$2,"."&amp;D$2&amp;D$1&amp;"C"&amp;$A30)="N/A",0,RTD("tos.rtd",,$A$2,"."&amp;D$2&amp;D$1&amp;"C"&amp;$A30))-IF(RTD("tos.rtd",,$A$2,"."&amp;D$2&amp;D$1&amp;"P"&amp;$A30)="N/A",0,RTD("tos.rtd",,$A$2,"."&amp;D$2&amp;D$1&amp;"P"&amp;$A30))</f>
        <v>0</v>
      </c>
      <c r="E30" s="91">
        <f ca="1">IF(RTD("tos.rtd",,$A$2,"."&amp;E$2&amp;E$1&amp;"C"&amp;$A30)="N/A",0,RTD("tos.rtd",,$A$2,"."&amp;E$2&amp;E$1&amp;"C"&amp;$A30))-IF(RTD("tos.rtd",,$A$2,"."&amp;E$2&amp;E$1&amp;"P"&amp;$A30)="N/A",0,RTD("tos.rtd",,$A$2,"."&amp;E$2&amp;E$1&amp;"P"&amp;$A30))</f>
        <v>0</v>
      </c>
      <c r="F30" s="91">
        <f ca="1">IF(RTD("tos.rtd",,$A$2,"."&amp;F$2&amp;F$1&amp;"C"&amp;$A30)="N/A",0,RTD("tos.rtd",,$A$2,"."&amp;F$2&amp;F$1&amp;"C"&amp;$A30))-IF(RTD("tos.rtd",,$A$2,"."&amp;F$2&amp;F$1&amp;"P"&amp;$A30)="N/A",0,RTD("tos.rtd",,$A$2,"."&amp;F$2&amp;F$1&amp;"P"&amp;$A30))</f>
        <v>0</v>
      </c>
      <c r="G30" s="91">
        <f ca="1">IF(RTD("tos.rtd",,$A$2,"."&amp;G$2&amp;G$1&amp;"C"&amp;$A30)="N/A",0,RTD("tos.rtd",,$A$2,"."&amp;G$2&amp;G$1&amp;"C"&amp;$A30))-IF(RTD("tos.rtd",,$A$2,"."&amp;G$2&amp;G$1&amp;"P"&amp;$A30)="N/A",0,RTD("tos.rtd",,$A$2,"."&amp;G$2&amp;G$1&amp;"P"&amp;$A30))</f>
        <v>0</v>
      </c>
      <c r="H30" s="91">
        <f ca="1">IF(RTD("tos.rtd",,$A$2,"."&amp;H$2&amp;H$1&amp;"C"&amp;$A30)="N/A",0,RTD("tos.rtd",,$A$2,"."&amp;H$2&amp;H$1&amp;"C"&amp;$A30))-IF(RTD("tos.rtd",,$A$2,"."&amp;H$2&amp;H$1&amp;"P"&amp;$A30)="N/A",0,RTD("tos.rtd",,$A$2,"."&amp;H$2&amp;H$1&amp;"P"&amp;$A30))</f>
        <v>3</v>
      </c>
      <c r="I30" s="91">
        <f ca="1">IF(RTD("tos.rtd",,$A$2,"."&amp;I$2&amp;I$1&amp;"C"&amp;$A30)="N/A",0,RTD("tos.rtd",,$A$2,"."&amp;I$2&amp;I$1&amp;"C"&amp;$A30))-IF(RTD("tos.rtd",,$A$2,"."&amp;I$2&amp;I$1&amp;"P"&amp;$A30)="N/A",0,RTD("tos.rtd",,$A$2,"."&amp;I$2&amp;I$1&amp;"P"&amp;$A30))</f>
        <v>-452</v>
      </c>
      <c r="J30" s="91">
        <f ca="1">IF(RTD("tos.rtd",,$A$2,"."&amp;J$2&amp;J$1&amp;"C"&amp;$A30)="N/A",0,RTD("tos.rtd",,$A$2,"."&amp;J$2&amp;J$1&amp;"C"&amp;$A30))-IF(RTD("tos.rtd",,$A$2,"."&amp;J$2&amp;J$1&amp;"P"&amp;$A30)="N/A",0,RTD("tos.rtd",,$A$2,"."&amp;J$2&amp;J$1&amp;"P"&amp;$A30))</f>
        <v>-9</v>
      </c>
      <c r="K30" s="91">
        <f ca="1">IF(RTD("tos.rtd",,$A$2,"."&amp;K$2&amp;K$1&amp;"C"&amp;$A30)="N/A",0,RTD("tos.rtd",,$A$2,"."&amp;K$2&amp;K$1&amp;"C"&amp;$A30))-IF(RTD("tos.rtd",,$A$2,"."&amp;K$2&amp;K$1&amp;"P"&amp;$A30)="N/A",0,RTD("tos.rtd",,$A$2,"."&amp;K$2&amp;K$1&amp;"P"&amp;$A30))</f>
        <v>0</v>
      </c>
      <c r="L30" s="91">
        <f ca="1">IF(RTD("tos.rtd",,$A$2,"."&amp;L$2&amp;L$1&amp;"C"&amp;$A30)="N/A",0,RTD("tos.rtd",,$A$2,"."&amp;L$2&amp;L$1&amp;"C"&amp;$A30))-IF(RTD("tos.rtd",,$A$2,"."&amp;L$2&amp;L$1&amp;"P"&amp;$A30)="N/A",0,RTD("tos.rtd",,$A$2,"."&amp;L$2&amp;L$1&amp;"P"&amp;$A30))</f>
        <v>-42</v>
      </c>
      <c r="M30" s="91">
        <f ca="1">IF(RTD("tos.rtd",,$A$2,"."&amp;M$2&amp;M$1&amp;"C"&amp;$A30)="N/A",0,RTD("tos.rtd",,$A$2,"."&amp;M$2&amp;M$1&amp;"C"&amp;$A30))-IF(RTD("tos.rtd",,$A$2,"."&amp;M$2&amp;M$1&amp;"P"&amp;$A30)="N/A",0,RTD("tos.rtd",,$A$2,"."&amp;M$2&amp;M$1&amp;"P"&amp;$A30))</f>
        <v>0</v>
      </c>
      <c r="N30" s="91">
        <f ca="1">IF(RTD("tos.rtd",,$A$2,"."&amp;N$2&amp;N$1&amp;"C"&amp;$A30)="N/A",0,RTD("tos.rtd",,$A$2,"."&amp;N$2&amp;N$1&amp;"C"&amp;$A30))-IF(RTD("tos.rtd",,$A$2,"."&amp;N$2&amp;N$1&amp;"P"&amp;$A30)="N/A",0,RTD("tos.rtd",,$A$2,"."&amp;N$2&amp;N$1&amp;"P"&amp;$A30))</f>
        <v>-7</v>
      </c>
      <c r="O30" s="91">
        <f ca="1">IF(RTD("tos.rtd",,$A$2,"."&amp;O$2&amp;O$1&amp;"C"&amp;$A30)="N/A",0,RTD("tos.rtd",,$A$2,"."&amp;O$2&amp;O$1&amp;"C"&amp;$A30))-IF(RTD("tos.rtd",,$A$2,"."&amp;O$2&amp;O$1&amp;"P"&amp;$A30)="N/A",0,RTD("tos.rtd",,$A$2,"."&amp;O$2&amp;O$1&amp;"P"&amp;$A30))</f>
        <v>-43</v>
      </c>
      <c r="P30" s="91">
        <f ca="1">IF(RTD("tos.rtd",,$A$2,"."&amp;P$2&amp;P$1&amp;"C"&amp;$A30)="N/A",0,RTD("tos.rtd",,$A$2,"."&amp;P$2&amp;P$1&amp;"C"&amp;$A30))-IF(RTD("tos.rtd",,$A$2,"."&amp;P$2&amp;P$1&amp;"P"&amp;$A30)="N/A",0,RTD("tos.rtd",,$A$2,"."&amp;P$2&amp;P$1&amp;"P"&amp;$A30))</f>
        <v>0</v>
      </c>
      <c r="Q30" s="91">
        <f ca="1">IF(RTD("tos.rtd",,$A$2,"."&amp;Q$2&amp;Q$1&amp;"C"&amp;$A30)="N/A",0,RTD("tos.rtd",,$A$2,"."&amp;Q$2&amp;Q$1&amp;"C"&amp;$A30))-IF(RTD("tos.rtd",,$A$2,"."&amp;Q$2&amp;Q$1&amp;"P"&amp;$A30)="N/A",0,RTD("tos.rtd",,$A$2,"."&amp;Q$2&amp;Q$1&amp;"P"&amp;$A30))</f>
        <v>0</v>
      </c>
      <c r="R30" s="91">
        <f ca="1">IF(RTD("tos.rtd",,$A$2,"."&amp;R$2&amp;R$1&amp;"C"&amp;$A30)="N/A",0,RTD("tos.rtd",,$A$2,"."&amp;R$2&amp;R$1&amp;"C"&amp;$A30))-IF(RTD("tos.rtd",,$A$2,"."&amp;R$2&amp;R$1&amp;"P"&amp;$A30)="N/A",0,RTD("tos.rtd",,$A$2,"."&amp;R$2&amp;R$1&amp;"P"&amp;$A30))</f>
        <v>-8</v>
      </c>
      <c r="S30" s="91">
        <f ca="1">IF(RTD("tos.rtd",,$A$2,"."&amp;S$2&amp;S$1&amp;"C"&amp;$A30)="N/A",0,RTD("tos.rtd",,$A$2,"."&amp;S$2&amp;S$1&amp;"C"&amp;$A30))-IF(RTD("tos.rtd",,$A$2,"."&amp;S$2&amp;S$1&amp;"P"&amp;$A30)="N/A",0,RTD("tos.rtd",,$A$2,"."&amp;S$2&amp;S$1&amp;"P"&amp;$A30))</f>
        <v>0</v>
      </c>
      <c r="T30" s="91">
        <f ca="1">IF(RTD("tos.rtd",,$A$2,"."&amp;T$2&amp;T$1&amp;"C"&amp;$A30)="N/A",0,RTD("tos.rtd",,$A$2,"."&amp;T$2&amp;T$1&amp;"C"&amp;$A30))-IF(RTD("tos.rtd",,$A$2,"."&amp;T$2&amp;T$1&amp;"P"&amp;$A30)="N/A",0,RTD("tos.rtd",,$A$2,"."&amp;T$2&amp;T$1&amp;"P"&amp;$A30))</f>
        <v>-3</v>
      </c>
      <c r="U30" s="91">
        <f ca="1">IF(RTD("tos.rtd",,$A$2,"."&amp;U$2&amp;U$1&amp;"C"&amp;$A30)="N/A",0,RTD("tos.rtd",,$A$2,"."&amp;U$2&amp;U$1&amp;"C"&amp;$A30))-IF(RTD("tos.rtd",,$A$2,"."&amp;U$2&amp;U$1&amp;"P"&amp;$A30)="N/A",0,RTD("tos.rtd",,$A$2,"."&amp;U$2&amp;U$1&amp;"P"&amp;$A30))</f>
        <v>0</v>
      </c>
      <c r="V30" s="91">
        <f ca="1">IF(RTD("tos.rtd",,$A$2,"."&amp;V$2&amp;V$1&amp;"C"&amp;$A30)="N/A",0,RTD("tos.rtd",,$A$2,"."&amp;V$2&amp;V$1&amp;"C"&amp;$A30))-IF(RTD("tos.rtd",,$A$2,"."&amp;V$2&amp;V$1&amp;"P"&amp;$A30)="N/A",0,RTD("tos.rtd",,$A$2,"."&amp;V$2&amp;V$1&amp;"P"&amp;$A30))</f>
        <v>0</v>
      </c>
      <c r="W30" s="91">
        <f ca="1">IF(RTD("tos.rtd",,$A$2,"."&amp;W$2&amp;W$1&amp;"C"&amp;$A30)="N/A",0,RTD("tos.rtd",,$A$2,"."&amp;W$2&amp;W$1&amp;"C"&amp;$A30))-IF(RTD("tos.rtd",,$A$2,"."&amp;W$2&amp;W$1&amp;"P"&amp;$A30)="N/A",0,RTD("tos.rtd",,$A$2,"."&amp;W$2&amp;W$1&amp;"P"&amp;$A30))</f>
        <v>0</v>
      </c>
      <c r="X30" s="91">
        <f ca="1">IF(RTD("tos.rtd",,$A$2,"."&amp;X$2&amp;X$1&amp;"C"&amp;$A30)="N/A",0,RTD("tos.rtd",,$A$2,"."&amp;X$2&amp;X$1&amp;"C"&amp;$A30))-IF(RTD("tos.rtd",,$A$2,"."&amp;X$2&amp;X$1&amp;"P"&amp;$A30)="N/A",0,RTD("tos.rtd",,$A$2,"."&amp;X$2&amp;X$1&amp;"P"&amp;$A30))</f>
        <v>-8</v>
      </c>
      <c r="Y30" s="98">
        <f t="shared" ca="1" si="3"/>
        <v>-569</v>
      </c>
    </row>
    <row r="31" spans="1:25" x14ac:dyDescent="0.25">
      <c r="A31" s="93">
        <f>+Hoja1!A30</f>
        <v>566</v>
      </c>
      <c r="B31" s="91">
        <f ca="1">IF(RTD("tos.rtd",,$A$2,"."&amp;B$2&amp;B$1&amp;"C"&amp;$A31)="N/A",0,RTD("tos.rtd",,$A$2,"."&amp;B$2&amp;B$1&amp;"C"&amp;$A31))-IF(RTD("tos.rtd",,$A$2,"."&amp;B$2&amp;B$1&amp;"P"&amp;$A31)="N/A",0,RTD("tos.rtd",,$A$2,"."&amp;B$2&amp;B$1&amp;"P"&amp;$A31))</f>
        <v>0</v>
      </c>
      <c r="C31" s="91">
        <f ca="1">IF(RTD("tos.rtd",,$A$2,"."&amp;C$2&amp;C$1&amp;"C"&amp;$A31)="N/A",0,RTD("tos.rtd",,$A$2,"."&amp;C$2&amp;C$1&amp;"C"&amp;$A31))-IF(RTD("tos.rtd",,$A$2,"."&amp;C$2&amp;C$1&amp;"P"&amp;$A31)="N/A",0,RTD("tos.rtd",,$A$2,"."&amp;C$2&amp;C$1&amp;"P"&amp;$A31))</f>
        <v>0</v>
      </c>
      <c r="D31" s="91">
        <f ca="1">IF(RTD("tos.rtd",,$A$2,"."&amp;D$2&amp;D$1&amp;"C"&amp;$A31)="N/A",0,RTD("tos.rtd",,$A$2,"."&amp;D$2&amp;D$1&amp;"C"&amp;$A31))-IF(RTD("tos.rtd",,$A$2,"."&amp;D$2&amp;D$1&amp;"P"&amp;$A31)="N/A",0,RTD("tos.rtd",,$A$2,"."&amp;D$2&amp;D$1&amp;"P"&amp;$A31))</f>
        <v>0</v>
      </c>
      <c r="E31" s="91">
        <f ca="1">IF(RTD("tos.rtd",,$A$2,"."&amp;E$2&amp;E$1&amp;"C"&amp;$A31)="N/A",0,RTD("tos.rtd",,$A$2,"."&amp;E$2&amp;E$1&amp;"C"&amp;$A31))-IF(RTD("tos.rtd",,$A$2,"."&amp;E$2&amp;E$1&amp;"P"&amp;$A31)="N/A",0,RTD("tos.rtd",,$A$2,"."&amp;E$2&amp;E$1&amp;"P"&amp;$A31))</f>
        <v>0</v>
      </c>
      <c r="F31" s="91">
        <f ca="1">IF(RTD("tos.rtd",,$A$2,"."&amp;F$2&amp;F$1&amp;"C"&amp;$A31)="N/A",0,RTD("tos.rtd",,$A$2,"."&amp;F$2&amp;F$1&amp;"C"&amp;$A31))-IF(RTD("tos.rtd",,$A$2,"."&amp;F$2&amp;F$1&amp;"P"&amp;$A31)="N/A",0,RTD("tos.rtd",,$A$2,"."&amp;F$2&amp;F$1&amp;"P"&amp;$A31))</f>
        <v>0</v>
      </c>
      <c r="G31" s="91">
        <f ca="1">IF(RTD("tos.rtd",,$A$2,"."&amp;G$2&amp;G$1&amp;"C"&amp;$A31)="N/A",0,RTD("tos.rtd",,$A$2,"."&amp;G$2&amp;G$1&amp;"C"&amp;$A31))-IF(RTD("tos.rtd",,$A$2,"."&amp;G$2&amp;G$1&amp;"P"&amp;$A31)="N/A",0,RTD("tos.rtd",,$A$2,"."&amp;G$2&amp;G$1&amp;"P"&amp;$A31))</f>
        <v>0</v>
      </c>
      <c r="H31" s="91">
        <f ca="1">IF(RTD("tos.rtd",,$A$2,"."&amp;H$2&amp;H$1&amp;"C"&amp;$A31)="N/A",0,RTD("tos.rtd",,$A$2,"."&amp;H$2&amp;H$1&amp;"C"&amp;$A31))-IF(RTD("tos.rtd",,$A$2,"."&amp;H$2&amp;H$1&amp;"P"&amp;$A31)="N/A",0,RTD("tos.rtd",,$A$2,"."&amp;H$2&amp;H$1&amp;"P"&amp;$A31))</f>
        <v>-247</v>
      </c>
      <c r="I31" s="91">
        <f ca="1">IF(RTD("tos.rtd",,$A$2,"."&amp;I$2&amp;I$1&amp;"C"&amp;$A31)="N/A",0,RTD("tos.rtd",,$A$2,"."&amp;I$2&amp;I$1&amp;"C"&amp;$A31))-IF(RTD("tos.rtd",,$A$2,"."&amp;I$2&amp;I$1&amp;"P"&amp;$A31)="N/A",0,RTD("tos.rtd",,$A$2,"."&amp;I$2&amp;I$1&amp;"P"&amp;$A31))</f>
        <v>-280</v>
      </c>
      <c r="J31" s="91">
        <f ca="1">IF(RTD("tos.rtd",,$A$2,"."&amp;J$2&amp;J$1&amp;"C"&amp;$A31)="N/A",0,RTD("tos.rtd",,$A$2,"."&amp;J$2&amp;J$1&amp;"C"&amp;$A31))-IF(RTD("tos.rtd",,$A$2,"."&amp;J$2&amp;J$1&amp;"P"&amp;$A31)="N/A",0,RTD("tos.rtd",,$A$2,"."&amp;J$2&amp;J$1&amp;"P"&amp;$A31))</f>
        <v>-19</v>
      </c>
      <c r="K31" s="91">
        <f ca="1">IF(RTD("tos.rtd",,$A$2,"."&amp;K$2&amp;K$1&amp;"C"&amp;$A31)="N/A",0,RTD("tos.rtd",,$A$2,"."&amp;K$2&amp;K$1&amp;"C"&amp;$A31))-IF(RTD("tos.rtd",,$A$2,"."&amp;K$2&amp;K$1&amp;"P"&amp;$A31)="N/A",0,RTD("tos.rtd",,$A$2,"."&amp;K$2&amp;K$1&amp;"P"&amp;$A31))</f>
        <v>0</v>
      </c>
      <c r="L31" s="91">
        <f ca="1">IF(RTD("tos.rtd",,$A$2,"."&amp;L$2&amp;L$1&amp;"C"&amp;$A31)="N/A",0,RTD("tos.rtd",,$A$2,"."&amp;L$2&amp;L$1&amp;"C"&amp;$A31))-IF(RTD("tos.rtd",,$A$2,"."&amp;L$2&amp;L$1&amp;"P"&amp;$A31)="N/A",0,RTD("tos.rtd",,$A$2,"."&amp;L$2&amp;L$1&amp;"P"&amp;$A31))</f>
        <v>54</v>
      </c>
      <c r="M31" s="91">
        <f ca="1">IF(RTD("tos.rtd",,$A$2,"."&amp;M$2&amp;M$1&amp;"C"&amp;$A31)="N/A",0,RTD("tos.rtd",,$A$2,"."&amp;M$2&amp;M$1&amp;"C"&amp;$A31))-IF(RTD("tos.rtd",,$A$2,"."&amp;M$2&amp;M$1&amp;"P"&amp;$A31)="N/A",0,RTD("tos.rtd",,$A$2,"."&amp;M$2&amp;M$1&amp;"P"&amp;$A31))</f>
        <v>0</v>
      </c>
      <c r="N31" s="91">
        <f ca="1">IF(RTD("tos.rtd",,$A$2,"."&amp;N$2&amp;N$1&amp;"C"&amp;$A31)="N/A",0,RTD("tos.rtd",,$A$2,"."&amp;N$2&amp;N$1&amp;"C"&amp;$A31))-IF(RTD("tos.rtd",,$A$2,"."&amp;N$2&amp;N$1&amp;"P"&amp;$A31)="N/A",0,RTD("tos.rtd",,$A$2,"."&amp;N$2&amp;N$1&amp;"P"&amp;$A31))</f>
        <v>12</v>
      </c>
      <c r="O31" s="91">
        <f ca="1">IF(RTD("tos.rtd",,$A$2,"."&amp;O$2&amp;O$1&amp;"C"&amp;$A31)="N/A",0,RTD("tos.rtd",,$A$2,"."&amp;O$2&amp;O$1&amp;"C"&amp;$A31))-IF(RTD("tos.rtd",,$A$2,"."&amp;O$2&amp;O$1&amp;"P"&amp;$A31)="N/A",0,RTD("tos.rtd",,$A$2,"."&amp;O$2&amp;O$1&amp;"P"&amp;$A31))</f>
        <v>-2555</v>
      </c>
      <c r="P31" s="91">
        <f ca="1">IF(RTD("tos.rtd",,$A$2,"."&amp;P$2&amp;P$1&amp;"C"&amp;$A31)="N/A",0,RTD("tos.rtd",,$A$2,"."&amp;P$2&amp;P$1&amp;"C"&amp;$A31))-IF(RTD("tos.rtd",,$A$2,"."&amp;P$2&amp;P$1&amp;"P"&amp;$A31)="N/A",0,RTD("tos.rtd",,$A$2,"."&amp;P$2&amp;P$1&amp;"P"&amp;$A31))</f>
        <v>-4</v>
      </c>
      <c r="Q31" s="91">
        <f ca="1">IF(RTD("tos.rtd",,$A$2,"."&amp;Q$2&amp;Q$1&amp;"C"&amp;$A31)="N/A",0,RTD("tos.rtd",,$A$2,"."&amp;Q$2&amp;Q$1&amp;"C"&amp;$A31))-IF(RTD("tos.rtd",,$A$2,"."&amp;Q$2&amp;Q$1&amp;"P"&amp;$A31)="N/A",0,RTD("tos.rtd",,$A$2,"."&amp;Q$2&amp;Q$1&amp;"P"&amp;$A31))</f>
        <v>0</v>
      </c>
      <c r="R31" s="91">
        <f ca="1">IF(RTD("tos.rtd",,$A$2,"."&amp;R$2&amp;R$1&amp;"C"&amp;$A31)="N/A",0,RTD("tos.rtd",,$A$2,"."&amp;R$2&amp;R$1&amp;"C"&amp;$A31))-IF(RTD("tos.rtd",,$A$2,"."&amp;R$2&amp;R$1&amp;"P"&amp;$A31)="N/A",0,RTD("tos.rtd",,$A$2,"."&amp;R$2&amp;R$1&amp;"P"&amp;$A31))</f>
        <v>-1</v>
      </c>
      <c r="S31" s="91">
        <f ca="1">IF(RTD("tos.rtd",,$A$2,"."&amp;S$2&amp;S$1&amp;"C"&amp;$A31)="N/A",0,RTD("tos.rtd",,$A$2,"."&amp;S$2&amp;S$1&amp;"C"&amp;$A31))-IF(RTD("tos.rtd",,$A$2,"."&amp;S$2&amp;S$1&amp;"P"&amp;$A31)="N/A",0,RTD("tos.rtd",,$A$2,"."&amp;S$2&amp;S$1&amp;"P"&amp;$A31))</f>
        <v>0</v>
      </c>
      <c r="T31" s="91">
        <f ca="1">IF(RTD("tos.rtd",,$A$2,"."&amp;T$2&amp;T$1&amp;"C"&amp;$A31)="N/A",0,RTD("tos.rtd",,$A$2,"."&amp;T$2&amp;T$1&amp;"C"&amp;$A31))-IF(RTD("tos.rtd",,$A$2,"."&amp;T$2&amp;T$1&amp;"P"&amp;$A31)="N/A",0,RTD("tos.rtd",,$A$2,"."&amp;T$2&amp;T$1&amp;"P"&amp;$A31))</f>
        <v>1</v>
      </c>
      <c r="U31" s="91">
        <f ca="1">IF(RTD("tos.rtd",,$A$2,"."&amp;U$2&amp;U$1&amp;"C"&amp;$A31)="N/A",0,RTD("tos.rtd",,$A$2,"."&amp;U$2&amp;U$1&amp;"C"&amp;$A31))-IF(RTD("tos.rtd",,$A$2,"."&amp;U$2&amp;U$1&amp;"P"&amp;$A31)="N/A",0,RTD("tos.rtd",,$A$2,"."&amp;U$2&amp;U$1&amp;"P"&amp;$A31))</f>
        <v>0</v>
      </c>
      <c r="V31" s="91">
        <f ca="1">IF(RTD("tos.rtd",,$A$2,"."&amp;V$2&amp;V$1&amp;"C"&amp;$A31)="N/A",0,RTD("tos.rtd",,$A$2,"."&amp;V$2&amp;V$1&amp;"C"&amp;$A31))-IF(RTD("tos.rtd",,$A$2,"."&amp;V$2&amp;V$1&amp;"P"&amp;$A31)="N/A",0,RTD("tos.rtd",,$A$2,"."&amp;V$2&amp;V$1&amp;"P"&amp;$A31))</f>
        <v>0</v>
      </c>
      <c r="W31" s="91">
        <f ca="1">IF(RTD("tos.rtd",,$A$2,"."&amp;W$2&amp;W$1&amp;"C"&amp;$A31)="N/A",0,RTD("tos.rtd",,$A$2,"."&amp;W$2&amp;W$1&amp;"C"&amp;$A31))-IF(RTD("tos.rtd",,$A$2,"."&amp;W$2&amp;W$1&amp;"P"&amp;$A31)="N/A",0,RTD("tos.rtd",,$A$2,"."&amp;W$2&amp;W$1&amp;"P"&amp;$A31))</f>
        <v>0</v>
      </c>
      <c r="X31" s="91">
        <f ca="1">IF(RTD("tos.rtd",,$A$2,"."&amp;X$2&amp;X$1&amp;"C"&amp;$A31)="N/A",0,RTD("tos.rtd",,$A$2,"."&amp;X$2&amp;X$1&amp;"C"&amp;$A31))-IF(RTD("tos.rtd",,$A$2,"."&amp;X$2&amp;X$1&amp;"P"&amp;$A31)="N/A",0,RTD("tos.rtd",,$A$2,"."&amp;X$2&amp;X$1&amp;"P"&amp;$A31))</f>
        <v>11</v>
      </c>
      <c r="Y31" s="98">
        <f t="shared" ca="1" si="3"/>
        <v>-3028</v>
      </c>
    </row>
    <row r="32" spans="1:25" x14ac:dyDescent="0.25">
      <c r="A32" s="93">
        <f>+Hoja1!A31</f>
        <v>565</v>
      </c>
      <c r="B32" s="91">
        <f ca="1">IF(RTD("tos.rtd",,$A$2,"."&amp;B$2&amp;B$1&amp;"C"&amp;$A32)="N/A",0,RTD("tos.rtd",,$A$2,"."&amp;B$2&amp;B$1&amp;"C"&amp;$A32))-IF(RTD("tos.rtd",,$A$2,"."&amp;B$2&amp;B$1&amp;"P"&amp;$A32)="N/A",0,RTD("tos.rtd",,$A$2,"."&amp;B$2&amp;B$1&amp;"P"&amp;$A32))</f>
        <v>0</v>
      </c>
      <c r="C32" s="91">
        <f ca="1">IF(RTD("tos.rtd",,$A$2,"."&amp;C$2&amp;C$1&amp;"C"&amp;$A32)="N/A",0,RTD("tos.rtd",,$A$2,"."&amp;C$2&amp;C$1&amp;"C"&amp;$A32))-IF(RTD("tos.rtd",,$A$2,"."&amp;C$2&amp;C$1&amp;"P"&amp;$A32)="N/A",0,RTD("tos.rtd",,$A$2,"."&amp;C$2&amp;C$1&amp;"P"&amp;$A32))</f>
        <v>0</v>
      </c>
      <c r="D32" s="91">
        <f ca="1">IF(RTD("tos.rtd",,$A$2,"."&amp;D$2&amp;D$1&amp;"C"&amp;$A32)="N/A",0,RTD("tos.rtd",,$A$2,"."&amp;D$2&amp;D$1&amp;"C"&amp;$A32))-IF(RTD("tos.rtd",,$A$2,"."&amp;D$2&amp;D$1&amp;"P"&amp;$A32)="N/A",0,RTD("tos.rtd",,$A$2,"."&amp;D$2&amp;D$1&amp;"P"&amp;$A32))</f>
        <v>0</v>
      </c>
      <c r="E32" s="91">
        <f ca="1">IF(RTD("tos.rtd",,$A$2,"."&amp;E$2&amp;E$1&amp;"C"&amp;$A32)="N/A",0,RTD("tos.rtd",,$A$2,"."&amp;E$2&amp;E$1&amp;"C"&amp;$A32))-IF(RTD("tos.rtd",,$A$2,"."&amp;E$2&amp;E$1&amp;"P"&amp;$A32)="N/A",0,RTD("tos.rtd",,$A$2,"."&amp;E$2&amp;E$1&amp;"P"&amp;$A32))</f>
        <v>0</v>
      </c>
      <c r="F32" s="91">
        <f ca="1">IF(RTD("tos.rtd",,$A$2,"."&amp;F$2&amp;F$1&amp;"C"&amp;$A32)="N/A",0,RTD("tos.rtd",,$A$2,"."&amp;F$2&amp;F$1&amp;"C"&amp;$A32))-IF(RTD("tos.rtd",,$A$2,"."&amp;F$2&amp;F$1&amp;"P"&amp;$A32)="N/A",0,RTD("tos.rtd",,$A$2,"."&amp;F$2&amp;F$1&amp;"P"&amp;$A32))</f>
        <v>0</v>
      </c>
      <c r="G32" s="91">
        <f ca="1">IF(RTD("tos.rtd",,$A$2,"."&amp;G$2&amp;G$1&amp;"C"&amp;$A32)="N/A",0,RTD("tos.rtd",,$A$2,"."&amp;G$2&amp;G$1&amp;"C"&amp;$A32))-IF(RTD("tos.rtd",,$A$2,"."&amp;G$2&amp;G$1&amp;"P"&amp;$A32)="N/A",0,RTD("tos.rtd",,$A$2,"."&amp;G$2&amp;G$1&amp;"P"&amp;$A32))</f>
        <v>0</v>
      </c>
      <c r="H32" s="91">
        <f ca="1">IF(RTD("tos.rtd",,$A$2,"."&amp;H$2&amp;H$1&amp;"C"&amp;$A32)="N/A",0,RTD("tos.rtd",,$A$2,"."&amp;H$2&amp;H$1&amp;"C"&amp;$A32))-IF(RTD("tos.rtd",,$A$2,"."&amp;H$2&amp;H$1&amp;"P"&amp;$A32)="N/A",0,RTD("tos.rtd",,$A$2,"."&amp;H$2&amp;H$1&amp;"P"&amp;$A32))</f>
        <v>-1892</v>
      </c>
      <c r="I32" s="91">
        <f ca="1">IF(RTD("tos.rtd",,$A$2,"."&amp;I$2&amp;I$1&amp;"C"&amp;$A32)="N/A",0,RTD("tos.rtd",,$A$2,"."&amp;I$2&amp;I$1&amp;"C"&amp;$A32))-IF(RTD("tos.rtd",,$A$2,"."&amp;I$2&amp;I$1&amp;"P"&amp;$A32)="N/A",0,RTD("tos.rtd",,$A$2,"."&amp;I$2&amp;I$1&amp;"P"&amp;$A32))</f>
        <v>-7883</v>
      </c>
      <c r="J32" s="91">
        <f ca="1">IF(RTD("tos.rtd",,$A$2,"."&amp;J$2&amp;J$1&amp;"C"&amp;$A32)="N/A",0,RTD("tos.rtd",,$A$2,"."&amp;J$2&amp;J$1&amp;"C"&amp;$A32))-IF(RTD("tos.rtd",,$A$2,"."&amp;J$2&amp;J$1&amp;"P"&amp;$A32)="N/A",0,RTD("tos.rtd",,$A$2,"."&amp;J$2&amp;J$1&amp;"P"&amp;$A32))</f>
        <v>214</v>
      </c>
      <c r="K32" s="91">
        <f ca="1">IF(RTD("tos.rtd",,$A$2,"."&amp;K$2&amp;K$1&amp;"C"&amp;$A32)="N/A",0,RTD("tos.rtd",,$A$2,"."&amp;K$2&amp;K$1&amp;"C"&amp;$A32))-IF(RTD("tos.rtd",,$A$2,"."&amp;K$2&amp;K$1&amp;"P"&amp;$A32)="N/A",0,RTD("tos.rtd",,$A$2,"."&amp;K$2&amp;K$1&amp;"P"&amp;$A32))</f>
        <v>0</v>
      </c>
      <c r="L32" s="91">
        <f ca="1">IF(RTD("tos.rtd",,$A$2,"."&amp;L$2&amp;L$1&amp;"C"&amp;$A32)="N/A",0,RTD("tos.rtd",,$A$2,"."&amp;L$2&amp;L$1&amp;"C"&amp;$A32))-IF(RTD("tos.rtd",,$A$2,"."&amp;L$2&amp;L$1&amp;"P"&amp;$A32)="N/A",0,RTD("tos.rtd",,$A$2,"."&amp;L$2&amp;L$1&amp;"P"&amp;$A32))</f>
        <v>-439</v>
      </c>
      <c r="M32" s="91">
        <f ca="1">IF(RTD("tos.rtd",,$A$2,"."&amp;M$2&amp;M$1&amp;"C"&amp;$A32)="N/A",0,RTD("tos.rtd",,$A$2,"."&amp;M$2&amp;M$1&amp;"C"&amp;$A32))-IF(RTD("tos.rtd",,$A$2,"."&amp;M$2&amp;M$1&amp;"P"&amp;$A32)="N/A",0,RTD("tos.rtd",,$A$2,"."&amp;M$2&amp;M$1&amp;"P"&amp;$A32))</f>
        <v>-312</v>
      </c>
      <c r="N32" s="91">
        <f ca="1">IF(RTD("tos.rtd",,$A$2,"."&amp;N$2&amp;N$1&amp;"C"&amp;$A32)="N/A",0,RTD("tos.rtd",,$A$2,"."&amp;N$2&amp;N$1&amp;"C"&amp;$A32))-IF(RTD("tos.rtd",,$A$2,"."&amp;N$2&amp;N$1&amp;"P"&amp;$A32)="N/A",0,RTD("tos.rtd",,$A$2,"."&amp;N$2&amp;N$1&amp;"P"&amp;$A32))</f>
        <v>57</v>
      </c>
      <c r="O32" s="91">
        <f ca="1">IF(RTD("tos.rtd",,$A$2,"."&amp;O$2&amp;O$1&amp;"C"&amp;$A32)="N/A",0,RTD("tos.rtd",,$A$2,"."&amp;O$2&amp;O$1&amp;"C"&amp;$A32))-IF(RTD("tos.rtd",,$A$2,"."&amp;O$2&amp;O$1&amp;"P"&amp;$A32)="N/A",0,RTD("tos.rtd",,$A$2,"."&amp;O$2&amp;O$1&amp;"P"&amp;$A32))</f>
        <v>-1</v>
      </c>
      <c r="P32" s="91">
        <f ca="1">IF(RTD("tos.rtd",,$A$2,"."&amp;P$2&amp;P$1&amp;"C"&amp;$A32)="N/A",0,RTD("tos.rtd",,$A$2,"."&amp;P$2&amp;P$1&amp;"C"&amp;$A32))-IF(RTD("tos.rtd",,$A$2,"."&amp;P$2&amp;P$1&amp;"P"&amp;$A32)="N/A",0,RTD("tos.rtd",,$A$2,"."&amp;P$2&amp;P$1&amp;"P"&amp;$A32))</f>
        <v>-62</v>
      </c>
      <c r="Q32" s="91">
        <f ca="1">IF(RTD("tos.rtd",,$A$2,"."&amp;Q$2&amp;Q$1&amp;"C"&amp;$A32)="N/A",0,RTD("tos.rtd",,$A$2,"."&amp;Q$2&amp;Q$1&amp;"C"&amp;$A32))-IF(RTD("tos.rtd",,$A$2,"."&amp;Q$2&amp;Q$1&amp;"P"&amp;$A32)="N/A",0,RTD("tos.rtd",,$A$2,"."&amp;Q$2&amp;Q$1&amp;"P"&amp;$A32))</f>
        <v>-5428</v>
      </c>
      <c r="R32" s="91">
        <f ca="1">IF(RTD("tos.rtd",,$A$2,"."&amp;R$2&amp;R$1&amp;"C"&amp;$A32)="N/A",0,RTD("tos.rtd",,$A$2,"."&amp;R$2&amp;R$1&amp;"C"&amp;$A32))-IF(RTD("tos.rtd",,$A$2,"."&amp;R$2&amp;R$1&amp;"P"&amp;$A32)="N/A",0,RTD("tos.rtd",,$A$2,"."&amp;R$2&amp;R$1&amp;"P"&amp;$A32))</f>
        <v>675</v>
      </c>
      <c r="S32" s="91">
        <f ca="1">IF(RTD("tos.rtd",,$A$2,"."&amp;S$2&amp;S$1&amp;"C"&amp;$A32)="N/A",0,RTD("tos.rtd",,$A$2,"."&amp;S$2&amp;S$1&amp;"C"&amp;$A32))-IF(RTD("tos.rtd",,$A$2,"."&amp;S$2&amp;S$1&amp;"P"&amp;$A32)="N/A",0,RTD("tos.rtd",,$A$2,"."&amp;S$2&amp;S$1&amp;"P"&amp;$A32))</f>
        <v>0</v>
      </c>
      <c r="T32" s="91">
        <f ca="1">IF(RTD("tos.rtd",,$A$2,"."&amp;T$2&amp;T$1&amp;"C"&amp;$A32)="N/A",0,RTD("tos.rtd",,$A$2,"."&amp;T$2&amp;T$1&amp;"C"&amp;$A32))-IF(RTD("tos.rtd",,$A$2,"."&amp;T$2&amp;T$1&amp;"P"&amp;$A32)="N/A",0,RTD("tos.rtd",,$A$2,"."&amp;T$2&amp;T$1&amp;"P"&amp;$A32))</f>
        <v>-236</v>
      </c>
      <c r="U32" s="91">
        <f ca="1">IF(RTD("tos.rtd",,$A$2,"."&amp;U$2&amp;U$1&amp;"C"&amp;$A32)="N/A",0,RTD("tos.rtd",,$A$2,"."&amp;U$2&amp;U$1&amp;"C"&amp;$A32))-IF(RTD("tos.rtd",,$A$2,"."&amp;U$2&amp;U$1&amp;"P"&amp;$A32)="N/A",0,RTD("tos.rtd",,$A$2,"."&amp;U$2&amp;U$1&amp;"P"&amp;$A32))</f>
        <v>0</v>
      </c>
      <c r="V32" s="91">
        <f ca="1">IF(RTD("tos.rtd",,$A$2,"."&amp;V$2&amp;V$1&amp;"C"&amp;$A32)="N/A",0,RTD("tos.rtd",,$A$2,"."&amp;V$2&amp;V$1&amp;"C"&amp;$A32))-IF(RTD("tos.rtd",,$A$2,"."&amp;V$2&amp;V$1&amp;"P"&amp;$A32)="N/A",0,RTD("tos.rtd",,$A$2,"."&amp;V$2&amp;V$1&amp;"P"&amp;$A32))</f>
        <v>0</v>
      </c>
      <c r="W32" s="91">
        <f ca="1">IF(RTD("tos.rtd",,$A$2,"."&amp;W$2&amp;W$1&amp;"C"&amp;$A32)="N/A",0,RTD("tos.rtd",,$A$2,"."&amp;W$2&amp;W$1&amp;"C"&amp;$A32))-IF(RTD("tos.rtd",,$A$2,"."&amp;W$2&amp;W$1&amp;"P"&amp;$A32)="N/A",0,RTD("tos.rtd",,$A$2,"."&amp;W$2&amp;W$1&amp;"P"&amp;$A32))</f>
        <v>-106</v>
      </c>
      <c r="X32" s="91">
        <f ca="1">IF(RTD("tos.rtd",,$A$2,"."&amp;X$2&amp;X$1&amp;"C"&amp;$A32)="N/A",0,RTD("tos.rtd",,$A$2,"."&amp;X$2&amp;X$1&amp;"C"&amp;$A32))-IF(RTD("tos.rtd",,$A$2,"."&amp;X$2&amp;X$1&amp;"P"&amp;$A32)="N/A",0,RTD("tos.rtd",,$A$2,"."&amp;X$2&amp;X$1&amp;"P"&amp;$A32))</f>
        <v>23</v>
      </c>
      <c r="Y32" s="98">
        <f t="shared" ca="1" si="3"/>
        <v>-15390</v>
      </c>
    </row>
    <row r="33" spans="1:25" x14ac:dyDescent="0.25">
      <c r="A33" s="93">
        <f>+Hoja1!A32</f>
        <v>564</v>
      </c>
      <c r="B33" s="91">
        <f ca="1">IF(RTD("tos.rtd",,$A$2,"."&amp;B$2&amp;B$1&amp;"C"&amp;$A33)="N/A",0,RTD("tos.rtd",,$A$2,"."&amp;B$2&amp;B$1&amp;"C"&amp;$A33))-IF(RTD("tos.rtd",,$A$2,"."&amp;B$2&amp;B$1&amp;"P"&amp;$A33)="N/A",0,RTD("tos.rtd",,$A$2,"."&amp;B$2&amp;B$1&amp;"P"&amp;$A33))</f>
        <v>0</v>
      </c>
      <c r="C33" s="91">
        <f ca="1">IF(RTD("tos.rtd",,$A$2,"."&amp;C$2&amp;C$1&amp;"C"&amp;$A33)="N/A",0,RTD("tos.rtd",,$A$2,"."&amp;C$2&amp;C$1&amp;"C"&amp;$A33))-IF(RTD("tos.rtd",,$A$2,"."&amp;C$2&amp;C$1&amp;"P"&amp;$A33)="N/A",0,RTD("tos.rtd",,$A$2,"."&amp;C$2&amp;C$1&amp;"P"&amp;$A33))</f>
        <v>0</v>
      </c>
      <c r="D33" s="91">
        <f ca="1">IF(RTD("tos.rtd",,$A$2,"."&amp;D$2&amp;D$1&amp;"C"&amp;$A33)="N/A",0,RTD("tos.rtd",,$A$2,"."&amp;D$2&amp;D$1&amp;"C"&amp;$A33))-IF(RTD("tos.rtd",,$A$2,"."&amp;D$2&amp;D$1&amp;"P"&amp;$A33)="N/A",0,RTD("tos.rtd",,$A$2,"."&amp;D$2&amp;D$1&amp;"P"&amp;$A33))</f>
        <v>0</v>
      </c>
      <c r="E33" s="91">
        <f ca="1">IF(RTD("tos.rtd",,$A$2,"."&amp;E$2&amp;E$1&amp;"C"&amp;$A33)="N/A",0,RTD("tos.rtd",,$A$2,"."&amp;E$2&amp;E$1&amp;"C"&amp;$A33))-IF(RTD("tos.rtd",,$A$2,"."&amp;E$2&amp;E$1&amp;"P"&amp;$A33)="N/A",0,RTD("tos.rtd",,$A$2,"."&amp;E$2&amp;E$1&amp;"P"&amp;$A33))</f>
        <v>0</v>
      </c>
      <c r="F33" s="91">
        <f ca="1">IF(RTD("tos.rtd",,$A$2,"."&amp;F$2&amp;F$1&amp;"C"&amp;$A33)="N/A",0,RTD("tos.rtd",,$A$2,"."&amp;F$2&amp;F$1&amp;"C"&amp;$A33))-IF(RTD("tos.rtd",,$A$2,"."&amp;F$2&amp;F$1&amp;"P"&amp;$A33)="N/A",0,RTD("tos.rtd",,$A$2,"."&amp;F$2&amp;F$1&amp;"P"&amp;$A33))</f>
        <v>0</v>
      </c>
      <c r="G33" s="91">
        <f ca="1">IF(RTD("tos.rtd",,$A$2,"."&amp;G$2&amp;G$1&amp;"C"&amp;$A33)="N/A",0,RTD("tos.rtd",,$A$2,"."&amp;G$2&amp;G$1&amp;"C"&amp;$A33))-IF(RTD("tos.rtd",,$A$2,"."&amp;G$2&amp;G$1&amp;"P"&amp;$A33)="N/A",0,RTD("tos.rtd",,$A$2,"."&amp;G$2&amp;G$1&amp;"P"&amp;$A33))</f>
        <v>0</v>
      </c>
      <c r="H33" s="91">
        <f ca="1">IF(RTD("tos.rtd",,$A$2,"."&amp;H$2&amp;H$1&amp;"C"&amp;$A33)="N/A",0,RTD("tos.rtd",,$A$2,"."&amp;H$2&amp;H$1&amp;"C"&amp;$A33))-IF(RTD("tos.rtd",,$A$2,"."&amp;H$2&amp;H$1&amp;"P"&amp;$A33)="N/A",0,RTD("tos.rtd",,$A$2,"."&amp;H$2&amp;H$1&amp;"P"&amp;$A33))</f>
        <v>-469</v>
      </c>
      <c r="I33" s="91">
        <f ca="1">IF(RTD("tos.rtd",,$A$2,"."&amp;I$2&amp;I$1&amp;"C"&amp;$A33)="N/A",0,RTD("tos.rtd",,$A$2,"."&amp;I$2&amp;I$1&amp;"C"&amp;$A33))-IF(RTD("tos.rtd",,$A$2,"."&amp;I$2&amp;I$1&amp;"P"&amp;$A33)="N/A",0,RTD("tos.rtd",,$A$2,"."&amp;I$2&amp;I$1&amp;"P"&amp;$A33))</f>
        <v>-350</v>
      </c>
      <c r="J33" s="91">
        <f ca="1">IF(RTD("tos.rtd",,$A$2,"."&amp;J$2&amp;J$1&amp;"C"&amp;$A33)="N/A",0,RTD("tos.rtd",,$A$2,"."&amp;J$2&amp;J$1&amp;"C"&amp;$A33))-IF(RTD("tos.rtd",,$A$2,"."&amp;J$2&amp;J$1&amp;"P"&amp;$A33)="N/A",0,RTD("tos.rtd",,$A$2,"."&amp;J$2&amp;J$1&amp;"P"&amp;$A33))</f>
        <v>-282</v>
      </c>
      <c r="K33" s="91">
        <f ca="1">IF(RTD("tos.rtd",,$A$2,"."&amp;K$2&amp;K$1&amp;"C"&amp;$A33)="N/A",0,RTD("tos.rtd",,$A$2,"."&amp;K$2&amp;K$1&amp;"C"&amp;$A33))-IF(RTD("tos.rtd",,$A$2,"."&amp;K$2&amp;K$1&amp;"P"&amp;$A33)="N/A",0,RTD("tos.rtd",,$A$2,"."&amp;K$2&amp;K$1&amp;"P"&amp;$A33))</f>
        <v>0</v>
      </c>
      <c r="L33" s="91">
        <f ca="1">IF(RTD("tos.rtd",,$A$2,"."&amp;L$2&amp;L$1&amp;"C"&amp;$A33)="N/A",0,RTD("tos.rtd",,$A$2,"."&amp;L$2&amp;L$1&amp;"C"&amp;$A33))-IF(RTD("tos.rtd",,$A$2,"."&amp;L$2&amp;L$1&amp;"P"&amp;$A33)="N/A",0,RTD("tos.rtd",,$A$2,"."&amp;L$2&amp;L$1&amp;"P"&amp;$A33))</f>
        <v>-124</v>
      </c>
      <c r="M33" s="91">
        <f ca="1">IF(RTD("tos.rtd",,$A$2,"."&amp;M$2&amp;M$1&amp;"C"&amp;$A33)="N/A",0,RTD("tos.rtd",,$A$2,"."&amp;M$2&amp;M$1&amp;"C"&amp;$A33))-IF(RTD("tos.rtd",,$A$2,"."&amp;M$2&amp;M$1&amp;"P"&amp;$A33)="N/A",0,RTD("tos.rtd",,$A$2,"."&amp;M$2&amp;M$1&amp;"P"&amp;$A33))</f>
        <v>0</v>
      </c>
      <c r="N33" s="91">
        <f ca="1">IF(RTD("tos.rtd",,$A$2,"."&amp;N$2&amp;N$1&amp;"C"&amp;$A33)="N/A",0,RTD("tos.rtd",,$A$2,"."&amp;N$2&amp;N$1&amp;"C"&amp;$A33))-IF(RTD("tos.rtd",,$A$2,"."&amp;N$2&amp;N$1&amp;"P"&amp;$A33)="N/A",0,RTD("tos.rtd",,$A$2,"."&amp;N$2&amp;N$1&amp;"P"&amp;$A33))</f>
        <v>50</v>
      </c>
      <c r="O33" s="91">
        <f ca="1">IF(RTD("tos.rtd",,$A$2,"."&amp;O$2&amp;O$1&amp;"C"&amp;$A33)="N/A",0,RTD("tos.rtd",,$A$2,"."&amp;O$2&amp;O$1&amp;"C"&amp;$A33))-IF(RTD("tos.rtd",,$A$2,"."&amp;O$2&amp;O$1&amp;"P"&amp;$A33)="N/A",0,RTD("tos.rtd",,$A$2,"."&amp;O$2&amp;O$1&amp;"P"&amp;$A33))</f>
        <v>-37</v>
      </c>
      <c r="P33" s="91">
        <f ca="1">IF(RTD("tos.rtd",,$A$2,"."&amp;P$2&amp;P$1&amp;"C"&amp;$A33)="N/A",0,RTD("tos.rtd",,$A$2,"."&amp;P$2&amp;P$1&amp;"C"&amp;$A33))-IF(RTD("tos.rtd",,$A$2,"."&amp;P$2&amp;P$1&amp;"P"&amp;$A33)="N/A",0,RTD("tos.rtd",,$A$2,"."&amp;P$2&amp;P$1&amp;"P"&amp;$A33))</f>
        <v>33</v>
      </c>
      <c r="Q33" s="91">
        <f ca="1">IF(RTD("tos.rtd",,$A$2,"."&amp;Q$2&amp;Q$1&amp;"C"&amp;$A33)="N/A",0,RTD("tos.rtd",,$A$2,"."&amp;Q$2&amp;Q$1&amp;"C"&amp;$A33))-IF(RTD("tos.rtd",,$A$2,"."&amp;Q$2&amp;Q$1&amp;"P"&amp;$A33)="N/A",0,RTD("tos.rtd",,$A$2,"."&amp;Q$2&amp;Q$1&amp;"P"&amp;$A33))</f>
        <v>0</v>
      </c>
      <c r="R33" s="91">
        <f ca="1">IF(RTD("tos.rtd",,$A$2,"."&amp;R$2&amp;R$1&amp;"C"&amp;$A33)="N/A",0,RTD("tos.rtd",,$A$2,"."&amp;R$2&amp;R$1&amp;"C"&amp;$A33))-IF(RTD("tos.rtd",,$A$2,"."&amp;R$2&amp;R$1&amp;"P"&amp;$A33)="N/A",0,RTD("tos.rtd",,$A$2,"."&amp;R$2&amp;R$1&amp;"P"&amp;$A33))</f>
        <v>-98</v>
      </c>
      <c r="S33" s="91">
        <f ca="1">IF(RTD("tos.rtd",,$A$2,"."&amp;S$2&amp;S$1&amp;"C"&amp;$A33)="N/A",0,RTD("tos.rtd",,$A$2,"."&amp;S$2&amp;S$1&amp;"C"&amp;$A33))-IF(RTD("tos.rtd",,$A$2,"."&amp;S$2&amp;S$1&amp;"P"&amp;$A33)="N/A",0,RTD("tos.rtd",,$A$2,"."&amp;S$2&amp;S$1&amp;"P"&amp;$A33))</f>
        <v>0</v>
      </c>
      <c r="T33" s="91">
        <f ca="1">IF(RTD("tos.rtd",,$A$2,"."&amp;T$2&amp;T$1&amp;"C"&amp;$A33)="N/A",0,RTD("tos.rtd",,$A$2,"."&amp;T$2&amp;T$1&amp;"C"&amp;$A33))-IF(RTD("tos.rtd",,$A$2,"."&amp;T$2&amp;T$1&amp;"P"&amp;$A33)="N/A",0,RTD("tos.rtd",,$A$2,"."&amp;T$2&amp;T$1&amp;"P"&amp;$A33))</f>
        <v>14</v>
      </c>
      <c r="U33" s="91">
        <f ca="1">IF(RTD("tos.rtd",,$A$2,"."&amp;U$2&amp;U$1&amp;"C"&amp;$A33)="N/A",0,RTD("tos.rtd",,$A$2,"."&amp;U$2&amp;U$1&amp;"C"&amp;$A33))-IF(RTD("tos.rtd",,$A$2,"."&amp;U$2&amp;U$1&amp;"P"&amp;$A33)="N/A",0,RTD("tos.rtd",,$A$2,"."&amp;U$2&amp;U$1&amp;"P"&amp;$A33))</f>
        <v>0</v>
      </c>
      <c r="V33" s="91">
        <f ca="1">IF(RTD("tos.rtd",,$A$2,"."&amp;V$2&amp;V$1&amp;"C"&amp;$A33)="N/A",0,RTD("tos.rtd",,$A$2,"."&amp;V$2&amp;V$1&amp;"C"&amp;$A33))-IF(RTD("tos.rtd",,$A$2,"."&amp;V$2&amp;V$1&amp;"P"&amp;$A33)="N/A",0,RTD("tos.rtd",,$A$2,"."&amp;V$2&amp;V$1&amp;"P"&amp;$A33))</f>
        <v>0</v>
      </c>
      <c r="W33" s="91">
        <f ca="1">IF(RTD("tos.rtd",,$A$2,"."&amp;W$2&amp;W$1&amp;"C"&amp;$A33)="N/A",0,RTD("tos.rtd",,$A$2,"."&amp;W$2&amp;W$1&amp;"C"&amp;$A33))-IF(RTD("tos.rtd",,$A$2,"."&amp;W$2&amp;W$1&amp;"P"&amp;$A33)="N/A",0,RTD("tos.rtd",,$A$2,"."&amp;W$2&amp;W$1&amp;"P"&amp;$A33))</f>
        <v>0</v>
      </c>
      <c r="X33" s="91">
        <f ca="1">IF(RTD("tos.rtd",,$A$2,"."&amp;X$2&amp;X$1&amp;"C"&amp;$A33)="N/A",0,RTD("tos.rtd",,$A$2,"."&amp;X$2&amp;X$1&amp;"C"&amp;$A33))-IF(RTD("tos.rtd",,$A$2,"."&amp;X$2&amp;X$1&amp;"P"&amp;$A33)="N/A",0,RTD("tos.rtd",,$A$2,"."&amp;X$2&amp;X$1&amp;"P"&amp;$A33))</f>
        <v>-6</v>
      </c>
      <c r="Y33" s="98">
        <f t="shared" ca="1" si="3"/>
        <v>-1269</v>
      </c>
    </row>
    <row r="34" spans="1:25" x14ac:dyDescent="0.25">
      <c r="A34" s="93">
        <f>+Hoja1!A33</f>
        <v>563</v>
      </c>
      <c r="B34" s="91">
        <f ca="1">IF(RTD("tos.rtd",,$A$2,"."&amp;B$2&amp;B$1&amp;"C"&amp;$A34)="N/A",0,RTD("tos.rtd",,$A$2,"."&amp;B$2&amp;B$1&amp;"C"&amp;$A34))-IF(RTD("tos.rtd",,$A$2,"."&amp;B$2&amp;B$1&amp;"P"&amp;$A34)="N/A",0,RTD("tos.rtd",,$A$2,"."&amp;B$2&amp;B$1&amp;"P"&amp;$A34))</f>
        <v>0</v>
      </c>
      <c r="C34" s="91">
        <f ca="1">IF(RTD("tos.rtd",,$A$2,"."&amp;C$2&amp;C$1&amp;"C"&amp;$A34)="N/A",0,RTD("tos.rtd",,$A$2,"."&amp;C$2&amp;C$1&amp;"C"&amp;$A34))-IF(RTD("tos.rtd",,$A$2,"."&amp;C$2&amp;C$1&amp;"P"&amp;$A34)="N/A",0,RTD("tos.rtd",,$A$2,"."&amp;C$2&amp;C$1&amp;"P"&amp;$A34))</f>
        <v>0</v>
      </c>
      <c r="D34" s="91">
        <f ca="1">IF(RTD("tos.rtd",,$A$2,"."&amp;D$2&amp;D$1&amp;"C"&amp;$A34)="N/A",0,RTD("tos.rtd",,$A$2,"."&amp;D$2&amp;D$1&amp;"C"&amp;$A34))-IF(RTD("tos.rtd",,$A$2,"."&amp;D$2&amp;D$1&amp;"P"&amp;$A34)="N/A",0,RTD("tos.rtd",,$A$2,"."&amp;D$2&amp;D$1&amp;"P"&amp;$A34))</f>
        <v>0</v>
      </c>
      <c r="E34" s="91">
        <f ca="1">IF(RTD("tos.rtd",,$A$2,"."&amp;E$2&amp;E$1&amp;"C"&amp;$A34)="N/A",0,RTD("tos.rtd",,$A$2,"."&amp;E$2&amp;E$1&amp;"C"&amp;$A34))-IF(RTD("tos.rtd",,$A$2,"."&amp;E$2&amp;E$1&amp;"P"&amp;$A34)="N/A",0,RTD("tos.rtd",,$A$2,"."&amp;E$2&amp;E$1&amp;"P"&amp;$A34))</f>
        <v>0</v>
      </c>
      <c r="F34" s="91">
        <f ca="1">IF(RTD("tos.rtd",,$A$2,"."&amp;F$2&amp;F$1&amp;"C"&amp;$A34)="N/A",0,RTD("tos.rtd",,$A$2,"."&amp;F$2&amp;F$1&amp;"C"&amp;$A34))-IF(RTD("tos.rtd",,$A$2,"."&amp;F$2&amp;F$1&amp;"P"&amp;$A34)="N/A",0,RTD("tos.rtd",,$A$2,"."&amp;F$2&amp;F$1&amp;"P"&amp;$A34))</f>
        <v>0</v>
      </c>
      <c r="G34" s="91">
        <f ca="1">IF(RTD("tos.rtd",,$A$2,"."&amp;G$2&amp;G$1&amp;"C"&amp;$A34)="N/A",0,RTD("tos.rtd",,$A$2,"."&amp;G$2&amp;G$1&amp;"C"&amp;$A34))-IF(RTD("tos.rtd",,$A$2,"."&amp;G$2&amp;G$1&amp;"P"&amp;$A34)="N/A",0,RTD("tos.rtd",,$A$2,"."&amp;G$2&amp;G$1&amp;"P"&amp;$A34))</f>
        <v>0</v>
      </c>
      <c r="H34" s="91">
        <f ca="1">IF(RTD("tos.rtd",,$A$2,"."&amp;H$2&amp;H$1&amp;"C"&amp;$A34)="N/A",0,RTD("tos.rtd",,$A$2,"."&amp;H$2&amp;H$1&amp;"C"&amp;$A34))-IF(RTD("tos.rtd",,$A$2,"."&amp;H$2&amp;H$1&amp;"P"&amp;$A34)="N/A",0,RTD("tos.rtd",,$A$2,"."&amp;H$2&amp;H$1&amp;"P"&amp;$A34))</f>
        <v>-750</v>
      </c>
      <c r="I34" s="91">
        <f ca="1">IF(RTD("tos.rtd",,$A$2,"."&amp;I$2&amp;I$1&amp;"C"&amp;$A34)="N/A",0,RTD("tos.rtd",,$A$2,"."&amp;I$2&amp;I$1&amp;"C"&amp;$A34))-IF(RTD("tos.rtd",,$A$2,"."&amp;I$2&amp;I$1&amp;"P"&amp;$A34)="N/A",0,RTD("tos.rtd",,$A$2,"."&amp;I$2&amp;I$1&amp;"P"&amp;$A34))</f>
        <v>-568</v>
      </c>
      <c r="J34" s="91">
        <f ca="1">IF(RTD("tos.rtd",,$A$2,"."&amp;J$2&amp;J$1&amp;"C"&amp;$A34)="N/A",0,RTD("tos.rtd",,$A$2,"."&amp;J$2&amp;J$1&amp;"C"&amp;$A34))-IF(RTD("tos.rtd",,$A$2,"."&amp;J$2&amp;J$1&amp;"P"&amp;$A34)="N/A",0,RTD("tos.rtd",,$A$2,"."&amp;J$2&amp;J$1&amp;"P"&amp;$A34))</f>
        <v>56</v>
      </c>
      <c r="K34" s="91">
        <f ca="1">IF(RTD("tos.rtd",,$A$2,"."&amp;K$2&amp;K$1&amp;"C"&amp;$A34)="N/A",0,RTD("tos.rtd",,$A$2,"."&amp;K$2&amp;K$1&amp;"C"&amp;$A34))-IF(RTD("tos.rtd",,$A$2,"."&amp;K$2&amp;K$1&amp;"P"&amp;$A34)="N/A",0,RTD("tos.rtd",,$A$2,"."&amp;K$2&amp;K$1&amp;"P"&amp;$A34))</f>
        <v>0</v>
      </c>
      <c r="L34" s="91">
        <f ca="1">IF(RTD("tos.rtd",,$A$2,"."&amp;L$2&amp;L$1&amp;"C"&amp;$A34)="N/A",0,RTD("tos.rtd",,$A$2,"."&amp;L$2&amp;L$1&amp;"C"&amp;$A34))-IF(RTD("tos.rtd",,$A$2,"."&amp;L$2&amp;L$1&amp;"P"&amp;$A34)="N/A",0,RTD("tos.rtd",,$A$2,"."&amp;L$2&amp;L$1&amp;"P"&amp;$A34))</f>
        <v>-50</v>
      </c>
      <c r="M34" s="91">
        <f ca="1">IF(RTD("tos.rtd",,$A$2,"."&amp;M$2&amp;M$1&amp;"C"&amp;$A34)="N/A",0,RTD("tos.rtd",,$A$2,"."&amp;M$2&amp;M$1&amp;"C"&amp;$A34))-IF(RTD("tos.rtd",,$A$2,"."&amp;M$2&amp;M$1&amp;"P"&amp;$A34)="N/A",0,RTD("tos.rtd",,$A$2,"."&amp;M$2&amp;M$1&amp;"P"&amp;$A34))</f>
        <v>0</v>
      </c>
      <c r="N34" s="91">
        <f ca="1">IF(RTD("tos.rtd",,$A$2,"."&amp;N$2&amp;N$1&amp;"C"&amp;$A34)="N/A",0,RTD("tos.rtd",,$A$2,"."&amp;N$2&amp;N$1&amp;"C"&amp;$A34))-IF(RTD("tos.rtd",,$A$2,"."&amp;N$2&amp;N$1&amp;"P"&amp;$A34)="N/A",0,RTD("tos.rtd",,$A$2,"."&amp;N$2&amp;N$1&amp;"P"&amp;$A34))</f>
        <v>-22</v>
      </c>
      <c r="O34" s="91">
        <f ca="1">IF(RTD("tos.rtd",,$A$2,"."&amp;O$2&amp;O$1&amp;"C"&amp;$A34)="N/A",0,RTD("tos.rtd",,$A$2,"."&amp;O$2&amp;O$1&amp;"C"&amp;$A34))-IF(RTD("tos.rtd",,$A$2,"."&amp;O$2&amp;O$1&amp;"P"&amp;$A34)="N/A",0,RTD("tos.rtd",,$A$2,"."&amp;O$2&amp;O$1&amp;"P"&amp;$A34))</f>
        <v>6</v>
      </c>
      <c r="P34" s="91">
        <f ca="1">IF(RTD("tos.rtd",,$A$2,"."&amp;P$2&amp;P$1&amp;"C"&amp;$A34)="N/A",0,RTD("tos.rtd",,$A$2,"."&amp;P$2&amp;P$1&amp;"C"&amp;$A34))-IF(RTD("tos.rtd",,$A$2,"."&amp;P$2&amp;P$1&amp;"P"&amp;$A34)="N/A",0,RTD("tos.rtd",,$A$2,"."&amp;P$2&amp;P$1&amp;"P"&amp;$A34))</f>
        <v>-13</v>
      </c>
      <c r="Q34" s="91">
        <f ca="1">IF(RTD("tos.rtd",,$A$2,"."&amp;Q$2&amp;Q$1&amp;"C"&amp;$A34)="N/A",0,RTD("tos.rtd",,$A$2,"."&amp;Q$2&amp;Q$1&amp;"C"&amp;$A34))-IF(RTD("tos.rtd",,$A$2,"."&amp;Q$2&amp;Q$1&amp;"P"&amp;$A34)="N/A",0,RTD("tos.rtd",,$A$2,"."&amp;Q$2&amp;Q$1&amp;"P"&amp;$A34))</f>
        <v>0</v>
      </c>
      <c r="R34" s="91">
        <f ca="1">IF(RTD("tos.rtd",,$A$2,"."&amp;R$2&amp;R$1&amp;"C"&amp;$A34)="N/A",0,RTD("tos.rtd",,$A$2,"."&amp;R$2&amp;R$1&amp;"C"&amp;$A34))-IF(RTD("tos.rtd",,$A$2,"."&amp;R$2&amp;R$1&amp;"P"&amp;$A34)="N/A",0,RTD("tos.rtd",,$A$2,"."&amp;R$2&amp;R$1&amp;"P"&amp;$A34))</f>
        <v>-5</v>
      </c>
      <c r="S34" s="91">
        <f ca="1">IF(RTD("tos.rtd",,$A$2,"."&amp;S$2&amp;S$1&amp;"C"&amp;$A34)="N/A",0,RTD("tos.rtd",,$A$2,"."&amp;S$2&amp;S$1&amp;"C"&amp;$A34))-IF(RTD("tos.rtd",,$A$2,"."&amp;S$2&amp;S$1&amp;"P"&amp;$A34)="N/A",0,RTD("tos.rtd",,$A$2,"."&amp;S$2&amp;S$1&amp;"P"&amp;$A34))</f>
        <v>0</v>
      </c>
      <c r="T34" s="91">
        <f ca="1">IF(RTD("tos.rtd",,$A$2,"."&amp;T$2&amp;T$1&amp;"C"&amp;$A34)="N/A",0,RTD("tos.rtd",,$A$2,"."&amp;T$2&amp;T$1&amp;"C"&amp;$A34))-IF(RTD("tos.rtd",,$A$2,"."&amp;T$2&amp;T$1&amp;"P"&amp;$A34)="N/A",0,RTD("tos.rtd",,$A$2,"."&amp;T$2&amp;T$1&amp;"P"&amp;$A34))</f>
        <v>-6</v>
      </c>
      <c r="U34" s="91">
        <f ca="1">IF(RTD("tos.rtd",,$A$2,"."&amp;U$2&amp;U$1&amp;"C"&amp;$A34)="N/A",0,RTD("tos.rtd",,$A$2,"."&amp;U$2&amp;U$1&amp;"C"&amp;$A34))-IF(RTD("tos.rtd",,$A$2,"."&amp;U$2&amp;U$1&amp;"P"&amp;$A34)="N/A",0,RTD("tos.rtd",,$A$2,"."&amp;U$2&amp;U$1&amp;"P"&amp;$A34))</f>
        <v>0</v>
      </c>
      <c r="V34" s="91">
        <f ca="1">IF(RTD("tos.rtd",,$A$2,"."&amp;V$2&amp;V$1&amp;"C"&amp;$A34)="N/A",0,RTD("tos.rtd",,$A$2,"."&amp;V$2&amp;V$1&amp;"C"&amp;$A34))-IF(RTD("tos.rtd",,$A$2,"."&amp;V$2&amp;V$1&amp;"P"&amp;$A34)="N/A",0,RTD("tos.rtd",,$A$2,"."&amp;V$2&amp;V$1&amp;"P"&amp;$A34))</f>
        <v>0</v>
      </c>
      <c r="W34" s="91">
        <f ca="1">IF(RTD("tos.rtd",,$A$2,"."&amp;W$2&amp;W$1&amp;"C"&amp;$A34)="N/A",0,RTD("tos.rtd",,$A$2,"."&amp;W$2&amp;W$1&amp;"C"&amp;$A34))-IF(RTD("tos.rtd",,$A$2,"."&amp;W$2&amp;W$1&amp;"P"&amp;$A34)="N/A",0,RTD("tos.rtd",,$A$2,"."&amp;W$2&amp;W$1&amp;"P"&amp;$A34))</f>
        <v>0</v>
      </c>
      <c r="X34" s="91">
        <f ca="1">IF(RTD("tos.rtd",,$A$2,"."&amp;X$2&amp;X$1&amp;"C"&amp;$A34)="N/A",0,RTD("tos.rtd",,$A$2,"."&amp;X$2&amp;X$1&amp;"C"&amp;$A34))-IF(RTD("tos.rtd",,$A$2,"."&amp;X$2&amp;X$1&amp;"P"&amp;$A34)="N/A",0,RTD("tos.rtd",,$A$2,"."&amp;X$2&amp;X$1&amp;"P"&amp;$A34))</f>
        <v>1</v>
      </c>
      <c r="Y34" s="98">
        <f t="shared" ca="1" si="3"/>
        <v>-1351</v>
      </c>
    </row>
    <row r="35" spans="1:25" x14ac:dyDescent="0.25">
      <c r="A35" s="93">
        <f>+Hoja1!A34</f>
        <v>562</v>
      </c>
      <c r="B35" s="91">
        <f ca="1">IF(RTD("tos.rtd",,$A$2,"."&amp;B$2&amp;B$1&amp;"C"&amp;$A35)="N/A",0,RTD("tos.rtd",,$A$2,"."&amp;B$2&amp;B$1&amp;"C"&amp;$A35))-IF(RTD("tos.rtd",,$A$2,"."&amp;B$2&amp;B$1&amp;"P"&amp;$A35)="N/A",0,RTD("tos.rtd",,$A$2,"."&amp;B$2&amp;B$1&amp;"P"&amp;$A35))</f>
        <v>0</v>
      </c>
      <c r="C35" s="91">
        <f ca="1">IF(RTD("tos.rtd",,$A$2,"."&amp;C$2&amp;C$1&amp;"C"&amp;$A35)="N/A",0,RTD("tos.rtd",,$A$2,"."&amp;C$2&amp;C$1&amp;"C"&amp;$A35))-IF(RTD("tos.rtd",,$A$2,"."&amp;C$2&amp;C$1&amp;"P"&amp;$A35)="N/A",0,RTD("tos.rtd",,$A$2,"."&amp;C$2&amp;C$1&amp;"P"&amp;$A35))</f>
        <v>0</v>
      </c>
      <c r="D35" s="91">
        <f ca="1">IF(RTD("tos.rtd",,$A$2,"."&amp;D$2&amp;D$1&amp;"C"&amp;$A35)="N/A",0,RTD("tos.rtd",,$A$2,"."&amp;D$2&amp;D$1&amp;"C"&amp;$A35))-IF(RTD("tos.rtd",,$A$2,"."&amp;D$2&amp;D$1&amp;"P"&amp;$A35)="N/A",0,RTD("tos.rtd",,$A$2,"."&amp;D$2&amp;D$1&amp;"P"&amp;$A35))</f>
        <v>0</v>
      </c>
      <c r="E35" s="91">
        <f ca="1">IF(RTD("tos.rtd",,$A$2,"."&amp;E$2&amp;E$1&amp;"C"&amp;$A35)="N/A",0,RTD("tos.rtd",,$A$2,"."&amp;E$2&amp;E$1&amp;"C"&amp;$A35))-IF(RTD("tos.rtd",,$A$2,"."&amp;E$2&amp;E$1&amp;"P"&amp;$A35)="N/A",0,RTD("tos.rtd",,$A$2,"."&amp;E$2&amp;E$1&amp;"P"&amp;$A35))</f>
        <v>0</v>
      </c>
      <c r="F35" s="91">
        <f ca="1">IF(RTD("tos.rtd",,$A$2,"."&amp;F$2&amp;F$1&amp;"C"&amp;$A35)="N/A",0,RTD("tos.rtd",,$A$2,"."&amp;F$2&amp;F$1&amp;"C"&amp;$A35))-IF(RTD("tos.rtd",,$A$2,"."&amp;F$2&amp;F$1&amp;"P"&amp;$A35)="N/A",0,RTD("tos.rtd",,$A$2,"."&amp;F$2&amp;F$1&amp;"P"&amp;$A35))</f>
        <v>0</v>
      </c>
      <c r="G35" s="91">
        <f ca="1">IF(RTD("tos.rtd",,$A$2,"."&amp;G$2&amp;G$1&amp;"C"&amp;$A35)="N/A",0,RTD("tos.rtd",,$A$2,"."&amp;G$2&amp;G$1&amp;"C"&amp;$A35))-IF(RTD("tos.rtd",,$A$2,"."&amp;G$2&amp;G$1&amp;"P"&amp;$A35)="N/A",0,RTD("tos.rtd",,$A$2,"."&amp;G$2&amp;G$1&amp;"P"&amp;$A35))</f>
        <v>0</v>
      </c>
      <c r="H35" s="91">
        <f ca="1">IF(RTD("tos.rtd",,$A$2,"."&amp;H$2&amp;H$1&amp;"C"&amp;$A35)="N/A",0,RTD("tos.rtd",,$A$2,"."&amp;H$2&amp;H$1&amp;"C"&amp;$A35))-IF(RTD("tos.rtd",,$A$2,"."&amp;H$2&amp;H$1&amp;"P"&amp;$A35)="N/A",0,RTD("tos.rtd",,$A$2,"."&amp;H$2&amp;H$1&amp;"P"&amp;$A35))</f>
        <v>109</v>
      </c>
      <c r="I35" s="91">
        <f ca="1">IF(RTD("tos.rtd",,$A$2,"."&amp;I$2&amp;I$1&amp;"C"&amp;$A35)="N/A",0,RTD("tos.rtd",,$A$2,"."&amp;I$2&amp;I$1&amp;"C"&amp;$A35))-IF(RTD("tos.rtd",,$A$2,"."&amp;I$2&amp;I$1&amp;"P"&amp;$A35)="N/A",0,RTD("tos.rtd",,$A$2,"."&amp;I$2&amp;I$1&amp;"P"&amp;$A35))</f>
        <v>-997</v>
      </c>
      <c r="J35" s="91">
        <f ca="1">IF(RTD("tos.rtd",,$A$2,"."&amp;J$2&amp;J$1&amp;"C"&amp;$A35)="N/A",0,RTD("tos.rtd",,$A$2,"."&amp;J$2&amp;J$1&amp;"C"&amp;$A35))-IF(RTD("tos.rtd",,$A$2,"."&amp;J$2&amp;J$1&amp;"P"&amp;$A35)="N/A",0,RTD("tos.rtd",,$A$2,"."&amp;J$2&amp;J$1&amp;"P"&amp;$A35))</f>
        <v>-71</v>
      </c>
      <c r="K35" s="91">
        <f ca="1">IF(RTD("tos.rtd",,$A$2,"."&amp;K$2&amp;K$1&amp;"C"&amp;$A35)="N/A",0,RTD("tos.rtd",,$A$2,"."&amp;K$2&amp;K$1&amp;"C"&amp;$A35))-IF(RTD("tos.rtd",,$A$2,"."&amp;K$2&amp;K$1&amp;"P"&amp;$A35)="N/A",0,RTD("tos.rtd",,$A$2,"."&amp;K$2&amp;K$1&amp;"P"&amp;$A35))</f>
        <v>0</v>
      </c>
      <c r="L35" s="91">
        <f ca="1">IF(RTD("tos.rtd",,$A$2,"."&amp;L$2&amp;L$1&amp;"C"&amp;$A35)="N/A",0,RTD("tos.rtd",,$A$2,"."&amp;L$2&amp;L$1&amp;"C"&amp;$A35))-IF(RTD("tos.rtd",,$A$2,"."&amp;L$2&amp;L$1&amp;"P"&amp;$A35)="N/A",0,RTD("tos.rtd",,$A$2,"."&amp;L$2&amp;L$1&amp;"P"&amp;$A35))</f>
        <v>-151</v>
      </c>
      <c r="M35" s="91">
        <f ca="1">IF(RTD("tos.rtd",,$A$2,"."&amp;M$2&amp;M$1&amp;"C"&amp;$A35)="N/A",0,RTD("tos.rtd",,$A$2,"."&amp;M$2&amp;M$1&amp;"C"&amp;$A35))-IF(RTD("tos.rtd",,$A$2,"."&amp;M$2&amp;M$1&amp;"P"&amp;$A35)="N/A",0,RTD("tos.rtd",,$A$2,"."&amp;M$2&amp;M$1&amp;"P"&amp;$A35))</f>
        <v>0</v>
      </c>
      <c r="N35" s="91">
        <f ca="1">IF(RTD("tos.rtd",,$A$2,"."&amp;N$2&amp;N$1&amp;"C"&amp;$A35)="N/A",0,RTD("tos.rtd",,$A$2,"."&amp;N$2&amp;N$1&amp;"C"&amp;$A35))-IF(RTD("tos.rtd",,$A$2,"."&amp;N$2&amp;N$1&amp;"P"&amp;$A35)="N/A",0,RTD("tos.rtd",,$A$2,"."&amp;N$2&amp;N$1&amp;"P"&amp;$A35))</f>
        <v>-29</v>
      </c>
      <c r="O35" s="91">
        <f ca="1">IF(RTD("tos.rtd",,$A$2,"."&amp;O$2&amp;O$1&amp;"C"&amp;$A35)="N/A",0,RTD("tos.rtd",,$A$2,"."&amp;O$2&amp;O$1&amp;"C"&amp;$A35))-IF(RTD("tos.rtd",,$A$2,"."&amp;O$2&amp;O$1&amp;"P"&amp;$A35)="N/A",0,RTD("tos.rtd",,$A$2,"."&amp;O$2&amp;O$1&amp;"P"&amp;$A35))</f>
        <v>-11</v>
      </c>
      <c r="P35" s="91">
        <f ca="1">IF(RTD("tos.rtd",,$A$2,"."&amp;P$2&amp;P$1&amp;"C"&amp;$A35)="N/A",0,RTD("tos.rtd",,$A$2,"."&amp;P$2&amp;P$1&amp;"C"&amp;$A35))-IF(RTD("tos.rtd",,$A$2,"."&amp;P$2&amp;P$1&amp;"P"&amp;$A35)="N/A",0,RTD("tos.rtd",,$A$2,"."&amp;P$2&amp;P$1&amp;"P"&amp;$A35))</f>
        <v>1</v>
      </c>
      <c r="Q35" s="91">
        <f ca="1">IF(RTD("tos.rtd",,$A$2,"."&amp;Q$2&amp;Q$1&amp;"C"&amp;$A35)="N/A",0,RTD("tos.rtd",,$A$2,"."&amp;Q$2&amp;Q$1&amp;"C"&amp;$A35))-IF(RTD("tos.rtd",,$A$2,"."&amp;Q$2&amp;Q$1&amp;"P"&amp;$A35)="N/A",0,RTD("tos.rtd",,$A$2,"."&amp;Q$2&amp;Q$1&amp;"P"&amp;$A35))</f>
        <v>0</v>
      </c>
      <c r="R35" s="91">
        <f ca="1">IF(RTD("tos.rtd",,$A$2,"."&amp;R$2&amp;R$1&amp;"C"&amp;$A35)="N/A",0,RTD("tos.rtd",,$A$2,"."&amp;R$2&amp;R$1&amp;"C"&amp;$A35))-IF(RTD("tos.rtd",,$A$2,"."&amp;R$2&amp;R$1&amp;"P"&amp;$A35)="N/A",0,RTD("tos.rtd",,$A$2,"."&amp;R$2&amp;R$1&amp;"P"&amp;$A35))</f>
        <v>3</v>
      </c>
      <c r="S35" s="91">
        <f ca="1">IF(RTD("tos.rtd",,$A$2,"."&amp;S$2&amp;S$1&amp;"C"&amp;$A35)="N/A",0,RTD("tos.rtd",,$A$2,"."&amp;S$2&amp;S$1&amp;"C"&amp;$A35))-IF(RTD("tos.rtd",,$A$2,"."&amp;S$2&amp;S$1&amp;"P"&amp;$A35)="N/A",0,RTD("tos.rtd",,$A$2,"."&amp;S$2&amp;S$1&amp;"P"&amp;$A35))</f>
        <v>0</v>
      </c>
      <c r="T35" s="91">
        <f ca="1">IF(RTD("tos.rtd",,$A$2,"."&amp;T$2&amp;T$1&amp;"C"&amp;$A35)="N/A",0,RTD("tos.rtd",,$A$2,"."&amp;T$2&amp;T$1&amp;"C"&amp;$A35))-IF(RTD("tos.rtd",,$A$2,"."&amp;T$2&amp;T$1&amp;"P"&amp;$A35)="N/A",0,RTD("tos.rtd",,$A$2,"."&amp;T$2&amp;T$1&amp;"P"&amp;$A35))</f>
        <v>1</v>
      </c>
      <c r="U35" s="91">
        <f ca="1">IF(RTD("tos.rtd",,$A$2,"."&amp;U$2&amp;U$1&amp;"C"&amp;$A35)="N/A",0,RTD("tos.rtd",,$A$2,"."&amp;U$2&amp;U$1&amp;"C"&amp;$A35))-IF(RTD("tos.rtd",,$A$2,"."&amp;U$2&amp;U$1&amp;"P"&amp;$A35)="N/A",0,RTD("tos.rtd",,$A$2,"."&amp;U$2&amp;U$1&amp;"P"&amp;$A35))</f>
        <v>0</v>
      </c>
      <c r="V35" s="91">
        <f ca="1">IF(RTD("tos.rtd",,$A$2,"."&amp;V$2&amp;V$1&amp;"C"&amp;$A35)="N/A",0,RTD("tos.rtd",,$A$2,"."&amp;V$2&amp;V$1&amp;"C"&amp;$A35))-IF(RTD("tos.rtd",,$A$2,"."&amp;V$2&amp;V$1&amp;"P"&amp;$A35)="N/A",0,RTD("tos.rtd",,$A$2,"."&amp;V$2&amp;V$1&amp;"P"&amp;$A35))</f>
        <v>0</v>
      </c>
      <c r="W35" s="91">
        <f ca="1">IF(RTD("tos.rtd",,$A$2,"."&amp;W$2&amp;W$1&amp;"C"&amp;$A35)="N/A",0,RTD("tos.rtd",,$A$2,"."&amp;W$2&amp;W$1&amp;"C"&amp;$A35))-IF(RTD("tos.rtd",,$A$2,"."&amp;W$2&amp;W$1&amp;"P"&amp;$A35)="N/A",0,RTD("tos.rtd",,$A$2,"."&amp;W$2&amp;W$1&amp;"P"&amp;$A35))</f>
        <v>0</v>
      </c>
      <c r="X35" s="91">
        <f ca="1">IF(RTD("tos.rtd",,$A$2,"."&amp;X$2&amp;X$1&amp;"C"&amp;$A35)="N/A",0,RTD("tos.rtd",,$A$2,"."&amp;X$2&amp;X$1&amp;"C"&amp;$A35))-IF(RTD("tos.rtd",,$A$2,"."&amp;X$2&amp;X$1&amp;"P"&amp;$A35)="N/A",0,RTD("tos.rtd",,$A$2,"."&amp;X$2&amp;X$1&amp;"P"&amp;$A35))</f>
        <v>-18</v>
      </c>
      <c r="Y35" s="98">
        <f t="shared" ca="1" si="3"/>
        <v>-1163</v>
      </c>
    </row>
    <row r="36" spans="1:25" x14ac:dyDescent="0.25">
      <c r="A36" s="93">
        <f>+Hoja1!A35</f>
        <v>561</v>
      </c>
      <c r="B36" s="91">
        <f ca="1">IF(RTD("tos.rtd",,$A$2,"."&amp;B$2&amp;B$1&amp;"C"&amp;$A36)="N/A",0,RTD("tos.rtd",,$A$2,"."&amp;B$2&amp;B$1&amp;"C"&amp;$A36))-IF(RTD("tos.rtd",,$A$2,"."&amp;B$2&amp;B$1&amp;"P"&amp;$A36)="N/A",0,RTD("tos.rtd",,$A$2,"."&amp;B$2&amp;B$1&amp;"P"&amp;$A36))</f>
        <v>0</v>
      </c>
      <c r="C36" s="91">
        <f ca="1">IF(RTD("tos.rtd",,$A$2,"."&amp;C$2&amp;C$1&amp;"C"&amp;$A36)="N/A",0,RTD("tos.rtd",,$A$2,"."&amp;C$2&amp;C$1&amp;"C"&amp;$A36))-IF(RTD("tos.rtd",,$A$2,"."&amp;C$2&amp;C$1&amp;"P"&amp;$A36)="N/A",0,RTD("tos.rtd",,$A$2,"."&amp;C$2&amp;C$1&amp;"P"&amp;$A36))</f>
        <v>0</v>
      </c>
      <c r="D36" s="91">
        <f ca="1">IF(RTD("tos.rtd",,$A$2,"."&amp;D$2&amp;D$1&amp;"C"&amp;$A36)="N/A",0,RTD("tos.rtd",,$A$2,"."&amp;D$2&amp;D$1&amp;"C"&amp;$A36))-IF(RTD("tos.rtd",,$A$2,"."&amp;D$2&amp;D$1&amp;"P"&amp;$A36)="N/A",0,RTD("tos.rtd",,$A$2,"."&amp;D$2&amp;D$1&amp;"P"&amp;$A36))</f>
        <v>0</v>
      </c>
      <c r="E36" s="91">
        <f ca="1">IF(RTD("tos.rtd",,$A$2,"."&amp;E$2&amp;E$1&amp;"C"&amp;$A36)="N/A",0,RTD("tos.rtd",,$A$2,"."&amp;E$2&amp;E$1&amp;"C"&amp;$A36))-IF(RTD("tos.rtd",,$A$2,"."&amp;E$2&amp;E$1&amp;"P"&amp;$A36)="N/A",0,RTD("tos.rtd",,$A$2,"."&amp;E$2&amp;E$1&amp;"P"&amp;$A36))</f>
        <v>0</v>
      </c>
      <c r="F36" s="91">
        <f ca="1">IF(RTD("tos.rtd",,$A$2,"."&amp;F$2&amp;F$1&amp;"C"&amp;$A36)="N/A",0,RTD("tos.rtd",,$A$2,"."&amp;F$2&amp;F$1&amp;"C"&amp;$A36))-IF(RTD("tos.rtd",,$A$2,"."&amp;F$2&amp;F$1&amp;"P"&amp;$A36)="N/A",0,RTD("tos.rtd",,$A$2,"."&amp;F$2&amp;F$1&amp;"P"&amp;$A36))</f>
        <v>0</v>
      </c>
      <c r="G36" s="91">
        <f ca="1">IF(RTD("tos.rtd",,$A$2,"."&amp;G$2&amp;G$1&amp;"C"&amp;$A36)="N/A",0,RTD("tos.rtd",,$A$2,"."&amp;G$2&amp;G$1&amp;"C"&amp;$A36))-IF(RTD("tos.rtd",,$A$2,"."&amp;G$2&amp;G$1&amp;"P"&amp;$A36)="N/A",0,RTD("tos.rtd",,$A$2,"."&amp;G$2&amp;G$1&amp;"P"&amp;$A36))</f>
        <v>0</v>
      </c>
      <c r="H36" s="91">
        <f ca="1">IF(RTD("tos.rtd",,$A$2,"."&amp;H$2&amp;H$1&amp;"C"&amp;$A36)="N/A",0,RTD("tos.rtd",,$A$2,"."&amp;H$2&amp;H$1&amp;"C"&amp;$A36))-IF(RTD("tos.rtd",,$A$2,"."&amp;H$2&amp;H$1&amp;"P"&amp;$A36)="N/A",0,RTD("tos.rtd",,$A$2,"."&amp;H$2&amp;H$1&amp;"P"&amp;$A36))</f>
        <v>-2030</v>
      </c>
      <c r="I36" s="91">
        <f ca="1">IF(RTD("tos.rtd",,$A$2,"."&amp;I$2&amp;I$1&amp;"C"&amp;$A36)="N/A",0,RTD("tos.rtd",,$A$2,"."&amp;I$2&amp;I$1&amp;"C"&amp;$A36))-IF(RTD("tos.rtd",,$A$2,"."&amp;I$2&amp;I$1&amp;"P"&amp;$A36)="N/A",0,RTD("tos.rtd",,$A$2,"."&amp;I$2&amp;I$1&amp;"P"&amp;$A36))</f>
        <v>-701</v>
      </c>
      <c r="J36" s="91">
        <f ca="1">IF(RTD("tos.rtd",,$A$2,"."&amp;J$2&amp;J$1&amp;"C"&amp;$A36)="N/A",0,RTD("tos.rtd",,$A$2,"."&amp;J$2&amp;J$1&amp;"C"&amp;$A36))-IF(RTD("tos.rtd",,$A$2,"."&amp;J$2&amp;J$1&amp;"P"&amp;$A36)="N/A",0,RTD("tos.rtd",,$A$2,"."&amp;J$2&amp;J$1&amp;"P"&amp;$A36))</f>
        <v>-606</v>
      </c>
      <c r="K36" s="91">
        <f ca="1">IF(RTD("tos.rtd",,$A$2,"."&amp;K$2&amp;K$1&amp;"C"&amp;$A36)="N/A",0,RTD("tos.rtd",,$A$2,"."&amp;K$2&amp;K$1&amp;"C"&amp;$A36))-IF(RTD("tos.rtd",,$A$2,"."&amp;K$2&amp;K$1&amp;"P"&amp;$A36)="N/A",0,RTD("tos.rtd",,$A$2,"."&amp;K$2&amp;K$1&amp;"P"&amp;$A36))</f>
        <v>0</v>
      </c>
      <c r="L36" s="91">
        <f ca="1">IF(RTD("tos.rtd",,$A$2,"."&amp;L$2&amp;L$1&amp;"C"&amp;$A36)="N/A",0,RTD("tos.rtd",,$A$2,"."&amp;L$2&amp;L$1&amp;"C"&amp;$A36))-IF(RTD("tos.rtd",,$A$2,"."&amp;L$2&amp;L$1&amp;"P"&amp;$A36)="N/A",0,RTD("tos.rtd",,$A$2,"."&amp;L$2&amp;L$1&amp;"P"&amp;$A36))</f>
        <v>-67</v>
      </c>
      <c r="M36" s="91">
        <f ca="1">IF(RTD("tos.rtd",,$A$2,"."&amp;M$2&amp;M$1&amp;"C"&amp;$A36)="N/A",0,RTD("tos.rtd",,$A$2,"."&amp;M$2&amp;M$1&amp;"C"&amp;$A36))-IF(RTD("tos.rtd",,$A$2,"."&amp;M$2&amp;M$1&amp;"P"&amp;$A36)="N/A",0,RTD("tos.rtd",,$A$2,"."&amp;M$2&amp;M$1&amp;"P"&amp;$A36))</f>
        <v>0</v>
      </c>
      <c r="N36" s="91">
        <f ca="1">IF(RTD("tos.rtd",,$A$2,"."&amp;N$2&amp;N$1&amp;"C"&amp;$A36)="N/A",0,RTD("tos.rtd",,$A$2,"."&amp;N$2&amp;N$1&amp;"C"&amp;$A36))-IF(RTD("tos.rtd",,$A$2,"."&amp;N$2&amp;N$1&amp;"P"&amp;$A36)="N/A",0,RTD("tos.rtd",,$A$2,"."&amp;N$2&amp;N$1&amp;"P"&amp;$A36))</f>
        <v>-61</v>
      </c>
      <c r="O36" s="91">
        <f ca="1">IF(RTD("tos.rtd",,$A$2,"."&amp;O$2&amp;O$1&amp;"C"&amp;$A36)="N/A",0,RTD("tos.rtd",,$A$2,"."&amp;O$2&amp;O$1&amp;"C"&amp;$A36))-IF(RTD("tos.rtd",,$A$2,"."&amp;O$2&amp;O$1&amp;"P"&amp;$A36)="N/A",0,RTD("tos.rtd",,$A$2,"."&amp;O$2&amp;O$1&amp;"P"&amp;$A36))</f>
        <v>-9</v>
      </c>
      <c r="P36" s="91">
        <f ca="1">IF(RTD("tos.rtd",,$A$2,"."&amp;P$2&amp;P$1&amp;"C"&amp;$A36)="N/A",0,RTD("tos.rtd",,$A$2,"."&amp;P$2&amp;P$1&amp;"C"&amp;$A36))-IF(RTD("tos.rtd",,$A$2,"."&amp;P$2&amp;P$1&amp;"P"&amp;$A36)="N/A",0,RTD("tos.rtd",,$A$2,"."&amp;P$2&amp;P$1&amp;"P"&amp;$A36))</f>
        <v>0</v>
      </c>
      <c r="Q36" s="91">
        <f ca="1">IF(RTD("tos.rtd",,$A$2,"."&amp;Q$2&amp;Q$1&amp;"C"&amp;$A36)="N/A",0,RTD("tos.rtd",,$A$2,"."&amp;Q$2&amp;Q$1&amp;"C"&amp;$A36))-IF(RTD("tos.rtd",,$A$2,"."&amp;Q$2&amp;Q$1&amp;"P"&amp;$A36)="N/A",0,RTD("tos.rtd",,$A$2,"."&amp;Q$2&amp;Q$1&amp;"P"&amp;$A36))</f>
        <v>0</v>
      </c>
      <c r="R36" s="91">
        <f ca="1">IF(RTD("tos.rtd",,$A$2,"."&amp;R$2&amp;R$1&amp;"C"&amp;$A36)="N/A",0,RTD("tos.rtd",,$A$2,"."&amp;R$2&amp;R$1&amp;"C"&amp;$A36))-IF(RTD("tos.rtd",,$A$2,"."&amp;R$2&amp;R$1&amp;"P"&amp;$A36)="N/A",0,RTD("tos.rtd",,$A$2,"."&amp;R$2&amp;R$1&amp;"P"&amp;$A36))</f>
        <v>-155</v>
      </c>
      <c r="S36" s="91">
        <f ca="1">IF(RTD("tos.rtd",,$A$2,"."&amp;S$2&amp;S$1&amp;"C"&amp;$A36)="N/A",0,RTD("tos.rtd",,$A$2,"."&amp;S$2&amp;S$1&amp;"C"&amp;$A36))-IF(RTD("tos.rtd",,$A$2,"."&amp;S$2&amp;S$1&amp;"P"&amp;$A36)="N/A",0,RTD("tos.rtd",,$A$2,"."&amp;S$2&amp;S$1&amp;"P"&amp;$A36))</f>
        <v>0</v>
      </c>
      <c r="T36" s="91">
        <f ca="1">IF(RTD("tos.rtd",,$A$2,"."&amp;T$2&amp;T$1&amp;"C"&amp;$A36)="N/A",0,RTD("tos.rtd",,$A$2,"."&amp;T$2&amp;T$1&amp;"C"&amp;$A36))-IF(RTD("tos.rtd",,$A$2,"."&amp;T$2&amp;T$1&amp;"P"&amp;$A36)="N/A",0,RTD("tos.rtd",,$A$2,"."&amp;T$2&amp;T$1&amp;"P"&amp;$A36))</f>
        <v>0</v>
      </c>
      <c r="U36" s="91">
        <f ca="1">IF(RTD("tos.rtd",,$A$2,"."&amp;U$2&amp;U$1&amp;"C"&amp;$A36)="N/A",0,RTD("tos.rtd",,$A$2,"."&amp;U$2&amp;U$1&amp;"C"&amp;$A36))-IF(RTD("tos.rtd",,$A$2,"."&amp;U$2&amp;U$1&amp;"P"&amp;$A36)="N/A",0,RTD("tos.rtd",,$A$2,"."&amp;U$2&amp;U$1&amp;"P"&amp;$A36))</f>
        <v>0</v>
      </c>
      <c r="V36" s="91">
        <f ca="1">IF(RTD("tos.rtd",,$A$2,"."&amp;V$2&amp;V$1&amp;"C"&amp;$A36)="N/A",0,RTD("tos.rtd",,$A$2,"."&amp;V$2&amp;V$1&amp;"C"&amp;$A36))-IF(RTD("tos.rtd",,$A$2,"."&amp;V$2&amp;V$1&amp;"P"&amp;$A36)="N/A",0,RTD("tos.rtd",,$A$2,"."&amp;V$2&amp;V$1&amp;"P"&amp;$A36))</f>
        <v>0</v>
      </c>
      <c r="W36" s="91">
        <f ca="1">IF(RTD("tos.rtd",,$A$2,"."&amp;W$2&amp;W$1&amp;"C"&amp;$A36)="N/A",0,RTD("tos.rtd",,$A$2,"."&amp;W$2&amp;W$1&amp;"C"&amp;$A36))-IF(RTD("tos.rtd",,$A$2,"."&amp;W$2&amp;W$1&amp;"P"&amp;$A36)="N/A",0,RTD("tos.rtd",,$A$2,"."&amp;W$2&amp;W$1&amp;"P"&amp;$A36))</f>
        <v>0</v>
      </c>
      <c r="X36" s="91">
        <f ca="1">IF(RTD("tos.rtd",,$A$2,"."&amp;X$2&amp;X$1&amp;"C"&amp;$A36)="N/A",0,RTD("tos.rtd",,$A$2,"."&amp;X$2&amp;X$1&amp;"C"&amp;$A36))-IF(RTD("tos.rtd",,$A$2,"."&amp;X$2&amp;X$1&amp;"P"&amp;$A36)="N/A",0,RTD("tos.rtd",,$A$2,"."&amp;X$2&amp;X$1&amp;"P"&amp;$A36))</f>
        <v>-1</v>
      </c>
      <c r="Y36" s="98">
        <f t="shared" ca="1" si="3"/>
        <v>-3630</v>
      </c>
    </row>
    <row r="37" spans="1:25" x14ac:dyDescent="0.25">
      <c r="A37" s="93">
        <f>+Hoja1!A36</f>
        <v>560</v>
      </c>
      <c r="B37" s="91">
        <f ca="1">IF(RTD("tos.rtd",,$A$2,"."&amp;B$2&amp;B$1&amp;"C"&amp;$A37)="N/A",0,RTD("tos.rtd",,$A$2,"."&amp;B$2&amp;B$1&amp;"C"&amp;$A37))-IF(RTD("tos.rtd",,$A$2,"."&amp;B$2&amp;B$1&amp;"P"&amp;$A37)="N/A",0,RTD("tos.rtd",,$A$2,"."&amp;B$2&amp;B$1&amp;"P"&amp;$A37))</f>
        <v>0</v>
      </c>
      <c r="C37" s="91">
        <f ca="1">IF(RTD("tos.rtd",,$A$2,"."&amp;C$2&amp;C$1&amp;"C"&amp;$A37)="N/A",0,RTD("tos.rtd",,$A$2,"."&amp;C$2&amp;C$1&amp;"C"&amp;$A37))-IF(RTD("tos.rtd",,$A$2,"."&amp;C$2&amp;C$1&amp;"P"&amp;$A37)="N/A",0,RTD("tos.rtd",,$A$2,"."&amp;C$2&amp;C$1&amp;"P"&amp;$A37))</f>
        <v>0</v>
      </c>
      <c r="D37" s="91">
        <f ca="1">IF(RTD("tos.rtd",,$A$2,"."&amp;D$2&amp;D$1&amp;"C"&amp;$A37)="N/A",0,RTD("tos.rtd",,$A$2,"."&amp;D$2&amp;D$1&amp;"C"&amp;$A37))-IF(RTD("tos.rtd",,$A$2,"."&amp;D$2&amp;D$1&amp;"P"&amp;$A37)="N/A",0,RTD("tos.rtd",,$A$2,"."&amp;D$2&amp;D$1&amp;"P"&amp;$A37))</f>
        <v>0</v>
      </c>
      <c r="E37" s="91">
        <f ca="1">IF(RTD("tos.rtd",,$A$2,"."&amp;E$2&amp;E$1&amp;"C"&amp;$A37)="N/A",0,RTD("tos.rtd",,$A$2,"."&amp;E$2&amp;E$1&amp;"C"&amp;$A37))-IF(RTD("tos.rtd",,$A$2,"."&amp;E$2&amp;E$1&amp;"P"&amp;$A37)="N/A",0,RTD("tos.rtd",,$A$2,"."&amp;E$2&amp;E$1&amp;"P"&amp;$A37))</f>
        <v>0</v>
      </c>
      <c r="F37" s="91">
        <f ca="1">IF(RTD("tos.rtd",,$A$2,"."&amp;F$2&amp;F$1&amp;"C"&amp;$A37)="N/A",0,RTD("tos.rtd",,$A$2,"."&amp;F$2&amp;F$1&amp;"C"&amp;$A37))-IF(RTD("tos.rtd",,$A$2,"."&amp;F$2&amp;F$1&amp;"P"&amp;$A37)="N/A",0,RTD("tos.rtd",,$A$2,"."&amp;F$2&amp;F$1&amp;"P"&amp;$A37))</f>
        <v>0</v>
      </c>
      <c r="G37" s="91">
        <f ca="1">IF(RTD("tos.rtd",,$A$2,"."&amp;G$2&amp;G$1&amp;"C"&amp;$A37)="N/A",0,RTD("tos.rtd",,$A$2,"."&amp;G$2&amp;G$1&amp;"C"&amp;$A37))-IF(RTD("tos.rtd",,$A$2,"."&amp;G$2&amp;G$1&amp;"P"&amp;$A37)="N/A",0,RTD("tos.rtd",,$A$2,"."&amp;G$2&amp;G$1&amp;"P"&amp;$A37))</f>
        <v>0</v>
      </c>
      <c r="H37" s="91">
        <f ca="1">IF(RTD("tos.rtd",,$A$2,"."&amp;H$2&amp;H$1&amp;"C"&amp;$A37)="N/A",0,RTD("tos.rtd",,$A$2,"."&amp;H$2&amp;H$1&amp;"C"&amp;$A37))-IF(RTD("tos.rtd",,$A$2,"."&amp;H$2&amp;H$1&amp;"P"&amp;$A37)="N/A",0,RTD("tos.rtd",,$A$2,"."&amp;H$2&amp;H$1&amp;"P"&amp;$A37))</f>
        <v>-3715</v>
      </c>
      <c r="I37" s="91">
        <f ca="1">IF(RTD("tos.rtd",,$A$2,"."&amp;I$2&amp;I$1&amp;"C"&amp;$A37)="N/A",0,RTD("tos.rtd",,$A$2,"."&amp;I$2&amp;I$1&amp;"C"&amp;$A37))-IF(RTD("tos.rtd",,$A$2,"."&amp;I$2&amp;I$1&amp;"P"&amp;$A37)="N/A",0,RTD("tos.rtd",,$A$2,"."&amp;I$2&amp;I$1&amp;"P"&amp;$A37))</f>
        <v>-4804</v>
      </c>
      <c r="J37" s="91">
        <f ca="1">IF(RTD("tos.rtd",,$A$2,"."&amp;J$2&amp;J$1&amp;"C"&amp;$A37)="N/A",0,RTD("tos.rtd",,$A$2,"."&amp;J$2&amp;J$1&amp;"C"&amp;$A37))-IF(RTD("tos.rtd",,$A$2,"."&amp;J$2&amp;J$1&amp;"P"&amp;$A37)="N/A",0,RTD("tos.rtd",,$A$2,"."&amp;J$2&amp;J$1&amp;"P"&amp;$A37))</f>
        <v>-1850</v>
      </c>
      <c r="K37" s="91">
        <f ca="1">IF(RTD("tos.rtd",,$A$2,"."&amp;K$2&amp;K$1&amp;"C"&amp;$A37)="N/A",0,RTD("tos.rtd",,$A$2,"."&amp;K$2&amp;K$1&amp;"C"&amp;$A37))-IF(RTD("tos.rtd",,$A$2,"."&amp;K$2&amp;K$1&amp;"P"&amp;$A37)="N/A",0,RTD("tos.rtd",,$A$2,"."&amp;K$2&amp;K$1&amp;"P"&amp;$A37))</f>
        <v>0</v>
      </c>
      <c r="L37" s="91">
        <f ca="1">IF(RTD("tos.rtd",,$A$2,"."&amp;L$2&amp;L$1&amp;"C"&amp;$A37)="N/A",0,RTD("tos.rtd",,$A$2,"."&amp;L$2&amp;L$1&amp;"C"&amp;$A37))-IF(RTD("tos.rtd",,$A$2,"."&amp;L$2&amp;L$1&amp;"P"&amp;$A37)="N/A",0,RTD("tos.rtd",,$A$2,"."&amp;L$2&amp;L$1&amp;"P"&amp;$A37))</f>
        <v>-466</v>
      </c>
      <c r="M37" s="91">
        <f ca="1">IF(RTD("tos.rtd",,$A$2,"."&amp;M$2&amp;M$1&amp;"C"&amp;$A37)="N/A",0,RTD("tos.rtd",,$A$2,"."&amp;M$2&amp;M$1&amp;"C"&amp;$A37))-IF(RTD("tos.rtd",,$A$2,"."&amp;M$2&amp;M$1&amp;"P"&amp;$A37)="N/A",0,RTD("tos.rtd",,$A$2,"."&amp;M$2&amp;M$1&amp;"P"&amp;$A37))</f>
        <v>-6980</v>
      </c>
      <c r="N37" s="91">
        <f ca="1">IF(RTD("tos.rtd",,$A$2,"."&amp;N$2&amp;N$1&amp;"C"&amp;$A37)="N/A",0,RTD("tos.rtd",,$A$2,"."&amp;N$2&amp;N$1&amp;"C"&amp;$A37))-IF(RTD("tos.rtd",,$A$2,"."&amp;N$2&amp;N$1&amp;"P"&amp;$A37)="N/A",0,RTD("tos.rtd",,$A$2,"."&amp;N$2&amp;N$1&amp;"P"&amp;$A37))</f>
        <v>-119</v>
      </c>
      <c r="O37" s="91">
        <f ca="1">IF(RTD("tos.rtd",,$A$2,"."&amp;O$2&amp;O$1&amp;"C"&amp;$A37)="N/A",0,RTD("tos.rtd",,$A$2,"."&amp;O$2&amp;O$1&amp;"C"&amp;$A37))-IF(RTD("tos.rtd",,$A$2,"."&amp;O$2&amp;O$1&amp;"P"&amp;$A37)="N/A",0,RTD("tos.rtd",,$A$2,"."&amp;O$2&amp;O$1&amp;"P"&amp;$A37))</f>
        <v>-7048</v>
      </c>
      <c r="P37" s="91">
        <f ca="1">IF(RTD("tos.rtd",,$A$2,"."&amp;P$2&amp;P$1&amp;"C"&amp;$A37)="N/A",0,RTD("tos.rtd",,$A$2,"."&amp;P$2&amp;P$1&amp;"C"&amp;$A37))-IF(RTD("tos.rtd",,$A$2,"."&amp;P$2&amp;P$1&amp;"P"&amp;$A37)="N/A",0,RTD("tos.rtd",,$A$2,"."&amp;P$2&amp;P$1&amp;"P"&amp;$A37))</f>
        <v>-30</v>
      </c>
      <c r="Q37" s="91">
        <f ca="1">IF(RTD("tos.rtd",,$A$2,"."&amp;Q$2&amp;Q$1&amp;"C"&amp;$A37)="N/A",0,RTD("tos.rtd",,$A$2,"."&amp;Q$2&amp;Q$1&amp;"C"&amp;$A37))-IF(RTD("tos.rtd",,$A$2,"."&amp;Q$2&amp;Q$1&amp;"P"&amp;$A37)="N/A",0,RTD("tos.rtd",,$A$2,"."&amp;Q$2&amp;Q$1&amp;"P"&amp;$A37))</f>
        <v>-1456</v>
      </c>
      <c r="R37" s="91">
        <f ca="1">IF(RTD("tos.rtd",,$A$2,"."&amp;R$2&amp;R$1&amp;"C"&amp;$A37)="N/A",0,RTD("tos.rtd",,$A$2,"."&amp;R$2&amp;R$1&amp;"C"&amp;$A37))-IF(RTD("tos.rtd",,$A$2,"."&amp;R$2&amp;R$1&amp;"P"&amp;$A37)="N/A",0,RTD("tos.rtd",,$A$2,"."&amp;R$2&amp;R$1&amp;"P"&amp;$A37))</f>
        <v>-122</v>
      </c>
      <c r="S37" s="91">
        <f ca="1">IF(RTD("tos.rtd",,$A$2,"."&amp;S$2&amp;S$1&amp;"C"&amp;$A37)="N/A",0,RTD("tos.rtd",,$A$2,"."&amp;S$2&amp;S$1&amp;"C"&amp;$A37))-IF(RTD("tos.rtd",,$A$2,"."&amp;S$2&amp;S$1&amp;"P"&amp;$A37)="N/A",0,RTD("tos.rtd",,$A$2,"."&amp;S$2&amp;S$1&amp;"P"&amp;$A37))</f>
        <v>0</v>
      </c>
      <c r="T37" s="91">
        <f ca="1">IF(RTD("tos.rtd",,$A$2,"."&amp;T$2&amp;T$1&amp;"C"&amp;$A37)="N/A",0,RTD("tos.rtd",,$A$2,"."&amp;T$2&amp;T$1&amp;"C"&amp;$A37))-IF(RTD("tos.rtd",,$A$2,"."&amp;T$2&amp;T$1&amp;"P"&amp;$A37)="N/A",0,RTD("tos.rtd",,$A$2,"."&amp;T$2&amp;T$1&amp;"P"&amp;$A37))</f>
        <v>-237</v>
      </c>
      <c r="U37" s="91">
        <f ca="1">IF(RTD("tos.rtd",,$A$2,"."&amp;U$2&amp;U$1&amp;"C"&amp;$A37)="N/A",0,RTD("tos.rtd",,$A$2,"."&amp;U$2&amp;U$1&amp;"C"&amp;$A37))-IF(RTD("tos.rtd",,$A$2,"."&amp;U$2&amp;U$1&amp;"P"&amp;$A37)="N/A",0,RTD("tos.rtd",,$A$2,"."&amp;U$2&amp;U$1&amp;"P"&amp;$A37))</f>
        <v>0</v>
      </c>
      <c r="V37" s="91">
        <f ca="1">IF(RTD("tos.rtd",,$A$2,"."&amp;V$2&amp;V$1&amp;"C"&amp;$A37)="N/A",0,RTD("tos.rtd",,$A$2,"."&amp;V$2&amp;V$1&amp;"C"&amp;$A37))-IF(RTD("tos.rtd",,$A$2,"."&amp;V$2&amp;V$1&amp;"P"&amp;$A37)="N/A",0,RTD("tos.rtd",,$A$2,"."&amp;V$2&amp;V$1&amp;"P"&amp;$A37))</f>
        <v>0</v>
      </c>
      <c r="W37" s="91">
        <f ca="1">IF(RTD("tos.rtd",,$A$2,"."&amp;W$2&amp;W$1&amp;"C"&amp;$A37)="N/A",0,RTD("tos.rtd",,$A$2,"."&amp;W$2&amp;W$1&amp;"C"&amp;$A37))-IF(RTD("tos.rtd",,$A$2,"."&amp;W$2&amp;W$1&amp;"P"&amp;$A37)="N/A",0,RTD("tos.rtd",,$A$2,"."&amp;W$2&amp;W$1&amp;"P"&amp;$A37))</f>
        <v>-383</v>
      </c>
      <c r="X37" s="91">
        <f ca="1">IF(RTD("tos.rtd",,$A$2,"."&amp;X$2&amp;X$1&amp;"C"&amp;$A37)="N/A",0,RTD("tos.rtd",,$A$2,"."&amp;X$2&amp;X$1&amp;"C"&amp;$A37))-IF(RTD("tos.rtd",,$A$2,"."&amp;X$2&amp;X$1&amp;"P"&amp;$A37)="N/A",0,RTD("tos.rtd",,$A$2,"."&amp;X$2&amp;X$1&amp;"P"&amp;$A37))</f>
        <v>-22</v>
      </c>
      <c r="Y37" s="98">
        <f t="shared" ca="1" si="3"/>
        <v>-27232</v>
      </c>
    </row>
    <row r="38" spans="1:25" x14ac:dyDescent="0.25">
      <c r="A38" s="93">
        <f>+Hoja1!A37</f>
        <v>559</v>
      </c>
      <c r="B38" s="91">
        <f ca="1">IF(RTD("tos.rtd",,$A$2,"."&amp;B$2&amp;B$1&amp;"C"&amp;$A38)="N/A",0,RTD("tos.rtd",,$A$2,"."&amp;B$2&amp;B$1&amp;"C"&amp;$A38))-IF(RTD("tos.rtd",,$A$2,"."&amp;B$2&amp;B$1&amp;"P"&amp;$A38)="N/A",0,RTD("tos.rtd",,$A$2,"."&amp;B$2&amp;B$1&amp;"P"&amp;$A38))</f>
        <v>0</v>
      </c>
      <c r="C38" s="91">
        <f ca="1">IF(RTD("tos.rtd",,$A$2,"."&amp;C$2&amp;C$1&amp;"C"&amp;$A38)="N/A",0,RTD("tos.rtd",,$A$2,"."&amp;C$2&amp;C$1&amp;"C"&amp;$A38))-IF(RTD("tos.rtd",,$A$2,"."&amp;C$2&amp;C$1&amp;"P"&amp;$A38)="N/A",0,RTD("tos.rtd",,$A$2,"."&amp;C$2&amp;C$1&amp;"P"&amp;$A38))</f>
        <v>0</v>
      </c>
      <c r="D38" s="91">
        <f ca="1">IF(RTD("tos.rtd",,$A$2,"."&amp;D$2&amp;D$1&amp;"C"&amp;$A38)="N/A",0,RTD("tos.rtd",,$A$2,"."&amp;D$2&amp;D$1&amp;"C"&amp;$A38))-IF(RTD("tos.rtd",,$A$2,"."&amp;D$2&amp;D$1&amp;"P"&amp;$A38)="N/A",0,RTD("tos.rtd",,$A$2,"."&amp;D$2&amp;D$1&amp;"P"&amp;$A38))</f>
        <v>0</v>
      </c>
      <c r="E38" s="91">
        <f ca="1">IF(RTD("tos.rtd",,$A$2,"."&amp;E$2&amp;E$1&amp;"C"&amp;$A38)="N/A",0,RTD("tos.rtd",,$A$2,"."&amp;E$2&amp;E$1&amp;"C"&amp;$A38))-IF(RTD("tos.rtd",,$A$2,"."&amp;E$2&amp;E$1&amp;"P"&amp;$A38)="N/A",0,RTD("tos.rtd",,$A$2,"."&amp;E$2&amp;E$1&amp;"P"&amp;$A38))</f>
        <v>0</v>
      </c>
      <c r="F38" s="91">
        <f ca="1">IF(RTD("tos.rtd",,$A$2,"."&amp;F$2&amp;F$1&amp;"C"&amp;$A38)="N/A",0,RTD("tos.rtd",,$A$2,"."&amp;F$2&amp;F$1&amp;"C"&amp;$A38))-IF(RTD("tos.rtd",,$A$2,"."&amp;F$2&amp;F$1&amp;"P"&amp;$A38)="N/A",0,RTD("tos.rtd",,$A$2,"."&amp;F$2&amp;F$1&amp;"P"&amp;$A38))</f>
        <v>0</v>
      </c>
      <c r="G38" s="91">
        <f ca="1">IF(RTD("tos.rtd",,$A$2,"."&amp;G$2&amp;G$1&amp;"C"&amp;$A38)="N/A",0,RTD("tos.rtd",,$A$2,"."&amp;G$2&amp;G$1&amp;"C"&amp;$A38))-IF(RTD("tos.rtd",,$A$2,"."&amp;G$2&amp;G$1&amp;"P"&amp;$A38)="N/A",0,RTD("tos.rtd",,$A$2,"."&amp;G$2&amp;G$1&amp;"P"&amp;$A38))</f>
        <v>0</v>
      </c>
      <c r="H38" s="91">
        <f ca="1">IF(RTD("tos.rtd",,$A$2,"."&amp;H$2&amp;H$1&amp;"C"&amp;$A38)="N/A",0,RTD("tos.rtd",,$A$2,"."&amp;H$2&amp;H$1&amp;"C"&amp;$A38))-IF(RTD("tos.rtd",,$A$2,"."&amp;H$2&amp;H$1&amp;"P"&amp;$A38)="N/A",0,RTD("tos.rtd",,$A$2,"."&amp;H$2&amp;H$1&amp;"P"&amp;$A38))</f>
        <v>-203</v>
      </c>
      <c r="I38" s="91">
        <f ca="1">IF(RTD("tos.rtd",,$A$2,"."&amp;I$2&amp;I$1&amp;"C"&amp;$A38)="N/A",0,RTD("tos.rtd",,$A$2,"."&amp;I$2&amp;I$1&amp;"C"&amp;$A38))-IF(RTD("tos.rtd",,$A$2,"."&amp;I$2&amp;I$1&amp;"P"&amp;$A38)="N/A",0,RTD("tos.rtd",,$A$2,"."&amp;I$2&amp;I$1&amp;"P"&amp;$A38))</f>
        <v>-1858</v>
      </c>
      <c r="J38" s="91">
        <f ca="1">IF(RTD("tos.rtd",,$A$2,"."&amp;J$2&amp;J$1&amp;"C"&amp;$A38)="N/A",0,RTD("tos.rtd",,$A$2,"."&amp;J$2&amp;J$1&amp;"C"&amp;$A38))-IF(RTD("tos.rtd",,$A$2,"."&amp;J$2&amp;J$1&amp;"P"&amp;$A38)="N/A",0,RTD("tos.rtd",,$A$2,"."&amp;J$2&amp;J$1&amp;"P"&amp;$A38))</f>
        <v>-237</v>
      </c>
      <c r="K38" s="91">
        <f ca="1">IF(RTD("tos.rtd",,$A$2,"."&amp;K$2&amp;K$1&amp;"C"&amp;$A38)="N/A",0,RTD("tos.rtd",,$A$2,"."&amp;K$2&amp;K$1&amp;"C"&amp;$A38))-IF(RTD("tos.rtd",,$A$2,"."&amp;K$2&amp;K$1&amp;"P"&amp;$A38)="N/A",0,RTD("tos.rtd",,$A$2,"."&amp;K$2&amp;K$1&amp;"P"&amp;$A38))</f>
        <v>0</v>
      </c>
      <c r="L38" s="91">
        <f ca="1">IF(RTD("tos.rtd",,$A$2,"."&amp;L$2&amp;L$1&amp;"C"&amp;$A38)="N/A",0,RTD("tos.rtd",,$A$2,"."&amp;L$2&amp;L$1&amp;"C"&amp;$A38))-IF(RTD("tos.rtd",,$A$2,"."&amp;L$2&amp;L$1&amp;"P"&amp;$A38)="N/A",0,RTD("tos.rtd",,$A$2,"."&amp;L$2&amp;L$1&amp;"P"&amp;$A38))</f>
        <v>-79</v>
      </c>
      <c r="M38" s="91">
        <f ca="1">IF(RTD("tos.rtd",,$A$2,"."&amp;M$2&amp;M$1&amp;"C"&amp;$A38)="N/A",0,RTD("tos.rtd",,$A$2,"."&amp;M$2&amp;M$1&amp;"C"&amp;$A38))-IF(RTD("tos.rtd",,$A$2,"."&amp;M$2&amp;M$1&amp;"P"&amp;$A38)="N/A",0,RTD("tos.rtd",,$A$2,"."&amp;M$2&amp;M$1&amp;"P"&amp;$A38))</f>
        <v>0</v>
      </c>
      <c r="N38" s="91">
        <f ca="1">IF(RTD("tos.rtd",,$A$2,"."&amp;N$2&amp;N$1&amp;"C"&amp;$A38)="N/A",0,RTD("tos.rtd",,$A$2,"."&amp;N$2&amp;N$1&amp;"C"&amp;$A38))-IF(RTD("tos.rtd",,$A$2,"."&amp;N$2&amp;N$1&amp;"P"&amp;$A38)="N/A",0,RTD("tos.rtd",,$A$2,"."&amp;N$2&amp;N$1&amp;"P"&amp;$A38))</f>
        <v>-12</v>
      </c>
      <c r="O38" s="91">
        <f ca="1">IF(RTD("tos.rtd",,$A$2,"."&amp;O$2&amp;O$1&amp;"C"&amp;$A38)="N/A",0,RTD("tos.rtd",,$A$2,"."&amp;O$2&amp;O$1&amp;"C"&amp;$A38))-IF(RTD("tos.rtd",,$A$2,"."&amp;O$2&amp;O$1&amp;"P"&amp;$A38)="N/A",0,RTD("tos.rtd",,$A$2,"."&amp;O$2&amp;O$1&amp;"P"&amp;$A38))</f>
        <v>-19</v>
      </c>
      <c r="P38" s="91">
        <f ca="1">IF(RTD("tos.rtd",,$A$2,"."&amp;P$2&amp;P$1&amp;"C"&amp;$A38)="N/A",0,RTD("tos.rtd",,$A$2,"."&amp;P$2&amp;P$1&amp;"C"&amp;$A38))-IF(RTD("tos.rtd",,$A$2,"."&amp;P$2&amp;P$1&amp;"P"&amp;$A38)="N/A",0,RTD("tos.rtd",,$A$2,"."&amp;P$2&amp;P$1&amp;"P"&amp;$A38))</f>
        <v>-1</v>
      </c>
      <c r="Q38" s="91">
        <f ca="1">IF(RTD("tos.rtd",,$A$2,"."&amp;Q$2&amp;Q$1&amp;"C"&amp;$A38)="N/A",0,RTD("tos.rtd",,$A$2,"."&amp;Q$2&amp;Q$1&amp;"C"&amp;$A38))-IF(RTD("tos.rtd",,$A$2,"."&amp;Q$2&amp;Q$1&amp;"P"&amp;$A38)="N/A",0,RTD("tos.rtd",,$A$2,"."&amp;Q$2&amp;Q$1&amp;"P"&amp;$A38))</f>
        <v>0</v>
      </c>
      <c r="R38" s="91">
        <f ca="1">IF(RTD("tos.rtd",,$A$2,"."&amp;R$2&amp;R$1&amp;"C"&amp;$A38)="N/A",0,RTD("tos.rtd",,$A$2,"."&amp;R$2&amp;R$1&amp;"C"&amp;$A38))-IF(RTD("tos.rtd",,$A$2,"."&amp;R$2&amp;R$1&amp;"P"&amp;$A38)="N/A",0,RTD("tos.rtd",,$A$2,"."&amp;R$2&amp;R$1&amp;"P"&amp;$A38))</f>
        <v>-2</v>
      </c>
      <c r="S38" s="91">
        <f ca="1">IF(RTD("tos.rtd",,$A$2,"."&amp;S$2&amp;S$1&amp;"C"&amp;$A38)="N/A",0,RTD("tos.rtd",,$A$2,"."&amp;S$2&amp;S$1&amp;"C"&amp;$A38))-IF(RTD("tos.rtd",,$A$2,"."&amp;S$2&amp;S$1&amp;"P"&amp;$A38)="N/A",0,RTD("tos.rtd",,$A$2,"."&amp;S$2&amp;S$1&amp;"P"&amp;$A38))</f>
        <v>0</v>
      </c>
      <c r="T38" s="91">
        <f ca="1">IF(RTD("tos.rtd",,$A$2,"."&amp;T$2&amp;T$1&amp;"C"&amp;$A38)="N/A",0,RTD("tos.rtd",,$A$2,"."&amp;T$2&amp;T$1&amp;"C"&amp;$A38))-IF(RTD("tos.rtd",,$A$2,"."&amp;T$2&amp;T$1&amp;"P"&amp;$A38)="N/A",0,RTD("tos.rtd",,$A$2,"."&amp;T$2&amp;T$1&amp;"P"&amp;$A38))</f>
        <v>3</v>
      </c>
      <c r="U38" s="91">
        <f ca="1">IF(RTD("tos.rtd",,$A$2,"."&amp;U$2&amp;U$1&amp;"C"&amp;$A38)="N/A",0,RTD("tos.rtd",,$A$2,"."&amp;U$2&amp;U$1&amp;"C"&amp;$A38))-IF(RTD("tos.rtd",,$A$2,"."&amp;U$2&amp;U$1&amp;"P"&amp;$A38)="N/A",0,RTD("tos.rtd",,$A$2,"."&amp;U$2&amp;U$1&amp;"P"&amp;$A38))</f>
        <v>0</v>
      </c>
      <c r="V38" s="91">
        <f ca="1">IF(RTD("tos.rtd",,$A$2,"."&amp;V$2&amp;V$1&amp;"C"&amp;$A38)="N/A",0,RTD("tos.rtd",,$A$2,"."&amp;V$2&amp;V$1&amp;"C"&amp;$A38))-IF(RTD("tos.rtd",,$A$2,"."&amp;V$2&amp;V$1&amp;"P"&amp;$A38)="N/A",0,RTD("tos.rtd",,$A$2,"."&amp;V$2&amp;V$1&amp;"P"&amp;$A38))</f>
        <v>0</v>
      </c>
      <c r="W38" s="91">
        <f ca="1">IF(RTD("tos.rtd",,$A$2,"."&amp;W$2&amp;W$1&amp;"C"&amp;$A38)="N/A",0,RTD("tos.rtd",,$A$2,"."&amp;W$2&amp;W$1&amp;"C"&amp;$A38))-IF(RTD("tos.rtd",,$A$2,"."&amp;W$2&amp;W$1&amp;"P"&amp;$A38)="N/A",0,RTD("tos.rtd",,$A$2,"."&amp;W$2&amp;W$1&amp;"P"&amp;$A38))</f>
        <v>0</v>
      </c>
      <c r="X38" s="91">
        <f ca="1">IF(RTD("tos.rtd",,$A$2,"."&amp;X$2&amp;X$1&amp;"C"&amp;$A38)="N/A",0,RTD("tos.rtd",,$A$2,"."&amp;X$2&amp;X$1&amp;"C"&amp;$A38))-IF(RTD("tos.rtd",,$A$2,"."&amp;X$2&amp;X$1&amp;"P"&amp;$A38)="N/A",0,RTD("tos.rtd",,$A$2,"."&amp;X$2&amp;X$1&amp;"P"&amp;$A38))</f>
        <v>-6</v>
      </c>
      <c r="Y38" s="98">
        <f t="shared" ca="1" si="3"/>
        <v>-2414</v>
      </c>
    </row>
    <row r="39" spans="1:25" x14ac:dyDescent="0.25">
      <c r="A39" s="93">
        <f>+Hoja1!A38</f>
        <v>558</v>
      </c>
      <c r="B39" s="91">
        <f ca="1">IF(RTD("tos.rtd",,$A$2,"."&amp;B$2&amp;B$1&amp;"C"&amp;$A39)="N/A",0,RTD("tos.rtd",,$A$2,"."&amp;B$2&amp;B$1&amp;"C"&amp;$A39))-IF(RTD("tos.rtd",,$A$2,"."&amp;B$2&amp;B$1&amp;"P"&amp;$A39)="N/A",0,RTD("tos.rtd",,$A$2,"."&amp;B$2&amp;B$1&amp;"P"&amp;$A39))</f>
        <v>0</v>
      </c>
      <c r="C39" s="91">
        <f ca="1">IF(RTD("tos.rtd",,$A$2,"."&amp;C$2&amp;C$1&amp;"C"&amp;$A39)="N/A",0,RTD("tos.rtd",,$A$2,"."&amp;C$2&amp;C$1&amp;"C"&amp;$A39))-IF(RTD("tos.rtd",,$A$2,"."&amp;C$2&amp;C$1&amp;"P"&amp;$A39)="N/A",0,RTD("tos.rtd",,$A$2,"."&amp;C$2&amp;C$1&amp;"P"&amp;$A39))</f>
        <v>0</v>
      </c>
      <c r="D39" s="91">
        <f ca="1">IF(RTD("tos.rtd",,$A$2,"."&amp;D$2&amp;D$1&amp;"C"&amp;$A39)="N/A",0,RTD("tos.rtd",,$A$2,"."&amp;D$2&amp;D$1&amp;"C"&amp;$A39))-IF(RTD("tos.rtd",,$A$2,"."&amp;D$2&amp;D$1&amp;"P"&amp;$A39)="N/A",0,RTD("tos.rtd",,$A$2,"."&amp;D$2&amp;D$1&amp;"P"&amp;$A39))</f>
        <v>0</v>
      </c>
      <c r="E39" s="91">
        <f ca="1">IF(RTD("tos.rtd",,$A$2,"."&amp;E$2&amp;E$1&amp;"C"&amp;$A39)="N/A",0,RTD("tos.rtd",,$A$2,"."&amp;E$2&amp;E$1&amp;"C"&amp;$A39))-IF(RTD("tos.rtd",,$A$2,"."&amp;E$2&amp;E$1&amp;"P"&amp;$A39)="N/A",0,RTD("tos.rtd",,$A$2,"."&amp;E$2&amp;E$1&amp;"P"&amp;$A39))</f>
        <v>0</v>
      </c>
      <c r="F39" s="91">
        <f ca="1">IF(RTD("tos.rtd",,$A$2,"."&amp;F$2&amp;F$1&amp;"C"&amp;$A39)="N/A",0,RTD("tos.rtd",,$A$2,"."&amp;F$2&amp;F$1&amp;"C"&amp;$A39))-IF(RTD("tos.rtd",,$A$2,"."&amp;F$2&amp;F$1&amp;"P"&amp;$A39)="N/A",0,RTD("tos.rtd",,$A$2,"."&amp;F$2&amp;F$1&amp;"P"&amp;$A39))</f>
        <v>0</v>
      </c>
      <c r="G39" s="91">
        <f ca="1">IF(RTD("tos.rtd",,$A$2,"."&amp;G$2&amp;G$1&amp;"C"&amp;$A39)="N/A",0,RTD("tos.rtd",,$A$2,"."&amp;G$2&amp;G$1&amp;"C"&amp;$A39))-IF(RTD("tos.rtd",,$A$2,"."&amp;G$2&amp;G$1&amp;"P"&amp;$A39)="N/A",0,RTD("tos.rtd",,$A$2,"."&amp;G$2&amp;G$1&amp;"P"&amp;$A39))</f>
        <v>0</v>
      </c>
      <c r="H39" s="91">
        <f ca="1">IF(RTD("tos.rtd",,$A$2,"."&amp;H$2&amp;H$1&amp;"C"&amp;$A39)="N/A",0,RTD("tos.rtd",,$A$2,"."&amp;H$2&amp;H$1&amp;"C"&amp;$A39))-IF(RTD("tos.rtd",,$A$2,"."&amp;H$2&amp;H$1&amp;"P"&amp;$A39)="N/A",0,RTD("tos.rtd",,$A$2,"."&amp;H$2&amp;H$1&amp;"P"&amp;$A39))</f>
        <v>-1416</v>
      </c>
      <c r="I39" s="91">
        <f ca="1">IF(RTD("tos.rtd",,$A$2,"."&amp;I$2&amp;I$1&amp;"C"&amp;$A39)="N/A",0,RTD("tos.rtd",,$A$2,"."&amp;I$2&amp;I$1&amp;"C"&amp;$A39))-IF(RTD("tos.rtd",,$A$2,"."&amp;I$2&amp;I$1&amp;"P"&amp;$A39)="N/A",0,RTD("tos.rtd",,$A$2,"."&amp;I$2&amp;I$1&amp;"P"&amp;$A39))</f>
        <v>-231</v>
      </c>
      <c r="J39" s="91">
        <f ca="1">IF(RTD("tos.rtd",,$A$2,"."&amp;J$2&amp;J$1&amp;"C"&amp;$A39)="N/A",0,RTD("tos.rtd",,$A$2,"."&amp;J$2&amp;J$1&amp;"C"&amp;$A39))-IF(RTD("tos.rtd",,$A$2,"."&amp;J$2&amp;J$1&amp;"P"&amp;$A39)="N/A",0,RTD("tos.rtd",,$A$2,"."&amp;J$2&amp;J$1&amp;"P"&amp;$A39))</f>
        <v>-63</v>
      </c>
      <c r="K39" s="91">
        <f ca="1">IF(RTD("tos.rtd",,$A$2,"."&amp;K$2&amp;K$1&amp;"C"&amp;$A39)="N/A",0,RTD("tos.rtd",,$A$2,"."&amp;K$2&amp;K$1&amp;"C"&amp;$A39))-IF(RTD("tos.rtd",,$A$2,"."&amp;K$2&amp;K$1&amp;"P"&amp;$A39)="N/A",0,RTD("tos.rtd",,$A$2,"."&amp;K$2&amp;K$1&amp;"P"&amp;$A39))</f>
        <v>0</v>
      </c>
      <c r="L39" s="91">
        <f ca="1">IF(RTD("tos.rtd",,$A$2,"."&amp;L$2&amp;L$1&amp;"C"&amp;$A39)="N/A",0,RTD("tos.rtd",,$A$2,"."&amp;L$2&amp;L$1&amp;"C"&amp;$A39))-IF(RTD("tos.rtd",,$A$2,"."&amp;L$2&amp;L$1&amp;"P"&amp;$A39)="N/A",0,RTD("tos.rtd",,$A$2,"."&amp;L$2&amp;L$1&amp;"P"&amp;$A39))</f>
        <v>41</v>
      </c>
      <c r="M39" s="91">
        <f ca="1">IF(RTD("tos.rtd",,$A$2,"."&amp;M$2&amp;M$1&amp;"C"&amp;$A39)="N/A",0,RTD("tos.rtd",,$A$2,"."&amp;M$2&amp;M$1&amp;"C"&amp;$A39))-IF(RTD("tos.rtd",,$A$2,"."&amp;M$2&amp;M$1&amp;"P"&amp;$A39)="N/A",0,RTD("tos.rtd",,$A$2,"."&amp;M$2&amp;M$1&amp;"P"&amp;$A39))</f>
        <v>0</v>
      </c>
      <c r="N39" s="91">
        <f ca="1">IF(RTD("tos.rtd",,$A$2,"."&amp;N$2&amp;N$1&amp;"C"&amp;$A39)="N/A",0,RTD("tos.rtd",,$A$2,"."&amp;N$2&amp;N$1&amp;"C"&amp;$A39))-IF(RTD("tos.rtd",,$A$2,"."&amp;N$2&amp;N$1&amp;"P"&amp;$A39)="N/A",0,RTD("tos.rtd",,$A$2,"."&amp;N$2&amp;N$1&amp;"P"&amp;$A39))</f>
        <v>-57</v>
      </c>
      <c r="O39" s="91">
        <f ca="1">IF(RTD("tos.rtd",,$A$2,"."&amp;O$2&amp;O$1&amp;"C"&amp;$A39)="N/A",0,RTD("tos.rtd",,$A$2,"."&amp;O$2&amp;O$1&amp;"C"&amp;$A39))-IF(RTD("tos.rtd",,$A$2,"."&amp;O$2&amp;O$1&amp;"P"&amp;$A39)="N/A",0,RTD("tos.rtd",,$A$2,"."&amp;O$2&amp;O$1&amp;"P"&amp;$A39))</f>
        <v>-6</v>
      </c>
      <c r="P39" s="91">
        <f ca="1">IF(RTD("tos.rtd",,$A$2,"."&amp;P$2&amp;P$1&amp;"C"&amp;$A39)="N/A",0,RTD("tos.rtd",,$A$2,"."&amp;P$2&amp;P$1&amp;"C"&amp;$A39))-IF(RTD("tos.rtd",,$A$2,"."&amp;P$2&amp;P$1&amp;"P"&amp;$A39)="N/A",0,RTD("tos.rtd",,$A$2,"."&amp;P$2&amp;P$1&amp;"P"&amp;$A39))</f>
        <v>-1</v>
      </c>
      <c r="Q39" s="91">
        <f ca="1">IF(RTD("tos.rtd",,$A$2,"."&amp;Q$2&amp;Q$1&amp;"C"&amp;$A39)="N/A",0,RTD("tos.rtd",,$A$2,"."&amp;Q$2&amp;Q$1&amp;"C"&amp;$A39))-IF(RTD("tos.rtd",,$A$2,"."&amp;Q$2&amp;Q$1&amp;"P"&amp;$A39)="N/A",0,RTD("tos.rtd",,$A$2,"."&amp;Q$2&amp;Q$1&amp;"P"&amp;$A39))</f>
        <v>0</v>
      </c>
      <c r="R39" s="91">
        <f ca="1">IF(RTD("tos.rtd",,$A$2,"."&amp;R$2&amp;R$1&amp;"C"&amp;$A39)="N/A",0,RTD("tos.rtd",,$A$2,"."&amp;R$2&amp;R$1&amp;"C"&amp;$A39))-IF(RTD("tos.rtd",,$A$2,"."&amp;R$2&amp;R$1&amp;"P"&amp;$A39)="N/A",0,RTD("tos.rtd",,$A$2,"."&amp;R$2&amp;R$1&amp;"P"&amp;$A39))</f>
        <v>1</v>
      </c>
      <c r="S39" s="91">
        <f ca="1">IF(RTD("tos.rtd",,$A$2,"."&amp;S$2&amp;S$1&amp;"C"&amp;$A39)="N/A",0,RTD("tos.rtd",,$A$2,"."&amp;S$2&amp;S$1&amp;"C"&amp;$A39))-IF(RTD("tos.rtd",,$A$2,"."&amp;S$2&amp;S$1&amp;"P"&amp;$A39)="N/A",0,RTD("tos.rtd",,$A$2,"."&amp;S$2&amp;S$1&amp;"P"&amp;$A39))</f>
        <v>0</v>
      </c>
      <c r="T39" s="91">
        <f ca="1">IF(RTD("tos.rtd",,$A$2,"."&amp;T$2&amp;T$1&amp;"C"&amp;$A39)="N/A",0,RTD("tos.rtd",,$A$2,"."&amp;T$2&amp;T$1&amp;"C"&amp;$A39))-IF(RTD("tos.rtd",,$A$2,"."&amp;T$2&amp;T$1&amp;"P"&amp;$A39)="N/A",0,RTD("tos.rtd",,$A$2,"."&amp;T$2&amp;T$1&amp;"P"&amp;$A39))</f>
        <v>1</v>
      </c>
      <c r="U39" s="91">
        <f ca="1">IF(RTD("tos.rtd",,$A$2,"."&amp;U$2&amp;U$1&amp;"C"&amp;$A39)="N/A",0,RTD("tos.rtd",,$A$2,"."&amp;U$2&amp;U$1&amp;"C"&amp;$A39))-IF(RTD("tos.rtd",,$A$2,"."&amp;U$2&amp;U$1&amp;"P"&amp;$A39)="N/A",0,RTD("tos.rtd",,$A$2,"."&amp;U$2&amp;U$1&amp;"P"&amp;$A39))</f>
        <v>0</v>
      </c>
      <c r="V39" s="91">
        <f ca="1">IF(RTD("tos.rtd",,$A$2,"."&amp;V$2&amp;V$1&amp;"C"&amp;$A39)="N/A",0,RTD("tos.rtd",,$A$2,"."&amp;V$2&amp;V$1&amp;"C"&amp;$A39))-IF(RTD("tos.rtd",,$A$2,"."&amp;V$2&amp;V$1&amp;"P"&amp;$A39)="N/A",0,RTD("tos.rtd",,$A$2,"."&amp;V$2&amp;V$1&amp;"P"&amp;$A39))</f>
        <v>0</v>
      </c>
      <c r="W39" s="91">
        <f ca="1">IF(RTD("tos.rtd",,$A$2,"."&amp;W$2&amp;W$1&amp;"C"&amp;$A39)="N/A",0,RTD("tos.rtd",,$A$2,"."&amp;W$2&amp;W$1&amp;"C"&amp;$A39))-IF(RTD("tos.rtd",,$A$2,"."&amp;W$2&amp;W$1&amp;"P"&amp;$A39)="N/A",0,RTD("tos.rtd",,$A$2,"."&amp;W$2&amp;W$1&amp;"P"&amp;$A39))</f>
        <v>0</v>
      </c>
      <c r="X39" s="91">
        <f ca="1">IF(RTD("tos.rtd",,$A$2,"."&amp;X$2&amp;X$1&amp;"C"&amp;$A39)="N/A",0,RTD("tos.rtd",,$A$2,"."&amp;X$2&amp;X$1&amp;"C"&amp;$A39))-IF(RTD("tos.rtd",,$A$2,"."&amp;X$2&amp;X$1&amp;"P"&amp;$A39)="N/A",0,RTD("tos.rtd",,$A$2,"."&amp;X$2&amp;X$1&amp;"P"&amp;$A39))</f>
        <v>12</v>
      </c>
      <c r="Y39" s="98">
        <f t="shared" ca="1" si="3"/>
        <v>-1719</v>
      </c>
    </row>
    <row r="40" spans="1:25" x14ac:dyDescent="0.25">
      <c r="A40" s="93">
        <f>+Hoja1!A39</f>
        <v>1</v>
      </c>
    </row>
    <row r="41" spans="1:25" x14ac:dyDescent="0.25">
      <c r="A41" s="93">
        <f>+Hoja1!A40</f>
        <v>0</v>
      </c>
    </row>
    <row r="42" spans="1:25" x14ac:dyDescent="0.25">
      <c r="A42" s="93">
        <f>+Hoja1!A41</f>
        <v>0</v>
      </c>
      <c r="B42" s="92" t="str">
        <f ca="1">+B1</f>
        <v/>
      </c>
      <c r="C42" s="92" t="str">
        <f t="shared" ref="C42:X42" ca="1" si="4">+C1</f>
        <v/>
      </c>
      <c r="D42" s="92" t="str">
        <f t="shared" ca="1" si="4"/>
        <v/>
      </c>
      <c r="E42" s="92" t="str">
        <f t="shared" ca="1" si="4"/>
        <v/>
      </c>
      <c r="F42" s="92" t="str">
        <f t="shared" ca="1" si="4"/>
        <v/>
      </c>
      <c r="G42" s="92" t="str">
        <f t="shared" ca="1" si="4"/>
        <v/>
      </c>
      <c r="H42" s="92" t="str">
        <f t="shared" ca="1" si="4"/>
        <v>250523</v>
      </c>
      <c r="I42" s="92" t="str">
        <f t="shared" ca="1" si="4"/>
        <v>250530</v>
      </c>
      <c r="J42" s="92" t="str">
        <f t="shared" ca="1" si="4"/>
        <v>250606</v>
      </c>
      <c r="K42" s="92" t="str">
        <f t="shared" ca="1" si="4"/>
        <v/>
      </c>
      <c r="L42" s="92" t="str">
        <f t="shared" ca="1" si="4"/>
        <v>250630</v>
      </c>
      <c r="M42" s="92" t="str">
        <f t="shared" ca="1" si="4"/>
        <v>250718</v>
      </c>
      <c r="N42" s="92" t="str">
        <f t="shared" ca="1" si="4"/>
        <v>250731</v>
      </c>
      <c r="O42" s="92" t="str">
        <f t="shared" ca="1" si="4"/>
        <v>250815</v>
      </c>
      <c r="P42" s="92" t="str">
        <f t="shared" ca="1" si="4"/>
        <v>250829</v>
      </c>
      <c r="Q42" s="92" t="str">
        <f t="shared" ca="1" si="4"/>
        <v>250919</v>
      </c>
      <c r="R42" s="92" t="str">
        <f t="shared" ca="1" si="4"/>
        <v>250930</v>
      </c>
      <c r="S42" s="92" t="str">
        <f t="shared" ca="1" si="4"/>
        <v>251017</v>
      </c>
      <c r="T42" s="92" t="str">
        <f t="shared" ca="1" si="4"/>
        <v>251031</v>
      </c>
      <c r="U42" s="92" t="str">
        <f t="shared" ca="1" si="4"/>
        <v>251121</v>
      </c>
      <c r="V42" s="92" t="str">
        <f t="shared" ca="1" si="4"/>
        <v>251128</v>
      </c>
      <c r="W42" s="92" t="str">
        <f t="shared" ca="1" si="4"/>
        <v>251219</v>
      </c>
      <c r="X42" s="92" t="str">
        <f t="shared" ca="1" si="4"/>
        <v>251231</v>
      </c>
    </row>
    <row r="43" spans="1:25" x14ac:dyDescent="0.25">
      <c r="A43" s="93">
        <f>+Hoja1!A42</f>
        <v>0</v>
      </c>
      <c r="B43" s="92" t="str">
        <f>+A44</f>
        <v>QQQ</v>
      </c>
      <c r="C43" s="92" t="str">
        <f>+B43</f>
        <v>QQQ</v>
      </c>
      <c r="D43" s="92" t="str">
        <f t="shared" ref="D43:L43" si="5">+C43</f>
        <v>QQQ</v>
      </c>
      <c r="E43" s="92" t="str">
        <f t="shared" si="5"/>
        <v>QQQ</v>
      </c>
      <c r="F43" s="92" t="str">
        <f t="shared" si="5"/>
        <v>QQQ</v>
      </c>
      <c r="G43" s="92" t="str">
        <f t="shared" si="5"/>
        <v>QQQ</v>
      </c>
      <c r="H43" s="92" t="str">
        <f t="shared" si="5"/>
        <v>QQQ</v>
      </c>
      <c r="I43" s="92" t="str">
        <f t="shared" si="5"/>
        <v>QQQ</v>
      </c>
      <c r="J43" s="92" t="str">
        <f t="shared" si="5"/>
        <v>QQQ</v>
      </c>
      <c r="K43" s="92" t="str">
        <f t="shared" si="5"/>
        <v>QQQ</v>
      </c>
      <c r="L43" s="92" t="str">
        <f t="shared" si="5"/>
        <v>QQQ</v>
      </c>
      <c r="M43" s="92" t="str">
        <f t="shared" ref="M43:X43" si="6">+K43</f>
        <v>QQQ</v>
      </c>
      <c r="N43" s="92" t="str">
        <f t="shared" si="6"/>
        <v>QQQ</v>
      </c>
      <c r="O43" s="92" t="str">
        <f t="shared" si="6"/>
        <v>QQQ</v>
      </c>
      <c r="P43" s="92" t="str">
        <f t="shared" si="6"/>
        <v>QQQ</v>
      </c>
      <c r="Q43" s="92" t="str">
        <f t="shared" si="6"/>
        <v>QQQ</v>
      </c>
      <c r="R43" s="92" t="str">
        <f t="shared" si="6"/>
        <v>QQQ</v>
      </c>
      <c r="S43" s="92" t="str">
        <f t="shared" si="6"/>
        <v>QQQ</v>
      </c>
      <c r="T43" s="92" t="str">
        <f t="shared" si="6"/>
        <v>QQQ</v>
      </c>
      <c r="U43" s="92" t="str">
        <f t="shared" si="6"/>
        <v>QQQ</v>
      </c>
      <c r="V43" s="92" t="str">
        <f t="shared" si="6"/>
        <v>QQQ</v>
      </c>
      <c r="W43" s="92" t="str">
        <f t="shared" si="6"/>
        <v>QQQ</v>
      </c>
      <c r="X43" s="92" t="str">
        <f t="shared" si="6"/>
        <v>QQQ</v>
      </c>
    </row>
    <row r="44" spans="1:25" x14ac:dyDescent="0.25">
      <c r="A44" s="93" t="str">
        <f>+Hoja1!A43</f>
        <v>QQQ</v>
      </c>
      <c r="B44" s="94">
        <f>+B3</f>
        <v>45782</v>
      </c>
      <c r="C44" s="94">
        <f>+B44+1</f>
        <v>45783</v>
      </c>
      <c r="D44" s="94">
        <f>+C44+1</f>
        <v>45784</v>
      </c>
      <c r="E44" s="94">
        <f>+D44+1</f>
        <v>45785</v>
      </c>
      <c r="F44" s="94">
        <f>+E44+1</f>
        <v>45786</v>
      </c>
      <c r="G44" s="94">
        <f>+F44+7</f>
        <v>45793</v>
      </c>
      <c r="H44" s="94">
        <f>+G44+7</f>
        <v>45800</v>
      </c>
      <c r="I44" s="94">
        <f>+H44+7</f>
        <v>45807</v>
      </c>
      <c r="J44" s="94">
        <f>+I44+7</f>
        <v>45814</v>
      </c>
      <c r="K44" s="94">
        <v>45828</v>
      </c>
      <c r="L44" s="94">
        <v>45838</v>
      </c>
      <c r="M44" s="94">
        <f>+K44+7+7+7+7</f>
        <v>45856</v>
      </c>
      <c r="N44" s="94">
        <v>45869</v>
      </c>
      <c r="O44" s="94">
        <f>+M44+7+7+7+7</f>
        <v>45884</v>
      </c>
      <c r="P44" s="94">
        <v>45898</v>
      </c>
      <c r="Q44" s="94">
        <f>+O44+7+7+7+7+7</f>
        <v>45919</v>
      </c>
      <c r="R44" s="94">
        <v>45930</v>
      </c>
      <c r="S44" s="94">
        <f>+Q44+7+7+7+7</f>
        <v>45947</v>
      </c>
      <c r="T44" s="94">
        <v>45961</v>
      </c>
      <c r="U44" s="94">
        <f>+S44+7+7+7+7+7</f>
        <v>45982</v>
      </c>
      <c r="V44" s="94">
        <v>45989</v>
      </c>
      <c r="W44" s="94">
        <f>+U44+7+7+7+7</f>
        <v>46010</v>
      </c>
      <c r="X44" s="94">
        <v>46022</v>
      </c>
    </row>
    <row r="45" spans="1:25" x14ac:dyDescent="0.25">
      <c r="A45" s="93">
        <f>+Hoja1!A44</f>
        <v>507.66</v>
      </c>
      <c r="B45" s="92"/>
      <c r="C45" s="92"/>
      <c r="D45" s="92"/>
    </row>
    <row r="46" spans="1:25" x14ac:dyDescent="0.25">
      <c r="A46" s="93">
        <f>+Hoja1!A45</f>
        <v>522</v>
      </c>
      <c r="B46" s="91">
        <f ca="1">IF(RTD("tos.rtd",,$A$2,"."&amp;B$43&amp;B$1&amp;"C"&amp;$A46)="N/A",0,RTD("tos.rtd",,$A$2,"."&amp;B$43&amp;B$1&amp;"C"&amp;$A46))-IF(RTD("tos.rtd",,$A$2,"."&amp;B$43&amp;B$1&amp;"P"&amp;$A46)="N/A",0,RTD("tos.rtd",,$A$2,"."&amp;B$43&amp;B$1&amp;"P"&amp;$A46))</f>
        <v>0</v>
      </c>
      <c r="C46" s="91">
        <f ca="1">IF(RTD("tos.rtd",,$A$2,"."&amp;C$43&amp;C$1&amp;"C"&amp;$A46)="N/A",0,RTD("tos.rtd",,$A$2,"."&amp;C$43&amp;C$1&amp;"C"&amp;$A46))-IF(RTD("tos.rtd",,$A$2,"."&amp;C$43&amp;C$1&amp;"P"&amp;$A46)="N/A",0,RTD("tos.rtd",,$A$2,"."&amp;C$43&amp;C$1&amp;"P"&amp;$A46))</f>
        <v>0</v>
      </c>
      <c r="D46" s="91">
        <f ca="1">IF(RTD("tos.rtd",,$A$2,"."&amp;D$43&amp;D$1&amp;"C"&amp;$A46)="N/A",0,RTD("tos.rtd",,$A$2,"."&amp;D$43&amp;D$1&amp;"C"&amp;$A46))-IF(RTD("tos.rtd",,$A$2,"."&amp;D$43&amp;D$1&amp;"P"&amp;$A46)="N/A",0,RTD("tos.rtd",,$A$2,"."&amp;D$43&amp;D$1&amp;"P"&amp;$A46))</f>
        <v>0</v>
      </c>
      <c r="E46" s="91">
        <f ca="1">IF(RTD("tos.rtd",,$A$2,"."&amp;E$43&amp;E$1&amp;"C"&amp;$A46)="N/A",0,RTD("tos.rtd",,$A$2,"."&amp;E$43&amp;E$1&amp;"C"&amp;$A46))-IF(RTD("tos.rtd",,$A$2,"."&amp;E$43&amp;E$1&amp;"P"&amp;$A46)="N/A",0,RTD("tos.rtd",,$A$2,"."&amp;E$43&amp;E$1&amp;"P"&amp;$A46))</f>
        <v>0</v>
      </c>
      <c r="F46" s="91">
        <f ca="1">IF(RTD("tos.rtd",,$A$2,"."&amp;F$43&amp;F$1&amp;"C"&amp;$A46)="N/A",0,RTD("tos.rtd",,$A$2,"."&amp;F$43&amp;F$1&amp;"C"&amp;$A46))-IF(RTD("tos.rtd",,$A$2,"."&amp;F$43&amp;F$1&amp;"P"&amp;$A46)="N/A",0,RTD("tos.rtd",,$A$2,"."&amp;F$43&amp;F$1&amp;"P"&amp;$A46))</f>
        <v>0</v>
      </c>
      <c r="G46" s="91">
        <f ca="1">IF(RTD("tos.rtd",,$A$2,"."&amp;G$43&amp;G$1&amp;"C"&amp;$A46)="N/A",0,RTD("tos.rtd",,$A$2,"."&amp;G$43&amp;G$1&amp;"C"&amp;$A46))-IF(RTD("tos.rtd",,$A$2,"."&amp;G$43&amp;G$1&amp;"P"&amp;$A46)="N/A",0,RTD("tos.rtd",,$A$2,"."&amp;G$43&amp;G$1&amp;"P"&amp;$A46))</f>
        <v>0</v>
      </c>
      <c r="H46" s="91">
        <f ca="1">IF(RTD("tos.rtd",,$A$2,"."&amp;H$43&amp;H$1&amp;"C"&amp;$A46)="N/A",0,RTD("tos.rtd",,$A$2,"."&amp;H$43&amp;H$1&amp;"C"&amp;$A46))-IF(RTD("tos.rtd",,$A$2,"."&amp;H$43&amp;H$1&amp;"P"&amp;$A46)="N/A",0,RTD("tos.rtd",,$A$2,"."&amp;H$43&amp;H$1&amp;"P"&amp;$A46))</f>
        <v>0</v>
      </c>
      <c r="I46" s="91">
        <f ca="1">IF(RTD("tos.rtd",,$A$2,"."&amp;I$43&amp;I$1&amp;"C"&amp;$A46)="N/A",0,RTD("tos.rtd",,$A$2,"."&amp;I$43&amp;I$1&amp;"C"&amp;$A46))-IF(RTD("tos.rtd",,$A$2,"."&amp;I$43&amp;I$1&amp;"P"&amp;$A46)="N/A",0,RTD("tos.rtd",,$A$2,"."&amp;I$43&amp;I$1&amp;"P"&amp;$A46))</f>
        <v>364</v>
      </c>
      <c r="J46" s="91">
        <f ca="1">IF(RTD("tos.rtd",,$A$2,"."&amp;J$43&amp;J$1&amp;"C"&amp;$A46)="N/A",0,RTD("tos.rtd",,$A$2,"."&amp;J$43&amp;J$1&amp;"C"&amp;$A46))-IF(RTD("tos.rtd",,$A$2,"."&amp;J$43&amp;J$1&amp;"P"&amp;$A46)="N/A",0,RTD("tos.rtd",,$A$2,"."&amp;J$43&amp;J$1&amp;"P"&amp;$A46))</f>
        <v>0</v>
      </c>
      <c r="K46" s="91">
        <f ca="1">IF(RTD("tos.rtd",,$A$2,"."&amp;K$43&amp;K$1&amp;"C"&amp;$A46)="N/A",0,RTD("tos.rtd",,$A$2,"."&amp;K$43&amp;K$1&amp;"C"&amp;$A46))-IF(RTD("tos.rtd",,$A$2,"."&amp;K$43&amp;K$1&amp;"P"&amp;$A46)="N/A",0,RTD("tos.rtd",,$A$2,"."&amp;K$43&amp;K$1&amp;"P"&amp;$A46))</f>
        <v>0</v>
      </c>
      <c r="L46" s="91">
        <f ca="1">IF(RTD("tos.rtd",,$A$2,"."&amp;L$43&amp;L$1&amp;"C"&amp;$A46)="N/A",0,RTD("tos.rtd",,$A$2,"."&amp;L$43&amp;L$1&amp;"C"&amp;$A46))-IF(RTD("tos.rtd",,$A$2,"."&amp;L$43&amp;L$1&amp;"P"&amp;$A46)="N/A",0,RTD("tos.rtd",,$A$2,"."&amp;L$43&amp;L$1&amp;"P"&amp;$A46))</f>
        <v>6</v>
      </c>
      <c r="M46" s="91">
        <f ca="1">IF(RTD("tos.rtd",,$A$2,"."&amp;M$43&amp;M$1&amp;"C"&amp;$A46)="N/A",0,RTD("tos.rtd",,$A$2,"."&amp;M$43&amp;M$1&amp;"C"&amp;$A46))-IF(RTD("tos.rtd",,$A$2,"."&amp;M$43&amp;M$1&amp;"P"&amp;$A46)="N/A",0,RTD("tos.rtd",,$A$2,"."&amp;M$43&amp;M$1&amp;"P"&amp;$A46))</f>
        <v>0</v>
      </c>
      <c r="N46" s="91">
        <f ca="1">IF(RTD("tos.rtd",,$A$2,"."&amp;N$43&amp;N$1&amp;"C"&amp;$A46)="N/A",0,RTD("tos.rtd",,$A$2,"."&amp;N$43&amp;N$1&amp;"C"&amp;$A46))-IF(RTD("tos.rtd",,$A$2,"."&amp;N$43&amp;N$1&amp;"P"&amp;$A46)="N/A",0,RTD("tos.rtd",,$A$2,"."&amp;N$43&amp;N$1&amp;"P"&amp;$A46))</f>
        <v>0</v>
      </c>
      <c r="O46" s="91">
        <f ca="1">IF(RTD("tos.rtd",,$A$2,"."&amp;O$43&amp;O$1&amp;"C"&amp;$A46)="N/A",0,RTD("tos.rtd",,$A$2,"."&amp;O$43&amp;O$1&amp;"C"&amp;$A46))-IF(RTD("tos.rtd",,$A$2,"."&amp;O$43&amp;O$1&amp;"P"&amp;$A46)="N/A",0,RTD("tos.rtd",,$A$2,"."&amp;O$43&amp;O$1&amp;"P"&amp;$A46))</f>
        <v>0</v>
      </c>
      <c r="P46" s="91">
        <f ca="1">IF(RTD("tos.rtd",,$A$2,"."&amp;P$43&amp;P$1&amp;"C"&amp;$A46)="N/A",0,RTD("tos.rtd",,$A$2,"."&amp;P$43&amp;P$1&amp;"C"&amp;$A46))-IF(RTD("tos.rtd",,$A$2,"."&amp;P$43&amp;P$1&amp;"P"&amp;$A46)="N/A",0,RTD("tos.rtd",,$A$2,"."&amp;P$43&amp;P$1&amp;"P"&amp;$A46))</f>
        <v>0</v>
      </c>
      <c r="Q46" s="91">
        <f ca="1">IF(RTD("tos.rtd",,$A$2,"."&amp;Q$43&amp;Q$1&amp;"C"&amp;$A46)="N/A",0,RTD("tos.rtd",,$A$2,"."&amp;Q$43&amp;Q$1&amp;"C"&amp;$A46))-IF(RTD("tos.rtd",,$A$2,"."&amp;Q$43&amp;Q$1&amp;"P"&amp;$A46)="N/A",0,RTD("tos.rtd",,$A$2,"."&amp;Q$43&amp;Q$1&amp;"P"&amp;$A46))</f>
        <v>0</v>
      </c>
      <c r="R46" s="91">
        <f ca="1">IF(RTD("tos.rtd",,$A$2,"."&amp;R$43&amp;R$1&amp;"C"&amp;$A46)="N/A",0,RTD("tos.rtd",,$A$2,"."&amp;R$43&amp;R$1&amp;"C"&amp;$A46))-IF(RTD("tos.rtd",,$A$2,"."&amp;R$43&amp;R$1&amp;"P"&amp;$A46)="N/A",0,RTD("tos.rtd",,$A$2,"."&amp;R$43&amp;R$1&amp;"P"&amp;$A46))</f>
        <v>-1</v>
      </c>
      <c r="S46" s="91">
        <f ca="1">IF(RTD("tos.rtd",,$A$2,"."&amp;S$43&amp;S$1&amp;"C"&amp;$A46)="N/A",0,RTD("tos.rtd",,$A$2,"."&amp;S$43&amp;S$1&amp;"C"&amp;$A46))-IF(RTD("tos.rtd",,$A$2,"."&amp;S$43&amp;S$1&amp;"P"&amp;$A46)="N/A",0,RTD("tos.rtd",,$A$2,"."&amp;S$43&amp;S$1&amp;"P"&amp;$A46))</f>
        <v>0</v>
      </c>
      <c r="T46" s="91">
        <f ca="1">IF(RTD("tos.rtd",,$A$2,"."&amp;T$43&amp;T$1&amp;"C"&amp;$A46)="N/A",0,RTD("tos.rtd",,$A$2,"."&amp;T$43&amp;T$1&amp;"C"&amp;$A46))-IF(RTD("tos.rtd",,$A$2,"."&amp;T$43&amp;T$1&amp;"P"&amp;$A46)="N/A",0,RTD("tos.rtd",,$A$2,"."&amp;T$43&amp;T$1&amp;"P"&amp;$A46))</f>
        <v>0</v>
      </c>
      <c r="U46" s="91">
        <f ca="1">IF(RTD("tos.rtd",,$A$2,"."&amp;U$43&amp;U$1&amp;"C"&amp;$A46)="N/A",0,RTD("tos.rtd",,$A$2,"."&amp;U$43&amp;U$1&amp;"C"&amp;$A46))-IF(RTD("tos.rtd",,$A$2,"."&amp;U$43&amp;U$1&amp;"P"&amp;$A46)="N/A",0,RTD("tos.rtd",,$A$2,"."&amp;U$43&amp;U$1&amp;"P"&amp;$A46))</f>
        <v>0</v>
      </c>
      <c r="V46" s="91">
        <f ca="1">IF(RTD("tos.rtd",,$A$2,"."&amp;V$43&amp;V$1&amp;"C"&amp;$A46)="N/A",0,RTD("tos.rtd",,$A$2,"."&amp;V$43&amp;V$1&amp;"C"&amp;$A46))-IF(RTD("tos.rtd",,$A$2,"."&amp;V$43&amp;V$1&amp;"P"&amp;$A46)="N/A",0,RTD("tos.rtd",,$A$2,"."&amp;V$43&amp;V$1&amp;"P"&amp;$A46))</f>
        <v>0</v>
      </c>
      <c r="W46" s="91">
        <f ca="1">IF(RTD("tos.rtd",,$A$2,"."&amp;W$43&amp;W$1&amp;"C"&amp;$A46)="N/A",0,RTD("tos.rtd",,$A$2,"."&amp;W$43&amp;W$1&amp;"C"&amp;$A46))-IF(RTD("tos.rtd",,$A$2,"."&amp;W$43&amp;W$1&amp;"P"&amp;$A46)="N/A",0,RTD("tos.rtd",,$A$2,"."&amp;W$43&amp;W$1&amp;"P"&amp;$A46))</f>
        <v>0</v>
      </c>
      <c r="X46" s="91">
        <f ca="1">IF(RTD("tos.rtd",,$A$2,"."&amp;X$43&amp;X$1&amp;"C"&amp;$A46)="N/A",0,RTD("tos.rtd",,$A$2,"."&amp;X$43&amp;X$1&amp;"C"&amp;$A46))-IF(RTD("tos.rtd",,$A$2,"."&amp;X$43&amp;X$1&amp;"P"&amp;$A46)="N/A",0,RTD("tos.rtd",,$A$2,"."&amp;X$43&amp;X$1&amp;"P"&amp;$A46))</f>
        <v>7</v>
      </c>
      <c r="Y46" s="98">
        <f ca="1">SUM(B46:X46)</f>
        <v>376</v>
      </c>
    </row>
    <row r="47" spans="1:25" x14ac:dyDescent="0.25">
      <c r="A47" s="93">
        <f>+Hoja1!A46</f>
        <v>521</v>
      </c>
      <c r="B47" s="91">
        <f ca="1">IF(RTD("tos.rtd",,$A$2,"."&amp;B$43&amp;B$1&amp;"C"&amp;$A47)="N/A",0,RTD("tos.rtd",,$A$2,"."&amp;B$43&amp;B$1&amp;"C"&amp;$A47))-IF(RTD("tos.rtd",,$A$2,"."&amp;B$43&amp;B$1&amp;"P"&amp;$A47)="N/A",0,RTD("tos.rtd",,$A$2,"."&amp;B$43&amp;B$1&amp;"P"&amp;$A47))</f>
        <v>0</v>
      </c>
      <c r="C47" s="91">
        <f ca="1">IF(RTD("tos.rtd",,$A$2,"."&amp;C$43&amp;C$1&amp;"C"&amp;$A47)="N/A",0,RTD("tos.rtd",,$A$2,"."&amp;C$43&amp;C$1&amp;"C"&amp;$A47))-IF(RTD("tos.rtd",,$A$2,"."&amp;C$43&amp;C$1&amp;"P"&amp;$A47)="N/A",0,RTD("tos.rtd",,$A$2,"."&amp;C$43&amp;C$1&amp;"P"&amp;$A47))</f>
        <v>0</v>
      </c>
      <c r="D47" s="91">
        <f ca="1">IF(RTD("tos.rtd",,$A$2,"."&amp;D$43&amp;D$1&amp;"C"&amp;$A47)="N/A",0,RTD("tos.rtd",,$A$2,"."&amp;D$43&amp;D$1&amp;"C"&amp;$A47))-IF(RTD("tos.rtd",,$A$2,"."&amp;D$43&amp;D$1&amp;"P"&amp;$A47)="N/A",0,RTD("tos.rtd",,$A$2,"."&amp;D$43&amp;D$1&amp;"P"&amp;$A47))</f>
        <v>0</v>
      </c>
      <c r="E47" s="91">
        <f ca="1">IF(RTD("tos.rtd",,$A$2,"."&amp;E$43&amp;E$1&amp;"C"&amp;$A47)="N/A",0,RTD("tos.rtd",,$A$2,"."&amp;E$43&amp;E$1&amp;"C"&amp;$A47))-IF(RTD("tos.rtd",,$A$2,"."&amp;E$43&amp;E$1&amp;"P"&amp;$A47)="N/A",0,RTD("tos.rtd",,$A$2,"."&amp;E$43&amp;E$1&amp;"P"&amp;$A47))</f>
        <v>0</v>
      </c>
      <c r="F47" s="91">
        <f ca="1">IF(RTD("tos.rtd",,$A$2,"."&amp;F$43&amp;F$1&amp;"C"&amp;$A47)="N/A",0,RTD("tos.rtd",,$A$2,"."&amp;F$43&amp;F$1&amp;"C"&amp;$A47))-IF(RTD("tos.rtd",,$A$2,"."&amp;F$43&amp;F$1&amp;"P"&amp;$A47)="N/A",0,RTD("tos.rtd",,$A$2,"."&amp;F$43&amp;F$1&amp;"P"&amp;$A47))</f>
        <v>0</v>
      </c>
      <c r="G47" s="91">
        <f ca="1">IF(RTD("tos.rtd",,$A$2,"."&amp;G$43&amp;G$1&amp;"C"&amp;$A47)="N/A",0,RTD("tos.rtd",,$A$2,"."&amp;G$43&amp;G$1&amp;"C"&amp;$A47))-IF(RTD("tos.rtd",,$A$2,"."&amp;G$43&amp;G$1&amp;"P"&amp;$A47)="N/A",0,RTD("tos.rtd",,$A$2,"."&amp;G$43&amp;G$1&amp;"P"&amp;$A47))</f>
        <v>0</v>
      </c>
      <c r="H47" s="91">
        <f ca="1">IF(RTD("tos.rtd",,$A$2,"."&amp;H$43&amp;H$1&amp;"C"&amp;$A47)="N/A",0,RTD("tos.rtd",,$A$2,"."&amp;H$43&amp;H$1&amp;"C"&amp;$A47))-IF(RTD("tos.rtd",,$A$2,"."&amp;H$43&amp;H$1&amp;"P"&amp;$A47)="N/A",0,RTD("tos.rtd",,$A$2,"."&amp;H$43&amp;H$1&amp;"P"&amp;$A47))</f>
        <v>0</v>
      </c>
      <c r="I47" s="91">
        <f ca="1">IF(RTD("tos.rtd",,$A$2,"."&amp;I$43&amp;I$1&amp;"C"&amp;$A47)="N/A",0,RTD("tos.rtd",,$A$2,"."&amp;I$43&amp;I$1&amp;"C"&amp;$A47))-IF(RTD("tos.rtd",,$A$2,"."&amp;I$43&amp;I$1&amp;"P"&amp;$A47)="N/A",0,RTD("tos.rtd",,$A$2,"."&amp;I$43&amp;I$1&amp;"P"&amp;$A47))</f>
        <v>503</v>
      </c>
      <c r="J47" s="91">
        <f ca="1">IF(RTD("tos.rtd",,$A$2,"."&amp;J$43&amp;J$1&amp;"C"&amp;$A47)="N/A",0,RTD("tos.rtd",,$A$2,"."&amp;J$43&amp;J$1&amp;"C"&amp;$A47))-IF(RTD("tos.rtd",,$A$2,"."&amp;J$43&amp;J$1&amp;"P"&amp;$A47)="N/A",0,RTD("tos.rtd",,$A$2,"."&amp;J$43&amp;J$1&amp;"P"&amp;$A47))</f>
        <v>0</v>
      </c>
      <c r="K47" s="91">
        <f ca="1">IF(RTD("tos.rtd",,$A$2,"."&amp;K$43&amp;K$1&amp;"C"&amp;$A47)="N/A",0,RTD("tos.rtd",,$A$2,"."&amp;K$43&amp;K$1&amp;"C"&amp;$A47))-IF(RTD("tos.rtd",,$A$2,"."&amp;K$43&amp;K$1&amp;"P"&amp;$A47)="N/A",0,RTD("tos.rtd",,$A$2,"."&amp;K$43&amp;K$1&amp;"P"&amp;$A47))</f>
        <v>0</v>
      </c>
      <c r="L47" s="91">
        <f ca="1">IF(RTD("tos.rtd",,$A$2,"."&amp;L$43&amp;L$1&amp;"C"&amp;$A47)="N/A",0,RTD("tos.rtd",,$A$2,"."&amp;L$43&amp;L$1&amp;"C"&amp;$A47))-IF(RTD("tos.rtd",,$A$2,"."&amp;L$43&amp;L$1&amp;"P"&amp;$A47)="N/A",0,RTD("tos.rtd",,$A$2,"."&amp;L$43&amp;L$1&amp;"P"&amp;$A47))</f>
        <v>23</v>
      </c>
      <c r="M47" s="91">
        <f ca="1">IF(RTD("tos.rtd",,$A$2,"."&amp;M$43&amp;M$1&amp;"C"&amp;$A47)="N/A",0,RTD("tos.rtd",,$A$2,"."&amp;M$43&amp;M$1&amp;"C"&amp;$A47))-IF(RTD("tos.rtd",,$A$2,"."&amp;M$43&amp;M$1&amp;"P"&amp;$A47)="N/A",0,RTD("tos.rtd",,$A$2,"."&amp;M$43&amp;M$1&amp;"P"&amp;$A47))</f>
        <v>0</v>
      </c>
      <c r="N47" s="91">
        <f ca="1">IF(RTD("tos.rtd",,$A$2,"."&amp;N$43&amp;N$1&amp;"C"&amp;$A47)="N/A",0,RTD("tos.rtd",,$A$2,"."&amp;N$43&amp;N$1&amp;"C"&amp;$A47))-IF(RTD("tos.rtd",,$A$2,"."&amp;N$43&amp;N$1&amp;"P"&amp;$A47)="N/A",0,RTD("tos.rtd",,$A$2,"."&amp;N$43&amp;N$1&amp;"P"&amp;$A47))</f>
        <v>0</v>
      </c>
      <c r="O47" s="91">
        <f ca="1">IF(RTD("tos.rtd",,$A$2,"."&amp;O$43&amp;O$1&amp;"C"&amp;$A47)="N/A",0,RTD("tos.rtd",,$A$2,"."&amp;O$43&amp;O$1&amp;"C"&amp;$A47))-IF(RTD("tos.rtd",,$A$2,"."&amp;O$43&amp;O$1&amp;"P"&amp;$A47)="N/A",0,RTD("tos.rtd",,$A$2,"."&amp;O$43&amp;O$1&amp;"P"&amp;$A47))</f>
        <v>0</v>
      </c>
      <c r="P47" s="91">
        <f ca="1">IF(RTD("tos.rtd",,$A$2,"."&amp;P$43&amp;P$1&amp;"C"&amp;$A47)="N/A",0,RTD("tos.rtd",,$A$2,"."&amp;P$43&amp;P$1&amp;"C"&amp;$A47))-IF(RTD("tos.rtd",,$A$2,"."&amp;P$43&amp;P$1&amp;"P"&amp;$A47)="N/A",0,RTD("tos.rtd",,$A$2,"."&amp;P$43&amp;P$1&amp;"P"&amp;$A47))</f>
        <v>0</v>
      </c>
      <c r="Q47" s="91">
        <f ca="1">IF(RTD("tos.rtd",,$A$2,"."&amp;Q$43&amp;Q$1&amp;"C"&amp;$A47)="N/A",0,RTD("tos.rtd",,$A$2,"."&amp;Q$43&amp;Q$1&amp;"C"&amp;$A47))-IF(RTD("tos.rtd",,$A$2,"."&amp;Q$43&amp;Q$1&amp;"P"&amp;$A47)="N/A",0,RTD("tos.rtd",,$A$2,"."&amp;Q$43&amp;Q$1&amp;"P"&amp;$A47))</f>
        <v>0</v>
      </c>
      <c r="R47" s="91">
        <f ca="1">IF(RTD("tos.rtd",,$A$2,"."&amp;R$43&amp;R$1&amp;"C"&amp;$A47)="N/A",0,RTD("tos.rtd",,$A$2,"."&amp;R$43&amp;R$1&amp;"C"&amp;$A47))-IF(RTD("tos.rtd",,$A$2,"."&amp;R$43&amp;R$1&amp;"P"&amp;$A47)="N/A",0,RTD("tos.rtd",,$A$2,"."&amp;R$43&amp;R$1&amp;"P"&amp;$A47))</f>
        <v>1</v>
      </c>
      <c r="S47" s="91">
        <f ca="1">IF(RTD("tos.rtd",,$A$2,"."&amp;S$43&amp;S$1&amp;"C"&amp;$A47)="N/A",0,RTD("tos.rtd",,$A$2,"."&amp;S$43&amp;S$1&amp;"C"&amp;$A47))-IF(RTD("tos.rtd",,$A$2,"."&amp;S$43&amp;S$1&amp;"P"&amp;$A47)="N/A",0,RTD("tos.rtd",,$A$2,"."&amp;S$43&amp;S$1&amp;"P"&amp;$A47))</f>
        <v>0</v>
      </c>
      <c r="T47" s="91">
        <f ca="1">IF(RTD("tos.rtd",,$A$2,"."&amp;T$43&amp;T$1&amp;"C"&amp;$A47)="N/A",0,RTD("tos.rtd",,$A$2,"."&amp;T$43&amp;T$1&amp;"C"&amp;$A47))-IF(RTD("tos.rtd",,$A$2,"."&amp;T$43&amp;T$1&amp;"P"&amp;$A47)="N/A",0,RTD("tos.rtd",,$A$2,"."&amp;T$43&amp;T$1&amp;"P"&amp;$A47))</f>
        <v>0</v>
      </c>
      <c r="U47" s="91">
        <f ca="1">IF(RTD("tos.rtd",,$A$2,"."&amp;U$43&amp;U$1&amp;"C"&amp;$A47)="N/A",0,RTD("tos.rtd",,$A$2,"."&amp;U$43&amp;U$1&amp;"C"&amp;$A47))-IF(RTD("tos.rtd",,$A$2,"."&amp;U$43&amp;U$1&amp;"P"&amp;$A47)="N/A",0,RTD("tos.rtd",,$A$2,"."&amp;U$43&amp;U$1&amp;"P"&amp;$A47))</f>
        <v>0</v>
      </c>
      <c r="V47" s="91">
        <f ca="1">IF(RTD("tos.rtd",,$A$2,"."&amp;V$43&amp;V$1&amp;"C"&amp;$A47)="N/A",0,RTD("tos.rtd",,$A$2,"."&amp;V$43&amp;V$1&amp;"C"&amp;$A47))-IF(RTD("tos.rtd",,$A$2,"."&amp;V$43&amp;V$1&amp;"P"&amp;$A47)="N/A",0,RTD("tos.rtd",,$A$2,"."&amp;V$43&amp;V$1&amp;"P"&amp;$A47))</f>
        <v>0</v>
      </c>
      <c r="W47" s="91">
        <f ca="1">IF(RTD("tos.rtd",,$A$2,"."&amp;W$43&amp;W$1&amp;"C"&amp;$A47)="N/A",0,RTD("tos.rtd",,$A$2,"."&amp;W$43&amp;W$1&amp;"C"&amp;$A47))-IF(RTD("tos.rtd",,$A$2,"."&amp;W$43&amp;W$1&amp;"P"&amp;$A47)="N/A",0,RTD("tos.rtd",,$A$2,"."&amp;W$43&amp;W$1&amp;"P"&amp;$A47))</f>
        <v>0</v>
      </c>
      <c r="X47" s="91">
        <f ca="1">IF(RTD("tos.rtd",,$A$2,"."&amp;X$43&amp;X$1&amp;"C"&amp;$A47)="N/A",0,RTD("tos.rtd",,$A$2,"."&amp;X$43&amp;X$1&amp;"C"&amp;$A47))-IF(RTD("tos.rtd",,$A$2,"."&amp;X$43&amp;X$1&amp;"P"&amp;$A47)="N/A",0,RTD("tos.rtd",,$A$2,"."&amp;X$43&amp;X$1&amp;"P"&amp;$A47))</f>
        <v>1</v>
      </c>
      <c r="Y47" s="98">
        <f t="shared" ref="Y47:Y80" ca="1" si="7">SUM(B47:X47)</f>
        <v>528</v>
      </c>
    </row>
    <row r="48" spans="1:25" x14ac:dyDescent="0.25">
      <c r="A48" s="93">
        <f>+Hoja1!A47</f>
        <v>520</v>
      </c>
      <c r="B48" s="91">
        <f ca="1">IF(RTD("tos.rtd",,$A$2,"."&amp;B$43&amp;B$1&amp;"C"&amp;$A48)="N/A",0,RTD("tos.rtd",,$A$2,"."&amp;B$43&amp;B$1&amp;"C"&amp;$A48))-IF(RTD("tos.rtd",,$A$2,"."&amp;B$43&amp;B$1&amp;"P"&amp;$A48)="N/A",0,RTD("tos.rtd",,$A$2,"."&amp;B$43&amp;B$1&amp;"P"&amp;$A48))</f>
        <v>0</v>
      </c>
      <c r="C48" s="91">
        <f ca="1">IF(RTD("tos.rtd",,$A$2,"."&amp;C$43&amp;C$1&amp;"C"&amp;$A48)="N/A",0,RTD("tos.rtd",,$A$2,"."&amp;C$43&amp;C$1&amp;"C"&amp;$A48))-IF(RTD("tos.rtd",,$A$2,"."&amp;C$43&amp;C$1&amp;"P"&amp;$A48)="N/A",0,RTD("tos.rtd",,$A$2,"."&amp;C$43&amp;C$1&amp;"P"&amp;$A48))</f>
        <v>0</v>
      </c>
      <c r="D48" s="91">
        <f ca="1">IF(RTD("tos.rtd",,$A$2,"."&amp;D$43&amp;D$1&amp;"C"&amp;$A48)="N/A",0,RTD("tos.rtd",,$A$2,"."&amp;D$43&amp;D$1&amp;"C"&amp;$A48))-IF(RTD("tos.rtd",,$A$2,"."&amp;D$43&amp;D$1&amp;"P"&amp;$A48)="N/A",0,RTD("tos.rtd",,$A$2,"."&amp;D$43&amp;D$1&amp;"P"&amp;$A48))</f>
        <v>0</v>
      </c>
      <c r="E48" s="91">
        <f ca="1">IF(RTD("tos.rtd",,$A$2,"."&amp;E$43&amp;E$1&amp;"C"&amp;$A48)="N/A",0,RTD("tos.rtd",,$A$2,"."&amp;E$43&amp;E$1&amp;"C"&amp;$A48))-IF(RTD("tos.rtd",,$A$2,"."&amp;E$43&amp;E$1&amp;"P"&amp;$A48)="N/A",0,RTD("tos.rtd",,$A$2,"."&amp;E$43&amp;E$1&amp;"P"&amp;$A48))</f>
        <v>0</v>
      </c>
      <c r="F48" s="91">
        <f ca="1">IF(RTD("tos.rtd",,$A$2,"."&amp;F$43&amp;F$1&amp;"C"&amp;$A48)="N/A",0,RTD("tos.rtd",,$A$2,"."&amp;F$43&amp;F$1&amp;"C"&amp;$A48))-IF(RTD("tos.rtd",,$A$2,"."&amp;F$43&amp;F$1&amp;"P"&amp;$A48)="N/A",0,RTD("tos.rtd",,$A$2,"."&amp;F$43&amp;F$1&amp;"P"&amp;$A48))</f>
        <v>0</v>
      </c>
      <c r="G48" s="91">
        <f ca="1">IF(RTD("tos.rtd",,$A$2,"."&amp;G$43&amp;G$1&amp;"C"&amp;$A48)="N/A",0,RTD("tos.rtd",,$A$2,"."&amp;G$43&amp;G$1&amp;"C"&amp;$A48))-IF(RTD("tos.rtd",,$A$2,"."&amp;G$43&amp;G$1&amp;"P"&amp;$A48)="N/A",0,RTD("tos.rtd",,$A$2,"."&amp;G$43&amp;G$1&amp;"P"&amp;$A48))</f>
        <v>0</v>
      </c>
      <c r="H48" s="91">
        <f ca="1">IF(RTD("tos.rtd",,$A$2,"."&amp;H$43&amp;H$1&amp;"C"&amp;$A48)="N/A",0,RTD("tos.rtd",,$A$2,"."&amp;H$43&amp;H$1&amp;"C"&amp;$A48))-IF(RTD("tos.rtd",,$A$2,"."&amp;H$43&amp;H$1&amp;"P"&amp;$A48)="N/A",0,RTD("tos.rtd",,$A$2,"."&amp;H$43&amp;H$1&amp;"P"&amp;$A48))</f>
        <v>3055</v>
      </c>
      <c r="I48" s="91">
        <f ca="1">IF(RTD("tos.rtd",,$A$2,"."&amp;I$43&amp;I$1&amp;"C"&amp;$A48)="N/A",0,RTD("tos.rtd",,$A$2,"."&amp;I$43&amp;I$1&amp;"C"&amp;$A48))-IF(RTD("tos.rtd",,$A$2,"."&amp;I$43&amp;I$1&amp;"P"&amp;$A48)="N/A",0,RTD("tos.rtd",,$A$2,"."&amp;I$43&amp;I$1&amp;"P"&amp;$A48))</f>
        <v>9592</v>
      </c>
      <c r="J48" s="91">
        <f ca="1">IF(RTD("tos.rtd",,$A$2,"."&amp;J$43&amp;J$1&amp;"C"&amp;$A48)="N/A",0,RTD("tos.rtd",,$A$2,"."&amp;J$43&amp;J$1&amp;"C"&amp;$A48))-IF(RTD("tos.rtd",,$A$2,"."&amp;J$43&amp;J$1&amp;"P"&amp;$A48)="N/A",0,RTD("tos.rtd",,$A$2,"."&amp;J$43&amp;J$1&amp;"P"&amp;$A48))</f>
        <v>794</v>
      </c>
      <c r="K48" s="91">
        <f ca="1">IF(RTD("tos.rtd",,$A$2,"."&amp;K$43&amp;K$1&amp;"C"&amp;$A48)="N/A",0,RTD("tos.rtd",,$A$2,"."&amp;K$43&amp;K$1&amp;"C"&amp;$A48))-IF(RTD("tos.rtd",,$A$2,"."&amp;K$43&amp;K$1&amp;"P"&amp;$A48)="N/A",0,RTD("tos.rtd",,$A$2,"."&amp;K$43&amp;K$1&amp;"P"&amp;$A48))</f>
        <v>0</v>
      </c>
      <c r="L48" s="91">
        <f ca="1">IF(RTD("tos.rtd",,$A$2,"."&amp;L$43&amp;L$1&amp;"C"&amp;$A48)="N/A",0,RTD("tos.rtd",,$A$2,"."&amp;L$43&amp;L$1&amp;"C"&amp;$A48))-IF(RTD("tos.rtd",,$A$2,"."&amp;L$43&amp;L$1&amp;"P"&amp;$A48)="N/A",0,RTD("tos.rtd",,$A$2,"."&amp;L$43&amp;L$1&amp;"P"&amp;$A48))</f>
        <v>497</v>
      </c>
      <c r="M48" s="91">
        <f ca="1">IF(RTD("tos.rtd",,$A$2,"."&amp;M$43&amp;M$1&amp;"C"&amp;$A48)="N/A",0,RTD("tos.rtd",,$A$2,"."&amp;M$43&amp;M$1&amp;"C"&amp;$A48))-IF(RTD("tos.rtd",,$A$2,"."&amp;M$43&amp;M$1&amp;"P"&amp;$A48)="N/A",0,RTD("tos.rtd",,$A$2,"."&amp;M$43&amp;M$1&amp;"P"&amp;$A48))</f>
        <v>2393</v>
      </c>
      <c r="N48" s="91">
        <f ca="1">IF(RTD("tos.rtd",,$A$2,"."&amp;N$43&amp;N$1&amp;"C"&amp;$A48)="N/A",0,RTD("tos.rtd",,$A$2,"."&amp;N$43&amp;N$1&amp;"C"&amp;$A48))-IF(RTD("tos.rtd",,$A$2,"."&amp;N$43&amp;N$1&amp;"P"&amp;$A48)="N/A",0,RTD("tos.rtd",,$A$2,"."&amp;N$43&amp;N$1&amp;"P"&amp;$A48))</f>
        <v>215</v>
      </c>
      <c r="O48" s="91">
        <f ca="1">IF(RTD("tos.rtd",,$A$2,"."&amp;O$43&amp;O$1&amp;"C"&amp;$A48)="N/A",0,RTD("tos.rtd",,$A$2,"."&amp;O$43&amp;O$1&amp;"C"&amp;$A48))-IF(RTD("tos.rtd",,$A$2,"."&amp;O$43&amp;O$1&amp;"P"&amp;$A48)="N/A",0,RTD("tos.rtd",,$A$2,"."&amp;O$43&amp;O$1&amp;"P"&amp;$A48))</f>
        <v>759</v>
      </c>
      <c r="P48" s="91">
        <f ca="1">IF(RTD("tos.rtd",,$A$2,"."&amp;P$43&amp;P$1&amp;"C"&amp;$A48)="N/A",0,RTD("tos.rtd",,$A$2,"."&amp;P$43&amp;P$1&amp;"C"&amp;$A48))-IF(RTD("tos.rtd",,$A$2,"."&amp;P$43&amp;P$1&amp;"P"&amp;$A48)="N/A",0,RTD("tos.rtd",,$A$2,"."&amp;P$43&amp;P$1&amp;"P"&amp;$A48))</f>
        <v>15</v>
      </c>
      <c r="Q48" s="91">
        <f ca="1">IF(RTD("tos.rtd",,$A$2,"."&amp;Q$43&amp;Q$1&amp;"C"&amp;$A48)="N/A",0,RTD("tos.rtd",,$A$2,"."&amp;Q$43&amp;Q$1&amp;"C"&amp;$A48))-IF(RTD("tos.rtd",,$A$2,"."&amp;Q$43&amp;Q$1&amp;"P"&amp;$A48)="N/A",0,RTD("tos.rtd",,$A$2,"."&amp;Q$43&amp;Q$1&amp;"P"&amp;$A48))</f>
        <v>243</v>
      </c>
      <c r="R48" s="91">
        <f ca="1">IF(RTD("tos.rtd",,$A$2,"."&amp;R$43&amp;R$1&amp;"C"&amp;$A48)="N/A",0,RTD("tos.rtd",,$A$2,"."&amp;R$43&amp;R$1&amp;"C"&amp;$A48))-IF(RTD("tos.rtd",,$A$2,"."&amp;R$43&amp;R$1&amp;"P"&amp;$A48)="N/A",0,RTD("tos.rtd",,$A$2,"."&amp;R$43&amp;R$1&amp;"P"&amp;$A48))</f>
        <v>10</v>
      </c>
      <c r="S48" s="91">
        <f ca="1">IF(RTD("tos.rtd",,$A$2,"."&amp;S$43&amp;S$1&amp;"C"&amp;$A48)="N/A",0,RTD("tos.rtd",,$A$2,"."&amp;S$43&amp;S$1&amp;"C"&amp;$A48))-IF(RTD("tos.rtd",,$A$2,"."&amp;S$43&amp;S$1&amp;"P"&amp;$A48)="N/A",0,RTD("tos.rtd",,$A$2,"."&amp;S$43&amp;S$1&amp;"P"&amp;$A48))</f>
        <v>0</v>
      </c>
      <c r="T48" s="91">
        <f ca="1">IF(RTD("tos.rtd",,$A$2,"."&amp;T$43&amp;T$1&amp;"C"&amp;$A48)="N/A",0,RTD("tos.rtd",,$A$2,"."&amp;T$43&amp;T$1&amp;"C"&amp;$A48))-IF(RTD("tos.rtd",,$A$2,"."&amp;T$43&amp;T$1&amp;"P"&amp;$A48)="N/A",0,RTD("tos.rtd",,$A$2,"."&amp;T$43&amp;T$1&amp;"P"&amp;$A48))</f>
        <v>0</v>
      </c>
      <c r="U48" s="91">
        <f ca="1">IF(RTD("tos.rtd",,$A$2,"."&amp;U$43&amp;U$1&amp;"C"&amp;$A48)="N/A",0,RTD("tos.rtd",,$A$2,"."&amp;U$43&amp;U$1&amp;"C"&amp;$A48))-IF(RTD("tos.rtd",,$A$2,"."&amp;U$43&amp;U$1&amp;"P"&amp;$A48)="N/A",0,RTD("tos.rtd",,$A$2,"."&amp;U$43&amp;U$1&amp;"P"&amp;$A48))</f>
        <v>173</v>
      </c>
      <c r="V48" s="91">
        <f ca="1">IF(RTD("tos.rtd",,$A$2,"."&amp;V$43&amp;V$1&amp;"C"&amp;$A48)="N/A",0,RTD("tos.rtd",,$A$2,"."&amp;V$43&amp;V$1&amp;"C"&amp;$A48))-IF(RTD("tos.rtd",,$A$2,"."&amp;V$43&amp;V$1&amp;"P"&amp;$A48)="N/A",0,RTD("tos.rtd",,$A$2,"."&amp;V$43&amp;V$1&amp;"P"&amp;$A48))</f>
        <v>0</v>
      </c>
      <c r="W48" s="91">
        <f ca="1">IF(RTD("tos.rtd",,$A$2,"."&amp;W$43&amp;W$1&amp;"C"&amp;$A48)="N/A",0,RTD("tos.rtd",,$A$2,"."&amp;W$43&amp;W$1&amp;"C"&amp;$A48))-IF(RTD("tos.rtd",,$A$2,"."&amp;W$43&amp;W$1&amp;"P"&amp;$A48)="N/A",0,RTD("tos.rtd",,$A$2,"."&amp;W$43&amp;W$1&amp;"P"&amp;$A48))</f>
        <v>1026</v>
      </c>
      <c r="X48" s="91">
        <f ca="1">IF(RTD("tos.rtd",,$A$2,"."&amp;X$43&amp;X$1&amp;"C"&amp;$A48)="N/A",0,RTD("tos.rtd",,$A$2,"."&amp;X$43&amp;X$1&amp;"C"&amp;$A48))-IF(RTD("tos.rtd",,$A$2,"."&amp;X$43&amp;X$1&amp;"P"&amp;$A48)="N/A",0,RTD("tos.rtd",,$A$2,"."&amp;X$43&amp;X$1&amp;"P"&amp;$A48))</f>
        <v>23</v>
      </c>
      <c r="Y48" s="98">
        <f t="shared" ca="1" si="7"/>
        <v>18795</v>
      </c>
    </row>
    <row r="49" spans="1:25" x14ac:dyDescent="0.25">
      <c r="A49" s="93">
        <f>+Hoja1!A48</f>
        <v>519</v>
      </c>
      <c r="B49" s="91">
        <f ca="1">IF(RTD("tos.rtd",,$A$2,"."&amp;B$43&amp;B$1&amp;"C"&amp;$A49)="N/A",0,RTD("tos.rtd",,$A$2,"."&amp;B$43&amp;B$1&amp;"C"&amp;$A49))-IF(RTD("tos.rtd",,$A$2,"."&amp;B$43&amp;B$1&amp;"P"&amp;$A49)="N/A",0,RTD("tos.rtd",,$A$2,"."&amp;B$43&amp;B$1&amp;"P"&amp;$A49))</f>
        <v>0</v>
      </c>
      <c r="C49" s="91">
        <f ca="1">IF(RTD("tos.rtd",,$A$2,"."&amp;C$43&amp;C$1&amp;"C"&amp;$A49)="N/A",0,RTD("tos.rtd",,$A$2,"."&amp;C$43&amp;C$1&amp;"C"&amp;$A49))-IF(RTD("tos.rtd",,$A$2,"."&amp;C$43&amp;C$1&amp;"P"&amp;$A49)="N/A",0,RTD("tos.rtd",,$A$2,"."&amp;C$43&amp;C$1&amp;"P"&amp;$A49))</f>
        <v>0</v>
      </c>
      <c r="D49" s="91">
        <f ca="1">IF(RTD("tos.rtd",,$A$2,"."&amp;D$43&amp;D$1&amp;"C"&amp;$A49)="N/A",0,RTD("tos.rtd",,$A$2,"."&amp;D$43&amp;D$1&amp;"C"&amp;$A49))-IF(RTD("tos.rtd",,$A$2,"."&amp;D$43&amp;D$1&amp;"P"&amp;$A49)="N/A",0,RTD("tos.rtd",,$A$2,"."&amp;D$43&amp;D$1&amp;"P"&amp;$A49))</f>
        <v>0</v>
      </c>
      <c r="E49" s="91">
        <f ca="1">IF(RTD("tos.rtd",,$A$2,"."&amp;E$43&amp;E$1&amp;"C"&amp;$A49)="N/A",0,RTD("tos.rtd",,$A$2,"."&amp;E$43&amp;E$1&amp;"C"&amp;$A49))-IF(RTD("tos.rtd",,$A$2,"."&amp;E$43&amp;E$1&amp;"P"&amp;$A49)="N/A",0,RTD("tos.rtd",,$A$2,"."&amp;E$43&amp;E$1&amp;"P"&amp;$A49))</f>
        <v>0</v>
      </c>
      <c r="F49" s="91">
        <f ca="1">IF(RTD("tos.rtd",,$A$2,"."&amp;F$43&amp;F$1&amp;"C"&amp;$A49)="N/A",0,RTD("tos.rtd",,$A$2,"."&amp;F$43&amp;F$1&amp;"C"&amp;$A49))-IF(RTD("tos.rtd",,$A$2,"."&amp;F$43&amp;F$1&amp;"P"&amp;$A49)="N/A",0,RTD("tos.rtd",,$A$2,"."&amp;F$43&amp;F$1&amp;"P"&amp;$A49))</f>
        <v>0</v>
      </c>
      <c r="G49" s="91">
        <f ca="1">IF(RTD("tos.rtd",,$A$2,"."&amp;G$43&amp;G$1&amp;"C"&amp;$A49)="N/A",0,RTD("tos.rtd",,$A$2,"."&amp;G$43&amp;G$1&amp;"C"&amp;$A49))-IF(RTD("tos.rtd",,$A$2,"."&amp;G$43&amp;G$1&amp;"P"&amp;$A49)="N/A",0,RTD("tos.rtd",,$A$2,"."&amp;G$43&amp;G$1&amp;"P"&amp;$A49))</f>
        <v>0</v>
      </c>
      <c r="H49" s="91">
        <f ca="1">IF(RTD("tos.rtd",,$A$2,"."&amp;H$43&amp;H$1&amp;"C"&amp;$A49)="N/A",0,RTD("tos.rtd",,$A$2,"."&amp;H$43&amp;H$1&amp;"C"&amp;$A49))-IF(RTD("tos.rtd",,$A$2,"."&amp;H$43&amp;H$1&amp;"P"&amp;$A49)="N/A",0,RTD("tos.rtd",,$A$2,"."&amp;H$43&amp;H$1&amp;"P"&amp;$A49))</f>
        <v>802</v>
      </c>
      <c r="I49" s="91">
        <f ca="1">IF(RTD("tos.rtd",,$A$2,"."&amp;I$43&amp;I$1&amp;"C"&amp;$A49)="N/A",0,RTD("tos.rtd",,$A$2,"."&amp;I$43&amp;I$1&amp;"C"&amp;$A49))-IF(RTD("tos.rtd",,$A$2,"."&amp;I$43&amp;I$1&amp;"P"&amp;$A49)="N/A",0,RTD("tos.rtd",,$A$2,"."&amp;I$43&amp;I$1&amp;"P"&amp;$A49))</f>
        <v>122</v>
      </c>
      <c r="J49" s="91">
        <f ca="1">IF(RTD("tos.rtd",,$A$2,"."&amp;J$43&amp;J$1&amp;"C"&amp;$A49)="N/A",0,RTD("tos.rtd",,$A$2,"."&amp;J$43&amp;J$1&amp;"C"&amp;$A49))-IF(RTD("tos.rtd",,$A$2,"."&amp;J$43&amp;J$1&amp;"P"&amp;$A49)="N/A",0,RTD("tos.rtd",,$A$2,"."&amp;J$43&amp;J$1&amp;"P"&amp;$A49))</f>
        <v>0</v>
      </c>
      <c r="K49" s="91">
        <f ca="1">IF(RTD("tos.rtd",,$A$2,"."&amp;K$43&amp;K$1&amp;"C"&amp;$A49)="N/A",0,RTD("tos.rtd",,$A$2,"."&amp;K$43&amp;K$1&amp;"C"&amp;$A49))-IF(RTD("tos.rtd",,$A$2,"."&amp;K$43&amp;K$1&amp;"P"&amp;$A49)="N/A",0,RTD("tos.rtd",,$A$2,"."&amp;K$43&amp;K$1&amp;"P"&amp;$A49))</f>
        <v>0</v>
      </c>
      <c r="L49" s="91">
        <f ca="1">IF(RTD("tos.rtd",,$A$2,"."&amp;L$43&amp;L$1&amp;"C"&amp;$A49)="N/A",0,RTD("tos.rtd",,$A$2,"."&amp;L$43&amp;L$1&amp;"C"&amp;$A49))-IF(RTD("tos.rtd",,$A$2,"."&amp;L$43&amp;L$1&amp;"P"&amp;$A49)="N/A",0,RTD("tos.rtd",,$A$2,"."&amp;L$43&amp;L$1&amp;"P"&amp;$A49))</f>
        <v>56</v>
      </c>
      <c r="M49" s="91">
        <f ca="1">IF(RTD("tos.rtd",,$A$2,"."&amp;M$43&amp;M$1&amp;"C"&amp;$A49)="N/A",0,RTD("tos.rtd",,$A$2,"."&amp;M$43&amp;M$1&amp;"C"&amp;$A49))-IF(RTD("tos.rtd",,$A$2,"."&amp;M$43&amp;M$1&amp;"P"&amp;$A49)="N/A",0,RTD("tos.rtd",,$A$2,"."&amp;M$43&amp;M$1&amp;"P"&amp;$A49))</f>
        <v>0</v>
      </c>
      <c r="N49" s="91">
        <f ca="1">IF(RTD("tos.rtd",,$A$2,"."&amp;N$43&amp;N$1&amp;"C"&amp;$A49)="N/A",0,RTD("tos.rtd",,$A$2,"."&amp;N$43&amp;N$1&amp;"C"&amp;$A49))-IF(RTD("tos.rtd",,$A$2,"."&amp;N$43&amp;N$1&amp;"P"&amp;$A49)="N/A",0,RTD("tos.rtd",,$A$2,"."&amp;N$43&amp;N$1&amp;"P"&amp;$A49))</f>
        <v>0</v>
      </c>
      <c r="O49" s="91">
        <f ca="1">IF(RTD("tos.rtd",,$A$2,"."&amp;O$43&amp;O$1&amp;"C"&amp;$A49)="N/A",0,RTD("tos.rtd",,$A$2,"."&amp;O$43&amp;O$1&amp;"C"&amp;$A49))-IF(RTD("tos.rtd",,$A$2,"."&amp;O$43&amp;O$1&amp;"P"&amp;$A49)="N/A",0,RTD("tos.rtd",,$A$2,"."&amp;O$43&amp;O$1&amp;"P"&amp;$A49))</f>
        <v>0</v>
      </c>
      <c r="P49" s="91">
        <f ca="1">IF(RTD("tos.rtd",,$A$2,"."&amp;P$43&amp;P$1&amp;"C"&amp;$A49)="N/A",0,RTD("tos.rtd",,$A$2,"."&amp;P$43&amp;P$1&amp;"C"&amp;$A49))-IF(RTD("tos.rtd",,$A$2,"."&amp;P$43&amp;P$1&amp;"P"&amp;$A49)="N/A",0,RTD("tos.rtd",,$A$2,"."&amp;P$43&amp;P$1&amp;"P"&amp;$A49))</f>
        <v>0</v>
      </c>
      <c r="Q49" s="91">
        <f ca="1">IF(RTD("tos.rtd",,$A$2,"."&amp;Q$43&amp;Q$1&amp;"C"&amp;$A49)="N/A",0,RTD("tos.rtd",,$A$2,"."&amp;Q$43&amp;Q$1&amp;"C"&amp;$A49))-IF(RTD("tos.rtd",,$A$2,"."&amp;Q$43&amp;Q$1&amp;"P"&amp;$A49)="N/A",0,RTD("tos.rtd",,$A$2,"."&amp;Q$43&amp;Q$1&amp;"P"&amp;$A49))</f>
        <v>0</v>
      </c>
      <c r="R49" s="91">
        <f ca="1">IF(RTD("tos.rtd",,$A$2,"."&amp;R$43&amp;R$1&amp;"C"&amp;$A49)="N/A",0,RTD("tos.rtd",,$A$2,"."&amp;R$43&amp;R$1&amp;"C"&amp;$A49))-IF(RTD("tos.rtd",,$A$2,"."&amp;R$43&amp;R$1&amp;"P"&amp;$A49)="N/A",0,RTD("tos.rtd",,$A$2,"."&amp;R$43&amp;R$1&amp;"P"&amp;$A49))</f>
        <v>0</v>
      </c>
      <c r="S49" s="91">
        <f ca="1">IF(RTD("tos.rtd",,$A$2,"."&amp;S$43&amp;S$1&amp;"C"&amp;$A49)="N/A",0,RTD("tos.rtd",,$A$2,"."&amp;S$43&amp;S$1&amp;"C"&amp;$A49))-IF(RTD("tos.rtd",,$A$2,"."&amp;S$43&amp;S$1&amp;"P"&amp;$A49)="N/A",0,RTD("tos.rtd",,$A$2,"."&amp;S$43&amp;S$1&amp;"P"&amp;$A49))</f>
        <v>0</v>
      </c>
      <c r="T49" s="91">
        <f ca="1">IF(RTD("tos.rtd",,$A$2,"."&amp;T$43&amp;T$1&amp;"C"&amp;$A49)="N/A",0,RTD("tos.rtd",,$A$2,"."&amp;T$43&amp;T$1&amp;"C"&amp;$A49))-IF(RTD("tos.rtd",,$A$2,"."&amp;T$43&amp;T$1&amp;"P"&amp;$A49)="N/A",0,RTD("tos.rtd",,$A$2,"."&amp;T$43&amp;T$1&amp;"P"&amp;$A49))</f>
        <v>0</v>
      </c>
      <c r="U49" s="91">
        <f ca="1">IF(RTD("tos.rtd",,$A$2,"."&amp;U$43&amp;U$1&amp;"C"&amp;$A49)="N/A",0,RTD("tos.rtd",,$A$2,"."&amp;U$43&amp;U$1&amp;"C"&amp;$A49))-IF(RTD("tos.rtd",,$A$2,"."&amp;U$43&amp;U$1&amp;"P"&amp;$A49)="N/A",0,RTD("tos.rtd",,$A$2,"."&amp;U$43&amp;U$1&amp;"P"&amp;$A49))</f>
        <v>0</v>
      </c>
      <c r="V49" s="91">
        <f ca="1">IF(RTD("tos.rtd",,$A$2,"."&amp;V$43&amp;V$1&amp;"C"&amp;$A49)="N/A",0,RTD("tos.rtd",,$A$2,"."&amp;V$43&amp;V$1&amp;"C"&amp;$A49))-IF(RTD("tos.rtd",,$A$2,"."&amp;V$43&amp;V$1&amp;"P"&amp;$A49)="N/A",0,RTD("tos.rtd",,$A$2,"."&amp;V$43&amp;V$1&amp;"P"&amp;$A49))</f>
        <v>0</v>
      </c>
      <c r="W49" s="91">
        <f ca="1">IF(RTD("tos.rtd",,$A$2,"."&amp;W$43&amp;W$1&amp;"C"&amp;$A49)="N/A",0,RTD("tos.rtd",,$A$2,"."&amp;W$43&amp;W$1&amp;"C"&amp;$A49))-IF(RTD("tos.rtd",,$A$2,"."&amp;W$43&amp;W$1&amp;"P"&amp;$A49)="N/A",0,RTD("tos.rtd",,$A$2,"."&amp;W$43&amp;W$1&amp;"P"&amp;$A49))</f>
        <v>0</v>
      </c>
      <c r="X49" s="91">
        <f ca="1">IF(RTD("tos.rtd",,$A$2,"."&amp;X$43&amp;X$1&amp;"C"&amp;$A49)="N/A",0,RTD("tos.rtd",,$A$2,"."&amp;X$43&amp;X$1&amp;"C"&amp;$A49))-IF(RTD("tos.rtd",,$A$2,"."&amp;X$43&amp;X$1&amp;"P"&amp;$A49)="N/A",0,RTD("tos.rtd",,$A$2,"."&amp;X$43&amp;X$1&amp;"P"&amp;$A49))</f>
        <v>0</v>
      </c>
      <c r="Y49" s="98">
        <f t="shared" ca="1" si="7"/>
        <v>980</v>
      </c>
    </row>
    <row r="50" spans="1:25" x14ac:dyDescent="0.25">
      <c r="A50" s="93">
        <f>+Hoja1!A49</f>
        <v>518</v>
      </c>
      <c r="B50" s="91">
        <f ca="1">IF(RTD("tos.rtd",,$A$2,"."&amp;B$43&amp;B$1&amp;"C"&amp;$A50)="N/A",0,RTD("tos.rtd",,$A$2,"."&amp;B$43&amp;B$1&amp;"C"&amp;$A50))-IF(RTD("tos.rtd",,$A$2,"."&amp;B$43&amp;B$1&amp;"P"&amp;$A50)="N/A",0,RTD("tos.rtd",,$A$2,"."&amp;B$43&amp;B$1&amp;"P"&amp;$A50))</f>
        <v>0</v>
      </c>
      <c r="C50" s="91">
        <f ca="1">IF(RTD("tos.rtd",,$A$2,"."&amp;C$43&amp;C$1&amp;"C"&amp;$A50)="N/A",0,RTD("tos.rtd",,$A$2,"."&amp;C$43&amp;C$1&amp;"C"&amp;$A50))-IF(RTD("tos.rtd",,$A$2,"."&amp;C$43&amp;C$1&amp;"P"&amp;$A50)="N/A",0,RTD("tos.rtd",,$A$2,"."&amp;C$43&amp;C$1&amp;"P"&amp;$A50))</f>
        <v>0</v>
      </c>
      <c r="D50" s="91">
        <f ca="1">IF(RTD("tos.rtd",,$A$2,"."&amp;D$43&amp;D$1&amp;"C"&amp;$A50)="N/A",0,RTD("tos.rtd",,$A$2,"."&amp;D$43&amp;D$1&amp;"C"&amp;$A50))-IF(RTD("tos.rtd",,$A$2,"."&amp;D$43&amp;D$1&amp;"P"&amp;$A50)="N/A",0,RTD("tos.rtd",,$A$2,"."&amp;D$43&amp;D$1&amp;"P"&amp;$A50))</f>
        <v>0</v>
      </c>
      <c r="E50" s="91">
        <f ca="1">IF(RTD("tos.rtd",,$A$2,"."&amp;E$43&amp;E$1&amp;"C"&amp;$A50)="N/A",0,RTD("tos.rtd",,$A$2,"."&amp;E$43&amp;E$1&amp;"C"&amp;$A50))-IF(RTD("tos.rtd",,$A$2,"."&amp;E$43&amp;E$1&amp;"P"&amp;$A50)="N/A",0,RTD("tos.rtd",,$A$2,"."&amp;E$43&amp;E$1&amp;"P"&amp;$A50))</f>
        <v>0</v>
      </c>
      <c r="F50" s="91">
        <f ca="1">IF(RTD("tos.rtd",,$A$2,"."&amp;F$43&amp;F$1&amp;"C"&amp;$A50)="N/A",0,RTD("tos.rtd",,$A$2,"."&amp;F$43&amp;F$1&amp;"C"&amp;$A50))-IF(RTD("tos.rtd",,$A$2,"."&amp;F$43&amp;F$1&amp;"P"&amp;$A50)="N/A",0,RTD("tos.rtd",,$A$2,"."&amp;F$43&amp;F$1&amp;"P"&amp;$A50))</f>
        <v>0</v>
      </c>
      <c r="G50" s="91">
        <f ca="1">IF(RTD("tos.rtd",,$A$2,"."&amp;G$43&amp;G$1&amp;"C"&amp;$A50)="N/A",0,RTD("tos.rtd",,$A$2,"."&amp;G$43&amp;G$1&amp;"C"&amp;$A50))-IF(RTD("tos.rtd",,$A$2,"."&amp;G$43&amp;G$1&amp;"P"&amp;$A50)="N/A",0,RTD("tos.rtd",,$A$2,"."&amp;G$43&amp;G$1&amp;"P"&amp;$A50))</f>
        <v>0</v>
      </c>
      <c r="H50" s="91">
        <f ca="1">IF(RTD("tos.rtd",,$A$2,"."&amp;H$43&amp;H$1&amp;"C"&amp;$A50)="N/A",0,RTD("tos.rtd",,$A$2,"."&amp;H$43&amp;H$1&amp;"C"&amp;$A50))-IF(RTD("tos.rtd",,$A$2,"."&amp;H$43&amp;H$1&amp;"P"&amp;$A50)="N/A",0,RTD("tos.rtd",,$A$2,"."&amp;H$43&amp;H$1&amp;"P"&amp;$A50))</f>
        <v>186</v>
      </c>
      <c r="I50" s="91">
        <f ca="1">IF(RTD("tos.rtd",,$A$2,"."&amp;I$43&amp;I$1&amp;"C"&amp;$A50)="N/A",0,RTD("tos.rtd",,$A$2,"."&amp;I$43&amp;I$1&amp;"C"&amp;$A50))-IF(RTD("tos.rtd",,$A$2,"."&amp;I$43&amp;I$1&amp;"P"&amp;$A50)="N/A",0,RTD("tos.rtd",,$A$2,"."&amp;I$43&amp;I$1&amp;"P"&amp;$A50))</f>
        <v>26</v>
      </c>
      <c r="J50" s="91">
        <f ca="1">IF(RTD("tos.rtd",,$A$2,"."&amp;J$43&amp;J$1&amp;"C"&amp;$A50)="N/A",0,RTD("tos.rtd",,$A$2,"."&amp;J$43&amp;J$1&amp;"C"&amp;$A50))-IF(RTD("tos.rtd",,$A$2,"."&amp;J$43&amp;J$1&amp;"P"&amp;$A50)="N/A",0,RTD("tos.rtd",,$A$2,"."&amp;J$43&amp;J$1&amp;"P"&amp;$A50))</f>
        <v>0</v>
      </c>
      <c r="K50" s="91">
        <f ca="1">IF(RTD("tos.rtd",,$A$2,"."&amp;K$43&amp;K$1&amp;"C"&amp;$A50)="N/A",0,RTD("tos.rtd",,$A$2,"."&amp;K$43&amp;K$1&amp;"C"&amp;$A50))-IF(RTD("tos.rtd",,$A$2,"."&amp;K$43&amp;K$1&amp;"P"&amp;$A50)="N/A",0,RTD("tos.rtd",,$A$2,"."&amp;K$43&amp;K$1&amp;"P"&amp;$A50))</f>
        <v>0</v>
      </c>
      <c r="L50" s="91">
        <f ca="1">IF(RTD("tos.rtd",,$A$2,"."&amp;L$43&amp;L$1&amp;"C"&amp;$A50)="N/A",0,RTD("tos.rtd",,$A$2,"."&amp;L$43&amp;L$1&amp;"C"&amp;$A50))-IF(RTD("tos.rtd",,$A$2,"."&amp;L$43&amp;L$1&amp;"P"&amp;$A50)="N/A",0,RTD("tos.rtd",,$A$2,"."&amp;L$43&amp;L$1&amp;"P"&amp;$A50))</f>
        <v>33</v>
      </c>
      <c r="M50" s="91">
        <f ca="1">IF(RTD("tos.rtd",,$A$2,"."&amp;M$43&amp;M$1&amp;"C"&amp;$A50)="N/A",0,RTD("tos.rtd",,$A$2,"."&amp;M$43&amp;M$1&amp;"C"&amp;$A50))-IF(RTD("tos.rtd",,$A$2,"."&amp;M$43&amp;M$1&amp;"P"&amp;$A50)="N/A",0,RTD("tos.rtd",,$A$2,"."&amp;M$43&amp;M$1&amp;"P"&amp;$A50))</f>
        <v>0</v>
      </c>
      <c r="N50" s="91">
        <f ca="1">IF(RTD("tos.rtd",,$A$2,"."&amp;N$43&amp;N$1&amp;"C"&amp;$A50)="N/A",0,RTD("tos.rtd",,$A$2,"."&amp;N$43&amp;N$1&amp;"C"&amp;$A50))-IF(RTD("tos.rtd",,$A$2,"."&amp;N$43&amp;N$1&amp;"P"&amp;$A50)="N/A",0,RTD("tos.rtd",,$A$2,"."&amp;N$43&amp;N$1&amp;"P"&amp;$A50))</f>
        <v>0</v>
      </c>
      <c r="O50" s="91">
        <f ca="1">IF(RTD("tos.rtd",,$A$2,"."&amp;O$43&amp;O$1&amp;"C"&amp;$A50)="N/A",0,RTD("tos.rtd",,$A$2,"."&amp;O$43&amp;O$1&amp;"C"&amp;$A50))-IF(RTD("tos.rtd",,$A$2,"."&amp;O$43&amp;O$1&amp;"P"&amp;$A50)="N/A",0,RTD("tos.rtd",,$A$2,"."&amp;O$43&amp;O$1&amp;"P"&amp;$A50))</f>
        <v>0</v>
      </c>
      <c r="P50" s="91">
        <f ca="1">IF(RTD("tos.rtd",,$A$2,"."&amp;P$43&amp;P$1&amp;"C"&amp;$A50)="N/A",0,RTD("tos.rtd",,$A$2,"."&amp;P$43&amp;P$1&amp;"C"&amp;$A50))-IF(RTD("tos.rtd",,$A$2,"."&amp;P$43&amp;P$1&amp;"P"&amp;$A50)="N/A",0,RTD("tos.rtd",,$A$2,"."&amp;P$43&amp;P$1&amp;"P"&amp;$A50))</f>
        <v>0</v>
      </c>
      <c r="Q50" s="91">
        <f ca="1">IF(RTD("tos.rtd",,$A$2,"."&amp;Q$43&amp;Q$1&amp;"C"&amp;$A50)="N/A",0,RTD("tos.rtd",,$A$2,"."&amp;Q$43&amp;Q$1&amp;"C"&amp;$A50))-IF(RTD("tos.rtd",,$A$2,"."&amp;Q$43&amp;Q$1&amp;"P"&amp;$A50)="N/A",0,RTD("tos.rtd",,$A$2,"."&amp;Q$43&amp;Q$1&amp;"P"&amp;$A50))</f>
        <v>0</v>
      </c>
      <c r="R50" s="91">
        <f ca="1">IF(RTD("tos.rtd",,$A$2,"."&amp;R$43&amp;R$1&amp;"C"&amp;$A50)="N/A",0,RTD("tos.rtd",,$A$2,"."&amp;R$43&amp;R$1&amp;"C"&amp;$A50))-IF(RTD("tos.rtd",,$A$2,"."&amp;R$43&amp;R$1&amp;"P"&amp;$A50)="N/A",0,RTD("tos.rtd",,$A$2,"."&amp;R$43&amp;R$1&amp;"P"&amp;$A50))</f>
        <v>0</v>
      </c>
      <c r="S50" s="91">
        <f ca="1">IF(RTD("tos.rtd",,$A$2,"."&amp;S$43&amp;S$1&amp;"C"&amp;$A50)="N/A",0,RTD("tos.rtd",,$A$2,"."&amp;S$43&amp;S$1&amp;"C"&amp;$A50))-IF(RTD("tos.rtd",,$A$2,"."&amp;S$43&amp;S$1&amp;"P"&amp;$A50)="N/A",0,RTD("tos.rtd",,$A$2,"."&amp;S$43&amp;S$1&amp;"P"&amp;$A50))</f>
        <v>0</v>
      </c>
      <c r="T50" s="91">
        <f ca="1">IF(RTD("tos.rtd",,$A$2,"."&amp;T$43&amp;T$1&amp;"C"&amp;$A50)="N/A",0,RTD("tos.rtd",,$A$2,"."&amp;T$43&amp;T$1&amp;"C"&amp;$A50))-IF(RTD("tos.rtd",,$A$2,"."&amp;T$43&amp;T$1&amp;"P"&amp;$A50)="N/A",0,RTD("tos.rtd",,$A$2,"."&amp;T$43&amp;T$1&amp;"P"&amp;$A50))</f>
        <v>0</v>
      </c>
      <c r="U50" s="91">
        <f ca="1">IF(RTD("tos.rtd",,$A$2,"."&amp;U$43&amp;U$1&amp;"C"&amp;$A50)="N/A",0,RTD("tos.rtd",,$A$2,"."&amp;U$43&amp;U$1&amp;"C"&amp;$A50))-IF(RTD("tos.rtd",,$A$2,"."&amp;U$43&amp;U$1&amp;"P"&amp;$A50)="N/A",0,RTD("tos.rtd",,$A$2,"."&amp;U$43&amp;U$1&amp;"P"&amp;$A50))</f>
        <v>0</v>
      </c>
      <c r="V50" s="91">
        <f ca="1">IF(RTD("tos.rtd",,$A$2,"."&amp;V$43&amp;V$1&amp;"C"&amp;$A50)="N/A",0,RTD("tos.rtd",,$A$2,"."&amp;V$43&amp;V$1&amp;"C"&amp;$A50))-IF(RTD("tos.rtd",,$A$2,"."&amp;V$43&amp;V$1&amp;"P"&amp;$A50)="N/A",0,RTD("tos.rtd",,$A$2,"."&amp;V$43&amp;V$1&amp;"P"&amp;$A50))</f>
        <v>0</v>
      </c>
      <c r="W50" s="91">
        <f ca="1">IF(RTD("tos.rtd",,$A$2,"."&amp;W$43&amp;W$1&amp;"C"&amp;$A50)="N/A",0,RTD("tos.rtd",,$A$2,"."&amp;W$43&amp;W$1&amp;"C"&amp;$A50))-IF(RTD("tos.rtd",,$A$2,"."&amp;W$43&amp;W$1&amp;"P"&amp;$A50)="N/A",0,RTD("tos.rtd",,$A$2,"."&amp;W$43&amp;W$1&amp;"P"&amp;$A50))</f>
        <v>0</v>
      </c>
      <c r="X50" s="91">
        <f ca="1">IF(RTD("tos.rtd",,$A$2,"."&amp;X$43&amp;X$1&amp;"C"&amp;$A50)="N/A",0,RTD("tos.rtd",,$A$2,"."&amp;X$43&amp;X$1&amp;"C"&amp;$A50))-IF(RTD("tos.rtd",,$A$2,"."&amp;X$43&amp;X$1&amp;"P"&amp;$A50)="N/A",0,RTD("tos.rtd",,$A$2,"."&amp;X$43&amp;X$1&amp;"P"&amp;$A50))</f>
        <v>2</v>
      </c>
      <c r="Y50" s="98">
        <f t="shared" ca="1" si="7"/>
        <v>247</v>
      </c>
    </row>
    <row r="51" spans="1:25" x14ac:dyDescent="0.25">
      <c r="A51" s="93">
        <f>+Hoja1!A50</f>
        <v>517</v>
      </c>
      <c r="B51" s="91">
        <f ca="1">IF(RTD("tos.rtd",,$A$2,"."&amp;B$43&amp;B$1&amp;"C"&amp;$A51)="N/A",0,RTD("tos.rtd",,$A$2,"."&amp;B$43&amp;B$1&amp;"C"&amp;$A51))-IF(RTD("tos.rtd",,$A$2,"."&amp;B$43&amp;B$1&amp;"P"&amp;$A51)="N/A",0,RTD("tos.rtd",,$A$2,"."&amp;B$43&amp;B$1&amp;"P"&amp;$A51))</f>
        <v>0</v>
      </c>
      <c r="C51" s="91">
        <f ca="1">IF(RTD("tos.rtd",,$A$2,"."&amp;C$43&amp;C$1&amp;"C"&amp;$A51)="N/A",0,RTD("tos.rtd",,$A$2,"."&amp;C$43&amp;C$1&amp;"C"&amp;$A51))-IF(RTD("tos.rtd",,$A$2,"."&amp;C$43&amp;C$1&amp;"P"&amp;$A51)="N/A",0,RTD("tos.rtd",,$A$2,"."&amp;C$43&amp;C$1&amp;"P"&amp;$A51))</f>
        <v>0</v>
      </c>
      <c r="D51" s="91">
        <f ca="1">IF(RTD("tos.rtd",,$A$2,"."&amp;D$43&amp;D$1&amp;"C"&amp;$A51)="N/A",0,RTD("tos.rtd",,$A$2,"."&amp;D$43&amp;D$1&amp;"C"&amp;$A51))-IF(RTD("tos.rtd",,$A$2,"."&amp;D$43&amp;D$1&amp;"P"&amp;$A51)="N/A",0,RTD("tos.rtd",,$A$2,"."&amp;D$43&amp;D$1&amp;"P"&amp;$A51))</f>
        <v>0</v>
      </c>
      <c r="E51" s="91">
        <f ca="1">IF(RTD("tos.rtd",,$A$2,"."&amp;E$43&amp;E$1&amp;"C"&amp;$A51)="N/A",0,RTD("tos.rtd",,$A$2,"."&amp;E$43&amp;E$1&amp;"C"&amp;$A51))-IF(RTD("tos.rtd",,$A$2,"."&amp;E$43&amp;E$1&amp;"P"&amp;$A51)="N/A",0,RTD("tos.rtd",,$A$2,"."&amp;E$43&amp;E$1&amp;"P"&amp;$A51))</f>
        <v>0</v>
      </c>
      <c r="F51" s="91">
        <f ca="1">IF(RTD("tos.rtd",,$A$2,"."&amp;F$43&amp;F$1&amp;"C"&amp;$A51)="N/A",0,RTD("tos.rtd",,$A$2,"."&amp;F$43&amp;F$1&amp;"C"&amp;$A51))-IF(RTD("tos.rtd",,$A$2,"."&amp;F$43&amp;F$1&amp;"P"&amp;$A51)="N/A",0,RTD("tos.rtd",,$A$2,"."&amp;F$43&amp;F$1&amp;"P"&amp;$A51))</f>
        <v>0</v>
      </c>
      <c r="G51" s="91">
        <f ca="1">IF(RTD("tos.rtd",,$A$2,"."&amp;G$43&amp;G$1&amp;"C"&amp;$A51)="N/A",0,RTD("tos.rtd",,$A$2,"."&amp;G$43&amp;G$1&amp;"C"&amp;$A51))-IF(RTD("tos.rtd",,$A$2,"."&amp;G$43&amp;G$1&amp;"P"&amp;$A51)="N/A",0,RTD("tos.rtd",,$A$2,"."&amp;G$43&amp;G$1&amp;"P"&amp;$A51))</f>
        <v>0</v>
      </c>
      <c r="H51" s="91">
        <f ca="1">IF(RTD("tos.rtd",,$A$2,"."&amp;H$43&amp;H$1&amp;"C"&amp;$A51)="N/A",0,RTD("tos.rtd",,$A$2,"."&amp;H$43&amp;H$1&amp;"C"&amp;$A51))-IF(RTD("tos.rtd",,$A$2,"."&amp;H$43&amp;H$1&amp;"P"&amp;$A51)="N/A",0,RTD("tos.rtd",,$A$2,"."&amp;H$43&amp;H$1&amp;"P"&amp;$A51))</f>
        <v>344</v>
      </c>
      <c r="I51" s="91">
        <f ca="1">IF(RTD("tos.rtd",,$A$2,"."&amp;I$43&amp;I$1&amp;"C"&amp;$A51)="N/A",0,RTD("tos.rtd",,$A$2,"."&amp;I$43&amp;I$1&amp;"C"&amp;$A51))-IF(RTD("tos.rtd",,$A$2,"."&amp;I$43&amp;I$1&amp;"P"&amp;$A51)="N/A",0,RTD("tos.rtd",,$A$2,"."&amp;I$43&amp;I$1&amp;"P"&amp;$A51))</f>
        <v>120</v>
      </c>
      <c r="J51" s="91">
        <f ca="1">IF(RTD("tos.rtd",,$A$2,"."&amp;J$43&amp;J$1&amp;"C"&amp;$A51)="N/A",0,RTD("tos.rtd",,$A$2,"."&amp;J$43&amp;J$1&amp;"C"&amp;$A51))-IF(RTD("tos.rtd",,$A$2,"."&amp;J$43&amp;J$1&amp;"P"&amp;$A51)="N/A",0,RTD("tos.rtd",,$A$2,"."&amp;J$43&amp;J$1&amp;"P"&amp;$A51))</f>
        <v>0</v>
      </c>
      <c r="K51" s="91">
        <f ca="1">IF(RTD("tos.rtd",,$A$2,"."&amp;K$43&amp;K$1&amp;"C"&amp;$A51)="N/A",0,RTD("tos.rtd",,$A$2,"."&amp;K$43&amp;K$1&amp;"C"&amp;$A51))-IF(RTD("tos.rtd",,$A$2,"."&amp;K$43&amp;K$1&amp;"P"&amp;$A51)="N/A",0,RTD("tos.rtd",,$A$2,"."&amp;K$43&amp;K$1&amp;"P"&amp;$A51))</f>
        <v>0</v>
      </c>
      <c r="L51" s="91">
        <f ca="1">IF(RTD("tos.rtd",,$A$2,"."&amp;L$43&amp;L$1&amp;"C"&amp;$A51)="N/A",0,RTD("tos.rtd",,$A$2,"."&amp;L$43&amp;L$1&amp;"C"&amp;$A51))-IF(RTD("tos.rtd",,$A$2,"."&amp;L$43&amp;L$1&amp;"P"&amp;$A51)="N/A",0,RTD("tos.rtd",,$A$2,"."&amp;L$43&amp;L$1&amp;"P"&amp;$A51))</f>
        <v>76</v>
      </c>
      <c r="M51" s="91">
        <f ca="1">IF(RTD("tos.rtd",,$A$2,"."&amp;M$43&amp;M$1&amp;"C"&amp;$A51)="N/A",0,RTD("tos.rtd",,$A$2,"."&amp;M$43&amp;M$1&amp;"C"&amp;$A51))-IF(RTD("tos.rtd",,$A$2,"."&amp;M$43&amp;M$1&amp;"P"&amp;$A51)="N/A",0,RTD("tos.rtd",,$A$2,"."&amp;M$43&amp;M$1&amp;"P"&amp;$A51))</f>
        <v>0</v>
      </c>
      <c r="N51" s="91">
        <f ca="1">IF(RTD("tos.rtd",,$A$2,"."&amp;N$43&amp;N$1&amp;"C"&amp;$A51)="N/A",0,RTD("tos.rtd",,$A$2,"."&amp;N$43&amp;N$1&amp;"C"&amp;$A51))-IF(RTD("tos.rtd",,$A$2,"."&amp;N$43&amp;N$1&amp;"P"&amp;$A51)="N/A",0,RTD("tos.rtd",,$A$2,"."&amp;N$43&amp;N$1&amp;"P"&amp;$A51))</f>
        <v>0</v>
      </c>
      <c r="O51" s="91">
        <f ca="1">IF(RTD("tos.rtd",,$A$2,"."&amp;O$43&amp;O$1&amp;"C"&amp;$A51)="N/A",0,RTD("tos.rtd",,$A$2,"."&amp;O$43&amp;O$1&amp;"C"&amp;$A51))-IF(RTD("tos.rtd",,$A$2,"."&amp;O$43&amp;O$1&amp;"P"&amp;$A51)="N/A",0,RTD("tos.rtd",,$A$2,"."&amp;O$43&amp;O$1&amp;"P"&amp;$A51))</f>
        <v>0</v>
      </c>
      <c r="P51" s="91">
        <f ca="1">IF(RTD("tos.rtd",,$A$2,"."&amp;P$43&amp;P$1&amp;"C"&amp;$A51)="N/A",0,RTD("tos.rtd",,$A$2,"."&amp;P$43&amp;P$1&amp;"C"&amp;$A51))-IF(RTD("tos.rtd",,$A$2,"."&amp;P$43&amp;P$1&amp;"P"&amp;$A51)="N/A",0,RTD("tos.rtd",,$A$2,"."&amp;P$43&amp;P$1&amp;"P"&amp;$A51))</f>
        <v>0</v>
      </c>
      <c r="Q51" s="91">
        <f ca="1">IF(RTD("tos.rtd",,$A$2,"."&amp;Q$43&amp;Q$1&amp;"C"&amp;$A51)="N/A",0,RTD("tos.rtd",,$A$2,"."&amp;Q$43&amp;Q$1&amp;"C"&amp;$A51))-IF(RTD("tos.rtd",,$A$2,"."&amp;Q$43&amp;Q$1&amp;"P"&amp;$A51)="N/A",0,RTD("tos.rtd",,$A$2,"."&amp;Q$43&amp;Q$1&amp;"P"&amp;$A51))</f>
        <v>0</v>
      </c>
      <c r="R51" s="91">
        <f ca="1">IF(RTD("tos.rtd",,$A$2,"."&amp;R$43&amp;R$1&amp;"C"&amp;$A51)="N/A",0,RTD("tos.rtd",,$A$2,"."&amp;R$43&amp;R$1&amp;"C"&amp;$A51))-IF(RTD("tos.rtd",,$A$2,"."&amp;R$43&amp;R$1&amp;"P"&amp;$A51)="N/A",0,RTD("tos.rtd",,$A$2,"."&amp;R$43&amp;R$1&amp;"P"&amp;$A51))</f>
        <v>2</v>
      </c>
      <c r="S51" s="91">
        <f ca="1">IF(RTD("tos.rtd",,$A$2,"."&amp;S$43&amp;S$1&amp;"C"&amp;$A51)="N/A",0,RTD("tos.rtd",,$A$2,"."&amp;S$43&amp;S$1&amp;"C"&amp;$A51))-IF(RTD("tos.rtd",,$A$2,"."&amp;S$43&amp;S$1&amp;"P"&amp;$A51)="N/A",0,RTD("tos.rtd",,$A$2,"."&amp;S$43&amp;S$1&amp;"P"&amp;$A51))</f>
        <v>0</v>
      </c>
      <c r="T51" s="91">
        <f ca="1">IF(RTD("tos.rtd",,$A$2,"."&amp;T$43&amp;T$1&amp;"C"&amp;$A51)="N/A",0,RTD("tos.rtd",,$A$2,"."&amp;T$43&amp;T$1&amp;"C"&amp;$A51))-IF(RTD("tos.rtd",,$A$2,"."&amp;T$43&amp;T$1&amp;"P"&amp;$A51)="N/A",0,RTD("tos.rtd",,$A$2,"."&amp;T$43&amp;T$1&amp;"P"&amp;$A51))</f>
        <v>0</v>
      </c>
      <c r="U51" s="91">
        <f ca="1">IF(RTD("tos.rtd",,$A$2,"."&amp;U$43&amp;U$1&amp;"C"&amp;$A51)="N/A",0,RTD("tos.rtd",,$A$2,"."&amp;U$43&amp;U$1&amp;"C"&amp;$A51))-IF(RTD("tos.rtd",,$A$2,"."&amp;U$43&amp;U$1&amp;"P"&amp;$A51)="N/A",0,RTD("tos.rtd",,$A$2,"."&amp;U$43&amp;U$1&amp;"P"&amp;$A51))</f>
        <v>0</v>
      </c>
      <c r="V51" s="91">
        <f ca="1">IF(RTD("tos.rtd",,$A$2,"."&amp;V$43&amp;V$1&amp;"C"&amp;$A51)="N/A",0,RTD("tos.rtd",,$A$2,"."&amp;V$43&amp;V$1&amp;"C"&amp;$A51))-IF(RTD("tos.rtd",,$A$2,"."&amp;V$43&amp;V$1&amp;"P"&amp;$A51)="N/A",0,RTD("tos.rtd",,$A$2,"."&amp;V$43&amp;V$1&amp;"P"&amp;$A51))</f>
        <v>0</v>
      </c>
      <c r="W51" s="91">
        <f ca="1">IF(RTD("tos.rtd",,$A$2,"."&amp;W$43&amp;W$1&amp;"C"&amp;$A51)="N/A",0,RTD("tos.rtd",,$A$2,"."&amp;W$43&amp;W$1&amp;"C"&amp;$A51))-IF(RTD("tos.rtd",,$A$2,"."&amp;W$43&amp;W$1&amp;"P"&amp;$A51)="N/A",0,RTD("tos.rtd",,$A$2,"."&amp;W$43&amp;W$1&amp;"P"&amp;$A51))</f>
        <v>0</v>
      </c>
      <c r="X51" s="91">
        <f ca="1">IF(RTD("tos.rtd",,$A$2,"."&amp;X$43&amp;X$1&amp;"C"&amp;$A51)="N/A",0,RTD("tos.rtd",,$A$2,"."&amp;X$43&amp;X$1&amp;"C"&amp;$A51))-IF(RTD("tos.rtd",,$A$2,"."&amp;X$43&amp;X$1&amp;"P"&amp;$A51)="N/A",0,RTD("tos.rtd",,$A$2,"."&amp;X$43&amp;X$1&amp;"P"&amp;$A51))</f>
        <v>0</v>
      </c>
      <c r="Y51" s="98">
        <f t="shared" ca="1" si="7"/>
        <v>542</v>
      </c>
    </row>
    <row r="52" spans="1:25" x14ac:dyDescent="0.25">
      <c r="A52" s="93">
        <f>+Hoja1!A51</f>
        <v>516</v>
      </c>
      <c r="B52" s="91">
        <f ca="1">IF(RTD("tos.rtd",,$A$2,"."&amp;B$43&amp;B$1&amp;"C"&amp;$A52)="N/A",0,RTD("tos.rtd",,$A$2,"."&amp;B$43&amp;B$1&amp;"C"&amp;$A52))-IF(RTD("tos.rtd",,$A$2,"."&amp;B$43&amp;B$1&amp;"P"&amp;$A52)="N/A",0,RTD("tos.rtd",,$A$2,"."&amp;B$43&amp;B$1&amp;"P"&amp;$A52))</f>
        <v>0</v>
      </c>
      <c r="C52" s="91">
        <f ca="1">IF(RTD("tos.rtd",,$A$2,"."&amp;C$43&amp;C$1&amp;"C"&amp;$A52)="N/A",0,RTD("tos.rtd",,$A$2,"."&amp;C$43&amp;C$1&amp;"C"&amp;$A52))-IF(RTD("tos.rtd",,$A$2,"."&amp;C$43&amp;C$1&amp;"P"&amp;$A52)="N/A",0,RTD("tos.rtd",,$A$2,"."&amp;C$43&amp;C$1&amp;"P"&amp;$A52))</f>
        <v>0</v>
      </c>
      <c r="D52" s="91">
        <f ca="1">IF(RTD("tos.rtd",,$A$2,"."&amp;D$43&amp;D$1&amp;"C"&amp;$A52)="N/A",0,RTD("tos.rtd",,$A$2,"."&amp;D$43&amp;D$1&amp;"C"&amp;$A52))-IF(RTD("tos.rtd",,$A$2,"."&amp;D$43&amp;D$1&amp;"P"&amp;$A52)="N/A",0,RTD("tos.rtd",,$A$2,"."&amp;D$43&amp;D$1&amp;"P"&amp;$A52))</f>
        <v>0</v>
      </c>
      <c r="E52" s="91">
        <f ca="1">IF(RTD("tos.rtd",,$A$2,"."&amp;E$43&amp;E$1&amp;"C"&amp;$A52)="N/A",0,RTD("tos.rtd",,$A$2,"."&amp;E$43&amp;E$1&amp;"C"&amp;$A52))-IF(RTD("tos.rtd",,$A$2,"."&amp;E$43&amp;E$1&amp;"P"&amp;$A52)="N/A",0,RTD("tos.rtd",,$A$2,"."&amp;E$43&amp;E$1&amp;"P"&amp;$A52))</f>
        <v>0</v>
      </c>
      <c r="F52" s="91">
        <f ca="1">IF(RTD("tos.rtd",,$A$2,"."&amp;F$43&amp;F$1&amp;"C"&amp;$A52)="N/A",0,RTD("tos.rtd",,$A$2,"."&amp;F$43&amp;F$1&amp;"C"&amp;$A52))-IF(RTD("tos.rtd",,$A$2,"."&amp;F$43&amp;F$1&amp;"P"&amp;$A52)="N/A",0,RTD("tos.rtd",,$A$2,"."&amp;F$43&amp;F$1&amp;"P"&amp;$A52))</f>
        <v>0</v>
      </c>
      <c r="G52" s="91">
        <f ca="1">IF(RTD("tos.rtd",,$A$2,"."&amp;G$43&amp;G$1&amp;"C"&amp;$A52)="N/A",0,RTD("tos.rtd",,$A$2,"."&amp;G$43&amp;G$1&amp;"C"&amp;$A52))-IF(RTD("tos.rtd",,$A$2,"."&amp;G$43&amp;G$1&amp;"P"&amp;$A52)="N/A",0,RTD("tos.rtd",,$A$2,"."&amp;G$43&amp;G$1&amp;"P"&amp;$A52))</f>
        <v>0</v>
      </c>
      <c r="H52" s="91">
        <f ca="1">IF(RTD("tos.rtd",,$A$2,"."&amp;H$43&amp;H$1&amp;"C"&amp;$A52)="N/A",0,RTD("tos.rtd",,$A$2,"."&amp;H$43&amp;H$1&amp;"C"&amp;$A52))-IF(RTD("tos.rtd",,$A$2,"."&amp;H$43&amp;H$1&amp;"P"&amp;$A52)="N/A",0,RTD("tos.rtd",,$A$2,"."&amp;H$43&amp;H$1&amp;"P"&amp;$A52))</f>
        <v>196</v>
      </c>
      <c r="I52" s="91">
        <f ca="1">IF(RTD("tos.rtd",,$A$2,"."&amp;I$43&amp;I$1&amp;"C"&amp;$A52)="N/A",0,RTD("tos.rtd",,$A$2,"."&amp;I$43&amp;I$1&amp;"C"&amp;$A52))-IF(RTD("tos.rtd",,$A$2,"."&amp;I$43&amp;I$1&amp;"P"&amp;$A52)="N/A",0,RTD("tos.rtd",,$A$2,"."&amp;I$43&amp;I$1&amp;"P"&amp;$A52))</f>
        <v>125</v>
      </c>
      <c r="J52" s="91">
        <f ca="1">IF(RTD("tos.rtd",,$A$2,"."&amp;J$43&amp;J$1&amp;"C"&amp;$A52)="N/A",0,RTD("tos.rtd",,$A$2,"."&amp;J$43&amp;J$1&amp;"C"&amp;$A52))-IF(RTD("tos.rtd",,$A$2,"."&amp;J$43&amp;J$1&amp;"P"&amp;$A52)="N/A",0,RTD("tos.rtd",,$A$2,"."&amp;J$43&amp;J$1&amp;"P"&amp;$A52))</f>
        <v>0</v>
      </c>
      <c r="K52" s="91">
        <f ca="1">IF(RTD("tos.rtd",,$A$2,"."&amp;K$43&amp;K$1&amp;"C"&amp;$A52)="N/A",0,RTD("tos.rtd",,$A$2,"."&amp;K$43&amp;K$1&amp;"C"&amp;$A52))-IF(RTD("tos.rtd",,$A$2,"."&amp;K$43&amp;K$1&amp;"P"&amp;$A52)="N/A",0,RTD("tos.rtd",,$A$2,"."&amp;K$43&amp;K$1&amp;"P"&amp;$A52))</f>
        <v>0</v>
      </c>
      <c r="L52" s="91">
        <f ca="1">IF(RTD("tos.rtd",,$A$2,"."&amp;L$43&amp;L$1&amp;"C"&amp;$A52)="N/A",0,RTD("tos.rtd",,$A$2,"."&amp;L$43&amp;L$1&amp;"C"&amp;$A52))-IF(RTD("tos.rtd",,$A$2,"."&amp;L$43&amp;L$1&amp;"P"&amp;$A52)="N/A",0,RTD("tos.rtd",,$A$2,"."&amp;L$43&amp;L$1&amp;"P"&amp;$A52))</f>
        <v>16</v>
      </c>
      <c r="M52" s="91">
        <f ca="1">IF(RTD("tos.rtd",,$A$2,"."&amp;M$43&amp;M$1&amp;"C"&amp;$A52)="N/A",0,RTD("tos.rtd",,$A$2,"."&amp;M$43&amp;M$1&amp;"C"&amp;$A52))-IF(RTD("tos.rtd",,$A$2,"."&amp;M$43&amp;M$1&amp;"P"&amp;$A52)="N/A",0,RTD("tos.rtd",,$A$2,"."&amp;M$43&amp;M$1&amp;"P"&amp;$A52))</f>
        <v>0</v>
      </c>
      <c r="N52" s="91">
        <f ca="1">IF(RTD("tos.rtd",,$A$2,"."&amp;N$43&amp;N$1&amp;"C"&amp;$A52)="N/A",0,RTD("tos.rtd",,$A$2,"."&amp;N$43&amp;N$1&amp;"C"&amp;$A52))-IF(RTD("tos.rtd",,$A$2,"."&amp;N$43&amp;N$1&amp;"P"&amp;$A52)="N/A",0,RTD("tos.rtd",,$A$2,"."&amp;N$43&amp;N$1&amp;"P"&amp;$A52))</f>
        <v>0</v>
      </c>
      <c r="O52" s="91">
        <f ca="1">IF(RTD("tos.rtd",,$A$2,"."&amp;O$43&amp;O$1&amp;"C"&amp;$A52)="N/A",0,RTD("tos.rtd",,$A$2,"."&amp;O$43&amp;O$1&amp;"C"&amp;$A52))-IF(RTD("tos.rtd",,$A$2,"."&amp;O$43&amp;O$1&amp;"P"&amp;$A52)="N/A",0,RTD("tos.rtd",,$A$2,"."&amp;O$43&amp;O$1&amp;"P"&amp;$A52))</f>
        <v>0</v>
      </c>
      <c r="P52" s="91">
        <f ca="1">IF(RTD("tos.rtd",,$A$2,"."&amp;P$43&amp;P$1&amp;"C"&amp;$A52)="N/A",0,RTD("tos.rtd",,$A$2,"."&amp;P$43&amp;P$1&amp;"C"&amp;$A52))-IF(RTD("tos.rtd",,$A$2,"."&amp;P$43&amp;P$1&amp;"P"&amp;$A52)="N/A",0,RTD("tos.rtd",,$A$2,"."&amp;P$43&amp;P$1&amp;"P"&amp;$A52))</f>
        <v>0</v>
      </c>
      <c r="Q52" s="91">
        <f ca="1">IF(RTD("tos.rtd",,$A$2,"."&amp;Q$43&amp;Q$1&amp;"C"&amp;$A52)="N/A",0,RTD("tos.rtd",,$A$2,"."&amp;Q$43&amp;Q$1&amp;"C"&amp;$A52))-IF(RTD("tos.rtd",,$A$2,"."&amp;Q$43&amp;Q$1&amp;"P"&amp;$A52)="N/A",0,RTD("tos.rtd",,$A$2,"."&amp;Q$43&amp;Q$1&amp;"P"&amp;$A52))</f>
        <v>0</v>
      </c>
      <c r="R52" s="91">
        <f ca="1">IF(RTD("tos.rtd",,$A$2,"."&amp;R$43&amp;R$1&amp;"C"&amp;$A52)="N/A",0,RTD("tos.rtd",,$A$2,"."&amp;R$43&amp;R$1&amp;"C"&amp;$A52))-IF(RTD("tos.rtd",,$A$2,"."&amp;R$43&amp;R$1&amp;"P"&amp;$A52)="N/A",0,RTD("tos.rtd",,$A$2,"."&amp;R$43&amp;R$1&amp;"P"&amp;$A52))</f>
        <v>29</v>
      </c>
      <c r="S52" s="91">
        <f ca="1">IF(RTD("tos.rtd",,$A$2,"."&amp;S$43&amp;S$1&amp;"C"&amp;$A52)="N/A",0,RTD("tos.rtd",,$A$2,"."&amp;S$43&amp;S$1&amp;"C"&amp;$A52))-IF(RTD("tos.rtd",,$A$2,"."&amp;S$43&amp;S$1&amp;"P"&amp;$A52)="N/A",0,RTD("tos.rtd",,$A$2,"."&amp;S$43&amp;S$1&amp;"P"&amp;$A52))</f>
        <v>0</v>
      </c>
      <c r="T52" s="91">
        <f ca="1">IF(RTD("tos.rtd",,$A$2,"."&amp;T$43&amp;T$1&amp;"C"&amp;$A52)="N/A",0,RTD("tos.rtd",,$A$2,"."&amp;T$43&amp;T$1&amp;"C"&amp;$A52))-IF(RTD("tos.rtd",,$A$2,"."&amp;T$43&amp;T$1&amp;"P"&amp;$A52)="N/A",0,RTD("tos.rtd",,$A$2,"."&amp;T$43&amp;T$1&amp;"P"&amp;$A52))</f>
        <v>0</v>
      </c>
      <c r="U52" s="91">
        <f ca="1">IF(RTD("tos.rtd",,$A$2,"."&amp;U$43&amp;U$1&amp;"C"&amp;$A52)="N/A",0,RTD("tos.rtd",,$A$2,"."&amp;U$43&amp;U$1&amp;"C"&amp;$A52))-IF(RTD("tos.rtd",,$A$2,"."&amp;U$43&amp;U$1&amp;"P"&amp;$A52)="N/A",0,RTD("tos.rtd",,$A$2,"."&amp;U$43&amp;U$1&amp;"P"&amp;$A52))</f>
        <v>0</v>
      </c>
      <c r="V52" s="91">
        <f ca="1">IF(RTD("tos.rtd",,$A$2,"."&amp;V$43&amp;V$1&amp;"C"&amp;$A52)="N/A",0,RTD("tos.rtd",,$A$2,"."&amp;V$43&amp;V$1&amp;"C"&amp;$A52))-IF(RTD("tos.rtd",,$A$2,"."&amp;V$43&amp;V$1&amp;"P"&amp;$A52)="N/A",0,RTD("tos.rtd",,$A$2,"."&amp;V$43&amp;V$1&amp;"P"&amp;$A52))</f>
        <v>0</v>
      </c>
      <c r="W52" s="91">
        <f ca="1">IF(RTD("tos.rtd",,$A$2,"."&amp;W$43&amp;W$1&amp;"C"&amp;$A52)="N/A",0,RTD("tos.rtd",,$A$2,"."&amp;W$43&amp;W$1&amp;"C"&amp;$A52))-IF(RTD("tos.rtd",,$A$2,"."&amp;W$43&amp;W$1&amp;"P"&amp;$A52)="N/A",0,RTD("tos.rtd",,$A$2,"."&amp;W$43&amp;W$1&amp;"P"&amp;$A52))</f>
        <v>0</v>
      </c>
      <c r="X52" s="91">
        <f ca="1">IF(RTD("tos.rtd",,$A$2,"."&amp;X$43&amp;X$1&amp;"C"&amp;$A52)="N/A",0,RTD("tos.rtd",,$A$2,"."&amp;X$43&amp;X$1&amp;"C"&amp;$A52))-IF(RTD("tos.rtd",,$A$2,"."&amp;X$43&amp;X$1&amp;"P"&amp;$A52)="N/A",0,RTD("tos.rtd",,$A$2,"."&amp;X$43&amp;X$1&amp;"P"&amp;$A52))</f>
        <v>2</v>
      </c>
      <c r="Y52" s="98">
        <f t="shared" ca="1" si="7"/>
        <v>368</v>
      </c>
    </row>
    <row r="53" spans="1:25" x14ac:dyDescent="0.25">
      <c r="A53" s="93">
        <f>+Hoja1!A52</f>
        <v>515</v>
      </c>
      <c r="B53" s="91">
        <f ca="1">IF(RTD("tos.rtd",,$A$2,"."&amp;B$43&amp;B$1&amp;"C"&amp;$A53)="N/A",0,RTD("tos.rtd",,$A$2,"."&amp;B$43&amp;B$1&amp;"C"&amp;$A53))-IF(RTD("tos.rtd",,$A$2,"."&amp;B$43&amp;B$1&amp;"P"&amp;$A53)="N/A",0,RTD("tos.rtd",,$A$2,"."&amp;B$43&amp;B$1&amp;"P"&amp;$A53))</f>
        <v>0</v>
      </c>
      <c r="C53" s="91">
        <f ca="1">IF(RTD("tos.rtd",,$A$2,"."&amp;C$43&amp;C$1&amp;"C"&amp;$A53)="N/A",0,RTD("tos.rtd",,$A$2,"."&amp;C$43&amp;C$1&amp;"C"&amp;$A53))-IF(RTD("tos.rtd",,$A$2,"."&amp;C$43&amp;C$1&amp;"P"&amp;$A53)="N/A",0,RTD("tos.rtd",,$A$2,"."&amp;C$43&amp;C$1&amp;"P"&amp;$A53))</f>
        <v>0</v>
      </c>
      <c r="D53" s="91">
        <f ca="1">IF(RTD("tos.rtd",,$A$2,"."&amp;D$43&amp;D$1&amp;"C"&amp;$A53)="N/A",0,RTD("tos.rtd",,$A$2,"."&amp;D$43&amp;D$1&amp;"C"&amp;$A53))-IF(RTD("tos.rtd",,$A$2,"."&amp;D$43&amp;D$1&amp;"P"&amp;$A53)="N/A",0,RTD("tos.rtd",,$A$2,"."&amp;D$43&amp;D$1&amp;"P"&amp;$A53))</f>
        <v>0</v>
      </c>
      <c r="E53" s="91">
        <f ca="1">IF(RTD("tos.rtd",,$A$2,"."&amp;E$43&amp;E$1&amp;"C"&amp;$A53)="N/A",0,RTD("tos.rtd",,$A$2,"."&amp;E$43&amp;E$1&amp;"C"&amp;$A53))-IF(RTD("tos.rtd",,$A$2,"."&amp;E$43&amp;E$1&amp;"P"&amp;$A53)="N/A",0,RTD("tos.rtd",,$A$2,"."&amp;E$43&amp;E$1&amp;"P"&amp;$A53))</f>
        <v>0</v>
      </c>
      <c r="F53" s="91">
        <f ca="1">IF(RTD("tos.rtd",,$A$2,"."&amp;F$43&amp;F$1&amp;"C"&amp;$A53)="N/A",0,RTD("tos.rtd",,$A$2,"."&amp;F$43&amp;F$1&amp;"C"&amp;$A53))-IF(RTD("tos.rtd",,$A$2,"."&amp;F$43&amp;F$1&amp;"P"&amp;$A53)="N/A",0,RTD("tos.rtd",,$A$2,"."&amp;F$43&amp;F$1&amp;"P"&amp;$A53))</f>
        <v>0</v>
      </c>
      <c r="G53" s="91">
        <f ca="1">IF(RTD("tos.rtd",,$A$2,"."&amp;G$43&amp;G$1&amp;"C"&amp;$A53)="N/A",0,RTD("tos.rtd",,$A$2,"."&amp;G$43&amp;G$1&amp;"C"&amp;$A53))-IF(RTD("tos.rtd",,$A$2,"."&amp;G$43&amp;G$1&amp;"P"&amp;$A53)="N/A",0,RTD("tos.rtd",,$A$2,"."&amp;G$43&amp;G$1&amp;"P"&amp;$A53))</f>
        <v>0</v>
      </c>
      <c r="H53" s="91">
        <f ca="1">IF(RTD("tos.rtd",,$A$2,"."&amp;H$43&amp;H$1&amp;"C"&amp;$A53)="N/A",0,RTD("tos.rtd",,$A$2,"."&amp;H$43&amp;H$1&amp;"C"&amp;$A53))-IF(RTD("tos.rtd",,$A$2,"."&amp;H$43&amp;H$1&amp;"P"&amp;$A53)="N/A",0,RTD("tos.rtd",,$A$2,"."&amp;H$43&amp;H$1&amp;"P"&amp;$A53))</f>
        <v>2886</v>
      </c>
      <c r="I53" s="91">
        <f ca="1">IF(RTD("tos.rtd",,$A$2,"."&amp;I$43&amp;I$1&amp;"C"&amp;$A53)="N/A",0,RTD("tos.rtd",,$A$2,"."&amp;I$43&amp;I$1&amp;"C"&amp;$A53))-IF(RTD("tos.rtd",,$A$2,"."&amp;I$43&amp;I$1&amp;"P"&amp;$A53)="N/A",0,RTD("tos.rtd",,$A$2,"."&amp;I$43&amp;I$1&amp;"P"&amp;$A53))</f>
        <v>4246</v>
      </c>
      <c r="J53" s="91">
        <f ca="1">IF(RTD("tos.rtd",,$A$2,"."&amp;J$43&amp;J$1&amp;"C"&amp;$A53)="N/A",0,RTD("tos.rtd",,$A$2,"."&amp;J$43&amp;J$1&amp;"C"&amp;$A53))-IF(RTD("tos.rtd",,$A$2,"."&amp;J$43&amp;J$1&amp;"P"&amp;$A53)="N/A",0,RTD("tos.rtd",,$A$2,"."&amp;J$43&amp;J$1&amp;"P"&amp;$A53))</f>
        <v>833</v>
      </c>
      <c r="K53" s="91">
        <f ca="1">IF(RTD("tos.rtd",,$A$2,"."&amp;K$43&amp;K$1&amp;"C"&amp;$A53)="N/A",0,RTD("tos.rtd",,$A$2,"."&amp;K$43&amp;K$1&amp;"C"&amp;$A53))-IF(RTD("tos.rtd",,$A$2,"."&amp;K$43&amp;K$1&amp;"P"&amp;$A53)="N/A",0,RTD("tos.rtd",,$A$2,"."&amp;K$43&amp;K$1&amp;"P"&amp;$A53))</f>
        <v>0</v>
      </c>
      <c r="L53" s="91">
        <f ca="1">IF(RTD("tos.rtd",,$A$2,"."&amp;L$43&amp;L$1&amp;"C"&amp;$A53)="N/A",0,RTD("tos.rtd",,$A$2,"."&amp;L$43&amp;L$1&amp;"C"&amp;$A53))-IF(RTD("tos.rtd",,$A$2,"."&amp;L$43&amp;L$1&amp;"P"&amp;$A53)="N/A",0,RTD("tos.rtd",,$A$2,"."&amp;L$43&amp;L$1&amp;"P"&amp;$A53))</f>
        <v>4210</v>
      </c>
      <c r="M53" s="91">
        <f ca="1">IF(RTD("tos.rtd",,$A$2,"."&amp;M$43&amp;M$1&amp;"C"&amp;$A53)="N/A",0,RTD("tos.rtd",,$A$2,"."&amp;M$43&amp;M$1&amp;"C"&amp;$A53))-IF(RTD("tos.rtd",,$A$2,"."&amp;M$43&amp;M$1&amp;"P"&amp;$A53)="N/A",0,RTD("tos.rtd",,$A$2,"."&amp;M$43&amp;M$1&amp;"P"&amp;$A53))</f>
        <v>-626</v>
      </c>
      <c r="N53" s="91">
        <f ca="1">IF(RTD("tos.rtd",,$A$2,"."&amp;N$43&amp;N$1&amp;"C"&amp;$A53)="N/A",0,RTD("tos.rtd",,$A$2,"."&amp;N$43&amp;N$1&amp;"C"&amp;$A53))-IF(RTD("tos.rtd",,$A$2,"."&amp;N$43&amp;N$1&amp;"P"&amp;$A53)="N/A",0,RTD("tos.rtd",,$A$2,"."&amp;N$43&amp;N$1&amp;"P"&amp;$A53))</f>
        <v>103</v>
      </c>
      <c r="O53" s="91">
        <f ca="1">IF(RTD("tos.rtd",,$A$2,"."&amp;O$43&amp;O$1&amp;"C"&amp;$A53)="N/A",0,RTD("tos.rtd",,$A$2,"."&amp;O$43&amp;O$1&amp;"C"&amp;$A53))-IF(RTD("tos.rtd",,$A$2,"."&amp;O$43&amp;O$1&amp;"P"&amp;$A53)="N/A",0,RTD("tos.rtd",,$A$2,"."&amp;O$43&amp;O$1&amp;"P"&amp;$A53))</f>
        <v>114</v>
      </c>
      <c r="P53" s="91">
        <f ca="1">IF(RTD("tos.rtd",,$A$2,"."&amp;P$43&amp;P$1&amp;"C"&amp;$A53)="N/A",0,RTD("tos.rtd",,$A$2,"."&amp;P$43&amp;P$1&amp;"C"&amp;$A53))-IF(RTD("tos.rtd",,$A$2,"."&amp;P$43&amp;P$1&amp;"P"&amp;$A53)="N/A",0,RTD("tos.rtd",,$A$2,"."&amp;P$43&amp;P$1&amp;"P"&amp;$A53))</f>
        <v>294</v>
      </c>
      <c r="Q53" s="91">
        <f ca="1">IF(RTD("tos.rtd",,$A$2,"."&amp;Q$43&amp;Q$1&amp;"C"&amp;$A53)="N/A",0,RTD("tos.rtd",,$A$2,"."&amp;Q$43&amp;Q$1&amp;"C"&amp;$A53))-IF(RTD("tos.rtd",,$A$2,"."&amp;Q$43&amp;Q$1&amp;"P"&amp;$A53)="N/A",0,RTD("tos.rtd",,$A$2,"."&amp;Q$43&amp;Q$1&amp;"P"&amp;$A53))</f>
        <v>499</v>
      </c>
      <c r="R53" s="91">
        <f ca="1">IF(RTD("tos.rtd",,$A$2,"."&amp;R$43&amp;R$1&amp;"C"&amp;$A53)="N/A",0,RTD("tos.rtd",,$A$2,"."&amp;R$43&amp;R$1&amp;"C"&amp;$A53))-IF(RTD("tos.rtd",,$A$2,"."&amp;R$43&amp;R$1&amp;"P"&amp;$A53)="N/A",0,RTD("tos.rtd",,$A$2,"."&amp;R$43&amp;R$1&amp;"P"&amp;$A53))</f>
        <v>54</v>
      </c>
      <c r="S53" s="91">
        <f ca="1">IF(RTD("tos.rtd",,$A$2,"."&amp;S$43&amp;S$1&amp;"C"&amp;$A53)="N/A",0,RTD("tos.rtd",,$A$2,"."&amp;S$43&amp;S$1&amp;"C"&amp;$A53))-IF(RTD("tos.rtd",,$A$2,"."&amp;S$43&amp;S$1&amp;"P"&amp;$A53)="N/A",0,RTD("tos.rtd",,$A$2,"."&amp;S$43&amp;S$1&amp;"P"&amp;$A53))</f>
        <v>0</v>
      </c>
      <c r="T53" s="91">
        <f ca="1">IF(RTD("tos.rtd",,$A$2,"."&amp;T$43&amp;T$1&amp;"C"&amp;$A53)="N/A",0,RTD("tos.rtd",,$A$2,"."&amp;T$43&amp;T$1&amp;"C"&amp;$A53))-IF(RTD("tos.rtd",,$A$2,"."&amp;T$43&amp;T$1&amp;"P"&amp;$A53)="N/A",0,RTD("tos.rtd",,$A$2,"."&amp;T$43&amp;T$1&amp;"P"&amp;$A53))</f>
        <v>0</v>
      </c>
      <c r="U53" s="91">
        <f ca="1">IF(RTD("tos.rtd",,$A$2,"."&amp;U$43&amp;U$1&amp;"C"&amp;$A53)="N/A",0,RTD("tos.rtd",,$A$2,"."&amp;U$43&amp;U$1&amp;"C"&amp;$A53))-IF(RTD("tos.rtd",,$A$2,"."&amp;U$43&amp;U$1&amp;"P"&amp;$A53)="N/A",0,RTD("tos.rtd",,$A$2,"."&amp;U$43&amp;U$1&amp;"P"&amp;$A53))</f>
        <v>33</v>
      </c>
      <c r="V53" s="91">
        <f ca="1">IF(RTD("tos.rtd",,$A$2,"."&amp;V$43&amp;V$1&amp;"C"&amp;$A53)="N/A",0,RTD("tos.rtd",,$A$2,"."&amp;V$43&amp;V$1&amp;"C"&amp;$A53))-IF(RTD("tos.rtd",,$A$2,"."&amp;V$43&amp;V$1&amp;"P"&amp;$A53)="N/A",0,RTD("tos.rtd",,$A$2,"."&amp;V$43&amp;V$1&amp;"P"&amp;$A53))</f>
        <v>0</v>
      </c>
      <c r="W53" s="91">
        <f ca="1">IF(RTD("tos.rtd",,$A$2,"."&amp;W$43&amp;W$1&amp;"C"&amp;$A53)="N/A",0,RTD("tos.rtd",,$A$2,"."&amp;W$43&amp;W$1&amp;"C"&amp;$A53))-IF(RTD("tos.rtd",,$A$2,"."&amp;W$43&amp;W$1&amp;"P"&amp;$A53)="N/A",0,RTD("tos.rtd",,$A$2,"."&amp;W$43&amp;W$1&amp;"P"&amp;$A53))</f>
        <v>8</v>
      </c>
      <c r="X53" s="91">
        <f ca="1">IF(RTD("tos.rtd",,$A$2,"."&amp;X$43&amp;X$1&amp;"C"&amp;$A53)="N/A",0,RTD("tos.rtd",,$A$2,"."&amp;X$43&amp;X$1&amp;"C"&amp;$A53))-IF(RTD("tos.rtd",,$A$2,"."&amp;X$43&amp;X$1&amp;"P"&amp;$A53)="N/A",0,RTD("tos.rtd",,$A$2,"."&amp;X$43&amp;X$1&amp;"P"&amp;$A53))</f>
        <v>66</v>
      </c>
      <c r="Y53" s="98">
        <f t="shared" ca="1" si="7"/>
        <v>12720</v>
      </c>
    </row>
    <row r="54" spans="1:25" x14ac:dyDescent="0.25">
      <c r="A54" s="93">
        <f>+Hoja1!A53</f>
        <v>514</v>
      </c>
      <c r="B54" s="91">
        <f ca="1">IF(RTD("tos.rtd",,$A$2,"."&amp;B$43&amp;B$1&amp;"C"&amp;$A54)="N/A",0,RTD("tos.rtd",,$A$2,"."&amp;B$43&amp;B$1&amp;"C"&amp;$A54))-IF(RTD("tos.rtd",,$A$2,"."&amp;B$43&amp;B$1&amp;"P"&amp;$A54)="N/A",0,RTD("tos.rtd",,$A$2,"."&amp;B$43&amp;B$1&amp;"P"&amp;$A54))</f>
        <v>0</v>
      </c>
      <c r="C54" s="91">
        <f ca="1">IF(RTD("tos.rtd",,$A$2,"."&amp;C$43&amp;C$1&amp;"C"&amp;$A54)="N/A",0,RTD("tos.rtd",,$A$2,"."&amp;C$43&amp;C$1&amp;"C"&amp;$A54))-IF(RTD("tos.rtd",,$A$2,"."&amp;C$43&amp;C$1&amp;"P"&amp;$A54)="N/A",0,RTD("tos.rtd",,$A$2,"."&amp;C$43&amp;C$1&amp;"P"&amp;$A54))</f>
        <v>0</v>
      </c>
      <c r="D54" s="91">
        <f ca="1">IF(RTD("tos.rtd",,$A$2,"."&amp;D$43&amp;D$1&amp;"C"&amp;$A54)="N/A",0,RTD("tos.rtd",,$A$2,"."&amp;D$43&amp;D$1&amp;"C"&amp;$A54))-IF(RTD("tos.rtd",,$A$2,"."&amp;D$43&amp;D$1&amp;"P"&amp;$A54)="N/A",0,RTD("tos.rtd",,$A$2,"."&amp;D$43&amp;D$1&amp;"P"&amp;$A54))</f>
        <v>0</v>
      </c>
      <c r="E54" s="91">
        <f ca="1">IF(RTD("tos.rtd",,$A$2,"."&amp;E$43&amp;E$1&amp;"C"&amp;$A54)="N/A",0,RTD("tos.rtd",,$A$2,"."&amp;E$43&amp;E$1&amp;"C"&amp;$A54))-IF(RTD("tos.rtd",,$A$2,"."&amp;E$43&amp;E$1&amp;"P"&amp;$A54)="N/A",0,RTD("tos.rtd",,$A$2,"."&amp;E$43&amp;E$1&amp;"P"&amp;$A54))</f>
        <v>0</v>
      </c>
      <c r="F54" s="91">
        <f ca="1">IF(RTD("tos.rtd",,$A$2,"."&amp;F$43&amp;F$1&amp;"C"&amp;$A54)="N/A",0,RTD("tos.rtd",,$A$2,"."&amp;F$43&amp;F$1&amp;"C"&amp;$A54))-IF(RTD("tos.rtd",,$A$2,"."&amp;F$43&amp;F$1&amp;"P"&amp;$A54)="N/A",0,RTD("tos.rtd",,$A$2,"."&amp;F$43&amp;F$1&amp;"P"&amp;$A54))</f>
        <v>0</v>
      </c>
      <c r="G54" s="91">
        <f ca="1">IF(RTD("tos.rtd",,$A$2,"."&amp;G$43&amp;G$1&amp;"C"&amp;$A54)="N/A",0,RTD("tos.rtd",,$A$2,"."&amp;G$43&amp;G$1&amp;"C"&amp;$A54))-IF(RTD("tos.rtd",,$A$2,"."&amp;G$43&amp;G$1&amp;"P"&amp;$A54)="N/A",0,RTD("tos.rtd",,$A$2,"."&amp;G$43&amp;G$1&amp;"P"&amp;$A54))</f>
        <v>0</v>
      </c>
      <c r="H54" s="91">
        <f ca="1">IF(RTD("tos.rtd",,$A$2,"."&amp;H$43&amp;H$1&amp;"C"&amp;$A54)="N/A",0,RTD("tos.rtd",,$A$2,"."&amp;H$43&amp;H$1&amp;"C"&amp;$A54))-IF(RTD("tos.rtd",,$A$2,"."&amp;H$43&amp;H$1&amp;"P"&amp;$A54)="N/A",0,RTD("tos.rtd",,$A$2,"."&amp;H$43&amp;H$1&amp;"P"&amp;$A54))</f>
        <v>160</v>
      </c>
      <c r="I54" s="91">
        <f ca="1">IF(RTD("tos.rtd",,$A$2,"."&amp;I$43&amp;I$1&amp;"C"&amp;$A54)="N/A",0,RTD("tos.rtd",,$A$2,"."&amp;I$43&amp;I$1&amp;"C"&amp;$A54))-IF(RTD("tos.rtd",,$A$2,"."&amp;I$43&amp;I$1&amp;"P"&amp;$A54)="N/A",0,RTD("tos.rtd",,$A$2,"."&amp;I$43&amp;I$1&amp;"P"&amp;$A54))</f>
        <v>134</v>
      </c>
      <c r="J54" s="91">
        <f ca="1">IF(RTD("tos.rtd",,$A$2,"."&amp;J$43&amp;J$1&amp;"C"&amp;$A54)="N/A",0,RTD("tos.rtd",,$A$2,"."&amp;J$43&amp;J$1&amp;"C"&amp;$A54))-IF(RTD("tos.rtd",,$A$2,"."&amp;J$43&amp;J$1&amp;"P"&amp;$A54)="N/A",0,RTD("tos.rtd",,$A$2,"."&amp;J$43&amp;J$1&amp;"P"&amp;$A54))</f>
        <v>0</v>
      </c>
      <c r="K54" s="91">
        <f ca="1">IF(RTD("tos.rtd",,$A$2,"."&amp;K$43&amp;K$1&amp;"C"&amp;$A54)="N/A",0,RTD("tos.rtd",,$A$2,"."&amp;K$43&amp;K$1&amp;"C"&amp;$A54))-IF(RTD("tos.rtd",,$A$2,"."&amp;K$43&amp;K$1&amp;"P"&amp;$A54)="N/A",0,RTD("tos.rtd",,$A$2,"."&amp;K$43&amp;K$1&amp;"P"&amp;$A54))</f>
        <v>0</v>
      </c>
      <c r="L54" s="91">
        <f ca="1">IF(RTD("tos.rtd",,$A$2,"."&amp;L$43&amp;L$1&amp;"C"&amp;$A54)="N/A",0,RTD("tos.rtd",,$A$2,"."&amp;L$43&amp;L$1&amp;"C"&amp;$A54))-IF(RTD("tos.rtd",,$A$2,"."&amp;L$43&amp;L$1&amp;"P"&amp;$A54)="N/A",0,RTD("tos.rtd",,$A$2,"."&amp;L$43&amp;L$1&amp;"P"&amp;$A54))</f>
        <v>521</v>
      </c>
      <c r="M54" s="91">
        <f ca="1">IF(RTD("tos.rtd",,$A$2,"."&amp;M$43&amp;M$1&amp;"C"&amp;$A54)="N/A",0,RTD("tos.rtd",,$A$2,"."&amp;M$43&amp;M$1&amp;"C"&amp;$A54))-IF(RTD("tos.rtd",,$A$2,"."&amp;M$43&amp;M$1&amp;"P"&amp;$A54)="N/A",0,RTD("tos.rtd",,$A$2,"."&amp;M$43&amp;M$1&amp;"P"&amp;$A54))</f>
        <v>0</v>
      </c>
      <c r="N54" s="91">
        <f ca="1">IF(RTD("tos.rtd",,$A$2,"."&amp;N$43&amp;N$1&amp;"C"&amp;$A54)="N/A",0,RTD("tos.rtd",,$A$2,"."&amp;N$43&amp;N$1&amp;"C"&amp;$A54))-IF(RTD("tos.rtd",,$A$2,"."&amp;N$43&amp;N$1&amp;"P"&amp;$A54)="N/A",0,RTD("tos.rtd",,$A$2,"."&amp;N$43&amp;N$1&amp;"P"&amp;$A54))</f>
        <v>0</v>
      </c>
      <c r="O54" s="91">
        <f ca="1">IF(RTD("tos.rtd",,$A$2,"."&amp;O$43&amp;O$1&amp;"C"&amp;$A54)="N/A",0,RTD("tos.rtd",,$A$2,"."&amp;O$43&amp;O$1&amp;"C"&amp;$A54))-IF(RTD("tos.rtd",,$A$2,"."&amp;O$43&amp;O$1&amp;"P"&amp;$A54)="N/A",0,RTD("tos.rtd",,$A$2,"."&amp;O$43&amp;O$1&amp;"P"&amp;$A54))</f>
        <v>0</v>
      </c>
      <c r="P54" s="91">
        <f ca="1">IF(RTD("tos.rtd",,$A$2,"."&amp;P$43&amp;P$1&amp;"C"&amp;$A54)="N/A",0,RTD("tos.rtd",,$A$2,"."&amp;P$43&amp;P$1&amp;"C"&amp;$A54))-IF(RTD("tos.rtd",,$A$2,"."&amp;P$43&amp;P$1&amp;"P"&amp;$A54)="N/A",0,RTD("tos.rtd",,$A$2,"."&amp;P$43&amp;P$1&amp;"P"&amp;$A54))</f>
        <v>0</v>
      </c>
      <c r="Q54" s="91">
        <f ca="1">IF(RTD("tos.rtd",,$A$2,"."&amp;Q$43&amp;Q$1&amp;"C"&amp;$A54)="N/A",0,RTD("tos.rtd",,$A$2,"."&amp;Q$43&amp;Q$1&amp;"C"&amp;$A54))-IF(RTD("tos.rtd",,$A$2,"."&amp;Q$43&amp;Q$1&amp;"P"&amp;$A54)="N/A",0,RTD("tos.rtd",,$A$2,"."&amp;Q$43&amp;Q$1&amp;"P"&amp;$A54))</f>
        <v>0</v>
      </c>
      <c r="R54" s="91">
        <f ca="1">IF(RTD("tos.rtd",,$A$2,"."&amp;R$43&amp;R$1&amp;"C"&amp;$A54)="N/A",0,RTD("tos.rtd",,$A$2,"."&amp;R$43&amp;R$1&amp;"C"&amp;$A54))-IF(RTD("tos.rtd",,$A$2,"."&amp;R$43&amp;R$1&amp;"P"&amp;$A54)="N/A",0,RTD("tos.rtd",,$A$2,"."&amp;R$43&amp;R$1&amp;"P"&amp;$A54))</f>
        <v>3</v>
      </c>
      <c r="S54" s="91">
        <f ca="1">IF(RTD("tos.rtd",,$A$2,"."&amp;S$43&amp;S$1&amp;"C"&amp;$A54)="N/A",0,RTD("tos.rtd",,$A$2,"."&amp;S$43&amp;S$1&amp;"C"&amp;$A54))-IF(RTD("tos.rtd",,$A$2,"."&amp;S$43&amp;S$1&amp;"P"&amp;$A54)="N/A",0,RTD("tos.rtd",,$A$2,"."&amp;S$43&amp;S$1&amp;"P"&amp;$A54))</f>
        <v>0</v>
      </c>
      <c r="T54" s="91">
        <f ca="1">IF(RTD("tos.rtd",,$A$2,"."&amp;T$43&amp;T$1&amp;"C"&amp;$A54)="N/A",0,RTD("tos.rtd",,$A$2,"."&amp;T$43&amp;T$1&amp;"C"&amp;$A54))-IF(RTD("tos.rtd",,$A$2,"."&amp;T$43&amp;T$1&amp;"P"&amp;$A54)="N/A",0,RTD("tos.rtd",,$A$2,"."&amp;T$43&amp;T$1&amp;"P"&amp;$A54))</f>
        <v>0</v>
      </c>
      <c r="U54" s="91">
        <f ca="1">IF(RTD("tos.rtd",,$A$2,"."&amp;U$43&amp;U$1&amp;"C"&amp;$A54)="N/A",0,RTD("tos.rtd",,$A$2,"."&amp;U$43&amp;U$1&amp;"C"&amp;$A54))-IF(RTD("tos.rtd",,$A$2,"."&amp;U$43&amp;U$1&amp;"P"&amp;$A54)="N/A",0,RTD("tos.rtd",,$A$2,"."&amp;U$43&amp;U$1&amp;"P"&amp;$A54))</f>
        <v>0</v>
      </c>
      <c r="V54" s="91">
        <f ca="1">IF(RTD("tos.rtd",,$A$2,"."&amp;V$43&amp;V$1&amp;"C"&amp;$A54)="N/A",0,RTD("tos.rtd",,$A$2,"."&amp;V$43&amp;V$1&amp;"C"&amp;$A54))-IF(RTD("tos.rtd",,$A$2,"."&amp;V$43&amp;V$1&amp;"P"&amp;$A54)="N/A",0,RTD("tos.rtd",,$A$2,"."&amp;V$43&amp;V$1&amp;"P"&amp;$A54))</f>
        <v>0</v>
      </c>
      <c r="W54" s="91">
        <f ca="1">IF(RTD("tos.rtd",,$A$2,"."&amp;W$43&amp;W$1&amp;"C"&amp;$A54)="N/A",0,RTD("tos.rtd",,$A$2,"."&amp;W$43&amp;W$1&amp;"C"&amp;$A54))-IF(RTD("tos.rtd",,$A$2,"."&amp;W$43&amp;W$1&amp;"P"&amp;$A54)="N/A",0,RTD("tos.rtd",,$A$2,"."&amp;W$43&amp;W$1&amp;"P"&amp;$A54))</f>
        <v>0</v>
      </c>
      <c r="X54" s="91">
        <f ca="1">IF(RTD("tos.rtd",,$A$2,"."&amp;X$43&amp;X$1&amp;"C"&amp;$A54)="N/A",0,RTD("tos.rtd",,$A$2,"."&amp;X$43&amp;X$1&amp;"C"&amp;$A54))-IF(RTD("tos.rtd",,$A$2,"."&amp;X$43&amp;X$1&amp;"P"&amp;$A54)="N/A",0,RTD("tos.rtd",,$A$2,"."&amp;X$43&amp;X$1&amp;"P"&amp;$A54))</f>
        <v>7</v>
      </c>
      <c r="Y54" s="98">
        <f t="shared" ca="1" si="7"/>
        <v>825</v>
      </c>
    </row>
    <row r="55" spans="1:25" x14ac:dyDescent="0.25">
      <c r="A55" s="93">
        <f>+Hoja1!A54</f>
        <v>513</v>
      </c>
      <c r="B55" s="91">
        <f ca="1">IF(RTD("tos.rtd",,$A$2,"."&amp;B$43&amp;B$1&amp;"C"&amp;$A55)="N/A",0,RTD("tos.rtd",,$A$2,"."&amp;B$43&amp;B$1&amp;"C"&amp;$A55))-IF(RTD("tos.rtd",,$A$2,"."&amp;B$43&amp;B$1&amp;"P"&amp;$A55)="N/A",0,RTD("tos.rtd",,$A$2,"."&amp;B$43&amp;B$1&amp;"P"&amp;$A55))</f>
        <v>0</v>
      </c>
      <c r="C55" s="91">
        <f ca="1">IF(RTD("tos.rtd",,$A$2,"."&amp;C$43&amp;C$1&amp;"C"&amp;$A55)="N/A",0,RTD("tos.rtd",,$A$2,"."&amp;C$43&amp;C$1&amp;"C"&amp;$A55))-IF(RTD("tos.rtd",,$A$2,"."&amp;C$43&amp;C$1&amp;"P"&amp;$A55)="N/A",0,RTD("tos.rtd",,$A$2,"."&amp;C$43&amp;C$1&amp;"P"&amp;$A55))</f>
        <v>0</v>
      </c>
      <c r="D55" s="91">
        <f ca="1">IF(RTD("tos.rtd",,$A$2,"."&amp;D$43&amp;D$1&amp;"C"&amp;$A55)="N/A",0,RTD("tos.rtd",,$A$2,"."&amp;D$43&amp;D$1&amp;"C"&amp;$A55))-IF(RTD("tos.rtd",,$A$2,"."&amp;D$43&amp;D$1&amp;"P"&amp;$A55)="N/A",0,RTD("tos.rtd",,$A$2,"."&amp;D$43&amp;D$1&amp;"P"&amp;$A55))</f>
        <v>0</v>
      </c>
      <c r="E55" s="91">
        <f ca="1">IF(RTD("tos.rtd",,$A$2,"."&amp;E$43&amp;E$1&amp;"C"&amp;$A55)="N/A",0,RTD("tos.rtd",,$A$2,"."&amp;E$43&amp;E$1&amp;"C"&amp;$A55))-IF(RTD("tos.rtd",,$A$2,"."&amp;E$43&amp;E$1&amp;"P"&amp;$A55)="N/A",0,RTD("tos.rtd",,$A$2,"."&amp;E$43&amp;E$1&amp;"P"&amp;$A55))</f>
        <v>0</v>
      </c>
      <c r="F55" s="91">
        <f ca="1">IF(RTD("tos.rtd",,$A$2,"."&amp;F$43&amp;F$1&amp;"C"&amp;$A55)="N/A",0,RTD("tos.rtd",,$A$2,"."&amp;F$43&amp;F$1&amp;"C"&amp;$A55))-IF(RTD("tos.rtd",,$A$2,"."&amp;F$43&amp;F$1&amp;"P"&amp;$A55)="N/A",0,RTD("tos.rtd",,$A$2,"."&amp;F$43&amp;F$1&amp;"P"&amp;$A55))</f>
        <v>0</v>
      </c>
      <c r="G55" s="91">
        <f ca="1">IF(RTD("tos.rtd",,$A$2,"."&amp;G$43&amp;G$1&amp;"C"&amp;$A55)="N/A",0,RTD("tos.rtd",,$A$2,"."&amp;G$43&amp;G$1&amp;"C"&amp;$A55))-IF(RTD("tos.rtd",,$A$2,"."&amp;G$43&amp;G$1&amp;"P"&amp;$A55)="N/A",0,RTD("tos.rtd",,$A$2,"."&amp;G$43&amp;G$1&amp;"P"&amp;$A55))</f>
        <v>0</v>
      </c>
      <c r="H55" s="91">
        <f ca="1">IF(RTD("tos.rtd",,$A$2,"."&amp;H$43&amp;H$1&amp;"C"&amp;$A55)="N/A",0,RTD("tos.rtd",,$A$2,"."&amp;H$43&amp;H$1&amp;"C"&amp;$A55))-IF(RTD("tos.rtd",,$A$2,"."&amp;H$43&amp;H$1&amp;"P"&amp;$A55)="N/A",0,RTD("tos.rtd",,$A$2,"."&amp;H$43&amp;H$1&amp;"P"&amp;$A55))</f>
        <v>248</v>
      </c>
      <c r="I55" s="91">
        <f ca="1">IF(RTD("tos.rtd",,$A$2,"."&amp;I$43&amp;I$1&amp;"C"&amp;$A55)="N/A",0,RTD("tos.rtd",,$A$2,"."&amp;I$43&amp;I$1&amp;"C"&amp;$A55))-IF(RTD("tos.rtd",,$A$2,"."&amp;I$43&amp;I$1&amp;"P"&amp;$A55)="N/A",0,RTD("tos.rtd",,$A$2,"."&amp;I$43&amp;I$1&amp;"P"&amp;$A55))</f>
        <v>153</v>
      </c>
      <c r="J55" s="91">
        <f ca="1">IF(RTD("tos.rtd",,$A$2,"."&amp;J$43&amp;J$1&amp;"C"&amp;$A55)="N/A",0,RTD("tos.rtd",,$A$2,"."&amp;J$43&amp;J$1&amp;"C"&amp;$A55))-IF(RTD("tos.rtd",,$A$2,"."&amp;J$43&amp;J$1&amp;"P"&amp;$A55)="N/A",0,RTD("tos.rtd",,$A$2,"."&amp;J$43&amp;J$1&amp;"P"&amp;$A55))</f>
        <v>0</v>
      </c>
      <c r="K55" s="91">
        <f ca="1">IF(RTD("tos.rtd",,$A$2,"."&amp;K$43&amp;K$1&amp;"C"&amp;$A55)="N/A",0,RTD("tos.rtd",,$A$2,"."&amp;K$43&amp;K$1&amp;"C"&amp;$A55))-IF(RTD("tos.rtd",,$A$2,"."&amp;K$43&amp;K$1&amp;"P"&amp;$A55)="N/A",0,RTD("tos.rtd",,$A$2,"."&amp;K$43&amp;K$1&amp;"P"&amp;$A55))</f>
        <v>0</v>
      </c>
      <c r="L55" s="91">
        <f ca="1">IF(RTD("tos.rtd",,$A$2,"."&amp;L$43&amp;L$1&amp;"C"&amp;$A55)="N/A",0,RTD("tos.rtd",,$A$2,"."&amp;L$43&amp;L$1&amp;"C"&amp;$A55))-IF(RTD("tos.rtd",,$A$2,"."&amp;L$43&amp;L$1&amp;"P"&amp;$A55)="N/A",0,RTD("tos.rtd",,$A$2,"."&amp;L$43&amp;L$1&amp;"P"&amp;$A55))</f>
        <v>30</v>
      </c>
      <c r="M55" s="91">
        <f ca="1">IF(RTD("tos.rtd",,$A$2,"."&amp;M$43&amp;M$1&amp;"C"&amp;$A55)="N/A",0,RTD("tos.rtd",,$A$2,"."&amp;M$43&amp;M$1&amp;"C"&amp;$A55))-IF(RTD("tos.rtd",,$A$2,"."&amp;M$43&amp;M$1&amp;"P"&amp;$A55)="N/A",0,RTD("tos.rtd",,$A$2,"."&amp;M$43&amp;M$1&amp;"P"&amp;$A55))</f>
        <v>0</v>
      </c>
      <c r="N55" s="91">
        <f ca="1">IF(RTD("tos.rtd",,$A$2,"."&amp;N$43&amp;N$1&amp;"C"&amp;$A55)="N/A",0,RTD("tos.rtd",,$A$2,"."&amp;N$43&amp;N$1&amp;"C"&amp;$A55))-IF(RTD("tos.rtd",,$A$2,"."&amp;N$43&amp;N$1&amp;"P"&amp;$A55)="N/A",0,RTD("tos.rtd",,$A$2,"."&amp;N$43&amp;N$1&amp;"P"&amp;$A55))</f>
        <v>0</v>
      </c>
      <c r="O55" s="91">
        <f ca="1">IF(RTD("tos.rtd",,$A$2,"."&amp;O$43&amp;O$1&amp;"C"&amp;$A55)="N/A",0,RTD("tos.rtd",,$A$2,"."&amp;O$43&amp;O$1&amp;"C"&amp;$A55))-IF(RTD("tos.rtd",,$A$2,"."&amp;O$43&amp;O$1&amp;"P"&amp;$A55)="N/A",0,RTD("tos.rtd",,$A$2,"."&amp;O$43&amp;O$1&amp;"P"&amp;$A55))</f>
        <v>0</v>
      </c>
      <c r="P55" s="91">
        <f ca="1">IF(RTD("tos.rtd",,$A$2,"."&amp;P$43&amp;P$1&amp;"C"&amp;$A55)="N/A",0,RTD("tos.rtd",,$A$2,"."&amp;P$43&amp;P$1&amp;"C"&amp;$A55))-IF(RTD("tos.rtd",,$A$2,"."&amp;P$43&amp;P$1&amp;"P"&amp;$A55)="N/A",0,RTD("tos.rtd",,$A$2,"."&amp;P$43&amp;P$1&amp;"P"&amp;$A55))</f>
        <v>0</v>
      </c>
      <c r="Q55" s="91">
        <f ca="1">IF(RTD("tos.rtd",,$A$2,"."&amp;Q$43&amp;Q$1&amp;"C"&amp;$A55)="N/A",0,RTD("tos.rtd",,$A$2,"."&amp;Q$43&amp;Q$1&amp;"C"&amp;$A55))-IF(RTD("tos.rtd",,$A$2,"."&amp;Q$43&amp;Q$1&amp;"P"&amp;$A55)="N/A",0,RTD("tos.rtd",,$A$2,"."&amp;Q$43&amp;Q$1&amp;"P"&amp;$A55))</f>
        <v>0</v>
      </c>
      <c r="R55" s="91">
        <f ca="1">IF(RTD("tos.rtd",,$A$2,"."&amp;R$43&amp;R$1&amp;"C"&amp;$A55)="N/A",0,RTD("tos.rtd",,$A$2,"."&amp;R$43&amp;R$1&amp;"C"&amp;$A55))-IF(RTD("tos.rtd",,$A$2,"."&amp;R$43&amp;R$1&amp;"P"&amp;$A55)="N/A",0,RTD("tos.rtd",,$A$2,"."&amp;R$43&amp;R$1&amp;"P"&amp;$A55))</f>
        <v>10</v>
      </c>
      <c r="S55" s="91">
        <f ca="1">IF(RTD("tos.rtd",,$A$2,"."&amp;S$43&amp;S$1&amp;"C"&amp;$A55)="N/A",0,RTD("tos.rtd",,$A$2,"."&amp;S$43&amp;S$1&amp;"C"&amp;$A55))-IF(RTD("tos.rtd",,$A$2,"."&amp;S$43&amp;S$1&amp;"P"&amp;$A55)="N/A",0,RTD("tos.rtd",,$A$2,"."&amp;S$43&amp;S$1&amp;"P"&amp;$A55))</f>
        <v>0</v>
      </c>
      <c r="T55" s="91">
        <f ca="1">IF(RTD("tos.rtd",,$A$2,"."&amp;T$43&amp;T$1&amp;"C"&amp;$A55)="N/A",0,RTD("tos.rtd",,$A$2,"."&amp;T$43&amp;T$1&amp;"C"&amp;$A55))-IF(RTD("tos.rtd",,$A$2,"."&amp;T$43&amp;T$1&amp;"P"&amp;$A55)="N/A",0,RTD("tos.rtd",,$A$2,"."&amp;T$43&amp;T$1&amp;"P"&amp;$A55))</f>
        <v>0</v>
      </c>
      <c r="U55" s="91">
        <f ca="1">IF(RTD("tos.rtd",,$A$2,"."&amp;U$43&amp;U$1&amp;"C"&amp;$A55)="N/A",0,RTD("tos.rtd",,$A$2,"."&amp;U$43&amp;U$1&amp;"C"&amp;$A55))-IF(RTD("tos.rtd",,$A$2,"."&amp;U$43&amp;U$1&amp;"P"&amp;$A55)="N/A",0,RTD("tos.rtd",,$A$2,"."&amp;U$43&amp;U$1&amp;"P"&amp;$A55))</f>
        <v>0</v>
      </c>
      <c r="V55" s="91">
        <f ca="1">IF(RTD("tos.rtd",,$A$2,"."&amp;V$43&amp;V$1&amp;"C"&amp;$A55)="N/A",0,RTD("tos.rtd",,$A$2,"."&amp;V$43&amp;V$1&amp;"C"&amp;$A55))-IF(RTD("tos.rtd",,$A$2,"."&amp;V$43&amp;V$1&amp;"P"&amp;$A55)="N/A",0,RTD("tos.rtd",,$A$2,"."&amp;V$43&amp;V$1&amp;"P"&amp;$A55))</f>
        <v>0</v>
      </c>
      <c r="W55" s="91">
        <f ca="1">IF(RTD("tos.rtd",,$A$2,"."&amp;W$43&amp;W$1&amp;"C"&amp;$A55)="N/A",0,RTD("tos.rtd",,$A$2,"."&amp;W$43&amp;W$1&amp;"C"&amp;$A55))-IF(RTD("tos.rtd",,$A$2,"."&amp;W$43&amp;W$1&amp;"P"&amp;$A55)="N/A",0,RTD("tos.rtd",,$A$2,"."&amp;W$43&amp;W$1&amp;"P"&amp;$A55))</f>
        <v>0</v>
      </c>
      <c r="X55" s="91">
        <f ca="1">IF(RTD("tos.rtd",,$A$2,"."&amp;X$43&amp;X$1&amp;"C"&amp;$A55)="N/A",0,RTD("tos.rtd",,$A$2,"."&amp;X$43&amp;X$1&amp;"C"&amp;$A55))-IF(RTD("tos.rtd",,$A$2,"."&amp;X$43&amp;X$1&amp;"P"&amp;$A55)="N/A",0,RTD("tos.rtd",,$A$2,"."&amp;X$43&amp;X$1&amp;"P"&amp;$A55))</f>
        <v>-1</v>
      </c>
      <c r="Y55" s="98">
        <f t="shared" ca="1" si="7"/>
        <v>440</v>
      </c>
    </row>
    <row r="56" spans="1:25" x14ac:dyDescent="0.25">
      <c r="A56" s="93">
        <f>+Hoja1!A55</f>
        <v>512</v>
      </c>
      <c r="B56" s="91">
        <f ca="1">IF(RTD("tos.rtd",,$A$2,"."&amp;B$43&amp;B$1&amp;"C"&amp;$A56)="N/A",0,RTD("tos.rtd",,$A$2,"."&amp;B$43&amp;B$1&amp;"C"&amp;$A56))-IF(RTD("tos.rtd",,$A$2,"."&amp;B$43&amp;B$1&amp;"P"&amp;$A56)="N/A",0,RTD("tos.rtd",,$A$2,"."&amp;B$43&amp;B$1&amp;"P"&amp;$A56))</f>
        <v>0</v>
      </c>
      <c r="C56" s="91">
        <f ca="1">IF(RTD("tos.rtd",,$A$2,"."&amp;C$43&amp;C$1&amp;"C"&amp;$A56)="N/A",0,RTD("tos.rtd",,$A$2,"."&amp;C$43&amp;C$1&amp;"C"&amp;$A56))-IF(RTD("tos.rtd",,$A$2,"."&amp;C$43&amp;C$1&amp;"P"&amp;$A56)="N/A",0,RTD("tos.rtd",,$A$2,"."&amp;C$43&amp;C$1&amp;"P"&amp;$A56))</f>
        <v>0</v>
      </c>
      <c r="D56" s="91">
        <f ca="1">IF(RTD("tos.rtd",,$A$2,"."&amp;D$43&amp;D$1&amp;"C"&amp;$A56)="N/A",0,RTD("tos.rtd",,$A$2,"."&amp;D$43&amp;D$1&amp;"C"&amp;$A56))-IF(RTD("tos.rtd",,$A$2,"."&amp;D$43&amp;D$1&amp;"P"&amp;$A56)="N/A",0,RTD("tos.rtd",,$A$2,"."&amp;D$43&amp;D$1&amp;"P"&amp;$A56))</f>
        <v>0</v>
      </c>
      <c r="E56" s="91">
        <f ca="1">IF(RTD("tos.rtd",,$A$2,"."&amp;E$43&amp;E$1&amp;"C"&amp;$A56)="N/A",0,RTD("tos.rtd",,$A$2,"."&amp;E$43&amp;E$1&amp;"C"&amp;$A56))-IF(RTD("tos.rtd",,$A$2,"."&amp;E$43&amp;E$1&amp;"P"&amp;$A56)="N/A",0,RTD("tos.rtd",,$A$2,"."&amp;E$43&amp;E$1&amp;"P"&amp;$A56))</f>
        <v>0</v>
      </c>
      <c r="F56" s="91">
        <f ca="1">IF(RTD("tos.rtd",,$A$2,"."&amp;F$43&amp;F$1&amp;"C"&amp;$A56)="N/A",0,RTD("tos.rtd",,$A$2,"."&amp;F$43&amp;F$1&amp;"C"&amp;$A56))-IF(RTD("tos.rtd",,$A$2,"."&amp;F$43&amp;F$1&amp;"P"&amp;$A56)="N/A",0,RTD("tos.rtd",,$A$2,"."&amp;F$43&amp;F$1&amp;"P"&amp;$A56))</f>
        <v>0</v>
      </c>
      <c r="G56" s="91">
        <f ca="1">IF(RTD("tos.rtd",,$A$2,"."&amp;G$43&amp;G$1&amp;"C"&amp;$A56)="N/A",0,RTD("tos.rtd",,$A$2,"."&amp;G$43&amp;G$1&amp;"C"&amp;$A56))-IF(RTD("tos.rtd",,$A$2,"."&amp;G$43&amp;G$1&amp;"P"&amp;$A56)="N/A",0,RTD("tos.rtd",,$A$2,"."&amp;G$43&amp;G$1&amp;"P"&amp;$A56))</f>
        <v>0</v>
      </c>
      <c r="H56" s="91">
        <f ca="1">IF(RTD("tos.rtd",,$A$2,"."&amp;H$43&amp;H$1&amp;"C"&amp;$A56)="N/A",0,RTD("tos.rtd",,$A$2,"."&amp;H$43&amp;H$1&amp;"C"&amp;$A56))-IF(RTD("tos.rtd",,$A$2,"."&amp;H$43&amp;H$1&amp;"P"&amp;$A56)="N/A",0,RTD("tos.rtd",,$A$2,"."&amp;H$43&amp;H$1&amp;"P"&amp;$A56))</f>
        <v>146</v>
      </c>
      <c r="I56" s="91">
        <f ca="1">IF(RTD("tos.rtd",,$A$2,"."&amp;I$43&amp;I$1&amp;"C"&amp;$A56)="N/A",0,RTD("tos.rtd",,$A$2,"."&amp;I$43&amp;I$1&amp;"C"&amp;$A56))-IF(RTD("tos.rtd",,$A$2,"."&amp;I$43&amp;I$1&amp;"P"&amp;$A56)="N/A",0,RTD("tos.rtd",,$A$2,"."&amp;I$43&amp;I$1&amp;"P"&amp;$A56))</f>
        <v>248</v>
      </c>
      <c r="J56" s="91">
        <f ca="1">IF(RTD("tos.rtd",,$A$2,"."&amp;J$43&amp;J$1&amp;"C"&amp;$A56)="N/A",0,RTD("tos.rtd",,$A$2,"."&amp;J$43&amp;J$1&amp;"C"&amp;$A56))-IF(RTD("tos.rtd",,$A$2,"."&amp;J$43&amp;J$1&amp;"P"&amp;$A56)="N/A",0,RTD("tos.rtd",,$A$2,"."&amp;J$43&amp;J$1&amp;"P"&amp;$A56))</f>
        <v>0</v>
      </c>
      <c r="K56" s="91">
        <f ca="1">IF(RTD("tos.rtd",,$A$2,"."&amp;K$43&amp;K$1&amp;"C"&amp;$A56)="N/A",0,RTD("tos.rtd",,$A$2,"."&amp;K$43&amp;K$1&amp;"C"&amp;$A56))-IF(RTD("tos.rtd",,$A$2,"."&amp;K$43&amp;K$1&amp;"P"&amp;$A56)="N/A",0,RTD("tos.rtd",,$A$2,"."&amp;K$43&amp;K$1&amp;"P"&amp;$A56))</f>
        <v>0</v>
      </c>
      <c r="L56" s="91">
        <f ca="1">IF(RTD("tos.rtd",,$A$2,"."&amp;L$43&amp;L$1&amp;"C"&amp;$A56)="N/A",0,RTD("tos.rtd",,$A$2,"."&amp;L$43&amp;L$1&amp;"C"&amp;$A56))-IF(RTD("tos.rtd",,$A$2,"."&amp;L$43&amp;L$1&amp;"P"&amp;$A56)="N/A",0,RTD("tos.rtd",,$A$2,"."&amp;L$43&amp;L$1&amp;"P"&amp;$A56))</f>
        <v>50</v>
      </c>
      <c r="M56" s="91">
        <f ca="1">IF(RTD("tos.rtd",,$A$2,"."&amp;M$43&amp;M$1&amp;"C"&amp;$A56)="N/A",0,RTD("tos.rtd",,$A$2,"."&amp;M$43&amp;M$1&amp;"C"&amp;$A56))-IF(RTD("tos.rtd",,$A$2,"."&amp;M$43&amp;M$1&amp;"P"&amp;$A56)="N/A",0,RTD("tos.rtd",,$A$2,"."&amp;M$43&amp;M$1&amp;"P"&amp;$A56))</f>
        <v>0</v>
      </c>
      <c r="N56" s="91">
        <f ca="1">IF(RTD("tos.rtd",,$A$2,"."&amp;N$43&amp;N$1&amp;"C"&amp;$A56)="N/A",0,RTD("tos.rtd",,$A$2,"."&amp;N$43&amp;N$1&amp;"C"&amp;$A56))-IF(RTD("tos.rtd",,$A$2,"."&amp;N$43&amp;N$1&amp;"P"&amp;$A56)="N/A",0,RTD("tos.rtd",,$A$2,"."&amp;N$43&amp;N$1&amp;"P"&amp;$A56))</f>
        <v>0</v>
      </c>
      <c r="O56" s="91">
        <f ca="1">IF(RTD("tos.rtd",,$A$2,"."&amp;O$43&amp;O$1&amp;"C"&amp;$A56)="N/A",0,RTD("tos.rtd",,$A$2,"."&amp;O$43&amp;O$1&amp;"C"&amp;$A56))-IF(RTD("tos.rtd",,$A$2,"."&amp;O$43&amp;O$1&amp;"P"&amp;$A56)="N/A",0,RTD("tos.rtd",,$A$2,"."&amp;O$43&amp;O$1&amp;"P"&amp;$A56))</f>
        <v>0</v>
      </c>
      <c r="P56" s="91">
        <f ca="1">IF(RTD("tos.rtd",,$A$2,"."&amp;P$43&amp;P$1&amp;"C"&amp;$A56)="N/A",0,RTD("tos.rtd",,$A$2,"."&amp;P$43&amp;P$1&amp;"C"&amp;$A56))-IF(RTD("tos.rtd",,$A$2,"."&amp;P$43&amp;P$1&amp;"P"&amp;$A56)="N/A",0,RTD("tos.rtd",,$A$2,"."&amp;P$43&amp;P$1&amp;"P"&amp;$A56))</f>
        <v>0</v>
      </c>
      <c r="Q56" s="91">
        <f ca="1">IF(RTD("tos.rtd",,$A$2,"."&amp;Q$43&amp;Q$1&amp;"C"&amp;$A56)="N/A",0,RTD("tos.rtd",,$A$2,"."&amp;Q$43&amp;Q$1&amp;"C"&amp;$A56))-IF(RTD("tos.rtd",,$A$2,"."&amp;Q$43&amp;Q$1&amp;"P"&amp;$A56)="N/A",0,RTD("tos.rtd",,$A$2,"."&amp;Q$43&amp;Q$1&amp;"P"&amp;$A56))</f>
        <v>0</v>
      </c>
      <c r="R56" s="91">
        <f ca="1">IF(RTD("tos.rtd",,$A$2,"."&amp;R$43&amp;R$1&amp;"C"&amp;$A56)="N/A",0,RTD("tos.rtd",,$A$2,"."&amp;R$43&amp;R$1&amp;"C"&amp;$A56))-IF(RTD("tos.rtd",,$A$2,"."&amp;R$43&amp;R$1&amp;"P"&amp;$A56)="N/A",0,RTD("tos.rtd",,$A$2,"."&amp;R$43&amp;R$1&amp;"P"&amp;$A56))</f>
        <v>110</v>
      </c>
      <c r="S56" s="91">
        <f ca="1">IF(RTD("tos.rtd",,$A$2,"."&amp;S$43&amp;S$1&amp;"C"&amp;$A56)="N/A",0,RTD("tos.rtd",,$A$2,"."&amp;S$43&amp;S$1&amp;"C"&amp;$A56))-IF(RTD("tos.rtd",,$A$2,"."&amp;S$43&amp;S$1&amp;"P"&amp;$A56)="N/A",0,RTD("tos.rtd",,$A$2,"."&amp;S$43&amp;S$1&amp;"P"&amp;$A56))</f>
        <v>0</v>
      </c>
      <c r="T56" s="91">
        <f ca="1">IF(RTD("tos.rtd",,$A$2,"."&amp;T$43&amp;T$1&amp;"C"&amp;$A56)="N/A",0,RTD("tos.rtd",,$A$2,"."&amp;T$43&amp;T$1&amp;"C"&amp;$A56))-IF(RTD("tos.rtd",,$A$2,"."&amp;T$43&amp;T$1&amp;"P"&amp;$A56)="N/A",0,RTD("tos.rtd",,$A$2,"."&amp;T$43&amp;T$1&amp;"P"&amp;$A56))</f>
        <v>0</v>
      </c>
      <c r="U56" s="91">
        <f ca="1">IF(RTD("tos.rtd",,$A$2,"."&amp;U$43&amp;U$1&amp;"C"&amp;$A56)="N/A",0,RTD("tos.rtd",,$A$2,"."&amp;U$43&amp;U$1&amp;"C"&amp;$A56))-IF(RTD("tos.rtd",,$A$2,"."&amp;U$43&amp;U$1&amp;"P"&amp;$A56)="N/A",0,RTD("tos.rtd",,$A$2,"."&amp;U$43&amp;U$1&amp;"P"&amp;$A56))</f>
        <v>0</v>
      </c>
      <c r="V56" s="91">
        <f ca="1">IF(RTD("tos.rtd",,$A$2,"."&amp;V$43&amp;V$1&amp;"C"&amp;$A56)="N/A",0,RTD("tos.rtd",,$A$2,"."&amp;V$43&amp;V$1&amp;"C"&amp;$A56))-IF(RTD("tos.rtd",,$A$2,"."&amp;V$43&amp;V$1&amp;"P"&amp;$A56)="N/A",0,RTD("tos.rtd",,$A$2,"."&amp;V$43&amp;V$1&amp;"P"&amp;$A56))</f>
        <v>0</v>
      </c>
      <c r="W56" s="91">
        <f ca="1">IF(RTD("tos.rtd",,$A$2,"."&amp;W$43&amp;W$1&amp;"C"&amp;$A56)="N/A",0,RTD("tos.rtd",,$A$2,"."&amp;W$43&amp;W$1&amp;"C"&amp;$A56))-IF(RTD("tos.rtd",,$A$2,"."&amp;W$43&amp;W$1&amp;"P"&amp;$A56)="N/A",0,RTD("tos.rtd",,$A$2,"."&amp;W$43&amp;W$1&amp;"P"&amp;$A56))</f>
        <v>0</v>
      </c>
      <c r="X56" s="91">
        <f ca="1">IF(RTD("tos.rtd",,$A$2,"."&amp;X$43&amp;X$1&amp;"C"&amp;$A56)="N/A",0,RTD("tos.rtd",,$A$2,"."&amp;X$43&amp;X$1&amp;"C"&amp;$A56))-IF(RTD("tos.rtd",,$A$2,"."&amp;X$43&amp;X$1&amp;"P"&amp;$A56)="N/A",0,RTD("tos.rtd",,$A$2,"."&amp;X$43&amp;X$1&amp;"P"&amp;$A56))</f>
        <v>0</v>
      </c>
      <c r="Y56" s="98">
        <f t="shared" ca="1" si="7"/>
        <v>554</v>
      </c>
    </row>
    <row r="57" spans="1:25" x14ac:dyDescent="0.25">
      <c r="A57" s="93">
        <f>+Hoja1!A56</f>
        <v>511</v>
      </c>
      <c r="B57" s="91">
        <f ca="1">IF(RTD("tos.rtd",,$A$2,"."&amp;B$43&amp;B$1&amp;"C"&amp;$A57)="N/A",0,RTD("tos.rtd",,$A$2,"."&amp;B$43&amp;B$1&amp;"C"&amp;$A57))-IF(RTD("tos.rtd",,$A$2,"."&amp;B$43&amp;B$1&amp;"P"&amp;$A57)="N/A",0,RTD("tos.rtd",,$A$2,"."&amp;B$43&amp;B$1&amp;"P"&amp;$A57))</f>
        <v>0</v>
      </c>
      <c r="C57" s="91">
        <f ca="1">IF(RTD("tos.rtd",,$A$2,"."&amp;C$43&amp;C$1&amp;"C"&amp;$A57)="N/A",0,RTD("tos.rtd",,$A$2,"."&amp;C$43&amp;C$1&amp;"C"&amp;$A57))-IF(RTD("tos.rtd",,$A$2,"."&amp;C$43&amp;C$1&amp;"P"&amp;$A57)="N/A",0,RTD("tos.rtd",,$A$2,"."&amp;C$43&amp;C$1&amp;"P"&amp;$A57))</f>
        <v>0</v>
      </c>
      <c r="D57" s="91">
        <f ca="1">IF(RTD("tos.rtd",,$A$2,"."&amp;D$43&amp;D$1&amp;"C"&amp;$A57)="N/A",0,RTD("tos.rtd",,$A$2,"."&amp;D$43&amp;D$1&amp;"C"&amp;$A57))-IF(RTD("tos.rtd",,$A$2,"."&amp;D$43&amp;D$1&amp;"P"&amp;$A57)="N/A",0,RTD("tos.rtd",,$A$2,"."&amp;D$43&amp;D$1&amp;"P"&amp;$A57))</f>
        <v>0</v>
      </c>
      <c r="E57" s="91">
        <f ca="1">IF(RTD("tos.rtd",,$A$2,"."&amp;E$43&amp;E$1&amp;"C"&amp;$A57)="N/A",0,RTD("tos.rtd",,$A$2,"."&amp;E$43&amp;E$1&amp;"C"&amp;$A57))-IF(RTD("tos.rtd",,$A$2,"."&amp;E$43&amp;E$1&amp;"P"&amp;$A57)="N/A",0,RTD("tos.rtd",,$A$2,"."&amp;E$43&amp;E$1&amp;"P"&amp;$A57))</f>
        <v>0</v>
      </c>
      <c r="F57" s="91">
        <f ca="1">IF(RTD("tos.rtd",,$A$2,"."&amp;F$43&amp;F$1&amp;"C"&amp;$A57)="N/A",0,RTD("tos.rtd",,$A$2,"."&amp;F$43&amp;F$1&amp;"C"&amp;$A57))-IF(RTD("tos.rtd",,$A$2,"."&amp;F$43&amp;F$1&amp;"P"&amp;$A57)="N/A",0,RTD("tos.rtd",,$A$2,"."&amp;F$43&amp;F$1&amp;"P"&amp;$A57))</f>
        <v>0</v>
      </c>
      <c r="G57" s="91">
        <f ca="1">IF(RTD("tos.rtd",,$A$2,"."&amp;G$43&amp;G$1&amp;"C"&amp;$A57)="N/A",0,RTD("tos.rtd",,$A$2,"."&amp;G$43&amp;G$1&amp;"C"&amp;$A57))-IF(RTD("tos.rtd",,$A$2,"."&amp;G$43&amp;G$1&amp;"P"&amp;$A57)="N/A",0,RTD("tos.rtd",,$A$2,"."&amp;G$43&amp;G$1&amp;"P"&amp;$A57))</f>
        <v>0</v>
      </c>
      <c r="H57" s="91">
        <f ca="1">IF(RTD("tos.rtd",,$A$2,"."&amp;H$43&amp;H$1&amp;"C"&amp;$A57)="N/A",0,RTD("tos.rtd",,$A$2,"."&amp;H$43&amp;H$1&amp;"C"&amp;$A57))-IF(RTD("tos.rtd",,$A$2,"."&amp;H$43&amp;H$1&amp;"P"&amp;$A57)="N/A",0,RTD("tos.rtd",,$A$2,"."&amp;H$43&amp;H$1&amp;"P"&amp;$A57))</f>
        <v>1187</v>
      </c>
      <c r="I57" s="91">
        <f ca="1">IF(RTD("tos.rtd",,$A$2,"."&amp;I$43&amp;I$1&amp;"C"&amp;$A57)="N/A",0,RTD("tos.rtd",,$A$2,"."&amp;I$43&amp;I$1&amp;"C"&amp;$A57))-IF(RTD("tos.rtd",,$A$2,"."&amp;I$43&amp;I$1&amp;"P"&amp;$A57)="N/A",0,RTD("tos.rtd",,$A$2,"."&amp;I$43&amp;I$1&amp;"P"&amp;$A57))</f>
        <v>382</v>
      </c>
      <c r="J57" s="91">
        <f ca="1">IF(RTD("tos.rtd",,$A$2,"."&amp;J$43&amp;J$1&amp;"C"&amp;$A57)="N/A",0,RTD("tos.rtd",,$A$2,"."&amp;J$43&amp;J$1&amp;"C"&amp;$A57))-IF(RTD("tos.rtd",,$A$2,"."&amp;J$43&amp;J$1&amp;"P"&amp;$A57)="N/A",0,RTD("tos.rtd",,$A$2,"."&amp;J$43&amp;J$1&amp;"P"&amp;$A57))</f>
        <v>0</v>
      </c>
      <c r="K57" s="91">
        <f ca="1">IF(RTD("tos.rtd",,$A$2,"."&amp;K$43&amp;K$1&amp;"C"&amp;$A57)="N/A",0,RTD("tos.rtd",,$A$2,"."&amp;K$43&amp;K$1&amp;"C"&amp;$A57))-IF(RTD("tos.rtd",,$A$2,"."&amp;K$43&amp;K$1&amp;"P"&amp;$A57)="N/A",0,RTD("tos.rtd",,$A$2,"."&amp;K$43&amp;K$1&amp;"P"&amp;$A57))</f>
        <v>0</v>
      </c>
      <c r="L57" s="91">
        <f ca="1">IF(RTD("tos.rtd",,$A$2,"."&amp;L$43&amp;L$1&amp;"C"&amp;$A57)="N/A",0,RTD("tos.rtd",,$A$2,"."&amp;L$43&amp;L$1&amp;"C"&amp;$A57))-IF(RTD("tos.rtd",,$A$2,"."&amp;L$43&amp;L$1&amp;"P"&amp;$A57)="N/A",0,RTD("tos.rtd",,$A$2,"."&amp;L$43&amp;L$1&amp;"P"&amp;$A57))</f>
        <v>52</v>
      </c>
      <c r="M57" s="91">
        <f ca="1">IF(RTD("tos.rtd",,$A$2,"."&amp;M$43&amp;M$1&amp;"C"&amp;$A57)="N/A",0,RTD("tos.rtd",,$A$2,"."&amp;M$43&amp;M$1&amp;"C"&amp;$A57))-IF(RTD("tos.rtd",,$A$2,"."&amp;M$43&amp;M$1&amp;"P"&amp;$A57)="N/A",0,RTD("tos.rtd",,$A$2,"."&amp;M$43&amp;M$1&amp;"P"&amp;$A57))</f>
        <v>0</v>
      </c>
      <c r="N57" s="91">
        <f ca="1">IF(RTD("tos.rtd",,$A$2,"."&amp;N$43&amp;N$1&amp;"C"&amp;$A57)="N/A",0,RTD("tos.rtd",,$A$2,"."&amp;N$43&amp;N$1&amp;"C"&amp;$A57))-IF(RTD("tos.rtd",,$A$2,"."&amp;N$43&amp;N$1&amp;"P"&amp;$A57)="N/A",0,RTD("tos.rtd",,$A$2,"."&amp;N$43&amp;N$1&amp;"P"&amp;$A57))</f>
        <v>0</v>
      </c>
      <c r="O57" s="91">
        <f ca="1">IF(RTD("tos.rtd",,$A$2,"."&amp;O$43&amp;O$1&amp;"C"&amp;$A57)="N/A",0,RTD("tos.rtd",,$A$2,"."&amp;O$43&amp;O$1&amp;"C"&amp;$A57))-IF(RTD("tos.rtd",,$A$2,"."&amp;O$43&amp;O$1&amp;"P"&amp;$A57)="N/A",0,RTD("tos.rtd",,$A$2,"."&amp;O$43&amp;O$1&amp;"P"&amp;$A57))</f>
        <v>0</v>
      </c>
      <c r="P57" s="91">
        <f ca="1">IF(RTD("tos.rtd",,$A$2,"."&amp;P$43&amp;P$1&amp;"C"&amp;$A57)="N/A",0,RTD("tos.rtd",,$A$2,"."&amp;P$43&amp;P$1&amp;"C"&amp;$A57))-IF(RTD("tos.rtd",,$A$2,"."&amp;P$43&amp;P$1&amp;"P"&amp;$A57)="N/A",0,RTD("tos.rtd",,$A$2,"."&amp;P$43&amp;P$1&amp;"P"&amp;$A57))</f>
        <v>0</v>
      </c>
      <c r="Q57" s="91">
        <f ca="1">IF(RTD("tos.rtd",,$A$2,"."&amp;Q$43&amp;Q$1&amp;"C"&amp;$A57)="N/A",0,RTD("tos.rtd",,$A$2,"."&amp;Q$43&amp;Q$1&amp;"C"&amp;$A57))-IF(RTD("tos.rtd",,$A$2,"."&amp;Q$43&amp;Q$1&amp;"P"&amp;$A57)="N/A",0,RTD("tos.rtd",,$A$2,"."&amp;Q$43&amp;Q$1&amp;"P"&amp;$A57))</f>
        <v>0</v>
      </c>
      <c r="R57" s="91">
        <f ca="1">IF(RTD("tos.rtd",,$A$2,"."&amp;R$43&amp;R$1&amp;"C"&amp;$A57)="N/A",0,RTD("tos.rtd",,$A$2,"."&amp;R$43&amp;R$1&amp;"C"&amp;$A57))-IF(RTD("tos.rtd",,$A$2,"."&amp;R$43&amp;R$1&amp;"P"&amp;$A57)="N/A",0,RTD("tos.rtd",,$A$2,"."&amp;R$43&amp;R$1&amp;"P"&amp;$A57))</f>
        <v>-75</v>
      </c>
      <c r="S57" s="91">
        <f ca="1">IF(RTD("tos.rtd",,$A$2,"."&amp;S$43&amp;S$1&amp;"C"&amp;$A57)="N/A",0,RTD("tos.rtd",,$A$2,"."&amp;S$43&amp;S$1&amp;"C"&amp;$A57))-IF(RTD("tos.rtd",,$A$2,"."&amp;S$43&amp;S$1&amp;"P"&amp;$A57)="N/A",0,RTD("tos.rtd",,$A$2,"."&amp;S$43&amp;S$1&amp;"P"&amp;$A57))</f>
        <v>0</v>
      </c>
      <c r="T57" s="91">
        <f ca="1">IF(RTD("tos.rtd",,$A$2,"."&amp;T$43&amp;T$1&amp;"C"&amp;$A57)="N/A",0,RTD("tos.rtd",,$A$2,"."&amp;T$43&amp;T$1&amp;"C"&amp;$A57))-IF(RTD("tos.rtd",,$A$2,"."&amp;T$43&amp;T$1&amp;"P"&amp;$A57)="N/A",0,RTD("tos.rtd",,$A$2,"."&amp;T$43&amp;T$1&amp;"P"&amp;$A57))</f>
        <v>0</v>
      </c>
      <c r="U57" s="91">
        <f ca="1">IF(RTD("tos.rtd",,$A$2,"."&amp;U$43&amp;U$1&amp;"C"&amp;$A57)="N/A",0,RTD("tos.rtd",,$A$2,"."&amp;U$43&amp;U$1&amp;"C"&amp;$A57))-IF(RTD("tos.rtd",,$A$2,"."&amp;U$43&amp;U$1&amp;"P"&amp;$A57)="N/A",0,RTD("tos.rtd",,$A$2,"."&amp;U$43&amp;U$1&amp;"P"&amp;$A57))</f>
        <v>0</v>
      </c>
      <c r="V57" s="91">
        <f ca="1">IF(RTD("tos.rtd",,$A$2,"."&amp;V$43&amp;V$1&amp;"C"&amp;$A57)="N/A",0,RTD("tos.rtd",,$A$2,"."&amp;V$43&amp;V$1&amp;"C"&amp;$A57))-IF(RTD("tos.rtd",,$A$2,"."&amp;V$43&amp;V$1&amp;"P"&amp;$A57)="N/A",0,RTD("tos.rtd",,$A$2,"."&amp;V$43&amp;V$1&amp;"P"&amp;$A57))</f>
        <v>0</v>
      </c>
      <c r="W57" s="91">
        <f ca="1">IF(RTD("tos.rtd",,$A$2,"."&amp;W$43&amp;W$1&amp;"C"&amp;$A57)="N/A",0,RTD("tos.rtd",,$A$2,"."&amp;W$43&amp;W$1&amp;"C"&amp;$A57))-IF(RTD("tos.rtd",,$A$2,"."&amp;W$43&amp;W$1&amp;"P"&amp;$A57)="N/A",0,RTD("tos.rtd",,$A$2,"."&amp;W$43&amp;W$1&amp;"P"&amp;$A57))</f>
        <v>0</v>
      </c>
      <c r="X57" s="91">
        <f ca="1">IF(RTD("tos.rtd",,$A$2,"."&amp;X$43&amp;X$1&amp;"C"&amp;$A57)="N/A",0,RTD("tos.rtd",,$A$2,"."&amp;X$43&amp;X$1&amp;"C"&amp;$A57))-IF(RTD("tos.rtd",,$A$2,"."&amp;X$43&amp;X$1&amp;"P"&amp;$A57)="N/A",0,RTD("tos.rtd",,$A$2,"."&amp;X$43&amp;X$1&amp;"P"&amp;$A57))</f>
        <v>1</v>
      </c>
      <c r="Y57" s="98">
        <f t="shared" ca="1" si="7"/>
        <v>1547</v>
      </c>
    </row>
    <row r="58" spans="1:25" x14ac:dyDescent="0.25">
      <c r="A58" s="93">
        <f>+Hoja1!A57</f>
        <v>510</v>
      </c>
      <c r="B58" s="91">
        <f ca="1">IF(RTD("tos.rtd",,$A$2,"."&amp;B$43&amp;B$1&amp;"C"&amp;$A58)="N/A",0,RTD("tos.rtd",,$A$2,"."&amp;B$43&amp;B$1&amp;"C"&amp;$A58))-IF(RTD("tos.rtd",,$A$2,"."&amp;B$43&amp;B$1&amp;"P"&amp;$A58)="N/A",0,RTD("tos.rtd",,$A$2,"."&amp;B$43&amp;B$1&amp;"P"&amp;$A58))</f>
        <v>0</v>
      </c>
      <c r="C58" s="91">
        <f ca="1">IF(RTD("tos.rtd",,$A$2,"."&amp;C$43&amp;C$1&amp;"C"&amp;$A58)="N/A",0,RTD("tos.rtd",,$A$2,"."&amp;C$43&amp;C$1&amp;"C"&amp;$A58))-IF(RTD("tos.rtd",,$A$2,"."&amp;C$43&amp;C$1&amp;"P"&amp;$A58)="N/A",0,RTD("tos.rtd",,$A$2,"."&amp;C$43&amp;C$1&amp;"P"&amp;$A58))</f>
        <v>0</v>
      </c>
      <c r="D58" s="91">
        <f ca="1">IF(RTD("tos.rtd",,$A$2,"."&amp;D$43&amp;D$1&amp;"C"&amp;$A58)="N/A",0,RTD("tos.rtd",,$A$2,"."&amp;D$43&amp;D$1&amp;"C"&amp;$A58))-IF(RTD("tos.rtd",,$A$2,"."&amp;D$43&amp;D$1&amp;"P"&amp;$A58)="N/A",0,RTD("tos.rtd",,$A$2,"."&amp;D$43&amp;D$1&amp;"P"&amp;$A58))</f>
        <v>0</v>
      </c>
      <c r="E58" s="91">
        <f ca="1">IF(RTD("tos.rtd",,$A$2,"."&amp;E$43&amp;E$1&amp;"C"&amp;$A58)="N/A",0,RTD("tos.rtd",,$A$2,"."&amp;E$43&amp;E$1&amp;"C"&amp;$A58))-IF(RTD("tos.rtd",,$A$2,"."&amp;E$43&amp;E$1&amp;"P"&amp;$A58)="N/A",0,RTD("tos.rtd",,$A$2,"."&amp;E$43&amp;E$1&amp;"P"&amp;$A58))</f>
        <v>0</v>
      </c>
      <c r="F58" s="91">
        <f ca="1">IF(RTD("tos.rtd",,$A$2,"."&amp;F$43&amp;F$1&amp;"C"&amp;$A58)="N/A",0,RTD("tos.rtd",,$A$2,"."&amp;F$43&amp;F$1&amp;"C"&amp;$A58))-IF(RTD("tos.rtd",,$A$2,"."&amp;F$43&amp;F$1&amp;"P"&amp;$A58)="N/A",0,RTD("tos.rtd",,$A$2,"."&amp;F$43&amp;F$1&amp;"P"&amp;$A58))</f>
        <v>0</v>
      </c>
      <c r="G58" s="91">
        <f ca="1">IF(RTD("tos.rtd",,$A$2,"."&amp;G$43&amp;G$1&amp;"C"&amp;$A58)="N/A",0,RTD("tos.rtd",,$A$2,"."&amp;G$43&amp;G$1&amp;"C"&amp;$A58))-IF(RTD("tos.rtd",,$A$2,"."&amp;G$43&amp;G$1&amp;"P"&amp;$A58)="N/A",0,RTD("tos.rtd",,$A$2,"."&amp;G$43&amp;G$1&amp;"P"&amp;$A58))</f>
        <v>0</v>
      </c>
      <c r="H58" s="91">
        <f ca="1">IF(RTD("tos.rtd",,$A$2,"."&amp;H$43&amp;H$1&amp;"C"&amp;$A58)="N/A",0,RTD("tos.rtd",,$A$2,"."&amp;H$43&amp;H$1&amp;"C"&amp;$A58))-IF(RTD("tos.rtd",,$A$2,"."&amp;H$43&amp;H$1&amp;"P"&amp;$A58)="N/A",0,RTD("tos.rtd",,$A$2,"."&amp;H$43&amp;H$1&amp;"P"&amp;$A58))</f>
        <v>2400</v>
      </c>
      <c r="I58" s="91">
        <f ca="1">IF(RTD("tos.rtd",,$A$2,"."&amp;I$43&amp;I$1&amp;"C"&amp;$A58)="N/A",0,RTD("tos.rtd",,$A$2,"."&amp;I$43&amp;I$1&amp;"C"&amp;$A58))-IF(RTD("tos.rtd",,$A$2,"."&amp;I$43&amp;I$1&amp;"P"&amp;$A58)="N/A",0,RTD("tos.rtd",,$A$2,"."&amp;I$43&amp;I$1&amp;"P"&amp;$A58))</f>
        <v>1259</v>
      </c>
      <c r="J58" s="91">
        <f ca="1">IF(RTD("tos.rtd",,$A$2,"."&amp;J$43&amp;J$1&amp;"C"&amp;$A58)="N/A",0,RTD("tos.rtd",,$A$2,"."&amp;J$43&amp;J$1&amp;"C"&amp;$A58))-IF(RTD("tos.rtd",,$A$2,"."&amp;J$43&amp;J$1&amp;"P"&amp;$A58)="N/A",0,RTD("tos.rtd",,$A$2,"."&amp;J$43&amp;J$1&amp;"P"&amp;$A58))</f>
        <v>5024</v>
      </c>
      <c r="K58" s="91">
        <f ca="1">IF(RTD("tos.rtd",,$A$2,"."&amp;K$43&amp;K$1&amp;"C"&amp;$A58)="N/A",0,RTD("tos.rtd",,$A$2,"."&amp;K$43&amp;K$1&amp;"C"&amp;$A58))-IF(RTD("tos.rtd",,$A$2,"."&amp;K$43&amp;K$1&amp;"P"&amp;$A58)="N/A",0,RTD("tos.rtd",,$A$2,"."&amp;K$43&amp;K$1&amp;"P"&amp;$A58))</f>
        <v>0</v>
      </c>
      <c r="L58" s="91">
        <f ca="1">IF(RTD("tos.rtd",,$A$2,"."&amp;L$43&amp;L$1&amp;"C"&amp;$A58)="N/A",0,RTD("tos.rtd",,$A$2,"."&amp;L$43&amp;L$1&amp;"C"&amp;$A58))-IF(RTD("tos.rtd",,$A$2,"."&amp;L$43&amp;L$1&amp;"P"&amp;$A58)="N/A",0,RTD("tos.rtd",,$A$2,"."&amp;L$43&amp;L$1&amp;"P"&amp;$A58))</f>
        <v>186</v>
      </c>
      <c r="M58" s="91">
        <f ca="1">IF(RTD("tos.rtd",,$A$2,"."&amp;M$43&amp;M$1&amp;"C"&amp;$A58)="N/A",0,RTD("tos.rtd",,$A$2,"."&amp;M$43&amp;M$1&amp;"C"&amp;$A58))-IF(RTD("tos.rtd",,$A$2,"."&amp;M$43&amp;M$1&amp;"P"&amp;$A58)="N/A",0,RTD("tos.rtd",,$A$2,"."&amp;M$43&amp;M$1&amp;"P"&amp;$A58))</f>
        <v>1841</v>
      </c>
      <c r="N58" s="91">
        <f ca="1">IF(RTD("tos.rtd",,$A$2,"."&amp;N$43&amp;N$1&amp;"C"&amp;$A58)="N/A",0,RTD("tos.rtd",,$A$2,"."&amp;N$43&amp;N$1&amp;"C"&amp;$A58))-IF(RTD("tos.rtd",,$A$2,"."&amp;N$43&amp;N$1&amp;"P"&amp;$A58)="N/A",0,RTD("tos.rtd",,$A$2,"."&amp;N$43&amp;N$1&amp;"P"&amp;$A58))</f>
        <v>158</v>
      </c>
      <c r="O58" s="91">
        <f ca="1">IF(RTD("tos.rtd",,$A$2,"."&amp;O$43&amp;O$1&amp;"C"&amp;$A58)="N/A",0,RTD("tos.rtd",,$A$2,"."&amp;O$43&amp;O$1&amp;"C"&amp;$A58))-IF(RTD("tos.rtd",,$A$2,"."&amp;O$43&amp;O$1&amp;"P"&amp;$A58)="N/A",0,RTD("tos.rtd",,$A$2,"."&amp;O$43&amp;O$1&amp;"P"&amp;$A58))</f>
        <v>42</v>
      </c>
      <c r="P58" s="91">
        <f ca="1">IF(RTD("tos.rtd",,$A$2,"."&amp;P$43&amp;P$1&amp;"C"&amp;$A58)="N/A",0,RTD("tos.rtd",,$A$2,"."&amp;P$43&amp;P$1&amp;"C"&amp;$A58))-IF(RTD("tos.rtd",,$A$2,"."&amp;P$43&amp;P$1&amp;"P"&amp;$A58)="N/A",0,RTD("tos.rtd",,$A$2,"."&amp;P$43&amp;P$1&amp;"P"&amp;$A58))</f>
        <v>23</v>
      </c>
      <c r="Q58" s="91">
        <f ca="1">IF(RTD("tos.rtd",,$A$2,"."&amp;Q$43&amp;Q$1&amp;"C"&amp;$A58)="N/A",0,RTD("tos.rtd",,$A$2,"."&amp;Q$43&amp;Q$1&amp;"C"&amp;$A58))-IF(RTD("tos.rtd",,$A$2,"."&amp;Q$43&amp;Q$1&amp;"P"&amp;$A58)="N/A",0,RTD("tos.rtd",,$A$2,"."&amp;Q$43&amp;Q$1&amp;"P"&amp;$A58))</f>
        <v>-3493</v>
      </c>
      <c r="R58" s="91">
        <f ca="1">IF(RTD("tos.rtd",,$A$2,"."&amp;R$43&amp;R$1&amp;"C"&amp;$A58)="N/A",0,RTD("tos.rtd",,$A$2,"."&amp;R$43&amp;R$1&amp;"C"&amp;$A58))-IF(RTD("tos.rtd",,$A$2,"."&amp;R$43&amp;R$1&amp;"P"&amp;$A58)="N/A",0,RTD("tos.rtd",,$A$2,"."&amp;R$43&amp;R$1&amp;"P"&amp;$A58))</f>
        <v>-17</v>
      </c>
      <c r="S58" s="91">
        <f ca="1">IF(RTD("tos.rtd",,$A$2,"."&amp;S$43&amp;S$1&amp;"C"&amp;$A58)="N/A",0,RTD("tos.rtd",,$A$2,"."&amp;S$43&amp;S$1&amp;"C"&amp;$A58))-IF(RTD("tos.rtd",,$A$2,"."&amp;S$43&amp;S$1&amp;"P"&amp;$A58)="N/A",0,RTD("tos.rtd",,$A$2,"."&amp;S$43&amp;S$1&amp;"P"&amp;$A58))</f>
        <v>0</v>
      </c>
      <c r="T58" s="91">
        <f ca="1">IF(RTD("tos.rtd",,$A$2,"."&amp;T$43&amp;T$1&amp;"C"&amp;$A58)="N/A",0,RTD("tos.rtd",,$A$2,"."&amp;T$43&amp;T$1&amp;"C"&amp;$A58))-IF(RTD("tos.rtd",,$A$2,"."&amp;T$43&amp;T$1&amp;"P"&amp;$A58)="N/A",0,RTD("tos.rtd",,$A$2,"."&amp;T$43&amp;T$1&amp;"P"&amp;$A58))</f>
        <v>0</v>
      </c>
      <c r="U58" s="91">
        <f ca="1">IF(RTD("tos.rtd",,$A$2,"."&amp;U$43&amp;U$1&amp;"C"&amp;$A58)="N/A",0,RTD("tos.rtd",,$A$2,"."&amp;U$43&amp;U$1&amp;"C"&amp;$A58))-IF(RTD("tos.rtd",,$A$2,"."&amp;U$43&amp;U$1&amp;"P"&amp;$A58)="N/A",0,RTD("tos.rtd",,$A$2,"."&amp;U$43&amp;U$1&amp;"P"&amp;$A58))</f>
        <v>-233</v>
      </c>
      <c r="V58" s="91">
        <f ca="1">IF(RTD("tos.rtd",,$A$2,"."&amp;V$43&amp;V$1&amp;"C"&amp;$A58)="N/A",0,RTD("tos.rtd",,$A$2,"."&amp;V$43&amp;V$1&amp;"C"&amp;$A58))-IF(RTD("tos.rtd",,$A$2,"."&amp;V$43&amp;V$1&amp;"P"&amp;$A58)="N/A",0,RTD("tos.rtd",,$A$2,"."&amp;V$43&amp;V$1&amp;"P"&amp;$A58))</f>
        <v>0</v>
      </c>
      <c r="W58" s="91">
        <f ca="1">IF(RTD("tos.rtd",,$A$2,"."&amp;W$43&amp;W$1&amp;"C"&amp;$A58)="N/A",0,RTD("tos.rtd",,$A$2,"."&amp;W$43&amp;W$1&amp;"C"&amp;$A58))-IF(RTD("tos.rtd",,$A$2,"."&amp;W$43&amp;W$1&amp;"P"&amp;$A58)="N/A",0,RTD("tos.rtd",,$A$2,"."&amp;W$43&amp;W$1&amp;"P"&amp;$A58))</f>
        <v>261</v>
      </c>
      <c r="X58" s="91">
        <f ca="1">IF(RTD("tos.rtd",,$A$2,"."&amp;X$43&amp;X$1&amp;"C"&amp;$A58)="N/A",0,RTD("tos.rtd",,$A$2,"."&amp;X$43&amp;X$1&amp;"C"&amp;$A58))-IF(RTD("tos.rtd",,$A$2,"."&amp;X$43&amp;X$1&amp;"P"&amp;$A58)="N/A",0,RTD("tos.rtd",,$A$2,"."&amp;X$43&amp;X$1&amp;"P"&amp;$A58))</f>
        <v>169</v>
      </c>
      <c r="Y58" s="98">
        <f t="shared" ca="1" si="7"/>
        <v>7620</v>
      </c>
    </row>
    <row r="59" spans="1:25" x14ac:dyDescent="0.25">
      <c r="A59" s="93">
        <f>+Hoja1!A58</f>
        <v>509</v>
      </c>
      <c r="B59" s="91">
        <f ca="1">IF(RTD("tos.rtd",,$A$2,"."&amp;B$43&amp;B$1&amp;"C"&amp;$A59)="N/A",0,RTD("tos.rtd",,$A$2,"."&amp;B$43&amp;B$1&amp;"C"&amp;$A59))-IF(RTD("tos.rtd",,$A$2,"."&amp;B$43&amp;B$1&amp;"P"&amp;$A59)="N/A",0,RTD("tos.rtd",,$A$2,"."&amp;B$43&amp;B$1&amp;"P"&amp;$A59))</f>
        <v>0</v>
      </c>
      <c r="C59" s="91">
        <f ca="1">IF(RTD("tos.rtd",,$A$2,"."&amp;C$43&amp;C$1&amp;"C"&amp;$A59)="N/A",0,RTD("tos.rtd",,$A$2,"."&amp;C$43&amp;C$1&amp;"C"&amp;$A59))-IF(RTD("tos.rtd",,$A$2,"."&amp;C$43&amp;C$1&amp;"P"&amp;$A59)="N/A",0,RTD("tos.rtd",,$A$2,"."&amp;C$43&amp;C$1&amp;"P"&amp;$A59))</f>
        <v>0</v>
      </c>
      <c r="D59" s="91">
        <f ca="1">IF(RTD("tos.rtd",,$A$2,"."&amp;D$43&amp;D$1&amp;"C"&amp;$A59)="N/A",0,RTD("tos.rtd",,$A$2,"."&amp;D$43&amp;D$1&amp;"C"&amp;$A59))-IF(RTD("tos.rtd",,$A$2,"."&amp;D$43&amp;D$1&amp;"P"&amp;$A59)="N/A",0,RTD("tos.rtd",,$A$2,"."&amp;D$43&amp;D$1&amp;"P"&amp;$A59))</f>
        <v>0</v>
      </c>
      <c r="E59" s="91">
        <f ca="1">IF(RTD("tos.rtd",,$A$2,"."&amp;E$43&amp;E$1&amp;"C"&amp;$A59)="N/A",0,RTD("tos.rtd",,$A$2,"."&amp;E$43&amp;E$1&amp;"C"&amp;$A59))-IF(RTD("tos.rtd",,$A$2,"."&amp;E$43&amp;E$1&amp;"P"&amp;$A59)="N/A",0,RTD("tos.rtd",,$A$2,"."&amp;E$43&amp;E$1&amp;"P"&amp;$A59))</f>
        <v>0</v>
      </c>
      <c r="F59" s="91">
        <f ca="1">IF(RTD("tos.rtd",,$A$2,"."&amp;F$43&amp;F$1&amp;"C"&amp;$A59)="N/A",0,RTD("tos.rtd",,$A$2,"."&amp;F$43&amp;F$1&amp;"C"&amp;$A59))-IF(RTD("tos.rtd",,$A$2,"."&amp;F$43&amp;F$1&amp;"P"&amp;$A59)="N/A",0,RTD("tos.rtd",,$A$2,"."&amp;F$43&amp;F$1&amp;"P"&amp;$A59))</f>
        <v>0</v>
      </c>
      <c r="G59" s="91">
        <f ca="1">IF(RTD("tos.rtd",,$A$2,"."&amp;G$43&amp;G$1&amp;"C"&amp;$A59)="N/A",0,RTD("tos.rtd",,$A$2,"."&amp;G$43&amp;G$1&amp;"C"&amp;$A59))-IF(RTD("tos.rtd",,$A$2,"."&amp;G$43&amp;G$1&amp;"P"&amp;$A59)="N/A",0,RTD("tos.rtd",,$A$2,"."&amp;G$43&amp;G$1&amp;"P"&amp;$A59))</f>
        <v>0</v>
      </c>
      <c r="H59" s="91">
        <f ca="1">IF(RTD("tos.rtd",,$A$2,"."&amp;H$43&amp;H$1&amp;"C"&amp;$A59)="N/A",0,RTD("tos.rtd",,$A$2,"."&amp;H$43&amp;H$1&amp;"C"&amp;$A59))-IF(RTD("tos.rtd",,$A$2,"."&amp;H$43&amp;H$1&amp;"P"&amp;$A59)="N/A",0,RTD("tos.rtd",,$A$2,"."&amp;H$43&amp;H$1&amp;"P"&amp;$A59))</f>
        <v>214</v>
      </c>
      <c r="I59" s="91">
        <f ca="1">IF(RTD("tos.rtd",,$A$2,"."&amp;I$43&amp;I$1&amp;"C"&amp;$A59)="N/A",0,RTD("tos.rtd",,$A$2,"."&amp;I$43&amp;I$1&amp;"C"&amp;$A59))-IF(RTD("tos.rtd",,$A$2,"."&amp;I$43&amp;I$1&amp;"P"&amp;$A59)="N/A",0,RTD("tos.rtd",,$A$2,"."&amp;I$43&amp;I$1&amp;"P"&amp;$A59))</f>
        <v>128</v>
      </c>
      <c r="J59" s="91">
        <f ca="1">IF(RTD("tos.rtd",,$A$2,"."&amp;J$43&amp;J$1&amp;"C"&amp;$A59)="N/A",0,RTD("tos.rtd",,$A$2,"."&amp;J$43&amp;J$1&amp;"C"&amp;$A59))-IF(RTD("tos.rtd",,$A$2,"."&amp;J$43&amp;J$1&amp;"P"&amp;$A59)="N/A",0,RTD("tos.rtd",,$A$2,"."&amp;J$43&amp;J$1&amp;"P"&amp;$A59))</f>
        <v>0</v>
      </c>
      <c r="K59" s="91">
        <f ca="1">IF(RTD("tos.rtd",,$A$2,"."&amp;K$43&amp;K$1&amp;"C"&amp;$A59)="N/A",0,RTD("tos.rtd",,$A$2,"."&amp;K$43&amp;K$1&amp;"C"&amp;$A59))-IF(RTD("tos.rtd",,$A$2,"."&amp;K$43&amp;K$1&amp;"P"&amp;$A59)="N/A",0,RTD("tos.rtd",,$A$2,"."&amp;K$43&amp;K$1&amp;"P"&amp;$A59))</f>
        <v>0</v>
      </c>
      <c r="L59" s="91">
        <f ca="1">IF(RTD("tos.rtd",,$A$2,"."&amp;L$43&amp;L$1&amp;"C"&amp;$A59)="N/A",0,RTD("tos.rtd",,$A$2,"."&amp;L$43&amp;L$1&amp;"C"&amp;$A59))-IF(RTD("tos.rtd",,$A$2,"."&amp;L$43&amp;L$1&amp;"P"&amp;$A59)="N/A",0,RTD("tos.rtd",,$A$2,"."&amp;L$43&amp;L$1&amp;"P"&amp;$A59))</f>
        <v>17</v>
      </c>
      <c r="M59" s="91">
        <f ca="1">IF(RTD("tos.rtd",,$A$2,"."&amp;M$43&amp;M$1&amp;"C"&amp;$A59)="N/A",0,RTD("tos.rtd",,$A$2,"."&amp;M$43&amp;M$1&amp;"C"&amp;$A59))-IF(RTD("tos.rtd",,$A$2,"."&amp;M$43&amp;M$1&amp;"P"&amp;$A59)="N/A",0,RTD("tos.rtd",,$A$2,"."&amp;M$43&amp;M$1&amp;"P"&amp;$A59))</f>
        <v>0</v>
      </c>
      <c r="N59" s="91">
        <f ca="1">IF(RTD("tos.rtd",,$A$2,"."&amp;N$43&amp;N$1&amp;"C"&amp;$A59)="N/A",0,RTD("tos.rtd",,$A$2,"."&amp;N$43&amp;N$1&amp;"C"&amp;$A59))-IF(RTD("tos.rtd",,$A$2,"."&amp;N$43&amp;N$1&amp;"P"&amp;$A59)="N/A",0,RTD("tos.rtd",,$A$2,"."&amp;N$43&amp;N$1&amp;"P"&amp;$A59))</f>
        <v>0</v>
      </c>
      <c r="O59" s="91">
        <f ca="1">IF(RTD("tos.rtd",,$A$2,"."&amp;O$43&amp;O$1&amp;"C"&amp;$A59)="N/A",0,RTD("tos.rtd",,$A$2,"."&amp;O$43&amp;O$1&amp;"C"&amp;$A59))-IF(RTD("tos.rtd",,$A$2,"."&amp;O$43&amp;O$1&amp;"P"&amp;$A59)="N/A",0,RTD("tos.rtd",,$A$2,"."&amp;O$43&amp;O$1&amp;"P"&amp;$A59))</f>
        <v>0</v>
      </c>
      <c r="P59" s="91">
        <f ca="1">IF(RTD("tos.rtd",,$A$2,"."&amp;P$43&amp;P$1&amp;"C"&amp;$A59)="N/A",0,RTD("tos.rtd",,$A$2,"."&amp;P$43&amp;P$1&amp;"C"&amp;$A59))-IF(RTD("tos.rtd",,$A$2,"."&amp;P$43&amp;P$1&amp;"P"&amp;$A59)="N/A",0,RTD("tos.rtd",,$A$2,"."&amp;P$43&amp;P$1&amp;"P"&amp;$A59))</f>
        <v>0</v>
      </c>
      <c r="Q59" s="91">
        <f ca="1">IF(RTD("tos.rtd",,$A$2,"."&amp;Q$43&amp;Q$1&amp;"C"&amp;$A59)="N/A",0,RTD("tos.rtd",,$A$2,"."&amp;Q$43&amp;Q$1&amp;"C"&amp;$A59))-IF(RTD("tos.rtd",,$A$2,"."&amp;Q$43&amp;Q$1&amp;"P"&amp;$A59)="N/A",0,RTD("tos.rtd",,$A$2,"."&amp;Q$43&amp;Q$1&amp;"P"&amp;$A59))</f>
        <v>0</v>
      </c>
      <c r="R59" s="91">
        <f ca="1">IF(RTD("tos.rtd",,$A$2,"."&amp;R$43&amp;R$1&amp;"C"&amp;$A59)="N/A",0,RTD("tos.rtd",,$A$2,"."&amp;R$43&amp;R$1&amp;"C"&amp;$A59))-IF(RTD("tos.rtd",,$A$2,"."&amp;R$43&amp;R$1&amp;"P"&amp;$A59)="N/A",0,RTD("tos.rtd",,$A$2,"."&amp;R$43&amp;R$1&amp;"P"&amp;$A59))</f>
        <v>0</v>
      </c>
      <c r="S59" s="91">
        <f ca="1">IF(RTD("tos.rtd",,$A$2,"."&amp;S$43&amp;S$1&amp;"C"&amp;$A59)="N/A",0,RTD("tos.rtd",,$A$2,"."&amp;S$43&amp;S$1&amp;"C"&amp;$A59))-IF(RTD("tos.rtd",,$A$2,"."&amp;S$43&amp;S$1&amp;"P"&amp;$A59)="N/A",0,RTD("tos.rtd",,$A$2,"."&amp;S$43&amp;S$1&amp;"P"&amp;$A59))</f>
        <v>0</v>
      </c>
      <c r="T59" s="91">
        <f ca="1">IF(RTD("tos.rtd",,$A$2,"."&amp;T$43&amp;T$1&amp;"C"&amp;$A59)="N/A",0,RTD("tos.rtd",,$A$2,"."&amp;T$43&amp;T$1&amp;"C"&amp;$A59))-IF(RTD("tos.rtd",,$A$2,"."&amp;T$43&amp;T$1&amp;"P"&amp;$A59)="N/A",0,RTD("tos.rtd",,$A$2,"."&amp;T$43&amp;T$1&amp;"P"&amp;$A59))</f>
        <v>0</v>
      </c>
      <c r="U59" s="91">
        <f ca="1">IF(RTD("tos.rtd",,$A$2,"."&amp;U$43&amp;U$1&amp;"C"&amp;$A59)="N/A",0,RTD("tos.rtd",,$A$2,"."&amp;U$43&amp;U$1&amp;"C"&amp;$A59))-IF(RTD("tos.rtd",,$A$2,"."&amp;U$43&amp;U$1&amp;"P"&amp;$A59)="N/A",0,RTD("tos.rtd",,$A$2,"."&amp;U$43&amp;U$1&amp;"P"&amp;$A59))</f>
        <v>0</v>
      </c>
      <c r="V59" s="91">
        <f ca="1">IF(RTD("tos.rtd",,$A$2,"."&amp;V$43&amp;V$1&amp;"C"&amp;$A59)="N/A",0,RTD("tos.rtd",,$A$2,"."&amp;V$43&amp;V$1&amp;"C"&amp;$A59))-IF(RTD("tos.rtd",,$A$2,"."&amp;V$43&amp;V$1&amp;"P"&amp;$A59)="N/A",0,RTD("tos.rtd",,$A$2,"."&amp;V$43&amp;V$1&amp;"P"&amp;$A59))</f>
        <v>0</v>
      </c>
      <c r="W59" s="91">
        <f ca="1">IF(RTD("tos.rtd",,$A$2,"."&amp;W$43&amp;W$1&amp;"C"&amp;$A59)="N/A",0,RTD("tos.rtd",,$A$2,"."&amp;W$43&amp;W$1&amp;"C"&amp;$A59))-IF(RTD("tos.rtd",,$A$2,"."&amp;W$43&amp;W$1&amp;"P"&amp;$A59)="N/A",0,RTD("tos.rtd",,$A$2,"."&amp;W$43&amp;W$1&amp;"P"&amp;$A59))</f>
        <v>0</v>
      </c>
      <c r="X59" s="91">
        <f ca="1">IF(RTD("tos.rtd",,$A$2,"."&amp;X$43&amp;X$1&amp;"C"&amp;$A59)="N/A",0,RTD("tos.rtd",,$A$2,"."&amp;X$43&amp;X$1&amp;"C"&amp;$A59))-IF(RTD("tos.rtd",,$A$2,"."&amp;X$43&amp;X$1&amp;"P"&amp;$A59)="N/A",0,RTD("tos.rtd",,$A$2,"."&amp;X$43&amp;X$1&amp;"P"&amp;$A59))</f>
        <v>2</v>
      </c>
      <c r="Y59" s="98">
        <f t="shared" ca="1" si="7"/>
        <v>361</v>
      </c>
    </row>
    <row r="60" spans="1:25" x14ac:dyDescent="0.25">
      <c r="A60" s="93">
        <f>+Hoja1!A59</f>
        <v>508</v>
      </c>
      <c r="B60" s="91">
        <f ca="1">IF(RTD("tos.rtd",,$A$2,"."&amp;B$43&amp;B$1&amp;"C"&amp;$A60)="N/A",0,RTD("tos.rtd",,$A$2,"."&amp;B$43&amp;B$1&amp;"C"&amp;$A60))-IF(RTD("tos.rtd",,$A$2,"."&amp;B$43&amp;B$1&amp;"P"&amp;$A60)="N/A",0,RTD("tos.rtd",,$A$2,"."&amp;B$43&amp;B$1&amp;"P"&amp;$A60))</f>
        <v>0</v>
      </c>
      <c r="C60" s="91">
        <f ca="1">IF(RTD("tos.rtd",,$A$2,"."&amp;C$43&amp;C$1&amp;"C"&amp;$A60)="N/A",0,RTD("tos.rtd",,$A$2,"."&amp;C$43&amp;C$1&amp;"C"&amp;$A60))-IF(RTD("tos.rtd",,$A$2,"."&amp;C$43&amp;C$1&amp;"P"&amp;$A60)="N/A",0,RTD("tos.rtd",,$A$2,"."&amp;C$43&amp;C$1&amp;"P"&amp;$A60))</f>
        <v>0</v>
      </c>
      <c r="D60" s="91">
        <f ca="1">IF(RTD("tos.rtd",,$A$2,"."&amp;D$43&amp;D$1&amp;"C"&amp;$A60)="N/A",0,RTD("tos.rtd",,$A$2,"."&amp;D$43&amp;D$1&amp;"C"&amp;$A60))-IF(RTD("tos.rtd",,$A$2,"."&amp;D$43&amp;D$1&amp;"P"&amp;$A60)="N/A",0,RTD("tos.rtd",,$A$2,"."&amp;D$43&amp;D$1&amp;"P"&amp;$A60))</f>
        <v>0</v>
      </c>
      <c r="E60" s="91">
        <f ca="1">IF(RTD("tos.rtd",,$A$2,"."&amp;E$43&amp;E$1&amp;"C"&amp;$A60)="N/A",0,RTD("tos.rtd",,$A$2,"."&amp;E$43&amp;E$1&amp;"C"&amp;$A60))-IF(RTD("tos.rtd",,$A$2,"."&amp;E$43&amp;E$1&amp;"P"&amp;$A60)="N/A",0,RTD("tos.rtd",,$A$2,"."&amp;E$43&amp;E$1&amp;"P"&amp;$A60))</f>
        <v>0</v>
      </c>
      <c r="F60" s="91">
        <f ca="1">IF(RTD("tos.rtd",,$A$2,"."&amp;F$43&amp;F$1&amp;"C"&amp;$A60)="N/A",0,RTD("tos.rtd",,$A$2,"."&amp;F$43&amp;F$1&amp;"C"&amp;$A60))-IF(RTD("tos.rtd",,$A$2,"."&amp;F$43&amp;F$1&amp;"P"&amp;$A60)="N/A",0,RTD("tos.rtd",,$A$2,"."&amp;F$43&amp;F$1&amp;"P"&amp;$A60))</f>
        <v>0</v>
      </c>
      <c r="G60" s="91">
        <f ca="1">IF(RTD("tos.rtd",,$A$2,"."&amp;G$43&amp;G$1&amp;"C"&amp;$A60)="N/A",0,RTD("tos.rtd",,$A$2,"."&amp;G$43&amp;G$1&amp;"C"&amp;$A60))-IF(RTD("tos.rtd",,$A$2,"."&amp;G$43&amp;G$1&amp;"P"&amp;$A60)="N/A",0,RTD("tos.rtd",,$A$2,"."&amp;G$43&amp;G$1&amp;"P"&amp;$A60))</f>
        <v>0</v>
      </c>
      <c r="H60" s="91">
        <f ca="1">IF(RTD("tos.rtd",,$A$2,"."&amp;H$43&amp;H$1&amp;"C"&amp;$A60)="N/A",0,RTD("tos.rtd",,$A$2,"."&amp;H$43&amp;H$1&amp;"C"&amp;$A60))-IF(RTD("tos.rtd",,$A$2,"."&amp;H$43&amp;H$1&amp;"P"&amp;$A60)="N/A",0,RTD("tos.rtd",,$A$2,"."&amp;H$43&amp;H$1&amp;"P"&amp;$A60))</f>
        <v>497</v>
      </c>
      <c r="I60" s="91">
        <f ca="1">IF(RTD("tos.rtd",,$A$2,"."&amp;I$43&amp;I$1&amp;"C"&amp;$A60)="N/A",0,RTD("tos.rtd",,$A$2,"."&amp;I$43&amp;I$1&amp;"C"&amp;$A60))-IF(RTD("tos.rtd",,$A$2,"."&amp;I$43&amp;I$1&amp;"P"&amp;$A60)="N/A",0,RTD("tos.rtd",,$A$2,"."&amp;I$43&amp;I$1&amp;"P"&amp;$A60))</f>
        <v>1522</v>
      </c>
      <c r="J60" s="91">
        <f ca="1">IF(RTD("tos.rtd",,$A$2,"."&amp;J$43&amp;J$1&amp;"C"&amp;$A60)="N/A",0,RTD("tos.rtd",,$A$2,"."&amp;J$43&amp;J$1&amp;"C"&amp;$A60))-IF(RTD("tos.rtd",,$A$2,"."&amp;J$43&amp;J$1&amp;"P"&amp;$A60)="N/A",0,RTD("tos.rtd",,$A$2,"."&amp;J$43&amp;J$1&amp;"P"&amp;$A60))</f>
        <v>0</v>
      </c>
      <c r="K60" s="91">
        <f ca="1">IF(RTD("tos.rtd",,$A$2,"."&amp;K$43&amp;K$1&amp;"C"&amp;$A60)="N/A",0,RTD("tos.rtd",,$A$2,"."&amp;K$43&amp;K$1&amp;"C"&amp;$A60))-IF(RTD("tos.rtd",,$A$2,"."&amp;K$43&amp;K$1&amp;"P"&amp;$A60)="N/A",0,RTD("tos.rtd",,$A$2,"."&amp;K$43&amp;K$1&amp;"P"&amp;$A60))</f>
        <v>0</v>
      </c>
      <c r="L60" s="91">
        <f ca="1">IF(RTD("tos.rtd",,$A$2,"."&amp;L$43&amp;L$1&amp;"C"&amp;$A60)="N/A",0,RTD("tos.rtd",,$A$2,"."&amp;L$43&amp;L$1&amp;"C"&amp;$A60))-IF(RTD("tos.rtd",,$A$2,"."&amp;L$43&amp;L$1&amp;"P"&amp;$A60)="N/A",0,RTD("tos.rtd",,$A$2,"."&amp;L$43&amp;L$1&amp;"P"&amp;$A60))</f>
        <v>-10</v>
      </c>
      <c r="M60" s="91">
        <f ca="1">IF(RTD("tos.rtd",,$A$2,"."&amp;M$43&amp;M$1&amp;"C"&amp;$A60)="N/A",0,RTD("tos.rtd",,$A$2,"."&amp;M$43&amp;M$1&amp;"C"&amp;$A60))-IF(RTD("tos.rtd",,$A$2,"."&amp;M$43&amp;M$1&amp;"P"&amp;$A60)="N/A",0,RTD("tos.rtd",,$A$2,"."&amp;M$43&amp;M$1&amp;"P"&amp;$A60))</f>
        <v>0</v>
      </c>
      <c r="N60" s="91">
        <f ca="1">IF(RTD("tos.rtd",,$A$2,"."&amp;N$43&amp;N$1&amp;"C"&amp;$A60)="N/A",0,RTD("tos.rtd",,$A$2,"."&amp;N$43&amp;N$1&amp;"C"&amp;$A60))-IF(RTD("tos.rtd",,$A$2,"."&amp;N$43&amp;N$1&amp;"P"&amp;$A60)="N/A",0,RTD("tos.rtd",,$A$2,"."&amp;N$43&amp;N$1&amp;"P"&amp;$A60))</f>
        <v>0</v>
      </c>
      <c r="O60" s="91">
        <f ca="1">IF(RTD("tos.rtd",,$A$2,"."&amp;O$43&amp;O$1&amp;"C"&amp;$A60)="N/A",0,RTD("tos.rtd",,$A$2,"."&amp;O$43&amp;O$1&amp;"C"&amp;$A60))-IF(RTD("tos.rtd",,$A$2,"."&amp;O$43&amp;O$1&amp;"P"&amp;$A60)="N/A",0,RTD("tos.rtd",,$A$2,"."&amp;O$43&amp;O$1&amp;"P"&amp;$A60))</f>
        <v>0</v>
      </c>
      <c r="P60" s="91">
        <f ca="1">IF(RTD("tos.rtd",,$A$2,"."&amp;P$43&amp;P$1&amp;"C"&amp;$A60)="N/A",0,RTD("tos.rtd",,$A$2,"."&amp;P$43&amp;P$1&amp;"C"&amp;$A60))-IF(RTD("tos.rtd",,$A$2,"."&amp;P$43&amp;P$1&amp;"P"&amp;$A60)="N/A",0,RTD("tos.rtd",,$A$2,"."&amp;P$43&amp;P$1&amp;"P"&amp;$A60))</f>
        <v>0</v>
      </c>
      <c r="Q60" s="91">
        <f ca="1">IF(RTD("tos.rtd",,$A$2,"."&amp;Q$43&amp;Q$1&amp;"C"&amp;$A60)="N/A",0,RTD("tos.rtd",,$A$2,"."&amp;Q$43&amp;Q$1&amp;"C"&amp;$A60))-IF(RTD("tos.rtd",,$A$2,"."&amp;Q$43&amp;Q$1&amp;"P"&amp;$A60)="N/A",0,RTD("tos.rtd",,$A$2,"."&amp;Q$43&amp;Q$1&amp;"P"&amp;$A60))</f>
        <v>0</v>
      </c>
      <c r="R60" s="91">
        <f ca="1">IF(RTD("tos.rtd",,$A$2,"."&amp;R$43&amp;R$1&amp;"C"&amp;$A60)="N/A",0,RTD("tos.rtd",,$A$2,"."&amp;R$43&amp;R$1&amp;"C"&amp;$A60))-IF(RTD("tos.rtd",,$A$2,"."&amp;R$43&amp;R$1&amp;"P"&amp;$A60)="N/A",0,RTD("tos.rtd",,$A$2,"."&amp;R$43&amp;R$1&amp;"P"&amp;$A60))</f>
        <v>-1</v>
      </c>
      <c r="S60" s="91">
        <f ca="1">IF(RTD("tos.rtd",,$A$2,"."&amp;S$43&amp;S$1&amp;"C"&amp;$A60)="N/A",0,RTD("tos.rtd",,$A$2,"."&amp;S$43&amp;S$1&amp;"C"&amp;$A60))-IF(RTD("tos.rtd",,$A$2,"."&amp;S$43&amp;S$1&amp;"P"&amp;$A60)="N/A",0,RTD("tos.rtd",,$A$2,"."&amp;S$43&amp;S$1&amp;"P"&amp;$A60))</f>
        <v>0</v>
      </c>
      <c r="T60" s="91">
        <f ca="1">IF(RTD("tos.rtd",,$A$2,"."&amp;T$43&amp;T$1&amp;"C"&amp;$A60)="N/A",0,RTD("tos.rtd",,$A$2,"."&amp;T$43&amp;T$1&amp;"C"&amp;$A60))-IF(RTD("tos.rtd",,$A$2,"."&amp;T$43&amp;T$1&amp;"P"&amp;$A60)="N/A",0,RTD("tos.rtd",,$A$2,"."&amp;T$43&amp;T$1&amp;"P"&amp;$A60))</f>
        <v>0</v>
      </c>
      <c r="U60" s="91">
        <f ca="1">IF(RTD("tos.rtd",,$A$2,"."&amp;U$43&amp;U$1&amp;"C"&amp;$A60)="N/A",0,RTD("tos.rtd",,$A$2,"."&amp;U$43&amp;U$1&amp;"C"&amp;$A60))-IF(RTD("tos.rtd",,$A$2,"."&amp;U$43&amp;U$1&amp;"P"&amp;$A60)="N/A",0,RTD("tos.rtd",,$A$2,"."&amp;U$43&amp;U$1&amp;"P"&amp;$A60))</f>
        <v>0</v>
      </c>
      <c r="V60" s="91">
        <f ca="1">IF(RTD("tos.rtd",,$A$2,"."&amp;V$43&amp;V$1&amp;"C"&amp;$A60)="N/A",0,RTD("tos.rtd",,$A$2,"."&amp;V$43&amp;V$1&amp;"C"&amp;$A60))-IF(RTD("tos.rtd",,$A$2,"."&amp;V$43&amp;V$1&amp;"P"&amp;$A60)="N/A",0,RTD("tos.rtd",,$A$2,"."&amp;V$43&amp;V$1&amp;"P"&amp;$A60))</f>
        <v>0</v>
      </c>
      <c r="W60" s="91">
        <f ca="1">IF(RTD("tos.rtd",,$A$2,"."&amp;W$43&amp;W$1&amp;"C"&amp;$A60)="N/A",0,RTD("tos.rtd",,$A$2,"."&amp;W$43&amp;W$1&amp;"C"&amp;$A60))-IF(RTD("tos.rtd",,$A$2,"."&amp;W$43&amp;W$1&amp;"P"&amp;$A60)="N/A",0,RTD("tos.rtd",,$A$2,"."&amp;W$43&amp;W$1&amp;"P"&amp;$A60))</f>
        <v>0</v>
      </c>
      <c r="X60" s="91">
        <f ca="1">IF(RTD("tos.rtd",,$A$2,"."&amp;X$43&amp;X$1&amp;"C"&amp;$A60)="N/A",0,RTD("tos.rtd",,$A$2,"."&amp;X$43&amp;X$1&amp;"C"&amp;$A60))-IF(RTD("tos.rtd",,$A$2,"."&amp;X$43&amp;X$1&amp;"P"&amp;$A60)="N/A",0,RTD("tos.rtd",,$A$2,"."&amp;X$43&amp;X$1&amp;"P"&amp;$A60))</f>
        <v>3</v>
      </c>
      <c r="Y60" s="98">
        <f t="shared" ca="1" si="7"/>
        <v>2011</v>
      </c>
    </row>
    <row r="61" spans="1:25" x14ac:dyDescent="0.25">
      <c r="A61" s="93">
        <f>+Hoja1!A60</f>
        <v>507</v>
      </c>
      <c r="B61" s="91">
        <f ca="1">IF(RTD("tos.rtd",,$A$2,"."&amp;B$43&amp;B$1&amp;"C"&amp;$A61)="N/A",0,RTD("tos.rtd",,$A$2,"."&amp;B$43&amp;B$1&amp;"C"&amp;$A61))-IF(RTD("tos.rtd",,$A$2,"."&amp;B$43&amp;B$1&amp;"P"&amp;$A61)="N/A",0,RTD("tos.rtd",,$A$2,"."&amp;B$43&amp;B$1&amp;"P"&amp;$A61))</f>
        <v>0</v>
      </c>
      <c r="C61" s="91">
        <f ca="1">IF(RTD("tos.rtd",,$A$2,"."&amp;C$43&amp;C$1&amp;"C"&amp;$A61)="N/A",0,RTD("tos.rtd",,$A$2,"."&amp;C$43&amp;C$1&amp;"C"&amp;$A61))-IF(RTD("tos.rtd",,$A$2,"."&amp;C$43&amp;C$1&amp;"P"&amp;$A61)="N/A",0,RTD("tos.rtd",,$A$2,"."&amp;C$43&amp;C$1&amp;"P"&amp;$A61))</f>
        <v>0</v>
      </c>
      <c r="D61" s="91">
        <f ca="1">IF(RTD("tos.rtd",,$A$2,"."&amp;D$43&amp;D$1&amp;"C"&amp;$A61)="N/A",0,RTD("tos.rtd",,$A$2,"."&amp;D$43&amp;D$1&amp;"C"&amp;$A61))-IF(RTD("tos.rtd",,$A$2,"."&amp;D$43&amp;D$1&amp;"P"&amp;$A61)="N/A",0,RTD("tos.rtd",,$A$2,"."&amp;D$43&amp;D$1&amp;"P"&amp;$A61))</f>
        <v>0</v>
      </c>
      <c r="E61" s="91">
        <f ca="1">IF(RTD("tos.rtd",,$A$2,"."&amp;E$43&amp;E$1&amp;"C"&amp;$A61)="N/A",0,RTD("tos.rtd",,$A$2,"."&amp;E$43&amp;E$1&amp;"C"&amp;$A61))-IF(RTD("tos.rtd",,$A$2,"."&amp;E$43&amp;E$1&amp;"P"&amp;$A61)="N/A",0,RTD("tos.rtd",,$A$2,"."&amp;E$43&amp;E$1&amp;"P"&amp;$A61))</f>
        <v>0</v>
      </c>
      <c r="F61" s="91">
        <f ca="1">IF(RTD("tos.rtd",,$A$2,"."&amp;F$43&amp;F$1&amp;"C"&amp;$A61)="N/A",0,RTD("tos.rtd",,$A$2,"."&amp;F$43&amp;F$1&amp;"C"&amp;$A61))-IF(RTD("tos.rtd",,$A$2,"."&amp;F$43&amp;F$1&amp;"P"&amp;$A61)="N/A",0,RTD("tos.rtd",,$A$2,"."&amp;F$43&amp;F$1&amp;"P"&amp;$A61))</f>
        <v>0</v>
      </c>
      <c r="G61" s="91">
        <f ca="1">IF(RTD("tos.rtd",,$A$2,"."&amp;G$43&amp;G$1&amp;"C"&amp;$A61)="N/A",0,RTD("tos.rtd",,$A$2,"."&amp;G$43&amp;G$1&amp;"C"&amp;$A61))-IF(RTD("tos.rtd",,$A$2,"."&amp;G$43&amp;G$1&amp;"P"&amp;$A61)="N/A",0,RTD("tos.rtd",,$A$2,"."&amp;G$43&amp;G$1&amp;"P"&amp;$A61))</f>
        <v>0</v>
      </c>
      <c r="H61" s="91">
        <f ca="1">IF(RTD("tos.rtd",,$A$2,"."&amp;H$43&amp;H$1&amp;"C"&amp;$A61)="N/A",0,RTD("tos.rtd",,$A$2,"."&amp;H$43&amp;H$1&amp;"C"&amp;$A61))-IF(RTD("tos.rtd",,$A$2,"."&amp;H$43&amp;H$1&amp;"P"&amp;$A61)="N/A",0,RTD("tos.rtd",,$A$2,"."&amp;H$43&amp;H$1&amp;"P"&amp;$A61))</f>
        <v>745</v>
      </c>
      <c r="I61" s="91">
        <f ca="1">IF(RTD("tos.rtd",,$A$2,"."&amp;I$43&amp;I$1&amp;"C"&amp;$A61)="N/A",0,RTD("tos.rtd",,$A$2,"."&amp;I$43&amp;I$1&amp;"C"&amp;$A61))-IF(RTD("tos.rtd",,$A$2,"."&amp;I$43&amp;I$1&amp;"P"&amp;$A61)="N/A",0,RTD("tos.rtd",,$A$2,"."&amp;I$43&amp;I$1&amp;"P"&amp;$A61))</f>
        <v>-517</v>
      </c>
      <c r="J61" s="91">
        <f ca="1">IF(RTD("tos.rtd",,$A$2,"."&amp;J$43&amp;J$1&amp;"C"&amp;$A61)="N/A",0,RTD("tos.rtd",,$A$2,"."&amp;J$43&amp;J$1&amp;"C"&amp;$A61))-IF(RTD("tos.rtd",,$A$2,"."&amp;J$43&amp;J$1&amp;"P"&amp;$A61)="N/A",0,RTD("tos.rtd",,$A$2,"."&amp;J$43&amp;J$1&amp;"P"&amp;$A61))</f>
        <v>0</v>
      </c>
      <c r="K61" s="91">
        <f ca="1">IF(RTD("tos.rtd",,$A$2,"."&amp;K$43&amp;K$1&amp;"C"&amp;$A61)="N/A",0,RTD("tos.rtd",,$A$2,"."&amp;K$43&amp;K$1&amp;"C"&amp;$A61))-IF(RTD("tos.rtd",,$A$2,"."&amp;K$43&amp;K$1&amp;"P"&amp;$A61)="N/A",0,RTD("tos.rtd",,$A$2,"."&amp;K$43&amp;K$1&amp;"P"&amp;$A61))</f>
        <v>0</v>
      </c>
      <c r="L61" s="91">
        <f ca="1">IF(RTD("tos.rtd",,$A$2,"."&amp;L$43&amp;L$1&amp;"C"&amp;$A61)="N/A",0,RTD("tos.rtd",,$A$2,"."&amp;L$43&amp;L$1&amp;"C"&amp;$A61))-IF(RTD("tos.rtd",,$A$2,"."&amp;L$43&amp;L$1&amp;"P"&amp;$A61)="N/A",0,RTD("tos.rtd",,$A$2,"."&amp;L$43&amp;L$1&amp;"P"&amp;$A61))</f>
        <v>123</v>
      </c>
      <c r="M61" s="91">
        <f ca="1">IF(RTD("tos.rtd",,$A$2,"."&amp;M$43&amp;M$1&amp;"C"&amp;$A61)="N/A",0,RTD("tos.rtd",,$A$2,"."&amp;M$43&amp;M$1&amp;"C"&amp;$A61))-IF(RTD("tos.rtd",,$A$2,"."&amp;M$43&amp;M$1&amp;"P"&amp;$A61)="N/A",0,RTD("tos.rtd",,$A$2,"."&amp;M$43&amp;M$1&amp;"P"&amp;$A61))</f>
        <v>0</v>
      </c>
      <c r="N61" s="91">
        <f ca="1">IF(RTD("tos.rtd",,$A$2,"."&amp;N$43&amp;N$1&amp;"C"&amp;$A61)="N/A",0,RTD("tos.rtd",,$A$2,"."&amp;N$43&amp;N$1&amp;"C"&amp;$A61))-IF(RTD("tos.rtd",,$A$2,"."&amp;N$43&amp;N$1&amp;"P"&amp;$A61)="N/A",0,RTD("tos.rtd",,$A$2,"."&amp;N$43&amp;N$1&amp;"P"&amp;$A61))</f>
        <v>0</v>
      </c>
      <c r="O61" s="91">
        <f ca="1">IF(RTD("tos.rtd",,$A$2,"."&amp;O$43&amp;O$1&amp;"C"&amp;$A61)="N/A",0,RTD("tos.rtd",,$A$2,"."&amp;O$43&amp;O$1&amp;"C"&amp;$A61))-IF(RTD("tos.rtd",,$A$2,"."&amp;O$43&amp;O$1&amp;"P"&amp;$A61)="N/A",0,RTD("tos.rtd",,$A$2,"."&amp;O$43&amp;O$1&amp;"P"&amp;$A61))</f>
        <v>0</v>
      </c>
      <c r="P61" s="91">
        <f ca="1">IF(RTD("tos.rtd",,$A$2,"."&amp;P$43&amp;P$1&amp;"C"&amp;$A61)="N/A",0,RTD("tos.rtd",,$A$2,"."&amp;P$43&amp;P$1&amp;"C"&amp;$A61))-IF(RTD("tos.rtd",,$A$2,"."&amp;P$43&amp;P$1&amp;"P"&amp;$A61)="N/A",0,RTD("tos.rtd",,$A$2,"."&amp;P$43&amp;P$1&amp;"P"&amp;$A61))</f>
        <v>0</v>
      </c>
      <c r="Q61" s="91">
        <f ca="1">IF(RTD("tos.rtd",,$A$2,"."&amp;Q$43&amp;Q$1&amp;"C"&amp;$A61)="N/A",0,RTD("tos.rtd",,$A$2,"."&amp;Q$43&amp;Q$1&amp;"C"&amp;$A61))-IF(RTD("tos.rtd",,$A$2,"."&amp;Q$43&amp;Q$1&amp;"P"&amp;$A61)="N/A",0,RTD("tos.rtd",,$A$2,"."&amp;Q$43&amp;Q$1&amp;"P"&amp;$A61))</f>
        <v>0</v>
      </c>
      <c r="R61" s="91">
        <f ca="1">IF(RTD("tos.rtd",,$A$2,"."&amp;R$43&amp;R$1&amp;"C"&amp;$A61)="N/A",0,RTD("tos.rtd",,$A$2,"."&amp;R$43&amp;R$1&amp;"C"&amp;$A61))-IF(RTD("tos.rtd",,$A$2,"."&amp;R$43&amp;R$1&amp;"P"&amp;$A61)="N/A",0,RTD("tos.rtd",,$A$2,"."&amp;R$43&amp;R$1&amp;"P"&amp;$A61))</f>
        <v>-24</v>
      </c>
      <c r="S61" s="91">
        <f ca="1">IF(RTD("tos.rtd",,$A$2,"."&amp;S$43&amp;S$1&amp;"C"&amp;$A61)="N/A",0,RTD("tos.rtd",,$A$2,"."&amp;S$43&amp;S$1&amp;"C"&amp;$A61))-IF(RTD("tos.rtd",,$A$2,"."&amp;S$43&amp;S$1&amp;"P"&amp;$A61)="N/A",0,RTD("tos.rtd",,$A$2,"."&amp;S$43&amp;S$1&amp;"P"&amp;$A61))</f>
        <v>0</v>
      </c>
      <c r="T61" s="91">
        <f ca="1">IF(RTD("tos.rtd",,$A$2,"."&amp;T$43&amp;T$1&amp;"C"&amp;$A61)="N/A",0,RTD("tos.rtd",,$A$2,"."&amp;T$43&amp;T$1&amp;"C"&amp;$A61))-IF(RTD("tos.rtd",,$A$2,"."&amp;T$43&amp;T$1&amp;"P"&amp;$A61)="N/A",0,RTD("tos.rtd",,$A$2,"."&amp;T$43&amp;T$1&amp;"P"&amp;$A61))</f>
        <v>0</v>
      </c>
      <c r="U61" s="91">
        <f ca="1">IF(RTD("tos.rtd",,$A$2,"."&amp;U$43&amp;U$1&amp;"C"&amp;$A61)="N/A",0,RTD("tos.rtd",,$A$2,"."&amp;U$43&amp;U$1&amp;"C"&amp;$A61))-IF(RTD("tos.rtd",,$A$2,"."&amp;U$43&amp;U$1&amp;"P"&amp;$A61)="N/A",0,RTD("tos.rtd",,$A$2,"."&amp;U$43&amp;U$1&amp;"P"&amp;$A61))</f>
        <v>0</v>
      </c>
      <c r="V61" s="91">
        <f ca="1">IF(RTD("tos.rtd",,$A$2,"."&amp;V$43&amp;V$1&amp;"C"&amp;$A61)="N/A",0,RTD("tos.rtd",,$A$2,"."&amp;V$43&amp;V$1&amp;"C"&amp;$A61))-IF(RTD("tos.rtd",,$A$2,"."&amp;V$43&amp;V$1&amp;"P"&amp;$A61)="N/A",0,RTD("tos.rtd",,$A$2,"."&amp;V$43&amp;V$1&amp;"P"&amp;$A61))</f>
        <v>0</v>
      </c>
      <c r="W61" s="91">
        <f ca="1">IF(RTD("tos.rtd",,$A$2,"."&amp;W$43&amp;W$1&amp;"C"&amp;$A61)="N/A",0,RTD("tos.rtd",,$A$2,"."&amp;W$43&amp;W$1&amp;"C"&amp;$A61))-IF(RTD("tos.rtd",,$A$2,"."&amp;W$43&amp;W$1&amp;"P"&amp;$A61)="N/A",0,RTD("tos.rtd",,$A$2,"."&amp;W$43&amp;W$1&amp;"P"&amp;$A61))</f>
        <v>0</v>
      </c>
      <c r="X61" s="91">
        <f ca="1">IF(RTD("tos.rtd",,$A$2,"."&amp;X$43&amp;X$1&amp;"C"&amp;$A61)="N/A",0,RTD("tos.rtd",,$A$2,"."&amp;X$43&amp;X$1&amp;"C"&amp;$A61))-IF(RTD("tos.rtd",,$A$2,"."&amp;X$43&amp;X$1&amp;"P"&amp;$A61)="N/A",0,RTD("tos.rtd",,$A$2,"."&amp;X$43&amp;X$1&amp;"P"&amp;$A61))</f>
        <v>5</v>
      </c>
      <c r="Y61" s="98">
        <f t="shared" ca="1" si="7"/>
        <v>332</v>
      </c>
    </row>
    <row r="62" spans="1:25" x14ac:dyDescent="0.25">
      <c r="A62" s="93">
        <f>+Hoja1!A61</f>
        <v>506</v>
      </c>
      <c r="B62" s="91">
        <f ca="1">IF(RTD("tos.rtd",,$A$2,"."&amp;B$43&amp;B$1&amp;"C"&amp;$A62)="N/A",0,RTD("tos.rtd",,$A$2,"."&amp;B$43&amp;B$1&amp;"C"&amp;$A62))-IF(RTD("tos.rtd",,$A$2,"."&amp;B$43&amp;B$1&amp;"P"&amp;$A62)="N/A",0,RTD("tos.rtd",,$A$2,"."&amp;B$43&amp;B$1&amp;"P"&amp;$A62))</f>
        <v>0</v>
      </c>
      <c r="C62" s="91">
        <f ca="1">IF(RTD("tos.rtd",,$A$2,"."&amp;C$43&amp;C$1&amp;"C"&amp;$A62)="N/A",0,RTD("tos.rtd",,$A$2,"."&amp;C$43&amp;C$1&amp;"C"&amp;$A62))-IF(RTD("tos.rtd",,$A$2,"."&amp;C$43&amp;C$1&amp;"P"&amp;$A62)="N/A",0,RTD("tos.rtd",,$A$2,"."&amp;C$43&amp;C$1&amp;"P"&amp;$A62))</f>
        <v>0</v>
      </c>
      <c r="D62" s="91">
        <f ca="1">IF(RTD("tos.rtd",,$A$2,"."&amp;D$43&amp;D$1&amp;"C"&amp;$A62)="N/A",0,RTD("tos.rtd",,$A$2,"."&amp;D$43&amp;D$1&amp;"C"&amp;$A62))-IF(RTD("tos.rtd",,$A$2,"."&amp;D$43&amp;D$1&amp;"P"&amp;$A62)="N/A",0,RTD("tos.rtd",,$A$2,"."&amp;D$43&amp;D$1&amp;"P"&amp;$A62))</f>
        <v>0</v>
      </c>
      <c r="E62" s="91">
        <f ca="1">IF(RTD("tos.rtd",,$A$2,"."&amp;E$43&amp;E$1&amp;"C"&amp;$A62)="N/A",0,RTD("tos.rtd",,$A$2,"."&amp;E$43&amp;E$1&amp;"C"&amp;$A62))-IF(RTD("tos.rtd",,$A$2,"."&amp;E$43&amp;E$1&amp;"P"&amp;$A62)="N/A",0,RTD("tos.rtd",,$A$2,"."&amp;E$43&amp;E$1&amp;"P"&amp;$A62))</f>
        <v>0</v>
      </c>
      <c r="F62" s="91">
        <f ca="1">IF(RTD("tos.rtd",,$A$2,"."&amp;F$43&amp;F$1&amp;"C"&amp;$A62)="N/A",0,RTD("tos.rtd",,$A$2,"."&amp;F$43&amp;F$1&amp;"C"&amp;$A62))-IF(RTD("tos.rtd",,$A$2,"."&amp;F$43&amp;F$1&amp;"P"&amp;$A62)="N/A",0,RTD("tos.rtd",,$A$2,"."&amp;F$43&amp;F$1&amp;"P"&amp;$A62))</f>
        <v>0</v>
      </c>
      <c r="G62" s="91">
        <f ca="1">IF(RTD("tos.rtd",,$A$2,"."&amp;G$43&amp;G$1&amp;"C"&amp;$A62)="N/A",0,RTD("tos.rtd",,$A$2,"."&amp;G$43&amp;G$1&amp;"C"&amp;$A62))-IF(RTD("tos.rtd",,$A$2,"."&amp;G$43&amp;G$1&amp;"P"&amp;$A62)="N/A",0,RTD("tos.rtd",,$A$2,"."&amp;G$43&amp;G$1&amp;"P"&amp;$A62))</f>
        <v>0</v>
      </c>
      <c r="H62" s="91">
        <f ca="1">IF(RTD("tos.rtd",,$A$2,"."&amp;H$43&amp;H$1&amp;"C"&amp;$A62)="N/A",0,RTD("tos.rtd",,$A$2,"."&amp;H$43&amp;H$1&amp;"C"&amp;$A62))-IF(RTD("tos.rtd",,$A$2,"."&amp;H$43&amp;H$1&amp;"P"&amp;$A62)="N/A",0,RTD("tos.rtd",,$A$2,"."&amp;H$43&amp;H$1&amp;"P"&amp;$A62))</f>
        <v>316</v>
      </c>
      <c r="I62" s="91">
        <f ca="1">IF(RTD("tos.rtd",,$A$2,"."&amp;I$43&amp;I$1&amp;"C"&amp;$A62)="N/A",0,RTD("tos.rtd",,$A$2,"."&amp;I$43&amp;I$1&amp;"C"&amp;$A62))-IF(RTD("tos.rtd",,$A$2,"."&amp;I$43&amp;I$1&amp;"P"&amp;$A62)="N/A",0,RTD("tos.rtd",,$A$2,"."&amp;I$43&amp;I$1&amp;"P"&amp;$A62))</f>
        <v>-38</v>
      </c>
      <c r="J62" s="91">
        <f ca="1">IF(RTD("tos.rtd",,$A$2,"."&amp;J$43&amp;J$1&amp;"C"&amp;$A62)="N/A",0,RTD("tos.rtd",,$A$2,"."&amp;J$43&amp;J$1&amp;"C"&amp;$A62))-IF(RTD("tos.rtd",,$A$2,"."&amp;J$43&amp;J$1&amp;"P"&amp;$A62)="N/A",0,RTD("tos.rtd",,$A$2,"."&amp;J$43&amp;J$1&amp;"P"&amp;$A62))</f>
        <v>0</v>
      </c>
      <c r="K62" s="91">
        <f ca="1">IF(RTD("tos.rtd",,$A$2,"."&amp;K$43&amp;K$1&amp;"C"&amp;$A62)="N/A",0,RTD("tos.rtd",,$A$2,"."&amp;K$43&amp;K$1&amp;"C"&amp;$A62))-IF(RTD("tos.rtd",,$A$2,"."&amp;K$43&amp;K$1&amp;"P"&amp;$A62)="N/A",0,RTD("tos.rtd",,$A$2,"."&amp;K$43&amp;K$1&amp;"P"&amp;$A62))</f>
        <v>0</v>
      </c>
      <c r="L62" s="91">
        <f ca="1">IF(RTD("tos.rtd",,$A$2,"."&amp;L$43&amp;L$1&amp;"C"&amp;$A62)="N/A",0,RTD("tos.rtd",,$A$2,"."&amp;L$43&amp;L$1&amp;"C"&amp;$A62))-IF(RTD("tos.rtd",,$A$2,"."&amp;L$43&amp;L$1&amp;"P"&amp;$A62)="N/A",0,RTD("tos.rtd",,$A$2,"."&amp;L$43&amp;L$1&amp;"P"&amp;$A62))</f>
        <v>-68</v>
      </c>
      <c r="M62" s="91">
        <f ca="1">IF(RTD("tos.rtd",,$A$2,"."&amp;M$43&amp;M$1&amp;"C"&amp;$A62)="N/A",0,RTD("tos.rtd",,$A$2,"."&amp;M$43&amp;M$1&amp;"C"&amp;$A62))-IF(RTD("tos.rtd",,$A$2,"."&amp;M$43&amp;M$1&amp;"P"&amp;$A62)="N/A",0,RTD("tos.rtd",,$A$2,"."&amp;M$43&amp;M$1&amp;"P"&amp;$A62))</f>
        <v>0</v>
      </c>
      <c r="N62" s="91">
        <f ca="1">IF(RTD("tos.rtd",,$A$2,"."&amp;N$43&amp;N$1&amp;"C"&amp;$A62)="N/A",0,RTD("tos.rtd",,$A$2,"."&amp;N$43&amp;N$1&amp;"C"&amp;$A62))-IF(RTD("tos.rtd",,$A$2,"."&amp;N$43&amp;N$1&amp;"P"&amp;$A62)="N/A",0,RTD("tos.rtd",,$A$2,"."&amp;N$43&amp;N$1&amp;"P"&amp;$A62))</f>
        <v>0</v>
      </c>
      <c r="O62" s="91">
        <f ca="1">IF(RTD("tos.rtd",,$A$2,"."&amp;O$43&amp;O$1&amp;"C"&amp;$A62)="N/A",0,RTD("tos.rtd",,$A$2,"."&amp;O$43&amp;O$1&amp;"C"&amp;$A62))-IF(RTD("tos.rtd",,$A$2,"."&amp;O$43&amp;O$1&amp;"P"&amp;$A62)="N/A",0,RTD("tos.rtd",,$A$2,"."&amp;O$43&amp;O$1&amp;"P"&amp;$A62))</f>
        <v>0</v>
      </c>
      <c r="P62" s="91">
        <f ca="1">IF(RTD("tos.rtd",,$A$2,"."&amp;P$43&amp;P$1&amp;"C"&amp;$A62)="N/A",0,RTD("tos.rtd",,$A$2,"."&amp;P$43&amp;P$1&amp;"C"&amp;$A62))-IF(RTD("tos.rtd",,$A$2,"."&amp;P$43&amp;P$1&amp;"P"&amp;$A62)="N/A",0,RTD("tos.rtd",,$A$2,"."&amp;P$43&amp;P$1&amp;"P"&amp;$A62))</f>
        <v>0</v>
      </c>
      <c r="Q62" s="91">
        <f ca="1">IF(RTD("tos.rtd",,$A$2,"."&amp;Q$43&amp;Q$1&amp;"C"&amp;$A62)="N/A",0,RTD("tos.rtd",,$A$2,"."&amp;Q$43&amp;Q$1&amp;"C"&amp;$A62))-IF(RTD("tos.rtd",,$A$2,"."&amp;Q$43&amp;Q$1&amp;"P"&amp;$A62)="N/A",0,RTD("tos.rtd",,$A$2,"."&amp;Q$43&amp;Q$1&amp;"P"&amp;$A62))</f>
        <v>0</v>
      </c>
      <c r="R62" s="91">
        <f ca="1">IF(RTD("tos.rtd",,$A$2,"."&amp;R$43&amp;R$1&amp;"C"&amp;$A62)="N/A",0,RTD("tos.rtd",,$A$2,"."&amp;R$43&amp;R$1&amp;"C"&amp;$A62))-IF(RTD("tos.rtd",,$A$2,"."&amp;R$43&amp;R$1&amp;"P"&amp;$A62)="N/A",0,RTD("tos.rtd",,$A$2,"."&amp;R$43&amp;R$1&amp;"P"&amp;$A62))</f>
        <v>11</v>
      </c>
      <c r="S62" s="91">
        <f ca="1">IF(RTD("tos.rtd",,$A$2,"."&amp;S$43&amp;S$1&amp;"C"&amp;$A62)="N/A",0,RTD("tos.rtd",,$A$2,"."&amp;S$43&amp;S$1&amp;"C"&amp;$A62))-IF(RTD("tos.rtd",,$A$2,"."&amp;S$43&amp;S$1&amp;"P"&amp;$A62)="N/A",0,RTD("tos.rtd",,$A$2,"."&amp;S$43&amp;S$1&amp;"P"&amp;$A62))</f>
        <v>0</v>
      </c>
      <c r="T62" s="91">
        <f ca="1">IF(RTD("tos.rtd",,$A$2,"."&amp;T$43&amp;T$1&amp;"C"&amp;$A62)="N/A",0,RTD("tos.rtd",,$A$2,"."&amp;T$43&amp;T$1&amp;"C"&amp;$A62))-IF(RTD("tos.rtd",,$A$2,"."&amp;T$43&amp;T$1&amp;"P"&amp;$A62)="N/A",0,RTD("tos.rtd",,$A$2,"."&amp;T$43&amp;T$1&amp;"P"&amp;$A62))</f>
        <v>0</v>
      </c>
      <c r="U62" s="91">
        <f ca="1">IF(RTD("tos.rtd",,$A$2,"."&amp;U$43&amp;U$1&amp;"C"&amp;$A62)="N/A",0,RTD("tos.rtd",,$A$2,"."&amp;U$43&amp;U$1&amp;"C"&amp;$A62))-IF(RTD("tos.rtd",,$A$2,"."&amp;U$43&amp;U$1&amp;"P"&amp;$A62)="N/A",0,RTD("tos.rtd",,$A$2,"."&amp;U$43&amp;U$1&amp;"P"&amp;$A62))</f>
        <v>0</v>
      </c>
      <c r="V62" s="91">
        <f ca="1">IF(RTD("tos.rtd",,$A$2,"."&amp;V$43&amp;V$1&amp;"C"&amp;$A62)="N/A",0,RTD("tos.rtd",,$A$2,"."&amp;V$43&amp;V$1&amp;"C"&amp;$A62))-IF(RTD("tos.rtd",,$A$2,"."&amp;V$43&amp;V$1&amp;"P"&amp;$A62)="N/A",0,RTD("tos.rtd",,$A$2,"."&amp;V$43&amp;V$1&amp;"P"&amp;$A62))</f>
        <v>0</v>
      </c>
      <c r="W62" s="91">
        <f ca="1">IF(RTD("tos.rtd",,$A$2,"."&amp;W$43&amp;W$1&amp;"C"&amp;$A62)="N/A",0,RTD("tos.rtd",,$A$2,"."&amp;W$43&amp;W$1&amp;"C"&amp;$A62))-IF(RTD("tos.rtd",,$A$2,"."&amp;W$43&amp;W$1&amp;"P"&amp;$A62)="N/A",0,RTD("tos.rtd",,$A$2,"."&amp;W$43&amp;W$1&amp;"P"&amp;$A62))</f>
        <v>0</v>
      </c>
      <c r="X62" s="91">
        <f ca="1">IF(RTD("tos.rtd",,$A$2,"."&amp;X$43&amp;X$1&amp;"C"&amp;$A62)="N/A",0,RTD("tos.rtd",,$A$2,"."&amp;X$43&amp;X$1&amp;"C"&amp;$A62))-IF(RTD("tos.rtd",,$A$2,"."&amp;X$43&amp;X$1&amp;"P"&amp;$A62)="N/A",0,RTD("tos.rtd",,$A$2,"."&amp;X$43&amp;X$1&amp;"P"&amp;$A62))</f>
        <v>-2</v>
      </c>
      <c r="Y62" s="98">
        <f t="shared" ca="1" si="7"/>
        <v>219</v>
      </c>
    </row>
    <row r="63" spans="1:25" x14ac:dyDescent="0.25">
      <c r="A63" s="93">
        <f>+Hoja1!A62</f>
        <v>505</v>
      </c>
      <c r="B63" s="91">
        <f ca="1">IF(RTD("tos.rtd",,$A$2,"."&amp;B$43&amp;B$1&amp;"C"&amp;$A63)="N/A",0,RTD("tos.rtd",,$A$2,"."&amp;B$43&amp;B$1&amp;"C"&amp;$A63))-IF(RTD("tos.rtd",,$A$2,"."&amp;B$43&amp;B$1&amp;"P"&amp;$A63)="N/A",0,RTD("tos.rtd",,$A$2,"."&amp;B$43&amp;B$1&amp;"P"&amp;$A63))</f>
        <v>0</v>
      </c>
      <c r="C63" s="91">
        <f ca="1">IF(RTD("tos.rtd",,$A$2,"."&amp;C$43&amp;C$1&amp;"C"&amp;$A63)="N/A",0,RTD("tos.rtd",,$A$2,"."&amp;C$43&amp;C$1&amp;"C"&amp;$A63))-IF(RTD("tos.rtd",,$A$2,"."&amp;C$43&amp;C$1&amp;"P"&amp;$A63)="N/A",0,RTD("tos.rtd",,$A$2,"."&amp;C$43&amp;C$1&amp;"P"&amp;$A63))</f>
        <v>0</v>
      </c>
      <c r="D63" s="91">
        <f ca="1">IF(RTD("tos.rtd",,$A$2,"."&amp;D$43&amp;D$1&amp;"C"&amp;$A63)="N/A",0,RTD("tos.rtd",,$A$2,"."&amp;D$43&amp;D$1&amp;"C"&amp;$A63))-IF(RTD("tos.rtd",,$A$2,"."&amp;D$43&amp;D$1&amp;"P"&amp;$A63)="N/A",0,RTD("tos.rtd",,$A$2,"."&amp;D$43&amp;D$1&amp;"P"&amp;$A63))</f>
        <v>0</v>
      </c>
      <c r="E63" s="91">
        <f ca="1">IF(RTD("tos.rtd",,$A$2,"."&amp;E$43&amp;E$1&amp;"C"&amp;$A63)="N/A",0,RTD("tos.rtd",,$A$2,"."&amp;E$43&amp;E$1&amp;"C"&amp;$A63))-IF(RTD("tos.rtd",,$A$2,"."&amp;E$43&amp;E$1&amp;"P"&amp;$A63)="N/A",0,RTD("tos.rtd",,$A$2,"."&amp;E$43&amp;E$1&amp;"P"&amp;$A63))</f>
        <v>0</v>
      </c>
      <c r="F63" s="91">
        <f ca="1">IF(RTD("tos.rtd",,$A$2,"."&amp;F$43&amp;F$1&amp;"C"&amp;$A63)="N/A",0,RTD("tos.rtd",,$A$2,"."&amp;F$43&amp;F$1&amp;"C"&amp;$A63))-IF(RTD("tos.rtd",,$A$2,"."&amp;F$43&amp;F$1&amp;"P"&amp;$A63)="N/A",0,RTD("tos.rtd",,$A$2,"."&amp;F$43&amp;F$1&amp;"P"&amp;$A63))</f>
        <v>0</v>
      </c>
      <c r="G63" s="91">
        <f ca="1">IF(RTD("tos.rtd",,$A$2,"."&amp;G$43&amp;G$1&amp;"C"&amp;$A63)="N/A",0,RTD("tos.rtd",,$A$2,"."&amp;G$43&amp;G$1&amp;"C"&amp;$A63))-IF(RTD("tos.rtd",,$A$2,"."&amp;G$43&amp;G$1&amp;"P"&amp;$A63)="N/A",0,RTD("tos.rtd",,$A$2,"."&amp;G$43&amp;G$1&amp;"P"&amp;$A63))</f>
        <v>0</v>
      </c>
      <c r="H63" s="91">
        <f ca="1">IF(RTD("tos.rtd",,$A$2,"."&amp;H$43&amp;H$1&amp;"C"&amp;$A63)="N/A",0,RTD("tos.rtd",,$A$2,"."&amp;H$43&amp;H$1&amp;"C"&amp;$A63))-IF(RTD("tos.rtd",,$A$2,"."&amp;H$43&amp;H$1&amp;"P"&amp;$A63)="N/A",0,RTD("tos.rtd",,$A$2,"."&amp;H$43&amp;H$1&amp;"P"&amp;$A63))</f>
        <v>2212</v>
      </c>
      <c r="I63" s="91">
        <f ca="1">IF(RTD("tos.rtd",,$A$2,"."&amp;I$43&amp;I$1&amp;"C"&amp;$A63)="N/A",0,RTD("tos.rtd",,$A$2,"."&amp;I$43&amp;I$1&amp;"C"&amp;$A63))-IF(RTD("tos.rtd",,$A$2,"."&amp;I$43&amp;I$1&amp;"P"&amp;$A63)="N/A",0,RTD("tos.rtd",,$A$2,"."&amp;I$43&amp;I$1&amp;"P"&amp;$A63))</f>
        <v>209</v>
      </c>
      <c r="J63" s="91">
        <f ca="1">IF(RTD("tos.rtd",,$A$2,"."&amp;J$43&amp;J$1&amp;"C"&amp;$A63)="N/A",0,RTD("tos.rtd",,$A$2,"."&amp;J$43&amp;J$1&amp;"C"&amp;$A63))-IF(RTD("tos.rtd",,$A$2,"."&amp;J$43&amp;J$1&amp;"P"&amp;$A63)="N/A",0,RTD("tos.rtd",,$A$2,"."&amp;J$43&amp;J$1&amp;"P"&amp;$A63))</f>
        <v>79</v>
      </c>
      <c r="K63" s="91">
        <f ca="1">IF(RTD("tos.rtd",,$A$2,"."&amp;K$43&amp;K$1&amp;"C"&amp;$A63)="N/A",0,RTD("tos.rtd",,$A$2,"."&amp;K$43&amp;K$1&amp;"C"&amp;$A63))-IF(RTD("tos.rtd",,$A$2,"."&amp;K$43&amp;K$1&amp;"P"&amp;$A63)="N/A",0,RTD("tos.rtd",,$A$2,"."&amp;K$43&amp;K$1&amp;"P"&amp;$A63))</f>
        <v>0</v>
      </c>
      <c r="L63" s="91">
        <f ca="1">IF(RTD("tos.rtd",,$A$2,"."&amp;L$43&amp;L$1&amp;"C"&amp;$A63)="N/A",0,RTD("tos.rtd",,$A$2,"."&amp;L$43&amp;L$1&amp;"C"&amp;$A63))-IF(RTD("tos.rtd",,$A$2,"."&amp;L$43&amp;L$1&amp;"P"&amp;$A63)="N/A",0,RTD("tos.rtd",,$A$2,"."&amp;L$43&amp;L$1&amp;"P"&amp;$A63))</f>
        <v>-241</v>
      </c>
      <c r="M63" s="91">
        <f ca="1">IF(RTD("tos.rtd",,$A$2,"."&amp;M$43&amp;M$1&amp;"C"&amp;$A63)="N/A",0,RTD("tos.rtd",,$A$2,"."&amp;M$43&amp;M$1&amp;"C"&amp;$A63))-IF(RTD("tos.rtd",,$A$2,"."&amp;M$43&amp;M$1&amp;"P"&amp;$A63)="N/A",0,RTD("tos.rtd",,$A$2,"."&amp;M$43&amp;M$1&amp;"P"&amp;$A63))</f>
        <v>-2481</v>
      </c>
      <c r="N63" s="91">
        <f ca="1">IF(RTD("tos.rtd",,$A$2,"."&amp;N$43&amp;N$1&amp;"C"&amp;$A63)="N/A",0,RTD("tos.rtd",,$A$2,"."&amp;N$43&amp;N$1&amp;"C"&amp;$A63))-IF(RTD("tos.rtd",,$A$2,"."&amp;N$43&amp;N$1&amp;"P"&amp;$A63)="N/A",0,RTD("tos.rtd",,$A$2,"."&amp;N$43&amp;N$1&amp;"P"&amp;$A63))</f>
        <v>-508</v>
      </c>
      <c r="O63" s="91">
        <f ca="1">IF(RTD("tos.rtd",,$A$2,"."&amp;O$43&amp;O$1&amp;"C"&amp;$A63)="N/A",0,RTD("tos.rtd",,$A$2,"."&amp;O$43&amp;O$1&amp;"C"&amp;$A63))-IF(RTD("tos.rtd",,$A$2,"."&amp;O$43&amp;O$1&amp;"P"&amp;$A63)="N/A",0,RTD("tos.rtd",,$A$2,"."&amp;O$43&amp;O$1&amp;"P"&amp;$A63))</f>
        <v>1614</v>
      </c>
      <c r="P63" s="91">
        <f ca="1">IF(RTD("tos.rtd",,$A$2,"."&amp;P$43&amp;P$1&amp;"C"&amp;$A63)="N/A",0,RTD("tos.rtd",,$A$2,"."&amp;P$43&amp;P$1&amp;"C"&amp;$A63))-IF(RTD("tos.rtd",,$A$2,"."&amp;P$43&amp;P$1&amp;"P"&amp;$A63)="N/A",0,RTD("tos.rtd",,$A$2,"."&amp;P$43&amp;P$1&amp;"P"&amp;$A63))</f>
        <v>55</v>
      </c>
      <c r="Q63" s="91">
        <f ca="1">IF(RTD("tos.rtd",,$A$2,"."&amp;Q$43&amp;Q$1&amp;"C"&amp;$A63)="N/A",0,RTD("tos.rtd",,$A$2,"."&amp;Q$43&amp;Q$1&amp;"C"&amp;$A63))-IF(RTD("tos.rtd",,$A$2,"."&amp;Q$43&amp;Q$1&amp;"P"&amp;$A63)="N/A",0,RTD("tos.rtd",,$A$2,"."&amp;Q$43&amp;Q$1&amp;"P"&amp;$A63))</f>
        <v>-109</v>
      </c>
      <c r="R63" s="91">
        <f ca="1">IF(RTD("tos.rtd",,$A$2,"."&amp;R$43&amp;R$1&amp;"C"&amp;$A63)="N/A",0,RTD("tos.rtd",,$A$2,"."&amp;R$43&amp;R$1&amp;"C"&amp;$A63))-IF(RTD("tos.rtd",,$A$2,"."&amp;R$43&amp;R$1&amp;"P"&amp;$A63)="N/A",0,RTD("tos.rtd",,$A$2,"."&amp;R$43&amp;R$1&amp;"P"&amp;$A63))</f>
        <v>-124</v>
      </c>
      <c r="S63" s="91">
        <f ca="1">IF(RTD("tos.rtd",,$A$2,"."&amp;S$43&amp;S$1&amp;"C"&amp;$A63)="N/A",0,RTD("tos.rtd",,$A$2,"."&amp;S$43&amp;S$1&amp;"C"&amp;$A63))-IF(RTD("tos.rtd",,$A$2,"."&amp;S$43&amp;S$1&amp;"P"&amp;$A63)="N/A",0,RTD("tos.rtd",,$A$2,"."&amp;S$43&amp;S$1&amp;"P"&amp;$A63))</f>
        <v>0</v>
      </c>
      <c r="T63" s="91">
        <f ca="1">IF(RTD("tos.rtd",,$A$2,"."&amp;T$43&amp;T$1&amp;"C"&amp;$A63)="N/A",0,RTD("tos.rtd",,$A$2,"."&amp;T$43&amp;T$1&amp;"C"&amp;$A63))-IF(RTD("tos.rtd",,$A$2,"."&amp;T$43&amp;T$1&amp;"P"&amp;$A63)="N/A",0,RTD("tos.rtd",,$A$2,"."&amp;T$43&amp;T$1&amp;"P"&amp;$A63))</f>
        <v>0</v>
      </c>
      <c r="U63" s="91">
        <f ca="1">IF(RTD("tos.rtd",,$A$2,"."&amp;U$43&amp;U$1&amp;"C"&amp;$A63)="N/A",0,RTD("tos.rtd",,$A$2,"."&amp;U$43&amp;U$1&amp;"C"&amp;$A63))-IF(RTD("tos.rtd",,$A$2,"."&amp;U$43&amp;U$1&amp;"P"&amp;$A63)="N/A",0,RTD("tos.rtd",,$A$2,"."&amp;U$43&amp;U$1&amp;"P"&amp;$A63))</f>
        <v>282</v>
      </c>
      <c r="V63" s="91">
        <f ca="1">IF(RTD("tos.rtd",,$A$2,"."&amp;V$43&amp;V$1&amp;"C"&amp;$A63)="N/A",0,RTD("tos.rtd",,$A$2,"."&amp;V$43&amp;V$1&amp;"C"&amp;$A63))-IF(RTD("tos.rtd",,$A$2,"."&amp;V$43&amp;V$1&amp;"P"&amp;$A63)="N/A",0,RTD("tos.rtd",,$A$2,"."&amp;V$43&amp;V$1&amp;"P"&amp;$A63))</f>
        <v>0</v>
      </c>
      <c r="W63" s="91">
        <f ca="1">IF(RTD("tos.rtd",,$A$2,"."&amp;W$43&amp;W$1&amp;"C"&amp;$A63)="N/A",0,RTD("tos.rtd",,$A$2,"."&amp;W$43&amp;W$1&amp;"C"&amp;$A63))-IF(RTD("tos.rtd",,$A$2,"."&amp;W$43&amp;W$1&amp;"P"&amp;$A63)="N/A",0,RTD("tos.rtd",,$A$2,"."&amp;W$43&amp;W$1&amp;"P"&amp;$A63))</f>
        <v>0</v>
      </c>
      <c r="X63" s="91">
        <f ca="1">IF(RTD("tos.rtd",,$A$2,"."&amp;X$43&amp;X$1&amp;"C"&amp;$A63)="N/A",0,RTD("tos.rtd",,$A$2,"."&amp;X$43&amp;X$1&amp;"C"&amp;$A63))-IF(RTD("tos.rtd",,$A$2,"."&amp;X$43&amp;X$1&amp;"P"&amp;$A63)="N/A",0,RTD("tos.rtd",,$A$2,"."&amp;X$43&amp;X$1&amp;"P"&amp;$A63))</f>
        <v>5</v>
      </c>
      <c r="Y63" s="98">
        <f t="shared" ca="1" si="7"/>
        <v>993</v>
      </c>
    </row>
    <row r="64" spans="1:25" x14ac:dyDescent="0.25">
      <c r="A64" s="93">
        <f>+Hoja1!A63</f>
        <v>504</v>
      </c>
      <c r="B64" s="91">
        <f ca="1">IF(RTD("tos.rtd",,$A$2,"."&amp;B$43&amp;B$1&amp;"C"&amp;$A64)="N/A",0,RTD("tos.rtd",,$A$2,"."&amp;B$43&amp;B$1&amp;"C"&amp;$A64))-IF(RTD("tos.rtd",,$A$2,"."&amp;B$43&amp;B$1&amp;"P"&amp;$A64)="N/A",0,RTD("tos.rtd",,$A$2,"."&amp;B$43&amp;B$1&amp;"P"&amp;$A64))</f>
        <v>0</v>
      </c>
      <c r="C64" s="91">
        <f ca="1">IF(RTD("tos.rtd",,$A$2,"."&amp;C$43&amp;C$1&amp;"C"&amp;$A64)="N/A",0,RTD("tos.rtd",,$A$2,"."&amp;C$43&amp;C$1&amp;"C"&amp;$A64))-IF(RTD("tos.rtd",,$A$2,"."&amp;C$43&amp;C$1&amp;"P"&amp;$A64)="N/A",0,RTD("tos.rtd",,$A$2,"."&amp;C$43&amp;C$1&amp;"P"&amp;$A64))</f>
        <v>0</v>
      </c>
      <c r="D64" s="91">
        <f ca="1">IF(RTD("tos.rtd",,$A$2,"."&amp;D$43&amp;D$1&amp;"C"&amp;$A64)="N/A",0,RTD("tos.rtd",,$A$2,"."&amp;D$43&amp;D$1&amp;"C"&amp;$A64))-IF(RTD("tos.rtd",,$A$2,"."&amp;D$43&amp;D$1&amp;"P"&amp;$A64)="N/A",0,RTD("tos.rtd",,$A$2,"."&amp;D$43&amp;D$1&amp;"P"&amp;$A64))</f>
        <v>0</v>
      </c>
      <c r="E64" s="91">
        <f ca="1">IF(RTD("tos.rtd",,$A$2,"."&amp;E$43&amp;E$1&amp;"C"&amp;$A64)="N/A",0,RTD("tos.rtd",,$A$2,"."&amp;E$43&amp;E$1&amp;"C"&amp;$A64))-IF(RTD("tos.rtd",,$A$2,"."&amp;E$43&amp;E$1&amp;"P"&amp;$A64)="N/A",0,RTD("tos.rtd",,$A$2,"."&amp;E$43&amp;E$1&amp;"P"&amp;$A64))</f>
        <v>0</v>
      </c>
      <c r="F64" s="91">
        <f ca="1">IF(RTD("tos.rtd",,$A$2,"."&amp;F$43&amp;F$1&amp;"C"&amp;$A64)="N/A",0,RTD("tos.rtd",,$A$2,"."&amp;F$43&amp;F$1&amp;"C"&amp;$A64))-IF(RTD("tos.rtd",,$A$2,"."&amp;F$43&amp;F$1&amp;"P"&amp;$A64)="N/A",0,RTD("tos.rtd",,$A$2,"."&amp;F$43&amp;F$1&amp;"P"&amp;$A64))</f>
        <v>0</v>
      </c>
      <c r="G64" s="91">
        <f ca="1">IF(RTD("tos.rtd",,$A$2,"."&amp;G$43&amp;G$1&amp;"C"&amp;$A64)="N/A",0,RTD("tos.rtd",,$A$2,"."&amp;G$43&amp;G$1&amp;"C"&amp;$A64))-IF(RTD("tos.rtd",,$A$2,"."&amp;G$43&amp;G$1&amp;"P"&amp;$A64)="N/A",0,RTD("tos.rtd",,$A$2,"."&amp;G$43&amp;G$1&amp;"P"&amp;$A64))</f>
        <v>0</v>
      </c>
      <c r="H64" s="91">
        <f ca="1">IF(RTD("tos.rtd",,$A$2,"."&amp;H$43&amp;H$1&amp;"C"&amp;$A64)="N/A",0,RTD("tos.rtd",,$A$2,"."&amp;H$43&amp;H$1&amp;"C"&amp;$A64))-IF(RTD("tos.rtd",,$A$2,"."&amp;H$43&amp;H$1&amp;"P"&amp;$A64)="N/A",0,RTD("tos.rtd",,$A$2,"."&amp;H$43&amp;H$1&amp;"P"&amp;$A64))</f>
        <v>-160</v>
      </c>
      <c r="I64" s="91">
        <f ca="1">IF(RTD("tos.rtd",,$A$2,"."&amp;I$43&amp;I$1&amp;"C"&amp;$A64)="N/A",0,RTD("tos.rtd",,$A$2,"."&amp;I$43&amp;I$1&amp;"C"&amp;$A64))-IF(RTD("tos.rtd",,$A$2,"."&amp;I$43&amp;I$1&amp;"P"&amp;$A64)="N/A",0,RTD("tos.rtd",,$A$2,"."&amp;I$43&amp;I$1&amp;"P"&amp;$A64))</f>
        <v>-1945</v>
      </c>
      <c r="J64" s="91">
        <f ca="1">IF(RTD("tos.rtd",,$A$2,"."&amp;J$43&amp;J$1&amp;"C"&amp;$A64)="N/A",0,RTD("tos.rtd",,$A$2,"."&amp;J$43&amp;J$1&amp;"C"&amp;$A64))-IF(RTD("tos.rtd",,$A$2,"."&amp;J$43&amp;J$1&amp;"P"&amp;$A64)="N/A",0,RTD("tos.rtd",,$A$2,"."&amp;J$43&amp;J$1&amp;"P"&amp;$A64))</f>
        <v>0</v>
      </c>
      <c r="K64" s="91">
        <f ca="1">IF(RTD("tos.rtd",,$A$2,"."&amp;K$43&amp;K$1&amp;"C"&amp;$A64)="N/A",0,RTD("tos.rtd",,$A$2,"."&amp;K$43&amp;K$1&amp;"C"&amp;$A64))-IF(RTD("tos.rtd",,$A$2,"."&amp;K$43&amp;K$1&amp;"P"&amp;$A64)="N/A",0,RTD("tos.rtd",,$A$2,"."&amp;K$43&amp;K$1&amp;"P"&amp;$A64))</f>
        <v>0</v>
      </c>
      <c r="L64" s="91">
        <f ca="1">IF(RTD("tos.rtd",,$A$2,"."&amp;L$43&amp;L$1&amp;"C"&amp;$A64)="N/A",0,RTD("tos.rtd",,$A$2,"."&amp;L$43&amp;L$1&amp;"C"&amp;$A64))-IF(RTD("tos.rtd",,$A$2,"."&amp;L$43&amp;L$1&amp;"P"&amp;$A64)="N/A",0,RTD("tos.rtd",,$A$2,"."&amp;L$43&amp;L$1&amp;"P"&amp;$A64))</f>
        <v>-10</v>
      </c>
      <c r="M64" s="91">
        <f ca="1">IF(RTD("tos.rtd",,$A$2,"."&amp;M$43&amp;M$1&amp;"C"&amp;$A64)="N/A",0,RTD("tos.rtd",,$A$2,"."&amp;M$43&amp;M$1&amp;"C"&amp;$A64))-IF(RTD("tos.rtd",,$A$2,"."&amp;M$43&amp;M$1&amp;"P"&amp;$A64)="N/A",0,RTD("tos.rtd",,$A$2,"."&amp;M$43&amp;M$1&amp;"P"&amp;$A64))</f>
        <v>0</v>
      </c>
      <c r="N64" s="91">
        <f ca="1">IF(RTD("tos.rtd",,$A$2,"."&amp;N$43&amp;N$1&amp;"C"&amp;$A64)="N/A",0,RTD("tos.rtd",,$A$2,"."&amp;N$43&amp;N$1&amp;"C"&amp;$A64))-IF(RTD("tos.rtd",,$A$2,"."&amp;N$43&amp;N$1&amp;"P"&amp;$A64)="N/A",0,RTD("tos.rtd",,$A$2,"."&amp;N$43&amp;N$1&amp;"P"&amp;$A64))</f>
        <v>14</v>
      </c>
      <c r="O64" s="91">
        <f ca="1">IF(RTD("tos.rtd",,$A$2,"."&amp;O$43&amp;O$1&amp;"C"&amp;$A64)="N/A",0,RTD("tos.rtd",,$A$2,"."&amp;O$43&amp;O$1&amp;"C"&amp;$A64))-IF(RTD("tos.rtd",,$A$2,"."&amp;O$43&amp;O$1&amp;"P"&amp;$A64)="N/A",0,RTD("tos.rtd",,$A$2,"."&amp;O$43&amp;O$1&amp;"P"&amp;$A64))</f>
        <v>0</v>
      </c>
      <c r="P64" s="91">
        <f ca="1">IF(RTD("tos.rtd",,$A$2,"."&amp;P$43&amp;P$1&amp;"C"&amp;$A64)="N/A",0,RTD("tos.rtd",,$A$2,"."&amp;P$43&amp;P$1&amp;"C"&amp;$A64))-IF(RTD("tos.rtd",,$A$2,"."&amp;P$43&amp;P$1&amp;"P"&amp;$A64)="N/A",0,RTD("tos.rtd",,$A$2,"."&amp;P$43&amp;P$1&amp;"P"&amp;$A64))</f>
        <v>0</v>
      </c>
      <c r="Q64" s="91">
        <f ca="1">IF(RTD("tos.rtd",,$A$2,"."&amp;Q$43&amp;Q$1&amp;"C"&amp;$A64)="N/A",0,RTD("tos.rtd",,$A$2,"."&amp;Q$43&amp;Q$1&amp;"C"&amp;$A64))-IF(RTD("tos.rtd",,$A$2,"."&amp;Q$43&amp;Q$1&amp;"P"&amp;$A64)="N/A",0,RTD("tos.rtd",,$A$2,"."&amp;Q$43&amp;Q$1&amp;"P"&amp;$A64))</f>
        <v>0</v>
      </c>
      <c r="R64" s="91">
        <f ca="1">IF(RTD("tos.rtd",,$A$2,"."&amp;R$43&amp;R$1&amp;"C"&amp;$A64)="N/A",0,RTD("tos.rtd",,$A$2,"."&amp;R$43&amp;R$1&amp;"C"&amp;$A64))-IF(RTD("tos.rtd",,$A$2,"."&amp;R$43&amp;R$1&amp;"P"&amp;$A64)="N/A",0,RTD("tos.rtd",,$A$2,"."&amp;R$43&amp;R$1&amp;"P"&amp;$A64))</f>
        <v>-16</v>
      </c>
      <c r="S64" s="91">
        <f ca="1">IF(RTD("tos.rtd",,$A$2,"."&amp;S$43&amp;S$1&amp;"C"&amp;$A64)="N/A",0,RTD("tos.rtd",,$A$2,"."&amp;S$43&amp;S$1&amp;"C"&amp;$A64))-IF(RTD("tos.rtd",,$A$2,"."&amp;S$43&amp;S$1&amp;"P"&amp;$A64)="N/A",0,RTD("tos.rtd",,$A$2,"."&amp;S$43&amp;S$1&amp;"P"&amp;$A64))</f>
        <v>0</v>
      </c>
      <c r="T64" s="91">
        <f ca="1">IF(RTD("tos.rtd",,$A$2,"."&amp;T$43&amp;T$1&amp;"C"&amp;$A64)="N/A",0,RTD("tos.rtd",,$A$2,"."&amp;T$43&amp;T$1&amp;"C"&amp;$A64))-IF(RTD("tos.rtd",,$A$2,"."&amp;T$43&amp;T$1&amp;"P"&amp;$A64)="N/A",0,RTD("tos.rtd",,$A$2,"."&amp;T$43&amp;T$1&amp;"P"&amp;$A64))</f>
        <v>0</v>
      </c>
      <c r="U64" s="91">
        <f ca="1">IF(RTD("tos.rtd",,$A$2,"."&amp;U$43&amp;U$1&amp;"C"&amp;$A64)="N/A",0,RTD("tos.rtd",,$A$2,"."&amp;U$43&amp;U$1&amp;"C"&amp;$A64))-IF(RTD("tos.rtd",,$A$2,"."&amp;U$43&amp;U$1&amp;"P"&amp;$A64)="N/A",0,RTD("tos.rtd",,$A$2,"."&amp;U$43&amp;U$1&amp;"P"&amp;$A64))</f>
        <v>0</v>
      </c>
      <c r="V64" s="91">
        <f ca="1">IF(RTD("tos.rtd",,$A$2,"."&amp;V$43&amp;V$1&amp;"C"&amp;$A64)="N/A",0,RTD("tos.rtd",,$A$2,"."&amp;V$43&amp;V$1&amp;"C"&amp;$A64))-IF(RTD("tos.rtd",,$A$2,"."&amp;V$43&amp;V$1&amp;"P"&amp;$A64)="N/A",0,RTD("tos.rtd",,$A$2,"."&amp;V$43&amp;V$1&amp;"P"&amp;$A64))</f>
        <v>0</v>
      </c>
      <c r="W64" s="91">
        <f ca="1">IF(RTD("tos.rtd",,$A$2,"."&amp;W$43&amp;W$1&amp;"C"&amp;$A64)="N/A",0,RTD("tos.rtd",,$A$2,"."&amp;W$43&amp;W$1&amp;"C"&amp;$A64))-IF(RTD("tos.rtd",,$A$2,"."&amp;W$43&amp;W$1&amp;"P"&amp;$A64)="N/A",0,RTD("tos.rtd",,$A$2,"."&amp;W$43&amp;W$1&amp;"P"&amp;$A64))</f>
        <v>0</v>
      </c>
      <c r="X64" s="91">
        <f ca="1">IF(RTD("tos.rtd",,$A$2,"."&amp;X$43&amp;X$1&amp;"C"&amp;$A64)="N/A",0,RTD("tos.rtd",,$A$2,"."&amp;X$43&amp;X$1&amp;"C"&amp;$A64))-IF(RTD("tos.rtd",,$A$2,"."&amp;X$43&amp;X$1&amp;"P"&amp;$A64)="N/A",0,RTD("tos.rtd",,$A$2,"."&amp;X$43&amp;X$1&amp;"P"&amp;$A64))</f>
        <v>10</v>
      </c>
      <c r="Y64" s="98">
        <f t="shared" ca="1" si="7"/>
        <v>-2107</v>
      </c>
    </row>
    <row r="65" spans="1:25" x14ac:dyDescent="0.25">
      <c r="A65" s="93">
        <f>+Hoja1!A64</f>
        <v>503</v>
      </c>
      <c r="B65" s="91">
        <f ca="1">IF(RTD("tos.rtd",,$A$2,"."&amp;B$43&amp;B$1&amp;"C"&amp;$A65)="N/A",0,RTD("tos.rtd",,$A$2,"."&amp;B$43&amp;B$1&amp;"C"&amp;$A65))-IF(RTD("tos.rtd",,$A$2,"."&amp;B$43&amp;B$1&amp;"P"&amp;$A65)="N/A",0,RTD("tos.rtd",,$A$2,"."&amp;B$43&amp;B$1&amp;"P"&amp;$A65))</f>
        <v>0</v>
      </c>
      <c r="C65" s="91">
        <f ca="1">IF(RTD("tos.rtd",,$A$2,"."&amp;C$43&amp;C$1&amp;"C"&amp;$A65)="N/A",0,RTD("tos.rtd",,$A$2,"."&amp;C$43&amp;C$1&amp;"C"&amp;$A65))-IF(RTD("tos.rtd",,$A$2,"."&amp;C$43&amp;C$1&amp;"P"&amp;$A65)="N/A",0,RTD("tos.rtd",,$A$2,"."&amp;C$43&amp;C$1&amp;"P"&amp;$A65))</f>
        <v>0</v>
      </c>
      <c r="D65" s="91">
        <f ca="1">IF(RTD("tos.rtd",,$A$2,"."&amp;D$43&amp;D$1&amp;"C"&amp;$A65)="N/A",0,RTD("tos.rtd",,$A$2,"."&amp;D$43&amp;D$1&amp;"C"&amp;$A65))-IF(RTD("tos.rtd",,$A$2,"."&amp;D$43&amp;D$1&amp;"P"&amp;$A65)="N/A",0,RTD("tos.rtd",,$A$2,"."&amp;D$43&amp;D$1&amp;"P"&amp;$A65))</f>
        <v>0</v>
      </c>
      <c r="E65" s="91">
        <f ca="1">IF(RTD("tos.rtd",,$A$2,"."&amp;E$43&amp;E$1&amp;"C"&amp;$A65)="N/A",0,RTD("tos.rtd",,$A$2,"."&amp;E$43&amp;E$1&amp;"C"&amp;$A65))-IF(RTD("tos.rtd",,$A$2,"."&amp;E$43&amp;E$1&amp;"P"&amp;$A65)="N/A",0,RTD("tos.rtd",,$A$2,"."&amp;E$43&amp;E$1&amp;"P"&amp;$A65))</f>
        <v>0</v>
      </c>
      <c r="F65" s="91">
        <f ca="1">IF(RTD("tos.rtd",,$A$2,"."&amp;F$43&amp;F$1&amp;"C"&amp;$A65)="N/A",0,RTD("tos.rtd",,$A$2,"."&amp;F$43&amp;F$1&amp;"C"&amp;$A65))-IF(RTD("tos.rtd",,$A$2,"."&amp;F$43&amp;F$1&amp;"P"&amp;$A65)="N/A",0,RTD("tos.rtd",,$A$2,"."&amp;F$43&amp;F$1&amp;"P"&amp;$A65))</f>
        <v>0</v>
      </c>
      <c r="G65" s="91">
        <f ca="1">IF(RTD("tos.rtd",,$A$2,"."&amp;G$43&amp;G$1&amp;"C"&amp;$A65)="N/A",0,RTD("tos.rtd",,$A$2,"."&amp;G$43&amp;G$1&amp;"C"&amp;$A65))-IF(RTD("tos.rtd",,$A$2,"."&amp;G$43&amp;G$1&amp;"P"&amp;$A65)="N/A",0,RTD("tos.rtd",,$A$2,"."&amp;G$43&amp;G$1&amp;"P"&amp;$A65))</f>
        <v>0</v>
      </c>
      <c r="H65" s="91">
        <f ca="1">IF(RTD("tos.rtd",,$A$2,"."&amp;H$43&amp;H$1&amp;"C"&amp;$A65)="N/A",0,RTD("tos.rtd",,$A$2,"."&amp;H$43&amp;H$1&amp;"C"&amp;$A65))-IF(RTD("tos.rtd",,$A$2,"."&amp;H$43&amp;H$1&amp;"P"&amp;$A65)="N/A",0,RTD("tos.rtd",,$A$2,"."&amp;H$43&amp;H$1&amp;"P"&amp;$A65))</f>
        <v>-399</v>
      </c>
      <c r="I65" s="91">
        <f ca="1">IF(RTD("tos.rtd",,$A$2,"."&amp;I$43&amp;I$1&amp;"C"&amp;$A65)="N/A",0,RTD("tos.rtd",,$A$2,"."&amp;I$43&amp;I$1&amp;"C"&amp;$A65))-IF(RTD("tos.rtd",,$A$2,"."&amp;I$43&amp;I$1&amp;"P"&amp;$A65)="N/A",0,RTD("tos.rtd",,$A$2,"."&amp;I$43&amp;I$1&amp;"P"&amp;$A65))</f>
        <v>-140</v>
      </c>
      <c r="J65" s="91">
        <f ca="1">IF(RTD("tos.rtd",,$A$2,"."&amp;J$43&amp;J$1&amp;"C"&amp;$A65)="N/A",0,RTD("tos.rtd",,$A$2,"."&amp;J$43&amp;J$1&amp;"C"&amp;$A65))-IF(RTD("tos.rtd",,$A$2,"."&amp;J$43&amp;J$1&amp;"P"&amp;$A65)="N/A",0,RTD("tos.rtd",,$A$2,"."&amp;J$43&amp;J$1&amp;"P"&amp;$A65))</f>
        <v>0</v>
      </c>
      <c r="K65" s="91">
        <f ca="1">IF(RTD("tos.rtd",,$A$2,"."&amp;K$43&amp;K$1&amp;"C"&amp;$A65)="N/A",0,RTD("tos.rtd",,$A$2,"."&amp;K$43&amp;K$1&amp;"C"&amp;$A65))-IF(RTD("tos.rtd",,$A$2,"."&amp;K$43&amp;K$1&amp;"P"&amp;$A65)="N/A",0,RTD("tos.rtd",,$A$2,"."&amp;K$43&amp;K$1&amp;"P"&amp;$A65))</f>
        <v>0</v>
      </c>
      <c r="L65" s="91">
        <f ca="1">IF(RTD("tos.rtd",,$A$2,"."&amp;L$43&amp;L$1&amp;"C"&amp;$A65)="N/A",0,RTD("tos.rtd",,$A$2,"."&amp;L$43&amp;L$1&amp;"C"&amp;$A65))-IF(RTD("tos.rtd",,$A$2,"."&amp;L$43&amp;L$1&amp;"P"&amp;$A65)="N/A",0,RTD("tos.rtd",,$A$2,"."&amp;L$43&amp;L$1&amp;"P"&amp;$A65))</f>
        <v>39</v>
      </c>
      <c r="M65" s="91">
        <f ca="1">IF(RTD("tos.rtd",,$A$2,"."&amp;M$43&amp;M$1&amp;"C"&amp;$A65)="N/A",0,RTD("tos.rtd",,$A$2,"."&amp;M$43&amp;M$1&amp;"C"&amp;$A65))-IF(RTD("tos.rtd",,$A$2,"."&amp;M$43&amp;M$1&amp;"P"&amp;$A65)="N/A",0,RTD("tos.rtd",,$A$2,"."&amp;M$43&amp;M$1&amp;"P"&amp;$A65))</f>
        <v>0</v>
      </c>
      <c r="N65" s="91">
        <f ca="1">IF(RTD("tos.rtd",,$A$2,"."&amp;N$43&amp;N$1&amp;"C"&amp;$A65)="N/A",0,RTD("tos.rtd",,$A$2,"."&amp;N$43&amp;N$1&amp;"C"&amp;$A65))-IF(RTD("tos.rtd",,$A$2,"."&amp;N$43&amp;N$1&amp;"P"&amp;$A65)="N/A",0,RTD("tos.rtd",,$A$2,"."&amp;N$43&amp;N$1&amp;"P"&amp;$A65))</f>
        <v>18</v>
      </c>
      <c r="O65" s="91">
        <f ca="1">IF(RTD("tos.rtd",,$A$2,"."&amp;O$43&amp;O$1&amp;"C"&amp;$A65)="N/A",0,RTD("tos.rtd",,$A$2,"."&amp;O$43&amp;O$1&amp;"C"&amp;$A65))-IF(RTD("tos.rtd",,$A$2,"."&amp;O$43&amp;O$1&amp;"P"&amp;$A65)="N/A",0,RTD("tos.rtd",,$A$2,"."&amp;O$43&amp;O$1&amp;"P"&amp;$A65))</f>
        <v>0</v>
      </c>
      <c r="P65" s="91">
        <f ca="1">IF(RTD("tos.rtd",,$A$2,"."&amp;P$43&amp;P$1&amp;"C"&amp;$A65)="N/A",0,RTD("tos.rtd",,$A$2,"."&amp;P$43&amp;P$1&amp;"C"&amp;$A65))-IF(RTD("tos.rtd",,$A$2,"."&amp;P$43&amp;P$1&amp;"P"&amp;$A65)="N/A",0,RTD("tos.rtd",,$A$2,"."&amp;P$43&amp;P$1&amp;"P"&amp;$A65))</f>
        <v>0</v>
      </c>
      <c r="Q65" s="91">
        <f ca="1">IF(RTD("tos.rtd",,$A$2,"."&amp;Q$43&amp;Q$1&amp;"C"&amp;$A65)="N/A",0,RTD("tos.rtd",,$A$2,"."&amp;Q$43&amp;Q$1&amp;"C"&amp;$A65))-IF(RTD("tos.rtd",,$A$2,"."&amp;Q$43&amp;Q$1&amp;"P"&amp;$A65)="N/A",0,RTD("tos.rtd",,$A$2,"."&amp;Q$43&amp;Q$1&amp;"P"&amp;$A65))</f>
        <v>0</v>
      </c>
      <c r="R65" s="91">
        <f ca="1">IF(RTD("tos.rtd",,$A$2,"."&amp;R$43&amp;R$1&amp;"C"&amp;$A65)="N/A",0,RTD("tos.rtd",,$A$2,"."&amp;R$43&amp;R$1&amp;"C"&amp;$A65))-IF(RTD("tos.rtd",,$A$2,"."&amp;R$43&amp;R$1&amp;"P"&amp;$A65)="N/A",0,RTD("tos.rtd",,$A$2,"."&amp;R$43&amp;R$1&amp;"P"&amp;$A65))</f>
        <v>128</v>
      </c>
      <c r="S65" s="91">
        <f ca="1">IF(RTD("tos.rtd",,$A$2,"."&amp;S$43&amp;S$1&amp;"C"&amp;$A65)="N/A",0,RTD("tos.rtd",,$A$2,"."&amp;S$43&amp;S$1&amp;"C"&amp;$A65))-IF(RTD("tos.rtd",,$A$2,"."&amp;S$43&amp;S$1&amp;"P"&amp;$A65)="N/A",0,RTD("tos.rtd",,$A$2,"."&amp;S$43&amp;S$1&amp;"P"&amp;$A65))</f>
        <v>0</v>
      </c>
      <c r="T65" s="91">
        <f ca="1">IF(RTD("tos.rtd",,$A$2,"."&amp;T$43&amp;T$1&amp;"C"&amp;$A65)="N/A",0,RTD("tos.rtd",,$A$2,"."&amp;T$43&amp;T$1&amp;"C"&amp;$A65))-IF(RTD("tos.rtd",,$A$2,"."&amp;T$43&amp;T$1&amp;"P"&amp;$A65)="N/A",0,RTD("tos.rtd",,$A$2,"."&amp;T$43&amp;T$1&amp;"P"&amp;$A65))</f>
        <v>0</v>
      </c>
      <c r="U65" s="91">
        <f ca="1">IF(RTD("tos.rtd",,$A$2,"."&amp;U$43&amp;U$1&amp;"C"&amp;$A65)="N/A",0,RTD("tos.rtd",,$A$2,"."&amp;U$43&amp;U$1&amp;"C"&amp;$A65))-IF(RTD("tos.rtd",,$A$2,"."&amp;U$43&amp;U$1&amp;"P"&amp;$A65)="N/A",0,RTD("tos.rtd",,$A$2,"."&amp;U$43&amp;U$1&amp;"P"&amp;$A65))</f>
        <v>0</v>
      </c>
      <c r="V65" s="91">
        <f ca="1">IF(RTD("tos.rtd",,$A$2,"."&amp;V$43&amp;V$1&amp;"C"&amp;$A65)="N/A",0,RTD("tos.rtd",,$A$2,"."&amp;V$43&amp;V$1&amp;"C"&amp;$A65))-IF(RTD("tos.rtd",,$A$2,"."&amp;V$43&amp;V$1&amp;"P"&amp;$A65)="N/A",0,RTD("tos.rtd",,$A$2,"."&amp;V$43&amp;V$1&amp;"P"&amp;$A65))</f>
        <v>0</v>
      </c>
      <c r="W65" s="91">
        <f ca="1">IF(RTD("tos.rtd",,$A$2,"."&amp;W$43&amp;W$1&amp;"C"&amp;$A65)="N/A",0,RTD("tos.rtd",,$A$2,"."&amp;W$43&amp;W$1&amp;"C"&amp;$A65))-IF(RTD("tos.rtd",,$A$2,"."&amp;W$43&amp;W$1&amp;"P"&amp;$A65)="N/A",0,RTD("tos.rtd",,$A$2,"."&amp;W$43&amp;W$1&amp;"P"&amp;$A65))</f>
        <v>0</v>
      </c>
      <c r="X65" s="91">
        <f ca="1">IF(RTD("tos.rtd",,$A$2,"."&amp;X$43&amp;X$1&amp;"C"&amp;$A65)="N/A",0,RTD("tos.rtd",,$A$2,"."&amp;X$43&amp;X$1&amp;"C"&amp;$A65))-IF(RTD("tos.rtd",,$A$2,"."&amp;X$43&amp;X$1&amp;"P"&amp;$A65)="N/A",0,RTD("tos.rtd",,$A$2,"."&amp;X$43&amp;X$1&amp;"P"&amp;$A65))</f>
        <v>1</v>
      </c>
      <c r="Y65" s="98">
        <f t="shared" ca="1" si="7"/>
        <v>-353</v>
      </c>
    </row>
    <row r="66" spans="1:25" x14ac:dyDescent="0.25">
      <c r="A66" s="93">
        <f>+Hoja1!A65</f>
        <v>502</v>
      </c>
      <c r="B66" s="91">
        <f ca="1">IF(RTD("tos.rtd",,$A$2,"."&amp;B$43&amp;B$1&amp;"C"&amp;$A66)="N/A",0,RTD("tos.rtd",,$A$2,"."&amp;B$43&amp;B$1&amp;"C"&amp;$A66))-IF(RTD("tos.rtd",,$A$2,"."&amp;B$43&amp;B$1&amp;"P"&amp;$A66)="N/A",0,RTD("tos.rtd",,$A$2,"."&amp;B$43&amp;B$1&amp;"P"&amp;$A66))</f>
        <v>0</v>
      </c>
      <c r="C66" s="91">
        <f ca="1">IF(RTD("tos.rtd",,$A$2,"."&amp;C$43&amp;C$1&amp;"C"&amp;$A66)="N/A",0,RTD("tos.rtd",,$A$2,"."&amp;C$43&amp;C$1&amp;"C"&amp;$A66))-IF(RTD("tos.rtd",,$A$2,"."&amp;C$43&amp;C$1&amp;"P"&amp;$A66)="N/A",0,RTD("tos.rtd",,$A$2,"."&amp;C$43&amp;C$1&amp;"P"&amp;$A66))</f>
        <v>0</v>
      </c>
      <c r="D66" s="91">
        <f ca="1">IF(RTD("tos.rtd",,$A$2,"."&amp;D$43&amp;D$1&amp;"C"&amp;$A66)="N/A",0,RTD("tos.rtd",,$A$2,"."&amp;D$43&amp;D$1&amp;"C"&amp;$A66))-IF(RTD("tos.rtd",,$A$2,"."&amp;D$43&amp;D$1&amp;"P"&amp;$A66)="N/A",0,RTD("tos.rtd",,$A$2,"."&amp;D$43&amp;D$1&amp;"P"&amp;$A66))</f>
        <v>0</v>
      </c>
      <c r="E66" s="91">
        <f ca="1">IF(RTD("tos.rtd",,$A$2,"."&amp;E$43&amp;E$1&amp;"C"&amp;$A66)="N/A",0,RTD("tos.rtd",,$A$2,"."&amp;E$43&amp;E$1&amp;"C"&amp;$A66))-IF(RTD("tos.rtd",,$A$2,"."&amp;E$43&amp;E$1&amp;"P"&amp;$A66)="N/A",0,RTD("tos.rtd",,$A$2,"."&amp;E$43&amp;E$1&amp;"P"&amp;$A66))</f>
        <v>0</v>
      </c>
      <c r="F66" s="91">
        <f ca="1">IF(RTD("tos.rtd",,$A$2,"."&amp;F$43&amp;F$1&amp;"C"&amp;$A66)="N/A",0,RTD("tos.rtd",,$A$2,"."&amp;F$43&amp;F$1&amp;"C"&amp;$A66))-IF(RTD("tos.rtd",,$A$2,"."&amp;F$43&amp;F$1&amp;"P"&amp;$A66)="N/A",0,RTD("tos.rtd",,$A$2,"."&amp;F$43&amp;F$1&amp;"P"&amp;$A66))</f>
        <v>0</v>
      </c>
      <c r="G66" s="91">
        <f ca="1">IF(RTD("tos.rtd",,$A$2,"."&amp;G$43&amp;G$1&amp;"C"&amp;$A66)="N/A",0,RTD("tos.rtd",,$A$2,"."&amp;G$43&amp;G$1&amp;"C"&amp;$A66))-IF(RTD("tos.rtd",,$A$2,"."&amp;G$43&amp;G$1&amp;"P"&amp;$A66)="N/A",0,RTD("tos.rtd",,$A$2,"."&amp;G$43&amp;G$1&amp;"P"&amp;$A66))</f>
        <v>0</v>
      </c>
      <c r="H66" s="91">
        <f ca="1">IF(RTD("tos.rtd",,$A$2,"."&amp;H$43&amp;H$1&amp;"C"&amp;$A66)="N/A",0,RTD("tos.rtd",,$A$2,"."&amp;H$43&amp;H$1&amp;"C"&amp;$A66))-IF(RTD("tos.rtd",,$A$2,"."&amp;H$43&amp;H$1&amp;"P"&amp;$A66)="N/A",0,RTD("tos.rtd",,$A$2,"."&amp;H$43&amp;H$1&amp;"P"&amp;$A66))</f>
        <v>659</v>
      </c>
      <c r="I66" s="91">
        <f ca="1">IF(RTD("tos.rtd",,$A$2,"."&amp;I$43&amp;I$1&amp;"C"&amp;$A66)="N/A",0,RTD("tos.rtd",,$A$2,"."&amp;I$43&amp;I$1&amp;"C"&amp;$A66))-IF(RTD("tos.rtd",,$A$2,"."&amp;I$43&amp;I$1&amp;"P"&amp;$A66)="N/A",0,RTD("tos.rtd",,$A$2,"."&amp;I$43&amp;I$1&amp;"P"&amp;$A66))</f>
        <v>-161</v>
      </c>
      <c r="J66" s="91">
        <f ca="1">IF(RTD("tos.rtd",,$A$2,"."&amp;J$43&amp;J$1&amp;"C"&amp;$A66)="N/A",0,RTD("tos.rtd",,$A$2,"."&amp;J$43&amp;J$1&amp;"C"&amp;$A66))-IF(RTD("tos.rtd",,$A$2,"."&amp;J$43&amp;J$1&amp;"P"&amp;$A66)="N/A",0,RTD("tos.rtd",,$A$2,"."&amp;J$43&amp;J$1&amp;"P"&amp;$A66))</f>
        <v>0</v>
      </c>
      <c r="K66" s="91">
        <f ca="1">IF(RTD("tos.rtd",,$A$2,"."&amp;K$43&amp;K$1&amp;"C"&amp;$A66)="N/A",0,RTD("tos.rtd",,$A$2,"."&amp;K$43&amp;K$1&amp;"C"&amp;$A66))-IF(RTD("tos.rtd",,$A$2,"."&amp;K$43&amp;K$1&amp;"P"&amp;$A66)="N/A",0,RTD("tos.rtd",,$A$2,"."&amp;K$43&amp;K$1&amp;"P"&amp;$A66))</f>
        <v>0</v>
      </c>
      <c r="L66" s="91">
        <f ca="1">IF(RTD("tos.rtd",,$A$2,"."&amp;L$43&amp;L$1&amp;"C"&amp;$A66)="N/A",0,RTD("tos.rtd",,$A$2,"."&amp;L$43&amp;L$1&amp;"C"&amp;$A66))-IF(RTD("tos.rtd",,$A$2,"."&amp;L$43&amp;L$1&amp;"P"&amp;$A66)="N/A",0,RTD("tos.rtd",,$A$2,"."&amp;L$43&amp;L$1&amp;"P"&amp;$A66))</f>
        <v>-10</v>
      </c>
      <c r="M66" s="91">
        <f ca="1">IF(RTD("tos.rtd",,$A$2,"."&amp;M$43&amp;M$1&amp;"C"&amp;$A66)="N/A",0,RTD("tos.rtd",,$A$2,"."&amp;M$43&amp;M$1&amp;"C"&amp;$A66))-IF(RTD("tos.rtd",,$A$2,"."&amp;M$43&amp;M$1&amp;"P"&amp;$A66)="N/A",0,RTD("tos.rtd",,$A$2,"."&amp;M$43&amp;M$1&amp;"P"&amp;$A66))</f>
        <v>0</v>
      </c>
      <c r="N66" s="91">
        <f ca="1">IF(RTD("tos.rtd",,$A$2,"."&amp;N$43&amp;N$1&amp;"C"&amp;$A66)="N/A",0,RTD("tos.rtd",,$A$2,"."&amp;N$43&amp;N$1&amp;"C"&amp;$A66))-IF(RTD("tos.rtd",,$A$2,"."&amp;N$43&amp;N$1&amp;"P"&amp;$A66)="N/A",0,RTD("tos.rtd",,$A$2,"."&amp;N$43&amp;N$1&amp;"P"&amp;$A66))</f>
        <v>12</v>
      </c>
      <c r="O66" s="91">
        <f ca="1">IF(RTD("tos.rtd",,$A$2,"."&amp;O$43&amp;O$1&amp;"C"&amp;$A66)="N/A",0,RTD("tos.rtd",,$A$2,"."&amp;O$43&amp;O$1&amp;"C"&amp;$A66))-IF(RTD("tos.rtd",,$A$2,"."&amp;O$43&amp;O$1&amp;"P"&amp;$A66)="N/A",0,RTD("tos.rtd",,$A$2,"."&amp;O$43&amp;O$1&amp;"P"&amp;$A66))</f>
        <v>0</v>
      </c>
      <c r="P66" s="91">
        <f ca="1">IF(RTD("tos.rtd",,$A$2,"."&amp;P$43&amp;P$1&amp;"C"&amp;$A66)="N/A",0,RTD("tos.rtd",,$A$2,"."&amp;P$43&amp;P$1&amp;"C"&amp;$A66))-IF(RTD("tos.rtd",,$A$2,"."&amp;P$43&amp;P$1&amp;"P"&amp;$A66)="N/A",0,RTD("tos.rtd",,$A$2,"."&amp;P$43&amp;P$1&amp;"P"&amp;$A66))</f>
        <v>0</v>
      </c>
      <c r="Q66" s="91">
        <f ca="1">IF(RTD("tos.rtd",,$A$2,"."&amp;Q$43&amp;Q$1&amp;"C"&amp;$A66)="N/A",0,RTD("tos.rtd",,$A$2,"."&amp;Q$43&amp;Q$1&amp;"C"&amp;$A66))-IF(RTD("tos.rtd",,$A$2,"."&amp;Q$43&amp;Q$1&amp;"P"&amp;$A66)="N/A",0,RTD("tos.rtd",,$A$2,"."&amp;Q$43&amp;Q$1&amp;"P"&amp;$A66))</f>
        <v>0</v>
      </c>
      <c r="R66" s="91">
        <f ca="1">IF(RTD("tos.rtd",,$A$2,"."&amp;R$43&amp;R$1&amp;"C"&amp;$A66)="N/A",0,RTD("tos.rtd",,$A$2,"."&amp;R$43&amp;R$1&amp;"C"&amp;$A66))-IF(RTD("tos.rtd",,$A$2,"."&amp;R$43&amp;R$1&amp;"P"&amp;$A66)="N/A",0,RTD("tos.rtd",,$A$2,"."&amp;R$43&amp;R$1&amp;"P"&amp;$A66))</f>
        <v>0</v>
      </c>
      <c r="S66" s="91">
        <f ca="1">IF(RTD("tos.rtd",,$A$2,"."&amp;S$43&amp;S$1&amp;"C"&amp;$A66)="N/A",0,RTD("tos.rtd",,$A$2,"."&amp;S$43&amp;S$1&amp;"C"&amp;$A66))-IF(RTD("tos.rtd",,$A$2,"."&amp;S$43&amp;S$1&amp;"P"&amp;$A66)="N/A",0,RTD("tos.rtd",,$A$2,"."&amp;S$43&amp;S$1&amp;"P"&amp;$A66))</f>
        <v>0</v>
      </c>
      <c r="T66" s="91">
        <f ca="1">IF(RTD("tos.rtd",,$A$2,"."&amp;T$43&amp;T$1&amp;"C"&amp;$A66)="N/A",0,RTD("tos.rtd",,$A$2,"."&amp;T$43&amp;T$1&amp;"C"&amp;$A66))-IF(RTD("tos.rtd",,$A$2,"."&amp;T$43&amp;T$1&amp;"P"&amp;$A66)="N/A",0,RTD("tos.rtd",,$A$2,"."&amp;T$43&amp;T$1&amp;"P"&amp;$A66))</f>
        <v>0</v>
      </c>
      <c r="U66" s="91">
        <f ca="1">IF(RTD("tos.rtd",,$A$2,"."&amp;U$43&amp;U$1&amp;"C"&amp;$A66)="N/A",0,RTD("tos.rtd",,$A$2,"."&amp;U$43&amp;U$1&amp;"C"&amp;$A66))-IF(RTD("tos.rtd",,$A$2,"."&amp;U$43&amp;U$1&amp;"P"&amp;$A66)="N/A",0,RTD("tos.rtd",,$A$2,"."&amp;U$43&amp;U$1&amp;"P"&amp;$A66))</f>
        <v>0</v>
      </c>
      <c r="V66" s="91">
        <f ca="1">IF(RTD("tos.rtd",,$A$2,"."&amp;V$43&amp;V$1&amp;"C"&amp;$A66)="N/A",0,RTD("tos.rtd",,$A$2,"."&amp;V$43&amp;V$1&amp;"C"&amp;$A66))-IF(RTD("tos.rtd",,$A$2,"."&amp;V$43&amp;V$1&amp;"P"&amp;$A66)="N/A",0,RTD("tos.rtd",,$A$2,"."&amp;V$43&amp;V$1&amp;"P"&amp;$A66))</f>
        <v>0</v>
      </c>
      <c r="W66" s="91">
        <f ca="1">IF(RTD("tos.rtd",,$A$2,"."&amp;W$43&amp;W$1&amp;"C"&amp;$A66)="N/A",0,RTD("tos.rtd",,$A$2,"."&amp;W$43&amp;W$1&amp;"C"&amp;$A66))-IF(RTD("tos.rtd",,$A$2,"."&amp;W$43&amp;W$1&amp;"P"&amp;$A66)="N/A",0,RTD("tos.rtd",,$A$2,"."&amp;W$43&amp;W$1&amp;"P"&amp;$A66))</f>
        <v>0</v>
      </c>
      <c r="X66" s="91">
        <f ca="1">IF(RTD("tos.rtd",,$A$2,"."&amp;X$43&amp;X$1&amp;"C"&amp;$A66)="N/A",0,RTD("tos.rtd",,$A$2,"."&amp;X$43&amp;X$1&amp;"C"&amp;$A66))-IF(RTD("tos.rtd",,$A$2,"."&amp;X$43&amp;X$1&amp;"P"&amp;$A66)="N/A",0,RTD("tos.rtd",,$A$2,"."&amp;X$43&amp;X$1&amp;"P"&amp;$A66))</f>
        <v>-1</v>
      </c>
      <c r="Y66" s="98">
        <f t="shared" ca="1" si="7"/>
        <v>499</v>
      </c>
    </row>
    <row r="67" spans="1:25" x14ac:dyDescent="0.25">
      <c r="A67" s="93">
        <f>+Hoja1!A66</f>
        <v>501</v>
      </c>
      <c r="B67" s="91">
        <f ca="1">IF(RTD("tos.rtd",,$A$2,"."&amp;B$43&amp;B$1&amp;"C"&amp;$A67)="N/A",0,RTD("tos.rtd",,$A$2,"."&amp;B$43&amp;B$1&amp;"C"&amp;$A67))-IF(RTD("tos.rtd",,$A$2,"."&amp;B$43&amp;B$1&amp;"P"&amp;$A67)="N/A",0,RTD("tos.rtd",,$A$2,"."&amp;B$43&amp;B$1&amp;"P"&amp;$A67))</f>
        <v>0</v>
      </c>
      <c r="C67" s="91">
        <f ca="1">IF(RTD("tos.rtd",,$A$2,"."&amp;C$43&amp;C$1&amp;"C"&amp;$A67)="N/A",0,RTD("tos.rtd",,$A$2,"."&amp;C$43&amp;C$1&amp;"C"&amp;$A67))-IF(RTD("tos.rtd",,$A$2,"."&amp;C$43&amp;C$1&amp;"P"&amp;$A67)="N/A",0,RTD("tos.rtd",,$A$2,"."&amp;C$43&amp;C$1&amp;"P"&amp;$A67))</f>
        <v>0</v>
      </c>
      <c r="D67" s="91">
        <f ca="1">IF(RTD("tos.rtd",,$A$2,"."&amp;D$43&amp;D$1&amp;"C"&amp;$A67)="N/A",0,RTD("tos.rtd",,$A$2,"."&amp;D$43&amp;D$1&amp;"C"&amp;$A67))-IF(RTD("tos.rtd",,$A$2,"."&amp;D$43&amp;D$1&amp;"P"&amp;$A67)="N/A",0,RTD("tos.rtd",,$A$2,"."&amp;D$43&amp;D$1&amp;"P"&amp;$A67))</f>
        <v>0</v>
      </c>
      <c r="E67" s="91">
        <f ca="1">IF(RTD("tos.rtd",,$A$2,"."&amp;E$43&amp;E$1&amp;"C"&amp;$A67)="N/A",0,RTD("tos.rtd",,$A$2,"."&amp;E$43&amp;E$1&amp;"C"&amp;$A67))-IF(RTD("tos.rtd",,$A$2,"."&amp;E$43&amp;E$1&amp;"P"&amp;$A67)="N/A",0,RTD("tos.rtd",,$A$2,"."&amp;E$43&amp;E$1&amp;"P"&amp;$A67))</f>
        <v>0</v>
      </c>
      <c r="F67" s="91">
        <f ca="1">IF(RTD("tos.rtd",,$A$2,"."&amp;F$43&amp;F$1&amp;"C"&amp;$A67)="N/A",0,RTD("tos.rtd",,$A$2,"."&amp;F$43&amp;F$1&amp;"C"&amp;$A67))-IF(RTD("tos.rtd",,$A$2,"."&amp;F$43&amp;F$1&amp;"P"&amp;$A67)="N/A",0,RTD("tos.rtd",,$A$2,"."&amp;F$43&amp;F$1&amp;"P"&amp;$A67))</f>
        <v>0</v>
      </c>
      <c r="G67" s="91">
        <f ca="1">IF(RTD("tos.rtd",,$A$2,"."&amp;G$43&amp;G$1&amp;"C"&amp;$A67)="N/A",0,RTD("tos.rtd",,$A$2,"."&amp;G$43&amp;G$1&amp;"C"&amp;$A67))-IF(RTD("tos.rtd",,$A$2,"."&amp;G$43&amp;G$1&amp;"P"&amp;$A67)="N/A",0,RTD("tos.rtd",,$A$2,"."&amp;G$43&amp;G$1&amp;"P"&amp;$A67))</f>
        <v>0</v>
      </c>
      <c r="H67" s="91">
        <f ca="1">IF(RTD("tos.rtd",,$A$2,"."&amp;H$43&amp;H$1&amp;"C"&amp;$A67)="N/A",0,RTD("tos.rtd",,$A$2,"."&amp;H$43&amp;H$1&amp;"C"&amp;$A67))-IF(RTD("tos.rtd",,$A$2,"."&amp;H$43&amp;H$1&amp;"P"&amp;$A67)="N/A",0,RTD("tos.rtd",,$A$2,"."&amp;H$43&amp;H$1&amp;"P"&amp;$A67))</f>
        <v>-64</v>
      </c>
      <c r="I67" s="91">
        <f ca="1">IF(RTD("tos.rtd",,$A$2,"."&amp;I$43&amp;I$1&amp;"C"&amp;$A67)="N/A",0,RTD("tos.rtd",,$A$2,"."&amp;I$43&amp;I$1&amp;"C"&amp;$A67))-IF(RTD("tos.rtd",,$A$2,"."&amp;I$43&amp;I$1&amp;"P"&amp;$A67)="N/A",0,RTD("tos.rtd",,$A$2,"."&amp;I$43&amp;I$1&amp;"P"&amp;$A67))</f>
        <v>535</v>
      </c>
      <c r="J67" s="91">
        <f ca="1">IF(RTD("tos.rtd",,$A$2,"."&amp;J$43&amp;J$1&amp;"C"&amp;$A67)="N/A",0,RTD("tos.rtd",,$A$2,"."&amp;J$43&amp;J$1&amp;"C"&amp;$A67))-IF(RTD("tos.rtd",,$A$2,"."&amp;J$43&amp;J$1&amp;"P"&amp;$A67)="N/A",0,RTD("tos.rtd",,$A$2,"."&amp;J$43&amp;J$1&amp;"P"&amp;$A67))</f>
        <v>0</v>
      </c>
      <c r="K67" s="91">
        <f ca="1">IF(RTD("tos.rtd",,$A$2,"."&amp;K$43&amp;K$1&amp;"C"&amp;$A67)="N/A",0,RTD("tos.rtd",,$A$2,"."&amp;K$43&amp;K$1&amp;"C"&amp;$A67))-IF(RTD("tos.rtd",,$A$2,"."&amp;K$43&amp;K$1&amp;"P"&amp;$A67)="N/A",0,RTD("tos.rtd",,$A$2,"."&amp;K$43&amp;K$1&amp;"P"&amp;$A67))</f>
        <v>0</v>
      </c>
      <c r="L67" s="91">
        <f ca="1">IF(RTD("tos.rtd",,$A$2,"."&amp;L$43&amp;L$1&amp;"C"&amp;$A67)="N/A",0,RTD("tos.rtd",,$A$2,"."&amp;L$43&amp;L$1&amp;"C"&amp;$A67))-IF(RTD("tos.rtd",,$A$2,"."&amp;L$43&amp;L$1&amp;"P"&amp;$A67)="N/A",0,RTD("tos.rtd",,$A$2,"."&amp;L$43&amp;L$1&amp;"P"&amp;$A67))</f>
        <v>41</v>
      </c>
      <c r="M67" s="91">
        <f ca="1">IF(RTD("tos.rtd",,$A$2,"."&amp;M$43&amp;M$1&amp;"C"&amp;$A67)="N/A",0,RTD("tos.rtd",,$A$2,"."&amp;M$43&amp;M$1&amp;"C"&amp;$A67))-IF(RTD("tos.rtd",,$A$2,"."&amp;M$43&amp;M$1&amp;"P"&amp;$A67)="N/A",0,RTD("tos.rtd",,$A$2,"."&amp;M$43&amp;M$1&amp;"P"&amp;$A67))</f>
        <v>0</v>
      </c>
      <c r="N67" s="91">
        <f ca="1">IF(RTD("tos.rtd",,$A$2,"."&amp;N$43&amp;N$1&amp;"C"&amp;$A67)="N/A",0,RTD("tos.rtd",,$A$2,"."&amp;N$43&amp;N$1&amp;"C"&amp;$A67))-IF(RTD("tos.rtd",,$A$2,"."&amp;N$43&amp;N$1&amp;"P"&amp;$A67)="N/A",0,RTD("tos.rtd",,$A$2,"."&amp;N$43&amp;N$1&amp;"P"&amp;$A67))</f>
        <v>-2</v>
      </c>
      <c r="O67" s="91">
        <f ca="1">IF(RTD("tos.rtd",,$A$2,"."&amp;O$43&amp;O$1&amp;"C"&amp;$A67)="N/A",0,RTD("tos.rtd",,$A$2,"."&amp;O$43&amp;O$1&amp;"C"&amp;$A67))-IF(RTD("tos.rtd",,$A$2,"."&amp;O$43&amp;O$1&amp;"P"&amp;$A67)="N/A",0,RTD("tos.rtd",,$A$2,"."&amp;O$43&amp;O$1&amp;"P"&amp;$A67))</f>
        <v>0</v>
      </c>
      <c r="P67" s="91">
        <f ca="1">IF(RTD("tos.rtd",,$A$2,"."&amp;P$43&amp;P$1&amp;"C"&amp;$A67)="N/A",0,RTD("tos.rtd",,$A$2,"."&amp;P$43&amp;P$1&amp;"C"&amp;$A67))-IF(RTD("tos.rtd",,$A$2,"."&amp;P$43&amp;P$1&amp;"P"&amp;$A67)="N/A",0,RTD("tos.rtd",,$A$2,"."&amp;P$43&amp;P$1&amp;"P"&amp;$A67))</f>
        <v>0</v>
      </c>
      <c r="Q67" s="91">
        <f ca="1">IF(RTD("tos.rtd",,$A$2,"."&amp;Q$43&amp;Q$1&amp;"C"&amp;$A67)="N/A",0,RTD("tos.rtd",,$A$2,"."&amp;Q$43&amp;Q$1&amp;"C"&amp;$A67))-IF(RTD("tos.rtd",,$A$2,"."&amp;Q$43&amp;Q$1&amp;"P"&amp;$A67)="N/A",0,RTD("tos.rtd",,$A$2,"."&amp;Q$43&amp;Q$1&amp;"P"&amp;$A67))</f>
        <v>0</v>
      </c>
      <c r="R67" s="91">
        <f ca="1">IF(RTD("tos.rtd",,$A$2,"."&amp;R$43&amp;R$1&amp;"C"&amp;$A67)="N/A",0,RTD("tos.rtd",,$A$2,"."&amp;R$43&amp;R$1&amp;"C"&amp;$A67))-IF(RTD("tos.rtd",,$A$2,"."&amp;R$43&amp;R$1&amp;"P"&amp;$A67)="N/A",0,RTD("tos.rtd",,$A$2,"."&amp;R$43&amp;R$1&amp;"P"&amp;$A67))</f>
        <v>3</v>
      </c>
      <c r="S67" s="91">
        <f ca="1">IF(RTD("tos.rtd",,$A$2,"."&amp;S$43&amp;S$1&amp;"C"&amp;$A67)="N/A",0,RTD("tos.rtd",,$A$2,"."&amp;S$43&amp;S$1&amp;"C"&amp;$A67))-IF(RTD("tos.rtd",,$A$2,"."&amp;S$43&amp;S$1&amp;"P"&amp;$A67)="N/A",0,RTD("tos.rtd",,$A$2,"."&amp;S$43&amp;S$1&amp;"P"&amp;$A67))</f>
        <v>0</v>
      </c>
      <c r="T67" s="91">
        <f ca="1">IF(RTD("tos.rtd",,$A$2,"."&amp;T$43&amp;T$1&amp;"C"&amp;$A67)="N/A",0,RTD("tos.rtd",,$A$2,"."&amp;T$43&amp;T$1&amp;"C"&amp;$A67))-IF(RTD("tos.rtd",,$A$2,"."&amp;T$43&amp;T$1&amp;"P"&amp;$A67)="N/A",0,RTD("tos.rtd",,$A$2,"."&amp;T$43&amp;T$1&amp;"P"&amp;$A67))</f>
        <v>0</v>
      </c>
      <c r="U67" s="91">
        <f ca="1">IF(RTD("tos.rtd",,$A$2,"."&amp;U$43&amp;U$1&amp;"C"&amp;$A67)="N/A",0,RTD("tos.rtd",,$A$2,"."&amp;U$43&amp;U$1&amp;"C"&amp;$A67))-IF(RTD("tos.rtd",,$A$2,"."&amp;U$43&amp;U$1&amp;"P"&amp;$A67)="N/A",0,RTD("tos.rtd",,$A$2,"."&amp;U$43&amp;U$1&amp;"P"&amp;$A67))</f>
        <v>0</v>
      </c>
      <c r="V67" s="91">
        <f ca="1">IF(RTD("tos.rtd",,$A$2,"."&amp;V$43&amp;V$1&amp;"C"&amp;$A67)="N/A",0,RTD("tos.rtd",,$A$2,"."&amp;V$43&amp;V$1&amp;"C"&amp;$A67))-IF(RTD("tos.rtd",,$A$2,"."&amp;V$43&amp;V$1&amp;"P"&amp;$A67)="N/A",0,RTD("tos.rtd",,$A$2,"."&amp;V$43&amp;V$1&amp;"P"&amp;$A67))</f>
        <v>0</v>
      </c>
      <c r="W67" s="91">
        <f ca="1">IF(RTD("tos.rtd",,$A$2,"."&amp;W$43&amp;W$1&amp;"C"&amp;$A67)="N/A",0,RTD("tos.rtd",,$A$2,"."&amp;W$43&amp;W$1&amp;"C"&amp;$A67))-IF(RTD("tos.rtd",,$A$2,"."&amp;W$43&amp;W$1&amp;"P"&amp;$A67)="N/A",0,RTD("tos.rtd",,$A$2,"."&amp;W$43&amp;W$1&amp;"P"&amp;$A67))</f>
        <v>0</v>
      </c>
      <c r="X67" s="91">
        <f ca="1">IF(RTD("tos.rtd",,$A$2,"."&amp;X$43&amp;X$1&amp;"C"&amp;$A67)="N/A",0,RTD("tos.rtd",,$A$2,"."&amp;X$43&amp;X$1&amp;"C"&amp;$A67))-IF(RTD("tos.rtd",,$A$2,"."&amp;X$43&amp;X$1&amp;"P"&amp;$A67)="N/A",0,RTD("tos.rtd",,$A$2,"."&amp;X$43&amp;X$1&amp;"P"&amp;$A67))</f>
        <v>0</v>
      </c>
      <c r="Y67" s="98">
        <f t="shared" ca="1" si="7"/>
        <v>513</v>
      </c>
    </row>
    <row r="68" spans="1:25" x14ac:dyDescent="0.25">
      <c r="A68" s="93">
        <f>+Hoja1!A67</f>
        <v>500</v>
      </c>
      <c r="B68" s="91">
        <f ca="1">IF(RTD("tos.rtd",,$A$2,"."&amp;B$43&amp;B$1&amp;"C"&amp;$A68)="N/A",0,RTD("tos.rtd",,$A$2,"."&amp;B$43&amp;B$1&amp;"C"&amp;$A68))-IF(RTD("tos.rtd",,$A$2,"."&amp;B$43&amp;B$1&amp;"P"&amp;$A68)="N/A",0,RTD("tos.rtd",,$A$2,"."&amp;B$43&amp;B$1&amp;"P"&amp;$A68))</f>
        <v>0</v>
      </c>
      <c r="C68" s="91">
        <f ca="1">IF(RTD("tos.rtd",,$A$2,"."&amp;C$43&amp;C$1&amp;"C"&amp;$A68)="N/A",0,RTD("tos.rtd",,$A$2,"."&amp;C$43&amp;C$1&amp;"C"&amp;$A68))-IF(RTD("tos.rtd",,$A$2,"."&amp;C$43&amp;C$1&amp;"P"&amp;$A68)="N/A",0,RTD("tos.rtd",,$A$2,"."&amp;C$43&amp;C$1&amp;"P"&amp;$A68))</f>
        <v>0</v>
      </c>
      <c r="D68" s="91">
        <f ca="1">IF(RTD("tos.rtd",,$A$2,"."&amp;D$43&amp;D$1&amp;"C"&amp;$A68)="N/A",0,RTD("tos.rtd",,$A$2,"."&amp;D$43&amp;D$1&amp;"C"&amp;$A68))-IF(RTD("tos.rtd",,$A$2,"."&amp;D$43&amp;D$1&amp;"P"&amp;$A68)="N/A",0,RTD("tos.rtd",,$A$2,"."&amp;D$43&amp;D$1&amp;"P"&amp;$A68))</f>
        <v>0</v>
      </c>
      <c r="E68" s="91">
        <f ca="1">IF(RTD("tos.rtd",,$A$2,"."&amp;E$43&amp;E$1&amp;"C"&amp;$A68)="N/A",0,RTD("tos.rtd",,$A$2,"."&amp;E$43&amp;E$1&amp;"C"&amp;$A68))-IF(RTD("tos.rtd",,$A$2,"."&amp;E$43&amp;E$1&amp;"P"&amp;$A68)="N/A",0,RTD("tos.rtd",,$A$2,"."&amp;E$43&amp;E$1&amp;"P"&amp;$A68))</f>
        <v>0</v>
      </c>
      <c r="F68" s="91">
        <f ca="1">IF(RTD("tos.rtd",,$A$2,"."&amp;F$43&amp;F$1&amp;"C"&amp;$A68)="N/A",0,RTD("tos.rtd",,$A$2,"."&amp;F$43&amp;F$1&amp;"C"&amp;$A68))-IF(RTD("tos.rtd",,$A$2,"."&amp;F$43&amp;F$1&amp;"P"&amp;$A68)="N/A",0,RTD("tos.rtd",,$A$2,"."&amp;F$43&amp;F$1&amp;"P"&amp;$A68))</f>
        <v>0</v>
      </c>
      <c r="G68" s="91">
        <f ca="1">IF(RTD("tos.rtd",,$A$2,"."&amp;G$43&amp;G$1&amp;"C"&amp;$A68)="N/A",0,RTD("tos.rtd",,$A$2,"."&amp;G$43&amp;G$1&amp;"C"&amp;$A68))-IF(RTD("tos.rtd",,$A$2,"."&amp;G$43&amp;G$1&amp;"P"&amp;$A68)="N/A",0,RTD("tos.rtd",,$A$2,"."&amp;G$43&amp;G$1&amp;"P"&amp;$A68))</f>
        <v>0</v>
      </c>
      <c r="H68" s="91">
        <f ca="1">IF(RTD("tos.rtd",,$A$2,"."&amp;H$43&amp;H$1&amp;"C"&amp;$A68)="N/A",0,RTD("tos.rtd",,$A$2,"."&amp;H$43&amp;H$1&amp;"C"&amp;$A68))-IF(RTD("tos.rtd",,$A$2,"."&amp;H$43&amp;H$1&amp;"P"&amp;$A68)="N/A",0,RTD("tos.rtd",,$A$2,"."&amp;H$43&amp;H$1&amp;"P"&amp;$A68))</f>
        <v>-4640</v>
      </c>
      <c r="I68" s="91">
        <f ca="1">IF(RTD("tos.rtd",,$A$2,"."&amp;I$43&amp;I$1&amp;"C"&amp;$A68)="N/A",0,RTD("tos.rtd",,$A$2,"."&amp;I$43&amp;I$1&amp;"C"&amp;$A68))-IF(RTD("tos.rtd",,$A$2,"."&amp;I$43&amp;I$1&amp;"P"&amp;$A68)="N/A",0,RTD("tos.rtd",,$A$2,"."&amp;I$43&amp;I$1&amp;"P"&amp;$A68))</f>
        <v>-13398</v>
      </c>
      <c r="J68" s="91">
        <f ca="1">IF(RTD("tos.rtd",,$A$2,"."&amp;J$43&amp;J$1&amp;"C"&amp;$A68)="N/A",0,RTD("tos.rtd",,$A$2,"."&amp;J$43&amp;J$1&amp;"C"&amp;$A68))-IF(RTD("tos.rtd",,$A$2,"."&amp;J$43&amp;J$1&amp;"P"&amp;$A68)="N/A",0,RTD("tos.rtd",,$A$2,"."&amp;J$43&amp;J$1&amp;"P"&amp;$A68))</f>
        <v>-753</v>
      </c>
      <c r="K68" s="91">
        <f ca="1">IF(RTD("tos.rtd",,$A$2,"."&amp;K$43&amp;K$1&amp;"C"&amp;$A68)="N/A",0,RTD("tos.rtd",,$A$2,"."&amp;K$43&amp;K$1&amp;"C"&amp;$A68))-IF(RTD("tos.rtd",,$A$2,"."&amp;K$43&amp;K$1&amp;"P"&amp;$A68)="N/A",0,RTD("tos.rtd",,$A$2,"."&amp;K$43&amp;K$1&amp;"P"&amp;$A68))</f>
        <v>0</v>
      </c>
      <c r="L68" s="91">
        <f ca="1">IF(RTD("tos.rtd",,$A$2,"."&amp;L$43&amp;L$1&amp;"C"&amp;$A68)="N/A",0,RTD("tos.rtd",,$A$2,"."&amp;L$43&amp;L$1&amp;"C"&amp;$A68))-IF(RTD("tos.rtd",,$A$2,"."&amp;L$43&amp;L$1&amp;"P"&amp;$A68)="N/A",0,RTD("tos.rtd",,$A$2,"."&amp;L$43&amp;L$1&amp;"P"&amp;$A68))</f>
        <v>-168</v>
      </c>
      <c r="M68" s="91">
        <f ca="1">IF(RTD("tos.rtd",,$A$2,"."&amp;M$43&amp;M$1&amp;"C"&amp;$A68)="N/A",0,RTD("tos.rtd",,$A$2,"."&amp;M$43&amp;M$1&amp;"C"&amp;$A68))-IF(RTD("tos.rtd",,$A$2,"."&amp;M$43&amp;M$1&amp;"P"&amp;$A68)="N/A",0,RTD("tos.rtd",,$A$2,"."&amp;M$43&amp;M$1&amp;"P"&amp;$A68))</f>
        <v>-13249</v>
      </c>
      <c r="N68" s="91">
        <f ca="1">IF(RTD("tos.rtd",,$A$2,"."&amp;N$43&amp;N$1&amp;"C"&amp;$A68)="N/A",0,RTD("tos.rtd",,$A$2,"."&amp;N$43&amp;N$1&amp;"C"&amp;$A68))-IF(RTD("tos.rtd",,$A$2,"."&amp;N$43&amp;N$1&amp;"P"&amp;$A68)="N/A",0,RTD("tos.rtd",,$A$2,"."&amp;N$43&amp;N$1&amp;"P"&amp;$A68))</f>
        <v>131</v>
      </c>
      <c r="O68" s="91">
        <f ca="1">IF(RTD("tos.rtd",,$A$2,"."&amp;O$43&amp;O$1&amp;"C"&amp;$A68)="N/A",0,RTD("tos.rtd",,$A$2,"."&amp;O$43&amp;O$1&amp;"C"&amp;$A68))-IF(RTD("tos.rtd",,$A$2,"."&amp;O$43&amp;O$1&amp;"P"&amp;$A68)="N/A",0,RTD("tos.rtd",,$A$2,"."&amp;O$43&amp;O$1&amp;"P"&amp;$A68))</f>
        <v>245</v>
      </c>
      <c r="P68" s="91">
        <f ca="1">IF(RTD("tos.rtd",,$A$2,"."&amp;P$43&amp;P$1&amp;"C"&amp;$A68)="N/A",0,RTD("tos.rtd",,$A$2,"."&amp;P$43&amp;P$1&amp;"C"&amp;$A68))-IF(RTD("tos.rtd",,$A$2,"."&amp;P$43&amp;P$1&amp;"P"&amp;$A68)="N/A",0,RTD("tos.rtd",,$A$2,"."&amp;P$43&amp;P$1&amp;"P"&amp;$A68))</f>
        <v>41</v>
      </c>
      <c r="Q68" s="91">
        <f ca="1">IF(RTD("tos.rtd",,$A$2,"."&amp;Q$43&amp;Q$1&amp;"C"&amp;$A68)="N/A",0,RTD("tos.rtd",,$A$2,"."&amp;Q$43&amp;Q$1&amp;"C"&amp;$A68))-IF(RTD("tos.rtd",,$A$2,"."&amp;Q$43&amp;Q$1&amp;"P"&amp;$A68)="N/A",0,RTD("tos.rtd",,$A$2,"."&amp;Q$43&amp;Q$1&amp;"P"&amp;$A68))</f>
        <v>-205</v>
      </c>
      <c r="R68" s="91">
        <f ca="1">IF(RTD("tos.rtd",,$A$2,"."&amp;R$43&amp;R$1&amp;"C"&amp;$A68)="N/A",0,RTD("tos.rtd",,$A$2,"."&amp;R$43&amp;R$1&amp;"C"&amp;$A68))-IF(RTD("tos.rtd",,$A$2,"."&amp;R$43&amp;R$1&amp;"P"&amp;$A68)="N/A",0,RTD("tos.rtd",,$A$2,"."&amp;R$43&amp;R$1&amp;"P"&amp;$A68))</f>
        <v>-122</v>
      </c>
      <c r="S68" s="91">
        <f ca="1">IF(RTD("tos.rtd",,$A$2,"."&amp;S$43&amp;S$1&amp;"C"&amp;$A68)="N/A",0,RTD("tos.rtd",,$A$2,"."&amp;S$43&amp;S$1&amp;"C"&amp;$A68))-IF(RTD("tos.rtd",,$A$2,"."&amp;S$43&amp;S$1&amp;"P"&amp;$A68)="N/A",0,RTD("tos.rtd",,$A$2,"."&amp;S$43&amp;S$1&amp;"P"&amp;$A68))</f>
        <v>0</v>
      </c>
      <c r="T68" s="91">
        <f ca="1">IF(RTD("tos.rtd",,$A$2,"."&amp;T$43&amp;T$1&amp;"C"&amp;$A68)="N/A",0,RTD("tos.rtd",,$A$2,"."&amp;T$43&amp;T$1&amp;"C"&amp;$A68))-IF(RTD("tos.rtd",,$A$2,"."&amp;T$43&amp;T$1&amp;"P"&amp;$A68)="N/A",0,RTD("tos.rtd",,$A$2,"."&amp;T$43&amp;T$1&amp;"P"&amp;$A68))</f>
        <v>0</v>
      </c>
      <c r="U68" s="91">
        <f ca="1">IF(RTD("tos.rtd",,$A$2,"."&amp;U$43&amp;U$1&amp;"C"&amp;$A68)="N/A",0,RTD("tos.rtd",,$A$2,"."&amp;U$43&amp;U$1&amp;"C"&amp;$A68))-IF(RTD("tos.rtd",,$A$2,"."&amp;U$43&amp;U$1&amp;"P"&amp;$A68)="N/A",0,RTD("tos.rtd",,$A$2,"."&amp;U$43&amp;U$1&amp;"P"&amp;$A68))</f>
        <v>-80</v>
      </c>
      <c r="V68" s="91">
        <f ca="1">IF(RTD("tos.rtd",,$A$2,"."&amp;V$43&amp;V$1&amp;"C"&amp;$A68)="N/A",0,RTD("tos.rtd",,$A$2,"."&amp;V$43&amp;V$1&amp;"C"&amp;$A68))-IF(RTD("tos.rtd",,$A$2,"."&amp;V$43&amp;V$1&amp;"P"&amp;$A68)="N/A",0,RTD("tos.rtd",,$A$2,"."&amp;V$43&amp;V$1&amp;"P"&amp;$A68))</f>
        <v>0</v>
      </c>
      <c r="W68" s="91">
        <f ca="1">IF(RTD("tos.rtd",,$A$2,"."&amp;W$43&amp;W$1&amp;"C"&amp;$A68)="N/A",0,RTD("tos.rtd",,$A$2,"."&amp;W$43&amp;W$1&amp;"C"&amp;$A68))-IF(RTD("tos.rtd",,$A$2,"."&amp;W$43&amp;W$1&amp;"P"&amp;$A68)="N/A",0,RTD("tos.rtd",,$A$2,"."&amp;W$43&amp;W$1&amp;"P"&amp;$A68))</f>
        <v>93</v>
      </c>
      <c r="X68" s="91">
        <f ca="1">IF(RTD("tos.rtd",,$A$2,"."&amp;X$43&amp;X$1&amp;"C"&amp;$A68)="N/A",0,RTD("tos.rtd",,$A$2,"."&amp;X$43&amp;X$1&amp;"C"&amp;$A68))-IF(RTD("tos.rtd",,$A$2,"."&amp;X$43&amp;X$1&amp;"P"&amp;$A68)="N/A",0,RTD("tos.rtd",,$A$2,"."&amp;X$43&amp;X$1&amp;"P"&amp;$A68))</f>
        <v>129</v>
      </c>
      <c r="Y68" s="98">
        <f t="shared" ca="1" si="7"/>
        <v>-31976</v>
      </c>
    </row>
    <row r="69" spans="1:25" x14ac:dyDescent="0.25">
      <c r="A69" s="93">
        <f>+Hoja1!A68</f>
        <v>499</v>
      </c>
      <c r="B69" s="91">
        <f ca="1">IF(RTD("tos.rtd",,$A$2,"."&amp;B$43&amp;B$1&amp;"C"&amp;$A69)="N/A",0,RTD("tos.rtd",,$A$2,"."&amp;B$43&amp;B$1&amp;"C"&amp;$A69))-IF(RTD("tos.rtd",,$A$2,"."&amp;B$43&amp;B$1&amp;"P"&amp;$A69)="N/A",0,RTD("tos.rtd",,$A$2,"."&amp;B$43&amp;B$1&amp;"P"&amp;$A69))</f>
        <v>0</v>
      </c>
      <c r="C69" s="91">
        <f ca="1">IF(RTD("tos.rtd",,$A$2,"."&amp;C$43&amp;C$1&amp;"C"&amp;$A69)="N/A",0,RTD("tos.rtd",,$A$2,"."&amp;C$43&amp;C$1&amp;"C"&amp;$A69))-IF(RTD("tos.rtd",,$A$2,"."&amp;C$43&amp;C$1&amp;"P"&amp;$A69)="N/A",0,RTD("tos.rtd",,$A$2,"."&amp;C$43&amp;C$1&amp;"P"&amp;$A69))</f>
        <v>0</v>
      </c>
      <c r="D69" s="91">
        <f ca="1">IF(RTD("tos.rtd",,$A$2,"."&amp;D$43&amp;D$1&amp;"C"&amp;$A69)="N/A",0,RTD("tos.rtd",,$A$2,"."&amp;D$43&amp;D$1&amp;"C"&amp;$A69))-IF(RTD("tos.rtd",,$A$2,"."&amp;D$43&amp;D$1&amp;"P"&amp;$A69)="N/A",0,RTD("tos.rtd",,$A$2,"."&amp;D$43&amp;D$1&amp;"P"&amp;$A69))</f>
        <v>0</v>
      </c>
      <c r="E69" s="91">
        <f ca="1">IF(RTD("tos.rtd",,$A$2,"."&amp;E$43&amp;E$1&amp;"C"&amp;$A69)="N/A",0,RTD("tos.rtd",,$A$2,"."&amp;E$43&amp;E$1&amp;"C"&amp;$A69))-IF(RTD("tos.rtd",,$A$2,"."&amp;E$43&amp;E$1&amp;"P"&amp;$A69)="N/A",0,RTD("tos.rtd",,$A$2,"."&amp;E$43&amp;E$1&amp;"P"&amp;$A69))</f>
        <v>0</v>
      </c>
      <c r="F69" s="91">
        <f ca="1">IF(RTD("tos.rtd",,$A$2,"."&amp;F$43&amp;F$1&amp;"C"&amp;$A69)="N/A",0,RTD("tos.rtd",,$A$2,"."&amp;F$43&amp;F$1&amp;"C"&amp;$A69))-IF(RTD("tos.rtd",,$A$2,"."&amp;F$43&amp;F$1&amp;"P"&amp;$A69)="N/A",0,RTD("tos.rtd",,$A$2,"."&amp;F$43&amp;F$1&amp;"P"&amp;$A69))</f>
        <v>0</v>
      </c>
      <c r="G69" s="91">
        <f ca="1">IF(RTD("tos.rtd",,$A$2,"."&amp;G$43&amp;G$1&amp;"C"&amp;$A69)="N/A",0,RTD("tos.rtd",,$A$2,"."&amp;G$43&amp;G$1&amp;"C"&amp;$A69))-IF(RTD("tos.rtd",,$A$2,"."&amp;G$43&amp;G$1&amp;"P"&amp;$A69)="N/A",0,RTD("tos.rtd",,$A$2,"."&amp;G$43&amp;G$1&amp;"P"&amp;$A69))</f>
        <v>0</v>
      </c>
      <c r="H69" s="91">
        <f ca="1">IF(RTD("tos.rtd",,$A$2,"."&amp;H$43&amp;H$1&amp;"C"&amp;$A69)="N/A",0,RTD("tos.rtd",,$A$2,"."&amp;H$43&amp;H$1&amp;"C"&amp;$A69))-IF(RTD("tos.rtd",,$A$2,"."&amp;H$43&amp;H$1&amp;"P"&amp;$A69)="N/A",0,RTD("tos.rtd",,$A$2,"."&amp;H$43&amp;H$1&amp;"P"&amp;$A69))</f>
        <v>-79</v>
      </c>
      <c r="I69" s="91">
        <f ca="1">IF(RTD("tos.rtd",,$A$2,"."&amp;I$43&amp;I$1&amp;"C"&amp;$A69)="N/A",0,RTD("tos.rtd",,$A$2,"."&amp;I$43&amp;I$1&amp;"C"&amp;$A69))-IF(RTD("tos.rtd",,$A$2,"."&amp;I$43&amp;I$1&amp;"P"&amp;$A69)="N/A",0,RTD("tos.rtd",,$A$2,"."&amp;I$43&amp;I$1&amp;"P"&amp;$A69))</f>
        <v>26</v>
      </c>
      <c r="J69" s="91">
        <f ca="1">IF(RTD("tos.rtd",,$A$2,"."&amp;J$43&amp;J$1&amp;"C"&amp;$A69)="N/A",0,RTD("tos.rtd",,$A$2,"."&amp;J$43&amp;J$1&amp;"C"&amp;$A69))-IF(RTD("tos.rtd",,$A$2,"."&amp;J$43&amp;J$1&amp;"P"&amp;$A69)="N/A",0,RTD("tos.rtd",,$A$2,"."&amp;J$43&amp;J$1&amp;"P"&amp;$A69))</f>
        <v>-570</v>
      </c>
      <c r="K69" s="91">
        <f ca="1">IF(RTD("tos.rtd",,$A$2,"."&amp;K$43&amp;K$1&amp;"C"&amp;$A69)="N/A",0,RTD("tos.rtd",,$A$2,"."&amp;K$43&amp;K$1&amp;"C"&amp;$A69))-IF(RTD("tos.rtd",,$A$2,"."&amp;K$43&amp;K$1&amp;"P"&amp;$A69)="N/A",0,RTD("tos.rtd",,$A$2,"."&amp;K$43&amp;K$1&amp;"P"&amp;$A69))</f>
        <v>0</v>
      </c>
      <c r="L69" s="91">
        <f ca="1">IF(RTD("tos.rtd",,$A$2,"."&amp;L$43&amp;L$1&amp;"C"&amp;$A69)="N/A",0,RTD("tos.rtd",,$A$2,"."&amp;L$43&amp;L$1&amp;"C"&amp;$A69))-IF(RTD("tos.rtd",,$A$2,"."&amp;L$43&amp;L$1&amp;"P"&amp;$A69)="N/A",0,RTD("tos.rtd",,$A$2,"."&amp;L$43&amp;L$1&amp;"P"&amp;$A69))</f>
        <v>2</v>
      </c>
      <c r="M69" s="91">
        <f ca="1">IF(RTD("tos.rtd",,$A$2,"."&amp;M$43&amp;M$1&amp;"C"&amp;$A69)="N/A",0,RTD("tos.rtd",,$A$2,"."&amp;M$43&amp;M$1&amp;"C"&amp;$A69))-IF(RTD("tos.rtd",,$A$2,"."&amp;M$43&amp;M$1&amp;"P"&amp;$A69)="N/A",0,RTD("tos.rtd",,$A$2,"."&amp;M$43&amp;M$1&amp;"P"&amp;$A69))</f>
        <v>0</v>
      </c>
      <c r="N69" s="91">
        <f ca="1">IF(RTD("tos.rtd",,$A$2,"."&amp;N$43&amp;N$1&amp;"C"&amp;$A69)="N/A",0,RTD("tos.rtd",,$A$2,"."&amp;N$43&amp;N$1&amp;"C"&amp;$A69))-IF(RTD("tos.rtd",,$A$2,"."&amp;N$43&amp;N$1&amp;"P"&amp;$A69)="N/A",0,RTD("tos.rtd",,$A$2,"."&amp;N$43&amp;N$1&amp;"P"&amp;$A69))</f>
        <v>0</v>
      </c>
      <c r="O69" s="91">
        <f ca="1">IF(RTD("tos.rtd",,$A$2,"."&amp;O$43&amp;O$1&amp;"C"&amp;$A69)="N/A",0,RTD("tos.rtd",,$A$2,"."&amp;O$43&amp;O$1&amp;"C"&amp;$A69))-IF(RTD("tos.rtd",,$A$2,"."&amp;O$43&amp;O$1&amp;"P"&amp;$A69)="N/A",0,RTD("tos.rtd",,$A$2,"."&amp;O$43&amp;O$1&amp;"P"&amp;$A69))</f>
        <v>0</v>
      </c>
      <c r="P69" s="91">
        <f ca="1">IF(RTD("tos.rtd",,$A$2,"."&amp;P$43&amp;P$1&amp;"C"&amp;$A69)="N/A",0,RTD("tos.rtd",,$A$2,"."&amp;P$43&amp;P$1&amp;"C"&amp;$A69))-IF(RTD("tos.rtd",,$A$2,"."&amp;P$43&amp;P$1&amp;"P"&amp;$A69)="N/A",0,RTD("tos.rtd",,$A$2,"."&amp;P$43&amp;P$1&amp;"P"&amp;$A69))</f>
        <v>0</v>
      </c>
      <c r="Q69" s="91">
        <f ca="1">IF(RTD("tos.rtd",,$A$2,"."&amp;Q$43&amp;Q$1&amp;"C"&amp;$A69)="N/A",0,RTD("tos.rtd",,$A$2,"."&amp;Q$43&amp;Q$1&amp;"C"&amp;$A69))-IF(RTD("tos.rtd",,$A$2,"."&amp;Q$43&amp;Q$1&amp;"P"&amp;$A69)="N/A",0,RTD("tos.rtd",,$A$2,"."&amp;Q$43&amp;Q$1&amp;"P"&amp;$A69))</f>
        <v>0</v>
      </c>
      <c r="R69" s="91">
        <f ca="1">IF(RTD("tos.rtd",,$A$2,"."&amp;R$43&amp;R$1&amp;"C"&amp;$A69)="N/A",0,RTD("tos.rtd",,$A$2,"."&amp;R$43&amp;R$1&amp;"C"&amp;$A69))-IF(RTD("tos.rtd",,$A$2,"."&amp;R$43&amp;R$1&amp;"P"&amp;$A69)="N/A",0,RTD("tos.rtd",,$A$2,"."&amp;R$43&amp;R$1&amp;"P"&amp;$A69))</f>
        <v>3</v>
      </c>
      <c r="S69" s="91">
        <f ca="1">IF(RTD("tos.rtd",,$A$2,"."&amp;S$43&amp;S$1&amp;"C"&amp;$A69)="N/A",0,RTD("tos.rtd",,$A$2,"."&amp;S$43&amp;S$1&amp;"C"&amp;$A69))-IF(RTD("tos.rtd",,$A$2,"."&amp;S$43&amp;S$1&amp;"P"&amp;$A69)="N/A",0,RTD("tos.rtd",,$A$2,"."&amp;S$43&amp;S$1&amp;"P"&amp;$A69))</f>
        <v>0</v>
      </c>
      <c r="T69" s="91">
        <f ca="1">IF(RTD("tos.rtd",,$A$2,"."&amp;T$43&amp;T$1&amp;"C"&amp;$A69)="N/A",0,RTD("tos.rtd",,$A$2,"."&amp;T$43&amp;T$1&amp;"C"&amp;$A69))-IF(RTD("tos.rtd",,$A$2,"."&amp;T$43&amp;T$1&amp;"P"&amp;$A69)="N/A",0,RTD("tos.rtd",,$A$2,"."&amp;T$43&amp;T$1&amp;"P"&amp;$A69))</f>
        <v>0</v>
      </c>
      <c r="U69" s="91">
        <f ca="1">IF(RTD("tos.rtd",,$A$2,"."&amp;U$43&amp;U$1&amp;"C"&amp;$A69)="N/A",0,RTD("tos.rtd",,$A$2,"."&amp;U$43&amp;U$1&amp;"C"&amp;$A69))-IF(RTD("tos.rtd",,$A$2,"."&amp;U$43&amp;U$1&amp;"P"&amp;$A69)="N/A",0,RTD("tos.rtd",,$A$2,"."&amp;U$43&amp;U$1&amp;"P"&amp;$A69))</f>
        <v>0</v>
      </c>
      <c r="V69" s="91">
        <f ca="1">IF(RTD("tos.rtd",,$A$2,"."&amp;V$43&amp;V$1&amp;"C"&amp;$A69)="N/A",0,RTD("tos.rtd",,$A$2,"."&amp;V$43&amp;V$1&amp;"C"&amp;$A69))-IF(RTD("tos.rtd",,$A$2,"."&amp;V$43&amp;V$1&amp;"P"&amp;$A69)="N/A",0,RTD("tos.rtd",,$A$2,"."&amp;V$43&amp;V$1&amp;"P"&amp;$A69))</f>
        <v>0</v>
      </c>
      <c r="W69" s="91">
        <f ca="1">IF(RTD("tos.rtd",,$A$2,"."&amp;W$43&amp;W$1&amp;"C"&amp;$A69)="N/A",0,RTD("tos.rtd",,$A$2,"."&amp;W$43&amp;W$1&amp;"C"&amp;$A69))-IF(RTD("tos.rtd",,$A$2,"."&amp;W$43&amp;W$1&amp;"P"&amp;$A69)="N/A",0,RTD("tos.rtd",,$A$2,"."&amp;W$43&amp;W$1&amp;"P"&amp;$A69))</f>
        <v>0</v>
      </c>
      <c r="X69" s="91">
        <f ca="1">IF(RTD("tos.rtd",,$A$2,"."&amp;X$43&amp;X$1&amp;"C"&amp;$A69)="N/A",0,RTD("tos.rtd",,$A$2,"."&amp;X$43&amp;X$1&amp;"C"&amp;$A69))-IF(RTD("tos.rtd",,$A$2,"."&amp;X$43&amp;X$1&amp;"P"&amp;$A69)="N/A",0,RTD("tos.rtd",,$A$2,"."&amp;X$43&amp;X$1&amp;"P"&amp;$A69))</f>
        <v>2</v>
      </c>
      <c r="Y69" s="98">
        <f t="shared" ca="1" si="7"/>
        <v>-616</v>
      </c>
    </row>
    <row r="70" spans="1:25" x14ac:dyDescent="0.25">
      <c r="A70" s="93">
        <f>+Hoja1!A69</f>
        <v>498</v>
      </c>
      <c r="B70" s="91">
        <f ca="1">IF(RTD("tos.rtd",,$A$2,"."&amp;B$43&amp;B$1&amp;"C"&amp;$A70)="N/A",0,RTD("tos.rtd",,$A$2,"."&amp;B$43&amp;B$1&amp;"C"&amp;$A70))-IF(RTD("tos.rtd",,$A$2,"."&amp;B$43&amp;B$1&amp;"P"&amp;$A70)="N/A",0,RTD("tos.rtd",,$A$2,"."&amp;B$43&amp;B$1&amp;"P"&amp;$A70))</f>
        <v>0</v>
      </c>
      <c r="C70" s="91">
        <f ca="1">IF(RTD("tos.rtd",,$A$2,"."&amp;C$43&amp;C$1&amp;"C"&amp;$A70)="N/A",0,RTD("tos.rtd",,$A$2,"."&amp;C$43&amp;C$1&amp;"C"&amp;$A70))-IF(RTD("tos.rtd",,$A$2,"."&amp;C$43&amp;C$1&amp;"P"&amp;$A70)="N/A",0,RTD("tos.rtd",,$A$2,"."&amp;C$43&amp;C$1&amp;"P"&amp;$A70))</f>
        <v>0</v>
      </c>
      <c r="D70" s="91">
        <f ca="1">IF(RTD("tos.rtd",,$A$2,"."&amp;D$43&amp;D$1&amp;"C"&amp;$A70)="N/A",0,RTD("tos.rtd",,$A$2,"."&amp;D$43&amp;D$1&amp;"C"&amp;$A70))-IF(RTD("tos.rtd",,$A$2,"."&amp;D$43&amp;D$1&amp;"P"&amp;$A70)="N/A",0,RTD("tos.rtd",,$A$2,"."&amp;D$43&amp;D$1&amp;"P"&amp;$A70))</f>
        <v>0</v>
      </c>
      <c r="E70" s="91">
        <f ca="1">IF(RTD("tos.rtd",,$A$2,"."&amp;E$43&amp;E$1&amp;"C"&amp;$A70)="N/A",0,RTD("tos.rtd",,$A$2,"."&amp;E$43&amp;E$1&amp;"C"&amp;$A70))-IF(RTD("tos.rtd",,$A$2,"."&amp;E$43&amp;E$1&amp;"P"&amp;$A70)="N/A",0,RTD("tos.rtd",,$A$2,"."&amp;E$43&amp;E$1&amp;"P"&amp;$A70))</f>
        <v>0</v>
      </c>
      <c r="F70" s="91">
        <f ca="1">IF(RTD("tos.rtd",,$A$2,"."&amp;F$43&amp;F$1&amp;"C"&amp;$A70)="N/A",0,RTD("tos.rtd",,$A$2,"."&amp;F$43&amp;F$1&amp;"C"&amp;$A70))-IF(RTD("tos.rtd",,$A$2,"."&amp;F$43&amp;F$1&amp;"P"&amp;$A70)="N/A",0,RTD("tos.rtd",,$A$2,"."&amp;F$43&amp;F$1&amp;"P"&amp;$A70))</f>
        <v>0</v>
      </c>
      <c r="G70" s="91">
        <f ca="1">IF(RTD("tos.rtd",,$A$2,"."&amp;G$43&amp;G$1&amp;"C"&amp;$A70)="N/A",0,RTD("tos.rtd",,$A$2,"."&amp;G$43&amp;G$1&amp;"C"&amp;$A70))-IF(RTD("tos.rtd",,$A$2,"."&amp;G$43&amp;G$1&amp;"P"&amp;$A70)="N/A",0,RTD("tos.rtd",,$A$2,"."&amp;G$43&amp;G$1&amp;"P"&amp;$A70))</f>
        <v>0</v>
      </c>
      <c r="H70" s="91">
        <f ca="1">IF(RTD("tos.rtd",,$A$2,"."&amp;H$43&amp;H$1&amp;"C"&amp;$A70)="N/A",0,RTD("tos.rtd",,$A$2,"."&amp;H$43&amp;H$1&amp;"C"&amp;$A70))-IF(RTD("tos.rtd",,$A$2,"."&amp;H$43&amp;H$1&amp;"P"&amp;$A70)="N/A",0,RTD("tos.rtd",,$A$2,"."&amp;H$43&amp;H$1&amp;"P"&amp;$A70))</f>
        <v>-90</v>
      </c>
      <c r="I70" s="91">
        <f ca="1">IF(RTD("tos.rtd",,$A$2,"."&amp;I$43&amp;I$1&amp;"C"&amp;$A70)="N/A",0,RTD("tos.rtd",,$A$2,"."&amp;I$43&amp;I$1&amp;"C"&amp;$A70))-IF(RTD("tos.rtd",,$A$2,"."&amp;I$43&amp;I$1&amp;"P"&amp;$A70)="N/A",0,RTD("tos.rtd",,$A$2,"."&amp;I$43&amp;I$1&amp;"P"&amp;$A70))</f>
        <v>-18</v>
      </c>
      <c r="J70" s="91">
        <f ca="1">IF(RTD("tos.rtd",,$A$2,"."&amp;J$43&amp;J$1&amp;"C"&amp;$A70)="N/A",0,RTD("tos.rtd",,$A$2,"."&amp;J$43&amp;J$1&amp;"C"&amp;$A70))-IF(RTD("tos.rtd",,$A$2,"."&amp;J$43&amp;J$1&amp;"P"&amp;$A70)="N/A",0,RTD("tos.rtd",,$A$2,"."&amp;J$43&amp;J$1&amp;"P"&amp;$A70))</f>
        <v>-131</v>
      </c>
      <c r="K70" s="91">
        <f ca="1">IF(RTD("tos.rtd",,$A$2,"."&amp;K$43&amp;K$1&amp;"C"&amp;$A70)="N/A",0,RTD("tos.rtd",,$A$2,"."&amp;K$43&amp;K$1&amp;"C"&amp;$A70))-IF(RTD("tos.rtd",,$A$2,"."&amp;K$43&amp;K$1&amp;"P"&amp;$A70)="N/A",0,RTD("tos.rtd",,$A$2,"."&amp;K$43&amp;K$1&amp;"P"&amp;$A70))</f>
        <v>0</v>
      </c>
      <c r="L70" s="91">
        <f ca="1">IF(RTD("tos.rtd",,$A$2,"."&amp;L$43&amp;L$1&amp;"C"&amp;$A70)="N/A",0,RTD("tos.rtd",,$A$2,"."&amp;L$43&amp;L$1&amp;"C"&amp;$A70))-IF(RTD("tos.rtd",,$A$2,"."&amp;L$43&amp;L$1&amp;"P"&amp;$A70)="N/A",0,RTD("tos.rtd",,$A$2,"."&amp;L$43&amp;L$1&amp;"P"&amp;$A70))</f>
        <v>-3</v>
      </c>
      <c r="M70" s="91">
        <f ca="1">IF(RTD("tos.rtd",,$A$2,"."&amp;M$43&amp;M$1&amp;"C"&amp;$A70)="N/A",0,RTD("tos.rtd",,$A$2,"."&amp;M$43&amp;M$1&amp;"C"&amp;$A70))-IF(RTD("tos.rtd",,$A$2,"."&amp;M$43&amp;M$1&amp;"P"&amp;$A70)="N/A",0,RTD("tos.rtd",,$A$2,"."&amp;M$43&amp;M$1&amp;"P"&amp;$A70))</f>
        <v>0</v>
      </c>
      <c r="N70" s="91">
        <f ca="1">IF(RTD("tos.rtd",,$A$2,"."&amp;N$43&amp;N$1&amp;"C"&amp;$A70)="N/A",0,RTD("tos.rtd",,$A$2,"."&amp;N$43&amp;N$1&amp;"C"&amp;$A70))-IF(RTD("tos.rtd",,$A$2,"."&amp;N$43&amp;N$1&amp;"P"&amp;$A70)="N/A",0,RTD("tos.rtd",,$A$2,"."&amp;N$43&amp;N$1&amp;"P"&amp;$A70))</f>
        <v>3</v>
      </c>
      <c r="O70" s="91">
        <f ca="1">IF(RTD("tos.rtd",,$A$2,"."&amp;O$43&amp;O$1&amp;"C"&amp;$A70)="N/A",0,RTD("tos.rtd",,$A$2,"."&amp;O$43&amp;O$1&amp;"C"&amp;$A70))-IF(RTD("tos.rtd",,$A$2,"."&amp;O$43&amp;O$1&amp;"P"&amp;$A70)="N/A",0,RTD("tos.rtd",,$A$2,"."&amp;O$43&amp;O$1&amp;"P"&amp;$A70))</f>
        <v>0</v>
      </c>
      <c r="P70" s="91">
        <f ca="1">IF(RTD("tos.rtd",,$A$2,"."&amp;P$43&amp;P$1&amp;"C"&amp;$A70)="N/A",0,RTD("tos.rtd",,$A$2,"."&amp;P$43&amp;P$1&amp;"C"&amp;$A70))-IF(RTD("tos.rtd",,$A$2,"."&amp;P$43&amp;P$1&amp;"P"&amp;$A70)="N/A",0,RTD("tos.rtd",,$A$2,"."&amp;P$43&amp;P$1&amp;"P"&amp;$A70))</f>
        <v>0</v>
      </c>
      <c r="Q70" s="91">
        <f ca="1">IF(RTD("tos.rtd",,$A$2,"."&amp;Q$43&amp;Q$1&amp;"C"&amp;$A70)="N/A",0,RTD("tos.rtd",,$A$2,"."&amp;Q$43&amp;Q$1&amp;"C"&amp;$A70))-IF(RTD("tos.rtd",,$A$2,"."&amp;Q$43&amp;Q$1&amp;"P"&amp;$A70)="N/A",0,RTD("tos.rtd",,$A$2,"."&amp;Q$43&amp;Q$1&amp;"P"&amp;$A70))</f>
        <v>0</v>
      </c>
      <c r="R70" s="91">
        <f ca="1">IF(RTD("tos.rtd",,$A$2,"."&amp;R$43&amp;R$1&amp;"C"&amp;$A70)="N/A",0,RTD("tos.rtd",,$A$2,"."&amp;R$43&amp;R$1&amp;"C"&amp;$A70))-IF(RTD("tos.rtd",,$A$2,"."&amp;R$43&amp;R$1&amp;"P"&amp;$A70)="N/A",0,RTD("tos.rtd",,$A$2,"."&amp;R$43&amp;R$1&amp;"P"&amp;$A70))</f>
        <v>16</v>
      </c>
      <c r="S70" s="91">
        <f ca="1">IF(RTD("tos.rtd",,$A$2,"."&amp;S$43&amp;S$1&amp;"C"&amp;$A70)="N/A",0,RTD("tos.rtd",,$A$2,"."&amp;S$43&amp;S$1&amp;"C"&amp;$A70))-IF(RTD("tos.rtd",,$A$2,"."&amp;S$43&amp;S$1&amp;"P"&amp;$A70)="N/A",0,RTD("tos.rtd",,$A$2,"."&amp;S$43&amp;S$1&amp;"P"&amp;$A70))</f>
        <v>0</v>
      </c>
      <c r="T70" s="91">
        <f ca="1">IF(RTD("tos.rtd",,$A$2,"."&amp;T$43&amp;T$1&amp;"C"&amp;$A70)="N/A",0,RTD("tos.rtd",,$A$2,"."&amp;T$43&amp;T$1&amp;"C"&amp;$A70))-IF(RTD("tos.rtd",,$A$2,"."&amp;T$43&amp;T$1&amp;"P"&amp;$A70)="N/A",0,RTD("tos.rtd",,$A$2,"."&amp;T$43&amp;T$1&amp;"P"&amp;$A70))</f>
        <v>0</v>
      </c>
      <c r="U70" s="91">
        <f ca="1">IF(RTD("tos.rtd",,$A$2,"."&amp;U$43&amp;U$1&amp;"C"&amp;$A70)="N/A",0,RTD("tos.rtd",,$A$2,"."&amp;U$43&amp;U$1&amp;"C"&amp;$A70))-IF(RTD("tos.rtd",,$A$2,"."&amp;U$43&amp;U$1&amp;"P"&amp;$A70)="N/A",0,RTD("tos.rtd",,$A$2,"."&amp;U$43&amp;U$1&amp;"P"&amp;$A70))</f>
        <v>0</v>
      </c>
      <c r="V70" s="91">
        <f ca="1">IF(RTD("tos.rtd",,$A$2,"."&amp;V$43&amp;V$1&amp;"C"&amp;$A70)="N/A",0,RTD("tos.rtd",,$A$2,"."&amp;V$43&amp;V$1&amp;"C"&amp;$A70))-IF(RTD("tos.rtd",,$A$2,"."&amp;V$43&amp;V$1&amp;"P"&amp;$A70)="N/A",0,RTD("tos.rtd",,$A$2,"."&amp;V$43&amp;V$1&amp;"P"&amp;$A70))</f>
        <v>0</v>
      </c>
      <c r="W70" s="91">
        <f ca="1">IF(RTD("tos.rtd",,$A$2,"."&amp;W$43&amp;W$1&amp;"C"&amp;$A70)="N/A",0,RTD("tos.rtd",,$A$2,"."&amp;W$43&amp;W$1&amp;"C"&amp;$A70))-IF(RTD("tos.rtd",,$A$2,"."&amp;W$43&amp;W$1&amp;"P"&amp;$A70)="N/A",0,RTD("tos.rtd",,$A$2,"."&amp;W$43&amp;W$1&amp;"P"&amp;$A70))</f>
        <v>0</v>
      </c>
      <c r="X70" s="91">
        <f ca="1">IF(RTD("tos.rtd",,$A$2,"."&amp;X$43&amp;X$1&amp;"C"&amp;$A70)="N/A",0,RTD("tos.rtd",,$A$2,"."&amp;X$43&amp;X$1&amp;"C"&amp;$A70))-IF(RTD("tos.rtd",,$A$2,"."&amp;X$43&amp;X$1&amp;"P"&amp;$A70)="N/A",0,RTD("tos.rtd",,$A$2,"."&amp;X$43&amp;X$1&amp;"P"&amp;$A70))</f>
        <v>-1</v>
      </c>
      <c r="Y70" s="98">
        <f t="shared" ca="1" si="7"/>
        <v>-224</v>
      </c>
    </row>
    <row r="71" spans="1:25" x14ac:dyDescent="0.25">
      <c r="A71" s="93">
        <f>+Hoja1!A70</f>
        <v>497</v>
      </c>
      <c r="B71" s="91">
        <f ca="1">IF(RTD("tos.rtd",,$A$2,"."&amp;B$43&amp;B$1&amp;"C"&amp;$A71)="N/A",0,RTD("tos.rtd",,$A$2,"."&amp;B$43&amp;B$1&amp;"C"&amp;$A71))-IF(RTD("tos.rtd",,$A$2,"."&amp;B$43&amp;B$1&amp;"P"&amp;$A71)="N/A",0,RTD("tos.rtd",,$A$2,"."&amp;B$43&amp;B$1&amp;"P"&amp;$A71))</f>
        <v>0</v>
      </c>
      <c r="C71" s="91">
        <f ca="1">IF(RTD("tos.rtd",,$A$2,"."&amp;C$43&amp;C$1&amp;"C"&amp;$A71)="N/A",0,RTD("tos.rtd",,$A$2,"."&amp;C$43&amp;C$1&amp;"C"&amp;$A71))-IF(RTD("tos.rtd",,$A$2,"."&amp;C$43&amp;C$1&amp;"P"&amp;$A71)="N/A",0,RTD("tos.rtd",,$A$2,"."&amp;C$43&amp;C$1&amp;"P"&amp;$A71))</f>
        <v>0</v>
      </c>
      <c r="D71" s="91">
        <f ca="1">IF(RTD("tos.rtd",,$A$2,"."&amp;D$43&amp;D$1&amp;"C"&amp;$A71)="N/A",0,RTD("tos.rtd",,$A$2,"."&amp;D$43&amp;D$1&amp;"C"&amp;$A71))-IF(RTD("tos.rtd",,$A$2,"."&amp;D$43&amp;D$1&amp;"P"&amp;$A71)="N/A",0,RTD("tos.rtd",,$A$2,"."&amp;D$43&amp;D$1&amp;"P"&amp;$A71))</f>
        <v>0</v>
      </c>
      <c r="E71" s="91">
        <f ca="1">IF(RTD("tos.rtd",,$A$2,"."&amp;E$43&amp;E$1&amp;"C"&amp;$A71)="N/A",0,RTD("tos.rtd",,$A$2,"."&amp;E$43&amp;E$1&amp;"C"&amp;$A71))-IF(RTD("tos.rtd",,$A$2,"."&amp;E$43&amp;E$1&amp;"P"&amp;$A71)="N/A",0,RTD("tos.rtd",,$A$2,"."&amp;E$43&amp;E$1&amp;"P"&amp;$A71))</f>
        <v>0</v>
      </c>
      <c r="F71" s="91">
        <f ca="1">IF(RTD("tos.rtd",,$A$2,"."&amp;F$43&amp;F$1&amp;"C"&amp;$A71)="N/A",0,RTD("tos.rtd",,$A$2,"."&amp;F$43&amp;F$1&amp;"C"&amp;$A71))-IF(RTD("tos.rtd",,$A$2,"."&amp;F$43&amp;F$1&amp;"P"&amp;$A71)="N/A",0,RTD("tos.rtd",,$A$2,"."&amp;F$43&amp;F$1&amp;"P"&amp;$A71))</f>
        <v>0</v>
      </c>
      <c r="G71" s="91">
        <f ca="1">IF(RTD("tos.rtd",,$A$2,"."&amp;G$43&amp;G$1&amp;"C"&amp;$A71)="N/A",0,RTD("tos.rtd",,$A$2,"."&amp;G$43&amp;G$1&amp;"C"&amp;$A71))-IF(RTD("tos.rtd",,$A$2,"."&amp;G$43&amp;G$1&amp;"P"&amp;$A71)="N/A",0,RTD("tos.rtd",,$A$2,"."&amp;G$43&amp;G$1&amp;"P"&amp;$A71))</f>
        <v>0</v>
      </c>
      <c r="H71" s="91">
        <f ca="1">IF(RTD("tos.rtd",,$A$2,"."&amp;H$43&amp;H$1&amp;"C"&amp;$A71)="N/A",0,RTD("tos.rtd",,$A$2,"."&amp;H$43&amp;H$1&amp;"C"&amp;$A71))-IF(RTD("tos.rtd",,$A$2,"."&amp;H$43&amp;H$1&amp;"P"&amp;$A71)="N/A",0,RTD("tos.rtd",,$A$2,"."&amp;H$43&amp;H$1&amp;"P"&amp;$A71))</f>
        <v>-41</v>
      </c>
      <c r="I71" s="91">
        <f ca="1">IF(RTD("tos.rtd",,$A$2,"."&amp;I$43&amp;I$1&amp;"C"&amp;$A71)="N/A",0,RTD("tos.rtd",,$A$2,"."&amp;I$43&amp;I$1&amp;"C"&amp;$A71))-IF(RTD("tos.rtd",,$A$2,"."&amp;I$43&amp;I$1&amp;"P"&amp;$A71)="N/A",0,RTD("tos.rtd",,$A$2,"."&amp;I$43&amp;I$1&amp;"P"&amp;$A71))</f>
        <v>-130</v>
      </c>
      <c r="J71" s="91">
        <f ca="1">IF(RTD("tos.rtd",,$A$2,"."&amp;J$43&amp;J$1&amp;"C"&amp;$A71)="N/A",0,RTD("tos.rtd",,$A$2,"."&amp;J$43&amp;J$1&amp;"C"&amp;$A71))-IF(RTD("tos.rtd",,$A$2,"."&amp;J$43&amp;J$1&amp;"P"&amp;$A71)="N/A",0,RTD("tos.rtd",,$A$2,"."&amp;J$43&amp;J$1&amp;"P"&amp;$A71))</f>
        <v>-74</v>
      </c>
      <c r="K71" s="91">
        <f ca="1">IF(RTD("tos.rtd",,$A$2,"."&amp;K$43&amp;K$1&amp;"C"&amp;$A71)="N/A",0,RTD("tos.rtd",,$A$2,"."&amp;K$43&amp;K$1&amp;"C"&amp;$A71))-IF(RTD("tos.rtd",,$A$2,"."&amp;K$43&amp;K$1&amp;"P"&amp;$A71)="N/A",0,RTD("tos.rtd",,$A$2,"."&amp;K$43&amp;K$1&amp;"P"&amp;$A71))</f>
        <v>0</v>
      </c>
      <c r="L71" s="91">
        <f ca="1">IF(RTD("tos.rtd",,$A$2,"."&amp;L$43&amp;L$1&amp;"C"&amp;$A71)="N/A",0,RTD("tos.rtd",,$A$2,"."&amp;L$43&amp;L$1&amp;"C"&amp;$A71))-IF(RTD("tos.rtd",,$A$2,"."&amp;L$43&amp;L$1&amp;"P"&amp;$A71)="N/A",0,RTD("tos.rtd",,$A$2,"."&amp;L$43&amp;L$1&amp;"P"&amp;$A71))</f>
        <v>-17</v>
      </c>
      <c r="M71" s="91">
        <f ca="1">IF(RTD("tos.rtd",,$A$2,"."&amp;M$43&amp;M$1&amp;"C"&amp;$A71)="N/A",0,RTD("tos.rtd",,$A$2,"."&amp;M$43&amp;M$1&amp;"C"&amp;$A71))-IF(RTD("tos.rtd",,$A$2,"."&amp;M$43&amp;M$1&amp;"P"&amp;$A71)="N/A",0,RTD("tos.rtd",,$A$2,"."&amp;M$43&amp;M$1&amp;"P"&amp;$A71))</f>
        <v>0</v>
      </c>
      <c r="N71" s="91">
        <f ca="1">IF(RTD("tos.rtd",,$A$2,"."&amp;N$43&amp;N$1&amp;"C"&amp;$A71)="N/A",0,RTD("tos.rtd",,$A$2,"."&amp;N$43&amp;N$1&amp;"C"&amp;$A71))-IF(RTD("tos.rtd",,$A$2,"."&amp;N$43&amp;N$1&amp;"P"&amp;$A71)="N/A",0,RTD("tos.rtd",,$A$2,"."&amp;N$43&amp;N$1&amp;"P"&amp;$A71))</f>
        <v>-1</v>
      </c>
      <c r="O71" s="91">
        <f ca="1">IF(RTD("tos.rtd",,$A$2,"."&amp;O$43&amp;O$1&amp;"C"&amp;$A71)="N/A",0,RTD("tos.rtd",,$A$2,"."&amp;O$43&amp;O$1&amp;"C"&amp;$A71))-IF(RTD("tos.rtd",,$A$2,"."&amp;O$43&amp;O$1&amp;"P"&amp;$A71)="N/A",0,RTD("tos.rtd",,$A$2,"."&amp;O$43&amp;O$1&amp;"P"&amp;$A71))</f>
        <v>0</v>
      </c>
      <c r="P71" s="91">
        <f ca="1">IF(RTD("tos.rtd",,$A$2,"."&amp;P$43&amp;P$1&amp;"C"&amp;$A71)="N/A",0,RTD("tos.rtd",,$A$2,"."&amp;P$43&amp;P$1&amp;"C"&amp;$A71))-IF(RTD("tos.rtd",,$A$2,"."&amp;P$43&amp;P$1&amp;"P"&amp;$A71)="N/A",0,RTD("tos.rtd",,$A$2,"."&amp;P$43&amp;P$1&amp;"P"&amp;$A71))</f>
        <v>0</v>
      </c>
      <c r="Q71" s="91">
        <f ca="1">IF(RTD("tos.rtd",,$A$2,"."&amp;Q$43&amp;Q$1&amp;"C"&amp;$A71)="N/A",0,RTD("tos.rtd",,$A$2,"."&amp;Q$43&amp;Q$1&amp;"C"&amp;$A71))-IF(RTD("tos.rtd",,$A$2,"."&amp;Q$43&amp;Q$1&amp;"P"&amp;$A71)="N/A",0,RTD("tos.rtd",,$A$2,"."&amp;Q$43&amp;Q$1&amp;"P"&amp;$A71))</f>
        <v>0</v>
      </c>
      <c r="R71" s="91">
        <f ca="1">IF(RTD("tos.rtd",,$A$2,"."&amp;R$43&amp;R$1&amp;"C"&amp;$A71)="N/A",0,RTD("tos.rtd",,$A$2,"."&amp;R$43&amp;R$1&amp;"C"&amp;$A71))-IF(RTD("tos.rtd",,$A$2,"."&amp;R$43&amp;R$1&amp;"P"&amp;$A71)="N/A",0,RTD("tos.rtd",,$A$2,"."&amp;R$43&amp;R$1&amp;"P"&amp;$A71))</f>
        <v>2</v>
      </c>
      <c r="S71" s="91">
        <f ca="1">IF(RTD("tos.rtd",,$A$2,"."&amp;S$43&amp;S$1&amp;"C"&amp;$A71)="N/A",0,RTD("tos.rtd",,$A$2,"."&amp;S$43&amp;S$1&amp;"C"&amp;$A71))-IF(RTD("tos.rtd",,$A$2,"."&amp;S$43&amp;S$1&amp;"P"&amp;$A71)="N/A",0,RTD("tos.rtd",,$A$2,"."&amp;S$43&amp;S$1&amp;"P"&amp;$A71))</f>
        <v>0</v>
      </c>
      <c r="T71" s="91">
        <f ca="1">IF(RTD("tos.rtd",,$A$2,"."&amp;T$43&amp;T$1&amp;"C"&amp;$A71)="N/A",0,RTD("tos.rtd",,$A$2,"."&amp;T$43&amp;T$1&amp;"C"&amp;$A71))-IF(RTD("tos.rtd",,$A$2,"."&amp;T$43&amp;T$1&amp;"P"&amp;$A71)="N/A",0,RTD("tos.rtd",,$A$2,"."&amp;T$43&amp;T$1&amp;"P"&amp;$A71))</f>
        <v>0</v>
      </c>
      <c r="U71" s="91">
        <f ca="1">IF(RTD("tos.rtd",,$A$2,"."&amp;U$43&amp;U$1&amp;"C"&amp;$A71)="N/A",0,RTD("tos.rtd",,$A$2,"."&amp;U$43&amp;U$1&amp;"C"&amp;$A71))-IF(RTD("tos.rtd",,$A$2,"."&amp;U$43&amp;U$1&amp;"P"&amp;$A71)="N/A",0,RTD("tos.rtd",,$A$2,"."&amp;U$43&amp;U$1&amp;"P"&amp;$A71))</f>
        <v>0</v>
      </c>
      <c r="V71" s="91">
        <f ca="1">IF(RTD("tos.rtd",,$A$2,"."&amp;V$43&amp;V$1&amp;"C"&amp;$A71)="N/A",0,RTD("tos.rtd",,$A$2,"."&amp;V$43&amp;V$1&amp;"C"&amp;$A71))-IF(RTD("tos.rtd",,$A$2,"."&amp;V$43&amp;V$1&amp;"P"&amp;$A71)="N/A",0,RTD("tos.rtd",,$A$2,"."&amp;V$43&amp;V$1&amp;"P"&amp;$A71))</f>
        <v>0</v>
      </c>
      <c r="W71" s="91">
        <f ca="1">IF(RTD("tos.rtd",,$A$2,"."&amp;W$43&amp;W$1&amp;"C"&amp;$A71)="N/A",0,RTD("tos.rtd",,$A$2,"."&amp;W$43&amp;W$1&amp;"C"&amp;$A71))-IF(RTD("tos.rtd",,$A$2,"."&amp;W$43&amp;W$1&amp;"P"&amp;$A71)="N/A",0,RTD("tos.rtd",,$A$2,"."&amp;W$43&amp;W$1&amp;"P"&amp;$A71))</f>
        <v>0</v>
      </c>
      <c r="X71" s="91">
        <f ca="1">IF(RTD("tos.rtd",,$A$2,"."&amp;X$43&amp;X$1&amp;"C"&amp;$A71)="N/A",0,RTD("tos.rtd",,$A$2,"."&amp;X$43&amp;X$1&amp;"C"&amp;$A71))-IF(RTD("tos.rtd",,$A$2,"."&amp;X$43&amp;X$1&amp;"P"&amp;$A71)="N/A",0,RTD("tos.rtd",,$A$2,"."&amp;X$43&amp;X$1&amp;"P"&amp;$A71))</f>
        <v>1</v>
      </c>
      <c r="Y71" s="98">
        <f t="shared" ca="1" si="7"/>
        <v>-260</v>
      </c>
    </row>
    <row r="72" spans="1:25" x14ac:dyDescent="0.25">
      <c r="A72" s="93">
        <f>+Hoja1!A71</f>
        <v>496</v>
      </c>
      <c r="B72" s="91">
        <f ca="1">IF(RTD("tos.rtd",,$A$2,"."&amp;B$43&amp;B$1&amp;"C"&amp;$A72)="N/A",0,RTD("tos.rtd",,$A$2,"."&amp;B$43&amp;B$1&amp;"C"&amp;$A72))-IF(RTD("tos.rtd",,$A$2,"."&amp;B$43&amp;B$1&amp;"P"&amp;$A72)="N/A",0,RTD("tos.rtd",,$A$2,"."&amp;B$43&amp;B$1&amp;"P"&amp;$A72))</f>
        <v>0</v>
      </c>
      <c r="C72" s="91">
        <f ca="1">IF(RTD("tos.rtd",,$A$2,"."&amp;C$43&amp;C$1&amp;"C"&amp;$A72)="N/A",0,RTD("tos.rtd",,$A$2,"."&amp;C$43&amp;C$1&amp;"C"&amp;$A72))-IF(RTD("tos.rtd",,$A$2,"."&amp;C$43&amp;C$1&amp;"P"&amp;$A72)="N/A",0,RTD("tos.rtd",,$A$2,"."&amp;C$43&amp;C$1&amp;"P"&amp;$A72))</f>
        <v>0</v>
      </c>
      <c r="D72" s="91">
        <f ca="1">IF(RTD("tos.rtd",,$A$2,"."&amp;D$43&amp;D$1&amp;"C"&amp;$A72)="N/A",0,RTD("tos.rtd",,$A$2,"."&amp;D$43&amp;D$1&amp;"C"&amp;$A72))-IF(RTD("tos.rtd",,$A$2,"."&amp;D$43&amp;D$1&amp;"P"&amp;$A72)="N/A",0,RTD("tos.rtd",,$A$2,"."&amp;D$43&amp;D$1&amp;"P"&amp;$A72))</f>
        <v>0</v>
      </c>
      <c r="E72" s="91">
        <f ca="1">IF(RTD("tos.rtd",,$A$2,"."&amp;E$43&amp;E$1&amp;"C"&amp;$A72)="N/A",0,RTD("tos.rtd",,$A$2,"."&amp;E$43&amp;E$1&amp;"C"&amp;$A72))-IF(RTD("tos.rtd",,$A$2,"."&amp;E$43&amp;E$1&amp;"P"&amp;$A72)="N/A",0,RTD("tos.rtd",,$A$2,"."&amp;E$43&amp;E$1&amp;"P"&amp;$A72))</f>
        <v>0</v>
      </c>
      <c r="F72" s="91">
        <f ca="1">IF(RTD("tos.rtd",,$A$2,"."&amp;F$43&amp;F$1&amp;"C"&amp;$A72)="N/A",0,RTD("tos.rtd",,$A$2,"."&amp;F$43&amp;F$1&amp;"C"&amp;$A72))-IF(RTD("tos.rtd",,$A$2,"."&amp;F$43&amp;F$1&amp;"P"&amp;$A72)="N/A",0,RTD("tos.rtd",,$A$2,"."&amp;F$43&amp;F$1&amp;"P"&amp;$A72))</f>
        <v>0</v>
      </c>
      <c r="G72" s="91">
        <f ca="1">IF(RTD("tos.rtd",,$A$2,"."&amp;G$43&amp;G$1&amp;"C"&amp;$A72)="N/A",0,RTD("tos.rtd",,$A$2,"."&amp;G$43&amp;G$1&amp;"C"&amp;$A72))-IF(RTD("tos.rtd",,$A$2,"."&amp;G$43&amp;G$1&amp;"P"&amp;$A72)="N/A",0,RTD("tos.rtd",,$A$2,"."&amp;G$43&amp;G$1&amp;"P"&amp;$A72))</f>
        <v>0</v>
      </c>
      <c r="H72" s="91">
        <f ca="1">IF(RTD("tos.rtd",,$A$2,"."&amp;H$43&amp;H$1&amp;"C"&amp;$A72)="N/A",0,RTD("tos.rtd",,$A$2,"."&amp;H$43&amp;H$1&amp;"C"&amp;$A72))-IF(RTD("tos.rtd",,$A$2,"."&amp;H$43&amp;H$1&amp;"P"&amp;$A72)="N/A",0,RTD("tos.rtd",,$A$2,"."&amp;H$43&amp;H$1&amp;"P"&amp;$A72))</f>
        <v>-131</v>
      </c>
      <c r="I72" s="91">
        <f ca="1">IF(RTD("tos.rtd",,$A$2,"."&amp;I$43&amp;I$1&amp;"C"&amp;$A72)="N/A",0,RTD("tos.rtd",,$A$2,"."&amp;I$43&amp;I$1&amp;"C"&amp;$A72))-IF(RTD("tos.rtd",,$A$2,"."&amp;I$43&amp;I$1&amp;"P"&amp;$A72)="N/A",0,RTD("tos.rtd",,$A$2,"."&amp;I$43&amp;I$1&amp;"P"&amp;$A72))</f>
        <v>473</v>
      </c>
      <c r="J72" s="91">
        <f ca="1">IF(RTD("tos.rtd",,$A$2,"."&amp;J$43&amp;J$1&amp;"C"&amp;$A72)="N/A",0,RTD("tos.rtd",,$A$2,"."&amp;J$43&amp;J$1&amp;"C"&amp;$A72))-IF(RTD("tos.rtd",,$A$2,"."&amp;J$43&amp;J$1&amp;"P"&amp;$A72)="N/A",0,RTD("tos.rtd",,$A$2,"."&amp;J$43&amp;J$1&amp;"P"&amp;$A72))</f>
        <v>88</v>
      </c>
      <c r="K72" s="91">
        <f ca="1">IF(RTD("tos.rtd",,$A$2,"."&amp;K$43&amp;K$1&amp;"C"&amp;$A72)="N/A",0,RTD("tos.rtd",,$A$2,"."&amp;K$43&amp;K$1&amp;"C"&amp;$A72))-IF(RTD("tos.rtd",,$A$2,"."&amp;K$43&amp;K$1&amp;"P"&amp;$A72)="N/A",0,RTD("tos.rtd",,$A$2,"."&amp;K$43&amp;K$1&amp;"P"&amp;$A72))</f>
        <v>0</v>
      </c>
      <c r="L72" s="91">
        <f ca="1">IF(RTD("tos.rtd",,$A$2,"."&amp;L$43&amp;L$1&amp;"C"&amp;$A72)="N/A",0,RTD("tos.rtd",,$A$2,"."&amp;L$43&amp;L$1&amp;"C"&amp;$A72))-IF(RTD("tos.rtd",,$A$2,"."&amp;L$43&amp;L$1&amp;"P"&amp;$A72)="N/A",0,RTD("tos.rtd",,$A$2,"."&amp;L$43&amp;L$1&amp;"P"&amp;$A72))</f>
        <v>-106</v>
      </c>
      <c r="M72" s="91">
        <f ca="1">IF(RTD("tos.rtd",,$A$2,"."&amp;M$43&amp;M$1&amp;"C"&amp;$A72)="N/A",0,RTD("tos.rtd",,$A$2,"."&amp;M$43&amp;M$1&amp;"C"&amp;$A72))-IF(RTD("tos.rtd",,$A$2,"."&amp;M$43&amp;M$1&amp;"P"&amp;$A72)="N/A",0,RTD("tos.rtd",,$A$2,"."&amp;M$43&amp;M$1&amp;"P"&amp;$A72))</f>
        <v>0</v>
      </c>
      <c r="N72" s="91">
        <f ca="1">IF(RTD("tos.rtd",,$A$2,"."&amp;N$43&amp;N$1&amp;"C"&amp;$A72)="N/A",0,RTD("tos.rtd",,$A$2,"."&amp;N$43&amp;N$1&amp;"C"&amp;$A72))-IF(RTD("tos.rtd",,$A$2,"."&amp;N$43&amp;N$1&amp;"P"&amp;$A72)="N/A",0,RTD("tos.rtd",,$A$2,"."&amp;N$43&amp;N$1&amp;"P"&amp;$A72))</f>
        <v>0</v>
      </c>
      <c r="O72" s="91">
        <f ca="1">IF(RTD("tos.rtd",,$A$2,"."&amp;O$43&amp;O$1&amp;"C"&amp;$A72)="N/A",0,RTD("tos.rtd",,$A$2,"."&amp;O$43&amp;O$1&amp;"C"&amp;$A72))-IF(RTD("tos.rtd",,$A$2,"."&amp;O$43&amp;O$1&amp;"P"&amp;$A72)="N/A",0,RTD("tos.rtd",,$A$2,"."&amp;O$43&amp;O$1&amp;"P"&amp;$A72))</f>
        <v>0</v>
      </c>
      <c r="P72" s="91">
        <f ca="1">IF(RTD("tos.rtd",,$A$2,"."&amp;P$43&amp;P$1&amp;"C"&amp;$A72)="N/A",0,RTD("tos.rtd",,$A$2,"."&amp;P$43&amp;P$1&amp;"C"&amp;$A72))-IF(RTD("tos.rtd",,$A$2,"."&amp;P$43&amp;P$1&amp;"P"&amp;$A72)="N/A",0,RTD("tos.rtd",,$A$2,"."&amp;P$43&amp;P$1&amp;"P"&amp;$A72))</f>
        <v>0</v>
      </c>
      <c r="Q72" s="91">
        <f ca="1">IF(RTD("tos.rtd",,$A$2,"."&amp;Q$43&amp;Q$1&amp;"C"&amp;$A72)="N/A",0,RTD("tos.rtd",,$A$2,"."&amp;Q$43&amp;Q$1&amp;"C"&amp;$A72))-IF(RTD("tos.rtd",,$A$2,"."&amp;Q$43&amp;Q$1&amp;"P"&amp;$A72)="N/A",0,RTD("tos.rtd",,$A$2,"."&amp;Q$43&amp;Q$1&amp;"P"&amp;$A72))</f>
        <v>0</v>
      </c>
      <c r="R72" s="91">
        <f ca="1">IF(RTD("tos.rtd",,$A$2,"."&amp;R$43&amp;R$1&amp;"C"&amp;$A72)="N/A",0,RTD("tos.rtd",,$A$2,"."&amp;R$43&amp;R$1&amp;"C"&amp;$A72))-IF(RTD("tos.rtd",,$A$2,"."&amp;R$43&amp;R$1&amp;"P"&amp;$A72)="N/A",0,RTD("tos.rtd",,$A$2,"."&amp;R$43&amp;R$1&amp;"P"&amp;$A72))</f>
        <v>3</v>
      </c>
      <c r="S72" s="91">
        <f ca="1">IF(RTD("tos.rtd",,$A$2,"."&amp;S$43&amp;S$1&amp;"C"&amp;$A72)="N/A",0,RTD("tos.rtd",,$A$2,"."&amp;S$43&amp;S$1&amp;"C"&amp;$A72))-IF(RTD("tos.rtd",,$A$2,"."&amp;S$43&amp;S$1&amp;"P"&amp;$A72)="N/A",0,RTD("tos.rtd",,$A$2,"."&amp;S$43&amp;S$1&amp;"P"&amp;$A72))</f>
        <v>0</v>
      </c>
      <c r="T72" s="91">
        <f ca="1">IF(RTD("tos.rtd",,$A$2,"."&amp;T$43&amp;T$1&amp;"C"&amp;$A72)="N/A",0,RTD("tos.rtd",,$A$2,"."&amp;T$43&amp;T$1&amp;"C"&amp;$A72))-IF(RTD("tos.rtd",,$A$2,"."&amp;T$43&amp;T$1&amp;"P"&amp;$A72)="N/A",0,RTD("tos.rtd",,$A$2,"."&amp;T$43&amp;T$1&amp;"P"&amp;$A72))</f>
        <v>0</v>
      </c>
      <c r="U72" s="91">
        <f ca="1">IF(RTD("tos.rtd",,$A$2,"."&amp;U$43&amp;U$1&amp;"C"&amp;$A72)="N/A",0,RTD("tos.rtd",,$A$2,"."&amp;U$43&amp;U$1&amp;"C"&amp;$A72))-IF(RTD("tos.rtd",,$A$2,"."&amp;U$43&amp;U$1&amp;"P"&amp;$A72)="N/A",0,RTD("tos.rtd",,$A$2,"."&amp;U$43&amp;U$1&amp;"P"&amp;$A72))</f>
        <v>0</v>
      </c>
      <c r="V72" s="91">
        <f ca="1">IF(RTD("tos.rtd",,$A$2,"."&amp;V$43&amp;V$1&amp;"C"&amp;$A72)="N/A",0,RTD("tos.rtd",,$A$2,"."&amp;V$43&amp;V$1&amp;"C"&amp;$A72))-IF(RTD("tos.rtd",,$A$2,"."&amp;V$43&amp;V$1&amp;"P"&amp;$A72)="N/A",0,RTD("tos.rtd",,$A$2,"."&amp;V$43&amp;V$1&amp;"P"&amp;$A72))</f>
        <v>0</v>
      </c>
      <c r="W72" s="91">
        <f ca="1">IF(RTD("tos.rtd",,$A$2,"."&amp;W$43&amp;W$1&amp;"C"&amp;$A72)="N/A",0,RTD("tos.rtd",,$A$2,"."&amp;W$43&amp;W$1&amp;"C"&amp;$A72))-IF(RTD("tos.rtd",,$A$2,"."&amp;W$43&amp;W$1&amp;"P"&amp;$A72)="N/A",0,RTD("tos.rtd",,$A$2,"."&amp;W$43&amp;W$1&amp;"P"&amp;$A72))</f>
        <v>0</v>
      </c>
      <c r="X72" s="91">
        <f ca="1">IF(RTD("tos.rtd",,$A$2,"."&amp;X$43&amp;X$1&amp;"C"&amp;$A72)="N/A",0,RTD("tos.rtd",,$A$2,"."&amp;X$43&amp;X$1&amp;"C"&amp;$A72))-IF(RTD("tos.rtd",,$A$2,"."&amp;X$43&amp;X$1&amp;"P"&amp;$A72)="N/A",0,RTD("tos.rtd",,$A$2,"."&amp;X$43&amp;X$1&amp;"P"&amp;$A72))</f>
        <v>0</v>
      </c>
      <c r="Y72" s="98">
        <f t="shared" ca="1" si="7"/>
        <v>327</v>
      </c>
    </row>
    <row r="73" spans="1:25" x14ac:dyDescent="0.25">
      <c r="A73" s="93">
        <f>+Hoja1!A72</f>
        <v>495</v>
      </c>
      <c r="B73" s="91">
        <f ca="1">IF(RTD("tos.rtd",,$A$2,"."&amp;B$43&amp;B$1&amp;"C"&amp;$A73)="N/A",0,RTD("tos.rtd",,$A$2,"."&amp;B$43&amp;B$1&amp;"C"&amp;$A73))-IF(RTD("tos.rtd",,$A$2,"."&amp;B$43&amp;B$1&amp;"P"&amp;$A73)="N/A",0,RTD("tos.rtd",,$A$2,"."&amp;B$43&amp;B$1&amp;"P"&amp;$A73))</f>
        <v>0</v>
      </c>
      <c r="C73" s="91">
        <f ca="1">IF(RTD("tos.rtd",,$A$2,"."&amp;C$43&amp;C$1&amp;"C"&amp;$A73)="N/A",0,RTD("tos.rtd",,$A$2,"."&amp;C$43&amp;C$1&amp;"C"&amp;$A73))-IF(RTD("tos.rtd",,$A$2,"."&amp;C$43&amp;C$1&amp;"P"&amp;$A73)="N/A",0,RTD("tos.rtd",,$A$2,"."&amp;C$43&amp;C$1&amp;"P"&amp;$A73))</f>
        <v>0</v>
      </c>
      <c r="D73" s="91">
        <f ca="1">IF(RTD("tos.rtd",,$A$2,"."&amp;D$43&amp;D$1&amp;"C"&amp;$A73)="N/A",0,RTD("tos.rtd",,$A$2,"."&amp;D$43&amp;D$1&amp;"C"&amp;$A73))-IF(RTD("tos.rtd",,$A$2,"."&amp;D$43&amp;D$1&amp;"P"&amp;$A73)="N/A",0,RTD("tos.rtd",,$A$2,"."&amp;D$43&amp;D$1&amp;"P"&amp;$A73))</f>
        <v>0</v>
      </c>
      <c r="E73" s="91">
        <f ca="1">IF(RTD("tos.rtd",,$A$2,"."&amp;E$43&amp;E$1&amp;"C"&amp;$A73)="N/A",0,RTD("tos.rtd",,$A$2,"."&amp;E$43&amp;E$1&amp;"C"&amp;$A73))-IF(RTD("tos.rtd",,$A$2,"."&amp;E$43&amp;E$1&amp;"P"&amp;$A73)="N/A",0,RTD("tos.rtd",,$A$2,"."&amp;E$43&amp;E$1&amp;"P"&amp;$A73))</f>
        <v>0</v>
      </c>
      <c r="F73" s="91">
        <f ca="1">IF(RTD("tos.rtd",,$A$2,"."&amp;F$43&amp;F$1&amp;"C"&amp;$A73)="N/A",0,RTD("tos.rtd",,$A$2,"."&amp;F$43&amp;F$1&amp;"C"&amp;$A73))-IF(RTD("tos.rtd",,$A$2,"."&amp;F$43&amp;F$1&amp;"P"&amp;$A73)="N/A",0,RTD("tos.rtd",,$A$2,"."&amp;F$43&amp;F$1&amp;"P"&amp;$A73))</f>
        <v>0</v>
      </c>
      <c r="G73" s="91">
        <f ca="1">IF(RTD("tos.rtd",,$A$2,"."&amp;G$43&amp;G$1&amp;"C"&amp;$A73)="N/A",0,RTD("tos.rtd",,$A$2,"."&amp;G$43&amp;G$1&amp;"C"&amp;$A73))-IF(RTD("tos.rtd",,$A$2,"."&amp;G$43&amp;G$1&amp;"P"&amp;$A73)="N/A",0,RTD("tos.rtd",,$A$2,"."&amp;G$43&amp;G$1&amp;"P"&amp;$A73))</f>
        <v>0</v>
      </c>
      <c r="H73" s="91">
        <f ca="1">IF(RTD("tos.rtd",,$A$2,"."&amp;H$43&amp;H$1&amp;"C"&amp;$A73)="N/A",0,RTD("tos.rtd",,$A$2,"."&amp;H$43&amp;H$1&amp;"C"&amp;$A73))-IF(RTD("tos.rtd",,$A$2,"."&amp;H$43&amp;H$1&amp;"P"&amp;$A73)="N/A",0,RTD("tos.rtd",,$A$2,"."&amp;H$43&amp;H$1&amp;"P"&amp;$A73))</f>
        <v>44</v>
      </c>
      <c r="I73" s="91">
        <f ca="1">IF(RTD("tos.rtd",,$A$2,"."&amp;I$43&amp;I$1&amp;"C"&amp;$A73)="N/A",0,RTD("tos.rtd",,$A$2,"."&amp;I$43&amp;I$1&amp;"C"&amp;$A73))-IF(RTD("tos.rtd",,$A$2,"."&amp;I$43&amp;I$1&amp;"P"&amp;$A73)="N/A",0,RTD("tos.rtd",,$A$2,"."&amp;I$43&amp;I$1&amp;"P"&amp;$A73))</f>
        <v>-4574</v>
      </c>
      <c r="J73" s="91">
        <f ca="1">IF(RTD("tos.rtd",,$A$2,"."&amp;J$43&amp;J$1&amp;"C"&amp;$A73)="N/A",0,RTD("tos.rtd",,$A$2,"."&amp;J$43&amp;J$1&amp;"C"&amp;$A73))-IF(RTD("tos.rtd",,$A$2,"."&amp;J$43&amp;J$1&amp;"P"&amp;$A73)="N/A",0,RTD("tos.rtd",,$A$2,"."&amp;J$43&amp;J$1&amp;"P"&amp;$A73))</f>
        <v>136</v>
      </c>
      <c r="K73" s="91">
        <f ca="1">IF(RTD("tos.rtd",,$A$2,"."&amp;K$43&amp;K$1&amp;"C"&amp;$A73)="N/A",0,RTD("tos.rtd",,$A$2,"."&amp;K$43&amp;K$1&amp;"C"&amp;$A73))-IF(RTD("tos.rtd",,$A$2,"."&amp;K$43&amp;K$1&amp;"P"&amp;$A73)="N/A",0,RTD("tos.rtd",,$A$2,"."&amp;K$43&amp;K$1&amp;"P"&amp;$A73))</f>
        <v>0</v>
      </c>
      <c r="L73" s="91">
        <f ca="1">IF(RTD("tos.rtd",,$A$2,"."&amp;L$43&amp;L$1&amp;"C"&amp;$A73)="N/A",0,RTD("tos.rtd",,$A$2,"."&amp;L$43&amp;L$1&amp;"C"&amp;$A73))-IF(RTD("tos.rtd",,$A$2,"."&amp;L$43&amp;L$1&amp;"P"&amp;$A73)="N/A",0,RTD("tos.rtd",,$A$2,"."&amp;L$43&amp;L$1&amp;"P"&amp;$A73))</f>
        <v>-592</v>
      </c>
      <c r="M73" s="91">
        <f ca="1">IF(RTD("tos.rtd",,$A$2,"."&amp;M$43&amp;M$1&amp;"C"&amp;$A73)="N/A",0,RTD("tos.rtd",,$A$2,"."&amp;M$43&amp;M$1&amp;"C"&amp;$A73))-IF(RTD("tos.rtd",,$A$2,"."&amp;M$43&amp;M$1&amp;"P"&amp;$A73)="N/A",0,RTD("tos.rtd",,$A$2,"."&amp;M$43&amp;M$1&amp;"P"&amp;$A73))</f>
        <v>-136</v>
      </c>
      <c r="N73" s="91">
        <f ca="1">IF(RTD("tos.rtd",,$A$2,"."&amp;N$43&amp;N$1&amp;"C"&amp;$A73)="N/A",0,RTD("tos.rtd",,$A$2,"."&amp;N$43&amp;N$1&amp;"C"&amp;$A73))-IF(RTD("tos.rtd",,$A$2,"."&amp;N$43&amp;N$1&amp;"P"&amp;$A73)="N/A",0,RTD("tos.rtd",,$A$2,"."&amp;N$43&amp;N$1&amp;"P"&amp;$A73))</f>
        <v>-23</v>
      </c>
      <c r="O73" s="91">
        <f ca="1">IF(RTD("tos.rtd",,$A$2,"."&amp;O$43&amp;O$1&amp;"C"&amp;$A73)="N/A",0,RTD("tos.rtd",,$A$2,"."&amp;O$43&amp;O$1&amp;"C"&amp;$A73))-IF(RTD("tos.rtd",,$A$2,"."&amp;O$43&amp;O$1&amp;"P"&amp;$A73)="N/A",0,RTD("tos.rtd",,$A$2,"."&amp;O$43&amp;O$1&amp;"P"&amp;$A73))</f>
        <v>175</v>
      </c>
      <c r="P73" s="91">
        <f ca="1">IF(RTD("tos.rtd",,$A$2,"."&amp;P$43&amp;P$1&amp;"C"&amp;$A73)="N/A",0,RTD("tos.rtd",,$A$2,"."&amp;P$43&amp;P$1&amp;"C"&amp;$A73))-IF(RTD("tos.rtd",,$A$2,"."&amp;P$43&amp;P$1&amp;"P"&amp;$A73)="N/A",0,RTD("tos.rtd",,$A$2,"."&amp;P$43&amp;P$1&amp;"P"&amp;$A73))</f>
        <v>29</v>
      </c>
      <c r="Q73" s="91">
        <f ca="1">IF(RTD("tos.rtd",,$A$2,"."&amp;Q$43&amp;Q$1&amp;"C"&amp;$A73)="N/A",0,RTD("tos.rtd",,$A$2,"."&amp;Q$43&amp;Q$1&amp;"C"&amp;$A73))-IF(RTD("tos.rtd",,$A$2,"."&amp;Q$43&amp;Q$1&amp;"P"&amp;$A73)="N/A",0,RTD("tos.rtd",,$A$2,"."&amp;Q$43&amp;Q$1&amp;"P"&amp;$A73))</f>
        <v>-1489</v>
      </c>
      <c r="R73" s="91">
        <f ca="1">IF(RTD("tos.rtd",,$A$2,"."&amp;R$43&amp;R$1&amp;"C"&amp;$A73)="N/A",0,RTD("tos.rtd",,$A$2,"."&amp;R$43&amp;R$1&amp;"C"&amp;$A73))-IF(RTD("tos.rtd",,$A$2,"."&amp;R$43&amp;R$1&amp;"P"&amp;$A73)="N/A",0,RTD("tos.rtd",,$A$2,"."&amp;R$43&amp;R$1&amp;"P"&amp;$A73))</f>
        <v>3</v>
      </c>
      <c r="S73" s="91">
        <f ca="1">IF(RTD("tos.rtd",,$A$2,"."&amp;S$43&amp;S$1&amp;"C"&amp;$A73)="N/A",0,RTD("tos.rtd",,$A$2,"."&amp;S$43&amp;S$1&amp;"C"&amp;$A73))-IF(RTD("tos.rtd",,$A$2,"."&amp;S$43&amp;S$1&amp;"P"&amp;$A73)="N/A",0,RTD("tos.rtd",,$A$2,"."&amp;S$43&amp;S$1&amp;"P"&amp;$A73))</f>
        <v>0</v>
      </c>
      <c r="T73" s="91">
        <f ca="1">IF(RTD("tos.rtd",,$A$2,"."&amp;T$43&amp;T$1&amp;"C"&amp;$A73)="N/A",0,RTD("tos.rtd",,$A$2,"."&amp;T$43&amp;T$1&amp;"C"&amp;$A73))-IF(RTD("tos.rtd",,$A$2,"."&amp;T$43&amp;T$1&amp;"P"&amp;$A73)="N/A",0,RTD("tos.rtd",,$A$2,"."&amp;T$43&amp;T$1&amp;"P"&amp;$A73))</f>
        <v>0</v>
      </c>
      <c r="U73" s="91">
        <f ca="1">IF(RTD("tos.rtd",,$A$2,"."&amp;U$43&amp;U$1&amp;"C"&amp;$A73)="N/A",0,RTD("tos.rtd",,$A$2,"."&amp;U$43&amp;U$1&amp;"C"&amp;$A73))-IF(RTD("tos.rtd",,$A$2,"."&amp;U$43&amp;U$1&amp;"P"&amp;$A73)="N/A",0,RTD("tos.rtd",,$A$2,"."&amp;U$43&amp;U$1&amp;"P"&amp;$A73))</f>
        <v>29</v>
      </c>
      <c r="V73" s="91">
        <f ca="1">IF(RTD("tos.rtd",,$A$2,"."&amp;V$43&amp;V$1&amp;"C"&amp;$A73)="N/A",0,RTD("tos.rtd",,$A$2,"."&amp;V$43&amp;V$1&amp;"C"&amp;$A73))-IF(RTD("tos.rtd",,$A$2,"."&amp;V$43&amp;V$1&amp;"P"&amp;$A73)="N/A",0,RTD("tos.rtd",,$A$2,"."&amp;V$43&amp;V$1&amp;"P"&amp;$A73))</f>
        <v>0</v>
      </c>
      <c r="W73" s="91">
        <f ca="1">IF(RTD("tos.rtd",,$A$2,"."&amp;W$43&amp;W$1&amp;"C"&amp;$A73)="N/A",0,RTD("tos.rtd",,$A$2,"."&amp;W$43&amp;W$1&amp;"C"&amp;$A73))-IF(RTD("tos.rtd",,$A$2,"."&amp;W$43&amp;W$1&amp;"P"&amp;$A73)="N/A",0,RTD("tos.rtd",,$A$2,"."&amp;W$43&amp;W$1&amp;"P"&amp;$A73))</f>
        <v>0</v>
      </c>
      <c r="X73" s="91">
        <f ca="1">IF(RTD("tos.rtd",,$A$2,"."&amp;X$43&amp;X$1&amp;"C"&amp;$A73)="N/A",0,RTD("tos.rtd",,$A$2,"."&amp;X$43&amp;X$1&amp;"C"&amp;$A73))-IF(RTD("tos.rtd",,$A$2,"."&amp;X$43&amp;X$1&amp;"P"&amp;$A73)="N/A",0,RTD("tos.rtd",,$A$2,"."&amp;X$43&amp;X$1&amp;"P"&amp;$A73))</f>
        <v>4</v>
      </c>
      <c r="Y73" s="98">
        <f t="shared" ca="1" si="7"/>
        <v>-6394</v>
      </c>
    </row>
    <row r="74" spans="1:25" x14ac:dyDescent="0.25">
      <c r="A74" s="93">
        <f>+Hoja1!A73</f>
        <v>494</v>
      </c>
      <c r="B74" s="91">
        <f ca="1">IF(RTD("tos.rtd",,$A$2,"."&amp;B$43&amp;B$1&amp;"C"&amp;$A74)="N/A",0,RTD("tos.rtd",,$A$2,"."&amp;B$43&amp;B$1&amp;"C"&amp;$A74))-IF(RTD("tos.rtd",,$A$2,"."&amp;B$43&amp;B$1&amp;"P"&amp;$A74)="N/A",0,RTD("tos.rtd",,$A$2,"."&amp;B$43&amp;B$1&amp;"P"&amp;$A74))</f>
        <v>0</v>
      </c>
      <c r="C74" s="91">
        <f ca="1">IF(RTD("tos.rtd",,$A$2,"."&amp;C$43&amp;C$1&amp;"C"&amp;$A74)="N/A",0,RTD("tos.rtd",,$A$2,"."&amp;C$43&amp;C$1&amp;"C"&amp;$A74))-IF(RTD("tos.rtd",,$A$2,"."&amp;C$43&amp;C$1&amp;"P"&amp;$A74)="N/A",0,RTD("tos.rtd",,$A$2,"."&amp;C$43&amp;C$1&amp;"P"&amp;$A74))</f>
        <v>0</v>
      </c>
      <c r="D74" s="91">
        <f ca="1">IF(RTD("tos.rtd",,$A$2,"."&amp;D$43&amp;D$1&amp;"C"&amp;$A74)="N/A",0,RTD("tos.rtd",,$A$2,"."&amp;D$43&amp;D$1&amp;"C"&amp;$A74))-IF(RTD("tos.rtd",,$A$2,"."&amp;D$43&amp;D$1&amp;"P"&amp;$A74)="N/A",0,RTD("tos.rtd",,$A$2,"."&amp;D$43&amp;D$1&amp;"P"&amp;$A74))</f>
        <v>0</v>
      </c>
      <c r="E74" s="91">
        <f ca="1">IF(RTD("tos.rtd",,$A$2,"."&amp;E$43&amp;E$1&amp;"C"&amp;$A74)="N/A",0,RTD("tos.rtd",,$A$2,"."&amp;E$43&amp;E$1&amp;"C"&amp;$A74))-IF(RTD("tos.rtd",,$A$2,"."&amp;E$43&amp;E$1&amp;"P"&amp;$A74)="N/A",0,RTD("tos.rtd",,$A$2,"."&amp;E$43&amp;E$1&amp;"P"&amp;$A74))</f>
        <v>0</v>
      </c>
      <c r="F74" s="91">
        <f ca="1">IF(RTD("tos.rtd",,$A$2,"."&amp;F$43&amp;F$1&amp;"C"&amp;$A74)="N/A",0,RTD("tos.rtd",,$A$2,"."&amp;F$43&amp;F$1&amp;"C"&amp;$A74))-IF(RTD("tos.rtd",,$A$2,"."&amp;F$43&amp;F$1&amp;"P"&amp;$A74)="N/A",0,RTD("tos.rtd",,$A$2,"."&amp;F$43&amp;F$1&amp;"P"&amp;$A74))</f>
        <v>0</v>
      </c>
      <c r="G74" s="91">
        <f ca="1">IF(RTD("tos.rtd",,$A$2,"."&amp;G$43&amp;G$1&amp;"C"&amp;$A74)="N/A",0,RTD("tos.rtd",,$A$2,"."&amp;G$43&amp;G$1&amp;"C"&amp;$A74))-IF(RTD("tos.rtd",,$A$2,"."&amp;G$43&amp;G$1&amp;"P"&amp;$A74)="N/A",0,RTD("tos.rtd",,$A$2,"."&amp;G$43&amp;G$1&amp;"P"&amp;$A74))</f>
        <v>0</v>
      </c>
      <c r="H74" s="91">
        <f ca="1">IF(RTD("tos.rtd",,$A$2,"."&amp;H$43&amp;H$1&amp;"C"&amp;$A74)="N/A",0,RTD("tos.rtd",,$A$2,"."&amp;H$43&amp;H$1&amp;"C"&amp;$A74))-IF(RTD("tos.rtd",,$A$2,"."&amp;H$43&amp;H$1&amp;"P"&amp;$A74)="N/A",0,RTD("tos.rtd",,$A$2,"."&amp;H$43&amp;H$1&amp;"P"&amp;$A74))</f>
        <v>190</v>
      </c>
      <c r="I74" s="91">
        <f ca="1">IF(RTD("tos.rtd",,$A$2,"."&amp;I$43&amp;I$1&amp;"C"&amp;$A74)="N/A",0,RTD("tos.rtd",,$A$2,"."&amp;I$43&amp;I$1&amp;"C"&amp;$A74))-IF(RTD("tos.rtd",,$A$2,"."&amp;I$43&amp;I$1&amp;"P"&amp;$A74)="N/A",0,RTD("tos.rtd",,$A$2,"."&amp;I$43&amp;I$1&amp;"P"&amp;$A74))</f>
        <v>-181</v>
      </c>
      <c r="J74" s="91">
        <f ca="1">IF(RTD("tos.rtd",,$A$2,"."&amp;J$43&amp;J$1&amp;"C"&amp;$A74)="N/A",0,RTD("tos.rtd",,$A$2,"."&amp;J$43&amp;J$1&amp;"C"&amp;$A74))-IF(RTD("tos.rtd",,$A$2,"."&amp;J$43&amp;J$1&amp;"P"&amp;$A74)="N/A",0,RTD("tos.rtd",,$A$2,"."&amp;J$43&amp;J$1&amp;"P"&amp;$A74))</f>
        <v>73</v>
      </c>
      <c r="K74" s="91">
        <f ca="1">IF(RTD("tos.rtd",,$A$2,"."&amp;K$43&amp;K$1&amp;"C"&amp;$A74)="N/A",0,RTD("tos.rtd",,$A$2,"."&amp;K$43&amp;K$1&amp;"C"&amp;$A74))-IF(RTD("tos.rtd",,$A$2,"."&amp;K$43&amp;K$1&amp;"P"&amp;$A74)="N/A",0,RTD("tos.rtd",,$A$2,"."&amp;K$43&amp;K$1&amp;"P"&amp;$A74))</f>
        <v>0</v>
      </c>
      <c r="L74" s="91">
        <f ca="1">IF(RTD("tos.rtd",,$A$2,"."&amp;L$43&amp;L$1&amp;"C"&amp;$A74)="N/A",0,RTD("tos.rtd",,$A$2,"."&amp;L$43&amp;L$1&amp;"C"&amp;$A74))-IF(RTD("tos.rtd",,$A$2,"."&amp;L$43&amp;L$1&amp;"P"&amp;$A74)="N/A",0,RTD("tos.rtd",,$A$2,"."&amp;L$43&amp;L$1&amp;"P"&amp;$A74))</f>
        <v>-6</v>
      </c>
      <c r="M74" s="91">
        <f ca="1">IF(RTD("tos.rtd",,$A$2,"."&amp;M$43&amp;M$1&amp;"C"&amp;$A74)="N/A",0,RTD("tos.rtd",,$A$2,"."&amp;M$43&amp;M$1&amp;"C"&amp;$A74))-IF(RTD("tos.rtd",,$A$2,"."&amp;M$43&amp;M$1&amp;"P"&amp;$A74)="N/A",0,RTD("tos.rtd",,$A$2,"."&amp;M$43&amp;M$1&amp;"P"&amp;$A74))</f>
        <v>0</v>
      </c>
      <c r="N74" s="91">
        <f ca="1">IF(RTD("tos.rtd",,$A$2,"."&amp;N$43&amp;N$1&amp;"C"&amp;$A74)="N/A",0,RTD("tos.rtd",,$A$2,"."&amp;N$43&amp;N$1&amp;"C"&amp;$A74))-IF(RTD("tos.rtd",,$A$2,"."&amp;N$43&amp;N$1&amp;"P"&amp;$A74)="N/A",0,RTD("tos.rtd",,$A$2,"."&amp;N$43&amp;N$1&amp;"P"&amp;$A74))</f>
        <v>-4</v>
      </c>
      <c r="O74" s="91">
        <f ca="1">IF(RTD("tos.rtd",,$A$2,"."&amp;O$43&amp;O$1&amp;"C"&amp;$A74)="N/A",0,RTD("tos.rtd",,$A$2,"."&amp;O$43&amp;O$1&amp;"C"&amp;$A74))-IF(RTD("tos.rtd",,$A$2,"."&amp;O$43&amp;O$1&amp;"P"&amp;$A74)="N/A",0,RTD("tos.rtd",,$A$2,"."&amp;O$43&amp;O$1&amp;"P"&amp;$A74))</f>
        <v>0</v>
      </c>
      <c r="P74" s="91">
        <f ca="1">IF(RTD("tos.rtd",,$A$2,"."&amp;P$43&amp;P$1&amp;"C"&amp;$A74)="N/A",0,RTD("tos.rtd",,$A$2,"."&amp;P$43&amp;P$1&amp;"C"&amp;$A74))-IF(RTD("tos.rtd",,$A$2,"."&amp;P$43&amp;P$1&amp;"P"&amp;$A74)="N/A",0,RTD("tos.rtd",,$A$2,"."&amp;P$43&amp;P$1&amp;"P"&amp;$A74))</f>
        <v>0</v>
      </c>
      <c r="Q74" s="91">
        <f ca="1">IF(RTD("tos.rtd",,$A$2,"."&amp;Q$43&amp;Q$1&amp;"C"&amp;$A74)="N/A",0,RTD("tos.rtd",,$A$2,"."&amp;Q$43&amp;Q$1&amp;"C"&amp;$A74))-IF(RTD("tos.rtd",,$A$2,"."&amp;Q$43&amp;Q$1&amp;"P"&amp;$A74)="N/A",0,RTD("tos.rtd",,$A$2,"."&amp;Q$43&amp;Q$1&amp;"P"&amp;$A74))</f>
        <v>0</v>
      </c>
      <c r="R74" s="91">
        <f ca="1">IF(RTD("tos.rtd",,$A$2,"."&amp;R$43&amp;R$1&amp;"C"&amp;$A74)="N/A",0,RTD("tos.rtd",,$A$2,"."&amp;R$43&amp;R$1&amp;"C"&amp;$A74))-IF(RTD("tos.rtd",,$A$2,"."&amp;R$43&amp;R$1&amp;"P"&amp;$A74)="N/A",0,RTD("tos.rtd",,$A$2,"."&amp;R$43&amp;R$1&amp;"P"&amp;$A74))</f>
        <v>1</v>
      </c>
      <c r="S74" s="91">
        <f ca="1">IF(RTD("tos.rtd",,$A$2,"."&amp;S$43&amp;S$1&amp;"C"&amp;$A74)="N/A",0,RTD("tos.rtd",,$A$2,"."&amp;S$43&amp;S$1&amp;"C"&amp;$A74))-IF(RTD("tos.rtd",,$A$2,"."&amp;S$43&amp;S$1&amp;"P"&amp;$A74)="N/A",0,RTD("tos.rtd",,$A$2,"."&amp;S$43&amp;S$1&amp;"P"&amp;$A74))</f>
        <v>0</v>
      </c>
      <c r="T74" s="91">
        <f ca="1">IF(RTD("tos.rtd",,$A$2,"."&amp;T$43&amp;T$1&amp;"C"&amp;$A74)="N/A",0,RTD("tos.rtd",,$A$2,"."&amp;T$43&amp;T$1&amp;"C"&amp;$A74))-IF(RTD("tos.rtd",,$A$2,"."&amp;T$43&amp;T$1&amp;"P"&amp;$A74)="N/A",0,RTD("tos.rtd",,$A$2,"."&amp;T$43&amp;T$1&amp;"P"&amp;$A74))</f>
        <v>0</v>
      </c>
      <c r="U74" s="91">
        <f ca="1">IF(RTD("tos.rtd",,$A$2,"."&amp;U$43&amp;U$1&amp;"C"&amp;$A74)="N/A",0,RTD("tos.rtd",,$A$2,"."&amp;U$43&amp;U$1&amp;"C"&amp;$A74))-IF(RTD("tos.rtd",,$A$2,"."&amp;U$43&amp;U$1&amp;"P"&amp;$A74)="N/A",0,RTD("tos.rtd",,$A$2,"."&amp;U$43&amp;U$1&amp;"P"&amp;$A74))</f>
        <v>0</v>
      </c>
      <c r="V74" s="91">
        <f ca="1">IF(RTD("tos.rtd",,$A$2,"."&amp;V$43&amp;V$1&amp;"C"&amp;$A74)="N/A",0,RTD("tos.rtd",,$A$2,"."&amp;V$43&amp;V$1&amp;"C"&amp;$A74))-IF(RTD("tos.rtd",,$A$2,"."&amp;V$43&amp;V$1&amp;"P"&amp;$A74)="N/A",0,RTD("tos.rtd",,$A$2,"."&amp;V$43&amp;V$1&amp;"P"&amp;$A74))</f>
        <v>0</v>
      </c>
      <c r="W74" s="91">
        <f ca="1">IF(RTD("tos.rtd",,$A$2,"."&amp;W$43&amp;W$1&amp;"C"&amp;$A74)="N/A",0,RTD("tos.rtd",,$A$2,"."&amp;W$43&amp;W$1&amp;"C"&amp;$A74))-IF(RTD("tos.rtd",,$A$2,"."&amp;W$43&amp;W$1&amp;"P"&amp;$A74)="N/A",0,RTD("tos.rtd",,$A$2,"."&amp;W$43&amp;W$1&amp;"P"&amp;$A74))</f>
        <v>0</v>
      </c>
      <c r="X74" s="91">
        <f ca="1">IF(RTD("tos.rtd",,$A$2,"."&amp;X$43&amp;X$1&amp;"C"&amp;$A74)="N/A",0,RTD("tos.rtd",,$A$2,"."&amp;X$43&amp;X$1&amp;"C"&amp;$A74))-IF(RTD("tos.rtd",,$A$2,"."&amp;X$43&amp;X$1&amp;"P"&amp;$A74)="N/A",0,RTD("tos.rtd",,$A$2,"."&amp;X$43&amp;X$1&amp;"P"&amp;$A74))</f>
        <v>0</v>
      </c>
      <c r="Y74" s="98">
        <f t="shared" ca="1" si="7"/>
        <v>73</v>
      </c>
    </row>
    <row r="75" spans="1:25" x14ac:dyDescent="0.25">
      <c r="A75" s="93">
        <f>+Hoja1!A74</f>
        <v>493</v>
      </c>
      <c r="B75" s="91">
        <f ca="1">IF(RTD("tos.rtd",,$A$2,"."&amp;B$43&amp;B$1&amp;"C"&amp;$A75)="N/A",0,RTD("tos.rtd",,$A$2,"."&amp;B$43&amp;B$1&amp;"C"&amp;$A75))-IF(RTD("tos.rtd",,$A$2,"."&amp;B$43&amp;B$1&amp;"P"&amp;$A75)="N/A",0,RTD("tos.rtd",,$A$2,"."&amp;B$43&amp;B$1&amp;"P"&amp;$A75))</f>
        <v>0</v>
      </c>
      <c r="C75" s="91">
        <f ca="1">IF(RTD("tos.rtd",,$A$2,"."&amp;C$43&amp;C$1&amp;"C"&amp;$A75)="N/A",0,RTD("tos.rtd",,$A$2,"."&amp;C$43&amp;C$1&amp;"C"&amp;$A75))-IF(RTD("tos.rtd",,$A$2,"."&amp;C$43&amp;C$1&amp;"P"&amp;$A75)="N/A",0,RTD("tos.rtd",,$A$2,"."&amp;C$43&amp;C$1&amp;"P"&amp;$A75))</f>
        <v>0</v>
      </c>
      <c r="D75" s="91">
        <f ca="1">IF(RTD("tos.rtd",,$A$2,"."&amp;D$43&amp;D$1&amp;"C"&amp;$A75)="N/A",0,RTD("tos.rtd",,$A$2,"."&amp;D$43&amp;D$1&amp;"C"&amp;$A75))-IF(RTD("tos.rtd",,$A$2,"."&amp;D$43&amp;D$1&amp;"P"&amp;$A75)="N/A",0,RTD("tos.rtd",,$A$2,"."&amp;D$43&amp;D$1&amp;"P"&amp;$A75))</f>
        <v>0</v>
      </c>
      <c r="E75" s="91">
        <f ca="1">IF(RTD("tos.rtd",,$A$2,"."&amp;E$43&amp;E$1&amp;"C"&amp;$A75)="N/A",0,RTD("tos.rtd",,$A$2,"."&amp;E$43&amp;E$1&amp;"C"&amp;$A75))-IF(RTD("tos.rtd",,$A$2,"."&amp;E$43&amp;E$1&amp;"P"&amp;$A75)="N/A",0,RTD("tos.rtd",,$A$2,"."&amp;E$43&amp;E$1&amp;"P"&amp;$A75))</f>
        <v>0</v>
      </c>
      <c r="F75" s="91">
        <f ca="1">IF(RTD("tos.rtd",,$A$2,"."&amp;F$43&amp;F$1&amp;"C"&amp;$A75)="N/A",0,RTD("tos.rtd",,$A$2,"."&amp;F$43&amp;F$1&amp;"C"&amp;$A75))-IF(RTD("tos.rtd",,$A$2,"."&amp;F$43&amp;F$1&amp;"P"&amp;$A75)="N/A",0,RTD("tos.rtd",,$A$2,"."&amp;F$43&amp;F$1&amp;"P"&amp;$A75))</f>
        <v>0</v>
      </c>
      <c r="G75" s="91">
        <f ca="1">IF(RTD("tos.rtd",,$A$2,"."&amp;G$43&amp;G$1&amp;"C"&amp;$A75)="N/A",0,RTD("tos.rtd",,$A$2,"."&amp;G$43&amp;G$1&amp;"C"&amp;$A75))-IF(RTD("tos.rtd",,$A$2,"."&amp;G$43&amp;G$1&amp;"P"&amp;$A75)="N/A",0,RTD("tos.rtd",,$A$2,"."&amp;G$43&amp;G$1&amp;"P"&amp;$A75))</f>
        <v>0</v>
      </c>
      <c r="H75" s="91">
        <f ca="1">IF(RTD("tos.rtd",,$A$2,"."&amp;H$43&amp;H$1&amp;"C"&amp;$A75)="N/A",0,RTD("tos.rtd",,$A$2,"."&amp;H$43&amp;H$1&amp;"C"&amp;$A75))-IF(RTD("tos.rtd",,$A$2,"."&amp;H$43&amp;H$1&amp;"P"&amp;$A75)="N/A",0,RTD("tos.rtd",,$A$2,"."&amp;H$43&amp;H$1&amp;"P"&amp;$A75))</f>
        <v>600</v>
      </c>
      <c r="I75" s="91">
        <f ca="1">IF(RTD("tos.rtd",,$A$2,"."&amp;I$43&amp;I$1&amp;"C"&amp;$A75)="N/A",0,RTD("tos.rtd",,$A$2,"."&amp;I$43&amp;I$1&amp;"C"&amp;$A75))-IF(RTD("tos.rtd",,$A$2,"."&amp;I$43&amp;I$1&amp;"P"&amp;$A75)="N/A",0,RTD("tos.rtd",,$A$2,"."&amp;I$43&amp;I$1&amp;"P"&amp;$A75))</f>
        <v>-1548</v>
      </c>
      <c r="J75" s="91">
        <f ca="1">IF(RTD("tos.rtd",,$A$2,"."&amp;J$43&amp;J$1&amp;"C"&amp;$A75)="N/A",0,RTD("tos.rtd",,$A$2,"."&amp;J$43&amp;J$1&amp;"C"&amp;$A75))-IF(RTD("tos.rtd",,$A$2,"."&amp;J$43&amp;J$1&amp;"P"&amp;$A75)="N/A",0,RTD("tos.rtd",,$A$2,"."&amp;J$43&amp;J$1&amp;"P"&amp;$A75))</f>
        <v>3</v>
      </c>
      <c r="K75" s="91">
        <f ca="1">IF(RTD("tos.rtd",,$A$2,"."&amp;K$43&amp;K$1&amp;"C"&amp;$A75)="N/A",0,RTD("tos.rtd",,$A$2,"."&amp;K$43&amp;K$1&amp;"C"&amp;$A75))-IF(RTD("tos.rtd",,$A$2,"."&amp;K$43&amp;K$1&amp;"P"&amp;$A75)="N/A",0,RTD("tos.rtd",,$A$2,"."&amp;K$43&amp;K$1&amp;"P"&amp;$A75))</f>
        <v>0</v>
      </c>
      <c r="L75" s="91">
        <f ca="1">IF(RTD("tos.rtd",,$A$2,"."&amp;L$43&amp;L$1&amp;"C"&amp;$A75)="N/A",0,RTD("tos.rtd",,$A$2,"."&amp;L$43&amp;L$1&amp;"C"&amp;$A75))-IF(RTD("tos.rtd",,$A$2,"."&amp;L$43&amp;L$1&amp;"P"&amp;$A75)="N/A",0,RTD("tos.rtd",,$A$2,"."&amp;L$43&amp;L$1&amp;"P"&amp;$A75))</f>
        <v>-179</v>
      </c>
      <c r="M75" s="91">
        <f ca="1">IF(RTD("tos.rtd",,$A$2,"."&amp;M$43&amp;M$1&amp;"C"&amp;$A75)="N/A",0,RTD("tos.rtd",,$A$2,"."&amp;M$43&amp;M$1&amp;"C"&amp;$A75))-IF(RTD("tos.rtd",,$A$2,"."&amp;M$43&amp;M$1&amp;"P"&amp;$A75)="N/A",0,RTD("tos.rtd",,$A$2,"."&amp;M$43&amp;M$1&amp;"P"&amp;$A75))</f>
        <v>0</v>
      </c>
      <c r="N75" s="91">
        <f ca="1">IF(RTD("tos.rtd",,$A$2,"."&amp;N$43&amp;N$1&amp;"C"&amp;$A75)="N/A",0,RTD("tos.rtd",,$A$2,"."&amp;N$43&amp;N$1&amp;"C"&amp;$A75))-IF(RTD("tos.rtd",,$A$2,"."&amp;N$43&amp;N$1&amp;"P"&amp;$A75)="N/A",0,RTD("tos.rtd",,$A$2,"."&amp;N$43&amp;N$1&amp;"P"&amp;$A75))</f>
        <v>0</v>
      </c>
      <c r="O75" s="91">
        <f ca="1">IF(RTD("tos.rtd",,$A$2,"."&amp;O$43&amp;O$1&amp;"C"&amp;$A75)="N/A",0,RTD("tos.rtd",,$A$2,"."&amp;O$43&amp;O$1&amp;"C"&amp;$A75))-IF(RTD("tos.rtd",,$A$2,"."&amp;O$43&amp;O$1&amp;"P"&amp;$A75)="N/A",0,RTD("tos.rtd",,$A$2,"."&amp;O$43&amp;O$1&amp;"P"&amp;$A75))</f>
        <v>0</v>
      </c>
      <c r="P75" s="91">
        <f ca="1">IF(RTD("tos.rtd",,$A$2,"."&amp;P$43&amp;P$1&amp;"C"&amp;$A75)="N/A",0,RTD("tos.rtd",,$A$2,"."&amp;P$43&amp;P$1&amp;"C"&amp;$A75))-IF(RTD("tos.rtd",,$A$2,"."&amp;P$43&amp;P$1&amp;"P"&amp;$A75)="N/A",0,RTD("tos.rtd",,$A$2,"."&amp;P$43&amp;P$1&amp;"P"&amp;$A75))</f>
        <v>0</v>
      </c>
      <c r="Q75" s="91">
        <f ca="1">IF(RTD("tos.rtd",,$A$2,"."&amp;Q$43&amp;Q$1&amp;"C"&amp;$A75)="N/A",0,RTD("tos.rtd",,$A$2,"."&amp;Q$43&amp;Q$1&amp;"C"&amp;$A75))-IF(RTD("tos.rtd",,$A$2,"."&amp;Q$43&amp;Q$1&amp;"P"&amp;$A75)="N/A",0,RTD("tos.rtd",,$A$2,"."&amp;Q$43&amp;Q$1&amp;"P"&amp;$A75))</f>
        <v>0</v>
      </c>
      <c r="R75" s="91">
        <f ca="1">IF(RTD("tos.rtd",,$A$2,"."&amp;R$43&amp;R$1&amp;"C"&amp;$A75)="N/A",0,RTD("tos.rtd",,$A$2,"."&amp;R$43&amp;R$1&amp;"C"&amp;$A75))-IF(RTD("tos.rtd",,$A$2,"."&amp;R$43&amp;R$1&amp;"P"&amp;$A75)="N/A",0,RTD("tos.rtd",,$A$2,"."&amp;R$43&amp;R$1&amp;"P"&amp;$A75))</f>
        <v>200</v>
      </c>
      <c r="S75" s="91">
        <f ca="1">IF(RTD("tos.rtd",,$A$2,"."&amp;S$43&amp;S$1&amp;"C"&amp;$A75)="N/A",0,RTD("tos.rtd",,$A$2,"."&amp;S$43&amp;S$1&amp;"C"&amp;$A75))-IF(RTD("tos.rtd",,$A$2,"."&amp;S$43&amp;S$1&amp;"P"&amp;$A75)="N/A",0,RTD("tos.rtd",,$A$2,"."&amp;S$43&amp;S$1&amp;"P"&amp;$A75))</f>
        <v>0</v>
      </c>
      <c r="T75" s="91">
        <f ca="1">IF(RTD("tos.rtd",,$A$2,"."&amp;T$43&amp;T$1&amp;"C"&amp;$A75)="N/A",0,RTD("tos.rtd",,$A$2,"."&amp;T$43&amp;T$1&amp;"C"&amp;$A75))-IF(RTD("tos.rtd",,$A$2,"."&amp;T$43&amp;T$1&amp;"P"&amp;$A75)="N/A",0,RTD("tos.rtd",,$A$2,"."&amp;T$43&amp;T$1&amp;"P"&amp;$A75))</f>
        <v>0</v>
      </c>
      <c r="U75" s="91">
        <f ca="1">IF(RTD("tos.rtd",,$A$2,"."&amp;U$43&amp;U$1&amp;"C"&amp;$A75)="N/A",0,RTD("tos.rtd",,$A$2,"."&amp;U$43&amp;U$1&amp;"C"&amp;$A75))-IF(RTD("tos.rtd",,$A$2,"."&amp;U$43&amp;U$1&amp;"P"&amp;$A75)="N/A",0,RTD("tos.rtd",,$A$2,"."&amp;U$43&amp;U$1&amp;"P"&amp;$A75))</f>
        <v>0</v>
      </c>
      <c r="V75" s="91">
        <f ca="1">IF(RTD("tos.rtd",,$A$2,"."&amp;V$43&amp;V$1&amp;"C"&amp;$A75)="N/A",0,RTD("tos.rtd",,$A$2,"."&amp;V$43&amp;V$1&amp;"C"&amp;$A75))-IF(RTD("tos.rtd",,$A$2,"."&amp;V$43&amp;V$1&amp;"P"&amp;$A75)="N/A",0,RTD("tos.rtd",,$A$2,"."&amp;V$43&amp;V$1&amp;"P"&amp;$A75))</f>
        <v>0</v>
      </c>
      <c r="W75" s="91">
        <f ca="1">IF(RTD("tos.rtd",,$A$2,"."&amp;W$43&amp;W$1&amp;"C"&amp;$A75)="N/A",0,RTD("tos.rtd",,$A$2,"."&amp;W$43&amp;W$1&amp;"C"&amp;$A75))-IF(RTD("tos.rtd",,$A$2,"."&amp;W$43&amp;W$1&amp;"P"&amp;$A75)="N/A",0,RTD("tos.rtd",,$A$2,"."&amp;W$43&amp;W$1&amp;"P"&amp;$A75))</f>
        <v>0</v>
      </c>
      <c r="X75" s="91">
        <f ca="1">IF(RTD("tos.rtd",,$A$2,"."&amp;X$43&amp;X$1&amp;"C"&amp;$A75)="N/A",0,RTD("tos.rtd",,$A$2,"."&amp;X$43&amp;X$1&amp;"C"&amp;$A75))-IF(RTD("tos.rtd",,$A$2,"."&amp;X$43&amp;X$1&amp;"P"&amp;$A75)="N/A",0,RTD("tos.rtd",,$A$2,"."&amp;X$43&amp;X$1&amp;"P"&amp;$A75))</f>
        <v>8</v>
      </c>
      <c r="Y75" s="98">
        <f t="shared" ca="1" si="7"/>
        <v>-916</v>
      </c>
    </row>
    <row r="76" spans="1:25" x14ac:dyDescent="0.25">
      <c r="A76" s="93">
        <f>+Hoja1!A75</f>
        <v>492</v>
      </c>
      <c r="B76" s="91">
        <f ca="1">IF(RTD("tos.rtd",,$A$2,"."&amp;B$43&amp;B$1&amp;"C"&amp;$A76)="N/A",0,RTD("tos.rtd",,$A$2,"."&amp;B$43&amp;B$1&amp;"C"&amp;$A76))-IF(RTD("tos.rtd",,$A$2,"."&amp;B$43&amp;B$1&amp;"P"&amp;$A76)="N/A",0,RTD("tos.rtd",,$A$2,"."&amp;B$43&amp;B$1&amp;"P"&amp;$A76))</f>
        <v>0</v>
      </c>
      <c r="C76" s="91">
        <f ca="1">IF(RTD("tos.rtd",,$A$2,"."&amp;C$43&amp;C$1&amp;"C"&amp;$A76)="N/A",0,RTD("tos.rtd",,$A$2,"."&amp;C$43&amp;C$1&amp;"C"&amp;$A76))-IF(RTD("tos.rtd",,$A$2,"."&amp;C$43&amp;C$1&amp;"P"&amp;$A76)="N/A",0,RTD("tos.rtd",,$A$2,"."&amp;C$43&amp;C$1&amp;"P"&amp;$A76))</f>
        <v>0</v>
      </c>
      <c r="D76" s="91">
        <f ca="1">IF(RTD("tos.rtd",,$A$2,"."&amp;D$43&amp;D$1&amp;"C"&amp;$A76)="N/A",0,RTD("tos.rtd",,$A$2,"."&amp;D$43&amp;D$1&amp;"C"&amp;$A76))-IF(RTD("tos.rtd",,$A$2,"."&amp;D$43&amp;D$1&amp;"P"&amp;$A76)="N/A",0,RTD("tos.rtd",,$A$2,"."&amp;D$43&amp;D$1&amp;"P"&amp;$A76))</f>
        <v>0</v>
      </c>
      <c r="E76" s="91">
        <f ca="1">IF(RTD("tos.rtd",,$A$2,"."&amp;E$43&amp;E$1&amp;"C"&amp;$A76)="N/A",0,RTD("tos.rtd",,$A$2,"."&amp;E$43&amp;E$1&amp;"C"&amp;$A76))-IF(RTD("tos.rtd",,$A$2,"."&amp;E$43&amp;E$1&amp;"P"&amp;$A76)="N/A",0,RTD("tos.rtd",,$A$2,"."&amp;E$43&amp;E$1&amp;"P"&amp;$A76))</f>
        <v>0</v>
      </c>
      <c r="F76" s="91">
        <f ca="1">IF(RTD("tos.rtd",,$A$2,"."&amp;F$43&amp;F$1&amp;"C"&amp;$A76)="N/A",0,RTD("tos.rtd",,$A$2,"."&amp;F$43&amp;F$1&amp;"C"&amp;$A76))-IF(RTD("tos.rtd",,$A$2,"."&amp;F$43&amp;F$1&amp;"P"&amp;$A76)="N/A",0,RTD("tos.rtd",,$A$2,"."&amp;F$43&amp;F$1&amp;"P"&amp;$A76))</f>
        <v>0</v>
      </c>
      <c r="G76" s="91">
        <f ca="1">IF(RTD("tos.rtd",,$A$2,"."&amp;G$43&amp;G$1&amp;"C"&amp;$A76)="N/A",0,RTD("tos.rtd",,$A$2,"."&amp;G$43&amp;G$1&amp;"C"&amp;$A76))-IF(RTD("tos.rtd",,$A$2,"."&amp;G$43&amp;G$1&amp;"P"&amp;$A76)="N/A",0,RTD("tos.rtd",,$A$2,"."&amp;G$43&amp;G$1&amp;"P"&amp;$A76))</f>
        <v>0</v>
      </c>
      <c r="H76" s="91">
        <f ca="1">IF(RTD("tos.rtd",,$A$2,"."&amp;H$43&amp;H$1&amp;"C"&amp;$A76)="N/A",0,RTD("tos.rtd",,$A$2,"."&amp;H$43&amp;H$1&amp;"C"&amp;$A76))-IF(RTD("tos.rtd",,$A$2,"."&amp;H$43&amp;H$1&amp;"P"&amp;$A76)="N/A",0,RTD("tos.rtd",,$A$2,"."&amp;H$43&amp;H$1&amp;"P"&amp;$A76))</f>
        <v>63</v>
      </c>
      <c r="I76" s="91">
        <f ca="1">IF(RTD("tos.rtd",,$A$2,"."&amp;I$43&amp;I$1&amp;"C"&amp;$A76)="N/A",0,RTD("tos.rtd",,$A$2,"."&amp;I$43&amp;I$1&amp;"C"&amp;$A76))-IF(RTD("tos.rtd",,$A$2,"."&amp;I$43&amp;I$1&amp;"P"&amp;$A76)="N/A",0,RTD("tos.rtd",,$A$2,"."&amp;I$43&amp;I$1&amp;"P"&amp;$A76))</f>
        <v>-1037</v>
      </c>
      <c r="J76" s="91">
        <f ca="1">IF(RTD("tos.rtd",,$A$2,"."&amp;J$43&amp;J$1&amp;"C"&amp;$A76)="N/A",0,RTD("tos.rtd",,$A$2,"."&amp;J$43&amp;J$1&amp;"C"&amp;$A76))-IF(RTD("tos.rtd",,$A$2,"."&amp;J$43&amp;J$1&amp;"P"&amp;$A76)="N/A",0,RTD("tos.rtd",,$A$2,"."&amp;J$43&amp;J$1&amp;"P"&amp;$A76))</f>
        <v>-52</v>
      </c>
      <c r="K76" s="91">
        <f ca="1">IF(RTD("tos.rtd",,$A$2,"."&amp;K$43&amp;K$1&amp;"C"&amp;$A76)="N/A",0,RTD("tos.rtd",,$A$2,"."&amp;K$43&amp;K$1&amp;"C"&amp;$A76))-IF(RTD("tos.rtd",,$A$2,"."&amp;K$43&amp;K$1&amp;"P"&amp;$A76)="N/A",0,RTD("tos.rtd",,$A$2,"."&amp;K$43&amp;K$1&amp;"P"&amp;$A76))</f>
        <v>0</v>
      </c>
      <c r="L76" s="91">
        <f ca="1">IF(RTD("tos.rtd",,$A$2,"."&amp;L$43&amp;L$1&amp;"C"&amp;$A76)="N/A",0,RTD("tos.rtd",,$A$2,"."&amp;L$43&amp;L$1&amp;"C"&amp;$A76))-IF(RTD("tos.rtd",,$A$2,"."&amp;L$43&amp;L$1&amp;"P"&amp;$A76)="N/A",0,RTD("tos.rtd",,$A$2,"."&amp;L$43&amp;L$1&amp;"P"&amp;$A76))</f>
        <v>-169</v>
      </c>
      <c r="M76" s="91">
        <f ca="1">IF(RTD("tos.rtd",,$A$2,"."&amp;M$43&amp;M$1&amp;"C"&amp;$A76)="N/A",0,RTD("tos.rtd",,$A$2,"."&amp;M$43&amp;M$1&amp;"C"&amp;$A76))-IF(RTD("tos.rtd",,$A$2,"."&amp;M$43&amp;M$1&amp;"P"&amp;$A76)="N/A",0,RTD("tos.rtd",,$A$2,"."&amp;M$43&amp;M$1&amp;"P"&amp;$A76))</f>
        <v>0</v>
      </c>
      <c r="N76" s="91">
        <f ca="1">IF(RTD("tos.rtd",,$A$2,"."&amp;N$43&amp;N$1&amp;"C"&amp;$A76)="N/A",0,RTD("tos.rtd",,$A$2,"."&amp;N$43&amp;N$1&amp;"C"&amp;$A76))-IF(RTD("tos.rtd",,$A$2,"."&amp;N$43&amp;N$1&amp;"P"&amp;$A76)="N/A",0,RTD("tos.rtd",,$A$2,"."&amp;N$43&amp;N$1&amp;"P"&amp;$A76))</f>
        <v>38</v>
      </c>
      <c r="O76" s="91">
        <f ca="1">IF(RTD("tos.rtd",,$A$2,"."&amp;O$43&amp;O$1&amp;"C"&amp;$A76)="N/A",0,RTD("tos.rtd",,$A$2,"."&amp;O$43&amp;O$1&amp;"C"&amp;$A76))-IF(RTD("tos.rtd",,$A$2,"."&amp;O$43&amp;O$1&amp;"P"&amp;$A76)="N/A",0,RTD("tos.rtd",,$A$2,"."&amp;O$43&amp;O$1&amp;"P"&amp;$A76))</f>
        <v>0</v>
      </c>
      <c r="P76" s="91">
        <f ca="1">IF(RTD("tos.rtd",,$A$2,"."&amp;P$43&amp;P$1&amp;"C"&amp;$A76)="N/A",0,RTD("tos.rtd",,$A$2,"."&amp;P$43&amp;P$1&amp;"C"&amp;$A76))-IF(RTD("tos.rtd",,$A$2,"."&amp;P$43&amp;P$1&amp;"P"&amp;$A76)="N/A",0,RTD("tos.rtd",,$A$2,"."&amp;P$43&amp;P$1&amp;"P"&amp;$A76))</f>
        <v>0</v>
      </c>
      <c r="Q76" s="91">
        <f ca="1">IF(RTD("tos.rtd",,$A$2,"."&amp;Q$43&amp;Q$1&amp;"C"&amp;$A76)="N/A",0,RTD("tos.rtd",,$A$2,"."&amp;Q$43&amp;Q$1&amp;"C"&amp;$A76))-IF(RTD("tos.rtd",,$A$2,"."&amp;Q$43&amp;Q$1&amp;"P"&amp;$A76)="N/A",0,RTD("tos.rtd",,$A$2,"."&amp;Q$43&amp;Q$1&amp;"P"&amp;$A76))</f>
        <v>0</v>
      </c>
      <c r="R76" s="91">
        <f ca="1">IF(RTD("tos.rtd",,$A$2,"."&amp;R$43&amp;R$1&amp;"C"&amp;$A76)="N/A",0,RTD("tos.rtd",,$A$2,"."&amp;R$43&amp;R$1&amp;"C"&amp;$A76))-IF(RTD("tos.rtd",,$A$2,"."&amp;R$43&amp;R$1&amp;"P"&amp;$A76)="N/A",0,RTD("tos.rtd",,$A$2,"."&amp;R$43&amp;R$1&amp;"P"&amp;$A76))</f>
        <v>-11</v>
      </c>
      <c r="S76" s="91">
        <f ca="1">IF(RTD("tos.rtd",,$A$2,"."&amp;S$43&amp;S$1&amp;"C"&amp;$A76)="N/A",0,RTD("tos.rtd",,$A$2,"."&amp;S$43&amp;S$1&amp;"C"&amp;$A76))-IF(RTD("tos.rtd",,$A$2,"."&amp;S$43&amp;S$1&amp;"P"&amp;$A76)="N/A",0,RTD("tos.rtd",,$A$2,"."&amp;S$43&amp;S$1&amp;"P"&amp;$A76))</f>
        <v>0</v>
      </c>
      <c r="T76" s="91">
        <f ca="1">IF(RTD("tos.rtd",,$A$2,"."&amp;T$43&amp;T$1&amp;"C"&amp;$A76)="N/A",0,RTD("tos.rtd",,$A$2,"."&amp;T$43&amp;T$1&amp;"C"&amp;$A76))-IF(RTD("tos.rtd",,$A$2,"."&amp;T$43&amp;T$1&amp;"P"&amp;$A76)="N/A",0,RTD("tos.rtd",,$A$2,"."&amp;T$43&amp;T$1&amp;"P"&amp;$A76))</f>
        <v>0</v>
      </c>
      <c r="U76" s="91">
        <f ca="1">IF(RTD("tos.rtd",,$A$2,"."&amp;U$43&amp;U$1&amp;"C"&amp;$A76)="N/A",0,RTD("tos.rtd",,$A$2,"."&amp;U$43&amp;U$1&amp;"C"&amp;$A76))-IF(RTD("tos.rtd",,$A$2,"."&amp;U$43&amp;U$1&amp;"P"&amp;$A76)="N/A",0,RTD("tos.rtd",,$A$2,"."&amp;U$43&amp;U$1&amp;"P"&amp;$A76))</f>
        <v>0</v>
      </c>
      <c r="V76" s="91">
        <f ca="1">IF(RTD("tos.rtd",,$A$2,"."&amp;V$43&amp;V$1&amp;"C"&amp;$A76)="N/A",0,RTD("tos.rtd",,$A$2,"."&amp;V$43&amp;V$1&amp;"C"&amp;$A76))-IF(RTD("tos.rtd",,$A$2,"."&amp;V$43&amp;V$1&amp;"P"&amp;$A76)="N/A",0,RTD("tos.rtd",,$A$2,"."&amp;V$43&amp;V$1&amp;"P"&amp;$A76))</f>
        <v>0</v>
      </c>
      <c r="W76" s="91">
        <f ca="1">IF(RTD("tos.rtd",,$A$2,"."&amp;W$43&amp;W$1&amp;"C"&amp;$A76)="N/A",0,RTD("tos.rtd",,$A$2,"."&amp;W$43&amp;W$1&amp;"C"&amp;$A76))-IF(RTD("tos.rtd",,$A$2,"."&amp;W$43&amp;W$1&amp;"P"&amp;$A76)="N/A",0,RTD("tos.rtd",,$A$2,"."&amp;W$43&amp;W$1&amp;"P"&amp;$A76))</f>
        <v>0</v>
      </c>
      <c r="X76" s="91">
        <f ca="1">IF(RTD("tos.rtd",,$A$2,"."&amp;X$43&amp;X$1&amp;"C"&amp;$A76)="N/A",0,RTD("tos.rtd",,$A$2,"."&amp;X$43&amp;X$1&amp;"C"&amp;$A76))-IF(RTD("tos.rtd",,$A$2,"."&amp;X$43&amp;X$1&amp;"P"&amp;$A76)="N/A",0,RTD("tos.rtd",,$A$2,"."&amp;X$43&amp;X$1&amp;"P"&amp;$A76))</f>
        <v>0</v>
      </c>
      <c r="Y76" s="98">
        <f t="shared" ca="1" si="7"/>
        <v>-1168</v>
      </c>
    </row>
    <row r="77" spans="1:25" x14ac:dyDescent="0.25">
      <c r="A77" s="93">
        <f>+Hoja1!A76</f>
        <v>491</v>
      </c>
      <c r="B77" s="91">
        <f ca="1">IF(RTD("tos.rtd",,$A$2,"."&amp;B$43&amp;B$1&amp;"C"&amp;$A77)="N/A",0,RTD("tos.rtd",,$A$2,"."&amp;B$43&amp;B$1&amp;"C"&amp;$A77))-IF(RTD("tos.rtd",,$A$2,"."&amp;B$43&amp;B$1&amp;"P"&amp;$A77)="N/A",0,RTD("tos.rtd",,$A$2,"."&amp;B$43&amp;B$1&amp;"P"&amp;$A77))</f>
        <v>0</v>
      </c>
      <c r="C77" s="91">
        <f ca="1">IF(RTD("tos.rtd",,$A$2,"."&amp;C$43&amp;C$1&amp;"C"&amp;$A77)="N/A",0,RTD("tos.rtd",,$A$2,"."&amp;C$43&amp;C$1&amp;"C"&amp;$A77))-IF(RTD("tos.rtd",,$A$2,"."&amp;C$43&amp;C$1&amp;"P"&amp;$A77)="N/A",0,RTD("tos.rtd",,$A$2,"."&amp;C$43&amp;C$1&amp;"P"&amp;$A77))</f>
        <v>0</v>
      </c>
      <c r="D77" s="91">
        <f ca="1">IF(RTD("tos.rtd",,$A$2,"."&amp;D$43&amp;D$1&amp;"C"&amp;$A77)="N/A",0,RTD("tos.rtd",,$A$2,"."&amp;D$43&amp;D$1&amp;"C"&amp;$A77))-IF(RTD("tos.rtd",,$A$2,"."&amp;D$43&amp;D$1&amp;"P"&amp;$A77)="N/A",0,RTD("tos.rtd",,$A$2,"."&amp;D$43&amp;D$1&amp;"P"&amp;$A77))</f>
        <v>0</v>
      </c>
      <c r="E77" s="91">
        <f ca="1">IF(RTD("tos.rtd",,$A$2,"."&amp;E$43&amp;E$1&amp;"C"&amp;$A77)="N/A",0,RTD("tos.rtd",,$A$2,"."&amp;E$43&amp;E$1&amp;"C"&amp;$A77))-IF(RTD("tos.rtd",,$A$2,"."&amp;E$43&amp;E$1&amp;"P"&amp;$A77)="N/A",0,RTD("tos.rtd",,$A$2,"."&amp;E$43&amp;E$1&amp;"P"&amp;$A77))</f>
        <v>0</v>
      </c>
      <c r="F77" s="91">
        <f ca="1">IF(RTD("tos.rtd",,$A$2,"."&amp;F$43&amp;F$1&amp;"C"&amp;$A77)="N/A",0,RTD("tos.rtd",,$A$2,"."&amp;F$43&amp;F$1&amp;"C"&amp;$A77))-IF(RTD("tos.rtd",,$A$2,"."&amp;F$43&amp;F$1&amp;"P"&amp;$A77)="N/A",0,RTD("tos.rtd",,$A$2,"."&amp;F$43&amp;F$1&amp;"P"&amp;$A77))</f>
        <v>0</v>
      </c>
      <c r="G77" s="91">
        <f ca="1">IF(RTD("tos.rtd",,$A$2,"."&amp;G$43&amp;G$1&amp;"C"&amp;$A77)="N/A",0,RTD("tos.rtd",,$A$2,"."&amp;G$43&amp;G$1&amp;"C"&amp;$A77))-IF(RTD("tos.rtd",,$A$2,"."&amp;G$43&amp;G$1&amp;"P"&amp;$A77)="N/A",0,RTD("tos.rtd",,$A$2,"."&amp;G$43&amp;G$1&amp;"P"&amp;$A77))</f>
        <v>0</v>
      </c>
      <c r="H77" s="91">
        <f ca="1">IF(RTD("tos.rtd",,$A$2,"."&amp;H$43&amp;H$1&amp;"C"&amp;$A77)="N/A",0,RTD("tos.rtd",,$A$2,"."&amp;H$43&amp;H$1&amp;"C"&amp;$A77))-IF(RTD("tos.rtd",,$A$2,"."&amp;H$43&amp;H$1&amp;"P"&amp;$A77)="N/A",0,RTD("tos.rtd",,$A$2,"."&amp;H$43&amp;H$1&amp;"P"&amp;$A77))</f>
        <v>252</v>
      </c>
      <c r="I77" s="91">
        <f ca="1">IF(RTD("tos.rtd",,$A$2,"."&amp;I$43&amp;I$1&amp;"C"&amp;$A77)="N/A",0,RTD("tos.rtd",,$A$2,"."&amp;I$43&amp;I$1&amp;"C"&amp;$A77))-IF(RTD("tos.rtd",,$A$2,"."&amp;I$43&amp;I$1&amp;"P"&amp;$A77)="N/A",0,RTD("tos.rtd",,$A$2,"."&amp;I$43&amp;I$1&amp;"P"&amp;$A77))</f>
        <v>-213</v>
      </c>
      <c r="J77" s="91">
        <f ca="1">IF(RTD("tos.rtd",,$A$2,"."&amp;J$43&amp;J$1&amp;"C"&amp;$A77)="N/A",0,RTD("tos.rtd",,$A$2,"."&amp;J$43&amp;J$1&amp;"C"&amp;$A77))-IF(RTD("tos.rtd",,$A$2,"."&amp;J$43&amp;J$1&amp;"P"&amp;$A77)="N/A",0,RTD("tos.rtd",,$A$2,"."&amp;J$43&amp;J$1&amp;"P"&amp;$A77))</f>
        <v>-21</v>
      </c>
      <c r="K77" s="91">
        <f ca="1">IF(RTD("tos.rtd",,$A$2,"."&amp;K$43&amp;K$1&amp;"C"&amp;$A77)="N/A",0,RTD("tos.rtd",,$A$2,"."&amp;K$43&amp;K$1&amp;"C"&amp;$A77))-IF(RTD("tos.rtd",,$A$2,"."&amp;K$43&amp;K$1&amp;"P"&amp;$A77)="N/A",0,RTD("tos.rtd",,$A$2,"."&amp;K$43&amp;K$1&amp;"P"&amp;$A77))</f>
        <v>0</v>
      </c>
      <c r="L77" s="91">
        <f ca="1">IF(RTD("tos.rtd",,$A$2,"."&amp;L$43&amp;L$1&amp;"C"&amp;$A77)="N/A",0,RTD("tos.rtd",,$A$2,"."&amp;L$43&amp;L$1&amp;"C"&amp;$A77))-IF(RTD("tos.rtd",,$A$2,"."&amp;L$43&amp;L$1&amp;"P"&amp;$A77)="N/A",0,RTD("tos.rtd",,$A$2,"."&amp;L$43&amp;L$1&amp;"P"&amp;$A77))</f>
        <v>-237</v>
      </c>
      <c r="M77" s="91">
        <f ca="1">IF(RTD("tos.rtd",,$A$2,"."&amp;M$43&amp;M$1&amp;"C"&amp;$A77)="N/A",0,RTD("tos.rtd",,$A$2,"."&amp;M$43&amp;M$1&amp;"C"&amp;$A77))-IF(RTD("tos.rtd",,$A$2,"."&amp;M$43&amp;M$1&amp;"P"&amp;$A77)="N/A",0,RTD("tos.rtd",,$A$2,"."&amp;M$43&amp;M$1&amp;"P"&amp;$A77))</f>
        <v>0</v>
      </c>
      <c r="N77" s="91">
        <f ca="1">IF(RTD("tos.rtd",,$A$2,"."&amp;N$43&amp;N$1&amp;"C"&amp;$A77)="N/A",0,RTD("tos.rtd",,$A$2,"."&amp;N$43&amp;N$1&amp;"C"&amp;$A77))-IF(RTD("tos.rtd",,$A$2,"."&amp;N$43&amp;N$1&amp;"P"&amp;$A77)="N/A",0,RTD("tos.rtd",,$A$2,"."&amp;N$43&amp;N$1&amp;"P"&amp;$A77))</f>
        <v>-360</v>
      </c>
      <c r="O77" s="91">
        <f ca="1">IF(RTD("tos.rtd",,$A$2,"."&amp;O$43&amp;O$1&amp;"C"&amp;$A77)="N/A",0,RTD("tos.rtd",,$A$2,"."&amp;O$43&amp;O$1&amp;"C"&amp;$A77))-IF(RTD("tos.rtd",,$A$2,"."&amp;O$43&amp;O$1&amp;"P"&amp;$A77)="N/A",0,RTD("tos.rtd",,$A$2,"."&amp;O$43&amp;O$1&amp;"P"&amp;$A77))</f>
        <v>0</v>
      </c>
      <c r="P77" s="91">
        <f ca="1">IF(RTD("tos.rtd",,$A$2,"."&amp;P$43&amp;P$1&amp;"C"&amp;$A77)="N/A",0,RTD("tos.rtd",,$A$2,"."&amp;P$43&amp;P$1&amp;"C"&amp;$A77))-IF(RTD("tos.rtd",,$A$2,"."&amp;P$43&amp;P$1&amp;"P"&amp;$A77)="N/A",0,RTD("tos.rtd",,$A$2,"."&amp;P$43&amp;P$1&amp;"P"&amp;$A77))</f>
        <v>0</v>
      </c>
      <c r="Q77" s="91">
        <f ca="1">IF(RTD("tos.rtd",,$A$2,"."&amp;Q$43&amp;Q$1&amp;"C"&amp;$A77)="N/A",0,RTD("tos.rtd",,$A$2,"."&amp;Q$43&amp;Q$1&amp;"C"&amp;$A77))-IF(RTD("tos.rtd",,$A$2,"."&amp;Q$43&amp;Q$1&amp;"P"&amp;$A77)="N/A",0,RTD("tos.rtd",,$A$2,"."&amp;Q$43&amp;Q$1&amp;"P"&amp;$A77))</f>
        <v>0</v>
      </c>
      <c r="R77" s="91">
        <f ca="1">IF(RTD("tos.rtd",,$A$2,"."&amp;R$43&amp;R$1&amp;"C"&amp;$A77)="N/A",0,RTD("tos.rtd",,$A$2,"."&amp;R$43&amp;R$1&amp;"C"&amp;$A77))-IF(RTD("tos.rtd",,$A$2,"."&amp;R$43&amp;R$1&amp;"P"&amp;$A77)="N/A",0,RTD("tos.rtd",,$A$2,"."&amp;R$43&amp;R$1&amp;"P"&amp;$A77))</f>
        <v>2</v>
      </c>
      <c r="S77" s="91">
        <f ca="1">IF(RTD("tos.rtd",,$A$2,"."&amp;S$43&amp;S$1&amp;"C"&amp;$A77)="N/A",0,RTD("tos.rtd",,$A$2,"."&amp;S$43&amp;S$1&amp;"C"&amp;$A77))-IF(RTD("tos.rtd",,$A$2,"."&amp;S$43&amp;S$1&amp;"P"&amp;$A77)="N/A",0,RTD("tos.rtd",,$A$2,"."&amp;S$43&amp;S$1&amp;"P"&amp;$A77))</f>
        <v>0</v>
      </c>
      <c r="T77" s="91">
        <f ca="1">IF(RTD("tos.rtd",,$A$2,"."&amp;T$43&amp;T$1&amp;"C"&amp;$A77)="N/A",0,RTD("tos.rtd",,$A$2,"."&amp;T$43&amp;T$1&amp;"C"&amp;$A77))-IF(RTD("tos.rtd",,$A$2,"."&amp;T$43&amp;T$1&amp;"P"&amp;$A77)="N/A",0,RTD("tos.rtd",,$A$2,"."&amp;T$43&amp;T$1&amp;"P"&amp;$A77))</f>
        <v>0</v>
      </c>
      <c r="U77" s="91">
        <f ca="1">IF(RTD("tos.rtd",,$A$2,"."&amp;U$43&amp;U$1&amp;"C"&amp;$A77)="N/A",0,RTD("tos.rtd",,$A$2,"."&amp;U$43&amp;U$1&amp;"C"&amp;$A77))-IF(RTD("tos.rtd",,$A$2,"."&amp;U$43&amp;U$1&amp;"P"&amp;$A77)="N/A",0,RTD("tos.rtd",,$A$2,"."&amp;U$43&amp;U$1&amp;"P"&amp;$A77))</f>
        <v>0</v>
      </c>
      <c r="V77" s="91">
        <f ca="1">IF(RTD("tos.rtd",,$A$2,"."&amp;V$43&amp;V$1&amp;"C"&amp;$A77)="N/A",0,RTD("tos.rtd",,$A$2,"."&amp;V$43&amp;V$1&amp;"C"&amp;$A77))-IF(RTD("tos.rtd",,$A$2,"."&amp;V$43&amp;V$1&amp;"P"&amp;$A77)="N/A",0,RTD("tos.rtd",,$A$2,"."&amp;V$43&amp;V$1&amp;"P"&amp;$A77))</f>
        <v>0</v>
      </c>
      <c r="W77" s="91">
        <f ca="1">IF(RTD("tos.rtd",,$A$2,"."&amp;W$43&amp;W$1&amp;"C"&amp;$A77)="N/A",0,RTD("tos.rtd",,$A$2,"."&amp;W$43&amp;W$1&amp;"C"&amp;$A77))-IF(RTD("tos.rtd",,$A$2,"."&amp;W$43&amp;W$1&amp;"P"&amp;$A77)="N/A",0,RTD("tos.rtd",,$A$2,"."&amp;W$43&amp;W$1&amp;"P"&amp;$A77))</f>
        <v>0</v>
      </c>
      <c r="X77" s="91">
        <f ca="1">IF(RTD("tos.rtd",,$A$2,"."&amp;X$43&amp;X$1&amp;"C"&amp;$A77)="N/A",0,RTD("tos.rtd",,$A$2,"."&amp;X$43&amp;X$1&amp;"C"&amp;$A77))-IF(RTD("tos.rtd",,$A$2,"."&amp;X$43&amp;X$1&amp;"P"&amp;$A77)="N/A",0,RTD("tos.rtd",,$A$2,"."&amp;X$43&amp;X$1&amp;"P"&amp;$A77))</f>
        <v>-3</v>
      </c>
      <c r="Y77" s="98">
        <f t="shared" ca="1" si="7"/>
        <v>-580</v>
      </c>
    </row>
    <row r="78" spans="1:25" x14ac:dyDescent="0.25">
      <c r="A78" s="93">
        <f>+Hoja1!A77</f>
        <v>490</v>
      </c>
      <c r="B78" s="91">
        <f ca="1">IF(RTD("tos.rtd",,$A$2,"."&amp;B$43&amp;B$1&amp;"C"&amp;$A78)="N/A",0,RTD("tos.rtd",,$A$2,"."&amp;B$43&amp;B$1&amp;"C"&amp;$A78))-IF(RTD("tos.rtd",,$A$2,"."&amp;B$43&amp;B$1&amp;"P"&amp;$A78)="N/A",0,RTD("tos.rtd",,$A$2,"."&amp;B$43&amp;B$1&amp;"P"&amp;$A78))</f>
        <v>0</v>
      </c>
      <c r="C78" s="91">
        <f ca="1">IF(RTD("tos.rtd",,$A$2,"."&amp;C$43&amp;C$1&amp;"C"&amp;$A78)="N/A",0,RTD("tos.rtd",,$A$2,"."&amp;C$43&amp;C$1&amp;"C"&amp;$A78))-IF(RTD("tos.rtd",,$A$2,"."&amp;C$43&amp;C$1&amp;"P"&amp;$A78)="N/A",0,RTD("tos.rtd",,$A$2,"."&amp;C$43&amp;C$1&amp;"P"&amp;$A78))</f>
        <v>0</v>
      </c>
      <c r="D78" s="91">
        <f ca="1">IF(RTD("tos.rtd",,$A$2,"."&amp;D$43&amp;D$1&amp;"C"&amp;$A78)="N/A",0,RTD("tos.rtd",,$A$2,"."&amp;D$43&amp;D$1&amp;"C"&amp;$A78))-IF(RTD("tos.rtd",,$A$2,"."&amp;D$43&amp;D$1&amp;"P"&amp;$A78)="N/A",0,RTD("tos.rtd",,$A$2,"."&amp;D$43&amp;D$1&amp;"P"&amp;$A78))</f>
        <v>0</v>
      </c>
      <c r="E78" s="91">
        <f ca="1">IF(RTD("tos.rtd",,$A$2,"."&amp;E$43&amp;E$1&amp;"C"&amp;$A78)="N/A",0,RTD("tos.rtd",,$A$2,"."&amp;E$43&amp;E$1&amp;"C"&amp;$A78))-IF(RTD("tos.rtd",,$A$2,"."&amp;E$43&amp;E$1&amp;"P"&amp;$A78)="N/A",0,RTD("tos.rtd",,$A$2,"."&amp;E$43&amp;E$1&amp;"P"&amp;$A78))</f>
        <v>0</v>
      </c>
      <c r="F78" s="91">
        <f ca="1">IF(RTD("tos.rtd",,$A$2,"."&amp;F$43&amp;F$1&amp;"C"&amp;$A78)="N/A",0,RTD("tos.rtd",,$A$2,"."&amp;F$43&amp;F$1&amp;"C"&amp;$A78))-IF(RTD("tos.rtd",,$A$2,"."&amp;F$43&amp;F$1&amp;"P"&amp;$A78)="N/A",0,RTD("tos.rtd",,$A$2,"."&amp;F$43&amp;F$1&amp;"P"&amp;$A78))</f>
        <v>0</v>
      </c>
      <c r="G78" s="91">
        <f ca="1">IF(RTD("tos.rtd",,$A$2,"."&amp;G$43&amp;G$1&amp;"C"&amp;$A78)="N/A",0,RTD("tos.rtd",,$A$2,"."&amp;G$43&amp;G$1&amp;"C"&amp;$A78))-IF(RTD("tos.rtd",,$A$2,"."&amp;G$43&amp;G$1&amp;"P"&amp;$A78)="N/A",0,RTD("tos.rtd",,$A$2,"."&amp;G$43&amp;G$1&amp;"P"&amp;$A78))</f>
        <v>0</v>
      </c>
      <c r="H78" s="91">
        <f ca="1">IF(RTD("tos.rtd",,$A$2,"."&amp;H$43&amp;H$1&amp;"C"&amp;$A78)="N/A",0,RTD("tos.rtd",,$A$2,"."&amp;H$43&amp;H$1&amp;"C"&amp;$A78))-IF(RTD("tos.rtd",,$A$2,"."&amp;H$43&amp;H$1&amp;"P"&amp;$A78)="N/A",0,RTD("tos.rtd",,$A$2,"."&amp;H$43&amp;H$1&amp;"P"&amp;$A78))</f>
        <v>-1555</v>
      </c>
      <c r="I78" s="91">
        <f ca="1">IF(RTD("tos.rtd",,$A$2,"."&amp;I$43&amp;I$1&amp;"C"&amp;$A78)="N/A",0,RTD("tos.rtd",,$A$2,"."&amp;I$43&amp;I$1&amp;"C"&amp;$A78))-IF(RTD("tos.rtd",,$A$2,"."&amp;I$43&amp;I$1&amp;"P"&amp;$A78)="N/A",0,RTD("tos.rtd",,$A$2,"."&amp;I$43&amp;I$1&amp;"P"&amp;$A78))</f>
        <v>-13717</v>
      </c>
      <c r="J78" s="91">
        <f ca="1">IF(RTD("tos.rtd",,$A$2,"."&amp;J$43&amp;J$1&amp;"C"&amp;$A78)="N/A",0,RTD("tos.rtd",,$A$2,"."&amp;J$43&amp;J$1&amp;"C"&amp;$A78))-IF(RTD("tos.rtd",,$A$2,"."&amp;J$43&amp;J$1&amp;"P"&amp;$A78)="N/A",0,RTD("tos.rtd",,$A$2,"."&amp;J$43&amp;J$1&amp;"P"&amp;$A78))</f>
        <v>-916</v>
      </c>
      <c r="K78" s="91">
        <f ca="1">IF(RTD("tos.rtd",,$A$2,"."&amp;K$43&amp;K$1&amp;"C"&amp;$A78)="N/A",0,RTD("tos.rtd",,$A$2,"."&amp;K$43&amp;K$1&amp;"C"&amp;$A78))-IF(RTD("tos.rtd",,$A$2,"."&amp;K$43&amp;K$1&amp;"P"&amp;$A78)="N/A",0,RTD("tos.rtd",,$A$2,"."&amp;K$43&amp;K$1&amp;"P"&amp;$A78))</f>
        <v>0</v>
      </c>
      <c r="L78" s="91">
        <f ca="1">IF(RTD("tos.rtd",,$A$2,"."&amp;L$43&amp;L$1&amp;"C"&amp;$A78)="N/A",0,RTD("tos.rtd",,$A$2,"."&amp;L$43&amp;L$1&amp;"C"&amp;$A78))-IF(RTD("tos.rtd",,$A$2,"."&amp;L$43&amp;L$1&amp;"P"&amp;$A78)="N/A",0,RTD("tos.rtd",,$A$2,"."&amp;L$43&amp;L$1&amp;"P"&amp;$A78))</f>
        <v>-155</v>
      </c>
      <c r="M78" s="91">
        <f ca="1">IF(RTD("tos.rtd",,$A$2,"."&amp;M$43&amp;M$1&amp;"C"&amp;$A78)="N/A",0,RTD("tos.rtd",,$A$2,"."&amp;M$43&amp;M$1&amp;"C"&amp;$A78))-IF(RTD("tos.rtd",,$A$2,"."&amp;M$43&amp;M$1&amp;"P"&amp;$A78)="N/A",0,RTD("tos.rtd",,$A$2,"."&amp;M$43&amp;M$1&amp;"P"&amp;$A78))</f>
        <v>-553</v>
      </c>
      <c r="N78" s="91">
        <f ca="1">IF(RTD("tos.rtd",,$A$2,"."&amp;N$43&amp;N$1&amp;"C"&amp;$A78)="N/A",0,RTD("tos.rtd",,$A$2,"."&amp;N$43&amp;N$1&amp;"C"&amp;$A78))-IF(RTD("tos.rtd",,$A$2,"."&amp;N$43&amp;N$1&amp;"P"&amp;$A78)="N/A",0,RTD("tos.rtd",,$A$2,"."&amp;N$43&amp;N$1&amp;"P"&amp;$A78))</f>
        <v>168</v>
      </c>
      <c r="O78" s="91">
        <f ca="1">IF(RTD("tos.rtd",,$A$2,"."&amp;O$43&amp;O$1&amp;"C"&amp;$A78)="N/A",0,RTD("tos.rtd",,$A$2,"."&amp;O$43&amp;O$1&amp;"C"&amp;$A78))-IF(RTD("tos.rtd",,$A$2,"."&amp;O$43&amp;O$1&amp;"P"&amp;$A78)="N/A",0,RTD("tos.rtd",,$A$2,"."&amp;O$43&amp;O$1&amp;"P"&amp;$A78))</f>
        <v>-3049</v>
      </c>
      <c r="P78" s="91">
        <f ca="1">IF(RTD("tos.rtd",,$A$2,"."&amp;P$43&amp;P$1&amp;"C"&amp;$A78)="N/A",0,RTD("tos.rtd",,$A$2,"."&amp;P$43&amp;P$1&amp;"C"&amp;$A78))-IF(RTD("tos.rtd",,$A$2,"."&amp;P$43&amp;P$1&amp;"P"&amp;$A78)="N/A",0,RTD("tos.rtd",,$A$2,"."&amp;P$43&amp;P$1&amp;"P"&amp;$A78))</f>
        <v>-50</v>
      </c>
      <c r="Q78" s="91">
        <f ca="1">IF(RTD("tos.rtd",,$A$2,"."&amp;Q$43&amp;Q$1&amp;"C"&amp;$A78)="N/A",0,RTD("tos.rtd",,$A$2,"."&amp;Q$43&amp;Q$1&amp;"C"&amp;$A78))-IF(RTD("tos.rtd",,$A$2,"."&amp;Q$43&amp;Q$1&amp;"P"&amp;$A78)="N/A",0,RTD("tos.rtd",,$A$2,"."&amp;Q$43&amp;Q$1&amp;"P"&amp;$A78))</f>
        <v>-1492</v>
      </c>
      <c r="R78" s="91">
        <f ca="1">IF(RTD("tos.rtd",,$A$2,"."&amp;R$43&amp;R$1&amp;"C"&amp;$A78)="N/A",0,RTD("tos.rtd",,$A$2,"."&amp;R$43&amp;R$1&amp;"C"&amp;$A78))-IF(RTD("tos.rtd",,$A$2,"."&amp;R$43&amp;R$1&amp;"P"&amp;$A78)="N/A",0,RTD("tos.rtd",,$A$2,"."&amp;R$43&amp;R$1&amp;"P"&amp;$A78))</f>
        <v>-164</v>
      </c>
      <c r="S78" s="91">
        <f ca="1">IF(RTD("tos.rtd",,$A$2,"."&amp;S$43&amp;S$1&amp;"C"&amp;$A78)="N/A",0,RTD("tos.rtd",,$A$2,"."&amp;S$43&amp;S$1&amp;"C"&amp;$A78))-IF(RTD("tos.rtd",,$A$2,"."&amp;S$43&amp;S$1&amp;"P"&amp;$A78)="N/A",0,RTD("tos.rtd",,$A$2,"."&amp;S$43&amp;S$1&amp;"P"&amp;$A78))</f>
        <v>0</v>
      </c>
      <c r="T78" s="91">
        <f ca="1">IF(RTD("tos.rtd",,$A$2,"."&amp;T$43&amp;T$1&amp;"C"&amp;$A78)="N/A",0,RTD("tos.rtd",,$A$2,"."&amp;T$43&amp;T$1&amp;"C"&amp;$A78))-IF(RTD("tos.rtd",,$A$2,"."&amp;T$43&amp;T$1&amp;"P"&amp;$A78)="N/A",0,RTD("tos.rtd",,$A$2,"."&amp;T$43&amp;T$1&amp;"P"&amp;$A78))</f>
        <v>0</v>
      </c>
      <c r="U78" s="91">
        <f ca="1">IF(RTD("tos.rtd",,$A$2,"."&amp;U$43&amp;U$1&amp;"C"&amp;$A78)="N/A",0,RTD("tos.rtd",,$A$2,"."&amp;U$43&amp;U$1&amp;"C"&amp;$A78))-IF(RTD("tos.rtd",,$A$2,"."&amp;U$43&amp;U$1&amp;"P"&amp;$A78)="N/A",0,RTD("tos.rtd",,$A$2,"."&amp;U$43&amp;U$1&amp;"P"&amp;$A78))</f>
        <v>6</v>
      </c>
      <c r="V78" s="91">
        <f ca="1">IF(RTD("tos.rtd",,$A$2,"."&amp;V$43&amp;V$1&amp;"C"&amp;$A78)="N/A",0,RTD("tos.rtd",,$A$2,"."&amp;V$43&amp;V$1&amp;"C"&amp;$A78))-IF(RTD("tos.rtd",,$A$2,"."&amp;V$43&amp;V$1&amp;"P"&amp;$A78)="N/A",0,RTD("tos.rtd",,$A$2,"."&amp;V$43&amp;V$1&amp;"P"&amp;$A78))</f>
        <v>0</v>
      </c>
      <c r="W78" s="91">
        <f ca="1">IF(RTD("tos.rtd",,$A$2,"."&amp;W$43&amp;W$1&amp;"C"&amp;$A78)="N/A",0,RTD("tos.rtd",,$A$2,"."&amp;W$43&amp;W$1&amp;"C"&amp;$A78))-IF(RTD("tos.rtd",,$A$2,"."&amp;W$43&amp;W$1&amp;"P"&amp;$A78)="N/A",0,RTD("tos.rtd",,$A$2,"."&amp;W$43&amp;W$1&amp;"P"&amp;$A78))</f>
        <v>-17</v>
      </c>
      <c r="X78" s="91">
        <f ca="1">IF(RTD("tos.rtd",,$A$2,"."&amp;X$43&amp;X$1&amp;"C"&amp;$A78)="N/A",0,RTD("tos.rtd",,$A$2,"."&amp;X$43&amp;X$1&amp;"C"&amp;$A78))-IF(RTD("tos.rtd",,$A$2,"."&amp;X$43&amp;X$1&amp;"P"&amp;$A78)="N/A",0,RTD("tos.rtd",,$A$2,"."&amp;X$43&amp;X$1&amp;"P"&amp;$A78))</f>
        <v>53</v>
      </c>
      <c r="Y78" s="98">
        <f t="shared" ca="1" si="7"/>
        <v>-21441</v>
      </c>
    </row>
    <row r="79" spans="1:25" x14ac:dyDescent="0.25">
      <c r="A79" s="93">
        <f>+Hoja1!A78</f>
        <v>489</v>
      </c>
      <c r="B79" s="91">
        <f ca="1">IF(RTD("tos.rtd",,$A$2,"."&amp;B$43&amp;B$1&amp;"C"&amp;$A79)="N/A",0,RTD("tos.rtd",,$A$2,"."&amp;B$43&amp;B$1&amp;"C"&amp;$A79))-IF(RTD("tos.rtd",,$A$2,"."&amp;B$43&amp;B$1&amp;"P"&amp;$A79)="N/A",0,RTD("tos.rtd",,$A$2,"."&amp;B$43&amp;B$1&amp;"P"&amp;$A79))</f>
        <v>0</v>
      </c>
      <c r="C79" s="91">
        <f ca="1">IF(RTD("tos.rtd",,$A$2,"."&amp;C$43&amp;C$1&amp;"C"&amp;$A79)="N/A",0,RTD("tos.rtd",,$A$2,"."&amp;C$43&amp;C$1&amp;"C"&amp;$A79))-IF(RTD("tos.rtd",,$A$2,"."&amp;C$43&amp;C$1&amp;"P"&amp;$A79)="N/A",0,RTD("tos.rtd",,$A$2,"."&amp;C$43&amp;C$1&amp;"P"&amp;$A79))</f>
        <v>0</v>
      </c>
      <c r="D79" s="91">
        <f ca="1">IF(RTD("tos.rtd",,$A$2,"."&amp;D$43&amp;D$1&amp;"C"&amp;$A79)="N/A",0,RTD("tos.rtd",,$A$2,"."&amp;D$43&amp;D$1&amp;"C"&amp;$A79))-IF(RTD("tos.rtd",,$A$2,"."&amp;D$43&amp;D$1&amp;"P"&amp;$A79)="N/A",0,RTD("tos.rtd",,$A$2,"."&amp;D$43&amp;D$1&amp;"P"&amp;$A79))</f>
        <v>0</v>
      </c>
      <c r="E79" s="91">
        <f ca="1">IF(RTD("tos.rtd",,$A$2,"."&amp;E$43&amp;E$1&amp;"C"&amp;$A79)="N/A",0,RTD("tos.rtd",,$A$2,"."&amp;E$43&amp;E$1&amp;"C"&amp;$A79))-IF(RTD("tos.rtd",,$A$2,"."&amp;E$43&amp;E$1&amp;"P"&amp;$A79)="N/A",0,RTD("tos.rtd",,$A$2,"."&amp;E$43&amp;E$1&amp;"P"&amp;$A79))</f>
        <v>0</v>
      </c>
      <c r="F79" s="91">
        <f ca="1">IF(RTD("tos.rtd",,$A$2,"."&amp;F$43&amp;F$1&amp;"C"&amp;$A79)="N/A",0,RTD("tos.rtd",,$A$2,"."&amp;F$43&amp;F$1&amp;"C"&amp;$A79))-IF(RTD("tos.rtd",,$A$2,"."&amp;F$43&amp;F$1&amp;"P"&amp;$A79)="N/A",0,RTD("tos.rtd",,$A$2,"."&amp;F$43&amp;F$1&amp;"P"&amp;$A79))</f>
        <v>0</v>
      </c>
      <c r="G79" s="91">
        <f ca="1">IF(RTD("tos.rtd",,$A$2,"."&amp;G$43&amp;G$1&amp;"C"&amp;$A79)="N/A",0,RTD("tos.rtd",,$A$2,"."&amp;G$43&amp;G$1&amp;"C"&amp;$A79))-IF(RTD("tos.rtd",,$A$2,"."&amp;G$43&amp;G$1&amp;"P"&amp;$A79)="N/A",0,RTD("tos.rtd",,$A$2,"."&amp;G$43&amp;G$1&amp;"P"&amp;$A79))</f>
        <v>0</v>
      </c>
      <c r="H79" s="91">
        <f ca="1">IF(RTD("tos.rtd",,$A$2,"."&amp;H$43&amp;H$1&amp;"C"&amp;$A79)="N/A",0,RTD("tos.rtd",,$A$2,"."&amp;H$43&amp;H$1&amp;"C"&amp;$A79))-IF(RTD("tos.rtd",,$A$2,"."&amp;H$43&amp;H$1&amp;"P"&amp;$A79)="N/A",0,RTD("tos.rtd",,$A$2,"."&amp;H$43&amp;H$1&amp;"P"&amp;$A79))</f>
        <v>-111</v>
      </c>
      <c r="I79" s="91">
        <f ca="1">IF(RTD("tos.rtd",,$A$2,"."&amp;I$43&amp;I$1&amp;"C"&amp;$A79)="N/A",0,RTD("tos.rtd",,$A$2,"."&amp;I$43&amp;I$1&amp;"C"&amp;$A79))-IF(RTD("tos.rtd",,$A$2,"."&amp;I$43&amp;I$1&amp;"P"&amp;$A79)="N/A",0,RTD("tos.rtd",,$A$2,"."&amp;I$43&amp;I$1&amp;"P"&amp;$A79))</f>
        <v>-158</v>
      </c>
      <c r="J79" s="91">
        <f ca="1">IF(RTD("tos.rtd",,$A$2,"."&amp;J$43&amp;J$1&amp;"C"&amp;$A79)="N/A",0,RTD("tos.rtd",,$A$2,"."&amp;J$43&amp;J$1&amp;"C"&amp;$A79))-IF(RTD("tos.rtd",,$A$2,"."&amp;J$43&amp;J$1&amp;"P"&amp;$A79)="N/A",0,RTD("tos.rtd",,$A$2,"."&amp;J$43&amp;J$1&amp;"P"&amp;$A79))</f>
        <v>-54</v>
      </c>
      <c r="K79" s="91">
        <f ca="1">IF(RTD("tos.rtd",,$A$2,"."&amp;K$43&amp;K$1&amp;"C"&amp;$A79)="N/A",0,RTD("tos.rtd",,$A$2,"."&amp;K$43&amp;K$1&amp;"C"&amp;$A79))-IF(RTD("tos.rtd",,$A$2,"."&amp;K$43&amp;K$1&amp;"P"&amp;$A79)="N/A",0,RTD("tos.rtd",,$A$2,"."&amp;K$43&amp;K$1&amp;"P"&amp;$A79))</f>
        <v>0</v>
      </c>
      <c r="L79" s="91">
        <f ca="1">IF(RTD("tos.rtd",,$A$2,"."&amp;L$43&amp;L$1&amp;"C"&amp;$A79)="N/A",0,RTD("tos.rtd",,$A$2,"."&amp;L$43&amp;L$1&amp;"C"&amp;$A79))-IF(RTD("tos.rtd",,$A$2,"."&amp;L$43&amp;L$1&amp;"P"&amp;$A79)="N/A",0,RTD("tos.rtd",,$A$2,"."&amp;L$43&amp;L$1&amp;"P"&amp;$A79))</f>
        <v>115</v>
      </c>
      <c r="M79" s="91">
        <f ca="1">IF(RTD("tos.rtd",,$A$2,"."&amp;M$43&amp;M$1&amp;"C"&amp;$A79)="N/A",0,RTD("tos.rtd",,$A$2,"."&amp;M$43&amp;M$1&amp;"C"&amp;$A79))-IF(RTD("tos.rtd",,$A$2,"."&amp;M$43&amp;M$1&amp;"P"&amp;$A79)="N/A",0,RTD("tos.rtd",,$A$2,"."&amp;M$43&amp;M$1&amp;"P"&amp;$A79))</f>
        <v>0</v>
      </c>
      <c r="N79" s="91">
        <f ca="1">IF(RTD("tos.rtd",,$A$2,"."&amp;N$43&amp;N$1&amp;"C"&amp;$A79)="N/A",0,RTD("tos.rtd",,$A$2,"."&amp;N$43&amp;N$1&amp;"C"&amp;$A79))-IF(RTD("tos.rtd",,$A$2,"."&amp;N$43&amp;N$1&amp;"P"&amp;$A79)="N/A",0,RTD("tos.rtd",,$A$2,"."&amp;N$43&amp;N$1&amp;"P"&amp;$A79))</f>
        <v>-1</v>
      </c>
      <c r="O79" s="91">
        <f ca="1">IF(RTD("tos.rtd",,$A$2,"."&amp;O$43&amp;O$1&amp;"C"&amp;$A79)="N/A",0,RTD("tos.rtd",,$A$2,"."&amp;O$43&amp;O$1&amp;"C"&amp;$A79))-IF(RTD("tos.rtd",,$A$2,"."&amp;O$43&amp;O$1&amp;"P"&amp;$A79)="N/A",0,RTD("tos.rtd",,$A$2,"."&amp;O$43&amp;O$1&amp;"P"&amp;$A79))</f>
        <v>0</v>
      </c>
      <c r="P79" s="91">
        <f ca="1">IF(RTD("tos.rtd",,$A$2,"."&amp;P$43&amp;P$1&amp;"C"&amp;$A79)="N/A",0,RTD("tos.rtd",,$A$2,"."&amp;P$43&amp;P$1&amp;"C"&amp;$A79))-IF(RTD("tos.rtd",,$A$2,"."&amp;P$43&amp;P$1&amp;"P"&amp;$A79)="N/A",0,RTD("tos.rtd",,$A$2,"."&amp;P$43&amp;P$1&amp;"P"&amp;$A79))</f>
        <v>0</v>
      </c>
      <c r="Q79" s="91">
        <f ca="1">IF(RTD("tos.rtd",,$A$2,"."&amp;Q$43&amp;Q$1&amp;"C"&amp;$A79)="N/A",0,RTD("tos.rtd",,$A$2,"."&amp;Q$43&amp;Q$1&amp;"C"&amp;$A79))-IF(RTD("tos.rtd",,$A$2,"."&amp;Q$43&amp;Q$1&amp;"P"&amp;$A79)="N/A",0,RTD("tos.rtd",,$A$2,"."&amp;Q$43&amp;Q$1&amp;"P"&amp;$A79))</f>
        <v>0</v>
      </c>
      <c r="R79" s="91">
        <f ca="1">IF(RTD("tos.rtd",,$A$2,"."&amp;R$43&amp;R$1&amp;"C"&amp;$A79)="N/A",0,RTD("tos.rtd",,$A$2,"."&amp;R$43&amp;R$1&amp;"C"&amp;$A79))-IF(RTD("tos.rtd",,$A$2,"."&amp;R$43&amp;R$1&amp;"P"&amp;$A79)="N/A",0,RTD("tos.rtd",,$A$2,"."&amp;R$43&amp;R$1&amp;"P"&amp;$A79))</f>
        <v>0</v>
      </c>
      <c r="S79" s="91">
        <f ca="1">IF(RTD("tos.rtd",,$A$2,"."&amp;S$43&amp;S$1&amp;"C"&amp;$A79)="N/A",0,RTD("tos.rtd",,$A$2,"."&amp;S$43&amp;S$1&amp;"C"&amp;$A79))-IF(RTD("tos.rtd",,$A$2,"."&amp;S$43&amp;S$1&amp;"P"&amp;$A79)="N/A",0,RTD("tos.rtd",,$A$2,"."&amp;S$43&amp;S$1&amp;"P"&amp;$A79))</f>
        <v>0</v>
      </c>
      <c r="T79" s="91">
        <f ca="1">IF(RTD("tos.rtd",,$A$2,"."&amp;T$43&amp;T$1&amp;"C"&amp;$A79)="N/A",0,RTD("tos.rtd",,$A$2,"."&amp;T$43&amp;T$1&amp;"C"&amp;$A79))-IF(RTD("tos.rtd",,$A$2,"."&amp;T$43&amp;T$1&amp;"P"&amp;$A79)="N/A",0,RTD("tos.rtd",,$A$2,"."&amp;T$43&amp;T$1&amp;"P"&amp;$A79))</f>
        <v>0</v>
      </c>
      <c r="U79" s="91">
        <f ca="1">IF(RTD("tos.rtd",,$A$2,"."&amp;U$43&amp;U$1&amp;"C"&amp;$A79)="N/A",0,RTD("tos.rtd",,$A$2,"."&amp;U$43&amp;U$1&amp;"C"&amp;$A79))-IF(RTD("tos.rtd",,$A$2,"."&amp;U$43&amp;U$1&amp;"P"&amp;$A79)="N/A",0,RTD("tos.rtd",,$A$2,"."&amp;U$43&amp;U$1&amp;"P"&amp;$A79))</f>
        <v>0</v>
      </c>
      <c r="V79" s="91">
        <f ca="1">IF(RTD("tos.rtd",,$A$2,"."&amp;V$43&amp;V$1&amp;"C"&amp;$A79)="N/A",0,RTD("tos.rtd",,$A$2,"."&amp;V$43&amp;V$1&amp;"C"&amp;$A79))-IF(RTD("tos.rtd",,$A$2,"."&amp;V$43&amp;V$1&amp;"P"&amp;$A79)="N/A",0,RTD("tos.rtd",,$A$2,"."&amp;V$43&amp;V$1&amp;"P"&amp;$A79))</f>
        <v>0</v>
      </c>
      <c r="W79" s="91">
        <f ca="1">IF(RTD("tos.rtd",,$A$2,"."&amp;W$43&amp;W$1&amp;"C"&amp;$A79)="N/A",0,RTD("tos.rtd",,$A$2,"."&amp;W$43&amp;W$1&amp;"C"&amp;$A79))-IF(RTD("tos.rtd",,$A$2,"."&amp;W$43&amp;W$1&amp;"P"&amp;$A79)="N/A",0,RTD("tos.rtd",,$A$2,"."&amp;W$43&amp;W$1&amp;"P"&amp;$A79))</f>
        <v>0</v>
      </c>
      <c r="X79" s="91">
        <f ca="1">IF(RTD("tos.rtd",,$A$2,"."&amp;X$43&amp;X$1&amp;"C"&amp;$A79)="N/A",0,RTD("tos.rtd",,$A$2,"."&amp;X$43&amp;X$1&amp;"C"&amp;$A79))-IF(RTD("tos.rtd",,$A$2,"."&amp;X$43&amp;X$1&amp;"P"&amp;$A79)="N/A",0,RTD("tos.rtd",,$A$2,"."&amp;X$43&amp;X$1&amp;"P"&amp;$A79))</f>
        <v>9</v>
      </c>
      <c r="Y79" s="98">
        <f t="shared" ca="1" si="7"/>
        <v>-200</v>
      </c>
    </row>
    <row r="80" spans="1:25" x14ac:dyDescent="0.25">
      <c r="A80" s="93">
        <f>+Hoja1!A79</f>
        <v>488</v>
      </c>
      <c r="B80" s="91">
        <f ca="1">IF(RTD("tos.rtd",,$A$2,"."&amp;B$43&amp;B$1&amp;"C"&amp;$A80)="N/A",0,RTD("tos.rtd",,$A$2,"."&amp;B$43&amp;B$1&amp;"C"&amp;$A80))-IF(RTD("tos.rtd",,$A$2,"."&amp;B$43&amp;B$1&amp;"P"&amp;$A80)="N/A",0,RTD("tos.rtd",,$A$2,"."&amp;B$43&amp;B$1&amp;"P"&amp;$A80))</f>
        <v>0</v>
      </c>
      <c r="C80" s="91">
        <f ca="1">IF(RTD("tos.rtd",,$A$2,"."&amp;C$43&amp;C$1&amp;"C"&amp;$A80)="N/A",0,RTD("tos.rtd",,$A$2,"."&amp;C$43&amp;C$1&amp;"C"&amp;$A80))-IF(RTD("tos.rtd",,$A$2,"."&amp;C$43&amp;C$1&amp;"P"&amp;$A80)="N/A",0,RTD("tos.rtd",,$A$2,"."&amp;C$43&amp;C$1&amp;"P"&amp;$A80))</f>
        <v>0</v>
      </c>
      <c r="D80" s="91">
        <f ca="1">IF(RTD("tos.rtd",,$A$2,"."&amp;D$43&amp;D$1&amp;"C"&amp;$A80)="N/A",0,RTD("tos.rtd",,$A$2,"."&amp;D$43&amp;D$1&amp;"C"&amp;$A80))-IF(RTD("tos.rtd",,$A$2,"."&amp;D$43&amp;D$1&amp;"P"&amp;$A80)="N/A",0,RTD("tos.rtd",,$A$2,"."&amp;D$43&amp;D$1&amp;"P"&amp;$A80))</f>
        <v>0</v>
      </c>
      <c r="E80" s="91">
        <f ca="1">IF(RTD("tos.rtd",,$A$2,"."&amp;E$43&amp;E$1&amp;"C"&amp;$A80)="N/A",0,RTD("tos.rtd",,$A$2,"."&amp;E$43&amp;E$1&amp;"C"&amp;$A80))-IF(RTD("tos.rtd",,$A$2,"."&amp;E$43&amp;E$1&amp;"P"&amp;$A80)="N/A",0,RTD("tos.rtd",,$A$2,"."&amp;E$43&amp;E$1&amp;"P"&amp;$A80))</f>
        <v>0</v>
      </c>
      <c r="F80" s="91">
        <f ca="1">IF(RTD("tos.rtd",,$A$2,"."&amp;F$43&amp;F$1&amp;"C"&amp;$A80)="N/A",0,RTD("tos.rtd",,$A$2,"."&amp;F$43&amp;F$1&amp;"C"&amp;$A80))-IF(RTD("tos.rtd",,$A$2,"."&amp;F$43&amp;F$1&amp;"P"&amp;$A80)="N/A",0,RTD("tos.rtd",,$A$2,"."&amp;F$43&amp;F$1&amp;"P"&amp;$A80))</f>
        <v>0</v>
      </c>
      <c r="G80" s="91">
        <f ca="1">IF(RTD("tos.rtd",,$A$2,"."&amp;G$43&amp;G$1&amp;"C"&amp;$A80)="N/A",0,RTD("tos.rtd",,$A$2,"."&amp;G$43&amp;G$1&amp;"C"&amp;$A80))-IF(RTD("tos.rtd",,$A$2,"."&amp;G$43&amp;G$1&amp;"P"&amp;$A80)="N/A",0,RTD("tos.rtd",,$A$2,"."&amp;G$43&amp;G$1&amp;"P"&amp;$A80))</f>
        <v>0</v>
      </c>
      <c r="H80" s="91">
        <f ca="1">IF(RTD("tos.rtd",,$A$2,"."&amp;H$43&amp;H$1&amp;"C"&amp;$A80)="N/A",0,RTD("tos.rtd",,$A$2,"."&amp;H$43&amp;H$1&amp;"C"&amp;$A80))-IF(RTD("tos.rtd",,$A$2,"."&amp;H$43&amp;H$1&amp;"P"&amp;$A80)="N/A",0,RTD("tos.rtd",,$A$2,"."&amp;H$43&amp;H$1&amp;"P"&amp;$A80))</f>
        <v>189</v>
      </c>
      <c r="I80" s="91">
        <f ca="1">IF(RTD("tos.rtd",,$A$2,"."&amp;I$43&amp;I$1&amp;"C"&amp;$A80)="N/A",0,RTD("tos.rtd",,$A$2,"."&amp;I$43&amp;I$1&amp;"C"&amp;$A80))-IF(RTD("tos.rtd",,$A$2,"."&amp;I$43&amp;I$1&amp;"P"&amp;$A80)="N/A",0,RTD("tos.rtd",,$A$2,"."&amp;I$43&amp;I$1&amp;"P"&amp;$A80))</f>
        <v>-123</v>
      </c>
      <c r="J80" s="91">
        <f ca="1">IF(RTD("tos.rtd",,$A$2,"."&amp;J$43&amp;J$1&amp;"C"&amp;$A80)="N/A",0,RTD("tos.rtd",,$A$2,"."&amp;J$43&amp;J$1&amp;"C"&amp;$A80))-IF(RTD("tos.rtd",,$A$2,"."&amp;J$43&amp;J$1&amp;"P"&amp;$A80)="N/A",0,RTD("tos.rtd",,$A$2,"."&amp;J$43&amp;J$1&amp;"P"&amp;$A80))</f>
        <v>-46</v>
      </c>
      <c r="K80" s="91">
        <f ca="1">IF(RTD("tos.rtd",,$A$2,"."&amp;K$43&amp;K$1&amp;"C"&amp;$A80)="N/A",0,RTD("tos.rtd",,$A$2,"."&amp;K$43&amp;K$1&amp;"C"&amp;$A80))-IF(RTD("tos.rtd",,$A$2,"."&amp;K$43&amp;K$1&amp;"P"&amp;$A80)="N/A",0,RTD("tos.rtd",,$A$2,"."&amp;K$43&amp;K$1&amp;"P"&amp;$A80))</f>
        <v>0</v>
      </c>
      <c r="L80" s="91">
        <f ca="1">IF(RTD("tos.rtd",,$A$2,"."&amp;L$43&amp;L$1&amp;"C"&amp;$A80)="N/A",0,RTD("tos.rtd",,$A$2,"."&amp;L$43&amp;L$1&amp;"C"&amp;$A80))-IF(RTD("tos.rtd",,$A$2,"."&amp;L$43&amp;L$1&amp;"P"&amp;$A80)="N/A",0,RTD("tos.rtd",,$A$2,"."&amp;L$43&amp;L$1&amp;"P"&amp;$A80))</f>
        <v>-3</v>
      </c>
      <c r="M80" s="91">
        <f ca="1">IF(RTD("tos.rtd",,$A$2,"."&amp;M$43&amp;M$1&amp;"C"&amp;$A80)="N/A",0,RTD("tos.rtd",,$A$2,"."&amp;M$43&amp;M$1&amp;"C"&amp;$A80))-IF(RTD("tos.rtd",,$A$2,"."&amp;M$43&amp;M$1&amp;"P"&amp;$A80)="N/A",0,RTD("tos.rtd",,$A$2,"."&amp;M$43&amp;M$1&amp;"P"&amp;$A80))</f>
        <v>0</v>
      </c>
      <c r="N80" s="91">
        <f ca="1">IF(RTD("tos.rtd",,$A$2,"."&amp;N$43&amp;N$1&amp;"C"&amp;$A80)="N/A",0,RTD("tos.rtd",,$A$2,"."&amp;N$43&amp;N$1&amp;"C"&amp;$A80))-IF(RTD("tos.rtd",,$A$2,"."&amp;N$43&amp;N$1&amp;"P"&amp;$A80)="N/A",0,RTD("tos.rtd",,$A$2,"."&amp;N$43&amp;N$1&amp;"P"&amp;$A80))</f>
        <v>-3</v>
      </c>
      <c r="O80" s="91">
        <f ca="1">IF(RTD("tos.rtd",,$A$2,"."&amp;O$43&amp;O$1&amp;"C"&amp;$A80)="N/A",0,RTD("tos.rtd",,$A$2,"."&amp;O$43&amp;O$1&amp;"C"&amp;$A80))-IF(RTD("tos.rtd",,$A$2,"."&amp;O$43&amp;O$1&amp;"P"&amp;$A80)="N/A",0,RTD("tos.rtd",,$A$2,"."&amp;O$43&amp;O$1&amp;"P"&amp;$A80))</f>
        <v>0</v>
      </c>
      <c r="P80" s="91">
        <f ca="1">IF(RTD("tos.rtd",,$A$2,"."&amp;P$43&amp;P$1&amp;"C"&amp;$A80)="N/A",0,RTD("tos.rtd",,$A$2,"."&amp;P$43&amp;P$1&amp;"C"&amp;$A80))-IF(RTD("tos.rtd",,$A$2,"."&amp;P$43&amp;P$1&amp;"P"&amp;$A80)="N/A",0,RTD("tos.rtd",,$A$2,"."&amp;P$43&amp;P$1&amp;"P"&amp;$A80))</f>
        <v>0</v>
      </c>
      <c r="Q80" s="91">
        <f ca="1">IF(RTD("tos.rtd",,$A$2,"."&amp;Q$43&amp;Q$1&amp;"C"&amp;$A80)="N/A",0,RTD("tos.rtd",,$A$2,"."&amp;Q$43&amp;Q$1&amp;"C"&amp;$A80))-IF(RTD("tos.rtd",,$A$2,"."&amp;Q$43&amp;Q$1&amp;"P"&amp;$A80)="N/A",0,RTD("tos.rtd",,$A$2,"."&amp;Q$43&amp;Q$1&amp;"P"&amp;$A80))</f>
        <v>0</v>
      </c>
      <c r="R80" s="91">
        <f ca="1">IF(RTD("tos.rtd",,$A$2,"."&amp;R$43&amp;R$1&amp;"C"&amp;$A80)="N/A",0,RTD("tos.rtd",,$A$2,"."&amp;R$43&amp;R$1&amp;"C"&amp;$A80))-IF(RTD("tos.rtd",,$A$2,"."&amp;R$43&amp;R$1&amp;"P"&amp;$A80)="N/A",0,RTD("tos.rtd",,$A$2,"."&amp;R$43&amp;R$1&amp;"P"&amp;$A80))</f>
        <v>16</v>
      </c>
      <c r="S80" s="91">
        <f ca="1">IF(RTD("tos.rtd",,$A$2,"."&amp;S$43&amp;S$1&amp;"C"&amp;$A80)="N/A",0,RTD("tos.rtd",,$A$2,"."&amp;S$43&amp;S$1&amp;"C"&amp;$A80))-IF(RTD("tos.rtd",,$A$2,"."&amp;S$43&amp;S$1&amp;"P"&amp;$A80)="N/A",0,RTD("tos.rtd",,$A$2,"."&amp;S$43&amp;S$1&amp;"P"&amp;$A80))</f>
        <v>0</v>
      </c>
      <c r="T80" s="91">
        <f ca="1">IF(RTD("tos.rtd",,$A$2,"."&amp;T$43&amp;T$1&amp;"C"&amp;$A80)="N/A",0,RTD("tos.rtd",,$A$2,"."&amp;T$43&amp;T$1&amp;"C"&amp;$A80))-IF(RTD("tos.rtd",,$A$2,"."&amp;T$43&amp;T$1&amp;"P"&amp;$A80)="N/A",0,RTD("tos.rtd",,$A$2,"."&amp;T$43&amp;T$1&amp;"P"&amp;$A80))</f>
        <v>0</v>
      </c>
      <c r="U80" s="91">
        <f ca="1">IF(RTD("tos.rtd",,$A$2,"."&amp;U$43&amp;U$1&amp;"C"&amp;$A80)="N/A",0,RTD("tos.rtd",,$A$2,"."&amp;U$43&amp;U$1&amp;"C"&amp;$A80))-IF(RTD("tos.rtd",,$A$2,"."&amp;U$43&amp;U$1&amp;"P"&amp;$A80)="N/A",0,RTD("tos.rtd",,$A$2,"."&amp;U$43&amp;U$1&amp;"P"&amp;$A80))</f>
        <v>0</v>
      </c>
      <c r="V80" s="91">
        <f ca="1">IF(RTD("tos.rtd",,$A$2,"."&amp;V$43&amp;V$1&amp;"C"&amp;$A80)="N/A",0,RTD("tos.rtd",,$A$2,"."&amp;V$43&amp;V$1&amp;"C"&amp;$A80))-IF(RTD("tos.rtd",,$A$2,"."&amp;V$43&amp;V$1&amp;"P"&amp;$A80)="N/A",0,RTD("tos.rtd",,$A$2,"."&amp;V$43&amp;V$1&amp;"P"&amp;$A80))</f>
        <v>0</v>
      </c>
      <c r="W80" s="91">
        <f ca="1">IF(RTD("tos.rtd",,$A$2,"."&amp;W$43&amp;W$1&amp;"C"&amp;$A80)="N/A",0,RTD("tos.rtd",,$A$2,"."&amp;W$43&amp;W$1&amp;"C"&amp;$A80))-IF(RTD("tos.rtd",,$A$2,"."&amp;W$43&amp;W$1&amp;"P"&amp;$A80)="N/A",0,RTD("tos.rtd",,$A$2,"."&amp;W$43&amp;W$1&amp;"P"&amp;$A80))</f>
        <v>0</v>
      </c>
      <c r="X80" s="91">
        <f ca="1">IF(RTD("tos.rtd",,$A$2,"."&amp;X$43&amp;X$1&amp;"C"&amp;$A80)="N/A",0,RTD("tos.rtd",,$A$2,"."&amp;X$43&amp;X$1&amp;"C"&amp;$A80))-IF(RTD("tos.rtd",,$A$2,"."&amp;X$43&amp;X$1&amp;"P"&amp;$A80)="N/A",0,RTD("tos.rtd",,$A$2,"."&amp;X$43&amp;X$1&amp;"P"&amp;$A80))</f>
        <v>-39</v>
      </c>
      <c r="Y80" s="98">
        <f t="shared" ca="1" si="7"/>
        <v>-9</v>
      </c>
    </row>
    <row r="81" spans="1:25" x14ac:dyDescent="0.25">
      <c r="A81" s="93">
        <f>+Hoja1!A80</f>
        <v>0</v>
      </c>
    </row>
    <row r="82" spans="1:25" x14ac:dyDescent="0.25">
      <c r="A82" s="93">
        <f>+Hoja1!A81</f>
        <v>10</v>
      </c>
      <c r="B82" s="92" t="str">
        <f ca="1">+B42</f>
        <v/>
      </c>
      <c r="C82" s="92" t="str">
        <f t="shared" ref="C82:X82" ca="1" si="8">+C42</f>
        <v/>
      </c>
      <c r="D82" s="92" t="str">
        <f t="shared" ca="1" si="8"/>
        <v/>
      </c>
      <c r="E82" s="92" t="str">
        <f t="shared" ca="1" si="8"/>
        <v/>
      </c>
      <c r="F82" s="92" t="str">
        <f t="shared" ca="1" si="8"/>
        <v/>
      </c>
      <c r="G82" s="92" t="str">
        <f t="shared" ca="1" si="8"/>
        <v/>
      </c>
      <c r="H82" s="92" t="str">
        <f t="shared" ca="1" si="8"/>
        <v>250523</v>
      </c>
      <c r="I82" s="92" t="str">
        <f t="shared" ca="1" si="8"/>
        <v>250530</v>
      </c>
      <c r="J82" s="92" t="str">
        <f t="shared" ca="1" si="8"/>
        <v>250606</v>
      </c>
      <c r="K82" s="92" t="str">
        <f t="shared" ca="1" si="8"/>
        <v/>
      </c>
      <c r="L82" s="92" t="str">
        <f t="shared" ca="1" si="8"/>
        <v>250630</v>
      </c>
      <c r="M82" s="92" t="str">
        <f t="shared" ca="1" si="8"/>
        <v>250718</v>
      </c>
      <c r="N82" s="92" t="str">
        <f t="shared" ca="1" si="8"/>
        <v>250731</v>
      </c>
      <c r="O82" s="92" t="str">
        <f t="shared" ca="1" si="8"/>
        <v>250815</v>
      </c>
      <c r="P82" s="92" t="str">
        <f t="shared" ca="1" si="8"/>
        <v>250829</v>
      </c>
      <c r="Q82" s="92" t="str">
        <f t="shared" ca="1" si="8"/>
        <v>250919</v>
      </c>
      <c r="R82" s="92" t="str">
        <f t="shared" ca="1" si="8"/>
        <v>250930</v>
      </c>
      <c r="S82" s="92" t="str">
        <f t="shared" ca="1" si="8"/>
        <v>251017</v>
      </c>
      <c r="T82" s="92" t="str">
        <f t="shared" ca="1" si="8"/>
        <v>251031</v>
      </c>
      <c r="U82" s="92" t="str">
        <f t="shared" ca="1" si="8"/>
        <v>251121</v>
      </c>
      <c r="V82" s="92" t="str">
        <f t="shared" ca="1" si="8"/>
        <v>251128</v>
      </c>
      <c r="W82" s="92" t="str">
        <f t="shared" ca="1" si="8"/>
        <v>251219</v>
      </c>
      <c r="X82" s="92" t="str">
        <f t="shared" ca="1" si="8"/>
        <v>251231</v>
      </c>
    </row>
    <row r="83" spans="1:25" x14ac:dyDescent="0.25">
      <c r="A83" s="93" t="str">
        <f>+Hoja1!A82</f>
        <v>SPX</v>
      </c>
      <c r="B83" s="92" t="s">
        <v>10</v>
      </c>
      <c r="C83" s="92" t="s">
        <v>10</v>
      </c>
      <c r="D83" s="92" t="s">
        <v>10</v>
      </c>
      <c r="E83" s="92" t="s">
        <v>10</v>
      </c>
      <c r="F83" s="92" t="s">
        <v>10</v>
      </c>
      <c r="G83" s="92" t="s">
        <v>10</v>
      </c>
      <c r="H83" s="92" t="s">
        <v>9</v>
      </c>
      <c r="I83" s="92" t="s">
        <v>10</v>
      </c>
      <c r="J83" s="92" t="s">
        <v>10</v>
      </c>
      <c r="K83" s="92" t="s">
        <v>9</v>
      </c>
      <c r="L83" s="92" t="s">
        <v>10</v>
      </c>
      <c r="M83" s="92" t="s">
        <v>9</v>
      </c>
      <c r="N83" s="92" t="s">
        <v>10</v>
      </c>
      <c r="O83" s="92" t="s">
        <v>9</v>
      </c>
      <c r="P83" s="92" t="s">
        <v>10</v>
      </c>
      <c r="Q83" s="92" t="s">
        <v>9</v>
      </c>
      <c r="R83" s="92" t="s">
        <v>10</v>
      </c>
      <c r="S83" s="92" t="s">
        <v>9</v>
      </c>
      <c r="T83" s="92" t="s">
        <v>10</v>
      </c>
      <c r="U83" s="92" t="s">
        <v>9</v>
      </c>
      <c r="V83" s="92" t="s">
        <v>10</v>
      </c>
      <c r="W83" s="92" t="s">
        <v>9</v>
      </c>
      <c r="X83" s="92" t="s">
        <v>10</v>
      </c>
    </row>
    <row r="84" spans="1:25" x14ac:dyDescent="0.25">
      <c r="A84" s="93" t="str">
        <f>+Hoja1!A83</f>
        <v>SPX</v>
      </c>
      <c r="B84" s="94">
        <f>+B44</f>
        <v>45782</v>
      </c>
      <c r="C84" s="94">
        <f t="shared" ref="C84:X84" si="9">+C44</f>
        <v>45783</v>
      </c>
      <c r="D84" s="94">
        <f t="shared" si="9"/>
        <v>45784</v>
      </c>
      <c r="E84" s="94">
        <f t="shared" si="9"/>
        <v>45785</v>
      </c>
      <c r="F84" s="94">
        <f t="shared" si="9"/>
        <v>45786</v>
      </c>
      <c r="G84" s="94">
        <f t="shared" si="9"/>
        <v>45793</v>
      </c>
      <c r="H84" s="94">
        <f t="shared" si="9"/>
        <v>45800</v>
      </c>
      <c r="I84" s="94">
        <f t="shared" si="9"/>
        <v>45807</v>
      </c>
      <c r="J84" s="94">
        <f t="shared" si="9"/>
        <v>45814</v>
      </c>
      <c r="K84" s="94">
        <f t="shared" si="9"/>
        <v>45828</v>
      </c>
      <c r="L84" s="94">
        <f t="shared" si="9"/>
        <v>45838</v>
      </c>
      <c r="M84" s="94">
        <f t="shared" si="9"/>
        <v>45856</v>
      </c>
      <c r="N84" s="94">
        <f t="shared" si="9"/>
        <v>45869</v>
      </c>
      <c r="O84" s="94">
        <f t="shared" si="9"/>
        <v>45884</v>
      </c>
      <c r="P84" s="94">
        <f t="shared" si="9"/>
        <v>45898</v>
      </c>
      <c r="Q84" s="94">
        <f t="shared" si="9"/>
        <v>45919</v>
      </c>
      <c r="R84" s="94">
        <f t="shared" si="9"/>
        <v>45930</v>
      </c>
      <c r="S84" s="94">
        <f t="shared" si="9"/>
        <v>45947</v>
      </c>
      <c r="T84" s="94">
        <f t="shared" si="9"/>
        <v>45961</v>
      </c>
      <c r="U84" s="94">
        <f t="shared" si="9"/>
        <v>45982</v>
      </c>
      <c r="V84" s="94">
        <f t="shared" si="9"/>
        <v>45989</v>
      </c>
      <c r="W84" s="94">
        <f t="shared" si="9"/>
        <v>46010</v>
      </c>
      <c r="X84" s="94">
        <f t="shared" si="9"/>
        <v>46022</v>
      </c>
    </row>
    <row r="85" spans="1:25" x14ac:dyDescent="0.25">
      <c r="A85" s="93">
        <f>+Hoja1!A84</f>
        <v>5841.75</v>
      </c>
      <c r="B85" s="92"/>
    </row>
    <row r="86" spans="1:25" x14ac:dyDescent="0.25">
      <c r="A86" s="93">
        <f>+Hoja1!A85</f>
        <v>6020</v>
      </c>
      <c r="B86" s="91">
        <f ca="1">IF(RTD("tos.rtd",,$A$2,"."&amp;B$83&amp;B$1&amp;"C"&amp;$A86)="N/A",0,RTD("tos.rtd",,$A$2,"."&amp;B$83&amp;B$1&amp;"C"&amp;$A86))-IF(RTD("tos.rtd",,$A$2,"."&amp;B$83&amp;B$1&amp;"P"&amp;$A86)="N/A",0,RTD("tos.rtd",,$A$2,"."&amp;B$83&amp;B$1&amp;"P"&amp;$A86))</f>
        <v>0</v>
      </c>
      <c r="C86" s="91">
        <f ca="1">IF(RTD("tos.rtd",,$A$2,"."&amp;C$83&amp;C$1&amp;"C"&amp;$A86)="N/A",0,RTD("tos.rtd",,$A$2,"."&amp;C$83&amp;C$1&amp;"C"&amp;$A86))-IF(RTD("tos.rtd",,$A$2,"."&amp;C$83&amp;C$1&amp;"P"&amp;$A86)="N/A",0,RTD("tos.rtd",,$A$2,"."&amp;C$83&amp;C$1&amp;"P"&amp;$A86))</f>
        <v>0</v>
      </c>
      <c r="D86" s="91">
        <f ca="1">IF(RTD("tos.rtd",,$A$2,"."&amp;D$83&amp;D$1&amp;"C"&amp;$A86)="N/A",0,RTD("tos.rtd",,$A$2,"."&amp;D$83&amp;D$1&amp;"C"&amp;$A86))-IF(RTD("tos.rtd",,$A$2,"."&amp;D$83&amp;D$1&amp;"P"&amp;$A86)="N/A",0,RTD("tos.rtd",,$A$2,"."&amp;D$83&amp;D$1&amp;"P"&amp;$A86))</f>
        <v>0</v>
      </c>
      <c r="E86" s="91">
        <f ca="1">IF(RTD("tos.rtd",,$A$2,"."&amp;E$83&amp;E$1&amp;"C"&amp;$A86)="N/A",0,RTD("tos.rtd",,$A$2,"."&amp;E$83&amp;E$1&amp;"C"&amp;$A86))-IF(RTD("tos.rtd",,$A$2,"."&amp;E$83&amp;E$1&amp;"P"&amp;$A86)="N/A",0,RTD("tos.rtd",,$A$2,"."&amp;E$83&amp;E$1&amp;"P"&amp;$A86))</f>
        <v>0</v>
      </c>
      <c r="F86" s="91">
        <f ca="1">IF(RTD("tos.rtd",,$A$2,"."&amp;F$83&amp;F$1&amp;"C"&amp;$A86)="N/A",0,RTD("tos.rtd",,$A$2,"."&amp;F$83&amp;F$1&amp;"C"&amp;$A86))-IF(RTD("tos.rtd",,$A$2,"."&amp;F$83&amp;F$1&amp;"P"&amp;$A86)="N/A",0,RTD("tos.rtd",,$A$2,"."&amp;F$83&amp;F$1&amp;"P"&amp;$A86))</f>
        <v>0</v>
      </c>
      <c r="G86" s="91">
        <f ca="1">IF(RTD("tos.rtd",,$A$2,"."&amp;G$83&amp;G$1&amp;"C"&amp;$A86)="N/A",0,RTD("tos.rtd",,$A$2,"."&amp;G$83&amp;G$1&amp;"C"&amp;$A86))-IF(RTD("tos.rtd",,$A$2,"."&amp;G$83&amp;G$1&amp;"P"&amp;$A86)="N/A",0,RTD("tos.rtd",,$A$2,"."&amp;G$83&amp;G$1&amp;"P"&amp;$A86))</f>
        <v>0</v>
      </c>
      <c r="H86" s="91">
        <f ca="1">IF(RTD("tos.rtd",,$A$2,"."&amp;H$83&amp;H$1&amp;"C"&amp;$A86)="N/A",0,RTD("tos.rtd",,$A$2,"."&amp;H$83&amp;H$1&amp;"C"&amp;$A86))-IF(RTD("tos.rtd",,$A$2,"."&amp;H$83&amp;H$1&amp;"P"&amp;$A86)="N/A",0,RTD("tos.rtd",,$A$2,"."&amp;H$83&amp;H$1&amp;"P"&amp;$A86))</f>
        <v>0</v>
      </c>
      <c r="I86" s="91">
        <f ca="1">IF(RTD("tos.rtd",,$A$2,"."&amp;I$83&amp;I$1&amp;"C"&amp;$A86)="N/A",0,RTD("tos.rtd",,$A$2,"."&amp;I$83&amp;I$1&amp;"C"&amp;$A86))-IF(RTD("tos.rtd",,$A$2,"."&amp;I$83&amp;I$1&amp;"P"&amp;$A86)="N/A",0,RTD("tos.rtd",,$A$2,"."&amp;I$83&amp;I$1&amp;"P"&amp;$A86))</f>
        <v>277</v>
      </c>
      <c r="J86" s="91">
        <f ca="1">IF(RTD("tos.rtd",,$A$2,"."&amp;J$83&amp;J$1&amp;"C"&amp;$A86)="N/A",0,RTD("tos.rtd",,$A$2,"."&amp;J$83&amp;J$1&amp;"C"&amp;$A86))-IF(RTD("tos.rtd",,$A$2,"."&amp;J$83&amp;J$1&amp;"P"&amp;$A86)="N/A",0,RTD("tos.rtd",,$A$2,"."&amp;J$83&amp;J$1&amp;"P"&amp;$A86))</f>
        <v>0</v>
      </c>
      <c r="K86" s="91">
        <f ca="1">IF(RTD("tos.rtd",,$A$2,"."&amp;K$83&amp;K$1&amp;"C"&amp;$A86)="N/A",0,RTD("tos.rtd",,$A$2,"."&amp;K$83&amp;K$1&amp;"C"&amp;$A86))-IF(RTD("tos.rtd",,$A$2,"."&amp;K$83&amp;K$1&amp;"P"&amp;$A86)="N/A",0,RTD("tos.rtd",,$A$2,"."&amp;K$83&amp;K$1&amp;"P"&amp;$A86))</f>
        <v>0</v>
      </c>
      <c r="L86" s="91">
        <f ca="1">IF(RTD("tos.rtd",,$A$2,"."&amp;L$83&amp;L$1&amp;"C"&amp;$A86)="N/A",0,RTD("tos.rtd",,$A$2,"."&amp;L$83&amp;L$1&amp;"C"&amp;$A86))-IF(RTD("tos.rtd",,$A$2,"."&amp;L$83&amp;L$1&amp;"P"&amp;$A86)="N/A",0,RTD("tos.rtd",,$A$2,"."&amp;L$83&amp;L$1&amp;"P"&amp;$A86))</f>
        <v>6</v>
      </c>
      <c r="M86" s="91">
        <f ca="1">IF(RTD("tos.rtd",,$A$2,"."&amp;M$83&amp;M$1&amp;"C"&amp;$A86)="N/A",0,RTD("tos.rtd",,$A$2,"."&amp;M$83&amp;M$1&amp;"C"&amp;$A86))-IF(RTD("tos.rtd",,$A$2,"."&amp;M$83&amp;M$1&amp;"P"&amp;$A86)="N/A",0,RTD("tos.rtd",,$A$2,"."&amp;M$83&amp;M$1&amp;"P"&amp;$A86))</f>
        <v>9</v>
      </c>
      <c r="N86" s="91">
        <f ca="1">IF(RTD("tos.rtd",,$A$2,"."&amp;N$83&amp;N$1&amp;"C"&amp;$A86)="N/A",0,RTD("tos.rtd",,$A$2,"."&amp;N$83&amp;N$1&amp;"C"&amp;$A86))-IF(RTD("tos.rtd",,$A$2,"."&amp;N$83&amp;N$1&amp;"P"&amp;$A86)="N/A",0,RTD("tos.rtd",,$A$2,"."&amp;N$83&amp;N$1&amp;"P"&amp;$A86))</f>
        <v>1</v>
      </c>
      <c r="O86" s="91">
        <f ca="1">IF(RTD("tos.rtd",,$A$2,"."&amp;O$83&amp;O$1&amp;"C"&amp;$A86)="N/A",0,RTD("tos.rtd",,$A$2,"."&amp;O$83&amp;O$1&amp;"C"&amp;$A86))-IF(RTD("tos.rtd",,$A$2,"."&amp;O$83&amp;O$1&amp;"P"&amp;$A86)="N/A",0,RTD("tos.rtd",,$A$2,"."&amp;O$83&amp;O$1&amp;"P"&amp;$A86))</f>
        <v>4</v>
      </c>
      <c r="P86" s="91">
        <f ca="1">IF(RTD("tos.rtd",,$A$2,"."&amp;P$83&amp;P$1&amp;"C"&amp;$A86)="N/A",0,RTD("tos.rtd",,$A$2,"."&amp;P$83&amp;P$1&amp;"C"&amp;$A86))-IF(RTD("tos.rtd",,$A$2,"."&amp;P$83&amp;P$1&amp;"P"&amp;$A86)="N/A",0,RTD("tos.rtd",,$A$2,"."&amp;P$83&amp;P$1&amp;"P"&amp;$A86))</f>
        <v>1</v>
      </c>
      <c r="Q86" s="91">
        <f ca="1">IF(RTD("tos.rtd",,$A$2,"."&amp;Q$83&amp;Q$1&amp;"C"&amp;$A86)="N/A",0,RTD("tos.rtd",,$A$2,"."&amp;Q$83&amp;Q$1&amp;"C"&amp;$A86))-IF(RTD("tos.rtd",,$A$2,"."&amp;Q$83&amp;Q$1&amp;"P"&amp;$A86)="N/A",0,RTD("tos.rtd",,$A$2,"."&amp;Q$83&amp;Q$1&amp;"P"&amp;$A86))</f>
        <v>0</v>
      </c>
      <c r="R86" s="91">
        <f ca="1">IF(RTD("tos.rtd",,$A$2,"."&amp;R$83&amp;R$1&amp;"C"&amp;$A86)="N/A",0,RTD("tos.rtd",,$A$2,"."&amp;R$83&amp;R$1&amp;"C"&amp;$A86))-IF(RTD("tos.rtd",,$A$2,"."&amp;R$83&amp;R$1&amp;"P"&amp;$A86)="N/A",0,RTD("tos.rtd",,$A$2,"."&amp;R$83&amp;R$1&amp;"P"&amp;$A86))</f>
        <v>0</v>
      </c>
      <c r="S86" s="91">
        <f ca="1">IF(RTD("tos.rtd",,$A$2,"."&amp;S$83&amp;S$1&amp;"C"&amp;$A86)="N/A",0,RTD("tos.rtd",,$A$2,"."&amp;S$83&amp;S$1&amp;"C"&amp;$A86))-IF(RTD("tos.rtd",,$A$2,"."&amp;S$83&amp;S$1&amp;"P"&amp;$A86)="N/A",0,RTD("tos.rtd",,$A$2,"."&amp;S$83&amp;S$1&amp;"P"&amp;$A86))</f>
        <v>0</v>
      </c>
      <c r="T86" s="91">
        <f ca="1">IF(RTD("tos.rtd",,$A$2,"."&amp;T$83&amp;T$1&amp;"C"&amp;$A86)="N/A",0,RTD("tos.rtd",,$A$2,"."&amp;T$83&amp;T$1&amp;"C"&amp;$A86))-IF(RTD("tos.rtd",,$A$2,"."&amp;T$83&amp;T$1&amp;"P"&amp;$A86)="N/A",0,RTD("tos.rtd",,$A$2,"."&amp;T$83&amp;T$1&amp;"P"&amp;$A86))</f>
        <v>0</v>
      </c>
      <c r="U86" s="91">
        <f ca="1">IF(RTD("tos.rtd",,$A$2,"."&amp;U$83&amp;U$1&amp;"C"&amp;$A86)="N/A",0,RTD("tos.rtd",,$A$2,"."&amp;U$83&amp;U$1&amp;"C"&amp;$A86))-IF(RTD("tos.rtd",,$A$2,"."&amp;U$83&amp;U$1&amp;"P"&amp;$A86)="N/A",0,RTD("tos.rtd",,$A$2,"."&amp;U$83&amp;U$1&amp;"P"&amp;$A86))</f>
        <v>0</v>
      </c>
      <c r="V86" s="91">
        <f ca="1">IF(RTD("tos.rtd",,$A$2,"."&amp;V$83&amp;V$1&amp;"C"&amp;$A86)="N/A",0,RTD("tos.rtd",,$A$2,"."&amp;V$83&amp;V$1&amp;"C"&amp;$A86))-IF(RTD("tos.rtd",,$A$2,"."&amp;V$83&amp;V$1&amp;"P"&amp;$A86)="N/A",0,RTD("tos.rtd",,$A$2,"."&amp;V$83&amp;V$1&amp;"P"&amp;$A86))</f>
        <v>0</v>
      </c>
      <c r="W86" s="91">
        <f ca="1">IF(RTD("tos.rtd",,$A$2,"."&amp;W$83&amp;W$1&amp;"C"&amp;$A86)="N/A",0,RTD("tos.rtd",,$A$2,"."&amp;W$83&amp;W$1&amp;"C"&amp;$A86))-IF(RTD("tos.rtd",,$A$2,"."&amp;W$83&amp;W$1&amp;"P"&amp;$A86)="N/A",0,RTD("tos.rtd",,$A$2,"."&amp;W$83&amp;W$1&amp;"P"&amp;$A86))</f>
        <v>0</v>
      </c>
      <c r="X86" s="91">
        <f ca="1">IF(RTD("tos.rtd",,$A$2,"."&amp;X$83&amp;X$1&amp;"C"&amp;$A86)="N/A",0,RTD("tos.rtd",,$A$2,"."&amp;X$83&amp;X$1&amp;"C"&amp;$A86))-IF(RTD("tos.rtd",,$A$2,"."&amp;X$83&amp;X$1&amp;"P"&amp;$A86)="N/A",0,RTD("tos.rtd",,$A$2,"."&amp;X$83&amp;X$1&amp;"P"&amp;$A86))</f>
        <v>0</v>
      </c>
      <c r="Y86" s="98">
        <f ca="1">SUM(B86:X86)</f>
        <v>298</v>
      </c>
    </row>
    <row r="87" spans="1:25" x14ac:dyDescent="0.25">
      <c r="A87" s="93">
        <f>+Hoja1!A86</f>
        <v>6010</v>
      </c>
      <c r="B87" s="91">
        <f ca="1">IF(RTD("tos.rtd",,$A$2,"."&amp;B$83&amp;B$1&amp;"C"&amp;$A87)="N/A",0,RTD("tos.rtd",,$A$2,"."&amp;B$83&amp;B$1&amp;"C"&amp;$A87))-IF(RTD("tos.rtd",,$A$2,"."&amp;B$83&amp;B$1&amp;"P"&amp;$A87)="N/A",0,RTD("tos.rtd",,$A$2,"."&amp;B$83&amp;B$1&amp;"P"&amp;$A87))</f>
        <v>0</v>
      </c>
      <c r="C87" s="91">
        <f ca="1">IF(RTD("tos.rtd",,$A$2,"."&amp;C$83&amp;C$1&amp;"C"&amp;$A87)="N/A",0,RTD("tos.rtd",,$A$2,"."&amp;C$83&amp;C$1&amp;"C"&amp;$A87))-IF(RTD("tos.rtd",,$A$2,"."&amp;C$83&amp;C$1&amp;"P"&amp;$A87)="N/A",0,RTD("tos.rtd",,$A$2,"."&amp;C$83&amp;C$1&amp;"P"&amp;$A87))</f>
        <v>0</v>
      </c>
      <c r="D87" s="91">
        <f ca="1">IF(RTD("tos.rtd",,$A$2,"."&amp;D$83&amp;D$1&amp;"C"&amp;$A87)="N/A",0,RTD("tos.rtd",,$A$2,"."&amp;D$83&amp;D$1&amp;"C"&amp;$A87))-IF(RTD("tos.rtd",,$A$2,"."&amp;D$83&amp;D$1&amp;"P"&amp;$A87)="N/A",0,RTD("tos.rtd",,$A$2,"."&amp;D$83&amp;D$1&amp;"P"&amp;$A87))</f>
        <v>0</v>
      </c>
      <c r="E87" s="91">
        <f ca="1">IF(RTD("tos.rtd",,$A$2,"."&amp;E$83&amp;E$1&amp;"C"&amp;$A87)="N/A",0,RTD("tos.rtd",,$A$2,"."&amp;E$83&amp;E$1&amp;"C"&amp;$A87))-IF(RTD("tos.rtd",,$A$2,"."&amp;E$83&amp;E$1&amp;"P"&amp;$A87)="N/A",0,RTD("tos.rtd",,$A$2,"."&amp;E$83&amp;E$1&amp;"P"&amp;$A87))</f>
        <v>0</v>
      </c>
      <c r="F87" s="91">
        <f ca="1">IF(RTD("tos.rtd",,$A$2,"."&amp;F$83&amp;F$1&amp;"C"&amp;$A87)="N/A",0,RTD("tos.rtd",,$A$2,"."&amp;F$83&amp;F$1&amp;"C"&amp;$A87))-IF(RTD("tos.rtd",,$A$2,"."&amp;F$83&amp;F$1&amp;"P"&amp;$A87)="N/A",0,RTD("tos.rtd",,$A$2,"."&amp;F$83&amp;F$1&amp;"P"&amp;$A87))</f>
        <v>0</v>
      </c>
      <c r="G87" s="91">
        <f ca="1">IF(RTD("tos.rtd",,$A$2,"."&amp;G$83&amp;G$1&amp;"C"&amp;$A87)="N/A",0,RTD("tos.rtd",,$A$2,"."&amp;G$83&amp;G$1&amp;"C"&amp;$A87))-IF(RTD("tos.rtd",,$A$2,"."&amp;G$83&amp;G$1&amp;"P"&amp;$A87)="N/A",0,RTD("tos.rtd",,$A$2,"."&amp;G$83&amp;G$1&amp;"P"&amp;$A87))</f>
        <v>0</v>
      </c>
      <c r="H87" s="91">
        <f ca="1">IF(RTD("tos.rtd",,$A$2,"."&amp;H$83&amp;H$1&amp;"C"&amp;$A87)="N/A",0,RTD("tos.rtd",,$A$2,"."&amp;H$83&amp;H$1&amp;"C"&amp;$A87))-IF(RTD("tos.rtd",,$A$2,"."&amp;H$83&amp;H$1&amp;"P"&amp;$A87)="N/A",0,RTD("tos.rtd",,$A$2,"."&amp;H$83&amp;H$1&amp;"P"&amp;$A87))</f>
        <v>0</v>
      </c>
      <c r="I87" s="91">
        <f ca="1">IF(RTD("tos.rtd",,$A$2,"."&amp;I$83&amp;I$1&amp;"C"&amp;$A87)="N/A",0,RTD("tos.rtd",,$A$2,"."&amp;I$83&amp;I$1&amp;"C"&amp;$A87))-IF(RTD("tos.rtd",,$A$2,"."&amp;I$83&amp;I$1&amp;"P"&amp;$A87)="N/A",0,RTD("tos.rtd",,$A$2,"."&amp;I$83&amp;I$1&amp;"P"&amp;$A87))</f>
        <v>578</v>
      </c>
      <c r="J87" s="91">
        <f ca="1">IF(RTD("tos.rtd",,$A$2,"."&amp;J$83&amp;J$1&amp;"C"&amp;$A87)="N/A",0,RTD("tos.rtd",,$A$2,"."&amp;J$83&amp;J$1&amp;"C"&amp;$A87))-IF(RTD("tos.rtd",,$A$2,"."&amp;J$83&amp;J$1&amp;"P"&amp;$A87)="N/A",0,RTD("tos.rtd",,$A$2,"."&amp;J$83&amp;J$1&amp;"P"&amp;$A87))</f>
        <v>0</v>
      </c>
      <c r="K87" s="91">
        <f ca="1">IF(RTD("tos.rtd",,$A$2,"."&amp;K$83&amp;K$1&amp;"C"&amp;$A87)="N/A",0,RTD("tos.rtd",,$A$2,"."&amp;K$83&amp;K$1&amp;"C"&amp;$A87))-IF(RTD("tos.rtd",,$A$2,"."&amp;K$83&amp;K$1&amp;"P"&amp;$A87)="N/A",0,RTD("tos.rtd",,$A$2,"."&amp;K$83&amp;K$1&amp;"P"&amp;$A87))</f>
        <v>0</v>
      </c>
      <c r="L87" s="91">
        <f ca="1">IF(RTD("tos.rtd",,$A$2,"."&amp;L$83&amp;L$1&amp;"C"&amp;$A87)="N/A",0,RTD("tos.rtd",,$A$2,"."&amp;L$83&amp;L$1&amp;"C"&amp;$A87))-IF(RTD("tos.rtd",,$A$2,"."&amp;L$83&amp;L$1&amp;"P"&amp;$A87)="N/A",0,RTD("tos.rtd",,$A$2,"."&amp;L$83&amp;L$1&amp;"P"&amp;$A87))</f>
        <v>16</v>
      </c>
      <c r="M87" s="91">
        <f ca="1">IF(RTD("tos.rtd",,$A$2,"."&amp;M$83&amp;M$1&amp;"C"&amp;$A87)="N/A",0,RTD("tos.rtd",,$A$2,"."&amp;M$83&amp;M$1&amp;"C"&amp;$A87))-IF(RTD("tos.rtd",,$A$2,"."&amp;M$83&amp;M$1&amp;"P"&amp;$A87)="N/A",0,RTD("tos.rtd",,$A$2,"."&amp;M$83&amp;M$1&amp;"P"&amp;$A87))</f>
        <v>226</v>
      </c>
      <c r="N87" s="91">
        <f ca="1">IF(RTD("tos.rtd",,$A$2,"."&amp;N$83&amp;N$1&amp;"C"&amp;$A87)="N/A",0,RTD("tos.rtd",,$A$2,"."&amp;N$83&amp;N$1&amp;"C"&amp;$A87))-IF(RTD("tos.rtd",,$A$2,"."&amp;N$83&amp;N$1&amp;"P"&amp;$A87)="N/A",0,RTD("tos.rtd",,$A$2,"."&amp;N$83&amp;N$1&amp;"P"&amp;$A87))</f>
        <v>1</v>
      </c>
      <c r="O87" s="91">
        <f ca="1">IF(RTD("tos.rtd",,$A$2,"."&amp;O$83&amp;O$1&amp;"C"&amp;$A87)="N/A",0,RTD("tos.rtd",,$A$2,"."&amp;O$83&amp;O$1&amp;"C"&amp;$A87))-IF(RTD("tos.rtd",,$A$2,"."&amp;O$83&amp;O$1&amp;"P"&amp;$A87)="N/A",0,RTD("tos.rtd",,$A$2,"."&amp;O$83&amp;O$1&amp;"P"&amp;$A87))</f>
        <v>18</v>
      </c>
      <c r="P87" s="91">
        <f ca="1">IF(RTD("tos.rtd",,$A$2,"."&amp;P$83&amp;P$1&amp;"C"&amp;$A87)="N/A",0,RTD("tos.rtd",,$A$2,"."&amp;P$83&amp;P$1&amp;"C"&amp;$A87))-IF(RTD("tos.rtd",,$A$2,"."&amp;P$83&amp;P$1&amp;"P"&amp;$A87)="N/A",0,RTD("tos.rtd",,$A$2,"."&amp;P$83&amp;P$1&amp;"P"&amp;$A87))</f>
        <v>0</v>
      </c>
      <c r="Q87" s="91">
        <f ca="1">IF(RTD("tos.rtd",,$A$2,"."&amp;Q$83&amp;Q$1&amp;"C"&amp;$A87)="N/A",0,RTD("tos.rtd",,$A$2,"."&amp;Q$83&amp;Q$1&amp;"C"&amp;$A87))-IF(RTD("tos.rtd",,$A$2,"."&amp;Q$83&amp;Q$1&amp;"P"&amp;$A87)="N/A",0,RTD("tos.rtd",,$A$2,"."&amp;Q$83&amp;Q$1&amp;"P"&amp;$A87))</f>
        <v>0</v>
      </c>
      <c r="R87" s="91">
        <f ca="1">IF(RTD("tos.rtd",,$A$2,"."&amp;R$83&amp;R$1&amp;"C"&amp;$A87)="N/A",0,RTD("tos.rtd",,$A$2,"."&amp;R$83&amp;R$1&amp;"C"&amp;$A87))-IF(RTD("tos.rtd",,$A$2,"."&amp;R$83&amp;R$1&amp;"P"&amp;$A87)="N/A",0,RTD("tos.rtd",,$A$2,"."&amp;R$83&amp;R$1&amp;"P"&amp;$A87))</f>
        <v>0</v>
      </c>
      <c r="S87" s="91">
        <f ca="1">IF(RTD("tos.rtd",,$A$2,"."&amp;S$83&amp;S$1&amp;"C"&amp;$A87)="N/A",0,RTD("tos.rtd",,$A$2,"."&amp;S$83&amp;S$1&amp;"C"&amp;$A87))-IF(RTD("tos.rtd",,$A$2,"."&amp;S$83&amp;S$1&amp;"P"&amp;$A87)="N/A",0,RTD("tos.rtd",,$A$2,"."&amp;S$83&amp;S$1&amp;"P"&amp;$A87))</f>
        <v>0</v>
      </c>
      <c r="T87" s="91">
        <f ca="1">IF(RTD("tos.rtd",,$A$2,"."&amp;T$83&amp;T$1&amp;"C"&amp;$A87)="N/A",0,RTD("tos.rtd",,$A$2,"."&amp;T$83&amp;T$1&amp;"C"&amp;$A87))-IF(RTD("tos.rtd",,$A$2,"."&amp;T$83&amp;T$1&amp;"P"&amp;$A87)="N/A",0,RTD("tos.rtd",,$A$2,"."&amp;T$83&amp;T$1&amp;"P"&amp;$A87))</f>
        <v>0</v>
      </c>
      <c r="U87" s="91">
        <f ca="1">IF(RTD("tos.rtd",,$A$2,"."&amp;U$83&amp;U$1&amp;"C"&amp;$A87)="N/A",0,RTD("tos.rtd",,$A$2,"."&amp;U$83&amp;U$1&amp;"C"&amp;$A87))-IF(RTD("tos.rtd",,$A$2,"."&amp;U$83&amp;U$1&amp;"P"&amp;$A87)="N/A",0,RTD("tos.rtd",,$A$2,"."&amp;U$83&amp;U$1&amp;"P"&amp;$A87))</f>
        <v>0</v>
      </c>
      <c r="V87" s="91">
        <f ca="1">IF(RTD("tos.rtd",,$A$2,"."&amp;V$83&amp;V$1&amp;"C"&amp;$A87)="N/A",0,RTD("tos.rtd",,$A$2,"."&amp;V$83&amp;V$1&amp;"C"&amp;$A87))-IF(RTD("tos.rtd",,$A$2,"."&amp;V$83&amp;V$1&amp;"P"&amp;$A87)="N/A",0,RTD("tos.rtd",,$A$2,"."&amp;V$83&amp;V$1&amp;"P"&amp;$A87))</f>
        <v>0</v>
      </c>
      <c r="W87" s="91">
        <f ca="1">IF(RTD("tos.rtd",,$A$2,"."&amp;W$83&amp;W$1&amp;"C"&amp;$A87)="N/A",0,RTD("tos.rtd",,$A$2,"."&amp;W$83&amp;W$1&amp;"C"&amp;$A87))-IF(RTD("tos.rtd",,$A$2,"."&amp;W$83&amp;W$1&amp;"P"&amp;$A87)="N/A",0,RTD("tos.rtd",,$A$2,"."&amp;W$83&amp;W$1&amp;"P"&amp;$A87))</f>
        <v>0</v>
      </c>
      <c r="X87" s="91">
        <f ca="1">IF(RTD("tos.rtd",,$A$2,"."&amp;X$83&amp;X$1&amp;"C"&amp;$A87)="N/A",0,RTD("tos.rtd",,$A$2,"."&amp;X$83&amp;X$1&amp;"C"&amp;$A87))-IF(RTD("tos.rtd",,$A$2,"."&amp;X$83&amp;X$1&amp;"P"&amp;$A87)="N/A",0,RTD("tos.rtd",,$A$2,"."&amp;X$83&amp;X$1&amp;"P"&amp;$A87))</f>
        <v>0</v>
      </c>
      <c r="Y87" s="98">
        <f t="shared" ref="Y87:Y131" ca="1" si="10">SUM(B87:X87)</f>
        <v>839</v>
      </c>
    </row>
    <row r="88" spans="1:25" x14ac:dyDescent="0.25">
      <c r="A88" s="93">
        <f>+Hoja1!A87</f>
        <v>6000</v>
      </c>
      <c r="B88" s="91">
        <f ca="1">IF(RTD("tos.rtd",,$A$2,"."&amp;B$83&amp;B$1&amp;"C"&amp;$A88)="N/A",0,RTD("tos.rtd",,$A$2,"."&amp;B$83&amp;B$1&amp;"C"&amp;$A88))-IF(RTD("tos.rtd",,$A$2,"."&amp;B$83&amp;B$1&amp;"P"&amp;$A88)="N/A",0,RTD("tos.rtd",,$A$2,"."&amp;B$83&amp;B$1&amp;"P"&amp;$A88))</f>
        <v>0</v>
      </c>
      <c r="C88" s="91">
        <f ca="1">IF(RTD("tos.rtd",,$A$2,"."&amp;C$83&amp;C$1&amp;"C"&amp;$A88)="N/A",0,RTD("tos.rtd",,$A$2,"."&amp;C$83&amp;C$1&amp;"C"&amp;$A88))-IF(RTD("tos.rtd",,$A$2,"."&amp;C$83&amp;C$1&amp;"P"&amp;$A88)="N/A",0,RTD("tos.rtd",,$A$2,"."&amp;C$83&amp;C$1&amp;"P"&amp;$A88))</f>
        <v>0</v>
      </c>
      <c r="D88" s="91">
        <f ca="1">IF(RTD("tos.rtd",,$A$2,"."&amp;D$83&amp;D$1&amp;"C"&amp;$A88)="N/A",0,RTD("tos.rtd",,$A$2,"."&amp;D$83&amp;D$1&amp;"C"&amp;$A88))-IF(RTD("tos.rtd",,$A$2,"."&amp;D$83&amp;D$1&amp;"P"&amp;$A88)="N/A",0,RTD("tos.rtd",,$A$2,"."&amp;D$83&amp;D$1&amp;"P"&amp;$A88))</f>
        <v>0</v>
      </c>
      <c r="E88" s="91">
        <f ca="1">IF(RTD("tos.rtd",,$A$2,"."&amp;E$83&amp;E$1&amp;"C"&amp;$A88)="N/A",0,RTD("tos.rtd",,$A$2,"."&amp;E$83&amp;E$1&amp;"C"&amp;$A88))-IF(RTD("tos.rtd",,$A$2,"."&amp;E$83&amp;E$1&amp;"P"&amp;$A88)="N/A",0,RTD("tos.rtd",,$A$2,"."&amp;E$83&amp;E$1&amp;"P"&amp;$A88))</f>
        <v>0</v>
      </c>
      <c r="F88" s="91">
        <f ca="1">IF(RTD("tos.rtd",,$A$2,"."&amp;F$83&amp;F$1&amp;"C"&amp;$A88)="N/A",0,RTD("tos.rtd",,$A$2,"."&amp;F$83&amp;F$1&amp;"C"&amp;$A88))-IF(RTD("tos.rtd",,$A$2,"."&amp;F$83&amp;F$1&amp;"P"&amp;$A88)="N/A",0,RTD("tos.rtd",,$A$2,"."&amp;F$83&amp;F$1&amp;"P"&amp;$A88))</f>
        <v>0</v>
      </c>
      <c r="G88" s="91">
        <f ca="1">IF(RTD("tos.rtd",,$A$2,"."&amp;G$83&amp;G$1&amp;"C"&amp;$A88)="N/A",0,RTD("tos.rtd",,$A$2,"."&amp;G$83&amp;G$1&amp;"C"&amp;$A88))-IF(RTD("tos.rtd",,$A$2,"."&amp;G$83&amp;G$1&amp;"P"&amp;$A88)="N/A",0,RTD("tos.rtd",,$A$2,"."&amp;G$83&amp;G$1&amp;"P"&amp;$A88))</f>
        <v>0</v>
      </c>
      <c r="H88" s="91">
        <f ca="1">IF(RTD("tos.rtd",,$A$2,"."&amp;H$83&amp;H$1&amp;"C"&amp;$A88)="N/A",0,RTD("tos.rtd",,$A$2,"."&amp;H$83&amp;H$1&amp;"C"&amp;$A88))-IF(RTD("tos.rtd",,$A$2,"."&amp;H$83&amp;H$1&amp;"P"&amp;$A88)="N/A",0,RTD("tos.rtd",,$A$2,"."&amp;H$83&amp;H$1&amp;"P"&amp;$A88))</f>
        <v>0</v>
      </c>
      <c r="I88" s="91">
        <f ca="1">IF(RTD("tos.rtd",,$A$2,"."&amp;I$83&amp;I$1&amp;"C"&amp;$A88)="N/A",0,RTD("tos.rtd",,$A$2,"."&amp;I$83&amp;I$1&amp;"C"&amp;$A88))-IF(RTD("tos.rtd",,$A$2,"."&amp;I$83&amp;I$1&amp;"P"&amp;$A88)="N/A",0,RTD("tos.rtd",,$A$2,"."&amp;I$83&amp;I$1&amp;"P"&amp;$A88))</f>
        <v>5953</v>
      </c>
      <c r="J88" s="91">
        <f ca="1">IF(RTD("tos.rtd",,$A$2,"."&amp;J$83&amp;J$1&amp;"C"&amp;$A88)="N/A",0,RTD("tos.rtd",,$A$2,"."&amp;J$83&amp;J$1&amp;"C"&amp;$A88))-IF(RTD("tos.rtd",,$A$2,"."&amp;J$83&amp;J$1&amp;"P"&amp;$A88)="N/A",0,RTD("tos.rtd",,$A$2,"."&amp;J$83&amp;J$1&amp;"P"&amp;$A88))</f>
        <v>362</v>
      </c>
      <c r="K88" s="91">
        <f ca="1">IF(RTD("tos.rtd",,$A$2,"."&amp;K$83&amp;K$1&amp;"C"&amp;$A88)="N/A",0,RTD("tos.rtd",,$A$2,"."&amp;K$83&amp;K$1&amp;"C"&amp;$A88))-IF(RTD("tos.rtd",,$A$2,"."&amp;K$83&amp;K$1&amp;"P"&amp;$A88)="N/A",0,RTD("tos.rtd",,$A$2,"."&amp;K$83&amp;K$1&amp;"P"&amp;$A88))</f>
        <v>0</v>
      </c>
      <c r="L88" s="91">
        <f ca="1">IF(RTD("tos.rtd",,$A$2,"."&amp;L$83&amp;L$1&amp;"C"&amp;$A88)="N/A",0,RTD("tos.rtd",,$A$2,"."&amp;L$83&amp;L$1&amp;"C"&amp;$A88))-IF(RTD("tos.rtd",,$A$2,"."&amp;L$83&amp;L$1&amp;"P"&amp;$A88)="N/A",0,RTD("tos.rtd",,$A$2,"."&amp;L$83&amp;L$1&amp;"P"&amp;$A88))</f>
        <v>1986</v>
      </c>
      <c r="M88" s="91">
        <f ca="1">IF(RTD("tos.rtd",,$A$2,"."&amp;M$83&amp;M$1&amp;"C"&amp;$A88)="N/A",0,RTD("tos.rtd",,$A$2,"."&amp;M$83&amp;M$1&amp;"C"&amp;$A88))-IF(RTD("tos.rtd",,$A$2,"."&amp;M$83&amp;M$1&amp;"P"&amp;$A88)="N/A",0,RTD("tos.rtd",,$A$2,"."&amp;M$83&amp;M$1&amp;"P"&amp;$A88))</f>
        <v>411</v>
      </c>
      <c r="N88" s="91">
        <f ca="1">IF(RTD("tos.rtd",,$A$2,"."&amp;N$83&amp;N$1&amp;"C"&amp;$A88)="N/A",0,RTD("tos.rtd",,$A$2,"."&amp;N$83&amp;N$1&amp;"C"&amp;$A88))-IF(RTD("tos.rtd",,$A$2,"."&amp;N$83&amp;N$1&amp;"P"&amp;$A88)="N/A",0,RTD("tos.rtd",,$A$2,"."&amp;N$83&amp;N$1&amp;"P"&amp;$A88))</f>
        <v>-12</v>
      </c>
      <c r="O88" s="91">
        <f ca="1">IF(RTD("tos.rtd",,$A$2,"."&amp;O$83&amp;O$1&amp;"C"&amp;$A88)="N/A",0,RTD("tos.rtd",,$A$2,"."&amp;O$83&amp;O$1&amp;"C"&amp;$A88))-IF(RTD("tos.rtd",,$A$2,"."&amp;O$83&amp;O$1&amp;"P"&amp;$A88)="N/A",0,RTD("tos.rtd",,$A$2,"."&amp;O$83&amp;O$1&amp;"P"&amp;$A88))</f>
        <v>2354</v>
      </c>
      <c r="P88" s="91">
        <f ca="1">IF(RTD("tos.rtd",,$A$2,"."&amp;P$83&amp;P$1&amp;"C"&amp;$A88)="N/A",0,RTD("tos.rtd",,$A$2,"."&amp;P$83&amp;P$1&amp;"C"&amp;$A88))-IF(RTD("tos.rtd",,$A$2,"."&amp;P$83&amp;P$1&amp;"P"&amp;$A88)="N/A",0,RTD("tos.rtd",,$A$2,"."&amp;P$83&amp;P$1&amp;"P"&amp;$A88))</f>
        <v>-23</v>
      </c>
      <c r="Q88" s="91">
        <f ca="1">IF(RTD("tos.rtd",,$A$2,"."&amp;Q$83&amp;Q$1&amp;"C"&amp;$A88)="N/A",0,RTD("tos.rtd",,$A$2,"."&amp;Q$83&amp;Q$1&amp;"C"&amp;$A88))-IF(RTD("tos.rtd",,$A$2,"."&amp;Q$83&amp;Q$1&amp;"P"&amp;$A88)="N/A",0,RTD("tos.rtd",,$A$2,"."&amp;Q$83&amp;Q$1&amp;"P"&amp;$A88))</f>
        <v>1784</v>
      </c>
      <c r="R88" s="91">
        <f ca="1">IF(RTD("tos.rtd",,$A$2,"."&amp;R$83&amp;R$1&amp;"C"&amp;$A88)="N/A",0,RTD("tos.rtd",,$A$2,"."&amp;R$83&amp;R$1&amp;"C"&amp;$A88))-IF(RTD("tos.rtd",,$A$2,"."&amp;R$83&amp;R$1&amp;"P"&amp;$A88)="N/A",0,RTD("tos.rtd",,$A$2,"."&amp;R$83&amp;R$1&amp;"P"&amp;$A88))</f>
        <v>58</v>
      </c>
      <c r="S88" s="91">
        <f ca="1">IF(RTD("tos.rtd",,$A$2,"."&amp;S$83&amp;S$1&amp;"C"&amp;$A88)="N/A",0,RTD("tos.rtd",,$A$2,"."&amp;S$83&amp;S$1&amp;"C"&amp;$A88))-IF(RTD("tos.rtd",,$A$2,"."&amp;S$83&amp;S$1&amp;"P"&amp;$A88)="N/A",0,RTD("tos.rtd",,$A$2,"."&amp;S$83&amp;S$1&amp;"P"&amp;$A88))</f>
        <v>240</v>
      </c>
      <c r="T88" s="91">
        <f ca="1">IF(RTD("tos.rtd",,$A$2,"."&amp;T$83&amp;T$1&amp;"C"&amp;$A88)="N/A",0,RTD("tos.rtd",,$A$2,"."&amp;T$83&amp;T$1&amp;"C"&amp;$A88))-IF(RTD("tos.rtd",,$A$2,"."&amp;T$83&amp;T$1&amp;"P"&amp;$A88)="N/A",0,RTD("tos.rtd",,$A$2,"."&amp;T$83&amp;T$1&amp;"P"&amp;$A88))</f>
        <v>1</v>
      </c>
      <c r="U88" s="91">
        <f ca="1">IF(RTD("tos.rtd",,$A$2,"."&amp;U$83&amp;U$1&amp;"C"&amp;$A88)="N/A",0,RTD("tos.rtd",,$A$2,"."&amp;U$83&amp;U$1&amp;"C"&amp;$A88))-IF(RTD("tos.rtd",,$A$2,"."&amp;U$83&amp;U$1&amp;"P"&amp;$A88)="N/A",0,RTD("tos.rtd",,$A$2,"."&amp;U$83&amp;U$1&amp;"P"&amp;$A88))</f>
        <v>12</v>
      </c>
      <c r="V88" s="91">
        <f ca="1">IF(RTD("tos.rtd",,$A$2,"."&amp;V$83&amp;V$1&amp;"C"&amp;$A88)="N/A",0,RTD("tos.rtd",,$A$2,"."&amp;V$83&amp;V$1&amp;"C"&amp;$A88))-IF(RTD("tos.rtd",,$A$2,"."&amp;V$83&amp;V$1&amp;"P"&amp;$A88)="N/A",0,RTD("tos.rtd",,$A$2,"."&amp;V$83&amp;V$1&amp;"P"&amp;$A88))</f>
        <v>0</v>
      </c>
      <c r="W88" s="91">
        <f ca="1">IF(RTD("tos.rtd",,$A$2,"."&amp;W$83&amp;W$1&amp;"C"&amp;$A88)="N/A",0,RTD("tos.rtd",,$A$2,"."&amp;W$83&amp;W$1&amp;"C"&amp;$A88))-IF(RTD("tos.rtd",,$A$2,"."&amp;W$83&amp;W$1&amp;"P"&amp;$A88)="N/A",0,RTD("tos.rtd",,$A$2,"."&amp;W$83&amp;W$1&amp;"P"&amp;$A88))</f>
        <v>520</v>
      </c>
      <c r="X88" s="91">
        <f ca="1">IF(RTD("tos.rtd",,$A$2,"."&amp;X$83&amp;X$1&amp;"C"&amp;$A88)="N/A",0,RTD("tos.rtd",,$A$2,"."&amp;X$83&amp;X$1&amp;"C"&amp;$A88))-IF(RTD("tos.rtd",,$A$2,"."&amp;X$83&amp;X$1&amp;"P"&amp;$A88)="N/A",0,RTD("tos.rtd",,$A$2,"."&amp;X$83&amp;X$1&amp;"P"&amp;$A88))</f>
        <v>24</v>
      </c>
      <c r="Y88" s="98">
        <f t="shared" ca="1" si="10"/>
        <v>13670</v>
      </c>
    </row>
    <row r="89" spans="1:25" x14ac:dyDescent="0.25">
      <c r="A89" s="93">
        <f>+Hoja1!A88</f>
        <v>5990</v>
      </c>
      <c r="B89" s="91">
        <f ca="1">IF(RTD("tos.rtd",,$A$2,"."&amp;B$83&amp;B$1&amp;"C"&amp;$A89)="N/A",0,RTD("tos.rtd",,$A$2,"."&amp;B$83&amp;B$1&amp;"C"&amp;$A89))-IF(RTD("tos.rtd",,$A$2,"."&amp;B$83&amp;B$1&amp;"P"&amp;$A89)="N/A",0,RTD("tos.rtd",,$A$2,"."&amp;B$83&amp;B$1&amp;"P"&amp;$A89))</f>
        <v>0</v>
      </c>
      <c r="C89" s="91">
        <f ca="1">IF(RTD("tos.rtd",,$A$2,"."&amp;C$83&amp;C$1&amp;"C"&amp;$A89)="N/A",0,RTD("tos.rtd",,$A$2,"."&amp;C$83&amp;C$1&amp;"C"&amp;$A89))-IF(RTD("tos.rtd",,$A$2,"."&amp;C$83&amp;C$1&amp;"P"&amp;$A89)="N/A",0,RTD("tos.rtd",,$A$2,"."&amp;C$83&amp;C$1&amp;"P"&amp;$A89))</f>
        <v>0</v>
      </c>
      <c r="D89" s="91">
        <f ca="1">IF(RTD("tos.rtd",,$A$2,"."&amp;D$83&amp;D$1&amp;"C"&amp;$A89)="N/A",0,RTD("tos.rtd",,$A$2,"."&amp;D$83&amp;D$1&amp;"C"&amp;$A89))-IF(RTD("tos.rtd",,$A$2,"."&amp;D$83&amp;D$1&amp;"P"&amp;$A89)="N/A",0,RTD("tos.rtd",,$A$2,"."&amp;D$83&amp;D$1&amp;"P"&amp;$A89))</f>
        <v>0</v>
      </c>
      <c r="E89" s="91">
        <f ca="1">IF(RTD("tos.rtd",,$A$2,"."&amp;E$83&amp;E$1&amp;"C"&amp;$A89)="N/A",0,RTD("tos.rtd",,$A$2,"."&amp;E$83&amp;E$1&amp;"C"&amp;$A89))-IF(RTD("tos.rtd",,$A$2,"."&amp;E$83&amp;E$1&amp;"P"&amp;$A89)="N/A",0,RTD("tos.rtd",,$A$2,"."&amp;E$83&amp;E$1&amp;"P"&amp;$A89))</f>
        <v>0</v>
      </c>
      <c r="F89" s="91">
        <f ca="1">IF(RTD("tos.rtd",,$A$2,"."&amp;F$83&amp;F$1&amp;"C"&amp;$A89)="N/A",0,RTD("tos.rtd",,$A$2,"."&amp;F$83&amp;F$1&amp;"C"&amp;$A89))-IF(RTD("tos.rtd",,$A$2,"."&amp;F$83&amp;F$1&amp;"P"&amp;$A89)="N/A",0,RTD("tos.rtd",,$A$2,"."&amp;F$83&amp;F$1&amp;"P"&amp;$A89))</f>
        <v>0</v>
      </c>
      <c r="G89" s="91">
        <f ca="1">IF(RTD("tos.rtd",,$A$2,"."&amp;G$83&amp;G$1&amp;"C"&amp;$A89)="N/A",0,RTD("tos.rtd",,$A$2,"."&amp;G$83&amp;G$1&amp;"C"&amp;$A89))-IF(RTD("tos.rtd",,$A$2,"."&amp;G$83&amp;G$1&amp;"P"&amp;$A89)="N/A",0,RTD("tos.rtd",,$A$2,"."&amp;G$83&amp;G$1&amp;"P"&amp;$A89))</f>
        <v>0</v>
      </c>
      <c r="H89" s="91">
        <f ca="1">IF(RTD("tos.rtd",,$A$2,"."&amp;H$83&amp;H$1&amp;"C"&amp;$A89)="N/A",0,RTD("tos.rtd",,$A$2,"."&amp;H$83&amp;H$1&amp;"C"&amp;$A89))-IF(RTD("tos.rtd",,$A$2,"."&amp;H$83&amp;H$1&amp;"P"&amp;$A89)="N/A",0,RTD("tos.rtd",,$A$2,"."&amp;H$83&amp;H$1&amp;"P"&amp;$A89))</f>
        <v>0</v>
      </c>
      <c r="I89" s="91">
        <f ca="1">IF(RTD("tos.rtd",,$A$2,"."&amp;I$83&amp;I$1&amp;"C"&amp;$A89)="N/A",0,RTD("tos.rtd",,$A$2,"."&amp;I$83&amp;I$1&amp;"C"&amp;$A89))-IF(RTD("tos.rtd",,$A$2,"."&amp;I$83&amp;I$1&amp;"P"&amp;$A89)="N/A",0,RTD("tos.rtd",,$A$2,"."&amp;I$83&amp;I$1&amp;"P"&amp;$A89))</f>
        <v>18</v>
      </c>
      <c r="J89" s="91">
        <f ca="1">IF(RTD("tos.rtd",,$A$2,"."&amp;J$83&amp;J$1&amp;"C"&amp;$A89)="N/A",0,RTD("tos.rtd",,$A$2,"."&amp;J$83&amp;J$1&amp;"C"&amp;$A89))-IF(RTD("tos.rtd",,$A$2,"."&amp;J$83&amp;J$1&amp;"P"&amp;$A89)="N/A",0,RTD("tos.rtd",,$A$2,"."&amp;J$83&amp;J$1&amp;"P"&amp;$A89))</f>
        <v>0</v>
      </c>
      <c r="K89" s="91">
        <f ca="1">IF(RTD("tos.rtd",,$A$2,"."&amp;K$83&amp;K$1&amp;"C"&amp;$A89)="N/A",0,RTD("tos.rtd",,$A$2,"."&amp;K$83&amp;K$1&amp;"C"&amp;$A89))-IF(RTD("tos.rtd",,$A$2,"."&amp;K$83&amp;K$1&amp;"P"&amp;$A89)="N/A",0,RTD("tos.rtd",,$A$2,"."&amp;K$83&amp;K$1&amp;"P"&amp;$A89))</f>
        <v>0</v>
      </c>
      <c r="L89" s="91">
        <f ca="1">IF(RTD("tos.rtd",,$A$2,"."&amp;L$83&amp;L$1&amp;"C"&amp;$A89)="N/A",0,RTD("tos.rtd",,$A$2,"."&amp;L$83&amp;L$1&amp;"C"&amp;$A89))-IF(RTD("tos.rtd",,$A$2,"."&amp;L$83&amp;L$1&amp;"P"&amp;$A89)="N/A",0,RTD("tos.rtd",,$A$2,"."&amp;L$83&amp;L$1&amp;"P"&amp;$A89))</f>
        <v>57</v>
      </c>
      <c r="M89" s="91">
        <f ca="1">IF(RTD("tos.rtd",,$A$2,"."&amp;M$83&amp;M$1&amp;"C"&amp;$A89)="N/A",0,RTD("tos.rtd",,$A$2,"."&amp;M$83&amp;M$1&amp;"C"&amp;$A89))-IF(RTD("tos.rtd",,$A$2,"."&amp;M$83&amp;M$1&amp;"P"&amp;$A89)="N/A",0,RTD("tos.rtd",,$A$2,"."&amp;M$83&amp;M$1&amp;"P"&amp;$A89))</f>
        <v>4</v>
      </c>
      <c r="N89" s="91">
        <f ca="1">IF(RTD("tos.rtd",,$A$2,"."&amp;N$83&amp;N$1&amp;"C"&amp;$A89)="N/A",0,RTD("tos.rtd",,$A$2,"."&amp;N$83&amp;N$1&amp;"C"&amp;$A89))-IF(RTD("tos.rtd",,$A$2,"."&amp;N$83&amp;N$1&amp;"P"&amp;$A89)="N/A",0,RTD("tos.rtd",,$A$2,"."&amp;N$83&amp;N$1&amp;"P"&amp;$A89))</f>
        <v>14</v>
      </c>
      <c r="O89" s="91">
        <f ca="1">IF(RTD("tos.rtd",,$A$2,"."&amp;O$83&amp;O$1&amp;"C"&amp;$A89)="N/A",0,RTD("tos.rtd",,$A$2,"."&amp;O$83&amp;O$1&amp;"C"&amp;$A89))-IF(RTD("tos.rtd",,$A$2,"."&amp;O$83&amp;O$1&amp;"P"&amp;$A89)="N/A",0,RTD("tos.rtd",,$A$2,"."&amp;O$83&amp;O$1&amp;"P"&amp;$A89))</f>
        <v>0</v>
      </c>
      <c r="P89" s="91">
        <f ca="1">IF(RTD("tos.rtd",,$A$2,"."&amp;P$83&amp;P$1&amp;"C"&amp;$A89)="N/A",0,RTD("tos.rtd",,$A$2,"."&amp;P$83&amp;P$1&amp;"C"&amp;$A89))-IF(RTD("tos.rtd",,$A$2,"."&amp;P$83&amp;P$1&amp;"P"&amp;$A89)="N/A",0,RTD("tos.rtd",,$A$2,"."&amp;P$83&amp;P$1&amp;"P"&amp;$A89))</f>
        <v>1</v>
      </c>
      <c r="Q89" s="91">
        <f ca="1">IF(RTD("tos.rtd",,$A$2,"."&amp;Q$83&amp;Q$1&amp;"C"&amp;$A89)="N/A",0,RTD("tos.rtd",,$A$2,"."&amp;Q$83&amp;Q$1&amp;"C"&amp;$A89))-IF(RTD("tos.rtd",,$A$2,"."&amp;Q$83&amp;Q$1&amp;"P"&amp;$A89)="N/A",0,RTD("tos.rtd",,$A$2,"."&amp;Q$83&amp;Q$1&amp;"P"&amp;$A89))</f>
        <v>0</v>
      </c>
      <c r="R89" s="91">
        <f ca="1">IF(RTD("tos.rtd",,$A$2,"."&amp;R$83&amp;R$1&amp;"C"&amp;$A89)="N/A",0,RTD("tos.rtd",,$A$2,"."&amp;R$83&amp;R$1&amp;"C"&amp;$A89))-IF(RTD("tos.rtd",,$A$2,"."&amp;R$83&amp;R$1&amp;"P"&amp;$A89)="N/A",0,RTD("tos.rtd",,$A$2,"."&amp;R$83&amp;R$1&amp;"P"&amp;$A89))</f>
        <v>-3</v>
      </c>
      <c r="S89" s="91">
        <f ca="1">IF(RTD("tos.rtd",,$A$2,"."&amp;S$83&amp;S$1&amp;"C"&amp;$A89)="N/A",0,RTD("tos.rtd",,$A$2,"."&amp;S$83&amp;S$1&amp;"C"&amp;$A89))-IF(RTD("tos.rtd",,$A$2,"."&amp;S$83&amp;S$1&amp;"P"&amp;$A89)="N/A",0,RTD("tos.rtd",,$A$2,"."&amp;S$83&amp;S$1&amp;"P"&amp;$A89))</f>
        <v>0</v>
      </c>
      <c r="T89" s="91">
        <f ca="1">IF(RTD("tos.rtd",,$A$2,"."&amp;T$83&amp;T$1&amp;"C"&amp;$A89)="N/A",0,RTD("tos.rtd",,$A$2,"."&amp;T$83&amp;T$1&amp;"C"&amp;$A89))-IF(RTD("tos.rtd",,$A$2,"."&amp;T$83&amp;T$1&amp;"P"&amp;$A89)="N/A",0,RTD("tos.rtd",,$A$2,"."&amp;T$83&amp;T$1&amp;"P"&amp;$A89))</f>
        <v>0</v>
      </c>
      <c r="U89" s="91">
        <f ca="1">IF(RTD("tos.rtd",,$A$2,"."&amp;U$83&amp;U$1&amp;"C"&amp;$A89)="N/A",0,RTD("tos.rtd",,$A$2,"."&amp;U$83&amp;U$1&amp;"C"&amp;$A89))-IF(RTD("tos.rtd",,$A$2,"."&amp;U$83&amp;U$1&amp;"P"&amp;$A89)="N/A",0,RTD("tos.rtd",,$A$2,"."&amp;U$83&amp;U$1&amp;"P"&amp;$A89))</f>
        <v>0</v>
      </c>
      <c r="V89" s="91">
        <f ca="1">IF(RTD("tos.rtd",,$A$2,"."&amp;V$83&amp;V$1&amp;"C"&amp;$A89)="N/A",0,RTD("tos.rtd",,$A$2,"."&amp;V$83&amp;V$1&amp;"C"&amp;$A89))-IF(RTD("tos.rtd",,$A$2,"."&amp;V$83&amp;V$1&amp;"P"&amp;$A89)="N/A",0,RTD("tos.rtd",,$A$2,"."&amp;V$83&amp;V$1&amp;"P"&amp;$A89))</f>
        <v>0</v>
      </c>
      <c r="W89" s="91">
        <f ca="1">IF(RTD("tos.rtd",,$A$2,"."&amp;W$83&amp;W$1&amp;"C"&amp;$A89)="N/A",0,RTD("tos.rtd",,$A$2,"."&amp;W$83&amp;W$1&amp;"C"&amp;$A89))-IF(RTD("tos.rtd",,$A$2,"."&amp;W$83&amp;W$1&amp;"P"&amp;$A89)="N/A",0,RTD("tos.rtd",,$A$2,"."&amp;W$83&amp;W$1&amp;"P"&amp;$A89))</f>
        <v>0</v>
      </c>
      <c r="X89" s="91">
        <f ca="1">IF(RTD("tos.rtd",,$A$2,"."&amp;X$83&amp;X$1&amp;"C"&amp;$A89)="N/A",0,RTD("tos.rtd",,$A$2,"."&amp;X$83&amp;X$1&amp;"C"&amp;$A89))-IF(RTD("tos.rtd",,$A$2,"."&amp;X$83&amp;X$1&amp;"P"&amp;$A89)="N/A",0,RTD("tos.rtd",,$A$2,"."&amp;X$83&amp;X$1&amp;"P"&amp;$A89))</f>
        <v>0</v>
      </c>
      <c r="Y89" s="98">
        <f t="shared" ca="1" si="10"/>
        <v>91</v>
      </c>
    </row>
    <row r="90" spans="1:25" x14ac:dyDescent="0.25">
      <c r="A90" s="93">
        <f>+Hoja1!A89</f>
        <v>5980</v>
      </c>
      <c r="B90" s="91">
        <f ca="1">IF(RTD("tos.rtd",,$A$2,"."&amp;B$83&amp;B$1&amp;"C"&amp;$A90)="N/A",0,RTD("tos.rtd",,$A$2,"."&amp;B$83&amp;B$1&amp;"C"&amp;$A90))-IF(RTD("tos.rtd",,$A$2,"."&amp;B$83&amp;B$1&amp;"P"&amp;$A90)="N/A",0,RTD("tos.rtd",,$A$2,"."&amp;B$83&amp;B$1&amp;"P"&amp;$A90))</f>
        <v>0</v>
      </c>
      <c r="C90" s="91">
        <f ca="1">IF(RTD("tos.rtd",,$A$2,"."&amp;C$83&amp;C$1&amp;"C"&amp;$A90)="N/A",0,RTD("tos.rtd",,$A$2,"."&amp;C$83&amp;C$1&amp;"C"&amp;$A90))-IF(RTD("tos.rtd",,$A$2,"."&amp;C$83&amp;C$1&amp;"P"&amp;$A90)="N/A",0,RTD("tos.rtd",,$A$2,"."&amp;C$83&amp;C$1&amp;"P"&amp;$A90))</f>
        <v>0</v>
      </c>
      <c r="D90" s="91">
        <f ca="1">IF(RTD("tos.rtd",,$A$2,"."&amp;D$83&amp;D$1&amp;"C"&amp;$A90)="N/A",0,RTD("tos.rtd",,$A$2,"."&amp;D$83&amp;D$1&amp;"C"&amp;$A90))-IF(RTD("tos.rtd",,$A$2,"."&amp;D$83&amp;D$1&amp;"P"&amp;$A90)="N/A",0,RTD("tos.rtd",,$A$2,"."&amp;D$83&amp;D$1&amp;"P"&amp;$A90))</f>
        <v>0</v>
      </c>
      <c r="E90" s="91">
        <f ca="1">IF(RTD("tos.rtd",,$A$2,"."&amp;E$83&amp;E$1&amp;"C"&amp;$A90)="N/A",0,RTD("tos.rtd",,$A$2,"."&amp;E$83&amp;E$1&amp;"C"&amp;$A90))-IF(RTD("tos.rtd",,$A$2,"."&amp;E$83&amp;E$1&amp;"P"&amp;$A90)="N/A",0,RTD("tos.rtd",,$A$2,"."&amp;E$83&amp;E$1&amp;"P"&amp;$A90))</f>
        <v>0</v>
      </c>
      <c r="F90" s="91">
        <f ca="1">IF(RTD("tos.rtd",,$A$2,"."&amp;F$83&amp;F$1&amp;"C"&amp;$A90)="N/A",0,RTD("tos.rtd",,$A$2,"."&amp;F$83&amp;F$1&amp;"C"&amp;$A90))-IF(RTD("tos.rtd",,$A$2,"."&amp;F$83&amp;F$1&amp;"P"&amp;$A90)="N/A",0,RTD("tos.rtd",,$A$2,"."&amp;F$83&amp;F$1&amp;"P"&amp;$A90))</f>
        <v>0</v>
      </c>
      <c r="G90" s="91">
        <f ca="1">IF(RTD("tos.rtd",,$A$2,"."&amp;G$83&amp;G$1&amp;"C"&amp;$A90)="N/A",0,RTD("tos.rtd",,$A$2,"."&amp;G$83&amp;G$1&amp;"C"&amp;$A90))-IF(RTD("tos.rtd",,$A$2,"."&amp;G$83&amp;G$1&amp;"P"&amp;$A90)="N/A",0,RTD("tos.rtd",,$A$2,"."&amp;G$83&amp;G$1&amp;"P"&amp;$A90))</f>
        <v>0</v>
      </c>
      <c r="H90" s="91">
        <f ca="1">IF(RTD("tos.rtd",,$A$2,"."&amp;H$83&amp;H$1&amp;"C"&amp;$A90)="N/A",0,RTD("tos.rtd",,$A$2,"."&amp;H$83&amp;H$1&amp;"C"&amp;$A90))-IF(RTD("tos.rtd",,$A$2,"."&amp;H$83&amp;H$1&amp;"P"&amp;$A90)="N/A",0,RTD("tos.rtd",,$A$2,"."&amp;H$83&amp;H$1&amp;"P"&amp;$A90))</f>
        <v>0</v>
      </c>
      <c r="I90" s="91">
        <f ca="1">IF(RTD("tos.rtd",,$A$2,"."&amp;I$83&amp;I$1&amp;"C"&amp;$A90)="N/A",0,RTD("tos.rtd",,$A$2,"."&amp;I$83&amp;I$1&amp;"C"&amp;$A90))-IF(RTD("tos.rtd",,$A$2,"."&amp;I$83&amp;I$1&amp;"P"&amp;$A90)="N/A",0,RTD("tos.rtd",,$A$2,"."&amp;I$83&amp;I$1&amp;"P"&amp;$A90))</f>
        <v>73</v>
      </c>
      <c r="J90" s="91">
        <f ca="1">IF(RTD("tos.rtd",,$A$2,"."&amp;J$83&amp;J$1&amp;"C"&amp;$A90)="N/A",0,RTD("tos.rtd",,$A$2,"."&amp;J$83&amp;J$1&amp;"C"&amp;$A90))-IF(RTD("tos.rtd",,$A$2,"."&amp;J$83&amp;J$1&amp;"P"&amp;$A90)="N/A",0,RTD("tos.rtd",,$A$2,"."&amp;J$83&amp;J$1&amp;"P"&amp;$A90))</f>
        <v>0</v>
      </c>
      <c r="K90" s="91">
        <f ca="1">IF(RTD("tos.rtd",,$A$2,"."&amp;K$83&amp;K$1&amp;"C"&amp;$A90)="N/A",0,RTD("tos.rtd",,$A$2,"."&amp;K$83&amp;K$1&amp;"C"&amp;$A90))-IF(RTD("tos.rtd",,$A$2,"."&amp;K$83&amp;K$1&amp;"P"&amp;$A90)="N/A",0,RTD("tos.rtd",,$A$2,"."&amp;K$83&amp;K$1&amp;"P"&amp;$A90))</f>
        <v>0</v>
      </c>
      <c r="L90" s="91">
        <f ca="1">IF(RTD("tos.rtd",,$A$2,"."&amp;L$83&amp;L$1&amp;"C"&amp;$A90)="N/A",0,RTD("tos.rtd",,$A$2,"."&amp;L$83&amp;L$1&amp;"C"&amp;$A90))-IF(RTD("tos.rtd",,$A$2,"."&amp;L$83&amp;L$1&amp;"P"&amp;$A90)="N/A",0,RTD("tos.rtd",,$A$2,"."&amp;L$83&amp;L$1&amp;"P"&amp;$A90))</f>
        <v>2</v>
      </c>
      <c r="M90" s="91">
        <f ca="1">IF(RTD("tos.rtd",,$A$2,"."&amp;M$83&amp;M$1&amp;"C"&amp;$A90)="N/A",0,RTD("tos.rtd",,$A$2,"."&amp;M$83&amp;M$1&amp;"C"&amp;$A90))-IF(RTD("tos.rtd",,$A$2,"."&amp;M$83&amp;M$1&amp;"P"&amp;$A90)="N/A",0,RTD("tos.rtd",,$A$2,"."&amp;M$83&amp;M$1&amp;"P"&amp;$A90))</f>
        <v>120</v>
      </c>
      <c r="N90" s="91">
        <f ca="1">IF(RTD("tos.rtd",,$A$2,"."&amp;N$83&amp;N$1&amp;"C"&amp;$A90)="N/A",0,RTD("tos.rtd",,$A$2,"."&amp;N$83&amp;N$1&amp;"C"&amp;$A90))-IF(RTD("tos.rtd",,$A$2,"."&amp;N$83&amp;N$1&amp;"P"&amp;$A90)="N/A",0,RTD("tos.rtd",,$A$2,"."&amp;N$83&amp;N$1&amp;"P"&amp;$A90))</f>
        <v>8</v>
      </c>
      <c r="O90" s="91">
        <f ca="1">IF(RTD("tos.rtd",,$A$2,"."&amp;O$83&amp;O$1&amp;"C"&amp;$A90)="N/A",0,RTD("tos.rtd",,$A$2,"."&amp;O$83&amp;O$1&amp;"C"&amp;$A90))-IF(RTD("tos.rtd",,$A$2,"."&amp;O$83&amp;O$1&amp;"P"&amp;$A90)="N/A",0,RTD("tos.rtd",,$A$2,"."&amp;O$83&amp;O$1&amp;"P"&amp;$A90))</f>
        <v>0</v>
      </c>
      <c r="P90" s="91">
        <f ca="1">IF(RTD("tos.rtd",,$A$2,"."&amp;P$83&amp;P$1&amp;"C"&amp;$A90)="N/A",0,RTD("tos.rtd",,$A$2,"."&amp;P$83&amp;P$1&amp;"C"&amp;$A90))-IF(RTD("tos.rtd",,$A$2,"."&amp;P$83&amp;P$1&amp;"P"&amp;$A90)="N/A",0,RTD("tos.rtd",,$A$2,"."&amp;P$83&amp;P$1&amp;"P"&amp;$A90))</f>
        <v>3</v>
      </c>
      <c r="Q90" s="91">
        <f ca="1">IF(RTD("tos.rtd",,$A$2,"."&amp;Q$83&amp;Q$1&amp;"C"&amp;$A90)="N/A",0,RTD("tos.rtd",,$A$2,"."&amp;Q$83&amp;Q$1&amp;"C"&amp;$A90))-IF(RTD("tos.rtd",,$A$2,"."&amp;Q$83&amp;Q$1&amp;"P"&amp;$A90)="N/A",0,RTD("tos.rtd",,$A$2,"."&amp;Q$83&amp;Q$1&amp;"P"&amp;$A90))</f>
        <v>0</v>
      </c>
      <c r="R90" s="91">
        <f ca="1">IF(RTD("tos.rtd",,$A$2,"."&amp;R$83&amp;R$1&amp;"C"&amp;$A90)="N/A",0,RTD("tos.rtd",,$A$2,"."&amp;R$83&amp;R$1&amp;"C"&amp;$A90))-IF(RTD("tos.rtd",,$A$2,"."&amp;R$83&amp;R$1&amp;"P"&amp;$A90)="N/A",0,RTD("tos.rtd",,$A$2,"."&amp;R$83&amp;R$1&amp;"P"&amp;$A90))</f>
        <v>3</v>
      </c>
      <c r="S90" s="91">
        <f ca="1">IF(RTD("tos.rtd",,$A$2,"."&amp;S$83&amp;S$1&amp;"C"&amp;$A90)="N/A",0,RTD("tos.rtd",,$A$2,"."&amp;S$83&amp;S$1&amp;"C"&amp;$A90))-IF(RTD("tos.rtd",,$A$2,"."&amp;S$83&amp;S$1&amp;"P"&amp;$A90)="N/A",0,RTD("tos.rtd",,$A$2,"."&amp;S$83&amp;S$1&amp;"P"&amp;$A90))</f>
        <v>0</v>
      </c>
      <c r="T90" s="91">
        <f ca="1">IF(RTD("tos.rtd",,$A$2,"."&amp;T$83&amp;T$1&amp;"C"&amp;$A90)="N/A",0,RTD("tos.rtd",,$A$2,"."&amp;T$83&amp;T$1&amp;"C"&amp;$A90))-IF(RTD("tos.rtd",,$A$2,"."&amp;T$83&amp;T$1&amp;"P"&amp;$A90)="N/A",0,RTD("tos.rtd",,$A$2,"."&amp;T$83&amp;T$1&amp;"P"&amp;$A90))</f>
        <v>0</v>
      </c>
      <c r="U90" s="91">
        <f ca="1">IF(RTD("tos.rtd",,$A$2,"."&amp;U$83&amp;U$1&amp;"C"&amp;$A90)="N/A",0,RTD("tos.rtd",,$A$2,"."&amp;U$83&amp;U$1&amp;"C"&amp;$A90))-IF(RTD("tos.rtd",,$A$2,"."&amp;U$83&amp;U$1&amp;"P"&amp;$A90)="N/A",0,RTD("tos.rtd",,$A$2,"."&amp;U$83&amp;U$1&amp;"P"&amp;$A90))</f>
        <v>0</v>
      </c>
      <c r="V90" s="91">
        <f ca="1">IF(RTD("tos.rtd",,$A$2,"."&amp;V$83&amp;V$1&amp;"C"&amp;$A90)="N/A",0,RTD("tos.rtd",,$A$2,"."&amp;V$83&amp;V$1&amp;"C"&amp;$A90))-IF(RTD("tos.rtd",,$A$2,"."&amp;V$83&amp;V$1&amp;"P"&amp;$A90)="N/A",0,RTD("tos.rtd",,$A$2,"."&amp;V$83&amp;V$1&amp;"P"&amp;$A90))</f>
        <v>0</v>
      </c>
      <c r="W90" s="91">
        <f ca="1">IF(RTD("tos.rtd",,$A$2,"."&amp;W$83&amp;W$1&amp;"C"&amp;$A90)="N/A",0,RTD("tos.rtd",,$A$2,"."&amp;W$83&amp;W$1&amp;"C"&amp;$A90))-IF(RTD("tos.rtd",,$A$2,"."&amp;W$83&amp;W$1&amp;"P"&amp;$A90)="N/A",0,RTD("tos.rtd",,$A$2,"."&amp;W$83&amp;W$1&amp;"P"&amp;$A90))</f>
        <v>0</v>
      </c>
      <c r="X90" s="91">
        <f ca="1">IF(RTD("tos.rtd",,$A$2,"."&amp;X$83&amp;X$1&amp;"C"&amp;$A90)="N/A",0,RTD("tos.rtd",,$A$2,"."&amp;X$83&amp;X$1&amp;"C"&amp;$A90))-IF(RTD("tos.rtd",,$A$2,"."&amp;X$83&amp;X$1&amp;"P"&amp;$A90)="N/A",0,RTD("tos.rtd",,$A$2,"."&amp;X$83&amp;X$1&amp;"P"&amp;$A90))</f>
        <v>0</v>
      </c>
      <c r="Y90" s="98">
        <f t="shared" ca="1" si="10"/>
        <v>209</v>
      </c>
    </row>
    <row r="91" spans="1:25" x14ac:dyDescent="0.25">
      <c r="A91" s="93">
        <f>+Hoja1!A90</f>
        <v>5970</v>
      </c>
      <c r="B91" s="91">
        <f ca="1">IF(RTD("tos.rtd",,$A$2,"."&amp;B$83&amp;B$1&amp;"C"&amp;$A91)="N/A",0,RTD("tos.rtd",,$A$2,"."&amp;B$83&amp;B$1&amp;"C"&amp;$A91))-IF(RTD("tos.rtd",,$A$2,"."&amp;B$83&amp;B$1&amp;"P"&amp;$A91)="N/A",0,RTD("tos.rtd",,$A$2,"."&amp;B$83&amp;B$1&amp;"P"&amp;$A91))</f>
        <v>0</v>
      </c>
      <c r="C91" s="91">
        <f ca="1">IF(RTD("tos.rtd",,$A$2,"."&amp;C$83&amp;C$1&amp;"C"&amp;$A91)="N/A",0,RTD("tos.rtd",,$A$2,"."&amp;C$83&amp;C$1&amp;"C"&amp;$A91))-IF(RTD("tos.rtd",,$A$2,"."&amp;C$83&amp;C$1&amp;"P"&amp;$A91)="N/A",0,RTD("tos.rtd",,$A$2,"."&amp;C$83&amp;C$1&amp;"P"&amp;$A91))</f>
        <v>0</v>
      </c>
      <c r="D91" s="91">
        <f ca="1">IF(RTD("tos.rtd",,$A$2,"."&amp;D$83&amp;D$1&amp;"C"&amp;$A91)="N/A",0,RTD("tos.rtd",,$A$2,"."&amp;D$83&amp;D$1&amp;"C"&amp;$A91))-IF(RTD("tos.rtd",,$A$2,"."&amp;D$83&amp;D$1&amp;"P"&amp;$A91)="N/A",0,RTD("tos.rtd",,$A$2,"."&amp;D$83&amp;D$1&amp;"P"&amp;$A91))</f>
        <v>0</v>
      </c>
      <c r="E91" s="91">
        <f ca="1">IF(RTD("tos.rtd",,$A$2,"."&amp;E$83&amp;E$1&amp;"C"&amp;$A91)="N/A",0,RTD("tos.rtd",,$A$2,"."&amp;E$83&amp;E$1&amp;"C"&amp;$A91))-IF(RTD("tos.rtd",,$A$2,"."&amp;E$83&amp;E$1&amp;"P"&amp;$A91)="N/A",0,RTD("tos.rtd",,$A$2,"."&amp;E$83&amp;E$1&amp;"P"&amp;$A91))</f>
        <v>0</v>
      </c>
      <c r="F91" s="91">
        <f ca="1">IF(RTD("tos.rtd",,$A$2,"."&amp;F$83&amp;F$1&amp;"C"&amp;$A91)="N/A",0,RTD("tos.rtd",,$A$2,"."&amp;F$83&amp;F$1&amp;"C"&amp;$A91))-IF(RTD("tos.rtd",,$A$2,"."&amp;F$83&amp;F$1&amp;"P"&amp;$A91)="N/A",0,RTD("tos.rtd",,$A$2,"."&amp;F$83&amp;F$1&amp;"P"&amp;$A91))</f>
        <v>0</v>
      </c>
      <c r="G91" s="91">
        <f ca="1">IF(RTD("tos.rtd",,$A$2,"."&amp;G$83&amp;G$1&amp;"C"&amp;$A91)="N/A",0,RTD("tos.rtd",,$A$2,"."&amp;G$83&amp;G$1&amp;"C"&amp;$A91))-IF(RTD("tos.rtd",,$A$2,"."&amp;G$83&amp;G$1&amp;"P"&amp;$A91)="N/A",0,RTD("tos.rtd",,$A$2,"."&amp;G$83&amp;G$1&amp;"P"&amp;$A91))</f>
        <v>0</v>
      </c>
      <c r="H91" s="91">
        <f ca="1">IF(RTD("tos.rtd",,$A$2,"."&amp;H$83&amp;H$1&amp;"C"&amp;$A91)="N/A",0,RTD("tos.rtd",,$A$2,"."&amp;H$83&amp;H$1&amp;"C"&amp;$A91))-IF(RTD("tos.rtd",,$A$2,"."&amp;H$83&amp;H$1&amp;"P"&amp;$A91)="N/A",0,RTD("tos.rtd",,$A$2,"."&amp;H$83&amp;H$1&amp;"P"&amp;$A91))</f>
        <v>0</v>
      </c>
      <c r="I91" s="91">
        <f ca="1">IF(RTD("tos.rtd",,$A$2,"."&amp;I$83&amp;I$1&amp;"C"&amp;$A91)="N/A",0,RTD("tos.rtd",,$A$2,"."&amp;I$83&amp;I$1&amp;"C"&amp;$A91))-IF(RTD("tos.rtd",,$A$2,"."&amp;I$83&amp;I$1&amp;"P"&amp;$A91)="N/A",0,RTD("tos.rtd",,$A$2,"."&amp;I$83&amp;I$1&amp;"P"&amp;$A91))</f>
        <v>98</v>
      </c>
      <c r="J91" s="91">
        <f ca="1">IF(RTD("tos.rtd",,$A$2,"."&amp;J$83&amp;J$1&amp;"C"&amp;$A91)="N/A",0,RTD("tos.rtd",,$A$2,"."&amp;J$83&amp;J$1&amp;"C"&amp;$A91))-IF(RTD("tos.rtd",,$A$2,"."&amp;J$83&amp;J$1&amp;"P"&amp;$A91)="N/A",0,RTD("tos.rtd",,$A$2,"."&amp;J$83&amp;J$1&amp;"P"&amp;$A91))</f>
        <v>0</v>
      </c>
      <c r="K91" s="91">
        <f ca="1">IF(RTD("tos.rtd",,$A$2,"."&amp;K$83&amp;K$1&amp;"C"&amp;$A91)="N/A",0,RTD("tos.rtd",,$A$2,"."&amp;K$83&amp;K$1&amp;"C"&amp;$A91))-IF(RTD("tos.rtd",,$A$2,"."&amp;K$83&amp;K$1&amp;"P"&amp;$A91)="N/A",0,RTD("tos.rtd",,$A$2,"."&amp;K$83&amp;K$1&amp;"P"&amp;$A91))</f>
        <v>0</v>
      </c>
      <c r="L91" s="91">
        <f ca="1">IF(RTD("tos.rtd",,$A$2,"."&amp;L$83&amp;L$1&amp;"C"&amp;$A91)="N/A",0,RTD("tos.rtd",,$A$2,"."&amp;L$83&amp;L$1&amp;"C"&amp;$A91))-IF(RTD("tos.rtd",,$A$2,"."&amp;L$83&amp;L$1&amp;"P"&amp;$A91)="N/A",0,RTD("tos.rtd",,$A$2,"."&amp;L$83&amp;L$1&amp;"P"&amp;$A91))</f>
        <v>-2</v>
      </c>
      <c r="M91" s="91">
        <f ca="1">IF(RTD("tos.rtd",,$A$2,"."&amp;M$83&amp;M$1&amp;"C"&amp;$A91)="N/A",0,RTD("tos.rtd",,$A$2,"."&amp;M$83&amp;M$1&amp;"C"&amp;$A91))-IF(RTD("tos.rtd",,$A$2,"."&amp;M$83&amp;M$1&amp;"P"&amp;$A91)="N/A",0,RTD("tos.rtd",,$A$2,"."&amp;M$83&amp;M$1&amp;"P"&amp;$A91))</f>
        <v>-1</v>
      </c>
      <c r="N91" s="91">
        <f ca="1">IF(RTD("tos.rtd",,$A$2,"."&amp;N$83&amp;N$1&amp;"C"&amp;$A91)="N/A",0,RTD("tos.rtd",,$A$2,"."&amp;N$83&amp;N$1&amp;"C"&amp;$A91))-IF(RTD("tos.rtd",,$A$2,"."&amp;N$83&amp;N$1&amp;"P"&amp;$A91)="N/A",0,RTD("tos.rtd",,$A$2,"."&amp;N$83&amp;N$1&amp;"P"&amp;$A91))</f>
        <v>1</v>
      </c>
      <c r="O91" s="91">
        <f ca="1">IF(RTD("tos.rtd",,$A$2,"."&amp;O$83&amp;O$1&amp;"C"&amp;$A91)="N/A",0,RTD("tos.rtd",,$A$2,"."&amp;O$83&amp;O$1&amp;"C"&amp;$A91))-IF(RTD("tos.rtd",,$A$2,"."&amp;O$83&amp;O$1&amp;"P"&amp;$A91)="N/A",0,RTD("tos.rtd",,$A$2,"."&amp;O$83&amp;O$1&amp;"P"&amp;$A91))</f>
        <v>1</v>
      </c>
      <c r="P91" s="91">
        <f ca="1">IF(RTD("tos.rtd",,$A$2,"."&amp;P$83&amp;P$1&amp;"C"&amp;$A91)="N/A",0,RTD("tos.rtd",,$A$2,"."&amp;P$83&amp;P$1&amp;"C"&amp;$A91))-IF(RTD("tos.rtd",,$A$2,"."&amp;P$83&amp;P$1&amp;"P"&amp;$A91)="N/A",0,RTD("tos.rtd",,$A$2,"."&amp;P$83&amp;P$1&amp;"P"&amp;$A91))</f>
        <v>-80</v>
      </c>
      <c r="Q91" s="91">
        <f ca="1">IF(RTD("tos.rtd",,$A$2,"."&amp;Q$83&amp;Q$1&amp;"C"&amp;$A91)="N/A",0,RTD("tos.rtd",,$A$2,"."&amp;Q$83&amp;Q$1&amp;"C"&amp;$A91))-IF(RTD("tos.rtd",,$A$2,"."&amp;Q$83&amp;Q$1&amp;"P"&amp;$A91)="N/A",0,RTD("tos.rtd",,$A$2,"."&amp;Q$83&amp;Q$1&amp;"P"&amp;$A91))</f>
        <v>-5</v>
      </c>
      <c r="R91" s="91">
        <f ca="1">IF(RTD("tos.rtd",,$A$2,"."&amp;R$83&amp;R$1&amp;"C"&amp;$A91)="N/A",0,RTD("tos.rtd",,$A$2,"."&amp;R$83&amp;R$1&amp;"C"&amp;$A91))-IF(RTD("tos.rtd",,$A$2,"."&amp;R$83&amp;R$1&amp;"P"&amp;$A91)="N/A",0,RTD("tos.rtd",,$A$2,"."&amp;R$83&amp;R$1&amp;"P"&amp;$A91))</f>
        <v>0</v>
      </c>
      <c r="S91" s="91">
        <f ca="1">IF(RTD("tos.rtd",,$A$2,"."&amp;S$83&amp;S$1&amp;"C"&amp;$A91)="N/A",0,RTD("tos.rtd",,$A$2,"."&amp;S$83&amp;S$1&amp;"C"&amp;$A91))-IF(RTD("tos.rtd",,$A$2,"."&amp;S$83&amp;S$1&amp;"P"&amp;$A91)="N/A",0,RTD("tos.rtd",,$A$2,"."&amp;S$83&amp;S$1&amp;"P"&amp;$A91))</f>
        <v>0</v>
      </c>
      <c r="T91" s="91">
        <f ca="1">IF(RTD("tos.rtd",,$A$2,"."&amp;T$83&amp;T$1&amp;"C"&amp;$A91)="N/A",0,RTD("tos.rtd",,$A$2,"."&amp;T$83&amp;T$1&amp;"C"&amp;$A91))-IF(RTD("tos.rtd",,$A$2,"."&amp;T$83&amp;T$1&amp;"P"&amp;$A91)="N/A",0,RTD("tos.rtd",,$A$2,"."&amp;T$83&amp;T$1&amp;"P"&amp;$A91))</f>
        <v>0</v>
      </c>
      <c r="U91" s="91">
        <f ca="1">IF(RTD("tos.rtd",,$A$2,"."&amp;U$83&amp;U$1&amp;"C"&amp;$A91)="N/A",0,RTD("tos.rtd",,$A$2,"."&amp;U$83&amp;U$1&amp;"C"&amp;$A91))-IF(RTD("tos.rtd",,$A$2,"."&amp;U$83&amp;U$1&amp;"P"&amp;$A91)="N/A",0,RTD("tos.rtd",,$A$2,"."&amp;U$83&amp;U$1&amp;"P"&amp;$A91))</f>
        <v>0</v>
      </c>
      <c r="V91" s="91">
        <f ca="1">IF(RTD("tos.rtd",,$A$2,"."&amp;V$83&amp;V$1&amp;"C"&amp;$A91)="N/A",0,RTD("tos.rtd",,$A$2,"."&amp;V$83&amp;V$1&amp;"C"&amp;$A91))-IF(RTD("tos.rtd",,$A$2,"."&amp;V$83&amp;V$1&amp;"P"&amp;$A91)="N/A",0,RTD("tos.rtd",,$A$2,"."&amp;V$83&amp;V$1&amp;"P"&amp;$A91))</f>
        <v>0</v>
      </c>
      <c r="W91" s="91">
        <f ca="1">IF(RTD("tos.rtd",,$A$2,"."&amp;W$83&amp;W$1&amp;"C"&amp;$A91)="N/A",0,RTD("tos.rtd",,$A$2,"."&amp;W$83&amp;W$1&amp;"C"&amp;$A91))-IF(RTD("tos.rtd",,$A$2,"."&amp;W$83&amp;W$1&amp;"P"&amp;$A91)="N/A",0,RTD("tos.rtd",,$A$2,"."&amp;W$83&amp;W$1&amp;"P"&amp;$A91))</f>
        <v>0</v>
      </c>
      <c r="X91" s="91">
        <f ca="1">IF(RTD("tos.rtd",,$A$2,"."&amp;X$83&amp;X$1&amp;"C"&amp;$A91)="N/A",0,RTD("tos.rtd",,$A$2,"."&amp;X$83&amp;X$1&amp;"C"&amp;$A91))-IF(RTD("tos.rtd",,$A$2,"."&amp;X$83&amp;X$1&amp;"P"&amp;$A91)="N/A",0,RTD("tos.rtd",,$A$2,"."&amp;X$83&amp;X$1&amp;"P"&amp;$A91))</f>
        <v>0</v>
      </c>
      <c r="Y91" s="98">
        <f t="shared" ca="1" si="10"/>
        <v>12</v>
      </c>
    </row>
    <row r="92" spans="1:25" x14ac:dyDescent="0.25">
      <c r="A92" s="93">
        <f>+Hoja1!A91</f>
        <v>5960</v>
      </c>
      <c r="B92" s="91">
        <f ca="1">IF(RTD("tos.rtd",,$A$2,"."&amp;B$83&amp;B$1&amp;"C"&amp;$A92)="N/A",0,RTD("tos.rtd",,$A$2,"."&amp;B$83&amp;B$1&amp;"C"&amp;$A92))-IF(RTD("tos.rtd",,$A$2,"."&amp;B$83&amp;B$1&amp;"P"&amp;$A92)="N/A",0,RTD("tos.rtd",,$A$2,"."&amp;B$83&amp;B$1&amp;"P"&amp;$A92))</f>
        <v>0</v>
      </c>
      <c r="C92" s="91">
        <f ca="1">IF(RTD("tos.rtd",,$A$2,"."&amp;C$83&amp;C$1&amp;"C"&amp;$A92)="N/A",0,RTD("tos.rtd",,$A$2,"."&amp;C$83&amp;C$1&amp;"C"&amp;$A92))-IF(RTD("tos.rtd",,$A$2,"."&amp;C$83&amp;C$1&amp;"P"&amp;$A92)="N/A",0,RTD("tos.rtd",,$A$2,"."&amp;C$83&amp;C$1&amp;"P"&amp;$A92))</f>
        <v>0</v>
      </c>
      <c r="D92" s="91">
        <f ca="1">IF(RTD("tos.rtd",,$A$2,"."&amp;D$83&amp;D$1&amp;"C"&amp;$A92)="N/A",0,RTD("tos.rtd",,$A$2,"."&amp;D$83&amp;D$1&amp;"C"&amp;$A92))-IF(RTD("tos.rtd",,$A$2,"."&amp;D$83&amp;D$1&amp;"P"&amp;$A92)="N/A",0,RTD("tos.rtd",,$A$2,"."&amp;D$83&amp;D$1&amp;"P"&amp;$A92))</f>
        <v>0</v>
      </c>
      <c r="E92" s="91">
        <f ca="1">IF(RTD("tos.rtd",,$A$2,"."&amp;E$83&amp;E$1&amp;"C"&amp;$A92)="N/A",0,RTD("tos.rtd",,$A$2,"."&amp;E$83&amp;E$1&amp;"C"&amp;$A92))-IF(RTD("tos.rtd",,$A$2,"."&amp;E$83&amp;E$1&amp;"P"&amp;$A92)="N/A",0,RTD("tos.rtd",,$A$2,"."&amp;E$83&amp;E$1&amp;"P"&amp;$A92))</f>
        <v>0</v>
      </c>
      <c r="F92" s="91">
        <f ca="1">IF(RTD("tos.rtd",,$A$2,"."&amp;F$83&amp;F$1&amp;"C"&amp;$A92)="N/A",0,RTD("tos.rtd",,$A$2,"."&amp;F$83&amp;F$1&amp;"C"&amp;$A92))-IF(RTD("tos.rtd",,$A$2,"."&amp;F$83&amp;F$1&amp;"P"&amp;$A92)="N/A",0,RTD("tos.rtd",,$A$2,"."&amp;F$83&amp;F$1&amp;"P"&amp;$A92))</f>
        <v>0</v>
      </c>
      <c r="G92" s="91">
        <f ca="1">IF(RTD("tos.rtd",,$A$2,"."&amp;G$83&amp;G$1&amp;"C"&amp;$A92)="N/A",0,RTD("tos.rtd",,$A$2,"."&amp;G$83&amp;G$1&amp;"C"&amp;$A92))-IF(RTD("tos.rtd",,$A$2,"."&amp;G$83&amp;G$1&amp;"P"&amp;$A92)="N/A",0,RTD("tos.rtd",,$A$2,"."&amp;G$83&amp;G$1&amp;"P"&amp;$A92))</f>
        <v>0</v>
      </c>
      <c r="H92" s="91">
        <f ca="1">IF(RTD("tos.rtd",,$A$2,"."&amp;H$83&amp;H$1&amp;"C"&amp;$A92)="N/A",0,RTD("tos.rtd",,$A$2,"."&amp;H$83&amp;H$1&amp;"C"&amp;$A92))-IF(RTD("tos.rtd",,$A$2,"."&amp;H$83&amp;H$1&amp;"P"&amp;$A92)="N/A",0,RTD("tos.rtd",,$A$2,"."&amp;H$83&amp;H$1&amp;"P"&amp;$A92))</f>
        <v>0</v>
      </c>
      <c r="I92" s="91">
        <f ca="1">IF(RTD("tos.rtd",,$A$2,"."&amp;I$83&amp;I$1&amp;"C"&amp;$A92)="N/A",0,RTD("tos.rtd",,$A$2,"."&amp;I$83&amp;I$1&amp;"C"&amp;$A92))-IF(RTD("tos.rtd",,$A$2,"."&amp;I$83&amp;I$1&amp;"P"&amp;$A92)="N/A",0,RTD("tos.rtd",,$A$2,"."&amp;I$83&amp;I$1&amp;"P"&amp;$A92))</f>
        <v>217</v>
      </c>
      <c r="J92" s="91">
        <f ca="1">IF(RTD("tos.rtd",,$A$2,"."&amp;J$83&amp;J$1&amp;"C"&amp;$A92)="N/A",0,RTD("tos.rtd",,$A$2,"."&amp;J$83&amp;J$1&amp;"C"&amp;$A92))-IF(RTD("tos.rtd",,$A$2,"."&amp;J$83&amp;J$1&amp;"P"&amp;$A92)="N/A",0,RTD("tos.rtd",,$A$2,"."&amp;J$83&amp;J$1&amp;"P"&amp;$A92))</f>
        <v>0</v>
      </c>
      <c r="K92" s="91">
        <f ca="1">IF(RTD("tos.rtd",,$A$2,"."&amp;K$83&amp;K$1&amp;"C"&amp;$A92)="N/A",0,RTD("tos.rtd",,$A$2,"."&amp;K$83&amp;K$1&amp;"C"&amp;$A92))-IF(RTD("tos.rtd",,$A$2,"."&amp;K$83&amp;K$1&amp;"P"&amp;$A92)="N/A",0,RTD("tos.rtd",,$A$2,"."&amp;K$83&amp;K$1&amp;"P"&amp;$A92))</f>
        <v>0</v>
      </c>
      <c r="L92" s="91">
        <f ca="1">IF(RTD("tos.rtd",,$A$2,"."&amp;L$83&amp;L$1&amp;"C"&amp;$A92)="N/A",0,RTD("tos.rtd",,$A$2,"."&amp;L$83&amp;L$1&amp;"C"&amp;$A92))-IF(RTD("tos.rtd",,$A$2,"."&amp;L$83&amp;L$1&amp;"P"&amp;$A92)="N/A",0,RTD("tos.rtd",,$A$2,"."&amp;L$83&amp;L$1&amp;"P"&amp;$A92))</f>
        <v>10</v>
      </c>
      <c r="M92" s="91">
        <f ca="1">IF(RTD("tos.rtd",,$A$2,"."&amp;M$83&amp;M$1&amp;"C"&amp;$A92)="N/A",0,RTD("tos.rtd",,$A$2,"."&amp;M$83&amp;M$1&amp;"C"&amp;$A92))-IF(RTD("tos.rtd",,$A$2,"."&amp;M$83&amp;M$1&amp;"P"&amp;$A92)="N/A",0,RTD("tos.rtd",,$A$2,"."&amp;M$83&amp;M$1&amp;"P"&amp;$A92))</f>
        <v>0</v>
      </c>
      <c r="N92" s="91">
        <f ca="1">IF(RTD("tos.rtd",,$A$2,"."&amp;N$83&amp;N$1&amp;"C"&amp;$A92)="N/A",0,RTD("tos.rtd",,$A$2,"."&amp;N$83&amp;N$1&amp;"C"&amp;$A92))-IF(RTD("tos.rtd",,$A$2,"."&amp;N$83&amp;N$1&amp;"P"&amp;$A92)="N/A",0,RTD("tos.rtd",,$A$2,"."&amp;N$83&amp;N$1&amp;"P"&amp;$A92))</f>
        <v>0</v>
      </c>
      <c r="O92" s="91">
        <f ca="1">IF(RTD("tos.rtd",,$A$2,"."&amp;O$83&amp;O$1&amp;"C"&amp;$A92)="N/A",0,RTD("tos.rtd",,$A$2,"."&amp;O$83&amp;O$1&amp;"C"&amp;$A92))-IF(RTD("tos.rtd",,$A$2,"."&amp;O$83&amp;O$1&amp;"P"&amp;$A92)="N/A",0,RTD("tos.rtd",,$A$2,"."&amp;O$83&amp;O$1&amp;"P"&amp;$A92))</f>
        <v>0</v>
      </c>
      <c r="P92" s="91">
        <f ca="1">IF(RTD("tos.rtd",,$A$2,"."&amp;P$83&amp;P$1&amp;"C"&amp;$A92)="N/A",0,RTD("tos.rtd",,$A$2,"."&amp;P$83&amp;P$1&amp;"C"&amp;$A92))-IF(RTD("tos.rtd",,$A$2,"."&amp;P$83&amp;P$1&amp;"P"&amp;$A92)="N/A",0,RTD("tos.rtd",,$A$2,"."&amp;P$83&amp;P$1&amp;"P"&amp;$A92))</f>
        <v>0</v>
      </c>
      <c r="Q92" s="91">
        <f ca="1">IF(RTD("tos.rtd",,$A$2,"."&amp;Q$83&amp;Q$1&amp;"C"&amp;$A92)="N/A",0,RTD("tos.rtd",,$A$2,"."&amp;Q$83&amp;Q$1&amp;"C"&amp;$A92))-IF(RTD("tos.rtd",,$A$2,"."&amp;Q$83&amp;Q$1&amp;"P"&amp;$A92)="N/A",0,RTD("tos.rtd",,$A$2,"."&amp;Q$83&amp;Q$1&amp;"P"&amp;$A92))</f>
        <v>0</v>
      </c>
      <c r="R92" s="91">
        <f ca="1">IF(RTD("tos.rtd",,$A$2,"."&amp;R$83&amp;R$1&amp;"C"&amp;$A92)="N/A",0,RTD("tos.rtd",,$A$2,"."&amp;R$83&amp;R$1&amp;"C"&amp;$A92))-IF(RTD("tos.rtd",,$A$2,"."&amp;R$83&amp;R$1&amp;"P"&amp;$A92)="N/A",0,RTD("tos.rtd",,$A$2,"."&amp;R$83&amp;R$1&amp;"P"&amp;$A92))</f>
        <v>0</v>
      </c>
      <c r="S92" s="91">
        <f ca="1">IF(RTD("tos.rtd",,$A$2,"."&amp;S$83&amp;S$1&amp;"C"&amp;$A92)="N/A",0,RTD("tos.rtd",,$A$2,"."&amp;S$83&amp;S$1&amp;"C"&amp;$A92))-IF(RTD("tos.rtd",,$A$2,"."&amp;S$83&amp;S$1&amp;"P"&amp;$A92)="N/A",0,RTD("tos.rtd",,$A$2,"."&amp;S$83&amp;S$1&amp;"P"&amp;$A92))</f>
        <v>0</v>
      </c>
      <c r="T92" s="91">
        <f ca="1">IF(RTD("tos.rtd",,$A$2,"."&amp;T$83&amp;T$1&amp;"C"&amp;$A92)="N/A",0,RTD("tos.rtd",,$A$2,"."&amp;T$83&amp;T$1&amp;"C"&amp;$A92))-IF(RTD("tos.rtd",,$A$2,"."&amp;T$83&amp;T$1&amp;"P"&amp;$A92)="N/A",0,RTD("tos.rtd",,$A$2,"."&amp;T$83&amp;T$1&amp;"P"&amp;$A92))</f>
        <v>0</v>
      </c>
      <c r="U92" s="91">
        <f ca="1">IF(RTD("tos.rtd",,$A$2,"."&amp;U$83&amp;U$1&amp;"C"&amp;$A92)="N/A",0,RTD("tos.rtd",,$A$2,"."&amp;U$83&amp;U$1&amp;"C"&amp;$A92))-IF(RTD("tos.rtd",,$A$2,"."&amp;U$83&amp;U$1&amp;"P"&amp;$A92)="N/A",0,RTD("tos.rtd",,$A$2,"."&amp;U$83&amp;U$1&amp;"P"&amp;$A92))</f>
        <v>0</v>
      </c>
      <c r="V92" s="91">
        <f ca="1">IF(RTD("tos.rtd",,$A$2,"."&amp;V$83&amp;V$1&amp;"C"&amp;$A92)="N/A",0,RTD("tos.rtd",,$A$2,"."&amp;V$83&amp;V$1&amp;"C"&amp;$A92))-IF(RTD("tos.rtd",,$A$2,"."&amp;V$83&amp;V$1&amp;"P"&amp;$A92)="N/A",0,RTD("tos.rtd",,$A$2,"."&amp;V$83&amp;V$1&amp;"P"&amp;$A92))</f>
        <v>0</v>
      </c>
      <c r="W92" s="91">
        <f ca="1">IF(RTD("tos.rtd",,$A$2,"."&amp;W$83&amp;W$1&amp;"C"&amp;$A92)="N/A",0,RTD("tos.rtd",,$A$2,"."&amp;W$83&amp;W$1&amp;"C"&amp;$A92))-IF(RTD("tos.rtd",,$A$2,"."&amp;W$83&amp;W$1&amp;"P"&amp;$A92)="N/A",0,RTD("tos.rtd",,$A$2,"."&amp;W$83&amp;W$1&amp;"P"&amp;$A92))</f>
        <v>0</v>
      </c>
      <c r="X92" s="91">
        <f ca="1">IF(RTD("tos.rtd",,$A$2,"."&amp;X$83&amp;X$1&amp;"C"&amp;$A92)="N/A",0,RTD("tos.rtd",,$A$2,"."&amp;X$83&amp;X$1&amp;"C"&amp;$A92))-IF(RTD("tos.rtd",,$A$2,"."&amp;X$83&amp;X$1&amp;"P"&amp;$A92)="N/A",0,RTD("tos.rtd",,$A$2,"."&amp;X$83&amp;X$1&amp;"P"&amp;$A92))</f>
        <v>0</v>
      </c>
      <c r="Y92" s="98">
        <f t="shared" ca="1" si="10"/>
        <v>227</v>
      </c>
    </row>
    <row r="93" spans="1:25" x14ac:dyDescent="0.25">
      <c r="A93" s="93">
        <f>+Hoja1!A92</f>
        <v>5950</v>
      </c>
      <c r="B93" s="91">
        <f ca="1">IF(RTD("tos.rtd",,$A$2,"."&amp;B$83&amp;B$1&amp;"C"&amp;$A93)="N/A",0,RTD("tos.rtd",,$A$2,"."&amp;B$83&amp;B$1&amp;"C"&amp;$A93))-IF(RTD("tos.rtd",,$A$2,"."&amp;B$83&amp;B$1&amp;"P"&amp;$A93)="N/A",0,RTD("tos.rtd",,$A$2,"."&amp;B$83&amp;B$1&amp;"P"&amp;$A93))</f>
        <v>0</v>
      </c>
      <c r="C93" s="91">
        <f ca="1">IF(RTD("tos.rtd",,$A$2,"."&amp;C$83&amp;C$1&amp;"C"&amp;$A93)="N/A",0,RTD("tos.rtd",,$A$2,"."&amp;C$83&amp;C$1&amp;"C"&amp;$A93))-IF(RTD("tos.rtd",,$A$2,"."&amp;C$83&amp;C$1&amp;"P"&amp;$A93)="N/A",0,RTD("tos.rtd",,$A$2,"."&amp;C$83&amp;C$1&amp;"P"&amp;$A93))</f>
        <v>0</v>
      </c>
      <c r="D93" s="91">
        <f ca="1">IF(RTD("tos.rtd",,$A$2,"."&amp;D$83&amp;D$1&amp;"C"&amp;$A93)="N/A",0,RTD("tos.rtd",,$A$2,"."&amp;D$83&amp;D$1&amp;"C"&amp;$A93))-IF(RTD("tos.rtd",,$A$2,"."&amp;D$83&amp;D$1&amp;"P"&amp;$A93)="N/A",0,RTD("tos.rtd",,$A$2,"."&amp;D$83&amp;D$1&amp;"P"&amp;$A93))</f>
        <v>0</v>
      </c>
      <c r="E93" s="91">
        <f ca="1">IF(RTD("tos.rtd",,$A$2,"."&amp;E$83&amp;E$1&amp;"C"&amp;$A93)="N/A",0,RTD("tos.rtd",,$A$2,"."&amp;E$83&amp;E$1&amp;"C"&amp;$A93))-IF(RTD("tos.rtd",,$A$2,"."&amp;E$83&amp;E$1&amp;"P"&amp;$A93)="N/A",0,RTD("tos.rtd",,$A$2,"."&amp;E$83&amp;E$1&amp;"P"&amp;$A93))</f>
        <v>0</v>
      </c>
      <c r="F93" s="91">
        <f ca="1">IF(RTD("tos.rtd",,$A$2,"."&amp;F$83&amp;F$1&amp;"C"&amp;$A93)="N/A",0,RTD("tos.rtd",,$A$2,"."&amp;F$83&amp;F$1&amp;"C"&amp;$A93))-IF(RTD("tos.rtd",,$A$2,"."&amp;F$83&amp;F$1&amp;"P"&amp;$A93)="N/A",0,RTD("tos.rtd",,$A$2,"."&amp;F$83&amp;F$1&amp;"P"&amp;$A93))</f>
        <v>0</v>
      </c>
      <c r="G93" s="91">
        <f ca="1">IF(RTD("tos.rtd",,$A$2,"."&amp;G$83&amp;G$1&amp;"C"&amp;$A93)="N/A",0,RTD("tos.rtd",,$A$2,"."&amp;G$83&amp;G$1&amp;"C"&amp;$A93))-IF(RTD("tos.rtd",,$A$2,"."&amp;G$83&amp;G$1&amp;"P"&amp;$A93)="N/A",0,RTD("tos.rtd",,$A$2,"."&amp;G$83&amp;G$1&amp;"P"&amp;$A93))</f>
        <v>0</v>
      </c>
      <c r="H93" s="91">
        <f ca="1">IF(RTD("tos.rtd",,$A$2,"."&amp;H$83&amp;H$1&amp;"C"&amp;$A93)="N/A",0,RTD("tos.rtd",,$A$2,"."&amp;H$83&amp;H$1&amp;"C"&amp;$A93))-IF(RTD("tos.rtd",,$A$2,"."&amp;H$83&amp;H$1&amp;"P"&amp;$A93)="N/A",0,RTD("tos.rtd",,$A$2,"."&amp;H$83&amp;H$1&amp;"P"&amp;$A93))</f>
        <v>0</v>
      </c>
      <c r="I93" s="91">
        <f ca="1">IF(RTD("tos.rtd",,$A$2,"."&amp;I$83&amp;I$1&amp;"C"&amp;$A93)="N/A",0,RTD("tos.rtd",,$A$2,"."&amp;I$83&amp;I$1&amp;"C"&amp;$A93))-IF(RTD("tos.rtd",,$A$2,"."&amp;I$83&amp;I$1&amp;"P"&amp;$A93)="N/A",0,RTD("tos.rtd",,$A$2,"."&amp;I$83&amp;I$1&amp;"P"&amp;$A93))</f>
        <v>604</v>
      </c>
      <c r="J93" s="91">
        <f ca="1">IF(RTD("tos.rtd",,$A$2,"."&amp;J$83&amp;J$1&amp;"C"&amp;$A93)="N/A",0,RTD("tos.rtd",,$A$2,"."&amp;J$83&amp;J$1&amp;"C"&amp;$A93))-IF(RTD("tos.rtd",,$A$2,"."&amp;J$83&amp;J$1&amp;"P"&amp;$A93)="N/A",0,RTD("tos.rtd",,$A$2,"."&amp;J$83&amp;J$1&amp;"P"&amp;$A93))</f>
        <v>361</v>
      </c>
      <c r="K93" s="91">
        <f ca="1">IF(RTD("tos.rtd",,$A$2,"."&amp;K$83&amp;K$1&amp;"C"&amp;$A93)="N/A",0,RTD("tos.rtd",,$A$2,"."&amp;K$83&amp;K$1&amp;"C"&amp;$A93))-IF(RTD("tos.rtd",,$A$2,"."&amp;K$83&amp;K$1&amp;"P"&amp;$A93)="N/A",0,RTD("tos.rtd",,$A$2,"."&amp;K$83&amp;K$1&amp;"P"&amp;$A93))</f>
        <v>0</v>
      </c>
      <c r="L93" s="91">
        <f ca="1">IF(RTD("tos.rtd",,$A$2,"."&amp;L$83&amp;L$1&amp;"C"&amp;$A93)="N/A",0,RTD("tos.rtd",,$A$2,"."&amp;L$83&amp;L$1&amp;"C"&amp;$A93))-IF(RTD("tos.rtd",,$A$2,"."&amp;L$83&amp;L$1&amp;"P"&amp;$A93)="N/A",0,RTD("tos.rtd",,$A$2,"."&amp;L$83&amp;L$1&amp;"P"&amp;$A93))</f>
        <v>231</v>
      </c>
      <c r="M93" s="91">
        <f ca="1">IF(RTD("tos.rtd",,$A$2,"."&amp;M$83&amp;M$1&amp;"C"&amp;$A93)="N/A",0,RTD("tos.rtd",,$A$2,"."&amp;M$83&amp;M$1&amp;"C"&amp;$A93))-IF(RTD("tos.rtd",,$A$2,"."&amp;M$83&amp;M$1&amp;"P"&amp;$A93)="N/A",0,RTD("tos.rtd",,$A$2,"."&amp;M$83&amp;M$1&amp;"P"&amp;$A93))</f>
        <v>640</v>
      </c>
      <c r="N93" s="91">
        <f ca="1">IF(RTD("tos.rtd",,$A$2,"."&amp;N$83&amp;N$1&amp;"C"&amp;$A93)="N/A",0,RTD("tos.rtd",,$A$2,"."&amp;N$83&amp;N$1&amp;"C"&amp;$A93))-IF(RTD("tos.rtd",,$A$2,"."&amp;N$83&amp;N$1&amp;"P"&amp;$A93)="N/A",0,RTD("tos.rtd",,$A$2,"."&amp;N$83&amp;N$1&amp;"P"&amp;$A93))</f>
        <v>1</v>
      </c>
      <c r="O93" s="91">
        <f ca="1">IF(RTD("tos.rtd",,$A$2,"."&amp;O$83&amp;O$1&amp;"C"&amp;$A93)="N/A",0,RTD("tos.rtd",,$A$2,"."&amp;O$83&amp;O$1&amp;"C"&amp;$A93))-IF(RTD("tos.rtd",,$A$2,"."&amp;O$83&amp;O$1&amp;"P"&amp;$A93)="N/A",0,RTD("tos.rtd",,$A$2,"."&amp;O$83&amp;O$1&amp;"P"&amp;$A93))</f>
        <v>552</v>
      </c>
      <c r="P93" s="91">
        <f ca="1">IF(RTD("tos.rtd",,$A$2,"."&amp;P$83&amp;P$1&amp;"C"&amp;$A93)="N/A",0,RTD("tos.rtd",,$A$2,"."&amp;P$83&amp;P$1&amp;"C"&amp;$A93))-IF(RTD("tos.rtd",,$A$2,"."&amp;P$83&amp;P$1&amp;"P"&amp;$A93)="N/A",0,RTD("tos.rtd",,$A$2,"."&amp;P$83&amp;P$1&amp;"P"&amp;$A93))</f>
        <v>-19</v>
      </c>
      <c r="Q93" s="91">
        <f ca="1">IF(RTD("tos.rtd",,$A$2,"."&amp;Q$83&amp;Q$1&amp;"C"&amp;$A93)="N/A",0,RTD("tos.rtd",,$A$2,"."&amp;Q$83&amp;Q$1&amp;"C"&amp;$A93))-IF(RTD("tos.rtd",,$A$2,"."&amp;Q$83&amp;Q$1&amp;"P"&amp;$A93)="N/A",0,RTD("tos.rtd",,$A$2,"."&amp;Q$83&amp;Q$1&amp;"P"&amp;$A93))</f>
        <v>42</v>
      </c>
      <c r="R93" s="91">
        <f ca="1">IF(RTD("tos.rtd",,$A$2,"."&amp;R$83&amp;R$1&amp;"C"&amp;$A93)="N/A",0,RTD("tos.rtd",,$A$2,"."&amp;R$83&amp;R$1&amp;"C"&amp;$A93))-IF(RTD("tos.rtd",,$A$2,"."&amp;R$83&amp;R$1&amp;"P"&amp;$A93)="N/A",0,RTD("tos.rtd",,$A$2,"."&amp;R$83&amp;R$1&amp;"P"&amp;$A93))</f>
        <v>-9</v>
      </c>
      <c r="S93" s="91">
        <f ca="1">IF(RTD("tos.rtd",,$A$2,"."&amp;S$83&amp;S$1&amp;"C"&amp;$A93)="N/A",0,RTD("tos.rtd",,$A$2,"."&amp;S$83&amp;S$1&amp;"C"&amp;$A93))-IF(RTD("tos.rtd",,$A$2,"."&amp;S$83&amp;S$1&amp;"P"&amp;$A93)="N/A",0,RTD("tos.rtd",,$A$2,"."&amp;S$83&amp;S$1&amp;"P"&amp;$A93))</f>
        <v>28</v>
      </c>
      <c r="T93" s="91">
        <f ca="1">IF(RTD("tos.rtd",,$A$2,"."&amp;T$83&amp;T$1&amp;"C"&amp;$A93)="N/A",0,RTD("tos.rtd",,$A$2,"."&amp;T$83&amp;T$1&amp;"C"&amp;$A93))-IF(RTD("tos.rtd",,$A$2,"."&amp;T$83&amp;T$1&amp;"P"&amp;$A93)="N/A",0,RTD("tos.rtd",,$A$2,"."&amp;T$83&amp;T$1&amp;"P"&amp;$A93))</f>
        <v>0</v>
      </c>
      <c r="U93" s="91">
        <f ca="1">IF(RTD("tos.rtd",,$A$2,"."&amp;U$83&amp;U$1&amp;"C"&amp;$A93)="N/A",0,RTD("tos.rtd",,$A$2,"."&amp;U$83&amp;U$1&amp;"C"&amp;$A93))-IF(RTD("tos.rtd",,$A$2,"."&amp;U$83&amp;U$1&amp;"P"&amp;$A93)="N/A",0,RTD("tos.rtd",,$A$2,"."&amp;U$83&amp;U$1&amp;"P"&amp;$A93))</f>
        <v>0</v>
      </c>
      <c r="V93" s="91">
        <f ca="1">IF(RTD("tos.rtd",,$A$2,"."&amp;V$83&amp;V$1&amp;"C"&amp;$A93)="N/A",0,RTD("tos.rtd",,$A$2,"."&amp;V$83&amp;V$1&amp;"C"&amp;$A93))-IF(RTD("tos.rtd",,$A$2,"."&amp;V$83&amp;V$1&amp;"P"&amp;$A93)="N/A",0,RTD("tos.rtd",,$A$2,"."&amp;V$83&amp;V$1&amp;"P"&amp;$A93))</f>
        <v>0</v>
      </c>
      <c r="W93" s="91">
        <f ca="1">IF(RTD("tos.rtd",,$A$2,"."&amp;W$83&amp;W$1&amp;"C"&amp;$A93)="N/A",0,RTD("tos.rtd",,$A$2,"."&amp;W$83&amp;W$1&amp;"C"&amp;$A93))-IF(RTD("tos.rtd",,$A$2,"."&amp;W$83&amp;W$1&amp;"P"&amp;$A93)="N/A",0,RTD("tos.rtd",,$A$2,"."&amp;W$83&amp;W$1&amp;"P"&amp;$A93))</f>
        <v>-255</v>
      </c>
      <c r="X93" s="91">
        <f ca="1">IF(RTD("tos.rtd",,$A$2,"."&amp;X$83&amp;X$1&amp;"C"&amp;$A93)="N/A",0,RTD("tos.rtd",,$A$2,"."&amp;X$83&amp;X$1&amp;"C"&amp;$A93))-IF(RTD("tos.rtd",,$A$2,"."&amp;X$83&amp;X$1&amp;"P"&amp;$A93)="N/A",0,RTD("tos.rtd",,$A$2,"."&amp;X$83&amp;X$1&amp;"P"&amp;$A93))</f>
        <v>0</v>
      </c>
      <c r="Y93" s="98">
        <f t="shared" ca="1" si="10"/>
        <v>2176</v>
      </c>
    </row>
    <row r="94" spans="1:25" x14ac:dyDescent="0.25">
      <c r="A94" s="93">
        <f>+Hoja1!A93</f>
        <v>5940</v>
      </c>
      <c r="B94" s="91">
        <f ca="1">IF(RTD("tos.rtd",,$A$2,"."&amp;B$83&amp;B$1&amp;"C"&amp;$A94)="N/A",0,RTD("tos.rtd",,$A$2,"."&amp;B$83&amp;B$1&amp;"C"&amp;$A94))-IF(RTD("tos.rtd",,$A$2,"."&amp;B$83&amp;B$1&amp;"P"&amp;$A94)="N/A",0,RTD("tos.rtd",,$A$2,"."&amp;B$83&amp;B$1&amp;"P"&amp;$A94))</f>
        <v>0</v>
      </c>
      <c r="C94" s="91">
        <f ca="1">IF(RTD("tos.rtd",,$A$2,"."&amp;C$83&amp;C$1&amp;"C"&amp;$A94)="N/A",0,RTD("tos.rtd",,$A$2,"."&amp;C$83&amp;C$1&amp;"C"&amp;$A94))-IF(RTD("tos.rtd",,$A$2,"."&amp;C$83&amp;C$1&amp;"P"&amp;$A94)="N/A",0,RTD("tos.rtd",,$A$2,"."&amp;C$83&amp;C$1&amp;"P"&amp;$A94))</f>
        <v>0</v>
      </c>
      <c r="D94" s="91">
        <f ca="1">IF(RTD("tos.rtd",,$A$2,"."&amp;D$83&amp;D$1&amp;"C"&amp;$A94)="N/A",0,RTD("tos.rtd",,$A$2,"."&amp;D$83&amp;D$1&amp;"C"&amp;$A94))-IF(RTD("tos.rtd",,$A$2,"."&amp;D$83&amp;D$1&amp;"P"&amp;$A94)="N/A",0,RTD("tos.rtd",,$A$2,"."&amp;D$83&amp;D$1&amp;"P"&amp;$A94))</f>
        <v>0</v>
      </c>
      <c r="E94" s="91">
        <f ca="1">IF(RTD("tos.rtd",,$A$2,"."&amp;E$83&amp;E$1&amp;"C"&amp;$A94)="N/A",0,RTD("tos.rtd",,$A$2,"."&amp;E$83&amp;E$1&amp;"C"&amp;$A94))-IF(RTD("tos.rtd",,$A$2,"."&amp;E$83&amp;E$1&amp;"P"&amp;$A94)="N/A",0,RTD("tos.rtd",,$A$2,"."&amp;E$83&amp;E$1&amp;"P"&amp;$A94))</f>
        <v>0</v>
      </c>
      <c r="F94" s="91">
        <f ca="1">IF(RTD("tos.rtd",,$A$2,"."&amp;F$83&amp;F$1&amp;"C"&amp;$A94)="N/A",0,RTD("tos.rtd",,$A$2,"."&amp;F$83&amp;F$1&amp;"C"&amp;$A94))-IF(RTD("tos.rtd",,$A$2,"."&amp;F$83&amp;F$1&amp;"P"&amp;$A94)="N/A",0,RTD("tos.rtd",,$A$2,"."&amp;F$83&amp;F$1&amp;"P"&amp;$A94))</f>
        <v>0</v>
      </c>
      <c r="G94" s="91">
        <f ca="1">IF(RTD("tos.rtd",,$A$2,"."&amp;G$83&amp;G$1&amp;"C"&amp;$A94)="N/A",0,RTD("tos.rtd",,$A$2,"."&amp;G$83&amp;G$1&amp;"C"&amp;$A94))-IF(RTD("tos.rtd",,$A$2,"."&amp;G$83&amp;G$1&amp;"P"&amp;$A94)="N/A",0,RTD("tos.rtd",,$A$2,"."&amp;G$83&amp;G$1&amp;"P"&amp;$A94))</f>
        <v>0</v>
      </c>
      <c r="H94" s="91">
        <f ca="1">IF(RTD("tos.rtd",,$A$2,"."&amp;H$83&amp;H$1&amp;"C"&amp;$A94)="N/A",0,RTD("tos.rtd",,$A$2,"."&amp;H$83&amp;H$1&amp;"C"&amp;$A94))-IF(RTD("tos.rtd",,$A$2,"."&amp;H$83&amp;H$1&amp;"P"&amp;$A94)="N/A",0,RTD("tos.rtd",,$A$2,"."&amp;H$83&amp;H$1&amp;"P"&amp;$A94))</f>
        <v>0</v>
      </c>
      <c r="I94" s="91">
        <f ca="1">IF(RTD("tos.rtd",,$A$2,"."&amp;I$83&amp;I$1&amp;"C"&amp;$A94)="N/A",0,RTD("tos.rtd",,$A$2,"."&amp;I$83&amp;I$1&amp;"C"&amp;$A94))-IF(RTD("tos.rtd",,$A$2,"."&amp;I$83&amp;I$1&amp;"P"&amp;$A94)="N/A",0,RTD("tos.rtd",,$A$2,"."&amp;I$83&amp;I$1&amp;"P"&amp;$A94))</f>
        <v>180</v>
      </c>
      <c r="J94" s="91">
        <f ca="1">IF(RTD("tos.rtd",,$A$2,"."&amp;J$83&amp;J$1&amp;"C"&amp;$A94)="N/A",0,RTD("tos.rtd",,$A$2,"."&amp;J$83&amp;J$1&amp;"C"&amp;$A94))-IF(RTD("tos.rtd",,$A$2,"."&amp;J$83&amp;J$1&amp;"P"&amp;$A94)="N/A",0,RTD("tos.rtd",,$A$2,"."&amp;J$83&amp;J$1&amp;"P"&amp;$A94))</f>
        <v>9</v>
      </c>
      <c r="K94" s="91">
        <f ca="1">IF(RTD("tos.rtd",,$A$2,"."&amp;K$83&amp;K$1&amp;"C"&amp;$A94)="N/A",0,RTD("tos.rtd",,$A$2,"."&amp;K$83&amp;K$1&amp;"C"&amp;$A94))-IF(RTD("tos.rtd",,$A$2,"."&amp;K$83&amp;K$1&amp;"P"&amp;$A94)="N/A",0,RTD("tos.rtd",,$A$2,"."&amp;K$83&amp;K$1&amp;"P"&amp;$A94))</f>
        <v>0</v>
      </c>
      <c r="L94" s="91">
        <f ca="1">IF(RTD("tos.rtd",,$A$2,"."&amp;L$83&amp;L$1&amp;"C"&amp;$A94)="N/A",0,RTD("tos.rtd",,$A$2,"."&amp;L$83&amp;L$1&amp;"C"&amp;$A94))-IF(RTD("tos.rtd",,$A$2,"."&amp;L$83&amp;L$1&amp;"P"&amp;$A94)="N/A",0,RTD("tos.rtd",,$A$2,"."&amp;L$83&amp;L$1&amp;"P"&amp;$A94))</f>
        <v>52</v>
      </c>
      <c r="M94" s="91">
        <f ca="1">IF(RTD("tos.rtd",,$A$2,"."&amp;M$83&amp;M$1&amp;"C"&amp;$A94)="N/A",0,RTD("tos.rtd",,$A$2,"."&amp;M$83&amp;M$1&amp;"C"&amp;$A94))-IF(RTD("tos.rtd",,$A$2,"."&amp;M$83&amp;M$1&amp;"P"&amp;$A94)="N/A",0,RTD("tos.rtd",,$A$2,"."&amp;M$83&amp;M$1&amp;"P"&amp;$A94))</f>
        <v>-5</v>
      </c>
      <c r="N94" s="91">
        <f ca="1">IF(RTD("tos.rtd",,$A$2,"."&amp;N$83&amp;N$1&amp;"C"&amp;$A94)="N/A",0,RTD("tos.rtd",,$A$2,"."&amp;N$83&amp;N$1&amp;"C"&amp;$A94))-IF(RTD("tos.rtd",,$A$2,"."&amp;N$83&amp;N$1&amp;"P"&amp;$A94)="N/A",0,RTD("tos.rtd",,$A$2,"."&amp;N$83&amp;N$1&amp;"P"&amp;$A94))</f>
        <v>0</v>
      </c>
      <c r="O94" s="91">
        <f ca="1">IF(RTD("tos.rtd",,$A$2,"."&amp;O$83&amp;O$1&amp;"C"&amp;$A94)="N/A",0,RTD("tos.rtd",,$A$2,"."&amp;O$83&amp;O$1&amp;"C"&amp;$A94))-IF(RTD("tos.rtd",,$A$2,"."&amp;O$83&amp;O$1&amp;"P"&amp;$A94)="N/A",0,RTD("tos.rtd",,$A$2,"."&amp;O$83&amp;O$1&amp;"P"&amp;$A94))</f>
        <v>0</v>
      </c>
      <c r="P94" s="91">
        <f ca="1">IF(RTD("tos.rtd",,$A$2,"."&amp;P$83&amp;P$1&amp;"C"&amp;$A94)="N/A",0,RTD("tos.rtd",,$A$2,"."&amp;P$83&amp;P$1&amp;"C"&amp;$A94))-IF(RTD("tos.rtd",,$A$2,"."&amp;P$83&amp;P$1&amp;"P"&amp;$A94)="N/A",0,RTD("tos.rtd",,$A$2,"."&amp;P$83&amp;P$1&amp;"P"&amp;$A94))</f>
        <v>0</v>
      </c>
      <c r="Q94" s="91">
        <f ca="1">IF(RTD("tos.rtd",,$A$2,"."&amp;Q$83&amp;Q$1&amp;"C"&amp;$A94)="N/A",0,RTD("tos.rtd",,$A$2,"."&amp;Q$83&amp;Q$1&amp;"C"&amp;$A94))-IF(RTD("tos.rtd",,$A$2,"."&amp;Q$83&amp;Q$1&amp;"P"&amp;$A94)="N/A",0,RTD("tos.rtd",,$A$2,"."&amp;Q$83&amp;Q$1&amp;"P"&amp;$A94))</f>
        <v>0</v>
      </c>
      <c r="R94" s="91">
        <f ca="1">IF(RTD("tos.rtd",,$A$2,"."&amp;R$83&amp;R$1&amp;"C"&amp;$A94)="N/A",0,RTD("tos.rtd",,$A$2,"."&amp;R$83&amp;R$1&amp;"C"&amp;$A94))-IF(RTD("tos.rtd",,$A$2,"."&amp;R$83&amp;R$1&amp;"P"&amp;$A94)="N/A",0,RTD("tos.rtd",,$A$2,"."&amp;R$83&amp;R$1&amp;"P"&amp;$A94))</f>
        <v>0</v>
      </c>
      <c r="S94" s="91">
        <f ca="1">IF(RTD("tos.rtd",,$A$2,"."&amp;S$83&amp;S$1&amp;"C"&amp;$A94)="N/A",0,RTD("tos.rtd",,$A$2,"."&amp;S$83&amp;S$1&amp;"C"&amp;$A94))-IF(RTD("tos.rtd",,$A$2,"."&amp;S$83&amp;S$1&amp;"P"&amp;$A94)="N/A",0,RTD("tos.rtd",,$A$2,"."&amp;S$83&amp;S$1&amp;"P"&amp;$A94))</f>
        <v>0</v>
      </c>
      <c r="T94" s="91">
        <f ca="1">IF(RTD("tos.rtd",,$A$2,"."&amp;T$83&amp;T$1&amp;"C"&amp;$A94)="N/A",0,RTD("tos.rtd",,$A$2,"."&amp;T$83&amp;T$1&amp;"C"&amp;$A94))-IF(RTD("tos.rtd",,$A$2,"."&amp;T$83&amp;T$1&amp;"P"&amp;$A94)="N/A",0,RTD("tos.rtd",,$A$2,"."&amp;T$83&amp;T$1&amp;"P"&amp;$A94))</f>
        <v>0</v>
      </c>
      <c r="U94" s="91">
        <f ca="1">IF(RTD("tos.rtd",,$A$2,"."&amp;U$83&amp;U$1&amp;"C"&amp;$A94)="N/A",0,RTD("tos.rtd",,$A$2,"."&amp;U$83&amp;U$1&amp;"C"&amp;$A94))-IF(RTD("tos.rtd",,$A$2,"."&amp;U$83&amp;U$1&amp;"P"&amp;$A94)="N/A",0,RTD("tos.rtd",,$A$2,"."&amp;U$83&amp;U$1&amp;"P"&amp;$A94))</f>
        <v>0</v>
      </c>
      <c r="V94" s="91">
        <f ca="1">IF(RTD("tos.rtd",,$A$2,"."&amp;V$83&amp;V$1&amp;"C"&amp;$A94)="N/A",0,RTD("tos.rtd",,$A$2,"."&amp;V$83&amp;V$1&amp;"C"&amp;$A94))-IF(RTD("tos.rtd",,$A$2,"."&amp;V$83&amp;V$1&amp;"P"&amp;$A94)="N/A",0,RTD("tos.rtd",,$A$2,"."&amp;V$83&amp;V$1&amp;"P"&amp;$A94))</f>
        <v>0</v>
      </c>
      <c r="W94" s="91">
        <f ca="1">IF(RTD("tos.rtd",,$A$2,"."&amp;W$83&amp;W$1&amp;"C"&amp;$A94)="N/A",0,RTD("tos.rtd",,$A$2,"."&amp;W$83&amp;W$1&amp;"C"&amp;$A94))-IF(RTD("tos.rtd",,$A$2,"."&amp;W$83&amp;W$1&amp;"P"&amp;$A94)="N/A",0,RTD("tos.rtd",,$A$2,"."&amp;W$83&amp;W$1&amp;"P"&amp;$A94))</f>
        <v>0</v>
      </c>
      <c r="X94" s="91">
        <f ca="1">IF(RTD("tos.rtd",,$A$2,"."&amp;X$83&amp;X$1&amp;"C"&amp;$A94)="N/A",0,RTD("tos.rtd",,$A$2,"."&amp;X$83&amp;X$1&amp;"C"&amp;$A94))-IF(RTD("tos.rtd",,$A$2,"."&amp;X$83&amp;X$1&amp;"P"&amp;$A94)="N/A",0,RTD("tos.rtd",,$A$2,"."&amp;X$83&amp;X$1&amp;"P"&amp;$A94))</f>
        <v>0</v>
      </c>
      <c r="Y94" s="98">
        <f t="shared" ca="1" si="10"/>
        <v>236</v>
      </c>
    </row>
    <row r="95" spans="1:25" x14ac:dyDescent="0.25">
      <c r="A95" s="93">
        <f>+Hoja1!A94</f>
        <v>5930</v>
      </c>
      <c r="B95" s="91">
        <f ca="1">IF(RTD("tos.rtd",,$A$2,"."&amp;B$83&amp;B$1&amp;"C"&amp;$A95)="N/A",0,RTD("tos.rtd",,$A$2,"."&amp;B$83&amp;B$1&amp;"C"&amp;$A95))-IF(RTD("tos.rtd",,$A$2,"."&amp;B$83&amp;B$1&amp;"P"&amp;$A95)="N/A",0,RTD("tos.rtd",,$A$2,"."&amp;B$83&amp;B$1&amp;"P"&amp;$A95))</f>
        <v>0</v>
      </c>
      <c r="C95" s="91">
        <f ca="1">IF(RTD("tos.rtd",,$A$2,"."&amp;C$83&amp;C$1&amp;"C"&amp;$A95)="N/A",0,RTD("tos.rtd",,$A$2,"."&amp;C$83&amp;C$1&amp;"C"&amp;$A95))-IF(RTD("tos.rtd",,$A$2,"."&amp;C$83&amp;C$1&amp;"P"&amp;$A95)="N/A",0,RTD("tos.rtd",,$A$2,"."&amp;C$83&amp;C$1&amp;"P"&amp;$A95))</f>
        <v>0</v>
      </c>
      <c r="D95" s="91">
        <f ca="1">IF(RTD("tos.rtd",,$A$2,"."&amp;D$83&amp;D$1&amp;"C"&amp;$A95)="N/A",0,RTD("tos.rtd",,$A$2,"."&amp;D$83&amp;D$1&amp;"C"&amp;$A95))-IF(RTD("tos.rtd",,$A$2,"."&amp;D$83&amp;D$1&amp;"P"&amp;$A95)="N/A",0,RTD("tos.rtd",,$A$2,"."&amp;D$83&amp;D$1&amp;"P"&amp;$A95))</f>
        <v>0</v>
      </c>
      <c r="E95" s="91">
        <f ca="1">IF(RTD("tos.rtd",,$A$2,"."&amp;E$83&amp;E$1&amp;"C"&amp;$A95)="N/A",0,RTD("tos.rtd",,$A$2,"."&amp;E$83&amp;E$1&amp;"C"&amp;$A95))-IF(RTD("tos.rtd",,$A$2,"."&amp;E$83&amp;E$1&amp;"P"&amp;$A95)="N/A",0,RTD("tos.rtd",,$A$2,"."&amp;E$83&amp;E$1&amp;"P"&amp;$A95))</f>
        <v>0</v>
      </c>
      <c r="F95" s="91">
        <f ca="1">IF(RTD("tos.rtd",,$A$2,"."&amp;F$83&amp;F$1&amp;"C"&amp;$A95)="N/A",0,RTD("tos.rtd",,$A$2,"."&amp;F$83&amp;F$1&amp;"C"&amp;$A95))-IF(RTD("tos.rtd",,$A$2,"."&amp;F$83&amp;F$1&amp;"P"&amp;$A95)="N/A",0,RTD("tos.rtd",,$A$2,"."&amp;F$83&amp;F$1&amp;"P"&amp;$A95))</f>
        <v>0</v>
      </c>
      <c r="G95" s="91">
        <f ca="1">IF(RTD("tos.rtd",,$A$2,"."&amp;G$83&amp;G$1&amp;"C"&amp;$A95)="N/A",0,RTD("tos.rtd",,$A$2,"."&amp;G$83&amp;G$1&amp;"C"&amp;$A95))-IF(RTD("tos.rtd",,$A$2,"."&amp;G$83&amp;G$1&amp;"P"&amp;$A95)="N/A",0,RTD("tos.rtd",,$A$2,"."&amp;G$83&amp;G$1&amp;"P"&amp;$A95))</f>
        <v>0</v>
      </c>
      <c r="H95" s="91">
        <f ca="1">IF(RTD("tos.rtd",,$A$2,"."&amp;H$83&amp;H$1&amp;"C"&amp;$A95)="N/A",0,RTD("tos.rtd",,$A$2,"."&amp;H$83&amp;H$1&amp;"C"&amp;$A95))-IF(RTD("tos.rtd",,$A$2,"."&amp;H$83&amp;H$1&amp;"P"&amp;$A95)="N/A",0,RTD("tos.rtd",,$A$2,"."&amp;H$83&amp;H$1&amp;"P"&amp;$A95))</f>
        <v>0</v>
      </c>
      <c r="I95" s="91">
        <f ca="1">IF(RTD("tos.rtd",,$A$2,"."&amp;I$83&amp;I$1&amp;"C"&amp;$A95)="N/A",0,RTD("tos.rtd",,$A$2,"."&amp;I$83&amp;I$1&amp;"C"&amp;$A95))-IF(RTD("tos.rtd",,$A$2,"."&amp;I$83&amp;I$1&amp;"P"&amp;$A95)="N/A",0,RTD("tos.rtd",,$A$2,"."&amp;I$83&amp;I$1&amp;"P"&amp;$A95))</f>
        <v>33</v>
      </c>
      <c r="J95" s="91">
        <f ca="1">IF(RTD("tos.rtd",,$A$2,"."&amp;J$83&amp;J$1&amp;"C"&amp;$A95)="N/A",0,RTD("tos.rtd",,$A$2,"."&amp;J$83&amp;J$1&amp;"C"&amp;$A95))-IF(RTD("tos.rtd",,$A$2,"."&amp;J$83&amp;J$1&amp;"P"&amp;$A95)="N/A",0,RTD("tos.rtd",,$A$2,"."&amp;J$83&amp;J$1&amp;"P"&amp;$A95))</f>
        <v>16</v>
      </c>
      <c r="K95" s="91">
        <f ca="1">IF(RTD("tos.rtd",,$A$2,"."&amp;K$83&amp;K$1&amp;"C"&amp;$A95)="N/A",0,RTD("tos.rtd",,$A$2,"."&amp;K$83&amp;K$1&amp;"C"&amp;$A95))-IF(RTD("tos.rtd",,$A$2,"."&amp;K$83&amp;K$1&amp;"P"&amp;$A95)="N/A",0,RTD("tos.rtd",,$A$2,"."&amp;K$83&amp;K$1&amp;"P"&amp;$A95))</f>
        <v>0</v>
      </c>
      <c r="L95" s="91">
        <f ca="1">IF(RTD("tos.rtd",,$A$2,"."&amp;L$83&amp;L$1&amp;"C"&amp;$A95)="N/A",0,RTD("tos.rtd",,$A$2,"."&amp;L$83&amp;L$1&amp;"C"&amp;$A95))-IF(RTD("tos.rtd",,$A$2,"."&amp;L$83&amp;L$1&amp;"P"&amp;$A95)="N/A",0,RTD("tos.rtd",,$A$2,"."&amp;L$83&amp;L$1&amp;"P"&amp;$A95))</f>
        <v>-3</v>
      </c>
      <c r="M95" s="91">
        <f ca="1">IF(RTD("tos.rtd",,$A$2,"."&amp;M$83&amp;M$1&amp;"C"&amp;$A95)="N/A",0,RTD("tos.rtd",,$A$2,"."&amp;M$83&amp;M$1&amp;"C"&amp;$A95))-IF(RTD("tos.rtd",,$A$2,"."&amp;M$83&amp;M$1&amp;"P"&amp;$A95)="N/A",0,RTD("tos.rtd",,$A$2,"."&amp;M$83&amp;M$1&amp;"P"&amp;$A95))</f>
        <v>0</v>
      </c>
      <c r="N95" s="91">
        <f ca="1">IF(RTD("tos.rtd",,$A$2,"."&amp;N$83&amp;N$1&amp;"C"&amp;$A95)="N/A",0,RTD("tos.rtd",,$A$2,"."&amp;N$83&amp;N$1&amp;"C"&amp;$A95))-IF(RTD("tos.rtd",,$A$2,"."&amp;N$83&amp;N$1&amp;"P"&amp;$A95)="N/A",0,RTD("tos.rtd",,$A$2,"."&amp;N$83&amp;N$1&amp;"P"&amp;$A95))</f>
        <v>4</v>
      </c>
      <c r="O95" s="91">
        <f ca="1">IF(RTD("tos.rtd",,$A$2,"."&amp;O$83&amp;O$1&amp;"C"&amp;$A95)="N/A",0,RTD("tos.rtd",,$A$2,"."&amp;O$83&amp;O$1&amp;"C"&amp;$A95))-IF(RTD("tos.rtd",,$A$2,"."&amp;O$83&amp;O$1&amp;"P"&amp;$A95)="N/A",0,RTD("tos.rtd",,$A$2,"."&amp;O$83&amp;O$1&amp;"P"&amp;$A95))</f>
        <v>0</v>
      </c>
      <c r="P95" s="91">
        <f ca="1">IF(RTD("tos.rtd",,$A$2,"."&amp;P$83&amp;P$1&amp;"C"&amp;$A95)="N/A",0,RTD("tos.rtd",,$A$2,"."&amp;P$83&amp;P$1&amp;"C"&amp;$A95))-IF(RTD("tos.rtd",,$A$2,"."&amp;P$83&amp;P$1&amp;"P"&amp;$A95)="N/A",0,RTD("tos.rtd",,$A$2,"."&amp;P$83&amp;P$1&amp;"P"&amp;$A95))</f>
        <v>48</v>
      </c>
      <c r="Q95" s="91">
        <f ca="1">IF(RTD("tos.rtd",,$A$2,"."&amp;Q$83&amp;Q$1&amp;"C"&amp;$A95)="N/A",0,RTD("tos.rtd",,$A$2,"."&amp;Q$83&amp;Q$1&amp;"C"&amp;$A95))-IF(RTD("tos.rtd",,$A$2,"."&amp;Q$83&amp;Q$1&amp;"P"&amp;$A95)="N/A",0,RTD("tos.rtd",,$A$2,"."&amp;Q$83&amp;Q$1&amp;"P"&amp;$A95))</f>
        <v>0</v>
      </c>
      <c r="R95" s="91">
        <f ca="1">IF(RTD("tos.rtd",,$A$2,"."&amp;R$83&amp;R$1&amp;"C"&amp;$A95)="N/A",0,RTD("tos.rtd",,$A$2,"."&amp;R$83&amp;R$1&amp;"C"&amp;$A95))-IF(RTD("tos.rtd",,$A$2,"."&amp;R$83&amp;R$1&amp;"P"&amp;$A95)="N/A",0,RTD("tos.rtd",,$A$2,"."&amp;R$83&amp;R$1&amp;"P"&amp;$A95))</f>
        <v>-1</v>
      </c>
      <c r="S95" s="91">
        <f ca="1">IF(RTD("tos.rtd",,$A$2,"."&amp;S$83&amp;S$1&amp;"C"&amp;$A95)="N/A",0,RTD("tos.rtd",,$A$2,"."&amp;S$83&amp;S$1&amp;"C"&amp;$A95))-IF(RTD("tos.rtd",,$A$2,"."&amp;S$83&amp;S$1&amp;"P"&amp;$A95)="N/A",0,RTD("tos.rtd",,$A$2,"."&amp;S$83&amp;S$1&amp;"P"&amp;$A95))</f>
        <v>0</v>
      </c>
      <c r="T95" s="91">
        <f ca="1">IF(RTD("tos.rtd",,$A$2,"."&amp;T$83&amp;T$1&amp;"C"&amp;$A95)="N/A",0,RTD("tos.rtd",,$A$2,"."&amp;T$83&amp;T$1&amp;"C"&amp;$A95))-IF(RTD("tos.rtd",,$A$2,"."&amp;T$83&amp;T$1&amp;"P"&amp;$A95)="N/A",0,RTD("tos.rtd",,$A$2,"."&amp;T$83&amp;T$1&amp;"P"&amp;$A95))</f>
        <v>0</v>
      </c>
      <c r="U95" s="91">
        <f ca="1">IF(RTD("tos.rtd",,$A$2,"."&amp;U$83&amp;U$1&amp;"C"&amp;$A95)="N/A",0,RTD("tos.rtd",,$A$2,"."&amp;U$83&amp;U$1&amp;"C"&amp;$A95))-IF(RTD("tos.rtd",,$A$2,"."&amp;U$83&amp;U$1&amp;"P"&amp;$A95)="N/A",0,RTD("tos.rtd",,$A$2,"."&amp;U$83&amp;U$1&amp;"P"&amp;$A95))</f>
        <v>0</v>
      </c>
      <c r="V95" s="91">
        <f ca="1">IF(RTD("tos.rtd",,$A$2,"."&amp;V$83&amp;V$1&amp;"C"&amp;$A95)="N/A",0,RTD("tos.rtd",,$A$2,"."&amp;V$83&amp;V$1&amp;"C"&amp;$A95))-IF(RTD("tos.rtd",,$A$2,"."&amp;V$83&amp;V$1&amp;"P"&amp;$A95)="N/A",0,RTD("tos.rtd",,$A$2,"."&amp;V$83&amp;V$1&amp;"P"&amp;$A95))</f>
        <v>0</v>
      </c>
      <c r="W95" s="91">
        <f ca="1">IF(RTD("tos.rtd",,$A$2,"."&amp;W$83&amp;W$1&amp;"C"&amp;$A95)="N/A",0,RTD("tos.rtd",,$A$2,"."&amp;W$83&amp;W$1&amp;"C"&amp;$A95))-IF(RTD("tos.rtd",,$A$2,"."&amp;W$83&amp;W$1&amp;"P"&amp;$A95)="N/A",0,RTD("tos.rtd",,$A$2,"."&amp;W$83&amp;W$1&amp;"P"&amp;$A95))</f>
        <v>0</v>
      </c>
      <c r="X95" s="91">
        <f ca="1">IF(RTD("tos.rtd",,$A$2,"."&amp;X$83&amp;X$1&amp;"C"&amp;$A95)="N/A",0,RTD("tos.rtd",,$A$2,"."&amp;X$83&amp;X$1&amp;"C"&amp;$A95))-IF(RTD("tos.rtd",,$A$2,"."&amp;X$83&amp;X$1&amp;"P"&amp;$A95)="N/A",0,RTD("tos.rtd",,$A$2,"."&amp;X$83&amp;X$1&amp;"P"&amp;$A95))</f>
        <v>0</v>
      </c>
      <c r="Y95" s="98">
        <f t="shared" ca="1" si="10"/>
        <v>97</v>
      </c>
    </row>
    <row r="96" spans="1:25" x14ac:dyDescent="0.25">
      <c r="A96" s="93">
        <f>+Hoja1!A95</f>
        <v>5920</v>
      </c>
      <c r="B96" s="91">
        <f ca="1">IF(RTD("tos.rtd",,$A$2,"."&amp;B$83&amp;B$1&amp;"C"&amp;$A96)="N/A",0,RTD("tos.rtd",,$A$2,"."&amp;B$83&amp;B$1&amp;"C"&amp;$A96))-IF(RTD("tos.rtd",,$A$2,"."&amp;B$83&amp;B$1&amp;"P"&amp;$A96)="N/A",0,RTD("tos.rtd",,$A$2,"."&amp;B$83&amp;B$1&amp;"P"&amp;$A96))</f>
        <v>0</v>
      </c>
      <c r="C96" s="91">
        <f ca="1">IF(RTD("tos.rtd",,$A$2,"."&amp;C$83&amp;C$1&amp;"C"&amp;$A96)="N/A",0,RTD("tos.rtd",,$A$2,"."&amp;C$83&amp;C$1&amp;"C"&amp;$A96))-IF(RTD("tos.rtd",,$A$2,"."&amp;C$83&amp;C$1&amp;"P"&amp;$A96)="N/A",0,RTD("tos.rtd",,$A$2,"."&amp;C$83&amp;C$1&amp;"P"&amp;$A96))</f>
        <v>0</v>
      </c>
      <c r="D96" s="91">
        <f ca="1">IF(RTD("tos.rtd",,$A$2,"."&amp;D$83&amp;D$1&amp;"C"&amp;$A96)="N/A",0,RTD("tos.rtd",,$A$2,"."&amp;D$83&amp;D$1&amp;"C"&amp;$A96))-IF(RTD("tos.rtd",,$A$2,"."&amp;D$83&amp;D$1&amp;"P"&amp;$A96)="N/A",0,RTD("tos.rtd",,$A$2,"."&amp;D$83&amp;D$1&amp;"P"&amp;$A96))</f>
        <v>0</v>
      </c>
      <c r="E96" s="91">
        <f ca="1">IF(RTD("tos.rtd",,$A$2,"."&amp;E$83&amp;E$1&amp;"C"&amp;$A96)="N/A",0,RTD("tos.rtd",,$A$2,"."&amp;E$83&amp;E$1&amp;"C"&amp;$A96))-IF(RTD("tos.rtd",,$A$2,"."&amp;E$83&amp;E$1&amp;"P"&amp;$A96)="N/A",0,RTD("tos.rtd",,$A$2,"."&amp;E$83&amp;E$1&amp;"P"&amp;$A96))</f>
        <v>0</v>
      </c>
      <c r="F96" s="91">
        <f ca="1">IF(RTD("tos.rtd",,$A$2,"."&amp;F$83&amp;F$1&amp;"C"&amp;$A96)="N/A",0,RTD("tos.rtd",,$A$2,"."&amp;F$83&amp;F$1&amp;"C"&amp;$A96))-IF(RTD("tos.rtd",,$A$2,"."&amp;F$83&amp;F$1&amp;"P"&amp;$A96)="N/A",0,RTD("tos.rtd",,$A$2,"."&amp;F$83&amp;F$1&amp;"P"&amp;$A96))</f>
        <v>0</v>
      </c>
      <c r="G96" s="91">
        <f ca="1">IF(RTD("tos.rtd",,$A$2,"."&amp;G$83&amp;G$1&amp;"C"&amp;$A96)="N/A",0,RTD("tos.rtd",,$A$2,"."&amp;G$83&amp;G$1&amp;"C"&amp;$A96))-IF(RTD("tos.rtd",,$A$2,"."&amp;G$83&amp;G$1&amp;"P"&amp;$A96)="N/A",0,RTD("tos.rtd",,$A$2,"."&amp;G$83&amp;G$1&amp;"P"&amp;$A96))</f>
        <v>0</v>
      </c>
      <c r="H96" s="91">
        <f ca="1">IF(RTD("tos.rtd",,$A$2,"."&amp;H$83&amp;H$1&amp;"C"&amp;$A96)="N/A",0,RTD("tos.rtd",,$A$2,"."&amp;H$83&amp;H$1&amp;"C"&amp;$A96))-IF(RTD("tos.rtd",,$A$2,"."&amp;H$83&amp;H$1&amp;"P"&amp;$A96)="N/A",0,RTD("tos.rtd",,$A$2,"."&amp;H$83&amp;H$1&amp;"P"&amp;$A96))</f>
        <v>0</v>
      </c>
      <c r="I96" s="91">
        <f ca="1">IF(RTD("tos.rtd",,$A$2,"."&amp;I$83&amp;I$1&amp;"C"&amp;$A96)="N/A",0,RTD("tos.rtd",,$A$2,"."&amp;I$83&amp;I$1&amp;"C"&amp;$A96))-IF(RTD("tos.rtd",,$A$2,"."&amp;I$83&amp;I$1&amp;"P"&amp;$A96)="N/A",0,RTD("tos.rtd",,$A$2,"."&amp;I$83&amp;I$1&amp;"P"&amp;$A96))</f>
        <v>39</v>
      </c>
      <c r="J96" s="91">
        <f ca="1">IF(RTD("tos.rtd",,$A$2,"."&amp;J$83&amp;J$1&amp;"C"&amp;$A96)="N/A",0,RTD("tos.rtd",,$A$2,"."&amp;J$83&amp;J$1&amp;"C"&amp;$A96))-IF(RTD("tos.rtd",,$A$2,"."&amp;J$83&amp;J$1&amp;"P"&amp;$A96)="N/A",0,RTD("tos.rtd",,$A$2,"."&amp;J$83&amp;J$1&amp;"P"&amp;$A96))</f>
        <v>3</v>
      </c>
      <c r="K96" s="91">
        <f ca="1">IF(RTD("tos.rtd",,$A$2,"."&amp;K$83&amp;K$1&amp;"C"&amp;$A96)="N/A",0,RTD("tos.rtd",,$A$2,"."&amp;K$83&amp;K$1&amp;"C"&amp;$A96))-IF(RTD("tos.rtd",,$A$2,"."&amp;K$83&amp;K$1&amp;"P"&amp;$A96)="N/A",0,RTD("tos.rtd",,$A$2,"."&amp;K$83&amp;K$1&amp;"P"&amp;$A96))</f>
        <v>0</v>
      </c>
      <c r="L96" s="91">
        <f ca="1">IF(RTD("tos.rtd",,$A$2,"."&amp;L$83&amp;L$1&amp;"C"&amp;$A96)="N/A",0,RTD("tos.rtd",,$A$2,"."&amp;L$83&amp;L$1&amp;"C"&amp;$A96))-IF(RTD("tos.rtd",,$A$2,"."&amp;L$83&amp;L$1&amp;"P"&amp;$A96)="N/A",0,RTD("tos.rtd",,$A$2,"."&amp;L$83&amp;L$1&amp;"P"&amp;$A96))</f>
        <v>157</v>
      </c>
      <c r="M96" s="91">
        <f ca="1">IF(RTD("tos.rtd",,$A$2,"."&amp;M$83&amp;M$1&amp;"C"&amp;$A96)="N/A",0,RTD("tos.rtd",,$A$2,"."&amp;M$83&amp;M$1&amp;"C"&amp;$A96))-IF(RTD("tos.rtd",,$A$2,"."&amp;M$83&amp;M$1&amp;"P"&amp;$A96)="N/A",0,RTD("tos.rtd",,$A$2,"."&amp;M$83&amp;M$1&amp;"P"&amp;$A96))</f>
        <v>-1</v>
      </c>
      <c r="N96" s="91">
        <f ca="1">IF(RTD("tos.rtd",,$A$2,"."&amp;N$83&amp;N$1&amp;"C"&amp;$A96)="N/A",0,RTD("tos.rtd",,$A$2,"."&amp;N$83&amp;N$1&amp;"C"&amp;$A96))-IF(RTD("tos.rtd",,$A$2,"."&amp;N$83&amp;N$1&amp;"P"&amp;$A96)="N/A",0,RTD("tos.rtd",,$A$2,"."&amp;N$83&amp;N$1&amp;"P"&amp;$A96))</f>
        <v>92</v>
      </c>
      <c r="O96" s="91">
        <f ca="1">IF(RTD("tos.rtd",,$A$2,"."&amp;O$83&amp;O$1&amp;"C"&amp;$A96)="N/A",0,RTD("tos.rtd",,$A$2,"."&amp;O$83&amp;O$1&amp;"C"&amp;$A96))-IF(RTD("tos.rtd",,$A$2,"."&amp;O$83&amp;O$1&amp;"P"&amp;$A96)="N/A",0,RTD("tos.rtd",,$A$2,"."&amp;O$83&amp;O$1&amp;"P"&amp;$A96))</f>
        <v>0</v>
      </c>
      <c r="P96" s="91">
        <f ca="1">IF(RTD("tos.rtd",,$A$2,"."&amp;P$83&amp;P$1&amp;"C"&amp;$A96)="N/A",0,RTD("tos.rtd",,$A$2,"."&amp;P$83&amp;P$1&amp;"C"&amp;$A96))-IF(RTD("tos.rtd",,$A$2,"."&amp;P$83&amp;P$1&amp;"P"&amp;$A96)="N/A",0,RTD("tos.rtd",,$A$2,"."&amp;P$83&amp;P$1&amp;"P"&amp;$A96))</f>
        <v>1</v>
      </c>
      <c r="Q96" s="91">
        <f ca="1">IF(RTD("tos.rtd",,$A$2,"."&amp;Q$83&amp;Q$1&amp;"C"&amp;$A96)="N/A",0,RTD("tos.rtd",,$A$2,"."&amp;Q$83&amp;Q$1&amp;"C"&amp;$A96))-IF(RTD("tos.rtd",,$A$2,"."&amp;Q$83&amp;Q$1&amp;"P"&amp;$A96)="N/A",0,RTD("tos.rtd",,$A$2,"."&amp;Q$83&amp;Q$1&amp;"P"&amp;$A96))</f>
        <v>10</v>
      </c>
      <c r="R96" s="91">
        <f ca="1">IF(RTD("tos.rtd",,$A$2,"."&amp;R$83&amp;R$1&amp;"C"&amp;$A96)="N/A",0,RTD("tos.rtd",,$A$2,"."&amp;R$83&amp;R$1&amp;"C"&amp;$A96))-IF(RTD("tos.rtd",,$A$2,"."&amp;R$83&amp;R$1&amp;"P"&amp;$A96)="N/A",0,RTD("tos.rtd",,$A$2,"."&amp;R$83&amp;R$1&amp;"P"&amp;$A96))</f>
        <v>0</v>
      </c>
      <c r="S96" s="91">
        <f ca="1">IF(RTD("tos.rtd",,$A$2,"."&amp;S$83&amp;S$1&amp;"C"&amp;$A96)="N/A",0,RTD("tos.rtd",,$A$2,"."&amp;S$83&amp;S$1&amp;"C"&amp;$A96))-IF(RTD("tos.rtd",,$A$2,"."&amp;S$83&amp;S$1&amp;"P"&amp;$A96)="N/A",0,RTD("tos.rtd",,$A$2,"."&amp;S$83&amp;S$1&amp;"P"&amp;$A96))</f>
        <v>0</v>
      </c>
      <c r="T96" s="91">
        <f ca="1">IF(RTD("tos.rtd",,$A$2,"."&amp;T$83&amp;T$1&amp;"C"&amp;$A96)="N/A",0,RTD("tos.rtd",,$A$2,"."&amp;T$83&amp;T$1&amp;"C"&amp;$A96))-IF(RTD("tos.rtd",,$A$2,"."&amp;T$83&amp;T$1&amp;"P"&amp;$A96)="N/A",0,RTD("tos.rtd",,$A$2,"."&amp;T$83&amp;T$1&amp;"P"&amp;$A96))</f>
        <v>0</v>
      </c>
      <c r="U96" s="91">
        <f ca="1">IF(RTD("tos.rtd",,$A$2,"."&amp;U$83&amp;U$1&amp;"C"&amp;$A96)="N/A",0,RTD("tos.rtd",,$A$2,"."&amp;U$83&amp;U$1&amp;"C"&amp;$A96))-IF(RTD("tos.rtd",,$A$2,"."&amp;U$83&amp;U$1&amp;"P"&amp;$A96)="N/A",0,RTD("tos.rtd",,$A$2,"."&amp;U$83&amp;U$1&amp;"P"&amp;$A96))</f>
        <v>0</v>
      </c>
      <c r="V96" s="91">
        <f ca="1">IF(RTD("tos.rtd",,$A$2,"."&amp;V$83&amp;V$1&amp;"C"&amp;$A96)="N/A",0,RTD("tos.rtd",,$A$2,"."&amp;V$83&amp;V$1&amp;"C"&amp;$A96))-IF(RTD("tos.rtd",,$A$2,"."&amp;V$83&amp;V$1&amp;"P"&amp;$A96)="N/A",0,RTD("tos.rtd",,$A$2,"."&amp;V$83&amp;V$1&amp;"P"&amp;$A96))</f>
        <v>0</v>
      </c>
      <c r="W96" s="91">
        <f ca="1">IF(RTD("tos.rtd",,$A$2,"."&amp;W$83&amp;W$1&amp;"C"&amp;$A96)="N/A",0,RTD("tos.rtd",,$A$2,"."&amp;W$83&amp;W$1&amp;"C"&amp;$A96))-IF(RTD("tos.rtd",,$A$2,"."&amp;W$83&amp;W$1&amp;"P"&amp;$A96)="N/A",0,RTD("tos.rtd",,$A$2,"."&amp;W$83&amp;W$1&amp;"P"&amp;$A96))</f>
        <v>0</v>
      </c>
      <c r="X96" s="91">
        <f ca="1">IF(RTD("tos.rtd",,$A$2,"."&amp;X$83&amp;X$1&amp;"C"&amp;$A96)="N/A",0,RTD("tos.rtd",,$A$2,"."&amp;X$83&amp;X$1&amp;"C"&amp;$A96))-IF(RTD("tos.rtd",,$A$2,"."&amp;X$83&amp;X$1&amp;"P"&amp;$A96)="N/A",0,RTD("tos.rtd",,$A$2,"."&amp;X$83&amp;X$1&amp;"P"&amp;$A96))</f>
        <v>0</v>
      </c>
      <c r="Y96" s="98">
        <f t="shared" ca="1" si="10"/>
        <v>301</v>
      </c>
    </row>
    <row r="97" spans="1:25" x14ac:dyDescent="0.25">
      <c r="A97" s="93">
        <f>+Hoja1!A96</f>
        <v>5910</v>
      </c>
      <c r="B97" s="91">
        <f ca="1">IF(RTD("tos.rtd",,$A$2,"."&amp;B$83&amp;B$1&amp;"C"&amp;$A97)="N/A",0,RTD("tos.rtd",,$A$2,"."&amp;B$83&amp;B$1&amp;"C"&amp;$A97))-IF(RTD("tos.rtd",,$A$2,"."&amp;B$83&amp;B$1&amp;"P"&amp;$A97)="N/A",0,RTD("tos.rtd",,$A$2,"."&amp;B$83&amp;B$1&amp;"P"&amp;$A97))</f>
        <v>0</v>
      </c>
      <c r="C97" s="91">
        <f ca="1">IF(RTD("tos.rtd",,$A$2,"."&amp;C$83&amp;C$1&amp;"C"&amp;$A97)="N/A",0,RTD("tos.rtd",,$A$2,"."&amp;C$83&amp;C$1&amp;"C"&amp;$A97))-IF(RTD("tos.rtd",,$A$2,"."&amp;C$83&amp;C$1&amp;"P"&amp;$A97)="N/A",0,RTD("tos.rtd",,$A$2,"."&amp;C$83&amp;C$1&amp;"P"&amp;$A97))</f>
        <v>0</v>
      </c>
      <c r="D97" s="91">
        <f ca="1">IF(RTD("tos.rtd",,$A$2,"."&amp;D$83&amp;D$1&amp;"C"&amp;$A97)="N/A",0,RTD("tos.rtd",,$A$2,"."&amp;D$83&amp;D$1&amp;"C"&amp;$A97))-IF(RTD("tos.rtd",,$A$2,"."&amp;D$83&amp;D$1&amp;"P"&amp;$A97)="N/A",0,RTD("tos.rtd",,$A$2,"."&amp;D$83&amp;D$1&amp;"P"&amp;$A97))</f>
        <v>0</v>
      </c>
      <c r="E97" s="91">
        <f ca="1">IF(RTD("tos.rtd",,$A$2,"."&amp;E$83&amp;E$1&amp;"C"&amp;$A97)="N/A",0,RTD("tos.rtd",,$A$2,"."&amp;E$83&amp;E$1&amp;"C"&amp;$A97))-IF(RTD("tos.rtd",,$A$2,"."&amp;E$83&amp;E$1&amp;"P"&amp;$A97)="N/A",0,RTD("tos.rtd",,$A$2,"."&amp;E$83&amp;E$1&amp;"P"&amp;$A97))</f>
        <v>0</v>
      </c>
      <c r="F97" s="91">
        <f ca="1">IF(RTD("tos.rtd",,$A$2,"."&amp;F$83&amp;F$1&amp;"C"&amp;$A97)="N/A",0,RTD("tos.rtd",,$A$2,"."&amp;F$83&amp;F$1&amp;"C"&amp;$A97))-IF(RTD("tos.rtd",,$A$2,"."&amp;F$83&amp;F$1&amp;"P"&amp;$A97)="N/A",0,RTD("tos.rtd",,$A$2,"."&amp;F$83&amp;F$1&amp;"P"&amp;$A97))</f>
        <v>0</v>
      </c>
      <c r="G97" s="91">
        <f ca="1">IF(RTD("tos.rtd",,$A$2,"."&amp;G$83&amp;G$1&amp;"C"&amp;$A97)="N/A",0,RTD("tos.rtd",,$A$2,"."&amp;G$83&amp;G$1&amp;"C"&amp;$A97))-IF(RTD("tos.rtd",,$A$2,"."&amp;G$83&amp;G$1&amp;"P"&amp;$A97)="N/A",0,RTD("tos.rtd",,$A$2,"."&amp;G$83&amp;G$1&amp;"P"&amp;$A97))</f>
        <v>0</v>
      </c>
      <c r="H97" s="91">
        <f ca="1">IF(RTD("tos.rtd",,$A$2,"."&amp;H$83&amp;H$1&amp;"C"&amp;$A97)="N/A",0,RTD("tos.rtd",,$A$2,"."&amp;H$83&amp;H$1&amp;"C"&amp;$A97))-IF(RTD("tos.rtd",,$A$2,"."&amp;H$83&amp;H$1&amp;"P"&amp;$A97)="N/A",0,RTD("tos.rtd",,$A$2,"."&amp;H$83&amp;H$1&amp;"P"&amp;$A97))</f>
        <v>0</v>
      </c>
      <c r="I97" s="91">
        <f ca="1">IF(RTD("tos.rtd",,$A$2,"."&amp;I$83&amp;I$1&amp;"C"&amp;$A97)="N/A",0,RTD("tos.rtd",,$A$2,"."&amp;I$83&amp;I$1&amp;"C"&amp;$A97))-IF(RTD("tos.rtd",,$A$2,"."&amp;I$83&amp;I$1&amp;"P"&amp;$A97)="N/A",0,RTD("tos.rtd",,$A$2,"."&amp;I$83&amp;I$1&amp;"P"&amp;$A97))</f>
        <v>149</v>
      </c>
      <c r="J97" s="91">
        <f ca="1">IF(RTD("tos.rtd",,$A$2,"."&amp;J$83&amp;J$1&amp;"C"&amp;$A97)="N/A",0,RTD("tos.rtd",,$A$2,"."&amp;J$83&amp;J$1&amp;"C"&amp;$A97))-IF(RTD("tos.rtd",,$A$2,"."&amp;J$83&amp;J$1&amp;"P"&amp;$A97)="N/A",0,RTD("tos.rtd",,$A$2,"."&amp;J$83&amp;J$1&amp;"P"&amp;$A97))</f>
        <v>90</v>
      </c>
      <c r="K97" s="91">
        <f ca="1">IF(RTD("tos.rtd",,$A$2,"."&amp;K$83&amp;K$1&amp;"C"&amp;$A97)="N/A",0,RTD("tos.rtd",,$A$2,"."&amp;K$83&amp;K$1&amp;"C"&amp;$A97))-IF(RTD("tos.rtd",,$A$2,"."&amp;K$83&amp;K$1&amp;"P"&amp;$A97)="N/A",0,RTD("tos.rtd",,$A$2,"."&amp;K$83&amp;K$1&amp;"P"&amp;$A97))</f>
        <v>0</v>
      </c>
      <c r="L97" s="91">
        <f ca="1">IF(RTD("tos.rtd",,$A$2,"."&amp;L$83&amp;L$1&amp;"C"&amp;$A97)="N/A",0,RTD("tos.rtd",,$A$2,"."&amp;L$83&amp;L$1&amp;"C"&amp;$A97))-IF(RTD("tos.rtd",,$A$2,"."&amp;L$83&amp;L$1&amp;"P"&amp;$A97)="N/A",0,RTD("tos.rtd",,$A$2,"."&amp;L$83&amp;L$1&amp;"P"&amp;$A97))</f>
        <v>6</v>
      </c>
      <c r="M97" s="91">
        <f ca="1">IF(RTD("tos.rtd",,$A$2,"."&amp;M$83&amp;M$1&amp;"C"&amp;$A97)="N/A",0,RTD("tos.rtd",,$A$2,"."&amp;M$83&amp;M$1&amp;"C"&amp;$A97))-IF(RTD("tos.rtd",,$A$2,"."&amp;M$83&amp;M$1&amp;"P"&amp;$A97)="N/A",0,RTD("tos.rtd",,$A$2,"."&amp;M$83&amp;M$1&amp;"P"&amp;$A97))</f>
        <v>22</v>
      </c>
      <c r="N97" s="91">
        <f ca="1">IF(RTD("tos.rtd",,$A$2,"."&amp;N$83&amp;N$1&amp;"C"&amp;$A97)="N/A",0,RTD("tos.rtd",,$A$2,"."&amp;N$83&amp;N$1&amp;"C"&amp;$A97))-IF(RTD("tos.rtd",,$A$2,"."&amp;N$83&amp;N$1&amp;"P"&amp;$A97)="N/A",0,RTD("tos.rtd",,$A$2,"."&amp;N$83&amp;N$1&amp;"P"&amp;$A97))</f>
        <v>5</v>
      </c>
      <c r="O97" s="91">
        <f ca="1">IF(RTD("tos.rtd",,$A$2,"."&amp;O$83&amp;O$1&amp;"C"&amp;$A97)="N/A",0,RTD("tos.rtd",,$A$2,"."&amp;O$83&amp;O$1&amp;"C"&amp;$A97))-IF(RTD("tos.rtd",,$A$2,"."&amp;O$83&amp;O$1&amp;"P"&amp;$A97)="N/A",0,RTD("tos.rtd",,$A$2,"."&amp;O$83&amp;O$1&amp;"P"&amp;$A97))</f>
        <v>-1</v>
      </c>
      <c r="P97" s="91">
        <f ca="1">IF(RTD("tos.rtd",,$A$2,"."&amp;P$83&amp;P$1&amp;"C"&amp;$A97)="N/A",0,RTD("tos.rtd",,$A$2,"."&amp;P$83&amp;P$1&amp;"C"&amp;$A97))-IF(RTD("tos.rtd",,$A$2,"."&amp;P$83&amp;P$1&amp;"P"&amp;$A97)="N/A",0,RTD("tos.rtd",,$A$2,"."&amp;P$83&amp;P$1&amp;"P"&amp;$A97))</f>
        <v>-2</v>
      </c>
      <c r="Q97" s="91">
        <f ca="1">IF(RTD("tos.rtd",,$A$2,"."&amp;Q$83&amp;Q$1&amp;"C"&amp;$A97)="N/A",0,RTD("tos.rtd",,$A$2,"."&amp;Q$83&amp;Q$1&amp;"C"&amp;$A97))-IF(RTD("tos.rtd",,$A$2,"."&amp;Q$83&amp;Q$1&amp;"P"&amp;$A97)="N/A",0,RTD("tos.rtd",,$A$2,"."&amp;Q$83&amp;Q$1&amp;"P"&amp;$A97))</f>
        <v>26</v>
      </c>
      <c r="R97" s="91">
        <f ca="1">IF(RTD("tos.rtd",,$A$2,"."&amp;R$83&amp;R$1&amp;"C"&amp;$A97)="N/A",0,RTD("tos.rtd",,$A$2,"."&amp;R$83&amp;R$1&amp;"C"&amp;$A97))-IF(RTD("tos.rtd",,$A$2,"."&amp;R$83&amp;R$1&amp;"P"&amp;$A97)="N/A",0,RTD("tos.rtd",,$A$2,"."&amp;R$83&amp;R$1&amp;"P"&amp;$A97))</f>
        <v>0</v>
      </c>
      <c r="S97" s="91">
        <f ca="1">IF(RTD("tos.rtd",,$A$2,"."&amp;S$83&amp;S$1&amp;"C"&amp;$A97)="N/A",0,RTD("tos.rtd",,$A$2,"."&amp;S$83&amp;S$1&amp;"C"&amp;$A97))-IF(RTD("tos.rtd",,$A$2,"."&amp;S$83&amp;S$1&amp;"P"&amp;$A97)="N/A",0,RTD("tos.rtd",,$A$2,"."&amp;S$83&amp;S$1&amp;"P"&amp;$A97))</f>
        <v>0</v>
      </c>
      <c r="T97" s="91">
        <f ca="1">IF(RTD("tos.rtd",,$A$2,"."&amp;T$83&amp;T$1&amp;"C"&amp;$A97)="N/A",0,RTD("tos.rtd",,$A$2,"."&amp;T$83&amp;T$1&amp;"C"&amp;$A97))-IF(RTD("tos.rtd",,$A$2,"."&amp;T$83&amp;T$1&amp;"P"&amp;$A97)="N/A",0,RTD("tos.rtd",,$A$2,"."&amp;T$83&amp;T$1&amp;"P"&amp;$A97))</f>
        <v>0</v>
      </c>
      <c r="U97" s="91">
        <f ca="1">IF(RTD("tos.rtd",,$A$2,"."&amp;U$83&amp;U$1&amp;"C"&amp;$A97)="N/A",0,RTD("tos.rtd",,$A$2,"."&amp;U$83&amp;U$1&amp;"C"&amp;$A97))-IF(RTD("tos.rtd",,$A$2,"."&amp;U$83&amp;U$1&amp;"P"&amp;$A97)="N/A",0,RTD("tos.rtd",,$A$2,"."&amp;U$83&amp;U$1&amp;"P"&amp;$A97))</f>
        <v>0</v>
      </c>
      <c r="V97" s="91">
        <f ca="1">IF(RTD("tos.rtd",,$A$2,"."&amp;V$83&amp;V$1&amp;"C"&amp;$A97)="N/A",0,RTD("tos.rtd",,$A$2,"."&amp;V$83&amp;V$1&amp;"C"&amp;$A97))-IF(RTD("tos.rtd",,$A$2,"."&amp;V$83&amp;V$1&amp;"P"&amp;$A97)="N/A",0,RTD("tos.rtd",,$A$2,"."&amp;V$83&amp;V$1&amp;"P"&amp;$A97))</f>
        <v>0</v>
      </c>
      <c r="W97" s="91">
        <f ca="1">IF(RTD("tos.rtd",,$A$2,"."&amp;W$83&amp;W$1&amp;"C"&amp;$A97)="N/A",0,RTD("tos.rtd",,$A$2,"."&amp;W$83&amp;W$1&amp;"C"&amp;$A97))-IF(RTD("tos.rtd",,$A$2,"."&amp;W$83&amp;W$1&amp;"P"&amp;$A97)="N/A",0,RTD("tos.rtd",,$A$2,"."&amp;W$83&amp;W$1&amp;"P"&amp;$A97))</f>
        <v>0</v>
      </c>
      <c r="X97" s="91">
        <f ca="1">IF(RTD("tos.rtd",,$A$2,"."&amp;X$83&amp;X$1&amp;"C"&amp;$A97)="N/A",0,RTD("tos.rtd",,$A$2,"."&amp;X$83&amp;X$1&amp;"C"&amp;$A97))-IF(RTD("tos.rtd",,$A$2,"."&amp;X$83&amp;X$1&amp;"P"&amp;$A97)="N/A",0,RTD("tos.rtd",,$A$2,"."&amp;X$83&amp;X$1&amp;"P"&amp;$A97))</f>
        <v>0</v>
      </c>
      <c r="Y97" s="98">
        <f t="shared" ca="1" si="10"/>
        <v>295</v>
      </c>
    </row>
    <row r="98" spans="1:25" x14ac:dyDescent="0.25">
      <c r="A98" s="93">
        <f>+Hoja1!A97</f>
        <v>5900</v>
      </c>
      <c r="B98" s="91">
        <f ca="1">IF(RTD("tos.rtd",,$A$2,"."&amp;B$83&amp;B$1&amp;"C"&amp;$A98)="N/A",0,RTD("tos.rtd",,$A$2,"."&amp;B$83&amp;B$1&amp;"C"&amp;$A98))-IF(RTD("tos.rtd",,$A$2,"."&amp;B$83&amp;B$1&amp;"P"&amp;$A98)="N/A",0,RTD("tos.rtd",,$A$2,"."&amp;B$83&amp;B$1&amp;"P"&amp;$A98))</f>
        <v>0</v>
      </c>
      <c r="C98" s="91">
        <f ca="1">IF(RTD("tos.rtd",,$A$2,"."&amp;C$83&amp;C$1&amp;"C"&amp;$A98)="N/A",0,RTD("tos.rtd",,$A$2,"."&amp;C$83&amp;C$1&amp;"C"&amp;$A98))-IF(RTD("tos.rtd",,$A$2,"."&amp;C$83&amp;C$1&amp;"P"&amp;$A98)="N/A",0,RTD("tos.rtd",,$A$2,"."&amp;C$83&amp;C$1&amp;"P"&amp;$A98))</f>
        <v>0</v>
      </c>
      <c r="D98" s="91">
        <f ca="1">IF(RTD("tos.rtd",,$A$2,"."&amp;D$83&amp;D$1&amp;"C"&amp;$A98)="N/A",0,RTD("tos.rtd",,$A$2,"."&amp;D$83&amp;D$1&amp;"C"&amp;$A98))-IF(RTD("tos.rtd",,$A$2,"."&amp;D$83&amp;D$1&amp;"P"&amp;$A98)="N/A",0,RTD("tos.rtd",,$A$2,"."&amp;D$83&amp;D$1&amp;"P"&amp;$A98))</f>
        <v>0</v>
      </c>
      <c r="E98" s="91">
        <f ca="1">IF(RTD("tos.rtd",,$A$2,"."&amp;E$83&amp;E$1&amp;"C"&amp;$A98)="N/A",0,RTD("tos.rtd",,$A$2,"."&amp;E$83&amp;E$1&amp;"C"&amp;$A98))-IF(RTD("tos.rtd",,$A$2,"."&amp;E$83&amp;E$1&amp;"P"&amp;$A98)="N/A",0,RTD("tos.rtd",,$A$2,"."&amp;E$83&amp;E$1&amp;"P"&amp;$A98))</f>
        <v>0</v>
      </c>
      <c r="F98" s="91">
        <f ca="1">IF(RTD("tos.rtd",,$A$2,"."&amp;F$83&amp;F$1&amp;"C"&amp;$A98)="N/A",0,RTD("tos.rtd",,$A$2,"."&amp;F$83&amp;F$1&amp;"C"&amp;$A98))-IF(RTD("tos.rtd",,$A$2,"."&amp;F$83&amp;F$1&amp;"P"&amp;$A98)="N/A",0,RTD("tos.rtd",,$A$2,"."&amp;F$83&amp;F$1&amp;"P"&amp;$A98))</f>
        <v>0</v>
      </c>
      <c r="G98" s="91">
        <f ca="1">IF(RTD("tos.rtd",,$A$2,"."&amp;G$83&amp;G$1&amp;"C"&amp;$A98)="N/A",0,RTD("tos.rtd",,$A$2,"."&amp;G$83&amp;G$1&amp;"C"&amp;$A98))-IF(RTD("tos.rtd",,$A$2,"."&amp;G$83&amp;G$1&amp;"P"&amp;$A98)="N/A",0,RTD("tos.rtd",,$A$2,"."&amp;G$83&amp;G$1&amp;"P"&amp;$A98))</f>
        <v>0</v>
      </c>
      <c r="H98" s="91">
        <f ca="1">IF(RTD("tos.rtd",,$A$2,"."&amp;H$83&amp;H$1&amp;"C"&amp;$A98)="N/A",0,RTD("tos.rtd",,$A$2,"."&amp;H$83&amp;H$1&amp;"C"&amp;$A98))-IF(RTD("tos.rtd",,$A$2,"."&amp;H$83&amp;H$1&amp;"P"&amp;$A98)="N/A",0,RTD("tos.rtd",,$A$2,"."&amp;H$83&amp;H$1&amp;"P"&amp;$A98))</f>
        <v>0</v>
      </c>
      <c r="I98" s="91">
        <f ca="1">IF(RTD("tos.rtd",,$A$2,"."&amp;I$83&amp;I$1&amp;"C"&amp;$A98)="N/A",0,RTD("tos.rtd",,$A$2,"."&amp;I$83&amp;I$1&amp;"C"&amp;$A98))-IF(RTD("tos.rtd",,$A$2,"."&amp;I$83&amp;I$1&amp;"P"&amp;$A98)="N/A",0,RTD("tos.rtd",,$A$2,"."&amp;I$83&amp;I$1&amp;"P"&amp;$A98))</f>
        <v>-20591</v>
      </c>
      <c r="J98" s="91">
        <f ca="1">IF(RTD("tos.rtd",,$A$2,"."&amp;J$83&amp;J$1&amp;"C"&amp;$A98)="N/A",0,RTD("tos.rtd",,$A$2,"."&amp;J$83&amp;J$1&amp;"C"&amp;$A98))-IF(RTD("tos.rtd",,$A$2,"."&amp;J$83&amp;J$1&amp;"P"&amp;$A98)="N/A",0,RTD("tos.rtd",,$A$2,"."&amp;J$83&amp;J$1&amp;"P"&amp;$A98))</f>
        <v>145</v>
      </c>
      <c r="K98" s="91">
        <f ca="1">IF(RTD("tos.rtd",,$A$2,"."&amp;K$83&amp;K$1&amp;"C"&amp;$A98)="N/A",0,RTD("tos.rtd",,$A$2,"."&amp;K$83&amp;K$1&amp;"C"&amp;$A98))-IF(RTD("tos.rtd",,$A$2,"."&amp;K$83&amp;K$1&amp;"P"&amp;$A98)="N/A",0,RTD("tos.rtd",,$A$2,"."&amp;K$83&amp;K$1&amp;"P"&amp;$A98))</f>
        <v>0</v>
      </c>
      <c r="L98" s="91">
        <f ca="1">IF(RTD("tos.rtd",,$A$2,"."&amp;L$83&amp;L$1&amp;"C"&amp;$A98)="N/A",0,RTD("tos.rtd",,$A$2,"."&amp;L$83&amp;L$1&amp;"C"&amp;$A98))-IF(RTD("tos.rtd",,$A$2,"."&amp;L$83&amp;L$1&amp;"P"&amp;$A98)="N/A",0,RTD("tos.rtd",,$A$2,"."&amp;L$83&amp;L$1&amp;"P"&amp;$A98))</f>
        <v>309</v>
      </c>
      <c r="M98" s="91">
        <f ca="1">IF(RTD("tos.rtd",,$A$2,"."&amp;M$83&amp;M$1&amp;"C"&amp;$A98)="N/A",0,RTD("tos.rtd",,$A$2,"."&amp;M$83&amp;M$1&amp;"C"&amp;$A98))-IF(RTD("tos.rtd",,$A$2,"."&amp;M$83&amp;M$1&amp;"P"&amp;$A98)="N/A",0,RTD("tos.rtd",,$A$2,"."&amp;M$83&amp;M$1&amp;"P"&amp;$A98))</f>
        <v>-103</v>
      </c>
      <c r="N98" s="91">
        <f ca="1">IF(RTD("tos.rtd",,$A$2,"."&amp;N$83&amp;N$1&amp;"C"&amp;$A98)="N/A",0,RTD("tos.rtd",,$A$2,"."&amp;N$83&amp;N$1&amp;"C"&amp;$A98))-IF(RTD("tos.rtd",,$A$2,"."&amp;N$83&amp;N$1&amp;"P"&amp;$A98)="N/A",0,RTD("tos.rtd",,$A$2,"."&amp;N$83&amp;N$1&amp;"P"&amp;$A98))</f>
        <v>234</v>
      </c>
      <c r="O98" s="91">
        <f ca="1">IF(RTD("tos.rtd",,$A$2,"."&amp;O$83&amp;O$1&amp;"C"&amp;$A98)="N/A",0,RTD("tos.rtd",,$A$2,"."&amp;O$83&amp;O$1&amp;"C"&amp;$A98))-IF(RTD("tos.rtd",,$A$2,"."&amp;O$83&amp;O$1&amp;"P"&amp;$A98)="N/A",0,RTD("tos.rtd",,$A$2,"."&amp;O$83&amp;O$1&amp;"P"&amp;$A98))</f>
        <v>441</v>
      </c>
      <c r="P98" s="91">
        <f ca="1">IF(RTD("tos.rtd",,$A$2,"."&amp;P$83&amp;P$1&amp;"C"&amp;$A98)="N/A",0,RTD("tos.rtd",,$A$2,"."&amp;P$83&amp;P$1&amp;"C"&amp;$A98))-IF(RTD("tos.rtd",,$A$2,"."&amp;P$83&amp;P$1&amp;"P"&amp;$A98)="N/A",0,RTD("tos.rtd",,$A$2,"."&amp;P$83&amp;P$1&amp;"P"&amp;$A98))</f>
        <v>-22</v>
      </c>
      <c r="Q98" s="91">
        <f ca="1">IF(RTD("tos.rtd",,$A$2,"."&amp;Q$83&amp;Q$1&amp;"C"&amp;$A98)="N/A",0,RTD("tos.rtd",,$A$2,"."&amp;Q$83&amp;Q$1&amp;"C"&amp;$A98))-IF(RTD("tos.rtd",,$A$2,"."&amp;Q$83&amp;Q$1&amp;"P"&amp;$A98)="N/A",0,RTD("tos.rtd",,$A$2,"."&amp;Q$83&amp;Q$1&amp;"P"&amp;$A98))</f>
        <v>123</v>
      </c>
      <c r="R98" s="91">
        <f ca="1">IF(RTD("tos.rtd",,$A$2,"."&amp;R$83&amp;R$1&amp;"C"&amp;$A98)="N/A",0,RTD("tos.rtd",,$A$2,"."&amp;R$83&amp;R$1&amp;"C"&amp;$A98))-IF(RTD("tos.rtd",,$A$2,"."&amp;R$83&amp;R$1&amp;"P"&amp;$A98)="N/A",0,RTD("tos.rtd",,$A$2,"."&amp;R$83&amp;R$1&amp;"P"&amp;$A98))</f>
        <v>3</v>
      </c>
      <c r="S98" s="91">
        <f ca="1">IF(RTD("tos.rtd",,$A$2,"."&amp;S$83&amp;S$1&amp;"C"&amp;$A98)="N/A",0,RTD("tos.rtd",,$A$2,"."&amp;S$83&amp;S$1&amp;"C"&amp;$A98))-IF(RTD("tos.rtd",,$A$2,"."&amp;S$83&amp;S$1&amp;"P"&amp;$A98)="N/A",0,RTD("tos.rtd",,$A$2,"."&amp;S$83&amp;S$1&amp;"P"&amp;$A98))</f>
        <v>-9</v>
      </c>
      <c r="T98" s="91">
        <f ca="1">IF(RTD("tos.rtd",,$A$2,"."&amp;T$83&amp;T$1&amp;"C"&amp;$A98)="N/A",0,RTD("tos.rtd",,$A$2,"."&amp;T$83&amp;T$1&amp;"C"&amp;$A98))-IF(RTD("tos.rtd",,$A$2,"."&amp;T$83&amp;T$1&amp;"P"&amp;$A98)="N/A",0,RTD("tos.rtd",,$A$2,"."&amp;T$83&amp;T$1&amp;"P"&amp;$A98))</f>
        <v>-46</v>
      </c>
      <c r="U98" s="91">
        <f ca="1">IF(RTD("tos.rtd",,$A$2,"."&amp;U$83&amp;U$1&amp;"C"&amp;$A98)="N/A",0,RTD("tos.rtd",,$A$2,"."&amp;U$83&amp;U$1&amp;"C"&amp;$A98))-IF(RTD("tos.rtd",,$A$2,"."&amp;U$83&amp;U$1&amp;"P"&amp;$A98)="N/A",0,RTD("tos.rtd",,$A$2,"."&amp;U$83&amp;U$1&amp;"P"&amp;$A98))</f>
        <v>-684</v>
      </c>
      <c r="V98" s="91">
        <f ca="1">IF(RTD("tos.rtd",,$A$2,"."&amp;V$83&amp;V$1&amp;"C"&amp;$A98)="N/A",0,RTD("tos.rtd",,$A$2,"."&amp;V$83&amp;V$1&amp;"C"&amp;$A98))-IF(RTD("tos.rtd",,$A$2,"."&amp;V$83&amp;V$1&amp;"P"&amp;$A98)="N/A",0,RTD("tos.rtd",,$A$2,"."&amp;V$83&amp;V$1&amp;"P"&amp;$A98))</f>
        <v>0</v>
      </c>
      <c r="W98" s="91">
        <f ca="1">IF(RTD("tos.rtd",,$A$2,"."&amp;W$83&amp;W$1&amp;"C"&amp;$A98)="N/A",0,RTD("tos.rtd",,$A$2,"."&amp;W$83&amp;W$1&amp;"C"&amp;$A98))-IF(RTD("tos.rtd",,$A$2,"."&amp;W$83&amp;W$1&amp;"P"&amp;$A98)="N/A",0,RTD("tos.rtd",,$A$2,"."&amp;W$83&amp;W$1&amp;"P"&amp;$A98))</f>
        <v>111</v>
      </c>
      <c r="X98" s="91">
        <f ca="1">IF(RTD("tos.rtd",,$A$2,"."&amp;X$83&amp;X$1&amp;"C"&amp;$A98)="N/A",0,RTD("tos.rtd",,$A$2,"."&amp;X$83&amp;X$1&amp;"C"&amp;$A98))-IF(RTD("tos.rtd",,$A$2,"."&amp;X$83&amp;X$1&amp;"P"&amp;$A98)="N/A",0,RTD("tos.rtd",,$A$2,"."&amp;X$83&amp;X$1&amp;"P"&amp;$A98))</f>
        <v>-34</v>
      </c>
      <c r="Y98" s="98">
        <f t="shared" ca="1" si="10"/>
        <v>-20123</v>
      </c>
    </row>
    <row r="99" spans="1:25" x14ac:dyDescent="0.25">
      <c r="A99" s="93">
        <f>+Hoja1!A98</f>
        <v>5890</v>
      </c>
      <c r="B99" s="91">
        <f ca="1">IF(RTD("tos.rtd",,$A$2,"."&amp;B$83&amp;B$1&amp;"C"&amp;$A99)="N/A",0,RTD("tos.rtd",,$A$2,"."&amp;B$83&amp;B$1&amp;"C"&amp;$A99))-IF(RTD("tos.rtd",,$A$2,"."&amp;B$83&amp;B$1&amp;"P"&amp;$A99)="N/A",0,RTD("tos.rtd",,$A$2,"."&amp;B$83&amp;B$1&amp;"P"&amp;$A99))</f>
        <v>0</v>
      </c>
      <c r="C99" s="91">
        <f ca="1">IF(RTD("tos.rtd",,$A$2,"."&amp;C$83&amp;C$1&amp;"C"&amp;$A99)="N/A",0,RTD("tos.rtd",,$A$2,"."&amp;C$83&amp;C$1&amp;"C"&amp;$A99))-IF(RTD("tos.rtd",,$A$2,"."&amp;C$83&amp;C$1&amp;"P"&amp;$A99)="N/A",0,RTD("tos.rtd",,$A$2,"."&amp;C$83&amp;C$1&amp;"P"&amp;$A99))</f>
        <v>0</v>
      </c>
      <c r="D99" s="91">
        <f ca="1">IF(RTD("tos.rtd",,$A$2,"."&amp;D$83&amp;D$1&amp;"C"&amp;$A99)="N/A",0,RTD("tos.rtd",,$A$2,"."&amp;D$83&amp;D$1&amp;"C"&amp;$A99))-IF(RTD("tos.rtd",,$A$2,"."&amp;D$83&amp;D$1&amp;"P"&amp;$A99)="N/A",0,RTD("tos.rtd",,$A$2,"."&amp;D$83&amp;D$1&amp;"P"&amp;$A99))</f>
        <v>0</v>
      </c>
      <c r="E99" s="91">
        <f ca="1">IF(RTD("tos.rtd",,$A$2,"."&amp;E$83&amp;E$1&amp;"C"&amp;$A99)="N/A",0,RTD("tos.rtd",,$A$2,"."&amp;E$83&amp;E$1&amp;"C"&amp;$A99))-IF(RTD("tos.rtd",,$A$2,"."&amp;E$83&amp;E$1&amp;"P"&amp;$A99)="N/A",0,RTD("tos.rtd",,$A$2,"."&amp;E$83&amp;E$1&amp;"P"&amp;$A99))</f>
        <v>0</v>
      </c>
      <c r="F99" s="91">
        <f ca="1">IF(RTD("tos.rtd",,$A$2,"."&amp;F$83&amp;F$1&amp;"C"&amp;$A99)="N/A",0,RTD("tos.rtd",,$A$2,"."&amp;F$83&amp;F$1&amp;"C"&amp;$A99))-IF(RTD("tos.rtd",,$A$2,"."&amp;F$83&amp;F$1&amp;"P"&amp;$A99)="N/A",0,RTD("tos.rtd",,$A$2,"."&amp;F$83&amp;F$1&amp;"P"&amp;$A99))</f>
        <v>0</v>
      </c>
      <c r="G99" s="91">
        <f ca="1">IF(RTD("tos.rtd",,$A$2,"."&amp;G$83&amp;G$1&amp;"C"&amp;$A99)="N/A",0,RTD("tos.rtd",,$A$2,"."&amp;G$83&amp;G$1&amp;"C"&amp;$A99))-IF(RTD("tos.rtd",,$A$2,"."&amp;G$83&amp;G$1&amp;"P"&amp;$A99)="N/A",0,RTD("tos.rtd",,$A$2,"."&amp;G$83&amp;G$1&amp;"P"&amp;$A99))</f>
        <v>0</v>
      </c>
      <c r="H99" s="91">
        <f ca="1">IF(RTD("tos.rtd",,$A$2,"."&amp;H$83&amp;H$1&amp;"C"&amp;$A99)="N/A",0,RTD("tos.rtd",,$A$2,"."&amp;H$83&amp;H$1&amp;"C"&amp;$A99))-IF(RTD("tos.rtd",,$A$2,"."&amp;H$83&amp;H$1&amp;"P"&amp;$A99)="N/A",0,RTD("tos.rtd",,$A$2,"."&amp;H$83&amp;H$1&amp;"P"&amp;$A99))</f>
        <v>0</v>
      </c>
      <c r="I99" s="91">
        <f ca="1">IF(RTD("tos.rtd",,$A$2,"."&amp;I$83&amp;I$1&amp;"C"&amp;$A99)="N/A",0,RTD("tos.rtd",,$A$2,"."&amp;I$83&amp;I$1&amp;"C"&amp;$A99))-IF(RTD("tos.rtd",,$A$2,"."&amp;I$83&amp;I$1&amp;"P"&amp;$A99)="N/A",0,RTD("tos.rtd",,$A$2,"."&amp;I$83&amp;I$1&amp;"P"&amp;$A99))</f>
        <v>27</v>
      </c>
      <c r="J99" s="91">
        <f ca="1">IF(RTD("tos.rtd",,$A$2,"."&amp;J$83&amp;J$1&amp;"C"&amp;$A99)="N/A",0,RTD("tos.rtd",,$A$2,"."&amp;J$83&amp;J$1&amp;"C"&amp;$A99))-IF(RTD("tos.rtd",,$A$2,"."&amp;J$83&amp;J$1&amp;"P"&amp;$A99)="N/A",0,RTD("tos.rtd",,$A$2,"."&amp;J$83&amp;J$1&amp;"P"&amp;$A99))</f>
        <v>10</v>
      </c>
      <c r="K99" s="91">
        <f ca="1">IF(RTD("tos.rtd",,$A$2,"."&amp;K$83&amp;K$1&amp;"C"&amp;$A99)="N/A",0,RTD("tos.rtd",,$A$2,"."&amp;K$83&amp;K$1&amp;"C"&amp;$A99))-IF(RTD("tos.rtd",,$A$2,"."&amp;K$83&amp;K$1&amp;"P"&amp;$A99)="N/A",0,RTD("tos.rtd",,$A$2,"."&amp;K$83&amp;K$1&amp;"P"&amp;$A99))</f>
        <v>0</v>
      </c>
      <c r="L99" s="91">
        <f ca="1">IF(RTD("tos.rtd",,$A$2,"."&amp;L$83&amp;L$1&amp;"C"&amp;$A99)="N/A",0,RTD("tos.rtd",,$A$2,"."&amp;L$83&amp;L$1&amp;"C"&amp;$A99))-IF(RTD("tos.rtd",,$A$2,"."&amp;L$83&amp;L$1&amp;"P"&amp;$A99)="N/A",0,RTD("tos.rtd",,$A$2,"."&amp;L$83&amp;L$1&amp;"P"&amp;$A99))</f>
        <v>45</v>
      </c>
      <c r="M99" s="91">
        <f ca="1">IF(RTD("tos.rtd",,$A$2,"."&amp;M$83&amp;M$1&amp;"C"&amp;$A99)="N/A",0,RTD("tos.rtd",,$A$2,"."&amp;M$83&amp;M$1&amp;"C"&amp;$A99))-IF(RTD("tos.rtd",,$A$2,"."&amp;M$83&amp;M$1&amp;"P"&amp;$A99)="N/A",0,RTD("tos.rtd",,$A$2,"."&amp;M$83&amp;M$1&amp;"P"&amp;$A99))</f>
        <v>-75</v>
      </c>
      <c r="N99" s="91">
        <f ca="1">IF(RTD("tos.rtd",,$A$2,"."&amp;N$83&amp;N$1&amp;"C"&amp;$A99)="N/A",0,RTD("tos.rtd",,$A$2,"."&amp;N$83&amp;N$1&amp;"C"&amp;$A99))-IF(RTD("tos.rtd",,$A$2,"."&amp;N$83&amp;N$1&amp;"P"&amp;$A99)="N/A",0,RTD("tos.rtd",,$A$2,"."&amp;N$83&amp;N$1&amp;"P"&amp;$A99))</f>
        <v>1</v>
      </c>
      <c r="O99" s="91">
        <f ca="1">IF(RTD("tos.rtd",,$A$2,"."&amp;O$83&amp;O$1&amp;"C"&amp;$A99)="N/A",0,RTD("tos.rtd",,$A$2,"."&amp;O$83&amp;O$1&amp;"C"&amp;$A99))-IF(RTD("tos.rtd",,$A$2,"."&amp;O$83&amp;O$1&amp;"P"&amp;$A99)="N/A",0,RTD("tos.rtd",,$A$2,"."&amp;O$83&amp;O$1&amp;"P"&amp;$A99))</f>
        <v>68</v>
      </c>
      <c r="P99" s="91">
        <f ca="1">IF(RTD("tos.rtd",,$A$2,"."&amp;P$83&amp;P$1&amp;"C"&amp;$A99)="N/A",0,RTD("tos.rtd",,$A$2,"."&amp;P$83&amp;P$1&amp;"C"&amp;$A99))-IF(RTD("tos.rtd",,$A$2,"."&amp;P$83&amp;P$1&amp;"P"&amp;$A99)="N/A",0,RTD("tos.rtd",,$A$2,"."&amp;P$83&amp;P$1&amp;"P"&amp;$A99))</f>
        <v>-220</v>
      </c>
      <c r="Q99" s="91">
        <f ca="1">IF(RTD("tos.rtd",,$A$2,"."&amp;Q$83&amp;Q$1&amp;"C"&amp;$A99)="N/A",0,RTD("tos.rtd",,$A$2,"."&amp;Q$83&amp;Q$1&amp;"C"&amp;$A99))-IF(RTD("tos.rtd",,$A$2,"."&amp;Q$83&amp;Q$1&amp;"P"&amp;$A99)="N/A",0,RTD("tos.rtd",,$A$2,"."&amp;Q$83&amp;Q$1&amp;"P"&amp;$A99))</f>
        <v>20</v>
      </c>
      <c r="R99" s="91">
        <f ca="1">IF(RTD("tos.rtd",,$A$2,"."&amp;R$83&amp;R$1&amp;"C"&amp;$A99)="N/A",0,RTD("tos.rtd",,$A$2,"."&amp;R$83&amp;R$1&amp;"C"&amp;$A99))-IF(RTD("tos.rtd",,$A$2,"."&amp;R$83&amp;R$1&amp;"P"&amp;$A99)="N/A",0,RTD("tos.rtd",,$A$2,"."&amp;R$83&amp;R$1&amp;"P"&amp;$A99))</f>
        <v>-5</v>
      </c>
      <c r="S99" s="91">
        <f ca="1">IF(RTD("tos.rtd",,$A$2,"."&amp;S$83&amp;S$1&amp;"C"&amp;$A99)="N/A",0,RTD("tos.rtd",,$A$2,"."&amp;S$83&amp;S$1&amp;"C"&amp;$A99))-IF(RTD("tos.rtd",,$A$2,"."&amp;S$83&amp;S$1&amp;"P"&amp;$A99)="N/A",0,RTD("tos.rtd",,$A$2,"."&amp;S$83&amp;S$1&amp;"P"&amp;$A99))</f>
        <v>0</v>
      </c>
      <c r="T99" s="91">
        <f ca="1">IF(RTD("tos.rtd",,$A$2,"."&amp;T$83&amp;T$1&amp;"C"&amp;$A99)="N/A",0,RTD("tos.rtd",,$A$2,"."&amp;T$83&amp;T$1&amp;"C"&amp;$A99))-IF(RTD("tos.rtd",,$A$2,"."&amp;T$83&amp;T$1&amp;"P"&amp;$A99)="N/A",0,RTD("tos.rtd",,$A$2,"."&amp;T$83&amp;T$1&amp;"P"&amp;$A99))</f>
        <v>0</v>
      </c>
      <c r="U99" s="91">
        <f ca="1">IF(RTD("tos.rtd",,$A$2,"."&amp;U$83&amp;U$1&amp;"C"&amp;$A99)="N/A",0,RTD("tos.rtd",,$A$2,"."&amp;U$83&amp;U$1&amp;"C"&amp;$A99))-IF(RTD("tos.rtd",,$A$2,"."&amp;U$83&amp;U$1&amp;"P"&amp;$A99)="N/A",0,RTD("tos.rtd",,$A$2,"."&amp;U$83&amp;U$1&amp;"P"&amp;$A99))</f>
        <v>0</v>
      </c>
      <c r="V99" s="91">
        <f ca="1">IF(RTD("tos.rtd",,$A$2,"."&amp;V$83&amp;V$1&amp;"C"&amp;$A99)="N/A",0,RTD("tos.rtd",,$A$2,"."&amp;V$83&amp;V$1&amp;"C"&amp;$A99))-IF(RTD("tos.rtd",,$A$2,"."&amp;V$83&amp;V$1&amp;"P"&amp;$A99)="N/A",0,RTD("tos.rtd",,$A$2,"."&amp;V$83&amp;V$1&amp;"P"&amp;$A99))</f>
        <v>0</v>
      </c>
      <c r="W99" s="91">
        <f ca="1">IF(RTD("tos.rtd",,$A$2,"."&amp;W$83&amp;W$1&amp;"C"&amp;$A99)="N/A",0,RTD("tos.rtd",,$A$2,"."&amp;W$83&amp;W$1&amp;"C"&amp;$A99))-IF(RTD("tos.rtd",,$A$2,"."&amp;W$83&amp;W$1&amp;"P"&amp;$A99)="N/A",0,RTD("tos.rtd",,$A$2,"."&amp;W$83&amp;W$1&amp;"P"&amp;$A99))</f>
        <v>0</v>
      </c>
      <c r="X99" s="91">
        <f ca="1">IF(RTD("tos.rtd",,$A$2,"."&amp;X$83&amp;X$1&amp;"C"&amp;$A99)="N/A",0,RTD("tos.rtd",,$A$2,"."&amp;X$83&amp;X$1&amp;"C"&amp;$A99))-IF(RTD("tos.rtd",,$A$2,"."&amp;X$83&amp;X$1&amp;"P"&amp;$A99)="N/A",0,RTD("tos.rtd",,$A$2,"."&amp;X$83&amp;X$1&amp;"P"&amp;$A99))</f>
        <v>0</v>
      </c>
      <c r="Y99" s="98">
        <f t="shared" ca="1" si="10"/>
        <v>-129</v>
      </c>
    </row>
    <row r="100" spans="1:25" x14ac:dyDescent="0.25">
      <c r="A100" s="93">
        <f>+Hoja1!A99</f>
        <v>5880</v>
      </c>
      <c r="B100" s="91">
        <f ca="1">IF(RTD("tos.rtd",,$A$2,"."&amp;B$83&amp;B$1&amp;"C"&amp;$A100)="N/A",0,RTD("tos.rtd",,$A$2,"."&amp;B$83&amp;B$1&amp;"C"&amp;$A100))-IF(RTD("tos.rtd",,$A$2,"."&amp;B$83&amp;B$1&amp;"P"&amp;$A100)="N/A",0,RTD("tos.rtd",,$A$2,"."&amp;B$83&amp;B$1&amp;"P"&amp;$A100))</f>
        <v>0</v>
      </c>
      <c r="C100" s="91">
        <f ca="1">IF(RTD("tos.rtd",,$A$2,"."&amp;C$83&amp;C$1&amp;"C"&amp;$A100)="N/A",0,RTD("tos.rtd",,$A$2,"."&amp;C$83&amp;C$1&amp;"C"&amp;$A100))-IF(RTD("tos.rtd",,$A$2,"."&amp;C$83&amp;C$1&amp;"P"&amp;$A100)="N/A",0,RTD("tos.rtd",,$A$2,"."&amp;C$83&amp;C$1&amp;"P"&amp;$A100))</f>
        <v>0</v>
      </c>
      <c r="D100" s="91">
        <f ca="1">IF(RTD("tos.rtd",,$A$2,"."&amp;D$83&amp;D$1&amp;"C"&amp;$A100)="N/A",0,RTD("tos.rtd",,$A$2,"."&amp;D$83&amp;D$1&amp;"C"&amp;$A100))-IF(RTD("tos.rtd",,$A$2,"."&amp;D$83&amp;D$1&amp;"P"&amp;$A100)="N/A",0,RTD("tos.rtd",,$A$2,"."&amp;D$83&amp;D$1&amp;"P"&amp;$A100))</f>
        <v>0</v>
      </c>
      <c r="E100" s="91">
        <f ca="1">IF(RTD("tos.rtd",,$A$2,"."&amp;E$83&amp;E$1&amp;"C"&amp;$A100)="N/A",0,RTD("tos.rtd",,$A$2,"."&amp;E$83&amp;E$1&amp;"C"&amp;$A100))-IF(RTD("tos.rtd",,$A$2,"."&amp;E$83&amp;E$1&amp;"P"&amp;$A100)="N/A",0,RTD("tos.rtd",,$A$2,"."&amp;E$83&amp;E$1&amp;"P"&amp;$A100))</f>
        <v>0</v>
      </c>
      <c r="F100" s="91">
        <f ca="1">IF(RTD("tos.rtd",,$A$2,"."&amp;F$83&amp;F$1&amp;"C"&amp;$A100)="N/A",0,RTD("tos.rtd",,$A$2,"."&amp;F$83&amp;F$1&amp;"C"&amp;$A100))-IF(RTD("tos.rtd",,$A$2,"."&amp;F$83&amp;F$1&amp;"P"&amp;$A100)="N/A",0,RTD("tos.rtd",,$A$2,"."&amp;F$83&amp;F$1&amp;"P"&amp;$A100))</f>
        <v>0</v>
      </c>
      <c r="G100" s="91">
        <f ca="1">IF(RTD("tos.rtd",,$A$2,"."&amp;G$83&amp;G$1&amp;"C"&amp;$A100)="N/A",0,RTD("tos.rtd",,$A$2,"."&amp;G$83&amp;G$1&amp;"C"&amp;$A100))-IF(RTD("tos.rtd",,$A$2,"."&amp;G$83&amp;G$1&amp;"P"&amp;$A100)="N/A",0,RTD("tos.rtd",,$A$2,"."&amp;G$83&amp;G$1&amp;"P"&amp;$A100))</f>
        <v>0</v>
      </c>
      <c r="H100" s="91">
        <f ca="1">IF(RTD("tos.rtd",,$A$2,"."&amp;H$83&amp;H$1&amp;"C"&amp;$A100)="N/A",0,RTD("tos.rtd",,$A$2,"."&amp;H$83&amp;H$1&amp;"C"&amp;$A100))-IF(RTD("tos.rtd",,$A$2,"."&amp;H$83&amp;H$1&amp;"P"&amp;$A100)="N/A",0,RTD("tos.rtd",,$A$2,"."&amp;H$83&amp;H$1&amp;"P"&amp;$A100))</f>
        <v>0</v>
      </c>
      <c r="I100" s="91">
        <f ca="1">IF(RTD("tos.rtd",,$A$2,"."&amp;I$83&amp;I$1&amp;"C"&amp;$A100)="N/A",0,RTD("tos.rtd",,$A$2,"."&amp;I$83&amp;I$1&amp;"C"&amp;$A100))-IF(RTD("tos.rtd",,$A$2,"."&amp;I$83&amp;I$1&amp;"P"&amp;$A100)="N/A",0,RTD("tos.rtd",,$A$2,"."&amp;I$83&amp;I$1&amp;"P"&amp;$A100))</f>
        <v>95</v>
      </c>
      <c r="J100" s="91">
        <f ca="1">IF(RTD("tos.rtd",,$A$2,"."&amp;J$83&amp;J$1&amp;"C"&amp;$A100)="N/A",0,RTD("tos.rtd",,$A$2,"."&amp;J$83&amp;J$1&amp;"C"&amp;$A100))-IF(RTD("tos.rtd",,$A$2,"."&amp;J$83&amp;J$1&amp;"P"&amp;$A100)="N/A",0,RTD("tos.rtd",,$A$2,"."&amp;J$83&amp;J$1&amp;"P"&amp;$A100))</f>
        <v>25</v>
      </c>
      <c r="K100" s="91">
        <f ca="1">IF(RTD("tos.rtd",,$A$2,"."&amp;K$83&amp;K$1&amp;"C"&amp;$A100)="N/A",0,RTD("tos.rtd",,$A$2,"."&amp;K$83&amp;K$1&amp;"C"&amp;$A100))-IF(RTD("tos.rtd",,$A$2,"."&amp;K$83&amp;K$1&amp;"P"&amp;$A100)="N/A",0,RTD("tos.rtd",,$A$2,"."&amp;K$83&amp;K$1&amp;"P"&amp;$A100))</f>
        <v>0</v>
      </c>
      <c r="L100" s="91">
        <f ca="1">IF(RTD("tos.rtd",,$A$2,"."&amp;L$83&amp;L$1&amp;"C"&amp;$A100)="N/A",0,RTD("tos.rtd",,$A$2,"."&amp;L$83&amp;L$1&amp;"C"&amp;$A100))-IF(RTD("tos.rtd",,$A$2,"."&amp;L$83&amp;L$1&amp;"P"&amp;$A100)="N/A",0,RTD("tos.rtd",,$A$2,"."&amp;L$83&amp;L$1&amp;"P"&amp;$A100))</f>
        <v>-21</v>
      </c>
      <c r="M100" s="91">
        <f ca="1">IF(RTD("tos.rtd",,$A$2,"."&amp;M$83&amp;M$1&amp;"C"&amp;$A100)="N/A",0,RTD("tos.rtd",,$A$2,"."&amp;M$83&amp;M$1&amp;"C"&amp;$A100))-IF(RTD("tos.rtd",,$A$2,"."&amp;M$83&amp;M$1&amp;"P"&amp;$A100)="N/A",0,RTD("tos.rtd",,$A$2,"."&amp;M$83&amp;M$1&amp;"P"&amp;$A100))</f>
        <v>-20</v>
      </c>
      <c r="N100" s="91">
        <f ca="1">IF(RTD("tos.rtd",,$A$2,"."&amp;N$83&amp;N$1&amp;"C"&amp;$A100)="N/A",0,RTD("tos.rtd",,$A$2,"."&amp;N$83&amp;N$1&amp;"C"&amp;$A100))-IF(RTD("tos.rtd",,$A$2,"."&amp;N$83&amp;N$1&amp;"P"&amp;$A100)="N/A",0,RTD("tos.rtd",,$A$2,"."&amp;N$83&amp;N$1&amp;"P"&amp;$A100))</f>
        <v>-29</v>
      </c>
      <c r="O100" s="91">
        <f ca="1">IF(RTD("tos.rtd",,$A$2,"."&amp;O$83&amp;O$1&amp;"C"&amp;$A100)="N/A",0,RTD("tos.rtd",,$A$2,"."&amp;O$83&amp;O$1&amp;"C"&amp;$A100))-IF(RTD("tos.rtd",,$A$2,"."&amp;O$83&amp;O$1&amp;"P"&amp;$A100)="N/A",0,RTD("tos.rtd",,$A$2,"."&amp;O$83&amp;O$1&amp;"P"&amp;$A100))</f>
        <v>-10</v>
      </c>
      <c r="P100" s="91">
        <f ca="1">IF(RTD("tos.rtd",,$A$2,"."&amp;P$83&amp;P$1&amp;"C"&amp;$A100)="N/A",0,RTD("tos.rtd",,$A$2,"."&amp;P$83&amp;P$1&amp;"C"&amp;$A100))-IF(RTD("tos.rtd",,$A$2,"."&amp;P$83&amp;P$1&amp;"P"&amp;$A100)="N/A",0,RTD("tos.rtd",,$A$2,"."&amp;P$83&amp;P$1&amp;"P"&amp;$A100))</f>
        <v>-2</v>
      </c>
      <c r="Q100" s="91">
        <f ca="1">IF(RTD("tos.rtd",,$A$2,"."&amp;Q$83&amp;Q$1&amp;"C"&amp;$A100)="N/A",0,RTD("tos.rtd",,$A$2,"."&amp;Q$83&amp;Q$1&amp;"C"&amp;$A100))-IF(RTD("tos.rtd",,$A$2,"."&amp;Q$83&amp;Q$1&amp;"P"&amp;$A100)="N/A",0,RTD("tos.rtd",,$A$2,"."&amp;Q$83&amp;Q$1&amp;"P"&amp;$A100))</f>
        <v>20</v>
      </c>
      <c r="R100" s="91">
        <f ca="1">IF(RTD("tos.rtd",,$A$2,"."&amp;R$83&amp;R$1&amp;"C"&amp;$A100)="N/A",0,RTD("tos.rtd",,$A$2,"."&amp;R$83&amp;R$1&amp;"C"&amp;$A100))-IF(RTD("tos.rtd",,$A$2,"."&amp;R$83&amp;R$1&amp;"P"&amp;$A100)="N/A",0,RTD("tos.rtd",,$A$2,"."&amp;R$83&amp;R$1&amp;"P"&amp;$A100))</f>
        <v>0</v>
      </c>
      <c r="S100" s="91">
        <f ca="1">IF(RTD("tos.rtd",,$A$2,"."&amp;S$83&amp;S$1&amp;"C"&amp;$A100)="N/A",0,RTD("tos.rtd",,$A$2,"."&amp;S$83&amp;S$1&amp;"C"&amp;$A100))-IF(RTD("tos.rtd",,$A$2,"."&amp;S$83&amp;S$1&amp;"P"&amp;$A100)="N/A",0,RTD("tos.rtd",,$A$2,"."&amp;S$83&amp;S$1&amp;"P"&amp;$A100))</f>
        <v>0</v>
      </c>
      <c r="T100" s="91">
        <f ca="1">IF(RTD("tos.rtd",,$A$2,"."&amp;T$83&amp;T$1&amp;"C"&amp;$A100)="N/A",0,RTD("tos.rtd",,$A$2,"."&amp;T$83&amp;T$1&amp;"C"&amp;$A100))-IF(RTD("tos.rtd",,$A$2,"."&amp;T$83&amp;T$1&amp;"P"&amp;$A100)="N/A",0,RTD("tos.rtd",,$A$2,"."&amp;T$83&amp;T$1&amp;"P"&amp;$A100))</f>
        <v>0</v>
      </c>
      <c r="U100" s="91">
        <f ca="1">IF(RTD("tos.rtd",,$A$2,"."&amp;U$83&amp;U$1&amp;"C"&amp;$A100)="N/A",0,RTD("tos.rtd",,$A$2,"."&amp;U$83&amp;U$1&amp;"C"&amp;$A100))-IF(RTD("tos.rtd",,$A$2,"."&amp;U$83&amp;U$1&amp;"P"&amp;$A100)="N/A",0,RTD("tos.rtd",,$A$2,"."&amp;U$83&amp;U$1&amp;"P"&amp;$A100))</f>
        <v>0</v>
      </c>
      <c r="V100" s="91">
        <f ca="1">IF(RTD("tos.rtd",,$A$2,"."&amp;V$83&amp;V$1&amp;"C"&amp;$A100)="N/A",0,RTD("tos.rtd",,$A$2,"."&amp;V$83&amp;V$1&amp;"C"&amp;$A100))-IF(RTD("tos.rtd",,$A$2,"."&amp;V$83&amp;V$1&amp;"P"&amp;$A100)="N/A",0,RTD("tos.rtd",,$A$2,"."&amp;V$83&amp;V$1&amp;"P"&amp;$A100))</f>
        <v>0</v>
      </c>
      <c r="W100" s="91">
        <f ca="1">IF(RTD("tos.rtd",,$A$2,"."&amp;W$83&amp;W$1&amp;"C"&amp;$A100)="N/A",0,RTD("tos.rtd",,$A$2,"."&amp;W$83&amp;W$1&amp;"C"&amp;$A100))-IF(RTD("tos.rtd",,$A$2,"."&amp;W$83&amp;W$1&amp;"P"&amp;$A100)="N/A",0,RTD("tos.rtd",,$A$2,"."&amp;W$83&amp;W$1&amp;"P"&amp;$A100))</f>
        <v>0</v>
      </c>
      <c r="X100" s="91">
        <f ca="1">IF(RTD("tos.rtd",,$A$2,"."&amp;X$83&amp;X$1&amp;"C"&amp;$A100)="N/A",0,RTD("tos.rtd",,$A$2,"."&amp;X$83&amp;X$1&amp;"C"&amp;$A100))-IF(RTD("tos.rtd",,$A$2,"."&amp;X$83&amp;X$1&amp;"P"&amp;$A100)="N/A",0,RTD("tos.rtd",,$A$2,"."&amp;X$83&amp;X$1&amp;"P"&amp;$A100))</f>
        <v>0</v>
      </c>
      <c r="Y100" s="98">
        <f t="shared" ca="1" si="10"/>
        <v>58</v>
      </c>
    </row>
    <row r="101" spans="1:25" x14ac:dyDescent="0.25">
      <c r="A101" s="93">
        <f>+Hoja1!A100</f>
        <v>5870</v>
      </c>
      <c r="B101" s="91">
        <f ca="1">IF(RTD("tos.rtd",,$A$2,"."&amp;B$83&amp;B$1&amp;"C"&amp;$A101)="N/A",0,RTD("tos.rtd",,$A$2,"."&amp;B$83&amp;B$1&amp;"C"&amp;$A101))-IF(RTD("tos.rtd",,$A$2,"."&amp;B$83&amp;B$1&amp;"P"&amp;$A101)="N/A",0,RTD("tos.rtd",,$A$2,"."&amp;B$83&amp;B$1&amp;"P"&amp;$A101))</f>
        <v>0</v>
      </c>
      <c r="C101" s="91">
        <f ca="1">IF(RTD("tos.rtd",,$A$2,"."&amp;C$83&amp;C$1&amp;"C"&amp;$A101)="N/A",0,RTD("tos.rtd",,$A$2,"."&amp;C$83&amp;C$1&amp;"C"&amp;$A101))-IF(RTD("tos.rtd",,$A$2,"."&amp;C$83&amp;C$1&amp;"P"&amp;$A101)="N/A",0,RTD("tos.rtd",,$A$2,"."&amp;C$83&amp;C$1&amp;"P"&amp;$A101))</f>
        <v>0</v>
      </c>
      <c r="D101" s="91">
        <f ca="1">IF(RTD("tos.rtd",,$A$2,"."&amp;D$83&amp;D$1&amp;"C"&amp;$A101)="N/A",0,RTD("tos.rtd",,$A$2,"."&amp;D$83&amp;D$1&amp;"C"&amp;$A101))-IF(RTD("tos.rtd",,$A$2,"."&amp;D$83&amp;D$1&amp;"P"&amp;$A101)="N/A",0,RTD("tos.rtd",,$A$2,"."&amp;D$83&amp;D$1&amp;"P"&amp;$A101))</f>
        <v>0</v>
      </c>
      <c r="E101" s="91">
        <f ca="1">IF(RTD("tos.rtd",,$A$2,"."&amp;E$83&amp;E$1&amp;"C"&amp;$A101)="N/A",0,RTD("tos.rtd",,$A$2,"."&amp;E$83&amp;E$1&amp;"C"&amp;$A101))-IF(RTD("tos.rtd",,$A$2,"."&amp;E$83&amp;E$1&amp;"P"&amp;$A101)="N/A",0,RTD("tos.rtd",,$A$2,"."&amp;E$83&amp;E$1&amp;"P"&amp;$A101))</f>
        <v>0</v>
      </c>
      <c r="F101" s="91">
        <f ca="1">IF(RTD("tos.rtd",,$A$2,"."&amp;F$83&amp;F$1&amp;"C"&amp;$A101)="N/A",0,RTD("tos.rtd",,$A$2,"."&amp;F$83&amp;F$1&amp;"C"&amp;$A101))-IF(RTD("tos.rtd",,$A$2,"."&amp;F$83&amp;F$1&amp;"P"&amp;$A101)="N/A",0,RTD("tos.rtd",,$A$2,"."&amp;F$83&amp;F$1&amp;"P"&amp;$A101))</f>
        <v>0</v>
      </c>
      <c r="G101" s="91">
        <f ca="1">IF(RTD("tos.rtd",,$A$2,"."&amp;G$83&amp;G$1&amp;"C"&amp;$A101)="N/A",0,RTD("tos.rtd",,$A$2,"."&amp;G$83&amp;G$1&amp;"C"&amp;$A101))-IF(RTD("tos.rtd",,$A$2,"."&amp;G$83&amp;G$1&amp;"P"&amp;$A101)="N/A",0,RTD("tos.rtd",,$A$2,"."&amp;G$83&amp;G$1&amp;"P"&amp;$A101))</f>
        <v>0</v>
      </c>
      <c r="H101" s="91">
        <f ca="1">IF(RTD("tos.rtd",,$A$2,"."&amp;H$83&amp;H$1&amp;"C"&amp;$A101)="N/A",0,RTD("tos.rtd",,$A$2,"."&amp;H$83&amp;H$1&amp;"C"&amp;$A101))-IF(RTD("tos.rtd",,$A$2,"."&amp;H$83&amp;H$1&amp;"P"&amp;$A101)="N/A",0,RTD("tos.rtd",,$A$2,"."&amp;H$83&amp;H$1&amp;"P"&amp;$A101))</f>
        <v>0</v>
      </c>
      <c r="I101" s="91">
        <f ca="1">IF(RTD("tos.rtd",,$A$2,"."&amp;I$83&amp;I$1&amp;"C"&amp;$A101)="N/A",0,RTD("tos.rtd",,$A$2,"."&amp;I$83&amp;I$1&amp;"C"&amp;$A101))-IF(RTD("tos.rtd",,$A$2,"."&amp;I$83&amp;I$1&amp;"P"&amp;$A101)="N/A",0,RTD("tos.rtd",,$A$2,"."&amp;I$83&amp;I$1&amp;"P"&amp;$A101))</f>
        <v>28</v>
      </c>
      <c r="J101" s="91">
        <f ca="1">IF(RTD("tos.rtd",,$A$2,"."&amp;J$83&amp;J$1&amp;"C"&amp;$A101)="N/A",0,RTD("tos.rtd",,$A$2,"."&amp;J$83&amp;J$1&amp;"C"&amp;$A101))-IF(RTD("tos.rtd",,$A$2,"."&amp;J$83&amp;J$1&amp;"P"&amp;$A101)="N/A",0,RTD("tos.rtd",,$A$2,"."&amp;J$83&amp;J$1&amp;"P"&amp;$A101))</f>
        <v>2</v>
      </c>
      <c r="K101" s="91">
        <f ca="1">IF(RTD("tos.rtd",,$A$2,"."&amp;K$83&amp;K$1&amp;"C"&amp;$A101)="N/A",0,RTD("tos.rtd",,$A$2,"."&amp;K$83&amp;K$1&amp;"C"&amp;$A101))-IF(RTD("tos.rtd",,$A$2,"."&amp;K$83&amp;K$1&amp;"P"&amp;$A101)="N/A",0,RTD("tos.rtd",,$A$2,"."&amp;K$83&amp;K$1&amp;"P"&amp;$A101))</f>
        <v>0</v>
      </c>
      <c r="L101" s="91">
        <f ca="1">IF(RTD("tos.rtd",,$A$2,"."&amp;L$83&amp;L$1&amp;"C"&amp;$A101)="N/A",0,RTD("tos.rtd",,$A$2,"."&amp;L$83&amp;L$1&amp;"C"&amp;$A101))-IF(RTD("tos.rtd",,$A$2,"."&amp;L$83&amp;L$1&amp;"P"&amp;$A101)="N/A",0,RTD("tos.rtd",,$A$2,"."&amp;L$83&amp;L$1&amp;"P"&amp;$A101))</f>
        <v>-4</v>
      </c>
      <c r="M101" s="91">
        <f ca="1">IF(RTD("tos.rtd",,$A$2,"."&amp;M$83&amp;M$1&amp;"C"&amp;$A101)="N/A",0,RTD("tos.rtd",,$A$2,"."&amp;M$83&amp;M$1&amp;"C"&amp;$A101))-IF(RTD("tos.rtd",,$A$2,"."&amp;M$83&amp;M$1&amp;"P"&amp;$A101)="N/A",0,RTD("tos.rtd",,$A$2,"."&amp;M$83&amp;M$1&amp;"P"&amp;$A101))</f>
        <v>-144</v>
      </c>
      <c r="N101" s="91">
        <f ca="1">IF(RTD("tos.rtd",,$A$2,"."&amp;N$83&amp;N$1&amp;"C"&amp;$A101)="N/A",0,RTD("tos.rtd",,$A$2,"."&amp;N$83&amp;N$1&amp;"C"&amp;$A101))-IF(RTD("tos.rtd",,$A$2,"."&amp;N$83&amp;N$1&amp;"P"&amp;$A101)="N/A",0,RTD("tos.rtd",,$A$2,"."&amp;N$83&amp;N$1&amp;"P"&amp;$A101))</f>
        <v>-233</v>
      </c>
      <c r="O101" s="91">
        <f ca="1">IF(RTD("tos.rtd",,$A$2,"."&amp;O$83&amp;O$1&amp;"C"&amp;$A101)="N/A",0,RTD("tos.rtd",,$A$2,"."&amp;O$83&amp;O$1&amp;"C"&amp;$A101))-IF(RTD("tos.rtd",,$A$2,"."&amp;O$83&amp;O$1&amp;"P"&amp;$A101)="N/A",0,RTD("tos.rtd",,$A$2,"."&amp;O$83&amp;O$1&amp;"P"&amp;$A101))</f>
        <v>0</v>
      </c>
      <c r="P101" s="91">
        <f ca="1">IF(RTD("tos.rtd",,$A$2,"."&amp;P$83&amp;P$1&amp;"C"&amp;$A101)="N/A",0,RTD("tos.rtd",,$A$2,"."&amp;P$83&amp;P$1&amp;"C"&amp;$A101))-IF(RTD("tos.rtd",,$A$2,"."&amp;P$83&amp;P$1&amp;"P"&amp;$A101)="N/A",0,RTD("tos.rtd",,$A$2,"."&amp;P$83&amp;P$1&amp;"P"&amp;$A101))</f>
        <v>-227</v>
      </c>
      <c r="Q101" s="91">
        <f ca="1">IF(RTD("tos.rtd",,$A$2,"."&amp;Q$83&amp;Q$1&amp;"C"&amp;$A101)="N/A",0,RTD("tos.rtd",,$A$2,"."&amp;Q$83&amp;Q$1&amp;"C"&amp;$A101))-IF(RTD("tos.rtd",,$A$2,"."&amp;Q$83&amp;Q$1&amp;"P"&amp;$A101)="N/A",0,RTD("tos.rtd",,$A$2,"."&amp;Q$83&amp;Q$1&amp;"P"&amp;$A101))</f>
        <v>0</v>
      </c>
      <c r="R101" s="91">
        <f ca="1">IF(RTD("tos.rtd",,$A$2,"."&amp;R$83&amp;R$1&amp;"C"&amp;$A101)="N/A",0,RTD("tos.rtd",,$A$2,"."&amp;R$83&amp;R$1&amp;"C"&amp;$A101))-IF(RTD("tos.rtd",,$A$2,"."&amp;R$83&amp;R$1&amp;"P"&amp;$A101)="N/A",0,RTD("tos.rtd",,$A$2,"."&amp;R$83&amp;R$1&amp;"P"&amp;$A101))</f>
        <v>2</v>
      </c>
      <c r="S101" s="91">
        <f ca="1">IF(RTD("tos.rtd",,$A$2,"."&amp;S$83&amp;S$1&amp;"C"&amp;$A101)="N/A",0,RTD("tos.rtd",,$A$2,"."&amp;S$83&amp;S$1&amp;"C"&amp;$A101))-IF(RTD("tos.rtd",,$A$2,"."&amp;S$83&amp;S$1&amp;"P"&amp;$A101)="N/A",0,RTD("tos.rtd",,$A$2,"."&amp;S$83&amp;S$1&amp;"P"&amp;$A101))</f>
        <v>0</v>
      </c>
      <c r="T101" s="91">
        <f ca="1">IF(RTD("tos.rtd",,$A$2,"."&amp;T$83&amp;T$1&amp;"C"&amp;$A101)="N/A",0,RTD("tos.rtd",,$A$2,"."&amp;T$83&amp;T$1&amp;"C"&amp;$A101))-IF(RTD("tos.rtd",,$A$2,"."&amp;T$83&amp;T$1&amp;"P"&amp;$A101)="N/A",0,RTD("tos.rtd",,$A$2,"."&amp;T$83&amp;T$1&amp;"P"&amp;$A101))</f>
        <v>0</v>
      </c>
      <c r="U101" s="91">
        <f ca="1">IF(RTD("tos.rtd",,$A$2,"."&amp;U$83&amp;U$1&amp;"C"&amp;$A101)="N/A",0,RTD("tos.rtd",,$A$2,"."&amp;U$83&amp;U$1&amp;"C"&amp;$A101))-IF(RTD("tos.rtd",,$A$2,"."&amp;U$83&amp;U$1&amp;"P"&amp;$A101)="N/A",0,RTD("tos.rtd",,$A$2,"."&amp;U$83&amp;U$1&amp;"P"&amp;$A101))</f>
        <v>0</v>
      </c>
      <c r="V101" s="91">
        <f ca="1">IF(RTD("tos.rtd",,$A$2,"."&amp;V$83&amp;V$1&amp;"C"&amp;$A101)="N/A",0,RTD("tos.rtd",,$A$2,"."&amp;V$83&amp;V$1&amp;"C"&amp;$A101))-IF(RTD("tos.rtd",,$A$2,"."&amp;V$83&amp;V$1&amp;"P"&amp;$A101)="N/A",0,RTD("tos.rtd",,$A$2,"."&amp;V$83&amp;V$1&amp;"P"&amp;$A101))</f>
        <v>0</v>
      </c>
      <c r="W101" s="91">
        <f ca="1">IF(RTD("tos.rtd",,$A$2,"."&amp;W$83&amp;W$1&amp;"C"&amp;$A101)="N/A",0,RTD("tos.rtd",,$A$2,"."&amp;W$83&amp;W$1&amp;"C"&amp;$A101))-IF(RTD("tos.rtd",,$A$2,"."&amp;W$83&amp;W$1&amp;"P"&amp;$A101)="N/A",0,RTD("tos.rtd",,$A$2,"."&amp;W$83&amp;W$1&amp;"P"&amp;$A101))</f>
        <v>0</v>
      </c>
      <c r="X101" s="91">
        <f ca="1">IF(RTD("tos.rtd",,$A$2,"."&amp;X$83&amp;X$1&amp;"C"&amp;$A101)="N/A",0,RTD("tos.rtd",,$A$2,"."&amp;X$83&amp;X$1&amp;"C"&amp;$A101))-IF(RTD("tos.rtd",,$A$2,"."&amp;X$83&amp;X$1&amp;"P"&amp;$A101)="N/A",0,RTD("tos.rtd",,$A$2,"."&amp;X$83&amp;X$1&amp;"P"&amp;$A101))</f>
        <v>0</v>
      </c>
      <c r="Y101" s="98">
        <f t="shared" ca="1" si="10"/>
        <v>-576</v>
      </c>
    </row>
    <row r="102" spans="1:25" x14ac:dyDescent="0.25">
      <c r="A102" s="93">
        <f>+Hoja1!A101</f>
        <v>5860</v>
      </c>
      <c r="B102" s="91">
        <f ca="1">IF(RTD("tos.rtd",,$A$2,"."&amp;B$83&amp;B$1&amp;"C"&amp;$A102)="N/A",0,RTD("tos.rtd",,$A$2,"."&amp;B$83&amp;B$1&amp;"C"&amp;$A102))-IF(RTD("tos.rtd",,$A$2,"."&amp;B$83&amp;B$1&amp;"P"&amp;$A102)="N/A",0,RTD("tos.rtd",,$A$2,"."&amp;B$83&amp;B$1&amp;"P"&amp;$A102))</f>
        <v>0</v>
      </c>
      <c r="C102" s="91">
        <f ca="1">IF(RTD("tos.rtd",,$A$2,"."&amp;C$83&amp;C$1&amp;"C"&amp;$A102)="N/A",0,RTD("tos.rtd",,$A$2,"."&amp;C$83&amp;C$1&amp;"C"&amp;$A102))-IF(RTD("tos.rtd",,$A$2,"."&amp;C$83&amp;C$1&amp;"P"&amp;$A102)="N/A",0,RTD("tos.rtd",,$A$2,"."&amp;C$83&amp;C$1&amp;"P"&amp;$A102))</f>
        <v>0</v>
      </c>
      <c r="D102" s="91">
        <f ca="1">IF(RTD("tos.rtd",,$A$2,"."&amp;D$83&amp;D$1&amp;"C"&amp;$A102)="N/A",0,RTD("tos.rtd",,$A$2,"."&amp;D$83&amp;D$1&amp;"C"&amp;$A102))-IF(RTD("tos.rtd",,$A$2,"."&amp;D$83&amp;D$1&amp;"P"&amp;$A102)="N/A",0,RTD("tos.rtd",,$A$2,"."&amp;D$83&amp;D$1&amp;"P"&amp;$A102))</f>
        <v>0</v>
      </c>
      <c r="E102" s="91">
        <f ca="1">IF(RTD("tos.rtd",,$A$2,"."&amp;E$83&amp;E$1&amp;"C"&amp;$A102)="N/A",0,RTD("tos.rtd",,$A$2,"."&amp;E$83&amp;E$1&amp;"C"&amp;$A102))-IF(RTD("tos.rtd",,$A$2,"."&amp;E$83&amp;E$1&amp;"P"&amp;$A102)="N/A",0,RTD("tos.rtd",,$A$2,"."&amp;E$83&amp;E$1&amp;"P"&amp;$A102))</f>
        <v>0</v>
      </c>
      <c r="F102" s="91">
        <f ca="1">IF(RTD("tos.rtd",,$A$2,"."&amp;F$83&amp;F$1&amp;"C"&amp;$A102)="N/A",0,RTD("tos.rtd",,$A$2,"."&amp;F$83&amp;F$1&amp;"C"&amp;$A102))-IF(RTD("tos.rtd",,$A$2,"."&amp;F$83&amp;F$1&amp;"P"&amp;$A102)="N/A",0,RTD("tos.rtd",,$A$2,"."&amp;F$83&amp;F$1&amp;"P"&amp;$A102))</f>
        <v>0</v>
      </c>
      <c r="G102" s="91">
        <f ca="1">IF(RTD("tos.rtd",,$A$2,"."&amp;G$83&amp;G$1&amp;"C"&amp;$A102)="N/A",0,RTD("tos.rtd",,$A$2,"."&amp;G$83&amp;G$1&amp;"C"&amp;$A102))-IF(RTD("tos.rtd",,$A$2,"."&amp;G$83&amp;G$1&amp;"P"&amp;$A102)="N/A",0,RTD("tos.rtd",,$A$2,"."&amp;G$83&amp;G$1&amp;"P"&amp;$A102))</f>
        <v>0</v>
      </c>
      <c r="H102" s="91">
        <f ca="1">IF(RTD("tos.rtd",,$A$2,"."&amp;H$83&amp;H$1&amp;"C"&amp;$A102)="N/A",0,RTD("tos.rtd",,$A$2,"."&amp;H$83&amp;H$1&amp;"C"&amp;$A102))-IF(RTD("tos.rtd",,$A$2,"."&amp;H$83&amp;H$1&amp;"P"&amp;$A102)="N/A",0,RTD("tos.rtd",,$A$2,"."&amp;H$83&amp;H$1&amp;"P"&amp;$A102))</f>
        <v>0</v>
      </c>
      <c r="I102" s="91">
        <f ca="1">IF(RTD("tos.rtd",,$A$2,"."&amp;I$83&amp;I$1&amp;"C"&amp;$A102)="N/A",0,RTD("tos.rtd",,$A$2,"."&amp;I$83&amp;I$1&amp;"C"&amp;$A102))-IF(RTD("tos.rtd",,$A$2,"."&amp;I$83&amp;I$1&amp;"P"&amp;$A102)="N/A",0,RTD("tos.rtd",,$A$2,"."&amp;I$83&amp;I$1&amp;"P"&amp;$A102))</f>
        <v>148</v>
      </c>
      <c r="J102" s="91">
        <f ca="1">IF(RTD("tos.rtd",,$A$2,"."&amp;J$83&amp;J$1&amp;"C"&amp;$A102)="N/A",0,RTD("tos.rtd",,$A$2,"."&amp;J$83&amp;J$1&amp;"C"&amp;$A102))-IF(RTD("tos.rtd",,$A$2,"."&amp;J$83&amp;J$1&amp;"P"&amp;$A102)="N/A",0,RTD("tos.rtd",,$A$2,"."&amp;J$83&amp;J$1&amp;"P"&amp;$A102))</f>
        <v>0</v>
      </c>
      <c r="K102" s="91">
        <f ca="1">IF(RTD("tos.rtd",,$A$2,"."&amp;K$83&amp;K$1&amp;"C"&amp;$A102)="N/A",0,RTD("tos.rtd",,$A$2,"."&amp;K$83&amp;K$1&amp;"C"&amp;$A102))-IF(RTD("tos.rtd",,$A$2,"."&amp;K$83&amp;K$1&amp;"P"&amp;$A102)="N/A",0,RTD("tos.rtd",,$A$2,"."&amp;K$83&amp;K$1&amp;"P"&amp;$A102))</f>
        <v>0</v>
      </c>
      <c r="L102" s="91">
        <f ca="1">IF(RTD("tos.rtd",,$A$2,"."&amp;L$83&amp;L$1&amp;"C"&amp;$A102)="N/A",0,RTD("tos.rtd",,$A$2,"."&amp;L$83&amp;L$1&amp;"C"&amp;$A102))-IF(RTD("tos.rtd",,$A$2,"."&amp;L$83&amp;L$1&amp;"P"&amp;$A102)="N/A",0,RTD("tos.rtd",,$A$2,"."&amp;L$83&amp;L$1&amp;"P"&amp;$A102))</f>
        <v>10</v>
      </c>
      <c r="M102" s="91">
        <f ca="1">IF(RTD("tos.rtd",,$A$2,"."&amp;M$83&amp;M$1&amp;"C"&amp;$A102)="N/A",0,RTD("tos.rtd",,$A$2,"."&amp;M$83&amp;M$1&amp;"C"&amp;$A102))-IF(RTD("tos.rtd",,$A$2,"."&amp;M$83&amp;M$1&amp;"P"&amp;$A102)="N/A",0,RTD("tos.rtd",,$A$2,"."&amp;M$83&amp;M$1&amp;"P"&amp;$A102))</f>
        <v>-76</v>
      </c>
      <c r="N102" s="91">
        <f ca="1">IF(RTD("tos.rtd",,$A$2,"."&amp;N$83&amp;N$1&amp;"C"&amp;$A102)="N/A",0,RTD("tos.rtd",,$A$2,"."&amp;N$83&amp;N$1&amp;"C"&amp;$A102))-IF(RTD("tos.rtd",,$A$2,"."&amp;N$83&amp;N$1&amp;"P"&amp;$A102)="N/A",0,RTD("tos.rtd",,$A$2,"."&amp;N$83&amp;N$1&amp;"P"&amp;$A102))</f>
        <v>-110</v>
      </c>
      <c r="O102" s="91">
        <f ca="1">IF(RTD("tos.rtd",,$A$2,"."&amp;O$83&amp;O$1&amp;"C"&amp;$A102)="N/A",0,RTD("tos.rtd",,$A$2,"."&amp;O$83&amp;O$1&amp;"C"&amp;$A102))-IF(RTD("tos.rtd",,$A$2,"."&amp;O$83&amp;O$1&amp;"P"&amp;$A102)="N/A",0,RTD("tos.rtd",,$A$2,"."&amp;O$83&amp;O$1&amp;"P"&amp;$A102))</f>
        <v>0</v>
      </c>
      <c r="P102" s="91">
        <f ca="1">IF(RTD("tos.rtd",,$A$2,"."&amp;P$83&amp;P$1&amp;"C"&amp;$A102)="N/A",0,RTD("tos.rtd",,$A$2,"."&amp;P$83&amp;P$1&amp;"C"&amp;$A102))-IF(RTD("tos.rtd",,$A$2,"."&amp;P$83&amp;P$1&amp;"P"&amp;$A102)="N/A",0,RTD("tos.rtd",,$A$2,"."&amp;P$83&amp;P$1&amp;"P"&amp;$A102))</f>
        <v>160</v>
      </c>
      <c r="Q102" s="91">
        <f ca="1">IF(RTD("tos.rtd",,$A$2,"."&amp;Q$83&amp;Q$1&amp;"C"&amp;$A102)="N/A",0,RTD("tos.rtd",,$A$2,"."&amp;Q$83&amp;Q$1&amp;"C"&amp;$A102))-IF(RTD("tos.rtd",,$A$2,"."&amp;Q$83&amp;Q$1&amp;"P"&amp;$A102)="N/A",0,RTD("tos.rtd",,$A$2,"."&amp;Q$83&amp;Q$1&amp;"P"&amp;$A102))</f>
        <v>5</v>
      </c>
      <c r="R102" s="91">
        <f ca="1">IF(RTD("tos.rtd",,$A$2,"."&amp;R$83&amp;R$1&amp;"C"&amp;$A102)="N/A",0,RTD("tos.rtd",,$A$2,"."&amp;R$83&amp;R$1&amp;"C"&amp;$A102))-IF(RTD("tos.rtd",,$A$2,"."&amp;R$83&amp;R$1&amp;"P"&amp;$A102)="N/A",0,RTD("tos.rtd",,$A$2,"."&amp;R$83&amp;R$1&amp;"P"&amp;$A102))</f>
        <v>2</v>
      </c>
      <c r="S102" s="91">
        <f ca="1">IF(RTD("tos.rtd",,$A$2,"."&amp;S$83&amp;S$1&amp;"C"&amp;$A102)="N/A",0,RTD("tos.rtd",,$A$2,"."&amp;S$83&amp;S$1&amp;"C"&amp;$A102))-IF(RTD("tos.rtd",,$A$2,"."&amp;S$83&amp;S$1&amp;"P"&amp;$A102)="N/A",0,RTD("tos.rtd",,$A$2,"."&amp;S$83&amp;S$1&amp;"P"&amp;$A102))</f>
        <v>0</v>
      </c>
      <c r="T102" s="91">
        <f ca="1">IF(RTD("tos.rtd",,$A$2,"."&amp;T$83&amp;T$1&amp;"C"&amp;$A102)="N/A",0,RTD("tos.rtd",,$A$2,"."&amp;T$83&amp;T$1&amp;"C"&amp;$A102))-IF(RTD("tos.rtd",,$A$2,"."&amp;T$83&amp;T$1&amp;"P"&amp;$A102)="N/A",0,RTD("tos.rtd",,$A$2,"."&amp;T$83&amp;T$1&amp;"P"&amp;$A102))</f>
        <v>-2</v>
      </c>
      <c r="U102" s="91">
        <f ca="1">IF(RTD("tos.rtd",,$A$2,"."&amp;U$83&amp;U$1&amp;"C"&amp;$A102)="N/A",0,RTD("tos.rtd",,$A$2,"."&amp;U$83&amp;U$1&amp;"C"&amp;$A102))-IF(RTD("tos.rtd",,$A$2,"."&amp;U$83&amp;U$1&amp;"P"&amp;$A102)="N/A",0,RTD("tos.rtd",,$A$2,"."&amp;U$83&amp;U$1&amp;"P"&amp;$A102))</f>
        <v>0</v>
      </c>
      <c r="V102" s="91">
        <f ca="1">IF(RTD("tos.rtd",,$A$2,"."&amp;V$83&amp;V$1&amp;"C"&amp;$A102)="N/A",0,RTD("tos.rtd",,$A$2,"."&amp;V$83&amp;V$1&amp;"C"&amp;$A102))-IF(RTD("tos.rtd",,$A$2,"."&amp;V$83&amp;V$1&amp;"P"&amp;$A102)="N/A",0,RTD("tos.rtd",,$A$2,"."&amp;V$83&amp;V$1&amp;"P"&amp;$A102))</f>
        <v>0</v>
      </c>
      <c r="W102" s="91">
        <f ca="1">IF(RTD("tos.rtd",,$A$2,"."&amp;W$83&amp;W$1&amp;"C"&amp;$A102)="N/A",0,RTD("tos.rtd",,$A$2,"."&amp;W$83&amp;W$1&amp;"C"&amp;$A102))-IF(RTD("tos.rtd",,$A$2,"."&amp;W$83&amp;W$1&amp;"P"&amp;$A102)="N/A",0,RTD("tos.rtd",,$A$2,"."&amp;W$83&amp;W$1&amp;"P"&amp;$A102))</f>
        <v>0</v>
      </c>
      <c r="X102" s="91">
        <f ca="1">IF(RTD("tos.rtd",,$A$2,"."&amp;X$83&amp;X$1&amp;"C"&amp;$A102)="N/A",0,RTD("tos.rtd",,$A$2,"."&amp;X$83&amp;X$1&amp;"C"&amp;$A102))-IF(RTD("tos.rtd",,$A$2,"."&amp;X$83&amp;X$1&amp;"P"&amp;$A102)="N/A",0,RTD("tos.rtd",,$A$2,"."&amp;X$83&amp;X$1&amp;"P"&amp;$A102))</f>
        <v>0</v>
      </c>
      <c r="Y102" s="98">
        <f t="shared" ca="1" si="10"/>
        <v>137</v>
      </c>
    </row>
    <row r="103" spans="1:25" x14ac:dyDescent="0.25">
      <c r="A103" s="93">
        <f>+Hoja1!A102</f>
        <v>5850</v>
      </c>
      <c r="B103" s="91">
        <f ca="1">IF(RTD("tos.rtd",,$A$2,"."&amp;B$83&amp;B$1&amp;"C"&amp;$A103)="N/A",0,RTD("tos.rtd",,$A$2,"."&amp;B$83&amp;B$1&amp;"C"&amp;$A103))-IF(RTD("tos.rtd",,$A$2,"."&amp;B$83&amp;B$1&amp;"P"&amp;$A103)="N/A",0,RTD("tos.rtd",,$A$2,"."&amp;B$83&amp;B$1&amp;"P"&amp;$A103))</f>
        <v>0</v>
      </c>
      <c r="C103" s="91">
        <f ca="1">IF(RTD("tos.rtd",,$A$2,"."&amp;C$83&amp;C$1&amp;"C"&amp;$A103)="N/A",0,RTD("tos.rtd",,$A$2,"."&amp;C$83&amp;C$1&amp;"C"&amp;$A103))-IF(RTD("tos.rtd",,$A$2,"."&amp;C$83&amp;C$1&amp;"P"&amp;$A103)="N/A",0,RTD("tos.rtd",,$A$2,"."&amp;C$83&amp;C$1&amp;"P"&amp;$A103))</f>
        <v>0</v>
      </c>
      <c r="D103" s="91">
        <f ca="1">IF(RTD("tos.rtd",,$A$2,"."&amp;D$83&amp;D$1&amp;"C"&amp;$A103)="N/A",0,RTD("tos.rtd",,$A$2,"."&amp;D$83&amp;D$1&amp;"C"&amp;$A103))-IF(RTD("tos.rtd",,$A$2,"."&amp;D$83&amp;D$1&amp;"P"&amp;$A103)="N/A",0,RTD("tos.rtd",,$A$2,"."&amp;D$83&amp;D$1&amp;"P"&amp;$A103))</f>
        <v>0</v>
      </c>
      <c r="E103" s="91">
        <f ca="1">IF(RTD("tos.rtd",,$A$2,"."&amp;E$83&amp;E$1&amp;"C"&amp;$A103)="N/A",0,RTD("tos.rtd",,$A$2,"."&amp;E$83&amp;E$1&amp;"C"&amp;$A103))-IF(RTD("tos.rtd",,$A$2,"."&amp;E$83&amp;E$1&amp;"P"&amp;$A103)="N/A",0,RTD("tos.rtd",,$A$2,"."&amp;E$83&amp;E$1&amp;"P"&amp;$A103))</f>
        <v>0</v>
      </c>
      <c r="F103" s="91">
        <f ca="1">IF(RTD("tos.rtd",,$A$2,"."&amp;F$83&amp;F$1&amp;"C"&amp;$A103)="N/A",0,RTD("tos.rtd",,$A$2,"."&amp;F$83&amp;F$1&amp;"C"&amp;$A103))-IF(RTD("tos.rtd",,$A$2,"."&amp;F$83&amp;F$1&amp;"P"&amp;$A103)="N/A",0,RTD("tos.rtd",,$A$2,"."&amp;F$83&amp;F$1&amp;"P"&amp;$A103))</f>
        <v>0</v>
      </c>
      <c r="G103" s="91">
        <f ca="1">IF(RTD("tos.rtd",,$A$2,"."&amp;G$83&amp;G$1&amp;"C"&amp;$A103)="N/A",0,RTD("tos.rtd",,$A$2,"."&amp;G$83&amp;G$1&amp;"C"&amp;$A103))-IF(RTD("tos.rtd",,$A$2,"."&amp;G$83&amp;G$1&amp;"P"&amp;$A103)="N/A",0,RTD("tos.rtd",,$A$2,"."&amp;G$83&amp;G$1&amp;"P"&amp;$A103))</f>
        <v>0</v>
      </c>
      <c r="H103" s="91">
        <f ca="1">IF(RTD("tos.rtd",,$A$2,"."&amp;H$83&amp;H$1&amp;"C"&amp;$A103)="N/A",0,RTD("tos.rtd",,$A$2,"."&amp;H$83&amp;H$1&amp;"C"&amp;$A103))-IF(RTD("tos.rtd",,$A$2,"."&amp;H$83&amp;H$1&amp;"P"&amp;$A103)="N/A",0,RTD("tos.rtd",,$A$2,"."&amp;H$83&amp;H$1&amp;"P"&amp;$A103))</f>
        <v>0</v>
      </c>
      <c r="I103" s="91">
        <f ca="1">IF(RTD("tos.rtd",,$A$2,"."&amp;I$83&amp;I$1&amp;"C"&amp;$A103)="N/A",0,RTD("tos.rtd",,$A$2,"."&amp;I$83&amp;I$1&amp;"C"&amp;$A103))-IF(RTD("tos.rtd",,$A$2,"."&amp;I$83&amp;I$1&amp;"P"&amp;$A103)="N/A",0,RTD("tos.rtd",,$A$2,"."&amp;I$83&amp;I$1&amp;"P"&amp;$A103))</f>
        <v>1085</v>
      </c>
      <c r="J103" s="91">
        <f ca="1">IF(RTD("tos.rtd",,$A$2,"."&amp;J$83&amp;J$1&amp;"C"&amp;$A103)="N/A",0,RTD("tos.rtd",,$A$2,"."&amp;J$83&amp;J$1&amp;"C"&amp;$A103))-IF(RTD("tos.rtd",,$A$2,"."&amp;J$83&amp;J$1&amp;"P"&amp;$A103)="N/A",0,RTD("tos.rtd",,$A$2,"."&amp;J$83&amp;J$1&amp;"P"&amp;$A103))</f>
        <v>564</v>
      </c>
      <c r="K103" s="91">
        <f ca="1">IF(RTD("tos.rtd",,$A$2,"."&amp;K$83&amp;K$1&amp;"C"&amp;$A103)="N/A",0,RTD("tos.rtd",,$A$2,"."&amp;K$83&amp;K$1&amp;"C"&amp;$A103))-IF(RTD("tos.rtd",,$A$2,"."&amp;K$83&amp;K$1&amp;"P"&amp;$A103)="N/A",0,RTD("tos.rtd",,$A$2,"."&amp;K$83&amp;K$1&amp;"P"&amp;$A103))</f>
        <v>0</v>
      </c>
      <c r="L103" s="91">
        <f ca="1">IF(RTD("tos.rtd",,$A$2,"."&amp;L$83&amp;L$1&amp;"C"&amp;$A103)="N/A",0,RTD("tos.rtd",,$A$2,"."&amp;L$83&amp;L$1&amp;"C"&amp;$A103))-IF(RTD("tos.rtd",,$A$2,"."&amp;L$83&amp;L$1&amp;"P"&amp;$A103)="N/A",0,RTD("tos.rtd",,$A$2,"."&amp;L$83&amp;L$1&amp;"P"&amp;$A103))</f>
        <v>2084</v>
      </c>
      <c r="M103" s="91">
        <f ca="1">IF(RTD("tos.rtd",,$A$2,"."&amp;M$83&amp;M$1&amp;"C"&amp;$A103)="N/A",0,RTD("tos.rtd",,$A$2,"."&amp;M$83&amp;M$1&amp;"C"&amp;$A103))-IF(RTD("tos.rtd",,$A$2,"."&amp;M$83&amp;M$1&amp;"P"&amp;$A103)="N/A",0,RTD("tos.rtd",,$A$2,"."&amp;M$83&amp;M$1&amp;"P"&amp;$A103))</f>
        <v>-585</v>
      </c>
      <c r="N103" s="91">
        <f ca="1">IF(RTD("tos.rtd",,$A$2,"."&amp;N$83&amp;N$1&amp;"C"&amp;$A103)="N/A",0,RTD("tos.rtd",,$A$2,"."&amp;N$83&amp;N$1&amp;"C"&amp;$A103))-IF(RTD("tos.rtd",,$A$2,"."&amp;N$83&amp;N$1&amp;"P"&amp;$A103)="N/A",0,RTD("tos.rtd",,$A$2,"."&amp;N$83&amp;N$1&amp;"P"&amp;$A103))</f>
        <v>23</v>
      </c>
      <c r="O103" s="91">
        <f ca="1">IF(RTD("tos.rtd",,$A$2,"."&amp;O$83&amp;O$1&amp;"C"&amp;$A103)="N/A",0,RTD("tos.rtd",,$A$2,"."&amp;O$83&amp;O$1&amp;"C"&amp;$A103))-IF(RTD("tos.rtd",,$A$2,"."&amp;O$83&amp;O$1&amp;"P"&amp;$A103)="N/A",0,RTD("tos.rtd",,$A$2,"."&amp;O$83&amp;O$1&amp;"P"&amp;$A103))</f>
        <v>74</v>
      </c>
      <c r="P103" s="91">
        <f ca="1">IF(RTD("tos.rtd",,$A$2,"."&amp;P$83&amp;P$1&amp;"C"&amp;$A103)="N/A",0,RTD("tos.rtd",,$A$2,"."&amp;P$83&amp;P$1&amp;"C"&amp;$A103))-IF(RTD("tos.rtd",,$A$2,"."&amp;P$83&amp;P$1&amp;"P"&amp;$A103)="N/A",0,RTD("tos.rtd",,$A$2,"."&amp;P$83&amp;P$1&amp;"P"&amp;$A103))</f>
        <v>-2</v>
      </c>
      <c r="Q103" s="91">
        <f ca="1">IF(RTD("tos.rtd",,$A$2,"."&amp;Q$83&amp;Q$1&amp;"C"&amp;$A103)="N/A",0,RTD("tos.rtd",,$A$2,"."&amp;Q$83&amp;Q$1&amp;"C"&amp;$A103))-IF(RTD("tos.rtd",,$A$2,"."&amp;Q$83&amp;Q$1&amp;"P"&amp;$A103)="N/A",0,RTD("tos.rtd",,$A$2,"."&amp;Q$83&amp;Q$1&amp;"P"&amp;$A103))</f>
        <v>131</v>
      </c>
      <c r="R103" s="91">
        <f ca="1">IF(RTD("tos.rtd",,$A$2,"."&amp;R$83&amp;R$1&amp;"C"&amp;$A103)="N/A",0,RTD("tos.rtd",,$A$2,"."&amp;R$83&amp;R$1&amp;"C"&amp;$A103))-IF(RTD("tos.rtd",,$A$2,"."&amp;R$83&amp;R$1&amp;"P"&amp;$A103)="N/A",0,RTD("tos.rtd",,$A$2,"."&amp;R$83&amp;R$1&amp;"P"&amp;$A103))</f>
        <v>-9</v>
      </c>
      <c r="S103" s="91">
        <f ca="1">IF(RTD("tos.rtd",,$A$2,"."&amp;S$83&amp;S$1&amp;"C"&amp;$A103)="N/A",0,RTD("tos.rtd",,$A$2,"."&amp;S$83&amp;S$1&amp;"C"&amp;$A103))-IF(RTD("tos.rtd",,$A$2,"."&amp;S$83&amp;S$1&amp;"P"&amp;$A103)="N/A",0,RTD("tos.rtd",,$A$2,"."&amp;S$83&amp;S$1&amp;"P"&amp;$A103))</f>
        <v>65</v>
      </c>
      <c r="T103" s="91">
        <f ca="1">IF(RTD("tos.rtd",,$A$2,"."&amp;T$83&amp;T$1&amp;"C"&amp;$A103)="N/A",0,RTD("tos.rtd",,$A$2,"."&amp;T$83&amp;T$1&amp;"C"&amp;$A103))-IF(RTD("tos.rtd",,$A$2,"."&amp;T$83&amp;T$1&amp;"P"&amp;$A103)="N/A",0,RTD("tos.rtd",,$A$2,"."&amp;T$83&amp;T$1&amp;"P"&amp;$A103))</f>
        <v>0</v>
      </c>
      <c r="U103" s="91">
        <f ca="1">IF(RTD("tos.rtd",,$A$2,"."&amp;U$83&amp;U$1&amp;"C"&amp;$A103)="N/A",0,RTD("tos.rtd",,$A$2,"."&amp;U$83&amp;U$1&amp;"C"&amp;$A103))-IF(RTD("tos.rtd",,$A$2,"."&amp;U$83&amp;U$1&amp;"P"&amp;$A103)="N/A",0,RTD("tos.rtd",,$A$2,"."&amp;U$83&amp;U$1&amp;"P"&amp;$A103))</f>
        <v>97</v>
      </c>
      <c r="V103" s="91">
        <f ca="1">IF(RTD("tos.rtd",,$A$2,"."&amp;V$83&amp;V$1&amp;"C"&amp;$A103)="N/A",0,RTD("tos.rtd",,$A$2,"."&amp;V$83&amp;V$1&amp;"C"&amp;$A103))-IF(RTD("tos.rtd",,$A$2,"."&amp;V$83&amp;V$1&amp;"P"&amp;$A103)="N/A",0,RTD("tos.rtd",,$A$2,"."&amp;V$83&amp;V$1&amp;"P"&amp;$A103))</f>
        <v>0</v>
      </c>
      <c r="W103" s="91">
        <f ca="1">IF(RTD("tos.rtd",,$A$2,"."&amp;W$83&amp;W$1&amp;"C"&amp;$A103)="N/A",0,RTD("tos.rtd",,$A$2,"."&amp;W$83&amp;W$1&amp;"C"&amp;$A103))-IF(RTD("tos.rtd",,$A$2,"."&amp;W$83&amp;W$1&amp;"P"&amp;$A103)="N/A",0,RTD("tos.rtd",,$A$2,"."&amp;W$83&amp;W$1&amp;"P"&amp;$A103))</f>
        <v>-83</v>
      </c>
      <c r="X103" s="91">
        <f ca="1">IF(RTD("tos.rtd",,$A$2,"."&amp;X$83&amp;X$1&amp;"C"&amp;$A103)="N/A",0,RTD("tos.rtd",,$A$2,"."&amp;X$83&amp;X$1&amp;"C"&amp;$A103))-IF(RTD("tos.rtd",,$A$2,"."&amp;X$83&amp;X$1&amp;"P"&amp;$A103)="N/A",0,RTD("tos.rtd",,$A$2,"."&amp;X$83&amp;X$1&amp;"P"&amp;$A103))</f>
        <v>2</v>
      </c>
      <c r="Y103" s="98">
        <f t="shared" ca="1" si="10"/>
        <v>3446</v>
      </c>
    </row>
    <row r="104" spans="1:25" x14ac:dyDescent="0.25">
      <c r="A104" s="93">
        <f>+Hoja1!A103</f>
        <v>5840</v>
      </c>
      <c r="B104" s="91">
        <f ca="1">IF(RTD("tos.rtd",,$A$2,"."&amp;B$83&amp;B$1&amp;"C"&amp;$A104)="N/A",0,RTD("tos.rtd",,$A$2,"."&amp;B$83&amp;B$1&amp;"C"&amp;$A104))-IF(RTD("tos.rtd",,$A$2,"."&amp;B$83&amp;B$1&amp;"P"&amp;$A104)="N/A",0,RTD("tos.rtd",,$A$2,"."&amp;B$83&amp;B$1&amp;"P"&amp;$A104))</f>
        <v>0</v>
      </c>
      <c r="C104" s="91">
        <f ca="1">IF(RTD("tos.rtd",,$A$2,"."&amp;C$83&amp;C$1&amp;"C"&amp;$A104)="N/A",0,RTD("tos.rtd",,$A$2,"."&amp;C$83&amp;C$1&amp;"C"&amp;$A104))-IF(RTD("tos.rtd",,$A$2,"."&amp;C$83&amp;C$1&amp;"P"&amp;$A104)="N/A",0,RTD("tos.rtd",,$A$2,"."&amp;C$83&amp;C$1&amp;"P"&amp;$A104))</f>
        <v>0</v>
      </c>
      <c r="D104" s="91">
        <f ca="1">IF(RTD("tos.rtd",,$A$2,"."&amp;D$83&amp;D$1&amp;"C"&amp;$A104)="N/A",0,RTD("tos.rtd",,$A$2,"."&amp;D$83&amp;D$1&amp;"C"&amp;$A104))-IF(RTD("tos.rtd",,$A$2,"."&amp;D$83&amp;D$1&amp;"P"&amp;$A104)="N/A",0,RTD("tos.rtd",,$A$2,"."&amp;D$83&amp;D$1&amp;"P"&amp;$A104))</f>
        <v>0</v>
      </c>
      <c r="E104" s="91">
        <f ca="1">IF(RTD("tos.rtd",,$A$2,"."&amp;E$83&amp;E$1&amp;"C"&amp;$A104)="N/A",0,RTD("tos.rtd",,$A$2,"."&amp;E$83&amp;E$1&amp;"C"&amp;$A104))-IF(RTD("tos.rtd",,$A$2,"."&amp;E$83&amp;E$1&amp;"P"&amp;$A104)="N/A",0,RTD("tos.rtd",,$A$2,"."&amp;E$83&amp;E$1&amp;"P"&amp;$A104))</f>
        <v>0</v>
      </c>
      <c r="F104" s="91">
        <f ca="1">IF(RTD("tos.rtd",,$A$2,"."&amp;F$83&amp;F$1&amp;"C"&amp;$A104)="N/A",0,RTD("tos.rtd",,$A$2,"."&amp;F$83&amp;F$1&amp;"C"&amp;$A104))-IF(RTD("tos.rtd",,$A$2,"."&amp;F$83&amp;F$1&amp;"P"&amp;$A104)="N/A",0,RTD("tos.rtd",,$A$2,"."&amp;F$83&amp;F$1&amp;"P"&amp;$A104))</f>
        <v>0</v>
      </c>
      <c r="G104" s="91">
        <f ca="1">IF(RTD("tos.rtd",,$A$2,"."&amp;G$83&amp;G$1&amp;"C"&amp;$A104)="N/A",0,RTD("tos.rtd",,$A$2,"."&amp;G$83&amp;G$1&amp;"C"&amp;$A104))-IF(RTD("tos.rtd",,$A$2,"."&amp;G$83&amp;G$1&amp;"P"&amp;$A104)="N/A",0,RTD("tos.rtd",,$A$2,"."&amp;G$83&amp;G$1&amp;"P"&amp;$A104))</f>
        <v>0</v>
      </c>
      <c r="H104" s="91">
        <f ca="1">IF(RTD("tos.rtd",,$A$2,"."&amp;H$83&amp;H$1&amp;"C"&amp;$A104)="N/A",0,RTD("tos.rtd",,$A$2,"."&amp;H$83&amp;H$1&amp;"C"&amp;$A104))-IF(RTD("tos.rtd",,$A$2,"."&amp;H$83&amp;H$1&amp;"P"&amp;$A104)="N/A",0,RTD("tos.rtd",,$A$2,"."&amp;H$83&amp;H$1&amp;"P"&amp;$A104))</f>
        <v>0</v>
      </c>
      <c r="I104" s="91">
        <f ca="1">IF(RTD("tos.rtd",,$A$2,"."&amp;I$83&amp;I$1&amp;"C"&amp;$A104)="N/A",0,RTD("tos.rtd",,$A$2,"."&amp;I$83&amp;I$1&amp;"C"&amp;$A104))-IF(RTD("tos.rtd",,$A$2,"."&amp;I$83&amp;I$1&amp;"P"&amp;$A104)="N/A",0,RTD("tos.rtd",,$A$2,"."&amp;I$83&amp;I$1&amp;"P"&amp;$A104))</f>
        <v>6</v>
      </c>
      <c r="J104" s="91">
        <f ca="1">IF(RTD("tos.rtd",,$A$2,"."&amp;J$83&amp;J$1&amp;"C"&amp;$A104)="N/A",0,RTD("tos.rtd",,$A$2,"."&amp;J$83&amp;J$1&amp;"C"&amp;$A104))-IF(RTD("tos.rtd",,$A$2,"."&amp;J$83&amp;J$1&amp;"P"&amp;$A104)="N/A",0,RTD("tos.rtd",,$A$2,"."&amp;J$83&amp;J$1&amp;"P"&amp;$A104))</f>
        <v>-10</v>
      </c>
      <c r="K104" s="91">
        <f ca="1">IF(RTD("tos.rtd",,$A$2,"."&amp;K$83&amp;K$1&amp;"C"&amp;$A104)="N/A",0,RTD("tos.rtd",,$A$2,"."&amp;K$83&amp;K$1&amp;"C"&amp;$A104))-IF(RTD("tos.rtd",,$A$2,"."&amp;K$83&amp;K$1&amp;"P"&amp;$A104)="N/A",0,RTD("tos.rtd",,$A$2,"."&amp;K$83&amp;K$1&amp;"P"&amp;$A104))</f>
        <v>0</v>
      </c>
      <c r="L104" s="91">
        <f ca="1">IF(RTD("tos.rtd",,$A$2,"."&amp;L$83&amp;L$1&amp;"C"&amp;$A104)="N/A",0,RTD("tos.rtd",,$A$2,"."&amp;L$83&amp;L$1&amp;"C"&amp;$A104))-IF(RTD("tos.rtd",,$A$2,"."&amp;L$83&amp;L$1&amp;"P"&amp;$A104)="N/A",0,RTD("tos.rtd",,$A$2,"."&amp;L$83&amp;L$1&amp;"P"&amp;$A104))</f>
        <v>-14</v>
      </c>
      <c r="M104" s="91">
        <f ca="1">IF(RTD("tos.rtd",,$A$2,"."&amp;M$83&amp;M$1&amp;"C"&amp;$A104)="N/A",0,RTD("tos.rtd",,$A$2,"."&amp;M$83&amp;M$1&amp;"C"&amp;$A104))-IF(RTD("tos.rtd",,$A$2,"."&amp;M$83&amp;M$1&amp;"P"&amp;$A104)="N/A",0,RTD("tos.rtd",,$A$2,"."&amp;M$83&amp;M$1&amp;"P"&amp;$A104))</f>
        <v>8</v>
      </c>
      <c r="N104" s="91">
        <f ca="1">IF(RTD("tos.rtd",,$A$2,"."&amp;N$83&amp;N$1&amp;"C"&amp;$A104)="N/A",0,RTD("tos.rtd",,$A$2,"."&amp;N$83&amp;N$1&amp;"C"&amp;$A104))-IF(RTD("tos.rtd",,$A$2,"."&amp;N$83&amp;N$1&amp;"P"&amp;$A104)="N/A",0,RTD("tos.rtd",,$A$2,"."&amp;N$83&amp;N$1&amp;"P"&amp;$A104))</f>
        <v>-1</v>
      </c>
      <c r="O104" s="91">
        <f ca="1">IF(RTD("tos.rtd",,$A$2,"."&amp;O$83&amp;O$1&amp;"C"&amp;$A104)="N/A",0,RTD("tos.rtd",,$A$2,"."&amp;O$83&amp;O$1&amp;"C"&amp;$A104))-IF(RTD("tos.rtd",,$A$2,"."&amp;O$83&amp;O$1&amp;"P"&amp;$A104)="N/A",0,RTD("tos.rtd",,$A$2,"."&amp;O$83&amp;O$1&amp;"P"&amp;$A104))</f>
        <v>0</v>
      </c>
      <c r="P104" s="91">
        <f ca="1">IF(RTD("tos.rtd",,$A$2,"."&amp;P$83&amp;P$1&amp;"C"&amp;$A104)="N/A",0,RTD("tos.rtd",,$A$2,"."&amp;P$83&amp;P$1&amp;"C"&amp;$A104))-IF(RTD("tos.rtd",,$A$2,"."&amp;P$83&amp;P$1&amp;"P"&amp;$A104)="N/A",0,RTD("tos.rtd",,$A$2,"."&amp;P$83&amp;P$1&amp;"P"&amp;$A104))</f>
        <v>22</v>
      </c>
      <c r="Q104" s="91">
        <f ca="1">IF(RTD("tos.rtd",,$A$2,"."&amp;Q$83&amp;Q$1&amp;"C"&amp;$A104)="N/A",0,RTD("tos.rtd",,$A$2,"."&amp;Q$83&amp;Q$1&amp;"C"&amp;$A104))-IF(RTD("tos.rtd",,$A$2,"."&amp;Q$83&amp;Q$1&amp;"P"&amp;$A104)="N/A",0,RTD("tos.rtd",,$A$2,"."&amp;Q$83&amp;Q$1&amp;"P"&amp;$A104))</f>
        <v>-96</v>
      </c>
      <c r="R104" s="91">
        <f ca="1">IF(RTD("tos.rtd",,$A$2,"."&amp;R$83&amp;R$1&amp;"C"&amp;$A104)="N/A",0,RTD("tos.rtd",,$A$2,"."&amp;R$83&amp;R$1&amp;"C"&amp;$A104))-IF(RTD("tos.rtd",,$A$2,"."&amp;R$83&amp;R$1&amp;"P"&amp;$A104)="N/A",0,RTD("tos.rtd",,$A$2,"."&amp;R$83&amp;R$1&amp;"P"&amp;$A104))</f>
        <v>9</v>
      </c>
      <c r="S104" s="91">
        <f ca="1">IF(RTD("tos.rtd",,$A$2,"."&amp;S$83&amp;S$1&amp;"C"&amp;$A104)="N/A",0,RTD("tos.rtd",,$A$2,"."&amp;S$83&amp;S$1&amp;"C"&amp;$A104))-IF(RTD("tos.rtd",,$A$2,"."&amp;S$83&amp;S$1&amp;"P"&amp;$A104)="N/A",0,RTD("tos.rtd",,$A$2,"."&amp;S$83&amp;S$1&amp;"P"&amp;$A104))</f>
        <v>0</v>
      </c>
      <c r="T104" s="91">
        <f ca="1">IF(RTD("tos.rtd",,$A$2,"."&amp;T$83&amp;T$1&amp;"C"&amp;$A104)="N/A",0,RTD("tos.rtd",,$A$2,"."&amp;T$83&amp;T$1&amp;"C"&amp;$A104))-IF(RTD("tos.rtd",,$A$2,"."&amp;T$83&amp;T$1&amp;"P"&amp;$A104)="N/A",0,RTD("tos.rtd",,$A$2,"."&amp;T$83&amp;T$1&amp;"P"&amp;$A104))</f>
        <v>0</v>
      </c>
      <c r="U104" s="91">
        <f ca="1">IF(RTD("tos.rtd",,$A$2,"."&amp;U$83&amp;U$1&amp;"C"&amp;$A104)="N/A",0,RTD("tos.rtd",,$A$2,"."&amp;U$83&amp;U$1&amp;"C"&amp;$A104))-IF(RTD("tos.rtd",,$A$2,"."&amp;U$83&amp;U$1&amp;"P"&amp;$A104)="N/A",0,RTD("tos.rtd",,$A$2,"."&amp;U$83&amp;U$1&amp;"P"&amp;$A104))</f>
        <v>0</v>
      </c>
      <c r="V104" s="91">
        <f ca="1">IF(RTD("tos.rtd",,$A$2,"."&amp;V$83&amp;V$1&amp;"C"&amp;$A104)="N/A",0,RTD("tos.rtd",,$A$2,"."&amp;V$83&amp;V$1&amp;"C"&amp;$A104))-IF(RTD("tos.rtd",,$A$2,"."&amp;V$83&amp;V$1&amp;"P"&amp;$A104)="N/A",0,RTD("tos.rtd",,$A$2,"."&amp;V$83&amp;V$1&amp;"P"&amp;$A104))</f>
        <v>0</v>
      </c>
      <c r="W104" s="91">
        <f ca="1">IF(RTD("tos.rtd",,$A$2,"."&amp;W$83&amp;W$1&amp;"C"&amp;$A104)="N/A",0,RTD("tos.rtd",,$A$2,"."&amp;W$83&amp;W$1&amp;"C"&amp;$A104))-IF(RTD("tos.rtd",,$A$2,"."&amp;W$83&amp;W$1&amp;"P"&amp;$A104)="N/A",0,RTD("tos.rtd",,$A$2,"."&amp;W$83&amp;W$1&amp;"P"&amp;$A104))</f>
        <v>0</v>
      </c>
      <c r="X104" s="91">
        <f ca="1">IF(RTD("tos.rtd",,$A$2,"."&amp;X$83&amp;X$1&amp;"C"&amp;$A104)="N/A",0,RTD("tos.rtd",,$A$2,"."&amp;X$83&amp;X$1&amp;"C"&amp;$A104))-IF(RTD("tos.rtd",,$A$2,"."&amp;X$83&amp;X$1&amp;"P"&amp;$A104)="N/A",0,RTD("tos.rtd",,$A$2,"."&amp;X$83&amp;X$1&amp;"P"&amp;$A104))</f>
        <v>0</v>
      </c>
      <c r="Y104" s="98">
        <f t="shared" ca="1" si="10"/>
        <v>-76</v>
      </c>
    </row>
    <row r="105" spans="1:25" x14ac:dyDescent="0.25">
      <c r="A105" s="93">
        <f>+Hoja1!A104</f>
        <v>5830</v>
      </c>
      <c r="B105" s="91">
        <f ca="1">IF(RTD("tos.rtd",,$A$2,"."&amp;B$83&amp;B$1&amp;"C"&amp;$A105)="N/A",0,RTD("tos.rtd",,$A$2,"."&amp;B$83&amp;B$1&amp;"C"&amp;$A105))-IF(RTD("tos.rtd",,$A$2,"."&amp;B$83&amp;B$1&amp;"P"&amp;$A105)="N/A",0,RTD("tos.rtd",,$A$2,"."&amp;B$83&amp;B$1&amp;"P"&amp;$A105))</f>
        <v>0</v>
      </c>
      <c r="C105" s="91">
        <f ca="1">IF(RTD("tos.rtd",,$A$2,"."&amp;C$83&amp;C$1&amp;"C"&amp;$A105)="N/A",0,RTD("tos.rtd",,$A$2,"."&amp;C$83&amp;C$1&amp;"C"&amp;$A105))-IF(RTD("tos.rtd",,$A$2,"."&amp;C$83&amp;C$1&amp;"P"&amp;$A105)="N/A",0,RTD("tos.rtd",,$A$2,"."&amp;C$83&amp;C$1&amp;"P"&amp;$A105))</f>
        <v>0</v>
      </c>
      <c r="D105" s="91">
        <f ca="1">IF(RTD("tos.rtd",,$A$2,"."&amp;D$83&amp;D$1&amp;"C"&amp;$A105)="N/A",0,RTD("tos.rtd",,$A$2,"."&amp;D$83&amp;D$1&amp;"C"&amp;$A105))-IF(RTD("tos.rtd",,$A$2,"."&amp;D$83&amp;D$1&amp;"P"&amp;$A105)="N/A",0,RTD("tos.rtd",,$A$2,"."&amp;D$83&amp;D$1&amp;"P"&amp;$A105))</f>
        <v>0</v>
      </c>
      <c r="E105" s="91">
        <f ca="1">IF(RTD("tos.rtd",,$A$2,"."&amp;E$83&amp;E$1&amp;"C"&amp;$A105)="N/A",0,RTD("tos.rtd",,$A$2,"."&amp;E$83&amp;E$1&amp;"C"&amp;$A105))-IF(RTD("tos.rtd",,$A$2,"."&amp;E$83&amp;E$1&amp;"P"&amp;$A105)="N/A",0,RTD("tos.rtd",,$A$2,"."&amp;E$83&amp;E$1&amp;"P"&amp;$A105))</f>
        <v>0</v>
      </c>
      <c r="F105" s="91">
        <f ca="1">IF(RTD("tos.rtd",,$A$2,"."&amp;F$83&amp;F$1&amp;"C"&amp;$A105)="N/A",0,RTD("tos.rtd",,$A$2,"."&amp;F$83&amp;F$1&amp;"C"&amp;$A105))-IF(RTD("tos.rtd",,$A$2,"."&amp;F$83&amp;F$1&amp;"P"&amp;$A105)="N/A",0,RTD("tos.rtd",,$A$2,"."&amp;F$83&amp;F$1&amp;"P"&amp;$A105))</f>
        <v>0</v>
      </c>
      <c r="G105" s="91">
        <f ca="1">IF(RTD("tos.rtd",,$A$2,"."&amp;G$83&amp;G$1&amp;"C"&amp;$A105)="N/A",0,RTD("tos.rtd",,$A$2,"."&amp;G$83&amp;G$1&amp;"C"&amp;$A105))-IF(RTD("tos.rtd",,$A$2,"."&amp;G$83&amp;G$1&amp;"P"&amp;$A105)="N/A",0,RTD("tos.rtd",,$A$2,"."&amp;G$83&amp;G$1&amp;"P"&amp;$A105))</f>
        <v>0</v>
      </c>
      <c r="H105" s="91">
        <f ca="1">IF(RTD("tos.rtd",,$A$2,"."&amp;H$83&amp;H$1&amp;"C"&amp;$A105)="N/A",0,RTD("tos.rtd",,$A$2,"."&amp;H$83&amp;H$1&amp;"C"&amp;$A105))-IF(RTD("tos.rtd",,$A$2,"."&amp;H$83&amp;H$1&amp;"P"&amp;$A105)="N/A",0,RTD("tos.rtd",,$A$2,"."&amp;H$83&amp;H$1&amp;"P"&amp;$A105))</f>
        <v>0</v>
      </c>
      <c r="I105" s="91">
        <f ca="1">IF(RTD("tos.rtd",,$A$2,"."&amp;I$83&amp;I$1&amp;"C"&amp;$A105)="N/A",0,RTD("tos.rtd",,$A$2,"."&amp;I$83&amp;I$1&amp;"C"&amp;$A105))-IF(RTD("tos.rtd",,$A$2,"."&amp;I$83&amp;I$1&amp;"P"&amp;$A105)="N/A",0,RTD("tos.rtd",,$A$2,"."&amp;I$83&amp;I$1&amp;"P"&amp;$A105))</f>
        <v>152</v>
      </c>
      <c r="J105" s="91">
        <f ca="1">IF(RTD("tos.rtd",,$A$2,"."&amp;J$83&amp;J$1&amp;"C"&amp;$A105)="N/A",0,RTD("tos.rtd",,$A$2,"."&amp;J$83&amp;J$1&amp;"C"&amp;$A105))-IF(RTD("tos.rtd",,$A$2,"."&amp;J$83&amp;J$1&amp;"P"&amp;$A105)="N/A",0,RTD("tos.rtd",,$A$2,"."&amp;J$83&amp;J$1&amp;"P"&amp;$A105))</f>
        <v>-225</v>
      </c>
      <c r="K105" s="91">
        <f ca="1">IF(RTD("tos.rtd",,$A$2,"."&amp;K$83&amp;K$1&amp;"C"&amp;$A105)="N/A",0,RTD("tos.rtd",,$A$2,"."&amp;K$83&amp;K$1&amp;"C"&amp;$A105))-IF(RTD("tos.rtd",,$A$2,"."&amp;K$83&amp;K$1&amp;"P"&amp;$A105)="N/A",0,RTD("tos.rtd",,$A$2,"."&amp;K$83&amp;K$1&amp;"P"&amp;$A105))</f>
        <v>0</v>
      </c>
      <c r="L105" s="91">
        <f ca="1">IF(RTD("tos.rtd",,$A$2,"."&amp;L$83&amp;L$1&amp;"C"&amp;$A105)="N/A",0,RTD("tos.rtd",,$A$2,"."&amp;L$83&amp;L$1&amp;"C"&amp;$A105))-IF(RTD("tos.rtd",,$A$2,"."&amp;L$83&amp;L$1&amp;"P"&amp;$A105)="N/A",0,RTD("tos.rtd",,$A$2,"."&amp;L$83&amp;L$1&amp;"P"&amp;$A105))</f>
        <v>5</v>
      </c>
      <c r="M105" s="91">
        <f ca="1">IF(RTD("tos.rtd",,$A$2,"."&amp;M$83&amp;M$1&amp;"C"&amp;$A105)="N/A",0,RTD("tos.rtd",,$A$2,"."&amp;M$83&amp;M$1&amp;"C"&amp;$A105))-IF(RTD("tos.rtd",,$A$2,"."&amp;M$83&amp;M$1&amp;"P"&amp;$A105)="N/A",0,RTD("tos.rtd",,$A$2,"."&amp;M$83&amp;M$1&amp;"P"&amp;$A105))</f>
        <v>-35</v>
      </c>
      <c r="N105" s="91">
        <f ca="1">IF(RTD("tos.rtd",,$A$2,"."&amp;N$83&amp;N$1&amp;"C"&amp;$A105)="N/A",0,RTD("tos.rtd",,$A$2,"."&amp;N$83&amp;N$1&amp;"C"&amp;$A105))-IF(RTD("tos.rtd",,$A$2,"."&amp;N$83&amp;N$1&amp;"P"&amp;$A105)="N/A",0,RTD("tos.rtd",,$A$2,"."&amp;N$83&amp;N$1&amp;"P"&amp;$A105))</f>
        <v>-1</v>
      </c>
      <c r="O105" s="91">
        <f ca="1">IF(RTD("tos.rtd",,$A$2,"."&amp;O$83&amp;O$1&amp;"C"&amp;$A105)="N/A",0,RTD("tos.rtd",,$A$2,"."&amp;O$83&amp;O$1&amp;"C"&amp;$A105))-IF(RTD("tos.rtd",,$A$2,"."&amp;O$83&amp;O$1&amp;"P"&amp;$A105)="N/A",0,RTD("tos.rtd",,$A$2,"."&amp;O$83&amp;O$1&amp;"P"&amp;$A105))</f>
        <v>3</v>
      </c>
      <c r="P105" s="91">
        <f ca="1">IF(RTD("tos.rtd",,$A$2,"."&amp;P$83&amp;P$1&amp;"C"&amp;$A105)="N/A",0,RTD("tos.rtd",,$A$2,"."&amp;P$83&amp;P$1&amp;"C"&amp;$A105))-IF(RTD("tos.rtd",,$A$2,"."&amp;P$83&amp;P$1&amp;"P"&amp;$A105)="N/A",0,RTD("tos.rtd",,$A$2,"."&amp;P$83&amp;P$1&amp;"P"&amp;$A105))</f>
        <v>0</v>
      </c>
      <c r="Q105" s="91">
        <f ca="1">IF(RTD("tos.rtd",,$A$2,"."&amp;Q$83&amp;Q$1&amp;"C"&amp;$A105)="N/A",0,RTD("tos.rtd",,$A$2,"."&amp;Q$83&amp;Q$1&amp;"C"&amp;$A105))-IF(RTD("tos.rtd",,$A$2,"."&amp;Q$83&amp;Q$1&amp;"P"&amp;$A105)="N/A",0,RTD("tos.rtd",,$A$2,"."&amp;Q$83&amp;Q$1&amp;"P"&amp;$A105))</f>
        <v>1</v>
      </c>
      <c r="R105" s="91">
        <f ca="1">IF(RTD("tos.rtd",,$A$2,"."&amp;R$83&amp;R$1&amp;"C"&amp;$A105)="N/A",0,RTD("tos.rtd",,$A$2,"."&amp;R$83&amp;R$1&amp;"C"&amp;$A105))-IF(RTD("tos.rtd",,$A$2,"."&amp;R$83&amp;R$1&amp;"P"&amp;$A105)="N/A",0,RTD("tos.rtd",,$A$2,"."&amp;R$83&amp;R$1&amp;"P"&amp;$A105))</f>
        <v>-2</v>
      </c>
      <c r="S105" s="91">
        <f ca="1">IF(RTD("tos.rtd",,$A$2,"."&amp;S$83&amp;S$1&amp;"C"&amp;$A105)="N/A",0,RTD("tos.rtd",,$A$2,"."&amp;S$83&amp;S$1&amp;"C"&amp;$A105))-IF(RTD("tos.rtd",,$A$2,"."&amp;S$83&amp;S$1&amp;"P"&amp;$A105)="N/A",0,RTD("tos.rtd",,$A$2,"."&amp;S$83&amp;S$1&amp;"P"&amp;$A105))</f>
        <v>0</v>
      </c>
      <c r="T105" s="91">
        <f ca="1">IF(RTD("tos.rtd",,$A$2,"."&amp;T$83&amp;T$1&amp;"C"&amp;$A105)="N/A",0,RTD("tos.rtd",,$A$2,"."&amp;T$83&amp;T$1&amp;"C"&amp;$A105))-IF(RTD("tos.rtd",,$A$2,"."&amp;T$83&amp;T$1&amp;"P"&amp;$A105)="N/A",0,RTD("tos.rtd",,$A$2,"."&amp;T$83&amp;T$1&amp;"P"&amp;$A105))</f>
        <v>0</v>
      </c>
      <c r="U105" s="91">
        <f ca="1">IF(RTD("tos.rtd",,$A$2,"."&amp;U$83&amp;U$1&amp;"C"&amp;$A105)="N/A",0,RTD("tos.rtd",,$A$2,"."&amp;U$83&amp;U$1&amp;"C"&amp;$A105))-IF(RTD("tos.rtd",,$A$2,"."&amp;U$83&amp;U$1&amp;"P"&amp;$A105)="N/A",0,RTD("tos.rtd",,$A$2,"."&amp;U$83&amp;U$1&amp;"P"&amp;$A105))</f>
        <v>0</v>
      </c>
      <c r="V105" s="91">
        <f ca="1">IF(RTD("tos.rtd",,$A$2,"."&amp;V$83&amp;V$1&amp;"C"&amp;$A105)="N/A",0,RTD("tos.rtd",,$A$2,"."&amp;V$83&amp;V$1&amp;"C"&amp;$A105))-IF(RTD("tos.rtd",,$A$2,"."&amp;V$83&amp;V$1&amp;"P"&amp;$A105)="N/A",0,RTD("tos.rtd",,$A$2,"."&amp;V$83&amp;V$1&amp;"P"&amp;$A105))</f>
        <v>0</v>
      </c>
      <c r="W105" s="91">
        <f ca="1">IF(RTD("tos.rtd",,$A$2,"."&amp;W$83&amp;W$1&amp;"C"&amp;$A105)="N/A",0,RTD("tos.rtd",,$A$2,"."&amp;W$83&amp;W$1&amp;"C"&amp;$A105))-IF(RTD("tos.rtd",,$A$2,"."&amp;W$83&amp;W$1&amp;"P"&amp;$A105)="N/A",0,RTD("tos.rtd",,$A$2,"."&amp;W$83&amp;W$1&amp;"P"&amp;$A105))</f>
        <v>0</v>
      </c>
      <c r="X105" s="91">
        <f ca="1">IF(RTD("tos.rtd",,$A$2,"."&amp;X$83&amp;X$1&amp;"C"&amp;$A105)="N/A",0,RTD("tos.rtd",,$A$2,"."&amp;X$83&amp;X$1&amp;"C"&amp;$A105))-IF(RTD("tos.rtd",,$A$2,"."&amp;X$83&amp;X$1&amp;"P"&amp;$A105)="N/A",0,RTD("tos.rtd",,$A$2,"."&amp;X$83&amp;X$1&amp;"P"&amp;$A105))</f>
        <v>0</v>
      </c>
      <c r="Y105" s="98">
        <f t="shared" ca="1" si="10"/>
        <v>-102</v>
      </c>
    </row>
    <row r="106" spans="1:25" x14ac:dyDescent="0.25">
      <c r="A106" s="93">
        <f>+Hoja1!A105</f>
        <v>5820</v>
      </c>
      <c r="B106" s="91">
        <f ca="1">IF(RTD("tos.rtd",,$A$2,"."&amp;B$83&amp;B$1&amp;"C"&amp;$A106)="N/A",0,RTD("tos.rtd",,$A$2,"."&amp;B$83&amp;B$1&amp;"C"&amp;$A106))-IF(RTD("tos.rtd",,$A$2,"."&amp;B$83&amp;B$1&amp;"P"&amp;$A106)="N/A",0,RTD("tos.rtd",,$A$2,"."&amp;B$83&amp;B$1&amp;"P"&amp;$A106))</f>
        <v>0</v>
      </c>
      <c r="C106" s="91">
        <f ca="1">IF(RTD("tos.rtd",,$A$2,"."&amp;C$83&amp;C$1&amp;"C"&amp;$A106)="N/A",0,RTD("tos.rtd",,$A$2,"."&amp;C$83&amp;C$1&amp;"C"&amp;$A106))-IF(RTD("tos.rtd",,$A$2,"."&amp;C$83&amp;C$1&amp;"P"&amp;$A106)="N/A",0,RTD("tos.rtd",,$A$2,"."&amp;C$83&amp;C$1&amp;"P"&amp;$A106))</f>
        <v>0</v>
      </c>
      <c r="D106" s="91">
        <f ca="1">IF(RTD("tos.rtd",,$A$2,"."&amp;D$83&amp;D$1&amp;"C"&amp;$A106)="N/A",0,RTD("tos.rtd",,$A$2,"."&amp;D$83&amp;D$1&amp;"C"&amp;$A106))-IF(RTD("tos.rtd",,$A$2,"."&amp;D$83&amp;D$1&amp;"P"&amp;$A106)="N/A",0,RTD("tos.rtd",,$A$2,"."&amp;D$83&amp;D$1&amp;"P"&amp;$A106))</f>
        <v>0</v>
      </c>
      <c r="E106" s="91">
        <f ca="1">IF(RTD("tos.rtd",,$A$2,"."&amp;E$83&amp;E$1&amp;"C"&amp;$A106)="N/A",0,RTD("tos.rtd",,$A$2,"."&amp;E$83&amp;E$1&amp;"C"&amp;$A106))-IF(RTD("tos.rtd",,$A$2,"."&amp;E$83&amp;E$1&amp;"P"&amp;$A106)="N/A",0,RTD("tos.rtd",,$A$2,"."&amp;E$83&amp;E$1&amp;"P"&amp;$A106))</f>
        <v>0</v>
      </c>
      <c r="F106" s="91">
        <f ca="1">IF(RTD("tos.rtd",,$A$2,"."&amp;F$83&amp;F$1&amp;"C"&amp;$A106)="N/A",0,RTD("tos.rtd",,$A$2,"."&amp;F$83&amp;F$1&amp;"C"&amp;$A106))-IF(RTD("tos.rtd",,$A$2,"."&amp;F$83&amp;F$1&amp;"P"&amp;$A106)="N/A",0,RTD("tos.rtd",,$A$2,"."&amp;F$83&amp;F$1&amp;"P"&amp;$A106))</f>
        <v>0</v>
      </c>
      <c r="G106" s="91">
        <f ca="1">IF(RTD("tos.rtd",,$A$2,"."&amp;G$83&amp;G$1&amp;"C"&amp;$A106)="N/A",0,RTD("tos.rtd",,$A$2,"."&amp;G$83&amp;G$1&amp;"C"&amp;$A106))-IF(RTD("tos.rtd",,$A$2,"."&amp;G$83&amp;G$1&amp;"P"&amp;$A106)="N/A",0,RTD("tos.rtd",,$A$2,"."&amp;G$83&amp;G$1&amp;"P"&amp;$A106))</f>
        <v>0</v>
      </c>
      <c r="H106" s="91">
        <f ca="1">IF(RTD("tos.rtd",,$A$2,"."&amp;H$83&amp;H$1&amp;"C"&amp;$A106)="N/A",0,RTD("tos.rtd",,$A$2,"."&amp;H$83&amp;H$1&amp;"C"&amp;$A106))-IF(RTD("tos.rtd",,$A$2,"."&amp;H$83&amp;H$1&amp;"P"&amp;$A106)="N/A",0,RTD("tos.rtd",,$A$2,"."&amp;H$83&amp;H$1&amp;"P"&amp;$A106))</f>
        <v>0</v>
      </c>
      <c r="I106" s="91">
        <f ca="1">IF(RTD("tos.rtd",,$A$2,"."&amp;I$83&amp;I$1&amp;"C"&amp;$A106)="N/A",0,RTD("tos.rtd",,$A$2,"."&amp;I$83&amp;I$1&amp;"C"&amp;$A106))-IF(RTD("tos.rtd",,$A$2,"."&amp;I$83&amp;I$1&amp;"P"&amp;$A106)="N/A",0,RTD("tos.rtd",,$A$2,"."&amp;I$83&amp;I$1&amp;"P"&amp;$A106))</f>
        <v>-64</v>
      </c>
      <c r="J106" s="91">
        <f ca="1">IF(RTD("tos.rtd",,$A$2,"."&amp;J$83&amp;J$1&amp;"C"&amp;$A106)="N/A",0,RTD("tos.rtd",,$A$2,"."&amp;J$83&amp;J$1&amp;"C"&amp;$A106))-IF(RTD("tos.rtd",,$A$2,"."&amp;J$83&amp;J$1&amp;"P"&amp;$A106)="N/A",0,RTD("tos.rtd",,$A$2,"."&amp;J$83&amp;J$1&amp;"P"&amp;$A106))</f>
        <v>4</v>
      </c>
      <c r="K106" s="91">
        <f ca="1">IF(RTD("tos.rtd",,$A$2,"."&amp;K$83&amp;K$1&amp;"C"&amp;$A106)="N/A",0,RTD("tos.rtd",,$A$2,"."&amp;K$83&amp;K$1&amp;"C"&amp;$A106))-IF(RTD("tos.rtd",,$A$2,"."&amp;K$83&amp;K$1&amp;"P"&amp;$A106)="N/A",0,RTD("tos.rtd",,$A$2,"."&amp;K$83&amp;K$1&amp;"P"&amp;$A106))</f>
        <v>0</v>
      </c>
      <c r="L106" s="91">
        <f ca="1">IF(RTD("tos.rtd",,$A$2,"."&amp;L$83&amp;L$1&amp;"C"&amp;$A106)="N/A",0,RTD("tos.rtd",,$A$2,"."&amp;L$83&amp;L$1&amp;"C"&amp;$A106))-IF(RTD("tos.rtd",,$A$2,"."&amp;L$83&amp;L$1&amp;"P"&amp;$A106)="N/A",0,RTD("tos.rtd",,$A$2,"."&amp;L$83&amp;L$1&amp;"P"&amp;$A106))</f>
        <v>0</v>
      </c>
      <c r="M106" s="91">
        <f ca="1">IF(RTD("tos.rtd",,$A$2,"."&amp;M$83&amp;M$1&amp;"C"&amp;$A106)="N/A",0,RTD("tos.rtd",,$A$2,"."&amp;M$83&amp;M$1&amp;"C"&amp;$A106))-IF(RTD("tos.rtd",,$A$2,"."&amp;M$83&amp;M$1&amp;"P"&amp;$A106)="N/A",0,RTD("tos.rtd",,$A$2,"."&amp;M$83&amp;M$1&amp;"P"&amp;$A106))</f>
        <v>-12</v>
      </c>
      <c r="N106" s="91">
        <f ca="1">IF(RTD("tos.rtd",,$A$2,"."&amp;N$83&amp;N$1&amp;"C"&amp;$A106)="N/A",0,RTD("tos.rtd",,$A$2,"."&amp;N$83&amp;N$1&amp;"C"&amp;$A106))-IF(RTD("tos.rtd",,$A$2,"."&amp;N$83&amp;N$1&amp;"P"&amp;$A106)="N/A",0,RTD("tos.rtd",,$A$2,"."&amp;N$83&amp;N$1&amp;"P"&amp;$A106))</f>
        <v>-3</v>
      </c>
      <c r="O106" s="91">
        <f ca="1">IF(RTD("tos.rtd",,$A$2,"."&amp;O$83&amp;O$1&amp;"C"&amp;$A106)="N/A",0,RTD("tos.rtd",,$A$2,"."&amp;O$83&amp;O$1&amp;"C"&amp;$A106))-IF(RTD("tos.rtd",,$A$2,"."&amp;O$83&amp;O$1&amp;"P"&amp;$A106)="N/A",0,RTD("tos.rtd",,$A$2,"."&amp;O$83&amp;O$1&amp;"P"&amp;$A106))</f>
        <v>0</v>
      </c>
      <c r="P106" s="91">
        <f ca="1">IF(RTD("tos.rtd",,$A$2,"."&amp;P$83&amp;P$1&amp;"C"&amp;$A106)="N/A",0,RTD("tos.rtd",,$A$2,"."&amp;P$83&amp;P$1&amp;"C"&amp;$A106))-IF(RTD("tos.rtd",,$A$2,"."&amp;P$83&amp;P$1&amp;"P"&amp;$A106)="N/A",0,RTD("tos.rtd",,$A$2,"."&amp;P$83&amp;P$1&amp;"P"&amp;$A106))</f>
        <v>-1</v>
      </c>
      <c r="Q106" s="91">
        <f ca="1">IF(RTD("tos.rtd",,$A$2,"."&amp;Q$83&amp;Q$1&amp;"C"&amp;$A106)="N/A",0,RTD("tos.rtd",,$A$2,"."&amp;Q$83&amp;Q$1&amp;"C"&amp;$A106))-IF(RTD("tos.rtd",,$A$2,"."&amp;Q$83&amp;Q$1&amp;"P"&amp;$A106)="N/A",0,RTD("tos.rtd",,$A$2,"."&amp;Q$83&amp;Q$1&amp;"P"&amp;$A106))</f>
        <v>-1</v>
      </c>
      <c r="R106" s="91">
        <f ca="1">IF(RTD("tos.rtd",,$A$2,"."&amp;R$83&amp;R$1&amp;"C"&amp;$A106)="N/A",0,RTD("tos.rtd",,$A$2,"."&amp;R$83&amp;R$1&amp;"C"&amp;$A106))-IF(RTD("tos.rtd",,$A$2,"."&amp;R$83&amp;R$1&amp;"P"&amp;$A106)="N/A",0,RTD("tos.rtd",,$A$2,"."&amp;R$83&amp;R$1&amp;"P"&amp;$A106))</f>
        <v>-2</v>
      </c>
      <c r="S106" s="91">
        <f ca="1">IF(RTD("tos.rtd",,$A$2,"."&amp;S$83&amp;S$1&amp;"C"&amp;$A106)="N/A",0,RTD("tos.rtd",,$A$2,"."&amp;S$83&amp;S$1&amp;"C"&amp;$A106))-IF(RTD("tos.rtd",,$A$2,"."&amp;S$83&amp;S$1&amp;"P"&amp;$A106)="N/A",0,RTD("tos.rtd",,$A$2,"."&amp;S$83&amp;S$1&amp;"P"&amp;$A106))</f>
        <v>0</v>
      </c>
      <c r="T106" s="91">
        <f ca="1">IF(RTD("tos.rtd",,$A$2,"."&amp;T$83&amp;T$1&amp;"C"&amp;$A106)="N/A",0,RTD("tos.rtd",,$A$2,"."&amp;T$83&amp;T$1&amp;"C"&amp;$A106))-IF(RTD("tos.rtd",,$A$2,"."&amp;T$83&amp;T$1&amp;"P"&amp;$A106)="N/A",0,RTD("tos.rtd",,$A$2,"."&amp;T$83&amp;T$1&amp;"P"&amp;$A106))</f>
        <v>-1</v>
      </c>
      <c r="U106" s="91">
        <f ca="1">IF(RTD("tos.rtd",,$A$2,"."&amp;U$83&amp;U$1&amp;"C"&amp;$A106)="N/A",0,RTD("tos.rtd",,$A$2,"."&amp;U$83&amp;U$1&amp;"C"&amp;$A106))-IF(RTD("tos.rtd",,$A$2,"."&amp;U$83&amp;U$1&amp;"P"&amp;$A106)="N/A",0,RTD("tos.rtd",,$A$2,"."&amp;U$83&amp;U$1&amp;"P"&amp;$A106))</f>
        <v>0</v>
      </c>
      <c r="V106" s="91">
        <f ca="1">IF(RTD("tos.rtd",,$A$2,"."&amp;V$83&amp;V$1&amp;"C"&amp;$A106)="N/A",0,RTD("tos.rtd",,$A$2,"."&amp;V$83&amp;V$1&amp;"C"&amp;$A106))-IF(RTD("tos.rtd",,$A$2,"."&amp;V$83&amp;V$1&amp;"P"&amp;$A106)="N/A",0,RTD("tos.rtd",,$A$2,"."&amp;V$83&amp;V$1&amp;"P"&amp;$A106))</f>
        <v>0</v>
      </c>
      <c r="W106" s="91">
        <f ca="1">IF(RTD("tos.rtd",,$A$2,"."&amp;W$83&amp;W$1&amp;"C"&amp;$A106)="N/A",0,RTD("tos.rtd",,$A$2,"."&amp;W$83&amp;W$1&amp;"C"&amp;$A106))-IF(RTD("tos.rtd",,$A$2,"."&amp;W$83&amp;W$1&amp;"P"&amp;$A106)="N/A",0,RTD("tos.rtd",,$A$2,"."&amp;W$83&amp;W$1&amp;"P"&amp;$A106))</f>
        <v>0</v>
      </c>
      <c r="X106" s="91">
        <f ca="1">IF(RTD("tos.rtd",,$A$2,"."&amp;X$83&amp;X$1&amp;"C"&amp;$A106)="N/A",0,RTD("tos.rtd",,$A$2,"."&amp;X$83&amp;X$1&amp;"C"&amp;$A106))-IF(RTD("tos.rtd",,$A$2,"."&amp;X$83&amp;X$1&amp;"P"&amp;$A106)="N/A",0,RTD("tos.rtd",,$A$2,"."&amp;X$83&amp;X$1&amp;"P"&amp;$A106))</f>
        <v>0</v>
      </c>
      <c r="Y106" s="98">
        <f t="shared" ca="1" si="10"/>
        <v>-80</v>
      </c>
    </row>
    <row r="107" spans="1:25" x14ac:dyDescent="0.25">
      <c r="A107" s="93">
        <f>+Hoja1!A106</f>
        <v>5810</v>
      </c>
      <c r="B107" s="91">
        <f ca="1">IF(RTD("tos.rtd",,$A$2,"."&amp;B$83&amp;B$1&amp;"C"&amp;$A107)="N/A",0,RTD("tos.rtd",,$A$2,"."&amp;B$83&amp;B$1&amp;"C"&amp;$A107))-IF(RTD("tos.rtd",,$A$2,"."&amp;B$83&amp;B$1&amp;"P"&amp;$A107)="N/A",0,RTD("tos.rtd",,$A$2,"."&amp;B$83&amp;B$1&amp;"P"&amp;$A107))</f>
        <v>0</v>
      </c>
      <c r="C107" s="91">
        <f ca="1">IF(RTD("tos.rtd",,$A$2,"."&amp;C$83&amp;C$1&amp;"C"&amp;$A107)="N/A",0,RTD("tos.rtd",,$A$2,"."&amp;C$83&amp;C$1&amp;"C"&amp;$A107))-IF(RTD("tos.rtd",,$A$2,"."&amp;C$83&amp;C$1&amp;"P"&amp;$A107)="N/A",0,RTD("tos.rtd",,$A$2,"."&amp;C$83&amp;C$1&amp;"P"&amp;$A107))</f>
        <v>0</v>
      </c>
      <c r="D107" s="91">
        <f ca="1">IF(RTD("tos.rtd",,$A$2,"."&amp;D$83&amp;D$1&amp;"C"&amp;$A107)="N/A",0,RTD("tos.rtd",,$A$2,"."&amp;D$83&amp;D$1&amp;"C"&amp;$A107))-IF(RTD("tos.rtd",,$A$2,"."&amp;D$83&amp;D$1&amp;"P"&amp;$A107)="N/A",0,RTD("tos.rtd",,$A$2,"."&amp;D$83&amp;D$1&amp;"P"&amp;$A107))</f>
        <v>0</v>
      </c>
      <c r="E107" s="91">
        <f ca="1">IF(RTD("tos.rtd",,$A$2,"."&amp;E$83&amp;E$1&amp;"C"&amp;$A107)="N/A",0,RTD("tos.rtd",,$A$2,"."&amp;E$83&amp;E$1&amp;"C"&amp;$A107))-IF(RTD("tos.rtd",,$A$2,"."&amp;E$83&amp;E$1&amp;"P"&amp;$A107)="N/A",0,RTD("tos.rtd",,$A$2,"."&amp;E$83&amp;E$1&amp;"P"&amp;$A107))</f>
        <v>0</v>
      </c>
      <c r="F107" s="91">
        <f ca="1">IF(RTD("tos.rtd",,$A$2,"."&amp;F$83&amp;F$1&amp;"C"&amp;$A107)="N/A",0,RTD("tos.rtd",,$A$2,"."&amp;F$83&amp;F$1&amp;"C"&amp;$A107))-IF(RTD("tos.rtd",,$A$2,"."&amp;F$83&amp;F$1&amp;"P"&amp;$A107)="N/A",0,RTD("tos.rtd",,$A$2,"."&amp;F$83&amp;F$1&amp;"P"&amp;$A107))</f>
        <v>0</v>
      </c>
      <c r="G107" s="91">
        <f ca="1">IF(RTD("tos.rtd",,$A$2,"."&amp;G$83&amp;G$1&amp;"C"&amp;$A107)="N/A",0,RTD("tos.rtd",,$A$2,"."&amp;G$83&amp;G$1&amp;"C"&amp;$A107))-IF(RTD("tos.rtd",,$A$2,"."&amp;G$83&amp;G$1&amp;"P"&amp;$A107)="N/A",0,RTD("tos.rtd",,$A$2,"."&amp;G$83&amp;G$1&amp;"P"&amp;$A107))</f>
        <v>0</v>
      </c>
      <c r="H107" s="91">
        <f ca="1">IF(RTD("tos.rtd",,$A$2,"."&amp;H$83&amp;H$1&amp;"C"&amp;$A107)="N/A",0,RTD("tos.rtd",,$A$2,"."&amp;H$83&amp;H$1&amp;"C"&amp;$A107))-IF(RTD("tos.rtd",,$A$2,"."&amp;H$83&amp;H$1&amp;"P"&amp;$A107)="N/A",0,RTD("tos.rtd",,$A$2,"."&amp;H$83&amp;H$1&amp;"P"&amp;$A107))</f>
        <v>0</v>
      </c>
      <c r="I107" s="91">
        <f ca="1">IF(RTD("tos.rtd",,$A$2,"."&amp;I$83&amp;I$1&amp;"C"&amp;$A107)="N/A",0,RTD("tos.rtd",,$A$2,"."&amp;I$83&amp;I$1&amp;"C"&amp;$A107))-IF(RTD("tos.rtd",,$A$2,"."&amp;I$83&amp;I$1&amp;"P"&amp;$A107)="N/A",0,RTD("tos.rtd",,$A$2,"."&amp;I$83&amp;I$1&amp;"P"&amp;$A107))</f>
        <v>127</v>
      </c>
      <c r="J107" s="91">
        <f ca="1">IF(RTD("tos.rtd",,$A$2,"."&amp;J$83&amp;J$1&amp;"C"&amp;$A107)="N/A",0,RTD("tos.rtd",,$A$2,"."&amp;J$83&amp;J$1&amp;"C"&amp;$A107))-IF(RTD("tos.rtd",,$A$2,"."&amp;J$83&amp;J$1&amp;"P"&amp;$A107)="N/A",0,RTD("tos.rtd",,$A$2,"."&amp;J$83&amp;J$1&amp;"P"&amp;$A107))</f>
        <v>41</v>
      </c>
      <c r="K107" s="91">
        <f ca="1">IF(RTD("tos.rtd",,$A$2,"."&amp;K$83&amp;K$1&amp;"C"&amp;$A107)="N/A",0,RTD("tos.rtd",,$A$2,"."&amp;K$83&amp;K$1&amp;"C"&amp;$A107))-IF(RTD("tos.rtd",,$A$2,"."&amp;K$83&amp;K$1&amp;"P"&amp;$A107)="N/A",0,RTD("tos.rtd",,$A$2,"."&amp;K$83&amp;K$1&amp;"P"&amp;$A107))</f>
        <v>0</v>
      </c>
      <c r="L107" s="91">
        <f ca="1">IF(RTD("tos.rtd",,$A$2,"."&amp;L$83&amp;L$1&amp;"C"&amp;$A107)="N/A",0,RTD("tos.rtd",,$A$2,"."&amp;L$83&amp;L$1&amp;"C"&amp;$A107))-IF(RTD("tos.rtd",,$A$2,"."&amp;L$83&amp;L$1&amp;"P"&amp;$A107)="N/A",0,RTD("tos.rtd",,$A$2,"."&amp;L$83&amp;L$1&amp;"P"&amp;$A107))</f>
        <v>1</v>
      </c>
      <c r="M107" s="91">
        <f ca="1">IF(RTD("tos.rtd",,$A$2,"."&amp;M$83&amp;M$1&amp;"C"&amp;$A107)="N/A",0,RTD("tos.rtd",,$A$2,"."&amp;M$83&amp;M$1&amp;"C"&amp;$A107))-IF(RTD("tos.rtd",,$A$2,"."&amp;M$83&amp;M$1&amp;"P"&amp;$A107)="N/A",0,RTD("tos.rtd",,$A$2,"."&amp;M$83&amp;M$1&amp;"P"&amp;$A107))</f>
        <v>-31</v>
      </c>
      <c r="N107" s="91">
        <f ca="1">IF(RTD("tos.rtd",,$A$2,"."&amp;N$83&amp;N$1&amp;"C"&amp;$A107)="N/A",0,RTD("tos.rtd",,$A$2,"."&amp;N$83&amp;N$1&amp;"C"&amp;$A107))-IF(RTD("tos.rtd",,$A$2,"."&amp;N$83&amp;N$1&amp;"P"&amp;$A107)="N/A",0,RTD("tos.rtd",,$A$2,"."&amp;N$83&amp;N$1&amp;"P"&amp;$A107))</f>
        <v>-116</v>
      </c>
      <c r="O107" s="91">
        <f ca="1">IF(RTD("tos.rtd",,$A$2,"."&amp;O$83&amp;O$1&amp;"C"&amp;$A107)="N/A",0,RTD("tos.rtd",,$A$2,"."&amp;O$83&amp;O$1&amp;"C"&amp;$A107))-IF(RTD("tos.rtd",,$A$2,"."&amp;O$83&amp;O$1&amp;"P"&amp;$A107)="N/A",0,RTD("tos.rtd",,$A$2,"."&amp;O$83&amp;O$1&amp;"P"&amp;$A107))</f>
        <v>-3</v>
      </c>
      <c r="P107" s="91">
        <f ca="1">IF(RTD("tos.rtd",,$A$2,"."&amp;P$83&amp;P$1&amp;"C"&amp;$A107)="N/A",0,RTD("tos.rtd",,$A$2,"."&amp;P$83&amp;P$1&amp;"C"&amp;$A107))-IF(RTD("tos.rtd",,$A$2,"."&amp;P$83&amp;P$1&amp;"P"&amp;$A107)="N/A",0,RTD("tos.rtd",,$A$2,"."&amp;P$83&amp;P$1&amp;"P"&amp;$A107))</f>
        <v>-2</v>
      </c>
      <c r="Q107" s="91">
        <f ca="1">IF(RTD("tos.rtd",,$A$2,"."&amp;Q$83&amp;Q$1&amp;"C"&amp;$A107)="N/A",0,RTD("tos.rtd",,$A$2,"."&amp;Q$83&amp;Q$1&amp;"C"&amp;$A107))-IF(RTD("tos.rtd",,$A$2,"."&amp;Q$83&amp;Q$1&amp;"P"&amp;$A107)="N/A",0,RTD("tos.rtd",,$A$2,"."&amp;Q$83&amp;Q$1&amp;"P"&amp;$A107))</f>
        <v>-12</v>
      </c>
      <c r="R107" s="91">
        <f ca="1">IF(RTD("tos.rtd",,$A$2,"."&amp;R$83&amp;R$1&amp;"C"&amp;$A107)="N/A",0,RTD("tos.rtd",,$A$2,"."&amp;R$83&amp;R$1&amp;"C"&amp;$A107))-IF(RTD("tos.rtd",,$A$2,"."&amp;R$83&amp;R$1&amp;"P"&amp;$A107)="N/A",0,RTD("tos.rtd",,$A$2,"."&amp;R$83&amp;R$1&amp;"P"&amp;$A107))</f>
        <v>-1</v>
      </c>
      <c r="S107" s="91">
        <f ca="1">IF(RTD("tos.rtd",,$A$2,"."&amp;S$83&amp;S$1&amp;"C"&amp;$A107)="N/A",0,RTD("tos.rtd",,$A$2,"."&amp;S$83&amp;S$1&amp;"C"&amp;$A107))-IF(RTD("tos.rtd",,$A$2,"."&amp;S$83&amp;S$1&amp;"P"&amp;$A107)="N/A",0,RTD("tos.rtd",,$A$2,"."&amp;S$83&amp;S$1&amp;"P"&amp;$A107))</f>
        <v>0</v>
      </c>
      <c r="T107" s="91">
        <f ca="1">IF(RTD("tos.rtd",,$A$2,"."&amp;T$83&amp;T$1&amp;"C"&amp;$A107)="N/A",0,RTD("tos.rtd",,$A$2,"."&amp;T$83&amp;T$1&amp;"C"&amp;$A107))-IF(RTD("tos.rtd",,$A$2,"."&amp;T$83&amp;T$1&amp;"P"&amp;$A107)="N/A",0,RTD("tos.rtd",,$A$2,"."&amp;T$83&amp;T$1&amp;"P"&amp;$A107))</f>
        <v>-18</v>
      </c>
      <c r="U107" s="91">
        <f ca="1">IF(RTD("tos.rtd",,$A$2,"."&amp;U$83&amp;U$1&amp;"C"&amp;$A107)="N/A",0,RTD("tos.rtd",,$A$2,"."&amp;U$83&amp;U$1&amp;"C"&amp;$A107))-IF(RTD("tos.rtd",,$A$2,"."&amp;U$83&amp;U$1&amp;"P"&amp;$A107)="N/A",0,RTD("tos.rtd",,$A$2,"."&amp;U$83&amp;U$1&amp;"P"&amp;$A107))</f>
        <v>0</v>
      </c>
      <c r="V107" s="91">
        <f ca="1">IF(RTD("tos.rtd",,$A$2,"."&amp;V$83&amp;V$1&amp;"C"&amp;$A107)="N/A",0,RTD("tos.rtd",,$A$2,"."&amp;V$83&amp;V$1&amp;"C"&amp;$A107))-IF(RTD("tos.rtd",,$A$2,"."&amp;V$83&amp;V$1&amp;"P"&amp;$A107)="N/A",0,RTD("tos.rtd",,$A$2,"."&amp;V$83&amp;V$1&amp;"P"&amp;$A107))</f>
        <v>0</v>
      </c>
      <c r="W107" s="91">
        <f ca="1">IF(RTD("tos.rtd",,$A$2,"."&amp;W$83&amp;W$1&amp;"C"&amp;$A107)="N/A",0,RTD("tos.rtd",,$A$2,"."&amp;W$83&amp;W$1&amp;"C"&amp;$A107))-IF(RTD("tos.rtd",,$A$2,"."&amp;W$83&amp;W$1&amp;"P"&amp;$A107)="N/A",0,RTD("tos.rtd",,$A$2,"."&amp;W$83&amp;W$1&amp;"P"&amp;$A107))</f>
        <v>0</v>
      </c>
      <c r="X107" s="91">
        <f ca="1">IF(RTD("tos.rtd",,$A$2,"."&amp;X$83&amp;X$1&amp;"C"&amp;$A107)="N/A",0,RTD("tos.rtd",,$A$2,"."&amp;X$83&amp;X$1&amp;"C"&amp;$A107))-IF(RTD("tos.rtd",,$A$2,"."&amp;X$83&amp;X$1&amp;"P"&amp;$A107)="N/A",0,RTD("tos.rtd",,$A$2,"."&amp;X$83&amp;X$1&amp;"P"&amp;$A107))</f>
        <v>2</v>
      </c>
      <c r="Y107" s="98">
        <f t="shared" ca="1" si="10"/>
        <v>-12</v>
      </c>
    </row>
    <row r="108" spans="1:25" x14ac:dyDescent="0.25">
      <c r="A108" s="93">
        <f>+Hoja1!A107</f>
        <v>5800</v>
      </c>
      <c r="B108" s="91">
        <f ca="1">IF(RTD("tos.rtd",,$A$2,"."&amp;B$83&amp;B$1&amp;"C"&amp;$A108)="N/A",0,RTD("tos.rtd",,$A$2,"."&amp;B$83&amp;B$1&amp;"C"&amp;$A108))-IF(RTD("tos.rtd",,$A$2,"."&amp;B$83&amp;B$1&amp;"P"&amp;$A108)="N/A",0,RTD("tos.rtd",,$A$2,"."&amp;B$83&amp;B$1&amp;"P"&amp;$A108))</f>
        <v>0</v>
      </c>
      <c r="C108" s="91">
        <f ca="1">IF(RTD("tos.rtd",,$A$2,"."&amp;C$83&amp;C$1&amp;"C"&amp;$A108)="N/A",0,RTD("tos.rtd",,$A$2,"."&amp;C$83&amp;C$1&amp;"C"&amp;$A108))-IF(RTD("tos.rtd",,$A$2,"."&amp;C$83&amp;C$1&amp;"P"&amp;$A108)="N/A",0,RTD("tos.rtd",,$A$2,"."&amp;C$83&amp;C$1&amp;"P"&amp;$A108))</f>
        <v>0</v>
      </c>
      <c r="D108" s="91">
        <f ca="1">IF(RTD("tos.rtd",,$A$2,"."&amp;D$83&amp;D$1&amp;"C"&amp;$A108)="N/A",0,RTD("tos.rtd",,$A$2,"."&amp;D$83&amp;D$1&amp;"C"&amp;$A108))-IF(RTD("tos.rtd",,$A$2,"."&amp;D$83&amp;D$1&amp;"P"&amp;$A108)="N/A",0,RTD("tos.rtd",,$A$2,"."&amp;D$83&amp;D$1&amp;"P"&amp;$A108))</f>
        <v>0</v>
      </c>
      <c r="E108" s="91">
        <f ca="1">IF(RTD("tos.rtd",,$A$2,"."&amp;E$83&amp;E$1&amp;"C"&amp;$A108)="N/A",0,RTD("tos.rtd",,$A$2,"."&amp;E$83&amp;E$1&amp;"C"&amp;$A108))-IF(RTD("tos.rtd",,$A$2,"."&amp;E$83&amp;E$1&amp;"P"&amp;$A108)="N/A",0,RTD("tos.rtd",,$A$2,"."&amp;E$83&amp;E$1&amp;"P"&amp;$A108))</f>
        <v>0</v>
      </c>
      <c r="F108" s="91">
        <f ca="1">IF(RTD("tos.rtd",,$A$2,"."&amp;F$83&amp;F$1&amp;"C"&amp;$A108)="N/A",0,RTD("tos.rtd",,$A$2,"."&amp;F$83&amp;F$1&amp;"C"&amp;$A108))-IF(RTD("tos.rtd",,$A$2,"."&amp;F$83&amp;F$1&amp;"P"&amp;$A108)="N/A",0,RTD("tos.rtd",,$A$2,"."&amp;F$83&amp;F$1&amp;"P"&amp;$A108))</f>
        <v>0</v>
      </c>
      <c r="G108" s="91">
        <f ca="1">IF(RTD("tos.rtd",,$A$2,"."&amp;G$83&amp;G$1&amp;"C"&amp;$A108)="N/A",0,RTD("tos.rtd",,$A$2,"."&amp;G$83&amp;G$1&amp;"C"&amp;$A108))-IF(RTD("tos.rtd",,$A$2,"."&amp;G$83&amp;G$1&amp;"P"&amp;$A108)="N/A",0,RTD("tos.rtd",,$A$2,"."&amp;G$83&amp;G$1&amp;"P"&amp;$A108))</f>
        <v>0</v>
      </c>
      <c r="H108" s="91">
        <f ca="1">IF(RTD("tos.rtd",,$A$2,"."&amp;H$83&amp;H$1&amp;"C"&amp;$A108)="N/A",0,RTD("tos.rtd",,$A$2,"."&amp;H$83&amp;H$1&amp;"C"&amp;$A108))-IF(RTD("tos.rtd",,$A$2,"."&amp;H$83&amp;H$1&amp;"P"&amp;$A108)="N/A",0,RTD("tos.rtd",,$A$2,"."&amp;H$83&amp;H$1&amp;"P"&amp;$A108))</f>
        <v>0</v>
      </c>
      <c r="I108" s="91">
        <f ca="1">IF(RTD("tos.rtd",,$A$2,"."&amp;I$83&amp;I$1&amp;"C"&amp;$A108)="N/A",0,RTD("tos.rtd",,$A$2,"."&amp;I$83&amp;I$1&amp;"C"&amp;$A108))-IF(RTD("tos.rtd",,$A$2,"."&amp;I$83&amp;I$1&amp;"P"&amp;$A108)="N/A",0,RTD("tos.rtd",,$A$2,"."&amp;I$83&amp;I$1&amp;"P"&amp;$A108))</f>
        <v>1526</v>
      </c>
      <c r="J108" s="91">
        <f ca="1">IF(RTD("tos.rtd",,$A$2,"."&amp;J$83&amp;J$1&amp;"C"&amp;$A108)="N/A",0,RTD("tos.rtd",,$A$2,"."&amp;J$83&amp;J$1&amp;"C"&amp;$A108))-IF(RTD("tos.rtd",,$A$2,"."&amp;J$83&amp;J$1&amp;"P"&amp;$A108)="N/A",0,RTD("tos.rtd",,$A$2,"."&amp;J$83&amp;J$1&amp;"P"&amp;$A108))</f>
        <v>186</v>
      </c>
      <c r="K108" s="91">
        <f ca="1">IF(RTD("tos.rtd",,$A$2,"."&amp;K$83&amp;K$1&amp;"C"&amp;$A108)="N/A",0,RTD("tos.rtd",,$A$2,"."&amp;K$83&amp;K$1&amp;"C"&amp;$A108))-IF(RTD("tos.rtd",,$A$2,"."&amp;K$83&amp;K$1&amp;"P"&amp;$A108)="N/A",0,RTD("tos.rtd",,$A$2,"."&amp;K$83&amp;K$1&amp;"P"&amp;$A108))</f>
        <v>0</v>
      </c>
      <c r="L108" s="91">
        <f ca="1">IF(RTD("tos.rtd",,$A$2,"."&amp;L$83&amp;L$1&amp;"C"&amp;$A108)="N/A",0,RTD("tos.rtd",,$A$2,"."&amp;L$83&amp;L$1&amp;"C"&amp;$A108))-IF(RTD("tos.rtd",,$A$2,"."&amp;L$83&amp;L$1&amp;"P"&amp;$A108)="N/A",0,RTD("tos.rtd",,$A$2,"."&amp;L$83&amp;L$1&amp;"P"&amp;$A108))</f>
        <v>-89</v>
      </c>
      <c r="M108" s="91">
        <f ca="1">IF(RTD("tos.rtd",,$A$2,"."&amp;M$83&amp;M$1&amp;"C"&amp;$A108)="N/A",0,RTD("tos.rtd",,$A$2,"."&amp;M$83&amp;M$1&amp;"C"&amp;$A108))-IF(RTD("tos.rtd",,$A$2,"."&amp;M$83&amp;M$1&amp;"P"&amp;$A108)="N/A",0,RTD("tos.rtd",,$A$2,"."&amp;M$83&amp;M$1&amp;"P"&amp;$A108))</f>
        <v>-380</v>
      </c>
      <c r="N108" s="91">
        <f ca="1">IF(RTD("tos.rtd",,$A$2,"."&amp;N$83&amp;N$1&amp;"C"&amp;$A108)="N/A",0,RTD("tos.rtd",,$A$2,"."&amp;N$83&amp;N$1&amp;"C"&amp;$A108))-IF(RTD("tos.rtd",,$A$2,"."&amp;N$83&amp;N$1&amp;"P"&amp;$A108)="N/A",0,RTD("tos.rtd",,$A$2,"."&amp;N$83&amp;N$1&amp;"P"&amp;$A108))</f>
        <v>37</v>
      </c>
      <c r="O108" s="91">
        <f ca="1">IF(RTD("tos.rtd",,$A$2,"."&amp;O$83&amp;O$1&amp;"C"&amp;$A108)="N/A",0,RTD("tos.rtd",,$A$2,"."&amp;O$83&amp;O$1&amp;"C"&amp;$A108))-IF(RTD("tos.rtd",,$A$2,"."&amp;O$83&amp;O$1&amp;"P"&amp;$A108)="N/A",0,RTD("tos.rtd",,$A$2,"."&amp;O$83&amp;O$1&amp;"P"&amp;$A108))</f>
        <v>67</v>
      </c>
      <c r="P108" s="91">
        <f ca="1">IF(RTD("tos.rtd",,$A$2,"."&amp;P$83&amp;P$1&amp;"C"&amp;$A108)="N/A",0,RTD("tos.rtd",,$A$2,"."&amp;P$83&amp;P$1&amp;"C"&amp;$A108))-IF(RTD("tos.rtd",,$A$2,"."&amp;P$83&amp;P$1&amp;"P"&amp;$A108)="N/A",0,RTD("tos.rtd",,$A$2,"."&amp;P$83&amp;P$1&amp;"P"&amp;$A108))</f>
        <v>24</v>
      </c>
      <c r="Q108" s="91">
        <f ca="1">IF(RTD("tos.rtd",,$A$2,"."&amp;Q$83&amp;Q$1&amp;"C"&amp;$A108)="N/A",0,RTD("tos.rtd",,$A$2,"."&amp;Q$83&amp;Q$1&amp;"C"&amp;$A108))-IF(RTD("tos.rtd",,$A$2,"."&amp;Q$83&amp;Q$1&amp;"P"&amp;$A108)="N/A",0,RTD("tos.rtd",,$A$2,"."&amp;Q$83&amp;Q$1&amp;"P"&amp;$A108))</f>
        <v>-558</v>
      </c>
      <c r="R108" s="91">
        <f ca="1">IF(RTD("tos.rtd",,$A$2,"."&amp;R$83&amp;R$1&amp;"C"&amp;$A108)="N/A",0,RTD("tos.rtd",,$A$2,"."&amp;R$83&amp;R$1&amp;"C"&amp;$A108))-IF(RTD("tos.rtd",,$A$2,"."&amp;R$83&amp;R$1&amp;"P"&amp;$A108)="N/A",0,RTD("tos.rtd",,$A$2,"."&amp;R$83&amp;R$1&amp;"P"&amp;$A108))</f>
        <v>33</v>
      </c>
      <c r="S108" s="91">
        <f ca="1">IF(RTD("tos.rtd",,$A$2,"."&amp;S$83&amp;S$1&amp;"C"&amp;$A108)="N/A",0,RTD("tos.rtd",,$A$2,"."&amp;S$83&amp;S$1&amp;"C"&amp;$A108))-IF(RTD("tos.rtd",,$A$2,"."&amp;S$83&amp;S$1&amp;"P"&amp;$A108)="N/A",0,RTD("tos.rtd",,$A$2,"."&amp;S$83&amp;S$1&amp;"P"&amp;$A108))</f>
        <v>-470</v>
      </c>
      <c r="T108" s="91">
        <f ca="1">IF(RTD("tos.rtd",,$A$2,"."&amp;T$83&amp;T$1&amp;"C"&amp;$A108)="N/A",0,RTD("tos.rtd",,$A$2,"."&amp;T$83&amp;T$1&amp;"C"&amp;$A108))-IF(RTD("tos.rtd",,$A$2,"."&amp;T$83&amp;T$1&amp;"P"&amp;$A108)="N/A",0,RTD("tos.rtd",,$A$2,"."&amp;T$83&amp;T$1&amp;"P"&amp;$A108))</f>
        <v>-9</v>
      </c>
      <c r="U108" s="91">
        <f ca="1">IF(RTD("tos.rtd",,$A$2,"."&amp;U$83&amp;U$1&amp;"C"&amp;$A108)="N/A",0,RTD("tos.rtd",,$A$2,"."&amp;U$83&amp;U$1&amp;"C"&amp;$A108))-IF(RTD("tos.rtd",,$A$2,"."&amp;U$83&amp;U$1&amp;"P"&amp;$A108)="N/A",0,RTD("tos.rtd",,$A$2,"."&amp;U$83&amp;U$1&amp;"P"&amp;$A108))</f>
        <v>-106</v>
      </c>
      <c r="V108" s="91">
        <f ca="1">IF(RTD("tos.rtd",,$A$2,"."&amp;V$83&amp;V$1&amp;"C"&amp;$A108)="N/A",0,RTD("tos.rtd",,$A$2,"."&amp;V$83&amp;V$1&amp;"C"&amp;$A108))-IF(RTD("tos.rtd",,$A$2,"."&amp;V$83&amp;V$1&amp;"P"&amp;$A108)="N/A",0,RTD("tos.rtd",,$A$2,"."&amp;V$83&amp;V$1&amp;"P"&amp;$A108))</f>
        <v>0</v>
      </c>
      <c r="W108" s="91">
        <f ca="1">IF(RTD("tos.rtd",,$A$2,"."&amp;W$83&amp;W$1&amp;"C"&amp;$A108)="N/A",0,RTD("tos.rtd",,$A$2,"."&amp;W$83&amp;W$1&amp;"C"&amp;$A108))-IF(RTD("tos.rtd",,$A$2,"."&amp;W$83&amp;W$1&amp;"P"&amp;$A108)="N/A",0,RTD("tos.rtd",,$A$2,"."&amp;W$83&amp;W$1&amp;"P"&amp;$A108))</f>
        <v>-347</v>
      </c>
      <c r="X108" s="91">
        <f ca="1">IF(RTD("tos.rtd",,$A$2,"."&amp;X$83&amp;X$1&amp;"C"&amp;$A108)="N/A",0,RTD("tos.rtd",,$A$2,"."&amp;X$83&amp;X$1&amp;"C"&amp;$A108))-IF(RTD("tos.rtd",,$A$2,"."&amp;X$83&amp;X$1&amp;"P"&amp;$A108)="N/A",0,RTD("tos.rtd",,$A$2,"."&amp;X$83&amp;X$1&amp;"P"&amp;$A108))</f>
        <v>-14</v>
      </c>
      <c r="Y108" s="98">
        <f t="shared" ca="1" si="10"/>
        <v>-100</v>
      </c>
    </row>
    <row r="109" spans="1:25" x14ac:dyDescent="0.25">
      <c r="A109" s="93">
        <f>+Hoja1!A108</f>
        <v>5790</v>
      </c>
      <c r="B109" s="91">
        <f ca="1">IF(RTD("tos.rtd",,$A$2,"."&amp;B$83&amp;B$1&amp;"C"&amp;$A109)="N/A",0,RTD("tos.rtd",,$A$2,"."&amp;B$83&amp;B$1&amp;"C"&amp;$A109))-IF(RTD("tos.rtd",,$A$2,"."&amp;B$83&amp;B$1&amp;"P"&amp;$A109)="N/A",0,RTD("tos.rtd",,$A$2,"."&amp;B$83&amp;B$1&amp;"P"&amp;$A109))</f>
        <v>0</v>
      </c>
      <c r="C109" s="91">
        <f ca="1">IF(RTD("tos.rtd",,$A$2,"."&amp;C$83&amp;C$1&amp;"C"&amp;$A109)="N/A",0,RTD("tos.rtd",,$A$2,"."&amp;C$83&amp;C$1&amp;"C"&amp;$A109))-IF(RTD("tos.rtd",,$A$2,"."&amp;C$83&amp;C$1&amp;"P"&amp;$A109)="N/A",0,RTD("tos.rtd",,$A$2,"."&amp;C$83&amp;C$1&amp;"P"&amp;$A109))</f>
        <v>0</v>
      </c>
      <c r="D109" s="91">
        <f ca="1">IF(RTD("tos.rtd",,$A$2,"."&amp;D$83&amp;D$1&amp;"C"&amp;$A109)="N/A",0,RTD("tos.rtd",,$A$2,"."&amp;D$83&amp;D$1&amp;"C"&amp;$A109))-IF(RTD("tos.rtd",,$A$2,"."&amp;D$83&amp;D$1&amp;"P"&amp;$A109)="N/A",0,RTD("tos.rtd",,$A$2,"."&amp;D$83&amp;D$1&amp;"P"&amp;$A109))</f>
        <v>0</v>
      </c>
      <c r="E109" s="91">
        <f ca="1">IF(RTD("tos.rtd",,$A$2,"."&amp;E$83&amp;E$1&amp;"C"&amp;$A109)="N/A",0,RTD("tos.rtd",,$A$2,"."&amp;E$83&amp;E$1&amp;"C"&amp;$A109))-IF(RTD("tos.rtd",,$A$2,"."&amp;E$83&amp;E$1&amp;"P"&amp;$A109)="N/A",0,RTD("tos.rtd",,$A$2,"."&amp;E$83&amp;E$1&amp;"P"&amp;$A109))</f>
        <v>0</v>
      </c>
      <c r="F109" s="91">
        <f ca="1">IF(RTD("tos.rtd",,$A$2,"."&amp;F$83&amp;F$1&amp;"C"&amp;$A109)="N/A",0,RTD("tos.rtd",,$A$2,"."&amp;F$83&amp;F$1&amp;"C"&amp;$A109))-IF(RTD("tos.rtd",,$A$2,"."&amp;F$83&amp;F$1&amp;"P"&amp;$A109)="N/A",0,RTD("tos.rtd",,$A$2,"."&amp;F$83&amp;F$1&amp;"P"&amp;$A109))</f>
        <v>0</v>
      </c>
      <c r="G109" s="91">
        <f ca="1">IF(RTD("tos.rtd",,$A$2,"."&amp;G$83&amp;G$1&amp;"C"&amp;$A109)="N/A",0,RTD("tos.rtd",,$A$2,"."&amp;G$83&amp;G$1&amp;"C"&amp;$A109))-IF(RTD("tos.rtd",,$A$2,"."&amp;G$83&amp;G$1&amp;"P"&amp;$A109)="N/A",0,RTD("tos.rtd",,$A$2,"."&amp;G$83&amp;G$1&amp;"P"&amp;$A109))</f>
        <v>0</v>
      </c>
      <c r="H109" s="91">
        <f ca="1">IF(RTD("tos.rtd",,$A$2,"."&amp;H$83&amp;H$1&amp;"C"&amp;$A109)="N/A",0,RTD("tos.rtd",,$A$2,"."&amp;H$83&amp;H$1&amp;"C"&amp;$A109))-IF(RTD("tos.rtd",,$A$2,"."&amp;H$83&amp;H$1&amp;"P"&amp;$A109)="N/A",0,RTD("tos.rtd",,$A$2,"."&amp;H$83&amp;H$1&amp;"P"&amp;$A109))</f>
        <v>0</v>
      </c>
      <c r="I109" s="91">
        <f ca="1">IF(RTD("tos.rtd",,$A$2,"."&amp;I$83&amp;I$1&amp;"C"&amp;$A109)="N/A",0,RTD("tos.rtd",,$A$2,"."&amp;I$83&amp;I$1&amp;"C"&amp;$A109))-IF(RTD("tos.rtd",,$A$2,"."&amp;I$83&amp;I$1&amp;"P"&amp;$A109)="N/A",0,RTD("tos.rtd",,$A$2,"."&amp;I$83&amp;I$1&amp;"P"&amp;$A109))</f>
        <v>-2</v>
      </c>
      <c r="J109" s="91">
        <f ca="1">IF(RTD("tos.rtd",,$A$2,"."&amp;J$83&amp;J$1&amp;"C"&amp;$A109)="N/A",0,RTD("tos.rtd",,$A$2,"."&amp;J$83&amp;J$1&amp;"C"&amp;$A109))-IF(RTD("tos.rtd",,$A$2,"."&amp;J$83&amp;J$1&amp;"P"&amp;$A109)="N/A",0,RTD("tos.rtd",,$A$2,"."&amp;J$83&amp;J$1&amp;"P"&amp;$A109))</f>
        <v>103</v>
      </c>
      <c r="K109" s="91">
        <f ca="1">IF(RTD("tos.rtd",,$A$2,"."&amp;K$83&amp;K$1&amp;"C"&amp;$A109)="N/A",0,RTD("tos.rtd",,$A$2,"."&amp;K$83&amp;K$1&amp;"C"&amp;$A109))-IF(RTD("tos.rtd",,$A$2,"."&amp;K$83&amp;K$1&amp;"P"&amp;$A109)="N/A",0,RTD("tos.rtd",,$A$2,"."&amp;K$83&amp;K$1&amp;"P"&amp;$A109))</f>
        <v>0</v>
      </c>
      <c r="L109" s="91">
        <f ca="1">IF(RTD("tos.rtd",,$A$2,"."&amp;L$83&amp;L$1&amp;"C"&amp;$A109)="N/A",0,RTD("tos.rtd",,$A$2,"."&amp;L$83&amp;L$1&amp;"C"&amp;$A109))-IF(RTD("tos.rtd",,$A$2,"."&amp;L$83&amp;L$1&amp;"P"&amp;$A109)="N/A",0,RTD("tos.rtd",,$A$2,"."&amp;L$83&amp;L$1&amp;"P"&amp;$A109))</f>
        <v>-24</v>
      </c>
      <c r="M109" s="91">
        <f ca="1">IF(RTD("tos.rtd",,$A$2,"."&amp;M$83&amp;M$1&amp;"C"&amp;$A109)="N/A",0,RTD("tos.rtd",,$A$2,"."&amp;M$83&amp;M$1&amp;"C"&amp;$A109))-IF(RTD("tos.rtd",,$A$2,"."&amp;M$83&amp;M$1&amp;"P"&amp;$A109)="N/A",0,RTD("tos.rtd",,$A$2,"."&amp;M$83&amp;M$1&amp;"P"&amp;$A109))</f>
        <v>0</v>
      </c>
      <c r="N109" s="91">
        <f ca="1">IF(RTD("tos.rtd",,$A$2,"."&amp;N$83&amp;N$1&amp;"C"&amp;$A109)="N/A",0,RTD("tos.rtd",,$A$2,"."&amp;N$83&amp;N$1&amp;"C"&amp;$A109))-IF(RTD("tos.rtd",,$A$2,"."&amp;N$83&amp;N$1&amp;"P"&amp;$A109)="N/A",0,RTD("tos.rtd",,$A$2,"."&amp;N$83&amp;N$1&amp;"P"&amp;$A109))</f>
        <v>-8</v>
      </c>
      <c r="O109" s="91">
        <f ca="1">IF(RTD("tos.rtd",,$A$2,"."&amp;O$83&amp;O$1&amp;"C"&amp;$A109)="N/A",0,RTD("tos.rtd",,$A$2,"."&amp;O$83&amp;O$1&amp;"C"&amp;$A109))-IF(RTD("tos.rtd",,$A$2,"."&amp;O$83&amp;O$1&amp;"P"&amp;$A109)="N/A",0,RTD("tos.rtd",,$A$2,"."&amp;O$83&amp;O$1&amp;"P"&amp;$A109))</f>
        <v>-10</v>
      </c>
      <c r="P109" s="91">
        <f ca="1">IF(RTD("tos.rtd",,$A$2,"."&amp;P$83&amp;P$1&amp;"C"&amp;$A109)="N/A",0,RTD("tos.rtd",,$A$2,"."&amp;P$83&amp;P$1&amp;"C"&amp;$A109))-IF(RTD("tos.rtd",,$A$2,"."&amp;P$83&amp;P$1&amp;"P"&amp;$A109)="N/A",0,RTD("tos.rtd",,$A$2,"."&amp;P$83&amp;P$1&amp;"P"&amp;$A109))</f>
        <v>-1</v>
      </c>
      <c r="Q109" s="91">
        <f ca="1">IF(RTD("tos.rtd",,$A$2,"."&amp;Q$83&amp;Q$1&amp;"C"&amp;$A109)="N/A",0,RTD("tos.rtd",,$A$2,"."&amp;Q$83&amp;Q$1&amp;"C"&amp;$A109))-IF(RTD("tos.rtd",,$A$2,"."&amp;Q$83&amp;Q$1&amp;"P"&amp;$A109)="N/A",0,RTD("tos.rtd",,$A$2,"."&amp;Q$83&amp;Q$1&amp;"P"&amp;$A109))</f>
        <v>118</v>
      </c>
      <c r="R109" s="91">
        <f ca="1">IF(RTD("tos.rtd",,$A$2,"."&amp;R$83&amp;R$1&amp;"C"&amp;$A109)="N/A",0,RTD("tos.rtd",,$A$2,"."&amp;R$83&amp;R$1&amp;"C"&amp;$A109))-IF(RTD("tos.rtd",,$A$2,"."&amp;R$83&amp;R$1&amp;"P"&amp;$A109)="N/A",0,RTD("tos.rtd",,$A$2,"."&amp;R$83&amp;R$1&amp;"P"&amp;$A109))</f>
        <v>0</v>
      </c>
      <c r="S109" s="91">
        <f ca="1">IF(RTD("tos.rtd",,$A$2,"."&amp;S$83&amp;S$1&amp;"C"&amp;$A109)="N/A",0,RTD("tos.rtd",,$A$2,"."&amp;S$83&amp;S$1&amp;"C"&amp;$A109))-IF(RTD("tos.rtd",,$A$2,"."&amp;S$83&amp;S$1&amp;"P"&amp;$A109)="N/A",0,RTD("tos.rtd",,$A$2,"."&amp;S$83&amp;S$1&amp;"P"&amp;$A109))</f>
        <v>0</v>
      </c>
      <c r="T109" s="91">
        <f ca="1">IF(RTD("tos.rtd",,$A$2,"."&amp;T$83&amp;T$1&amp;"C"&amp;$A109)="N/A",0,RTD("tos.rtd",,$A$2,"."&amp;T$83&amp;T$1&amp;"C"&amp;$A109))-IF(RTD("tos.rtd",,$A$2,"."&amp;T$83&amp;T$1&amp;"P"&amp;$A109)="N/A",0,RTD("tos.rtd",,$A$2,"."&amp;T$83&amp;T$1&amp;"P"&amp;$A109))</f>
        <v>-2</v>
      </c>
      <c r="U109" s="91">
        <f ca="1">IF(RTD("tos.rtd",,$A$2,"."&amp;U$83&amp;U$1&amp;"C"&amp;$A109)="N/A",0,RTD("tos.rtd",,$A$2,"."&amp;U$83&amp;U$1&amp;"C"&amp;$A109))-IF(RTD("tos.rtd",,$A$2,"."&amp;U$83&amp;U$1&amp;"P"&amp;$A109)="N/A",0,RTD("tos.rtd",,$A$2,"."&amp;U$83&amp;U$1&amp;"P"&amp;$A109))</f>
        <v>0</v>
      </c>
      <c r="V109" s="91">
        <f ca="1">IF(RTD("tos.rtd",,$A$2,"."&amp;V$83&amp;V$1&amp;"C"&amp;$A109)="N/A",0,RTD("tos.rtd",,$A$2,"."&amp;V$83&amp;V$1&amp;"C"&amp;$A109))-IF(RTD("tos.rtd",,$A$2,"."&amp;V$83&amp;V$1&amp;"P"&amp;$A109)="N/A",0,RTD("tos.rtd",,$A$2,"."&amp;V$83&amp;V$1&amp;"P"&amp;$A109))</f>
        <v>0</v>
      </c>
      <c r="W109" s="91">
        <f ca="1">IF(RTD("tos.rtd",,$A$2,"."&amp;W$83&amp;W$1&amp;"C"&amp;$A109)="N/A",0,RTD("tos.rtd",,$A$2,"."&amp;W$83&amp;W$1&amp;"C"&amp;$A109))-IF(RTD("tos.rtd",,$A$2,"."&amp;W$83&amp;W$1&amp;"P"&amp;$A109)="N/A",0,RTD("tos.rtd",,$A$2,"."&amp;W$83&amp;W$1&amp;"P"&amp;$A109))</f>
        <v>0</v>
      </c>
      <c r="X109" s="91">
        <f ca="1">IF(RTD("tos.rtd",,$A$2,"."&amp;X$83&amp;X$1&amp;"C"&amp;$A109)="N/A",0,RTD("tos.rtd",,$A$2,"."&amp;X$83&amp;X$1&amp;"C"&amp;$A109))-IF(RTD("tos.rtd",,$A$2,"."&amp;X$83&amp;X$1&amp;"P"&amp;$A109)="N/A",0,RTD("tos.rtd",,$A$2,"."&amp;X$83&amp;X$1&amp;"P"&amp;$A109))</f>
        <v>4</v>
      </c>
      <c r="Y109" s="98">
        <f t="shared" ca="1" si="10"/>
        <v>178</v>
      </c>
    </row>
    <row r="110" spans="1:25" x14ac:dyDescent="0.25">
      <c r="A110" s="93">
        <f>+Hoja1!A109</f>
        <v>5780</v>
      </c>
      <c r="B110" s="91">
        <f ca="1">IF(RTD("tos.rtd",,$A$2,"."&amp;B$83&amp;B$1&amp;"C"&amp;$A110)="N/A",0,RTD("tos.rtd",,$A$2,"."&amp;B$83&amp;B$1&amp;"C"&amp;$A110))-IF(RTD("tos.rtd",,$A$2,"."&amp;B$83&amp;B$1&amp;"P"&amp;$A110)="N/A",0,RTD("tos.rtd",,$A$2,"."&amp;B$83&amp;B$1&amp;"P"&amp;$A110))</f>
        <v>0</v>
      </c>
      <c r="C110" s="91">
        <f ca="1">IF(RTD("tos.rtd",,$A$2,"."&amp;C$83&amp;C$1&amp;"C"&amp;$A110)="N/A",0,RTD("tos.rtd",,$A$2,"."&amp;C$83&amp;C$1&amp;"C"&amp;$A110))-IF(RTD("tos.rtd",,$A$2,"."&amp;C$83&amp;C$1&amp;"P"&amp;$A110)="N/A",0,RTD("tos.rtd",,$A$2,"."&amp;C$83&amp;C$1&amp;"P"&amp;$A110))</f>
        <v>0</v>
      </c>
      <c r="D110" s="91">
        <f ca="1">IF(RTD("tos.rtd",,$A$2,"."&amp;D$83&amp;D$1&amp;"C"&amp;$A110)="N/A",0,RTD("tos.rtd",,$A$2,"."&amp;D$83&amp;D$1&amp;"C"&amp;$A110))-IF(RTD("tos.rtd",,$A$2,"."&amp;D$83&amp;D$1&amp;"P"&amp;$A110)="N/A",0,RTD("tos.rtd",,$A$2,"."&amp;D$83&amp;D$1&amp;"P"&amp;$A110))</f>
        <v>0</v>
      </c>
      <c r="E110" s="91">
        <f ca="1">IF(RTD("tos.rtd",,$A$2,"."&amp;E$83&amp;E$1&amp;"C"&amp;$A110)="N/A",0,RTD("tos.rtd",,$A$2,"."&amp;E$83&amp;E$1&amp;"C"&amp;$A110))-IF(RTD("tos.rtd",,$A$2,"."&amp;E$83&amp;E$1&amp;"P"&amp;$A110)="N/A",0,RTD("tos.rtd",,$A$2,"."&amp;E$83&amp;E$1&amp;"P"&amp;$A110))</f>
        <v>0</v>
      </c>
      <c r="F110" s="91">
        <f ca="1">IF(RTD("tos.rtd",,$A$2,"."&amp;F$83&amp;F$1&amp;"C"&amp;$A110)="N/A",0,RTD("tos.rtd",,$A$2,"."&amp;F$83&amp;F$1&amp;"C"&amp;$A110))-IF(RTD("tos.rtd",,$A$2,"."&amp;F$83&amp;F$1&amp;"P"&amp;$A110)="N/A",0,RTD("tos.rtd",,$A$2,"."&amp;F$83&amp;F$1&amp;"P"&amp;$A110))</f>
        <v>0</v>
      </c>
      <c r="G110" s="91">
        <f ca="1">IF(RTD("tos.rtd",,$A$2,"."&amp;G$83&amp;G$1&amp;"C"&amp;$A110)="N/A",0,RTD("tos.rtd",,$A$2,"."&amp;G$83&amp;G$1&amp;"C"&amp;$A110))-IF(RTD("tos.rtd",,$A$2,"."&amp;G$83&amp;G$1&amp;"P"&amp;$A110)="N/A",0,RTD("tos.rtd",,$A$2,"."&amp;G$83&amp;G$1&amp;"P"&amp;$A110))</f>
        <v>0</v>
      </c>
      <c r="H110" s="91">
        <f ca="1">IF(RTD("tos.rtd",,$A$2,"."&amp;H$83&amp;H$1&amp;"C"&amp;$A110)="N/A",0,RTD("tos.rtd",,$A$2,"."&amp;H$83&amp;H$1&amp;"C"&amp;$A110))-IF(RTD("tos.rtd",,$A$2,"."&amp;H$83&amp;H$1&amp;"P"&amp;$A110)="N/A",0,RTD("tos.rtd",,$A$2,"."&amp;H$83&amp;H$1&amp;"P"&amp;$A110))</f>
        <v>0</v>
      </c>
      <c r="I110" s="91">
        <f ca="1">IF(RTD("tos.rtd",,$A$2,"."&amp;I$83&amp;I$1&amp;"C"&amp;$A110)="N/A",0,RTD("tos.rtd",,$A$2,"."&amp;I$83&amp;I$1&amp;"C"&amp;$A110))-IF(RTD("tos.rtd",,$A$2,"."&amp;I$83&amp;I$1&amp;"P"&amp;$A110)="N/A",0,RTD("tos.rtd",,$A$2,"."&amp;I$83&amp;I$1&amp;"P"&amp;$A110))</f>
        <v>-26</v>
      </c>
      <c r="J110" s="91">
        <f ca="1">IF(RTD("tos.rtd",,$A$2,"."&amp;J$83&amp;J$1&amp;"C"&amp;$A110)="N/A",0,RTD("tos.rtd",,$A$2,"."&amp;J$83&amp;J$1&amp;"C"&amp;$A110))-IF(RTD("tos.rtd",,$A$2,"."&amp;J$83&amp;J$1&amp;"P"&amp;$A110)="N/A",0,RTD("tos.rtd",,$A$2,"."&amp;J$83&amp;J$1&amp;"P"&amp;$A110))</f>
        <v>-13</v>
      </c>
      <c r="K110" s="91">
        <f ca="1">IF(RTD("tos.rtd",,$A$2,"."&amp;K$83&amp;K$1&amp;"C"&amp;$A110)="N/A",0,RTD("tos.rtd",,$A$2,"."&amp;K$83&amp;K$1&amp;"C"&amp;$A110))-IF(RTD("tos.rtd",,$A$2,"."&amp;K$83&amp;K$1&amp;"P"&amp;$A110)="N/A",0,RTD("tos.rtd",,$A$2,"."&amp;K$83&amp;K$1&amp;"P"&amp;$A110))</f>
        <v>0</v>
      </c>
      <c r="L110" s="91">
        <f ca="1">IF(RTD("tos.rtd",,$A$2,"."&amp;L$83&amp;L$1&amp;"C"&amp;$A110)="N/A",0,RTD("tos.rtd",,$A$2,"."&amp;L$83&amp;L$1&amp;"C"&amp;$A110))-IF(RTD("tos.rtd",,$A$2,"."&amp;L$83&amp;L$1&amp;"P"&amp;$A110)="N/A",0,RTD("tos.rtd",,$A$2,"."&amp;L$83&amp;L$1&amp;"P"&amp;$A110))</f>
        <v>1</v>
      </c>
      <c r="M110" s="91">
        <f ca="1">IF(RTD("tos.rtd",,$A$2,"."&amp;M$83&amp;M$1&amp;"C"&amp;$A110)="N/A",0,RTD("tos.rtd",,$A$2,"."&amp;M$83&amp;M$1&amp;"C"&amp;$A110))-IF(RTD("tos.rtd",,$A$2,"."&amp;M$83&amp;M$1&amp;"P"&amp;$A110)="N/A",0,RTD("tos.rtd",,$A$2,"."&amp;M$83&amp;M$1&amp;"P"&amp;$A110))</f>
        <v>-37</v>
      </c>
      <c r="N110" s="91">
        <f ca="1">IF(RTD("tos.rtd",,$A$2,"."&amp;N$83&amp;N$1&amp;"C"&amp;$A110)="N/A",0,RTD("tos.rtd",,$A$2,"."&amp;N$83&amp;N$1&amp;"C"&amp;$A110))-IF(RTD("tos.rtd",,$A$2,"."&amp;N$83&amp;N$1&amp;"P"&amp;$A110)="N/A",0,RTD("tos.rtd",,$A$2,"."&amp;N$83&amp;N$1&amp;"P"&amp;$A110))</f>
        <v>2</v>
      </c>
      <c r="O110" s="91">
        <f ca="1">IF(RTD("tos.rtd",,$A$2,"."&amp;O$83&amp;O$1&amp;"C"&amp;$A110)="N/A",0,RTD("tos.rtd",,$A$2,"."&amp;O$83&amp;O$1&amp;"C"&amp;$A110))-IF(RTD("tos.rtd",,$A$2,"."&amp;O$83&amp;O$1&amp;"P"&amp;$A110)="N/A",0,RTD("tos.rtd",,$A$2,"."&amp;O$83&amp;O$1&amp;"P"&amp;$A110))</f>
        <v>88</v>
      </c>
      <c r="P110" s="91">
        <f ca="1">IF(RTD("tos.rtd",,$A$2,"."&amp;P$83&amp;P$1&amp;"C"&amp;$A110)="N/A",0,RTD("tos.rtd",,$A$2,"."&amp;P$83&amp;P$1&amp;"C"&amp;$A110))-IF(RTD("tos.rtd",,$A$2,"."&amp;P$83&amp;P$1&amp;"P"&amp;$A110)="N/A",0,RTD("tos.rtd",,$A$2,"."&amp;P$83&amp;P$1&amp;"P"&amp;$A110))</f>
        <v>0</v>
      </c>
      <c r="Q110" s="91">
        <f ca="1">IF(RTD("tos.rtd",,$A$2,"."&amp;Q$83&amp;Q$1&amp;"C"&amp;$A110)="N/A",0,RTD("tos.rtd",,$A$2,"."&amp;Q$83&amp;Q$1&amp;"C"&amp;$A110))-IF(RTD("tos.rtd",,$A$2,"."&amp;Q$83&amp;Q$1&amp;"P"&amp;$A110)="N/A",0,RTD("tos.rtd",,$A$2,"."&amp;Q$83&amp;Q$1&amp;"P"&amp;$A110))</f>
        <v>12</v>
      </c>
      <c r="R110" s="91">
        <f ca="1">IF(RTD("tos.rtd",,$A$2,"."&amp;R$83&amp;R$1&amp;"C"&amp;$A110)="N/A",0,RTD("tos.rtd",,$A$2,"."&amp;R$83&amp;R$1&amp;"C"&amp;$A110))-IF(RTD("tos.rtd",,$A$2,"."&amp;R$83&amp;R$1&amp;"P"&amp;$A110)="N/A",0,RTD("tos.rtd",,$A$2,"."&amp;R$83&amp;R$1&amp;"P"&amp;$A110))</f>
        <v>0</v>
      </c>
      <c r="S110" s="91">
        <f ca="1">IF(RTD("tos.rtd",,$A$2,"."&amp;S$83&amp;S$1&amp;"C"&amp;$A110)="N/A",0,RTD("tos.rtd",,$A$2,"."&amp;S$83&amp;S$1&amp;"C"&amp;$A110))-IF(RTD("tos.rtd",,$A$2,"."&amp;S$83&amp;S$1&amp;"P"&amp;$A110)="N/A",0,RTD("tos.rtd",,$A$2,"."&amp;S$83&amp;S$1&amp;"P"&amp;$A110))</f>
        <v>0</v>
      </c>
      <c r="T110" s="91">
        <f ca="1">IF(RTD("tos.rtd",,$A$2,"."&amp;T$83&amp;T$1&amp;"C"&amp;$A110)="N/A",0,RTD("tos.rtd",,$A$2,"."&amp;T$83&amp;T$1&amp;"C"&amp;$A110))-IF(RTD("tos.rtd",,$A$2,"."&amp;T$83&amp;T$1&amp;"P"&amp;$A110)="N/A",0,RTD("tos.rtd",,$A$2,"."&amp;T$83&amp;T$1&amp;"P"&amp;$A110))</f>
        <v>-4</v>
      </c>
      <c r="U110" s="91">
        <f ca="1">IF(RTD("tos.rtd",,$A$2,"."&amp;U$83&amp;U$1&amp;"C"&amp;$A110)="N/A",0,RTD("tos.rtd",,$A$2,"."&amp;U$83&amp;U$1&amp;"C"&amp;$A110))-IF(RTD("tos.rtd",,$A$2,"."&amp;U$83&amp;U$1&amp;"P"&amp;$A110)="N/A",0,RTD("tos.rtd",,$A$2,"."&amp;U$83&amp;U$1&amp;"P"&amp;$A110))</f>
        <v>0</v>
      </c>
      <c r="V110" s="91">
        <f ca="1">IF(RTD("tos.rtd",,$A$2,"."&amp;V$83&amp;V$1&amp;"C"&amp;$A110)="N/A",0,RTD("tos.rtd",,$A$2,"."&amp;V$83&amp;V$1&amp;"C"&amp;$A110))-IF(RTD("tos.rtd",,$A$2,"."&amp;V$83&amp;V$1&amp;"P"&amp;$A110)="N/A",0,RTD("tos.rtd",,$A$2,"."&amp;V$83&amp;V$1&amp;"P"&amp;$A110))</f>
        <v>0</v>
      </c>
      <c r="W110" s="91">
        <f ca="1">IF(RTD("tos.rtd",,$A$2,"."&amp;W$83&amp;W$1&amp;"C"&amp;$A110)="N/A",0,RTD("tos.rtd",,$A$2,"."&amp;W$83&amp;W$1&amp;"C"&amp;$A110))-IF(RTD("tos.rtd",,$A$2,"."&amp;W$83&amp;W$1&amp;"P"&amp;$A110)="N/A",0,RTD("tos.rtd",,$A$2,"."&amp;W$83&amp;W$1&amp;"P"&amp;$A110))</f>
        <v>0</v>
      </c>
      <c r="X110" s="91">
        <f ca="1">IF(RTD("tos.rtd",,$A$2,"."&amp;X$83&amp;X$1&amp;"C"&amp;$A110)="N/A",0,RTD("tos.rtd",,$A$2,"."&amp;X$83&amp;X$1&amp;"C"&amp;$A110))-IF(RTD("tos.rtd",,$A$2,"."&amp;X$83&amp;X$1&amp;"P"&amp;$A110)="N/A",0,RTD("tos.rtd",,$A$2,"."&amp;X$83&amp;X$1&amp;"P"&amp;$A110))</f>
        <v>0</v>
      </c>
      <c r="Y110" s="98">
        <f t="shared" ca="1" si="10"/>
        <v>23</v>
      </c>
    </row>
    <row r="111" spans="1:25" x14ac:dyDescent="0.25">
      <c r="A111" s="93">
        <f>+Hoja1!A110</f>
        <v>5770</v>
      </c>
      <c r="B111" s="91">
        <f ca="1">IF(RTD("tos.rtd",,$A$2,"."&amp;B$83&amp;B$1&amp;"C"&amp;$A111)="N/A",0,RTD("tos.rtd",,$A$2,"."&amp;B$83&amp;B$1&amp;"C"&amp;$A111))-IF(RTD("tos.rtd",,$A$2,"."&amp;B$83&amp;B$1&amp;"P"&amp;$A111)="N/A",0,RTD("tos.rtd",,$A$2,"."&amp;B$83&amp;B$1&amp;"P"&amp;$A111))</f>
        <v>0</v>
      </c>
      <c r="C111" s="91">
        <f ca="1">IF(RTD("tos.rtd",,$A$2,"."&amp;C$83&amp;C$1&amp;"C"&amp;$A111)="N/A",0,RTD("tos.rtd",,$A$2,"."&amp;C$83&amp;C$1&amp;"C"&amp;$A111))-IF(RTD("tos.rtd",,$A$2,"."&amp;C$83&amp;C$1&amp;"P"&amp;$A111)="N/A",0,RTD("tos.rtd",,$A$2,"."&amp;C$83&amp;C$1&amp;"P"&amp;$A111))</f>
        <v>0</v>
      </c>
      <c r="D111" s="91">
        <f ca="1">IF(RTD("tos.rtd",,$A$2,"."&amp;D$83&amp;D$1&amp;"C"&amp;$A111)="N/A",0,RTD("tos.rtd",,$A$2,"."&amp;D$83&amp;D$1&amp;"C"&amp;$A111))-IF(RTD("tos.rtd",,$A$2,"."&amp;D$83&amp;D$1&amp;"P"&amp;$A111)="N/A",0,RTD("tos.rtd",,$A$2,"."&amp;D$83&amp;D$1&amp;"P"&amp;$A111))</f>
        <v>0</v>
      </c>
      <c r="E111" s="91">
        <f ca="1">IF(RTD("tos.rtd",,$A$2,"."&amp;E$83&amp;E$1&amp;"C"&amp;$A111)="N/A",0,RTD("tos.rtd",,$A$2,"."&amp;E$83&amp;E$1&amp;"C"&amp;$A111))-IF(RTD("tos.rtd",,$A$2,"."&amp;E$83&amp;E$1&amp;"P"&amp;$A111)="N/A",0,RTD("tos.rtd",,$A$2,"."&amp;E$83&amp;E$1&amp;"P"&amp;$A111))</f>
        <v>0</v>
      </c>
      <c r="F111" s="91">
        <f ca="1">IF(RTD("tos.rtd",,$A$2,"."&amp;F$83&amp;F$1&amp;"C"&amp;$A111)="N/A",0,RTD("tos.rtd",,$A$2,"."&amp;F$83&amp;F$1&amp;"C"&amp;$A111))-IF(RTD("tos.rtd",,$A$2,"."&amp;F$83&amp;F$1&amp;"P"&amp;$A111)="N/A",0,RTD("tos.rtd",,$A$2,"."&amp;F$83&amp;F$1&amp;"P"&amp;$A111))</f>
        <v>0</v>
      </c>
      <c r="G111" s="91">
        <f ca="1">IF(RTD("tos.rtd",,$A$2,"."&amp;G$83&amp;G$1&amp;"C"&amp;$A111)="N/A",0,RTD("tos.rtd",,$A$2,"."&amp;G$83&amp;G$1&amp;"C"&amp;$A111))-IF(RTD("tos.rtd",,$A$2,"."&amp;G$83&amp;G$1&amp;"P"&amp;$A111)="N/A",0,RTD("tos.rtd",,$A$2,"."&amp;G$83&amp;G$1&amp;"P"&amp;$A111))</f>
        <v>0</v>
      </c>
      <c r="H111" s="91">
        <f ca="1">IF(RTD("tos.rtd",,$A$2,"."&amp;H$83&amp;H$1&amp;"C"&amp;$A111)="N/A",0,RTD("tos.rtd",,$A$2,"."&amp;H$83&amp;H$1&amp;"C"&amp;$A111))-IF(RTD("tos.rtd",,$A$2,"."&amp;H$83&amp;H$1&amp;"P"&amp;$A111)="N/A",0,RTD("tos.rtd",,$A$2,"."&amp;H$83&amp;H$1&amp;"P"&amp;$A111))</f>
        <v>0</v>
      </c>
      <c r="I111" s="91">
        <f ca="1">IF(RTD("tos.rtd",,$A$2,"."&amp;I$83&amp;I$1&amp;"C"&amp;$A111)="N/A",0,RTD("tos.rtd",,$A$2,"."&amp;I$83&amp;I$1&amp;"C"&amp;$A111))-IF(RTD("tos.rtd",,$A$2,"."&amp;I$83&amp;I$1&amp;"P"&amp;$A111)="N/A",0,RTD("tos.rtd",,$A$2,"."&amp;I$83&amp;I$1&amp;"P"&amp;$A111))</f>
        <v>229</v>
      </c>
      <c r="J111" s="91">
        <f ca="1">IF(RTD("tos.rtd",,$A$2,"."&amp;J$83&amp;J$1&amp;"C"&amp;$A111)="N/A",0,RTD("tos.rtd",,$A$2,"."&amp;J$83&amp;J$1&amp;"C"&amp;$A111))-IF(RTD("tos.rtd",,$A$2,"."&amp;J$83&amp;J$1&amp;"P"&amp;$A111)="N/A",0,RTD("tos.rtd",,$A$2,"."&amp;J$83&amp;J$1&amp;"P"&amp;$A111))</f>
        <v>15</v>
      </c>
      <c r="K111" s="91">
        <f ca="1">IF(RTD("tos.rtd",,$A$2,"."&amp;K$83&amp;K$1&amp;"C"&amp;$A111)="N/A",0,RTD("tos.rtd",,$A$2,"."&amp;K$83&amp;K$1&amp;"C"&amp;$A111))-IF(RTD("tos.rtd",,$A$2,"."&amp;K$83&amp;K$1&amp;"P"&amp;$A111)="N/A",0,RTD("tos.rtd",,$A$2,"."&amp;K$83&amp;K$1&amp;"P"&amp;$A111))</f>
        <v>0</v>
      </c>
      <c r="L111" s="91">
        <f ca="1">IF(RTD("tos.rtd",,$A$2,"."&amp;L$83&amp;L$1&amp;"C"&amp;$A111)="N/A",0,RTD("tos.rtd",,$A$2,"."&amp;L$83&amp;L$1&amp;"C"&amp;$A111))-IF(RTD("tos.rtd",,$A$2,"."&amp;L$83&amp;L$1&amp;"P"&amp;$A111)="N/A",0,RTD("tos.rtd",,$A$2,"."&amp;L$83&amp;L$1&amp;"P"&amp;$A111))</f>
        <v>0</v>
      </c>
      <c r="M111" s="91">
        <f ca="1">IF(RTD("tos.rtd",,$A$2,"."&amp;M$83&amp;M$1&amp;"C"&amp;$A111)="N/A",0,RTD("tos.rtd",,$A$2,"."&amp;M$83&amp;M$1&amp;"C"&amp;$A111))-IF(RTD("tos.rtd",,$A$2,"."&amp;M$83&amp;M$1&amp;"P"&amp;$A111)="N/A",0,RTD("tos.rtd",,$A$2,"."&amp;M$83&amp;M$1&amp;"P"&amp;$A111))</f>
        <v>29</v>
      </c>
      <c r="N111" s="91">
        <f ca="1">IF(RTD("tos.rtd",,$A$2,"."&amp;N$83&amp;N$1&amp;"C"&amp;$A111)="N/A",0,RTD("tos.rtd",,$A$2,"."&amp;N$83&amp;N$1&amp;"C"&amp;$A111))-IF(RTD("tos.rtd",,$A$2,"."&amp;N$83&amp;N$1&amp;"P"&amp;$A111)="N/A",0,RTD("tos.rtd",,$A$2,"."&amp;N$83&amp;N$1&amp;"P"&amp;$A111))</f>
        <v>-2</v>
      </c>
      <c r="O111" s="91">
        <f ca="1">IF(RTD("tos.rtd",,$A$2,"."&amp;O$83&amp;O$1&amp;"C"&amp;$A111)="N/A",0,RTD("tos.rtd",,$A$2,"."&amp;O$83&amp;O$1&amp;"C"&amp;$A111))-IF(RTD("tos.rtd",,$A$2,"."&amp;O$83&amp;O$1&amp;"P"&amp;$A111)="N/A",0,RTD("tos.rtd",,$A$2,"."&amp;O$83&amp;O$1&amp;"P"&amp;$A111))</f>
        <v>-2</v>
      </c>
      <c r="P111" s="91">
        <f ca="1">IF(RTD("tos.rtd",,$A$2,"."&amp;P$83&amp;P$1&amp;"C"&amp;$A111)="N/A",0,RTD("tos.rtd",,$A$2,"."&amp;P$83&amp;P$1&amp;"C"&amp;$A111))-IF(RTD("tos.rtd",,$A$2,"."&amp;P$83&amp;P$1&amp;"P"&amp;$A111)="N/A",0,RTD("tos.rtd",,$A$2,"."&amp;P$83&amp;P$1&amp;"P"&amp;$A111))</f>
        <v>-90</v>
      </c>
      <c r="Q111" s="91">
        <f ca="1">IF(RTD("tos.rtd",,$A$2,"."&amp;Q$83&amp;Q$1&amp;"C"&amp;$A111)="N/A",0,RTD("tos.rtd",,$A$2,"."&amp;Q$83&amp;Q$1&amp;"C"&amp;$A111))-IF(RTD("tos.rtd",,$A$2,"."&amp;Q$83&amp;Q$1&amp;"P"&amp;$A111)="N/A",0,RTD("tos.rtd",,$A$2,"."&amp;Q$83&amp;Q$1&amp;"P"&amp;$A111))</f>
        <v>0</v>
      </c>
      <c r="R111" s="91">
        <f ca="1">IF(RTD("tos.rtd",,$A$2,"."&amp;R$83&amp;R$1&amp;"C"&amp;$A111)="N/A",0,RTD("tos.rtd",,$A$2,"."&amp;R$83&amp;R$1&amp;"C"&amp;$A111))-IF(RTD("tos.rtd",,$A$2,"."&amp;R$83&amp;R$1&amp;"P"&amp;$A111)="N/A",0,RTD("tos.rtd",,$A$2,"."&amp;R$83&amp;R$1&amp;"P"&amp;$A111))</f>
        <v>-2</v>
      </c>
      <c r="S111" s="91">
        <f ca="1">IF(RTD("tos.rtd",,$A$2,"."&amp;S$83&amp;S$1&amp;"C"&amp;$A111)="N/A",0,RTD("tos.rtd",,$A$2,"."&amp;S$83&amp;S$1&amp;"C"&amp;$A111))-IF(RTD("tos.rtd",,$A$2,"."&amp;S$83&amp;S$1&amp;"P"&amp;$A111)="N/A",0,RTD("tos.rtd",,$A$2,"."&amp;S$83&amp;S$1&amp;"P"&amp;$A111))</f>
        <v>0</v>
      </c>
      <c r="T111" s="91">
        <f ca="1">IF(RTD("tos.rtd",,$A$2,"."&amp;T$83&amp;T$1&amp;"C"&amp;$A111)="N/A",0,RTD("tos.rtd",,$A$2,"."&amp;T$83&amp;T$1&amp;"C"&amp;$A111))-IF(RTD("tos.rtd",,$A$2,"."&amp;T$83&amp;T$1&amp;"P"&amp;$A111)="N/A",0,RTD("tos.rtd",,$A$2,"."&amp;T$83&amp;T$1&amp;"P"&amp;$A111))</f>
        <v>0</v>
      </c>
      <c r="U111" s="91">
        <f ca="1">IF(RTD("tos.rtd",,$A$2,"."&amp;U$83&amp;U$1&amp;"C"&amp;$A111)="N/A",0,RTD("tos.rtd",,$A$2,"."&amp;U$83&amp;U$1&amp;"C"&amp;$A111))-IF(RTD("tos.rtd",,$A$2,"."&amp;U$83&amp;U$1&amp;"P"&amp;$A111)="N/A",0,RTD("tos.rtd",,$A$2,"."&amp;U$83&amp;U$1&amp;"P"&amp;$A111))</f>
        <v>0</v>
      </c>
      <c r="V111" s="91">
        <f ca="1">IF(RTD("tos.rtd",,$A$2,"."&amp;V$83&amp;V$1&amp;"C"&amp;$A111)="N/A",0,RTD("tos.rtd",,$A$2,"."&amp;V$83&amp;V$1&amp;"C"&amp;$A111))-IF(RTD("tos.rtd",,$A$2,"."&amp;V$83&amp;V$1&amp;"P"&amp;$A111)="N/A",0,RTD("tos.rtd",,$A$2,"."&amp;V$83&amp;V$1&amp;"P"&amp;$A111))</f>
        <v>0</v>
      </c>
      <c r="W111" s="91">
        <f ca="1">IF(RTD("tos.rtd",,$A$2,"."&amp;W$83&amp;W$1&amp;"C"&amp;$A111)="N/A",0,RTD("tos.rtd",,$A$2,"."&amp;W$83&amp;W$1&amp;"C"&amp;$A111))-IF(RTD("tos.rtd",,$A$2,"."&amp;W$83&amp;W$1&amp;"P"&amp;$A111)="N/A",0,RTD("tos.rtd",,$A$2,"."&amp;W$83&amp;W$1&amp;"P"&amp;$A111))</f>
        <v>0</v>
      </c>
      <c r="X111" s="91">
        <f ca="1">IF(RTD("tos.rtd",,$A$2,"."&amp;X$83&amp;X$1&amp;"C"&amp;$A111)="N/A",0,RTD("tos.rtd",,$A$2,"."&amp;X$83&amp;X$1&amp;"C"&amp;$A111))-IF(RTD("tos.rtd",,$A$2,"."&amp;X$83&amp;X$1&amp;"P"&amp;$A111)="N/A",0,RTD("tos.rtd",,$A$2,"."&amp;X$83&amp;X$1&amp;"P"&amp;$A111))</f>
        <v>0</v>
      </c>
      <c r="Y111" s="98">
        <f t="shared" ca="1" si="10"/>
        <v>177</v>
      </c>
    </row>
    <row r="112" spans="1:25" x14ac:dyDescent="0.25">
      <c r="A112" s="93">
        <f>+Hoja1!A111</f>
        <v>5760</v>
      </c>
      <c r="B112" s="91">
        <f ca="1">IF(RTD("tos.rtd",,$A$2,"."&amp;B$83&amp;B$1&amp;"C"&amp;$A112)="N/A",0,RTD("tos.rtd",,$A$2,"."&amp;B$83&amp;B$1&amp;"C"&amp;$A112))-IF(RTD("tos.rtd",,$A$2,"."&amp;B$83&amp;B$1&amp;"P"&amp;$A112)="N/A",0,RTD("tos.rtd",,$A$2,"."&amp;B$83&amp;B$1&amp;"P"&amp;$A112))</f>
        <v>0</v>
      </c>
      <c r="C112" s="91">
        <f ca="1">IF(RTD("tos.rtd",,$A$2,"."&amp;C$83&amp;C$1&amp;"C"&amp;$A112)="N/A",0,RTD("tos.rtd",,$A$2,"."&amp;C$83&amp;C$1&amp;"C"&amp;$A112))-IF(RTD("tos.rtd",,$A$2,"."&amp;C$83&amp;C$1&amp;"P"&amp;$A112)="N/A",0,RTD("tos.rtd",,$A$2,"."&amp;C$83&amp;C$1&amp;"P"&amp;$A112))</f>
        <v>0</v>
      </c>
      <c r="D112" s="91">
        <f ca="1">IF(RTD("tos.rtd",,$A$2,"."&amp;D$83&amp;D$1&amp;"C"&amp;$A112)="N/A",0,RTD("tos.rtd",,$A$2,"."&amp;D$83&amp;D$1&amp;"C"&amp;$A112))-IF(RTD("tos.rtd",,$A$2,"."&amp;D$83&amp;D$1&amp;"P"&amp;$A112)="N/A",0,RTD("tos.rtd",,$A$2,"."&amp;D$83&amp;D$1&amp;"P"&amp;$A112))</f>
        <v>0</v>
      </c>
      <c r="E112" s="91">
        <f ca="1">IF(RTD("tos.rtd",,$A$2,"."&amp;E$83&amp;E$1&amp;"C"&amp;$A112)="N/A",0,RTD("tos.rtd",,$A$2,"."&amp;E$83&amp;E$1&amp;"C"&amp;$A112))-IF(RTD("tos.rtd",,$A$2,"."&amp;E$83&amp;E$1&amp;"P"&amp;$A112)="N/A",0,RTD("tos.rtd",,$A$2,"."&amp;E$83&amp;E$1&amp;"P"&amp;$A112))</f>
        <v>0</v>
      </c>
      <c r="F112" s="91">
        <f ca="1">IF(RTD("tos.rtd",,$A$2,"."&amp;F$83&amp;F$1&amp;"C"&amp;$A112)="N/A",0,RTD("tos.rtd",,$A$2,"."&amp;F$83&amp;F$1&amp;"C"&amp;$A112))-IF(RTD("tos.rtd",,$A$2,"."&amp;F$83&amp;F$1&amp;"P"&amp;$A112)="N/A",0,RTD("tos.rtd",,$A$2,"."&amp;F$83&amp;F$1&amp;"P"&amp;$A112))</f>
        <v>0</v>
      </c>
      <c r="G112" s="91">
        <f ca="1">IF(RTD("tos.rtd",,$A$2,"."&amp;G$83&amp;G$1&amp;"C"&amp;$A112)="N/A",0,RTD("tos.rtd",,$A$2,"."&amp;G$83&amp;G$1&amp;"C"&amp;$A112))-IF(RTD("tos.rtd",,$A$2,"."&amp;G$83&amp;G$1&amp;"P"&amp;$A112)="N/A",0,RTD("tos.rtd",,$A$2,"."&amp;G$83&amp;G$1&amp;"P"&amp;$A112))</f>
        <v>0</v>
      </c>
      <c r="H112" s="91">
        <f ca="1">IF(RTD("tos.rtd",,$A$2,"."&amp;H$83&amp;H$1&amp;"C"&amp;$A112)="N/A",0,RTD("tos.rtd",,$A$2,"."&amp;H$83&amp;H$1&amp;"C"&amp;$A112))-IF(RTD("tos.rtd",,$A$2,"."&amp;H$83&amp;H$1&amp;"P"&amp;$A112)="N/A",0,RTD("tos.rtd",,$A$2,"."&amp;H$83&amp;H$1&amp;"P"&amp;$A112))</f>
        <v>0</v>
      </c>
      <c r="I112" s="91">
        <f ca="1">IF(RTD("tos.rtd",,$A$2,"."&amp;I$83&amp;I$1&amp;"C"&amp;$A112)="N/A",0,RTD("tos.rtd",,$A$2,"."&amp;I$83&amp;I$1&amp;"C"&amp;$A112))-IF(RTD("tos.rtd",,$A$2,"."&amp;I$83&amp;I$1&amp;"P"&amp;$A112)="N/A",0,RTD("tos.rtd",,$A$2,"."&amp;I$83&amp;I$1&amp;"P"&amp;$A112))</f>
        <v>2</v>
      </c>
      <c r="J112" s="91">
        <f ca="1">IF(RTD("tos.rtd",,$A$2,"."&amp;J$83&amp;J$1&amp;"C"&amp;$A112)="N/A",0,RTD("tos.rtd",,$A$2,"."&amp;J$83&amp;J$1&amp;"C"&amp;$A112))-IF(RTD("tos.rtd",,$A$2,"."&amp;J$83&amp;J$1&amp;"P"&amp;$A112)="N/A",0,RTD("tos.rtd",,$A$2,"."&amp;J$83&amp;J$1&amp;"P"&amp;$A112))</f>
        <v>72</v>
      </c>
      <c r="K112" s="91">
        <f ca="1">IF(RTD("tos.rtd",,$A$2,"."&amp;K$83&amp;K$1&amp;"C"&amp;$A112)="N/A",0,RTD("tos.rtd",,$A$2,"."&amp;K$83&amp;K$1&amp;"C"&amp;$A112))-IF(RTD("tos.rtd",,$A$2,"."&amp;K$83&amp;K$1&amp;"P"&amp;$A112)="N/A",0,RTD("tos.rtd",,$A$2,"."&amp;K$83&amp;K$1&amp;"P"&amp;$A112))</f>
        <v>0</v>
      </c>
      <c r="L112" s="91">
        <f ca="1">IF(RTD("tos.rtd",,$A$2,"."&amp;L$83&amp;L$1&amp;"C"&amp;$A112)="N/A",0,RTD("tos.rtd",,$A$2,"."&amp;L$83&amp;L$1&amp;"C"&amp;$A112))-IF(RTD("tos.rtd",,$A$2,"."&amp;L$83&amp;L$1&amp;"P"&amp;$A112)="N/A",0,RTD("tos.rtd",,$A$2,"."&amp;L$83&amp;L$1&amp;"P"&amp;$A112))</f>
        <v>2</v>
      </c>
      <c r="M112" s="91">
        <f ca="1">IF(RTD("tos.rtd",,$A$2,"."&amp;M$83&amp;M$1&amp;"C"&amp;$A112)="N/A",0,RTD("tos.rtd",,$A$2,"."&amp;M$83&amp;M$1&amp;"C"&amp;$A112))-IF(RTD("tos.rtd",,$A$2,"."&amp;M$83&amp;M$1&amp;"P"&amp;$A112)="N/A",0,RTD("tos.rtd",,$A$2,"."&amp;M$83&amp;M$1&amp;"P"&amp;$A112))</f>
        <v>250</v>
      </c>
      <c r="N112" s="91">
        <f ca="1">IF(RTD("tos.rtd",,$A$2,"."&amp;N$83&amp;N$1&amp;"C"&amp;$A112)="N/A",0,RTD("tos.rtd",,$A$2,"."&amp;N$83&amp;N$1&amp;"C"&amp;$A112))-IF(RTD("tos.rtd",,$A$2,"."&amp;N$83&amp;N$1&amp;"P"&amp;$A112)="N/A",0,RTD("tos.rtd",,$A$2,"."&amp;N$83&amp;N$1&amp;"P"&amp;$A112))</f>
        <v>1</v>
      </c>
      <c r="O112" s="91">
        <f ca="1">IF(RTD("tos.rtd",,$A$2,"."&amp;O$83&amp;O$1&amp;"C"&amp;$A112)="N/A",0,RTD("tos.rtd",,$A$2,"."&amp;O$83&amp;O$1&amp;"C"&amp;$A112))-IF(RTD("tos.rtd",,$A$2,"."&amp;O$83&amp;O$1&amp;"P"&amp;$A112)="N/A",0,RTD("tos.rtd",,$A$2,"."&amp;O$83&amp;O$1&amp;"P"&amp;$A112))</f>
        <v>0</v>
      </c>
      <c r="P112" s="91">
        <f ca="1">IF(RTD("tos.rtd",,$A$2,"."&amp;P$83&amp;P$1&amp;"C"&amp;$A112)="N/A",0,RTD("tos.rtd",,$A$2,"."&amp;P$83&amp;P$1&amp;"C"&amp;$A112))-IF(RTD("tos.rtd",,$A$2,"."&amp;P$83&amp;P$1&amp;"P"&amp;$A112)="N/A",0,RTD("tos.rtd",,$A$2,"."&amp;P$83&amp;P$1&amp;"P"&amp;$A112))</f>
        <v>0</v>
      </c>
      <c r="Q112" s="91">
        <f ca="1">IF(RTD("tos.rtd",,$A$2,"."&amp;Q$83&amp;Q$1&amp;"C"&amp;$A112)="N/A",0,RTD("tos.rtd",,$A$2,"."&amp;Q$83&amp;Q$1&amp;"C"&amp;$A112))-IF(RTD("tos.rtd",,$A$2,"."&amp;Q$83&amp;Q$1&amp;"P"&amp;$A112)="N/A",0,RTD("tos.rtd",,$A$2,"."&amp;Q$83&amp;Q$1&amp;"P"&amp;$A112))</f>
        <v>-86</v>
      </c>
      <c r="R112" s="91">
        <f ca="1">IF(RTD("tos.rtd",,$A$2,"."&amp;R$83&amp;R$1&amp;"C"&amp;$A112)="N/A",0,RTD("tos.rtd",,$A$2,"."&amp;R$83&amp;R$1&amp;"C"&amp;$A112))-IF(RTD("tos.rtd",,$A$2,"."&amp;R$83&amp;R$1&amp;"P"&amp;$A112)="N/A",0,RTD("tos.rtd",,$A$2,"."&amp;R$83&amp;R$1&amp;"P"&amp;$A112))</f>
        <v>0</v>
      </c>
      <c r="S112" s="91">
        <f ca="1">IF(RTD("tos.rtd",,$A$2,"."&amp;S$83&amp;S$1&amp;"C"&amp;$A112)="N/A",0,RTD("tos.rtd",,$A$2,"."&amp;S$83&amp;S$1&amp;"C"&amp;$A112))-IF(RTD("tos.rtd",,$A$2,"."&amp;S$83&amp;S$1&amp;"P"&amp;$A112)="N/A",0,RTD("tos.rtd",,$A$2,"."&amp;S$83&amp;S$1&amp;"P"&amp;$A112))</f>
        <v>0</v>
      </c>
      <c r="T112" s="91">
        <f ca="1">IF(RTD("tos.rtd",,$A$2,"."&amp;T$83&amp;T$1&amp;"C"&amp;$A112)="N/A",0,RTD("tos.rtd",,$A$2,"."&amp;T$83&amp;T$1&amp;"C"&amp;$A112))-IF(RTD("tos.rtd",,$A$2,"."&amp;T$83&amp;T$1&amp;"P"&amp;$A112)="N/A",0,RTD("tos.rtd",,$A$2,"."&amp;T$83&amp;T$1&amp;"P"&amp;$A112))</f>
        <v>-12</v>
      </c>
      <c r="U112" s="91">
        <f ca="1">IF(RTD("tos.rtd",,$A$2,"."&amp;U$83&amp;U$1&amp;"C"&amp;$A112)="N/A",0,RTD("tos.rtd",,$A$2,"."&amp;U$83&amp;U$1&amp;"C"&amp;$A112))-IF(RTD("tos.rtd",,$A$2,"."&amp;U$83&amp;U$1&amp;"P"&amp;$A112)="N/A",0,RTD("tos.rtd",,$A$2,"."&amp;U$83&amp;U$1&amp;"P"&amp;$A112))</f>
        <v>0</v>
      </c>
      <c r="V112" s="91">
        <f ca="1">IF(RTD("tos.rtd",,$A$2,"."&amp;V$83&amp;V$1&amp;"C"&amp;$A112)="N/A",0,RTD("tos.rtd",,$A$2,"."&amp;V$83&amp;V$1&amp;"C"&amp;$A112))-IF(RTD("tos.rtd",,$A$2,"."&amp;V$83&amp;V$1&amp;"P"&amp;$A112)="N/A",0,RTD("tos.rtd",,$A$2,"."&amp;V$83&amp;V$1&amp;"P"&amp;$A112))</f>
        <v>0</v>
      </c>
      <c r="W112" s="91">
        <f ca="1">IF(RTD("tos.rtd",,$A$2,"."&amp;W$83&amp;W$1&amp;"C"&amp;$A112)="N/A",0,RTD("tos.rtd",,$A$2,"."&amp;W$83&amp;W$1&amp;"C"&amp;$A112))-IF(RTD("tos.rtd",,$A$2,"."&amp;W$83&amp;W$1&amp;"P"&amp;$A112)="N/A",0,RTD("tos.rtd",,$A$2,"."&amp;W$83&amp;W$1&amp;"P"&amp;$A112))</f>
        <v>0</v>
      </c>
      <c r="X112" s="91">
        <f ca="1">IF(RTD("tos.rtd",,$A$2,"."&amp;X$83&amp;X$1&amp;"C"&amp;$A112)="N/A",0,RTD("tos.rtd",,$A$2,"."&amp;X$83&amp;X$1&amp;"C"&amp;$A112))-IF(RTD("tos.rtd",,$A$2,"."&amp;X$83&amp;X$1&amp;"P"&amp;$A112)="N/A",0,RTD("tos.rtd",,$A$2,"."&amp;X$83&amp;X$1&amp;"P"&amp;$A112))</f>
        <v>0</v>
      </c>
      <c r="Y112" s="98">
        <f t="shared" ca="1" si="10"/>
        <v>229</v>
      </c>
    </row>
    <row r="113" spans="1:25" x14ac:dyDescent="0.25">
      <c r="A113" s="93">
        <f>+Hoja1!A112</f>
        <v>5750</v>
      </c>
      <c r="B113" s="91">
        <f ca="1">IF(RTD("tos.rtd",,$A$2,"."&amp;B$83&amp;B$1&amp;"C"&amp;$A113)="N/A",0,RTD("tos.rtd",,$A$2,"."&amp;B$83&amp;B$1&amp;"C"&amp;$A113))-IF(RTD("tos.rtd",,$A$2,"."&amp;B$83&amp;B$1&amp;"P"&amp;$A113)="N/A",0,RTD("tos.rtd",,$A$2,"."&amp;B$83&amp;B$1&amp;"P"&amp;$A113))</f>
        <v>0</v>
      </c>
      <c r="C113" s="91">
        <f ca="1">IF(RTD("tos.rtd",,$A$2,"."&amp;C$83&amp;C$1&amp;"C"&amp;$A113)="N/A",0,RTD("tos.rtd",,$A$2,"."&amp;C$83&amp;C$1&amp;"C"&amp;$A113))-IF(RTD("tos.rtd",,$A$2,"."&amp;C$83&amp;C$1&amp;"P"&amp;$A113)="N/A",0,RTD("tos.rtd",,$A$2,"."&amp;C$83&amp;C$1&amp;"P"&amp;$A113))</f>
        <v>0</v>
      </c>
      <c r="D113" s="91">
        <f ca="1">IF(RTD("tos.rtd",,$A$2,"."&amp;D$83&amp;D$1&amp;"C"&amp;$A113)="N/A",0,RTD("tos.rtd",,$A$2,"."&amp;D$83&amp;D$1&amp;"C"&amp;$A113))-IF(RTD("tos.rtd",,$A$2,"."&amp;D$83&amp;D$1&amp;"P"&amp;$A113)="N/A",0,RTD("tos.rtd",,$A$2,"."&amp;D$83&amp;D$1&amp;"P"&amp;$A113))</f>
        <v>0</v>
      </c>
      <c r="E113" s="91">
        <f ca="1">IF(RTD("tos.rtd",,$A$2,"."&amp;E$83&amp;E$1&amp;"C"&amp;$A113)="N/A",0,RTD("tos.rtd",,$A$2,"."&amp;E$83&amp;E$1&amp;"C"&amp;$A113))-IF(RTD("tos.rtd",,$A$2,"."&amp;E$83&amp;E$1&amp;"P"&amp;$A113)="N/A",0,RTD("tos.rtd",,$A$2,"."&amp;E$83&amp;E$1&amp;"P"&amp;$A113))</f>
        <v>0</v>
      </c>
      <c r="F113" s="91">
        <f ca="1">IF(RTD("tos.rtd",,$A$2,"."&amp;F$83&amp;F$1&amp;"C"&amp;$A113)="N/A",0,RTD("tos.rtd",,$A$2,"."&amp;F$83&amp;F$1&amp;"C"&amp;$A113))-IF(RTD("tos.rtd",,$A$2,"."&amp;F$83&amp;F$1&amp;"P"&amp;$A113)="N/A",0,RTD("tos.rtd",,$A$2,"."&amp;F$83&amp;F$1&amp;"P"&amp;$A113))</f>
        <v>0</v>
      </c>
      <c r="G113" s="91">
        <f ca="1">IF(RTD("tos.rtd",,$A$2,"."&amp;G$83&amp;G$1&amp;"C"&amp;$A113)="N/A",0,RTD("tos.rtd",,$A$2,"."&amp;G$83&amp;G$1&amp;"C"&amp;$A113))-IF(RTD("tos.rtd",,$A$2,"."&amp;G$83&amp;G$1&amp;"P"&amp;$A113)="N/A",0,RTD("tos.rtd",,$A$2,"."&amp;G$83&amp;G$1&amp;"P"&amp;$A113))</f>
        <v>0</v>
      </c>
      <c r="H113" s="91">
        <f ca="1">IF(RTD("tos.rtd",,$A$2,"."&amp;H$83&amp;H$1&amp;"C"&amp;$A113)="N/A",0,RTD("tos.rtd",,$A$2,"."&amp;H$83&amp;H$1&amp;"C"&amp;$A113))-IF(RTD("tos.rtd",,$A$2,"."&amp;H$83&amp;H$1&amp;"P"&amp;$A113)="N/A",0,RTD("tos.rtd",,$A$2,"."&amp;H$83&amp;H$1&amp;"P"&amp;$A113))</f>
        <v>0</v>
      </c>
      <c r="I113" s="91">
        <f ca="1">IF(RTD("tos.rtd",,$A$2,"."&amp;I$83&amp;I$1&amp;"C"&amp;$A113)="N/A",0,RTD("tos.rtd",,$A$2,"."&amp;I$83&amp;I$1&amp;"C"&amp;$A113))-IF(RTD("tos.rtd",,$A$2,"."&amp;I$83&amp;I$1&amp;"P"&amp;$A113)="N/A",0,RTD("tos.rtd",,$A$2,"."&amp;I$83&amp;I$1&amp;"P"&amp;$A113))</f>
        <v>381</v>
      </c>
      <c r="J113" s="91">
        <f ca="1">IF(RTD("tos.rtd",,$A$2,"."&amp;J$83&amp;J$1&amp;"C"&amp;$A113)="N/A",0,RTD("tos.rtd",,$A$2,"."&amp;J$83&amp;J$1&amp;"C"&amp;$A113))-IF(RTD("tos.rtd",,$A$2,"."&amp;J$83&amp;J$1&amp;"P"&amp;$A113)="N/A",0,RTD("tos.rtd",,$A$2,"."&amp;J$83&amp;J$1&amp;"P"&amp;$A113))</f>
        <v>-88</v>
      </c>
      <c r="K113" s="91">
        <f ca="1">IF(RTD("tos.rtd",,$A$2,"."&amp;K$83&amp;K$1&amp;"C"&amp;$A113)="N/A",0,RTD("tos.rtd",,$A$2,"."&amp;K$83&amp;K$1&amp;"C"&amp;$A113))-IF(RTD("tos.rtd",,$A$2,"."&amp;K$83&amp;K$1&amp;"P"&amp;$A113)="N/A",0,RTD("tos.rtd",,$A$2,"."&amp;K$83&amp;K$1&amp;"P"&amp;$A113))</f>
        <v>0</v>
      </c>
      <c r="L113" s="91">
        <f ca="1">IF(RTD("tos.rtd",,$A$2,"."&amp;L$83&amp;L$1&amp;"C"&amp;$A113)="N/A",0,RTD("tos.rtd",,$A$2,"."&amp;L$83&amp;L$1&amp;"C"&amp;$A113))-IF(RTD("tos.rtd",,$A$2,"."&amp;L$83&amp;L$1&amp;"P"&amp;$A113)="N/A",0,RTD("tos.rtd",,$A$2,"."&amp;L$83&amp;L$1&amp;"P"&amp;$A113))</f>
        <v>63</v>
      </c>
      <c r="M113" s="91">
        <f ca="1">IF(RTD("tos.rtd",,$A$2,"."&amp;M$83&amp;M$1&amp;"C"&amp;$A113)="N/A",0,RTD("tos.rtd",,$A$2,"."&amp;M$83&amp;M$1&amp;"C"&amp;$A113))-IF(RTD("tos.rtd",,$A$2,"."&amp;M$83&amp;M$1&amp;"P"&amp;$A113)="N/A",0,RTD("tos.rtd",,$A$2,"."&amp;M$83&amp;M$1&amp;"P"&amp;$A113))</f>
        <v>-254</v>
      </c>
      <c r="N113" s="91">
        <f ca="1">IF(RTD("tos.rtd",,$A$2,"."&amp;N$83&amp;N$1&amp;"C"&amp;$A113)="N/A",0,RTD("tos.rtd",,$A$2,"."&amp;N$83&amp;N$1&amp;"C"&amp;$A113))-IF(RTD("tos.rtd",,$A$2,"."&amp;N$83&amp;N$1&amp;"P"&amp;$A113)="N/A",0,RTD("tos.rtd",,$A$2,"."&amp;N$83&amp;N$1&amp;"P"&amp;$A113))</f>
        <v>-671</v>
      </c>
      <c r="O113" s="91">
        <f ca="1">IF(RTD("tos.rtd",,$A$2,"."&amp;O$83&amp;O$1&amp;"C"&amp;$A113)="N/A",0,RTD("tos.rtd",,$A$2,"."&amp;O$83&amp;O$1&amp;"C"&amp;$A113))-IF(RTD("tos.rtd",,$A$2,"."&amp;O$83&amp;O$1&amp;"P"&amp;$A113)="N/A",0,RTD("tos.rtd",,$A$2,"."&amp;O$83&amp;O$1&amp;"P"&amp;$A113))</f>
        <v>-16</v>
      </c>
      <c r="P113" s="91">
        <f ca="1">IF(RTD("tos.rtd",,$A$2,"."&amp;P$83&amp;P$1&amp;"C"&amp;$A113)="N/A",0,RTD("tos.rtd",,$A$2,"."&amp;P$83&amp;P$1&amp;"C"&amp;$A113))-IF(RTD("tos.rtd",,$A$2,"."&amp;P$83&amp;P$1&amp;"P"&amp;$A113)="N/A",0,RTD("tos.rtd",,$A$2,"."&amp;P$83&amp;P$1&amp;"P"&amp;$A113))</f>
        <v>4</v>
      </c>
      <c r="Q113" s="91">
        <f ca="1">IF(RTD("tos.rtd",,$A$2,"."&amp;Q$83&amp;Q$1&amp;"C"&amp;$A113)="N/A",0,RTD("tos.rtd",,$A$2,"."&amp;Q$83&amp;Q$1&amp;"C"&amp;$A113))-IF(RTD("tos.rtd",,$A$2,"."&amp;Q$83&amp;Q$1&amp;"P"&amp;$A113)="N/A",0,RTD("tos.rtd",,$A$2,"."&amp;Q$83&amp;Q$1&amp;"P"&amp;$A113))</f>
        <v>-2</v>
      </c>
      <c r="R113" s="91">
        <f ca="1">IF(RTD("tos.rtd",,$A$2,"."&amp;R$83&amp;R$1&amp;"C"&amp;$A113)="N/A",0,RTD("tos.rtd",,$A$2,"."&amp;R$83&amp;R$1&amp;"C"&amp;$A113))-IF(RTD("tos.rtd",,$A$2,"."&amp;R$83&amp;R$1&amp;"P"&amp;$A113)="N/A",0,RTD("tos.rtd",,$A$2,"."&amp;R$83&amp;R$1&amp;"P"&amp;$A113))</f>
        <v>14</v>
      </c>
      <c r="S113" s="91">
        <f ca="1">IF(RTD("tos.rtd",,$A$2,"."&amp;S$83&amp;S$1&amp;"C"&amp;$A113)="N/A",0,RTD("tos.rtd",,$A$2,"."&amp;S$83&amp;S$1&amp;"C"&amp;$A113))-IF(RTD("tos.rtd",,$A$2,"."&amp;S$83&amp;S$1&amp;"P"&amp;$A113)="N/A",0,RTD("tos.rtd",,$A$2,"."&amp;S$83&amp;S$1&amp;"P"&amp;$A113))</f>
        <v>96</v>
      </c>
      <c r="T113" s="91">
        <f ca="1">IF(RTD("tos.rtd",,$A$2,"."&amp;T$83&amp;T$1&amp;"C"&amp;$A113)="N/A",0,RTD("tos.rtd",,$A$2,"."&amp;T$83&amp;T$1&amp;"C"&amp;$A113))-IF(RTD("tos.rtd",,$A$2,"."&amp;T$83&amp;T$1&amp;"P"&amp;$A113)="N/A",0,RTD("tos.rtd",,$A$2,"."&amp;T$83&amp;T$1&amp;"P"&amp;$A113))</f>
        <v>1</v>
      </c>
      <c r="U113" s="91">
        <f ca="1">IF(RTD("tos.rtd",,$A$2,"."&amp;U$83&amp;U$1&amp;"C"&amp;$A113)="N/A",0,RTD("tos.rtd",,$A$2,"."&amp;U$83&amp;U$1&amp;"C"&amp;$A113))-IF(RTD("tos.rtd",,$A$2,"."&amp;U$83&amp;U$1&amp;"P"&amp;$A113)="N/A",0,RTD("tos.rtd",,$A$2,"."&amp;U$83&amp;U$1&amp;"P"&amp;$A113))</f>
        <v>19</v>
      </c>
      <c r="V113" s="91">
        <f ca="1">IF(RTD("tos.rtd",,$A$2,"."&amp;V$83&amp;V$1&amp;"C"&amp;$A113)="N/A",0,RTD("tos.rtd",,$A$2,"."&amp;V$83&amp;V$1&amp;"C"&amp;$A113))-IF(RTD("tos.rtd",,$A$2,"."&amp;V$83&amp;V$1&amp;"P"&amp;$A113)="N/A",0,RTD("tos.rtd",,$A$2,"."&amp;V$83&amp;V$1&amp;"P"&amp;$A113))</f>
        <v>0</v>
      </c>
      <c r="W113" s="91">
        <f ca="1">IF(RTD("tos.rtd",,$A$2,"."&amp;W$83&amp;W$1&amp;"C"&amp;$A113)="N/A",0,RTD("tos.rtd",,$A$2,"."&amp;W$83&amp;W$1&amp;"C"&amp;$A113))-IF(RTD("tos.rtd",,$A$2,"."&amp;W$83&amp;W$1&amp;"P"&amp;$A113)="N/A",0,RTD("tos.rtd",,$A$2,"."&amp;W$83&amp;W$1&amp;"P"&amp;$A113))</f>
        <v>-7</v>
      </c>
      <c r="X113" s="91">
        <f ca="1">IF(RTD("tos.rtd",,$A$2,"."&amp;X$83&amp;X$1&amp;"C"&amp;$A113)="N/A",0,RTD("tos.rtd",,$A$2,"."&amp;X$83&amp;X$1&amp;"C"&amp;$A113))-IF(RTD("tos.rtd",,$A$2,"."&amp;X$83&amp;X$1&amp;"P"&amp;$A113)="N/A",0,RTD("tos.rtd",,$A$2,"."&amp;X$83&amp;X$1&amp;"P"&amp;$A113))</f>
        <v>2</v>
      </c>
      <c r="Y113" s="98">
        <f t="shared" ca="1" si="10"/>
        <v>-458</v>
      </c>
    </row>
    <row r="114" spans="1:25" x14ac:dyDescent="0.25">
      <c r="A114" s="93">
        <f>+Hoja1!A113</f>
        <v>5740</v>
      </c>
      <c r="B114" s="91">
        <f ca="1">IF(RTD("tos.rtd",,$A$2,"."&amp;B$83&amp;B$1&amp;"C"&amp;$A114)="N/A",0,RTD("tos.rtd",,$A$2,"."&amp;B$83&amp;B$1&amp;"C"&amp;$A114))-IF(RTD("tos.rtd",,$A$2,"."&amp;B$83&amp;B$1&amp;"P"&amp;$A114)="N/A",0,RTD("tos.rtd",,$A$2,"."&amp;B$83&amp;B$1&amp;"P"&amp;$A114))</f>
        <v>0</v>
      </c>
      <c r="C114" s="91">
        <f ca="1">IF(RTD("tos.rtd",,$A$2,"."&amp;C$83&amp;C$1&amp;"C"&amp;$A114)="N/A",0,RTD("tos.rtd",,$A$2,"."&amp;C$83&amp;C$1&amp;"C"&amp;$A114))-IF(RTD("tos.rtd",,$A$2,"."&amp;C$83&amp;C$1&amp;"P"&amp;$A114)="N/A",0,RTD("tos.rtd",,$A$2,"."&amp;C$83&amp;C$1&amp;"P"&amp;$A114))</f>
        <v>0</v>
      </c>
      <c r="D114" s="91">
        <f ca="1">IF(RTD("tos.rtd",,$A$2,"."&amp;D$83&amp;D$1&amp;"C"&amp;$A114)="N/A",0,RTD("tos.rtd",,$A$2,"."&amp;D$83&amp;D$1&amp;"C"&amp;$A114))-IF(RTD("tos.rtd",,$A$2,"."&amp;D$83&amp;D$1&amp;"P"&amp;$A114)="N/A",0,RTD("tos.rtd",,$A$2,"."&amp;D$83&amp;D$1&amp;"P"&amp;$A114))</f>
        <v>0</v>
      </c>
      <c r="E114" s="91">
        <f ca="1">IF(RTD("tos.rtd",,$A$2,"."&amp;E$83&amp;E$1&amp;"C"&amp;$A114)="N/A",0,RTD("tos.rtd",,$A$2,"."&amp;E$83&amp;E$1&amp;"C"&amp;$A114))-IF(RTD("tos.rtd",,$A$2,"."&amp;E$83&amp;E$1&amp;"P"&amp;$A114)="N/A",0,RTD("tos.rtd",,$A$2,"."&amp;E$83&amp;E$1&amp;"P"&amp;$A114))</f>
        <v>0</v>
      </c>
      <c r="F114" s="91">
        <f ca="1">IF(RTD("tos.rtd",,$A$2,"."&amp;F$83&amp;F$1&amp;"C"&amp;$A114)="N/A",0,RTD("tos.rtd",,$A$2,"."&amp;F$83&amp;F$1&amp;"C"&amp;$A114))-IF(RTD("tos.rtd",,$A$2,"."&amp;F$83&amp;F$1&amp;"P"&amp;$A114)="N/A",0,RTD("tos.rtd",,$A$2,"."&amp;F$83&amp;F$1&amp;"P"&amp;$A114))</f>
        <v>0</v>
      </c>
      <c r="G114" s="91">
        <f ca="1">IF(RTD("tos.rtd",,$A$2,"."&amp;G$83&amp;G$1&amp;"C"&amp;$A114)="N/A",0,RTD("tos.rtd",,$A$2,"."&amp;G$83&amp;G$1&amp;"C"&amp;$A114))-IF(RTD("tos.rtd",,$A$2,"."&amp;G$83&amp;G$1&amp;"P"&amp;$A114)="N/A",0,RTD("tos.rtd",,$A$2,"."&amp;G$83&amp;G$1&amp;"P"&amp;$A114))</f>
        <v>0</v>
      </c>
      <c r="H114" s="91">
        <f ca="1">IF(RTD("tos.rtd",,$A$2,"."&amp;H$83&amp;H$1&amp;"C"&amp;$A114)="N/A",0,RTD("tos.rtd",,$A$2,"."&amp;H$83&amp;H$1&amp;"C"&amp;$A114))-IF(RTD("tos.rtd",,$A$2,"."&amp;H$83&amp;H$1&amp;"P"&amp;$A114)="N/A",0,RTD("tos.rtd",,$A$2,"."&amp;H$83&amp;H$1&amp;"P"&amp;$A114))</f>
        <v>0</v>
      </c>
      <c r="I114" s="91">
        <f ca="1">IF(RTD("tos.rtd",,$A$2,"."&amp;I$83&amp;I$1&amp;"C"&amp;$A114)="N/A",0,RTD("tos.rtd",,$A$2,"."&amp;I$83&amp;I$1&amp;"C"&amp;$A114))-IF(RTD("tos.rtd",,$A$2,"."&amp;I$83&amp;I$1&amp;"P"&amp;$A114)="N/A",0,RTD("tos.rtd",,$A$2,"."&amp;I$83&amp;I$1&amp;"P"&amp;$A114))</f>
        <v>-203</v>
      </c>
      <c r="J114" s="91">
        <f ca="1">IF(RTD("tos.rtd",,$A$2,"."&amp;J$83&amp;J$1&amp;"C"&amp;$A114)="N/A",0,RTD("tos.rtd",,$A$2,"."&amp;J$83&amp;J$1&amp;"C"&amp;$A114))-IF(RTD("tos.rtd",,$A$2,"."&amp;J$83&amp;J$1&amp;"P"&amp;$A114)="N/A",0,RTD("tos.rtd",,$A$2,"."&amp;J$83&amp;J$1&amp;"P"&amp;$A114))</f>
        <v>28</v>
      </c>
      <c r="K114" s="91">
        <f ca="1">IF(RTD("tos.rtd",,$A$2,"."&amp;K$83&amp;K$1&amp;"C"&amp;$A114)="N/A",0,RTD("tos.rtd",,$A$2,"."&amp;K$83&amp;K$1&amp;"C"&amp;$A114))-IF(RTD("tos.rtd",,$A$2,"."&amp;K$83&amp;K$1&amp;"P"&amp;$A114)="N/A",0,RTD("tos.rtd",,$A$2,"."&amp;K$83&amp;K$1&amp;"P"&amp;$A114))</f>
        <v>0</v>
      </c>
      <c r="L114" s="91">
        <f ca="1">IF(RTD("tos.rtd",,$A$2,"."&amp;L$83&amp;L$1&amp;"C"&amp;$A114)="N/A",0,RTD("tos.rtd",,$A$2,"."&amp;L$83&amp;L$1&amp;"C"&amp;$A114))-IF(RTD("tos.rtd",,$A$2,"."&amp;L$83&amp;L$1&amp;"P"&amp;$A114)="N/A",0,RTD("tos.rtd",,$A$2,"."&amp;L$83&amp;L$1&amp;"P"&amp;$A114))</f>
        <v>6</v>
      </c>
      <c r="M114" s="91">
        <f ca="1">IF(RTD("tos.rtd",,$A$2,"."&amp;M$83&amp;M$1&amp;"C"&amp;$A114)="N/A",0,RTD("tos.rtd",,$A$2,"."&amp;M$83&amp;M$1&amp;"C"&amp;$A114))-IF(RTD("tos.rtd",,$A$2,"."&amp;M$83&amp;M$1&amp;"P"&amp;$A114)="N/A",0,RTD("tos.rtd",,$A$2,"."&amp;M$83&amp;M$1&amp;"P"&amp;$A114))</f>
        <v>44</v>
      </c>
      <c r="N114" s="91">
        <f ca="1">IF(RTD("tos.rtd",,$A$2,"."&amp;N$83&amp;N$1&amp;"C"&amp;$A114)="N/A",0,RTD("tos.rtd",,$A$2,"."&amp;N$83&amp;N$1&amp;"C"&amp;$A114))-IF(RTD("tos.rtd",,$A$2,"."&amp;N$83&amp;N$1&amp;"P"&amp;$A114)="N/A",0,RTD("tos.rtd",,$A$2,"."&amp;N$83&amp;N$1&amp;"P"&amp;$A114))</f>
        <v>13</v>
      </c>
      <c r="O114" s="91">
        <f ca="1">IF(RTD("tos.rtd",,$A$2,"."&amp;O$83&amp;O$1&amp;"C"&amp;$A114)="N/A",0,RTD("tos.rtd",,$A$2,"."&amp;O$83&amp;O$1&amp;"C"&amp;$A114))-IF(RTD("tos.rtd",,$A$2,"."&amp;O$83&amp;O$1&amp;"P"&amp;$A114)="N/A",0,RTD("tos.rtd",,$A$2,"."&amp;O$83&amp;O$1&amp;"P"&amp;$A114))</f>
        <v>-4</v>
      </c>
      <c r="P114" s="91">
        <f ca="1">IF(RTD("tos.rtd",,$A$2,"."&amp;P$83&amp;P$1&amp;"C"&amp;$A114)="N/A",0,RTD("tos.rtd",,$A$2,"."&amp;P$83&amp;P$1&amp;"C"&amp;$A114))-IF(RTD("tos.rtd",,$A$2,"."&amp;P$83&amp;P$1&amp;"P"&amp;$A114)="N/A",0,RTD("tos.rtd",,$A$2,"."&amp;P$83&amp;P$1&amp;"P"&amp;$A114))</f>
        <v>0</v>
      </c>
      <c r="Q114" s="91">
        <f ca="1">IF(RTD("tos.rtd",,$A$2,"."&amp;Q$83&amp;Q$1&amp;"C"&amp;$A114)="N/A",0,RTD("tos.rtd",,$A$2,"."&amp;Q$83&amp;Q$1&amp;"C"&amp;$A114))-IF(RTD("tos.rtd",,$A$2,"."&amp;Q$83&amp;Q$1&amp;"P"&amp;$A114)="N/A",0,RTD("tos.rtd",,$A$2,"."&amp;Q$83&amp;Q$1&amp;"P"&amp;$A114))</f>
        <v>0</v>
      </c>
      <c r="R114" s="91">
        <f ca="1">IF(RTD("tos.rtd",,$A$2,"."&amp;R$83&amp;R$1&amp;"C"&amp;$A114)="N/A",0,RTD("tos.rtd",,$A$2,"."&amp;R$83&amp;R$1&amp;"C"&amp;$A114))-IF(RTD("tos.rtd",,$A$2,"."&amp;R$83&amp;R$1&amp;"P"&amp;$A114)="N/A",0,RTD("tos.rtd",,$A$2,"."&amp;R$83&amp;R$1&amp;"P"&amp;$A114))</f>
        <v>-2</v>
      </c>
      <c r="S114" s="91">
        <f ca="1">IF(RTD("tos.rtd",,$A$2,"."&amp;S$83&amp;S$1&amp;"C"&amp;$A114)="N/A",0,RTD("tos.rtd",,$A$2,"."&amp;S$83&amp;S$1&amp;"C"&amp;$A114))-IF(RTD("tos.rtd",,$A$2,"."&amp;S$83&amp;S$1&amp;"P"&amp;$A114)="N/A",0,RTD("tos.rtd",,$A$2,"."&amp;S$83&amp;S$1&amp;"P"&amp;$A114))</f>
        <v>0</v>
      </c>
      <c r="T114" s="91">
        <f ca="1">IF(RTD("tos.rtd",,$A$2,"."&amp;T$83&amp;T$1&amp;"C"&amp;$A114)="N/A",0,RTD("tos.rtd",,$A$2,"."&amp;T$83&amp;T$1&amp;"C"&amp;$A114))-IF(RTD("tos.rtd",,$A$2,"."&amp;T$83&amp;T$1&amp;"P"&amp;$A114)="N/A",0,RTD("tos.rtd",,$A$2,"."&amp;T$83&amp;T$1&amp;"P"&amp;$A114))</f>
        <v>-2</v>
      </c>
      <c r="U114" s="91">
        <f ca="1">IF(RTD("tos.rtd",,$A$2,"."&amp;U$83&amp;U$1&amp;"C"&amp;$A114)="N/A",0,RTD("tos.rtd",,$A$2,"."&amp;U$83&amp;U$1&amp;"C"&amp;$A114))-IF(RTD("tos.rtd",,$A$2,"."&amp;U$83&amp;U$1&amp;"P"&amp;$A114)="N/A",0,RTD("tos.rtd",,$A$2,"."&amp;U$83&amp;U$1&amp;"P"&amp;$A114))</f>
        <v>0</v>
      </c>
      <c r="V114" s="91">
        <f ca="1">IF(RTD("tos.rtd",,$A$2,"."&amp;V$83&amp;V$1&amp;"C"&amp;$A114)="N/A",0,RTD("tos.rtd",,$A$2,"."&amp;V$83&amp;V$1&amp;"C"&amp;$A114))-IF(RTD("tos.rtd",,$A$2,"."&amp;V$83&amp;V$1&amp;"P"&amp;$A114)="N/A",0,RTD("tos.rtd",,$A$2,"."&amp;V$83&amp;V$1&amp;"P"&amp;$A114))</f>
        <v>0</v>
      </c>
      <c r="W114" s="91">
        <f ca="1">IF(RTD("tos.rtd",,$A$2,"."&amp;W$83&amp;W$1&amp;"C"&amp;$A114)="N/A",0,RTD("tos.rtd",,$A$2,"."&amp;W$83&amp;W$1&amp;"C"&amp;$A114))-IF(RTD("tos.rtd",,$A$2,"."&amp;W$83&amp;W$1&amp;"P"&amp;$A114)="N/A",0,RTD("tos.rtd",,$A$2,"."&amp;W$83&amp;W$1&amp;"P"&amp;$A114))</f>
        <v>0</v>
      </c>
      <c r="X114" s="91">
        <f ca="1">IF(RTD("tos.rtd",,$A$2,"."&amp;X$83&amp;X$1&amp;"C"&amp;$A114)="N/A",0,RTD("tos.rtd",,$A$2,"."&amp;X$83&amp;X$1&amp;"C"&amp;$A114))-IF(RTD("tos.rtd",,$A$2,"."&amp;X$83&amp;X$1&amp;"P"&amp;$A114)="N/A",0,RTD("tos.rtd",,$A$2,"."&amp;X$83&amp;X$1&amp;"P"&amp;$A114))</f>
        <v>0</v>
      </c>
      <c r="Y114" s="98">
        <f t="shared" ca="1" si="10"/>
        <v>-120</v>
      </c>
    </row>
    <row r="115" spans="1:25" x14ac:dyDescent="0.25">
      <c r="A115" s="93">
        <f>+Hoja1!A114</f>
        <v>5730</v>
      </c>
      <c r="B115" s="91">
        <f ca="1">IF(RTD("tos.rtd",,$A$2,"."&amp;B$83&amp;B$1&amp;"C"&amp;$A115)="N/A",0,RTD("tos.rtd",,$A$2,"."&amp;B$83&amp;B$1&amp;"C"&amp;$A115))-IF(RTD("tos.rtd",,$A$2,"."&amp;B$83&amp;B$1&amp;"P"&amp;$A115)="N/A",0,RTD("tos.rtd",,$A$2,"."&amp;B$83&amp;B$1&amp;"P"&amp;$A115))</f>
        <v>0</v>
      </c>
      <c r="C115" s="91">
        <f ca="1">IF(RTD("tos.rtd",,$A$2,"."&amp;C$83&amp;C$1&amp;"C"&amp;$A115)="N/A",0,RTD("tos.rtd",,$A$2,"."&amp;C$83&amp;C$1&amp;"C"&amp;$A115))-IF(RTD("tos.rtd",,$A$2,"."&amp;C$83&amp;C$1&amp;"P"&amp;$A115)="N/A",0,RTD("tos.rtd",,$A$2,"."&amp;C$83&amp;C$1&amp;"P"&amp;$A115))</f>
        <v>0</v>
      </c>
      <c r="D115" s="91">
        <f ca="1">IF(RTD("tos.rtd",,$A$2,"."&amp;D$83&amp;D$1&amp;"C"&amp;$A115)="N/A",0,RTD("tos.rtd",,$A$2,"."&amp;D$83&amp;D$1&amp;"C"&amp;$A115))-IF(RTD("tos.rtd",,$A$2,"."&amp;D$83&amp;D$1&amp;"P"&amp;$A115)="N/A",0,RTD("tos.rtd",,$A$2,"."&amp;D$83&amp;D$1&amp;"P"&amp;$A115))</f>
        <v>0</v>
      </c>
      <c r="E115" s="91">
        <f ca="1">IF(RTD("tos.rtd",,$A$2,"."&amp;E$83&amp;E$1&amp;"C"&amp;$A115)="N/A",0,RTD("tos.rtd",,$A$2,"."&amp;E$83&amp;E$1&amp;"C"&amp;$A115))-IF(RTD("tos.rtd",,$A$2,"."&amp;E$83&amp;E$1&amp;"P"&amp;$A115)="N/A",0,RTD("tos.rtd",,$A$2,"."&amp;E$83&amp;E$1&amp;"P"&amp;$A115))</f>
        <v>0</v>
      </c>
      <c r="F115" s="91">
        <f ca="1">IF(RTD("tos.rtd",,$A$2,"."&amp;F$83&amp;F$1&amp;"C"&amp;$A115)="N/A",0,RTD("tos.rtd",,$A$2,"."&amp;F$83&amp;F$1&amp;"C"&amp;$A115))-IF(RTD("tos.rtd",,$A$2,"."&amp;F$83&amp;F$1&amp;"P"&amp;$A115)="N/A",0,RTD("tos.rtd",,$A$2,"."&amp;F$83&amp;F$1&amp;"P"&amp;$A115))</f>
        <v>0</v>
      </c>
      <c r="G115" s="91">
        <f ca="1">IF(RTD("tos.rtd",,$A$2,"."&amp;G$83&amp;G$1&amp;"C"&amp;$A115)="N/A",0,RTD("tos.rtd",,$A$2,"."&amp;G$83&amp;G$1&amp;"C"&amp;$A115))-IF(RTD("tos.rtd",,$A$2,"."&amp;G$83&amp;G$1&amp;"P"&amp;$A115)="N/A",0,RTD("tos.rtd",,$A$2,"."&amp;G$83&amp;G$1&amp;"P"&amp;$A115))</f>
        <v>0</v>
      </c>
      <c r="H115" s="91">
        <f ca="1">IF(RTD("tos.rtd",,$A$2,"."&amp;H$83&amp;H$1&amp;"C"&amp;$A115)="N/A",0,RTD("tos.rtd",,$A$2,"."&amp;H$83&amp;H$1&amp;"C"&amp;$A115))-IF(RTD("tos.rtd",,$A$2,"."&amp;H$83&amp;H$1&amp;"P"&amp;$A115)="N/A",0,RTD("tos.rtd",,$A$2,"."&amp;H$83&amp;H$1&amp;"P"&amp;$A115))</f>
        <v>0</v>
      </c>
      <c r="I115" s="91">
        <f ca="1">IF(RTD("tos.rtd",,$A$2,"."&amp;I$83&amp;I$1&amp;"C"&amp;$A115)="N/A",0,RTD("tos.rtd",,$A$2,"."&amp;I$83&amp;I$1&amp;"C"&amp;$A115))-IF(RTD("tos.rtd",,$A$2,"."&amp;I$83&amp;I$1&amp;"P"&amp;$A115)="N/A",0,RTD("tos.rtd",,$A$2,"."&amp;I$83&amp;I$1&amp;"P"&amp;$A115))</f>
        <v>-74</v>
      </c>
      <c r="J115" s="91">
        <f ca="1">IF(RTD("tos.rtd",,$A$2,"."&amp;J$83&amp;J$1&amp;"C"&amp;$A115)="N/A",0,RTD("tos.rtd",,$A$2,"."&amp;J$83&amp;J$1&amp;"C"&amp;$A115))-IF(RTD("tos.rtd",,$A$2,"."&amp;J$83&amp;J$1&amp;"P"&amp;$A115)="N/A",0,RTD("tos.rtd",,$A$2,"."&amp;J$83&amp;J$1&amp;"P"&amp;$A115))</f>
        <v>-57</v>
      </c>
      <c r="K115" s="91">
        <f ca="1">IF(RTD("tos.rtd",,$A$2,"."&amp;K$83&amp;K$1&amp;"C"&amp;$A115)="N/A",0,RTD("tos.rtd",,$A$2,"."&amp;K$83&amp;K$1&amp;"C"&amp;$A115))-IF(RTD("tos.rtd",,$A$2,"."&amp;K$83&amp;K$1&amp;"P"&amp;$A115)="N/A",0,RTD("tos.rtd",,$A$2,"."&amp;K$83&amp;K$1&amp;"P"&amp;$A115))</f>
        <v>0</v>
      </c>
      <c r="L115" s="91">
        <f ca="1">IF(RTD("tos.rtd",,$A$2,"."&amp;L$83&amp;L$1&amp;"C"&amp;$A115)="N/A",0,RTD("tos.rtd",,$A$2,"."&amp;L$83&amp;L$1&amp;"C"&amp;$A115))-IF(RTD("tos.rtd",,$A$2,"."&amp;L$83&amp;L$1&amp;"P"&amp;$A115)="N/A",0,RTD("tos.rtd",,$A$2,"."&amp;L$83&amp;L$1&amp;"P"&amp;$A115))</f>
        <v>13</v>
      </c>
      <c r="M115" s="91">
        <f ca="1">IF(RTD("tos.rtd",,$A$2,"."&amp;M$83&amp;M$1&amp;"C"&amp;$A115)="N/A",0,RTD("tos.rtd",,$A$2,"."&amp;M$83&amp;M$1&amp;"C"&amp;$A115))-IF(RTD("tos.rtd",,$A$2,"."&amp;M$83&amp;M$1&amp;"P"&amp;$A115)="N/A",0,RTD("tos.rtd",,$A$2,"."&amp;M$83&amp;M$1&amp;"P"&amp;$A115))</f>
        <v>-108</v>
      </c>
      <c r="N115" s="91">
        <f ca="1">IF(RTD("tos.rtd",,$A$2,"."&amp;N$83&amp;N$1&amp;"C"&amp;$A115)="N/A",0,RTD("tos.rtd",,$A$2,"."&amp;N$83&amp;N$1&amp;"C"&amp;$A115))-IF(RTD("tos.rtd",,$A$2,"."&amp;N$83&amp;N$1&amp;"P"&amp;$A115)="N/A",0,RTD("tos.rtd",,$A$2,"."&amp;N$83&amp;N$1&amp;"P"&amp;$A115))</f>
        <v>1</v>
      </c>
      <c r="O115" s="91">
        <f ca="1">IF(RTD("tos.rtd",,$A$2,"."&amp;O$83&amp;O$1&amp;"C"&amp;$A115)="N/A",0,RTD("tos.rtd",,$A$2,"."&amp;O$83&amp;O$1&amp;"C"&amp;$A115))-IF(RTD("tos.rtd",,$A$2,"."&amp;O$83&amp;O$1&amp;"P"&amp;$A115)="N/A",0,RTD("tos.rtd",,$A$2,"."&amp;O$83&amp;O$1&amp;"P"&amp;$A115))</f>
        <v>-2</v>
      </c>
      <c r="P115" s="91">
        <f ca="1">IF(RTD("tos.rtd",,$A$2,"."&amp;P$83&amp;P$1&amp;"C"&amp;$A115)="N/A",0,RTD("tos.rtd",,$A$2,"."&amp;P$83&amp;P$1&amp;"C"&amp;$A115))-IF(RTD("tos.rtd",,$A$2,"."&amp;P$83&amp;P$1&amp;"P"&amp;$A115)="N/A",0,RTD("tos.rtd",,$A$2,"."&amp;P$83&amp;P$1&amp;"P"&amp;$A115))</f>
        <v>2</v>
      </c>
      <c r="Q115" s="91">
        <f ca="1">IF(RTD("tos.rtd",,$A$2,"."&amp;Q$83&amp;Q$1&amp;"C"&amp;$A115)="N/A",0,RTD("tos.rtd",,$A$2,"."&amp;Q$83&amp;Q$1&amp;"C"&amp;$A115))-IF(RTD("tos.rtd",,$A$2,"."&amp;Q$83&amp;Q$1&amp;"P"&amp;$A115)="N/A",0,RTD("tos.rtd",,$A$2,"."&amp;Q$83&amp;Q$1&amp;"P"&amp;$A115))</f>
        <v>0</v>
      </c>
      <c r="R115" s="91">
        <f ca="1">IF(RTD("tos.rtd",,$A$2,"."&amp;R$83&amp;R$1&amp;"C"&amp;$A115)="N/A",0,RTD("tos.rtd",,$A$2,"."&amp;R$83&amp;R$1&amp;"C"&amp;$A115))-IF(RTD("tos.rtd",,$A$2,"."&amp;R$83&amp;R$1&amp;"P"&amp;$A115)="N/A",0,RTD("tos.rtd",,$A$2,"."&amp;R$83&amp;R$1&amp;"P"&amp;$A115))</f>
        <v>0</v>
      </c>
      <c r="S115" s="91">
        <f ca="1">IF(RTD("tos.rtd",,$A$2,"."&amp;S$83&amp;S$1&amp;"C"&amp;$A115)="N/A",0,RTD("tos.rtd",,$A$2,"."&amp;S$83&amp;S$1&amp;"C"&amp;$A115))-IF(RTD("tos.rtd",,$A$2,"."&amp;S$83&amp;S$1&amp;"P"&amp;$A115)="N/A",0,RTD("tos.rtd",,$A$2,"."&amp;S$83&amp;S$1&amp;"P"&amp;$A115))</f>
        <v>0</v>
      </c>
      <c r="T115" s="91">
        <f ca="1">IF(RTD("tos.rtd",,$A$2,"."&amp;T$83&amp;T$1&amp;"C"&amp;$A115)="N/A",0,RTD("tos.rtd",,$A$2,"."&amp;T$83&amp;T$1&amp;"C"&amp;$A115))-IF(RTD("tos.rtd",,$A$2,"."&amp;T$83&amp;T$1&amp;"P"&amp;$A115)="N/A",0,RTD("tos.rtd",,$A$2,"."&amp;T$83&amp;T$1&amp;"P"&amp;$A115))</f>
        <v>5</v>
      </c>
      <c r="U115" s="91">
        <f ca="1">IF(RTD("tos.rtd",,$A$2,"."&amp;U$83&amp;U$1&amp;"C"&amp;$A115)="N/A",0,RTD("tos.rtd",,$A$2,"."&amp;U$83&amp;U$1&amp;"C"&amp;$A115))-IF(RTD("tos.rtd",,$A$2,"."&amp;U$83&amp;U$1&amp;"P"&amp;$A115)="N/A",0,RTD("tos.rtd",,$A$2,"."&amp;U$83&amp;U$1&amp;"P"&amp;$A115))</f>
        <v>0</v>
      </c>
      <c r="V115" s="91">
        <f ca="1">IF(RTD("tos.rtd",,$A$2,"."&amp;V$83&amp;V$1&amp;"C"&amp;$A115)="N/A",0,RTD("tos.rtd",,$A$2,"."&amp;V$83&amp;V$1&amp;"C"&amp;$A115))-IF(RTD("tos.rtd",,$A$2,"."&amp;V$83&amp;V$1&amp;"P"&amp;$A115)="N/A",0,RTD("tos.rtd",,$A$2,"."&amp;V$83&amp;V$1&amp;"P"&amp;$A115))</f>
        <v>0</v>
      </c>
      <c r="W115" s="91">
        <f ca="1">IF(RTD("tos.rtd",,$A$2,"."&amp;W$83&amp;W$1&amp;"C"&amp;$A115)="N/A",0,RTD("tos.rtd",,$A$2,"."&amp;W$83&amp;W$1&amp;"C"&amp;$A115))-IF(RTD("tos.rtd",,$A$2,"."&amp;W$83&amp;W$1&amp;"P"&amp;$A115)="N/A",0,RTD("tos.rtd",,$A$2,"."&amp;W$83&amp;W$1&amp;"P"&amp;$A115))</f>
        <v>0</v>
      </c>
      <c r="X115" s="91">
        <f ca="1">IF(RTD("tos.rtd",,$A$2,"."&amp;X$83&amp;X$1&amp;"C"&amp;$A115)="N/A",0,RTD("tos.rtd",,$A$2,"."&amp;X$83&amp;X$1&amp;"C"&amp;$A115))-IF(RTD("tos.rtd",,$A$2,"."&amp;X$83&amp;X$1&amp;"P"&amp;$A115)="N/A",0,RTD("tos.rtd",,$A$2,"."&amp;X$83&amp;X$1&amp;"P"&amp;$A115))</f>
        <v>1</v>
      </c>
      <c r="Y115" s="98">
        <f t="shared" ca="1" si="10"/>
        <v>-219</v>
      </c>
    </row>
    <row r="116" spans="1:25" x14ac:dyDescent="0.25">
      <c r="A116" s="93">
        <f>+Hoja1!A115</f>
        <v>5720</v>
      </c>
      <c r="B116" s="91">
        <f ca="1">IF(RTD("tos.rtd",,$A$2,"."&amp;B$83&amp;B$1&amp;"C"&amp;$A116)="N/A",0,RTD("tos.rtd",,$A$2,"."&amp;B$83&amp;B$1&amp;"C"&amp;$A116))-IF(RTD("tos.rtd",,$A$2,"."&amp;B$83&amp;B$1&amp;"P"&amp;$A116)="N/A",0,RTD("tos.rtd",,$A$2,"."&amp;B$83&amp;B$1&amp;"P"&amp;$A116))</f>
        <v>0</v>
      </c>
      <c r="C116" s="91">
        <f ca="1">IF(RTD("tos.rtd",,$A$2,"."&amp;C$83&amp;C$1&amp;"C"&amp;$A116)="N/A",0,RTD("tos.rtd",,$A$2,"."&amp;C$83&amp;C$1&amp;"C"&amp;$A116))-IF(RTD("tos.rtd",,$A$2,"."&amp;C$83&amp;C$1&amp;"P"&amp;$A116)="N/A",0,RTD("tos.rtd",,$A$2,"."&amp;C$83&amp;C$1&amp;"P"&amp;$A116))</f>
        <v>0</v>
      </c>
      <c r="D116" s="91">
        <f ca="1">IF(RTD("tos.rtd",,$A$2,"."&amp;D$83&amp;D$1&amp;"C"&amp;$A116)="N/A",0,RTD("tos.rtd",,$A$2,"."&amp;D$83&amp;D$1&amp;"C"&amp;$A116))-IF(RTD("tos.rtd",,$A$2,"."&amp;D$83&amp;D$1&amp;"P"&amp;$A116)="N/A",0,RTD("tos.rtd",,$A$2,"."&amp;D$83&amp;D$1&amp;"P"&amp;$A116))</f>
        <v>0</v>
      </c>
      <c r="E116" s="91">
        <f ca="1">IF(RTD("tos.rtd",,$A$2,"."&amp;E$83&amp;E$1&amp;"C"&amp;$A116)="N/A",0,RTD("tos.rtd",,$A$2,"."&amp;E$83&amp;E$1&amp;"C"&amp;$A116))-IF(RTD("tos.rtd",,$A$2,"."&amp;E$83&amp;E$1&amp;"P"&amp;$A116)="N/A",0,RTD("tos.rtd",,$A$2,"."&amp;E$83&amp;E$1&amp;"P"&amp;$A116))</f>
        <v>0</v>
      </c>
      <c r="F116" s="91">
        <f ca="1">IF(RTD("tos.rtd",,$A$2,"."&amp;F$83&amp;F$1&amp;"C"&amp;$A116)="N/A",0,RTD("tos.rtd",,$A$2,"."&amp;F$83&amp;F$1&amp;"C"&amp;$A116))-IF(RTD("tos.rtd",,$A$2,"."&amp;F$83&amp;F$1&amp;"P"&amp;$A116)="N/A",0,RTD("tos.rtd",,$A$2,"."&amp;F$83&amp;F$1&amp;"P"&amp;$A116))</f>
        <v>0</v>
      </c>
      <c r="G116" s="91">
        <f ca="1">IF(RTD("tos.rtd",,$A$2,"."&amp;G$83&amp;G$1&amp;"C"&amp;$A116)="N/A",0,RTD("tos.rtd",,$A$2,"."&amp;G$83&amp;G$1&amp;"C"&amp;$A116))-IF(RTD("tos.rtd",,$A$2,"."&amp;G$83&amp;G$1&amp;"P"&amp;$A116)="N/A",0,RTD("tos.rtd",,$A$2,"."&amp;G$83&amp;G$1&amp;"P"&amp;$A116))</f>
        <v>0</v>
      </c>
      <c r="H116" s="91">
        <f ca="1">IF(RTD("tos.rtd",,$A$2,"."&amp;H$83&amp;H$1&amp;"C"&amp;$A116)="N/A",0,RTD("tos.rtd",,$A$2,"."&amp;H$83&amp;H$1&amp;"C"&amp;$A116))-IF(RTD("tos.rtd",,$A$2,"."&amp;H$83&amp;H$1&amp;"P"&amp;$A116)="N/A",0,RTD("tos.rtd",,$A$2,"."&amp;H$83&amp;H$1&amp;"P"&amp;$A116))</f>
        <v>0</v>
      </c>
      <c r="I116" s="91">
        <f ca="1">IF(RTD("tos.rtd",,$A$2,"."&amp;I$83&amp;I$1&amp;"C"&amp;$A116)="N/A",0,RTD("tos.rtd",,$A$2,"."&amp;I$83&amp;I$1&amp;"C"&amp;$A116))-IF(RTD("tos.rtd",,$A$2,"."&amp;I$83&amp;I$1&amp;"P"&amp;$A116)="N/A",0,RTD("tos.rtd",,$A$2,"."&amp;I$83&amp;I$1&amp;"P"&amp;$A116))</f>
        <v>-157</v>
      </c>
      <c r="J116" s="91">
        <f ca="1">IF(RTD("tos.rtd",,$A$2,"."&amp;J$83&amp;J$1&amp;"C"&amp;$A116)="N/A",0,RTD("tos.rtd",,$A$2,"."&amp;J$83&amp;J$1&amp;"C"&amp;$A116))-IF(RTD("tos.rtd",,$A$2,"."&amp;J$83&amp;J$1&amp;"P"&amp;$A116)="N/A",0,RTD("tos.rtd",,$A$2,"."&amp;J$83&amp;J$1&amp;"P"&amp;$A116))</f>
        <v>23</v>
      </c>
      <c r="K116" s="91">
        <f ca="1">IF(RTD("tos.rtd",,$A$2,"."&amp;K$83&amp;K$1&amp;"C"&amp;$A116)="N/A",0,RTD("tos.rtd",,$A$2,"."&amp;K$83&amp;K$1&amp;"C"&amp;$A116))-IF(RTD("tos.rtd",,$A$2,"."&amp;K$83&amp;K$1&amp;"P"&amp;$A116)="N/A",0,RTD("tos.rtd",,$A$2,"."&amp;K$83&amp;K$1&amp;"P"&amp;$A116))</f>
        <v>0</v>
      </c>
      <c r="L116" s="91">
        <f ca="1">IF(RTD("tos.rtd",,$A$2,"."&amp;L$83&amp;L$1&amp;"C"&amp;$A116)="N/A",0,RTD("tos.rtd",,$A$2,"."&amp;L$83&amp;L$1&amp;"C"&amp;$A116))-IF(RTD("tos.rtd",,$A$2,"."&amp;L$83&amp;L$1&amp;"P"&amp;$A116)="N/A",0,RTD("tos.rtd",,$A$2,"."&amp;L$83&amp;L$1&amp;"P"&amp;$A116))</f>
        <v>-40</v>
      </c>
      <c r="M116" s="91">
        <f ca="1">IF(RTD("tos.rtd",,$A$2,"."&amp;M$83&amp;M$1&amp;"C"&amp;$A116)="N/A",0,RTD("tos.rtd",,$A$2,"."&amp;M$83&amp;M$1&amp;"C"&amp;$A116))-IF(RTD("tos.rtd",,$A$2,"."&amp;M$83&amp;M$1&amp;"P"&amp;$A116)="N/A",0,RTD("tos.rtd",,$A$2,"."&amp;M$83&amp;M$1&amp;"P"&amp;$A116))</f>
        <v>-30</v>
      </c>
      <c r="N116" s="91">
        <f ca="1">IF(RTD("tos.rtd",,$A$2,"."&amp;N$83&amp;N$1&amp;"C"&amp;$A116)="N/A",0,RTD("tos.rtd",,$A$2,"."&amp;N$83&amp;N$1&amp;"C"&amp;$A116))-IF(RTD("tos.rtd",,$A$2,"."&amp;N$83&amp;N$1&amp;"P"&amp;$A116)="N/A",0,RTD("tos.rtd",,$A$2,"."&amp;N$83&amp;N$1&amp;"P"&amp;$A116))</f>
        <v>0</v>
      </c>
      <c r="O116" s="91">
        <f ca="1">IF(RTD("tos.rtd",,$A$2,"."&amp;O$83&amp;O$1&amp;"C"&amp;$A116)="N/A",0,RTD("tos.rtd",,$A$2,"."&amp;O$83&amp;O$1&amp;"C"&amp;$A116))-IF(RTD("tos.rtd",,$A$2,"."&amp;O$83&amp;O$1&amp;"P"&amp;$A116)="N/A",0,RTD("tos.rtd",,$A$2,"."&amp;O$83&amp;O$1&amp;"P"&amp;$A116))</f>
        <v>12</v>
      </c>
      <c r="P116" s="91">
        <f ca="1">IF(RTD("tos.rtd",,$A$2,"."&amp;P$83&amp;P$1&amp;"C"&amp;$A116)="N/A",0,RTD("tos.rtd",,$A$2,"."&amp;P$83&amp;P$1&amp;"C"&amp;$A116))-IF(RTD("tos.rtd",,$A$2,"."&amp;P$83&amp;P$1&amp;"P"&amp;$A116)="N/A",0,RTD("tos.rtd",,$A$2,"."&amp;P$83&amp;P$1&amp;"P"&amp;$A116))</f>
        <v>1</v>
      </c>
      <c r="Q116" s="91">
        <f ca="1">IF(RTD("tos.rtd",,$A$2,"."&amp;Q$83&amp;Q$1&amp;"C"&amp;$A116)="N/A",0,RTD("tos.rtd",,$A$2,"."&amp;Q$83&amp;Q$1&amp;"C"&amp;$A116))-IF(RTD("tos.rtd",,$A$2,"."&amp;Q$83&amp;Q$1&amp;"P"&amp;$A116)="N/A",0,RTD("tos.rtd",,$A$2,"."&amp;Q$83&amp;Q$1&amp;"P"&amp;$A116))</f>
        <v>100</v>
      </c>
      <c r="R116" s="91">
        <f ca="1">IF(RTD("tos.rtd",,$A$2,"."&amp;R$83&amp;R$1&amp;"C"&amp;$A116)="N/A",0,RTD("tos.rtd",,$A$2,"."&amp;R$83&amp;R$1&amp;"C"&amp;$A116))-IF(RTD("tos.rtd",,$A$2,"."&amp;R$83&amp;R$1&amp;"P"&amp;$A116)="N/A",0,RTD("tos.rtd",,$A$2,"."&amp;R$83&amp;R$1&amp;"P"&amp;$A116))</f>
        <v>-3</v>
      </c>
      <c r="S116" s="91">
        <f ca="1">IF(RTD("tos.rtd",,$A$2,"."&amp;S$83&amp;S$1&amp;"C"&amp;$A116)="N/A",0,RTD("tos.rtd",,$A$2,"."&amp;S$83&amp;S$1&amp;"C"&amp;$A116))-IF(RTD("tos.rtd",,$A$2,"."&amp;S$83&amp;S$1&amp;"P"&amp;$A116)="N/A",0,RTD("tos.rtd",,$A$2,"."&amp;S$83&amp;S$1&amp;"P"&amp;$A116))</f>
        <v>0</v>
      </c>
      <c r="T116" s="91">
        <f ca="1">IF(RTD("tos.rtd",,$A$2,"."&amp;T$83&amp;T$1&amp;"C"&amp;$A116)="N/A",0,RTD("tos.rtd",,$A$2,"."&amp;T$83&amp;T$1&amp;"C"&amp;$A116))-IF(RTD("tos.rtd",,$A$2,"."&amp;T$83&amp;T$1&amp;"P"&amp;$A116)="N/A",0,RTD("tos.rtd",,$A$2,"."&amp;T$83&amp;T$1&amp;"P"&amp;$A116))</f>
        <v>-2</v>
      </c>
      <c r="U116" s="91">
        <f ca="1">IF(RTD("tos.rtd",,$A$2,"."&amp;U$83&amp;U$1&amp;"C"&amp;$A116)="N/A",0,RTD("tos.rtd",,$A$2,"."&amp;U$83&amp;U$1&amp;"C"&amp;$A116))-IF(RTD("tos.rtd",,$A$2,"."&amp;U$83&amp;U$1&amp;"P"&amp;$A116)="N/A",0,RTD("tos.rtd",,$A$2,"."&amp;U$83&amp;U$1&amp;"P"&amp;$A116))</f>
        <v>0</v>
      </c>
      <c r="V116" s="91">
        <f ca="1">IF(RTD("tos.rtd",,$A$2,"."&amp;V$83&amp;V$1&amp;"C"&amp;$A116)="N/A",0,RTD("tos.rtd",,$A$2,"."&amp;V$83&amp;V$1&amp;"C"&amp;$A116))-IF(RTD("tos.rtd",,$A$2,"."&amp;V$83&amp;V$1&amp;"P"&amp;$A116)="N/A",0,RTD("tos.rtd",,$A$2,"."&amp;V$83&amp;V$1&amp;"P"&amp;$A116))</f>
        <v>0</v>
      </c>
      <c r="W116" s="91">
        <f ca="1">IF(RTD("tos.rtd",,$A$2,"."&amp;W$83&amp;W$1&amp;"C"&amp;$A116)="N/A",0,RTD("tos.rtd",,$A$2,"."&amp;W$83&amp;W$1&amp;"C"&amp;$A116))-IF(RTD("tos.rtd",,$A$2,"."&amp;W$83&amp;W$1&amp;"P"&amp;$A116)="N/A",0,RTD("tos.rtd",,$A$2,"."&amp;W$83&amp;W$1&amp;"P"&amp;$A116))</f>
        <v>0</v>
      </c>
      <c r="X116" s="91">
        <f ca="1">IF(RTD("tos.rtd",,$A$2,"."&amp;X$83&amp;X$1&amp;"C"&amp;$A116)="N/A",0,RTD("tos.rtd",,$A$2,"."&amp;X$83&amp;X$1&amp;"C"&amp;$A116))-IF(RTD("tos.rtd",,$A$2,"."&amp;X$83&amp;X$1&amp;"P"&amp;$A116)="N/A",0,RTD("tos.rtd",,$A$2,"."&amp;X$83&amp;X$1&amp;"P"&amp;$A116))</f>
        <v>0</v>
      </c>
      <c r="Y116" s="98">
        <f t="shared" ca="1" si="10"/>
        <v>-96</v>
      </c>
    </row>
    <row r="117" spans="1:25" x14ac:dyDescent="0.25">
      <c r="A117" s="93">
        <f>+Hoja1!A116</f>
        <v>5710</v>
      </c>
      <c r="B117" s="91">
        <f ca="1">IF(RTD("tos.rtd",,$A$2,"."&amp;B$83&amp;B$1&amp;"C"&amp;$A117)="N/A",0,RTD("tos.rtd",,$A$2,"."&amp;B$83&amp;B$1&amp;"C"&amp;$A117))-IF(RTD("tos.rtd",,$A$2,"."&amp;B$83&amp;B$1&amp;"P"&amp;$A117)="N/A",0,RTD("tos.rtd",,$A$2,"."&amp;B$83&amp;B$1&amp;"P"&amp;$A117))</f>
        <v>0</v>
      </c>
      <c r="C117" s="91">
        <f ca="1">IF(RTD("tos.rtd",,$A$2,"."&amp;C$83&amp;C$1&amp;"C"&amp;$A117)="N/A",0,RTD("tos.rtd",,$A$2,"."&amp;C$83&amp;C$1&amp;"C"&amp;$A117))-IF(RTD("tos.rtd",,$A$2,"."&amp;C$83&amp;C$1&amp;"P"&amp;$A117)="N/A",0,RTD("tos.rtd",,$A$2,"."&amp;C$83&amp;C$1&amp;"P"&amp;$A117))</f>
        <v>0</v>
      </c>
      <c r="D117" s="91">
        <f ca="1">IF(RTD("tos.rtd",,$A$2,"."&amp;D$83&amp;D$1&amp;"C"&amp;$A117)="N/A",0,RTD("tos.rtd",,$A$2,"."&amp;D$83&amp;D$1&amp;"C"&amp;$A117))-IF(RTD("tos.rtd",,$A$2,"."&amp;D$83&amp;D$1&amp;"P"&amp;$A117)="N/A",0,RTD("tos.rtd",,$A$2,"."&amp;D$83&amp;D$1&amp;"P"&amp;$A117))</f>
        <v>0</v>
      </c>
      <c r="E117" s="91">
        <f ca="1">IF(RTD("tos.rtd",,$A$2,"."&amp;E$83&amp;E$1&amp;"C"&amp;$A117)="N/A",0,RTD("tos.rtd",,$A$2,"."&amp;E$83&amp;E$1&amp;"C"&amp;$A117))-IF(RTD("tos.rtd",,$A$2,"."&amp;E$83&amp;E$1&amp;"P"&amp;$A117)="N/A",0,RTD("tos.rtd",,$A$2,"."&amp;E$83&amp;E$1&amp;"P"&amp;$A117))</f>
        <v>0</v>
      </c>
      <c r="F117" s="91">
        <f ca="1">IF(RTD("tos.rtd",,$A$2,"."&amp;F$83&amp;F$1&amp;"C"&amp;$A117)="N/A",0,RTD("tos.rtd",,$A$2,"."&amp;F$83&amp;F$1&amp;"C"&amp;$A117))-IF(RTD("tos.rtd",,$A$2,"."&amp;F$83&amp;F$1&amp;"P"&amp;$A117)="N/A",0,RTD("tos.rtd",,$A$2,"."&amp;F$83&amp;F$1&amp;"P"&amp;$A117))</f>
        <v>0</v>
      </c>
      <c r="G117" s="91">
        <f ca="1">IF(RTD("tos.rtd",,$A$2,"."&amp;G$83&amp;G$1&amp;"C"&amp;$A117)="N/A",0,RTD("tos.rtd",,$A$2,"."&amp;G$83&amp;G$1&amp;"C"&amp;$A117))-IF(RTD("tos.rtd",,$A$2,"."&amp;G$83&amp;G$1&amp;"P"&amp;$A117)="N/A",0,RTD("tos.rtd",,$A$2,"."&amp;G$83&amp;G$1&amp;"P"&amp;$A117))</f>
        <v>0</v>
      </c>
      <c r="H117" s="91">
        <f ca="1">IF(RTD("tos.rtd",,$A$2,"."&amp;H$83&amp;H$1&amp;"C"&amp;$A117)="N/A",0,RTD("tos.rtd",,$A$2,"."&amp;H$83&amp;H$1&amp;"C"&amp;$A117))-IF(RTD("tos.rtd",,$A$2,"."&amp;H$83&amp;H$1&amp;"P"&amp;$A117)="N/A",0,RTD("tos.rtd",,$A$2,"."&amp;H$83&amp;H$1&amp;"P"&amp;$A117))</f>
        <v>0</v>
      </c>
      <c r="I117" s="91">
        <f ca="1">IF(RTD("tos.rtd",,$A$2,"."&amp;I$83&amp;I$1&amp;"C"&amp;$A117)="N/A",0,RTD("tos.rtd",,$A$2,"."&amp;I$83&amp;I$1&amp;"C"&amp;$A117))-IF(RTD("tos.rtd",,$A$2,"."&amp;I$83&amp;I$1&amp;"P"&amp;$A117)="N/A",0,RTD("tos.rtd",,$A$2,"."&amp;I$83&amp;I$1&amp;"P"&amp;$A117))</f>
        <v>3</v>
      </c>
      <c r="J117" s="91">
        <f ca="1">IF(RTD("tos.rtd",,$A$2,"."&amp;J$83&amp;J$1&amp;"C"&amp;$A117)="N/A",0,RTD("tos.rtd",,$A$2,"."&amp;J$83&amp;J$1&amp;"C"&amp;$A117))-IF(RTD("tos.rtd",,$A$2,"."&amp;J$83&amp;J$1&amp;"P"&amp;$A117)="N/A",0,RTD("tos.rtd",,$A$2,"."&amp;J$83&amp;J$1&amp;"P"&amp;$A117))</f>
        <v>0</v>
      </c>
      <c r="K117" s="91">
        <f ca="1">IF(RTD("tos.rtd",,$A$2,"."&amp;K$83&amp;K$1&amp;"C"&amp;$A117)="N/A",0,RTD("tos.rtd",,$A$2,"."&amp;K$83&amp;K$1&amp;"C"&amp;$A117))-IF(RTD("tos.rtd",,$A$2,"."&amp;K$83&amp;K$1&amp;"P"&amp;$A117)="N/A",0,RTD("tos.rtd",,$A$2,"."&amp;K$83&amp;K$1&amp;"P"&amp;$A117))</f>
        <v>0</v>
      </c>
      <c r="L117" s="91">
        <f ca="1">IF(RTD("tos.rtd",,$A$2,"."&amp;L$83&amp;L$1&amp;"C"&amp;$A117)="N/A",0,RTD("tos.rtd",,$A$2,"."&amp;L$83&amp;L$1&amp;"C"&amp;$A117))-IF(RTD("tos.rtd",,$A$2,"."&amp;L$83&amp;L$1&amp;"P"&amp;$A117)="N/A",0,RTD("tos.rtd",,$A$2,"."&amp;L$83&amp;L$1&amp;"P"&amp;$A117))</f>
        <v>-2</v>
      </c>
      <c r="M117" s="91">
        <f ca="1">IF(RTD("tos.rtd",,$A$2,"."&amp;M$83&amp;M$1&amp;"C"&amp;$A117)="N/A",0,RTD("tos.rtd",,$A$2,"."&amp;M$83&amp;M$1&amp;"C"&amp;$A117))-IF(RTD("tos.rtd",,$A$2,"."&amp;M$83&amp;M$1&amp;"P"&amp;$A117)="N/A",0,RTD("tos.rtd",,$A$2,"."&amp;M$83&amp;M$1&amp;"P"&amp;$A117))</f>
        <v>91</v>
      </c>
      <c r="N117" s="91">
        <f ca="1">IF(RTD("tos.rtd",,$A$2,"."&amp;N$83&amp;N$1&amp;"C"&amp;$A117)="N/A",0,RTD("tos.rtd",,$A$2,"."&amp;N$83&amp;N$1&amp;"C"&amp;$A117))-IF(RTD("tos.rtd",,$A$2,"."&amp;N$83&amp;N$1&amp;"P"&amp;$A117)="N/A",0,RTD("tos.rtd",,$A$2,"."&amp;N$83&amp;N$1&amp;"P"&amp;$A117))</f>
        <v>9</v>
      </c>
      <c r="O117" s="91">
        <f ca="1">IF(RTD("tos.rtd",,$A$2,"."&amp;O$83&amp;O$1&amp;"C"&amp;$A117)="N/A",0,RTD("tos.rtd",,$A$2,"."&amp;O$83&amp;O$1&amp;"C"&amp;$A117))-IF(RTD("tos.rtd",,$A$2,"."&amp;O$83&amp;O$1&amp;"P"&amp;$A117)="N/A",0,RTD("tos.rtd",,$A$2,"."&amp;O$83&amp;O$1&amp;"P"&amp;$A117))</f>
        <v>2</v>
      </c>
      <c r="P117" s="91">
        <f ca="1">IF(RTD("tos.rtd",,$A$2,"."&amp;P$83&amp;P$1&amp;"C"&amp;$A117)="N/A",0,RTD("tos.rtd",,$A$2,"."&amp;P$83&amp;P$1&amp;"C"&amp;$A117))-IF(RTD("tos.rtd",,$A$2,"."&amp;P$83&amp;P$1&amp;"P"&amp;$A117)="N/A",0,RTD("tos.rtd",,$A$2,"."&amp;P$83&amp;P$1&amp;"P"&amp;$A117))</f>
        <v>-4</v>
      </c>
      <c r="Q117" s="91">
        <f ca="1">IF(RTD("tos.rtd",,$A$2,"."&amp;Q$83&amp;Q$1&amp;"C"&amp;$A117)="N/A",0,RTD("tos.rtd",,$A$2,"."&amp;Q$83&amp;Q$1&amp;"C"&amp;$A117))-IF(RTD("tos.rtd",,$A$2,"."&amp;Q$83&amp;Q$1&amp;"P"&amp;$A117)="N/A",0,RTD("tos.rtd",,$A$2,"."&amp;Q$83&amp;Q$1&amp;"P"&amp;$A117))</f>
        <v>0</v>
      </c>
      <c r="R117" s="91">
        <f ca="1">IF(RTD("tos.rtd",,$A$2,"."&amp;R$83&amp;R$1&amp;"C"&amp;$A117)="N/A",0,RTD("tos.rtd",,$A$2,"."&amp;R$83&amp;R$1&amp;"C"&amp;$A117))-IF(RTD("tos.rtd",,$A$2,"."&amp;R$83&amp;R$1&amp;"P"&amp;$A117)="N/A",0,RTD("tos.rtd",,$A$2,"."&amp;R$83&amp;R$1&amp;"P"&amp;$A117))</f>
        <v>-2</v>
      </c>
      <c r="S117" s="91">
        <f ca="1">IF(RTD("tos.rtd",,$A$2,"."&amp;S$83&amp;S$1&amp;"C"&amp;$A117)="N/A",0,RTD("tos.rtd",,$A$2,"."&amp;S$83&amp;S$1&amp;"C"&amp;$A117))-IF(RTD("tos.rtd",,$A$2,"."&amp;S$83&amp;S$1&amp;"P"&amp;$A117)="N/A",0,RTD("tos.rtd",,$A$2,"."&amp;S$83&amp;S$1&amp;"P"&amp;$A117))</f>
        <v>0</v>
      </c>
      <c r="T117" s="91">
        <f ca="1">IF(RTD("tos.rtd",,$A$2,"."&amp;T$83&amp;T$1&amp;"C"&amp;$A117)="N/A",0,RTD("tos.rtd",,$A$2,"."&amp;T$83&amp;T$1&amp;"C"&amp;$A117))-IF(RTD("tos.rtd",,$A$2,"."&amp;T$83&amp;T$1&amp;"P"&amp;$A117)="N/A",0,RTD("tos.rtd",,$A$2,"."&amp;T$83&amp;T$1&amp;"P"&amp;$A117))</f>
        <v>-3</v>
      </c>
      <c r="U117" s="91">
        <f ca="1">IF(RTD("tos.rtd",,$A$2,"."&amp;U$83&amp;U$1&amp;"C"&amp;$A117)="N/A",0,RTD("tos.rtd",,$A$2,"."&amp;U$83&amp;U$1&amp;"C"&amp;$A117))-IF(RTD("tos.rtd",,$A$2,"."&amp;U$83&amp;U$1&amp;"P"&amp;$A117)="N/A",0,RTD("tos.rtd",,$A$2,"."&amp;U$83&amp;U$1&amp;"P"&amp;$A117))</f>
        <v>0</v>
      </c>
      <c r="V117" s="91">
        <f ca="1">IF(RTD("tos.rtd",,$A$2,"."&amp;V$83&amp;V$1&amp;"C"&amp;$A117)="N/A",0,RTD("tos.rtd",,$A$2,"."&amp;V$83&amp;V$1&amp;"C"&amp;$A117))-IF(RTD("tos.rtd",,$A$2,"."&amp;V$83&amp;V$1&amp;"P"&amp;$A117)="N/A",0,RTD("tos.rtd",,$A$2,"."&amp;V$83&amp;V$1&amp;"P"&amp;$A117))</f>
        <v>0</v>
      </c>
      <c r="W117" s="91">
        <f ca="1">IF(RTD("tos.rtd",,$A$2,"."&amp;W$83&amp;W$1&amp;"C"&amp;$A117)="N/A",0,RTD("tos.rtd",,$A$2,"."&amp;W$83&amp;W$1&amp;"C"&amp;$A117))-IF(RTD("tos.rtd",,$A$2,"."&amp;W$83&amp;W$1&amp;"P"&amp;$A117)="N/A",0,RTD("tos.rtd",,$A$2,"."&amp;W$83&amp;W$1&amp;"P"&amp;$A117))</f>
        <v>0</v>
      </c>
      <c r="X117" s="91">
        <f ca="1">IF(RTD("tos.rtd",,$A$2,"."&amp;X$83&amp;X$1&amp;"C"&amp;$A117)="N/A",0,RTD("tos.rtd",,$A$2,"."&amp;X$83&amp;X$1&amp;"C"&amp;$A117))-IF(RTD("tos.rtd",,$A$2,"."&amp;X$83&amp;X$1&amp;"P"&amp;$A117)="N/A",0,RTD("tos.rtd",,$A$2,"."&amp;X$83&amp;X$1&amp;"P"&amp;$A117))</f>
        <v>10</v>
      </c>
      <c r="Y117" s="98">
        <f t="shared" ca="1" si="10"/>
        <v>104</v>
      </c>
    </row>
    <row r="118" spans="1:25" x14ac:dyDescent="0.25">
      <c r="A118" s="93">
        <f>+Hoja1!A117</f>
        <v>5700</v>
      </c>
      <c r="B118" s="91">
        <f ca="1">IF(RTD("tos.rtd",,$A$2,"."&amp;B$83&amp;B$1&amp;"C"&amp;$A118)="N/A",0,RTD("tos.rtd",,$A$2,"."&amp;B$83&amp;B$1&amp;"C"&amp;$A118))-IF(RTD("tos.rtd",,$A$2,"."&amp;B$83&amp;B$1&amp;"P"&amp;$A118)="N/A",0,RTD("tos.rtd",,$A$2,"."&amp;B$83&amp;B$1&amp;"P"&amp;$A118))</f>
        <v>0</v>
      </c>
      <c r="C118" s="91">
        <f ca="1">IF(RTD("tos.rtd",,$A$2,"."&amp;C$83&amp;C$1&amp;"C"&amp;$A118)="N/A",0,RTD("tos.rtd",,$A$2,"."&amp;C$83&amp;C$1&amp;"C"&amp;$A118))-IF(RTD("tos.rtd",,$A$2,"."&amp;C$83&amp;C$1&amp;"P"&amp;$A118)="N/A",0,RTD("tos.rtd",,$A$2,"."&amp;C$83&amp;C$1&amp;"P"&amp;$A118))</f>
        <v>0</v>
      </c>
      <c r="D118" s="91">
        <f ca="1">IF(RTD("tos.rtd",,$A$2,"."&amp;D$83&amp;D$1&amp;"C"&amp;$A118)="N/A",0,RTD("tos.rtd",,$A$2,"."&amp;D$83&amp;D$1&amp;"C"&amp;$A118))-IF(RTD("tos.rtd",,$A$2,"."&amp;D$83&amp;D$1&amp;"P"&amp;$A118)="N/A",0,RTD("tos.rtd",,$A$2,"."&amp;D$83&amp;D$1&amp;"P"&amp;$A118))</f>
        <v>0</v>
      </c>
      <c r="E118" s="91">
        <f ca="1">IF(RTD("tos.rtd",,$A$2,"."&amp;E$83&amp;E$1&amp;"C"&amp;$A118)="N/A",0,RTD("tos.rtd",,$A$2,"."&amp;E$83&amp;E$1&amp;"C"&amp;$A118))-IF(RTD("tos.rtd",,$A$2,"."&amp;E$83&amp;E$1&amp;"P"&amp;$A118)="N/A",0,RTD("tos.rtd",,$A$2,"."&amp;E$83&amp;E$1&amp;"P"&amp;$A118))</f>
        <v>0</v>
      </c>
      <c r="F118" s="91">
        <f ca="1">IF(RTD("tos.rtd",,$A$2,"."&amp;F$83&amp;F$1&amp;"C"&amp;$A118)="N/A",0,RTD("tos.rtd",,$A$2,"."&amp;F$83&amp;F$1&amp;"C"&amp;$A118))-IF(RTD("tos.rtd",,$A$2,"."&amp;F$83&amp;F$1&amp;"P"&amp;$A118)="N/A",0,RTD("tos.rtd",,$A$2,"."&amp;F$83&amp;F$1&amp;"P"&amp;$A118))</f>
        <v>0</v>
      </c>
      <c r="G118" s="91">
        <f ca="1">IF(RTD("tos.rtd",,$A$2,"."&amp;G$83&amp;G$1&amp;"C"&amp;$A118)="N/A",0,RTD("tos.rtd",,$A$2,"."&amp;G$83&amp;G$1&amp;"C"&amp;$A118))-IF(RTD("tos.rtd",,$A$2,"."&amp;G$83&amp;G$1&amp;"P"&amp;$A118)="N/A",0,RTD("tos.rtd",,$A$2,"."&amp;G$83&amp;G$1&amp;"P"&amp;$A118))</f>
        <v>0</v>
      </c>
      <c r="H118" s="91">
        <f ca="1">IF(RTD("tos.rtd",,$A$2,"."&amp;H$83&amp;H$1&amp;"C"&amp;$A118)="N/A",0,RTD("tos.rtd",,$A$2,"."&amp;H$83&amp;H$1&amp;"C"&amp;$A118))-IF(RTD("tos.rtd",,$A$2,"."&amp;H$83&amp;H$1&amp;"P"&amp;$A118)="N/A",0,RTD("tos.rtd",,$A$2,"."&amp;H$83&amp;H$1&amp;"P"&amp;$A118))</f>
        <v>0</v>
      </c>
      <c r="I118" s="91">
        <f ca="1">IF(RTD("tos.rtd",,$A$2,"."&amp;I$83&amp;I$1&amp;"C"&amp;$A118)="N/A",0,RTD("tos.rtd",,$A$2,"."&amp;I$83&amp;I$1&amp;"C"&amp;$A118))-IF(RTD("tos.rtd",,$A$2,"."&amp;I$83&amp;I$1&amp;"P"&amp;$A118)="N/A",0,RTD("tos.rtd",,$A$2,"."&amp;I$83&amp;I$1&amp;"P"&amp;$A118))</f>
        <v>-1965</v>
      </c>
      <c r="J118" s="91">
        <f ca="1">IF(RTD("tos.rtd",,$A$2,"."&amp;J$83&amp;J$1&amp;"C"&amp;$A118)="N/A",0,RTD("tos.rtd",,$A$2,"."&amp;J$83&amp;J$1&amp;"C"&amp;$A118))-IF(RTD("tos.rtd",,$A$2,"."&amp;J$83&amp;J$1&amp;"P"&amp;$A118)="N/A",0,RTD("tos.rtd",,$A$2,"."&amp;J$83&amp;J$1&amp;"P"&amp;$A118))</f>
        <v>-101</v>
      </c>
      <c r="K118" s="91">
        <f ca="1">IF(RTD("tos.rtd",,$A$2,"."&amp;K$83&amp;K$1&amp;"C"&amp;$A118)="N/A",0,RTD("tos.rtd",,$A$2,"."&amp;K$83&amp;K$1&amp;"C"&amp;$A118))-IF(RTD("tos.rtd",,$A$2,"."&amp;K$83&amp;K$1&amp;"P"&amp;$A118)="N/A",0,RTD("tos.rtd",,$A$2,"."&amp;K$83&amp;K$1&amp;"P"&amp;$A118))</f>
        <v>0</v>
      </c>
      <c r="L118" s="91">
        <f ca="1">IF(RTD("tos.rtd",,$A$2,"."&amp;L$83&amp;L$1&amp;"C"&amp;$A118)="N/A",0,RTD("tos.rtd",,$A$2,"."&amp;L$83&amp;L$1&amp;"C"&amp;$A118))-IF(RTD("tos.rtd",,$A$2,"."&amp;L$83&amp;L$1&amp;"P"&amp;$A118)="N/A",0,RTD("tos.rtd",,$A$2,"."&amp;L$83&amp;L$1&amp;"P"&amp;$A118))</f>
        <v>1225</v>
      </c>
      <c r="M118" s="91">
        <f ca="1">IF(RTD("tos.rtd",,$A$2,"."&amp;M$83&amp;M$1&amp;"C"&amp;$A118)="N/A",0,RTD("tos.rtd",,$A$2,"."&amp;M$83&amp;M$1&amp;"C"&amp;$A118))-IF(RTD("tos.rtd",,$A$2,"."&amp;M$83&amp;M$1&amp;"P"&amp;$A118)="N/A",0,RTD("tos.rtd",,$A$2,"."&amp;M$83&amp;M$1&amp;"P"&amp;$A118))</f>
        <v>-956</v>
      </c>
      <c r="N118" s="91">
        <f ca="1">IF(RTD("tos.rtd",,$A$2,"."&amp;N$83&amp;N$1&amp;"C"&amp;$A118)="N/A",0,RTD("tos.rtd",,$A$2,"."&amp;N$83&amp;N$1&amp;"C"&amp;$A118))-IF(RTD("tos.rtd",,$A$2,"."&amp;N$83&amp;N$1&amp;"P"&amp;$A118)="N/A",0,RTD("tos.rtd",,$A$2,"."&amp;N$83&amp;N$1&amp;"P"&amp;$A118))</f>
        <v>-166</v>
      </c>
      <c r="O118" s="91">
        <f ca="1">IF(RTD("tos.rtd",,$A$2,"."&amp;O$83&amp;O$1&amp;"C"&amp;$A118)="N/A",0,RTD("tos.rtd",,$A$2,"."&amp;O$83&amp;O$1&amp;"C"&amp;$A118))-IF(RTD("tos.rtd",,$A$2,"."&amp;O$83&amp;O$1&amp;"P"&amp;$A118)="N/A",0,RTD("tos.rtd",,$A$2,"."&amp;O$83&amp;O$1&amp;"P"&amp;$A118))</f>
        <v>-152</v>
      </c>
      <c r="P118" s="91">
        <f ca="1">IF(RTD("tos.rtd",,$A$2,"."&amp;P$83&amp;P$1&amp;"C"&amp;$A118)="N/A",0,RTD("tos.rtd",,$A$2,"."&amp;P$83&amp;P$1&amp;"C"&amp;$A118))-IF(RTD("tos.rtd",,$A$2,"."&amp;P$83&amp;P$1&amp;"P"&amp;$A118)="N/A",0,RTD("tos.rtd",,$A$2,"."&amp;P$83&amp;P$1&amp;"P"&amp;$A118))</f>
        <v>-23</v>
      </c>
      <c r="Q118" s="91">
        <f ca="1">IF(RTD("tos.rtd",,$A$2,"."&amp;Q$83&amp;Q$1&amp;"C"&amp;$A118)="N/A",0,RTD("tos.rtd",,$A$2,"."&amp;Q$83&amp;Q$1&amp;"C"&amp;$A118))-IF(RTD("tos.rtd",,$A$2,"."&amp;Q$83&amp;Q$1&amp;"P"&amp;$A118)="N/A",0,RTD("tos.rtd",,$A$2,"."&amp;Q$83&amp;Q$1&amp;"P"&amp;$A118))</f>
        <v>-54</v>
      </c>
      <c r="R118" s="91">
        <f ca="1">IF(RTD("tos.rtd",,$A$2,"."&amp;R$83&amp;R$1&amp;"C"&amp;$A118)="N/A",0,RTD("tos.rtd",,$A$2,"."&amp;R$83&amp;R$1&amp;"C"&amp;$A118))-IF(RTD("tos.rtd",,$A$2,"."&amp;R$83&amp;R$1&amp;"P"&amp;$A118)="N/A",0,RTD("tos.rtd",,$A$2,"."&amp;R$83&amp;R$1&amp;"P"&amp;$A118))</f>
        <v>15</v>
      </c>
      <c r="S118" s="91">
        <f ca="1">IF(RTD("tos.rtd",,$A$2,"."&amp;S$83&amp;S$1&amp;"C"&amp;$A118)="N/A",0,RTD("tos.rtd",,$A$2,"."&amp;S$83&amp;S$1&amp;"C"&amp;$A118))-IF(RTD("tos.rtd",,$A$2,"."&amp;S$83&amp;S$1&amp;"P"&amp;$A118)="N/A",0,RTD("tos.rtd",,$A$2,"."&amp;S$83&amp;S$1&amp;"P"&amp;$A118))</f>
        <v>10</v>
      </c>
      <c r="T118" s="91">
        <f ca="1">IF(RTD("tos.rtd",,$A$2,"."&amp;T$83&amp;T$1&amp;"C"&amp;$A118)="N/A",0,RTD("tos.rtd",,$A$2,"."&amp;T$83&amp;T$1&amp;"C"&amp;$A118))-IF(RTD("tos.rtd",,$A$2,"."&amp;T$83&amp;T$1&amp;"P"&amp;$A118)="N/A",0,RTD("tos.rtd",,$A$2,"."&amp;T$83&amp;T$1&amp;"P"&amp;$A118))</f>
        <v>-36</v>
      </c>
      <c r="U118" s="91">
        <f ca="1">IF(RTD("tos.rtd",,$A$2,"."&amp;U$83&amp;U$1&amp;"C"&amp;$A118)="N/A",0,RTD("tos.rtd",,$A$2,"."&amp;U$83&amp;U$1&amp;"C"&amp;$A118))-IF(RTD("tos.rtd",,$A$2,"."&amp;U$83&amp;U$1&amp;"P"&amp;$A118)="N/A",0,RTD("tos.rtd",,$A$2,"."&amp;U$83&amp;U$1&amp;"P"&amp;$A118))</f>
        <v>-8</v>
      </c>
      <c r="V118" s="91">
        <f ca="1">IF(RTD("tos.rtd",,$A$2,"."&amp;V$83&amp;V$1&amp;"C"&amp;$A118)="N/A",0,RTD("tos.rtd",,$A$2,"."&amp;V$83&amp;V$1&amp;"C"&amp;$A118))-IF(RTD("tos.rtd",,$A$2,"."&amp;V$83&amp;V$1&amp;"P"&amp;$A118)="N/A",0,RTD("tos.rtd",,$A$2,"."&amp;V$83&amp;V$1&amp;"P"&amp;$A118))</f>
        <v>0</v>
      </c>
      <c r="W118" s="91">
        <f ca="1">IF(RTD("tos.rtd",,$A$2,"."&amp;W$83&amp;W$1&amp;"C"&amp;$A118)="N/A",0,RTD("tos.rtd",,$A$2,"."&amp;W$83&amp;W$1&amp;"C"&amp;$A118))-IF(RTD("tos.rtd",,$A$2,"."&amp;W$83&amp;W$1&amp;"P"&amp;$A118)="N/A",0,RTD("tos.rtd",,$A$2,"."&amp;W$83&amp;W$1&amp;"P"&amp;$A118))</f>
        <v>-520</v>
      </c>
      <c r="X118" s="91">
        <f ca="1">IF(RTD("tos.rtd",,$A$2,"."&amp;X$83&amp;X$1&amp;"C"&amp;$A118)="N/A",0,RTD("tos.rtd",,$A$2,"."&amp;X$83&amp;X$1&amp;"C"&amp;$A118))-IF(RTD("tos.rtd",,$A$2,"."&amp;X$83&amp;X$1&amp;"P"&amp;$A118)="N/A",0,RTD("tos.rtd",,$A$2,"."&amp;X$83&amp;X$1&amp;"P"&amp;$A118))</f>
        <v>-72</v>
      </c>
      <c r="Y118" s="98">
        <f t="shared" ca="1" si="10"/>
        <v>-2803</v>
      </c>
    </row>
    <row r="119" spans="1:25" x14ac:dyDescent="0.25">
      <c r="A119" s="93">
        <f>+Hoja1!A118</f>
        <v>5690</v>
      </c>
      <c r="B119" s="91">
        <f ca="1">IF(RTD("tos.rtd",,$A$2,"."&amp;B$83&amp;B$1&amp;"C"&amp;$A119)="N/A",0,RTD("tos.rtd",,$A$2,"."&amp;B$83&amp;B$1&amp;"C"&amp;$A119))-IF(RTD("tos.rtd",,$A$2,"."&amp;B$83&amp;B$1&amp;"P"&amp;$A119)="N/A",0,RTD("tos.rtd",,$A$2,"."&amp;B$83&amp;B$1&amp;"P"&amp;$A119))</f>
        <v>0</v>
      </c>
      <c r="C119" s="91">
        <f ca="1">IF(RTD("tos.rtd",,$A$2,"."&amp;C$83&amp;C$1&amp;"C"&amp;$A119)="N/A",0,RTD("tos.rtd",,$A$2,"."&amp;C$83&amp;C$1&amp;"C"&amp;$A119))-IF(RTD("tos.rtd",,$A$2,"."&amp;C$83&amp;C$1&amp;"P"&amp;$A119)="N/A",0,RTD("tos.rtd",,$A$2,"."&amp;C$83&amp;C$1&amp;"P"&amp;$A119))</f>
        <v>0</v>
      </c>
      <c r="D119" s="91">
        <f ca="1">IF(RTD("tos.rtd",,$A$2,"."&amp;D$83&amp;D$1&amp;"C"&amp;$A119)="N/A",0,RTD("tos.rtd",,$A$2,"."&amp;D$83&amp;D$1&amp;"C"&amp;$A119))-IF(RTD("tos.rtd",,$A$2,"."&amp;D$83&amp;D$1&amp;"P"&amp;$A119)="N/A",0,RTD("tos.rtd",,$A$2,"."&amp;D$83&amp;D$1&amp;"P"&amp;$A119))</f>
        <v>0</v>
      </c>
      <c r="E119" s="91">
        <f ca="1">IF(RTD("tos.rtd",,$A$2,"."&amp;E$83&amp;E$1&amp;"C"&amp;$A119)="N/A",0,RTD("tos.rtd",,$A$2,"."&amp;E$83&amp;E$1&amp;"C"&amp;$A119))-IF(RTD("tos.rtd",,$A$2,"."&amp;E$83&amp;E$1&amp;"P"&amp;$A119)="N/A",0,RTD("tos.rtd",,$A$2,"."&amp;E$83&amp;E$1&amp;"P"&amp;$A119))</f>
        <v>0</v>
      </c>
      <c r="F119" s="91">
        <f ca="1">IF(RTD("tos.rtd",,$A$2,"."&amp;F$83&amp;F$1&amp;"C"&amp;$A119)="N/A",0,RTD("tos.rtd",,$A$2,"."&amp;F$83&amp;F$1&amp;"C"&amp;$A119))-IF(RTD("tos.rtd",,$A$2,"."&amp;F$83&amp;F$1&amp;"P"&amp;$A119)="N/A",0,RTD("tos.rtd",,$A$2,"."&amp;F$83&amp;F$1&amp;"P"&amp;$A119))</f>
        <v>0</v>
      </c>
      <c r="G119" s="91">
        <f ca="1">IF(RTD("tos.rtd",,$A$2,"."&amp;G$83&amp;G$1&amp;"C"&amp;$A119)="N/A",0,RTD("tos.rtd",,$A$2,"."&amp;G$83&amp;G$1&amp;"C"&amp;$A119))-IF(RTD("tos.rtd",,$A$2,"."&amp;G$83&amp;G$1&amp;"P"&amp;$A119)="N/A",0,RTD("tos.rtd",,$A$2,"."&amp;G$83&amp;G$1&amp;"P"&amp;$A119))</f>
        <v>0</v>
      </c>
      <c r="H119" s="91">
        <f ca="1">IF(RTD("tos.rtd",,$A$2,"."&amp;H$83&amp;H$1&amp;"C"&amp;$A119)="N/A",0,RTD("tos.rtd",,$A$2,"."&amp;H$83&amp;H$1&amp;"C"&amp;$A119))-IF(RTD("tos.rtd",,$A$2,"."&amp;H$83&amp;H$1&amp;"P"&amp;$A119)="N/A",0,RTD("tos.rtd",,$A$2,"."&amp;H$83&amp;H$1&amp;"P"&amp;$A119))</f>
        <v>0</v>
      </c>
      <c r="I119" s="91">
        <f ca="1">IF(RTD("tos.rtd",,$A$2,"."&amp;I$83&amp;I$1&amp;"C"&amp;$A119)="N/A",0,RTD("tos.rtd",,$A$2,"."&amp;I$83&amp;I$1&amp;"C"&amp;$A119))-IF(RTD("tos.rtd",,$A$2,"."&amp;I$83&amp;I$1&amp;"P"&amp;$A119)="N/A",0,RTD("tos.rtd",,$A$2,"."&amp;I$83&amp;I$1&amp;"P"&amp;$A119))</f>
        <v>-31</v>
      </c>
      <c r="J119" s="91">
        <f ca="1">IF(RTD("tos.rtd",,$A$2,"."&amp;J$83&amp;J$1&amp;"C"&amp;$A119)="N/A",0,RTD("tos.rtd",,$A$2,"."&amp;J$83&amp;J$1&amp;"C"&amp;$A119))-IF(RTD("tos.rtd",,$A$2,"."&amp;J$83&amp;J$1&amp;"P"&amp;$A119)="N/A",0,RTD("tos.rtd",,$A$2,"."&amp;J$83&amp;J$1&amp;"P"&amp;$A119))</f>
        <v>-232</v>
      </c>
      <c r="K119" s="91">
        <f ca="1">IF(RTD("tos.rtd",,$A$2,"."&amp;K$83&amp;K$1&amp;"C"&amp;$A119)="N/A",0,RTD("tos.rtd",,$A$2,"."&amp;K$83&amp;K$1&amp;"C"&amp;$A119))-IF(RTD("tos.rtd",,$A$2,"."&amp;K$83&amp;K$1&amp;"P"&amp;$A119)="N/A",0,RTD("tos.rtd",,$A$2,"."&amp;K$83&amp;K$1&amp;"P"&amp;$A119))</f>
        <v>0</v>
      </c>
      <c r="L119" s="91">
        <f ca="1">IF(RTD("tos.rtd",,$A$2,"."&amp;L$83&amp;L$1&amp;"C"&amp;$A119)="N/A",0,RTD("tos.rtd",,$A$2,"."&amp;L$83&amp;L$1&amp;"C"&amp;$A119))-IF(RTD("tos.rtd",,$A$2,"."&amp;L$83&amp;L$1&amp;"P"&amp;$A119)="N/A",0,RTD("tos.rtd",,$A$2,"."&amp;L$83&amp;L$1&amp;"P"&amp;$A119))</f>
        <v>71</v>
      </c>
      <c r="M119" s="91">
        <f ca="1">IF(RTD("tos.rtd",,$A$2,"."&amp;M$83&amp;M$1&amp;"C"&amp;$A119)="N/A",0,RTD("tos.rtd",,$A$2,"."&amp;M$83&amp;M$1&amp;"C"&amp;$A119))-IF(RTD("tos.rtd",,$A$2,"."&amp;M$83&amp;M$1&amp;"P"&amp;$A119)="N/A",0,RTD("tos.rtd",,$A$2,"."&amp;M$83&amp;M$1&amp;"P"&amp;$A119))</f>
        <v>-17</v>
      </c>
      <c r="N119" s="91">
        <f ca="1">IF(RTD("tos.rtd",,$A$2,"."&amp;N$83&amp;N$1&amp;"C"&amp;$A119)="N/A",0,RTD("tos.rtd",,$A$2,"."&amp;N$83&amp;N$1&amp;"C"&amp;$A119))-IF(RTD("tos.rtd",,$A$2,"."&amp;N$83&amp;N$1&amp;"P"&amp;$A119)="N/A",0,RTD("tos.rtd",,$A$2,"."&amp;N$83&amp;N$1&amp;"P"&amp;$A119))</f>
        <v>-202</v>
      </c>
      <c r="O119" s="91">
        <f ca="1">IF(RTD("tos.rtd",,$A$2,"."&amp;O$83&amp;O$1&amp;"C"&amp;$A119)="N/A",0,RTD("tos.rtd",,$A$2,"."&amp;O$83&amp;O$1&amp;"C"&amp;$A119))-IF(RTD("tos.rtd",,$A$2,"."&amp;O$83&amp;O$1&amp;"P"&amp;$A119)="N/A",0,RTD("tos.rtd",,$A$2,"."&amp;O$83&amp;O$1&amp;"P"&amp;$A119))</f>
        <v>-1</v>
      </c>
      <c r="P119" s="91">
        <f ca="1">IF(RTD("tos.rtd",,$A$2,"."&amp;P$83&amp;P$1&amp;"C"&amp;$A119)="N/A",0,RTD("tos.rtd",,$A$2,"."&amp;P$83&amp;P$1&amp;"C"&amp;$A119))-IF(RTD("tos.rtd",,$A$2,"."&amp;P$83&amp;P$1&amp;"P"&amp;$A119)="N/A",0,RTD("tos.rtd",,$A$2,"."&amp;P$83&amp;P$1&amp;"P"&amp;$A119))</f>
        <v>-5</v>
      </c>
      <c r="Q119" s="91">
        <f ca="1">IF(RTD("tos.rtd",,$A$2,"."&amp;Q$83&amp;Q$1&amp;"C"&amp;$A119)="N/A",0,RTD("tos.rtd",,$A$2,"."&amp;Q$83&amp;Q$1&amp;"C"&amp;$A119))-IF(RTD("tos.rtd",,$A$2,"."&amp;Q$83&amp;Q$1&amp;"P"&amp;$A119)="N/A",0,RTD("tos.rtd",,$A$2,"."&amp;Q$83&amp;Q$1&amp;"P"&amp;$A119))</f>
        <v>0</v>
      </c>
      <c r="R119" s="91">
        <f ca="1">IF(RTD("tos.rtd",,$A$2,"."&amp;R$83&amp;R$1&amp;"C"&amp;$A119)="N/A",0,RTD("tos.rtd",,$A$2,"."&amp;R$83&amp;R$1&amp;"C"&amp;$A119))-IF(RTD("tos.rtd",,$A$2,"."&amp;R$83&amp;R$1&amp;"P"&amp;$A119)="N/A",0,RTD("tos.rtd",,$A$2,"."&amp;R$83&amp;R$1&amp;"P"&amp;$A119))</f>
        <v>-5</v>
      </c>
      <c r="S119" s="91">
        <f ca="1">IF(RTD("tos.rtd",,$A$2,"."&amp;S$83&amp;S$1&amp;"C"&amp;$A119)="N/A",0,RTD("tos.rtd",,$A$2,"."&amp;S$83&amp;S$1&amp;"C"&amp;$A119))-IF(RTD("tos.rtd",,$A$2,"."&amp;S$83&amp;S$1&amp;"P"&amp;$A119)="N/A",0,RTD("tos.rtd",,$A$2,"."&amp;S$83&amp;S$1&amp;"P"&amp;$A119))</f>
        <v>0</v>
      </c>
      <c r="T119" s="91">
        <f ca="1">IF(RTD("tos.rtd",,$A$2,"."&amp;T$83&amp;T$1&amp;"C"&amp;$A119)="N/A",0,RTD("tos.rtd",,$A$2,"."&amp;T$83&amp;T$1&amp;"C"&amp;$A119))-IF(RTD("tos.rtd",,$A$2,"."&amp;T$83&amp;T$1&amp;"P"&amp;$A119)="N/A",0,RTD("tos.rtd",,$A$2,"."&amp;T$83&amp;T$1&amp;"P"&amp;$A119))</f>
        <v>-11</v>
      </c>
      <c r="U119" s="91">
        <f ca="1">IF(RTD("tos.rtd",,$A$2,"."&amp;U$83&amp;U$1&amp;"C"&amp;$A119)="N/A",0,RTD("tos.rtd",,$A$2,"."&amp;U$83&amp;U$1&amp;"C"&amp;$A119))-IF(RTD("tos.rtd",,$A$2,"."&amp;U$83&amp;U$1&amp;"P"&amp;$A119)="N/A",0,RTD("tos.rtd",,$A$2,"."&amp;U$83&amp;U$1&amp;"P"&amp;$A119))</f>
        <v>0</v>
      </c>
      <c r="V119" s="91">
        <f ca="1">IF(RTD("tos.rtd",,$A$2,"."&amp;V$83&amp;V$1&amp;"C"&amp;$A119)="N/A",0,RTD("tos.rtd",,$A$2,"."&amp;V$83&amp;V$1&amp;"C"&amp;$A119))-IF(RTD("tos.rtd",,$A$2,"."&amp;V$83&amp;V$1&amp;"P"&amp;$A119)="N/A",0,RTD("tos.rtd",,$A$2,"."&amp;V$83&amp;V$1&amp;"P"&amp;$A119))</f>
        <v>0</v>
      </c>
      <c r="W119" s="91">
        <f ca="1">IF(RTD("tos.rtd",,$A$2,"."&amp;W$83&amp;W$1&amp;"C"&amp;$A119)="N/A",0,RTD("tos.rtd",,$A$2,"."&amp;W$83&amp;W$1&amp;"C"&amp;$A119))-IF(RTD("tos.rtd",,$A$2,"."&amp;W$83&amp;W$1&amp;"P"&amp;$A119)="N/A",0,RTD("tos.rtd",,$A$2,"."&amp;W$83&amp;W$1&amp;"P"&amp;$A119))</f>
        <v>0</v>
      </c>
      <c r="X119" s="91">
        <f ca="1">IF(RTD("tos.rtd",,$A$2,"."&amp;X$83&amp;X$1&amp;"C"&amp;$A119)="N/A",0,RTD("tos.rtd",,$A$2,"."&amp;X$83&amp;X$1&amp;"C"&amp;$A119))-IF(RTD("tos.rtd",,$A$2,"."&amp;X$83&amp;X$1&amp;"P"&amp;$A119)="N/A",0,RTD("tos.rtd",,$A$2,"."&amp;X$83&amp;X$1&amp;"P"&amp;$A119))</f>
        <v>1</v>
      </c>
      <c r="Y119" s="98">
        <f t="shared" ca="1" si="10"/>
        <v>-432</v>
      </c>
    </row>
    <row r="120" spans="1:25" x14ac:dyDescent="0.25">
      <c r="A120" s="93">
        <f>+Hoja1!A119</f>
        <v>5680</v>
      </c>
      <c r="B120" s="91">
        <f ca="1">IF(RTD("tos.rtd",,$A$2,"."&amp;B$83&amp;B$1&amp;"C"&amp;$A120)="N/A",0,RTD("tos.rtd",,$A$2,"."&amp;B$83&amp;B$1&amp;"C"&amp;$A120))-IF(RTD("tos.rtd",,$A$2,"."&amp;B$83&amp;B$1&amp;"P"&amp;$A120)="N/A",0,RTD("tos.rtd",,$A$2,"."&amp;B$83&amp;B$1&amp;"P"&amp;$A120))</f>
        <v>0</v>
      </c>
      <c r="C120" s="91">
        <f ca="1">IF(RTD("tos.rtd",,$A$2,"."&amp;C$83&amp;C$1&amp;"C"&amp;$A120)="N/A",0,RTD("tos.rtd",,$A$2,"."&amp;C$83&amp;C$1&amp;"C"&amp;$A120))-IF(RTD("tos.rtd",,$A$2,"."&amp;C$83&amp;C$1&amp;"P"&amp;$A120)="N/A",0,RTD("tos.rtd",,$A$2,"."&amp;C$83&amp;C$1&amp;"P"&amp;$A120))</f>
        <v>0</v>
      </c>
      <c r="D120" s="91">
        <f ca="1">IF(RTD("tos.rtd",,$A$2,"."&amp;D$83&amp;D$1&amp;"C"&amp;$A120)="N/A",0,RTD("tos.rtd",,$A$2,"."&amp;D$83&amp;D$1&amp;"C"&amp;$A120))-IF(RTD("tos.rtd",,$A$2,"."&amp;D$83&amp;D$1&amp;"P"&amp;$A120)="N/A",0,RTD("tos.rtd",,$A$2,"."&amp;D$83&amp;D$1&amp;"P"&amp;$A120))</f>
        <v>0</v>
      </c>
      <c r="E120" s="91">
        <f ca="1">IF(RTD("tos.rtd",,$A$2,"."&amp;E$83&amp;E$1&amp;"C"&amp;$A120)="N/A",0,RTD("tos.rtd",,$A$2,"."&amp;E$83&amp;E$1&amp;"C"&amp;$A120))-IF(RTD("tos.rtd",,$A$2,"."&amp;E$83&amp;E$1&amp;"P"&amp;$A120)="N/A",0,RTD("tos.rtd",,$A$2,"."&amp;E$83&amp;E$1&amp;"P"&amp;$A120))</f>
        <v>0</v>
      </c>
      <c r="F120" s="91">
        <f ca="1">IF(RTD("tos.rtd",,$A$2,"."&amp;F$83&amp;F$1&amp;"C"&amp;$A120)="N/A",0,RTD("tos.rtd",,$A$2,"."&amp;F$83&amp;F$1&amp;"C"&amp;$A120))-IF(RTD("tos.rtd",,$A$2,"."&amp;F$83&amp;F$1&amp;"P"&amp;$A120)="N/A",0,RTD("tos.rtd",,$A$2,"."&amp;F$83&amp;F$1&amp;"P"&amp;$A120))</f>
        <v>0</v>
      </c>
      <c r="G120" s="91">
        <f ca="1">IF(RTD("tos.rtd",,$A$2,"."&amp;G$83&amp;G$1&amp;"C"&amp;$A120)="N/A",0,RTD("tos.rtd",,$A$2,"."&amp;G$83&amp;G$1&amp;"C"&amp;$A120))-IF(RTD("tos.rtd",,$A$2,"."&amp;G$83&amp;G$1&amp;"P"&amp;$A120)="N/A",0,RTD("tos.rtd",,$A$2,"."&amp;G$83&amp;G$1&amp;"P"&amp;$A120))</f>
        <v>0</v>
      </c>
      <c r="H120" s="91">
        <f ca="1">IF(RTD("tos.rtd",,$A$2,"."&amp;H$83&amp;H$1&amp;"C"&amp;$A120)="N/A",0,RTD("tos.rtd",,$A$2,"."&amp;H$83&amp;H$1&amp;"C"&amp;$A120))-IF(RTD("tos.rtd",,$A$2,"."&amp;H$83&amp;H$1&amp;"P"&amp;$A120)="N/A",0,RTD("tos.rtd",,$A$2,"."&amp;H$83&amp;H$1&amp;"P"&amp;$A120))</f>
        <v>0</v>
      </c>
      <c r="I120" s="91">
        <f ca="1">IF(RTD("tos.rtd",,$A$2,"."&amp;I$83&amp;I$1&amp;"C"&amp;$A120)="N/A",0,RTD("tos.rtd",,$A$2,"."&amp;I$83&amp;I$1&amp;"C"&amp;$A120))-IF(RTD("tos.rtd",,$A$2,"."&amp;I$83&amp;I$1&amp;"P"&amp;$A120)="N/A",0,RTD("tos.rtd",,$A$2,"."&amp;I$83&amp;I$1&amp;"P"&amp;$A120))</f>
        <v>-20</v>
      </c>
      <c r="J120" s="91">
        <f ca="1">IF(RTD("tos.rtd",,$A$2,"."&amp;J$83&amp;J$1&amp;"C"&amp;$A120)="N/A",0,RTD("tos.rtd",,$A$2,"."&amp;J$83&amp;J$1&amp;"C"&amp;$A120))-IF(RTD("tos.rtd",,$A$2,"."&amp;J$83&amp;J$1&amp;"P"&amp;$A120)="N/A",0,RTD("tos.rtd",,$A$2,"."&amp;J$83&amp;J$1&amp;"P"&amp;$A120))</f>
        <v>-515</v>
      </c>
      <c r="K120" s="91">
        <f ca="1">IF(RTD("tos.rtd",,$A$2,"."&amp;K$83&amp;K$1&amp;"C"&amp;$A120)="N/A",0,RTD("tos.rtd",,$A$2,"."&amp;K$83&amp;K$1&amp;"C"&amp;$A120))-IF(RTD("tos.rtd",,$A$2,"."&amp;K$83&amp;K$1&amp;"P"&amp;$A120)="N/A",0,RTD("tos.rtd",,$A$2,"."&amp;K$83&amp;K$1&amp;"P"&amp;$A120))</f>
        <v>0</v>
      </c>
      <c r="L120" s="91">
        <f ca="1">IF(RTD("tos.rtd",,$A$2,"."&amp;L$83&amp;L$1&amp;"C"&amp;$A120)="N/A",0,RTD("tos.rtd",,$A$2,"."&amp;L$83&amp;L$1&amp;"C"&amp;$A120))-IF(RTD("tos.rtd",,$A$2,"."&amp;L$83&amp;L$1&amp;"P"&amp;$A120)="N/A",0,RTD("tos.rtd",,$A$2,"."&amp;L$83&amp;L$1&amp;"P"&amp;$A120))</f>
        <v>2</v>
      </c>
      <c r="M120" s="91">
        <f ca="1">IF(RTD("tos.rtd",,$A$2,"."&amp;M$83&amp;M$1&amp;"C"&amp;$A120)="N/A",0,RTD("tos.rtd",,$A$2,"."&amp;M$83&amp;M$1&amp;"C"&amp;$A120))-IF(RTD("tos.rtd",,$A$2,"."&amp;M$83&amp;M$1&amp;"P"&amp;$A120)="N/A",0,RTD("tos.rtd",,$A$2,"."&amp;M$83&amp;M$1&amp;"P"&amp;$A120))</f>
        <v>12</v>
      </c>
      <c r="N120" s="91">
        <f ca="1">IF(RTD("tos.rtd",,$A$2,"."&amp;N$83&amp;N$1&amp;"C"&amp;$A120)="N/A",0,RTD("tos.rtd",,$A$2,"."&amp;N$83&amp;N$1&amp;"C"&amp;$A120))-IF(RTD("tos.rtd",,$A$2,"."&amp;N$83&amp;N$1&amp;"P"&amp;$A120)="N/A",0,RTD("tos.rtd",,$A$2,"."&amp;N$83&amp;N$1&amp;"P"&amp;$A120))</f>
        <v>-24</v>
      </c>
      <c r="O120" s="91">
        <f ca="1">IF(RTD("tos.rtd",,$A$2,"."&amp;O$83&amp;O$1&amp;"C"&amp;$A120)="N/A",0,RTD("tos.rtd",,$A$2,"."&amp;O$83&amp;O$1&amp;"C"&amp;$A120))-IF(RTD("tos.rtd",,$A$2,"."&amp;O$83&amp;O$1&amp;"P"&amp;$A120)="N/A",0,RTD("tos.rtd",,$A$2,"."&amp;O$83&amp;O$1&amp;"P"&amp;$A120))</f>
        <v>-1</v>
      </c>
      <c r="P120" s="91">
        <f ca="1">IF(RTD("tos.rtd",,$A$2,"."&amp;P$83&amp;P$1&amp;"C"&amp;$A120)="N/A",0,RTD("tos.rtd",,$A$2,"."&amp;P$83&amp;P$1&amp;"C"&amp;$A120))-IF(RTD("tos.rtd",,$A$2,"."&amp;P$83&amp;P$1&amp;"P"&amp;$A120)="N/A",0,RTD("tos.rtd",,$A$2,"."&amp;P$83&amp;P$1&amp;"P"&amp;$A120))</f>
        <v>-160</v>
      </c>
      <c r="Q120" s="91">
        <f ca="1">IF(RTD("tos.rtd",,$A$2,"."&amp;Q$83&amp;Q$1&amp;"C"&amp;$A120)="N/A",0,RTD("tos.rtd",,$A$2,"."&amp;Q$83&amp;Q$1&amp;"C"&amp;$A120))-IF(RTD("tos.rtd",,$A$2,"."&amp;Q$83&amp;Q$1&amp;"P"&amp;$A120)="N/A",0,RTD("tos.rtd",,$A$2,"."&amp;Q$83&amp;Q$1&amp;"P"&amp;$A120))</f>
        <v>0</v>
      </c>
      <c r="R120" s="91">
        <f ca="1">IF(RTD("tos.rtd",,$A$2,"."&amp;R$83&amp;R$1&amp;"C"&amp;$A120)="N/A",0,RTD("tos.rtd",,$A$2,"."&amp;R$83&amp;R$1&amp;"C"&amp;$A120))-IF(RTD("tos.rtd",,$A$2,"."&amp;R$83&amp;R$1&amp;"P"&amp;$A120)="N/A",0,RTD("tos.rtd",,$A$2,"."&amp;R$83&amp;R$1&amp;"P"&amp;$A120))</f>
        <v>-13</v>
      </c>
      <c r="S120" s="91">
        <f ca="1">IF(RTD("tos.rtd",,$A$2,"."&amp;S$83&amp;S$1&amp;"C"&amp;$A120)="N/A",0,RTD("tos.rtd",,$A$2,"."&amp;S$83&amp;S$1&amp;"C"&amp;$A120))-IF(RTD("tos.rtd",,$A$2,"."&amp;S$83&amp;S$1&amp;"P"&amp;$A120)="N/A",0,RTD("tos.rtd",,$A$2,"."&amp;S$83&amp;S$1&amp;"P"&amp;$A120))</f>
        <v>0</v>
      </c>
      <c r="T120" s="91">
        <f ca="1">IF(RTD("tos.rtd",,$A$2,"."&amp;T$83&amp;T$1&amp;"C"&amp;$A120)="N/A",0,RTD("tos.rtd",,$A$2,"."&amp;T$83&amp;T$1&amp;"C"&amp;$A120))-IF(RTD("tos.rtd",,$A$2,"."&amp;T$83&amp;T$1&amp;"P"&amp;$A120)="N/A",0,RTD("tos.rtd",,$A$2,"."&amp;T$83&amp;T$1&amp;"P"&amp;$A120))</f>
        <v>-2</v>
      </c>
      <c r="U120" s="91">
        <f ca="1">IF(RTD("tos.rtd",,$A$2,"."&amp;U$83&amp;U$1&amp;"C"&amp;$A120)="N/A",0,RTD("tos.rtd",,$A$2,"."&amp;U$83&amp;U$1&amp;"C"&amp;$A120))-IF(RTD("tos.rtd",,$A$2,"."&amp;U$83&amp;U$1&amp;"P"&amp;$A120)="N/A",0,RTD("tos.rtd",,$A$2,"."&amp;U$83&amp;U$1&amp;"P"&amp;$A120))</f>
        <v>0</v>
      </c>
      <c r="V120" s="91">
        <f ca="1">IF(RTD("tos.rtd",,$A$2,"."&amp;V$83&amp;V$1&amp;"C"&amp;$A120)="N/A",0,RTD("tos.rtd",,$A$2,"."&amp;V$83&amp;V$1&amp;"C"&amp;$A120))-IF(RTD("tos.rtd",,$A$2,"."&amp;V$83&amp;V$1&amp;"P"&amp;$A120)="N/A",0,RTD("tos.rtd",,$A$2,"."&amp;V$83&amp;V$1&amp;"P"&amp;$A120))</f>
        <v>0</v>
      </c>
      <c r="W120" s="91">
        <f ca="1">IF(RTD("tos.rtd",,$A$2,"."&amp;W$83&amp;W$1&amp;"C"&amp;$A120)="N/A",0,RTD("tos.rtd",,$A$2,"."&amp;W$83&amp;W$1&amp;"C"&amp;$A120))-IF(RTD("tos.rtd",,$A$2,"."&amp;W$83&amp;W$1&amp;"P"&amp;$A120)="N/A",0,RTD("tos.rtd",,$A$2,"."&amp;W$83&amp;W$1&amp;"P"&amp;$A120))</f>
        <v>0</v>
      </c>
      <c r="X120" s="91">
        <f ca="1">IF(RTD("tos.rtd",,$A$2,"."&amp;X$83&amp;X$1&amp;"C"&amp;$A120)="N/A",0,RTD("tos.rtd",,$A$2,"."&amp;X$83&amp;X$1&amp;"C"&amp;$A120))-IF(RTD("tos.rtd",,$A$2,"."&amp;X$83&amp;X$1&amp;"P"&amp;$A120)="N/A",0,RTD("tos.rtd",,$A$2,"."&amp;X$83&amp;X$1&amp;"P"&amp;$A120))</f>
        <v>0</v>
      </c>
      <c r="Y120" s="98">
        <f t="shared" ca="1" si="10"/>
        <v>-721</v>
      </c>
    </row>
    <row r="121" spans="1:25" x14ac:dyDescent="0.25">
      <c r="A121" s="93">
        <f>+Hoja1!A120</f>
        <v>5670</v>
      </c>
      <c r="B121" s="91">
        <f ca="1">IF(RTD("tos.rtd",,$A$2,"."&amp;B$83&amp;B$1&amp;"C"&amp;$A121)="N/A",0,RTD("tos.rtd",,$A$2,"."&amp;B$83&amp;B$1&amp;"C"&amp;$A121))-IF(RTD("tos.rtd",,$A$2,"."&amp;B$83&amp;B$1&amp;"P"&amp;$A121)="N/A",0,RTD("tos.rtd",,$A$2,"."&amp;B$83&amp;B$1&amp;"P"&amp;$A121))</f>
        <v>0</v>
      </c>
      <c r="C121" s="91">
        <f ca="1">IF(RTD("tos.rtd",,$A$2,"."&amp;C$83&amp;C$1&amp;"C"&amp;$A121)="N/A",0,RTD("tos.rtd",,$A$2,"."&amp;C$83&amp;C$1&amp;"C"&amp;$A121))-IF(RTD("tos.rtd",,$A$2,"."&amp;C$83&amp;C$1&amp;"P"&amp;$A121)="N/A",0,RTD("tos.rtd",,$A$2,"."&amp;C$83&amp;C$1&amp;"P"&amp;$A121))</f>
        <v>0</v>
      </c>
      <c r="D121" s="91">
        <f ca="1">IF(RTD("tos.rtd",,$A$2,"."&amp;D$83&amp;D$1&amp;"C"&amp;$A121)="N/A",0,RTD("tos.rtd",,$A$2,"."&amp;D$83&amp;D$1&amp;"C"&amp;$A121))-IF(RTD("tos.rtd",,$A$2,"."&amp;D$83&amp;D$1&amp;"P"&amp;$A121)="N/A",0,RTD("tos.rtd",,$A$2,"."&amp;D$83&amp;D$1&amp;"P"&amp;$A121))</f>
        <v>0</v>
      </c>
      <c r="E121" s="91">
        <f ca="1">IF(RTD("tos.rtd",,$A$2,"."&amp;E$83&amp;E$1&amp;"C"&amp;$A121)="N/A",0,RTD("tos.rtd",,$A$2,"."&amp;E$83&amp;E$1&amp;"C"&amp;$A121))-IF(RTD("tos.rtd",,$A$2,"."&amp;E$83&amp;E$1&amp;"P"&amp;$A121)="N/A",0,RTD("tos.rtd",,$A$2,"."&amp;E$83&amp;E$1&amp;"P"&amp;$A121))</f>
        <v>0</v>
      </c>
      <c r="F121" s="91">
        <f ca="1">IF(RTD("tos.rtd",,$A$2,"."&amp;F$83&amp;F$1&amp;"C"&amp;$A121)="N/A",0,RTD("tos.rtd",,$A$2,"."&amp;F$83&amp;F$1&amp;"C"&amp;$A121))-IF(RTD("tos.rtd",,$A$2,"."&amp;F$83&amp;F$1&amp;"P"&amp;$A121)="N/A",0,RTD("tos.rtd",,$A$2,"."&amp;F$83&amp;F$1&amp;"P"&amp;$A121))</f>
        <v>0</v>
      </c>
      <c r="G121" s="91">
        <f ca="1">IF(RTD("tos.rtd",,$A$2,"."&amp;G$83&amp;G$1&amp;"C"&amp;$A121)="N/A",0,RTD("tos.rtd",,$A$2,"."&amp;G$83&amp;G$1&amp;"C"&amp;$A121))-IF(RTD("tos.rtd",,$A$2,"."&amp;G$83&amp;G$1&amp;"P"&amp;$A121)="N/A",0,RTD("tos.rtd",,$A$2,"."&amp;G$83&amp;G$1&amp;"P"&amp;$A121))</f>
        <v>0</v>
      </c>
      <c r="H121" s="91">
        <f ca="1">IF(RTD("tos.rtd",,$A$2,"."&amp;H$83&amp;H$1&amp;"C"&amp;$A121)="N/A",0,RTD("tos.rtd",,$A$2,"."&amp;H$83&amp;H$1&amp;"C"&amp;$A121))-IF(RTD("tos.rtd",,$A$2,"."&amp;H$83&amp;H$1&amp;"P"&amp;$A121)="N/A",0,RTD("tos.rtd",,$A$2,"."&amp;H$83&amp;H$1&amp;"P"&amp;$A121))</f>
        <v>0</v>
      </c>
      <c r="I121" s="91">
        <f ca="1">IF(RTD("tos.rtd",,$A$2,"."&amp;I$83&amp;I$1&amp;"C"&amp;$A121)="N/A",0,RTD("tos.rtd",,$A$2,"."&amp;I$83&amp;I$1&amp;"C"&amp;$A121))-IF(RTD("tos.rtd",,$A$2,"."&amp;I$83&amp;I$1&amp;"P"&amp;$A121)="N/A",0,RTD("tos.rtd",,$A$2,"."&amp;I$83&amp;I$1&amp;"P"&amp;$A121))</f>
        <v>-9</v>
      </c>
      <c r="J121" s="91">
        <f ca="1">IF(RTD("tos.rtd",,$A$2,"."&amp;J$83&amp;J$1&amp;"C"&amp;$A121)="N/A",0,RTD("tos.rtd",,$A$2,"."&amp;J$83&amp;J$1&amp;"C"&amp;$A121))-IF(RTD("tos.rtd",,$A$2,"."&amp;J$83&amp;J$1&amp;"P"&amp;$A121)="N/A",0,RTD("tos.rtd",,$A$2,"."&amp;J$83&amp;J$1&amp;"P"&amp;$A121))</f>
        <v>-54</v>
      </c>
      <c r="K121" s="91">
        <f ca="1">IF(RTD("tos.rtd",,$A$2,"."&amp;K$83&amp;K$1&amp;"C"&amp;$A121)="N/A",0,RTD("tos.rtd",,$A$2,"."&amp;K$83&amp;K$1&amp;"C"&amp;$A121))-IF(RTD("tos.rtd",,$A$2,"."&amp;K$83&amp;K$1&amp;"P"&amp;$A121)="N/A",0,RTD("tos.rtd",,$A$2,"."&amp;K$83&amp;K$1&amp;"P"&amp;$A121))</f>
        <v>0</v>
      </c>
      <c r="L121" s="91">
        <f ca="1">IF(RTD("tos.rtd",,$A$2,"."&amp;L$83&amp;L$1&amp;"C"&amp;$A121)="N/A",0,RTD("tos.rtd",,$A$2,"."&amp;L$83&amp;L$1&amp;"C"&amp;$A121))-IF(RTD("tos.rtd",,$A$2,"."&amp;L$83&amp;L$1&amp;"P"&amp;$A121)="N/A",0,RTD("tos.rtd",,$A$2,"."&amp;L$83&amp;L$1&amp;"P"&amp;$A121))</f>
        <v>11</v>
      </c>
      <c r="M121" s="91">
        <f ca="1">IF(RTD("tos.rtd",,$A$2,"."&amp;M$83&amp;M$1&amp;"C"&amp;$A121)="N/A",0,RTD("tos.rtd",,$A$2,"."&amp;M$83&amp;M$1&amp;"C"&amp;$A121))-IF(RTD("tos.rtd",,$A$2,"."&amp;M$83&amp;M$1&amp;"P"&amp;$A121)="N/A",0,RTD("tos.rtd",,$A$2,"."&amp;M$83&amp;M$1&amp;"P"&amp;$A121))</f>
        <v>-22</v>
      </c>
      <c r="N121" s="91">
        <f ca="1">IF(RTD("tos.rtd",,$A$2,"."&amp;N$83&amp;N$1&amp;"C"&amp;$A121)="N/A",0,RTD("tos.rtd",,$A$2,"."&amp;N$83&amp;N$1&amp;"C"&amp;$A121))-IF(RTD("tos.rtd",,$A$2,"."&amp;N$83&amp;N$1&amp;"P"&amp;$A121)="N/A",0,RTD("tos.rtd",,$A$2,"."&amp;N$83&amp;N$1&amp;"P"&amp;$A121))</f>
        <v>-34</v>
      </c>
      <c r="O121" s="91">
        <f ca="1">IF(RTD("tos.rtd",,$A$2,"."&amp;O$83&amp;O$1&amp;"C"&amp;$A121)="N/A",0,RTD("tos.rtd",,$A$2,"."&amp;O$83&amp;O$1&amp;"C"&amp;$A121))-IF(RTD("tos.rtd",,$A$2,"."&amp;O$83&amp;O$1&amp;"P"&amp;$A121)="N/A",0,RTD("tos.rtd",,$A$2,"."&amp;O$83&amp;O$1&amp;"P"&amp;$A121))</f>
        <v>0</v>
      </c>
      <c r="P121" s="91">
        <f ca="1">IF(RTD("tos.rtd",,$A$2,"."&amp;P$83&amp;P$1&amp;"C"&amp;$A121)="N/A",0,RTD("tos.rtd",,$A$2,"."&amp;P$83&amp;P$1&amp;"C"&amp;$A121))-IF(RTD("tos.rtd",,$A$2,"."&amp;P$83&amp;P$1&amp;"P"&amp;$A121)="N/A",0,RTD("tos.rtd",,$A$2,"."&amp;P$83&amp;P$1&amp;"P"&amp;$A121))</f>
        <v>-328</v>
      </c>
      <c r="Q121" s="91">
        <f ca="1">IF(RTD("tos.rtd",,$A$2,"."&amp;Q$83&amp;Q$1&amp;"C"&amp;$A121)="N/A",0,RTD("tos.rtd",,$A$2,"."&amp;Q$83&amp;Q$1&amp;"C"&amp;$A121))-IF(RTD("tos.rtd",,$A$2,"."&amp;Q$83&amp;Q$1&amp;"P"&amp;$A121)="N/A",0,RTD("tos.rtd",,$A$2,"."&amp;Q$83&amp;Q$1&amp;"P"&amp;$A121))</f>
        <v>0</v>
      </c>
      <c r="R121" s="91">
        <f ca="1">IF(RTD("tos.rtd",,$A$2,"."&amp;R$83&amp;R$1&amp;"C"&amp;$A121)="N/A",0,RTD("tos.rtd",,$A$2,"."&amp;R$83&amp;R$1&amp;"C"&amp;$A121))-IF(RTD("tos.rtd",,$A$2,"."&amp;R$83&amp;R$1&amp;"P"&amp;$A121)="N/A",0,RTD("tos.rtd",,$A$2,"."&amp;R$83&amp;R$1&amp;"P"&amp;$A121))</f>
        <v>0</v>
      </c>
      <c r="S121" s="91">
        <f ca="1">IF(RTD("tos.rtd",,$A$2,"."&amp;S$83&amp;S$1&amp;"C"&amp;$A121)="N/A",0,RTD("tos.rtd",,$A$2,"."&amp;S$83&amp;S$1&amp;"C"&amp;$A121))-IF(RTD("tos.rtd",,$A$2,"."&amp;S$83&amp;S$1&amp;"P"&amp;$A121)="N/A",0,RTD("tos.rtd",,$A$2,"."&amp;S$83&amp;S$1&amp;"P"&amp;$A121))</f>
        <v>0</v>
      </c>
      <c r="T121" s="91">
        <f ca="1">IF(RTD("tos.rtd",,$A$2,"."&amp;T$83&amp;T$1&amp;"C"&amp;$A121)="N/A",0,RTD("tos.rtd",,$A$2,"."&amp;T$83&amp;T$1&amp;"C"&amp;$A121))-IF(RTD("tos.rtd",,$A$2,"."&amp;T$83&amp;T$1&amp;"P"&amp;$A121)="N/A",0,RTD("tos.rtd",,$A$2,"."&amp;T$83&amp;T$1&amp;"P"&amp;$A121))</f>
        <v>-2</v>
      </c>
      <c r="U121" s="91">
        <f ca="1">IF(RTD("tos.rtd",,$A$2,"."&amp;U$83&amp;U$1&amp;"C"&amp;$A121)="N/A",0,RTD("tos.rtd",,$A$2,"."&amp;U$83&amp;U$1&amp;"C"&amp;$A121))-IF(RTD("tos.rtd",,$A$2,"."&amp;U$83&amp;U$1&amp;"P"&amp;$A121)="N/A",0,RTD("tos.rtd",,$A$2,"."&amp;U$83&amp;U$1&amp;"P"&amp;$A121))</f>
        <v>0</v>
      </c>
      <c r="V121" s="91">
        <f ca="1">IF(RTD("tos.rtd",,$A$2,"."&amp;V$83&amp;V$1&amp;"C"&amp;$A121)="N/A",0,RTD("tos.rtd",,$A$2,"."&amp;V$83&amp;V$1&amp;"C"&amp;$A121))-IF(RTD("tos.rtd",,$A$2,"."&amp;V$83&amp;V$1&amp;"P"&amp;$A121)="N/A",0,RTD("tos.rtd",,$A$2,"."&amp;V$83&amp;V$1&amp;"P"&amp;$A121))</f>
        <v>0</v>
      </c>
      <c r="W121" s="91">
        <f ca="1">IF(RTD("tos.rtd",,$A$2,"."&amp;W$83&amp;W$1&amp;"C"&amp;$A121)="N/A",0,RTD("tos.rtd",,$A$2,"."&amp;W$83&amp;W$1&amp;"C"&amp;$A121))-IF(RTD("tos.rtd",,$A$2,"."&amp;W$83&amp;W$1&amp;"P"&amp;$A121)="N/A",0,RTD("tos.rtd",,$A$2,"."&amp;W$83&amp;W$1&amp;"P"&amp;$A121))</f>
        <v>0</v>
      </c>
      <c r="X121" s="91">
        <f ca="1">IF(RTD("tos.rtd",,$A$2,"."&amp;X$83&amp;X$1&amp;"C"&amp;$A121)="N/A",0,RTD("tos.rtd",,$A$2,"."&amp;X$83&amp;X$1&amp;"C"&amp;$A121))-IF(RTD("tos.rtd",,$A$2,"."&amp;X$83&amp;X$1&amp;"P"&amp;$A121)="N/A",0,RTD("tos.rtd",,$A$2,"."&amp;X$83&amp;X$1&amp;"P"&amp;$A121))</f>
        <v>0</v>
      </c>
      <c r="Y121" s="98">
        <f t="shared" ca="1" si="10"/>
        <v>-438</v>
      </c>
    </row>
    <row r="122" spans="1:25" x14ac:dyDescent="0.25">
      <c r="A122" s="93">
        <f>+Hoja1!A121</f>
        <v>5660</v>
      </c>
      <c r="B122" s="91">
        <f ca="1">IF(RTD("tos.rtd",,$A$2,"."&amp;B$83&amp;B$1&amp;"C"&amp;$A122)="N/A",0,RTD("tos.rtd",,$A$2,"."&amp;B$83&amp;B$1&amp;"C"&amp;$A122))-IF(RTD("tos.rtd",,$A$2,"."&amp;B$83&amp;B$1&amp;"P"&amp;$A122)="N/A",0,RTD("tos.rtd",,$A$2,"."&amp;B$83&amp;B$1&amp;"P"&amp;$A122))</f>
        <v>0</v>
      </c>
      <c r="C122" s="91">
        <f ca="1">IF(RTD("tos.rtd",,$A$2,"."&amp;C$83&amp;C$1&amp;"C"&amp;$A122)="N/A",0,RTD("tos.rtd",,$A$2,"."&amp;C$83&amp;C$1&amp;"C"&amp;$A122))-IF(RTD("tos.rtd",,$A$2,"."&amp;C$83&amp;C$1&amp;"P"&amp;$A122)="N/A",0,RTD("tos.rtd",,$A$2,"."&amp;C$83&amp;C$1&amp;"P"&amp;$A122))</f>
        <v>0</v>
      </c>
      <c r="D122" s="91">
        <f ca="1">IF(RTD("tos.rtd",,$A$2,"."&amp;D$83&amp;D$1&amp;"C"&amp;$A122)="N/A",0,RTD("tos.rtd",,$A$2,"."&amp;D$83&amp;D$1&amp;"C"&amp;$A122))-IF(RTD("tos.rtd",,$A$2,"."&amp;D$83&amp;D$1&amp;"P"&amp;$A122)="N/A",0,RTD("tos.rtd",,$A$2,"."&amp;D$83&amp;D$1&amp;"P"&amp;$A122))</f>
        <v>0</v>
      </c>
      <c r="E122" s="91">
        <f ca="1">IF(RTD("tos.rtd",,$A$2,"."&amp;E$83&amp;E$1&amp;"C"&amp;$A122)="N/A",0,RTD("tos.rtd",,$A$2,"."&amp;E$83&amp;E$1&amp;"C"&amp;$A122))-IF(RTD("tos.rtd",,$A$2,"."&amp;E$83&amp;E$1&amp;"P"&amp;$A122)="N/A",0,RTD("tos.rtd",,$A$2,"."&amp;E$83&amp;E$1&amp;"P"&amp;$A122))</f>
        <v>0</v>
      </c>
      <c r="F122" s="91">
        <f ca="1">IF(RTD("tos.rtd",,$A$2,"."&amp;F$83&amp;F$1&amp;"C"&amp;$A122)="N/A",0,RTD("tos.rtd",,$A$2,"."&amp;F$83&amp;F$1&amp;"C"&amp;$A122))-IF(RTD("tos.rtd",,$A$2,"."&amp;F$83&amp;F$1&amp;"P"&amp;$A122)="N/A",0,RTD("tos.rtd",,$A$2,"."&amp;F$83&amp;F$1&amp;"P"&amp;$A122))</f>
        <v>0</v>
      </c>
      <c r="G122" s="91">
        <f ca="1">IF(RTD("tos.rtd",,$A$2,"."&amp;G$83&amp;G$1&amp;"C"&amp;$A122)="N/A",0,RTD("tos.rtd",,$A$2,"."&amp;G$83&amp;G$1&amp;"C"&amp;$A122))-IF(RTD("tos.rtd",,$A$2,"."&amp;G$83&amp;G$1&amp;"P"&amp;$A122)="N/A",0,RTD("tos.rtd",,$A$2,"."&amp;G$83&amp;G$1&amp;"P"&amp;$A122))</f>
        <v>0</v>
      </c>
      <c r="H122" s="91">
        <f ca="1">IF(RTD("tos.rtd",,$A$2,"."&amp;H$83&amp;H$1&amp;"C"&amp;$A122)="N/A",0,RTD("tos.rtd",,$A$2,"."&amp;H$83&amp;H$1&amp;"C"&amp;$A122))-IF(RTD("tos.rtd",,$A$2,"."&amp;H$83&amp;H$1&amp;"P"&amp;$A122)="N/A",0,RTD("tos.rtd",,$A$2,"."&amp;H$83&amp;H$1&amp;"P"&amp;$A122))</f>
        <v>0</v>
      </c>
      <c r="I122" s="91">
        <f ca="1">IF(RTD("tos.rtd",,$A$2,"."&amp;I$83&amp;I$1&amp;"C"&amp;$A122)="N/A",0,RTD("tos.rtd",,$A$2,"."&amp;I$83&amp;I$1&amp;"C"&amp;$A122))-IF(RTD("tos.rtd",,$A$2,"."&amp;I$83&amp;I$1&amp;"P"&amp;$A122)="N/A",0,RTD("tos.rtd",,$A$2,"."&amp;I$83&amp;I$1&amp;"P"&amp;$A122))</f>
        <v>-16</v>
      </c>
      <c r="J122" s="91">
        <f ca="1">IF(RTD("tos.rtd",,$A$2,"."&amp;J$83&amp;J$1&amp;"C"&amp;$A122)="N/A",0,RTD("tos.rtd",,$A$2,"."&amp;J$83&amp;J$1&amp;"C"&amp;$A122))-IF(RTD("tos.rtd",,$A$2,"."&amp;J$83&amp;J$1&amp;"P"&amp;$A122)="N/A",0,RTD("tos.rtd",,$A$2,"."&amp;J$83&amp;J$1&amp;"P"&amp;$A122))</f>
        <v>-13</v>
      </c>
      <c r="K122" s="91">
        <f ca="1">IF(RTD("tos.rtd",,$A$2,"."&amp;K$83&amp;K$1&amp;"C"&amp;$A122)="N/A",0,RTD("tos.rtd",,$A$2,"."&amp;K$83&amp;K$1&amp;"C"&amp;$A122))-IF(RTD("tos.rtd",,$A$2,"."&amp;K$83&amp;K$1&amp;"P"&amp;$A122)="N/A",0,RTD("tos.rtd",,$A$2,"."&amp;K$83&amp;K$1&amp;"P"&amp;$A122))</f>
        <v>0</v>
      </c>
      <c r="L122" s="91">
        <f ca="1">IF(RTD("tos.rtd",,$A$2,"."&amp;L$83&amp;L$1&amp;"C"&amp;$A122)="N/A",0,RTD("tos.rtd",,$A$2,"."&amp;L$83&amp;L$1&amp;"C"&amp;$A122))-IF(RTD("tos.rtd",,$A$2,"."&amp;L$83&amp;L$1&amp;"P"&amp;$A122)="N/A",0,RTD("tos.rtd",,$A$2,"."&amp;L$83&amp;L$1&amp;"P"&amp;$A122))</f>
        <v>-14</v>
      </c>
      <c r="M122" s="91">
        <f ca="1">IF(RTD("tos.rtd",,$A$2,"."&amp;M$83&amp;M$1&amp;"C"&amp;$A122)="N/A",0,RTD("tos.rtd",,$A$2,"."&amp;M$83&amp;M$1&amp;"C"&amp;$A122))-IF(RTD("tos.rtd",,$A$2,"."&amp;M$83&amp;M$1&amp;"P"&amp;$A122)="N/A",0,RTD("tos.rtd",,$A$2,"."&amp;M$83&amp;M$1&amp;"P"&amp;$A122))</f>
        <v>-19</v>
      </c>
      <c r="N122" s="91">
        <f ca="1">IF(RTD("tos.rtd",,$A$2,"."&amp;N$83&amp;N$1&amp;"C"&amp;$A122)="N/A",0,RTD("tos.rtd",,$A$2,"."&amp;N$83&amp;N$1&amp;"C"&amp;$A122))-IF(RTD("tos.rtd",,$A$2,"."&amp;N$83&amp;N$1&amp;"P"&amp;$A122)="N/A",0,RTD("tos.rtd",,$A$2,"."&amp;N$83&amp;N$1&amp;"P"&amp;$A122))</f>
        <v>34</v>
      </c>
      <c r="O122" s="91">
        <f ca="1">IF(RTD("tos.rtd",,$A$2,"."&amp;O$83&amp;O$1&amp;"C"&amp;$A122)="N/A",0,RTD("tos.rtd",,$A$2,"."&amp;O$83&amp;O$1&amp;"C"&amp;$A122))-IF(RTD("tos.rtd",,$A$2,"."&amp;O$83&amp;O$1&amp;"P"&amp;$A122)="N/A",0,RTD("tos.rtd",,$A$2,"."&amp;O$83&amp;O$1&amp;"P"&amp;$A122))</f>
        <v>0</v>
      </c>
      <c r="P122" s="91">
        <f ca="1">IF(RTD("tos.rtd",,$A$2,"."&amp;P$83&amp;P$1&amp;"C"&amp;$A122)="N/A",0,RTD("tos.rtd",,$A$2,"."&amp;P$83&amp;P$1&amp;"C"&amp;$A122))-IF(RTD("tos.rtd",,$A$2,"."&amp;P$83&amp;P$1&amp;"P"&amp;$A122)="N/A",0,RTD("tos.rtd",,$A$2,"."&amp;P$83&amp;P$1&amp;"P"&amp;$A122))</f>
        <v>1</v>
      </c>
      <c r="Q122" s="91">
        <f ca="1">IF(RTD("tos.rtd",,$A$2,"."&amp;Q$83&amp;Q$1&amp;"C"&amp;$A122)="N/A",0,RTD("tos.rtd",,$A$2,"."&amp;Q$83&amp;Q$1&amp;"C"&amp;$A122))-IF(RTD("tos.rtd",,$A$2,"."&amp;Q$83&amp;Q$1&amp;"P"&amp;$A122)="N/A",0,RTD("tos.rtd",,$A$2,"."&amp;Q$83&amp;Q$1&amp;"P"&amp;$A122))</f>
        <v>343</v>
      </c>
      <c r="R122" s="91">
        <f ca="1">IF(RTD("tos.rtd",,$A$2,"."&amp;R$83&amp;R$1&amp;"C"&amp;$A122)="N/A",0,RTD("tos.rtd",,$A$2,"."&amp;R$83&amp;R$1&amp;"C"&amp;$A122))-IF(RTD("tos.rtd",,$A$2,"."&amp;R$83&amp;R$1&amp;"P"&amp;$A122)="N/A",0,RTD("tos.rtd",,$A$2,"."&amp;R$83&amp;R$1&amp;"P"&amp;$A122))</f>
        <v>-10</v>
      </c>
      <c r="S122" s="91">
        <f ca="1">IF(RTD("tos.rtd",,$A$2,"."&amp;S$83&amp;S$1&amp;"C"&amp;$A122)="N/A",0,RTD("tos.rtd",,$A$2,"."&amp;S$83&amp;S$1&amp;"C"&amp;$A122))-IF(RTD("tos.rtd",,$A$2,"."&amp;S$83&amp;S$1&amp;"P"&amp;$A122)="N/A",0,RTD("tos.rtd",,$A$2,"."&amp;S$83&amp;S$1&amp;"P"&amp;$A122))</f>
        <v>0</v>
      </c>
      <c r="T122" s="91">
        <f ca="1">IF(RTD("tos.rtd",,$A$2,"."&amp;T$83&amp;T$1&amp;"C"&amp;$A122)="N/A",0,RTD("tos.rtd",,$A$2,"."&amp;T$83&amp;T$1&amp;"C"&amp;$A122))-IF(RTD("tos.rtd",,$A$2,"."&amp;T$83&amp;T$1&amp;"P"&amp;$A122)="N/A",0,RTD("tos.rtd",,$A$2,"."&amp;T$83&amp;T$1&amp;"P"&amp;$A122))</f>
        <v>-48</v>
      </c>
      <c r="U122" s="91">
        <f ca="1">IF(RTD("tos.rtd",,$A$2,"."&amp;U$83&amp;U$1&amp;"C"&amp;$A122)="N/A",0,RTD("tos.rtd",,$A$2,"."&amp;U$83&amp;U$1&amp;"C"&amp;$A122))-IF(RTD("tos.rtd",,$A$2,"."&amp;U$83&amp;U$1&amp;"P"&amp;$A122)="N/A",0,RTD("tos.rtd",,$A$2,"."&amp;U$83&amp;U$1&amp;"P"&amp;$A122))</f>
        <v>0</v>
      </c>
      <c r="V122" s="91">
        <f ca="1">IF(RTD("tos.rtd",,$A$2,"."&amp;V$83&amp;V$1&amp;"C"&amp;$A122)="N/A",0,RTD("tos.rtd",,$A$2,"."&amp;V$83&amp;V$1&amp;"C"&amp;$A122))-IF(RTD("tos.rtd",,$A$2,"."&amp;V$83&amp;V$1&amp;"P"&amp;$A122)="N/A",0,RTD("tos.rtd",,$A$2,"."&amp;V$83&amp;V$1&amp;"P"&amp;$A122))</f>
        <v>0</v>
      </c>
      <c r="W122" s="91">
        <f ca="1">IF(RTD("tos.rtd",,$A$2,"."&amp;W$83&amp;W$1&amp;"C"&amp;$A122)="N/A",0,RTD("tos.rtd",,$A$2,"."&amp;W$83&amp;W$1&amp;"C"&amp;$A122))-IF(RTD("tos.rtd",,$A$2,"."&amp;W$83&amp;W$1&amp;"P"&amp;$A122)="N/A",0,RTD("tos.rtd",,$A$2,"."&amp;W$83&amp;W$1&amp;"P"&amp;$A122))</f>
        <v>0</v>
      </c>
      <c r="X122" s="91">
        <f ca="1">IF(RTD("tos.rtd",,$A$2,"."&amp;X$83&amp;X$1&amp;"C"&amp;$A122)="N/A",0,RTD("tos.rtd",,$A$2,"."&amp;X$83&amp;X$1&amp;"C"&amp;$A122))-IF(RTD("tos.rtd",,$A$2,"."&amp;X$83&amp;X$1&amp;"P"&amp;$A122)="N/A",0,RTD("tos.rtd",,$A$2,"."&amp;X$83&amp;X$1&amp;"P"&amp;$A122))</f>
        <v>0</v>
      </c>
      <c r="Y122" s="98">
        <f t="shared" ca="1" si="10"/>
        <v>258</v>
      </c>
    </row>
    <row r="123" spans="1:25" x14ac:dyDescent="0.25">
      <c r="A123" s="93">
        <f>+Hoja1!A122</f>
        <v>5650</v>
      </c>
      <c r="B123" s="91">
        <f ca="1">IF(RTD("tos.rtd",,$A$2,"."&amp;B$83&amp;B$1&amp;"C"&amp;$A123)="N/A",0,RTD("tos.rtd",,$A$2,"."&amp;B$83&amp;B$1&amp;"C"&amp;$A123))-IF(RTD("tos.rtd",,$A$2,"."&amp;B$83&amp;B$1&amp;"P"&amp;$A123)="N/A",0,RTD("tos.rtd",,$A$2,"."&amp;B$83&amp;B$1&amp;"P"&amp;$A123))</f>
        <v>0</v>
      </c>
      <c r="C123" s="91">
        <f ca="1">IF(RTD("tos.rtd",,$A$2,"."&amp;C$83&amp;C$1&amp;"C"&amp;$A123)="N/A",0,RTD("tos.rtd",,$A$2,"."&amp;C$83&amp;C$1&amp;"C"&amp;$A123))-IF(RTD("tos.rtd",,$A$2,"."&amp;C$83&amp;C$1&amp;"P"&amp;$A123)="N/A",0,RTD("tos.rtd",,$A$2,"."&amp;C$83&amp;C$1&amp;"P"&amp;$A123))</f>
        <v>0</v>
      </c>
      <c r="D123" s="91">
        <f ca="1">IF(RTD("tos.rtd",,$A$2,"."&amp;D$83&amp;D$1&amp;"C"&amp;$A123)="N/A",0,RTD("tos.rtd",,$A$2,"."&amp;D$83&amp;D$1&amp;"C"&amp;$A123))-IF(RTD("tos.rtd",,$A$2,"."&amp;D$83&amp;D$1&amp;"P"&amp;$A123)="N/A",0,RTD("tos.rtd",,$A$2,"."&amp;D$83&amp;D$1&amp;"P"&amp;$A123))</f>
        <v>0</v>
      </c>
      <c r="E123" s="91">
        <f ca="1">IF(RTD("tos.rtd",,$A$2,"."&amp;E$83&amp;E$1&amp;"C"&amp;$A123)="N/A",0,RTD("tos.rtd",,$A$2,"."&amp;E$83&amp;E$1&amp;"C"&amp;$A123))-IF(RTD("tos.rtd",,$A$2,"."&amp;E$83&amp;E$1&amp;"P"&amp;$A123)="N/A",0,RTD("tos.rtd",,$A$2,"."&amp;E$83&amp;E$1&amp;"P"&amp;$A123))</f>
        <v>0</v>
      </c>
      <c r="F123" s="91">
        <f ca="1">IF(RTD("tos.rtd",,$A$2,"."&amp;F$83&amp;F$1&amp;"C"&amp;$A123)="N/A",0,RTD("tos.rtd",,$A$2,"."&amp;F$83&amp;F$1&amp;"C"&amp;$A123))-IF(RTD("tos.rtd",,$A$2,"."&amp;F$83&amp;F$1&amp;"P"&amp;$A123)="N/A",0,RTD("tos.rtd",,$A$2,"."&amp;F$83&amp;F$1&amp;"P"&amp;$A123))</f>
        <v>0</v>
      </c>
      <c r="G123" s="91">
        <f ca="1">IF(RTD("tos.rtd",,$A$2,"."&amp;G$83&amp;G$1&amp;"C"&amp;$A123)="N/A",0,RTD("tos.rtd",,$A$2,"."&amp;G$83&amp;G$1&amp;"C"&amp;$A123))-IF(RTD("tos.rtd",,$A$2,"."&amp;G$83&amp;G$1&amp;"P"&amp;$A123)="N/A",0,RTD("tos.rtd",,$A$2,"."&amp;G$83&amp;G$1&amp;"P"&amp;$A123))</f>
        <v>0</v>
      </c>
      <c r="H123" s="91">
        <f ca="1">IF(RTD("tos.rtd",,$A$2,"."&amp;H$83&amp;H$1&amp;"C"&amp;$A123)="N/A",0,RTD("tos.rtd",,$A$2,"."&amp;H$83&amp;H$1&amp;"C"&amp;$A123))-IF(RTD("tos.rtd",,$A$2,"."&amp;H$83&amp;H$1&amp;"P"&amp;$A123)="N/A",0,RTD("tos.rtd",,$A$2,"."&amp;H$83&amp;H$1&amp;"P"&amp;$A123))</f>
        <v>0</v>
      </c>
      <c r="I123" s="91">
        <f ca="1">IF(RTD("tos.rtd",,$A$2,"."&amp;I$83&amp;I$1&amp;"C"&amp;$A123)="N/A",0,RTD("tos.rtd",,$A$2,"."&amp;I$83&amp;I$1&amp;"C"&amp;$A123))-IF(RTD("tos.rtd",,$A$2,"."&amp;I$83&amp;I$1&amp;"P"&amp;$A123)="N/A",0,RTD("tos.rtd",,$A$2,"."&amp;I$83&amp;I$1&amp;"P"&amp;$A123))</f>
        <v>-1307</v>
      </c>
      <c r="J123" s="91">
        <f ca="1">IF(RTD("tos.rtd",,$A$2,"."&amp;J$83&amp;J$1&amp;"C"&amp;$A123)="N/A",0,RTD("tos.rtd",,$A$2,"."&amp;J$83&amp;J$1&amp;"C"&amp;$A123))-IF(RTD("tos.rtd",,$A$2,"."&amp;J$83&amp;J$1&amp;"P"&amp;$A123)="N/A",0,RTD("tos.rtd",,$A$2,"."&amp;J$83&amp;J$1&amp;"P"&amp;$A123))</f>
        <v>-23</v>
      </c>
      <c r="K123" s="91">
        <f ca="1">IF(RTD("tos.rtd",,$A$2,"."&amp;K$83&amp;K$1&amp;"C"&amp;$A123)="N/A",0,RTD("tos.rtd",,$A$2,"."&amp;K$83&amp;K$1&amp;"C"&amp;$A123))-IF(RTD("tos.rtd",,$A$2,"."&amp;K$83&amp;K$1&amp;"P"&amp;$A123)="N/A",0,RTD("tos.rtd",,$A$2,"."&amp;K$83&amp;K$1&amp;"P"&amp;$A123))</f>
        <v>0</v>
      </c>
      <c r="L123" s="91">
        <f ca="1">IF(RTD("tos.rtd",,$A$2,"."&amp;L$83&amp;L$1&amp;"C"&amp;$A123)="N/A",0,RTD("tos.rtd",,$A$2,"."&amp;L$83&amp;L$1&amp;"C"&amp;$A123))-IF(RTD("tos.rtd",,$A$2,"."&amp;L$83&amp;L$1&amp;"P"&amp;$A123)="N/A",0,RTD("tos.rtd",,$A$2,"."&amp;L$83&amp;L$1&amp;"P"&amp;$A123))</f>
        <v>-161</v>
      </c>
      <c r="M123" s="91">
        <f ca="1">IF(RTD("tos.rtd",,$A$2,"."&amp;M$83&amp;M$1&amp;"C"&amp;$A123)="N/A",0,RTD("tos.rtd",,$A$2,"."&amp;M$83&amp;M$1&amp;"C"&amp;$A123))-IF(RTD("tos.rtd",,$A$2,"."&amp;M$83&amp;M$1&amp;"P"&amp;$A123)="N/A",0,RTD("tos.rtd",,$A$2,"."&amp;M$83&amp;M$1&amp;"P"&amp;$A123))</f>
        <v>-522</v>
      </c>
      <c r="N123" s="91">
        <f ca="1">IF(RTD("tos.rtd",,$A$2,"."&amp;N$83&amp;N$1&amp;"C"&amp;$A123)="N/A",0,RTD("tos.rtd",,$A$2,"."&amp;N$83&amp;N$1&amp;"C"&amp;$A123))-IF(RTD("tos.rtd",,$A$2,"."&amp;N$83&amp;N$1&amp;"P"&amp;$A123)="N/A",0,RTD("tos.rtd",,$A$2,"."&amp;N$83&amp;N$1&amp;"P"&amp;$A123))</f>
        <v>48</v>
      </c>
      <c r="O123" s="91">
        <f ca="1">IF(RTD("tos.rtd",,$A$2,"."&amp;O$83&amp;O$1&amp;"C"&amp;$A123)="N/A",0,RTD("tos.rtd",,$A$2,"."&amp;O$83&amp;O$1&amp;"C"&amp;$A123))-IF(RTD("tos.rtd",,$A$2,"."&amp;O$83&amp;O$1&amp;"P"&amp;$A123)="N/A",0,RTD("tos.rtd",,$A$2,"."&amp;O$83&amp;O$1&amp;"P"&amp;$A123))</f>
        <v>-168</v>
      </c>
      <c r="P123" s="91">
        <f ca="1">IF(RTD("tos.rtd",,$A$2,"."&amp;P$83&amp;P$1&amp;"C"&amp;$A123)="N/A",0,RTD("tos.rtd",,$A$2,"."&amp;P$83&amp;P$1&amp;"C"&amp;$A123))-IF(RTD("tos.rtd",,$A$2,"."&amp;P$83&amp;P$1&amp;"P"&amp;$A123)="N/A",0,RTD("tos.rtd",,$A$2,"."&amp;P$83&amp;P$1&amp;"P"&amp;$A123))</f>
        <v>-36</v>
      </c>
      <c r="Q123" s="91">
        <f ca="1">IF(RTD("tos.rtd",,$A$2,"."&amp;Q$83&amp;Q$1&amp;"C"&amp;$A123)="N/A",0,RTD("tos.rtd",,$A$2,"."&amp;Q$83&amp;Q$1&amp;"C"&amp;$A123))-IF(RTD("tos.rtd",,$A$2,"."&amp;Q$83&amp;Q$1&amp;"P"&amp;$A123)="N/A",0,RTD("tos.rtd",,$A$2,"."&amp;Q$83&amp;Q$1&amp;"P"&amp;$A123))</f>
        <v>-3</v>
      </c>
      <c r="R123" s="91">
        <f ca="1">IF(RTD("tos.rtd",,$A$2,"."&amp;R$83&amp;R$1&amp;"C"&amp;$A123)="N/A",0,RTD("tos.rtd",,$A$2,"."&amp;R$83&amp;R$1&amp;"C"&amp;$A123))-IF(RTD("tos.rtd",,$A$2,"."&amp;R$83&amp;R$1&amp;"P"&amp;$A123)="N/A",0,RTD("tos.rtd",,$A$2,"."&amp;R$83&amp;R$1&amp;"P"&amp;$A123))</f>
        <v>-13</v>
      </c>
      <c r="S123" s="91">
        <f ca="1">IF(RTD("tos.rtd",,$A$2,"."&amp;S$83&amp;S$1&amp;"C"&amp;$A123)="N/A",0,RTD("tos.rtd",,$A$2,"."&amp;S$83&amp;S$1&amp;"C"&amp;$A123))-IF(RTD("tos.rtd",,$A$2,"."&amp;S$83&amp;S$1&amp;"P"&amp;$A123)="N/A",0,RTD("tos.rtd",,$A$2,"."&amp;S$83&amp;S$1&amp;"P"&amp;$A123))</f>
        <v>-656</v>
      </c>
      <c r="T123" s="91">
        <f ca="1">IF(RTD("tos.rtd",,$A$2,"."&amp;T$83&amp;T$1&amp;"C"&amp;$A123)="N/A",0,RTD("tos.rtd",,$A$2,"."&amp;T$83&amp;T$1&amp;"C"&amp;$A123))-IF(RTD("tos.rtd",,$A$2,"."&amp;T$83&amp;T$1&amp;"P"&amp;$A123)="N/A",0,RTD("tos.rtd",,$A$2,"."&amp;T$83&amp;T$1&amp;"P"&amp;$A123))</f>
        <v>-134</v>
      </c>
      <c r="U123" s="91">
        <f ca="1">IF(RTD("tos.rtd",,$A$2,"."&amp;U$83&amp;U$1&amp;"C"&amp;$A123)="N/A",0,RTD("tos.rtd",,$A$2,"."&amp;U$83&amp;U$1&amp;"C"&amp;$A123))-IF(RTD("tos.rtd",,$A$2,"."&amp;U$83&amp;U$1&amp;"P"&amp;$A123)="N/A",0,RTD("tos.rtd",,$A$2,"."&amp;U$83&amp;U$1&amp;"P"&amp;$A123))</f>
        <v>-7</v>
      </c>
      <c r="V123" s="91">
        <f ca="1">IF(RTD("tos.rtd",,$A$2,"."&amp;V$83&amp;V$1&amp;"C"&amp;$A123)="N/A",0,RTD("tos.rtd",,$A$2,"."&amp;V$83&amp;V$1&amp;"C"&amp;$A123))-IF(RTD("tos.rtd",,$A$2,"."&amp;V$83&amp;V$1&amp;"P"&amp;$A123)="N/A",0,RTD("tos.rtd",,$A$2,"."&amp;V$83&amp;V$1&amp;"P"&amp;$A123))</f>
        <v>0</v>
      </c>
      <c r="W123" s="91">
        <f ca="1">IF(RTD("tos.rtd",,$A$2,"."&amp;W$83&amp;W$1&amp;"C"&amp;$A123)="N/A",0,RTD("tos.rtd",,$A$2,"."&amp;W$83&amp;W$1&amp;"C"&amp;$A123))-IF(RTD("tos.rtd",,$A$2,"."&amp;W$83&amp;W$1&amp;"P"&amp;$A123)="N/A",0,RTD("tos.rtd",,$A$2,"."&amp;W$83&amp;W$1&amp;"P"&amp;$A123))</f>
        <v>-1610</v>
      </c>
      <c r="X123" s="91">
        <f ca="1">IF(RTD("tos.rtd",,$A$2,"."&amp;X$83&amp;X$1&amp;"C"&amp;$A123)="N/A",0,RTD("tos.rtd",,$A$2,"."&amp;X$83&amp;X$1&amp;"C"&amp;$A123))-IF(RTD("tos.rtd",,$A$2,"."&amp;X$83&amp;X$1&amp;"P"&amp;$A123)="N/A",0,RTD("tos.rtd",,$A$2,"."&amp;X$83&amp;X$1&amp;"P"&amp;$A123))</f>
        <v>-1</v>
      </c>
      <c r="Y123" s="98">
        <f t="shared" ca="1" si="10"/>
        <v>-4593</v>
      </c>
    </row>
    <row r="124" spans="1:25" x14ac:dyDescent="0.25">
      <c r="A124" s="93">
        <f>+Hoja1!A123</f>
        <v>5640</v>
      </c>
      <c r="B124" s="91">
        <f ca="1">IF(RTD("tos.rtd",,$A$2,"."&amp;B$83&amp;B$1&amp;"C"&amp;$A124)="N/A",0,RTD("tos.rtd",,$A$2,"."&amp;B$83&amp;B$1&amp;"C"&amp;$A124))-IF(RTD("tos.rtd",,$A$2,"."&amp;B$83&amp;B$1&amp;"P"&amp;$A124)="N/A",0,RTD("tos.rtd",,$A$2,"."&amp;B$83&amp;B$1&amp;"P"&amp;$A124))</f>
        <v>0</v>
      </c>
      <c r="C124" s="91">
        <f ca="1">IF(RTD("tos.rtd",,$A$2,"."&amp;C$83&amp;C$1&amp;"C"&amp;$A124)="N/A",0,RTD("tos.rtd",,$A$2,"."&amp;C$83&amp;C$1&amp;"C"&amp;$A124))-IF(RTD("tos.rtd",,$A$2,"."&amp;C$83&amp;C$1&amp;"P"&amp;$A124)="N/A",0,RTD("tos.rtd",,$A$2,"."&amp;C$83&amp;C$1&amp;"P"&amp;$A124))</f>
        <v>0</v>
      </c>
      <c r="D124" s="91">
        <f ca="1">IF(RTD("tos.rtd",,$A$2,"."&amp;D$83&amp;D$1&amp;"C"&amp;$A124)="N/A",0,RTD("tos.rtd",,$A$2,"."&amp;D$83&amp;D$1&amp;"C"&amp;$A124))-IF(RTD("tos.rtd",,$A$2,"."&amp;D$83&amp;D$1&amp;"P"&amp;$A124)="N/A",0,RTD("tos.rtd",,$A$2,"."&amp;D$83&amp;D$1&amp;"P"&amp;$A124))</f>
        <v>0</v>
      </c>
      <c r="E124" s="91">
        <f ca="1">IF(RTD("tos.rtd",,$A$2,"."&amp;E$83&amp;E$1&amp;"C"&amp;$A124)="N/A",0,RTD("tos.rtd",,$A$2,"."&amp;E$83&amp;E$1&amp;"C"&amp;$A124))-IF(RTD("tos.rtd",,$A$2,"."&amp;E$83&amp;E$1&amp;"P"&amp;$A124)="N/A",0,RTD("tos.rtd",,$A$2,"."&amp;E$83&amp;E$1&amp;"P"&amp;$A124))</f>
        <v>0</v>
      </c>
      <c r="F124" s="91">
        <f ca="1">IF(RTD("tos.rtd",,$A$2,"."&amp;F$83&amp;F$1&amp;"C"&amp;$A124)="N/A",0,RTD("tos.rtd",,$A$2,"."&amp;F$83&amp;F$1&amp;"C"&amp;$A124))-IF(RTD("tos.rtd",,$A$2,"."&amp;F$83&amp;F$1&amp;"P"&amp;$A124)="N/A",0,RTD("tos.rtd",,$A$2,"."&amp;F$83&amp;F$1&amp;"P"&amp;$A124))</f>
        <v>0</v>
      </c>
      <c r="G124" s="91">
        <f ca="1">IF(RTD("tos.rtd",,$A$2,"."&amp;G$83&amp;G$1&amp;"C"&amp;$A124)="N/A",0,RTD("tos.rtd",,$A$2,"."&amp;G$83&amp;G$1&amp;"C"&amp;$A124))-IF(RTD("tos.rtd",,$A$2,"."&amp;G$83&amp;G$1&amp;"P"&amp;$A124)="N/A",0,RTD("tos.rtd",,$A$2,"."&amp;G$83&amp;G$1&amp;"P"&amp;$A124))</f>
        <v>0</v>
      </c>
      <c r="H124" s="91">
        <f ca="1">IF(RTD("tos.rtd",,$A$2,"."&amp;H$83&amp;H$1&amp;"C"&amp;$A124)="N/A",0,RTD("tos.rtd",,$A$2,"."&amp;H$83&amp;H$1&amp;"C"&amp;$A124))-IF(RTD("tos.rtd",,$A$2,"."&amp;H$83&amp;H$1&amp;"P"&amp;$A124)="N/A",0,RTD("tos.rtd",,$A$2,"."&amp;H$83&amp;H$1&amp;"P"&amp;$A124))</f>
        <v>0</v>
      </c>
      <c r="I124" s="91">
        <f ca="1">IF(RTD("tos.rtd",,$A$2,"."&amp;I$83&amp;I$1&amp;"C"&amp;$A124)="N/A",0,RTD("tos.rtd",,$A$2,"."&amp;I$83&amp;I$1&amp;"C"&amp;$A124))-IF(RTD("tos.rtd",,$A$2,"."&amp;I$83&amp;I$1&amp;"P"&amp;$A124)="N/A",0,RTD("tos.rtd",,$A$2,"."&amp;I$83&amp;I$1&amp;"P"&amp;$A124))</f>
        <v>-18</v>
      </c>
      <c r="J124" s="91">
        <f ca="1">IF(RTD("tos.rtd",,$A$2,"."&amp;J$83&amp;J$1&amp;"C"&amp;$A124)="N/A",0,RTD("tos.rtd",,$A$2,"."&amp;J$83&amp;J$1&amp;"C"&amp;$A124))-IF(RTD("tos.rtd",,$A$2,"."&amp;J$83&amp;J$1&amp;"P"&amp;$A124)="N/A",0,RTD("tos.rtd",,$A$2,"."&amp;J$83&amp;J$1&amp;"P"&amp;$A124))</f>
        <v>-26</v>
      </c>
      <c r="K124" s="91">
        <f ca="1">IF(RTD("tos.rtd",,$A$2,"."&amp;K$83&amp;K$1&amp;"C"&amp;$A124)="N/A",0,RTD("tos.rtd",,$A$2,"."&amp;K$83&amp;K$1&amp;"C"&amp;$A124))-IF(RTD("tos.rtd",,$A$2,"."&amp;K$83&amp;K$1&amp;"P"&amp;$A124)="N/A",0,RTD("tos.rtd",,$A$2,"."&amp;K$83&amp;K$1&amp;"P"&amp;$A124))</f>
        <v>0</v>
      </c>
      <c r="L124" s="91">
        <f ca="1">IF(RTD("tos.rtd",,$A$2,"."&amp;L$83&amp;L$1&amp;"C"&amp;$A124)="N/A",0,RTD("tos.rtd",,$A$2,"."&amp;L$83&amp;L$1&amp;"C"&amp;$A124))-IF(RTD("tos.rtd",,$A$2,"."&amp;L$83&amp;L$1&amp;"P"&amp;$A124)="N/A",0,RTD("tos.rtd",,$A$2,"."&amp;L$83&amp;L$1&amp;"P"&amp;$A124))</f>
        <v>19</v>
      </c>
      <c r="M124" s="91">
        <f ca="1">IF(RTD("tos.rtd",,$A$2,"."&amp;M$83&amp;M$1&amp;"C"&amp;$A124)="N/A",0,RTD("tos.rtd",,$A$2,"."&amp;M$83&amp;M$1&amp;"C"&amp;$A124))-IF(RTD("tos.rtd",,$A$2,"."&amp;M$83&amp;M$1&amp;"P"&amp;$A124)="N/A",0,RTD("tos.rtd",,$A$2,"."&amp;M$83&amp;M$1&amp;"P"&amp;$A124))</f>
        <v>-5</v>
      </c>
      <c r="N124" s="91">
        <f ca="1">IF(RTD("tos.rtd",,$A$2,"."&amp;N$83&amp;N$1&amp;"C"&amp;$A124)="N/A",0,RTD("tos.rtd",,$A$2,"."&amp;N$83&amp;N$1&amp;"C"&amp;$A124))-IF(RTD("tos.rtd",,$A$2,"."&amp;N$83&amp;N$1&amp;"P"&amp;$A124)="N/A",0,RTD("tos.rtd",,$A$2,"."&amp;N$83&amp;N$1&amp;"P"&amp;$A124))</f>
        <v>0</v>
      </c>
      <c r="O124" s="91">
        <f ca="1">IF(RTD("tos.rtd",,$A$2,"."&amp;O$83&amp;O$1&amp;"C"&amp;$A124)="N/A",0,RTD("tos.rtd",,$A$2,"."&amp;O$83&amp;O$1&amp;"C"&amp;$A124))-IF(RTD("tos.rtd",,$A$2,"."&amp;O$83&amp;O$1&amp;"P"&amp;$A124)="N/A",0,RTD("tos.rtd",,$A$2,"."&amp;O$83&amp;O$1&amp;"P"&amp;$A124))</f>
        <v>0</v>
      </c>
      <c r="P124" s="91">
        <f ca="1">IF(RTD("tos.rtd",,$A$2,"."&amp;P$83&amp;P$1&amp;"C"&amp;$A124)="N/A",0,RTD("tos.rtd",,$A$2,"."&amp;P$83&amp;P$1&amp;"C"&amp;$A124))-IF(RTD("tos.rtd",,$A$2,"."&amp;P$83&amp;P$1&amp;"P"&amp;$A124)="N/A",0,RTD("tos.rtd",,$A$2,"."&amp;P$83&amp;P$1&amp;"P"&amp;$A124))</f>
        <v>-3</v>
      </c>
      <c r="Q124" s="91">
        <f ca="1">IF(RTD("tos.rtd",,$A$2,"."&amp;Q$83&amp;Q$1&amp;"C"&amp;$A124)="N/A",0,RTD("tos.rtd",,$A$2,"."&amp;Q$83&amp;Q$1&amp;"C"&amp;$A124))-IF(RTD("tos.rtd",,$A$2,"."&amp;Q$83&amp;Q$1&amp;"P"&amp;$A124)="N/A",0,RTD("tos.rtd",,$A$2,"."&amp;Q$83&amp;Q$1&amp;"P"&amp;$A124))</f>
        <v>0</v>
      </c>
      <c r="R124" s="91">
        <f ca="1">IF(RTD("tos.rtd",,$A$2,"."&amp;R$83&amp;R$1&amp;"C"&amp;$A124)="N/A",0,RTD("tos.rtd",,$A$2,"."&amp;R$83&amp;R$1&amp;"C"&amp;$A124))-IF(RTD("tos.rtd",,$A$2,"."&amp;R$83&amp;R$1&amp;"P"&amp;$A124)="N/A",0,RTD("tos.rtd",,$A$2,"."&amp;R$83&amp;R$1&amp;"P"&amp;$A124))</f>
        <v>-2</v>
      </c>
      <c r="S124" s="91">
        <f ca="1">IF(RTD("tos.rtd",,$A$2,"."&amp;S$83&amp;S$1&amp;"C"&amp;$A124)="N/A",0,RTD("tos.rtd",,$A$2,"."&amp;S$83&amp;S$1&amp;"C"&amp;$A124))-IF(RTD("tos.rtd",,$A$2,"."&amp;S$83&amp;S$1&amp;"P"&amp;$A124)="N/A",0,RTD("tos.rtd",,$A$2,"."&amp;S$83&amp;S$1&amp;"P"&amp;$A124))</f>
        <v>0</v>
      </c>
      <c r="T124" s="91">
        <f ca="1">IF(RTD("tos.rtd",,$A$2,"."&amp;T$83&amp;T$1&amp;"C"&amp;$A124)="N/A",0,RTD("tos.rtd",,$A$2,"."&amp;T$83&amp;T$1&amp;"C"&amp;$A124))-IF(RTD("tos.rtd",,$A$2,"."&amp;T$83&amp;T$1&amp;"P"&amp;$A124)="N/A",0,RTD("tos.rtd",,$A$2,"."&amp;T$83&amp;T$1&amp;"P"&amp;$A124))</f>
        <v>-142</v>
      </c>
      <c r="U124" s="91">
        <f ca="1">IF(RTD("tos.rtd",,$A$2,"."&amp;U$83&amp;U$1&amp;"C"&amp;$A124)="N/A",0,RTD("tos.rtd",,$A$2,"."&amp;U$83&amp;U$1&amp;"C"&amp;$A124))-IF(RTD("tos.rtd",,$A$2,"."&amp;U$83&amp;U$1&amp;"P"&amp;$A124)="N/A",0,RTD("tos.rtd",,$A$2,"."&amp;U$83&amp;U$1&amp;"P"&amp;$A124))</f>
        <v>0</v>
      </c>
      <c r="V124" s="91">
        <f ca="1">IF(RTD("tos.rtd",,$A$2,"."&amp;V$83&amp;V$1&amp;"C"&amp;$A124)="N/A",0,RTD("tos.rtd",,$A$2,"."&amp;V$83&amp;V$1&amp;"C"&amp;$A124))-IF(RTD("tos.rtd",,$A$2,"."&amp;V$83&amp;V$1&amp;"P"&amp;$A124)="N/A",0,RTD("tos.rtd",,$A$2,"."&amp;V$83&amp;V$1&amp;"P"&amp;$A124))</f>
        <v>0</v>
      </c>
      <c r="W124" s="91">
        <f ca="1">IF(RTD("tos.rtd",,$A$2,"."&amp;W$83&amp;W$1&amp;"C"&amp;$A124)="N/A",0,RTD("tos.rtd",,$A$2,"."&amp;W$83&amp;W$1&amp;"C"&amp;$A124))-IF(RTD("tos.rtd",,$A$2,"."&amp;W$83&amp;W$1&amp;"P"&amp;$A124)="N/A",0,RTD("tos.rtd",,$A$2,"."&amp;W$83&amp;W$1&amp;"P"&amp;$A124))</f>
        <v>0</v>
      </c>
      <c r="X124" s="91">
        <f ca="1">IF(RTD("tos.rtd",,$A$2,"."&amp;X$83&amp;X$1&amp;"C"&amp;$A124)="N/A",0,RTD("tos.rtd",,$A$2,"."&amp;X$83&amp;X$1&amp;"C"&amp;$A124))-IF(RTD("tos.rtd",,$A$2,"."&amp;X$83&amp;X$1&amp;"P"&amp;$A124)="N/A",0,RTD("tos.rtd",,$A$2,"."&amp;X$83&amp;X$1&amp;"P"&amp;$A124))</f>
        <v>0</v>
      </c>
      <c r="Y124" s="98">
        <f t="shared" ca="1" si="10"/>
        <v>-177</v>
      </c>
    </row>
    <row r="125" spans="1:25" x14ac:dyDescent="0.25">
      <c r="A125" s="93">
        <f>+Hoja1!A124</f>
        <v>5630</v>
      </c>
      <c r="B125" s="91">
        <f ca="1">IF(RTD("tos.rtd",,$A$2,"."&amp;B$83&amp;B$1&amp;"C"&amp;$A125)="N/A",0,RTD("tos.rtd",,$A$2,"."&amp;B$83&amp;B$1&amp;"C"&amp;$A125))-IF(RTD("tos.rtd",,$A$2,"."&amp;B$83&amp;B$1&amp;"P"&amp;$A125)="N/A",0,RTD("tos.rtd",,$A$2,"."&amp;B$83&amp;B$1&amp;"P"&amp;$A125))</f>
        <v>0</v>
      </c>
      <c r="C125" s="91">
        <f ca="1">IF(RTD("tos.rtd",,$A$2,"."&amp;C$83&amp;C$1&amp;"C"&amp;$A125)="N/A",0,RTD("tos.rtd",,$A$2,"."&amp;C$83&amp;C$1&amp;"C"&amp;$A125))-IF(RTD("tos.rtd",,$A$2,"."&amp;C$83&amp;C$1&amp;"P"&amp;$A125)="N/A",0,RTD("tos.rtd",,$A$2,"."&amp;C$83&amp;C$1&amp;"P"&amp;$A125))</f>
        <v>0</v>
      </c>
      <c r="D125" s="91">
        <f ca="1">IF(RTD("tos.rtd",,$A$2,"."&amp;D$83&amp;D$1&amp;"C"&amp;$A125)="N/A",0,RTD("tos.rtd",,$A$2,"."&amp;D$83&amp;D$1&amp;"C"&amp;$A125))-IF(RTD("tos.rtd",,$A$2,"."&amp;D$83&amp;D$1&amp;"P"&amp;$A125)="N/A",0,RTD("tos.rtd",,$A$2,"."&amp;D$83&amp;D$1&amp;"P"&amp;$A125))</f>
        <v>0</v>
      </c>
      <c r="E125" s="91">
        <f ca="1">IF(RTD("tos.rtd",,$A$2,"."&amp;E$83&amp;E$1&amp;"C"&amp;$A125)="N/A",0,RTD("tos.rtd",,$A$2,"."&amp;E$83&amp;E$1&amp;"C"&amp;$A125))-IF(RTD("tos.rtd",,$A$2,"."&amp;E$83&amp;E$1&amp;"P"&amp;$A125)="N/A",0,RTD("tos.rtd",,$A$2,"."&amp;E$83&amp;E$1&amp;"P"&amp;$A125))</f>
        <v>0</v>
      </c>
      <c r="F125" s="91">
        <f ca="1">IF(RTD("tos.rtd",,$A$2,"."&amp;F$83&amp;F$1&amp;"C"&amp;$A125)="N/A",0,RTD("tos.rtd",,$A$2,"."&amp;F$83&amp;F$1&amp;"C"&amp;$A125))-IF(RTD("tos.rtd",,$A$2,"."&amp;F$83&amp;F$1&amp;"P"&amp;$A125)="N/A",0,RTD("tos.rtd",,$A$2,"."&amp;F$83&amp;F$1&amp;"P"&amp;$A125))</f>
        <v>0</v>
      </c>
      <c r="G125" s="91">
        <f ca="1">IF(RTD("tos.rtd",,$A$2,"."&amp;G$83&amp;G$1&amp;"C"&amp;$A125)="N/A",0,RTD("tos.rtd",,$A$2,"."&amp;G$83&amp;G$1&amp;"C"&amp;$A125))-IF(RTD("tos.rtd",,$A$2,"."&amp;G$83&amp;G$1&amp;"P"&amp;$A125)="N/A",0,RTD("tos.rtd",,$A$2,"."&amp;G$83&amp;G$1&amp;"P"&amp;$A125))</f>
        <v>0</v>
      </c>
      <c r="H125" s="91">
        <f ca="1">IF(RTD("tos.rtd",,$A$2,"."&amp;H$83&amp;H$1&amp;"C"&amp;$A125)="N/A",0,RTD("tos.rtd",,$A$2,"."&amp;H$83&amp;H$1&amp;"C"&amp;$A125))-IF(RTD("tos.rtd",,$A$2,"."&amp;H$83&amp;H$1&amp;"P"&amp;$A125)="N/A",0,RTD("tos.rtd",,$A$2,"."&amp;H$83&amp;H$1&amp;"P"&amp;$A125))</f>
        <v>0</v>
      </c>
      <c r="I125" s="91">
        <f ca="1">IF(RTD("tos.rtd",,$A$2,"."&amp;I$83&amp;I$1&amp;"C"&amp;$A125)="N/A",0,RTD("tos.rtd",,$A$2,"."&amp;I$83&amp;I$1&amp;"C"&amp;$A125))-IF(RTD("tos.rtd",,$A$2,"."&amp;I$83&amp;I$1&amp;"P"&amp;$A125)="N/A",0,RTD("tos.rtd",,$A$2,"."&amp;I$83&amp;I$1&amp;"P"&amp;$A125))</f>
        <v>-4</v>
      </c>
      <c r="J125" s="91">
        <f ca="1">IF(RTD("tos.rtd",,$A$2,"."&amp;J$83&amp;J$1&amp;"C"&amp;$A125)="N/A",0,RTD("tos.rtd",,$A$2,"."&amp;J$83&amp;J$1&amp;"C"&amp;$A125))-IF(RTD("tos.rtd",,$A$2,"."&amp;J$83&amp;J$1&amp;"P"&amp;$A125)="N/A",0,RTD("tos.rtd",,$A$2,"."&amp;J$83&amp;J$1&amp;"P"&amp;$A125))</f>
        <v>1</v>
      </c>
      <c r="K125" s="91">
        <f ca="1">IF(RTD("tos.rtd",,$A$2,"."&amp;K$83&amp;K$1&amp;"C"&amp;$A125)="N/A",0,RTD("tos.rtd",,$A$2,"."&amp;K$83&amp;K$1&amp;"C"&amp;$A125))-IF(RTD("tos.rtd",,$A$2,"."&amp;K$83&amp;K$1&amp;"P"&amp;$A125)="N/A",0,RTD("tos.rtd",,$A$2,"."&amp;K$83&amp;K$1&amp;"P"&amp;$A125))</f>
        <v>0</v>
      </c>
      <c r="L125" s="91">
        <f ca="1">IF(RTD("tos.rtd",,$A$2,"."&amp;L$83&amp;L$1&amp;"C"&amp;$A125)="N/A",0,RTD("tos.rtd",,$A$2,"."&amp;L$83&amp;L$1&amp;"C"&amp;$A125))-IF(RTD("tos.rtd",,$A$2,"."&amp;L$83&amp;L$1&amp;"P"&amp;$A125)="N/A",0,RTD("tos.rtd",,$A$2,"."&amp;L$83&amp;L$1&amp;"P"&amp;$A125))</f>
        <v>2</v>
      </c>
      <c r="M125" s="91">
        <f ca="1">IF(RTD("tos.rtd",,$A$2,"."&amp;M$83&amp;M$1&amp;"C"&amp;$A125)="N/A",0,RTD("tos.rtd",,$A$2,"."&amp;M$83&amp;M$1&amp;"C"&amp;$A125))-IF(RTD("tos.rtd",,$A$2,"."&amp;M$83&amp;M$1&amp;"P"&amp;$A125)="N/A",0,RTD("tos.rtd",,$A$2,"."&amp;M$83&amp;M$1&amp;"P"&amp;$A125))</f>
        <v>-35</v>
      </c>
      <c r="N125" s="91">
        <f ca="1">IF(RTD("tos.rtd",,$A$2,"."&amp;N$83&amp;N$1&amp;"C"&amp;$A125)="N/A",0,RTD("tos.rtd",,$A$2,"."&amp;N$83&amp;N$1&amp;"C"&amp;$A125))-IF(RTD("tos.rtd",,$A$2,"."&amp;N$83&amp;N$1&amp;"P"&amp;$A125)="N/A",0,RTD("tos.rtd",,$A$2,"."&amp;N$83&amp;N$1&amp;"P"&amp;$A125))</f>
        <v>-3</v>
      </c>
      <c r="O125" s="91">
        <f ca="1">IF(RTD("tos.rtd",,$A$2,"."&amp;O$83&amp;O$1&amp;"C"&amp;$A125)="N/A",0,RTD("tos.rtd",,$A$2,"."&amp;O$83&amp;O$1&amp;"C"&amp;$A125))-IF(RTD("tos.rtd",,$A$2,"."&amp;O$83&amp;O$1&amp;"P"&amp;$A125)="N/A",0,RTD("tos.rtd",,$A$2,"."&amp;O$83&amp;O$1&amp;"P"&amp;$A125))</f>
        <v>20</v>
      </c>
      <c r="P125" s="91">
        <f ca="1">IF(RTD("tos.rtd",,$A$2,"."&amp;P$83&amp;P$1&amp;"C"&amp;$A125)="N/A",0,RTD("tos.rtd",,$A$2,"."&amp;P$83&amp;P$1&amp;"C"&amp;$A125))-IF(RTD("tos.rtd",,$A$2,"."&amp;P$83&amp;P$1&amp;"P"&amp;$A125)="N/A",0,RTD("tos.rtd",,$A$2,"."&amp;P$83&amp;P$1&amp;"P"&amp;$A125))</f>
        <v>0</v>
      </c>
      <c r="Q125" s="91">
        <f ca="1">IF(RTD("tos.rtd",,$A$2,"."&amp;Q$83&amp;Q$1&amp;"C"&amp;$A125)="N/A",0,RTD("tos.rtd",,$A$2,"."&amp;Q$83&amp;Q$1&amp;"C"&amp;$A125))-IF(RTD("tos.rtd",,$A$2,"."&amp;Q$83&amp;Q$1&amp;"P"&amp;$A125)="N/A",0,RTD("tos.rtd",,$A$2,"."&amp;Q$83&amp;Q$1&amp;"P"&amp;$A125))</f>
        <v>10</v>
      </c>
      <c r="R125" s="91">
        <f ca="1">IF(RTD("tos.rtd",,$A$2,"."&amp;R$83&amp;R$1&amp;"C"&amp;$A125)="N/A",0,RTD("tos.rtd",,$A$2,"."&amp;R$83&amp;R$1&amp;"C"&amp;$A125))-IF(RTD("tos.rtd",,$A$2,"."&amp;R$83&amp;R$1&amp;"P"&amp;$A125)="N/A",0,RTD("tos.rtd",,$A$2,"."&amp;R$83&amp;R$1&amp;"P"&amp;$A125))</f>
        <v>0</v>
      </c>
      <c r="S125" s="91">
        <f ca="1">IF(RTD("tos.rtd",,$A$2,"."&amp;S$83&amp;S$1&amp;"C"&amp;$A125)="N/A",0,RTD("tos.rtd",,$A$2,"."&amp;S$83&amp;S$1&amp;"C"&amp;$A125))-IF(RTD("tos.rtd",,$A$2,"."&amp;S$83&amp;S$1&amp;"P"&amp;$A125)="N/A",0,RTD("tos.rtd",,$A$2,"."&amp;S$83&amp;S$1&amp;"P"&amp;$A125))</f>
        <v>0</v>
      </c>
      <c r="T125" s="91">
        <f ca="1">IF(RTD("tos.rtd",,$A$2,"."&amp;T$83&amp;T$1&amp;"C"&amp;$A125)="N/A",0,RTD("tos.rtd",,$A$2,"."&amp;T$83&amp;T$1&amp;"C"&amp;$A125))-IF(RTD("tos.rtd",,$A$2,"."&amp;T$83&amp;T$1&amp;"P"&amp;$A125)="N/A",0,RTD("tos.rtd",,$A$2,"."&amp;T$83&amp;T$1&amp;"P"&amp;$A125))</f>
        <v>-140</v>
      </c>
      <c r="U125" s="91">
        <f ca="1">IF(RTD("tos.rtd",,$A$2,"."&amp;U$83&amp;U$1&amp;"C"&amp;$A125)="N/A",0,RTD("tos.rtd",,$A$2,"."&amp;U$83&amp;U$1&amp;"C"&amp;$A125))-IF(RTD("tos.rtd",,$A$2,"."&amp;U$83&amp;U$1&amp;"P"&amp;$A125)="N/A",0,RTD("tos.rtd",,$A$2,"."&amp;U$83&amp;U$1&amp;"P"&amp;$A125))</f>
        <v>0</v>
      </c>
      <c r="V125" s="91">
        <f ca="1">IF(RTD("tos.rtd",,$A$2,"."&amp;V$83&amp;V$1&amp;"C"&amp;$A125)="N/A",0,RTD("tos.rtd",,$A$2,"."&amp;V$83&amp;V$1&amp;"C"&amp;$A125))-IF(RTD("tos.rtd",,$A$2,"."&amp;V$83&amp;V$1&amp;"P"&amp;$A125)="N/A",0,RTD("tos.rtd",,$A$2,"."&amp;V$83&amp;V$1&amp;"P"&amp;$A125))</f>
        <v>0</v>
      </c>
      <c r="W125" s="91">
        <f ca="1">IF(RTD("tos.rtd",,$A$2,"."&amp;W$83&amp;W$1&amp;"C"&amp;$A125)="N/A",0,RTD("tos.rtd",,$A$2,"."&amp;W$83&amp;W$1&amp;"C"&amp;$A125))-IF(RTD("tos.rtd",,$A$2,"."&amp;W$83&amp;W$1&amp;"P"&amp;$A125)="N/A",0,RTD("tos.rtd",,$A$2,"."&amp;W$83&amp;W$1&amp;"P"&amp;$A125))</f>
        <v>0</v>
      </c>
      <c r="X125" s="91">
        <f ca="1">IF(RTD("tos.rtd",,$A$2,"."&amp;X$83&amp;X$1&amp;"C"&amp;$A125)="N/A",0,RTD("tos.rtd",,$A$2,"."&amp;X$83&amp;X$1&amp;"C"&amp;$A125))-IF(RTD("tos.rtd",,$A$2,"."&amp;X$83&amp;X$1&amp;"P"&amp;$A125)="N/A",0,RTD("tos.rtd",,$A$2,"."&amp;X$83&amp;X$1&amp;"P"&amp;$A125))</f>
        <v>0</v>
      </c>
      <c r="Y125" s="98">
        <f t="shared" ca="1" si="10"/>
        <v>-149</v>
      </c>
    </row>
    <row r="126" spans="1:25" x14ac:dyDescent="0.25">
      <c r="A126" s="93">
        <f>+Hoja1!A125</f>
        <v>5620</v>
      </c>
      <c r="B126" s="91">
        <f ca="1">IF(RTD("tos.rtd",,$A$2,"."&amp;B$83&amp;B$1&amp;"C"&amp;$A126)="N/A",0,RTD("tos.rtd",,$A$2,"."&amp;B$83&amp;B$1&amp;"C"&amp;$A126))-IF(RTD("tos.rtd",,$A$2,"."&amp;B$83&amp;B$1&amp;"P"&amp;$A126)="N/A",0,RTD("tos.rtd",,$A$2,"."&amp;B$83&amp;B$1&amp;"P"&amp;$A126))</f>
        <v>0</v>
      </c>
      <c r="C126" s="91">
        <f ca="1">IF(RTD("tos.rtd",,$A$2,"."&amp;C$83&amp;C$1&amp;"C"&amp;$A126)="N/A",0,RTD("tos.rtd",,$A$2,"."&amp;C$83&amp;C$1&amp;"C"&amp;$A126))-IF(RTD("tos.rtd",,$A$2,"."&amp;C$83&amp;C$1&amp;"P"&amp;$A126)="N/A",0,RTD("tos.rtd",,$A$2,"."&amp;C$83&amp;C$1&amp;"P"&amp;$A126))</f>
        <v>0</v>
      </c>
      <c r="D126" s="91">
        <f ca="1">IF(RTD("tos.rtd",,$A$2,"."&amp;D$83&amp;D$1&amp;"C"&amp;$A126)="N/A",0,RTD("tos.rtd",,$A$2,"."&amp;D$83&amp;D$1&amp;"C"&amp;$A126))-IF(RTD("tos.rtd",,$A$2,"."&amp;D$83&amp;D$1&amp;"P"&amp;$A126)="N/A",0,RTD("tos.rtd",,$A$2,"."&amp;D$83&amp;D$1&amp;"P"&amp;$A126))</f>
        <v>0</v>
      </c>
      <c r="E126" s="91">
        <f ca="1">IF(RTD("tos.rtd",,$A$2,"."&amp;E$83&amp;E$1&amp;"C"&amp;$A126)="N/A",0,RTD("tos.rtd",,$A$2,"."&amp;E$83&amp;E$1&amp;"C"&amp;$A126))-IF(RTD("tos.rtd",,$A$2,"."&amp;E$83&amp;E$1&amp;"P"&amp;$A126)="N/A",0,RTD("tos.rtd",,$A$2,"."&amp;E$83&amp;E$1&amp;"P"&amp;$A126))</f>
        <v>0</v>
      </c>
      <c r="F126" s="91">
        <f ca="1">IF(RTD("tos.rtd",,$A$2,"."&amp;F$83&amp;F$1&amp;"C"&amp;$A126)="N/A",0,RTD("tos.rtd",,$A$2,"."&amp;F$83&amp;F$1&amp;"C"&amp;$A126))-IF(RTD("tos.rtd",,$A$2,"."&amp;F$83&amp;F$1&amp;"P"&amp;$A126)="N/A",0,RTD("tos.rtd",,$A$2,"."&amp;F$83&amp;F$1&amp;"P"&amp;$A126))</f>
        <v>0</v>
      </c>
      <c r="G126" s="91">
        <f ca="1">IF(RTD("tos.rtd",,$A$2,"."&amp;G$83&amp;G$1&amp;"C"&amp;$A126)="N/A",0,RTD("tos.rtd",,$A$2,"."&amp;G$83&amp;G$1&amp;"C"&amp;$A126))-IF(RTD("tos.rtd",,$A$2,"."&amp;G$83&amp;G$1&amp;"P"&amp;$A126)="N/A",0,RTD("tos.rtd",,$A$2,"."&amp;G$83&amp;G$1&amp;"P"&amp;$A126))</f>
        <v>0</v>
      </c>
      <c r="H126" s="91">
        <f ca="1">IF(RTD("tos.rtd",,$A$2,"."&amp;H$83&amp;H$1&amp;"C"&amp;$A126)="N/A",0,RTD("tos.rtd",,$A$2,"."&amp;H$83&amp;H$1&amp;"C"&amp;$A126))-IF(RTD("tos.rtd",,$A$2,"."&amp;H$83&amp;H$1&amp;"P"&amp;$A126)="N/A",0,RTD("tos.rtd",,$A$2,"."&amp;H$83&amp;H$1&amp;"P"&amp;$A126))</f>
        <v>0</v>
      </c>
      <c r="I126" s="91">
        <f ca="1">IF(RTD("tos.rtd",,$A$2,"."&amp;I$83&amp;I$1&amp;"C"&amp;$A126)="N/A",0,RTD("tos.rtd",,$A$2,"."&amp;I$83&amp;I$1&amp;"C"&amp;$A126))-IF(RTD("tos.rtd",,$A$2,"."&amp;I$83&amp;I$1&amp;"P"&amp;$A126)="N/A",0,RTD("tos.rtd",,$A$2,"."&amp;I$83&amp;I$1&amp;"P"&amp;$A126))</f>
        <v>-21</v>
      </c>
      <c r="J126" s="91">
        <f ca="1">IF(RTD("tos.rtd",,$A$2,"."&amp;J$83&amp;J$1&amp;"C"&amp;$A126)="N/A",0,RTD("tos.rtd",,$A$2,"."&amp;J$83&amp;J$1&amp;"C"&amp;$A126))-IF(RTD("tos.rtd",,$A$2,"."&amp;J$83&amp;J$1&amp;"P"&amp;$A126)="N/A",0,RTD("tos.rtd",,$A$2,"."&amp;J$83&amp;J$1&amp;"P"&amp;$A126))</f>
        <v>-5</v>
      </c>
      <c r="K126" s="91">
        <f ca="1">IF(RTD("tos.rtd",,$A$2,"."&amp;K$83&amp;K$1&amp;"C"&amp;$A126)="N/A",0,RTD("tos.rtd",,$A$2,"."&amp;K$83&amp;K$1&amp;"C"&amp;$A126))-IF(RTD("tos.rtd",,$A$2,"."&amp;K$83&amp;K$1&amp;"P"&amp;$A126)="N/A",0,RTD("tos.rtd",,$A$2,"."&amp;K$83&amp;K$1&amp;"P"&amp;$A126))</f>
        <v>0</v>
      </c>
      <c r="L126" s="91">
        <f ca="1">IF(RTD("tos.rtd",,$A$2,"."&amp;L$83&amp;L$1&amp;"C"&amp;$A126)="N/A",0,RTD("tos.rtd",,$A$2,"."&amp;L$83&amp;L$1&amp;"C"&amp;$A126))-IF(RTD("tos.rtd",,$A$2,"."&amp;L$83&amp;L$1&amp;"P"&amp;$A126)="N/A",0,RTD("tos.rtd",,$A$2,"."&amp;L$83&amp;L$1&amp;"P"&amp;$A126))</f>
        <v>-1</v>
      </c>
      <c r="M126" s="91">
        <f ca="1">IF(RTD("tos.rtd",,$A$2,"."&amp;M$83&amp;M$1&amp;"C"&amp;$A126)="N/A",0,RTD("tos.rtd",,$A$2,"."&amp;M$83&amp;M$1&amp;"C"&amp;$A126))-IF(RTD("tos.rtd",,$A$2,"."&amp;M$83&amp;M$1&amp;"P"&amp;$A126)="N/A",0,RTD("tos.rtd",,$A$2,"."&amp;M$83&amp;M$1&amp;"P"&amp;$A126))</f>
        <v>-123</v>
      </c>
      <c r="N126" s="91">
        <f ca="1">IF(RTD("tos.rtd",,$A$2,"."&amp;N$83&amp;N$1&amp;"C"&amp;$A126)="N/A",0,RTD("tos.rtd",,$A$2,"."&amp;N$83&amp;N$1&amp;"C"&amp;$A126))-IF(RTD("tos.rtd",,$A$2,"."&amp;N$83&amp;N$1&amp;"P"&amp;$A126)="N/A",0,RTD("tos.rtd",,$A$2,"."&amp;N$83&amp;N$1&amp;"P"&amp;$A126))</f>
        <v>-108</v>
      </c>
      <c r="O126" s="91">
        <f ca="1">IF(RTD("tos.rtd",,$A$2,"."&amp;O$83&amp;O$1&amp;"C"&amp;$A126)="N/A",0,RTD("tos.rtd",,$A$2,"."&amp;O$83&amp;O$1&amp;"C"&amp;$A126))-IF(RTD("tos.rtd",,$A$2,"."&amp;O$83&amp;O$1&amp;"P"&amp;$A126)="N/A",0,RTD("tos.rtd",,$A$2,"."&amp;O$83&amp;O$1&amp;"P"&amp;$A126))</f>
        <v>-10</v>
      </c>
      <c r="P126" s="91">
        <f ca="1">IF(RTD("tos.rtd",,$A$2,"."&amp;P$83&amp;P$1&amp;"C"&amp;$A126)="N/A",0,RTD("tos.rtd",,$A$2,"."&amp;P$83&amp;P$1&amp;"C"&amp;$A126))-IF(RTD("tos.rtd",,$A$2,"."&amp;P$83&amp;P$1&amp;"P"&amp;$A126)="N/A",0,RTD("tos.rtd",,$A$2,"."&amp;P$83&amp;P$1&amp;"P"&amp;$A126))</f>
        <v>-31</v>
      </c>
      <c r="Q126" s="91">
        <f ca="1">IF(RTD("tos.rtd",,$A$2,"."&amp;Q$83&amp;Q$1&amp;"C"&amp;$A126)="N/A",0,RTD("tos.rtd",,$A$2,"."&amp;Q$83&amp;Q$1&amp;"C"&amp;$A126))-IF(RTD("tos.rtd",,$A$2,"."&amp;Q$83&amp;Q$1&amp;"P"&amp;$A126)="N/A",0,RTD("tos.rtd",,$A$2,"."&amp;Q$83&amp;Q$1&amp;"P"&amp;$A126))</f>
        <v>-100</v>
      </c>
      <c r="R126" s="91">
        <f ca="1">IF(RTD("tos.rtd",,$A$2,"."&amp;R$83&amp;R$1&amp;"C"&amp;$A126)="N/A",0,RTD("tos.rtd",,$A$2,"."&amp;R$83&amp;R$1&amp;"C"&amp;$A126))-IF(RTD("tos.rtd",,$A$2,"."&amp;R$83&amp;R$1&amp;"P"&amp;$A126)="N/A",0,RTD("tos.rtd",,$A$2,"."&amp;R$83&amp;R$1&amp;"P"&amp;$A126))</f>
        <v>4</v>
      </c>
      <c r="S126" s="91">
        <f ca="1">IF(RTD("tos.rtd",,$A$2,"."&amp;S$83&amp;S$1&amp;"C"&amp;$A126)="N/A",0,RTD("tos.rtd",,$A$2,"."&amp;S$83&amp;S$1&amp;"C"&amp;$A126))-IF(RTD("tos.rtd",,$A$2,"."&amp;S$83&amp;S$1&amp;"P"&amp;$A126)="N/A",0,RTD("tos.rtd",,$A$2,"."&amp;S$83&amp;S$1&amp;"P"&amp;$A126))</f>
        <v>0</v>
      </c>
      <c r="T126" s="91">
        <f ca="1">IF(RTD("tos.rtd",,$A$2,"."&amp;T$83&amp;T$1&amp;"C"&amp;$A126)="N/A",0,RTD("tos.rtd",,$A$2,"."&amp;T$83&amp;T$1&amp;"C"&amp;$A126))-IF(RTD("tos.rtd",,$A$2,"."&amp;T$83&amp;T$1&amp;"P"&amp;$A126)="N/A",0,RTD("tos.rtd",,$A$2,"."&amp;T$83&amp;T$1&amp;"P"&amp;$A126))</f>
        <v>-125</v>
      </c>
      <c r="U126" s="91">
        <f ca="1">IF(RTD("tos.rtd",,$A$2,"."&amp;U$83&amp;U$1&amp;"C"&amp;$A126)="N/A",0,RTD("tos.rtd",,$A$2,"."&amp;U$83&amp;U$1&amp;"C"&amp;$A126))-IF(RTD("tos.rtd",,$A$2,"."&amp;U$83&amp;U$1&amp;"P"&amp;$A126)="N/A",0,RTD("tos.rtd",,$A$2,"."&amp;U$83&amp;U$1&amp;"P"&amp;$A126))</f>
        <v>0</v>
      </c>
      <c r="V126" s="91">
        <f ca="1">IF(RTD("tos.rtd",,$A$2,"."&amp;V$83&amp;V$1&amp;"C"&amp;$A126)="N/A",0,RTD("tos.rtd",,$A$2,"."&amp;V$83&amp;V$1&amp;"C"&amp;$A126))-IF(RTD("tos.rtd",,$A$2,"."&amp;V$83&amp;V$1&amp;"P"&amp;$A126)="N/A",0,RTD("tos.rtd",,$A$2,"."&amp;V$83&amp;V$1&amp;"P"&amp;$A126))</f>
        <v>0</v>
      </c>
      <c r="W126" s="91">
        <f ca="1">IF(RTD("tos.rtd",,$A$2,"."&amp;W$83&amp;W$1&amp;"C"&amp;$A126)="N/A",0,RTD("tos.rtd",,$A$2,"."&amp;W$83&amp;W$1&amp;"C"&amp;$A126))-IF(RTD("tos.rtd",,$A$2,"."&amp;W$83&amp;W$1&amp;"P"&amp;$A126)="N/A",0,RTD("tos.rtd",,$A$2,"."&amp;W$83&amp;W$1&amp;"P"&amp;$A126))</f>
        <v>0</v>
      </c>
      <c r="X126" s="91">
        <f ca="1">IF(RTD("tos.rtd",,$A$2,"."&amp;X$83&amp;X$1&amp;"C"&amp;$A126)="N/A",0,RTD("tos.rtd",,$A$2,"."&amp;X$83&amp;X$1&amp;"C"&amp;$A126))-IF(RTD("tos.rtd",,$A$2,"."&amp;X$83&amp;X$1&amp;"P"&amp;$A126)="N/A",0,RTD("tos.rtd",,$A$2,"."&amp;X$83&amp;X$1&amp;"P"&amp;$A126))</f>
        <v>0</v>
      </c>
      <c r="Y126" s="98">
        <f t="shared" ca="1" si="10"/>
        <v>-520</v>
      </c>
    </row>
    <row r="127" spans="1:25" x14ac:dyDescent="0.25">
      <c r="A127" s="93">
        <f>+Hoja1!A126</f>
        <v>5610</v>
      </c>
      <c r="B127" s="91">
        <f ca="1">IF(RTD("tos.rtd",,$A$2,"."&amp;B$83&amp;B$1&amp;"C"&amp;$A127)="N/A",0,RTD("tos.rtd",,$A$2,"."&amp;B$83&amp;B$1&amp;"C"&amp;$A127))-IF(RTD("tos.rtd",,$A$2,"."&amp;B$83&amp;B$1&amp;"P"&amp;$A127)="N/A",0,RTD("tos.rtd",,$A$2,"."&amp;B$83&amp;B$1&amp;"P"&amp;$A127))</f>
        <v>0</v>
      </c>
      <c r="C127" s="91">
        <f ca="1">IF(RTD("tos.rtd",,$A$2,"."&amp;C$83&amp;C$1&amp;"C"&amp;$A127)="N/A",0,RTD("tos.rtd",,$A$2,"."&amp;C$83&amp;C$1&amp;"C"&amp;$A127))-IF(RTD("tos.rtd",,$A$2,"."&amp;C$83&amp;C$1&amp;"P"&amp;$A127)="N/A",0,RTD("tos.rtd",,$A$2,"."&amp;C$83&amp;C$1&amp;"P"&amp;$A127))</f>
        <v>0</v>
      </c>
      <c r="D127" s="91">
        <f ca="1">IF(RTD("tos.rtd",,$A$2,"."&amp;D$83&amp;D$1&amp;"C"&amp;$A127)="N/A",0,RTD("tos.rtd",,$A$2,"."&amp;D$83&amp;D$1&amp;"C"&amp;$A127))-IF(RTD("tos.rtd",,$A$2,"."&amp;D$83&amp;D$1&amp;"P"&amp;$A127)="N/A",0,RTD("tos.rtd",,$A$2,"."&amp;D$83&amp;D$1&amp;"P"&amp;$A127))</f>
        <v>0</v>
      </c>
      <c r="E127" s="91">
        <f ca="1">IF(RTD("tos.rtd",,$A$2,"."&amp;E$83&amp;E$1&amp;"C"&amp;$A127)="N/A",0,RTD("tos.rtd",,$A$2,"."&amp;E$83&amp;E$1&amp;"C"&amp;$A127))-IF(RTD("tos.rtd",,$A$2,"."&amp;E$83&amp;E$1&amp;"P"&amp;$A127)="N/A",0,RTD("tos.rtd",,$A$2,"."&amp;E$83&amp;E$1&amp;"P"&amp;$A127))</f>
        <v>0</v>
      </c>
      <c r="F127" s="91">
        <f ca="1">IF(RTD("tos.rtd",,$A$2,"."&amp;F$83&amp;F$1&amp;"C"&amp;$A127)="N/A",0,RTD("tos.rtd",,$A$2,"."&amp;F$83&amp;F$1&amp;"C"&amp;$A127))-IF(RTD("tos.rtd",,$A$2,"."&amp;F$83&amp;F$1&amp;"P"&amp;$A127)="N/A",0,RTD("tos.rtd",,$A$2,"."&amp;F$83&amp;F$1&amp;"P"&amp;$A127))</f>
        <v>0</v>
      </c>
      <c r="G127" s="91">
        <f ca="1">IF(RTD("tos.rtd",,$A$2,"."&amp;G$83&amp;G$1&amp;"C"&amp;$A127)="N/A",0,RTD("tos.rtd",,$A$2,"."&amp;G$83&amp;G$1&amp;"C"&amp;$A127))-IF(RTD("tos.rtd",,$A$2,"."&amp;G$83&amp;G$1&amp;"P"&amp;$A127)="N/A",0,RTD("tos.rtd",,$A$2,"."&amp;G$83&amp;G$1&amp;"P"&amp;$A127))</f>
        <v>0</v>
      </c>
      <c r="H127" s="91">
        <f ca="1">IF(RTD("tos.rtd",,$A$2,"."&amp;H$83&amp;H$1&amp;"C"&amp;$A127)="N/A",0,RTD("tos.rtd",,$A$2,"."&amp;H$83&amp;H$1&amp;"C"&amp;$A127))-IF(RTD("tos.rtd",,$A$2,"."&amp;H$83&amp;H$1&amp;"P"&amp;$A127)="N/A",0,RTD("tos.rtd",,$A$2,"."&amp;H$83&amp;H$1&amp;"P"&amp;$A127))</f>
        <v>0</v>
      </c>
      <c r="I127" s="91">
        <f ca="1">IF(RTD("tos.rtd",,$A$2,"."&amp;I$83&amp;I$1&amp;"C"&amp;$A127)="N/A",0,RTD("tos.rtd",,$A$2,"."&amp;I$83&amp;I$1&amp;"C"&amp;$A127))-IF(RTD("tos.rtd",,$A$2,"."&amp;I$83&amp;I$1&amp;"P"&amp;$A127)="N/A",0,RTD("tos.rtd",,$A$2,"."&amp;I$83&amp;I$1&amp;"P"&amp;$A127))</f>
        <v>-123</v>
      </c>
      <c r="J127" s="91">
        <f ca="1">IF(RTD("tos.rtd",,$A$2,"."&amp;J$83&amp;J$1&amp;"C"&amp;$A127)="N/A",0,RTD("tos.rtd",,$A$2,"."&amp;J$83&amp;J$1&amp;"C"&amp;$A127))-IF(RTD("tos.rtd",,$A$2,"."&amp;J$83&amp;J$1&amp;"P"&amp;$A127)="N/A",0,RTD("tos.rtd",,$A$2,"."&amp;J$83&amp;J$1&amp;"P"&amp;$A127))</f>
        <v>0</v>
      </c>
      <c r="K127" s="91">
        <f ca="1">IF(RTD("tos.rtd",,$A$2,"."&amp;K$83&amp;K$1&amp;"C"&amp;$A127)="N/A",0,RTD("tos.rtd",,$A$2,"."&amp;K$83&amp;K$1&amp;"C"&amp;$A127))-IF(RTD("tos.rtd",,$A$2,"."&amp;K$83&amp;K$1&amp;"P"&amp;$A127)="N/A",0,RTD("tos.rtd",,$A$2,"."&amp;K$83&amp;K$1&amp;"P"&amp;$A127))</f>
        <v>0</v>
      </c>
      <c r="L127" s="91">
        <f ca="1">IF(RTD("tos.rtd",,$A$2,"."&amp;L$83&amp;L$1&amp;"C"&amp;$A127)="N/A",0,RTD("tos.rtd",,$A$2,"."&amp;L$83&amp;L$1&amp;"C"&amp;$A127))-IF(RTD("tos.rtd",,$A$2,"."&amp;L$83&amp;L$1&amp;"P"&amp;$A127)="N/A",0,RTD("tos.rtd",,$A$2,"."&amp;L$83&amp;L$1&amp;"P"&amp;$A127))</f>
        <v>-12</v>
      </c>
      <c r="M127" s="91">
        <f ca="1">IF(RTD("tos.rtd",,$A$2,"."&amp;M$83&amp;M$1&amp;"C"&amp;$A127)="N/A",0,RTD("tos.rtd",,$A$2,"."&amp;M$83&amp;M$1&amp;"C"&amp;$A127))-IF(RTD("tos.rtd",,$A$2,"."&amp;M$83&amp;M$1&amp;"P"&amp;$A127)="N/A",0,RTD("tos.rtd",,$A$2,"."&amp;M$83&amp;M$1&amp;"P"&amp;$A127))</f>
        <v>-6</v>
      </c>
      <c r="N127" s="91">
        <f ca="1">IF(RTD("tos.rtd",,$A$2,"."&amp;N$83&amp;N$1&amp;"C"&amp;$A127)="N/A",0,RTD("tos.rtd",,$A$2,"."&amp;N$83&amp;N$1&amp;"C"&amp;$A127))-IF(RTD("tos.rtd",,$A$2,"."&amp;N$83&amp;N$1&amp;"P"&amp;$A127)="N/A",0,RTD("tos.rtd",,$A$2,"."&amp;N$83&amp;N$1&amp;"P"&amp;$A127))</f>
        <v>-93</v>
      </c>
      <c r="O127" s="91">
        <f ca="1">IF(RTD("tos.rtd",,$A$2,"."&amp;O$83&amp;O$1&amp;"C"&amp;$A127)="N/A",0,RTD("tos.rtd",,$A$2,"."&amp;O$83&amp;O$1&amp;"C"&amp;$A127))-IF(RTD("tos.rtd",,$A$2,"."&amp;O$83&amp;O$1&amp;"P"&amp;$A127)="N/A",0,RTD("tos.rtd",,$A$2,"."&amp;O$83&amp;O$1&amp;"P"&amp;$A127))</f>
        <v>0</v>
      </c>
      <c r="P127" s="91">
        <f ca="1">IF(RTD("tos.rtd",,$A$2,"."&amp;P$83&amp;P$1&amp;"C"&amp;$A127)="N/A",0,RTD("tos.rtd",,$A$2,"."&amp;P$83&amp;P$1&amp;"C"&amp;$A127))-IF(RTD("tos.rtd",,$A$2,"."&amp;P$83&amp;P$1&amp;"P"&amp;$A127)="N/A",0,RTD("tos.rtd",,$A$2,"."&amp;P$83&amp;P$1&amp;"P"&amp;$A127))</f>
        <v>0</v>
      </c>
      <c r="Q127" s="91">
        <f ca="1">IF(RTD("tos.rtd",,$A$2,"."&amp;Q$83&amp;Q$1&amp;"C"&amp;$A127)="N/A",0,RTD("tos.rtd",,$A$2,"."&amp;Q$83&amp;Q$1&amp;"C"&amp;$A127))-IF(RTD("tos.rtd",,$A$2,"."&amp;Q$83&amp;Q$1&amp;"P"&amp;$A127)="N/A",0,RTD("tos.rtd",,$A$2,"."&amp;Q$83&amp;Q$1&amp;"P"&amp;$A127))</f>
        <v>0</v>
      </c>
      <c r="R127" s="91">
        <f ca="1">IF(RTD("tos.rtd",,$A$2,"."&amp;R$83&amp;R$1&amp;"C"&amp;$A127)="N/A",0,RTD("tos.rtd",,$A$2,"."&amp;R$83&amp;R$1&amp;"C"&amp;$A127))-IF(RTD("tos.rtd",,$A$2,"."&amp;R$83&amp;R$1&amp;"P"&amp;$A127)="N/A",0,RTD("tos.rtd",,$A$2,"."&amp;R$83&amp;R$1&amp;"P"&amp;$A127))</f>
        <v>0</v>
      </c>
      <c r="S127" s="91">
        <f ca="1">IF(RTD("tos.rtd",,$A$2,"."&amp;S$83&amp;S$1&amp;"C"&amp;$A127)="N/A",0,RTD("tos.rtd",,$A$2,"."&amp;S$83&amp;S$1&amp;"C"&amp;$A127))-IF(RTD("tos.rtd",,$A$2,"."&amp;S$83&amp;S$1&amp;"P"&amp;$A127)="N/A",0,RTD("tos.rtd",,$A$2,"."&amp;S$83&amp;S$1&amp;"P"&amp;$A127))</f>
        <v>4</v>
      </c>
      <c r="T127" s="91">
        <f ca="1">IF(RTD("tos.rtd",,$A$2,"."&amp;T$83&amp;T$1&amp;"C"&amp;$A127)="N/A",0,RTD("tos.rtd",,$A$2,"."&amp;T$83&amp;T$1&amp;"C"&amp;$A127))-IF(RTD("tos.rtd",,$A$2,"."&amp;T$83&amp;T$1&amp;"P"&amp;$A127)="N/A",0,RTD("tos.rtd",,$A$2,"."&amp;T$83&amp;T$1&amp;"P"&amp;$A127))</f>
        <v>-17</v>
      </c>
      <c r="U127" s="91">
        <f ca="1">IF(RTD("tos.rtd",,$A$2,"."&amp;U$83&amp;U$1&amp;"C"&amp;$A127)="N/A",0,RTD("tos.rtd",,$A$2,"."&amp;U$83&amp;U$1&amp;"C"&amp;$A127))-IF(RTD("tos.rtd",,$A$2,"."&amp;U$83&amp;U$1&amp;"P"&amp;$A127)="N/A",0,RTD("tos.rtd",,$A$2,"."&amp;U$83&amp;U$1&amp;"P"&amp;$A127))</f>
        <v>0</v>
      </c>
      <c r="V127" s="91">
        <f ca="1">IF(RTD("tos.rtd",,$A$2,"."&amp;V$83&amp;V$1&amp;"C"&amp;$A127)="N/A",0,RTD("tos.rtd",,$A$2,"."&amp;V$83&amp;V$1&amp;"C"&amp;$A127))-IF(RTD("tos.rtd",,$A$2,"."&amp;V$83&amp;V$1&amp;"P"&amp;$A127)="N/A",0,RTD("tos.rtd",,$A$2,"."&amp;V$83&amp;V$1&amp;"P"&amp;$A127))</f>
        <v>0</v>
      </c>
      <c r="W127" s="91">
        <f ca="1">IF(RTD("tos.rtd",,$A$2,"."&amp;W$83&amp;W$1&amp;"C"&amp;$A127)="N/A",0,RTD("tos.rtd",,$A$2,"."&amp;W$83&amp;W$1&amp;"C"&amp;$A127))-IF(RTD("tos.rtd",,$A$2,"."&amp;W$83&amp;W$1&amp;"P"&amp;$A127)="N/A",0,RTD("tos.rtd",,$A$2,"."&amp;W$83&amp;W$1&amp;"P"&amp;$A127))</f>
        <v>0</v>
      </c>
      <c r="X127" s="91">
        <f ca="1">IF(RTD("tos.rtd",,$A$2,"."&amp;X$83&amp;X$1&amp;"C"&amp;$A127)="N/A",0,RTD("tos.rtd",,$A$2,"."&amp;X$83&amp;X$1&amp;"C"&amp;$A127))-IF(RTD("tos.rtd",,$A$2,"."&amp;X$83&amp;X$1&amp;"P"&amp;$A127)="N/A",0,RTD("tos.rtd",,$A$2,"."&amp;X$83&amp;X$1&amp;"P"&amp;$A127))</f>
        <v>0</v>
      </c>
      <c r="Y127" s="98">
        <f t="shared" ca="1" si="10"/>
        <v>-247</v>
      </c>
    </row>
    <row r="128" spans="1:25" x14ac:dyDescent="0.25">
      <c r="A128" s="93">
        <f>+Hoja1!A127</f>
        <v>5600</v>
      </c>
      <c r="B128" s="91">
        <f ca="1">IF(RTD("tos.rtd",,$A$2,"."&amp;B$83&amp;B$1&amp;"C"&amp;$A128)="N/A",0,RTD("tos.rtd",,$A$2,"."&amp;B$83&amp;B$1&amp;"C"&amp;$A128))-IF(RTD("tos.rtd",,$A$2,"."&amp;B$83&amp;B$1&amp;"P"&amp;$A128)="N/A",0,RTD("tos.rtd",,$A$2,"."&amp;B$83&amp;B$1&amp;"P"&amp;$A128))</f>
        <v>0</v>
      </c>
      <c r="C128" s="91">
        <f ca="1">IF(RTD("tos.rtd",,$A$2,"."&amp;C$83&amp;C$1&amp;"C"&amp;$A128)="N/A",0,RTD("tos.rtd",,$A$2,"."&amp;C$83&amp;C$1&amp;"C"&amp;$A128))-IF(RTD("tos.rtd",,$A$2,"."&amp;C$83&amp;C$1&amp;"P"&amp;$A128)="N/A",0,RTD("tos.rtd",,$A$2,"."&amp;C$83&amp;C$1&amp;"P"&amp;$A128))</f>
        <v>0</v>
      </c>
      <c r="D128" s="91">
        <f ca="1">IF(RTD("tos.rtd",,$A$2,"."&amp;D$83&amp;D$1&amp;"C"&amp;$A128)="N/A",0,RTD("tos.rtd",,$A$2,"."&amp;D$83&amp;D$1&amp;"C"&amp;$A128))-IF(RTD("tos.rtd",,$A$2,"."&amp;D$83&amp;D$1&amp;"P"&amp;$A128)="N/A",0,RTD("tos.rtd",,$A$2,"."&amp;D$83&amp;D$1&amp;"P"&amp;$A128))</f>
        <v>0</v>
      </c>
      <c r="E128" s="91">
        <f ca="1">IF(RTD("tos.rtd",,$A$2,"."&amp;E$83&amp;E$1&amp;"C"&amp;$A128)="N/A",0,RTD("tos.rtd",,$A$2,"."&amp;E$83&amp;E$1&amp;"C"&amp;$A128))-IF(RTD("tos.rtd",,$A$2,"."&amp;E$83&amp;E$1&amp;"P"&amp;$A128)="N/A",0,RTD("tos.rtd",,$A$2,"."&amp;E$83&amp;E$1&amp;"P"&amp;$A128))</f>
        <v>0</v>
      </c>
      <c r="F128" s="91">
        <f ca="1">IF(RTD("tos.rtd",,$A$2,"."&amp;F$83&amp;F$1&amp;"C"&amp;$A128)="N/A",0,RTD("tos.rtd",,$A$2,"."&amp;F$83&amp;F$1&amp;"C"&amp;$A128))-IF(RTD("tos.rtd",,$A$2,"."&amp;F$83&amp;F$1&amp;"P"&amp;$A128)="N/A",0,RTD("tos.rtd",,$A$2,"."&amp;F$83&amp;F$1&amp;"P"&amp;$A128))</f>
        <v>0</v>
      </c>
      <c r="G128" s="91">
        <f ca="1">IF(RTD("tos.rtd",,$A$2,"."&amp;G$83&amp;G$1&amp;"C"&amp;$A128)="N/A",0,RTD("tos.rtd",,$A$2,"."&amp;G$83&amp;G$1&amp;"C"&amp;$A128))-IF(RTD("tos.rtd",,$A$2,"."&amp;G$83&amp;G$1&amp;"P"&amp;$A128)="N/A",0,RTD("tos.rtd",,$A$2,"."&amp;G$83&amp;G$1&amp;"P"&amp;$A128))</f>
        <v>0</v>
      </c>
      <c r="H128" s="91">
        <f ca="1">IF(RTD("tos.rtd",,$A$2,"."&amp;H$83&amp;H$1&amp;"C"&amp;$A128)="N/A",0,RTD("tos.rtd",,$A$2,"."&amp;H$83&amp;H$1&amp;"C"&amp;$A128))-IF(RTD("tos.rtd",,$A$2,"."&amp;H$83&amp;H$1&amp;"P"&amp;$A128)="N/A",0,RTD("tos.rtd",,$A$2,"."&amp;H$83&amp;H$1&amp;"P"&amp;$A128))</f>
        <v>0</v>
      </c>
      <c r="I128" s="91">
        <f ca="1">IF(RTD("tos.rtd",,$A$2,"."&amp;I$83&amp;I$1&amp;"C"&amp;$A128)="N/A",0,RTD("tos.rtd",,$A$2,"."&amp;I$83&amp;I$1&amp;"C"&amp;$A128))-IF(RTD("tos.rtd",,$A$2,"."&amp;I$83&amp;I$1&amp;"P"&amp;$A128)="N/A",0,RTD("tos.rtd",,$A$2,"."&amp;I$83&amp;I$1&amp;"P"&amp;$A128))</f>
        <v>-867</v>
      </c>
      <c r="J128" s="91">
        <f ca="1">IF(RTD("tos.rtd",,$A$2,"."&amp;J$83&amp;J$1&amp;"C"&amp;$A128)="N/A",0,RTD("tos.rtd",,$A$2,"."&amp;J$83&amp;J$1&amp;"C"&amp;$A128))-IF(RTD("tos.rtd",,$A$2,"."&amp;J$83&amp;J$1&amp;"P"&amp;$A128)="N/A",0,RTD("tos.rtd",,$A$2,"."&amp;J$83&amp;J$1&amp;"P"&amp;$A128))</f>
        <v>-216</v>
      </c>
      <c r="K128" s="91">
        <f ca="1">IF(RTD("tos.rtd",,$A$2,"."&amp;K$83&amp;K$1&amp;"C"&amp;$A128)="N/A",0,RTD("tos.rtd",,$A$2,"."&amp;K$83&amp;K$1&amp;"C"&amp;$A128))-IF(RTD("tos.rtd",,$A$2,"."&amp;K$83&amp;K$1&amp;"P"&amp;$A128)="N/A",0,RTD("tos.rtd",,$A$2,"."&amp;K$83&amp;K$1&amp;"P"&amp;$A128))</f>
        <v>0</v>
      </c>
      <c r="L128" s="91">
        <f ca="1">IF(RTD("tos.rtd",,$A$2,"."&amp;L$83&amp;L$1&amp;"C"&amp;$A128)="N/A",0,RTD("tos.rtd",,$A$2,"."&amp;L$83&amp;L$1&amp;"C"&amp;$A128))-IF(RTD("tos.rtd",,$A$2,"."&amp;L$83&amp;L$1&amp;"P"&amp;$A128)="N/A",0,RTD("tos.rtd",,$A$2,"."&amp;L$83&amp;L$1&amp;"P"&amp;$A128))</f>
        <v>-539</v>
      </c>
      <c r="M128" s="91">
        <f ca="1">IF(RTD("tos.rtd",,$A$2,"."&amp;M$83&amp;M$1&amp;"C"&amp;$A128)="N/A",0,RTD("tos.rtd",,$A$2,"."&amp;M$83&amp;M$1&amp;"C"&amp;$A128))-IF(RTD("tos.rtd",,$A$2,"."&amp;M$83&amp;M$1&amp;"P"&amp;$A128)="N/A",0,RTD("tos.rtd",,$A$2,"."&amp;M$83&amp;M$1&amp;"P"&amp;$A128))</f>
        <v>-1588</v>
      </c>
      <c r="N128" s="91">
        <f ca="1">IF(RTD("tos.rtd",,$A$2,"."&amp;N$83&amp;N$1&amp;"C"&amp;$A128)="N/A",0,RTD("tos.rtd",,$A$2,"."&amp;N$83&amp;N$1&amp;"C"&amp;$A128))-IF(RTD("tos.rtd",,$A$2,"."&amp;N$83&amp;N$1&amp;"P"&amp;$A128)="N/A",0,RTD("tos.rtd",,$A$2,"."&amp;N$83&amp;N$1&amp;"P"&amp;$A128))</f>
        <v>-17</v>
      </c>
      <c r="O128" s="91">
        <f ca="1">IF(RTD("tos.rtd",,$A$2,"."&amp;O$83&amp;O$1&amp;"C"&amp;$A128)="N/A",0,RTD("tos.rtd",,$A$2,"."&amp;O$83&amp;O$1&amp;"C"&amp;$A128))-IF(RTD("tos.rtd",,$A$2,"."&amp;O$83&amp;O$1&amp;"P"&amp;$A128)="N/A",0,RTD("tos.rtd",,$A$2,"."&amp;O$83&amp;O$1&amp;"P"&amp;$A128))</f>
        <v>-933</v>
      </c>
      <c r="P128" s="91">
        <f ca="1">IF(RTD("tos.rtd",,$A$2,"."&amp;P$83&amp;P$1&amp;"C"&amp;$A128)="N/A",0,RTD("tos.rtd",,$A$2,"."&amp;P$83&amp;P$1&amp;"C"&amp;$A128))-IF(RTD("tos.rtd",,$A$2,"."&amp;P$83&amp;P$1&amp;"P"&amp;$A128)="N/A",0,RTD("tos.rtd",,$A$2,"."&amp;P$83&amp;P$1&amp;"P"&amp;$A128))</f>
        <v>-41</v>
      </c>
      <c r="Q128" s="91">
        <f ca="1">IF(RTD("tos.rtd",,$A$2,"."&amp;Q$83&amp;Q$1&amp;"C"&amp;$A128)="N/A",0,RTD("tos.rtd",,$A$2,"."&amp;Q$83&amp;Q$1&amp;"C"&amp;$A128))-IF(RTD("tos.rtd",,$A$2,"."&amp;Q$83&amp;Q$1&amp;"P"&amp;$A128)="N/A",0,RTD("tos.rtd",,$A$2,"."&amp;Q$83&amp;Q$1&amp;"P"&amp;$A128))</f>
        <v>-2257</v>
      </c>
      <c r="R128" s="91">
        <f ca="1">IF(RTD("tos.rtd",,$A$2,"."&amp;R$83&amp;R$1&amp;"C"&amp;$A128)="N/A",0,RTD("tos.rtd",,$A$2,"."&amp;R$83&amp;R$1&amp;"C"&amp;$A128))-IF(RTD("tos.rtd",,$A$2,"."&amp;R$83&amp;R$1&amp;"P"&amp;$A128)="N/A",0,RTD("tos.rtd",,$A$2,"."&amp;R$83&amp;R$1&amp;"P"&amp;$A128))</f>
        <v>335</v>
      </c>
      <c r="S128" s="91">
        <f ca="1">IF(RTD("tos.rtd",,$A$2,"."&amp;S$83&amp;S$1&amp;"C"&amp;$A128)="N/A",0,RTD("tos.rtd",,$A$2,"."&amp;S$83&amp;S$1&amp;"C"&amp;$A128))-IF(RTD("tos.rtd",,$A$2,"."&amp;S$83&amp;S$1&amp;"P"&amp;$A128)="N/A",0,RTD("tos.rtd",,$A$2,"."&amp;S$83&amp;S$1&amp;"P"&amp;$A128))</f>
        <v>30</v>
      </c>
      <c r="T128" s="91">
        <f ca="1">IF(RTD("tos.rtd",,$A$2,"."&amp;T$83&amp;T$1&amp;"C"&amp;$A128)="N/A",0,RTD("tos.rtd",,$A$2,"."&amp;T$83&amp;T$1&amp;"C"&amp;$A128))-IF(RTD("tos.rtd",,$A$2,"."&amp;T$83&amp;T$1&amp;"P"&amp;$A128)="N/A",0,RTD("tos.rtd",,$A$2,"."&amp;T$83&amp;T$1&amp;"P"&amp;$A128))</f>
        <v>-64</v>
      </c>
      <c r="U128" s="91">
        <f ca="1">IF(RTD("tos.rtd",,$A$2,"."&amp;U$83&amp;U$1&amp;"C"&amp;$A128)="N/A",0,RTD("tos.rtd",,$A$2,"."&amp;U$83&amp;U$1&amp;"C"&amp;$A128))-IF(RTD("tos.rtd",,$A$2,"."&amp;U$83&amp;U$1&amp;"P"&amp;$A128)="N/A",0,RTD("tos.rtd",,$A$2,"."&amp;U$83&amp;U$1&amp;"P"&amp;$A128))</f>
        <v>-923</v>
      </c>
      <c r="V128" s="91">
        <f ca="1">IF(RTD("tos.rtd",,$A$2,"."&amp;V$83&amp;V$1&amp;"C"&amp;$A128)="N/A",0,RTD("tos.rtd",,$A$2,"."&amp;V$83&amp;V$1&amp;"C"&amp;$A128))-IF(RTD("tos.rtd",,$A$2,"."&amp;V$83&amp;V$1&amp;"P"&amp;$A128)="N/A",0,RTD("tos.rtd",,$A$2,"."&amp;V$83&amp;V$1&amp;"P"&amp;$A128))</f>
        <v>0</v>
      </c>
      <c r="W128" s="91">
        <f ca="1">IF(RTD("tos.rtd",,$A$2,"."&amp;W$83&amp;W$1&amp;"C"&amp;$A128)="N/A",0,RTD("tos.rtd",,$A$2,"."&amp;W$83&amp;W$1&amp;"C"&amp;$A128))-IF(RTD("tos.rtd",,$A$2,"."&amp;W$83&amp;W$1&amp;"P"&amp;$A128)="N/A",0,RTD("tos.rtd",,$A$2,"."&amp;W$83&amp;W$1&amp;"P"&amp;$A128))</f>
        <v>-329</v>
      </c>
      <c r="X128" s="91">
        <f ca="1">IF(RTD("tos.rtd",,$A$2,"."&amp;X$83&amp;X$1&amp;"C"&amp;$A128)="N/A",0,RTD("tos.rtd",,$A$2,"."&amp;X$83&amp;X$1&amp;"C"&amp;$A128))-IF(RTD("tos.rtd",,$A$2,"."&amp;X$83&amp;X$1&amp;"P"&amp;$A128)="N/A",0,RTD("tos.rtd",,$A$2,"."&amp;X$83&amp;X$1&amp;"P"&amp;$A128))</f>
        <v>-36</v>
      </c>
      <c r="Y128" s="98">
        <f t="shared" ca="1" si="10"/>
        <v>-7445</v>
      </c>
    </row>
    <row r="129" spans="1:27" x14ac:dyDescent="0.25">
      <c r="A129" s="93">
        <f>+Hoja1!A128</f>
        <v>5590</v>
      </c>
      <c r="B129" s="91">
        <f ca="1">IF(RTD("tos.rtd",,$A$2,"."&amp;B$83&amp;B$1&amp;"C"&amp;$A129)="N/A",0,RTD("tos.rtd",,$A$2,"."&amp;B$83&amp;B$1&amp;"C"&amp;$A129))-IF(RTD("tos.rtd",,$A$2,"."&amp;B$83&amp;B$1&amp;"P"&amp;$A129)="N/A",0,RTD("tos.rtd",,$A$2,"."&amp;B$83&amp;B$1&amp;"P"&amp;$A129))</f>
        <v>0</v>
      </c>
      <c r="C129" s="91">
        <f ca="1">IF(RTD("tos.rtd",,$A$2,"."&amp;C$83&amp;C$1&amp;"C"&amp;$A129)="N/A",0,RTD("tos.rtd",,$A$2,"."&amp;C$83&amp;C$1&amp;"C"&amp;$A129))-IF(RTD("tos.rtd",,$A$2,"."&amp;C$83&amp;C$1&amp;"P"&amp;$A129)="N/A",0,RTD("tos.rtd",,$A$2,"."&amp;C$83&amp;C$1&amp;"P"&amp;$A129))</f>
        <v>0</v>
      </c>
      <c r="D129" s="91">
        <f ca="1">IF(RTD("tos.rtd",,$A$2,"."&amp;D$83&amp;D$1&amp;"C"&amp;$A129)="N/A",0,RTD("tos.rtd",,$A$2,"."&amp;D$83&amp;D$1&amp;"C"&amp;$A129))-IF(RTD("tos.rtd",,$A$2,"."&amp;D$83&amp;D$1&amp;"P"&amp;$A129)="N/A",0,RTD("tos.rtd",,$A$2,"."&amp;D$83&amp;D$1&amp;"P"&amp;$A129))</f>
        <v>0</v>
      </c>
      <c r="E129" s="91">
        <f ca="1">IF(RTD("tos.rtd",,$A$2,"."&amp;E$83&amp;E$1&amp;"C"&amp;$A129)="N/A",0,RTD("tos.rtd",,$A$2,"."&amp;E$83&amp;E$1&amp;"C"&amp;$A129))-IF(RTD("tos.rtd",,$A$2,"."&amp;E$83&amp;E$1&amp;"P"&amp;$A129)="N/A",0,RTD("tos.rtd",,$A$2,"."&amp;E$83&amp;E$1&amp;"P"&amp;$A129))</f>
        <v>0</v>
      </c>
      <c r="F129" s="91">
        <f ca="1">IF(RTD("tos.rtd",,$A$2,"."&amp;F$83&amp;F$1&amp;"C"&amp;$A129)="N/A",0,RTD("tos.rtd",,$A$2,"."&amp;F$83&amp;F$1&amp;"C"&amp;$A129))-IF(RTD("tos.rtd",,$A$2,"."&amp;F$83&amp;F$1&amp;"P"&amp;$A129)="N/A",0,RTD("tos.rtd",,$A$2,"."&amp;F$83&amp;F$1&amp;"P"&amp;$A129))</f>
        <v>0</v>
      </c>
      <c r="G129" s="91">
        <f ca="1">IF(RTD("tos.rtd",,$A$2,"."&amp;G$83&amp;G$1&amp;"C"&amp;$A129)="N/A",0,RTD("tos.rtd",,$A$2,"."&amp;G$83&amp;G$1&amp;"C"&amp;$A129))-IF(RTD("tos.rtd",,$A$2,"."&amp;G$83&amp;G$1&amp;"P"&amp;$A129)="N/A",0,RTD("tos.rtd",,$A$2,"."&amp;G$83&amp;G$1&amp;"P"&amp;$A129))</f>
        <v>0</v>
      </c>
      <c r="H129" s="91">
        <f ca="1">IF(RTD("tos.rtd",,$A$2,"."&amp;H$83&amp;H$1&amp;"C"&amp;$A129)="N/A",0,RTD("tos.rtd",,$A$2,"."&amp;H$83&amp;H$1&amp;"C"&amp;$A129))-IF(RTD("tos.rtd",,$A$2,"."&amp;H$83&amp;H$1&amp;"P"&amp;$A129)="N/A",0,RTD("tos.rtd",,$A$2,"."&amp;H$83&amp;H$1&amp;"P"&amp;$A129))</f>
        <v>0</v>
      </c>
      <c r="I129" s="91">
        <f ca="1">IF(RTD("tos.rtd",,$A$2,"."&amp;I$83&amp;I$1&amp;"C"&amp;$A129)="N/A",0,RTD("tos.rtd",,$A$2,"."&amp;I$83&amp;I$1&amp;"C"&amp;$A129))-IF(RTD("tos.rtd",,$A$2,"."&amp;I$83&amp;I$1&amp;"P"&amp;$A129)="N/A",0,RTD("tos.rtd",,$A$2,"."&amp;I$83&amp;I$1&amp;"P"&amp;$A129))</f>
        <v>3</v>
      </c>
      <c r="J129" s="91">
        <f ca="1">IF(RTD("tos.rtd",,$A$2,"."&amp;J$83&amp;J$1&amp;"C"&amp;$A129)="N/A",0,RTD("tos.rtd",,$A$2,"."&amp;J$83&amp;J$1&amp;"C"&amp;$A129))-IF(RTD("tos.rtd",,$A$2,"."&amp;J$83&amp;J$1&amp;"P"&amp;$A129)="N/A",0,RTD("tos.rtd",,$A$2,"."&amp;J$83&amp;J$1&amp;"P"&amp;$A129))</f>
        <v>-8</v>
      </c>
      <c r="K129" s="91">
        <f ca="1">IF(RTD("tos.rtd",,$A$2,"."&amp;K$83&amp;K$1&amp;"C"&amp;$A129)="N/A",0,RTD("tos.rtd",,$A$2,"."&amp;K$83&amp;K$1&amp;"C"&amp;$A129))-IF(RTD("tos.rtd",,$A$2,"."&amp;K$83&amp;K$1&amp;"P"&amp;$A129)="N/A",0,RTD("tos.rtd",,$A$2,"."&amp;K$83&amp;K$1&amp;"P"&amp;$A129))</f>
        <v>0</v>
      </c>
      <c r="L129" s="91">
        <f ca="1">IF(RTD("tos.rtd",,$A$2,"."&amp;L$83&amp;L$1&amp;"C"&amp;$A129)="N/A",0,RTD("tos.rtd",,$A$2,"."&amp;L$83&amp;L$1&amp;"C"&amp;$A129))-IF(RTD("tos.rtd",,$A$2,"."&amp;L$83&amp;L$1&amp;"P"&amp;$A129)="N/A",0,RTD("tos.rtd",,$A$2,"."&amp;L$83&amp;L$1&amp;"P"&amp;$A129))</f>
        <v>-3</v>
      </c>
      <c r="M129" s="91">
        <f ca="1">IF(RTD("tos.rtd",,$A$2,"."&amp;M$83&amp;M$1&amp;"C"&amp;$A129)="N/A",0,RTD("tos.rtd",,$A$2,"."&amp;M$83&amp;M$1&amp;"C"&amp;$A129))-IF(RTD("tos.rtd",,$A$2,"."&amp;M$83&amp;M$1&amp;"P"&amp;$A129)="N/A",0,RTD("tos.rtd",,$A$2,"."&amp;M$83&amp;M$1&amp;"P"&amp;$A129))</f>
        <v>-5</v>
      </c>
      <c r="N129" s="91">
        <f ca="1">IF(RTD("tos.rtd",,$A$2,"."&amp;N$83&amp;N$1&amp;"C"&amp;$A129)="N/A",0,RTD("tos.rtd",,$A$2,"."&amp;N$83&amp;N$1&amp;"C"&amp;$A129))-IF(RTD("tos.rtd",,$A$2,"."&amp;N$83&amp;N$1&amp;"P"&amp;$A129)="N/A",0,RTD("tos.rtd",,$A$2,"."&amp;N$83&amp;N$1&amp;"P"&amp;$A129))</f>
        <v>-2</v>
      </c>
      <c r="O129" s="91">
        <f ca="1">IF(RTD("tos.rtd",,$A$2,"."&amp;O$83&amp;O$1&amp;"C"&amp;$A129)="N/A",0,RTD("tos.rtd",,$A$2,"."&amp;O$83&amp;O$1&amp;"C"&amp;$A129))-IF(RTD("tos.rtd",,$A$2,"."&amp;O$83&amp;O$1&amp;"P"&amp;$A129)="N/A",0,RTD("tos.rtd",,$A$2,"."&amp;O$83&amp;O$1&amp;"P"&amp;$A129))</f>
        <v>0</v>
      </c>
      <c r="P129" s="91">
        <f ca="1">IF(RTD("tos.rtd",,$A$2,"."&amp;P$83&amp;P$1&amp;"C"&amp;$A129)="N/A",0,RTD("tos.rtd",,$A$2,"."&amp;P$83&amp;P$1&amp;"C"&amp;$A129))-IF(RTD("tos.rtd",,$A$2,"."&amp;P$83&amp;P$1&amp;"P"&amp;$A129)="N/A",0,RTD("tos.rtd",,$A$2,"."&amp;P$83&amp;P$1&amp;"P"&amp;$A129))</f>
        <v>-4</v>
      </c>
      <c r="Q129" s="91">
        <f ca="1">IF(RTD("tos.rtd",,$A$2,"."&amp;Q$83&amp;Q$1&amp;"C"&amp;$A129)="N/A",0,RTD("tos.rtd",,$A$2,"."&amp;Q$83&amp;Q$1&amp;"C"&amp;$A129))-IF(RTD("tos.rtd",,$A$2,"."&amp;Q$83&amp;Q$1&amp;"P"&amp;$A129)="N/A",0,RTD("tos.rtd",,$A$2,"."&amp;Q$83&amp;Q$1&amp;"P"&amp;$A129))</f>
        <v>0</v>
      </c>
      <c r="R129" s="91">
        <f ca="1">IF(RTD("tos.rtd",,$A$2,"."&amp;R$83&amp;R$1&amp;"C"&amp;$A129)="N/A",0,RTD("tos.rtd",,$A$2,"."&amp;R$83&amp;R$1&amp;"C"&amp;$A129))-IF(RTD("tos.rtd",,$A$2,"."&amp;R$83&amp;R$1&amp;"P"&amp;$A129)="N/A",0,RTD("tos.rtd",,$A$2,"."&amp;R$83&amp;R$1&amp;"P"&amp;$A129))</f>
        <v>-1</v>
      </c>
      <c r="S129" s="91">
        <f ca="1">IF(RTD("tos.rtd",,$A$2,"."&amp;S$83&amp;S$1&amp;"C"&amp;$A129)="N/A",0,RTD("tos.rtd",,$A$2,"."&amp;S$83&amp;S$1&amp;"C"&amp;$A129))-IF(RTD("tos.rtd",,$A$2,"."&amp;S$83&amp;S$1&amp;"P"&amp;$A129)="N/A",0,RTD("tos.rtd",,$A$2,"."&amp;S$83&amp;S$1&amp;"P"&amp;$A129))</f>
        <v>-15</v>
      </c>
      <c r="T129" s="91">
        <f ca="1">IF(RTD("tos.rtd",,$A$2,"."&amp;T$83&amp;T$1&amp;"C"&amp;$A129)="N/A",0,RTD("tos.rtd",,$A$2,"."&amp;T$83&amp;T$1&amp;"C"&amp;$A129))-IF(RTD("tos.rtd",,$A$2,"."&amp;T$83&amp;T$1&amp;"P"&amp;$A129)="N/A",0,RTD("tos.rtd",,$A$2,"."&amp;T$83&amp;T$1&amp;"P"&amp;$A129))</f>
        <v>-122</v>
      </c>
      <c r="U129" s="91">
        <f ca="1">IF(RTD("tos.rtd",,$A$2,"."&amp;U$83&amp;U$1&amp;"C"&amp;$A129)="N/A",0,RTD("tos.rtd",,$A$2,"."&amp;U$83&amp;U$1&amp;"C"&amp;$A129))-IF(RTD("tos.rtd",,$A$2,"."&amp;U$83&amp;U$1&amp;"P"&amp;$A129)="N/A",0,RTD("tos.rtd",,$A$2,"."&amp;U$83&amp;U$1&amp;"P"&amp;$A129))</f>
        <v>0</v>
      </c>
      <c r="V129" s="91">
        <f ca="1">IF(RTD("tos.rtd",,$A$2,"."&amp;V$83&amp;V$1&amp;"C"&amp;$A129)="N/A",0,RTD("tos.rtd",,$A$2,"."&amp;V$83&amp;V$1&amp;"C"&amp;$A129))-IF(RTD("tos.rtd",,$A$2,"."&amp;V$83&amp;V$1&amp;"P"&amp;$A129)="N/A",0,RTD("tos.rtd",,$A$2,"."&amp;V$83&amp;V$1&amp;"P"&amp;$A129))</f>
        <v>0</v>
      </c>
      <c r="W129" s="91">
        <f ca="1">IF(RTD("tos.rtd",,$A$2,"."&amp;W$83&amp;W$1&amp;"C"&amp;$A129)="N/A",0,RTD("tos.rtd",,$A$2,"."&amp;W$83&amp;W$1&amp;"C"&amp;$A129))-IF(RTD("tos.rtd",,$A$2,"."&amp;W$83&amp;W$1&amp;"P"&amp;$A129)="N/A",0,RTD("tos.rtd",,$A$2,"."&amp;W$83&amp;W$1&amp;"P"&amp;$A129))</f>
        <v>0</v>
      </c>
      <c r="X129" s="91">
        <f ca="1">IF(RTD("tos.rtd",,$A$2,"."&amp;X$83&amp;X$1&amp;"C"&amp;$A129)="N/A",0,RTD("tos.rtd",,$A$2,"."&amp;X$83&amp;X$1&amp;"C"&amp;$A129))-IF(RTD("tos.rtd",,$A$2,"."&amp;X$83&amp;X$1&amp;"P"&amp;$A129)="N/A",0,RTD("tos.rtd",,$A$2,"."&amp;X$83&amp;X$1&amp;"P"&amp;$A129))</f>
        <v>2</v>
      </c>
      <c r="Y129" s="98">
        <f t="shared" ca="1" si="10"/>
        <v>-155</v>
      </c>
    </row>
    <row r="130" spans="1:27" x14ac:dyDescent="0.25">
      <c r="A130" s="93">
        <f>+Hoja1!A129</f>
        <v>5580</v>
      </c>
      <c r="B130" s="91">
        <f ca="1">IF(RTD("tos.rtd",,$A$2,"."&amp;B$83&amp;B$1&amp;"C"&amp;$A130)="N/A",0,RTD("tos.rtd",,$A$2,"."&amp;B$83&amp;B$1&amp;"C"&amp;$A130))-IF(RTD("tos.rtd",,$A$2,"."&amp;B$83&amp;B$1&amp;"P"&amp;$A130)="N/A",0,RTD("tos.rtd",,$A$2,"."&amp;B$83&amp;B$1&amp;"P"&amp;$A130))</f>
        <v>0</v>
      </c>
      <c r="C130" s="91">
        <f ca="1">IF(RTD("tos.rtd",,$A$2,"."&amp;C$83&amp;C$1&amp;"C"&amp;$A130)="N/A",0,RTD("tos.rtd",,$A$2,"."&amp;C$83&amp;C$1&amp;"C"&amp;$A130))-IF(RTD("tos.rtd",,$A$2,"."&amp;C$83&amp;C$1&amp;"P"&amp;$A130)="N/A",0,RTD("tos.rtd",,$A$2,"."&amp;C$83&amp;C$1&amp;"P"&amp;$A130))</f>
        <v>0</v>
      </c>
      <c r="D130" s="91">
        <f ca="1">IF(RTD("tos.rtd",,$A$2,"."&amp;D$83&amp;D$1&amp;"C"&amp;$A130)="N/A",0,RTD("tos.rtd",,$A$2,"."&amp;D$83&amp;D$1&amp;"C"&amp;$A130))-IF(RTD("tos.rtd",,$A$2,"."&amp;D$83&amp;D$1&amp;"P"&amp;$A130)="N/A",0,RTD("tos.rtd",,$A$2,"."&amp;D$83&amp;D$1&amp;"P"&amp;$A130))</f>
        <v>0</v>
      </c>
      <c r="E130" s="91">
        <f ca="1">IF(RTD("tos.rtd",,$A$2,"."&amp;E$83&amp;E$1&amp;"C"&amp;$A130)="N/A",0,RTD("tos.rtd",,$A$2,"."&amp;E$83&amp;E$1&amp;"C"&amp;$A130))-IF(RTD("tos.rtd",,$A$2,"."&amp;E$83&amp;E$1&amp;"P"&amp;$A130)="N/A",0,RTD("tos.rtd",,$A$2,"."&amp;E$83&amp;E$1&amp;"P"&amp;$A130))</f>
        <v>0</v>
      </c>
      <c r="F130" s="91">
        <f ca="1">IF(RTD("tos.rtd",,$A$2,"."&amp;F$83&amp;F$1&amp;"C"&amp;$A130)="N/A",0,RTD("tos.rtd",,$A$2,"."&amp;F$83&amp;F$1&amp;"C"&amp;$A130))-IF(RTD("tos.rtd",,$A$2,"."&amp;F$83&amp;F$1&amp;"P"&amp;$A130)="N/A",0,RTD("tos.rtd",,$A$2,"."&amp;F$83&amp;F$1&amp;"P"&amp;$A130))</f>
        <v>0</v>
      </c>
      <c r="G130" s="91">
        <f ca="1">IF(RTD("tos.rtd",,$A$2,"."&amp;G$83&amp;G$1&amp;"C"&amp;$A130)="N/A",0,RTD("tos.rtd",,$A$2,"."&amp;G$83&amp;G$1&amp;"C"&amp;$A130))-IF(RTD("tos.rtd",,$A$2,"."&amp;G$83&amp;G$1&amp;"P"&amp;$A130)="N/A",0,RTD("tos.rtd",,$A$2,"."&amp;G$83&amp;G$1&amp;"P"&amp;$A130))</f>
        <v>0</v>
      </c>
      <c r="H130" s="91">
        <f ca="1">IF(RTD("tos.rtd",,$A$2,"."&amp;H$83&amp;H$1&amp;"C"&amp;$A130)="N/A",0,RTD("tos.rtd",,$A$2,"."&amp;H$83&amp;H$1&amp;"C"&amp;$A130))-IF(RTD("tos.rtd",,$A$2,"."&amp;H$83&amp;H$1&amp;"P"&amp;$A130)="N/A",0,RTD("tos.rtd",,$A$2,"."&amp;H$83&amp;H$1&amp;"P"&amp;$A130))</f>
        <v>0</v>
      </c>
      <c r="I130" s="91">
        <f ca="1">IF(RTD("tos.rtd",,$A$2,"."&amp;I$83&amp;I$1&amp;"C"&amp;$A130)="N/A",0,RTD("tos.rtd",,$A$2,"."&amp;I$83&amp;I$1&amp;"C"&amp;$A130))-IF(RTD("tos.rtd",,$A$2,"."&amp;I$83&amp;I$1&amp;"P"&amp;$A130)="N/A",0,RTD("tos.rtd",,$A$2,"."&amp;I$83&amp;I$1&amp;"P"&amp;$A130))</f>
        <v>-164</v>
      </c>
      <c r="J130" s="91">
        <f ca="1">IF(RTD("tos.rtd",,$A$2,"."&amp;J$83&amp;J$1&amp;"C"&amp;$A130)="N/A",0,RTD("tos.rtd",,$A$2,"."&amp;J$83&amp;J$1&amp;"C"&amp;$A130))-IF(RTD("tos.rtd",,$A$2,"."&amp;J$83&amp;J$1&amp;"P"&amp;$A130)="N/A",0,RTD("tos.rtd",,$A$2,"."&amp;J$83&amp;J$1&amp;"P"&amp;$A130))</f>
        <v>-10</v>
      </c>
      <c r="K130" s="91">
        <f ca="1">IF(RTD("tos.rtd",,$A$2,"."&amp;K$83&amp;K$1&amp;"C"&amp;$A130)="N/A",0,RTD("tos.rtd",,$A$2,"."&amp;K$83&amp;K$1&amp;"C"&amp;$A130))-IF(RTD("tos.rtd",,$A$2,"."&amp;K$83&amp;K$1&amp;"P"&amp;$A130)="N/A",0,RTD("tos.rtd",,$A$2,"."&amp;K$83&amp;K$1&amp;"P"&amp;$A130))</f>
        <v>0</v>
      </c>
      <c r="L130" s="91">
        <f ca="1">IF(RTD("tos.rtd",,$A$2,"."&amp;L$83&amp;L$1&amp;"C"&amp;$A130)="N/A",0,RTD("tos.rtd",,$A$2,"."&amp;L$83&amp;L$1&amp;"C"&amp;$A130))-IF(RTD("tos.rtd",,$A$2,"."&amp;L$83&amp;L$1&amp;"P"&amp;$A130)="N/A",0,RTD("tos.rtd",,$A$2,"."&amp;L$83&amp;L$1&amp;"P"&amp;$A130))</f>
        <v>0</v>
      </c>
      <c r="M130" s="91">
        <f ca="1">IF(RTD("tos.rtd",,$A$2,"."&amp;M$83&amp;M$1&amp;"C"&amp;$A130)="N/A",0,RTD("tos.rtd",,$A$2,"."&amp;M$83&amp;M$1&amp;"C"&amp;$A130))-IF(RTD("tos.rtd",,$A$2,"."&amp;M$83&amp;M$1&amp;"P"&amp;$A130)="N/A",0,RTD("tos.rtd",,$A$2,"."&amp;M$83&amp;M$1&amp;"P"&amp;$A130))</f>
        <v>-38</v>
      </c>
      <c r="N130" s="91">
        <f ca="1">IF(RTD("tos.rtd",,$A$2,"."&amp;N$83&amp;N$1&amp;"C"&amp;$A130)="N/A",0,RTD("tos.rtd",,$A$2,"."&amp;N$83&amp;N$1&amp;"C"&amp;$A130))-IF(RTD("tos.rtd",,$A$2,"."&amp;N$83&amp;N$1&amp;"P"&amp;$A130)="N/A",0,RTD("tos.rtd",,$A$2,"."&amp;N$83&amp;N$1&amp;"P"&amp;$A130))</f>
        <v>-6</v>
      </c>
      <c r="O130" s="91">
        <f ca="1">IF(RTD("tos.rtd",,$A$2,"."&amp;O$83&amp;O$1&amp;"C"&amp;$A130)="N/A",0,RTD("tos.rtd",,$A$2,"."&amp;O$83&amp;O$1&amp;"C"&amp;$A130))-IF(RTD("tos.rtd",,$A$2,"."&amp;O$83&amp;O$1&amp;"P"&amp;$A130)="N/A",0,RTD("tos.rtd",,$A$2,"."&amp;O$83&amp;O$1&amp;"P"&amp;$A130))</f>
        <v>-1</v>
      </c>
      <c r="P130" s="91">
        <f ca="1">IF(RTD("tos.rtd",,$A$2,"."&amp;P$83&amp;P$1&amp;"C"&amp;$A130)="N/A",0,RTD("tos.rtd",,$A$2,"."&amp;P$83&amp;P$1&amp;"C"&amp;$A130))-IF(RTD("tos.rtd",,$A$2,"."&amp;P$83&amp;P$1&amp;"P"&amp;$A130)="N/A",0,RTD("tos.rtd",,$A$2,"."&amp;P$83&amp;P$1&amp;"P"&amp;$A130))</f>
        <v>0</v>
      </c>
      <c r="Q130" s="91">
        <f ca="1">IF(RTD("tos.rtd",,$A$2,"."&amp;Q$83&amp;Q$1&amp;"C"&amp;$A130)="N/A",0,RTD("tos.rtd",,$A$2,"."&amp;Q$83&amp;Q$1&amp;"C"&amp;$A130))-IF(RTD("tos.rtd",,$A$2,"."&amp;Q$83&amp;Q$1&amp;"P"&amp;$A130)="N/A",0,RTD("tos.rtd",,$A$2,"."&amp;Q$83&amp;Q$1&amp;"P"&amp;$A130))</f>
        <v>-78</v>
      </c>
      <c r="R130" s="91">
        <f ca="1">IF(RTD("tos.rtd",,$A$2,"."&amp;R$83&amp;R$1&amp;"C"&amp;$A130)="N/A",0,RTD("tos.rtd",,$A$2,"."&amp;R$83&amp;R$1&amp;"C"&amp;$A130))-IF(RTD("tos.rtd",,$A$2,"."&amp;R$83&amp;R$1&amp;"P"&amp;$A130)="N/A",0,RTD("tos.rtd",,$A$2,"."&amp;R$83&amp;R$1&amp;"P"&amp;$A130))</f>
        <v>0</v>
      </c>
      <c r="S130" s="91">
        <f ca="1">IF(RTD("tos.rtd",,$A$2,"."&amp;S$83&amp;S$1&amp;"C"&amp;$A130)="N/A",0,RTD("tos.rtd",,$A$2,"."&amp;S$83&amp;S$1&amp;"C"&amp;$A130))-IF(RTD("tos.rtd",,$A$2,"."&amp;S$83&amp;S$1&amp;"P"&amp;$A130)="N/A",0,RTD("tos.rtd",,$A$2,"."&amp;S$83&amp;S$1&amp;"P"&amp;$A130))</f>
        <v>-8</v>
      </c>
      <c r="T130" s="91">
        <f ca="1">IF(RTD("tos.rtd",,$A$2,"."&amp;T$83&amp;T$1&amp;"C"&amp;$A130)="N/A",0,RTD("tos.rtd",,$A$2,"."&amp;T$83&amp;T$1&amp;"C"&amp;$A130))-IF(RTD("tos.rtd",,$A$2,"."&amp;T$83&amp;T$1&amp;"P"&amp;$A130)="N/A",0,RTD("tos.rtd",,$A$2,"."&amp;T$83&amp;T$1&amp;"P"&amp;$A130))</f>
        <v>-20</v>
      </c>
      <c r="U130" s="91">
        <f ca="1">IF(RTD("tos.rtd",,$A$2,"."&amp;U$83&amp;U$1&amp;"C"&amp;$A130)="N/A",0,RTD("tos.rtd",,$A$2,"."&amp;U$83&amp;U$1&amp;"C"&amp;$A130))-IF(RTD("tos.rtd",,$A$2,"."&amp;U$83&amp;U$1&amp;"P"&amp;$A130)="N/A",0,RTD("tos.rtd",,$A$2,"."&amp;U$83&amp;U$1&amp;"P"&amp;$A130))</f>
        <v>0</v>
      </c>
      <c r="V130" s="91">
        <f ca="1">IF(RTD("tos.rtd",,$A$2,"."&amp;V$83&amp;V$1&amp;"C"&amp;$A130)="N/A",0,RTD("tos.rtd",,$A$2,"."&amp;V$83&amp;V$1&amp;"C"&amp;$A130))-IF(RTD("tos.rtd",,$A$2,"."&amp;V$83&amp;V$1&amp;"P"&amp;$A130)="N/A",0,RTD("tos.rtd",,$A$2,"."&amp;V$83&amp;V$1&amp;"P"&amp;$A130))</f>
        <v>0</v>
      </c>
      <c r="W130" s="91">
        <f ca="1">IF(RTD("tos.rtd",,$A$2,"."&amp;W$83&amp;W$1&amp;"C"&amp;$A130)="N/A",0,RTD("tos.rtd",,$A$2,"."&amp;W$83&amp;W$1&amp;"C"&amp;$A130))-IF(RTD("tos.rtd",,$A$2,"."&amp;W$83&amp;W$1&amp;"P"&amp;$A130)="N/A",0,RTD("tos.rtd",,$A$2,"."&amp;W$83&amp;W$1&amp;"P"&amp;$A130))</f>
        <v>0</v>
      </c>
      <c r="X130" s="91">
        <f ca="1">IF(RTD("tos.rtd",,$A$2,"."&amp;X$83&amp;X$1&amp;"C"&amp;$A130)="N/A",0,RTD("tos.rtd",,$A$2,"."&amp;X$83&amp;X$1&amp;"C"&amp;$A130))-IF(RTD("tos.rtd",,$A$2,"."&amp;X$83&amp;X$1&amp;"P"&amp;$A130)="N/A",0,RTD("tos.rtd",,$A$2,"."&amp;X$83&amp;X$1&amp;"P"&amp;$A130))</f>
        <v>0</v>
      </c>
      <c r="Y130" s="98">
        <f t="shared" ca="1" si="10"/>
        <v>-325</v>
      </c>
    </row>
    <row r="131" spans="1:27" x14ac:dyDescent="0.25">
      <c r="A131" s="93">
        <f>+Hoja1!A130</f>
        <v>5570</v>
      </c>
      <c r="B131" s="91">
        <f ca="1">IF(RTD("tos.rtd",,$A$2,"."&amp;B$83&amp;B$1&amp;"C"&amp;$A131)="N/A",0,RTD("tos.rtd",,$A$2,"."&amp;B$83&amp;B$1&amp;"C"&amp;$A131))-IF(RTD("tos.rtd",,$A$2,"."&amp;B$83&amp;B$1&amp;"P"&amp;$A131)="N/A",0,RTD("tos.rtd",,$A$2,"."&amp;B$83&amp;B$1&amp;"P"&amp;$A131))</f>
        <v>0</v>
      </c>
      <c r="C131" s="91">
        <f ca="1">IF(RTD("tos.rtd",,$A$2,"."&amp;C$83&amp;C$1&amp;"C"&amp;$A131)="N/A",0,RTD("tos.rtd",,$A$2,"."&amp;C$83&amp;C$1&amp;"C"&amp;$A131))-IF(RTD("tos.rtd",,$A$2,"."&amp;C$83&amp;C$1&amp;"P"&amp;$A131)="N/A",0,RTD("tos.rtd",,$A$2,"."&amp;C$83&amp;C$1&amp;"P"&amp;$A131))</f>
        <v>0</v>
      </c>
      <c r="D131" s="91">
        <f ca="1">IF(RTD("tos.rtd",,$A$2,"."&amp;D$83&amp;D$1&amp;"C"&amp;$A131)="N/A",0,RTD("tos.rtd",,$A$2,"."&amp;D$83&amp;D$1&amp;"C"&amp;$A131))-IF(RTD("tos.rtd",,$A$2,"."&amp;D$83&amp;D$1&amp;"P"&amp;$A131)="N/A",0,RTD("tos.rtd",,$A$2,"."&amp;D$83&amp;D$1&amp;"P"&amp;$A131))</f>
        <v>0</v>
      </c>
      <c r="E131" s="91">
        <f ca="1">IF(RTD("tos.rtd",,$A$2,"."&amp;E$83&amp;E$1&amp;"C"&amp;$A131)="N/A",0,RTD("tos.rtd",,$A$2,"."&amp;E$83&amp;E$1&amp;"C"&amp;$A131))-IF(RTD("tos.rtd",,$A$2,"."&amp;E$83&amp;E$1&amp;"P"&amp;$A131)="N/A",0,RTD("tos.rtd",,$A$2,"."&amp;E$83&amp;E$1&amp;"P"&amp;$A131))</f>
        <v>0</v>
      </c>
      <c r="F131" s="91">
        <f ca="1">IF(RTD("tos.rtd",,$A$2,"."&amp;F$83&amp;F$1&amp;"C"&amp;$A131)="N/A",0,RTD("tos.rtd",,$A$2,"."&amp;F$83&amp;F$1&amp;"C"&amp;$A131))-IF(RTD("tos.rtd",,$A$2,"."&amp;F$83&amp;F$1&amp;"P"&amp;$A131)="N/A",0,RTD("tos.rtd",,$A$2,"."&amp;F$83&amp;F$1&amp;"P"&amp;$A131))</f>
        <v>0</v>
      </c>
      <c r="G131" s="91">
        <f ca="1">IF(RTD("tos.rtd",,$A$2,"."&amp;G$83&amp;G$1&amp;"C"&amp;$A131)="N/A",0,RTD("tos.rtd",,$A$2,"."&amp;G$83&amp;G$1&amp;"C"&amp;$A131))-IF(RTD("tos.rtd",,$A$2,"."&amp;G$83&amp;G$1&amp;"P"&amp;$A131)="N/A",0,RTD("tos.rtd",,$A$2,"."&amp;G$83&amp;G$1&amp;"P"&amp;$A131))</f>
        <v>0</v>
      </c>
      <c r="H131" s="91">
        <f ca="1">IF(RTD("tos.rtd",,$A$2,"."&amp;H$83&amp;H$1&amp;"C"&amp;$A131)="N/A",0,RTD("tos.rtd",,$A$2,"."&amp;H$83&amp;H$1&amp;"C"&amp;$A131))-IF(RTD("tos.rtd",,$A$2,"."&amp;H$83&amp;H$1&amp;"P"&amp;$A131)="N/A",0,RTD("tos.rtd",,$A$2,"."&amp;H$83&amp;H$1&amp;"P"&amp;$A131))</f>
        <v>0</v>
      </c>
      <c r="I131" s="91">
        <f ca="1">IF(RTD("tos.rtd",,$A$2,"."&amp;I$83&amp;I$1&amp;"C"&amp;$A131)="N/A",0,RTD("tos.rtd",,$A$2,"."&amp;I$83&amp;I$1&amp;"C"&amp;$A131))-IF(RTD("tos.rtd",,$A$2,"."&amp;I$83&amp;I$1&amp;"P"&amp;$A131)="N/A",0,RTD("tos.rtd",,$A$2,"."&amp;I$83&amp;I$1&amp;"P"&amp;$A131))</f>
        <v>-43</v>
      </c>
      <c r="J131" s="91">
        <f ca="1">IF(RTD("tos.rtd",,$A$2,"."&amp;J$83&amp;J$1&amp;"C"&amp;$A131)="N/A",0,RTD("tos.rtd",,$A$2,"."&amp;J$83&amp;J$1&amp;"C"&amp;$A131))-IF(RTD("tos.rtd",,$A$2,"."&amp;J$83&amp;J$1&amp;"P"&amp;$A131)="N/A",0,RTD("tos.rtd",,$A$2,"."&amp;J$83&amp;J$1&amp;"P"&amp;$A131))</f>
        <v>-59</v>
      </c>
      <c r="K131" s="91">
        <f ca="1">IF(RTD("tos.rtd",,$A$2,"."&amp;K$83&amp;K$1&amp;"C"&amp;$A131)="N/A",0,RTD("tos.rtd",,$A$2,"."&amp;K$83&amp;K$1&amp;"C"&amp;$A131))-IF(RTD("tos.rtd",,$A$2,"."&amp;K$83&amp;K$1&amp;"P"&amp;$A131)="N/A",0,RTD("tos.rtd",,$A$2,"."&amp;K$83&amp;K$1&amp;"P"&amp;$A131))</f>
        <v>0</v>
      </c>
      <c r="L131" s="91">
        <f ca="1">IF(RTD("tos.rtd",,$A$2,"."&amp;L$83&amp;L$1&amp;"C"&amp;$A131)="N/A",0,RTD("tos.rtd",,$A$2,"."&amp;L$83&amp;L$1&amp;"C"&amp;$A131))-IF(RTD("tos.rtd",,$A$2,"."&amp;L$83&amp;L$1&amp;"P"&amp;$A131)="N/A",0,RTD("tos.rtd",,$A$2,"."&amp;L$83&amp;L$1&amp;"P"&amp;$A131))</f>
        <v>0</v>
      </c>
      <c r="M131" s="91">
        <f ca="1">IF(RTD("tos.rtd",,$A$2,"."&amp;M$83&amp;M$1&amp;"C"&amp;$A131)="N/A",0,RTD("tos.rtd",,$A$2,"."&amp;M$83&amp;M$1&amp;"C"&amp;$A131))-IF(RTD("tos.rtd",,$A$2,"."&amp;M$83&amp;M$1&amp;"P"&amp;$A131)="N/A",0,RTD("tos.rtd",,$A$2,"."&amp;M$83&amp;M$1&amp;"P"&amp;$A131))</f>
        <v>-25</v>
      </c>
      <c r="N131" s="91">
        <f ca="1">IF(RTD("tos.rtd",,$A$2,"."&amp;N$83&amp;N$1&amp;"C"&amp;$A131)="N/A",0,RTD("tos.rtd",,$A$2,"."&amp;N$83&amp;N$1&amp;"C"&amp;$A131))-IF(RTD("tos.rtd",,$A$2,"."&amp;N$83&amp;N$1&amp;"P"&amp;$A131)="N/A",0,RTD("tos.rtd",,$A$2,"."&amp;N$83&amp;N$1&amp;"P"&amp;$A131))</f>
        <v>-2</v>
      </c>
      <c r="O131" s="91">
        <f ca="1">IF(RTD("tos.rtd",,$A$2,"."&amp;O$83&amp;O$1&amp;"C"&amp;$A131)="N/A",0,RTD("tos.rtd",,$A$2,"."&amp;O$83&amp;O$1&amp;"C"&amp;$A131))-IF(RTD("tos.rtd",,$A$2,"."&amp;O$83&amp;O$1&amp;"P"&amp;$A131)="N/A",0,RTD("tos.rtd",,$A$2,"."&amp;O$83&amp;O$1&amp;"P"&amp;$A131))</f>
        <v>-29</v>
      </c>
      <c r="P131" s="91">
        <f ca="1">IF(RTD("tos.rtd",,$A$2,"."&amp;P$83&amp;P$1&amp;"C"&amp;$A131)="N/A",0,RTD("tos.rtd",,$A$2,"."&amp;P$83&amp;P$1&amp;"C"&amp;$A131))-IF(RTD("tos.rtd",,$A$2,"."&amp;P$83&amp;P$1&amp;"P"&amp;$A131)="N/A",0,RTD("tos.rtd",,$A$2,"."&amp;P$83&amp;P$1&amp;"P"&amp;$A131))</f>
        <v>-95</v>
      </c>
      <c r="Q131" s="91">
        <f ca="1">IF(RTD("tos.rtd",,$A$2,"."&amp;Q$83&amp;Q$1&amp;"C"&amp;$A131)="N/A",0,RTD("tos.rtd",,$A$2,"."&amp;Q$83&amp;Q$1&amp;"C"&amp;$A131))-IF(RTD("tos.rtd",,$A$2,"."&amp;Q$83&amp;Q$1&amp;"P"&amp;$A131)="N/A",0,RTD("tos.rtd",,$A$2,"."&amp;Q$83&amp;Q$1&amp;"P"&amp;$A131))</f>
        <v>0</v>
      </c>
      <c r="R131" s="91">
        <f ca="1">IF(RTD("tos.rtd",,$A$2,"."&amp;R$83&amp;R$1&amp;"C"&amp;$A131)="N/A",0,RTD("tos.rtd",,$A$2,"."&amp;R$83&amp;R$1&amp;"C"&amp;$A131))-IF(RTD("tos.rtd",,$A$2,"."&amp;R$83&amp;R$1&amp;"P"&amp;$A131)="N/A",0,RTD("tos.rtd",,$A$2,"."&amp;R$83&amp;R$1&amp;"P"&amp;$A131))</f>
        <v>0</v>
      </c>
      <c r="S131" s="91">
        <f ca="1">IF(RTD("tos.rtd",,$A$2,"."&amp;S$83&amp;S$1&amp;"C"&amp;$A131)="N/A",0,RTD("tos.rtd",,$A$2,"."&amp;S$83&amp;S$1&amp;"C"&amp;$A131))-IF(RTD("tos.rtd",,$A$2,"."&amp;S$83&amp;S$1&amp;"P"&amp;$A131)="N/A",0,RTD("tos.rtd",,$A$2,"."&amp;S$83&amp;S$1&amp;"P"&amp;$A131))</f>
        <v>-10</v>
      </c>
      <c r="T131" s="91">
        <f ca="1">IF(RTD("tos.rtd",,$A$2,"."&amp;T$83&amp;T$1&amp;"C"&amp;$A131)="N/A",0,RTD("tos.rtd",,$A$2,"."&amp;T$83&amp;T$1&amp;"C"&amp;$A131))-IF(RTD("tos.rtd",,$A$2,"."&amp;T$83&amp;T$1&amp;"P"&amp;$A131)="N/A",0,RTD("tos.rtd",,$A$2,"."&amp;T$83&amp;T$1&amp;"P"&amp;$A131))</f>
        <v>0</v>
      </c>
      <c r="U131" s="91">
        <f ca="1">IF(RTD("tos.rtd",,$A$2,"."&amp;U$83&amp;U$1&amp;"C"&amp;$A131)="N/A",0,RTD("tos.rtd",,$A$2,"."&amp;U$83&amp;U$1&amp;"C"&amp;$A131))-IF(RTD("tos.rtd",,$A$2,"."&amp;U$83&amp;U$1&amp;"P"&amp;$A131)="N/A",0,RTD("tos.rtd",,$A$2,"."&amp;U$83&amp;U$1&amp;"P"&amp;$A131))</f>
        <v>0</v>
      </c>
      <c r="V131" s="91">
        <f ca="1">IF(RTD("tos.rtd",,$A$2,"."&amp;V$83&amp;V$1&amp;"C"&amp;$A131)="N/A",0,RTD("tos.rtd",,$A$2,"."&amp;V$83&amp;V$1&amp;"C"&amp;$A131))-IF(RTD("tos.rtd",,$A$2,"."&amp;V$83&amp;V$1&amp;"P"&amp;$A131)="N/A",0,RTD("tos.rtd",,$A$2,"."&amp;V$83&amp;V$1&amp;"P"&amp;$A131))</f>
        <v>0</v>
      </c>
      <c r="W131" s="91">
        <f ca="1">IF(RTD("tos.rtd",,$A$2,"."&amp;W$83&amp;W$1&amp;"C"&amp;$A131)="N/A",0,RTD("tos.rtd",,$A$2,"."&amp;W$83&amp;W$1&amp;"C"&amp;$A131))-IF(RTD("tos.rtd",,$A$2,"."&amp;W$83&amp;W$1&amp;"P"&amp;$A131)="N/A",0,RTD("tos.rtd",,$A$2,"."&amp;W$83&amp;W$1&amp;"P"&amp;$A131))</f>
        <v>0</v>
      </c>
      <c r="X131" s="91">
        <f ca="1">IF(RTD("tos.rtd",,$A$2,"."&amp;X$83&amp;X$1&amp;"C"&amp;$A131)="N/A",0,RTD("tos.rtd",,$A$2,"."&amp;X$83&amp;X$1&amp;"C"&amp;$A131))-IF(RTD("tos.rtd",,$A$2,"."&amp;X$83&amp;X$1&amp;"P"&amp;$A131)="N/A",0,RTD("tos.rtd",,$A$2,"."&amp;X$83&amp;X$1&amp;"P"&amp;$A131))</f>
        <v>0</v>
      </c>
      <c r="Y131" s="98">
        <f t="shared" ca="1" si="10"/>
        <v>-263</v>
      </c>
    </row>
    <row r="132" spans="1:27" x14ac:dyDescent="0.25">
      <c r="A132" s="93">
        <f>+Hoja1!A131</f>
        <v>0</v>
      </c>
    </row>
    <row r="133" spans="1:27" x14ac:dyDescent="0.25">
      <c r="A133" s="93">
        <f>+Hoja1!A132</f>
        <v>0</v>
      </c>
    </row>
    <row r="134" spans="1:27" x14ac:dyDescent="0.25">
      <c r="A134" s="93">
        <f>+Hoja1!A133</f>
        <v>25</v>
      </c>
      <c r="B134" s="92" t="str">
        <f ca="1">+B82</f>
        <v/>
      </c>
      <c r="C134" s="92" t="str">
        <f t="shared" ref="C134:X134" ca="1" si="11">+C82</f>
        <v/>
      </c>
      <c r="D134" s="92" t="str">
        <f t="shared" ca="1" si="11"/>
        <v/>
      </c>
      <c r="E134" s="92" t="str">
        <f t="shared" ca="1" si="11"/>
        <v/>
      </c>
      <c r="F134" s="92" t="str">
        <f t="shared" ca="1" si="11"/>
        <v/>
      </c>
      <c r="G134" s="92" t="str">
        <f t="shared" ca="1" si="11"/>
        <v/>
      </c>
      <c r="H134" s="92" t="str">
        <f t="shared" ca="1" si="11"/>
        <v>250523</v>
      </c>
      <c r="I134" s="92" t="str">
        <f t="shared" ca="1" si="11"/>
        <v>250530</v>
      </c>
      <c r="J134" s="92" t="str">
        <f t="shared" ca="1" si="11"/>
        <v>250606</v>
      </c>
      <c r="K134" s="92" t="str">
        <f t="shared" ca="1" si="11"/>
        <v/>
      </c>
      <c r="L134" s="92" t="str">
        <f t="shared" ca="1" si="11"/>
        <v>250630</v>
      </c>
      <c r="M134" s="92" t="str">
        <f t="shared" ca="1" si="11"/>
        <v>250718</v>
      </c>
      <c r="N134" s="92" t="str">
        <f t="shared" ca="1" si="11"/>
        <v>250731</v>
      </c>
      <c r="O134" s="92" t="str">
        <f t="shared" ca="1" si="11"/>
        <v>250815</v>
      </c>
      <c r="P134" s="92" t="str">
        <f t="shared" ca="1" si="11"/>
        <v>250829</v>
      </c>
      <c r="Q134" s="92" t="str">
        <f t="shared" ca="1" si="11"/>
        <v>250919</v>
      </c>
      <c r="R134" s="92" t="str">
        <f t="shared" ca="1" si="11"/>
        <v>250930</v>
      </c>
      <c r="S134" s="92" t="str">
        <f t="shared" ca="1" si="11"/>
        <v>251017</v>
      </c>
      <c r="T134" s="92" t="str">
        <f t="shared" ca="1" si="11"/>
        <v>251031</v>
      </c>
      <c r="U134" s="92" t="str">
        <f t="shared" ca="1" si="11"/>
        <v>251121</v>
      </c>
      <c r="V134" s="92" t="str">
        <f t="shared" ca="1" si="11"/>
        <v>251128</v>
      </c>
      <c r="W134" s="92" t="str">
        <f t="shared" ca="1" si="11"/>
        <v>251219</v>
      </c>
      <c r="X134" s="92" t="str">
        <f t="shared" ca="1" si="11"/>
        <v>251231</v>
      </c>
    </row>
    <row r="135" spans="1:27" x14ac:dyDescent="0.25">
      <c r="A135" s="93" t="str">
        <f>+Hoja1!A134</f>
        <v>NDX</v>
      </c>
      <c r="B135" s="92" t="s">
        <v>58</v>
      </c>
      <c r="C135" s="92" t="s">
        <v>58</v>
      </c>
      <c r="D135" s="92" t="s">
        <v>58</v>
      </c>
      <c r="E135" s="92" t="s">
        <v>58</v>
      </c>
      <c r="F135" s="92" t="s">
        <v>58</v>
      </c>
      <c r="G135" s="92" t="s">
        <v>58</v>
      </c>
      <c r="H135" s="92" t="s">
        <v>14</v>
      </c>
      <c r="I135" s="92" t="s">
        <v>58</v>
      </c>
      <c r="J135" s="92" t="s">
        <v>58</v>
      </c>
      <c r="K135" s="92" t="s">
        <v>14</v>
      </c>
      <c r="L135" s="92" t="s">
        <v>58</v>
      </c>
      <c r="M135" s="92" t="s">
        <v>14</v>
      </c>
      <c r="N135" s="92" t="s">
        <v>58</v>
      </c>
      <c r="O135" s="92" t="s">
        <v>14</v>
      </c>
      <c r="P135" s="92" t="s">
        <v>58</v>
      </c>
      <c r="Q135" s="92" t="s">
        <v>14</v>
      </c>
      <c r="R135" s="92" t="s">
        <v>58</v>
      </c>
      <c r="S135" s="92" t="s">
        <v>14</v>
      </c>
      <c r="T135" s="92" t="s">
        <v>58</v>
      </c>
      <c r="U135" s="92" t="s">
        <v>14</v>
      </c>
      <c r="V135" s="92" t="s">
        <v>58</v>
      </c>
      <c r="W135" s="92" t="s">
        <v>14</v>
      </c>
      <c r="X135" s="92" t="s">
        <v>58</v>
      </c>
    </row>
    <row r="136" spans="1:27" x14ac:dyDescent="0.25">
      <c r="A136" s="93" t="str">
        <f>+Hoja1!A135</f>
        <v>NDX</v>
      </c>
      <c r="B136" s="94">
        <f>+B84</f>
        <v>45782</v>
      </c>
      <c r="C136" s="94">
        <f t="shared" ref="C136:X136" si="12">+C84</f>
        <v>45783</v>
      </c>
      <c r="D136" s="94">
        <f t="shared" si="12"/>
        <v>45784</v>
      </c>
      <c r="E136" s="94">
        <f t="shared" si="12"/>
        <v>45785</v>
      </c>
      <c r="F136" s="94">
        <f t="shared" si="12"/>
        <v>45786</v>
      </c>
      <c r="G136" s="94">
        <f t="shared" si="12"/>
        <v>45793</v>
      </c>
      <c r="H136" s="94">
        <f t="shared" si="12"/>
        <v>45800</v>
      </c>
      <c r="I136" s="94">
        <f t="shared" si="12"/>
        <v>45807</v>
      </c>
      <c r="J136" s="94">
        <f t="shared" si="12"/>
        <v>45814</v>
      </c>
      <c r="K136" s="94">
        <f t="shared" si="12"/>
        <v>45828</v>
      </c>
      <c r="L136" s="94">
        <f t="shared" si="12"/>
        <v>45838</v>
      </c>
      <c r="M136" s="94">
        <f t="shared" si="12"/>
        <v>45856</v>
      </c>
      <c r="N136" s="94">
        <f t="shared" si="12"/>
        <v>45869</v>
      </c>
      <c r="O136" s="94">
        <f t="shared" si="12"/>
        <v>45884</v>
      </c>
      <c r="P136" s="94">
        <f t="shared" si="12"/>
        <v>45898</v>
      </c>
      <c r="Q136" s="94">
        <f t="shared" si="12"/>
        <v>45919</v>
      </c>
      <c r="R136" s="94">
        <f t="shared" si="12"/>
        <v>45930</v>
      </c>
      <c r="S136" s="94">
        <f t="shared" si="12"/>
        <v>45947</v>
      </c>
      <c r="T136" s="94">
        <f t="shared" si="12"/>
        <v>45961</v>
      </c>
      <c r="U136" s="94">
        <f t="shared" si="12"/>
        <v>45982</v>
      </c>
      <c r="V136" s="94">
        <f t="shared" si="12"/>
        <v>45989</v>
      </c>
      <c r="W136" s="94">
        <f t="shared" si="12"/>
        <v>46010</v>
      </c>
      <c r="X136" s="94">
        <f t="shared" si="12"/>
        <v>46022</v>
      </c>
    </row>
    <row r="137" spans="1:27" x14ac:dyDescent="0.25">
      <c r="A137" s="93">
        <f>+Hoja1!A136</f>
        <v>20843.75</v>
      </c>
      <c r="B137" s="92"/>
      <c r="X137" s="91"/>
    </row>
    <row r="138" spans="1:27" x14ac:dyDescent="0.25">
      <c r="A138" s="93">
        <f>+Hoja1!A137</f>
        <v>21350</v>
      </c>
      <c r="B138" s="91">
        <f ca="1">IF(RTD("tos.rtd",,$A$2,"."&amp;B$135&amp;B$1&amp;"C"&amp;$A138)="N/A",0,RTD("tos.rtd",,$A$2,"."&amp;B$135&amp;B$1&amp;"C"&amp;$A138))-IF(RTD("tos.rtd",,$A$2,"."&amp;B$135&amp;B$1&amp;"P"&amp;$A138)="N/A",0,RTD("tos.rtd",,$A$2,"."&amp;B$135&amp;B$1&amp;"P"&amp;$A138))</f>
        <v>0</v>
      </c>
      <c r="C138" s="91">
        <f ca="1">IF(RTD("tos.rtd",,$A$2,"."&amp;C$135&amp;C$1&amp;"C"&amp;$A138)="N/A",0,RTD("tos.rtd",,$A$2,"."&amp;C$135&amp;C$1&amp;"C"&amp;$A138))-IF(RTD("tos.rtd",,$A$2,"."&amp;C$135&amp;C$1&amp;"P"&amp;$A138)="N/A",0,RTD("tos.rtd",,$A$2,"."&amp;C$135&amp;C$1&amp;"P"&amp;$A138))</f>
        <v>0</v>
      </c>
      <c r="D138" s="91">
        <f ca="1">IF(RTD("tos.rtd",,$A$2,"."&amp;D$135&amp;D$1&amp;"C"&amp;$A138)="N/A",0,RTD("tos.rtd",,$A$2,"."&amp;D$135&amp;D$1&amp;"C"&amp;$A138))-IF(RTD("tos.rtd",,$A$2,"."&amp;D$135&amp;D$1&amp;"P"&amp;$A138)="N/A",0,RTD("tos.rtd",,$A$2,"."&amp;D$135&amp;D$1&amp;"P"&amp;$A138))</f>
        <v>0</v>
      </c>
      <c r="E138" s="91">
        <f ca="1">IF(RTD("tos.rtd",,$A$2,"."&amp;E$135&amp;E$1&amp;"C"&amp;$A138)="N/A",0,RTD("tos.rtd",,$A$2,"."&amp;E$135&amp;E$1&amp;"C"&amp;$A138))-IF(RTD("tos.rtd",,$A$2,"."&amp;E$135&amp;E$1&amp;"P"&amp;$A138)="N/A",0,RTD("tos.rtd",,$A$2,"."&amp;E$135&amp;E$1&amp;"P"&amp;$A138))</f>
        <v>0</v>
      </c>
      <c r="F138" s="91">
        <f ca="1">IF(RTD("tos.rtd",,$A$2,"."&amp;F$135&amp;F$1&amp;"C"&amp;$A138)="N/A",0,RTD("tos.rtd",,$A$2,"."&amp;F$135&amp;F$1&amp;"C"&amp;$A138))-IF(RTD("tos.rtd",,$A$2,"."&amp;F$135&amp;F$1&amp;"P"&amp;$A138)="N/A",0,RTD("tos.rtd",,$A$2,"."&amp;F$135&amp;F$1&amp;"P"&amp;$A138))</f>
        <v>0</v>
      </c>
      <c r="G138" s="91">
        <f ca="1">IF(RTD("tos.rtd",,$A$2,"."&amp;G$135&amp;G$1&amp;"C"&amp;$A138)="N/A",0,RTD("tos.rtd",,$A$2,"."&amp;G$135&amp;G$1&amp;"C"&amp;$A138))-IF(RTD("tos.rtd",,$A$2,"."&amp;G$135&amp;G$1&amp;"P"&amp;$A138)="N/A",0,RTD("tos.rtd",,$A$2,"."&amp;G$135&amp;G$1&amp;"P"&amp;$A138))</f>
        <v>0</v>
      </c>
      <c r="H138" s="91">
        <f ca="1">IF(RTD("tos.rtd",,$A$2,"."&amp;H$135&amp;H$1&amp;"C"&amp;$A138)="N/A",0,RTD("tos.rtd",,$A$2,"."&amp;H$135&amp;H$1&amp;"C"&amp;$A138))-IF(RTD("tos.rtd",,$A$2,"."&amp;H$135&amp;H$1&amp;"P"&amp;$A138)="N/A",0,RTD("tos.rtd",,$A$2,"."&amp;H$135&amp;H$1&amp;"P"&amp;$A138))</f>
        <v>0</v>
      </c>
      <c r="I138" s="91">
        <f ca="1">IF(RTD("tos.rtd",,$A$2,"."&amp;I$135&amp;I$1&amp;"C"&amp;$A138)="N/A",0,RTD("tos.rtd",,$A$2,"."&amp;I$135&amp;I$1&amp;"C"&amp;$A138))-IF(RTD("tos.rtd",,$A$2,"."&amp;I$135&amp;I$1&amp;"P"&amp;$A138)="N/A",0,RTD("tos.rtd",,$A$2,"."&amp;I$135&amp;I$1&amp;"P"&amp;$A138))</f>
        <v>0</v>
      </c>
      <c r="J138" s="91">
        <f ca="1">IF(RTD("tos.rtd",,$A$2,"."&amp;J$135&amp;J$1&amp;"C"&amp;$A138)="N/A",0,RTD("tos.rtd",,$A$2,"."&amp;J$135&amp;J$1&amp;"C"&amp;$A138))-IF(RTD("tos.rtd",,$A$2,"."&amp;J$135&amp;J$1&amp;"P"&amp;$A138)="N/A",0,RTD("tos.rtd",,$A$2,"."&amp;J$135&amp;J$1&amp;"P"&amp;$A138))</f>
        <v>0</v>
      </c>
      <c r="K138" s="91">
        <f ca="1">IF(RTD("tos.rtd",,$A$2,"."&amp;K$135&amp;K$1&amp;"C"&amp;$A138)="N/A",0,RTD("tos.rtd",,$A$2,"."&amp;K$135&amp;K$1&amp;"C"&amp;$A138))-IF(RTD("tos.rtd",,$A$2,"."&amp;K$135&amp;K$1&amp;"P"&amp;$A138)="N/A",0,RTD("tos.rtd",,$A$2,"."&amp;K$135&amp;K$1&amp;"P"&amp;$A138))</f>
        <v>0</v>
      </c>
      <c r="L138" s="91">
        <f ca="1">IF(RTD("tos.rtd",,$A$2,"."&amp;L$135&amp;L$1&amp;"C"&amp;$A138)="N/A",0,RTD("tos.rtd",,$A$2,"."&amp;L$135&amp;L$1&amp;"C"&amp;$A138))-IF(RTD("tos.rtd",,$A$2,"."&amp;L$135&amp;L$1&amp;"P"&amp;$A138)="N/A",0,RTD("tos.rtd",,$A$2,"."&amp;L$135&amp;L$1&amp;"P"&amp;$A138))</f>
        <v>0</v>
      </c>
      <c r="M138" s="91">
        <f ca="1">IF(RTD("tos.rtd",,$A$2,"."&amp;M$135&amp;M$1&amp;"C"&amp;$A138)="N/A",0,RTD("tos.rtd",,$A$2,"."&amp;M$135&amp;M$1&amp;"C"&amp;$A138))-IF(RTD("tos.rtd",,$A$2,"."&amp;M$135&amp;M$1&amp;"P"&amp;$A138)="N/A",0,RTD("tos.rtd",,$A$2,"."&amp;M$135&amp;M$1&amp;"P"&amp;$A138))</f>
        <v>0</v>
      </c>
      <c r="N138" s="91">
        <f ca="1">IF(RTD("tos.rtd",,$A$2,"."&amp;N$135&amp;N$1&amp;"C"&amp;$A138)="N/A",0,RTD("tos.rtd",,$A$2,"."&amp;N$135&amp;N$1&amp;"C"&amp;$A138))-IF(RTD("tos.rtd",,$A$2,"."&amp;N$135&amp;N$1&amp;"P"&amp;$A138)="N/A",0,RTD("tos.rtd",,$A$2,"."&amp;N$135&amp;N$1&amp;"P"&amp;$A138))</f>
        <v>0</v>
      </c>
      <c r="O138" s="91">
        <f ca="1">IF(RTD("tos.rtd",,$A$2,"."&amp;O$135&amp;O$1&amp;"C"&amp;$A138)="N/A",0,RTD("tos.rtd",,$A$2,"."&amp;O$135&amp;O$1&amp;"C"&amp;$A138))-IF(RTD("tos.rtd",,$A$2,"."&amp;O$135&amp;O$1&amp;"P"&amp;$A138)="N/A",0,RTD("tos.rtd",,$A$2,"."&amp;O$135&amp;O$1&amp;"P"&amp;$A138))</f>
        <v>0</v>
      </c>
      <c r="P138" s="91">
        <f ca="1">IF(RTD("tos.rtd",,$A$2,"."&amp;P$135&amp;P$1&amp;"C"&amp;$A138)="N/A",0,RTD("tos.rtd",,$A$2,"."&amp;P$135&amp;P$1&amp;"C"&amp;$A138))-IF(RTD("tos.rtd",,$A$2,"."&amp;P$135&amp;P$1&amp;"P"&amp;$A138)="N/A",0,RTD("tos.rtd",,$A$2,"."&amp;P$135&amp;P$1&amp;"P"&amp;$A138))</f>
        <v>0</v>
      </c>
      <c r="Q138" s="91">
        <f ca="1">IF(RTD("tos.rtd",,$A$2,"."&amp;Q$135&amp;Q$1&amp;"C"&amp;$A138)="N/A",0,RTD("tos.rtd",,$A$2,"."&amp;Q$135&amp;Q$1&amp;"C"&amp;$A138))-IF(RTD("tos.rtd",,$A$2,"."&amp;Q$135&amp;Q$1&amp;"P"&amp;$A138)="N/A",0,RTD("tos.rtd",,$A$2,"."&amp;Q$135&amp;Q$1&amp;"P"&amp;$A138))</f>
        <v>0</v>
      </c>
      <c r="R138" s="91">
        <f ca="1">IF(RTD("tos.rtd",,$A$2,"."&amp;R$135&amp;R$1&amp;"C"&amp;$A138)="N/A",0,RTD("tos.rtd",,$A$2,"."&amp;R$135&amp;R$1&amp;"C"&amp;$A138))-IF(RTD("tos.rtd",,$A$2,"."&amp;R$135&amp;R$1&amp;"P"&amp;$A138)="N/A",0,RTD("tos.rtd",,$A$2,"."&amp;R$135&amp;R$1&amp;"P"&amp;$A138))</f>
        <v>0</v>
      </c>
      <c r="S138" s="91">
        <f ca="1">IF(RTD("tos.rtd",,$A$2,"."&amp;S$135&amp;S$1&amp;"C"&amp;$A138)="N/A",0,RTD("tos.rtd",,$A$2,"."&amp;S$135&amp;S$1&amp;"C"&amp;$A138))-IF(RTD("tos.rtd",,$A$2,"."&amp;S$135&amp;S$1&amp;"P"&amp;$A138)="N/A",0,RTD("tos.rtd",,$A$2,"."&amp;S$135&amp;S$1&amp;"P"&amp;$A138))</f>
        <v>0</v>
      </c>
      <c r="T138" s="91">
        <f ca="1">IF(RTD("tos.rtd",,$A$2,"."&amp;T$135&amp;T$1&amp;"C"&amp;$A138)="N/A",0,RTD("tos.rtd",,$A$2,"."&amp;T$135&amp;T$1&amp;"C"&amp;$A138))-IF(RTD("tos.rtd",,$A$2,"."&amp;T$135&amp;T$1&amp;"P"&amp;$A138)="N/A",0,RTD("tos.rtd",,$A$2,"."&amp;T$135&amp;T$1&amp;"P"&amp;$A138))</f>
        <v>0</v>
      </c>
      <c r="U138" s="91">
        <f ca="1">IF(RTD("tos.rtd",,$A$2,"."&amp;U$135&amp;U$1&amp;"C"&amp;$A138)="N/A",0,RTD("tos.rtd",,$A$2,"."&amp;U$135&amp;U$1&amp;"C"&amp;$A138))-IF(RTD("tos.rtd",,$A$2,"."&amp;U$135&amp;U$1&amp;"P"&amp;$A138)="N/A",0,RTD("tos.rtd",,$A$2,"."&amp;U$135&amp;U$1&amp;"P"&amp;$A138))</f>
        <v>0</v>
      </c>
      <c r="V138" s="91">
        <f ca="1">IF(RTD("tos.rtd",,$A$2,"."&amp;V$135&amp;V$1&amp;"C"&amp;$A138)="N/A",0,RTD("tos.rtd",,$A$2,"."&amp;V$135&amp;V$1&amp;"C"&amp;$A138))-IF(RTD("tos.rtd",,$A$2,"."&amp;V$135&amp;V$1&amp;"P"&amp;$A138)="N/A",0,RTD("tos.rtd",,$A$2,"."&amp;V$135&amp;V$1&amp;"P"&amp;$A138))</f>
        <v>0</v>
      </c>
      <c r="W138" s="91">
        <f ca="1">IF(RTD("tos.rtd",,$A$2,"."&amp;W$135&amp;W$1&amp;"C"&amp;$A138)="N/A",0,RTD("tos.rtd",,$A$2,"."&amp;W$135&amp;W$1&amp;"C"&amp;$A138))-IF(RTD("tos.rtd",,$A$2,"."&amp;W$135&amp;W$1&amp;"P"&amp;$A138)="N/A",0,RTD("tos.rtd",,$A$2,"."&amp;W$135&amp;W$1&amp;"P"&amp;$A138))</f>
        <v>0</v>
      </c>
      <c r="X138" s="91">
        <f ca="1">IF(RTD("tos.rtd",,$A$2,"."&amp;X$135&amp;X$1&amp;"C"&amp;$A138)="N/A",0,RTD("tos.rtd",,$A$2,"."&amp;X$135&amp;X$1&amp;"C"&amp;$A138))-IF(RTD("tos.rtd",,$A$2,"."&amp;X$135&amp;X$1&amp;"P"&amp;$A138)="N/A",0,RTD("tos.rtd",,$A$2,"."&amp;X$135&amp;X$1&amp;"P"&amp;$A138))</f>
        <v>0</v>
      </c>
      <c r="Y138" s="98">
        <f t="shared" ref="Y138:Y190" ca="1" si="13">SUM(B138:X138)</f>
        <v>0</v>
      </c>
      <c r="Z138" s="91"/>
      <c r="AA138" s="91"/>
    </row>
    <row r="139" spans="1:27" x14ac:dyDescent="0.25">
      <c r="A139" s="93">
        <f>+Hoja1!A138</f>
        <v>21325</v>
      </c>
      <c r="B139" s="91">
        <f ca="1">IF(RTD("tos.rtd",,$A$2,"."&amp;B$135&amp;B$1&amp;"C"&amp;$A139)="N/A",0,RTD("tos.rtd",,$A$2,"."&amp;B$135&amp;B$1&amp;"C"&amp;$A139))-IF(RTD("tos.rtd",,$A$2,"."&amp;B$135&amp;B$1&amp;"P"&amp;$A139)="N/A",0,RTD("tos.rtd",,$A$2,"."&amp;B$135&amp;B$1&amp;"P"&amp;$A139))</f>
        <v>0</v>
      </c>
      <c r="C139" s="91">
        <f ca="1">IF(RTD("tos.rtd",,$A$2,"."&amp;C$135&amp;C$1&amp;"C"&amp;$A139)="N/A",0,RTD("tos.rtd",,$A$2,"."&amp;C$135&amp;C$1&amp;"C"&amp;$A139))-IF(RTD("tos.rtd",,$A$2,"."&amp;C$135&amp;C$1&amp;"P"&amp;$A139)="N/A",0,RTD("tos.rtd",,$A$2,"."&amp;C$135&amp;C$1&amp;"P"&amp;$A139))</f>
        <v>0</v>
      </c>
      <c r="D139" s="91">
        <f ca="1">IF(RTD("tos.rtd",,$A$2,"."&amp;D$135&amp;D$1&amp;"C"&amp;$A139)="N/A",0,RTD("tos.rtd",,$A$2,"."&amp;D$135&amp;D$1&amp;"C"&amp;$A139))-IF(RTD("tos.rtd",,$A$2,"."&amp;D$135&amp;D$1&amp;"P"&amp;$A139)="N/A",0,RTD("tos.rtd",,$A$2,"."&amp;D$135&amp;D$1&amp;"P"&amp;$A139))</f>
        <v>0</v>
      </c>
      <c r="E139" s="91">
        <f ca="1">IF(RTD("tos.rtd",,$A$2,"."&amp;E$135&amp;E$1&amp;"C"&amp;$A139)="N/A",0,RTD("tos.rtd",,$A$2,"."&amp;E$135&amp;E$1&amp;"C"&amp;$A139))-IF(RTD("tos.rtd",,$A$2,"."&amp;E$135&amp;E$1&amp;"P"&amp;$A139)="N/A",0,RTD("tos.rtd",,$A$2,"."&amp;E$135&amp;E$1&amp;"P"&amp;$A139))</f>
        <v>0</v>
      </c>
      <c r="F139" s="91">
        <f ca="1">IF(RTD("tos.rtd",,$A$2,"."&amp;F$135&amp;F$1&amp;"C"&amp;$A139)="N/A",0,RTD("tos.rtd",,$A$2,"."&amp;F$135&amp;F$1&amp;"C"&amp;$A139))-IF(RTD("tos.rtd",,$A$2,"."&amp;F$135&amp;F$1&amp;"P"&amp;$A139)="N/A",0,RTD("tos.rtd",,$A$2,"."&amp;F$135&amp;F$1&amp;"P"&amp;$A139))</f>
        <v>0</v>
      </c>
      <c r="G139" s="91">
        <f ca="1">IF(RTD("tos.rtd",,$A$2,"."&amp;G$135&amp;G$1&amp;"C"&amp;$A139)="N/A",0,RTD("tos.rtd",,$A$2,"."&amp;G$135&amp;G$1&amp;"C"&amp;$A139))-IF(RTD("tos.rtd",,$A$2,"."&amp;G$135&amp;G$1&amp;"P"&amp;$A139)="N/A",0,RTD("tos.rtd",,$A$2,"."&amp;G$135&amp;G$1&amp;"P"&amp;$A139))</f>
        <v>0</v>
      </c>
      <c r="H139" s="91">
        <f ca="1">IF(RTD("tos.rtd",,$A$2,"."&amp;H$135&amp;H$1&amp;"C"&amp;$A139)="N/A",0,RTD("tos.rtd",,$A$2,"."&amp;H$135&amp;H$1&amp;"C"&amp;$A139))-IF(RTD("tos.rtd",,$A$2,"."&amp;H$135&amp;H$1&amp;"P"&amp;$A139)="N/A",0,RTD("tos.rtd",,$A$2,"."&amp;H$135&amp;H$1&amp;"P"&amp;$A139))</f>
        <v>0</v>
      </c>
      <c r="I139" s="91">
        <f ca="1">IF(RTD("tos.rtd",,$A$2,"."&amp;I$135&amp;I$1&amp;"C"&amp;$A139)="N/A",0,RTD("tos.rtd",,$A$2,"."&amp;I$135&amp;I$1&amp;"C"&amp;$A139))-IF(RTD("tos.rtd",,$A$2,"."&amp;I$135&amp;I$1&amp;"P"&amp;$A139)="N/A",0,RTD("tos.rtd",,$A$2,"."&amp;I$135&amp;I$1&amp;"P"&amp;$A139))</f>
        <v>0</v>
      </c>
      <c r="J139" s="91">
        <f ca="1">IF(RTD("tos.rtd",,$A$2,"."&amp;J$135&amp;J$1&amp;"C"&amp;$A139)="N/A",0,RTD("tos.rtd",,$A$2,"."&amp;J$135&amp;J$1&amp;"C"&amp;$A139))-IF(RTD("tos.rtd",,$A$2,"."&amp;J$135&amp;J$1&amp;"P"&amp;$A139)="N/A",0,RTD("tos.rtd",,$A$2,"."&amp;J$135&amp;J$1&amp;"P"&amp;$A139))</f>
        <v>0</v>
      </c>
      <c r="K139" s="91">
        <f ca="1">IF(RTD("tos.rtd",,$A$2,"."&amp;K$135&amp;K$1&amp;"C"&amp;$A139)="N/A",0,RTD("tos.rtd",,$A$2,"."&amp;K$135&amp;K$1&amp;"C"&amp;$A139))-IF(RTD("tos.rtd",,$A$2,"."&amp;K$135&amp;K$1&amp;"P"&amp;$A139)="N/A",0,RTD("tos.rtd",,$A$2,"."&amp;K$135&amp;K$1&amp;"P"&amp;$A139))</f>
        <v>0</v>
      </c>
      <c r="L139" s="91">
        <f ca="1">IF(RTD("tos.rtd",,$A$2,"."&amp;L$135&amp;L$1&amp;"C"&amp;$A139)="N/A",0,RTD("tos.rtd",,$A$2,"."&amp;L$135&amp;L$1&amp;"C"&amp;$A139))-IF(RTD("tos.rtd",,$A$2,"."&amp;L$135&amp;L$1&amp;"P"&amp;$A139)="N/A",0,RTD("tos.rtd",,$A$2,"."&amp;L$135&amp;L$1&amp;"P"&amp;$A139))</f>
        <v>0</v>
      </c>
      <c r="M139" s="91">
        <f ca="1">IF(RTD("tos.rtd",,$A$2,"."&amp;M$135&amp;M$1&amp;"C"&amp;$A139)="N/A",0,RTD("tos.rtd",,$A$2,"."&amp;M$135&amp;M$1&amp;"C"&amp;$A139))-IF(RTD("tos.rtd",,$A$2,"."&amp;M$135&amp;M$1&amp;"P"&amp;$A139)="N/A",0,RTD("tos.rtd",,$A$2,"."&amp;M$135&amp;M$1&amp;"P"&amp;$A139))</f>
        <v>0</v>
      </c>
      <c r="N139" s="91">
        <f ca="1">IF(RTD("tos.rtd",,$A$2,"."&amp;N$135&amp;N$1&amp;"C"&amp;$A139)="N/A",0,RTD("tos.rtd",,$A$2,"."&amp;N$135&amp;N$1&amp;"C"&amp;$A139))-IF(RTD("tos.rtd",,$A$2,"."&amp;N$135&amp;N$1&amp;"P"&amp;$A139)="N/A",0,RTD("tos.rtd",,$A$2,"."&amp;N$135&amp;N$1&amp;"P"&amp;$A139))</f>
        <v>0</v>
      </c>
      <c r="O139" s="91">
        <f ca="1">IF(RTD("tos.rtd",,$A$2,"."&amp;O$135&amp;O$1&amp;"C"&amp;$A139)="N/A",0,RTD("tos.rtd",,$A$2,"."&amp;O$135&amp;O$1&amp;"C"&amp;$A139))-IF(RTD("tos.rtd",,$A$2,"."&amp;O$135&amp;O$1&amp;"P"&amp;$A139)="N/A",0,RTD("tos.rtd",,$A$2,"."&amp;O$135&amp;O$1&amp;"P"&amp;$A139))</f>
        <v>0</v>
      </c>
      <c r="P139" s="91">
        <f ca="1">IF(RTD("tos.rtd",,$A$2,"."&amp;P$135&amp;P$1&amp;"C"&amp;$A139)="N/A",0,RTD("tos.rtd",,$A$2,"."&amp;P$135&amp;P$1&amp;"C"&amp;$A139))-IF(RTD("tos.rtd",,$A$2,"."&amp;P$135&amp;P$1&amp;"P"&amp;$A139)="N/A",0,RTD("tos.rtd",,$A$2,"."&amp;P$135&amp;P$1&amp;"P"&amp;$A139))</f>
        <v>0</v>
      </c>
      <c r="Q139" s="91">
        <f ca="1">IF(RTD("tos.rtd",,$A$2,"."&amp;Q$135&amp;Q$1&amp;"C"&amp;$A139)="N/A",0,RTD("tos.rtd",,$A$2,"."&amp;Q$135&amp;Q$1&amp;"C"&amp;$A139))-IF(RTD("tos.rtd",,$A$2,"."&amp;Q$135&amp;Q$1&amp;"P"&amp;$A139)="N/A",0,RTD("tos.rtd",,$A$2,"."&amp;Q$135&amp;Q$1&amp;"P"&amp;$A139))</f>
        <v>0</v>
      </c>
      <c r="R139" s="91">
        <f ca="1">IF(RTD("tos.rtd",,$A$2,"."&amp;R$135&amp;R$1&amp;"C"&amp;$A139)="N/A",0,RTD("tos.rtd",,$A$2,"."&amp;R$135&amp;R$1&amp;"C"&amp;$A139))-IF(RTD("tos.rtd",,$A$2,"."&amp;R$135&amp;R$1&amp;"P"&amp;$A139)="N/A",0,RTD("tos.rtd",,$A$2,"."&amp;R$135&amp;R$1&amp;"P"&amp;$A139))</f>
        <v>0</v>
      </c>
      <c r="S139" s="91">
        <f ca="1">IF(RTD("tos.rtd",,$A$2,"."&amp;S$135&amp;S$1&amp;"C"&amp;$A139)="N/A",0,RTD("tos.rtd",,$A$2,"."&amp;S$135&amp;S$1&amp;"C"&amp;$A139))-IF(RTD("tos.rtd",,$A$2,"."&amp;S$135&amp;S$1&amp;"P"&amp;$A139)="N/A",0,RTD("tos.rtd",,$A$2,"."&amp;S$135&amp;S$1&amp;"P"&amp;$A139))</f>
        <v>0</v>
      </c>
      <c r="T139" s="91">
        <f ca="1">IF(RTD("tos.rtd",,$A$2,"."&amp;T$135&amp;T$1&amp;"C"&amp;$A139)="N/A",0,RTD("tos.rtd",,$A$2,"."&amp;T$135&amp;T$1&amp;"C"&amp;$A139))-IF(RTD("tos.rtd",,$A$2,"."&amp;T$135&amp;T$1&amp;"P"&amp;$A139)="N/A",0,RTD("tos.rtd",,$A$2,"."&amp;T$135&amp;T$1&amp;"P"&amp;$A139))</f>
        <v>0</v>
      </c>
      <c r="U139" s="91">
        <f ca="1">IF(RTD("tos.rtd",,$A$2,"."&amp;U$135&amp;U$1&amp;"C"&amp;$A139)="N/A",0,RTD("tos.rtd",,$A$2,"."&amp;U$135&amp;U$1&amp;"C"&amp;$A139))-IF(RTD("tos.rtd",,$A$2,"."&amp;U$135&amp;U$1&amp;"P"&amp;$A139)="N/A",0,RTD("tos.rtd",,$A$2,"."&amp;U$135&amp;U$1&amp;"P"&amp;$A139))</f>
        <v>0</v>
      </c>
      <c r="V139" s="91">
        <f ca="1">IF(RTD("tos.rtd",,$A$2,"."&amp;V$135&amp;V$1&amp;"C"&amp;$A139)="N/A",0,RTD("tos.rtd",,$A$2,"."&amp;V$135&amp;V$1&amp;"C"&amp;$A139))-IF(RTD("tos.rtd",,$A$2,"."&amp;V$135&amp;V$1&amp;"P"&amp;$A139)="N/A",0,RTD("tos.rtd",,$A$2,"."&amp;V$135&amp;V$1&amp;"P"&amp;$A139))</f>
        <v>0</v>
      </c>
      <c r="W139" s="91">
        <f ca="1">IF(RTD("tos.rtd",,$A$2,"."&amp;W$135&amp;W$1&amp;"C"&amp;$A139)="N/A",0,RTD("tos.rtd",,$A$2,"."&amp;W$135&amp;W$1&amp;"C"&amp;$A139))-IF(RTD("tos.rtd",,$A$2,"."&amp;W$135&amp;W$1&amp;"P"&amp;$A139)="N/A",0,RTD("tos.rtd",,$A$2,"."&amp;W$135&amp;W$1&amp;"P"&amp;$A139))</f>
        <v>0</v>
      </c>
      <c r="X139" s="91">
        <f ca="1">IF(RTD("tos.rtd",,$A$2,"."&amp;X$135&amp;X$1&amp;"C"&amp;$A139)="N/A",0,RTD("tos.rtd",,$A$2,"."&amp;X$135&amp;X$1&amp;"C"&amp;$A139))-IF(RTD("tos.rtd",,$A$2,"."&amp;X$135&amp;X$1&amp;"P"&amp;$A139)="N/A",0,RTD("tos.rtd",,$A$2,"."&amp;X$135&amp;X$1&amp;"P"&amp;$A139))</f>
        <v>0</v>
      </c>
      <c r="Y139" s="98">
        <f t="shared" ca="1" si="13"/>
        <v>0</v>
      </c>
      <c r="Z139" s="91"/>
      <c r="AA139" s="91"/>
    </row>
    <row r="140" spans="1:27" x14ac:dyDescent="0.25">
      <c r="A140" s="93">
        <f>+Hoja1!A139</f>
        <v>21300</v>
      </c>
      <c r="B140" s="91">
        <f ca="1">IF(RTD("tos.rtd",,$A$2,"."&amp;B$135&amp;B$1&amp;"C"&amp;$A140)="N/A",0,RTD("tos.rtd",,$A$2,"."&amp;B$135&amp;B$1&amp;"C"&amp;$A140))-IF(RTD("tos.rtd",,$A$2,"."&amp;B$135&amp;B$1&amp;"P"&amp;$A140)="N/A",0,RTD("tos.rtd",,$A$2,"."&amp;B$135&amp;B$1&amp;"P"&amp;$A140))</f>
        <v>0</v>
      </c>
      <c r="C140" s="91">
        <f ca="1">IF(RTD("tos.rtd",,$A$2,"."&amp;C$135&amp;C$1&amp;"C"&amp;$A140)="N/A",0,RTD("tos.rtd",,$A$2,"."&amp;C$135&amp;C$1&amp;"C"&amp;$A140))-IF(RTD("tos.rtd",,$A$2,"."&amp;C$135&amp;C$1&amp;"P"&amp;$A140)="N/A",0,RTD("tos.rtd",,$A$2,"."&amp;C$135&amp;C$1&amp;"P"&amp;$A140))</f>
        <v>0</v>
      </c>
      <c r="D140" s="91">
        <f ca="1">IF(RTD("tos.rtd",,$A$2,"."&amp;D$135&amp;D$1&amp;"C"&amp;$A140)="N/A",0,RTD("tos.rtd",,$A$2,"."&amp;D$135&amp;D$1&amp;"C"&amp;$A140))-IF(RTD("tos.rtd",,$A$2,"."&amp;D$135&amp;D$1&amp;"P"&amp;$A140)="N/A",0,RTD("tos.rtd",,$A$2,"."&amp;D$135&amp;D$1&amp;"P"&amp;$A140))</f>
        <v>0</v>
      </c>
      <c r="E140" s="91">
        <f ca="1">IF(RTD("tos.rtd",,$A$2,"."&amp;E$135&amp;E$1&amp;"C"&amp;$A140)="N/A",0,RTD("tos.rtd",,$A$2,"."&amp;E$135&amp;E$1&amp;"C"&amp;$A140))-IF(RTD("tos.rtd",,$A$2,"."&amp;E$135&amp;E$1&amp;"P"&amp;$A140)="N/A",0,RTD("tos.rtd",,$A$2,"."&amp;E$135&amp;E$1&amp;"P"&amp;$A140))</f>
        <v>0</v>
      </c>
      <c r="F140" s="91">
        <f ca="1">IF(RTD("tos.rtd",,$A$2,"."&amp;F$135&amp;F$1&amp;"C"&amp;$A140)="N/A",0,RTD("tos.rtd",,$A$2,"."&amp;F$135&amp;F$1&amp;"C"&amp;$A140))-IF(RTD("tos.rtd",,$A$2,"."&amp;F$135&amp;F$1&amp;"P"&amp;$A140)="N/A",0,RTD("tos.rtd",,$A$2,"."&amp;F$135&amp;F$1&amp;"P"&amp;$A140))</f>
        <v>0</v>
      </c>
      <c r="G140" s="91">
        <f ca="1">IF(RTD("tos.rtd",,$A$2,"."&amp;G$135&amp;G$1&amp;"C"&amp;$A140)="N/A",0,RTD("tos.rtd",,$A$2,"."&amp;G$135&amp;G$1&amp;"C"&amp;$A140))-IF(RTD("tos.rtd",,$A$2,"."&amp;G$135&amp;G$1&amp;"P"&amp;$A140)="N/A",0,RTD("tos.rtd",,$A$2,"."&amp;G$135&amp;G$1&amp;"P"&amp;$A140))</f>
        <v>0</v>
      </c>
      <c r="H140" s="91">
        <f ca="1">IF(RTD("tos.rtd",,$A$2,"."&amp;H$135&amp;H$1&amp;"C"&amp;$A140)="N/A",0,RTD("tos.rtd",,$A$2,"."&amp;H$135&amp;H$1&amp;"C"&amp;$A140))-IF(RTD("tos.rtd",,$A$2,"."&amp;H$135&amp;H$1&amp;"P"&amp;$A140)="N/A",0,RTD("tos.rtd",,$A$2,"."&amp;H$135&amp;H$1&amp;"P"&amp;$A140))</f>
        <v>0</v>
      </c>
      <c r="I140" s="91">
        <f ca="1">IF(RTD("tos.rtd",,$A$2,"."&amp;I$135&amp;I$1&amp;"C"&amp;$A140)="N/A",0,RTD("tos.rtd",,$A$2,"."&amp;I$135&amp;I$1&amp;"C"&amp;$A140))-IF(RTD("tos.rtd",,$A$2,"."&amp;I$135&amp;I$1&amp;"P"&amp;$A140)="N/A",0,RTD("tos.rtd",,$A$2,"."&amp;I$135&amp;I$1&amp;"P"&amp;$A140))</f>
        <v>-1</v>
      </c>
      <c r="J140" s="91">
        <f ca="1">IF(RTD("tos.rtd",,$A$2,"."&amp;J$135&amp;J$1&amp;"C"&amp;$A140)="N/A",0,RTD("tos.rtd",,$A$2,"."&amp;J$135&amp;J$1&amp;"C"&amp;$A140))-IF(RTD("tos.rtd",,$A$2,"."&amp;J$135&amp;J$1&amp;"P"&amp;$A140)="N/A",0,RTD("tos.rtd",,$A$2,"."&amp;J$135&amp;J$1&amp;"P"&amp;$A140))</f>
        <v>0</v>
      </c>
      <c r="K140" s="91">
        <f ca="1">IF(RTD("tos.rtd",,$A$2,"."&amp;K$135&amp;K$1&amp;"C"&amp;$A140)="N/A",0,RTD("tos.rtd",,$A$2,"."&amp;K$135&amp;K$1&amp;"C"&amp;$A140))-IF(RTD("tos.rtd",,$A$2,"."&amp;K$135&amp;K$1&amp;"P"&amp;$A140)="N/A",0,RTD("tos.rtd",,$A$2,"."&amp;K$135&amp;K$1&amp;"P"&amp;$A140))</f>
        <v>0</v>
      </c>
      <c r="L140" s="91">
        <f ca="1">IF(RTD("tos.rtd",,$A$2,"."&amp;L$135&amp;L$1&amp;"C"&amp;$A140)="N/A",0,RTD("tos.rtd",,$A$2,"."&amp;L$135&amp;L$1&amp;"C"&amp;$A140))-IF(RTD("tos.rtd",,$A$2,"."&amp;L$135&amp;L$1&amp;"P"&amp;$A140)="N/A",0,RTD("tos.rtd",,$A$2,"."&amp;L$135&amp;L$1&amp;"P"&amp;$A140))</f>
        <v>39</v>
      </c>
      <c r="M140" s="91">
        <f ca="1">IF(RTD("tos.rtd",,$A$2,"."&amp;M$135&amp;M$1&amp;"C"&amp;$A140)="N/A",0,RTD("tos.rtd",,$A$2,"."&amp;M$135&amp;M$1&amp;"C"&amp;$A140))-IF(RTD("tos.rtd",,$A$2,"."&amp;M$135&amp;M$1&amp;"P"&amp;$A140)="N/A",0,RTD("tos.rtd",,$A$2,"."&amp;M$135&amp;M$1&amp;"P"&amp;$A140))</f>
        <v>7</v>
      </c>
      <c r="N140" s="91">
        <f ca="1">IF(RTD("tos.rtd",,$A$2,"."&amp;N$135&amp;N$1&amp;"C"&amp;$A140)="N/A",0,RTD("tos.rtd",,$A$2,"."&amp;N$135&amp;N$1&amp;"C"&amp;$A140))-IF(RTD("tos.rtd",,$A$2,"."&amp;N$135&amp;N$1&amp;"P"&amp;$A140)="N/A",0,RTD("tos.rtd",,$A$2,"."&amp;N$135&amp;N$1&amp;"P"&amp;$A140))</f>
        <v>0</v>
      </c>
      <c r="O140" s="91">
        <f ca="1">IF(RTD("tos.rtd",,$A$2,"."&amp;O$135&amp;O$1&amp;"C"&amp;$A140)="N/A",0,RTD("tos.rtd",,$A$2,"."&amp;O$135&amp;O$1&amp;"C"&amp;$A140))-IF(RTD("tos.rtd",,$A$2,"."&amp;O$135&amp;O$1&amp;"P"&amp;$A140)="N/A",0,RTD("tos.rtd",,$A$2,"."&amp;O$135&amp;O$1&amp;"P"&amp;$A140))</f>
        <v>1</v>
      </c>
      <c r="P140" s="91">
        <f ca="1">IF(RTD("tos.rtd",,$A$2,"."&amp;P$135&amp;P$1&amp;"C"&amp;$A140)="N/A",0,RTD("tos.rtd",,$A$2,"."&amp;P$135&amp;P$1&amp;"C"&amp;$A140))-IF(RTD("tos.rtd",,$A$2,"."&amp;P$135&amp;P$1&amp;"P"&amp;$A140)="N/A",0,RTD("tos.rtd",,$A$2,"."&amp;P$135&amp;P$1&amp;"P"&amp;$A140))</f>
        <v>0</v>
      </c>
      <c r="Q140" s="91">
        <f ca="1">IF(RTD("tos.rtd",,$A$2,"."&amp;Q$135&amp;Q$1&amp;"C"&amp;$A140)="N/A",0,RTD("tos.rtd",,$A$2,"."&amp;Q$135&amp;Q$1&amp;"C"&amp;$A140))-IF(RTD("tos.rtd",,$A$2,"."&amp;Q$135&amp;Q$1&amp;"P"&amp;$A140)="N/A",0,RTD("tos.rtd",,$A$2,"."&amp;Q$135&amp;Q$1&amp;"P"&amp;$A140))</f>
        <v>4</v>
      </c>
      <c r="R140" s="91">
        <f ca="1">IF(RTD("tos.rtd",,$A$2,"."&amp;R$135&amp;R$1&amp;"C"&amp;$A140)="N/A",0,RTD("tos.rtd",,$A$2,"."&amp;R$135&amp;R$1&amp;"C"&amp;$A140))-IF(RTD("tos.rtd",,$A$2,"."&amp;R$135&amp;R$1&amp;"P"&amp;$A140)="N/A",0,RTD("tos.rtd",,$A$2,"."&amp;R$135&amp;R$1&amp;"P"&amp;$A140))</f>
        <v>0</v>
      </c>
      <c r="S140" s="91">
        <f ca="1">IF(RTD("tos.rtd",,$A$2,"."&amp;S$135&amp;S$1&amp;"C"&amp;$A140)="N/A",0,RTD("tos.rtd",,$A$2,"."&amp;S$135&amp;S$1&amp;"C"&amp;$A140))-IF(RTD("tos.rtd",,$A$2,"."&amp;S$135&amp;S$1&amp;"P"&amp;$A140)="N/A",0,RTD("tos.rtd",,$A$2,"."&amp;S$135&amp;S$1&amp;"P"&amp;$A140))</f>
        <v>-1</v>
      </c>
      <c r="T140" s="91">
        <f ca="1">IF(RTD("tos.rtd",,$A$2,"."&amp;T$135&amp;T$1&amp;"C"&amp;$A140)="N/A",0,RTD("tos.rtd",,$A$2,"."&amp;T$135&amp;T$1&amp;"C"&amp;$A140))-IF(RTD("tos.rtd",,$A$2,"."&amp;T$135&amp;T$1&amp;"P"&amp;$A140)="N/A",0,RTD("tos.rtd",,$A$2,"."&amp;T$135&amp;T$1&amp;"P"&amp;$A140))</f>
        <v>0</v>
      </c>
      <c r="U140" s="91">
        <f ca="1">IF(RTD("tos.rtd",,$A$2,"."&amp;U$135&amp;U$1&amp;"C"&amp;$A140)="N/A",0,RTD("tos.rtd",,$A$2,"."&amp;U$135&amp;U$1&amp;"C"&amp;$A140))-IF(RTD("tos.rtd",,$A$2,"."&amp;U$135&amp;U$1&amp;"P"&amp;$A140)="N/A",0,RTD("tos.rtd",,$A$2,"."&amp;U$135&amp;U$1&amp;"P"&amp;$A140))</f>
        <v>0</v>
      </c>
      <c r="V140" s="91">
        <f ca="1">IF(RTD("tos.rtd",,$A$2,"."&amp;V$135&amp;V$1&amp;"C"&amp;$A140)="N/A",0,RTD("tos.rtd",,$A$2,"."&amp;V$135&amp;V$1&amp;"C"&amp;$A140))-IF(RTD("tos.rtd",,$A$2,"."&amp;V$135&amp;V$1&amp;"P"&amp;$A140)="N/A",0,RTD("tos.rtd",,$A$2,"."&amp;V$135&amp;V$1&amp;"P"&amp;$A140))</f>
        <v>0</v>
      </c>
      <c r="W140" s="91">
        <f ca="1">IF(RTD("tos.rtd",,$A$2,"."&amp;W$135&amp;W$1&amp;"C"&amp;$A140)="N/A",0,RTD("tos.rtd",,$A$2,"."&amp;W$135&amp;W$1&amp;"C"&amp;$A140))-IF(RTD("tos.rtd",,$A$2,"."&amp;W$135&amp;W$1&amp;"P"&amp;$A140)="N/A",0,RTD("tos.rtd",,$A$2,"."&amp;W$135&amp;W$1&amp;"P"&amp;$A140))</f>
        <v>-4</v>
      </c>
      <c r="X140" s="91">
        <f ca="1">IF(RTD("tos.rtd",,$A$2,"."&amp;X$135&amp;X$1&amp;"C"&amp;$A140)="N/A",0,RTD("tos.rtd",,$A$2,"."&amp;X$135&amp;X$1&amp;"C"&amp;$A140))-IF(RTD("tos.rtd",,$A$2,"."&amp;X$135&amp;X$1&amp;"P"&amp;$A140)="N/A",0,RTD("tos.rtd",,$A$2,"."&amp;X$135&amp;X$1&amp;"P"&amp;$A140))</f>
        <v>0</v>
      </c>
      <c r="Y140" s="98">
        <f t="shared" ca="1" si="13"/>
        <v>45</v>
      </c>
      <c r="Z140" s="91"/>
      <c r="AA140" s="91"/>
    </row>
    <row r="141" spans="1:27" x14ac:dyDescent="0.25">
      <c r="A141" s="93">
        <f>+Hoja1!A140</f>
        <v>21275</v>
      </c>
      <c r="B141" s="91">
        <f ca="1">IF(RTD("tos.rtd",,$A$2,"."&amp;B$135&amp;B$1&amp;"C"&amp;$A141)="N/A",0,RTD("tos.rtd",,$A$2,"."&amp;B$135&amp;B$1&amp;"C"&amp;$A141))-IF(RTD("tos.rtd",,$A$2,"."&amp;B$135&amp;B$1&amp;"P"&amp;$A141)="N/A",0,RTD("tos.rtd",,$A$2,"."&amp;B$135&amp;B$1&amp;"P"&amp;$A141))</f>
        <v>0</v>
      </c>
      <c r="C141" s="91">
        <f ca="1">IF(RTD("tos.rtd",,$A$2,"."&amp;C$135&amp;C$1&amp;"C"&amp;$A141)="N/A",0,RTD("tos.rtd",,$A$2,"."&amp;C$135&amp;C$1&amp;"C"&amp;$A141))-IF(RTD("tos.rtd",,$A$2,"."&amp;C$135&amp;C$1&amp;"P"&amp;$A141)="N/A",0,RTD("tos.rtd",,$A$2,"."&amp;C$135&amp;C$1&amp;"P"&amp;$A141))</f>
        <v>0</v>
      </c>
      <c r="D141" s="91">
        <f ca="1">IF(RTD("tos.rtd",,$A$2,"."&amp;D$135&amp;D$1&amp;"C"&amp;$A141)="N/A",0,RTD("tos.rtd",,$A$2,"."&amp;D$135&amp;D$1&amp;"C"&amp;$A141))-IF(RTD("tos.rtd",,$A$2,"."&amp;D$135&amp;D$1&amp;"P"&amp;$A141)="N/A",0,RTD("tos.rtd",,$A$2,"."&amp;D$135&amp;D$1&amp;"P"&amp;$A141))</f>
        <v>0</v>
      </c>
      <c r="E141" s="91">
        <f ca="1">IF(RTD("tos.rtd",,$A$2,"."&amp;E$135&amp;E$1&amp;"C"&amp;$A141)="N/A",0,RTD("tos.rtd",,$A$2,"."&amp;E$135&amp;E$1&amp;"C"&amp;$A141))-IF(RTD("tos.rtd",,$A$2,"."&amp;E$135&amp;E$1&amp;"P"&amp;$A141)="N/A",0,RTD("tos.rtd",,$A$2,"."&amp;E$135&amp;E$1&amp;"P"&amp;$A141))</f>
        <v>0</v>
      </c>
      <c r="F141" s="91">
        <f ca="1">IF(RTD("tos.rtd",,$A$2,"."&amp;F$135&amp;F$1&amp;"C"&amp;$A141)="N/A",0,RTD("tos.rtd",,$A$2,"."&amp;F$135&amp;F$1&amp;"C"&amp;$A141))-IF(RTD("tos.rtd",,$A$2,"."&amp;F$135&amp;F$1&amp;"P"&amp;$A141)="N/A",0,RTD("tos.rtd",,$A$2,"."&amp;F$135&amp;F$1&amp;"P"&amp;$A141))</f>
        <v>0</v>
      </c>
      <c r="G141" s="91">
        <f ca="1">IF(RTD("tos.rtd",,$A$2,"."&amp;G$135&amp;G$1&amp;"C"&amp;$A141)="N/A",0,RTD("tos.rtd",,$A$2,"."&amp;G$135&amp;G$1&amp;"C"&amp;$A141))-IF(RTD("tos.rtd",,$A$2,"."&amp;G$135&amp;G$1&amp;"P"&amp;$A141)="N/A",0,RTD("tos.rtd",,$A$2,"."&amp;G$135&amp;G$1&amp;"P"&amp;$A141))</f>
        <v>0</v>
      </c>
      <c r="H141" s="91">
        <f ca="1">IF(RTD("tos.rtd",,$A$2,"."&amp;H$135&amp;H$1&amp;"C"&amp;$A141)="N/A",0,RTD("tos.rtd",,$A$2,"."&amp;H$135&amp;H$1&amp;"C"&amp;$A141))-IF(RTD("tos.rtd",,$A$2,"."&amp;H$135&amp;H$1&amp;"P"&amp;$A141)="N/A",0,RTD("tos.rtd",,$A$2,"."&amp;H$135&amp;H$1&amp;"P"&amp;$A141))</f>
        <v>0</v>
      </c>
      <c r="I141" s="91">
        <f ca="1">IF(RTD("tos.rtd",,$A$2,"."&amp;I$135&amp;I$1&amp;"C"&amp;$A141)="N/A",0,RTD("tos.rtd",,$A$2,"."&amp;I$135&amp;I$1&amp;"C"&amp;$A141))-IF(RTD("tos.rtd",,$A$2,"."&amp;I$135&amp;I$1&amp;"P"&amp;$A141)="N/A",0,RTD("tos.rtd",,$A$2,"."&amp;I$135&amp;I$1&amp;"P"&amp;$A141))</f>
        <v>0</v>
      </c>
      <c r="J141" s="91">
        <f ca="1">IF(RTD("tos.rtd",,$A$2,"."&amp;J$135&amp;J$1&amp;"C"&amp;$A141)="N/A",0,RTD("tos.rtd",,$A$2,"."&amp;J$135&amp;J$1&amp;"C"&amp;$A141))-IF(RTD("tos.rtd",,$A$2,"."&amp;J$135&amp;J$1&amp;"P"&amp;$A141)="N/A",0,RTD("tos.rtd",,$A$2,"."&amp;J$135&amp;J$1&amp;"P"&amp;$A141))</f>
        <v>0</v>
      </c>
      <c r="K141" s="91">
        <f ca="1">IF(RTD("tos.rtd",,$A$2,"."&amp;K$135&amp;K$1&amp;"C"&amp;$A141)="N/A",0,RTD("tos.rtd",,$A$2,"."&amp;K$135&amp;K$1&amp;"C"&amp;$A141))-IF(RTD("tos.rtd",,$A$2,"."&amp;K$135&amp;K$1&amp;"P"&amp;$A141)="N/A",0,RTD("tos.rtd",,$A$2,"."&amp;K$135&amp;K$1&amp;"P"&amp;$A141))</f>
        <v>0</v>
      </c>
      <c r="L141" s="91">
        <f ca="1">IF(RTD("tos.rtd",,$A$2,"."&amp;L$135&amp;L$1&amp;"C"&amp;$A141)="N/A",0,RTD("tos.rtd",,$A$2,"."&amp;L$135&amp;L$1&amp;"C"&amp;$A141))-IF(RTD("tos.rtd",,$A$2,"."&amp;L$135&amp;L$1&amp;"P"&amp;$A141)="N/A",0,RTD("tos.rtd",,$A$2,"."&amp;L$135&amp;L$1&amp;"P"&amp;$A141))</f>
        <v>0</v>
      </c>
      <c r="M141" s="91">
        <f ca="1">IF(RTD("tos.rtd",,$A$2,"."&amp;M$135&amp;M$1&amp;"C"&amp;$A141)="N/A",0,RTD("tos.rtd",,$A$2,"."&amp;M$135&amp;M$1&amp;"C"&amp;$A141))-IF(RTD("tos.rtd",,$A$2,"."&amp;M$135&amp;M$1&amp;"P"&amp;$A141)="N/A",0,RTD("tos.rtd",,$A$2,"."&amp;M$135&amp;M$1&amp;"P"&amp;$A141))</f>
        <v>0</v>
      </c>
      <c r="N141" s="91">
        <f ca="1">IF(RTD("tos.rtd",,$A$2,"."&amp;N$135&amp;N$1&amp;"C"&amp;$A141)="N/A",0,RTD("tos.rtd",,$A$2,"."&amp;N$135&amp;N$1&amp;"C"&amp;$A141))-IF(RTD("tos.rtd",,$A$2,"."&amp;N$135&amp;N$1&amp;"P"&amp;$A141)="N/A",0,RTD("tos.rtd",,$A$2,"."&amp;N$135&amp;N$1&amp;"P"&amp;$A141))</f>
        <v>0</v>
      </c>
      <c r="O141" s="91">
        <f ca="1">IF(RTD("tos.rtd",,$A$2,"."&amp;O$135&amp;O$1&amp;"C"&amp;$A141)="N/A",0,RTD("tos.rtd",,$A$2,"."&amp;O$135&amp;O$1&amp;"C"&amp;$A141))-IF(RTD("tos.rtd",,$A$2,"."&amp;O$135&amp;O$1&amp;"P"&amp;$A141)="N/A",0,RTD("tos.rtd",,$A$2,"."&amp;O$135&amp;O$1&amp;"P"&amp;$A141))</f>
        <v>0</v>
      </c>
      <c r="P141" s="91">
        <f ca="1">IF(RTD("tos.rtd",,$A$2,"."&amp;P$135&amp;P$1&amp;"C"&amp;$A141)="N/A",0,RTD("tos.rtd",,$A$2,"."&amp;P$135&amp;P$1&amp;"C"&amp;$A141))-IF(RTD("tos.rtd",,$A$2,"."&amp;P$135&amp;P$1&amp;"P"&amp;$A141)="N/A",0,RTD("tos.rtd",,$A$2,"."&amp;P$135&amp;P$1&amp;"P"&amp;$A141))</f>
        <v>0</v>
      </c>
      <c r="Q141" s="91">
        <f ca="1">IF(RTD("tos.rtd",,$A$2,"."&amp;Q$135&amp;Q$1&amp;"C"&amp;$A141)="N/A",0,RTD("tos.rtd",,$A$2,"."&amp;Q$135&amp;Q$1&amp;"C"&amp;$A141))-IF(RTD("tos.rtd",,$A$2,"."&amp;Q$135&amp;Q$1&amp;"P"&amp;$A141)="N/A",0,RTD("tos.rtd",,$A$2,"."&amp;Q$135&amp;Q$1&amp;"P"&amp;$A141))</f>
        <v>0</v>
      </c>
      <c r="R141" s="91">
        <f ca="1">IF(RTD("tos.rtd",,$A$2,"."&amp;R$135&amp;R$1&amp;"C"&amp;$A141)="N/A",0,RTD("tos.rtd",,$A$2,"."&amp;R$135&amp;R$1&amp;"C"&amp;$A141))-IF(RTD("tos.rtd",,$A$2,"."&amp;R$135&amp;R$1&amp;"P"&amp;$A141)="N/A",0,RTD("tos.rtd",,$A$2,"."&amp;R$135&amp;R$1&amp;"P"&amp;$A141))</f>
        <v>0</v>
      </c>
      <c r="S141" s="91">
        <f ca="1">IF(RTD("tos.rtd",,$A$2,"."&amp;S$135&amp;S$1&amp;"C"&amp;$A141)="N/A",0,RTD("tos.rtd",,$A$2,"."&amp;S$135&amp;S$1&amp;"C"&amp;$A141))-IF(RTD("tos.rtd",,$A$2,"."&amp;S$135&amp;S$1&amp;"P"&amp;$A141)="N/A",0,RTD("tos.rtd",,$A$2,"."&amp;S$135&amp;S$1&amp;"P"&amp;$A141))</f>
        <v>0</v>
      </c>
      <c r="T141" s="91">
        <f ca="1">IF(RTD("tos.rtd",,$A$2,"."&amp;T$135&amp;T$1&amp;"C"&amp;$A141)="N/A",0,RTD("tos.rtd",,$A$2,"."&amp;T$135&amp;T$1&amp;"C"&amp;$A141))-IF(RTD("tos.rtd",,$A$2,"."&amp;T$135&amp;T$1&amp;"P"&amp;$A141)="N/A",0,RTD("tos.rtd",,$A$2,"."&amp;T$135&amp;T$1&amp;"P"&amp;$A141))</f>
        <v>0</v>
      </c>
      <c r="U141" s="91">
        <f ca="1">IF(RTD("tos.rtd",,$A$2,"."&amp;U$135&amp;U$1&amp;"C"&amp;$A141)="N/A",0,RTD("tos.rtd",,$A$2,"."&amp;U$135&amp;U$1&amp;"C"&amp;$A141))-IF(RTD("tos.rtd",,$A$2,"."&amp;U$135&amp;U$1&amp;"P"&amp;$A141)="N/A",0,RTD("tos.rtd",,$A$2,"."&amp;U$135&amp;U$1&amp;"P"&amp;$A141))</f>
        <v>0</v>
      </c>
      <c r="V141" s="91">
        <f ca="1">IF(RTD("tos.rtd",,$A$2,"."&amp;V$135&amp;V$1&amp;"C"&amp;$A141)="N/A",0,RTD("tos.rtd",,$A$2,"."&amp;V$135&amp;V$1&amp;"C"&amp;$A141))-IF(RTD("tos.rtd",,$A$2,"."&amp;V$135&amp;V$1&amp;"P"&amp;$A141)="N/A",0,RTD("tos.rtd",,$A$2,"."&amp;V$135&amp;V$1&amp;"P"&amp;$A141))</f>
        <v>0</v>
      </c>
      <c r="W141" s="91">
        <f ca="1">IF(RTD("tos.rtd",,$A$2,"."&amp;W$135&amp;W$1&amp;"C"&amp;$A141)="N/A",0,RTD("tos.rtd",,$A$2,"."&amp;W$135&amp;W$1&amp;"C"&amp;$A141))-IF(RTD("tos.rtd",,$A$2,"."&amp;W$135&amp;W$1&amp;"P"&amp;$A141)="N/A",0,RTD("tos.rtd",,$A$2,"."&amp;W$135&amp;W$1&amp;"P"&amp;$A141))</f>
        <v>0</v>
      </c>
      <c r="X141" s="91">
        <f ca="1">IF(RTD("tos.rtd",,$A$2,"."&amp;X$135&amp;X$1&amp;"C"&amp;$A141)="N/A",0,RTD("tos.rtd",,$A$2,"."&amp;X$135&amp;X$1&amp;"C"&amp;$A141))-IF(RTD("tos.rtd",,$A$2,"."&amp;X$135&amp;X$1&amp;"P"&amp;$A141)="N/A",0,RTD("tos.rtd",,$A$2,"."&amp;X$135&amp;X$1&amp;"P"&amp;$A141))</f>
        <v>0</v>
      </c>
      <c r="Y141" s="98">
        <f t="shared" ca="1" si="13"/>
        <v>0</v>
      </c>
      <c r="Z141" s="91"/>
      <c r="AA141" s="91"/>
    </row>
    <row r="142" spans="1:27" x14ac:dyDescent="0.25">
      <c r="A142" s="93">
        <f>+Hoja1!A141</f>
        <v>21250</v>
      </c>
      <c r="B142" s="91">
        <f ca="1">IF(RTD("tos.rtd",,$A$2,"."&amp;B$135&amp;B$1&amp;"C"&amp;$A142)="N/A",0,RTD("tos.rtd",,$A$2,"."&amp;B$135&amp;B$1&amp;"C"&amp;$A142))-IF(RTD("tos.rtd",,$A$2,"."&amp;B$135&amp;B$1&amp;"P"&amp;$A142)="N/A",0,RTD("tos.rtd",,$A$2,"."&amp;B$135&amp;B$1&amp;"P"&amp;$A142))</f>
        <v>0</v>
      </c>
      <c r="C142" s="91">
        <f ca="1">IF(RTD("tos.rtd",,$A$2,"."&amp;C$135&amp;C$1&amp;"C"&amp;$A142)="N/A",0,RTD("tos.rtd",,$A$2,"."&amp;C$135&amp;C$1&amp;"C"&amp;$A142))-IF(RTD("tos.rtd",,$A$2,"."&amp;C$135&amp;C$1&amp;"P"&amp;$A142)="N/A",0,RTD("tos.rtd",,$A$2,"."&amp;C$135&amp;C$1&amp;"P"&amp;$A142))</f>
        <v>0</v>
      </c>
      <c r="D142" s="91">
        <f ca="1">IF(RTD("tos.rtd",,$A$2,"."&amp;D$135&amp;D$1&amp;"C"&amp;$A142)="N/A",0,RTD("tos.rtd",,$A$2,"."&amp;D$135&amp;D$1&amp;"C"&amp;$A142))-IF(RTD("tos.rtd",,$A$2,"."&amp;D$135&amp;D$1&amp;"P"&amp;$A142)="N/A",0,RTD("tos.rtd",,$A$2,"."&amp;D$135&amp;D$1&amp;"P"&amp;$A142))</f>
        <v>0</v>
      </c>
      <c r="E142" s="91">
        <f ca="1">IF(RTD("tos.rtd",,$A$2,"."&amp;E$135&amp;E$1&amp;"C"&amp;$A142)="N/A",0,RTD("tos.rtd",,$A$2,"."&amp;E$135&amp;E$1&amp;"C"&amp;$A142))-IF(RTD("tos.rtd",,$A$2,"."&amp;E$135&amp;E$1&amp;"P"&amp;$A142)="N/A",0,RTD("tos.rtd",,$A$2,"."&amp;E$135&amp;E$1&amp;"P"&amp;$A142))</f>
        <v>0</v>
      </c>
      <c r="F142" s="91">
        <f ca="1">IF(RTD("tos.rtd",,$A$2,"."&amp;F$135&amp;F$1&amp;"C"&amp;$A142)="N/A",0,RTD("tos.rtd",,$A$2,"."&amp;F$135&amp;F$1&amp;"C"&amp;$A142))-IF(RTD("tos.rtd",,$A$2,"."&amp;F$135&amp;F$1&amp;"P"&amp;$A142)="N/A",0,RTD("tos.rtd",,$A$2,"."&amp;F$135&amp;F$1&amp;"P"&amp;$A142))</f>
        <v>0</v>
      </c>
      <c r="G142" s="91">
        <f ca="1">IF(RTD("tos.rtd",,$A$2,"."&amp;G$135&amp;G$1&amp;"C"&amp;$A142)="N/A",0,RTD("tos.rtd",,$A$2,"."&amp;G$135&amp;G$1&amp;"C"&amp;$A142))-IF(RTD("tos.rtd",,$A$2,"."&amp;G$135&amp;G$1&amp;"P"&amp;$A142)="N/A",0,RTD("tos.rtd",,$A$2,"."&amp;G$135&amp;G$1&amp;"P"&amp;$A142))</f>
        <v>0</v>
      </c>
      <c r="H142" s="91">
        <f ca="1">IF(RTD("tos.rtd",,$A$2,"."&amp;H$135&amp;H$1&amp;"C"&amp;$A142)="N/A",0,RTD("tos.rtd",,$A$2,"."&amp;H$135&amp;H$1&amp;"C"&amp;$A142))-IF(RTD("tos.rtd",,$A$2,"."&amp;H$135&amp;H$1&amp;"P"&amp;$A142)="N/A",0,RTD("tos.rtd",,$A$2,"."&amp;H$135&amp;H$1&amp;"P"&amp;$A142))</f>
        <v>0</v>
      </c>
      <c r="I142" s="91">
        <f ca="1">IF(RTD("tos.rtd",,$A$2,"."&amp;I$135&amp;I$1&amp;"C"&amp;$A142)="N/A",0,RTD("tos.rtd",,$A$2,"."&amp;I$135&amp;I$1&amp;"C"&amp;$A142))-IF(RTD("tos.rtd",,$A$2,"."&amp;I$135&amp;I$1&amp;"P"&amp;$A142)="N/A",0,RTD("tos.rtd",,$A$2,"."&amp;I$135&amp;I$1&amp;"P"&amp;$A142))</f>
        <v>2</v>
      </c>
      <c r="J142" s="91">
        <f ca="1">IF(RTD("tos.rtd",,$A$2,"."&amp;J$135&amp;J$1&amp;"C"&amp;$A142)="N/A",0,RTD("tos.rtd",,$A$2,"."&amp;J$135&amp;J$1&amp;"C"&amp;$A142))-IF(RTD("tos.rtd",,$A$2,"."&amp;J$135&amp;J$1&amp;"P"&amp;$A142)="N/A",0,RTD("tos.rtd",,$A$2,"."&amp;J$135&amp;J$1&amp;"P"&amp;$A142))</f>
        <v>0</v>
      </c>
      <c r="K142" s="91">
        <f ca="1">IF(RTD("tos.rtd",,$A$2,"."&amp;K$135&amp;K$1&amp;"C"&amp;$A142)="N/A",0,RTD("tos.rtd",,$A$2,"."&amp;K$135&amp;K$1&amp;"C"&amp;$A142))-IF(RTD("tos.rtd",,$A$2,"."&amp;K$135&amp;K$1&amp;"P"&amp;$A142)="N/A",0,RTD("tos.rtd",,$A$2,"."&amp;K$135&amp;K$1&amp;"P"&amp;$A142))</f>
        <v>0</v>
      </c>
      <c r="L142" s="91">
        <f ca="1">IF(RTD("tos.rtd",,$A$2,"."&amp;L$135&amp;L$1&amp;"C"&amp;$A142)="N/A",0,RTD("tos.rtd",,$A$2,"."&amp;L$135&amp;L$1&amp;"C"&amp;$A142))-IF(RTD("tos.rtd",,$A$2,"."&amp;L$135&amp;L$1&amp;"P"&amp;$A142)="N/A",0,RTD("tos.rtd",,$A$2,"."&amp;L$135&amp;L$1&amp;"P"&amp;$A142))</f>
        <v>0</v>
      </c>
      <c r="M142" s="91">
        <f ca="1">IF(RTD("tos.rtd",,$A$2,"."&amp;M$135&amp;M$1&amp;"C"&amp;$A142)="N/A",0,RTD("tos.rtd",,$A$2,"."&amp;M$135&amp;M$1&amp;"C"&amp;$A142))-IF(RTD("tos.rtd",,$A$2,"."&amp;M$135&amp;M$1&amp;"P"&amp;$A142)="N/A",0,RTD("tos.rtd",,$A$2,"."&amp;M$135&amp;M$1&amp;"P"&amp;$A142))</f>
        <v>0</v>
      </c>
      <c r="N142" s="91">
        <f ca="1">IF(RTD("tos.rtd",,$A$2,"."&amp;N$135&amp;N$1&amp;"C"&amp;$A142)="N/A",0,RTD("tos.rtd",,$A$2,"."&amp;N$135&amp;N$1&amp;"C"&amp;$A142))-IF(RTD("tos.rtd",,$A$2,"."&amp;N$135&amp;N$1&amp;"P"&amp;$A142)="N/A",0,RTD("tos.rtd",,$A$2,"."&amp;N$135&amp;N$1&amp;"P"&amp;$A142))</f>
        <v>0</v>
      </c>
      <c r="O142" s="91">
        <f ca="1">IF(RTD("tos.rtd",,$A$2,"."&amp;O$135&amp;O$1&amp;"C"&amp;$A142)="N/A",0,RTD("tos.rtd",,$A$2,"."&amp;O$135&amp;O$1&amp;"C"&amp;$A142))-IF(RTD("tos.rtd",,$A$2,"."&amp;O$135&amp;O$1&amp;"P"&amp;$A142)="N/A",0,RTD("tos.rtd",,$A$2,"."&amp;O$135&amp;O$1&amp;"P"&amp;$A142))</f>
        <v>0</v>
      </c>
      <c r="P142" s="91">
        <f ca="1">IF(RTD("tos.rtd",,$A$2,"."&amp;P$135&amp;P$1&amp;"C"&amp;$A142)="N/A",0,RTD("tos.rtd",,$A$2,"."&amp;P$135&amp;P$1&amp;"C"&amp;$A142))-IF(RTD("tos.rtd",,$A$2,"."&amp;P$135&amp;P$1&amp;"P"&amp;$A142)="N/A",0,RTD("tos.rtd",,$A$2,"."&amp;P$135&amp;P$1&amp;"P"&amp;$A142))</f>
        <v>0</v>
      </c>
      <c r="Q142" s="91">
        <f ca="1">IF(RTD("tos.rtd",,$A$2,"."&amp;Q$135&amp;Q$1&amp;"C"&amp;$A142)="N/A",0,RTD("tos.rtd",,$A$2,"."&amp;Q$135&amp;Q$1&amp;"C"&amp;$A142))-IF(RTD("tos.rtd",,$A$2,"."&amp;Q$135&amp;Q$1&amp;"P"&amp;$A142)="N/A",0,RTD("tos.rtd",,$A$2,"."&amp;Q$135&amp;Q$1&amp;"P"&amp;$A142))</f>
        <v>0</v>
      </c>
      <c r="R142" s="91">
        <f ca="1">IF(RTD("tos.rtd",,$A$2,"."&amp;R$135&amp;R$1&amp;"C"&amp;$A142)="N/A",0,RTD("tos.rtd",,$A$2,"."&amp;R$135&amp;R$1&amp;"C"&amp;$A142))-IF(RTD("tos.rtd",,$A$2,"."&amp;R$135&amp;R$1&amp;"P"&amp;$A142)="N/A",0,RTD("tos.rtd",,$A$2,"."&amp;R$135&amp;R$1&amp;"P"&amp;$A142))</f>
        <v>0</v>
      </c>
      <c r="S142" s="91">
        <f ca="1">IF(RTD("tos.rtd",,$A$2,"."&amp;S$135&amp;S$1&amp;"C"&amp;$A142)="N/A",0,RTD("tos.rtd",,$A$2,"."&amp;S$135&amp;S$1&amp;"C"&amp;$A142))-IF(RTD("tos.rtd",,$A$2,"."&amp;S$135&amp;S$1&amp;"P"&amp;$A142)="N/A",0,RTD("tos.rtd",,$A$2,"."&amp;S$135&amp;S$1&amp;"P"&amp;$A142))</f>
        <v>0</v>
      </c>
      <c r="T142" s="91">
        <f ca="1">IF(RTD("tos.rtd",,$A$2,"."&amp;T$135&amp;T$1&amp;"C"&amp;$A142)="N/A",0,RTD("tos.rtd",,$A$2,"."&amp;T$135&amp;T$1&amp;"C"&amp;$A142))-IF(RTD("tos.rtd",,$A$2,"."&amp;T$135&amp;T$1&amp;"P"&amp;$A142)="N/A",0,RTD("tos.rtd",,$A$2,"."&amp;T$135&amp;T$1&amp;"P"&amp;$A142))</f>
        <v>0</v>
      </c>
      <c r="U142" s="91">
        <f ca="1">IF(RTD("tos.rtd",,$A$2,"."&amp;U$135&amp;U$1&amp;"C"&amp;$A142)="N/A",0,RTD("tos.rtd",,$A$2,"."&amp;U$135&amp;U$1&amp;"C"&amp;$A142))-IF(RTD("tos.rtd",,$A$2,"."&amp;U$135&amp;U$1&amp;"P"&amp;$A142)="N/A",0,RTD("tos.rtd",,$A$2,"."&amp;U$135&amp;U$1&amp;"P"&amp;$A142))</f>
        <v>0</v>
      </c>
      <c r="V142" s="91">
        <f ca="1">IF(RTD("tos.rtd",,$A$2,"."&amp;V$135&amp;V$1&amp;"C"&amp;$A142)="N/A",0,RTD("tos.rtd",,$A$2,"."&amp;V$135&amp;V$1&amp;"C"&amp;$A142))-IF(RTD("tos.rtd",,$A$2,"."&amp;V$135&amp;V$1&amp;"P"&amp;$A142)="N/A",0,RTD("tos.rtd",,$A$2,"."&amp;V$135&amp;V$1&amp;"P"&amp;$A142))</f>
        <v>0</v>
      </c>
      <c r="W142" s="91">
        <f ca="1">IF(RTD("tos.rtd",,$A$2,"."&amp;W$135&amp;W$1&amp;"C"&amp;$A142)="N/A",0,RTD("tos.rtd",,$A$2,"."&amp;W$135&amp;W$1&amp;"C"&amp;$A142))-IF(RTD("tos.rtd",,$A$2,"."&amp;W$135&amp;W$1&amp;"P"&amp;$A142)="N/A",0,RTD("tos.rtd",,$A$2,"."&amp;W$135&amp;W$1&amp;"P"&amp;$A142))</f>
        <v>0</v>
      </c>
      <c r="X142" s="91">
        <f ca="1">IF(RTD("tos.rtd",,$A$2,"."&amp;X$135&amp;X$1&amp;"C"&amp;$A142)="N/A",0,RTD("tos.rtd",,$A$2,"."&amp;X$135&amp;X$1&amp;"C"&amp;$A142))-IF(RTD("tos.rtd",,$A$2,"."&amp;X$135&amp;X$1&amp;"P"&amp;$A142)="N/A",0,RTD("tos.rtd",,$A$2,"."&amp;X$135&amp;X$1&amp;"P"&amp;$A142))</f>
        <v>0</v>
      </c>
      <c r="Y142" s="98">
        <f t="shared" ca="1" si="13"/>
        <v>2</v>
      </c>
      <c r="Z142" s="91"/>
      <c r="AA142" s="91"/>
    </row>
    <row r="143" spans="1:27" x14ac:dyDescent="0.25">
      <c r="A143" s="93">
        <f>+Hoja1!A142</f>
        <v>21225</v>
      </c>
      <c r="B143" s="91">
        <f ca="1">IF(RTD("tos.rtd",,$A$2,"."&amp;B$135&amp;B$1&amp;"C"&amp;$A143)="N/A",0,RTD("tos.rtd",,$A$2,"."&amp;B$135&amp;B$1&amp;"C"&amp;$A143))-IF(RTD("tos.rtd",,$A$2,"."&amp;B$135&amp;B$1&amp;"P"&amp;$A143)="N/A",0,RTD("tos.rtd",,$A$2,"."&amp;B$135&amp;B$1&amp;"P"&amp;$A143))</f>
        <v>0</v>
      </c>
      <c r="C143" s="91">
        <f ca="1">IF(RTD("tos.rtd",,$A$2,"."&amp;C$135&amp;C$1&amp;"C"&amp;$A143)="N/A",0,RTD("tos.rtd",,$A$2,"."&amp;C$135&amp;C$1&amp;"C"&amp;$A143))-IF(RTD("tos.rtd",,$A$2,"."&amp;C$135&amp;C$1&amp;"P"&amp;$A143)="N/A",0,RTD("tos.rtd",,$A$2,"."&amp;C$135&amp;C$1&amp;"P"&amp;$A143))</f>
        <v>0</v>
      </c>
      <c r="D143" s="91">
        <f ca="1">IF(RTD("tos.rtd",,$A$2,"."&amp;D$135&amp;D$1&amp;"C"&amp;$A143)="N/A",0,RTD("tos.rtd",,$A$2,"."&amp;D$135&amp;D$1&amp;"C"&amp;$A143))-IF(RTD("tos.rtd",,$A$2,"."&amp;D$135&amp;D$1&amp;"P"&amp;$A143)="N/A",0,RTD("tos.rtd",,$A$2,"."&amp;D$135&amp;D$1&amp;"P"&amp;$A143))</f>
        <v>0</v>
      </c>
      <c r="E143" s="91">
        <f ca="1">IF(RTD("tos.rtd",,$A$2,"."&amp;E$135&amp;E$1&amp;"C"&amp;$A143)="N/A",0,RTD("tos.rtd",,$A$2,"."&amp;E$135&amp;E$1&amp;"C"&amp;$A143))-IF(RTD("tos.rtd",,$A$2,"."&amp;E$135&amp;E$1&amp;"P"&amp;$A143)="N/A",0,RTD("tos.rtd",,$A$2,"."&amp;E$135&amp;E$1&amp;"P"&amp;$A143))</f>
        <v>0</v>
      </c>
      <c r="F143" s="91">
        <f ca="1">IF(RTD("tos.rtd",,$A$2,"."&amp;F$135&amp;F$1&amp;"C"&amp;$A143)="N/A",0,RTD("tos.rtd",,$A$2,"."&amp;F$135&amp;F$1&amp;"C"&amp;$A143))-IF(RTD("tos.rtd",,$A$2,"."&amp;F$135&amp;F$1&amp;"P"&amp;$A143)="N/A",0,RTD("tos.rtd",,$A$2,"."&amp;F$135&amp;F$1&amp;"P"&amp;$A143))</f>
        <v>0</v>
      </c>
      <c r="G143" s="91">
        <f ca="1">IF(RTD("tos.rtd",,$A$2,"."&amp;G$135&amp;G$1&amp;"C"&amp;$A143)="N/A",0,RTD("tos.rtd",,$A$2,"."&amp;G$135&amp;G$1&amp;"C"&amp;$A143))-IF(RTD("tos.rtd",,$A$2,"."&amp;G$135&amp;G$1&amp;"P"&amp;$A143)="N/A",0,RTD("tos.rtd",,$A$2,"."&amp;G$135&amp;G$1&amp;"P"&amp;$A143))</f>
        <v>0</v>
      </c>
      <c r="H143" s="91">
        <f ca="1">IF(RTD("tos.rtd",,$A$2,"."&amp;H$135&amp;H$1&amp;"C"&amp;$A143)="N/A",0,RTD("tos.rtd",,$A$2,"."&amp;H$135&amp;H$1&amp;"C"&amp;$A143))-IF(RTD("tos.rtd",,$A$2,"."&amp;H$135&amp;H$1&amp;"P"&amp;$A143)="N/A",0,RTD("tos.rtd",,$A$2,"."&amp;H$135&amp;H$1&amp;"P"&amp;$A143))</f>
        <v>0</v>
      </c>
      <c r="I143" s="91">
        <f ca="1">IF(RTD("tos.rtd",,$A$2,"."&amp;I$135&amp;I$1&amp;"C"&amp;$A143)="N/A",0,RTD("tos.rtd",,$A$2,"."&amp;I$135&amp;I$1&amp;"C"&amp;$A143))-IF(RTD("tos.rtd",,$A$2,"."&amp;I$135&amp;I$1&amp;"P"&amp;$A143)="N/A",0,RTD("tos.rtd",,$A$2,"."&amp;I$135&amp;I$1&amp;"P"&amp;$A143))</f>
        <v>1</v>
      </c>
      <c r="J143" s="91">
        <f ca="1">IF(RTD("tos.rtd",,$A$2,"."&amp;J$135&amp;J$1&amp;"C"&amp;$A143)="N/A",0,RTD("tos.rtd",,$A$2,"."&amp;J$135&amp;J$1&amp;"C"&amp;$A143))-IF(RTD("tos.rtd",,$A$2,"."&amp;J$135&amp;J$1&amp;"P"&amp;$A143)="N/A",0,RTD("tos.rtd",,$A$2,"."&amp;J$135&amp;J$1&amp;"P"&amp;$A143))</f>
        <v>0</v>
      </c>
      <c r="K143" s="91">
        <f ca="1">IF(RTD("tos.rtd",,$A$2,"."&amp;K$135&amp;K$1&amp;"C"&amp;$A143)="N/A",0,RTD("tos.rtd",,$A$2,"."&amp;K$135&amp;K$1&amp;"C"&amp;$A143))-IF(RTD("tos.rtd",,$A$2,"."&amp;K$135&amp;K$1&amp;"P"&amp;$A143)="N/A",0,RTD("tos.rtd",,$A$2,"."&amp;K$135&amp;K$1&amp;"P"&amp;$A143))</f>
        <v>0</v>
      </c>
      <c r="L143" s="91">
        <f ca="1">IF(RTD("tos.rtd",,$A$2,"."&amp;L$135&amp;L$1&amp;"C"&amp;$A143)="N/A",0,RTD("tos.rtd",,$A$2,"."&amp;L$135&amp;L$1&amp;"C"&amp;$A143))-IF(RTD("tos.rtd",,$A$2,"."&amp;L$135&amp;L$1&amp;"P"&amp;$A143)="N/A",0,RTD("tos.rtd",,$A$2,"."&amp;L$135&amp;L$1&amp;"P"&amp;$A143))</f>
        <v>0</v>
      </c>
      <c r="M143" s="91">
        <f ca="1">IF(RTD("tos.rtd",,$A$2,"."&amp;M$135&amp;M$1&amp;"C"&amp;$A143)="N/A",0,RTD("tos.rtd",,$A$2,"."&amp;M$135&amp;M$1&amp;"C"&amp;$A143))-IF(RTD("tos.rtd",,$A$2,"."&amp;M$135&amp;M$1&amp;"P"&amp;$A143)="N/A",0,RTD("tos.rtd",,$A$2,"."&amp;M$135&amp;M$1&amp;"P"&amp;$A143))</f>
        <v>0</v>
      </c>
      <c r="N143" s="91">
        <f ca="1">IF(RTD("tos.rtd",,$A$2,"."&amp;N$135&amp;N$1&amp;"C"&amp;$A143)="N/A",0,RTD("tos.rtd",,$A$2,"."&amp;N$135&amp;N$1&amp;"C"&amp;$A143))-IF(RTD("tos.rtd",,$A$2,"."&amp;N$135&amp;N$1&amp;"P"&amp;$A143)="N/A",0,RTD("tos.rtd",,$A$2,"."&amp;N$135&amp;N$1&amp;"P"&amp;$A143))</f>
        <v>0</v>
      </c>
      <c r="O143" s="91">
        <f ca="1">IF(RTD("tos.rtd",,$A$2,"."&amp;O$135&amp;O$1&amp;"C"&amp;$A143)="N/A",0,RTD("tos.rtd",,$A$2,"."&amp;O$135&amp;O$1&amp;"C"&amp;$A143))-IF(RTD("tos.rtd",,$A$2,"."&amp;O$135&amp;O$1&amp;"P"&amp;$A143)="N/A",0,RTD("tos.rtd",,$A$2,"."&amp;O$135&amp;O$1&amp;"P"&amp;$A143))</f>
        <v>0</v>
      </c>
      <c r="P143" s="91">
        <f ca="1">IF(RTD("tos.rtd",,$A$2,"."&amp;P$135&amp;P$1&amp;"C"&amp;$A143)="N/A",0,RTD("tos.rtd",,$A$2,"."&amp;P$135&amp;P$1&amp;"C"&amp;$A143))-IF(RTD("tos.rtd",,$A$2,"."&amp;P$135&amp;P$1&amp;"P"&amp;$A143)="N/A",0,RTD("tos.rtd",,$A$2,"."&amp;P$135&amp;P$1&amp;"P"&amp;$A143))</f>
        <v>0</v>
      </c>
      <c r="Q143" s="91">
        <f ca="1">IF(RTD("tos.rtd",,$A$2,"."&amp;Q$135&amp;Q$1&amp;"C"&amp;$A143)="N/A",0,RTD("tos.rtd",,$A$2,"."&amp;Q$135&amp;Q$1&amp;"C"&amp;$A143))-IF(RTD("tos.rtd",,$A$2,"."&amp;Q$135&amp;Q$1&amp;"P"&amp;$A143)="N/A",0,RTD("tos.rtd",,$A$2,"."&amp;Q$135&amp;Q$1&amp;"P"&amp;$A143))</f>
        <v>0</v>
      </c>
      <c r="R143" s="91">
        <f ca="1">IF(RTD("tos.rtd",,$A$2,"."&amp;R$135&amp;R$1&amp;"C"&amp;$A143)="N/A",0,RTD("tos.rtd",,$A$2,"."&amp;R$135&amp;R$1&amp;"C"&amp;$A143))-IF(RTD("tos.rtd",,$A$2,"."&amp;R$135&amp;R$1&amp;"P"&amp;$A143)="N/A",0,RTD("tos.rtd",,$A$2,"."&amp;R$135&amp;R$1&amp;"P"&amp;$A143))</f>
        <v>0</v>
      </c>
      <c r="S143" s="91">
        <f ca="1">IF(RTD("tos.rtd",,$A$2,"."&amp;S$135&amp;S$1&amp;"C"&amp;$A143)="N/A",0,RTD("tos.rtd",,$A$2,"."&amp;S$135&amp;S$1&amp;"C"&amp;$A143))-IF(RTD("tos.rtd",,$A$2,"."&amp;S$135&amp;S$1&amp;"P"&amp;$A143)="N/A",0,RTD("tos.rtd",,$A$2,"."&amp;S$135&amp;S$1&amp;"P"&amp;$A143))</f>
        <v>0</v>
      </c>
      <c r="T143" s="91">
        <f ca="1">IF(RTD("tos.rtd",,$A$2,"."&amp;T$135&amp;T$1&amp;"C"&amp;$A143)="N/A",0,RTD("tos.rtd",,$A$2,"."&amp;T$135&amp;T$1&amp;"C"&amp;$A143))-IF(RTD("tos.rtd",,$A$2,"."&amp;T$135&amp;T$1&amp;"P"&amp;$A143)="N/A",0,RTD("tos.rtd",,$A$2,"."&amp;T$135&amp;T$1&amp;"P"&amp;$A143))</f>
        <v>0</v>
      </c>
      <c r="U143" s="91">
        <f ca="1">IF(RTD("tos.rtd",,$A$2,"."&amp;U$135&amp;U$1&amp;"C"&amp;$A143)="N/A",0,RTD("tos.rtd",,$A$2,"."&amp;U$135&amp;U$1&amp;"C"&amp;$A143))-IF(RTD("tos.rtd",,$A$2,"."&amp;U$135&amp;U$1&amp;"P"&amp;$A143)="N/A",0,RTD("tos.rtd",,$A$2,"."&amp;U$135&amp;U$1&amp;"P"&amp;$A143))</f>
        <v>0</v>
      </c>
      <c r="V143" s="91">
        <f ca="1">IF(RTD("tos.rtd",,$A$2,"."&amp;V$135&amp;V$1&amp;"C"&amp;$A143)="N/A",0,RTD("tos.rtd",,$A$2,"."&amp;V$135&amp;V$1&amp;"C"&amp;$A143))-IF(RTD("tos.rtd",,$A$2,"."&amp;V$135&amp;V$1&amp;"P"&amp;$A143)="N/A",0,RTD("tos.rtd",,$A$2,"."&amp;V$135&amp;V$1&amp;"P"&amp;$A143))</f>
        <v>0</v>
      </c>
      <c r="W143" s="91">
        <f ca="1">IF(RTD("tos.rtd",,$A$2,"."&amp;W$135&amp;W$1&amp;"C"&amp;$A143)="N/A",0,RTD("tos.rtd",,$A$2,"."&amp;W$135&amp;W$1&amp;"C"&amp;$A143))-IF(RTD("tos.rtd",,$A$2,"."&amp;W$135&amp;W$1&amp;"P"&amp;$A143)="N/A",0,RTD("tos.rtd",,$A$2,"."&amp;W$135&amp;W$1&amp;"P"&amp;$A143))</f>
        <v>0</v>
      </c>
      <c r="X143" s="91">
        <f ca="1">IF(RTD("tos.rtd",,$A$2,"."&amp;X$135&amp;X$1&amp;"C"&amp;$A143)="N/A",0,RTD("tos.rtd",,$A$2,"."&amp;X$135&amp;X$1&amp;"C"&amp;$A143))-IF(RTD("tos.rtd",,$A$2,"."&amp;X$135&amp;X$1&amp;"P"&amp;$A143)="N/A",0,RTD("tos.rtd",,$A$2,"."&amp;X$135&amp;X$1&amp;"P"&amp;$A143))</f>
        <v>0</v>
      </c>
      <c r="Y143" s="98">
        <f t="shared" ca="1" si="13"/>
        <v>1</v>
      </c>
      <c r="Z143" s="91"/>
      <c r="AA143" s="91"/>
    </row>
    <row r="144" spans="1:27" x14ac:dyDescent="0.25">
      <c r="A144" s="93">
        <f>+Hoja1!A143</f>
        <v>21200</v>
      </c>
      <c r="B144" s="91">
        <f ca="1">IF(RTD("tos.rtd",,$A$2,"."&amp;B$135&amp;B$1&amp;"C"&amp;$A144)="N/A",0,RTD("tos.rtd",,$A$2,"."&amp;B$135&amp;B$1&amp;"C"&amp;$A144))-IF(RTD("tos.rtd",,$A$2,"."&amp;B$135&amp;B$1&amp;"P"&amp;$A144)="N/A",0,RTD("tos.rtd",,$A$2,"."&amp;B$135&amp;B$1&amp;"P"&amp;$A144))</f>
        <v>0</v>
      </c>
      <c r="C144" s="91">
        <f ca="1">IF(RTD("tos.rtd",,$A$2,"."&amp;C$135&amp;C$1&amp;"C"&amp;$A144)="N/A",0,RTD("tos.rtd",,$A$2,"."&amp;C$135&amp;C$1&amp;"C"&amp;$A144))-IF(RTD("tos.rtd",,$A$2,"."&amp;C$135&amp;C$1&amp;"P"&amp;$A144)="N/A",0,RTD("tos.rtd",,$A$2,"."&amp;C$135&amp;C$1&amp;"P"&amp;$A144))</f>
        <v>0</v>
      </c>
      <c r="D144" s="91">
        <f ca="1">IF(RTD("tos.rtd",,$A$2,"."&amp;D$135&amp;D$1&amp;"C"&amp;$A144)="N/A",0,RTD("tos.rtd",,$A$2,"."&amp;D$135&amp;D$1&amp;"C"&amp;$A144))-IF(RTD("tos.rtd",,$A$2,"."&amp;D$135&amp;D$1&amp;"P"&amp;$A144)="N/A",0,RTD("tos.rtd",,$A$2,"."&amp;D$135&amp;D$1&amp;"P"&amp;$A144))</f>
        <v>0</v>
      </c>
      <c r="E144" s="91">
        <f ca="1">IF(RTD("tos.rtd",,$A$2,"."&amp;E$135&amp;E$1&amp;"C"&amp;$A144)="N/A",0,RTD("tos.rtd",,$A$2,"."&amp;E$135&amp;E$1&amp;"C"&amp;$A144))-IF(RTD("tos.rtd",,$A$2,"."&amp;E$135&amp;E$1&amp;"P"&amp;$A144)="N/A",0,RTD("tos.rtd",,$A$2,"."&amp;E$135&amp;E$1&amp;"P"&amp;$A144))</f>
        <v>0</v>
      </c>
      <c r="F144" s="91">
        <f ca="1">IF(RTD("tos.rtd",,$A$2,"."&amp;F$135&amp;F$1&amp;"C"&amp;$A144)="N/A",0,RTD("tos.rtd",,$A$2,"."&amp;F$135&amp;F$1&amp;"C"&amp;$A144))-IF(RTD("tos.rtd",,$A$2,"."&amp;F$135&amp;F$1&amp;"P"&amp;$A144)="N/A",0,RTD("tos.rtd",,$A$2,"."&amp;F$135&amp;F$1&amp;"P"&amp;$A144))</f>
        <v>0</v>
      </c>
      <c r="G144" s="91">
        <f ca="1">IF(RTD("tos.rtd",,$A$2,"."&amp;G$135&amp;G$1&amp;"C"&amp;$A144)="N/A",0,RTD("tos.rtd",,$A$2,"."&amp;G$135&amp;G$1&amp;"C"&amp;$A144))-IF(RTD("tos.rtd",,$A$2,"."&amp;G$135&amp;G$1&amp;"P"&amp;$A144)="N/A",0,RTD("tos.rtd",,$A$2,"."&amp;G$135&amp;G$1&amp;"P"&amp;$A144))</f>
        <v>0</v>
      </c>
      <c r="H144" s="91">
        <f ca="1">IF(RTD("tos.rtd",,$A$2,"."&amp;H$135&amp;H$1&amp;"C"&amp;$A144)="N/A",0,RTD("tos.rtd",,$A$2,"."&amp;H$135&amp;H$1&amp;"C"&amp;$A144))-IF(RTD("tos.rtd",,$A$2,"."&amp;H$135&amp;H$1&amp;"P"&amp;$A144)="N/A",0,RTD("tos.rtd",,$A$2,"."&amp;H$135&amp;H$1&amp;"P"&amp;$A144))</f>
        <v>0</v>
      </c>
      <c r="I144" s="91">
        <f ca="1">IF(RTD("tos.rtd",,$A$2,"."&amp;I$135&amp;I$1&amp;"C"&amp;$A144)="N/A",0,RTD("tos.rtd",,$A$2,"."&amp;I$135&amp;I$1&amp;"C"&amp;$A144))-IF(RTD("tos.rtd",,$A$2,"."&amp;I$135&amp;I$1&amp;"P"&amp;$A144)="N/A",0,RTD("tos.rtd",,$A$2,"."&amp;I$135&amp;I$1&amp;"P"&amp;$A144))</f>
        <v>14</v>
      </c>
      <c r="J144" s="91">
        <f ca="1">IF(RTD("tos.rtd",,$A$2,"."&amp;J$135&amp;J$1&amp;"C"&amp;$A144)="N/A",0,RTD("tos.rtd",,$A$2,"."&amp;J$135&amp;J$1&amp;"C"&amp;$A144))-IF(RTD("tos.rtd",,$A$2,"."&amp;J$135&amp;J$1&amp;"P"&amp;$A144)="N/A",0,RTD("tos.rtd",,$A$2,"."&amp;J$135&amp;J$1&amp;"P"&amp;$A144))</f>
        <v>0</v>
      </c>
      <c r="K144" s="91">
        <f ca="1">IF(RTD("tos.rtd",,$A$2,"."&amp;K$135&amp;K$1&amp;"C"&amp;$A144)="N/A",0,RTD("tos.rtd",,$A$2,"."&amp;K$135&amp;K$1&amp;"C"&amp;$A144))-IF(RTD("tos.rtd",,$A$2,"."&amp;K$135&amp;K$1&amp;"P"&amp;$A144)="N/A",0,RTD("tos.rtd",,$A$2,"."&amp;K$135&amp;K$1&amp;"P"&amp;$A144))</f>
        <v>0</v>
      </c>
      <c r="L144" s="91">
        <f ca="1">IF(RTD("tos.rtd",,$A$2,"."&amp;L$135&amp;L$1&amp;"C"&amp;$A144)="N/A",0,RTD("tos.rtd",,$A$2,"."&amp;L$135&amp;L$1&amp;"C"&amp;$A144))-IF(RTD("tos.rtd",,$A$2,"."&amp;L$135&amp;L$1&amp;"P"&amp;$A144)="N/A",0,RTD("tos.rtd",,$A$2,"."&amp;L$135&amp;L$1&amp;"P"&amp;$A144))</f>
        <v>13</v>
      </c>
      <c r="M144" s="91">
        <f ca="1">IF(RTD("tos.rtd",,$A$2,"."&amp;M$135&amp;M$1&amp;"C"&amp;$A144)="N/A",0,RTD("tos.rtd",,$A$2,"."&amp;M$135&amp;M$1&amp;"C"&amp;$A144))-IF(RTD("tos.rtd",,$A$2,"."&amp;M$135&amp;M$1&amp;"P"&amp;$A144)="N/A",0,RTD("tos.rtd",,$A$2,"."&amp;M$135&amp;M$1&amp;"P"&amp;$A144))</f>
        <v>0</v>
      </c>
      <c r="N144" s="91">
        <f ca="1">IF(RTD("tos.rtd",,$A$2,"."&amp;N$135&amp;N$1&amp;"C"&amp;$A144)="N/A",0,RTD("tos.rtd",,$A$2,"."&amp;N$135&amp;N$1&amp;"C"&amp;$A144))-IF(RTD("tos.rtd",,$A$2,"."&amp;N$135&amp;N$1&amp;"P"&amp;$A144)="N/A",0,RTD("tos.rtd",,$A$2,"."&amp;N$135&amp;N$1&amp;"P"&amp;$A144))</f>
        <v>0</v>
      </c>
      <c r="O144" s="91">
        <f ca="1">IF(RTD("tos.rtd",,$A$2,"."&amp;O$135&amp;O$1&amp;"C"&amp;$A144)="N/A",0,RTD("tos.rtd",,$A$2,"."&amp;O$135&amp;O$1&amp;"C"&amp;$A144))-IF(RTD("tos.rtd",,$A$2,"."&amp;O$135&amp;O$1&amp;"P"&amp;$A144)="N/A",0,RTD("tos.rtd",,$A$2,"."&amp;O$135&amp;O$1&amp;"P"&amp;$A144))</f>
        <v>0</v>
      </c>
      <c r="P144" s="91">
        <f ca="1">IF(RTD("tos.rtd",,$A$2,"."&amp;P$135&amp;P$1&amp;"C"&amp;$A144)="N/A",0,RTD("tos.rtd",,$A$2,"."&amp;P$135&amp;P$1&amp;"C"&amp;$A144))-IF(RTD("tos.rtd",,$A$2,"."&amp;P$135&amp;P$1&amp;"P"&amp;$A144)="N/A",0,RTD("tos.rtd",,$A$2,"."&amp;P$135&amp;P$1&amp;"P"&amp;$A144))</f>
        <v>0</v>
      </c>
      <c r="Q144" s="91">
        <f ca="1">IF(RTD("tos.rtd",,$A$2,"."&amp;Q$135&amp;Q$1&amp;"C"&amp;$A144)="N/A",0,RTD("tos.rtd",,$A$2,"."&amp;Q$135&amp;Q$1&amp;"C"&amp;$A144))-IF(RTD("tos.rtd",,$A$2,"."&amp;Q$135&amp;Q$1&amp;"P"&amp;$A144)="N/A",0,RTD("tos.rtd",,$A$2,"."&amp;Q$135&amp;Q$1&amp;"P"&amp;$A144))</f>
        <v>0</v>
      </c>
      <c r="R144" s="91">
        <f ca="1">IF(RTD("tos.rtd",,$A$2,"."&amp;R$135&amp;R$1&amp;"C"&amp;$A144)="N/A",0,RTD("tos.rtd",,$A$2,"."&amp;R$135&amp;R$1&amp;"C"&amp;$A144))-IF(RTD("tos.rtd",,$A$2,"."&amp;R$135&amp;R$1&amp;"P"&amp;$A144)="N/A",0,RTD("tos.rtd",,$A$2,"."&amp;R$135&amp;R$1&amp;"P"&amp;$A144))</f>
        <v>0</v>
      </c>
      <c r="S144" s="91">
        <f ca="1">IF(RTD("tos.rtd",,$A$2,"."&amp;S$135&amp;S$1&amp;"C"&amp;$A144)="N/A",0,RTD("tos.rtd",,$A$2,"."&amp;S$135&amp;S$1&amp;"C"&amp;$A144))-IF(RTD("tos.rtd",,$A$2,"."&amp;S$135&amp;S$1&amp;"P"&amp;$A144)="N/A",0,RTD("tos.rtd",,$A$2,"."&amp;S$135&amp;S$1&amp;"P"&amp;$A144))</f>
        <v>0</v>
      </c>
      <c r="T144" s="91">
        <f ca="1">IF(RTD("tos.rtd",,$A$2,"."&amp;T$135&amp;T$1&amp;"C"&amp;$A144)="N/A",0,RTD("tos.rtd",,$A$2,"."&amp;T$135&amp;T$1&amp;"C"&amp;$A144))-IF(RTD("tos.rtd",,$A$2,"."&amp;T$135&amp;T$1&amp;"P"&amp;$A144)="N/A",0,RTD("tos.rtd",,$A$2,"."&amp;T$135&amp;T$1&amp;"P"&amp;$A144))</f>
        <v>0</v>
      </c>
      <c r="U144" s="91">
        <f ca="1">IF(RTD("tos.rtd",,$A$2,"."&amp;U$135&amp;U$1&amp;"C"&amp;$A144)="N/A",0,RTD("tos.rtd",,$A$2,"."&amp;U$135&amp;U$1&amp;"C"&amp;$A144))-IF(RTD("tos.rtd",,$A$2,"."&amp;U$135&amp;U$1&amp;"P"&amp;$A144)="N/A",0,RTD("tos.rtd",,$A$2,"."&amp;U$135&amp;U$1&amp;"P"&amp;$A144))</f>
        <v>0</v>
      </c>
      <c r="V144" s="91">
        <f ca="1">IF(RTD("tos.rtd",,$A$2,"."&amp;V$135&amp;V$1&amp;"C"&amp;$A144)="N/A",0,RTD("tos.rtd",,$A$2,"."&amp;V$135&amp;V$1&amp;"C"&amp;$A144))-IF(RTD("tos.rtd",,$A$2,"."&amp;V$135&amp;V$1&amp;"P"&amp;$A144)="N/A",0,RTD("tos.rtd",,$A$2,"."&amp;V$135&amp;V$1&amp;"P"&amp;$A144))</f>
        <v>0</v>
      </c>
      <c r="W144" s="91">
        <f ca="1">IF(RTD("tos.rtd",,$A$2,"."&amp;W$135&amp;W$1&amp;"C"&amp;$A144)="N/A",0,RTD("tos.rtd",,$A$2,"."&amp;W$135&amp;W$1&amp;"C"&amp;$A144))-IF(RTD("tos.rtd",,$A$2,"."&amp;W$135&amp;W$1&amp;"P"&amp;$A144)="N/A",0,RTD("tos.rtd",,$A$2,"."&amp;W$135&amp;W$1&amp;"P"&amp;$A144))</f>
        <v>0</v>
      </c>
      <c r="X144" s="91">
        <f ca="1">IF(RTD("tos.rtd",,$A$2,"."&amp;X$135&amp;X$1&amp;"C"&amp;$A144)="N/A",0,RTD("tos.rtd",,$A$2,"."&amp;X$135&amp;X$1&amp;"C"&amp;$A144))-IF(RTD("tos.rtd",,$A$2,"."&amp;X$135&amp;X$1&amp;"P"&amp;$A144)="N/A",0,RTD("tos.rtd",,$A$2,"."&amp;X$135&amp;X$1&amp;"P"&amp;$A144))</f>
        <v>1</v>
      </c>
      <c r="Y144" s="98">
        <f t="shared" ca="1" si="13"/>
        <v>28</v>
      </c>
      <c r="Z144" s="91"/>
      <c r="AA144" s="91"/>
    </row>
    <row r="145" spans="1:27" x14ac:dyDescent="0.25">
      <c r="A145" s="93">
        <f>+Hoja1!A144</f>
        <v>21175</v>
      </c>
      <c r="B145" s="91">
        <f ca="1">IF(RTD("tos.rtd",,$A$2,"."&amp;B$135&amp;B$1&amp;"C"&amp;$A145)="N/A",0,RTD("tos.rtd",,$A$2,"."&amp;B$135&amp;B$1&amp;"C"&amp;$A145))-IF(RTD("tos.rtd",,$A$2,"."&amp;B$135&amp;B$1&amp;"P"&amp;$A145)="N/A",0,RTD("tos.rtd",,$A$2,"."&amp;B$135&amp;B$1&amp;"P"&amp;$A145))</f>
        <v>0</v>
      </c>
      <c r="C145" s="91">
        <f ca="1">IF(RTD("tos.rtd",,$A$2,"."&amp;C$135&amp;C$1&amp;"C"&amp;$A145)="N/A",0,RTD("tos.rtd",,$A$2,"."&amp;C$135&amp;C$1&amp;"C"&amp;$A145))-IF(RTD("tos.rtd",,$A$2,"."&amp;C$135&amp;C$1&amp;"P"&amp;$A145)="N/A",0,RTD("tos.rtd",,$A$2,"."&amp;C$135&amp;C$1&amp;"P"&amp;$A145))</f>
        <v>0</v>
      </c>
      <c r="D145" s="91">
        <f ca="1">IF(RTD("tos.rtd",,$A$2,"."&amp;D$135&amp;D$1&amp;"C"&amp;$A145)="N/A",0,RTD("tos.rtd",,$A$2,"."&amp;D$135&amp;D$1&amp;"C"&amp;$A145))-IF(RTD("tos.rtd",,$A$2,"."&amp;D$135&amp;D$1&amp;"P"&amp;$A145)="N/A",0,RTD("tos.rtd",,$A$2,"."&amp;D$135&amp;D$1&amp;"P"&amp;$A145))</f>
        <v>0</v>
      </c>
      <c r="E145" s="91">
        <f ca="1">IF(RTD("tos.rtd",,$A$2,"."&amp;E$135&amp;E$1&amp;"C"&amp;$A145)="N/A",0,RTD("tos.rtd",,$A$2,"."&amp;E$135&amp;E$1&amp;"C"&amp;$A145))-IF(RTD("tos.rtd",,$A$2,"."&amp;E$135&amp;E$1&amp;"P"&amp;$A145)="N/A",0,RTD("tos.rtd",,$A$2,"."&amp;E$135&amp;E$1&amp;"P"&amp;$A145))</f>
        <v>0</v>
      </c>
      <c r="F145" s="91">
        <f ca="1">IF(RTD("tos.rtd",,$A$2,"."&amp;F$135&amp;F$1&amp;"C"&amp;$A145)="N/A",0,RTD("tos.rtd",,$A$2,"."&amp;F$135&amp;F$1&amp;"C"&amp;$A145))-IF(RTD("tos.rtd",,$A$2,"."&amp;F$135&amp;F$1&amp;"P"&amp;$A145)="N/A",0,RTD("tos.rtd",,$A$2,"."&amp;F$135&amp;F$1&amp;"P"&amp;$A145))</f>
        <v>0</v>
      </c>
      <c r="G145" s="91">
        <f ca="1">IF(RTD("tos.rtd",,$A$2,"."&amp;G$135&amp;G$1&amp;"C"&amp;$A145)="N/A",0,RTD("tos.rtd",,$A$2,"."&amp;G$135&amp;G$1&amp;"C"&amp;$A145))-IF(RTD("tos.rtd",,$A$2,"."&amp;G$135&amp;G$1&amp;"P"&amp;$A145)="N/A",0,RTD("tos.rtd",,$A$2,"."&amp;G$135&amp;G$1&amp;"P"&amp;$A145))</f>
        <v>0</v>
      </c>
      <c r="H145" s="91">
        <f ca="1">IF(RTD("tos.rtd",,$A$2,"."&amp;H$135&amp;H$1&amp;"C"&amp;$A145)="N/A",0,RTD("tos.rtd",,$A$2,"."&amp;H$135&amp;H$1&amp;"C"&amp;$A145))-IF(RTD("tos.rtd",,$A$2,"."&amp;H$135&amp;H$1&amp;"P"&amp;$A145)="N/A",0,RTD("tos.rtd",,$A$2,"."&amp;H$135&amp;H$1&amp;"P"&amp;$A145))</f>
        <v>0</v>
      </c>
      <c r="I145" s="91">
        <f ca="1">IF(RTD("tos.rtd",,$A$2,"."&amp;I$135&amp;I$1&amp;"C"&amp;$A145)="N/A",0,RTD("tos.rtd",,$A$2,"."&amp;I$135&amp;I$1&amp;"C"&amp;$A145))-IF(RTD("tos.rtd",,$A$2,"."&amp;I$135&amp;I$1&amp;"P"&amp;$A145)="N/A",0,RTD("tos.rtd",,$A$2,"."&amp;I$135&amp;I$1&amp;"P"&amp;$A145))</f>
        <v>0</v>
      </c>
      <c r="J145" s="91">
        <f ca="1">IF(RTD("tos.rtd",,$A$2,"."&amp;J$135&amp;J$1&amp;"C"&amp;$A145)="N/A",0,RTD("tos.rtd",,$A$2,"."&amp;J$135&amp;J$1&amp;"C"&amp;$A145))-IF(RTD("tos.rtd",,$A$2,"."&amp;J$135&amp;J$1&amp;"P"&amp;$A145)="N/A",0,RTD("tos.rtd",,$A$2,"."&amp;J$135&amp;J$1&amp;"P"&amp;$A145))</f>
        <v>0</v>
      </c>
      <c r="K145" s="91">
        <f ca="1">IF(RTD("tos.rtd",,$A$2,"."&amp;K$135&amp;K$1&amp;"C"&amp;$A145)="N/A",0,RTD("tos.rtd",,$A$2,"."&amp;K$135&amp;K$1&amp;"C"&amp;$A145))-IF(RTD("tos.rtd",,$A$2,"."&amp;K$135&amp;K$1&amp;"P"&amp;$A145)="N/A",0,RTD("tos.rtd",,$A$2,"."&amp;K$135&amp;K$1&amp;"P"&amp;$A145))</f>
        <v>0</v>
      </c>
      <c r="L145" s="91">
        <f ca="1">IF(RTD("tos.rtd",,$A$2,"."&amp;L$135&amp;L$1&amp;"C"&amp;$A145)="N/A",0,RTD("tos.rtd",,$A$2,"."&amp;L$135&amp;L$1&amp;"C"&amp;$A145))-IF(RTD("tos.rtd",,$A$2,"."&amp;L$135&amp;L$1&amp;"P"&amp;$A145)="N/A",0,RTD("tos.rtd",,$A$2,"."&amp;L$135&amp;L$1&amp;"P"&amp;$A145))</f>
        <v>0</v>
      </c>
      <c r="M145" s="91">
        <f ca="1">IF(RTD("tos.rtd",,$A$2,"."&amp;M$135&amp;M$1&amp;"C"&amp;$A145)="N/A",0,RTD("tos.rtd",,$A$2,"."&amp;M$135&amp;M$1&amp;"C"&amp;$A145))-IF(RTD("tos.rtd",,$A$2,"."&amp;M$135&amp;M$1&amp;"P"&amp;$A145)="N/A",0,RTD("tos.rtd",,$A$2,"."&amp;M$135&amp;M$1&amp;"P"&amp;$A145))</f>
        <v>0</v>
      </c>
      <c r="N145" s="91">
        <f ca="1">IF(RTD("tos.rtd",,$A$2,"."&amp;N$135&amp;N$1&amp;"C"&amp;$A145)="N/A",0,RTD("tos.rtd",,$A$2,"."&amp;N$135&amp;N$1&amp;"C"&amp;$A145))-IF(RTD("tos.rtd",,$A$2,"."&amp;N$135&amp;N$1&amp;"P"&amp;$A145)="N/A",0,RTD("tos.rtd",,$A$2,"."&amp;N$135&amp;N$1&amp;"P"&amp;$A145))</f>
        <v>0</v>
      </c>
      <c r="O145" s="91">
        <f ca="1">IF(RTD("tos.rtd",,$A$2,"."&amp;O$135&amp;O$1&amp;"C"&amp;$A145)="N/A",0,RTD("tos.rtd",,$A$2,"."&amp;O$135&amp;O$1&amp;"C"&amp;$A145))-IF(RTD("tos.rtd",,$A$2,"."&amp;O$135&amp;O$1&amp;"P"&amp;$A145)="N/A",0,RTD("tos.rtd",,$A$2,"."&amp;O$135&amp;O$1&amp;"P"&amp;$A145))</f>
        <v>0</v>
      </c>
      <c r="P145" s="91">
        <f ca="1">IF(RTD("tos.rtd",,$A$2,"."&amp;P$135&amp;P$1&amp;"C"&amp;$A145)="N/A",0,RTD("tos.rtd",,$A$2,"."&amp;P$135&amp;P$1&amp;"C"&amp;$A145))-IF(RTD("tos.rtd",,$A$2,"."&amp;P$135&amp;P$1&amp;"P"&amp;$A145)="N/A",0,RTD("tos.rtd",,$A$2,"."&amp;P$135&amp;P$1&amp;"P"&amp;$A145))</f>
        <v>0</v>
      </c>
      <c r="Q145" s="91">
        <f ca="1">IF(RTD("tos.rtd",,$A$2,"."&amp;Q$135&amp;Q$1&amp;"C"&amp;$A145)="N/A",0,RTD("tos.rtd",,$A$2,"."&amp;Q$135&amp;Q$1&amp;"C"&amp;$A145))-IF(RTD("tos.rtd",,$A$2,"."&amp;Q$135&amp;Q$1&amp;"P"&amp;$A145)="N/A",0,RTD("tos.rtd",,$A$2,"."&amp;Q$135&amp;Q$1&amp;"P"&amp;$A145))</f>
        <v>0</v>
      </c>
      <c r="R145" s="91">
        <f ca="1">IF(RTD("tos.rtd",,$A$2,"."&amp;R$135&amp;R$1&amp;"C"&amp;$A145)="N/A",0,RTD("tos.rtd",,$A$2,"."&amp;R$135&amp;R$1&amp;"C"&amp;$A145))-IF(RTD("tos.rtd",,$A$2,"."&amp;R$135&amp;R$1&amp;"P"&amp;$A145)="N/A",0,RTD("tos.rtd",,$A$2,"."&amp;R$135&amp;R$1&amp;"P"&amp;$A145))</f>
        <v>0</v>
      </c>
      <c r="S145" s="91">
        <f ca="1">IF(RTD("tos.rtd",,$A$2,"."&amp;S$135&amp;S$1&amp;"C"&amp;$A145)="N/A",0,RTD("tos.rtd",,$A$2,"."&amp;S$135&amp;S$1&amp;"C"&amp;$A145))-IF(RTD("tos.rtd",,$A$2,"."&amp;S$135&amp;S$1&amp;"P"&amp;$A145)="N/A",0,RTD("tos.rtd",,$A$2,"."&amp;S$135&amp;S$1&amp;"P"&amp;$A145))</f>
        <v>0</v>
      </c>
      <c r="T145" s="91">
        <f ca="1">IF(RTD("tos.rtd",,$A$2,"."&amp;T$135&amp;T$1&amp;"C"&amp;$A145)="N/A",0,RTD("tos.rtd",,$A$2,"."&amp;T$135&amp;T$1&amp;"C"&amp;$A145))-IF(RTD("tos.rtd",,$A$2,"."&amp;T$135&amp;T$1&amp;"P"&amp;$A145)="N/A",0,RTD("tos.rtd",,$A$2,"."&amp;T$135&amp;T$1&amp;"P"&amp;$A145))</f>
        <v>0</v>
      </c>
      <c r="U145" s="91">
        <f ca="1">IF(RTD("tos.rtd",,$A$2,"."&amp;U$135&amp;U$1&amp;"C"&amp;$A145)="N/A",0,RTD("tos.rtd",,$A$2,"."&amp;U$135&amp;U$1&amp;"C"&amp;$A145))-IF(RTD("tos.rtd",,$A$2,"."&amp;U$135&amp;U$1&amp;"P"&amp;$A145)="N/A",0,RTD("tos.rtd",,$A$2,"."&amp;U$135&amp;U$1&amp;"P"&amp;$A145))</f>
        <v>0</v>
      </c>
      <c r="V145" s="91">
        <f ca="1">IF(RTD("tos.rtd",,$A$2,"."&amp;V$135&amp;V$1&amp;"C"&amp;$A145)="N/A",0,RTD("tos.rtd",,$A$2,"."&amp;V$135&amp;V$1&amp;"C"&amp;$A145))-IF(RTD("tos.rtd",,$A$2,"."&amp;V$135&amp;V$1&amp;"P"&amp;$A145)="N/A",0,RTD("tos.rtd",,$A$2,"."&amp;V$135&amp;V$1&amp;"P"&amp;$A145))</f>
        <v>0</v>
      </c>
      <c r="W145" s="91">
        <f ca="1">IF(RTD("tos.rtd",,$A$2,"."&amp;W$135&amp;W$1&amp;"C"&amp;$A145)="N/A",0,RTD("tos.rtd",,$A$2,"."&amp;W$135&amp;W$1&amp;"C"&amp;$A145))-IF(RTD("tos.rtd",,$A$2,"."&amp;W$135&amp;W$1&amp;"P"&amp;$A145)="N/A",0,RTD("tos.rtd",,$A$2,"."&amp;W$135&amp;W$1&amp;"P"&amp;$A145))</f>
        <v>0</v>
      </c>
      <c r="X145" s="91">
        <f ca="1">IF(RTD("tos.rtd",,$A$2,"."&amp;X$135&amp;X$1&amp;"C"&amp;$A145)="N/A",0,RTD("tos.rtd",,$A$2,"."&amp;X$135&amp;X$1&amp;"C"&amp;$A145))-IF(RTD("tos.rtd",,$A$2,"."&amp;X$135&amp;X$1&amp;"P"&amp;$A145)="N/A",0,RTD("tos.rtd",,$A$2,"."&amp;X$135&amp;X$1&amp;"P"&amp;$A145))</f>
        <v>0</v>
      </c>
      <c r="Y145" s="98">
        <f t="shared" ca="1" si="13"/>
        <v>0</v>
      </c>
      <c r="Z145" s="91"/>
      <c r="AA145" s="91"/>
    </row>
    <row r="146" spans="1:27" x14ac:dyDescent="0.25">
      <c r="A146" s="93">
        <f>+Hoja1!A145</f>
        <v>21150</v>
      </c>
      <c r="B146" s="91">
        <f ca="1">IF(RTD("tos.rtd",,$A$2,"."&amp;B$135&amp;B$1&amp;"C"&amp;$A146)="N/A",0,RTD("tos.rtd",,$A$2,"."&amp;B$135&amp;B$1&amp;"C"&amp;$A146))-IF(RTD("tos.rtd",,$A$2,"."&amp;B$135&amp;B$1&amp;"P"&amp;$A146)="N/A",0,RTD("tos.rtd",,$A$2,"."&amp;B$135&amp;B$1&amp;"P"&amp;$A146))</f>
        <v>0</v>
      </c>
      <c r="C146" s="91">
        <f ca="1">IF(RTD("tos.rtd",,$A$2,"."&amp;C$135&amp;C$1&amp;"C"&amp;$A146)="N/A",0,RTD("tos.rtd",,$A$2,"."&amp;C$135&amp;C$1&amp;"C"&amp;$A146))-IF(RTD("tos.rtd",,$A$2,"."&amp;C$135&amp;C$1&amp;"P"&amp;$A146)="N/A",0,RTD("tos.rtd",,$A$2,"."&amp;C$135&amp;C$1&amp;"P"&amp;$A146))</f>
        <v>0</v>
      </c>
      <c r="D146" s="91">
        <f ca="1">IF(RTD("tos.rtd",,$A$2,"."&amp;D$135&amp;D$1&amp;"C"&amp;$A146)="N/A",0,RTD("tos.rtd",,$A$2,"."&amp;D$135&amp;D$1&amp;"C"&amp;$A146))-IF(RTD("tos.rtd",,$A$2,"."&amp;D$135&amp;D$1&amp;"P"&amp;$A146)="N/A",0,RTD("tos.rtd",,$A$2,"."&amp;D$135&amp;D$1&amp;"P"&amp;$A146))</f>
        <v>0</v>
      </c>
      <c r="E146" s="91">
        <f ca="1">IF(RTD("tos.rtd",,$A$2,"."&amp;E$135&amp;E$1&amp;"C"&amp;$A146)="N/A",0,RTD("tos.rtd",,$A$2,"."&amp;E$135&amp;E$1&amp;"C"&amp;$A146))-IF(RTD("tos.rtd",,$A$2,"."&amp;E$135&amp;E$1&amp;"P"&amp;$A146)="N/A",0,RTD("tos.rtd",,$A$2,"."&amp;E$135&amp;E$1&amp;"P"&amp;$A146))</f>
        <v>0</v>
      </c>
      <c r="F146" s="91">
        <f ca="1">IF(RTD("tos.rtd",,$A$2,"."&amp;F$135&amp;F$1&amp;"C"&amp;$A146)="N/A",0,RTD("tos.rtd",,$A$2,"."&amp;F$135&amp;F$1&amp;"C"&amp;$A146))-IF(RTD("tos.rtd",,$A$2,"."&amp;F$135&amp;F$1&amp;"P"&amp;$A146)="N/A",0,RTD("tos.rtd",,$A$2,"."&amp;F$135&amp;F$1&amp;"P"&amp;$A146))</f>
        <v>0</v>
      </c>
      <c r="G146" s="91">
        <f ca="1">IF(RTD("tos.rtd",,$A$2,"."&amp;G$135&amp;G$1&amp;"C"&amp;$A146)="N/A",0,RTD("tos.rtd",,$A$2,"."&amp;G$135&amp;G$1&amp;"C"&amp;$A146))-IF(RTD("tos.rtd",,$A$2,"."&amp;G$135&amp;G$1&amp;"P"&amp;$A146)="N/A",0,RTD("tos.rtd",,$A$2,"."&amp;G$135&amp;G$1&amp;"P"&amp;$A146))</f>
        <v>0</v>
      </c>
      <c r="H146" s="91">
        <f ca="1">IF(RTD("tos.rtd",,$A$2,"."&amp;H$135&amp;H$1&amp;"C"&amp;$A146)="N/A",0,RTD("tos.rtd",,$A$2,"."&amp;H$135&amp;H$1&amp;"C"&amp;$A146))-IF(RTD("tos.rtd",,$A$2,"."&amp;H$135&amp;H$1&amp;"P"&amp;$A146)="N/A",0,RTD("tos.rtd",,$A$2,"."&amp;H$135&amp;H$1&amp;"P"&amp;$A146))</f>
        <v>0</v>
      </c>
      <c r="I146" s="91">
        <f ca="1">IF(RTD("tos.rtd",,$A$2,"."&amp;I$135&amp;I$1&amp;"C"&amp;$A146)="N/A",0,RTD("tos.rtd",,$A$2,"."&amp;I$135&amp;I$1&amp;"C"&amp;$A146))-IF(RTD("tos.rtd",,$A$2,"."&amp;I$135&amp;I$1&amp;"P"&amp;$A146)="N/A",0,RTD("tos.rtd",,$A$2,"."&amp;I$135&amp;I$1&amp;"P"&amp;$A146))</f>
        <v>0</v>
      </c>
      <c r="J146" s="91">
        <f ca="1">IF(RTD("tos.rtd",,$A$2,"."&amp;J$135&amp;J$1&amp;"C"&amp;$A146)="N/A",0,RTD("tos.rtd",,$A$2,"."&amp;J$135&amp;J$1&amp;"C"&amp;$A146))-IF(RTD("tos.rtd",,$A$2,"."&amp;J$135&amp;J$1&amp;"P"&amp;$A146)="N/A",0,RTD("tos.rtd",,$A$2,"."&amp;J$135&amp;J$1&amp;"P"&amp;$A146))</f>
        <v>2</v>
      </c>
      <c r="K146" s="91">
        <f ca="1">IF(RTD("tos.rtd",,$A$2,"."&amp;K$135&amp;K$1&amp;"C"&amp;$A146)="N/A",0,RTD("tos.rtd",,$A$2,"."&amp;K$135&amp;K$1&amp;"C"&amp;$A146))-IF(RTD("tos.rtd",,$A$2,"."&amp;K$135&amp;K$1&amp;"P"&amp;$A146)="N/A",0,RTD("tos.rtd",,$A$2,"."&amp;K$135&amp;K$1&amp;"P"&amp;$A146))</f>
        <v>0</v>
      </c>
      <c r="L146" s="91">
        <f ca="1">IF(RTD("tos.rtd",,$A$2,"."&amp;L$135&amp;L$1&amp;"C"&amp;$A146)="N/A",0,RTD("tos.rtd",,$A$2,"."&amp;L$135&amp;L$1&amp;"C"&amp;$A146))-IF(RTD("tos.rtd",,$A$2,"."&amp;L$135&amp;L$1&amp;"P"&amp;$A146)="N/A",0,RTD("tos.rtd",,$A$2,"."&amp;L$135&amp;L$1&amp;"P"&amp;$A146))</f>
        <v>0</v>
      </c>
      <c r="M146" s="91">
        <f ca="1">IF(RTD("tos.rtd",,$A$2,"."&amp;M$135&amp;M$1&amp;"C"&amp;$A146)="N/A",0,RTD("tos.rtd",,$A$2,"."&amp;M$135&amp;M$1&amp;"C"&amp;$A146))-IF(RTD("tos.rtd",,$A$2,"."&amp;M$135&amp;M$1&amp;"P"&amp;$A146)="N/A",0,RTD("tos.rtd",,$A$2,"."&amp;M$135&amp;M$1&amp;"P"&amp;$A146))</f>
        <v>0</v>
      </c>
      <c r="N146" s="91">
        <f ca="1">IF(RTD("tos.rtd",,$A$2,"."&amp;N$135&amp;N$1&amp;"C"&amp;$A146)="N/A",0,RTD("tos.rtd",,$A$2,"."&amp;N$135&amp;N$1&amp;"C"&amp;$A146))-IF(RTD("tos.rtd",,$A$2,"."&amp;N$135&amp;N$1&amp;"P"&amp;$A146)="N/A",0,RTD("tos.rtd",,$A$2,"."&amp;N$135&amp;N$1&amp;"P"&amp;$A146))</f>
        <v>0</v>
      </c>
      <c r="O146" s="91">
        <f ca="1">IF(RTD("tos.rtd",,$A$2,"."&amp;O$135&amp;O$1&amp;"C"&amp;$A146)="N/A",0,RTD("tos.rtd",,$A$2,"."&amp;O$135&amp;O$1&amp;"C"&amp;$A146))-IF(RTD("tos.rtd",,$A$2,"."&amp;O$135&amp;O$1&amp;"P"&amp;$A146)="N/A",0,RTD("tos.rtd",,$A$2,"."&amp;O$135&amp;O$1&amp;"P"&amp;$A146))</f>
        <v>0</v>
      </c>
      <c r="P146" s="91">
        <f ca="1">IF(RTD("tos.rtd",,$A$2,"."&amp;P$135&amp;P$1&amp;"C"&amp;$A146)="N/A",0,RTD("tos.rtd",,$A$2,"."&amp;P$135&amp;P$1&amp;"C"&amp;$A146))-IF(RTD("tos.rtd",,$A$2,"."&amp;P$135&amp;P$1&amp;"P"&amp;$A146)="N/A",0,RTD("tos.rtd",,$A$2,"."&amp;P$135&amp;P$1&amp;"P"&amp;$A146))</f>
        <v>0</v>
      </c>
      <c r="Q146" s="91">
        <f ca="1">IF(RTD("tos.rtd",,$A$2,"."&amp;Q$135&amp;Q$1&amp;"C"&amp;$A146)="N/A",0,RTD("tos.rtd",,$A$2,"."&amp;Q$135&amp;Q$1&amp;"C"&amp;$A146))-IF(RTD("tos.rtd",,$A$2,"."&amp;Q$135&amp;Q$1&amp;"P"&amp;$A146)="N/A",0,RTD("tos.rtd",,$A$2,"."&amp;Q$135&amp;Q$1&amp;"P"&amp;$A146))</f>
        <v>0</v>
      </c>
      <c r="R146" s="91">
        <f ca="1">IF(RTD("tos.rtd",,$A$2,"."&amp;R$135&amp;R$1&amp;"C"&amp;$A146)="N/A",0,RTD("tos.rtd",,$A$2,"."&amp;R$135&amp;R$1&amp;"C"&amp;$A146))-IF(RTD("tos.rtd",,$A$2,"."&amp;R$135&amp;R$1&amp;"P"&amp;$A146)="N/A",0,RTD("tos.rtd",,$A$2,"."&amp;R$135&amp;R$1&amp;"P"&amp;$A146))</f>
        <v>0</v>
      </c>
      <c r="S146" s="91">
        <f ca="1">IF(RTD("tos.rtd",,$A$2,"."&amp;S$135&amp;S$1&amp;"C"&amp;$A146)="N/A",0,RTD("tos.rtd",,$A$2,"."&amp;S$135&amp;S$1&amp;"C"&amp;$A146))-IF(RTD("tos.rtd",,$A$2,"."&amp;S$135&amp;S$1&amp;"P"&amp;$A146)="N/A",0,RTD("tos.rtd",,$A$2,"."&amp;S$135&amp;S$1&amp;"P"&amp;$A146))</f>
        <v>0</v>
      </c>
      <c r="T146" s="91">
        <f ca="1">IF(RTD("tos.rtd",,$A$2,"."&amp;T$135&amp;T$1&amp;"C"&amp;$A146)="N/A",0,RTD("tos.rtd",,$A$2,"."&amp;T$135&amp;T$1&amp;"C"&amp;$A146))-IF(RTD("tos.rtd",,$A$2,"."&amp;T$135&amp;T$1&amp;"P"&amp;$A146)="N/A",0,RTD("tos.rtd",,$A$2,"."&amp;T$135&amp;T$1&amp;"P"&amp;$A146))</f>
        <v>0</v>
      </c>
      <c r="U146" s="91">
        <f ca="1">IF(RTD("tos.rtd",,$A$2,"."&amp;U$135&amp;U$1&amp;"C"&amp;$A146)="N/A",0,RTD("tos.rtd",,$A$2,"."&amp;U$135&amp;U$1&amp;"C"&amp;$A146))-IF(RTD("tos.rtd",,$A$2,"."&amp;U$135&amp;U$1&amp;"P"&amp;$A146)="N/A",0,RTD("tos.rtd",,$A$2,"."&amp;U$135&amp;U$1&amp;"P"&amp;$A146))</f>
        <v>0</v>
      </c>
      <c r="V146" s="91">
        <f ca="1">IF(RTD("tos.rtd",,$A$2,"."&amp;V$135&amp;V$1&amp;"C"&amp;$A146)="N/A",0,RTD("tos.rtd",,$A$2,"."&amp;V$135&amp;V$1&amp;"C"&amp;$A146))-IF(RTD("tos.rtd",,$A$2,"."&amp;V$135&amp;V$1&amp;"P"&amp;$A146)="N/A",0,RTD("tos.rtd",,$A$2,"."&amp;V$135&amp;V$1&amp;"P"&amp;$A146))</f>
        <v>0</v>
      </c>
      <c r="W146" s="91">
        <f ca="1">IF(RTD("tos.rtd",,$A$2,"."&amp;W$135&amp;W$1&amp;"C"&amp;$A146)="N/A",0,RTD("tos.rtd",,$A$2,"."&amp;W$135&amp;W$1&amp;"C"&amp;$A146))-IF(RTD("tos.rtd",,$A$2,"."&amp;W$135&amp;W$1&amp;"P"&amp;$A146)="N/A",0,RTD("tos.rtd",,$A$2,"."&amp;W$135&amp;W$1&amp;"P"&amp;$A146))</f>
        <v>0</v>
      </c>
      <c r="X146" s="91">
        <f ca="1">IF(RTD("tos.rtd",,$A$2,"."&amp;X$135&amp;X$1&amp;"C"&amp;$A146)="N/A",0,RTD("tos.rtd",,$A$2,"."&amp;X$135&amp;X$1&amp;"C"&amp;$A146))-IF(RTD("tos.rtd",,$A$2,"."&amp;X$135&amp;X$1&amp;"P"&amp;$A146)="N/A",0,RTD("tos.rtd",,$A$2,"."&amp;X$135&amp;X$1&amp;"P"&amp;$A146))</f>
        <v>0</v>
      </c>
      <c r="Y146" s="98">
        <f t="shared" ca="1" si="13"/>
        <v>2</v>
      </c>
      <c r="Z146" s="91"/>
      <c r="AA146" s="91"/>
    </row>
    <row r="147" spans="1:27" x14ac:dyDescent="0.25">
      <c r="A147" s="93">
        <f>+Hoja1!A146</f>
        <v>21125</v>
      </c>
      <c r="B147" s="91">
        <f ca="1">IF(RTD("tos.rtd",,$A$2,"."&amp;B$135&amp;B$1&amp;"C"&amp;$A147)="N/A",0,RTD("tos.rtd",,$A$2,"."&amp;B$135&amp;B$1&amp;"C"&amp;$A147))-IF(RTD("tos.rtd",,$A$2,"."&amp;B$135&amp;B$1&amp;"P"&amp;$A147)="N/A",0,RTD("tos.rtd",,$A$2,"."&amp;B$135&amp;B$1&amp;"P"&amp;$A147))</f>
        <v>0</v>
      </c>
      <c r="C147" s="91">
        <f ca="1">IF(RTD("tos.rtd",,$A$2,"."&amp;C$135&amp;C$1&amp;"C"&amp;$A147)="N/A",0,RTD("tos.rtd",,$A$2,"."&amp;C$135&amp;C$1&amp;"C"&amp;$A147))-IF(RTD("tos.rtd",,$A$2,"."&amp;C$135&amp;C$1&amp;"P"&amp;$A147)="N/A",0,RTD("tos.rtd",,$A$2,"."&amp;C$135&amp;C$1&amp;"P"&amp;$A147))</f>
        <v>0</v>
      </c>
      <c r="D147" s="91">
        <f ca="1">IF(RTD("tos.rtd",,$A$2,"."&amp;D$135&amp;D$1&amp;"C"&amp;$A147)="N/A",0,RTD("tos.rtd",,$A$2,"."&amp;D$135&amp;D$1&amp;"C"&amp;$A147))-IF(RTD("tos.rtd",,$A$2,"."&amp;D$135&amp;D$1&amp;"P"&amp;$A147)="N/A",0,RTD("tos.rtd",,$A$2,"."&amp;D$135&amp;D$1&amp;"P"&amp;$A147))</f>
        <v>0</v>
      </c>
      <c r="E147" s="91">
        <f ca="1">IF(RTD("tos.rtd",,$A$2,"."&amp;E$135&amp;E$1&amp;"C"&amp;$A147)="N/A",0,RTD("tos.rtd",,$A$2,"."&amp;E$135&amp;E$1&amp;"C"&amp;$A147))-IF(RTD("tos.rtd",,$A$2,"."&amp;E$135&amp;E$1&amp;"P"&amp;$A147)="N/A",0,RTD("tos.rtd",,$A$2,"."&amp;E$135&amp;E$1&amp;"P"&amp;$A147))</f>
        <v>0</v>
      </c>
      <c r="F147" s="91">
        <f ca="1">IF(RTD("tos.rtd",,$A$2,"."&amp;F$135&amp;F$1&amp;"C"&amp;$A147)="N/A",0,RTD("tos.rtd",,$A$2,"."&amp;F$135&amp;F$1&amp;"C"&amp;$A147))-IF(RTD("tos.rtd",,$A$2,"."&amp;F$135&amp;F$1&amp;"P"&amp;$A147)="N/A",0,RTD("tos.rtd",,$A$2,"."&amp;F$135&amp;F$1&amp;"P"&amp;$A147))</f>
        <v>0</v>
      </c>
      <c r="G147" s="91">
        <f ca="1">IF(RTD("tos.rtd",,$A$2,"."&amp;G$135&amp;G$1&amp;"C"&amp;$A147)="N/A",0,RTD("tos.rtd",,$A$2,"."&amp;G$135&amp;G$1&amp;"C"&amp;$A147))-IF(RTD("tos.rtd",,$A$2,"."&amp;G$135&amp;G$1&amp;"P"&amp;$A147)="N/A",0,RTD("tos.rtd",,$A$2,"."&amp;G$135&amp;G$1&amp;"P"&amp;$A147))</f>
        <v>0</v>
      </c>
      <c r="H147" s="91">
        <f ca="1">IF(RTD("tos.rtd",,$A$2,"."&amp;H$135&amp;H$1&amp;"C"&amp;$A147)="N/A",0,RTD("tos.rtd",,$A$2,"."&amp;H$135&amp;H$1&amp;"C"&amp;$A147))-IF(RTD("tos.rtd",,$A$2,"."&amp;H$135&amp;H$1&amp;"P"&amp;$A147)="N/A",0,RTD("tos.rtd",,$A$2,"."&amp;H$135&amp;H$1&amp;"P"&amp;$A147))</f>
        <v>0</v>
      </c>
      <c r="I147" s="91">
        <f ca="1">IF(RTD("tos.rtd",,$A$2,"."&amp;I$135&amp;I$1&amp;"C"&amp;$A147)="N/A",0,RTD("tos.rtd",,$A$2,"."&amp;I$135&amp;I$1&amp;"C"&amp;$A147))-IF(RTD("tos.rtd",,$A$2,"."&amp;I$135&amp;I$1&amp;"P"&amp;$A147)="N/A",0,RTD("tos.rtd",,$A$2,"."&amp;I$135&amp;I$1&amp;"P"&amp;$A147))</f>
        <v>0</v>
      </c>
      <c r="J147" s="91">
        <f ca="1">IF(RTD("tos.rtd",,$A$2,"."&amp;J$135&amp;J$1&amp;"C"&amp;$A147)="N/A",0,RTD("tos.rtd",,$A$2,"."&amp;J$135&amp;J$1&amp;"C"&amp;$A147))-IF(RTD("tos.rtd",,$A$2,"."&amp;J$135&amp;J$1&amp;"P"&amp;$A147)="N/A",0,RTD("tos.rtd",,$A$2,"."&amp;J$135&amp;J$1&amp;"P"&amp;$A147))</f>
        <v>1</v>
      </c>
      <c r="K147" s="91">
        <f ca="1">IF(RTD("tos.rtd",,$A$2,"."&amp;K$135&amp;K$1&amp;"C"&amp;$A147)="N/A",0,RTD("tos.rtd",,$A$2,"."&amp;K$135&amp;K$1&amp;"C"&amp;$A147))-IF(RTD("tos.rtd",,$A$2,"."&amp;K$135&amp;K$1&amp;"P"&amp;$A147)="N/A",0,RTD("tos.rtd",,$A$2,"."&amp;K$135&amp;K$1&amp;"P"&amp;$A147))</f>
        <v>0</v>
      </c>
      <c r="L147" s="91">
        <f ca="1">IF(RTD("tos.rtd",,$A$2,"."&amp;L$135&amp;L$1&amp;"C"&amp;$A147)="N/A",0,RTD("tos.rtd",,$A$2,"."&amp;L$135&amp;L$1&amp;"C"&amp;$A147))-IF(RTD("tos.rtd",,$A$2,"."&amp;L$135&amp;L$1&amp;"P"&amp;$A147)="N/A",0,RTD("tos.rtd",,$A$2,"."&amp;L$135&amp;L$1&amp;"P"&amp;$A147))</f>
        <v>0</v>
      </c>
      <c r="M147" s="91">
        <f ca="1">IF(RTD("tos.rtd",,$A$2,"."&amp;M$135&amp;M$1&amp;"C"&amp;$A147)="N/A",0,RTD("tos.rtd",,$A$2,"."&amp;M$135&amp;M$1&amp;"C"&amp;$A147))-IF(RTD("tos.rtd",,$A$2,"."&amp;M$135&amp;M$1&amp;"P"&amp;$A147)="N/A",0,RTD("tos.rtd",,$A$2,"."&amp;M$135&amp;M$1&amp;"P"&amp;$A147))</f>
        <v>0</v>
      </c>
      <c r="N147" s="91">
        <f ca="1">IF(RTD("tos.rtd",,$A$2,"."&amp;N$135&amp;N$1&amp;"C"&amp;$A147)="N/A",0,RTD("tos.rtd",,$A$2,"."&amp;N$135&amp;N$1&amp;"C"&amp;$A147))-IF(RTD("tos.rtd",,$A$2,"."&amp;N$135&amp;N$1&amp;"P"&amp;$A147)="N/A",0,RTD("tos.rtd",,$A$2,"."&amp;N$135&amp;N$1&amp;"P"&amp;$A147))</f>
        <v>0</v>
      </c>
      <c r="O147" s="91">
        <f ca="1">IF(RTD("tos.rtd",,$A$2,"."&amp;O$135&amp;O$1&amp;"C"&amp;$A147)="N/A",0,RTD("tos.rtd",,$A$2,"."&amp;O$135&amp;O$1&amp;"C"&amp;$A147))-IF(RTD("tos.rtd",,$A$2,"."&amp;O$135&amp;O$1&amp;"P"&amp;$A147)="N/A",0,RTD("tos.rtd",,$A$2,"."&amp;O$135&amp;O$1&amp;"P"&amp;$A147))</f>
        <v>0</v>
      </c>
      <c r="P147" s="91">
        <f ca="1">IF(RTD("tos.rtd",,$A$2,"."&amp;P$135&amp;P$1&amp;"C"&amp;$A147)="N/A",0,RTD("tos.rtd",,$A$2,"."&amp;P$135&amp;P$1&amp;"C"&amp;$A147))-IF(RTD("tos.rtd",,$A$2,"."&amp;P$135&amp;P$1&amp;"P"&amp;$A147)="N/A",0,RTD("tos.rtd",,$A$2,"."&amp;P$135&amp;P$1&amp;"P"&amp;$A147))</f>
        <v>0</v>
      </c>
      <c r="Q147" s="91">
        <f ca="1">IF(RTD("tos.rtd",,$A$2,"."&amp;Q$135&amp;Q$1&amp;"C"&amp;$A147)="N/A",0,RTD("tos.rtd",,$A$2,"."&amp;Q$135&amp;Q$1&amp;"C"&amp;$A147))-IF(RTD("tos.rtd",,$A$2,"."&amp;Q$135&amp;Q$1&amp;"P"&amp;$A147)="N/A",0,RTD("tos.rtd",,$A$2,"."&amp;Q$135&amp;Q$1&amp;"P"&amp;$A147))</f>
        <v>0</v>
      </c>
      <c r="R147" s="91">
        <f ca="1">IF(RTD("tos.rtd",,$A$2,"."&amp;R$135&amp;R$1&amp;"C"&amp;$A147)="N/A",0,RTD("tos.rtd",,$A$2,"."&amp;R$135&amp;R$1&amp;"C"&amp;$A147))-IF(RTD("tos.rtd",,$A$2,"."&amp;R$135&amp;R$1&amp;"P"&amp;$A147)="N/A",0,RTD("tos.rtd",,$A$2,"."&amp;R$135&amp;R$1&amp;"P"&amp;$A147))</f>
        <v>0</v>
      </c>
      <c r="S147" s="91">
        <f ca="1">IF(RTD("tos.rtd",,$A$2,"."&amp;S$135&amp;S$1&amp;"C"&amp;$A147)="N/A",0,RTD("tos.rtd",,$A$2,"."&amp;S$135&amp;S$1&amp;"C"&amp;$A147))-IF(RTD("tos.rtd",,$A$2,"."&amp;S$135&amp;S$1&amp;"P"&amp;$A147)="N/A",0,RTD("tos.rtd",,$A$2,"."&amp;S$135&amp;S$1&amp;"P"&amp;$A147))</f>
        <v>0</v>
      </c>
      <c r="T147" s="91">
        <f ca="1">IF(RTD("tos.rtd",,$A$2,"."&amp;T$135&amp;T$1&amp;"C"&amp;$A147)="N/A",0,RTD("tos.rtd",,$A$2,"."&amp;T$135&amp;T$1&amp;"C"&amp;$A147))-IF(RTD("tos.rtd",,$A$2,"."&amp;T$135&amp;T$1&amp;"P"&amp;$A147)="N/A",0,RTD("tos.rtd",,$A$2,"."&amp;T$135&amp;T$1&amp;"P"&amp;$A147))</f>
        <v>0</v>
      </c>
      <c r="U147" s="91">
        <f ca="1">IF(RTD("tos.rtd",,$A$2,"."&amp;U$135&amp;U$1&amp;"C"&amp;$A147)="N/A",0,RTD("tos.rtd",,$A$2,"."&amp;U$135&amp;U$1&amp;"C"&amp;$A147))-IF(RTD("tos.rtd",,$A$2,"."&amp;U$135&amp;U$1&amp;"P"&amp;$A147)="N/A",0,RTD("tos.rtd",,$A$2,"."&amp;U$135&amp;U$1&amp;"P"&amp;$A147))</f>
        <v>0</v>
      </c>
      <c r="V147" s="91">
        <f ca="1">IF(RTD("tos.rtd",,$A$2,"."&amp;V$135&amp;V$1&amp;"C"&amp;$A147)="N/A",0,RTD("tos.rtd",,$A$2,"."&amp;V$135&amp;V$1&amp;"C"&amp;$A147))-IF(RTD("tos.rtd",,$A$2,"."&amp;V$135&amp;V$1&amp;"P"&amp;$A147)="N/A",0,RTD("tos.rtd",,$A$2,"."&amp;V$135&amp;V$1&amp;"P"&amp;$A147))</f>
        <v>0</v>
      </c>
      <c r="W147" s="91">
        <f ca="1">IF(RTD("tos.rtd",,$A$2,"."&amp;W$135&amp;W$1&amp;"C"&amp;$A147)="N/A",0,RTD("tos.rtd",,$A$2,"."&amp;W$135&amp;W$1&amp;"C"&amp;$A147))-IF(RTD("tos.rtd",,$A$2,"."&amp;W$135&amp;W$1&amp;"P"&amp;$A147)="N/A",0,RTD("tos.rtd",,$A$2,"."&amp;W$135&amp;W$1&amp;"P"&amp;$A147))</f>
        <v>0</v>
      </c>
      <c r="X147" s="91">
        <f ca="1">IF(RTD("tos.rtd",,$A$2,"."&amp;X$135&amp;X$1&amp;"C"&amp;$A147)="N/A",0,RTD("tos.rtd",,$A$2,"."&amp;X$135&amp;X$1&amp;"C"&amp;$A147))-IF(RTD("tos.rtd",,$A$2,"."&amp;X$135&amp;X$1&amp;"P"&amp;$A147)="N/A",0,RTD("tos.rtd",,$A$2,"."&amp;X$135&amp;X$1&amp;"P"&amp;$A147))</f>
        <v>0</v>
      </c>
      <c r="Y147" s="98">
        <f t="shared" ca="1" si="13"/>
        <v>1</v>
      </c>
      <c r="Z147" s="91"/>
      <c r="AA147" s="91"/>
    </row>
    <row r="148" spans="1:27" x14ac:dyDescent="0.25">
      <c r="A148" s="93">
        <f>+Hoja1!A147</f>
        <v>21100</v>
      </c>
      <c r="B148" s="91">
        <f ca="1">IF(RTD("tos.rtd",,$A$2,"."&amp;B$135&amp;B$1&amp;"C"&amp;$A148)="N/A",0,RTD("tos.rtd",,$A$2,"."&amp;B$135&amp;B$1&amp;"C"&amp;$A148))-IF(RTD("tos.rtd",,$A$2,"."&amp;B$135&amp;B$1&amp;"P"&amp;$A148)="N/A",0,RTD("tos.rtd",,$A$2,"."&amp;B$135&amp;B$1&amp;"P"&amp;$A148))</f>
        <v>0</v>
      </c>
      <c r="C148" s="91">
        <f ca="1">IF(RTD("tos.rtd",,$A$2,"."&amp;C$135&amp;C$1&amp;"C"&amp;$A148)="N/A",0,RTD("tos.rtd",,$A$2,"."&amp;C$135&amp;C$1&amp;"C"&amp;$A148))-IF(RTD("tos.rtd",,$A$2,"."&amp;C$135&amp;C$1&amp;"P"&amp;$A148)="N/A",0,RTD("tos.rtd",,$A$2,"."&amp;C$135&amp;C$1&amp;"P"&amp;$A148))</f>
        <v>0</v>
      </c>
      <c r="D148" s="91">
        <f ca="1">IF(RTD("tos.rtd",,$A$2,"."&amp;D$135&amp;D$1&amp;"C"&amp;$A148)="N/A",0,RTD("tos.rtd",,$A$2,"."&amp;D$135&amp;D$1&amp;"C"&amp;$A148))-IF(RTD("tos.rtd",,$A$2,"."&amp;D$135&amp;D$1&amp;"P"&amp;$A148)="N/A",0,RTD("tos.rtd",,$A$2,"."&amp;D$135&amp;D$1&amp;"P"&amp;$A148))</f>
        <v>0</v>
      </c>
      <c r="E148" s="91">
        <f ca="1">IF(RTD("tos.rtd",,$A$2,"."&amp;E$135&amp;E$1&amp;"C"&amp;$A148)="N/A",0,RTD("tos.rtd",,$A$2,"."&amp;E$135&amp;E$1&amp;"C"&amp;$A148))-IF(RTD("tos.rtd",,$A$2,"."&amp;E$135&amp;E$1&amp;"P"&amp;$A148)="N/A",0,RTD("tos.rtd",,$A$2,"."&amp;E$135&amp;E$1&amp;"P"&amp;$A148))</f>
        <v>0</v>
      </c>
      <c r="F148" s="91">
        <f ca="1">IF(RTD("tos.rtd",,$A$2,"."&amp;F$135&amp;F$1&amp;"C"&amp;$A148)="N/A",0,RTD("tos.rtd",,$A$2,"."&amp;F$135&amp;F$1&amp;"C"&amp;$A148))-IF(RTD("tos.rtd",,$A$2,"."&amp;F$135&amp;F$1&amp;"P"&amp;$A148)="N/A",0,RTD("tos.rtd",,$A$2,"."&amp;F$135&amp;F$1&amp;"P"&amp;$A148))</f>
        <v>0</v>
      </c>
      <c r="G148" s="91">
        <f ca="1">IF(RTD("tos.rtd",,$A$2,"."&amp;G$135&amp;G$1&amp;"C"&amp;$A148)="N/A",0,RTD("tos.rtd",,$A$2,"."&amp;G$135&amp;G$1&amp;"C"&amp;$A148))-IF(RTD("tos.rtd",,$A$2,"."&amp;G$135&amp;G$1&amp;"P"&amp;$A148)="N/A",0,RTD("tos.rtd",,$A$2,"."&amp;G$135&amp;G$1&amp;"P"&amp;$A148))</f>
        <v>0</v>
      </c>
      <c r="H148" s="91">
        <f ca="1">IF(RTD("tos.rtd",,$A$2,"."&amp;H$135&amp;H$1&amp;"C"&amp;$A148)="N/A",0,RTD("tos.rtd",,$A$2,"."&amp;H$135&amp;H$1&amp;"C"&amp;$A148))-IF(RTD("tos.rtd",,$A$2,"."&amp;H$135&amp;H$1&amp;"P"&amp;$A148)="N/A",0,RTD("tos.rtd",,$A$2,"."&amp;H$135&amp;H$1&amp;"P"&amp;$A148))</f>
        <v>0</v>
      </c>
      <c r="I148" s="91">
        <f ca="1">IF(RTD("tos.rtd",,$A$2,"."&amp;I$135&amp;I$1&amp;"C"&amp;$A148)="N/A",0,RTD("tos.rtd",,$A$2,"."&amp;I$135&amp;I$1&amp;"C"&amp;$A148))-IF(RTD("tos.rtd",,$A$2,"."&amp;I$135&amp;I$1&amp;"P"&amp;$A148)="N/A",0,RTD("tos.rtd",,$A$2,"."&amp;I$135&amp;I$1&amp;"P"&amp;$A148))</f>
        <v>5</v>
      </c>
      <c r="J148" s="91">
        <f ca="1">IF(RTD("tos.rtd",,$A$2,"."&amp;J$135&amp;J$1&amp;"C"&amp;$A148)="N/A",0,RTD("tos.rtd",,$A$2,"."&amp;J$135&amp;J$1&amp;"C"&amp;$A148))-IF(RTD("tos.rtd",,$A$2,"."&amp;J$135&amp;J$1&amp;"P"&amp;$A148)="N/A",0,RTD("tos.rtd",,$A$2,"."&amp;J$135&amp;J$1&amp;"P"&amp;$A148))</f>
        <v>1</v>
      </c>
      <c r="K148" s="91">
        <f ca="1">IF(RTD("tos.rtd",,$A$2,"."&amp;K$135&amp;K$1&amp;"C"&amp;$A148)="N/A",0,RTD("tos.rtd",,$A$2,"."&amp;K$135&amp;K$1&amp;"C"&amp;$A148))-IF(RTD("tos.rtd",,$A$2,"."&amp;K$135&amp;K$1&amp;"P"&amp;$A148)="N/A",0,RTD("tos.rtd",,$A$2,"."&amp;K$135&amp;K$1&amp;"P"&amp;$A148))</f>
        <v>0</v>
      </c>
      <c r="L148" s="91">
        <f ca="1">IF(RTD("tos.rtd",,$A$2,"."&amp;L$135&amp;L$1&amp;"C"&amp;$A148)="N/A",0,RTD("tos.rtd",,$A$2,"."&amp;L$135&amp;L$1&amp;"C"&amp;$A148))-IF(RTD("tos.rtd",,$A$2,"."&amp;L$135&amp;L$1&amp;"P"&amp;$A148)="N/A",0,RTD("tos.rtd",,$A$2,"."&amp;L$135&amp;L$1&amp;"P"&amp;$A148))</f>
        <v>0</v>
      </c>
      <c r="M148" s="91">
        <f ca="1">IF(RTD("tos.rtd",,$A$2,"."&amp;M$135&amp;M$1&amp;"C"&amp;$A148)="N/A",0,RTD("tos.rtd",,$A$2,"."&amp;M$135&amp;M$1&amp;"C"&amp;$A148))-IF(RTD("tos.rtd",,$A$2,"."&amp;M$135&amp;M$1&amp;"P"&amp;$A148)="N/A",0,RTD("tos.rtd",,$A$2,"."&amp;M$135&amp;M$1&amp;"P"&amp;$A148))</f>
        <v>6</v>
      </c>
      <c r="N148" s="91">
        <f ca="1">IF(RTD("tos.rtd",,$A$2,"."&amp;N$135&amp;N$1&amp;"C"&amp;$A148)="N/A",0,RTD("tos.rtd",,$A$2,"."&amp;N$135&amp;N$1&amp;"C"&amp;$A148))-IF(RTD("tos.rtd",,$A$2,"."&amp;N$135&amp;N$1&amp;"P"&amp;$A148)="N/A",0,RTD("tos.rtd",,$A$2,"."&amp;N$135&amp;N$1&amp;"P"&amp;$A148))</f>
        <v>0</v>
      </c>
      <c r="O148" s="91">
        <f ca="1">IF(RTD("tos.rtd",,$A$2,"."&amp;O$135&amp;O$1&amp;"C"&amp;$A148)="N/A",0,RTD("tos.rtd",,$A$2,"."&amp;O$135&amp;O$1&amp;"C"&amp;$A148))-IF(RTD("tos.rtd",,$A$2,"."&amp;O$135&amp;O$1&amp;"P"&amp;$A148)="N/A",0,RTD("tos.rtd",,$A$2,"."&amp;O$135&amp;O$1&amp;"P"&amp;$A148))</f>
        <v>0</v>
      </c>
      <c r="P148" s="91">
        <f ca="1">IF(RTD("tos.rtd",,$A$2,"."&amp;P$135&amp;P$1&amp;"C"&amp;$A148)="N/A",0,RTD("tos.rtd",,$A$2,"."&amp;P$135&amp;P$1&amp;"C"&amp;$A148))-IF(RTD("tos.rtd",,$A$2,"."&amp;P$135&amp;P$1&amp;"P"&amp;$A148)="N/A",0,RTD("tos.rtd",,$A$2,"."&amp;P$135&amp;P$1&amp;"P"&amp;$A148))</f>
        <v>0</v>
      </c>
      <c r="Q148" s="91">
        <f ca="1">IF(RTD("tos.rtd",,$A$2,"."&amp;Q$135&amp;Q$1&amp;"C"&amp;$A148)="N/A",0,RTD("tos.rtd",,$A$2,"."&amp;Q$135&amp;Q$1&amp;"C"&amp;$A148))-IF(RTD("tos.rtd",,$A$2,"."&amp;Q$135&amp;Q$1&amp;"P"&amp;$A148)="N/A",0,RTD("tos.rtd",,$A$2,"."&amp;Q$135&amp;Q$1&amp;"P"&amp;$A148))</f>
        <v>-2</v>
      </c>
      <c r="R148" s="91">
        <f ca="1">IF(RTD("tos.rtd",,$A$2,"."&amp;R$135&amp;R$1&amp;"C"&amp;$A148)="N/A",0,RTD("tos.rtd",,$A$2,"."&amp;R$135&amp;R$1&amp;"C"&amp;$A148))-IF(RTD("tos.rtd",,$A$2,"."&amp;R$135&amp;R$1&amp;"P"&amp;$A148)="N/A",0,RTD("tos.rtd",,$A$2,"."&amp;R$135&amp;R$1&amp;"P"&amp;$A148))</f>
        <v>0</v>
      </c>
      <c r="S148" s="91">
        <f ca="1">IF(RTD("tos.rtd",,$A$2,"."&amp;S$135&amp;S$1&amp;"C"&amp;$A148)="N/A",0,RTD("tos.rtd",,$A$2,"."&amp;S$135&amp;S$1&amp;"C"&amp;$A148))-IF(RTD("tos.rtd",,$A$2,"."&amp;S$135&amp;S$1&amp;"P"&amp;$A148)="N/A",0,RTD("tos.rtd",,$A$2,"."&amp;S$135&amp;S$1&amp;"P"&amp;$A148))</f>
        <v>0</v>
      </c>
      <c r="T148" s="91">
        <f ca="1">IF(RTD("tos.rtd",,$A$2,"."&amp;T$135&amp;T$1&amp;"C"&amp;$A148)="N/A",0,RTD("tos.rtd",,$A$2,"."&amp;T$135&amp;T$1&amp;"C"&amp;$A148))-IF(RTD("tos.rtd",,$A$2,"."&amp;T$135&amp;T$1&amp;"P"&amp;$A148)="N/A",0,RTD("tos.rtd",,$A$2,"."&amp;T$135&amp;T$1&amp;"P"&amp;$A148))</f>
        <v>0</v>
      </c>
      <c r="U148" s="91">
        <f ca="1">IF(RTD("tos.rtd",,$A$2,"."&amp;U$135&amp;U$1&amp;"C"&amp;$A148)="N/A",0,RTD("tos.rtd",,$A$2,"."&amp;U$135&amp;U$1&amp;"C"&amp;$A148))-IF(RTD("tos.rtd",,$A$2,"."&amp;U$135&amp;U$1&amp;"P"&amp;$A148)="N/A",0,RTD("tos.rtd",,$A$2,"."&amp;U$135&amp;U$1&amp;"P"&amp;$A148))</f>
        <v>0</v>
      </c>
      <c r="V148" s="91">
        <f ca="1">IF(RTD("tos.rtd",,$A$2,"."&amp;V$135&amp;V$1&amp;"C"&amp;$A148)="N/A",0,RTD("tos.rtd",,$A$2,"."&amp;V$135&amp;V$1&amp;"C"&amp;$A148))-IF(RTD("tos.rtd",,$A$2,"."&amp;V$135&amp;V$1&amp;"P"&amp;$A148)="N/A",0,RTD("tos.rtd",,$A$2,"."&amp;V$135&amp;V$1&amp;"P"&amp;$A148))</f>
        <v>0</v>
      </c>
      <c r="W148" s="91">
        <f ca="1">IF(RTD("tos.rtd",,$A$2,"."&amp;W$135&amp;W$1&amp;"C"&amp;$A148)="N/A",0,RTD("tos.rtd",,$A$2,"."&amp;W$135&amp;W$1&amp;"C"&amp;$A148))-IF(RTD("tos.rtd",,$A$2,"."&amp;W$135&amp;W$1&amp;"P"&amp;$A148)="N/A",0,RTD("tos.rtd",,$A$2,"."&amp;W$135&amp;W$1&amp;"P"&amp;$A148))</f>
        <v>0</v>
      </c>
      <c r="X148" s="91">
        <f ca="1">IF(RTD("tos.rtd",,$A$2,"."&amp;X$135&amp;X$1&amp;"C"&amp;$A148)="N/A",0,RTD("tos.rtd",,$A$2,"."&amp;X$135&amp;X$1&amp;"C"&amp;$A148))-IF(RTD("tos.rtd",,$A$2,"."&amp;X$135&amp;X$1&amp;"P"&amp;$A148)="N/A",0,RTD("tos.rtd",,$A$2,"."&amp;X$135&amp;X$1&amp;"P"&amp;$A148))</f>
        <v>0</v>
      </c>
      <c r="Y148" s="98">
        <f t="shared" ca="1" si="13"/>
        <v>10</v>
      </c>
      <c r="Z148" s="91"/>
      <c r="AA148" s="91"/>
    </row>
    <row r="149" spans="1:27" x14ac:dyDescent="0.25">
      <c r="A149" s="93">
        <f>+Hoja1!A148</f>
        <v>21075</v>
      </c>
      <c r="B149" s="91">
        <f ca="1">IF(RTD("tos.rtd",,$A$2,"."&amp;B$135&amp;B$1&amp;"C"&amp;$A149)="N/A",0,RTD("tos.rtd",,$A$2,"."&amp;B$135&amp;B$1&amp;"C"&amp;$A149))-IF(RTD("tos.rtd",,$A$2,"."&amp;B$135&amp;B$1&amp;"P"&amp;$A149)="N/A",0,RTD("tos.rtd",,$A$2,"."&amp;B$135&amp;B$1&amp;"P"&amp;$A149))</f>
        <v>0</v>
      </c>
      <c r="C149" s="91">
        <f ca="1">IF(RTD("tos.rtd",,$A$2,"."&amp;C$135&amp;C$1&amp;"C"&amp;$A149)="N/A",0,RTD("tos.rtd",,$A$2,"."&amp;C$135&amp;C$1&amp;"C"&amp;$A149))-IF(RTD("tos.rtd",,$A$2,"."&amp;C$135&amp;C$1&amp;"P"&amp;$A149)="N/A",0,RTD("tos.rtd",,$A$2,"."&amp;C$135&amp;C$1&amp;"P"&amp;$A149))</f>
        <v>0</v>
      </c>
      <c r="D149" s="91">
        <f ca="1">IF(RTD("tos.rtd",,$A$2,"."&amp;D$135&amp;D$1&amp;"C"&amp;$A149)="N/A",0,RTD("tos.rtd",,$A$2,"."&amp;D$135&amp;D$1&amp;"C"&amp;$A149))-IF(RTD("tos.rtd",,$A$2,"."&amp;D$135&amp;D$1&amp;"P"&amp;$A149)="N/A",0,RTD("tos.rtd",,$A$2,"."&amp;D$135&amp;D$1&amp;"P"&amp;$A149))</f>
        <v>0</v>
      </c>
      <c r="E149" s="91">
        <f ca="1">IF(RTD("tos.rtd",,$A$2,"."&amp;E$135&amp;E$1&amp;"C"&amp;$A149)="N/A",0,RTD("tos.rtd",,$A$2,"."&amp;E$135&amp;E$1&amp;"C"&amp;$A149))-IF(RTD("tos.rtd",,$A$2,"."&amp;E$135&amp;E$1&amp;"P"&amp;$A149)="N/A",0,RTD("tos.rtd",,$A$2,"."&amp;E$135&amp;E$1&amp;"P"&amp;$A149))</f>
        <v>0</v>
      </c>
      <c r="F149" s="91">
        <f ca="1">IF(RTD("tos.rtd",,$A$2,"."&amp;F$135&amp;F$1&amp;"C"&amp;$A149)="N/A",0,RTD("tos.rtd",,$A$2,"."&amp;F$135&amp;F$1&amp;"C"&amp;$A149))-IF(RTD("tos.rtd",,$A$2,"."&amp;F$135&amp;F$1&amp;"P"&amp;$A149)="N/A",0,RTD("tos.rtd",,$A$2,"."&amp;F$135&amp;F$1&amp;"P"&amp;$A149))</f>
        <v>0</v>
      </c>
      <c r="G149" s="91">
        <f ca="1">IF(RTD("tos.rtd",,$A$2,"."&amp;G$135&amp;G$1&amp;"C"&amp;$A149)="N/A",0,RTD("tos.rtd",,$A$2,"."&amp;G$135&amp;G$1&amp;"C"&amp;$A149))-IF(RTD("tos.rtd",,$A$2,"."&amp;G$135&amp;G$1&amp;"P"&amp;$A149)="N/A",0,RTD("tos.rtd",,$A$2,"."&amp;G$135&amp;G$1&amp;"P"&amp;$A149))</f>
        <v>0</v>
      </c>
      <c r="H149" s="91">
        <f ca="1">IF(RTD("tos.rtd",,$A$2,"."&amp;H$135&amp;H$1&amp;"C"&amp;$A149)="N/A",0,RTD("tos.rtd",,$A$2,"."&amp;H$135&amp;H$1&amp;"C"&amp;$A149))-IF(RTD("tos.rtd",,$A$2,"."&amp;H$135&amp;H$1&amp;"P"&amp;$A149)="N/A",0,RTD("tos.rtd",,$A$2,"."&amp;H$135&amp;H$1&amp;"P"&amp;$A149))</f>
        <v>0</v>
      </c>
      <c r="I149" s="91">
        <f ca="1">IF(RTD("tos.rtd",,$A$2,"."&amp;I$135&amp;I$1&amp;"C"&amp;$A149)="N/A",0,RTD("tos.rtd",,$A$2,"."&amp;I$135&amp;I$1&amp;"C"&amp;$A149))-IF(RTD("tos.rtd",,$A$2,"."&amp;I$135&amp;I$1&amp;"P"&amp;$A149)="N/A",0,RTD("tos.rtd",,$A$2,"."&amp;I$135&amp;I$1&amp;"P"&amp;$A149))</f>
        <v>0</v>
      </c>
      <c r="J149" s="91">
        <f ca="1">IF(RTD("tos.rtd",,$A$2,"."&amp;J$135&amp;J$1&amp;"C"&amp;$A149)="N/A",0,RTD("tos.rtd",,$A$2,"."&amp;J$135&amp;J$1&amp;"C"&amp;$A149))-IF(RTD("tos.rtd",,$A$2,"."&amp;J$135&amp;J$1&amp;"P"&amp;$A149)="N/A",0,RTD("tos.rtd",,$A$2,"."&amp;J$135&amp;J$1&amp;"P"&amp;$A149))</f>
        <v>0</v>
      </c>
      <c r="K149" s="91">
        <f ca="1">IF(RTD("tos.rtd",,$A$2,"."&amp;K$135&amp;K$1&amp;"C"&amp;$A149)="N/A",0,RTD("tos.rtd",,$A$2,"."&amp;K$135&amp;K$1&amp;"C"&amp;$A149))-IF(RTD("tos.rtd",,$A$2,"."&amp;K$135&amp;K$1&amp;"P"&amp;$A149)="N/A",0,RTD("tos.rtd",,$A$2,"."&amp;K$135&amp;K$1&amp;"P"&amp;$A149))</f>
        <v>0</v>
      </c>
      <c r="L149" s="91">
        <f ca="1">IF(RTD("tos.rtd",,$A$2,"."&amp;L$135&amp;L$1&amp;"C"&amp;$A149)="N/A",0,RTD("tos.rtd",,$A$2,"."&amp;L$135&amp;L$1&amp;"C"&amp;$A149))-IF(RTD("tos.rtd",,$A$2,"."&amp;L$135&amp;L$1&amp;"P"&amp;$A149)="N/A",0,RTD("tos.rtd",,$A$2,"."&amp;L$135&amp;L$1&amp;"P"&amp;$A149))</f>
        <v>0</v>
      </c>
      <c r="M149" s="91">
        <f ca="1">IF(RTD("tos.rtd",,$A$2,"."&amp;M$135&amp;M$1&amp;"C"&amp;$A149)="N/A",0,RTD("tos.rtd",,$A$2,"."&amp;M$135&amp;M$1&amp;"C"&amp;$A149))-IF(RTD("tos.rtd",,$A$2,"."&amp;M$135&amp;M$1&amp;"P"&amp;$A149)="N/A",0,RTD("tos.rtd",,$A$2,"."&amp;M$135&amp;M$1&amp;"P"&amp;$A149))</f>
        <v>0</v>
      </c>
      <c r="N149" s="91">
        <f ca="1">IF(RTD("tos.rtd",,$A$2,"."&amp;N$135&amp;N$1&amp;"C"&amp;$A149)="N/A",0,RTD("tos.rtd",,$A$2,"."&amp;N$135&amp;N$1&amp;"C"&amp;$A149))-IF(RTD("tos.rtd",,$A$2,"."&amp;N$135&amp;N$1&amp;"P"&amp;$A149)="N/A",0,RTD("tos.rtd",,$A$2,"."&amp;N$135&amp;N$1&amp;"P"&amp;$A149))</f>
        <v>0</v>
      </c>
      <c r="O149" s="91">
        <f ca="1">IF(RTD("tos.rtd",,$A$2,"."&amp;O$135&amp;O$1&amp;"C"&amp;$A149)="N/A",0,RTD("tos.rtd",,$A$2,"."&amp;O$135&amp;O$1&amp;"C"&amp;$A149))-IF(RTD("tos.rtd",,$A$2,"."&amp;O$135&amp;O$1&amp;"P"&amp;$A149)="N/A",0,RTD("tos.rtd",,$A$2,"."&amp;O$135&amp;O$1&amp;"P"&amp;$A149))</f>
        <v>0</v>
      </c>
      <c r="P149" s="91">
        <f ca="1">IF(RTD("tos.rtd",,$A$2,"."&amp;P$135&amp;P$1&amp;"C"&amp;$A149)="N/A",0,RTD("tos.rtd",,$A$2,"."&amp;P$135&amp;P$1&amp;"C"&amp;$A149))-IF(RTD("tos.rtd",,$A$2,"."&amp;P$135&amp;P$1&amp;"P"&amp;$A149)="N/A",0,RTD("tos.rtd",,$A$2,"."&amp;P$135&amp;P$1&amp;"P"&amp;$A149))</f>
        <v>0</v>
      </c>
      <c r="Q149" s="91">
        <f ca="1">IF(RTD("tos.rtd",,$A$2,"."&amp;Q$135&amp;Q$1&amp;"C"&amp;$A149)="N/A",0,RTD("tos.rtd",,$A$2,"."&amp;Q$135&amp;Q$1&amp;"C"&amp;$A149))-IF(RTD("tos.rtd",,$A$2,"."&amp;Q$135&amp;Q$1&amp;"P"&amp;$A149)="N/A",0,RTD("tos.rtd",,$A$2,"."&amp;Q$135&amp;Q$1&amp;"P"&amp;$A149))</f>
        <v>0</v>
      </c>
      <c r="R149" s="91">
        <f ca="1">IF(RTD("tos.rtd",,$A$2,"."&amp;R$135&amp;R$1&amp;"C"&amp;$A149)="N/A",0,RTD("tos.rtd",,$A$2,"."&amp;R$135&amp;R$1&amp;"C"&amp;$A149))-IF(RTD("tos.rtd",,$A$2,"."&amp;R$135&amp;R$1&amp;"P"&amp;$A149)="N/A",0,RTD("tos.rtd",,$A$2,"."&amp;R$135&amp;R$1&amp;"P"&amp;$A149))</f>
        <v>0</v>
      </c>
      <c r="S149" s="91">
        <f ca="1">IF(RTD("tos.rtd",,$A$2,"."&amp;S$135&amp;S$1&amp;"C"&amp;$A149)="N/A",0,RTD("tos.rtd",,$A$2,"."&amp;S$135&amp;S$1&amp;"C"&amp;$A149))-IF(RTD("tos.rtd",,$A$2,"."&amp;S$135&amp;S$1&amp;"P"&amp;$A149)="N/A",0,RTD("tos.rtd",,$A$2,"."&amp;S$135&amp;S$1&amp;"P"&amp;$A149))</f>
        <v>0</v>
      </c>
      <c r="T149" s="91">
        <f ca="1">IF(RTD("tos.rtd",,$A$2,"."&amp;T$135&amp;T$1&amp;"C"&amp;$A149)="N/A",0,RTD("tos.rtd",,$A$2,"."&amp;T$135&amp;T$1&amp;"C"&amp;$A149))-IF(RTD("tos.rtd",,$A$2,"."&amp;T$135&amp;T$1&amp;"P"&amp;$A149)="N/A",0,RTD("tos.rtd",,$A$2,"."&amp;T$135&amp;T$1&amp;"P"&amp;$A149))</f>
        <v>0</v>
      </c>
      <c r="U149" s="91">
        <f ca="1">IF(RTD("tos.rtd",,$A$2,"."&amp;U$135&amp;U$1&amp;"C"&amp;$A149)="N/A",0,RTD("tos.rtd",,$A$2,"."&amp;U$135&amp;U$1&amp;"C"&amp;$A149))-IF(RTD("tos.rtd",,$A$2,"."&amp;U$135&amp;U$1&amp;"P"&amp;$A149)="N/A",0,RTD("tos.rtd",,$A$2,"."&amp;U$135&amp;U$1&amp;"P"&amp;$A149))</f>
        <v>0</v>
      </c>
      <c r="V149" s="91">
        <f ca="1">IF(RTD("tos.rtd",,$A$2,"."&amp;V$135&amp;V$1&amp;"C"&amp;$A149)="N/A",0,RTD("tos.rtd",,$A$2,"."&amp;V$135&amp;V$1&amp;"C"&amp;$A149))-IF(RTD("tos.rtd",,$A$2,"."&amp;V$135&amp;V$1&amp;"P"&amp;$A149)="N/A",0,RTD("tos.rtd",,$A$2,"."&amp;V$135&amp;V$1&amp;"P"&amp;$A149))</f>
        <v>0</v>
      </c>
      <c r="W149" s="91">
        <f ca="1">IF(RTD("tos.rtd",,$A$2,"."&amp;W$135&amp;W$1&amp;"C"&amp;$A149)="N/A",0,RTD("tos.rtd",,$A$2,"."&amp;W$135&amp;W$1&amp;"C"&amp;$A149))-IF(RTD("tos.rtd",,$A$2,"."&amp;W$135&amp;W$1&amp;"P"&amp;$A149)="N/A",0,RTD("tos.rtd",,$A$2,"."&amp;W$135&amp;W$1&amp;"P"&amp;$A149))</f>
        <v>0</v>
      </c>
      <c r="X149" s="91">
        <f ca="1">IF(RTD("tos.rtd",,$A$2,"."&amp;X$135&amp;X$1&amp;"C"&amp;$A149)="N/A",0,RTD("tos.rtd",,$A$2,"."&amp;X$135&amp;X$1&amp;"C"&amp;$A149))-IF(RTD("tos.rtd",,$A$2,"."&amp;X$135&amp;X$1&amp;"P"&amp;$A149)="N/A",0,RTD("tos.rtd",,$A$2,"."&amp;X$135&amp;X$1&amp;"P"&amp;$A149))</f>
        <v>0</v>
      </c>
      <c r="Y149" s="98">
        <f t="shared" ca="1" si="13"/>
        <v>0</v>
      </c>
      <c r="Z149" s="91"/>
      <c r="AA149" s="91"/>
    </row>
    <row r="150" spans="1:27" x14ac:dyDescent="0.25">
      <c r="A150" s="93">
        <f>+Hoja1!A149</f>
        <v>21050</v>
      </c>
      <c r="B150" s="91">
        <f ca="1">IF(RTD("tos.rtd",,$A$2,"."&amp;B$135&amp;B$1&amp;"C"&amp;$A150)="N/A",0,RTD("tos.rtd",,$A$2,"."&amp;B$135&amp;B$1&amp;"C"&amp;$A150))-IF(RTD("tos.rtd",,$A$2,"."&amp;B$135&amp;B$1&amp;"P"&amp;$A150)="N/A",0,RTD("tos.rtd",,$A$2,"."&amp;B$135&amp;B$1&amp;"P"&amp;$A150))</f>
        <v>0</v>
      </c>
      <c r="C150" s="91">
        <f ca="1">IF(RTD("tos.rtd",,$A$2,"."&amp;C$135&amp;C$1&amp;"C"&amp;$A150)="N/A",0,RTD("tos.rtd",,$A$2,"."&amp;C$135&amp;C$1&amp;"C"&amp;$A150))-IF(RTD("tos.rtd",,$A$2,"."&amp;C$135&amp;C$1&amp;"P"&amp;$A150)="N/A",0,RTD("tos.rtd",,$A$2,"."&amp;C$135&amp;C$1&amp;"P"&amp;$A150))</f>
        <v>0</v>
      </c>
      <c r="D150" s="91">
        <f ca="1">IF(RTD("tos.rtd",,$A$2,"."&amp;D$135&amp;D$1&amp;"C"&amp;$A150)="N/A",0,RTD("tos.rtd",,$A$2,"."&amp;D$135&amp;D$1&amp;"C"&amp;$A150))-IF(RTD("tos.rtd",,$A$2,"."&amp;D$135&amp;D$1&amp;"P"&amp;$A150)="N/A",0,RTD("tos.rtd",,$A$2,"."&amp;D$135&amp;D$1&amp;"P"&amp;$A150))</f>
        <v>0</v>
      </c>
      <c r="E150" s="91">
        <f ca="1">IF(RTD("tos.rtd",,$A$2,"."&amp;E$135&amp;E$1&amp;"C"&amp;$A150)="N/A",0,RTD("tos.rtd",,$A$2,"."&amp;E$135&amp;E$1&amp;"C"&amp;$A150))-IF(RTD("tos.rtd",,$A$2,"."&amp;E$135&amp;E$1&amp;"P"&amp;$A150)="N/A",0,RTD("tos.rtd",,$A$2,"."&amp;E$135&amp;E$1&amp;"P"&amp;$A150))</f>
        <v>0</v>
      </c>
      <c r="F150" s="91">
        <f ca="1">IF(RTD("tos.rtd",,$A$2,"."&amp;F$135&amp;F$1&amp;"C"&amp;$A150)="N/A",0,RTD("tos.rtd",,$A$2,"."&amp;F$135&amp;F$1&amp;"C"&amp;$A150))-IF(RTD("tos.rtd",,$A$2,"."&amp;F$135&amp;F$1&amp;"P"&amp;$A150)="N/A",0,RTD("tos.rtd",,$A$2,"."&amp;F$135&amp;F$1&amp;"P"&amp;$A150))</f>
        <v>0</v>
      </c>
      <c r="G150" s="91">
        <f ca="1">IF(RTD("tos.rtd",,$A$2,"."&amp;G$135&amp;G$1&amp;"C"&amp;$A150)="N/A",0,RTD("tos.rtd",,$A$2,"."&amp;G$135&amp;G$1&amp;"C"&amp;$A150))-IF(RTD("tos.rtd",,$A$2,"."&amp;G$135&amp;G$1&amp;"P"&amp;$A150)="N/A",0,RTD("tos.rtd",,$A$2,"."&amp;G$135&amp;G$1&amp;"P"&amp;$A150))</f>
        <v>0</v>
      </c>
      <c r="H150" s="91">
        <f ca="1">IF(RTD("tos.rtd",,$A$2,"."&amp;H$135&amp;H$1&amp;"C"&amp;$A150)="N/A",0,RTD("tos.rtd",,$A$2,"."&amp;H$135&amp;H$1&amp;"C"&amp;$A150))-IF(RTD("tos.rtd",,$A$2,"."&amp;H$135&amp;H$1&amp;"P"&amp;$A150)="N/A",0,RTD("tos.rtd",,$A$2,"."&amp;H$135&amp;H$1&amp;"P"&amp;$A150))</f>
        <v>0</v>
      </c>
      <c r="I150" s="91">
        <f ca="1">IF(RTD("tos.rtd",,$A$2,"."&amp;I$135&amp;I$1&amp;"C"&amp;$A150)="N/A",0,RTD("tos.rtd",,$A$2,"."&amp;I$135&amp;I$1&amp;"C"&amp;$A150))-IF(RTD("tos.rtd",,$A$2,"."&amp;I$135&amp;I$1&amp;"P"&amp;$A150)="N/A",0,RTD("tos.rtd",,$A$2,"."&amp;I$135&amp;I$1&amp;"P"&amp;$A150))</f>
        <v>0</v>
      </c>
      <c r="J150" s="91">
        <f ca="1">IF(RTD("tos.rtd",,$A$2,"."&amp;J$135&amp;J$1&amp;"C"&amp;$A150)="N/A",0,RTD("tos.rtd",,$A$2,"."&amp;J$135&amp;J$1&amp;"C"&amp;$A150))-IF(RTD("tos.rtd",,$A$2,"."&amp;J$135&amp;J$1&amp;"P"&amp;$A150)="N/A",0,RTD("tos.rtd",,$A$2,"."&amp;J$135&amp;J$1&amp;"P"&amp;$A150))</f>
        <v>0</v>
      </c>
      <c r="K150" s="91">
        <f ca="1">IF(RTD("tos.rtd",,$A$2,"."&amp;K$135&amp;K$1&amp;"C"&amp;$A150)="N/A",0,RTD("tos.rtd",,$A$2,"."&amp;K$135&amp;K$1&amp;"C"&amp;$A150))-IF(RTD("tos.rtd",,$A$2,"."&amp;K$135&amp;K$1&amp;"P"&amp;$A150)="N/A",0,RTD("tos.rtd",,$A$2,"."&amp;K$135&amp;K$1&amp;"P"&amp;$A150))</f>
        <v>0</v>
      </c>
      <c r="L150" s="91">
        <f ca="1">IF(RTD("tos.rtd",,$A$2,"."&amp;L$135&amp;L$1&amp;"C"&amp;$A150)="N/A",0,RTD("tos.rtd",,$A$2,"."&amp;L$135&amp;L$1&amp;"C"&amp;$A150))-IF(RTD("tos.rtd",,$A$2,"."&amp;L$135&amp;L$1&amp;"P"&amp;$A150)="N/A",0,RTD("tos.rtd",,$A$2,"."&amp;L$135&amp;L$1&amp;"P"&amp;$A150))</f>
        <v>0</v>
      </c>
      <c r="M150" s="91">
        <f ca="1">IF(RTD("tos.rtd",,$A$2,"."&amp;M$135&amp;M$1&amp;"C"&amp;$A150)="N/A",0,RTD("tos.rtd",,$A$2,"."&amp;M$135&amp;M$1&amp;"C"&amp;$A150))-IF(RTD("tos.rtd",,$A$2,"."&amp;M$135&amp;M$1&amp;"P"&amp;$A150)="N/A",0,RTD("tos.rtd",,$A$2,"."&amp;M$135&amp;M$1&amp;"P"&amp;$A150))</f>
        <v>0</v>
      </c>
      <c r="N150" s="91">
        <f ca="1">IF(RTD("tos.rtd",,$A$2,"."&amp;N$135&amp;N$1&amp;"C"&amp;$A150)="N/A",0,RTD("tos.rtd",,$A$2,"."&amp;N$135&amp;N$1&amp;"C"&amp;$A150))-IF(RTD("tos.rtd",,$A$2,"."&amp;N$135&amp;N$1&amp;"P"&amp;$A150)="N/A",0,RTD("tos.rtd",,$A$2,"."&amp;N$135&amp;N$1&amp;"P"&amp;$A150))</f>
        <v>0</v>
      </c>
      <c r="O150" s="91">
        <f ca="1">IF(RTD("tos.rtd",,$A$2,"."&amp;O$135&amp;O$1&amp;"C"&amp;$A150)="N/A",0,RTD("tos.rtd",,$A$2,"."&amp;O$135&amp;O$1&amp;"C"&amp;$A150))-IF(RTD("tos.rtd",,$A$2,"."&amp;O$135&amp;O$1&amp;"P"&amp;$A150)="N/A",0,RTD("tos.rtd",,$A$2,"."&amp;O$135&amp;O$1&amp;"P"&amp;$A150))</f>
        <v>0</v>
      </c>
      <c r="P150" s="91">
        <f ca="1">IF(RTD("tos.rtd",,$A$2,"."&amp;P$135&amp;P$1&amp;"C"&amp;$A150)="N/A",0,RTD("tos.rtd",,$A$2,"."&amp;P$135&amp;P$1&amp;"C"&amp;$A150))-IF(RTD("tos.rtd",,$A$2,"."&amp;P$135&amp;P$1&amp;"P"&amp;$A150)="N/A",0,RTD("tos.rtd",,$A$2,"."&amp;P$135&amp;P$1&amp;"P"&amp;$A150))</f>
        <v>0</v>
      </c>
      <c r="Q150" s="91">
        <f ca="1">IF(RTD("tos.rtd",,$A$2,"."&amp;Q$135&amp;Q$1&amp;"C"&amp;$A150)="N/A",0,RTD("tos.rtd",,$A$2,"."&amp;Q$135&amp;Q$1&amp;"C"&amp;$A150))-IF(RTD("tos.rtd",,$A$2,"."&amp;Q$135&amp;Q$1&amp;"P"&amp;$A150)="N/A",0,RTD("tos.rtd",,$A$2,"."&amp;Q$135&amp;Q$1&amp;"P"&amp;$A150))</f>
        <v>0</v>
      </c>
      <c r="R150" s="91">
        <f ca="1">IF(RTD("tos.rtd",,$A$2,"."&amp;R$135&amp;R$1&amp;"C"&amp;$A150)="N/A",0,RTD("tos.rtd",,$A$2,"."&amp;R$135&amp;R$1&amp;"C"&amp;$A150))-IF(RTD("tos.rtd",,$A$2,"."&amp;R$135&amp;R$1&amp;"P"&amp;$A150)="N/A",0,RTD("tos.rtd",,$A$2,"."&amp;R$135&amp;R$1&amp;"P"&amp;$A150))</f>
        <v>0</v>
      </c>
      <c r="S150" s="91">
        <f ca="1">IF(RTD("tos.rtd",,$A$2,"."&amp;S$135&amp;S$1&amp;"C"&amp;$A150)="N/A",0,RTD("tos.rtd",,$A$2,"."&amp;S$135&amp;S$1&amp;"C"&amp;$A150))-IF(RTD("tos.rtd",,$A$2,"."&amp;S$135&amp;S$1&amp;"P"&amp;$A150)="N/A",0,RTD("tos.rtd",,$A$2,"."&amp;S$135&amp;S$1&amp;"P"&amp;$A150))</f>
        <v>0</v>
      </c>
      <c r="T150" s="91">
        <f ca="1">IF(RTD("tos.rtd",,$A$2,"."&amp;T$135&amp;T$1&amp;"C"&amp;$A150)="N/A",0,RTD("tos.rtd",,$A$2,"."&amp;T$135&amp;T$1&amp;"C"&amp;$A150))-IF(RTD("tos.rtd",,$A$2,"."&amp;T$135&amp;T$1&amp;"P"&amp;$A150)="N/A",0,RTD("tos.rtd",,$A$2,"."&amp;T$135&amp;T$1&amp;"P"&amp;$A150))</f>
        <v>0</v>
      </c>
      <c r="U150" s="91">
        <f ca="1">IF(RTD("tos.rtd",,$A$2,"."&amp;U$135&amp;U$1&amp;"C"&amp;$A150)="N/A",0,RTD("tos.rtd",,$A$2,"."&amp;U$135&amp;U$1&amp;"C"&amp;$A150))-IF(RTD("tos.rtd",,$A$2,"."&amp;U$135&amp;U$1&amp;"P"&amp;$A150)="N/A",0,RTD("tos.rtd",,$A$2,"."&amp;U$135&amp;U$1&amp;"P"&amp;$A150))</f>
        <v>0</v>
      </c>
      <c r="V150" s="91">
        <f ca="1">IF(RTD("tos.rtd",,$A$2,"."&amp;V$135&amp;V$1&amp;"C"&amp;$A150)="N/A",0,RTD("tos.rtd",,$A$2,"."&amp;V$135&amp;V$1&amp;"C"&amp;$A150))-IF(RTD("tos.rtd",,$A$2,"."&amp;V$135&amp;V$1&amp;"P"&amp;$A150)="N/A",0,RTD("tos.rtd",,$A$2,"."&amp;V$135&amp;V$1&amp;"P"&amp;$A150))</f>
        <v>0</v>
      </c>
      <c r="W150" s="91">
        <f ca="1">IF(RTD("tos.rtd",,$A$2,"."&amp;W$135&amp;W$1&amp;"C"&amp;$A150)="N/A",0,RTD("tos.rtd",,$A$2,"."&amp;W$135&amp;W$1&amp;"C"&amp;$A150))-IF(RTD("tos.rtd",,$A$2,"."&amp;W$135&amp;W$1&amp;"P"&amp;$A150)="N/A",0,RTD("tos.rtd",,$A$2,"."&amp;W$135&amp;W$1&amp;"P"&amp;$A150))</f>
        <v>0</v>
      </c>
      <c r="X150" s="91">
        <f ca="1">IF(RTD("tos.rtd",,$A$2,"."&amp;X$135&amp;X$1&amp;"C"&amp;$A150)="N/A",0,RTD("tos.rtd",,$A$2,"."&amp;X$135&amp;X$1&amp;"C"&amp;$A150))-IF(RTD("tos.rtd",,$A$2,"."&amp;X$135&amp;X$1&amp;"P"&amp;$A150)="N/A",0,RTD("tos.rtd",,$A$2,"."&amp;X$135&amp;X$1&amp;"P"&amp;$A150))</f>
        <v>0</v>
      </c>
      <c r="Y150" s="98">
        <f t="shared" ca="1" si="13"/>
        <v>0</v>
      </c>
      <c r="Z150" s="91"/>
      <c r="AA150" s="91"/>
    </row>
    <row r="151" spans="1:27" x14ac:dyDescent="0.25">
      <c r="A151" s="93">
        <f>+Hoja1!A150</f>
        <v>21025</v>
      </c>
      <c r="B151" s="91">
        <f ca="1">IF(RTD("tos.rtd",,$A$2,"."&amp;B$135&amp;B$1&amp;"C"&amp;$A151)="N/A",0,RTD("tos.rtd",,$A$2,"."&amp;B$135&amp;B$1&amp;"C"&amp;$A151))-IF(RTD("tos.rtd",,$A$2,"."&amp;B$135&amp;B$1&amp;"P"&amp;$A151)="N/A",0,RTD("tos.rtd",,$A$2,"."&amp;B$135&amp;B$1&amp;"P"&amp;$A151))</f>
        <v>0</v>
      </c>
      <c r="C151" s="91">
        <f ca="1">IF(RTD("tos.rtd",,$A$2,"."&amp;C$135&amp;C$1&amp;"C"&amp;$A151)="N/A",0,RTD("tos.rtd",,$A$2,"."&amp;C$135&amp;C$1&amp;"C"&amp;$A151))-IF(RTD("tos.rtd",,$A$2,"."&amp;C$135&amp;C$1&amp;"P"&amp;$A151)="N/A",0,RTD("tos.rtd",,$A$2,"."&amp;C$135&amp;C$1&amp;"P"&amp;$A151))</f>
        <v>0</v>
      </c>
      <c r="D151" s="91">
        <f ca="1">IF(RTD("tos.rtd",,$A$2,"."&amp;D$135&amp;D$1&amp;"C"&amp;$A151)="N/A",0,RTD("tos.rtd",,$A$2,"."&amp;D$135&amp;D$1&amp;"C"&amp;$A151))-IF(RTD("tos.rtd",,$A$2,"."&amp;D$135&amp;D$1&amp;"P"&amp;$A151)="N/A",0,RTD("tos.rtd",,$A$2,"."&amp;D$135&amp;D$1&amp;"P"&amp;$A151))</f>
        <v>0</v>
      </c>
      <c r="E151" s="91">
        <f ca="1">IF(RTD("tos.rtd",,$A$2,"."&amp;E$135&amp;E$1&amp;"C"&amp;$A151)="N/A",0,RTD("tos.rtd",,$A$2,"."&amp;E$135&amp;E$1&amp;"C"&amp;$A151))-IF(RTD("tos.rtd",,$A$2,"."&amp;E$135&amp;E$1&amp;"P"&amp;$A151)="N/A",0,RTD("tos.rtd",,$A$2,"."&amp;E$135&amp;E$1&amp;"P"&amp;$A151))</f>
        <v>0</v>
      </c>
      <c r="F151" s="91">
        <f ca="1">IF(RTD("tos.rtd",,$A$2,"."&amp;F$135&amp;F$1&amp;"C"&amp;$A151)="N/A",0,RTD("tos.rtd",,$A$2,"."&amp;F$135&amp;F$1&amp;"C"&amp;$A151))-IF(RTD("tos.rtd",,$A$2,"."&amp;F$135&amp;F$1&amp;"P"&amp;$A151)="N/A",0,RTD("tos.rtd",,$A$2,"."&amp;F$135&amp;F$1&amp;"P"&amp;$A151))</f>
        <v>0</v>
      </c>
      <c r="G151" s="91">
        <f ca="1">IF(RTD("tos.rtd",,$A$2,"."&amp;G$135&amp;G$1&amp;"C"&amp;$A151)="N/A",0,RTD("tos.rtd",,$A$2,"."&amp;G$135&amp;G$1&amp;"C"&amp;$A151))-IF(RTD("tos.rtd",,$A$2,"."&amp;G$135&amp;G$1&amp;"P"&amp;$A151)="N/A",0,RTD("tos.rtd",,$A$2,"."&amp;G$135&amp;G$1&amp;"P"&amp;$A151))</f>
        <v>0</v>
      </c>
      <c r="H151" s="91">
        <f ca="1">IF(RTD("tos.rtd",,$A$2,"."&amp;H$135&amp;H$1&amp;"C"&amp;$A151)="N/A",0,RTD("tos.rtd",,$A$2,"."&amp;H$135&amp;H$1&amp;"C"&amp;$A151))-IF(RTD("tos.rtd",,$A$2,"."&amp;H$135&amp;H$1&amp;"P"&amp;$A151)="N/A",0,RTD("tos.rtd",,$A$2,"."&amp;H$135&amp;H$1&amp;"P"&amp;$A151))</f>
        <v>0</v>
      </c>
      <c r="I151" s="91">
        <f ca="1">IF(RTD("tos.rtd",,$A$2,"."&amp;I$135&amp;I$1&amp;"C"&amp;$A151)="N/A",0,RTD("tos.rtd",,$A$2,"."&amp;I$135&amp;I$1&amp;"C"&amp;$A151))-IF(RTD("tos.rtd",,$A$2,"."&amp;I$135&amp;I$1&amp;"P"&amp;$A151)="N/A",0,RTD("tos.rtd",,$A$2,"."&amp;I$135&amp;I$1&amp;"P"&amp;$A151))</f>
        <v>1</v>
      </c>
      <c r="J151" s="91">
        <f ca="1">IF(RTD("tos.rtd",,$A$2,"."&amp;J$135&amp;J$1&amp;"C"&amp;$A151)="N/A",0,RTD("tos.rtd",,$A$2,"."&amp;J$135&amp;J$1&amp;"C"&amp;$A151))-IF(RTD("tos.rtd",,$A$2,"."&amp;J$135&amp;J$1&amp;"P"&amp;$A151)="N/A",0,RTD("tos.rtd",,$A$2,"."&amp;J$135&amp;J$1&amp;"P"&amp;$A151))</f>
        <v>0</v>
      </c>
      <c r="K151" s="91">
        <f ca="1">IF(RTD("tos.rtd",,$A$2,"."&amp;K$135&amp;K$1&amp;"C"&amp;$A151)="N/A",0,RTD("tos.rtd",,$A$2,"."&amp;K$135&amp;K$1&amp;"C"&amp;$A151))-IF(RTD("tos.rtd",,$A$2,"."&amp;K$135&amp;K$1&amp;"P"&amp;$A151)="N/A",0,RTD("tos.rtd",,$A$2,"."&amp;K$135&amp;K$1&amp;"P"&amp;$A151))</f>
        <v>0</v>
      </c>
      <c r="L151" s="91">
        <f ca="1">IF(RTD("tos.rtd",,$A$2,"."&amp;L$135&amp;L$1&amp;"C"&amp;$A151)="N/A",0,RTD("tos.rtd",,$A$2,"."&amp;L$135&amp;L$1&amp;"C"&amp;$A151))-IF(RTD("tos.rtd",,$A$2,"."&amp;L$135&amp;L$1&amp;"P"&amp;$A151)="N/A",0,RTD("tos.rtd",,$A$2,"."&amp;L$135&amp;L$1&amp;"P"&amp;$A151))</f>
        <v>0</v>
      </c>
      <c r="M151" s="91">
        <f ca="1">IF(RTD("tos.rtd",,$A$2,"."&amp;M$135&amp;M$1&amp;"C"&amp;$A151)="N/A",0,RTD("tos.rtd",,$A$2,"."&amp;M$135&amp;M$1&amp;"C"&amp;$A151))-IF(RTD("tos.rtd",,$A$2,"."&amp;M$135&amp;M$1&amp;"P"&amp;$A151)="N/A",0,RTD("tos.rtd",,$A$2,"."&amp;M$135&amp;M$1&amp;"P"&amp;$A151))</f>
        <v>0</v>
      </c>
      <c r="N151" s="91">
        <f ca="1">IF(RTD("tos.rtd",,$A$2,"."&amp;N$135&amp;N$1&amp;"C"&amp;$A151)="N/A",0,RTD("tos.rtd",,$A$2,"."&amp;N$135&amp;N$1&amp;"C"&amp;$A151))-IF(RTD("tos.rtd",,$A$2,"."&amp;N$135&amp;N$1&amp;"P"&amp;$A151)="N/A",0,RTD("tos.rtd",,$A$2,"."&amp;N$135&amp;N$1&amp;"P"&amp;$A151))</f>
        <v>0</v>
      </c>
      <c r="O151" s="91">
        <f ca="1">IF(RTD("tos.rtd",,$A$2,"."&amp;O$135&amp;O$1&amp;"C"&amp;$A151)="N/A",0,RTD("tos.rtd",,$A$2,"."&amp;O$135&amp;O$1&amp;"C"&amp;$A151))-IF(RTD("tos.rtd",,$A$2,"."&amp;O$135&amp;O$1&amp;"P"&amp;$A151)="N/A",0,RTD("tos.rtd",,$A$2,"."&amp;O$135&amp;O$1&amp;"P"&amp;$A151))</f>
        <v>0</v>
      </c>
      <c r="P151" s="91">
        <f ca="1">IF(RTD("tos.rtd",,$A$2,"."&amp;P$135&amp;P$1&amp;"C"&amp;$A151)="N/A",0,RTD("tos.rtd",,$A$2,"."&amp;P$135&amp;P$1&amp;"C"&amp;$A151))-IF(RTD("tos.rtd",,$A$2,"."&amp;P$135&amp;P$1&amp;"P"&amp;$A151)="N/A",0,RTD("tos.rtd",,$A$2,"."&amp;P$135&amp;P$1&amp;"P"&amp;$A151))</f>
        <v>0</v>
      </c>
      <c r="Q151" s="91">
        <f ca="1">IF(RTD("tos.rtd",,$A$2,"."&amp;Q$135&amp;Q$1&amp;"C"&amp;$A151)="N/A",0,RTD("tos.rtd",,$A$2,"."&amp;Q$135&amp;Q$1&amp;"C"&amp;$A151))-IF(RTD("tos.rtd",,$A$2,"."&amp;Q$135&amp;Q$1&amp;"P"&amp;$A151)="N/A",0,RTD("tos.rtd",,$A$2,"."&amp;Q$135&amp;Q$1&amp;"P"&amp;$A151))</f>
        <v>0</v>
      </c>
      <c r="R151" s="91">
        <f ca="1">IF(RTD("tos.rtd",,$A$2,"."&amp;R$135&amp;R$1&amp;"C"&amp;$A151)="N/A",0,RTD("tos.rtd",,$A$2,"."&amp;R$135&amp;R$1&amp;"C"&amp;$A151))-IF(RTD("tos.rtd",,$A$2,"."&amp;R$135&amp;R$1&amp;"P"&amp;$A151)="N/A",0,RTD("tos.rtd",,$A$2,"."&amp;R$135&amp;R$1&amp;"P"&amp;$A151))</f>
        <v>0</v>
      </c>
      <c r="S151" s="91">
        <f ca="1">IF(RTD("tos.rtd",,$A$2,"."&amp;S$135&amp;S$1&amp;"C"&amp;$A151)="N/A",0,RTD("tos.rtd",,$A$2,"."&amp;S$135&amp;S$1&amp;"C"&amp;$A151))-IF(RTD("tos.rtd",,$A$2,"."&amp;S$135&amp;S$1&amp;"P"&amp;$A151)="N/A",0,RTD("tos.rtd",,$A$2,"."&amp;S$135&amp;S$1&amp;"P"&amp;$A151))</f>
        <v>0</v>
      </c>
      <c r="T151" s="91">
        <f ca="1">IF(RTD("tos.rtd",,$A$2,"."&amp;T$135&amp;T$1&amp;"C"&amp;$A151)="N/A",0,RTD("tos.rtd",,$A$2,"."&amp;T$135&amp;T$1&amp;"C"&amp;$A151))-IF(RTD("tos.rtd",,$A$2,"."&amp;T$135&amp;T$1&amp;"P"&amp;$A151)="N/A",0,RTD("tos.rtd",,$A$2,"."&amp;T$135&amp;T$1&amp;"P"&amp;$A151))</f>
        <v>0</v>
      </c>
      <c r="U151" s="91">
        <f ca="1">IF(RTD("tos.rtd",,$A$2,"."&amp;U$135&amp;U$1&amp;"C"&amp;$A151)="N/A",0,RTD("tos.rtd",,$A$2,"."&amp;U$135&amp;U$1&amp;"C"&amp;$A151))-IF(RTD("tos.rtd",,$A$2,"."&amp;U$135&amp;U$1&amp;"P"&amp;$A151)="N/A",0,RTD("tos.rtd",,$A$2,"."&amp;U$135&amp;U$1&amp;"P"&amp;$A151))</f>
        <v>0</v>
      </c>
      <c r="V151" s="91">
        <f ca="1">IF(RTD("tos.rtd",,$A$2,"."&amp;V$135&amp;V$1&amp;"C"&amp;$A151)="N/A",0,RTD("tos.rtd",,$A$2,"."&amp;V$135&amp;V$1&amp;"C"&amp;$A151))-IF(RTD("tos.rtd",,$A$2,"."&amp;V$135&amp;V$1&amp;"P"&amp;$A151)="N/A",0,RTD("tos.rtd",,$A$2,"."&amp;V$135&amp;V$1&amp;"P"&amp;$A151))</f>
        <v>0</v>
      </c>
      <c r="W151" s="91">
        <f ca="1">IF(RTD("tos.rtd",,$A$2,"."&amp;W$135&amp;W$1&amp;"C"&amp;$A151)="N/A",0,RTD("tos.rtd",,$A$2,"."&amp;W$135&amp;W$1&amp;"C"&amp;$A151))-IF(RTD("tos.rtd",,$A$2,"."&amp;W$135&amp;W$1&amp;"P"&amp;$A151)="N/A",0,RTD("tos.rtd",,$A$2,"."&amp;W$135&amp;W$1&amp;"P"&amp;$A151))</f>
        <v>0</v>
      </c>
      <c r="X151" s="91">
        <f ca="1">IF(RTD("tos.rtd",,$A$2,"."&amp;X$135&amp;X$1&amp;"C"&amp;$A151)="N/A",0,RTD("tos.rtd",,$A$2,"."&amp;X$135&amp;X$1&amp;"C"&amp;$A151))-IF(RTD("tos.rtd",,$A$2,"."&amp;X$135&amp;X$1&amp;"P"&amp;$A151)="N/A",0,RTD("tos.rtd",,$A$2,"."&amp;X$135&amp;X$1&amp;"P"&amp;$A151))</f>
        <v>0</v>
      </c>
      <c r="Y151" s="98">
        <f t="shared" ca="1" si="13"/>
        <v>1</v>
      </c>
      <c r="Z151" s="91"/>
      <c r="AA151" s="91"/>
    </row>
    <row r="152" spans="1:27" x14ac:dyDescent="0.25">
      <c r="A152" s="93">
        <f>+Hoja1!A151</f>
        <v>21000</v>
      </c>
      <c r="B152" s="91">
        <f ca="1">IF(RTD("tos.rtd",,$A$2,"."&amp;B$135&amp;B$1&amp;"C"&amp;$A152)="N/A",0,RTD("tos.rtd",,$A$2,"."&amp;B$135&amp;B$1&amp;"C"&amp;$A152))-IF(RTD("tos.rtd",,$A$2,"."&amp;B$135&amp;B$1&amp;"P"&amp;$A152)="N/A",0,RTD("tos.rtd",,$A$2,"."&amp;B$135&amp;B$1&amp;"P"&amp;$A152))</f>
        <v>0</v>
      </c>
      <c r="C152" s="91">
        <f ca="1">IF(RTD("tos.rtd",,$A$2,"."&amp;C$135&amp;C$1&amp;"C"&amp;$A152)="N/A",0,RTD("tos.rtd",,$A$2,"."&amp;C$135&amp;C$1&amp;"C"&amp;$A152))-IF(RTD("tos.rtd",,$A$2,"."&amp;C$135&amp;C$1&amp;"P"&amp;$A152)="N/A",0,RTD("tos.rtd",,$A$2,"."&amp;C$135&amp;C$1&amp;"P"&amp;$A152))</f>
        <v>0</v>
      </c>
      <c r="D152" s="91">
        <f ca="1">IF(RTD("tos.rtd",,$A$2,"."&amp;D$135&amp;D$1&amp;"C"&amp;$A152)="N/A",0,RTD("tos.rtd",,$A$2,"."&amp;D$135&amp;D$1&amp;"C"&amp;$A152))-IF(RTD("tos.rtd",,$A$2,"."&amp;D$135&amp;D$1&amp;"P"&amp;$A152)="N/A",0,RTD("tos.rtd",,$A$2,"."&amp;D$135&amp;D$1&amp;"P"&amp;$A152))</f>
        <v>0</v>
      </c>
      <c r="E152" s="91">
        <f ca="1">IF(RTD("tos.rtd",,$A$2,"."&amp;E$135&amp;E$1&amp;"C"&amp;$A152)="N/A",0,RTD("tos.rtd",,$A$2,"."&amp;E$135&amp;E$1&amp;"C"&amp;$A152))-IF(RTD("tos.rtd",,$A$2,"."&amp;E$135&amp;E$1&amp;"P"&amp;$A152)="N/A",0,RTD("tos.rtd",,$A$2,"."&amp;E$135&amp;E$1&amp;"P"&amp;$A152))</f>
        <v>0</v>
      </c>
      <c r="F152" s="91">
        <f ca="1">IF(RTD("tos.rtd",,$A$2,"."&amp;F$135&amp;F$1&amp;"C"&amp;$A152)="N/A",0,RTD("tos.rtd",,$A$2,"."&amp;F$135&amp;F$1&amp;"C"&amp;$A152))-IF(RTD("tos.rtd",,$A$2,"."&amp;F$135&amp;F$1&amp;"P"&amp;$A152)="N/A",0,RTD("tos.rtd",,$A$2,"."&amp;F$135&amp;F$1&amp;"P"&amp;$A152))</f>
        <v>0</v>
      </c>
      <c r="G152" s="91">
        <f ca="1">IF(RTD("tos.rtd",,$A$2,"."&amp;G$135&amp;G$1&amp;"C"&amp;$A152)="N/A",0,RTD("tos.rtd",,$A$2,"."&amp;G$135&amp;G$1&amp;"C"&amp;$A152))-IF(RTD("tos.rtd",,$A$2,"."&amp;G$135&amp;G$1&amp;"P"&amp;$A152)="N/A",0,RTD("tos.rtd",,$A$2,"."&amp;G$135&amp;G$1&amp;"P"&amp;$A152))</f>
        <v>0</v>
      </c>
      <c r="H152" s="91">
        <f ca="1">IF(RTD("tos.rtd",,$A$2,"."&amp;H$135&amp;H$1&amp;"C"&amp;$A152)="N/A",0,RTD("tos.rtd",,$A$2,"."&amp;H$135&amp;H$1&amp;"C"&amp;$A152))-IF(RTD("tos.rtd",,$A$2,"."&amp;H$135&amp;H$1&amp;"P"&amp;$A152)="N/A",0,RTD("tos.rtd",,$A$2,"."&amp;H$135&amp;H$1&amp;"P"&amp;$A152))</f>
        <v>0</v>
      </c>
      <c r="I152" s="91">
        <f ca="1">IF(RTD("tos.rtd",,$A$2,"."&amp;I$135&amp;I$1&amp;"C"&amp;$A152)="N/A",0,RTD("tos.rtd",,$A$2,"."&amp;I$135&amp;I$1&amp;"C"&amp;$A152))-IF(RTD("tos.rtd",,$A$2,"."&amp;I$135&amp;I$1&amp;"P"&amp;$A152)="N/A",0,RTD("tos.rtd",,$A$2,"."&amp;I$135&amp;I$1&amp;"P"&amp;$A152))</f>
        <v>22</v>
      </c>
      <c r="J152" s="91">
        <f ca="1">IF(RTD("tos.rtd",,$A$2,"."&amp;J$135&amp;J$1&amp;"C"&amp;$A152)="N/A",0,RTD("tos.rtd",,$A$2,"."&amp;J$135&amp;J$1&amp;"C"&amp;$A152))-IF(RTD("tos.rtd",,$A$2,"."&amp;J$135&amp;J$1&amp;"P"&amp;$A152)="N/A",0,RTD("tos.rtd",,$A$2,"."&amp;J$135&amp;J$1&amp;"P"&amp;$A152))</f>
        <v>0</v>
      </c>
      <c r="K152" s="91">
        <f ca="1">IF(RTD("tos.rtd",,$A$2,"."&amp;K$135&amp;K$1&amp;"C"&amp;$A152)="N/A",0,RTD("tos.rtd",,$A$2,"."&amp;K$135&amp;K$1&amp;"C"&amp;$A152))-IF(RTD("tos.rtd",,$A$2,"."&amp;K$135&amp;K$1&amp;"P"&amp;$A152)="N/A",0,RTD("tos.rtd",,$A$2,"."&amp;K$135&amp;K$1&amp;"P"&amp;$A152))</f>
        <v>0</v>
      </c>
      <c r="L152" s="91">
        <f ca="1">IF(RTD("tos.rtd",,$A$2,"."&amp;L$135&amp;L$1&amp;"C"&amp;$A152)="N/A",0,RTD("tos.rtd",,$A$2,"."&amp;L$135&amp;L$1&amp;"C"&amp;$A152))-IF(RTD("tos.rtd",,$A$2,"."&amp;L$135&amp;L$1&amp;"P"&amp;$A152)="N/A",0,RTD("tos.rtd",,$A$2,"."&amp;L$135&amp;L$1&amp;"P"&amp;$A152))</f>
        <v>5</v>
      </c>
      <c r="M152" s="91">
        <f ca="1">IF(RTD("tos.rtd",,$A$2,"."&amp;M$135&amp;M$1&amp;"C"&amp;$A152)="N/A",0,RTD("tos.rtd",,$A$2,"."&amp;M$135&amp;M$1&amp;"C"&amp;$A152))-IF(RTD("tos.rtd",,$A$2,"."&amp;M$135&amp;M$1&amp;"P"&amp;$A152)="N/A",0,RTD("tos.rtd",,$A$2,"."&amp;M$135&amp;M$1&amp;"P"&amp;$A152))</f>
        <v>6</v>
      </c>
      <c r="N152" s="91">
        <f ca="1">IF(RTD("tos.rtd",,$A$2,"."&amp;N$135&amp;N$1&amp;"C"&amp;$A152)="N/A",0,RTD("tos.rtd",,$A$2,"."&amp;N$135&amp;N$1&amp;"C"&amp;$A152))-IF(RTD("tos.rtd",,$A$2,"."&amp;N$135&amp;N$1&amp;"P"&amp;$A152)="N/A",0,RTD("tos.rtd",,$A$2,"."&amp;N$135&amp;N$1&amp;"P"&amp;$A152))</f>
        <v>0</v>
      </c>
      <c r="O152" s="91">
        <f ca="1">IF(RTD("tos.rtd",,$A$2,"."&amp;O$135&amp;O$1&amp;"C"&amp;$A152)="N/A",0,RTD("tos.rtd",,$A$2,"."&amp;O$135&amp;O$1&amp;"C"&amp;$A152))-IF(RTD("tos.rtd",,$A$2,"."&amp;O$135&amp;O$1&amp;"P"&amp;$A152)="N/A",0,RTD("tos.rtd",,$A$2,"."&amp;O$135&amp;O$1&amp;"P"&amp;$A152))</f>
        <v>4</v>
      </c>
      <c r="P152" s="91">
        <f ca="1">IF(RTD("tos.rtd",,$A$2,"."&amp;P$135&amp;P$1&amp;"C"&amp;$A152)="N/A",0,RTD("tos.rtd",,$A$2,"."&amp;P$135&amp;P$1&amp;"C"&amp;$A152))-IF(RTD("tos.rtd",,$A$2,"."&amp;P$135&amp;P$1&amp;"P"&amp;$A152)="N/A",0,RTD("tos.rtd",,$A$2,"."&amp;P$135&amp;P$1&amp;"P"&amp;$A152))</f>
        <v>0</v>
      </c>
      <c r="Q152" s="91">
        <f ca="1">IF(RTD("tos.rtd",,$A$2,"."&amp;Q$135&amp;Q$1&amp;"C"&amp;$A152)="N/A",0,RTD("tos.rtd",,$A$2,"."&amp;Q$135&amp;Q$1&amp;"C"&amp;$A152))-IF(RTD("tos.rtd",,$A$2,"."&amp;Q$135&amp;Q$1&amp;"P"&amp;$A152)="N/A",0,RTD("tos.rtd",,$A$2,"."&amp;Q$135&amp;Q$1&amp;"P"&amp;$A152))</f>
        <v>3</v>
      </c>
      <c r="R152" s="91">
        <f ca="1">IF(RTD("tos.rtd",,$A$2,"."&amp;R$135&amp;R$1&amp;"C"&amp;$A152)="N/A",0,RTD("tos.rtd",,$A$2,"."&amp;R$135&amp;R$1&amp;"C"&amp;$A152))-IF(RTD("tos.rtd",,$A$2,"."&amp;R$135&amp;R$1&amp;"P"&amp;$A152)="N/A",0,RTD("tos.rtd",,$A$2,"."&amp;R$135&amp;R$1&amp;"P"&amp;$A152))</f>
        <v>0</v>
      </c>
      <c r="S152" s="91">
        <f ca="1">IF(RTD("tos.rtd",,$A$2,"."&amp;S$135&amp;S$1&amp;"C"&amp;$A152)="N/A",0,RTD("tos.rtd",,$A$2,"."&amp;S$135&amp;S$1&amp;"C"&amp;$A152))-IF(RTD("tos.rtd",,$A$2,"."&amp;S$135&amp;S$1&amp;"P"&amp;$A152)="N/A",0,RTD("tos.rtd",,$A$2,"."&amp;S$135&amp;S$1&amp;"P"&amp;$A152))</f>
        <v>0</v>
      </c>
      <c r="T152" s="91">
        <f ca="1">IF(RTD("tos.rtd",,$A$2,"."&amp;T$135&amp;T$1&amp;"C"&amp;$A152)="N/A",0,RTD("tos.rtd",,$A$2,"."&amp;T$135&amp;T$1&amp;"C"&amp;$A152))-IF(RTD("tos.rtd",,$A$2,"."&amp;T$135&amp;T$1&amp;"P"&amp;$A152)="N/A",0,RTD("tos.rtd",,$A$2,"."&amp;T$135&amp;T$1&amp;"P"&amp;$A152))</f>
        <v>0</v>
      </c>
      <c r="U152" s="91">
        <f ca="1">IF(RTD("tos.rtd",,$A$2,"."&amp;U$135&amp;U$1&amp;"C"&amp;$A152)="N/A",0,RTD("tos.rtd",,$A$2,"."&amp;U$135&amp;U$1&amp;"C"&amp;$A152))-IF(RTD("tos.rtd",,$A$2,"."&amp;U$135&amp;U$1&amp;"P"&amp;$A152)="N/A",0,RTD("tos.rtd",,$A$2,"."&amp;U$135&amp;U$1&amp;"P"&amp;$A152))</f>
        <v>1</v>
      </c>
      <c r="V152" s="91">
        <f ca="1">IF(RTD("tos.rtd",,$A$2,"."&amp;V$135&amp;V$1&amp;"C"&amp;$A152)="N/A",0,RTD("tos.rtd",,$A$2,"."&amp;V$135&amp;V$1&amp;"C"&amp;$A152))-IF(RTD("tos.rtd",,$A$2,"."&amp;V$135&amp;V$1&amp;"P"&amp;$A152)="N/A",0,RTD("tos.rtd",,$A$2,"."&amp;V$135&amp;V$1&amp;"P"&amp;$A152))</f>
        <v>0</v>
      </c>
      <c r="W152" s="91">
        <f ca="1">IF(RTD("tos.rtd",,$A$2,"."&amp;W$135&amp;W$1&amp;"C"&amp;$A152)="N/A",0,RTD("tos.rtd",,$A$2,"."&amp;W$135&amp;W$1&amp;"C"&amp;$A152))-IF(RTD("tos.rtd",,$A$2,"."&amp;W$135&amp;W$1&amp;"P"&amp;$A152)="N/A",0,RTD("tos.rtd",,$A$2,"."&amp;W$135&amp;W$1&amp;"P"&amp;$A152))</f>
        <v>50</v>
      </c>
      <c r="X152" s="91">
        <f ca="1">IF(RTD("tos.rtd",,$A$2,"."&amp;X$135&amp;X$1&amp;"C"&amp;$A152)="N/A",0,RTD("tos.rtd",,$A$2,"."&amp;X$135&amp;X$1&amp;"C"&amp;$A152))-IF(RTD("tos.rtd",,$A$2,"."&amp;X$135&amp;X$1&amp;"P"&amp;$A152)="N/A",0,RTD("tos.rtd",,$A$2,"."&amp;X$135&amp;X$1&amp;"P"&amp;$A152))</f>
        <v>1</v>
      </c>
      <c r="Y152" s="98">
        <f t="shared" ca="1" si="13"/>
        <v>92</v>
      </c>
      <c r="Z152" s="91"/>
      <c r="AA152" s="91"/>
    </row>
    <row r="153" spans="1:27" x14ac:dyDescent="0.25">
      <c r="A153" s="93">
        <f>+Hoja1!A152</f>
        <v>20975</v>
      </c>
      <c r="B153" s="91">
        <f ca="1">IF(RTD("tos.rtd",,$A$2,"."&amp;B$135&amp;B$1&amp;"C"&amp;$A153)="N/A",0,RTD("tos.rtd",,$A$2,"."&amp;B$135&amp;B$1&amp;"C"&amp;$A153))-IF(RTD("tos.rtd",,$A$2,"."&amp;B$135&amp;B$1&amp;"P"&amp;$A153)="N/A",0,RTD("tos.rtd",,$A$2,"."&amp;B$135&amp;B$1&amp;"P"&amp;$A153))</f>
        <v>0</v>
      </c>
      <c r="C153" s="91">
        <f ca="1">IF(RTD("tos.rtd",,$A$2,"."&amp;C$135&amp;C$1&amp;"C"&amp;$A153)="N/A",0,RTD("tos.rtd",,$A$2,"."&amp;C$135&amp;C$1&amp;"C"&amp;$A153))-IF(RTD("tos.rtd",,$A$2,"."&amp;C$135&amp;C$1&amp;"P"&amp;$A153)="N/A",0,RTD("tos.rtd",,$A$2,"."&amp;C$135&amp;C$1&amp;"P"&amp;$A153))</f>
        <v>0</v>
      </c>
      <c r="D153" s="91">
        <f ca="1">IF(RTD("tos.rtd",,$A$2,"."&amp;D$135&amp;D$1&amp;"C"&amp;$A153)="N/A",0,RTD("tos.rtd",,$A$2,"."&amp;D$135&amp;D$1&amp;"C"&amp;$A153))-IF(RTD("tos.rtd",,$A$2,"."&amp;D$135&amp;D$1&amp;"P"&amp;$A153)="N/A",0,RTD("tos.rtd",,$A$2,"."&amp;D$135&amp;D$1&amp;"P"&amp;$A153))</f>
        <v>0</v>
      </c>
      <c r="E153" s="91">
        <f ca="1">IF(RTD("tos.rtd",,$A$2,"."&amp;E$135&amp;E$1&amp;"C"&amp;$A153)="N/A",0,RTD("tos.rtd",,$A$2,"."&amp;E$135&amp;E$1&amp;"C"&amp;$A153))-IF(RTD("tos.rtd",,$A$2,"."&amp;E$135&amp;E$1&amp;"P"&amp;$A153)="N/A",0,RTD("tos.rtd",,$A$2,"."&amp;E$135&amp;E$1&amp;"P"&amp;$A153))</f>
        <v>0</v>
      </c>
      <c r="F153" s="91">
        <f ca="1">IF(RTD("tos.rtd",,$A$2,"."&amp;F$135&amp;F$1&amp;"C"&amp;$A153)="N/A",0,RTD("tos.rtd",,$A$2,"."&amp;F$135&amp;F$1&amp;"C"&amp;$A153))-IF(RTD("tos.rtd",,$A$2,"."&amp;F$135&amp;F$1&amp;"P"&amp;$A153)="N/A",0,RTD("tos.rtd",,$A$2,"."&amp;F$135&amp;F$1&amp;"P"&amp;$A153))</f>
        <v>0</v>
      </c>
      <c r="G153" s="91">
        <f ca="1">IF(RTD("tos.rtd",,$A$2,"."&amp;G$135&amp;G$1&amp;"C"&amp;$A153)="N/A",0,RTD("tos.rtd",,$A$2,"."&amp;G$135&amp;G$1&amp;"C"&amp;$A153))-IF(RTD("tos.rtd",,$A$2,"."&amp;G$135&amp;G$1&amp;"P"&amp;$A153)="N/A",0,RTD("tos.rtd",,$A$2,"."&amp;G$135&amp;G$1&amp;"P"&amp;$A153))</f>
        <v>0</v>
      </c>
      <c r="H153" s="91">
        <f ca="1">IF(RTD("tos.rtd",,$A$2,"."&amp;H$135&amp;H$1&amp;"C"&amp;$A153)="N/A",0,RTD("tos.rtd",,$A$2,"."&amp;H$135&amp;H$1&amp;"C"&amp;$A153))-IF(RTD("tos.rtd",,$A$2,"."&amp;H$135&amp;H$1&amp;"P"&amp;$A153)="N/A",0,RTD("tos.rtd",,$A$2,"."&amp;H$135&amp;H$1&amp;"P"&amp;$A153))</f>
        <v>0</v>
      </c>
      <c r="I153" s="91">
        <f ca="1">IF(RTD("tos.rtd",,$A$2,"."&amp;I$135&amp;I$1&amp;"C"&amp;$A153)="N/A",0,RTD("tos.rtd",,$A$2,"."&amp;I$135&amp;I$1&amp;"C"&amp;$A153))-IF(RTD("tos.rtd",,$A$2,"."&amp;I$135&amp;I$1&amp;"P"&amp;$A153)="N/A",0,RTD("tos.rtd",,$A$2,"."&amp;I$135&amp;I$1&amp;"P"&amp;$A153))</f>
        <v>1</v>
      </c>
      <c r="J153" s="91">
        <f ca="1">IF(RTD("tos.rtd",,$A$2,"."&amp;J$135&amp;J$1&amp;"C"&amp;$A153)="N/A",0,RTD("tos.rtd",,$A$2,"."&amp;J$135&amp;J$1&amp;"C"&amp;$A153))-IF(RTD("tos.rtd",,$A$2,"."&amp;J$135&amp;J$1&amp;"P"&amp;$A153)="N/A",0,RTD("tos.rtd",,$A$2,"."&amp;J$135&amp;J$1&amp;"P"&amp;$A153))</f>
        <v>0</v>
      </c>
      <c r="K153" s="91">
        <f ca="1">IF(RTD("tos.rtd",,$A$2,"."&amp;K$135&amp;K$1&amp;"C"&amp;$A153)="N/A",0,RTD("tos.rtd",,$A$2,"."&amp;K$135&amp;K$1&amp;"C"&amp;$A153))-IF(RTD("tos.rtd",,$A$2,"."&amp;K$135&amp;K$1&amp;"P"&amp;$A153)="N/A",0,RTD("tos.rtd",,$A$2,"."&amp;K$135&amp;K$1&amp;"P"&amp;$A153))</f>
        <v>0</v>
      </c>
      <c r="L153" s="91">
        <f ca="1">IF(RTD("tos.rtd",,$A$2,"."&amp;L$135&amp;L$1&amp;"C"&amp;$A153)="N/A",0,RTD("tos.rtd",,$A$2,"."&amp;L$135&amp;L$1&amp;"C"&amp;$A153))-IF(RTD("tos.rtd",,$A$2,"."&amp;L$135&amp;L$1&amp;"P"&amp;$A153)="N/A",0,RTD("tos.rtd",,$A$2,"."&amp;L$135&amp;L$1&amp;"P"&amp;$A153))</f>
        <v>-2</v>
      </c>
      <c r="M153" s="91">
        <f ca="1">IF(RTD("tos.rtd",,$A$2,"."&amp;M$135&amp;M$1&amp;"C"&amp;$A153)="N/A",0,RTD("tos.rtd",,$A$2,"."&amp;M$135&amp;M$1&amp;"C"&amp;$A153))-IF(RTD("tos.rtd",,$A$2,"."&amp;M$135&amp;M$1&amp;"P"&amp;$A153)="N/A",0,RTD("tos.rtd",,$A$2,"."&amp;M$135&amp;M$1&amp;"P"&amp;$A153))</f>
        <v>0</v>
      </c>
      <c r="N153" s="91">
        <f ca="1">IF(RTD("tos.rtd",,$A$2,"."&amp;N$135&amp;N$1&amp;"C"&amp;$A153)="N/A",0,RTD("tos.rtd",,$A$2,"."&amp;N$135&amp;N$1&amp;"C"&amp;$A153))-IF(RTD("tos.rtd",,$A$2,"."&amp;N$135&amp;N$1&amp;"P"&amp;$A153)="N/A",0,RTD("tos.rtd",,$A$2,"."&amp;N$135&amp;N$1&amp;"P"&amp;$A153))</f>
        <v>0</v>
      </c>
      <c r="O153" s="91">
        <f ca="1">IF(RTD("tos.rtd",,$A$2,"."&amp;O$135&amp;O$1&amp;"C"&amp;$A153)="N/A",0,RTD("tos.rtd",,$A$2,"."&amp;O$135&amp;O$1&amp;"C"&amp;$A153))-IF(RTD("tos.rtd",,$A$2,"."&amp;O$135&amp;O$1&amp;"P"&amp;$A153)="N/A",0,RTD("tos.rtd",,$A$2,"."&amp;O$135&amp;O$1&amp;"P"&amp;$A153))</f>
        <v>0</v>
      </c>
      <c r="P153" s="91">
        <f ca="1">IF(RTD("tos.rtd",,$A$2,"."&amp;P$135&amp;P$1&amp;"C"&amp;$A153)="N/A",0,RTD("tos.rtd",,$A$2,"."&amp;P$135&amp;P$1&amp;"C"&amp;$A153))-IF(RTD("tos.rtd",,$A$2,"."&amp;P$135&amp;P$1&amp;"P"&amp;$A153)="N/A",0,RTD("tos.rtd",,$A$2,"."&amp;P$135&amp;P$1&amp;"P"&amp;$A153))</f>
        <v>0</v>
      </c>
      <c r="Q153" s="91">
        <f ca="1">IF(RTD("tos.rtd",,$A$2,"."&amp;Q$135&amp;Q$1&amp;"C"&amp;$A153)="N/A",0,RTD("tos.rtd",,$A$2,"."&amp;Q$135&amp;Q$1&amp;"C"&amp;$A153))-IF(RTD("tos.rtd",,$A$2,"."&amp;Q$135&amp;Q$1&amp;"P"&amp;$A153)="N/A",0,RTD("tos.rtd",,$A$2,"."&amp;Q$135&amp;Q$1&amp;"P"&amp;$A153))</f>
        <v>0</v>
      </c>
      <c r="R153" s="91">
        <f ca="1">IF(RTD("tos.rtd",,$A$2,"."&amp;R$135&amp;R$1&amp;"C"&amp;$A153)="N/A",0,RTD("tos.rtd",,$A$2,"."&amp;R$135&amp;R$1&amp;"C"&amp;$A153))-IF(RTD("tos.rtd",,$A$2,"."&amp;R$135&amp;R$1&amp;"P"&amp;$A153)="N/A",0,RTD("tos.rtd",,$A$2,"."&amp;R$135&amp;R$1&amp;"P"&amp;$A153))</f>
        <v>0</v>
      </c>
      <c r="S153" s="91">
        <f ca="1">IF(RTD("tos.rtd",,$A$2,"."&amp;S$135&amp;S$1&amp;"C"&amp;$A153)="N/A",0,RTD("tos.rtd",,$A$2,"."&amp;S$135&amp;S$1&amp;"C"&amp;$A153))-IF(RTD("tos.rtd",,$A$2,"."&amp;S$135&amp;S$1&amp;"P"&amp;$A153)="N/A",0,RTD("tos.rtd",,$A$2,"."&amp;S$135&amp;S$1&amp;"P"&amp;$A153))</f>
        <v>0</v>
      </c>
      <c r="T153" s="91">
        <f ca="1">IF(RTD("tos.rtd",,$A$2,"."&amp;T$135&amp;T$1&amp;"C"&amp;$A153)="N/A",0,RTD("tos.rtd",,$A$2,"."&amp;T$135&amp;T$1&amp;"C"&amp;$A153))-IF(RTD("tos.rtd",,$A$2,"."&amp;T$135&amp;T$1&amp;"P"&amp;$A153)="N/A",0,RTD("tos.rtd",,$A$2,"."&amp;T$135&amp;T$1&amp;"P"&amp;$A153))</f>
        <v>0</v>
      </c>
      <c r="U153" s="91">
        <f ca="1">IF(RTD("tos.rtd",,$A$2,"."&amp;U$135&amp;U$1&amp;"C"&amp;$A153)="N/A",0,RTD("tos.rtd",,$A$2,"."&amp;U$135&amp;U$1&amp;"C"&amp;$A153))-IF(RTD("tos.rtd",,$A$2,"."&amp;U$135&amp;U$1&amp;"P"&amp;$A153)="N/A",0,RTD("tos.rtd",,$A$2,"."&amp;U$135&amp;U$1&amp;"P"&amp;$A153))</f>
        <v>0</v>
      </c>
      <c r="V153" s="91">
        <f ca="1">IF(RTD("tos.rtd",,$A$2,"."&amp;V$135&amp;V$1&amp;"C"&amp;$A153)="N/A",0,RTD("tos.rtd",,$A$2,"."&amp;V$135&amp;V$1&amp;"C"&amp;$A153))-IF(RTD("tos.rtd",,$A$2,"."&amp;V$135&amp;V$1&amp;"P"&amp;$A153)="N/A",0,RTD("tos.rtd",,$A$2,"."&amp;V$135&amp;V$1&amp;"P"&amp;$A153))</f>
        <v>0</v>
      </c>
      <c r="W153" s="91">
        <f ca="1">IF(RTD("tos.rtd",,$A$2,"."&amp;W$135&amp;W$1&amp;"C"&amp;$A153)="N/A",0,RTD("tos.rtd",,$A$2,"."&amp;W$135&amp;W$1&amp;"C"&amp;$A153))-IF(RTD("tos.rtd",,$A$2,"."&amp;W$135&amp;W$1&amp;"P"&amp;$A153)="N/A",0,RTD("tos.rtd",,$A$2,"."&amp;W$135&amp;W$1&amp;"P"&amp;$A153))</f>
        <v>0</v>
      </c>
      <c r="X153" s="91">
        <f ca="1">IF(RTD("tos.rtd",,$A$2,"."&amp;X$135&amp;X$1&amp;"C"&amp;$A153)="N/A",0,RTD("tos.rtd",,$A$2,"."&amp;X$135&amp;X$1&amp;"C"&amp;$A153))-IF(RTD("tos.rtd",,$A$2,"."&amp;X$135&amp;X$1&amp;"P"&amp;$A153)="N/A",0,RTD("tos.rtd",,$A$2,"."&amp;X$135&amp;X$1&amp;"P"&amp;$A153))</f>
        <v>0</v>
      </c>
      <c r="Y153" s="98">
        <f t="shared" ca="1" si="13"/>
        <v>-1</v>
      </c>
      <c r="Z153" s="91"/>
      <c r="AA153" s="91"/>
    </row>
    <row r="154" spans="1:27" x14ac:dyDescent="0.25">
      <c r="A154" s="93">
        <f>+Hoja1!A153</f>
        <v>20950</v>
      </c>
      <c r="B154" s="91">
        <f ca="1">IF(RTD("tos.rtd",,$A$2,"."&amp;B$135&amp;B$1&amp;"C"&amp;$A154)="N/A",0,RTD("tos.rtd",,$A$2,"."&amp;B$135&amp;B$1&amp;"C"&amp;$A154))-IF(RTD("tos.rtd",,$A$2,"."&amp;B$135&amp;B$1&amp;"P"&amp;$A154)="N/A",0,RTD("tos.rtd",,$A$2,"."&amp;B$135&amp;B$1&amp;"P"&amp;$A154))</f>
        <v>0</v>
      </c>
      <c r="C154" s="91">
        <f ca="1">IF(RTD("tos.rtd",,$A$2,"."&amp;C$135&amp;C$1&amp;"C"&amp;$A154)="N/A",0,RTD("tos.rtd",,$A$2,"."&amp;C$135&amp;C$1&amp;"C"&amp;$A154))-IF(RTD("tos.rtd",,$A$2,"."&amp;C$135&amp;C$1&amp;"P"&amp;$A154)="N/A",0,RTD("tos.rtd",,$A$2,"."&amp;C$135&amp;C$1&amp;"P"&amp;$A154))</f>
        <v>0</v>
      </c>
      <c r="D154" s="91">
        <f ca="1">IF(RTD("tos.rtd",,$A$2,"."&amp;D$135&amp;D$1&amp;"C"&amp;$A154)="N/A",0,RTD("tos.rtd",,$A$2,"."&amp;D$135&amp;D$1&amp;"C"&amp;$A154))-IF(RTD("tos.rtd",,$A$2,"."&amp;D$135&amp;D$1&amp;"P"&amp;$A154)="N/A",0,RTD("tos.rtd",,$A$2,"."&amp;D$135&amp;D$1&amp;"P"&amp;$A154))</f>
        <v>0</v>
      </c>
      <c r="E154" s="91">
        <f ca="1">IF(RTD("tos.rtd",,$A$2,"."&amp;E$135&amp;E$1&amp;"C"&amp;$A154)="N/A",0,RTD("tos.rtd",,$A$2,"."&amp;E$135&amp;E$1&amp;"C"&amp;$A154))-IF(RTD("tos.rtd",,$A$2,"."&amp;E$135&amp;E$1&amp;"P"&amp;$A154)="N/A",0,RTD("tos.rtd",,$A$2,"."&amp;E$135&amp;E$1&amp;"P"&amp;$A154))</f>
        <v>0</v>
      </c>
      <c r="F154" s="91">
        <f ca="1">IF(RTD("tos.rtd",,$A$2,"."&amp;F$135&amp;F$1&amp;"C"&amp;$A154)="N/A",0,RTD("tos.rtd",,$A$2,"."&amp;F$135&amp;F$1&amp;"C"&amp;$A154))-IF(RTD("tos.rtd",,$A$2,"."&amp;F$135&amp;F$1&amp;"P"&amp;$A154)="N/A",0,RTD("tos.rtd",,$A$2,"."&amp;F$135&amp;F$1&amp;"P"&amp;$A154))</f>
        <v>0</v>
      </c>
      <c r="G154" s="91">
        <f ca="1">IF(RTD("tos.rtd",,$A$2,"."&amp;G$135&amp;G$1&amp;"C"&amp;$A154)="N/A",0,RTD("tos.rtd",,$A$2,"."&amp;G$135&amp;G$1&amp;"C"&amp;$A154))-IF(RTD("tos.rtd",,$A$2,"."&amp;G$135&amp;G$1&amp;"P"&amp;$A154)="N/A",0,RTD("tos.rtd",,$A$2,"."&amp;G$135&amp;G$1&amp;"P"&amp;$A154))</f>
        <v>0</v>
      </c>
      <c r="H154" s="91">
        <f ca="1">IF(RTD("tos.rtd",,$A$2,"."&amp;H$135&amp;H$1&amp;"C"&amp;$A154)="N/A",0,RTD("tos.rtd",,$A$2,"."&amp;H$135&amp;H$1&amp;"C"&amp;$A154))-IF(RTD("tos.rtd",,$A$2,"."&amp;H$135&amp;H$1&amp;"P"&amp;$A154)="N/A",0,RTD("tos.rtd",,$A$2,"."&amp;H$135&amp;H$1&amp;"P"&amp;$A154))</f>
        <v>0</v>
      </c>
      <c r="I154" s="91">
        <f ca="1">IF(RTD("tos.rtd",,$A$2,"."&amp;I$135&amp;I$1&amp;"C"&amp;$A154)="N/A",0,RTD("tos.rtd",,$A$2,"."&amp;I$135&amp;I$1&amp;"C"&amp;$A154))-IF(RTD("tos.rtd",,$A$2,"."&amp;I$135&amp;I$1&amp;"P"&amp;$A154)="N/A",0,RTD("tos.rtd",,$A$2,"."&amp;I$135&amp;I$1&amp;"P"&amp;$A154))</f>
        <v>0</v>
      </c>
      <c r="J154" s="91">
        <f ca="1">IF(RTD("tos.rtd",,$A$2,"."&amp;J$135&amp;J$1&amp;"C"&amp;$A154)="N/A",0,RTD("tos.rtd",,$A$2,"."&amp;J$135&amp;J$1&amp;"C"&amp;$A154))-IF(RTD("tos.rtd",,$A$2,"."&amp;J$135&amp;J$1&amp;"P"&amp;$A154)="N/A",0,RTD("tos.rtd",,$A$2,"."&amp;J$135&amp;J$1&amp;"P"&amp;$A154))</f>
        <v>1</v>
      </c>
      <c r="K154" s="91">
        <f ca="1">IF(RTD("tos.rtd",,$A$2,"."&amp;K$135&amp;K$1&amp;"C"&amp;$A154)="N/A",0,RTD("tos.rtd",,$A$2,"."&amp;K$135&amp;K$1&amp;"C"&amp;$A154))-IF(RTD("tos.rtd",,$A$2,"."&amp;K$135&amp;K$1&amp;"P"&amp;$A154)="N/A",0,RTD("tos.rtd",,$A$2,"."&amp;K$135&amp;K$1&amp;"P"&amp;$A154))</f>
        <v>0</v>
      </c>
      <c r="L154" s="91">
        <f ca="1">IF(RTD("tos.rtd",,$A$2,"."&amp;L$135&amp;L$1&amp;"C"&amp;$A154)="N/A",0,RTD("tos.rtd",,$A$2,"."&amp;L$135&amp;L$1&amp;"C"&amp;$A154))-IF(RTD("tos.rtd",,$A$2,"."&amp;L$135&amp;L$1&amp;"P"&amp;$A154)="N/A",0,RTD("tos.rtd",,$A$2,"."&amp;L$135&amp;L$1&amp;"P"&amp;$A154))</f>
        <v>0</v>
      </c>
      <c r="M154" s="91">
        <f ca="1">IF(RTD("tos.rtd",,$A$2,"."&amp;M$135&amp;M$1&amp;"C"&amp;$A154)="N/A",0,RTD("tos.rtd",,$A$2,"."&amp;M$135&amp;M$1&amp;"C"&amp;$A154))-IF(RTD("tos.rtd",,$A$2,"."&amp;M$135&amp;M$1&amp;"P"&amp;$A154)="N/A",0,RTD("tos.rtd",,$A$2,"."&amp;M$135&amp;M$1&amp;"P"&amp;$A154))</f>
        <v>0</v>
      </c>
      <c r="N154" s="91">
        <f ca="1">IF(RTD("tos.rtd",,$A$2,"."&amp;N$135&amp;N$1&amp;"C"&amp;$A154)="N/A",0,RTD("tos.rtd",,$A$2,"."&amp;N$135&amp;N$1&amp;"C"&amp;$A154))-IF(RTD("tos.rtd",,$A$2,"."&amp;N$135&amp;N$1&amp;"P"&amp;$A154)="N/A",0,RTD("tos.rtd",,$A$2,"."&amp;N$135&amp;N$1&amp;"P"&amp;$A154))</f>
        <v>0</v>
      </c>
      <c r="O154" s="91">
        <f ca="1">IF(RTD("tos.rtd",,$A$2,"."&amp;O$135&amp;O$1&amp;"C"&amp;$A154)="N/A",0,RTD("tos.rtd",,$A$2,"."&amp;O$135&amp;O$1&amp;"C"&amp;$A154))-IF(RTD("tos.rtd",,$A$2,"."&amp;O$135&amp;O$1&amp;"P"&amp;$A154)="N/A",0,RTD("tos.rtd",,$A$2,"."&amp;O$135&amp;O$1&amp;"P"&amp;$A154))</f>
        <v>0</v>
      </c>
      <c r="P154" s="91">
        <f ca="1">IF(RTD("tos.rtd",,$A$2,"."&amp;P$135&amp;P$1&amp;"C"&amp;$A154)="N/A",0,RTD("tos.rtd",,$A$2,"."&amp;P$135&amp;P$1&amp;"C"&amp;$A154))-IF(RTD("tos.rtd",,$A$2,"."&amp;P$135&amp;P$1&amp;"P"&amp;$A154)="N/A",0,RTD("tos.rtd",,$A$2,"."&amp;P$135&amp;P$1&amp;"P"&amp;$A154))</f>
        <v>0</v>
      </c>
      <c r="Q154" s="91">
        <f ca="1">IF(RTD("tos.rtd",,$A$2,"."&amp;Q$135&amp;Q$1&amp;"C"&amp;$A154)="N/A",0,RTD("tos.rtd",,$A$2,"."&amp;Q$135&amp;Q$1&amp;"C"&amp;$A154))-IF(RTD("tos.rtd",,$A$2,"."&amp;Q$135&amp;Q$1&amp;"P"&amp;$A154)="N/A",0,RTD("tos.rtd",,$A$2,"."&amp;Q$135&amp;Q$1&amp;"P"&amp;$A154))</f>
        <v>0</v>
      </c>
      <c r="R154" s="91">
        <f ca="1">IF(RTD("tos.rtd",,$A$2,"."&amp;R$135&amp;R$1&amp;"C"&amp;$A154)="N/A",0,RTD("tos.rtd",,$A$2,"."&amp;R$135&amp;R$1&amp;"C"&amp;$A154))-IF(RTD("tos.rtd",,$A$2,"."&amp;R$135&amp;R$1&amp;"P"&amp;$A154)="N/A",0,RTD("tos.rtd",,$A$2,"."&amp;R$135&amp;R$1&amp;"P"&amp;$A154))</f>
        <v>0</v>
      </c>
      <c r="S154" s="91">
        <f ca="1">IF(RTD("tos.rtd",,$A$2,"."&amp;S$135&amp;S$1&amp;"C"&amp;$A154)="N/A",0,RTD("tos.rtd",,$A$2,"."&amp;S$135&amp;S$1&amp;"C"&amp;$A154))-IF(RTD("tos.rtd",,$A$2,"."&amp;S$135&amp;S$1&amp;"P"&amp;$A154)="N/A",0,RTD("tos.rtd",,$A$2,"."&amp;S$135&amp;S$1&amp;"P"&amp;$A154))</f>
        <v>0</v>
      </c>
      <c r="T154" s="91">
        <f ca="1">IF(RTD("tos.rtd",,$A$2,"."&amp;T$135&amp;T$1&amp;"C"&amp;$A154)="N/A",0,RTD("tos.rtd",,$A$2,"."&amp;T$135&amp;T$1&amp;"C"&amp;$A154))-IF(RTD("tos.rtd",,$A$2,"."&amp;T$135&amp;T$1&amp;"P"&amp;$A154)="N/A",0,RTD("tos.rtd",,$A$2,"."&amp;T$135&amp;T$1&amp;"P"&amp;$A154))</f>
        <v>0</v>
      </c>
      <c r="U154" s="91">
        <f ca="1">IF(RTD("tos.rtd",,$A$2,"."&amp;U$135&amp;U$1&amp;"C"&amp;$A154)="N/A",0,RTD("tos.rtd",,$A$2,"."&amp;U$135&amp;U$1&amp;"C"&amp;$A154))-IF(RTD("tos.rtd",,$A$2,"."&amp;U$135&amp;U$1&amp;"P"&amp;$A154)="N/A",0,RTD("tos.rtd",,$A$2,"."&amp;U$135&amp;U$1&amp;"P"&amp;$A154))</f>
        <v>0</v>
      </c>
      <c r="V154" s="91">
        <f ca="1">IF(RTD("tos.rtd",,$A$2,"."&amp;V$135&amp;V$1&amp;"C"&amp;$A154)="N/A",0,RTD("tos.rtd",,$A$2,"."&amp;V$135&amp;V$1&amp;"C"&amp;$A154))-IF(RTD("tos.rtd",,$A$2,"."&amp;V$135&amp;V$1&amp;"P"&amp;$A154)="N/A",0,RTD("tos.rtd",,$A$2,"."&amp;V$135&amp;V$1&amp;"P"&amp;$A154))</f>
        <v>0</v>
      </c>
      <c r="W154" s="91">
        <f ca="1">IF(RTD("tos.rtd",,$A$2,"."&amp;W$135&amp;W$1&amp;"C"&amp;$A154)="N/A",0,RTD("tos.rtd",,$A$2,"."&amp;W$135&amp;W$1&amp;"C"&amp;$A154))-IF(RTD("tos.rtd",,$A$2,"."&amp;W$135&amp;W$1&amp;"P"&amp;$A154)="N/A",0,RTD("tos.rtd",,$A$2,"."&amp;W$135&amp;W$1&amp;"P"&amp;$A154))</f>
        <v>0</v>
      </c>
      <c r="X154" s="91">
        <f ca="1">IF(RTD("tos.rtd",,$A$2,"."&amp;X$135&amp;X$1&amp;"C"&amp;$A154)="N/A",0,RTD("tos.rtd",,$A$2,"."&amp;X$135&amp;X$1&amp;"C"&amp;$A154))-IF(RTD("tos.rtd",,$A$2,"."&amp;X$135&amp;X$1&amp;"P"&amp;$A154)="N/A",0,RTD("tos.rtd",,$A$2,"."&amp;X$135&amp;X$1&amp;"P"&amp;$A154))</f>
        <v>0</v>
      </c>
      <c r="Y154" s="98">
        <f t="shared" ca="1" si="13"/>
        <v>1</v>
      </c>
      <c r="Z154" s="91"/>
      <c r="AA154" s="91"/>
    </row>
    <row r="155" spans="1:27" x14ac:dyDescent="0.25">
      <c r="A155" s="93">
        <f>+Hoja1!A154</f>
        <v>20925</v>
      </c>
      <c r="B155" s="91">
        <f ca="1">IF(RTD("tos.rtd",,$A$2,"."&amp;B$135&amp;B$1&amp;"C"&amp;$A155)="N/A",0,RTD("tos.rtd",,$A$2,"."&amp;B$135&amp;B$1&amp;"C"&amp;$A155))-IF(RTD("tos.rtd",,$A$2,"."&amp;B$135&amp;B$1&amp;"P"&amp;$A155)="N/A",0,RTD("tos.rtd",,$A$2,"."&amp;B$135&amp;B$1&amp;"P"&amp;$A155))</f>
        <v>0</v>
      </c>
      <c r="C155" s="91">
        <f ca="1">IF(RTD("tos.rtd",,$A$2,"."&amp;C$135&amp;C$1&amp;"C"&amp;$A155)="N/A",0,RTD("tos.rtd",,$A$2,"."&amp;C$135&amp;C$1&amp;"C"&amp;$A155))-IF(RTD("tos.rtd",,$A$2,"."&amp;C$135&amp;C$1&amp;"P"&amp;$A155)="N/A",0,RTD("tos.rtd",,$A$2,"."&amp;C$135&amp;C$1&amp;"P"&amp;$A155))</f>
        <v>0</v>
      </c>
      <c r="D155" s="91">
        <f ca="1">IF(RTD("tos.rtd",,$A$2,"."&amp;D$135&amp;D$1&amp;"C"&amp;$A155)="N/A",0,RTD("tos.rtd",,$A$2,"."&amp;D$135&amp;D$1&amp;"C"&amp;$A155))-IF(RTD("tos.rtd",,$A$2,"."&amp;D$135&amp;D$1&amp;"P"&amp;$A155)="N/A",0,RTD("tos.rtd",,$A$2,"."&amp;D$135&amp;D$1&amp;"P"&amp;$A155))</f>
        <v>0</v>
      </c>
      <c r="E155" s="91">
        <f ca="1">IF(RTD("tos.rtd",,$A$2,"."&amp;E$135&amp;E$1&amp;"C"&amp;$A155)="N/A",0,RTD("tos.rtd",,$A$2,"."&amp;E$135&amp;E$1&amp;"C"&amp;$A155))-IF(RTD("tos.rtd",,$A$2,"."&amp;E$135&amp;E$1&amp;"P"&amp;$A155)="N/A",0,RTD("tos.rtd",,$A$2,"."&amp;E$135&amp;E$1&amp;"P"&amp;$A155))</f>
        <v>0</v>
      </c>
      <c r="F155" s="91">
        <f ca="1">IF(RTD("tos.rtd",,$A$2,"."&amp;F$135&amp;F$1&amp;"C"&amp;$A155)="N/A",0,RTD("tos.rtd",,$A$2,"."&amp;F$135&amp;F$1&amp;"C"&amp;$A155))-IF(RTD("tos.rtd",,$A$2,"."&amp;F$135&amp;F$1&amp;"P"&amp;$A155)="N/A",0,RTD("tos.rtd",,$A$2,"."&amp;F$135&amp;F$1&amp;"P"&amp;$A155))</f>
        <v>0</v>
      </c>
      <c r="G155" s="91">
        <f ca="1">IF(RTD("tos.rtd",,$A$2,"."&amp;G$135&amp;G$1&amp;"C"&amp;$A155)="N/A",0,RTD("tos.rtd",,$A$2,"."&amp;G$135&amp;G$1&amp;"C"&amp;$A155))-IF(RTD("tos.rtd",,$A$2,"."&amp;G$135&amp;G$1&amp;"P"&amp;$A155)="N/A",0,RTD("tos.rtd",,$A$2,"."&amp;G$135&amp;G$1&amp;"P"&amp;$A155))</f>
        <v>0</v>
      </c>
      <c r="H155" s="91">
        <f ca="1">IF(RTD("tos.rtd",,$A$2,"."&amp;H$135&amp;H$1&amp;"C"&amp;$A155)="N/A",0,RTD("tos.rtd",,$A$2,"."&amp;H$135&amp;H$1&amp;"C"&amp;$A155))-IF(RTD("tos.rtd",,$A$2,"."&amp;H$135&amp;H$1&amp;"P"&amp;$A155)="N/A",0,RTD("tos.rtd",,$A$2,"."&amp;H$135&amp;H$1&amp;"P"&amp;$A155))</f>
        <v>0</v>
      </c>
      <c r="I155" s="91">
        <f ca="1">IF(RTD("tos.rtd",,$A$2,"."&amp;I$135&amp;I$1&amp;"C"&amp;$A155)="N/A",0,RTD("tos.rtd",,$A$2,"."&amp;I$135&amp;I$1&amp;"C"&amp;$A155))-IF(RTD("tos.rtd",,$A$2,"."&amp;I$135&amp;I$1&amp;"P"&amp;$A155)="N/A",0,RTD("tos.rtd",,$A$2,"."&amp;I$135&amp;I$1&amp;"P"&amp;$A155))</f>
        <v>0</v>
      </c>
      <c r="J155" s="91">
        <f ca="1">IF(RTD("tos.rtd",,$A$2,"."&amp;J$135&amp;J$1&amp;"C"&amp;$A155)="N/A",0,RTD("tos.rtd",,$A$2,"."&amp;J$135&amp;J$1&amp;"C"&amp;$A155))-IF(RTD("tos.rtd",,$A$2,"."&amp;J$135&amp;J$1&amp;"P"&amp;$A155)="N/A",0,RTD("tos.rtd",,$A$2,"."&amp;J$135&amp;J$1&amp;"P"&amp;$A155))</f>
        <v>0</v>
      </c>
      <c r="K155" s="91">
        <f ca="1">IF(RTD("tos.rtd",,$A$2,"."&amp;K$135&amp;K$1&amp;"C"&amp;$A155)="N/A",0,RTD("tos.rtd",,$A$2,"."&amp;K$135&amp;K$1&amp;"C"&amp;$A155))-IF(RTD("tos.rtd",,$A$2,"."&amp;K$135&amp;K$1&amp;"P"&amp;$A155)="N/A",0,RTD("tos.rtd",,$A$2,"."&amp;K$135&amp;K$1&amp;"P"&amp;$A155))</f>
        <v>0</v>
      </c>
      <c r="L155" s="91">
        <f ca="1">IF(RTD("tos.rtd",,$A$2,"."&amp;L$135&amp;L$1&amp;"C"&amp;$A155)="N/A",0,RTD("tos.rtd",,$A$2,"."&amp;L$135&amp;L$1&amp;"C"&amp;$A155))-IF(RTD("tos.rtd",,$A$2,"."&amp;L$135&amp;L$1&amp;"P"&amp;$A155)="N/A",0,RTD("tos.rtd",,$A$2,"."&amp;L$135&amp;L$1&amp;"P"&amp;$A155))</f>
        <v>0</v>
      </c>
      <c r="M155" s="91">
        <f ca="1">IF(RTD("tos.rtd",,$A$2,"."&amp;M$135&amp;M$1&amp;"C"&amp;$A155)="N/A",0,RTD("tos.rtd",,$A$2,"."&amp;M$135&amp;M$1&amp;"C"&amp;$A155))-IF(RTD("tos.rtd",,$A$2,"."&amp;M$135&amp;M$1&amp;"P"&amp;$A155)="N/A",0,RTD("tos.rtd",,$A$2,"."&amp;M$135&amp;M$1&amp;"P"&amp;$A155))</f>
        <v>0</v>
      </c>
      <c r="N155" s="91">
        <f ca="1">IF(RTD("tos.rtd",,$A$2,"."&amp;N$135&amp;N$1&amp;"C"&amp;$A155)="N/A",0,RTD("tos.rtd",,$A$2,"."&amp;N$135&amp;N$1&amp;"C"&amp;$A155))-IF(RTD("tos.rtd",,$A$2,"."&amp;N$135&amp;N$1&amp;"P"&amp;$A155)="N/A",0,RTD("tos.rtd",,$A$2,"."&amp;N$135&amp;N$1&amp;"P"&amp;$A155))</f>
        <v>0</v>
      </c>
      <c r="O155" s="91">
        <f ca="1">IF(RTD("tos.rtd",,$A$2,"."&amp;O$135&amp;O$1&amp;"C"&amp;$A155)="N/A",0,RTD("tos.rtd",,$A$2,"."&amp;O$135&amp;O$1&amp;"C"&amp;$A155))-IF(RTD("tos.rtd",,$A$2,"."&amp;O$135&amp;O$1&amp;"P"&amp;$A155)="N/A",0,RTD("tos.rtd",,$A$2,"."&amp;O$135&amp;O$1&amp;"P"&amp;$A155))</f>
        <v>0</v>
      </c>
      <c r="P155" s="91">
        <f ca="1">IF(RTD("tos.rtd",,$A$2,"."&amp;P$135&amp;P$1&amp;"C"&amp;$A155)="N/A",0,RTD("tos.rtd",,$A$2,"."&amp;P$135&amp;P$1&amp;"C"&amp;$A155))-IF(RTD("tos.rtd",,$A$2,"."&amp;P$135&amp;P$1&amp;"P"&amp;$A155)="N/A",0,RTD("tos.rtd",,$A$2,"."&amp;P$135&amp;P$1&amp;"P"&amp;$A155))</f>
        <v>0</v>
      </c>
      <c r="Q155" s="91">
        <f ca="1">IF(RTD("tos.rtd",,$A$2,"."&amp;Q$135&amp;Q$1&amp;"C"&amp;$A155)="N/A",0,RTD("tos.rtd",,$A$2,"."&amp;Q$135&amp;Q$1&amp;"C"&amp;$A155))-IF(RTD("tos.rtd",,$A$2,"."&amp;Q$135&amp;Q$1&amp;"P"&amp;$A155)="N/A",0,RTD("tos.rtd",,$A$2,"."&amp;Q$135&amp;Q$1&amp;"P"&amp;$A155))</f>
        <v>0</v>
      </c>
      <c r="R155" s="91">
        <f ca="1">IF(RTD("tos.rtd",,$A$2,"."&amp;R$135&amp;R$1&amp;"C"&amp;$A155)="N/A",0,RTD("tos.rtd",,$A$2,"."&amp;R$135&amp;R$1&amp;"C"&amp;$A155))-IF(RTD("tos.rtd",,$A$2,"."&amp;R$135&amp;R$1&amp;"P"&amp;$A155)="N/A",0,RTD("tos.rtd",,$A$2,"."&amp;R$135&amp;R$1&amp;"P"&amp;$A155))</f>
        <v>0</v>
      </c>
      <c r="S155" s="91">
        <f ca="1">IF(RTD("tos.rtd",,$A$2,"."&amp;S$135&amp;S$1&amp;"C"&amp;$A155)="N/A",0,RTD("tos.rtd",,$A$2,"."&amp;S$135&amp;S$1&amp;"C"&amp;$A155))-IF(RTD("tos.rtd",,$A$2,"."&amp;S$135&amp;S$1&amp;"P"&amp;$A155)="N/A",0,RTD("tos.rtd",,$A$2,"."&amp;S$135&amp;S$1&amp;"P"&amp;$A155))</f>
        <v>0</v>
      </c>
      <c r="T155" s="91">
        <f ca="1">IF(RTD("tos.rtd",,$A$2,"."&amp;T$135&amp;T$1&amp;"C"&amp;$A155)="N/A",0,RTD("tos.rtd",,$A$2,"."&amp;T$135&amp;T$1&amp;"C"&amp;$A155))-IF(RTD("tos.rtd",,$A$2,"."&amp;T$135&amp;T$1&amp;"P"&amp;$A155)="N/A",0,RTD("tos.rtd",,$A$2,"."&amp;T$135&amp;T$1&amp;"P"&amp;$A155))</f>
        <v>0</v>
      </c>
      <c r="U155" s="91">
        <f ca="1">IF(RTD("tos.rtd",,$A$2,"."&amp;U$135&amp;U$1&amp;"C"&amp;$A155)="N/A",0,RTD("tos.rtd",,$A$2,"."&amp;U$135&amp;U$1&amp;"C"&amp;$A155))-IF(RTD("tos.rtd",,$A$2,"."&amp;U$135&amp;U$1&amp;"P"&amp;$A155)="N/A",0,RTD("tos.rtd",,$A$2,"."&amp;U$135&amp;U$1&amp;"P"&amp;$A155))</f>
        <v>0</v>
      </c>
      <c r="V155" s="91">
        <f ca="1">IF(RTD("tos.rtd",,$A$2,"."&amp;V$135&amp;V$1&amp;"C"&amp;$A155)="N/A",0,RTD("tos.rtd",,$A$2,"."&amp;V$135&amp;V$1&amp;"C"&amp;$A155))-IF(RTD("tos.rtd",,$A$2,"."&amp;V$135&amp;V$1&amp;"P"&amp;$A155)="N/A",0,RTD("tos.rtd",,$A$2,"."&amp;V$135&amp;V$1&amp;"P"&amp;$A155))</f>
        <v>0</v>
      </c>
      <c r="W155" s="91">
        <f ca="1">IF(RTD("tos.rtd",,$A$2,"."&amp;W$135&amp;W$1&amp;"C"&amp;$A155)="N/A",0,RTD("tos.rtd",,$A$2,"."&amp;W$135&amp;W$1&amp;"C"&amp;$A155))-IF(RTD("tos.rtd",,$A$2,"."&amp;W$135&amp;W$1&amp;"P"&amp;$A155)="N/A",0,RTD("tos.rtd",,$A$2,"."&amp;W$135&amp;W$1&amp;"P"&amp;$A155))</f>
        <v>0</v>
      </c>
      <c r="X155" s="91">
        <f ca="1">IF(RTD("tos.rtd",,$A$2,"."&amp;X$135&amp;X$1&amp;"C"&amp;$A155)="N/A",0,RTD("tos.rtd",,$A$2,"."&amp;X$135&amp;X$1&amp;"C"&amp;$A155))-IF(RTD("tos.rtd",,$A$2,"."&amp;X$135&amp;X$1&amp;"P"&amp;$A155)="N/A",0,RTD("tos.rtd",,$A$2,"."&amp;X$135&amp;X$1&amp;"P"&amp;$A155))</f>
        <v>0</v>
      </c>
      <c r="Y155" s="98">
        <f t="shared" ca="1" si="13"/>
        <v>0</v>
      </c>
      <c r="Z155" s="91"/>
      <c r="AA155" s="91"/>
    </row>
    <row r="156" spans="1:27" x14ac:dyDescent="0.25">
      <c r="A156" s="93">
        <f>+Hoja1!A155</f>
        <v>20900</v>
      </c>
      <c r="B156" s="91">
        <f ca="1">IF(RTD("tos.rtd",,$A$2,"."&amp;B$135&amp;B$1&amp;"C"&amp;$A156)="N/A",0,RTD("tos.rtd",,$A$2,"."&amp;B$135&amp;B$1&amp;"C"&amp;$A156))-IF(RTD("tos.rtd",,$A$2,"."&amp;B$135&amp;B$1&amp;"P"&amp;$A156)="N/A",0,RTD("tos.rtd",,$A$2,"."&amp;B$135&amp;B$1&amp;"P"&amp;$A156))</f>
        <v>0</v>
      </c>
      <c r="C156" s="91">
        <f ca="1">IF(RTD("tos.rtd",,$A$2,"."&amp;C$135&amp;C$1&amp;"C"&amp;$A156)="N/A",0,RTD("tos.rtd",,$A$2,"."&amp;C$135&amp;C$1&amp;"C"&amp;$A156))-IF(RTD("tos.rtd",,$A$2,"."&amp;C$135&amp;C$1&amp;"P"&amp;$A156)="N/A",0,RTD("tos.rtd",,$A$2,"."&amp;C$135&amp;C$1&amp;"P"&amp;$A156))</f>
        <v>0</v>
      </c>
      <c r="D156" s="91">
        <f ca="1">IF(RTD("tos.rtd",,$A$2,"."&amp;D$135&amp;D$1&amp;"C"&amp;$A156)="N/A",0,RTD("tos.rtd",,$A$2,"."&amp;D$135&amp;D$1&amp;"C"&amp;$A156))-IF(RTD("tos.rtd",,$A$2,"."&amp;D$135&amp;D$1&amp;"P"&amp;$A156)="N/A",0,RTD("tos.rtd",,$A$2,"."&amp;D$135&amp;D$1&amp;"P"&amp;$A156))</f>
        <v>0</v>
      </c>
      <c r="E156" s="91">
        <f ca="1">IF(RTD("tos.rtd",,$A$2,"."&amp;E$135&amp;E$1&amp;"C"&amp;$A156)="N/A",0,RTD("tos.rtd",,$A$2,"."&amp;E$135&amp;E$1&amp;"C"&amp;$A156))-IF(RTD("tos.rtd",,$A$2,"."&amp;E$135&amp;E$1&amp;"P"&amp;$A156)="N/A",0,RTD("tos.rtd",,$A$2,"."&amp;E$135&amp;E$1&amp;"P"&amp;$A156))</f>
        <v>0</v>
      </c>
      <c r="F156" s="91">
        <f ca="1">IF(RTD("tos.rtd",,$A$2,"."&amp;F$135&amp;F$1&amp;"C"&amp;$A156)="N/A",0,RTD("tos.rtd",,$A$2,"."&amp;F$135&amp;F$1&amp;"C"&amp;$A156))-IF(RTD("tos.rtd",,$A$2,"."&amp;F$135&amp;F$1&amp;"P"&amp;$A156)="N/A",0,RTD("tos.rtd",,$A$2,"."&amp;F$135&amp;F$1&amp;"P"&amp;$A156))</f>
        <v>0</v>
      </c>
      <c r="G156" s="91">
        <f ca="1">IF(RTD("tos.rtd",,$A$2,"."&amp;G$135&amp;G$1&amp;"C"&amp;$A156)="N/A",0,RTD("tos.rtd",,$A$2,"."&amp;G$135&amp;G$1&amp;"C"&amp;$A156))-IF(RTD("tos.rtd",,$A$2,"."&amp;G$135&amp;G$1&amp;"P"&amp;$A156)="N/A",0,RTD("tos.rtd",,$A$2,"."&amp;G$135&amp;G$1&amp;"P"&amp;$A156))</f>
        <v>0</v>
      </c>
      <c r="H156" s="91">
        <f ca="1">IF(RTD("tos.rtd",,$A$2,"."&amp;H$135&amp;H$1&amp;"C"&amp;$A156)="N/A",0,RTD("tos.rtd",,$A$2,"."&amp;H$135&amp;H$1&amp;"C"&amp;$A156))-IF(RTD("tos.rtd",,$A$2,"."&amp;H$135&amp;H$1&amp;"P"&amp;$A156)="N/A",0,RTD("tos.rtd",,$A$2,"."&amp;H$135&amp;H$1&amp;"P"&amp;$A156))</f>
        <v>0</v>
      </c>
      <c r="I156" s="91">
        <f ca="1">IF(RTD("tos.rtd",,$A$2,"."&amp;I$135&amp;I$1&amp;"C"&amp;$A156)="N/A",0,RTD("tos.rtd",,$A$2,"."&amp;I$135&amp;I$1&amp;"C"&amp;$A156))-IF(RTD("tos.rtd",,$A$2,"."&amp;I$135&amp;I$1&amp;"P"&amp;$A156)="N/A",0,RTD("tos.rtd",,$A$2,"."&amp;I$135&amp;I$1&amp;"P"&amp;$A156))</f>
        <v>-1</v>
      </c>
      <c r="J156" s="91">
        <f ca="1">IF(RTD("tos.rtd",,$A$2,"."&amp;J$135&amp;J$1&amp;"C"&amp;$A156)="N/A",0,RTD("tos.rtd",,$A$2,"."&amp;J$135&amp;J$1&amp;"C"&amp;$A156))-IF(RTD("tos.rtd",,$A$2,"."&amp;J$135&amp;J$1&amp;"P"&amp;$A156)="N/A",0,RTD("tos.rtd",,$A$2,"."&amp;J$135&amp;J$1&amp;"P"&amp;$A156))</f>
        <v>2</v>
      </c>
      <c r="K156" s="91">
        <f ca="1">IF(RTD("tos.rtd",,$A$2,"."&amp;K$135&amp;K$1&amp;"C"&amp;$A156)="N/A",0,RTD("tos.rtd",,$A$2,"."&amp;K$135&amp;K$1&amp;"C"&amp;$A156))-IF(RTD("tos.rtd",,$A$2,"."&amp;K$135&amp;K$1&amp;"P"&amp;$A156)="N/A",0,RTD("tos.rtd",,$A$2,"."&amp;K$135&amp;K$1&amp;"P"&amp;$A156))</f>
        <v>0</v>
      </c>
      <c r="L156" s="91">
        <f ca="1">IF(RTD("tos.rtd",,$A$2,"."&amp;L$135&amp;L$1&amp;"C"&amp;$A156)="N/A",0,RTD("tos.rtd",,$A$2,"."&amp;L$135&amp;L$1&amp;"C"&amp;$A156))-IF(RTD("tos.rtd",,$A$2,"."&amp;L$135&amp;L$1&amp;"P"&amp;$A156)="N/A",0,RTD("tos.rtd",,$A$2,"."&amp;L$135&amp;L$1&amp;"P"&amp;$A156))</f>
        <v>0</v>
      </c>
      <c r="M156" s="91">
        <f ca="1">IF(RTD("tos.rtd",,$A$2,"."&amp;M$135&amp;M$1&amp;"C"&amp;$A156)="N/A",0,RTD("tos.rtd",,$A$2,"."&amp;M$135&amp;M$1&amp;"C"&amp;$A156))-IF(RTD("tos.rtd",,$A$2,"."&amp;M$135&amp;M$1&amp;"P"&amp;$A156)="N/A",0,RTD("tos.rtd",,$A$2,"."&amp;M$135&amp;M$1&amp;"P"&amp;$A156))</f>
        <v>5</v>
      </c>
      <c r="N156" s="91">
        <f ca="1">IF(RTD("tos.rtd",,$A$2,"."&amp;N$135&amp;N$1&amp;"C"&amp;$A156)="N/A",0,RTD("tos.rtd",,$A$2,"."&amp;N$135&amp;N$1&amp;"C"&amp;$A156))-IF(RTD("tos.rtd",,$A$2,"."&amp;N$135&amp;N$1&amp;"P"&amp;$A156)="N/A",0,RTD("tos.rtd",,$A$2,"."&amp;N$135&amp;N$1&amp;"P"&amp;$A156))</f>
        <v>0</v>
      </c>
      <c r="O156" s="91">
        <f ca="1">IF(RTD("tos.rtd",,$A$2,"."&amp;O$135&amp;O$1&amp;"C"&amp;$A156)="N/A",0,RTD("tos.rtd",,$A$2,"."&amp;O$135&amp;O$1&amp;"C"&amp;$A156))-IF(RTD("tos.rtd",,$A$2,"."&amp;O$135&amp;O$1&amp;"P"&amp;$A156)="N/A",0,RTD("tos.rtd",,$A$2,"."&amp;O$135&amp;O$1&amp;"P"&amp;$A156))</f>
        <v>0</v>
      </c>
      <c r="P156" s="91">
        <f ca="1">IF(RTD("tos.rtd",,$A$2,"."&amp;P$135&amp;P$1&amp;"C"&amp;$A156)="N/A",0,RTD("tos.rtd",,$A$2,"."&amp;P$135&amp;P$1&amp;"C"&amp;$A156))-IF(RTD("tos.rtd",,$A$2,"."&amp;P$135&amp;P$1&amp;"P"&amp;$A156)="N/A",0,RTD("tos.rtd",,$A$2,"."&amp;P$135&amp;P$1&amp;"P"&amp;$A156))</f>
        <v>0</v>
      </c>
      <c r="Q156" s="91">
        <f ca="1">IF(RTD("tos.rtd",,$A$2,"."&amp;Q$135&amp;Q$1&amp;"C"&amp;$A156)="N/A",0,RTD("tos.rtd",,$A$2,"."&amp;Q$135&amp;Q$1&amp;"C"&amp;$A156))-IF(RTD("tos.rtd",,$A$2,"."&amp;Q$135&amp;Q$1&amp;"P"&amp;$A156)="N/A",0,RTD("tos.rtd",,$A$2,"."&amp;Q$135&amp;Q$1&amp;"P"&amp;$A156))</f>
        <v>8</v>
      </c>
      <c r="R156" s="91">
        <f ca="1">IF(RTD("tos.rtd",,$A$2,"."&amp;R$135&amp;R$1&amp;"C"&amp;$A156)="N/A",0,RTD("tos.rtd",,$A$2,"."&amp;R$135&amp;R$1&amp;"C"&amp;$A156))-IF(RTD("tos.rtd",,$A$2,"."&amp;R$135&amp;R$1&amp;"P"&amp;$A156)="N/A",0,RTD("tos.rtd",,$A$2,"."&amp;R$135&amp;R$1&amp;"P"&amp;$A156))</f>
        <v>0</v>
      </c>
      <c r="S156" s="91">
        <f ca="1">IF(RTD("tos.rtd",,$A$2,"."&amp;S$135&amp;S$1&amp;"C"&amp;$A156)="N/A",0,RTD("tos.rtd",,$A$2,"."&amp;S$135&amp;S$1&amp;"C"&amp;$A156))-IF(RTD("tos.rtd",,$A$2,"."&amp;S$135&amp;S$1&amp;"P"&amp;$A156)="N/A",0,RTD("tos.rtd",,$A$2,"."&amp;S$135&amp;S$1&amp;"P"&amp;$A156))</f>
        <v>-1</v>
      </c>
      <c r="T156" s="91">
        <f ca="1">IF(RTD("tos.rtd",,$A$2,"."&amp;T$135&amp;T$1&amp;"C"&amp;$A156)="N/A",0,RTD("tos.rtd",,$A$2,"."&amp;T$135&amp;T$1&amp;"C"&amp;$A156))-IF(RTD("tos.rtd",,$A$2,"."&amp;T$135&amp;T$1&amp;"P"&amp;$A156)="N/A",0,RTD("tos.rtd",,$A$2,"."&amp;T$135&amp;T$1&amp;"P"&amp;$A156))</f>
        <v>0</v>
      </c>
      <c r="U156" s="91">
        <f ca="1">IF(RTD("tos.rtd",,$A$2,"."&amp;U$135&amp;U$1&amp;"C"&amp;$A156)="N/A",0,RTD("tos.rtd",,$A$2,"."&amp;U$135&amp;U$1&amp;"C"&amp;$A156))-IF(RTD("tos.rtd",,$A$2,"."&amp;U$135&amp;U$1&amp;"P"&amp;$A156)="N/A",0,RTD("tos.rtd",,$A$2,"."&amp;U$135&amp;U$1&amp;"P"&amp;$A156))</f>
        <v>0</v>
      </c>
      <c r="V156" s="91">
        <f ca="1">IF(RTD("tos.rtd",,$A$2,"."&amp;V$135&amp;V$1&amp;"C"&amp;$A156)="N/A",0,RTD("tos.rtd",,$A$2,"."&amp;V$135&amp;V$1&amp;"C"&amp;$A156))-IF(RTD("tos.rtd",,$A$2,"."&amp;V$135&amp;V$1&amp;"P"&amp;$A156)="N/A",0,RTD("tos.rtd",,$A$2,"."&amp;V$135&amp;V$1&amp;"P"&amp;$A156))</f>
        <v>0</v>
      </c>
      <c r="W156" s="91">
        <f ca="1">IF(RTD("tos.rtd",,$A$2,"."&amp;W$135&amp;W$1&amp;"C"&amp;$A156)="N/A",0,RTD("tos.rtd",,$A$2,"."&amp;W$135&amp;W$1&amp;"C"&amp;$A156))-IF(RTD("tos.rtd",,$A$2,"."&amp;W$135&amp;W$1&amp;"P"&amp;$A156)="N/A",0,RTD("tos.rtd",,$A$2,"."&amp;W$135&amp;W$1&amp;"P"&amp;$A156))</f>
        <v>0</v>
      </c>
      <c r="X156" s="91">
        <f ca="1">IF(RTD("tos.rtd",,$A$2,"."&amp;X$135&amp;X$1&amp;"C"&amp;$A156)="N/A",0,RTD("tos.rtd",,$A$2,"."&amp;X$135&amp;X$1&amp;"C"&amp;$A156))-IF(RTD("tos.rtd",,$A$2,"."&amp;X$135&amp;X$1&amp;"P"&amp;$A156)="N/A",0,RTD("tos.rtd",,$A$2,"."&amp;X$135&amp;X$1&amp;"P"&amp;$A156))</f>
        <v>3</v>
      </c>
      <c r="Y156" s="98">
        <f t="shared" ca="1" si="13"/>
        <v>16</v>
      </c>
      <c r="Z156" s="91"/>
      <c r="AA156" s="91"/>
    </row>
    <row r="157" spans="1:27" x14ac:dyDescent="0.25">
      <c r="A157" s="93">
        <f>+Hoja1!A156</f>
        <v>20875</v>
      </c>
      <c r="B157" s="91">
        <f ca="1">IF(RTD("tos.rtd",,$A$2,"."&amp;B$135&amp;B$1&amp;"C"&amp;$A157)="N/A",0,RTD("tos.rtd",,$A$2,"."&amp;B$135&amp;B$1&amp;"C"&amp;$A157))-IF(RTD("tos.rtd",,$A$2,"."&amp;B$135&amp;B$1&amp;"P"&amp;$A157)="N/A",0,RTD("tos.rtd",,$A$2,"."&amp;B$135&amp;B$1&amp;"P"&amp;$A157))</f>
        <v>0</v>
      </c>
      <c r="C157" s="91">
        <f ca="1">IF(RTD("tos.rtd",,$A$2,"."&amp;C$135&amp;C$1&amp;"C"&amp;$A157)="N/A",0,RTD("tos.rtd",,$A$2,"."&amp;C$135&amp;C$1&amp;"C"&amp;$A157))-IF(RTD("tos.rtd",,$A$2,"."&amp;C$135&amp;C$1&amp;"P"&amp;$A157)="N/A",0,RTD("tos.rtd",,$A$2,"."&amp;C$135&amp;C$1&amp;"P"&amp;$A157))</f>
        <v>0</v>
      </c>
      <c r="D157" s="91">
        <f ca="1">IF(RTD("tos.rtd",,$A$2,"."&amp;D$135&amp;D$1&amp;"C"&amp;$A157)="N/A",0,RTD("tos.rtd",,$A$2,"."&amp;D$135&amp;D$1&amp;"C"&amp;$A157))-IF(RTD("tos.rtd",,$A$2,"."&amp;D$135&amp;D$1&amp;"P"&amp;$A157)="N/A",0,RTD("tos.rtd",,$A$2,"."&amp;D$135&amp;D$1&amp;"P"&amp;$A157))</f>
        <v>0</v>
      </c>
      <c r="E157" s="91">
        <f ca="1">IF(RTD("tos.rtd",,$A$2,"."&amp;E$135&amp;E$1&amp;"C"&amp;$A157)="N/A",0,RTD("tos.rtd",,$A$2,"."&amp;E$135&amp;E$1&amp;"C"&amp;$A157))-IF(RTD("tos.rtd",,$A$2,"."&amp;E$135&amp;E$1&amp;"P"&amp;$A157)="N/A",0,RTD("tos.rtd",,$A$2,"."&amp;E$135&amp;E$1&amp;"P"&amp;$A157))</f>
        <v>0</v>
      </c>
      <c r="F157" s="91">
        <f ca="1">IF(RTD("tos.rtd",,$A$2,"."&amp;F$135&amp;F$1&amp;"C"&amp;$A157)="N/A",0,RTD("tos.rtd",,$A$2,"."&amp;F$135&amp;F$1&amp;"C"&amp;$A157))-IF(RTD("tos.rtd",,$A$2,"."&amp;F$135&amp;F$1&amp;"P"&amp;$A157)="N/A",0,RTD("tos.rtd",,$A$2,"."&amp;F$135&amp;F$1&amp;"P"&amp;$A157))</f>
        <v>0</v>
      </c>
      <c r="G157" s="91">
        <f ca="1">IF(RTD("tos.rtd",,$A$2,"."&amp;G$135&amp;G$1&amp;"C"&amp;$A157)="N/A",0,RTD("tos.rtd",,$A$2,"."&amp;G$135&amp;G$1&amp;"C"&amp;$A157))-IF(RTD("tos.rtd",,$A$2,"."&amp;G$135&amp;G$1&amp;"P"&amp;$A157)="N/A",0,RTD("tos.rtd",,$A$2,"."&amp;G$135&amp;G$1&amp;"P"&amp;$A157))</f>
        <v>0</v>
      </c>
      <c r="H157" s="91">
        <f ca="1">IF(RTD("tos.rtd",,$A$2,"."&amp;H$135&amp;H$1&amp;"C"&amp;$A157)="N/A",0,RTD("tos.rtd",,$A$2,"."&amp;H$135&amp;H$1&amp;"C"&amp;$A157))-IF(RTD("tos.rtd",,$A$2,"."&amp;H$135&amp;H$1&amp;"P"&amp;$A157)="N/A",0,RTD("tos.rtd",,$A$2,"."&amp;H$135&amp;H$1&amp;"P"&amp;$A157))</f>
        <v>0</v>
      </c>
      <c r="I157" s="91">
        <f ca="1">IF(RTD("tos.rtd",,$A$2,"."&amp;I$135&amp;I$1&amp;"C"&amp;$A157)="N/A",0,RTD("tos.rtd",,$A$2,"."&amp;I$135&amp;I$1&amp;"C"&amp;$A157))-IF(RTD("tos.rtd",,$A$2,"."&amp;I$135&amp;I$1&amp;"P"&amp;$A157)="N/A",0,RTD("tos.rtd",,$A$2,"."&amp;I$135&amp;I$1&amp;"P"&amp;$A157))</f>
        <v>-3</v>
      </c>
      <c r="J157" s="91">
        <f ca="1">IF(RTD("tos.rtd",,$A$2,"."&amp;J$135&amp;J$1&amp;"C"&amp;$A157)="N/A",0,RTD("tos.rtd",,$A$2,"."&amp;J$135&amp;J$1&amp;"C"&amp;$A157))-IF(RTD("tos.rtd",,$A$2,"."&amp;J$135&amp;J$1&amp;"P"&amp;$A157)="N/A",0,RTD("tos.rtd",,$A$2,"."&amp;J$135&amp;J$1&amp;"P"&amp;$A157))</f>
        <v>0</v>
      </c>
      <c r="K157" s="91">
        <f ca="1">IF(RTD("tos.rtd",,$A$2,"."&amp;K$135&amp;K$1&amp;"C"&amp;$A157)="N/A",0,RTD("tos.rtd",,$A$2,"."&amp;K$135&amp;K$1&amp;"C"&amp;$A157))-IF(RTD("tos.rtd",,$A$2,"."&amp;K$135&amp;K$1&amp;"P"&amp;$A157)="N/A",0,RTD("tos.rtd",,$A$2,"."&amp;K$135&amp;K$1&amp;"P"&amp;$A157))</f>
        <v>0</v>
      </c>
      <c r="L157" s="91">
        <f ca="1">IF(RTD("tos.rtd",,$A$2,"."&amp;L$135&amp;L$1&amp;"C"&amp;$A157)="N/A",0,RTD("tos.rtd",,$A$2,"."&amp;L$135&amp;L$1&amp;"C"&amp;$A157))-IF(RTD("tos.rtd",,$A$2,"."&amp;L$135&amp;L$1&amp;"P"&amp;$A157)="N/A",0,RTD("tos.rtd",,$A$2,"."&amp;L$135&amp;L$1&amp;"P"&amp;$A157))</f>
        <v>0</v>
      </c>
      <c r="M157" s="91">
        <f ca="1">IF(RTD("tos.rtd",,$A$2,"."&amp;M$135&amp;M$1&amp;"C"&amp;$A157)="N/A",0,RTD("tos.rtd",,$A$2,"."&amp;M$135&amp;M$1&amp;"C"&amp;$A157))-IF(RTD("tos.rtd",,$A$2,"."&amp;M$135&amp;M$1&amp;"P"&amp;$A157)="N/A",0,RTD("tos.rtd",,$A$2,"."&amp;M$135&amp;M$1&amp;"P"&amp;$A157))</f>
        <v>0</v>
      </c>
      <c r="N157" s="91">
        <f ca="1">IF(RTD("tos.rtd",,$A$2,"."&amp;N$135&amp;N$1&amp;"C"&amp;$A157)="N/A",0,RTD("tos.rtd",,$A$2,"."&amp;N$135&amp;N$1&amp;"C"&amp;$A157))-IF(RTD("tos.rtd",,$A$2,"."&amp;N$135&amp;N$1&amp;"P"&amp;$A157)="N/A",0,RTD("tos.rtd",,$A$2,"."&amp;N$135&amp;N$1&amp;"P"&amp;$A157))</f>
        <v>0</v>
      </c>
      <c r="O157" s="91">
        <f ca="1">IF(RTD("tos.rtd",,$A$2,"."&amp;O$135&amp;O$1&amp;"C"&amp;$A157)="N/A",0,RTD("tos.rtd",,$A$2,"."&amp;O$135&amp;O$1&amp;"C"&amp;$A157))-IF(RTD("tos.rtd",,$A$2,"."&amp;O$135&amp;O$1&amp;"P"&amp;$A157)="N/A",0,RTD("tos.rtd",,$A$2,"."&amp;O$135&amp;O$1&amp;"P"&amp;$A157))</f>
        <v>0</v>
      </c>
      <c r="P157" s="91">
        <f ca="1">IF(RTD("tos.rtd",,$A$2,"."&amp;P$135&amp;P$1&amp;"C"&amp;$A157)="N/A",0,RTD("tos.rtd",,$A$2,"."&amp;P$135&amp;P$1&amp;"C"&amp;$A157))-IF(RTD("tos.rtd",,$A$2,"."&amp;P$135&amp;P$1&amp;"P"&amp;$A157)="N/A",0,RTD("tos.rtd",,$A$2,"."&amp;P$135&amp;P$1&amp;"P"&amp;$A157))</f>
        <v>0</v>
      </c>
      <c r="Q157" s="91">
        <f ca="1">IF(RTD("tos.rtd",,$A$2,"."&amp;Q$135&amp;Q$1&amp;"C"&amp;$A157)="N/A",0,RTD("tos.rtd",,$A$2,"."&amp;Q$135&amp;Q$1&amp;"C"&amp;$A157))-IF(RTD("tos.rtd",,$A$2,"."&amp;Q$135&amp;Q$1&amp;"P"&amp;$A157)="N/A",0,RTD("tos.rtd",,$A$2,"."&amp;Q$135&amp;Q$1&amp;"P"&amp;$A157))</f>
        <v>0</v>
      </c>
      <c r="R157" s="91">
        <f ca="1">IF(RTD("tos.rtd",,$A$2,"."&amp;R$135&amp;R$1&amp;"C"&amp;$A157)="N/A",0,RTD("tos.rtd",,$A$2,"."&amp;R$135&amp;R$1&amp;"C"&amp;$A157))-IF(RTD("tos.rtd",,$A$2,"."&amp;R$135&amp;R$1&amp;"P"&amp;$A157)="N/A",0,RTD("tos.rtd",,$A$2,"."&amp;R$135&amp;R$1&amp;"P"&amp;$A157))</f>
        <v>0</v>
      </c>
      <c r="S157" s="91">
        <f ca="1">IF(RTD("tos.rtd",,$A$2,"."&amp;S$135&amp;S$1&amp;"C"&amp;$A157)="N/A",0,RTD("tos.rtd",,$A$2,"."&amp;S$135&amp;S$1&amp;"C"&amp;$A157))-IF(RTD("tos.rtd",,$A$2,"."&amp;S$135&amp;S$1&amp;"P"&amp;$A157)="N/A",0,RTD("tos.rtd",,$A$2,"."&amp;S$135&amp;S$1&amp;"P"&amp;$A157))</f>
        <v>0</v>
      </c>
      <c r="T157" s="91">
        <f ca="1">IF(RTD("tos.rtd",,$A$2,"."&amp;T$135&amp;T$1&amp;"C"&amp;$A157)="N/A",0,RTD("tos.rtd",,$A$2,"."&amp;T$135&amp;T$1&amp;"C"&amp;$A157))-IF(RTD("tos.rtd",,$A$2,"."&amp;T$135&amp;T$1&amp;"P"&amp;$A157)="N/A",0,RTD("tos.rtd",,$A$2,"."&amp;T$135&amp;T$1&amp;"P"&amp;$A157))</f>
        <v>0</v>
      </c>
      <c r="U157" s="91">
        <f ca="1">IF(RTD("tos.rtd",,$A$2,"."&amp;U$135&amp;U$1&amp;"C"&amp;$A157)="N/A",0,RTD("tos.rtd",,$A$2,"."&amp;U$135&amp;U$1&amp;"C"&amp;$A157))-IF(RTD("tos.rtd",,$A$2,"."&amp;U$135&amp;U$1&amp;"P"&amp;$A157)="N/A",0,RTD("tos.rtd",,$A$2,"."&amp;U$135&amp;U$1&amp;"P"&amp;$A157))</f>
        <v>0</v>
      </c>
      <c r="V157" s="91">
        <f ca="1">IF(RTD("tos.rtd",,$A$2,"."&amp;V$135&amp;V$1&amp;"C"&amp;$A157)="N/A",0,RTD("tos.rtd",,$A$2,"."&amp;V$135&amp;V$1&amp;"C"&amp;$A157))-IF(RTD("tos.rtd",,$A$2,"."&amp;V$135&amp;V$1&amp;"P"&amp;$A157)="N/A",0,RTD("tos.rtd",,$A$2,"."&amp;V$135&amp;V$1&amp;"P"&amp;$A157))</f>
        <v>0</v>
      </c>
      <c r="W157" s="91">
        <f ca="1">IF(RTD("tos.rtd",,$A$2,"."&amp;W$135&amp;W$1&amp;"C"&amp;$A157)="N/A",0,RTD("tos.rtd",,$A$2,"."&amp;W$135&amp;W$1&amp;"C"&amp;$A157))-IF(RTD("tos.rtd",,$A$2,"."&amp;W$135&amp;W$1&amp;"P"&amp;$A157)="N/A",0,RTD("tos.rtd",,$A$2,"."&amp;W$135&amp;W$1&amp;"P"&amp;$A157))</f>
        <v>0</v>
      </c>
      <c r="X157" s="91">
        <f ca="1">IF(RTD("tos.rtd",,$A$2,"."&amp;X$135&amp;X$1&amp;"C"&amp;$A157)="N/A",0,RTD("tos.rtd",,$A$2,"."&amp;X$135&amp;X$1&amp;"C"&amp;$A157))-IF(RTD("tos.rtd",,$A$2,"."&amp;X$135&amp;X$1&amp;"P"&amp;$A157)="N/A",0,RTD("tos.rtd",,$A$2,"."&amp;X$135&amp;X$1&amp;"P"&amp;$A157))</f>
        <v>0</v>
      </c>
      <c r="Y157" s="98">
        <f t="shared" ca="1" si="13"/>
        <v>-3</v>
      </c>
      <c r="Z157" s="91"/>
      <c r="AA157" s="91"/>
    </row>
    <row r="158" spans="1:27" x14ac:dyDescent="0.25">
      <c r="A158" s="93">
        <f>+Hoja1!A157</f>
        <v>20850</v>
      </c>
      <c r="B158" s="91">
        <f ca="1">IF(RTD("tos.rtd",,$A$2,"."&amp;B$135&amp;B$1&amp;"C"&amp;$A158)="N/A",0,RTD("tos.rtd",,$A$2,"."&amp;B$135&amp;B$1&amp;"C"&amp;$A158))-IF(RTD("tos.rtd",,$A$2,"."&amp;B$135&amp;B$1&amp;"P"&amp;$A158)="N/A",0,RTD("tos.rtd",,$A$2,"."&amp;B$135&amp;B$1&amp;"P"&amp;$A158))</f>
        <v>0</v>
      </c>
      <c r="C158" s="91">
        <f ca="1">IF(RTD("tos.rtd",,$A$2,"."&amp;C$135&amp;C$1&amp;"C"&amp;$A158)="N/A",0,RTD("tos.rtd",,$A$2,"."&amp;C$135&amp;C$1&amp;"C"&amp;$A158))-IF(RTD("tos.rtd",,$A$2,"."&amp;C$135&amp;C$1&amp;"P"&amp;$A158)="N/A",0,RTD("tos.rtd",,$A$2,"."&amp;C$135&amp;C$1&amp;"P"&amp;$A158))</f>
        <v>0</v>
      </c>
      <c r="D158" s="91">
        <f ca="1">IF(RTD("tos.rtd",,$A$2,"."&amp;D$135&amp;D$1&amp;"C"&amp;$A158)="N/A",0,RTD("tos.rtd",,$A$2,"."&amp;D$135&amp;D$1&amp;"C"&amp;$A158))-IF(RTD("tos.rtd",,$A$2,"."&amp;D$135&amp;D$1&amp;"P"&amp;$A158)="N/A",0,RTD("tos.rtd",,$A$2,"."&amp;D$135&amp;D$1&amp;"P"&amp;$A158))</f>
        <v>0</v>
      </c>
      <c r="E158" s="91">
        <f ca="1">IF(RTD("tos.rtd",,$A$2,"."&amp;E$135&amp;E$1&amp;"C"&amp;$A158)="N/A",0,RTD("tos.rtd",,$A$2,"."&amp;E$135&amp;E$1&amp;"C"&amp;$A158))-IF(RTD("tos.rtd",,$A$2,"."&amp;E$135&amp;E$1&amp;"P"&amp;$A158)="N/A",0,RTD("tos.rtd",,$A$2,"."&amp;E$135&amp;E$1&amp;"P"&amp;$A158))</f>
        <v>0</v>
      </c>
      <c r="F158" s="91">
        <f ca="1">IF(RTD("tos.rtd",,$A$2,"."&amp;F$135&amp;F$1&amp;"C"&amp;$A158)="N/A",0,RTD("tos.rtd",,$A$2,"."&amp;F$135&amp;F$1&amp;"C"&amp;$A158))-IF(RTD("tos.rtd",,$A$2,"."&amp;F$135&amp;F$1&amp;"P"&amp;$A158)="N/A",0,RTD("tos.rtd",,$A$2,"."&amp;F$135&amp;F$1&amp;"P"&amp;$A158))</f>
        <v>0</v>
      </c>
      <c r="G158" s="91">
        <f ca="1">IF(RTD("tos.rtd",,$A$2,"."&amp;G$135&amp;G$1&amp;"C"&amp;$A158)="N/A",0,RTD("tos.rtd",,$A$2,"."&amp;G$135&amp;G$1&amp;"C"&amp;$A158))-IF(RTD("tos.rtd",,$A$2,"."&amp;G$135&amp;G$1&amp;"P"&amp;$A158)="N/A",0,RTD("tos.rtd",,$A$2,"."&amp;G$135&amp;G$1&amp;"P"&amp;$A158))</f>
        <v>0</v>
      </c>
      <c r="H158" s="91">
        <f ca="1">IF(RTD("tos.rtd",,$A$2,"."&amp;H$135&amp;H$1&amp;"C"&amp;$A158)="N/A",0,RTD("tos.rtd",,$A$2,"."&amp;H$135&amp;H$1&amp;"C"&amp;$A158))-IF(RTD("tos.rtd",,$A$2,"."&amp;H$135&amp;H$1&amp;"P"&amp;$A158)="N/A",0,RTD("tos.rtd",,$A$2,"."&amp;H$135&amp;H$1&amp;"P"&amp;$A158))</f>
        <v>0</v>
      </c>
      <c r="I158" s="91">
        <f ca="1">IF(RTD("tos.rtd",,$A$2,"."&amp;I$135&amp;I$1&amp;"C"&amp;$A158)="N/A",0,RTD("tos.rtd",,$A$2,"."&amp;I$135&amp;I$1&amp;"C"&amp;$A158))-IF(RTD("tos.rtd",,$A$2,"."&amp;I$135&amp;I$1&amp;"P"&amp;$A158)="N/A",0,RTD("tos.rtd",,$A$2,"."&amp;I$135&amp;I$1&amp;"P"&amp;$A158))</f>
        <v>1</v>
      </c>
      <c r="J158" s="91">
        <f ca="1">IF(RTD("tos.rtd",,$A$2,"."&amp;J$135&amp;J$1&amp;"C"&amp;$A158)="N/A",0,RTD("tos.rtd",,$A$2,"."&amp;J$135&amp;J$1&amp;"C"&amp;$A158))-IF(RTD("tos.rtd",,$A$2,"."&amp;J$135&amp;J$1&amp;"P"&amp;$A158)="N/A",0,RTD("tos.rtd",,$A$2,"."&amp;J$135&amp;J$1&amp;"P"&amp;$A158))</f>
        <v>0</v>
      </c>
      <c r="K158" s="91">
        <f ca="1">IF(RTD("tos.rtd",,$A$2,"."&amp;K$135&amp;K$1&amp;"C"&amp;$A158)="N/A",0,RTD("tos.rtd",,$A$2,"."&amp;K$135&amp;K$1&amp;"C"&amp;$A158))-IF(RTD("tos.rtd",,$A$2,"."&amp;K$135&amp;K$1&amp;"P"&amp;$A158)="N/A",0,RTD("tos.rtd",,$A$2,"."&amp;K$135&amp;K$1&amp;"P"&amp;$A158))</f>
        <v>0</v>
      </c>
      <c r="L158" s="91">
        <f ca="1">IF(RTD("tos.rtd",,$A$2,"."&amp;L$135&amp;L$1&amp;"C"&amp;$A158)="N/A",0,RTD("tos.rtd",,$A$2,"."&amp;L$135&amp;L$1&amp;"C"&amp;$A158))-IF(RTD("tos.rtd",,$A$2,"."&amp;L$135&amp;L$1&amp;"P"&amp;$A158)="N/A",0,RTD("tos.rtd",,$A$2,"."&amp;L$135&amp;L$1&amp;"P"&amp;$A158))</f>
        <v>0</v>
      </c>
      <c r="M158" s="91">
        <f ca="1">IF(RTD("tos.rtd",,$A$2,"."&amp;M$135&amp;M$1&amp;"C"&amp;$A158)="N/A",0,RTD("tos.rtd",,$A$2,"."&amp;M$135&amp;M$1&amp;"C"&amp;$A158))-IF(RTD("tos.rtd",,$A$2,"."&amp;M$135&amp;M$1&amp;"P"&amp;$A158)="N/A",0,RTD("tos.rtd",,$A$2,"."&amp;M$135&amp;M$1&amp;"P"&amp;$A158))</f>
        <v>0</v>
      </c>
      <c r="N158" s="91">
        <f ca="1">IF(RTD("tos.rtd",,$A$2,"."&amp;N$135&amp;N$1&amp;"C"&amp;$A158)="N/A",0,RTD("tos.rtd",,$A$2,"."&amp;N$135&amp;N$1&amp;"C"&amp;$A158))-IF(RTD("tos.rtd",,$A$2,"."&amp;N$135&amp;N$1&amp;"P"&amp;$A158)="N/A",0,RTD("tos.rtd",,$A$2,"."&amp;N$135&amp;N$1&amp;"P"&amp;$A158))</f>
        <v>0</v>
      </c>
      <c r="O158" s="91">
        <f ca="1">IF(RTD("tos.rtd",,$A$2,"."&amp;O$135&amp;O$1&amp;"C"&amp;$A158)="N/A",0,RTD("tos.rtd",,$A$2,"."&amp;O$135&amp;O$1&amp;"C"&amp;$A158))-IF(RTD("tos.rtd",,$A$2,"."&amp;O$135&amp;O$1&amp;"P"&amp;$A158)="N/A",0,RTD("tos.rtd",,$A$2,"."&amp;O$135&amp;O$1&amp;"P"&amp;$A158))</f>
        <v>0</v>
      </c>
      <c r="P158" s="91">
        <f ca="1">IF(RTD("tos.rtd",,$A$2,"."&amp;P$135&amp;P$1&amp;"C"&amp;$A158)="N/A",0,RTD("tos.rtd",,$A$2,"."&amp;P$135&amp;P$1&amp;"C"&amp;$A158))-IF(RTD("tos.rtd",,$A$2,"."&amp;P$135&amp;P$1&amp;"P"&amp;$A158)="N/A",0,RTD("tos.rtd",,$A$2,"."&amp;P$135&amp;P$1&amp;"P"&amp;$A158))</f>
        <v>0</v>
      </c>
      <c r="Q158" s="91">
        <f ca="1">IF(RTD("tos.rtd",,$A$2,"."&amp;Q$135&amp;Q$1&amp;"C"&amp;$A158)="N/A",0,RTD("tos.rtd",,$A$2,"."&amp;Q$135&amp;Q$1&amp;"C"&amp;$A158))-IF(RTD("tos.rtd",,$A$2,"."&amp;Q$135&amp;Q$1&amp;"P"&amp;$A158)="N/A",0,RTD("tos.rtd",,$A$2,"."&amp;Q$135&amp;Q$1&amp;"P"&amp;$A158))</f>
        <v>0</v>
      </c>
      <c r="R158" s="91">
        <f ca="1">IF(RTD("tos.rtd",,$A$2,"."&amp;R$135&amp;R$1&amp;"C"&amp;$A158)="N/A",0,RTD("tos.rtd",,$A$2,"."&amp;R$135&amp;R$1&amp;"C"&amp;$A158))-IF(RTD("tos.rtd",,$A$2,"."&amp;R$135&amp;R$1&amp;"P"&amp;$A158)="N/A",0,RTD("tos.rtd",,$A$2,"."&amp;R$135&amp;R$1&amp;"P"&amp;$A158))</f>
        <v>0</v>
      </c>
      <c r="S158" s="91">
        <f ca="1">IF(RTD("tos.rtd",,$A$2,"."&amp;S$135&amp;S$1&amp;"C"&amp;$A158)="N/A",0,RTD("tos.rtd",,$A$2,"."&amp;S$135&amp;S$1&amp;"C"&amp;$A158))-IF(RTD("tos.rtd",,$A$2,"."&amp;S$135&amp;S$1&amp;"P"&amp;$A158)="N/A",0,RTD("tos.rtd",,$A$2,"."&amp;S$135&amp;S$1&amp;"P"&amp;$A158))</f>
        <v>0</v>
      </c>
      <c r="T158" s="91">
        <f ca="1">IF(RTD("tos.rtd",,$A$2,"."&amp;T$135&amp;T$1&amp;"C"&amp;$A158)="N/A",0,RTD("tos.rtd",,$A$2,"."&amp;T$135&amp;T$1&amp;"C"&amp;$A158))-IF(RTD("tos.rtd",,$A$2,"."&amp;T$135&amp;T$1&amp;"P"&amp;$A158)="N/A",0,RTD("tos.rtd",,$A$2,"."&amp;T$135&amp;T$1&amp;"P"&amp;$A158))</f>
        <v>0</v>
      </c>
      <c r="U158" s="91">
        <f ca="1">IF(RTD("tos.rtd",,$A$2,"."&amp;U$135&amp;U$1&amp;"C"&amp;$A158)="N/A",0,RTD("tos.rtd",,$A$2,"."&amp;U$135&amp;U$1&amp;"C"&amp;$A158))-IF(RTD("tos.rtd",,$A$2,"."&amp;U$135&amp;U$1&amp;"P"&amp;$A158)="N/A",0,RTD("tos.rtd",,$A$2,"."&amp;U$135&amp;U$1&amp;"P"&amp;$A158))</f>
        <v>0</v>
      </c>
      <c r="V158" s="91">
        <f ca="1">IF(RTD("tos.rtd",,$A$2,"."&amp;V$135&amp;V$1&amp;"C"&amp;$A158)="N/A",0,RTD("tos.rtd",,$A$2,"."&amp;V$135&amp;V$1&amp;"C"&amp;$A158))-IF(RTD("tos.rtd",,$A$2,"."&amp;V$135&amp;V$1&amp;"P"&amp;$A158)="N/A",0,RTD("tos.rtd",,$A$2,"."&amp;V$135&amp;V$1&amp;"P"&amp;$A158))</f>
        <v>0</v>
      </c>
      <c r="W158" s="91">
        <f ca="1">IF(RTD("tos.rtd",,$A$2,"."&amp;W$135&amp;W$1&amp;"C"&amp;$A158)="N/A",0,RTD("tos.rtd",,$A$2,"."&amp;W$135&amp;W$1&amp;"C"&amp;$A158))-IF(RTD("tos.rtd",,$A$2,"."&amp;W$135&amp;W$1&amp;"P"&amp;$A158)="N/A",0,RTD("tos.rtd",,$A$2,"."&amp;W$135&amp;W$1&amp;"P"&amp;$A158))</f>
        <v>0</v>
      </c>
      <c r="X158" s="91">
        <f ca="1">IF(RTD("tos.rtd",,$A$2,"."&amp;X$135&amp;X$1&amp;"C"&amp;$A158)="N/A",0,RTD("tos.rtd",,$A$2,"."&amp;X$135&amp;X$1&amp;"C"&amp;$A158))-IF(RTD("tos.rtd",,$A$2,"."&amp;X$135&amp;X$1&amp;"P"&amp;$A158)="N/A",0,RTD("tos.rtd",,$A$2,"."&amp;X$135&amp;X$1&amp;"P"&amp;$A158))</f>
        <v>0</v>
      </c>
      <c r="Y158" s="98">
        <f t="shared" ca="1" si="13"/>
        <v>1</v>
      </c>
      <c r="Z158" s="91"/>
      <c r="AA158" s="91"/>
    </row>
    <row r="159" spans="1:27" x14ac:dyDescent="0.25">
      <c r="A159" s="93">
        <f>+Hoja1!A158</f>
        <v>20825</v>
      </c>
      <c r="B159" s="91">
        <f ca="1">IF(RTD("tos.rtd",,$A$2,"."&amp;B$135&amp;B$1&amp;"C"&amp;$A159)="N/A",0,RTD("tos.rtd",,$A$2,"."&amp;B$135&amp;B$1&amp;"C"&amp;$A159))-IF(RTD("tos.rtd",,$A$2,"."&amp;B$135&amp;B$1&amp;"P"&amp;$A159)="N/A",0,RTD("tos.rtd",,$A$2,"."&amp;B$135&amp;B$1&amp;"P"&amp;$A159))</f>
        <v>0</v>
      </c>
      <c r="C159" s="91">
        <f ca="1">IF(RTD("tos.rtd",,$A$2,"."&amp;C$135&amp;C$1&amp;"C"&amp;$A159)="N/A",0,RTD("tos.rtd",,$A$2,"."&amp;C$135&amp;C$1&amp;"C"&amp;$A159))-IF(RTD("tos.rtd",,$A$2,"."&amp;C$135&amp;C$1&amp;"P"&amp;$A159)="N/A",0,RTD("tos.rtd",,$A$2,"."&amp;C$135&amp;C$1&amp;"P"&amp;$A159))</f>
        <v>0</v>
      </c>
      <c r="D159" s="91">
        <f ca="1">IF(RTD("tos.rtd",,$A$2,"."&amp;D$135&amp;D$1&amp;"C"&amp;$A159)="N/A",0,RTD("tos.rtd",,$A$2,"."&amp;D$135&amp;D$1&amp;"C"&amp;$A159))-IF(RTD("tos.rtd",,$A$2,"."&amp;D$135&amp;D$1&amp;"P"&amp;$A159)="N/A",0,RTD("tos.rtd",,$A$2,"."&amp;D$135&amp;D$1&amp;"P"&amp;$A159))</f>
        <v>0</v>
      </c>
      <c r="E159" s="91">
        <f ca="1">IF(RTD("tos.rtd",,$A$2,"."&amp;E$135&amp;E$1&amp;"C"&amp;$A159)="N/A",0,RTD("tos.rtd",,$A$2,"."&amp;E$135&amp;E$1&amp;"C"&amp;$A159))-IF(RTD("tos.rtd",,$A$2,"."&amp;E$135&amp;E$1&amp;"P"&amp;$A159)="N/A",0,RTD("tos.rtd",,$A$2,"."&amp;E$135&amp;E$1&amp;"P"&amp;$A159))</f>
        <v>0</v>
      </c>
      <c r="F159" s="91">
        <f ca="1">IF(RTD("tos.rtd",,$A$2,"."&amp;F$135&amp;F$1&amp;"C"&amp;$A159)="N/A",0,RTD("tos.rtd",,$A$2,"."&amp;F$135&amp;F$1&amp;"C"&amp;$A159))-IF(RTD("tos.rtd",,$A$2,"."&amp;F$135&amp;F$1&amp;"P"&amp;$A159)="N/A",0,RTD("tos.rtd",,$A$2,"."&amp;F$135&amp;F$1&amp;"P"&amp;$A159))</f>
        <v>0</v>
      </c>
      <c r="G159" s="91">
        <f ca="1">IF(RTD("tos.rtd",,$A$2,"."&amp;G$135&amp;G$1&amp;"C"&amp;$A159)="N/A",0,RTD("tos.rtd",,$A$2,"."&amp;G$135&amp;G$1&amp;"C"&amp;$A159))-IF(RTD("tos.rtd",,$A$2,"."&amp;G$135&amp;G$1&amp;"P"&amp;$A159)="N/A",0,RTD("tos.rtd",,$A$2,"."&amp;G$135&amp;G$1&amp;"P"&amp;$A159))</f>
        <v>0</v>
      </c>
      <c r="H159" s="91">
        <f ca="1">IF(RTD("tos.rtd",,$A$2,"."&amp;H$135&amp;H$1&amp;"C"&amp;$A159)="N/A",0,RTD("tos.rtd",,$A$2,"."&amp;H$135&amp;H$1&amp;"C"&amp;$A159))-IF(RTD("tos.rtd",,$A$2,"."&amp;H$135&amp;H$1&amp;"P"&amp;$A159)="N/A",0,RTD("tos.rtd",,$A$2,"."&amp;H$135&amp;H$1&amp;"P"&amp;$A159))</f>
        <v>0</v>
      </c>
      <c r="I159" s="91">
        <f ca="1">IF(RTD("tos.rtd",,$A$2,"."&amp;I$135&amp;I$1&amp;"C"&amp;$A159)="N/A",0,RTD("tos.rtd",,$A$2,"."&amp;I$135&amp;I$1&amp;"C"&amp;$A159))-IF(RTD("tos.rtd",,$A$2,"."&amp;I$135&amp;I$1&amp;"P"&amp;$A159)="N/A",0,RTD("tos.rtd",,$A$2,"."&amp;I$135&amp;I$1&amp;"P"&amp;$A159))</f>
        <v>0</v>
      </c>
      <c r="J159" s="91">
        <f ca="1">IF(RTD("tos.rtd",,$A$2,"."&amp;J$135&amp;J$1&amp;"C"&amp;$A159)="N/A",0,RTD("tos.rtd",,$A$2,"."&amp;J$135&amp;J$1&amp;"C"&amp;$A159))-IF(RTD("tos.rtd",,$A$2,"."&amp;J$135&amp;J$1&amp;"P"&amp;$A159)="N/A",0,RTD("tos.rtd",,$A$2,"."&amp;J$135&amp;J$1&amp;"P"&amp;$A159))</f>
        <v>0</v>
      </c>
      <c r="K159" s="91">
        <f ca="1">IF(RTD("tos.rtd",,$A$2,"."&amp;K$135&amp;K$1&amp;"C"&amp;$A159)="N/A",0,RTD("tos.rtd",,$A$2,"."&amp;K$135&amp;K$1&amp;"C"&amp;$A159))-IF(RTD("tos.rtd",,$A$2,"."&amp;K$135&amp;K$1&amp;"P"&amp;$A159)="N/A",0,RTD("tos.rtd",,$A$2,"."&amp;K$135&amp;K$1&amp;"P"&amp;$A159))</f>
        <v>0</v>
      </c>
      <c r="L159" s="91">
        <f ca="1">IF(RTD("tos.rtd",,$A$2,"."&amp;L$135&amp;L$1&amp;"C"&amp;$A159)="N/A",0,RTD("tos.rtd",,$A$2,"."&amp;L$135&amp;L$1&amp;"C"&amp;$A159))-IF(RTD("tos.rtd",,$A$2,"."&amp;L$135&amp;L$1&amp;"P"&amp;$A159)="N/A",0,RTD("tos.rtd",,$A$2,"."&amp;L$135&amp;L$1&amp;"P"&amp;$A159))</f>
        <v>0</v>
      </c>
      <c r="M159" s="91">
        <f ca="1">IF(RTD("tos.rtd",,$A$2,"."&amp;M$135&amp;M$1&amp;"C"&amp;$A159)="N/A",0,RTD("tos.rtd",,$A$2,"."&amp;M$135&amp;M$1&amp;"C"&amp;$A159))-IF(RTD("tos.rtd",,$A$2,"."&amp;M$135&amp;M$1&amp;"P"&amp;$A159)="N/A",0,RTD("tos.rtd",,$A$2,"."&amp;M$135&amp;M$1&amp;"P"&amp;$A159))</f>
        <v>0</v>
      </c>
      <c r="N159" s="91">
        <f ca="1">IF(RTD("tos.rtd",,$A$2,"."&amp;N$135&amp;N$1&amp;"C"&amp;$A159)="N/A",0,RTD("tos.rtd",,$A$2,"."&amp;N$135&amp;N$1&amp;"C"&amp;$A159))-IF(RTD("tos.rtd",,$A$2,"."&amp;N$135&amp;N$1&amp;"P"&amp;$A159)="N/A",0,RTD("tos.rtd",,$A$2,"."&amp;N$135&amp;N$1&amp;"P"&amp;$A159))</f>
        <v>0</v>
      </c>
      <c r="O159" s="91">
        <f ca="1">IF(RTD("tos.rtd",,$A$2,"."&amp;O$135&amp;O$1&amp;"C"&amp;$A159)="N/A",0,RTD("tos.rtd",,$A$2,"."&amp;O$135&amp;O$1&amp;"C"&amp;$A159))-IF(RTD("tos.rtd",,$A$2,"."&amp;O$135&amp;O$1&amp;"P"&amp;$A159)="N/A",0,RTD("tos.rtd",,$A$2,"."&amp;O$135&amp;O$1&amp;"P"&amp;$A159))</f>
        <v>0</v>
      </c>
      <c r="P159" s="91">
        <f ca="1">IF(RTD("tos.rtd",,$A$2,"."&amp;P$135&amp;P$1&amp;"C"&amp;$A159)="N/A",0,RTD("tos.rtd",,$A$2,"."&amp;P$135&amp;P$1&amp;"C"&amp;$A159))-IF(RTD("tos.rtd",,$A$2,"."&amp;P$135&amp;P$1&amp;"P"&amp;$A159)="N/A",0,RTD("tos.rtd",,$A$2,"."&amp;P$135&amp;P$1&amp;"P"&amp;$A159))</f>
        <v>0</v>
      </c>
      <c r="Q159" s="91">
        <f ca="1">IF(RTD("tos.rtd",,$A$2,"."&amp;Q$135&amp;Q$1&amp;"C"&amp;$A159)="N/A",0,RTD("tos.rtd",,$A$2,"."&amp;Q$135&amp;Q$1&amp;"C"&amp;$A159))-IF(RTD("tos.rtd",,$A$2,"."&amp;Q$135&amp;Q$1&amp;"P"&amp;$A159)="N/A",0,RTD("tos.rtd",,$A$2,"."&amp;Q$135&amp;Q$1&amp;"P"&amp;$A159))</f>
        <v>0</v>
      </c>
      <c r="R159" s="91">
        <f ca="1">IF(RTD("tos.rtd",,$A$2,"."&amp;R$135&amp;R$1&amp;"C"&amp;$A159)="N/A",0,RTD("tos.rtd",,$A$2,"."&amp;R$135&amp;R$1&amp;"C"&amp;$A159))-IF(RTD("tos.rtd",,$A$2,"."&amp;R$135&amp;R$1&amp;"P"&amp;$A159)="N/A",0,RTD("tos.rtd",,$A$2,"."&amp;R$135&amp;R$1&amp;"P"&amp;$A159))</f>
        <v>0</v>
      </c>
      <c r="S159" s="91">
        <f ca="1">IF(RTD("tos.rtd",,$A$2,"."&amp;S$135&amp;S$1&amp;"C"&amp;$A159)="N/A",0,RTD("tos.rtd",,$A$2,"."&amp;S$135&amp;S$1&amp;"C"&amp;$A159))-IF(RTD("tos.rtd",,$A$2,"."&amp;S$135&amp;S$1&amp;"P"&amp;$A159)="N/A",0,RTD("tos.rtd",,$A$2,"."&amp;S$135&amp;S$1&amp;"P"&amp;$A159))</f>
        <v>0</v>
      </c>
      <c r="T159" s="91">
        <f ca="1">IF(RTD("tos.rtd",,$A$2,"."&amp;T$135&amp;T$1&amp;"C"&amp;$A159)="N/A",0,RTD("tos.rtd",,$A$2,"."&amp;T$135&amp;T$1&amp;"C"&amp;$A159))-IF(RTD("tos.rtd",,$A$2,"."&amp;T$135&amp;T$1&amp;"P"&amp;$A159)="N/A",0,RTD("tos.rtd",,$A$2,"."&amp;T$135&amp;T$1&amp;"P"&amp;$A159))</f>
        <v>0</v>
      </c>
      <c r="U159" s="91">
        <f ca="1">IF(RTD("tos.rtd",,$A$2,"."&amp;U$135&amp;U$1&amp;"C"&amp;$A159)="N/A",0,RTD("tos.rtd",,$A$2,"."&amp;U$135&amp;U$1&amp;"C"&amp;$A159))-IF(RTD("tos.rtd",,$A$2,"."&amp;U$135&amp;U$1&amp;"P"&amp;$A159)="N/A",0,RTD("tos.rtd",,$A$2,"."&amp;U$135&amp;U$1&amp;"P"&amp;$A159))</f>
        <v>0</v>
      </c>
      <c r="V159" s="91">
        <f ca="1">IF(RTD("tos.rtd",,$A$2,"."&amp;V$135&amp;V$1&amp;"C"&amp;$A159)="N/A",0,RTD("tos.rtd",,$A$2,"."&amp;V$135&amp;V$1&amp;"C"&amp;$A159))-IF(RTD("tos.rtd",,$A$2,"."&amp;V$135&amp;V$1&amp;"P"&amp;$A159)="N/A",0,RTD("tos.rtd",,$A$2,"."&amp;V$135&amp;V$1&amp;"P"&amp;$A159))</f>
        <v>0</v>
      </c>
      <c r="W159" s="91">
        <f ca="1">IF(RTD("tos.rtd",,$A$2,"."&amp;W$135&amp;W$1&amp;"C"&amp;$A159)="N/A",0,RTD("tos.rtd",,$A$2,"."&amp;W$135&amp;W$1&amp;"C"&amp;$A159))-IF(RTD("tos.rtd",,$A$2,"."&amp;W$135&amp;W$1&amp;"P"&amp;$A159)="N/A",0,RTD("tos.rtd",,$A$2,"."&amp;W$135&amp;W$1&amp;"P"&amp;$A159))</f>
        <v>0</v>
      </c>
      <c r="X159" s="91">
        <f ca="1">IF(RTD("tos.rtd",,$A$2,"."&amp;X$135&amp;X$1&amp;"C"&amp;$A159)="N/A",0,RTD("tos.rtd",,$A$2,"."&amp;X$135&amp;X$1&amp;"C"&amp;$A159))-IF(RTD("tos.rtd",,$A$2,"."&amp;X$135&amp;X$1&amp;"P"&amp;$A159)="N/A",0,RTD("tos.rtd",,$A$2,"."&amp;X$135&amp;X$1&amp;"P"&amp;$A159))</f>
        <v>0</v>
      </c>
      <c r="Y159" s="98">
        <f t="shared" ca="1" si="13"/>
        <v>0</v>
      </c>
      <c r="Z159" s="91"/>
      <c r="AA159" s="91"/>
    </row>
    <row r="160" spans="1:27" x14ac:dyDescent="0.25">
      <c r="A160" s="93">
        <f>+Hoja1!A159</f>
        <v>20800</v>
      </c>
      <c r="B160" s="91">
        <f ca="1">IF(RTD("tos.rtd",,$A$2,"."&amp;B$135&amp;B$1&amp;"C"&amp;$A160)="N/A",0,RTD("tos.rtd",,$A$2,"."&amp;B$135&amp;B$1&amp;"C"&amp;$A160))-IF(RTD("tos.rtd",,$A$2,"."&amp;B$135&amp;B$1&amp;"P"&amp;$A160)="N/A",0,RTD("tos.rtd",,$A$2,"."&amp;B$135&amp;B$1&amp;"P"&amp;$A160))</f>
        <v>0</v>
      </c>
      <c r="C160" s="91">
        <f ca="1">IF(RTD("tos.rtd",,$A$2,"."&amp;C$135&amp;C$1&amp;"C"&amp;$A160)="N/A",0,RTD("tos.rtd",,$A$2,"."&amp;C$135&amp;C$1&amp;"C"&amp;$A160))-IF(RTD("tos.rtd",,$A$2,"."&amp;C$135&amp;C$1&amp;"P"&amp;$A160)="N/A",0,RTD("tos.rtd",,$A$2,"."&amp;C$135&amp;C$1&amp;"P"&amp;$A160))</f>
        <v>0</v>
      </c>
      <c r="D160" s="91">
        <f ca="1">IF(RTD("tos.rtd",,$A$2,"."&amp;D$135&amp;D$1&amp;"C"&amp;$A160)="N/A",0,RTD("tos.rtd",,$A$2,"."&amp;D$135&amp;D$1&amp;"C"&amp;$A160))-IF(RTD("tos.rtd",,$A$2,"."&amp;D$135&amp;D$1&amp;"P"&amp;$A160)="N/A",0,RTD("tos.rtd",,$A$2,"."&amp;D$135&amp;D$1&amp;"P"&amp;$A160))</f>
        <v>0</v>
      </c>
      <c r="E160" s="91">
        <f ca="1">IF(RTD("tos.rtd",,$A$2,"."&amp;E$135&amp;E$1&amp;"C"&amp;$A160)="N/A",0,RTD("tos.rtd",,$A$2,"."&amp;E$135&amp;E$1&amp;"C"&amp;$A160))-IF(RTD("tos.rtd",,$A$2,"."&amp;E$135&amp;E$1&amp;"P"&amp;$A160)="N/A",0,RTD("tos.rtd",,$A$2,"."&amp;E$135&amp;E$1&amp;"P"&amp;$A160))</f>
        <v>0</v>
      </c>
      <c r="F160" s="91">
        <f ca="1">IF(RTD("tos.rtd",,$A$2,"."&amp;F$135&amp;F$1&amp;"C"&amp;$A160)="N/A",0,RTD("tos.rtd",,$A$2,"."&amp;F$135&amp;F$1&amp;"C"&amp;$A160))-IF(RTD("tos.rtd",,$A$2,"."&amp;F$135&amp;F$1&amp;"P"&amp;$A160)="N/A",0,RTD("tos.rtd",,$A$2,"."&amp;F$135&amp;F$1&amp;"P"&amp;$A160))</f>
        <v>0</v>
      </c>
      <c r="G160" s="91">
        <f ca="1">IF(RTD("tos.rtd",,$A$2,"."&amp;G$135&amp;G$1&amp;"C"&amp;$A160)="N/A",0,RTD("tos.rtd",,$A$2,"."&amp;G$135&amp;G$1&amp;"C"&amp;$A160))-IF(RTD("tos.rtd",,$A$2,"."&amp;G$135&amp;G$1&amp;"P"&amp;$A160)="N/A",0,RTD("tos.rtd",,$A$2,"."&amp;G$135&amp;G$1&amp;"P"&amp;$A160))</f>
        <v>0</v>
      </c>
      <c r="H160" s="91">
        <f ca="1">IF(RTD("tos.rtd",,$A$2,"."&amp;H$135&amp;H$1&amp;"C"&amp;$A160)="N/A",0,RTD("tos.rtd",,$A$2,"."&amp;H$135&amp;H$1&amp;"C"&amp;$A160))-IF(RTD("tos.rtd",,$A$2,"."&amp;H$135&amp;H$1&amp;"P"&amp;$A160)="N/A",0,RTD("tos.rtd",,$A$2,"."&amp;H$135&amp;H$1&amp;"P"&amp;$A160))</f>
        <v>0</v>
      </c>
      <c r="I160" s="91">
        <f ca="1">IF(RTD("tos.rtd",,$A$2,"."&amp;I$135&amp;I$1&amp;"C"&amp;$A160)="N/A",0,RTD("tos.rtd",,$A$2,"."&amp;I$135&amp;I$1&amp;"C"&amp;$A160))-IF(RTD("tos.rtd",,$A$2,"."&amp;I$135&amp;I$1&amp;"P"&amp;$A160)="N/A",0,RTD("tos.rtd",,$A$2,"."&amp;I$135&amp;I$1&amp;"P"&amp;$A160))</f>
        <v>-3</v>
      </c>
      <c r="J160" s="91">
        <f ca="1">IF(RTD("tos.rtd",,$A$2,"."&amp;J$135&amp;J$1&amp;"C"&amp;$A160)="N/A",0,RTD("tos.rtd",,$A$2,"."&amp;J$135&amp;J$1&amp;"C"&amp;$A160))-IF(RTD("tos.rtd",,$A$2,"."&amp;J$135&amp;J$1&amp;"P"&amp;$A160)="N/A",0,RTD("tos.rtd",,$A$2,"."&amp;J$135&amp;J$1&amp;"P"&amp;$A160))</f>
        <v>3</v>
      </c>
      <c r="K160" s="91">
        <f ca="1">IF(RTD("tos.rtd",,$A$2,"."&amp;K$135&amp;K$1&amp;"C"&amp;$A160)="N/A",0,RTD("tos.rtd",,$A$2,"."&amp;K$135&amp;K$1&amp;"C"&amp;$A160))-IF(RTD("tos.rtd",,$A$2,"."&amp;K$135&amp;K$1&amp;"P"&amp;$A160)="N/A",0,RTD("tos.rtd",,$A$2,"."&amp;K$135&amp;K$1&amp;"P"&amp;$A160))</f>
        <v>0</v>
      </c>
      <c r="L160" s="91">
        <f ca="1">IF(RTD("tos.rtd",,$A$2,"."&amp;L$135&amp;L$1&amp;"C"&amp;$A160)="N/A",0,RTD("tos.rtd",,$A$2,"."&amp;L$135&amp;L$1&amp;"C"&amp;$A160))-IF(RTD("tos.rtd",,$A$2,"."&amp;L$135&amp;L$1&amp;"P"&amp;$A160)="N/A",0,RTD("tos.rtd",,$A$2,"."&amp;L$135&amp;L$1&amp;"P"&amp;$A160))</f>
        <v>0</v>
      </c>
      <c r="M160" s="91">
        <f ca="1">IF(RTD("tos.rtd",,$A$2,"."&amp;M$135&amp;M$1&amp;"C"&amp;$A160)="N/A",0,RTD("tos.rtd",,$A$2,"."&amp;M$135&amp;M$1&amp;"C"&amp;$A160))-IF(RTD("tos.rtd",,$A$2,"."&amp;M$135&amp;M$1&amp;"P"&amp;$A160)="N/A",0,RTD("tos.rtd",,$A$2,"."&amp;M$135&amp;M$1&amp;"P"&amp;$A160))</f>
        <v>0</v>
      </c>
      <c r="N160" s="91">
        <f ca="1">IF(RTD("tos.rtd",,$A$2,"."&amp;N$135&amp;N$1&amp;"C"&amp;$A160)="N/A",0,RTD("tos.rtd",,$A$2,"."&amp;N$135&amp;N$1&amp;"C"&amp;$A160))-IF(RTD("tos.rtd",,$A$2,"."&amp;N$135&amp;N$1&amp;"P"&amp;$A160)="N/A",0,RTD("tos.rtd",,$A$2,"."&amp;N$135&amp;N$1&amp;"P"&amp;$A160))</f>
        <v>0</v>
      </c>
      <c r="O160" s="91">
        <f ca="1">IF(RTD("tos.rtd",,$A$2,"."&amp;O$135&amp;O$1&amp;"C"&amp;$A160)="N/A",0,RTD("tos.rtd",,$A$2,"."&amp;O$135&amp;O$1&amp;"C"&amp;$A160))-IF(RTD("tos.rtd",,$A$2,"."&amp;O$135&amp;O$1&amp;"P"&amp;$A160)="N/A",0,RTD("tos.rtd",,$A$2,"."&amp;O$135&amp;O$1&amp;"P"&amp;$A160))</f>
        <v>-3</v>
      </c>
      <c r="P160" s="91">
        <f ca="1">IF(RTD("tos.rtd",,$A$2,"."&amp;P$135&amp;P$1&amp;"C"&amp;$A160)="N/A",0,RTD("tos.rtd",,$A$2,"."&amp;P$135&amp;P$1&amp;"C"&amp;$A160))-IF(RTD("tos.rtd",,$A$2,"."&amp;P$135&amp;P$1&amp;"P"&amp;$A160)="N/A",0,RTD("tos.rtd",,$A$2,"."&amp;P$135&amp;P$1&amp;"P"&amp;$A160))</f>
        <v>0</v>
      </c>
      <c r="Q160" s="91">
        <f ca="1">IF(RTD("tos.rtd",,$A$2,"."&amp;Q$135&amp;Q$1&amp;"C"&amp;$A160)="N/A",0,RTD("tos.rtd",,$A$2,"."&amp;Q$135&amp;Q$1&amp;"C"&amp;$A160))-IF(RTD("tos.rtd",,$A$2,"."&amp;Q$135&amp;Q$1&amp;"P"&amp;$A160)="N/A",0,RTD("tos.rtd",,$A$2,"."&amp;Q$135&amp;Q$1&amp;"P"&amp;$A160))</f>
        <v>2</v>
      </c>
      <c r="R160" s="91">
        <f ca="1">IF(RTD("tos.rtd",,$A$2,"."&amp;R$135&amp;R$1&amp;"C"&amp;$A160)="N/A",0,RTD("tos.rtd",,$A$2,"."&amp;R$135&amp;R$1&amp;"C"&amp;$A160))-IF(RTD("tos.rtd",,$A$2,"."&amp;R$135&amp;R$1&amp;"P"&amp;$A160)="N/A",0,RTD("tos.rtd",,$A$2,"."&amp;R$135&amp;R$1&amp;"P"&amp;$A160))</f>
        <v>0</v>
      </c>
      <c r="S160" s="91">
        <f ca="1">IF(RTD("tos.rtd",,$A$2,"."&amp;S$135&amp;S$1&amp;"C"&amp;$A160)="N/A",0,RTD("tos.rtd",,$A$2,"."&amp;S$135&amp;S$1&amp;"C"&amp;$A160))-IF(RTD("tos.rtd",,$A$2,"."&amp;S$135&amp;S$1&amp;"P"&amp;$A160)="N/A",0,RTD("tos.rtd",,$A$2,"."&amp;S$135&amp;S$1&amp;"P"&amp;$A160))</f>
        <v>-1</v>
      </c>
      <c r="T160" s="91">
        <f ca="1">IF(RTD("tos.rtd",,$A$2,"."&amp;T$135&amp;T$1&amp;"C"&amp;$A160)="N/A",0,RTD("tos.rtd",,$A$2,"."&amp;T$135&amp;T$1&amp;"C"&amp;$A160))-IF(RTD("tos.rtd",,$A$2,"."&amp;T$135&amp;T$1&amp;"P"&amp;$A160)="N/A",0,RTD("tos.rtd",,$A$2,"."&amp;T$135&amp;T$1&amp;"P"&amp;$A160))</f>
        <v>0</v>
      </c>
      <c r="U160" s="91">
        <f ca="1">IF(RTD("tos.rtd",,$A$2,"."&amp;U$135&amp;U$1&amp;"C"&amp;$A160)="N/A",0,RTD("tos.rtd",,$A$2,"."&amp;U$135&amp;U$1&amp;"C"&amp;$A160))-IF(RTD("tos.rtd",,$A$2,"."&amp;U$135&amp;U$1&amp;"P"&amp;$A160)="N/A",0,RTD("tos.rtd",,$A$2,"."&amp;U$135&amp;U$1&amp;"P"&amp;$A160))</f>
        <v>0</v>
      </c>
      <c r="V160" s="91">
        <f ca="1">IF(RTD("tos.rtd",,$A$2,"."&amp;V$135&amp;V$1&amp;"C"&amp;$A160)="N/A",0,RTD("tos.rtd",,$A$2,"."&amp;V$135&amp;V$1&amp;"C"&amp;$A160))-IF(RTD("tos.rtd",,$A$2,"."&amp;V$135&amp;V$1&amp;"P"&amp;$A160)="N/A",0,RTD("tos.rtd",,$A$2,"."&amp;V$135&amp;V$1&amp;"P"&amp;$A160))</f>
        <v>0</v>
      </c>
      <c r="W160" s="91">
        <f ca="1">IF(RTD("tos.rtd",,$A$2,"."&amp;W$135&amp;W$1&amp;"C"&amp;$A160)="N/A",0,RTD("tos.rtd",,$A$2,"."&amp;W$135&amp;W$1&amp;"C"&amp;$A160))-IF(RTD("tos.rtd",,$A$2,"."&amp;W$135&amp;W$1&amp;"P"&amp;$A160)="N/A",0,RTD("tos.rtd",,$A$2,"."&amp;W$135&amp;W$1&amp;"P"&amp;$A160))</f>
        <v>0</v>
      </c>
      <c r="X160" s="91">
        <f ca="1">IF(RTD("tos.rtd",,$A$2,"."&amp;X$135&amp;X$1&amp;"C"&amp;$A160)="N/A",0,RTD("tos.rtd",,$A$2,"."&amp;X$135&amp;X$1&amp;"C"&amp;$A160))-IF(RTD("tos.rtd",,$A$2,"."&amp;X$135&amp;X$1&amp;"P"&amp;$A160)="N/A",0,RTD("tos.rtd",,$A$2,"."&amp;X$135&amp;X$1&amp;"P"&amp;$A160))</f>
        <v>0</v>
      </c>
      <c r="Y160" s="98">
        <f t="shared" ca="1" si="13"/>
        <v>-2</v>
      </c>
      <c r="Z160" s="91"/>
      <c r="AA160" s="91"/>
    </row>
    <row r="161" spans="1:27" x14ac:dyDescent="0.25">
      <c r="A161" s="93">
        <f>+Hoja1!A160</f>
        <v>20775</v>
      </c>
      <c r="B161" s="91">
        <f ca="1">IF(RTD("tos.rtd",,$A$2,"."&amp;B$135&amp;B$1&amp;"C"&amp;$A161)="N/A",0,RTD("tos.rtd",,$A$2,"."&amp;B$135&amp;B$1&amp;"C"&amp;$A161))-IF(RTD("tos.rtd",,$A$2,"."&amp;B$135&amp;B$1&amp;"P"&amp;$A161)="N/A",0,RTD("tos.rtd",,$A$2,"."&amp;B$135&amp;B$1&amp;"P"&amp;$A161))</f>
        <v>0</v>
      </c>
      <c r="C161" s="91">
        <f ca="1">IF(RTD("tos.rtd",,$A$2,"."&amp;C$135&amp;C$1&amp;"C"&amp;$A161)="N/A",0,RTD("tos.rtd",,$A$2,"."&amp;C$135&amp;C$1&amp;"C"&amp;$A161))-IF(RTD("tos.rtd",,$A$2,"."&amp;C$135&amp;C$1&amp;"P"&amp;$A161)="N/A",0,RTD("tos.rtd",,$A$2,"."&amp;C$135&amp;C$1&amp;"P"&amp;$A161))</f>
        <v>0</v>
      </c>
      <c r="D161" s="91">
        <f ca="1">IF(RTD("tos.rtd",,$A$2,"."&amp;D$135&amp;D$1&amp;"C"&amp;$A161)="N/A",0,RTD("tos.rtd",,$A$2,"."&amp;D$135&amp;D$1&amp;"C"&amp;$A161))-IF(RTD("tos.rtd",,$A$2,"."&amp;D$135&amp;D$1&amp;"P"&amp;$A161)="N/A",0,RTD("tos.rtd",,$A$2,"."&amp;D$135&amp;D$1&amp;"P"&amp;$A161))</f>
        <v>0</v>
      </c>
      <c r="E161" s="91">
        <f ca="1">IF(RTD("tos.rtd",,$A$2,"."&amp;E$135&amp;E$1&amp;"C"&amp;$A161)="N/A",0,RTD("tos.rtd",,$A$2,"."&amp;E$135&amp;E$1&amp;"C"&amp;$A161))-IF(RTD("tos.rtd",,$A$2,"."&amp;E$135&amp;E$1&amp;"P"&amp;$A161)="N/A",0,RTD("tos.rtd",,$A$2,"."&amp;E$135&amp;E$1&amp;"P"&amp;$A161))</f>
        <v>0</v>
      </c>
      <c r="F161" s="91">
        <f ca="1">IF(RTD("tos.rtd",,$A$2,"."&amp;F$135&amp;F$1&amp;"C"&amp;$A161)="N/A",0,RTD("tos.rtd",,$A$2,"."&amp;F$135&amp;F$1&amp;"C"&amp;$A161))-IF(RTD("tos.rtd",,$A$2,"."&amp;F$135&amp;F$1&amp;"P"&amp;$A161)="N/A",0,RTD("tos.rtd",,$A$2,"."&amp;F$135&amp;F$1&amp;"P"&amp;$A161))</f>
        <v>0</v>
      </c>
      <c r="G161" s="91">
        <f ca="1">IF(RTD("tos.rtd",,$A$2,"."&amp;G$135&amp;G$1&amp;"C"&amp;$A161)="N/A",0,RTD("tos.rtd",,$A$2,"."&amp;G$135&amp;G$1&amp;"C"&amp;$A161))-IF(RTD("tos.rtd",,$A$2,"."&amp;G$135&amp;G$1&amp;"P"&amp;$A161)="N/A",0,RTD("tos.rtd",,$A$2,"."&amp;G$135&amp;G$1&amp;"P"&amp;$A161))</f>
        <v>0</v>
      </c>
      <c r="H161" s="91">
        <f ca="1">IF(RTD("tos.rtd",,$A$2,"."&amp;H$135&amp;H$1&amp;"C"&amp;$A161)="N/A",0,RTD("tos.rtd",,$A$2,"."&amp;H$135&amp;H$1&amp;"C"&amp;$A161))-IF(RTD("tos.rtd",,$A$2,"."&amp;H$135&amp;H$1&amp;"P"&amp;$A161)="N/A",0,RTD("tos.rtd",,$A$2,"."&amp;H$135&amp;H$1&amp;"P"&amp;$A161))</f>
        <v>0</v>
      </c>
      <c r="I161" s="91">
        <f ca="1">IF(RTD("tos.rtd",,$A$2,"."&amp;I$135&amp;I$1&amp;"C"&amp;$A161)="N/A",0,RTD("tos.rtd",,$A$2,"."&amp;I$135&amp;I$1&amp;"C"&amp;$A161))-IF(RTD("tos.rtd",,$A$2,"."&amp;I$135&amp;I$1&amp;"P"&amp;$A161)="N/A",0,RTD("tos.rtd",,$A$2,"."&amp;I$135&amp;I$1&amp;"P"&amp;$A161))</f>
        <v>0</v>
      </c>
      <c r="J161" s="91">
        <f ca="1">IF(RTD("tos.rtd",,$A$2,"."&amp;J$135&amp;J$1&amp;"C"&amp;$A161)="N/A",0,RTD("tos.rtd",,$A$2,"."&amp;J$135&amp;J$1&amp;"C"&amp;$A161))-IF(RTD("tos.rtd",,$A$2,"."&amp;J$135&amp;J$1&amp;"P"&amp;$A161)="N/A",0,RTD("tos.rtd",,$A$2,"."&amp;J$135&amp;J$1&amp;"P"&amp;$A161))</f>
        <v>0</v>
      </c>
      <c r="K161" s="91">
        <f ca="1">IF(RTD("tos.rtd",,$A$2,"."&amp;K$135&amp;K$1&amp;"C"&amp;$A161)="N/A",0,RTD("tos.rtd",,$A$2,"."&amp;K$135&amp;K$1&amp;"C"&amp;$A161))-IF(RTD("tos.rtd",,$A$2,"."&amp;K$135&amp;K$1&amp;"P"&amp;$A161)="N/A",0,RTD("tos.rtd",,$A$2,"."&amp;K$135&amp;K$1&amp;"P"&amp;$A161))</f>
        <v>0</v>
      </c>
      <c r="L161" s="91">
        <f ca="1">IF(RTD("tos.rtd",,$A$2,"."&amp;L$135&amp;L$1&amp;"C"&amp;$A161)="N/A",0,RTD("tos.rtd",,$A$2,"."&amp;L$135&amp;L$1&amp;"C"&amp;$A161))-IF(RTD("tos.rtd",,$A$2,"."&amp;L$135&amp;L$1&amp;"P"&amp;$A161)="N/A",0,RTD("tos.rtd",,$A$2,"."&amp;L$135&amp;L$1&amp;"P"&amp;$A161))</f>
        <v>0</v>
      </c>
      <c r="M161" s="91">
        <f ca="1">IF(RTD("tos.rtd",,$A$2,"."&amp;M$135&amp;M$1&amp;"C"&amp;$A161)="N/A",0,RTD("tos.rtd",,$A$2,"."&amp;M$135&amp;M$1&amp;"C"&amp;$A161))-IF(RTD("tos.rtd",,$A$2,"."&amp;M$135&amp;M$1&amp;"P"&amp;$A161)="N/A",0,RTD("tos.rtd",,$A$2,"."&amp;M$135&amp;M$1&amp;"P"&amp;$A161))</f>
        <v>0</v>
      </c>
      <c r="N161" s="91">
        <f ca="1">IF(RTD("tos.rtd",,$A$2,"."&amp;N$135&amp;N$1&amp;"C"&amp;$A161)="N/A",0,RTD("tos.rtd",,$A$2,"."&amp;N$135&amp;N$1&amp;"C"&amp;$A161))-IF(RTD("tos.rtd",,$A$2,"."&amp;N$135&amp;N$1&amp;"P"&amp;$A161)="N/A",0,RTD("tos.rtd",,$A$2,"."&amp;N$135&amp;N$1&amp;"P"&amp;$A161))</f>
        <v>0</v>
      </c>
      <c r="O161" s="91">
        <f ca="1">IF(RTD("tos.rtd",,$A$2,"."&amp;O$135&amp;O$1&amp;"C"&amp;$A161)="N/A",0,RTD("tos.rtd",,$A$2,"."&amp;O$135&amp;O$1&amp;"C"&amp;$A161))-IF(RTD("tos.rtd",,$A$2,"."&amp;O$135&amp;O$1&amp;"P"&amp;$A161)="N/A",0,RTD("tos.rtd",,$A$2,"."&amp;O$135&amp;O$1&amp;"P"&amp;$A161))</f>
        <v>0</v>
      </c>
      <c r="P161" s="91">
        <f ca="1">IF(RTD("tos.rtd",,$A$2,"."&amp;P$135&amp;P$1&amp;"C"&amp;$A161)="N/A",0,RTD("tos.rtd",,$A$2,"."&amp;P$135&amp;P$1&amp;"C"&amp;$A161))-IF(RTD("tos.rtd",,$A$2,"."&amp;P$135&amp;P$1&amp;"P"&amp;$A161)="N/A",0,RTD("tos.rtd",,$A$2,"."&amp;P$135&amp;P$1&amp;"P"&amp;$A161))</f>
        <v>0</v>
      </c>
      <c r="Q161" s="91">
        <f ca="1">IF(RTD("tos.rtd",,$A$2,"."&amp;Q$135&amp;Q$1&amp;"C"&amp;$A161)="N/A",0,RTD("tos.rtd",,$A$2,"."&amp;Q$135&amp;Q$1&amp;"C"&amp;$A161))-IF(RTD("tos.rtd",,$A$2,"."&amp;Q$135&amp;Q$1&amp;"P"&amp;$A161)="N/A",0,RTD("tos.rtd",,$A$2,"."&amp;Q$135&amp;Q$1&amp;"P"&amp;$A161))</f>
        <v>0</v>
      </c>
      <c r="R161" s="91">
        <f ca="1">IF(RTD("tos.rtd",,$A$2,"."&amp;R$135&amp;R$1&amp;"C"&amp;$A161)="N/A",0,RTD("tos.rtd",,$A$2,"."&amp;R$135&amp;R$1&amp;"C"&amp;$A161))-IF(RTD("tos.rtd",,$A$2,"."&amp;R$135&amp;R$1&amp;"P"&amp;$A161)="N/A",0,RTD("tos.rtd",,$A$2,"."&amp;R$135&amp;R$1&amp;"P"&amp;$A161))</f>
        <v>0</v>
      </c>
      <c r="S161" s="91">
        <f ca="1">IF(RTD("tos.rtd",,$A$2,"."&amp;S$135&amp;S$1&amp;"C"&amp;$A161)="N/A",0,RTD("tos.rtd",,$A$2,"."&amp;S$135&amp;S$1&amp;"C"&amp;$A161))-IF(RTD("tos.rtd",,$A$2,"."&amp;S$135&amp;S$1&amp;"P"&amp;$A161)="N/A",0,RTD("tos.rtd",,$A$2,"."&amp;S$135&amp;S$1&amp;"P"&amp;$A161))</f>
        <v>0</v>
      </c>
      <c r="T161" s="91">
        <f ca="1">IF(RTD("tos.rtd",,$A$2,"."&amp;T$135&amp;T$1&amp;"C"&amp;$A161)="N/A",0,RTD("tos.rtd",,$A$2,"."&amp;T$135&amp;T$1&amp;"C"&amp;$A161))-IF(RTD("tos.rtd",,$A$2,"."&amp;T$135&amp;T$1&amp;"P"&amp;$A161)="N/A",0,RTD("tos.rtd",,$A$2,"."&amp;T$135&amp;T$1&amp;"P"&amp;$A161))</f>
        <v>0</v>
      </c>
      <c r="U161" s="91">
        <f ca="1">IF(RTD("tos.rtd",,$A$2,"."&amp;U$135&amp;U$1&amp;"C"&amp;$A161)="N/A",0,RTD("tos.rtd",,$A$2,"."&amp;U$135&amp;U$1&amp;"C"&amp;$A161))-IF(RTD("tos.rtd",,$A$2,"."&amp;U$135&amp;U$1&amp;"P"&amp;$A161)="N/A",0,RTD("tos.rtd",,$A$2,"."&amp;U$135&amp;U$1&amp;"P"&amp;$A161))</f>
        <v>0</v>
      </c>
      <c r="V161" s="91">
        <f ca="1">IF(RTD("tos.rtd",,$A$2,"."&amp;V$135&amp;V$1&amp;"C"&amp;$A161)="N/A",0,RTD("tos.rtd",,$A$2,"."&amp;V$135&amp;V$1&amp;"C"&amp;$A161))-IF(RTD("tos.rtd",,$A$2,"."&amp;V$135&amp;V$1&amp;"P"&amp;$A161)="N/A",0,RTD("tos.rtd",,$A$2,"."&amp;V$135&amp;V$1&amp;"P"&amp;$A161))</f>
        <v>0</v>
      </c>
      <c r="W161" s="91">
        <f ca="1">IF(RTD("tos.rtd",,$A$2,"."&amp;W$135&amp;W$1&amp;"C"&amp;$A161)="N/A",0,RTD("tos.rtd",,$A$2,"."&amp;W$135&amp;W$1&amp;"C"&amp;$A161))-IF(RTD("tos.rtd",,$A$2,"."&amp;W$135&amp;W$1&amp;"P"&amp;$A161)="N/A",0,RTD("tos.rtd",,$A$2,"."&amp;W$135&amp;W$1&amp;"P"&amp;$A161))</f>
        <v>0</v>
      </c>
      <c r="X161" s="91">
        <f ca="1">IF(RTD("tos.rtd",,$A$2,"."&amp;X$135&amp;X$1&amp;"C"&amp;$A161)="N/A",0,RTD("tos.rtd",,$A$2,"."&amp;X$135&amp;X$1&amp;"C"&amp;$A161))-IF(RTD("tos.rtd",,$A$2,"."&amp;X$135&amp;X$1&amp;"P"&amp;$A161)="N/A",0,RTD("tos.rtd",,$A$2,"."&amp;X$135&amp;X$1&amp;"P"&amp;$A161))</f>
        <v>0</v>
      </c>
      <c r="Y161" s="98">
        <f t="shared" ca="1" si="13"/>
        <v>0</v>
      </c>
      <c r="Z161" s="91"/>
      <c r="AA161" s="91"/>
    </row>
    <row r="162" spans="1:27" x14ac:dyDescent="0.25">
      <c r="A162" s="93">
        <f>+Hoja1!A161</f>
        <v>20750</v>
      </c>
      <c r="B162" s="91">
        <f ca="1">IF(RTD("tos.rtd",,$A$2,"."&amp;B$135&amp;B$1&amp;"C"&amp;$A162)="N/A",0,RTD("tos.rtd",,$A$2,"."&amp;B$135&amp;B$1&amp;"C"&amp;$A162))-IF(RTD("tos.rtd",,$A$2,"."&amp;B$135&amp;B$1&amp;"P"&amp;$A162)="N/A",0,RTD("tos.rtd",,$A$2,"."&amp;B$135&amp;B$1&amp;"P"&amp;$A162))</f>
        <v>0</v>
      </c>
      <c r="C162" s="91">
        <f ca="1">IF(RTD("tos.rtd",,$A$2,"."&amp;C$135&amp;C$1&amp;"C"&amp;$A162)="N/A",0,RTD("tos.rtd",,$A$2,"."&amp;C$135&amp;C$1&amp;"C"&amp;$A162))-IF(RTD("tos.rtd",,$A$2,"."&amp;C$135&amp;C$1&amp;"P"&amp;$A162)="N/A",0,RTD("tos.rtd",,$A$2,"."&amp;C$135&amp;C$1&amp;"P"&amp;$A162))</f>
        <v>0</v>
      </c>
      <c r="D162" s="91">
        <f ca="1">IF(RTD("tos.rtd",,$A$2,"."&amp;D$135&amp;D$1&amp;"C"&amp;$A162)="N/A",0,RTD("tos.rtd",,$A$2,"."&amp;D$135&amp;D$1&amp;"C"&amp;$A162))-IF(RTD("tos.rtd",,$A$2,"."&amp;D$135&amp;D$1&amp;"P"&amp;$A162)="N/A",0,RTD("tos.rtd",,$A$2,"."&amp;D$135&amp;D$1&amp;"P"&amp;$A162))</f>
        <v>0</v>
      </c>
      <c r="E162" s="91">
        <f ca="1">IF(RTD("tos.rtd",,$A$2,"."&amp;E$135&amp;E$1&amp;"C"&amp;$A162)="N/A",0,RTD("tos.rtd",,$A$2,"."&amp;E$135&amp;E$1&amp;"C"&amp;$A162))-IF(RTD("tos.rtd",,$A$2,"."&amp;E$135&amp;E$1&amp;"P"&amp;$A162)="N/A",0,RTD("tos.rtd",,$A$2,"."&amp;E$135&amp;E$1&amp;"P"&amp;$A162))</f>
        <v>0</v>
      </c>
      <c r="F162" s="91">
        <f ca="1">IF(RTD("tos.rtd",,$A$2,"."&amp;F$135&amp;F$1&amp;"C"&amp;$A162)="N/A",0,RTD("tos.rtd",,$A$2,"."&amp;F$135&amp;F$1&amp;"C"&amp;$A162))-IF(RTD("tos.rtd",,$A$2,"."&amp;F$135&amp;F$1&amp;"P"&amp;$A162)="N/A",0,RTD("tos.rtd",,$A$2,"."&amp;F$135&amp;F$1&amp;"P"&amp;$A162))</f>
        <v>0</v>
      </c>
      <c r="G162" s="91">
        <f ca="1">IF(RTD("tos.rtd",,$A$2,"."&amp;G$135&amp;G$1&amp;"C"&amp;$A162)="N/A",0,RTD("tos.rtd",,$A$2,"."&amp;G$135&amp;G$1&amp;"C"&amp;$A162))-IF(RTD("tos.rtd",,$A$2,"."&amp;G$135&amp;G$1&amp;"P"&amp;$A162)="N/A",0,RTD("tos.rtd",,$A$2,"."&amp;G$135&amp;G$1&amp;"P"&amp;$A162))</f>
        <v>0</v>
      </c>
      <c r="H162" s="91">
        <f ca="1">IF(RTD("tos.rtd",,$A$2,"."&amp;H$135&amp;H$1&amp;"C"&amp;$A162)="N/A",0,RTD("tos.rtd",,$A$2,"."&amp;H$135&amp;H$1&amp;"C"&amp;$A162))-IF(RTD("tos.rtd",,$A$2,"."&amp;H$135&amp;H$1&amp;"P"&amp;$A162)="N/A",0,RTD("tos.rtd",,$A$2,"."&amp;H$135&amp;H$1&amp;"P"&amp;$A162))</f>
        <v>0</v>
      </c>
      <c r="I162" s="91">
        <f ca="1">IF(RTD("tos.rtd",,$A$2,"."&amp;I$135&amp;I$1&amp;"C"&amp;$A162)="N/A",0,RTD("tos.rtd",,$A$2,"."&amp;I$135&amp;I$1&amp;"C"&amp;$A162))-IF(RTD("tos.rtd",,$A$2,"."&amp;I$135&amp;I$1&amp;"P"&amp;$A162)="N/A",0,RTD("tos.rtd",,$A$2,"."&amp;I$135&amp;I$1&amp;"P"&amp;$A162))</f>
        <v>-2</v>
      </c>
      <c r="J162" s="91">
        <f ca="1">IF(RTD("tos.rtd",,$A$2,"."&amp;J$135&amp;J$1&amp;"C"&amp;$A162)="N/A",0,RTD("tos.rtd",,$A$2,"."&amp;J$135&amp;J$1&amp;"C"&amp;$A162))-IF(RTD("tos.rtd",,$A$2,"."&amp;J$135&amp;J$1&amp;"P"&amp;$A162)="N/A",0,RTD("tos.rtd",,$A$2,"."&amp;J$135&amp;J$1&amp;"P"&amp;$A162))</f>
        <v>0</v>
      </c>
      <c r="K162" s="91">
        <f ca="1">IF(RTD("tos.rtd",,$A$2,"."&amp;K$135&amp;K$1&amp;"C"&amp;$A162)="N/A",0,RTD("tos.rtd",,$A$2,"."&amp;K$135&amp;K$1&amp;"C"&amp;$A162))-IF(RTD("tos.rtd",,$A$2,"."&amp;K$135&amp;K$1&amp;"P"&amp;$A162)="N/A",0,RTD("tos.rtd",,$A$2,"."&amp;K$135&amp;K$1&amp;"P"&amp;$A162))</f>
        <v>0</v>
      </c>
      <c r="L162" s="91">
        <f ca="1">IF(RTD("tos.rtd",,$A$2,"."&amp;L$135&amp;L$1&amp;"C"&amp;$A162)="N/A",0,RTD("tos.rtd",,$A$2,"."&amp;L$135&amp;L$1&amp;"C"&amp;$A162))-IF(RTD("tos.rtd",,$A$2,"."&amp;L$135&amp;L$1&amp;"P"&amp;$A162)="N/A",0,RTD("tos.rtd",,$A$2,"."&amp;L$135&amp;L$1&amp;"P"&amp;$A162))</f>
        <v>5</v>
      </c>
      <c r="M162" s="91">
        <f ca="1">IF(RTD("tos.rtd",,$A$2,"."&amp;M$135&amp;M$1&amp;"C"&amp;$A162)="N/A",0,RTD("tos.rtd",,$A$2,"."&amp;M$135&amp;M$1&amp;"C"&amp;$A162))-IF(RTD("tos.rtd",,$A$2,"."&amp;M$135&amp;M$1&amp;"P"&amp;$A162)="N/A",0,RTD("tos.rtd",,$A$2,"."&amp;M$135&amp;M$1&amp;"P"&amp;$A162))</f>
        <v>0</v>
      </c>
      <c r="N162" s="91">
        <f ca="1">IF(RTD("tos.rtd",,$A$2,"."&amp;N$135&amp;N$1&amp;"C"&amp;$A162)="N/A",0,RTD("tos.rtd",,$A$2,"."&amp;N$135&amp;N$1&amp;"C"&amp;$A162))-IF(RTD("tos.rtd",,$A$2,"."&amp;N$135&amp;N$1&amp;"P"&amp;$A162)="N/A",0,RTD("tos.rtd",,$A$2,"."&amp;N$135&amp;N$1&amp;"P"&amp;$A162))</f>
        <v>0</v>
      </c>
      <c r="O162" s="91">
        <f ca="1">IF(RTD("tos.rtd",,$A$2,"."&amp;O$135&amp;O$1&amp;"C"&amp;$A162)="N/A",0,RTD("tos.rtd",,$A$2,"."&amp;O$135&amp;O$1&amp;"C"&amp;$A162))-IF(RTD("tos.rtd",,$A$2,"."&amp;O$135&amp;O$1&amp;"P"&amp;$A162)="N/A",0,RTD("tos.rtd",,$A$2,"."&amp;O$135&amp;O$1&amp;"P"&amp;$A162))</f>
        <v>0</v>
      </c>
      <c r="P162" s="91">
        <f ca="1">IF(RTD("tos.rtd",,$A$2,"."&amp;P$135&amp;P$1&amp;"C"&amp;$A162)="N/A",0,RTD("tos.rtd",,$A$2,"."&amp;P$135&amp;P$1&amp;"C"&amp;$A162))-IF(RTD("tos.rtd",,$A$2,"."&amp;P$135&amp;P$1&amp;"P"&amp;$A162)="N/A",0,RTD("tos.rtd",,$A$2,"."&amp;P$135&amp;P$1&amp;"P"&amp;$A162))</f>
        <v>0</v>
      </c>
      <c r="Q162" s="91">
        <f ca="1">IF(RTD("tos.rtd",,$A$2,"."&amp;Q$135&amp;Q$1&amp;"C"&amp;$A162)="N/A",0,RTD("tos.rtd",,$A$2,"."&amp;Q$135&amp;Q$1&amp;"C"&amp;$A162))-IF(RTD("tos.rtd",,$A$2,"."&amp;Q$135&amp;Q$1&amp;"P"&amp;$A162)="N/A",0,RTD("tos.rtd",,$A$2,"."&amp;Q$135&amp;Q$1&amp;"P"&amp;$A162))</f>
        <v>0</v>
      </c>
      <c r="R162" s="91">
        <f ca="1">IF(RTD("tos.rtd",,$A$2,"."&amp;R$135&amp;R$1&amp;"C"&amp;$A162)="N/A",0,RTD("tos.rtd",,$A$2,"."&amp;R$135&amp;R$1&amp;"C"&amp;$A162))-IF(RTD("tos.rtd",,$A$2,"."&amp;R$135&amp;R$1&amp;"P"&amp;$A162)="N/A",0,RTD("tos.rtd",,$A$2,"."&amp;R$135&amp;R$1&amp;"P"&amp;$A162))</f>
        <v>0</v>
      </c>
      <c r="S162" s="91">
        <f ca="1">IF(RTD("tos.rtd",,$A$2,"."&amp;S$135&amp;S$1&amp;"C"&amp;$A162)="N/A",0,RTD("tos.rtd",,$A$2,"."&amp;S$135&amp;S$1&amp;"C"&amp;$A162))-IF(RTD("tos.rtd",,$A$2,"."&amp;S$135&amp;S$1&amp;"P"&amp;$A162)="N/A",0,RTD("tos.rtd",,$A$2,"."&amp;S$135&amp;S$1&amp;"P"&amp;$A162))</f>
        <v>0</v>
      </c>
      <c r="T162" s="91">
        <f ca="1">IF(RTD("tos.rtd",,$A$2,"."&amp;T$135&amp;T$1&amp;"C"&amp;$A162)="N/A",0,RTD("tos.rtd",,$A$2,"."&amp;T$135&amp;T$1&amp;"C"&amp;$A162))-IF(RTD("tos.rtd",,$A$2,"."&amp;T$135&amp;T$1&amp;"P"&amp;$A162)="N/A",0,RTD("tos.rtd",,$A$2,"."&amp;T$135&amp;T$1&amp;"P"&amp;$A162))</f>
        <v>0</v>
      </c>
      <c r="U162" s="91">
        <f ca="1">IF(RTD("tos.rtd",,$A$2,"."&amp;U$135&amp;U$1&amp;"C"&amp;$A162)="N/A",0,RTD("tos.rtd",,$A$2,"."&amp;U$135&amp;U$1&amp;"C"&amp;$A162))-IF(RTD("tos.rtd",,$A$2,"."&amp;U$135&amp;U$1&amp;"P"&amp;$A162)="N/A",0,RTD("tos.rtd",,$A$2,"."&amp;U$135&amp;U$1&amp;"P"&amp;$A162))</f>
        <v>0</v>
      </c>
      <c r="V162" s="91">
        <f ca="1">IF(RTD("tos.rtd",,$A$2,"."&amp;V$135&amp;V$1&amp;"C"&amp;$A162)="N/A",0,RTD("tos.rtd",,$A$2,"."&amp;V$135&amp;V$1&amp;"C"&amp;$A162))-IF(RTD("tos.rtd",,$A$2,"."&amp;V$135&amp;V$1&amp;"P"&amp;$A162)="N/A",0,RTD("tos.rtd",,$A$2,"."&amp;V$135&amp;V$1&amp;"P"&amp;$A162))</f>
        <v>0</v>
      </c>
      <c r="W162" s="91">
        <f ca="1">IF(RTD("tos.rtd",,$A$2,"."&amp;W$135&amp;W$1&amp;"C"&amp;$A162)="N/A",0,RTD("tos.rtd",,$A$2,"."&amp;W$135&amp;W$1&amp;"C"&amp;$A162))-IF(RTD("tos.rtd",,$A$2,"."&amp;W$135&amp;W$1&amp;"P"&amp;$A162)="N/A",0,RTD("tos.rtd",,$A$2,"."&amp;W$135&amp;W$1&amp;"P"&amp;$A162))</f>
        <v>0</v>
      </c>
      <c r="X162" s="91">
        <f ca="1">IF(RTD("tos.rtd",,$A$2,"."&amp;X$135&amp;X$1&amp;"C"&amp;$A162)="N/A",0,RTD("tos.rtd",,$A$2,"."&amp;X$135&amp;X$1&amp;"C"&amp;$A162))-IF(RTD("tos.rtd",,$A$2,"."&amp;X$135&amp;X$1&amp;"P"&amp;$A162)="N/A",0,RTD("tos.rtd",,$A$2,"."&amp;X$135&amp;X$1&amp;"P"&amp;$A162))</f>
        <v>0</v>
      </c>
      <c r="Y162" s="98">
        <f t="shared" ca="1" si="13"/>
        <v>3</v>
      </c>
      <c r="Z162" s="91"/>
      <c r="AA162" s="91"/>
    </row>
    <row r="163" spans="1:27" x14ac:dyDescent="0.25">
      <c r="A163" s="93">
        <f>+Hoja1!A162</f>
        <v>20725</v>
      </c>
      <c r="B163" s="91">
        <f ca="1">IF(RTD("tos.rtd",,$A$2,"."&amp;B$135&amp;B$1&amp;"C"&amp;$A163)="N/A",0,RTD("tos.rtd",,$A$2,"."&amp;B$135&amp;B$1&amp;"C"&amp;$A163))-IF(RTD("tos.rtd",,$A$2,"."&amp;B$135&amp;B$1&amp;"P"&amp;$A163)="N/A",0,RTD("tos.rtd",,$A$2,"."&amp;B$135&amp;B$1&amp;"P"&amp;$A163))</f>
        <v>0</v>
      </c>
      <c r="C163" s="91">
        <f ca="1">IF(RTD("tos.rtd",,$A$2,"."&amp;C$135&amp;C$1&amp;"C"&amp;$A163)="N/A",0,RTD("tos.rtd",,$A$2,"."&amp;C$135&amp;C$1&amp;"C"&amp;$A163))-IF(RTD("tos.rtd",,$A$2,"."&amp;C$135&amp;C$1&amp;"P"&amp;$A163)="N/A",0,RTD("tos.rtd",,$A$2,"."&amp;C$135&amp;C$1&amp;"P"&amp;$A163))</f>
        <v>0</v>
      </c>
      <c r="D163" s="91">
        <f ca="1">IF(RTD("tos.rtd",,$A$2,"."&amp;D$135&amp;D$1&amp;"C"&amp;$A163)="N/A",0,RTD("tos.rtd",,$A$2,"."&amp;D$135&amp;D$1&amp;"C"&amp;$A163))-IF(RTD("tos.rtd",,$A$2,"."&amp;D$135&amp;D$1&amp;"P"&amp;$A163)="N/A",0,RTD("tos.rtd",,$A$2,"."&amp;D$135&amp;D$1&amp;"P"&amp;$A163))</f>
        <v>0</v>
      </c>
      <c r="E163" s="91">
        <f ca="1">IF(RTD("tos.rtd",,$A$2,"."&amp;E$135&amp;E$1&amp;"C"&amp;$A163)="N/A",0,RTD("tos.rtd",,$A$2,"."&amp;E$135&amp;E$1&amp;"C"&amp;$A163))-IF(RTD("tos.rtd",,$A$2,"."&amp;E$135&amp;E$1&amp;"P"&amp;$A163)="N/A",0,RTD("tos.rtd",,$A$2,"."&amp;E$135&amp;E$1&amp;"P"&amp;$A163))</f>
        <v>0</v>
      </c>
      <c r="F163" s="91">
        <f ca="1">IF(RTD("tos.rtd",,$A$2,"."&amp;F$135&amp;F$1&amp;"C"&amp;$A163)="N/A",0,RTD("tos.rtd",,$A$2,"."&amp;F$135&amp;F$1&amp;"C"&amp;$A163))-IF(RTD("tos.rtd",,$A$2,"."&amp;F$135&amp;F$1&amp;"P"&amp;$A163)="N/A",0,RTD("tos.rtd",,$A$2,"."&amp;F$135&amp;F$1&amp;"P"&amp;$A163))</f>
        <v>0</v>
      </c>
      <c r="G163" s="91">
        <f ca="1">IF(RTD("tos.rtd",,$A$2,"."&amp;G$135&amp;G$1&amp;"C"&amp;$A163)="N/A",0,RTD("tos.rtd",,$A$2,"."&amp;G$135&amp;G$1&amp;"C"&amp;$A163))-IF(RTD("tos.rtd",,$A$2,"."&amp;G$135&amp;G$1&amp;"P"&amp;$A163)="N/A",0,RTD("tos.rtd",,$A$2,"."&amp;G$135&amp;G$1&amp;"P"&amp;$A163))</f>
        <v>0</v>
      </c>
      <c r="H163" s="91">
        <f ca="1">IF(RTD("tos.rtd",,$A$2,"."&amp;H$135&amp;H$1&amp;"C"&amp;$A163)="N/A",0,RTD("tos.rtd",,$A$2,"."&amp;H$135&amp;H$1&amp;"C"&amp;$A163))-IF(RTD("tos.rtd",,$A$2,"."&amp;H$135&amp;H$1&amp;"P"&amp;$A163)="N/A",0,RTD("tos.rtd",,$A$2,"."&amp;H$135&amp;H$1&amp;"P"&amp;$A163))</f>
        <v>0</v>
      </c>
      <c r="I163" s="91">
        <f ca="1">IF(RTD("tos.rtd",,$A$2,"."&amp;I$135&amp;I$1&amp;"C"&amp;$A163)="N/A",0,RTD("tos.rtd",,$A$2,"."&amp;I$135&amp;I$1&amp;"C"&amp;$A163))-IF(RTD("tos.rtd",,$A$2,"."&amp;I$135&amp;I$1&amp;"P"&amp;$A163)="N/A",0,RTD("tos.rtd",,$A$2,"."&amp;I$135&amp;I$1&amp;"P"&amp;$A163))</f>
        <v>5</v>
      </c>
      <c r="J163" s="91">
        <f ca="1">IF(RTD("tos.rtd",,$A$2,"."&amp;J$135&amp;J$1&amp;"C"&amp;$A163)="N/A",0,RTD("tos.rtd",,$A$2,"."&amp;J$135&amp;J$1&amp;"C"&amp;$A163))-IF(RTD("tos.rtd",,$A$2,"."&amp;J$135&amp;J$1&amp;"P"&amp;$A163)="N/A",0,RTD("tos.rtd",,$A$2,"."&amp;J$135&amp;J$1&amp;"P"&amp;$A163))</f>
        <v>0</v>
      </c>
      <c r="K163" s="91">
        <f ca="1">IF(RTD("tos.rtd",,$A$2,"."&amp;K$135&amp;K$1&amp;"C"&amp;$A163)="N/A",0,RTD("tos.rtd",,$A$2,"."&amp;K$135&amp;K$1&amp;"C"&amp;$A163))-IF(RTD("tos.rtd",,$A$2,"."&amp;K$135&amp;K$1&amp;"P"&amp;$A163)="N/A",0,RTD("tos.rtd",,$A$2,"."&amp;K$135&amp;K$1&amp;"P"&amp;$A163))</f>
        <v>0</v>
      </c>
      <c r="L163" s="91">
        <f ca="1">IF(RTD("tos.rtd",,$A$2,"."&amp;L$135&amp;L$1&amp;"C"&amp;$A163)="N/A",0,RTD("tos.rtd",,$A$2,"."&amp;L$135&amp;L$1&amp;"C"&amp;$A163))-IF(RTD("tos.rtd",,$A$2,"."&amp;L$135&amp;L$1&amp;"P"&amp;$A163)="N/A",0,RTD("tos.rtd",,$A$2,"."&amp;L$135&amp;L$1&amp;"P"&amp;$A163))</f>
        <v>0</v>
      </c>
      <c r="M163" s="91">
        <f ca="1">IF(RTD("tos.rtd",,$A$2,"."&amp;M$135&amp;M$1&amp;"C"&amp;$A163)="N/A",0,RTD("tos.rtd",,$A$2,"."&amp;M$135&amp;M$1&amp;"C"&amp;$A163))-IF(RTD("tos.rtd",,$A$2,"."&amp;M$135&amp;M$1&amp;"P"&amp;$A163)="N/A",0,RTD("tos.rtd",,$A$2,"."&amp;M$135&amp;M$1&amp;"P"&amp;$A163))</f>
        <v>0</v>
      </c>
      <c r="N163" s="91">
        <f ca="1">IF(RTD("tos.rtd",,$A$2,"."&amp;N$135&amp;N$1&amp;"C"&amp;$A163)="N/A",0,RTD("tos.rtd",,$A$2,"."&amp;N$135&amp;N$1&amp;"C"&amp;$A163))-IF(RTD("tos.rtd",,$A$2,"."&amp;N$135&amp;N$1&amp;"P"&amp;$A163)="N/A",0,RTD("tos.rtd",,$A$2,"."&amp;N$135&amp;N$1&amp;"P"&amp;$A163))</f>
        <v>0</v>
      </c>
      <c r="O163" s="91">
        <f ca="1">IF(RTD("tos.rtd",,$A$2,"."&amp;O$135&amp;O$1&amp;"C"&amp;$A163)="N/A",0,RTD("tos.rtd",,$A$2,"."&amp;O$135&amp;O$1&amp;"C"&amp;$A163))-IF(RTD("tos.rtd",,$A$2,"."&amp;O$135&amp;O$1&amp;"P"&amp;$A163)="N/A",0,RTD("tos.rtd",,$A$2,"."&amp;O$135&amp;O$1&amp;"P"&amp;$A163))</f>
        <v>0</v>
      </c>
      <c r="P163" s="91">
        <f ca="1">IF(RTD("tos.rtd",,$A$2,"."&amp;P$135&amp;P$1&amp;"C"&amp;$A163)="N/A",0,RTD("tos.rtd",,$A$2,"."&amp;P$135&amp;P$1&amp;"C"&amp;$A163))-IF(RTD("tos.rtd",,$A$2,"."&amp;P$135&amp;P$1&amp;"P"&amp;$A163)="N/A",0,RTD("tos.rtd",,$A$2,"."&amp;P$135&amp;P$1&amp;"P"&amp;$A163))</f>
        <v>0</v>
      </c>
      <c r="Q163" s="91">
        <f ca="1">IF(RTD("tos.rtd",,$A$2,"."&amp;Q$135&amp;Q$1&amp;"C"&amp;$A163)="N/A",0,RTD("tos.rtd",,$A$2,"."&amp;Q$135&amp;Q$1&amp;"C"&amp;$A163))-IF(RTD("tos.rtd",,$A$2,"."&amp;Q$135&amp;Q$1&amp;"P"&amp;$A163)="N/A",0,RTD("tos.rtd",,$A$2,"."&amp;Q$135&amp;Q$1&amp;"P"&amp;$A163))</f>
        <v>0</v>
      </c>
      <c r="R163" s="91">
        <f ca="1">IF(RTD("tos.rtd",,$A$2,"."&amp;R$135&amp;R$1&amp;"C"&amp;$A163)="N/A",0,RTD("tos.rtd",,$A$2,"."&amp;R$135&amp;R$1&amp;"C"&amp;$A163))-IF(RTD("tos.rtd",,$A$2,"."&amp;R$135&amp;R$1&amp;"P"&amp;$A163)="N/A",0,RTD("tos.rtd",,$A$2,"."&amp;R$135&amp;R$1&amp;"P"&amp;$A163))</f>
        <v>0</v>
      </c>
      <c r="S163" s="91">
        <f ca="1">IF(RTD("tos.rtd",,$A$2,"."&amp;S$135&amp;S$1&amp;"C"&amp;$A163)="N/A",0,RTD("tos.rtd",,$A$2,"."&amp;S$135&amp;S$1&amp;"C"&amp;$A163))-IF(RTD("tos.rtd",,$A$2,"."&amp;S$135&amp;S$1&amp;"P"&amp;$A163)="N/A",0,RTD("tos.rtd",,$A$2,"."&amp;S$135&amp;S$1&amp;"P"&amp;$A163))</f>
        <v>0</v>
      </c>
      <c r="T163" s="91">
        <f ca="1">IF(RTD("tos.rtd",,$A$2,"."&amp;T$135&amp;T$1&amp;"C"&amp;$A163)="N/A",0,RTD("tos.rtd",,$A$2,"."&amp;T$135&amp;T$1&amp;"C"&amp;$A163))-IF(RTD("tos.rtd",,$A$2,"."&amp;T$135&amp;T$1&amp;"P"&amp;$A163)="N/A",0,RTD("tos.rtd",,$A$2,"."&amp;T$135&amp;T$1&amp;"P"&amp;$A163))</f>
        <v>0</v>
      </c>
      <c r="U163" s="91">
        <f ca="1">IF(RTD("tos.rtd",,$A$2,"."&amp;U$135&amp;U$1&amp;"C"&amp;$A163)="N/A",0,RTD("tos.rtd",,$A$2,"."&amp;U$135&amp;U$1&amp;"C"&amp;$A163))-IF(RTD("tos.rtd",,$A$2,"."&amp;U$135&amp;U$1&amp;"P"&amp;$A163)="N/A",0,RTD("tos.rtd",,$A$2,"."&amp;U$135&amp;U$1&amp;"P"&amp;$A163))</f>
        <v>0</v>
      </c>
      <c r="V163" s="91">
        <f ca="1">IF(RTD("tos.rtd",,$A$2,"."&amp;V$135&amp;V$1&amp;"C"&amp;$A163)="N/A",0,RTD("tos.rtd",,$A$2,"."&amp;V$135&amp;V$1&amp;"C"&amp;$A163))-IF(RTD("tos.rtd",,$A$2,"."&amp;V$135&amp;V$1&amp;"P"&amp;$A163)="N/A",0,RTD("tos.rtd",,$A$2,"."&amp;V$135&amp;V$1&amp;"P"&amp;$A163))</f>
        <v>0</v>
      </c>
      <c r="W163" s="91">
        <f ca="1">IF(RTD("tos.rtd",,$A$2,"."&amp;W$135&amp;W$1&amp;"C"&amp;$A163)="N/A",0,RTD("tos.rtd",,$A$2,"."&amp;W$135&amp;W$1&amp;"C"&amp;$A163))-IF(RTD("tos.rtd",,$A$2,"."&amp;W$135&amp;W$1&amp;"P"&amp;$A163)="N/A",0,RTD("tos.rtd",,$A$2,"."&amp;W$135&amp;W$1&amp;"P"&amp;$A163))</f>
        <v>0</v>
      </c>
      <c r="X163" s="91">
        <f ca="1">IF(RTD("tos.rtd",,$A$2,"."&amp;X$135&amp;X$1&amp;"C"&amp;$A163)="N/A",0,RTD("tos.rtd",,$A$2,"."&amp;X$135&amp;X$1&amp;"C"&amp;$A163))-IF(RTD("tos.rtd",,$A$2,"."&amp;X$135&amp;X$1&amp;"P"&amp;$A163)="N/A",0,RTD("tos.rtd",,$A$2,"."&amp;X$135&amp;X$1&amp;"P"&amp;$A163))</f>
        <v>0</v>
      </c>
      <c r="Y163" s="98">
        <f t="shared" ca="1" si="13"/>
        <v>5</v>
      </c>
      <c r="Z163" s="91"/>
      <c r="AA163" s="91"/>
    </row>
    <row r="164" spans="1:27" x14ac:dyDescent="0.25">
      <c r="A164" s="93">
        <f>+Hoja1!A163</f>
        <v>20700</v>
      </c>
      <c r="B164" s="91">
        <f ca="1">IF(RTD("tos.rtd",,$A$2,"."&amp;B$135&amp;B$1&amp;"C"&amp;$A164)="N/A",0,RTD("tos.rtd",,$A$2,"."&amp;B$135&amp;B$1&amp;"C"&amp;$A164))-IF(RTD("tos.rtd",,$A$2,"."&amp;B$135&amp;B$1&amp;"P"&amp;$A164)="N/A",0,RTD("tos.rtd",,$A$2,"."&amp;B$135&amp;B$1&amp;"P"&amp;$A164))</f>
        <v>0</v>
      </c>
      <c r="C164" s="91">
        <f ca="1">IF(RTD("tos.rtd",,$A$2,"."&amp;C$135&amp;C$1&amp;"C"&amp;$A164)="N/A",0,RTD("tos.rtd",,$A$2,"."&amp;C$135&amp;C$1&amp;"C"&amp;$A164))-IF(RTD("tos.rtd",,$A$2,"."&amp;C$135&amp;C$1&amp;"P"&amp;$A164)="N/A",0,RTD("tos.rtd",,$A$2,"."&amp;C$135&amp;C$1&amp;"P"&amp;$A164))</f>
        <v>0</v>
      </c>
      <c r="D164" s="91">
        <f ca="1">IF(RTD("tos.rtd",,$A$2,"."&amp;D$135&amp;D$1&amp;"C"&amp;$A164)="N/A",0,RTD("tos.rtd",,$A$2,"."&amp;D$135&amp;D$1&amp;"C"&amp;$A164))-IF(RTD("tos.rtd",,$A$2,"."&amp;D$135&amp;D$1&amp;"P"&amp;$A164)="N/A",0,RTD("tos.rtd",,$A$2,"."&amp;D$135&amp;D$1&amp;"P"&amp;$A164))</f>
        <v>0</v>
      </c>
      <c r="E164" s="91">
        <f ca="1">IF(RTD("tos.rtd",,$A$2,"."&amp;E$135&amp;E$1&amp;"C"&amp;$A164)="N/A",0,RTD("tos.rtd",,$A$2,"."&amp;E$135&amp;E$1&amp;"C"&amp;$A164))-IF(RTD("tos.rtd",,$A$2,"."&amp;E$135&amp;E$1&amp;"P"&amp;$A164)="N/A",0,RTD("tos.rtd",,$A$2,"."&amp;E$135&amp;E$1&amp;"P"&amp;$A164))</f>
        <v>0</v>
      </c>
      <c r="F164" s="91">
        <f ca="1">IF(RTD("tos.rtd",,$A$2,"."&amp;F$135&amp;F$1&amp;"C"&amp;$A164)="N/A",0,RTD("tos.rtd",,$A$2,"."&amp;F$135&amp;F$1&amp;"C"&amp;$A164))-IF(RTD("tos.rtd",,$A$2,"."&amp;F$135&amp;F$1&amp;"P"&amp;$A164)="N/A",0,RTD("tos.rtd",,$A$2,"."&amp;F$135&amp;F$1&amp;"P"&amp;$A164))</f>
        <v>0</v>
      </c>
      <c r="G164" s="91">
        <f ca="1">IF(RTD("tos.rtd",,$A$2,"."&amp;G$135&amp;G$1&amp;"C"&amp;$A164)="N/A",0,RTD("tos.rtd",,$A$2,"."&amp;G$135&amp;G$1&amp;"C"&amp;$A164))-IF(RTD("tos.rtd",,$A$2,"."&amp;G$135&amp;G$1&amp;"P"&amp;$A164)="N/A",0,RTD("tos.rtd",,$A$2,"."&amp;G$135&amp;G$1&amp;"P"&amp;$A164))</f>
        <v>0</v>
      </c>
      <c r="H164" s="91">
        <f ca="1">IF(RTD("tos.rtd",,$A$2,"."&amp;H$135&amp;H$1&amp;"C"&amp;$A164)="N/A",0,RTD("tos.rtd",,$A$2,"."&amp;H$135&amp;H$1&amp;"C"&amp;$A164))-IF(RTD("tos.rtd",,$A$2,"."&amp;H$135&amp;H$1&amp;"P"&amp;$A164)="N/A",0,RTD("tos.rtd",,$A$2,"."&amp;H$135&amp;H$1&amp;"P"&amp;$A164))</f>
        <v>0</v>
      </c>
      <c r="I164" s="91">
        <f ca="1">IF(RTD("tos.rtd",,$A$2,"."&amp;I$135&amp;I$1&amp;"C"&amp;$A164)="N/A",0,RTD("tos.rtd",,$A$2,"."&amp;I$135&amp;I$1&amp;"C"&amp;$A164))-IF(RTD("tos.rtd",,$A$2,"."&amp;I$135&amp;I$1&amp;"P"&amp;$A164)="N/A",0,RTD("tos.rtd",,$A$2,"."&amp;I$135&amp;I$1&amp;"P"&amp;$A164))</f>
        <v>2</v>
      </c>
      <c r="J164" s="91">
        <f ca="1">IF(RTD("tos.rtd",,$A$2,"."&amp;J$135&amp;J$1&amp;"C"&amp;$A164)="N/A",0,RTD("tos.rtd",,$A$2,"."&amp;J$135&amp;J$1&amp;"C"&amp;$A164))-IF(RTD("tos.rtd",,$A$2,"."&amp;J$135&amp;J$1&amp;"P"&amp;$A164)="N/A",0,RTD("tos.rtd",,$A$2,"."&amp;J$135&amp;J$1&amp;"P"&amp;$A164))</f>
        <v>0</v>
      </c>
      <c r="K164" s="91">
        <f ca="1">IF(RTD("tos.rtd",,$A$2,"."&amp;K$135&amp;K$1&amp;"C"&amp;$A164)="N/A",0,RTD("tos.rtd",,$A$2,"."&amp;K$135&amp;K$1&amp;"C"&amp;$A164))-IF(RTD("tos.rtd",,$A$2,"."&amp;K$135&amp;K$1&amp;"P"&amp;$A164)="N/A",0,RTD("tos.rtd",,$A$2,"."&amp;K$135&amp;K$1&amp;"P"&amp;$A164))</f>
        <v>0</v>
      </c>
      <c r="L164" s="91">
        <f ca="1">IF(RTD("tos.rtd",,$A$2,"."&amp;L$135&amp;L$1&amp;"C"&amp;$A164)="N/A",0,RTD("tos.rtd",,$A$2,"."&amp;L$135&amp;L$1&amp;"C"&amp;$A164))-IF(RTD("tos.rtd",,$A$2,"."&amp;L$135&amp;L$1&amp;"P"&amp;$A164)="N/A",0,RTD("tos.rtd",,$A$2,"."&amp;L$135&amp;L$1&amp;"P"&amp;$A164))</f>
        <v>1</v>
      </c>
      <c r="M164" s="91">
        <f ca="1">IF(RTD("tos.rtd",,$A$2,"."&amp;M$135&amp;M$1&amp;"C"&amp;$A164)="N/A",0,RTD("tos.rtd",,$A$2,"."&amp;M$135&amp;M$1&amp;"C"&amp;$A164))-IF(RTD("tos.rtd",,$A$2,"."&amp;M$135&amp;M$1&amp;"P"&amp;$A164)="N/A",0,RTD("tos.rtd",,$A$2,"."&amp;M$135&amp;M$1&amp;"P"&amp;$A164))</f>
        <v>0</v>
      </c>
      <c r="N164" s="91">
        <f ca="1">IF(RTD("tos.rtd",,$A$2,"."&amp;N$135&amp;N$1&amp;"C"&amp;$A164)="N/A",0,RTD("tos.rtd",,$A$2,"."&amp;N$135&amp;N$1&amp;"C"&amp;$A164))-IF(RTD("tos.rtd",,$A$2,"."&amp;N$135&amp;N$1&amp;"P"&amp;$A164)="N/A",0,RTD("tos.rtd",,$A$2,"."&amp;N$135&amp;N$1&amp;"P"&amp;$A164))</f>
        <v>0</v>
      </c>
      <c r="O164" s="91">
        <f ca="1">IF(RTD("tos.rtd",,$A$2,"."&amp;O$135&amp;O$1&amp;"C"&amp;$A164)="N/A",0,RTD("tos.rtd",,$A$2,"."&amp;O$135&amp;O$1&amp;"C"&amp;$A164))-IF(RTD("tos.rtd",,$A$2,"."&amp;O$135&amp;O$1&amp;"P"&amp;$A164)="N/A",0,RTD("tos.rtd",,$A$2,"."&amp;O$135&amp;O$1&amp;"P"&amp;$A164))</f>
        <v>3</v>
      </c>
      <c r="P164" s="91">
        <f ca="1">IF(RTD("tos.rtd",,$A$2,"."&amp;P$135&amp;P$1&amp;"C"&amp;$A164)="N/A",0,RTD("tos.rtd",,$A$2,"."&amp;P$135&amp;P$1&amp;"C"&amp;$A164))-IF(RTD("tos.rtd",,$A$2,"."&amp;P$135&amp;P$1&amp;"P"&amp;$A164)="N/A",0,RTD("tos.rtd",,$A$2,"."&amp;P$135&amp;P$1&amp;"P"&amp;$A164))</f>
        <v>0</v>
      </c>
      <c r="Q164" s="91">
        <f ca="1">IF(RTD("tos.rtd",,$A$2,"."&amp;Q$135&amp;Q$1&amp;"C"&amp;$A164)="N/A",0,RTD("tos.rtd",,$A$2,"."&amp;Q$135&amp;Q$1&amp;"C"&amp;$A164))-IF(RTD("tos.rtd",,$A$2,"."&amp;Q$135&amp;Q$1&amp;"P"&amp;$A164)="N/A",0,RTD("tos.rtd",,$A$2,"."&amp;Q$135&amp;Q$1&amp;"P"&amp;$A164))</f>
        <v>-15</v>
      </c>
      <c r="R164" s="91">
        <f ca="1">IF(RTD("tos.rtd",,$A$2,"."&amp;R$135&amp;R$1&amp;"C"&amp;$A164)="N/A",0,RTD("tos.rtd",,$A$2,"."&amp;R$135&amp;R$1&amp;"C"&amp;$A164))-IF(RTD("tos.rtd",,$A$2,"."&amp;R$135&amp;R$1&amp;"P"&amp;$A164)="N/A",0,RTD("tos.rtd",,$A$2,"."&amp;R$135&amp;R$1&amp;"P"&amp;$A164))</f>
        <v>0</v>
      </c>
      <c r="S164" s="91">
        <f ca="1">IF(RTD("tos.rtd",,$A$2,"."&amp;S$135&amp;S$1&amp;"C"&amp;$A164)="N/A",0,RTD("tos.rtd",,$A$2,"."&amp;S$135&amp;S$1&amp;"C"&amp;$A164))-IF(RTD("tos.rtd",,$A$2,"."&amp;S$135&amp;S$1&amp;"P"&amp;$A164)="N/A",0,RTD("tos.rtd",,$A$2,"."&amp;S$135&amp;S$1&amp;"P"&amp;$A164))</f>
        <v>0</v>
      </c>
      <c r="T164" s="91">
        <f ca="1">IF(RTD("tos.rtd",,$A$2,"."&amp;T$135&amp;T$1&amp;"C"&amp;$A164)="N/A",0,RTD("tos.rtd",,$A$2,"."&amp;T$135&amp;T$1&amp;"C"&amp;$A164))-IF(RTD("tos.rtd",,$A$2,"."&amp;T$135&amp;T$1&amp;"P"&amp;$A164)="N/A",0,RTD("tos.rtd",,$A$2,"."&amp;T$135&amp;T$1&amp;"P"&amp;$A164))</f>
        <v>0</v>
      </c>
      <c r="U164" s="91">
        <f ca="1">IF(RTD("tos.rtd",,$A$2,"."&amp;U$135&amp;U$1&amp;"C"&amp;$A164)="N/A",0,RTD("tos.rtd",,$A$2,"."&amp;U$135&amp;U$1&amp;"C"&amp;$A164))-IF(RTD("tos.rtd",,$A$2,"."&amp;U$135&amp;U$1&amp;"P"&amp;$A164)="N/A",0,RTD("tos.rtd",,$A$2,"."&amp;U$135&amp;U$1&amp;"P"&amp;$A164))</f>
        <v>0</v>
      </c>
      <c r="V164" s="91">
        <f ca="1">IF(RTD("tos.rtd",,$A$2,"."&amp;V$135&amp;V$1&amp;"C"&amp;$A164)="N/A",0,RTD("tos.rtd",,$A$2,"."&amp;V$135&amp;V$1&amp;"C"&amp;$A164))-IF(RTD("tos.rtd",,$A$2,"."&amp;V$135&amp;V$1&amp;"P"&amp;$A164)="N/A",0,RTD("tos.rtd",,$A$2,"."&amp;V$135&amp;V$1&amp;"P"&amp;$A164))</f>
        <v>0</v>
      </c>
      <c r="W164" s="91">
        <f ca="1">IF(RTD("tos.rtd",,$A$2,"."&amp;W$135&amp;W$1&amp;"C"&amp;$A164)="N/A",0,RTD("tos.rtd",,$A$2,"."&amp;W$135&amp;W$1&amp;"C"&amp;$A164))-IF(RTD("tos.rtd",,$A$2,"."&amp;W$135&amp;W$1&amp;"P"&amp;$A164)="N/A",0,RTD("tos.rtd",,$A$2,"."&amp;W$135&amp;W$1&amp;"P"&amp;$A164))</f>
        <v>0</v>
      </c>
      <c r="X164" s="91">
        <f ca="1">IF(RTD("tos.rtd",,$A$2,"."&amp;X$135&amp;X$1&amp;"C"&amp;$A164)="N/A",0,RTD("tos.rtd",,$A$2,"."&amp;X$135&amp;X$1&amp;"C"&amp;$A164))-IF(RTD("tos.rtd",,$A$2,"."&amp;X$135&amp;X$1&amp;"P"&amp;$A164)="N/A",0,RTD("tos.rtd",,$A$2,"."&amp;X$135&amp;X$1&amp;"P"&amp;$A164))</f>
        <v>-3</v>
      </c>
      <c r="Y164" s="98">
        <f t="shared" ca="1" si="13"/>
        <v>-12</v>
      </c>
      <c r="Z164" s="91"/>
      <c r="AA164" s="91"/>
    </row>
    <row r="165" spans="1:27" x14ac:dyDescent="0.25">
      <c r="A165" s="93">
        <f>+Hoja1!A164</f>
        <v>20675</v>
      </c>
      <c r="B165" s="91">
        <f ca="1">IF(RTD("tos.rtd",,$A$2,"."&amp;B$135&amp;B$1&amp;"C"&amp;$A165)="N/A",0,RTD("tos.rtd",,$A$2,"."&amp;B$135&amp;B$1&amp;"C"&amp;$A165))-IF(RTD("tos.rtd",,$A$2,"."&amp;B$135&amp;B$1&amp;"P"&amp;$A165)="N/A",0,RTD("tos.rtd",,$A$2,"."&amp;B$135&amp;B$1&amp;"P"&amp;$A165))</f>
        <v>0</v>
      </c>
      <c r="C165" s="91">
        <f ca="1">IF(RTD("tos.rtd",,$A$2,"."&amp;C$135&amp;C$1&amp;"C"&amp;$A165)="N/A",0,RTD("tos.rtd",,$A$2,"."&amp;C$135&amp;C$1&amp;"C"&amp;$A165))-IF(RTD("tos.rtd",,$A$2,"."&amp;C$135&amp;C$1&amp;"P"&amp;$A165)="N/A",0,RTD("tos.rtd",,$A$2,"."&amp;C$135&amp;C$1&amp;"P"&amp;$A165))</f>
        <v>0</v>
      </c>
      <c r="D165" s="91">
        <f ca="1">IF(RTD("tos.rtd",,$A$2,"."&amp;D$135&amp;D$1&amp;"C"&amp;$A165)="N/A",0,RTD("tos.rtd",,$A$2,"."&amp;D$135&amp;D$1&amp;"C"&amp;$A165))-IF(RTD("tos.rtd",,$A$2,"."&amp;D$135&amp;D$1&amp;"P"&amp;$A165)="N/A",0,RTD("tos.rtd",,$A$2,"."&amp;D$135&amp;D$1&amp;"P"&amp;$A165))</f>
        <v>0</v>
      </c>
      <c r="E165" s="91">
        <f ca="1">IF(RTD("tos.rtd",,$A$2,"."&amp;E$135&amp;E$1&amp;"C"&amp;$A165)="N/A",0,RTD("tos.rtd",,$A$2,"."&amp;E$135&amp;E$1&amp;"C"&amp;$A165))-IF(RTD("tos.rtd",,$A$2,"."&amp;E$135&amp;E$1&amp;"P"&amp;$A165)="N/A",0,RTD("tos.rtd",,$A$2,"."&amp;E$135&amp;E$1&amp;"P"&amp;$A165))</f>
        <v>0</v>
      </c>
      <c r="F165" s="91">
        <f ca="1">IF(RTD("tos.rtd",,$A$2,"."&amp;F$135&amp;F$1&amp;"C"&amp;$A165)="N/A",0,RTD("tos.rtd",,$A$2,"."&amp;F$135&amp;F$1&amp;"C"&amp;$A165))-IF(RTD("tos.rtd",,$A$2,"."&amp;F$135&amp;F$1&amp;"P"&amp;$A165)="N/A",0,RTD("tos.rtd",,$A$2,"."&amp;F$135&amp;F$1&amp;"P"&amp;$A165))</f>
        <v>0</v>
      </c>
      <c r="G165" s="91">
        <f ca="1">IF(RTD("tos.rtd",,$A$2,"."&amp;G$135&amp;G$1&amp;"C"&amp;$A165)="N/A",0,RTD("tos.rtd",,$A$2,"."&amp;G$135&amp;G$1&amp;"C"&amp;$A165))-IF(RTD("tos.rtd",,$A$2,"."&amp;G$135&amp;G$1&amp;"P"&amp;$A165)="N/A",0,RTD("tos.rtd",,$A$2,"."&amp;G$135&amp;G$1&amp;"P"&amp;$A165))</f>
        <v>0</v>
      </c>
      <c r="H165" s="91">
        <f ca="1">IF(RTD("tos.rtd",,$A$2,"."&amp;H$135&amp;H$1&amp;"C"&amp;$A165)="N/A",0,RTD("tos.rtd",,$A$2,"."&amp;H$135&amp;H$1&amp;"C"&amp;$A165))-IF(RTD("tos.rtd",,$A$2,"."&amp;H$135&amp;H$1&amp;"P"&amp;$A165)="N/A",0,RTD("tos.rtd",,$A$2,"."&amp;H$135&amp;H$1&amp;"P"&amp;$A165))</f>
        <v>0</v>
      </c>
      <c r="I165" s="91">
        <f ca="1">IF(RTD("tos.rtd",,$A$2,"."&amp;I$135&amp;I$1&amp;"C"&amp;$A165)="N/A",0,RTD("tos.rtd",,$A$2,"."&amp;I$135&amp;I$1&amp;"C"&amp;$A165))-IF(RTD("tos.rtd",,$A$2,"."&amp;I$135&amp;I$1&amp;"P"&amp;$A165)="N/A",0,RTD("tos.rtd",,$A$2,"."&amp;I$135&amp;I$1&amp;"P"&amp;$A165))</f>
        <v>1</v>
      </c>
      <c r="J165" s="91">
        <f ca="1">IF(RTD("tos.rtd",,$A$2,"."&amp;J$135&amp;J$1&amp;"C"&amp;$A165)="N/A",0,RTD("tos.rtd",,$A$2,"."&amp;J$135&amp;J$1&amp;"C"&amp;$A165))-IF(RTD("tos.rtd",,$A$2,"."&amp;J$135&amp;J$1&amp;"P"&amp;$A165)="N/A",0,RTD("tos.rtd",,$A$2,"."&amp;J$135&amp;J$1&amp;"P"&amp;$A165))</f>
        <v>0</v>
      </c>
      <c r="K165" s="91">
        <f ca="1">IF(RTD("tos.rtd",,$A$2,"."&amp;K$135&amp;K$1&amp;"C"&amp;$A165)="N/A",0,RTD("tos.rtd",,$A$2,"."&amp;K$135&amp;K$1&amp;"C"&amp;$A165))-IF(RTD("tos.rtd",,$A$2,"."&amp;K$135&amp;K$1&amp;"P"&amp;$A165)="N/A",0,RTD("tos.rtd",,$A$2,"."&amp;K$135&amp;K$1&amp;"P"&amp;$A165))</f>
        <v>0</v>
      </c>
      <c r="L165" s="91">
        <f ca="1">IF(RTD("tos.rtd",,$A$2,"."&amp;L$135&amp;L$1&amp;"C"&amp;$A165)="N/A",0,RTD("tos.rtd",,$A$2,"."&amp;L$135&amp;L$1&amp;"C"&amp;$A165))-IF(RTD("tos.rtd",,$A$2,"."&amp;L$135&amp;L$1&amp;"P"&amp;$A165)="N/A",0,RTD("tos.rtd",,$A$2,"."&amp;L$135&amp;L$1&amp;"P"&amp;$A165))</f>
        <v>0</v>
      </c>
      <c r="M165" s="91">
        <f ca="1">IF(RTD("tos.rtd",,$A$2,"."&amp;M$135&amp;M$1&amp;"C"&amp;$A165)="N/A",0,RTD("tos.rtd",,$A$2,"."&amp;M$135&amp;M$1&amp;"C"&amp;$A165))-IF(RTD("tos.rtd",,$A$2,"."&amp;M$135&amp;M$1&amp;"P"&amp;$A165)="N/A",0,RTD("tos.rtd",,$A$2,"."&amp;M$135&amp;M$1&amp;"P"&amp;$A165))</f>
        <v>0</v>
      </c>
      <c r="N165" s="91">
        <f ca="1">IF(RTD("tos.rtd",,$A$2,"."&amp;N$135&amp;N$1&amp;"C"&amp;$A165)="N/A",0,RTD("tos.rtd",,$A$2,"."&amp;N$135&amp;N$1&amp;"C"&amp;$A165))-IF(RTD("tos.rtd",,$A$2,"."&amp;N$135&amp;N$1&amp;"P"&amp;$A165)="N/A",0,RTD("tos.rtd",,$A$2,"."&amp;N$135&amp;N$1&amp;"P"&amp;$A165))</f>
        <v>0</v>
      </c>
      <c r="O165" s="91">
        <f ca="1">IF(RTD("tos.rtd",,$A$2,"."&amp;O$135&amp;O$1&amp;"C"&amp;$A165)="N/A",0,RTD("tos.rtd",,$A$2,"."&amp;O$135&amp;O$1&amp;"C"&amp;$A165))-IF(RTD("tos.rtd",,$A$2,"."&amp;O$135&amp;O$1&amp;"P"&amp;$A165)="N/A",0,RTD("tos.rtd",,$A$2,"."&amp;O$135&amp;O$1&amp;"P"&amp;$A165))</f>
        <v>0</v>
      </c>
      <c r="P165" s="91">
        <f ca="1">IF(RTD("tos.rtd",,$A$2,"."&amp;P$135&amp;P$1&amp;"C"&amp;$A165)="N/A",0,RTD("tos.rtd",,$A$2,"."&amp;P$135&amp;P$1&amp;"C"&amp;$A165))-IF(RTD("tos.rtd",,$A$2,"."&amp;P$135&amp;P$1&amp;"P"&amp;$A165)="N/A",0,RTD("tos.rtd",,$A$2,"."&amp;P$135&amp;P$1&amp;"P"&amp;$A165))</f>
        <v>0</v>
      </c>
      <c r="Q165" s="91">
        <f ca="1">IF(RTD("tos.rtd",,$A$2,"."&amp;Q$135&amp;Q$1&amp;"C"&amp;$A165)="N/A",0,RTD("tos.rtd",,$A$2,"."&amp;Q$135&amp;Q$1&amp;"C"&amp;$A165))-IF(RTD("tos.rtd",,$A$2,"."&amp;Q$135&amp;Q$1&amp;"P"&amp;$A165)="N/A",0,RTD("tos.rtd",,$A$2,"."&amp;Q$135&amp;Q$1&amp;"P"&amp;$A165))</f>
        <v>0</v>
      </c>
      <c r="R165" s="91">
        <f ca="1">IF(RTD("tos.rtd",,$A$2,"."&amp;R$135&amp;R$1&amp;"C"&amp;$A165)="N/A",0,RTD("tos.rtd",,$A$2,"."&amp;R$135&amp;R$1&amp;"C"&amp;$A165))-IF(RTD("tos.rtd",,$A$2,"."&amp;R$135&amp;R$1&amp;"P"&amp;$A165)="N/A",0,RTD("tos.rtd",,$A$2,"."&amp;R$135&amp;R$1&amp;"P"&amp;$A165))</f>
        <v>0</v>
      </c>
      <c r="S165" s="91">
        <f ca="1">IF(RTD("tos.rtd",,$A$2,"."&amp;S$135&amp;S$1&amp;"C"&amp;$A165)="N/A",0,RTD("tos.rtd",,$A$2,"."&amp;S$135&amp;S$1&amp;"C"&amp;$A165))-IF(RTD("tos.rtd",,$A$2,"."&amp;S$135&amp;S$1&amp;"P"&amp;$A165)="N/A",0,RTD("tos.rtd",,$A$2,"."&amp;S$135&amp;S$1&amp;"P"&amp;$A165))</f>
        <v>0</v>
      </c>
      <c r="T165" s="91">
        <f ca="1">IF(RTD("tos.rtd",,$A$2,"."&amp;T$135&amp;T$1&amp;"C"&amp;$A165)="N/A",0,RTD("tos.rtd",,$A$2,"."&amp;T$135&amp;T$1&amp;"C"&amp;$A165))-IF(RTD("tos.rtd",,$A$2,"."&amp;T$135&amp;T$1&amp;"P"&amp;$A165)="N/A",0,RTD("tos.rtd",,$A$2,"."&amp;T$135&amp;T$1&amp;"P"&amp;$A165))</f>
        <v>0</v>
      </c>
      <c r="U165" s="91">
        <f ca="1">IF(RTD("tos.rtd",,$A$2,"."&amp;U$135&amp;U$1&amp;"C"&amp;$A165)="N/A",0,RTD("tos.rtd",,$A$2,"."&amp;U$135&amp;U$1&amp;"C"&amp;$A165))-IF(RTD("tos.rtd",,$A$2,"."&amp;U$135&amp;U$1&amp;"P"&amp;$A165)="N/A",0,RTD("tos.rtd",,$A$2,"."&amp;U$135&amp;U$1&amp;"P"&amp;$A165))</f>
        <v>0</v>
      </c>
      <c r="V165" s="91">
        <f ca="1">IF(RTD("tos.rtd",,$A$2,"."&amp;V$135&amp;V$1&amp;"C"&amp;$A165)="N/A",0,RTD("tos.rtd",,$A$2,"."&amp;V$135&amp;V$1&amp;"C"&amp;$A165))-IF(RTD("tos.rtd",,$A$2,"."&amp;V$135&amp;V$1&amp;"P"&amp;$A165)="N/A",0,RTD("tos.rtd",,$A$2,"."&amp;V$135&amp;V$1&amp;"P"&amp;$A165))</f>
        <v>0</v>
      </c>
      <c r="W165" s="91">
        <f ca="1">IF(RTD("tos.rtd",,$A$2,"."&amp;W$135&amp;W$1&amp;"C"&amp;$A165)="N/A",0,RTD("tos.rtd",,$A$2,"."&amp;W$135&amp;W$1&amp;"C"&amp;$A165))-IF(RTD("tos.rtd",,$A$2,"."&amp;W$135&amp;W$1&amp;"P"&amp;$A165)="N/A",0,RTD("tos.rtd",,$A$2,"."&amp;W$135&amp;W$1&amp;"P"&amp;$A165))</f>
        <v>0</v>
      </c>
      <c r="X165" s="91">
        <f ca="1">IF(RTD("tos.rtd",,$A$2,"."&amp;X$135&amp;X$1&amp;"C"&amp;$A165)="N/A",0,RTD("tos.rtd",,$A$2,"."&amp;X$135&amp;X$1&amp;"C"&amp;$A165))-IF(RTD("tos.rtd",,$A$2,"."&amp;X$135&amp;X$1&amp;"P"&amp;$A165)="N/A",0,RTD("tos.rtd",,$A$2,"."&amp;X$135&amp;X$1&amp;"P"&amp;$A165))</f>
        <v>0</v>
      </c>
      <c r="Y165" s="98">
        <f t="shared" ca="1" si="13"/>
        <v>1</v>
      </c>
      <c r="Z165" s="91"/>
      <c r="AA165" s="91"/>
    </row>
    <row r="166" spans="1:27" x14ac:dyDescent="0.25">
      <c r="A166" s="93">
        <f>+Hoja1!A165</f>
        <v>20650</v>
      </c>
      <c r="B166" s="91">
        <f ca="1">IF(RTD("tos.rtd",,$A$2,"."&amp;B$135&amp;B$1&amp;"C"&amp;$A166)="N/A",0,RTD("tos.rtd",,$A$2,"."&amp;B$135&amp;B$1&amp;"C"&amp;$A166))-IF(RTD("tos.rtd",,$A$2,"."&amp;B$135&amp;B$1&amp;"P"&amp;$A166)="N/A",0,RTD("tos.rtd",,$A$2,"."&amp;B$135&amp;B$1&amp;"P"&amp;$A166))</f>
        <v>0</v>
      </c>
      <c r="C166" s="91">
        <f ca="1">IF(RTD("tos.rtd",,$A$2,"."&amp;C$135&amp;C$1&amp;"C"&amp;$A166)="N/A",0,RTD("tos.rtd",,$A$2,"."&amp;C$135&amp;C$1&amp;"C"&amp;$A166))-IF(RTD("tos.rtd",,$A$2,"."&amp;C$135&amp;C$1&amp;"P"&amp;$A166)="N/A",0,RTD("tos.rtd",,$A$2,"."&amp;C$135&amp;C$1&amp;"P"&amp;$A166))</f>
        <v>0</v>
      </c>
      <c r="D166" s="91">
        <f ca="1">IF(RTD("tos.rtd",,$A$2,"."&amp;D$135&amp;D$1&amp;"C"&amp;$A166)="N/A",0,RTD("tos.rtd",,$A$2,"."&amp;D$135&amp;D$1&amp;"C"&amp;$A166))-IF(RTD("tos.rtd",,$A$2,"."&amp;D$135&amp;D$1&amp;"P"&amp;$A166)="N/A",0,RTD("tos.rtd",,$A$2,"."&amp;D$135&amp;D$1&amp;"P"&amp;$A166))</f>
        <v>0</v>
      </c>
      <c r="E166" s="91">
        <f ca="1">IF(RTD("tos.rtd",,$A$2,"."&amp;E$135&amp;E$1&amp;"C"&amp;$A166)="N/A",0,RTD("tos.rtd",,$A$2,"."&amp;E$135&amp;E$1&amp;"C"&amp;$A166))-IF(RTD("tos.rtd",,$A$2,"."&amp;E$135&amp;E$1&amp;"P"&amp;$A166)="N/A",0,RTD("tos.rtd",,$A$2,"."&amp;E$135&amp;E$1&amp;"P"&amp;$A166))</f>
        <v>0</v>
      </c>
      <c r="F166" s="91">
        <f ca="1">IF(RTD("tos.rtd",,$A$2,"."&amp;F$135&amp;F$1&amp;"C"&amp;$A166)="N/A",0,RTD("tos.rtd",,$A$2,"."&amp;F$135&amp;F$1&amp;"C"&amp;$A166))-IF(RTD("tos.rtd",,$A$2,"."&amp;F$135&amp;F$1&amp;"P"&amp;$A166)="N/A",0,RTD("tos.rtd",,$A$2,"."&amp;F$135&amp;F$1&amp;"P"&amp;$A166))</f>
        <v>0</v>
      </c>
      <c r="G166" s="91">
        <f ca="1">IF(RTD("tos.rtd",,$A$2,"."&amp;G$135&amp;G$1&amp;"C"&amp;$A166)="N/A",0,RTD("tos.rtd",,$A$2,"."&amp;G$135&amp;G$1&amp;"C"&amp;$A166))-IF(RTD("tos.rtd",,$A$2,"."&amp;G$135&amp;G$1&amp;"P"&amp;$A166)="N/A",0,RTD("tos.rtd",,$A$2,"."&amp;G$135&amp;G$1&amp;"P"&amp;$A166))</f>
        <v>0</v>
      </c>
      <c r="H166" s="91">
        <f ca="1">IF(RTD("tos.rtd",,$A$2,"."&amp;H$135&amp;H$1&amp;"C"&amp;$A166)="N/A",0,RTD("tos.rtd",,$A$2,"."&amp;H$135&amp;H$1&amp;"C"&amp;$A166))-IF(RTD("tos.rtd",,$A$2,"."&amp;H$135&amp;H$1&amp;"P"&amp;$A166)="N/A",0,RTD("tos.rtd",,$A$2,"."&amp;H$135&amp;H$1&amp;"P"&amp;$A166))</f>
        <v>0</v>
      </c>
      <c r="I166" s="91">
        <f ca="1">IF(RTD("tos.rtd",,$A$2,"."&amp;I$135&amp;I$1&amp;"C"&amp;$A166)="N/A",0,RTD("tos.rtd",,$A$2,"."&amp;I$135&amp;I$1&amp;"C"&amp;$A166))-IF(RTD("tos.rtd",,$A$2,"."&amp;I$135&amp;I$1&amp;"P"&amp;$A166)="N/A",0,RTD("tos.rtd",,$A$2,"."&amp;I$135&amp;I$1&amp;"P"&amp;$A166))</f>
        <v>2</v>
      </c>
      <c r="J166" s="91">
        <f ca="1">IF(RTD("tos.rtd",,$A$2,"."&amp;J$135&amp;J$1&amp;"C"&amp;$A166)="N/A",0,RTD("tos.rtd",,$A$2,"."&amp;J$135&amp;J$1&amp;"C"&amp;$A166))-IF(RTD("tos.rtd",,$A$2,"."&amp;J$135&amp;J$1&amp;"P"&amp;$A166)="N/A",0,RTD("tos.rtd",,$A$2,"."&amp;J$135&amp;J$1&amp;"P"&amp;$A166))</f>
        <v>0</v>
      </c>
      <c r="K166" s="91">
        <f ca="1">IF(RTD("tos.rtd",,$A$2,"."&amp;K$135&amp;K$1&amp;"C"&amp;$A166)="N/A",0,RTD("tos.rtd",,$A$2,"."&amp;K$135&amp;K$1&amp;"C"&amp;$A166))-IF(RTD("tos.rtd",,$A$2,"."&amp;K$135&amp;K$1&amp;"P"&amp;$A166)="N/A",0,RTD("tos.rtd",,$A$2,"."&amp;K$135&amp;K$1&amp;"P"&amp;$A166))</f>
        <v>0</v>
      </c>
      <c r="L166" s="91">
        <f ca="1">IF(RTD("tos.rtd",,$A$2,"."&amp;L$135&amp;L$1&amp;"C"&amp;$A166)="N/A",0,RTD("tos.rtd",,$A$2,"."&amp;L$135&amp;L$1&amp;"C"&amp;$A166))-IF(RTD("tos.rtd",,$A$2,"."&amp;L$135&amp;L$1&amp;"P"&amp;$A166)="N/A",0,RTD("tos.rtd",,$A$2,"."&amp;L$135&amp;L$1&amp;"P"&amp;$A166))</f>
        <v>-1</v>
      </c>
      <c r="M166" s="91">
        <f ca="1">IF(RTD("tos.rtd",,$A$2,"."&amp;M$135&amp;M$1&amp;"C"&amp;$A166)="N/A",0,RTD("tos.rtd",,$A$2,"."&amp;M$135&amp;M$1&amp;"C"&amp;$A166))-IF(RTD("tos.rtd",,$A$2,"."&amp;M$135&amp;M$1&amp;"P"&amp;$A166)="N/A",0,RTD("tos.rtd",,$A$2,"."&amp;M$135&amp;M$1&amp;"P"&amp;$A166))</f>
        <v>0</v>
      </c>
      <c r="N166" s="91">
        <f ca="1">IF(RTD("tos.rtd",,$A$2,"."&amp;N$135&amp;N$1&amp;"C"&amp;$A166)="N/A",0,RTD("tos.rtd",,$A$2,"."&amp;N$135&amp;N$1&amp;"C"&amp;$A166))-IF(RTD("tos.rtd",,$A$2,"."&amp;N$135&amp;N$1&amp;"P"&amp;$A166)="N/A",0,RTD("tos.rtd",,$A$2,"."&amp;N$135&amp;N$1&amp;"P"&amp;$A166))</f>
        <v>0</v>
      </c>
      <c r="O166" s="91">
        <f ca="1">IF(RTD("tos.rtd",,$A$2,"."&amp;O$135&amp;O$1&amp;"C"&amp;$A166)="N/A",0,RTD("tos.rtd",,$A$2,"."&amp;O$135&amp;O$1&amp;"C"&amp;$A166))-IF(RTD("tos.rtd",,$A$2,"."&amp;O$135&amp;O$1&amp;"P"&amp;$A166)="N/A",0,RTD("tos.rtd",,$A$2,"."&amp;O$135&amp;O$1&amp;"P"&amp;$A166))</f>
        <v>0</v>
      </c>
      <c r="P166" s="91">
        <f ca="1">IF(RTD("tos.rtd",,$A$2,"."&amp;P$135&amp;P$1&amp;"C"&amp;$A166)="N/A",0,RTD("tos.rtd",,$A$2,"."&amp;P$135&amp;P$1&amp;"C"&amp;$A166))-IF(RTD("tos.rtd",,$A$2,"."&amp;P$135&amp;P$1&amp;"P"&amp;$A166)="N/A",0,RTD("tos.rtd",,$A$2,"."&amp;P$135&amp;P$1&amp;"P"&amp;$A166))</f>
        <v>0</v>
      </c>
      <c r="Q166" s="91">
        <f ca="1">IF(RTD("tos.rtd",,$A$2,"."&amp;Q$135&amp;Q$1&amp;"C"&amp;$A166)="N/A",0,RTD("tos.rtd",,$A$2,"."&amp;Q$135&amp;Q$1&amp;"C"&amp;$A166))-IF(RTD("tos.rtd",,$A$2,"."&amp;Q$135&amp;Q$1&amp;"P"&amp;$A166)="N/A",0,RTD("tos.rtd",,$A$2,"."&amp;Q$135&amp;Q$1&amp;"P"&amp;$A166))</f>
        <v>0</v>
      </c>
      <c r="R166" s="91">
        <f ca="1">IF(RTD("tos.rtd",,$A$2,"."&amp;R$135&amp;R$1&amp;"C"&amp;$A166)="N/A",0,RTD("tos.rtd",,$A$2,"."&amp;R$135&amp;R$1&amp;"C"&amp;$A166))-IF(RTD("tos.rtd",,$A$2,"."&amp;R$135&amp;R$1&amp;"P"&amp;$A166)="N/A",0,RTD("tos.rtd",,$A$2,"."&amp;R$135&amp;R$1&amp;"P"&amp;$A166))</f>
        <v>0</v>
      </c>
      <c r="S166" s="91">
        <f ca="1">IF(RTD("tos.rtd",,$A$2,"."&amp;S$135&amp;S$1&amp;"C"&amp;$A166)="N/A",0,RTD("tos.rtd",,$A$2,"."&amp;S$135&amp;S$1&amp;"C"&amp;$A166))-IF(RTD("tos.rtd",,$A$2,"."&amp;S$135&amp;S$1&amp;"P"&amp;$A166)="N/A",0,RTD("tos.rtd",,$A$2,"."&amp;S$135&amp;S$1&amp;"P"&amp;$A166))</f>
        <v>0</v>
      </c>
      <c r="T166" s="91">
        <f ca="1">IF(RTD("tos.rtd",,$A$2,"."&amp;T$135&amp;T$1&amp;"C"&amp;$A166)="N/A",0,RTD("tos.rtd",,$A$2,"."&amp;T$135&amp;T$1&amp;"C"&amp;$A166))-IF(RTD("tos.rtd",,$A$2,"."&amp;T$135&amp;T$1&amp;"P"&amp;$A166)="N/A",0,RTD("tos.rtd",,$A$2,"."&amp;T$135&amp;T$1&amp;"P"&amp;$A166))</f>
        <v>0</v>
      </c>
      <c r="U166" s="91">
        <f ca="1">IF(RTD("tos.rtd",,$A$2,"."&amp;U$135&amp;U$1&amp;"C"&amp;$A166)="N/A",0,RTD("tos.rtd",,$A$2,"."&amp;U$135&amp;U$1&amp;"C"&amp;$A166))-IF(RTD("tos.rtd",,$A$2,"."&amp;U$135&amp;U$1&amp;"P"&amp;$A166)="N/A",0,RTD("tos.rtd",,$A$2,"."&amp;U$135&amp;U$1&amp;"P"&amp;$A166))</f>
        <v>0</v>
      </c>
      <c r="V166" s="91">
        <f ca="1">IF(RTD("tos.rtd",,$A$2,"."&amp;V$135&amp;V$1&amp;"C"&amp;$A166)="N/A",0,RTD("tos.rtd",,$A$2,"."&amp;V$135&amp;V$1&amp;"C"&amp;$A166))-IF(RTD("tos.rtd",,$A$2,"."&amp;V$135&amp;V$1&amp;"P"&amp;$A166)="N/A",0,RTD("tos.rtd",,$A$2,"."&amp;V$135&amp;V$1&amp;"P"&amp;$A166))</f>
        <v>0</v>
      </c>
      <c r="W166" s="91">
        <f ca="1">IF(RTD("tos.rtd",,$A$2,"."&amp;W$135&amp;W$1&amp;"C"&amp;$A166)="N/A",0,RTD("tos.rtd",,$A$2,"."&amp;W$135&amp;W$1&amp;"C"&amp;$A166))-IF(RTD("tos.rtd",,$A$2,"."&amp;W$135&amp;W$1&amp;"P"&amp;$A166)="N/A",0,RTD("tos.rtd",,$A$2,"."&amp;W$135&amp;W$1&amp;"P"&amp;$A166))</f>
        <v>0</v>
      </c>
      <c r="X166" s="91">
        <f ca="1">IF(RTD("tos.rtd",,$A$2,"."&amp;X$135&amp;X$1&amp;"C"&amp;$A166)="N/A",0,RTD("tos.rtd",,$A$2,"."&amp;X$135&amp;X$1&amp;"C"&amp;$A166))-IF(RTD("tos.rtd",,$A$2,"."&amp;X$135&amp;X$1&amp;"P"&amp;$A166)="N/A",0,RTD("tos.rtd",,$A$2,"."&amp;X$135&amp;X$1&amp;"P"&amp;$A166))</f>
        <v>0</v>
      </c>
      <c r="Y166" s="98">
        <f t="shared" ca="1" si="13"/>
        <v>1</v>
      </c>
      <c r="Z166" s="91"/>
      <c r="AA166" s="91"/>
    </row>
    <row r="167" spans="1:27" x14ac:dyDescent="0.25">
      <c r="A167" s="93">
        <f>+Hoja1!A166</f>
        <v>20625</v>
      </c>
      <c r="B167" s="91">
        <f ca="1">IF(RTD("tos.rtd",,$A$2,"."&amp;B$135&amp;B$1&amp;"C"&amp;$A167)="N/A",0,RTD("tos.rtd",,$A$2,"."&amp;B$135&amp;B$1&amp;"C"&amp;$A167))-IF(RTD("tos.rtd",,$A$2,"."&amp;B$135&amp;B$1&amp;"P"&amp;$A167)="N/A",0,RTD("tos.rtd",,$A$2,"."&amp;B$135&amp;B$1&amp;"P"&amp;$A167))</f>
        <v>0</v>
      </c>
      <c r="C167" s="91">
        <f ca="1">IF(RTD("tos.rtd",,$A$2,"."&amp;C$135&amp;C$1&amp;"C"&amp;$A167)="N/A",0,RTD("tos.rtd",,$A$2,"."&amp;C$135&amp;C$1&amp;"C"&amp;$A167))-IF(RTD("tos.rtd",,$A$2,"."&amp;C$135&amp;C$1&amp;"P"&amp;$A167)="N/A",0,RTD("tos.rtd",,$A$2,"."&amp;C$135&amp;C$1&amp;"P"&amp;$A167))</f>
        <v>0</v>
      </c>
      <c r="D167" s="91">
        <f ca="1">IF(RTD("tos.rtd",,$A$2,"."&amp;D$135&amp;D$1&amp;"C"&amp;$A167)="N/A",0,RTD("tos.rtd",,$A$2,"."&amp;D$135&amp;D$1&amp;"C"&amp;$A167))-IF(RTD("tos.rtd",,$A$2,"."&amp;D$135&amp;D$1&amp;"P"&amp;$A167)="N/A",0,RTD("tos.rtd",,$A$2,"."&amp;D$135&amp;D$1&amp;"P"&amp;$A167))</f>
        <v>0</v>
      </c>
      <c r="E167" s="91">
        <f ca="1">IF(RTD("tos.rtd",,$A$2,"."&amp;E$135&amp;E$1&amp;"C"&amp;$A167)="N/A",0,RTD("tos.rtd",,$A$2,"."&amp;E$135&amp;E$1&amp;"C"&amp;$A167))-IF(RTD("tos.rtd",,$A$2,"."&amp;E$135&amp;E$1&amp;"P"&amp;$A167)="N/A",0,RTD("tos.rtd",,$A$2,"."&amp;E$135&amp;E$1&amp;"P"&amp;$A167))</f>
        <v>0</v>
      </c>
      <c r="F167" s="91">
        <f ca="1">IF(RTD("tos.rtd",,$A$2,"."&amp;F$135&amp;F$1&amp;"C"&amp;$A167)="N/A",0,RTD("tos.rtd",,$A$2,"."&amp;F$135&amp;F$1&amp;"C"&amp;$A167))-IF(RTD("tos.rtd",,$A$2,"."&amp;F$135&amp;F$1&amp;"P"&amp;$A167)="N/A",0,RTD("tos.rtd",,$A$2,"."&amp;F$135&amp;F$1&amp;"P"&amp;$A167))</f>
        <v>0</v>
      </c>
      <c r="G167" s="91">
        <f ca="1">IF(RTD("tos.rtd",,$A$2,"."&amp;G$135&amp;G$1&amp;"C"&amp;$A167)="N/A",0,RTD("tos.rtd",,$A$2,"."&amp;G$135&amp;G$1&amp;"C"&amp;$A167))-IF(RTD("tos.rtd",,$A$2,"."&amp;G$135&amp;G$1&amp;"P"&amp;$A167)="N/A",0,RTD("tos.rtd",,$A$2,"."&amp;G$135&amp;G$1&amp;"P"&amp;$A167))</f>
        <v>0</v>
      </c>
      <c r="H167" s="91">
        <f ca="1">IF(RTD("tos.rtd",,$A$2,"."&amp;H$135&amp;H$1&amp;"C"&amp;$A167)="N/A",0,RTD("tos.rtd",,$A$2,"."&amp;H$135&amp;H$1&amp;"C"&amp;$A167))-IF(RTD("tos.rtd",,$A$2,"."&amp;H$135&amp;H$1&amp;"P"&amp;$A167)="N/A",0,RTD("tos.rtd",,$A$2,"."&amp;H$135&amp;H$1&amp;"P"&amp;$A167))</f>
        <v>0</v>
      </c>
      <c r="I167" s="91">
        <f ca="1">IF(RTD("tos.rtd",,$A$2,"."&amp;I$135&amp;I$1&amp;"C"&amp;$A167)="N/A",0,RTD("tos.rtd",,$A$2,"."&amp;I$135&amp;I$1&amp;"C"&amp;$A167))-IF(RTD("tos.rtd",,$A$2,"."&amp;I$135&amp;I$1&amp;"P"&amp;$A167)="N/A",0,RTD("tos.rtd",,$A$2,"."&amp;I$135&amp;I$1&amp;"P"&amp;$A167))</f>
        <v>0</v>
      </c>
      <c r="J167" s="91">
        <f ca="1">IF(RTD("tos.rtd",,$A$2,"."&amp;J$135&amp;J$1&amp;"C"&amp;$A167)="N/A",0,RTD("tos.rtd",,$A$2,"."&amp;J$135&amp;J$1&amp;"C"&amp;$A167))-IF(RTD("tos.rtd",,$A$2,"."&amp;J$135&amp;J$1&amp;"P"&amp;$A167)="N/A",0,RTD("tos.rtd",,$A$2,"."&amp;J$135&amp;J$1&amp;"P"&amp;$A167))</f>
        <v>0</v>
      </c>
      <c r="K167" s="91">
        <f ca="1">IF(RTD("tos.rtd",,$A$2,"."&amp;K$135&amp;K$1&amp;"C"&amp;$A167)="N/A",0,RTD("tos.rtd",,$A$2,"."&amp;K$135&amp;K$1&amp;"C"&amp;$A167))-IF(RTD("tos.rtd",,$A$2,"."&amp;K$135&amp;K$1&amp;"P"&amp;$A167)="N/A",0,RTD("tos.rtd",,$A$2,"."&amp;K$135&amp;K$1&amp;"P"&amp;$A167))</f>
        <v>0</v>
      </c>
      <c r="L167" s="91">
        <f ca="1">IF(RTD("tos.rtd",,$A$2,"."&amp;L$135&amp;L$1&amp;"C"&amp;$A167)="N/A",0,RTD("tos.rtd",,$A$2,"."&amp;L$135&amp;L$1&amp;"C"&amp;$A167))-IF(RTD("tos.rtd",,$A$2,"."&amp;L$135&amp;L$1&amp;"P"&amp;$A167)="N/A",0,RTD("tos.rtd",,$A$2,"."&amp;L$135&amp;L$1&amp;"P"&amp;$A167))</f>
        <v>0</v>
      </c>
      <c r="M167" s="91">
        <f ca="1">IF(RTD("tos.rtd",,$A$2,"."&amp;M$135&amp;M$1&amp;"C"&amp;$A167)="N/A",0,RTD("tos.rtd",,$A$2,"."&amp;M$135&amp;M$1&amp;"C"&amp;$A167))-IF(RTD("tos.rtd",,$A$2,"."&amp;M$135&amp;M$1&amp;"P"&amp;$A167)="N/A",0,RTD("tos.rtd",,$A$2,"."&amp;M$135&amp;M$1&amp;"P"&amp;$A167))</f>
        <v>0</v>
      </c>
      <c r="N167" s="91">
        <f ca="1">IF(RTD("tos.rtd",,$A$2,"."&amp;N$135&amp;N$1&amp;"C"&amp;$A167)="N/A",0,RTD("tos.rtd",,$A$2,"."&amp;N$135&amp;N$1&amp;"C"&amp;$A167))-IF(RTD("tos.rtd",,$A$2,"."&amp;N$135&amp;N$1&amp;"P"&amp;$A167)="N/A",0,RTD("tos.rtd",,$A$2,"."&amp;N$135&amp;N$1&amp;"P"&amp;$A167))</f>
        <v>0</v>
      </c>
      <c r="O167" s="91">
        <f ca="1">IF(RTD("tos.rtd",,$A$2,"."&amp;O$135&amp;O$1&amp;"C"&amp;$A167)="N/A",0,RTD("tos.rtd",,$A$2,"."&amp;O$135&amp;O$1&amp;"C"&amp;$A167))-IF(RTD("tos.rtd",,$A$2,"."&amp;O$135&amp;O$1&amp;"P"&amp;$A167)="N/A",0,RTD("tos.rtd",,$A$2,"."&amp;O$135&amp;O$1&amp;"P"&amp;$A167))</f>
        <v>0</v>
      </c>
      <c r="P167" s="91">
        <f ca="1">IF(RTD("tos.rtd",,$A$2,"."&amp;P$135&amp;P$1&amp;"C"&amp;$A167)="N/A",0,RTD("tos.rtd",,$A$2,"."&amp;P$135&amp;P$1&amp;"C"&amp;$A167))-IF(RTD("tos.rtd",,$A$2,"."&amp;P$135&amp;P$1&amp;"P"&amp;$A167)="N/A",0,RTD("tos.rtd",,$A$2,"."&amp;P$135&amp;P$1&amp;"P"&amp;$A167))</f>
        <v>0</v>
      </c>
      <c r="Q167" s="91">
        <f ca="1">IF(RTD("tos.rtd",,$A$2,"."&amp;Q$135&amp;Q$1&amp;"C"&amp;$A167)="N/A",0,RTD("tos.rtd",,$A$2,"."&amp;Q$135&amp;Q$1&amp;"C"&amp;$A167))-IF(RTD("tos.rtd",,$A$2,"."&amp;Q$135&amp;Q$1&amp;"P"&amp;$A167)="N/A",0,RTD("tos.rtd",,$A$2,"."&amp;Q$135&amp;Q$1&amp;"P"&amp;$A167))</f>
        <v>0</v>
      </c>
      <c r="R167" s="91">
        <f ca="1">IF(RTD("tos.rtd",,$A$2,"."&amp;R$135&amp;R$1&amp;"C"&amp;$A167)="N/A",0,RTD("tos.rtd",,$A$2,"."&amp;R$135&amp;R$1&amp;"C"&amp;$A167))-IF(RTD("tos.rtd",,$A$2,"."&amp;R$135&amp;R$1&amp;"P"&amp;$A167)="N/A",0,RTD("tos.rtd",,$A$2,"."&amp;R$135&amp;R$1&amp;"P"&amp;$A167))</f>
        <v>0</v>
      </c>
      <c r="S167" s="91">
        <f ca="1">IF(RTD("tos.rtd",,$A$2,"."&amp;S$135&amp;S$1&amp;"C"&amp;$A167)="N/A",0,RTD("tos.rtd",,$A$2,"."&amp;S$135&amp;S$1&amp;"C"&amp;$A167))-IF(RTD("tos.rtd",,$A$2,"."&amp;S$135&amp;S$1&amp;"P"&amp;$A167)="N/A",0,RTD("tos.rtd",,$A$2,"."&amp;S$135&amp;S$1&amp;"P"&amp;$A167))</f>
        <v>0</v>
      </c>
      <c r="T167" s="91">
        <f ca="1">IF(RTD("tos.rtd",,$A$2,"."&amp;T$135&amp;T$1&amp;"C"&amp;$A167)="N/A",0,RTD("tos.rtd",,$A$2,"."&amp;T$135&amp;T$1&amp;"C"&amp;$A167))-IF(RTD("tos.rtd",,$A$2,"."&amp;T$135&amp;T$1&amp;"P"&amp;$A167)="N/A",0,RTD("tos.rtd",,$A$2,"."&amp;T$135&amp;T$1&amp;"P"&amp;$A167))</f>
        <v>0</v>
      </c>
      <c r="U167" s="91">
        <f ca="1">IF(RTD("tos.rtd",,$A$2,"."&amp;U$135&amp;U$1&amp;"C"&amp;$A167)="N/A",0,RTD("tos.rtd",,$A$2,"."&amp;U$135&amp;U$1&amp;"C"&amp;$A167))-IF(RTD("tos.rtd",,$A$2,"."&amp;U$135&amp;U$1&amp;"P"&amp;$A167)="N/A",0,RTD("tos.rtd",,$A$2,"."&amp;U$135&amp;U$1&amp;"P"&amp;$A167))</f>
        <v>0</v>
      </c>
      <c r="V167" s="91">
        <f ca="1">IF(RTD("tos.rtd",,$A$2,"."&amp;V$135&amp;V$1&amp;"C"&amp;$A167)="N/A",0,RTD("tos.rtd",,$A$2,"."&amp;V$135&amp;V$1&amp;"C"&amp;$A167))-IF(RTD("tos.rtd",,$A$2,"."&amp;V$135&amp;V$1&amp;"P"&amp;$A167)="N/A",0,RTD("tos.rtd",,$A$2,"."&amp;V$135&amp;V$1&amp;"P"&amp;$A167))</f>
        <v>0</v>
      </c>
      <c r="W167" s="91">
        <f ca="1">IF(RTD("tos.rtd",,$A$2,"."&amp;W$135&amp;W$1&amp;"C"&amp;$A167)="N/A",0,RTD("tos.rtd",,$A$2,"."&amp;W$135&amp;W$1&amp;"C"&amp;$A167))-IF(RTD("tos.rtd",,$A$2,"."&amp;W$135&amp;W$1&amp;"P"&amp;$A167)="N/A",0,RTD("tos.rtd",,$A$2,"."&amp;W$135&amp;W$1&amp;"P"&amp;$A167))</f>
        <v>0</v>
      </c>
      <c r="X167" s="91">
        <f ca="1">IF(RTD("tos.rtd",,$A$2,"."&amp;X$135&amp;X$1&amp;"C"&amp;$A167)="N/A",0,RTD("tos.rtd",,$A$2,"."&amp;X$135&amp;X$1&amp;"C"&amp;$A167))-IF(RTD("tos.rtd",,$A$2,"."&amp;X$135&amp;X$1&amp;"P"&amp;$A167)="N/A",0,RTD("tos.rtd",,$A$2,"."&amp;X$135&amp;X$1&amp;"P"&amp;$A167))</f>
        <v>0</v>
      </c>
      <c r="Y167" s="98">
        <f t="shared" ca="1" si="13"/>
        <v>0</v>
      </c>
      <c r="Z167" s="91"/>
      <c r="AA167" s="91"/>
    </row>
    <row r="168" spans="1:27" x14ac:dyDescent="0.25">
      <c r="A168" s="93">
        <f>+Hoja1!A167</f>
        <v>20600</v>
      </c>
      <c r="B168" s="91">
        <f ca="1">IF(RTD("tos.rtd",,$A$2,"."&amp;B$135&amp;B$1&amp;"C"&amp;$A168)="N/A",0,RTD("tos.rtd",,$A$2,"."&amp;B$135&amp;B$1&amp;"C"&amp;$A168))-IF(RTD("tos.rtd",,$A$2,"."&amp;B$135&amp;B$1&amp;"P"&amp;$A168)="N/A",0,RTD("tos.rtd",,$A$2,"."&amp;B$135&amp;B$1&amp;"P"&amp;$A168))</f>
        <v>0</v>
      </c>
      <c r="C168" s="91">
        <f ca="1">IF(RTD("tos.rtd",,$A$2,"."&amp;C$135&amp;C$1&amp;"C"&amp;$A168)="N/A",0,RTD("tos.rtd",,$A$2,"."&amp;C$135&amp;C$1&amp;"C"&amp;$A168))-IF(RTD("tos.rtd",,$A$2,"."&amp;C$135&amp;C$1&amp;"P"&amp;$A168)="N/A",0,RTD("tos.rtd",,$A$2,"."&amp;C$135&amp;C$1&amp;"P"&amp;$A168))</f>
        <v>0</v>
      </c>
      <c r="D168" s="91">
        <f ca="1">IF(RTD("tos.rtd",,$A$2,"."&amp;D$135&amp;D$1&amp;"C"&amp;$A168)="N/A",0,RTD("tos.rtd",,$A$2,"."&amp;D$135&amp;D$1&amp;"C"&amp;$A168))-IF(RTD("tos.rtd",,$A$2,"."&amp;D$135&amp;D$1&amp;"P"&amp;$A168)="N/A",0,RTD("tos.rtd",,$A$2,"."&amp;D$135&amp;D$1&amp;"P"&amp;$A168))</f>
        <v>0</v>
      </c>
      <c r="E168" s="91">
        <f ca="1">IF(RTD("tos.rtd",,$A$2,"."&amp;E$135&amp;E$1&amp;"C"&amp;$A168)="N/A",0,RTD("tos.rtd",,$A$2,"."&amp;E$135&amp;E$1&amp;"C"&amp;$A168))-IF(RTD("tos.rtd",,$A$2,"."&amp;E$135&amp;E$1&amp;"P"&amp;$A168)="N/A",0,RTD("tos.rtd",,$A$2,"."&amp;E$135&amp;E$1&amp;"P"&amp;$A168))</f>
        <v>0</v>
      </c>
      <c r="F168" s="91">
        <f ca="1">IF(RTD("tos.rtd",,$A$2,"."&amp;F$135&amp;F$1&amp;"C"&amp;$A168)="N/A",0,RTD("tos.rtd",,$A$2,"."&amp;F$135&amp;F$1&amp;"C"&amp;$A168))-IF(RTD("tos.rtd",,$A$2,"."&amp;F$135&amp;F$1&amp;"P"&amp;$A168)="N/A",0,RTD("tos.rtd",,$A$2,"."&amp;F$135&amp;F$1&amp;"P"&amp;$A168))</f>
        <v>0</v>
      </c>
      <c r="G168" s="91">
        <f ca="1">IF(RTD("tos.rtd",,$A$2,"."&amp;G$135&amp;G$1&amp;"C"&amp;$A168)="N/A",0,RTD("tos.rtd",,$A$2,"."&amp;G$135&amp;G$1&amp;"C"&amp;$A168))-IF(RTD("tos.rtd",,$A$2,"."&amp;G$135&amp;G$1&amp;"P"&amp;$A168)="N/A",0,RTD("tos.rtd",,$A$2,"."&amp;G$135&amp;G$1&amp;"P"&amp;$A168))</f>
        <v>0</v>
      </c>
      <c r="H168" s="91">
        <f ca="1">IF(RTD("tos.rtd",,$A$2,"."&amp;H$135&amp;H$1&amp;"C"&amp;$A168)="N/A",0,RTD("tos.rtd",,$A$2,"."&amp;H$135&amp;H$1&amp;"C"&amp;$A168))-IF(RTD("tos.rtd",,$A$2,"."&amp;H$135&amp;H$1&amp;"P"&amp;$A168)="N/A",0,RTD("tos.rtd",,$A$2,"."&amp;H$135&amp;H$1&amp;"P"&amp;$A168))</f>
        <v>0</v>
      </c>
      <c r="I168" s="91">
        <f ca="1">IF(RTD("tos.rtd",,$A$2,"."&amp;I$135&amp;I$1&amp;"C"&amp;$A168)="N/A",0,RTD("tos.rtd",,$A$2,"."&amp;I$135&amp;I$1&amp;"C"&amp;$A168))-IF(RTD("tos.rtd",,$A$2,"."&amp;I$135&amp;I$1&amp;"P"&amp;$A168)="N/A",0,RTD("tos.rtd",,$A$2,"."&amp;I$135&amp;I$1&amp;"P"&amp;$A168))</f>
        <v>1</v>
      </c>
      <c r="J168" s="91">
        <f ca="1">IF(RTD("tos.rtd",,$A$2,"."&amp;J$135&amp;J$1&amp;"C"&amp;$A168)="N/A",0,RTD("tos.rtd",,$A$2,"."&amp;J$135&amp;J$1&amp;"C"&amp;$A168))-IF(RTD("tos.rtd",,$A$2,"."&amp;J$135&amp;J$1&amp;"P"&amp;$A168)="N/A",0,RTD("tos.rtd",,$A$2,"."&amp;J$135&amp;J$1&amp;"P"&amp;$A168))</f>
        <v>3</v>
      </c>
      <c r="K168" s="91">
        <f ca="1">IF(RTD("tos.rtd",,$A$2,"."&amp;K$135&amp;K$1&amp;"C"&amp;$A168)="N/A",0,RTD("tos.rtd",,$A$2,"."&amp;K$135&amp;K$1&amp;"C"&amp;$A168))-IF(RTD("tos.rtd",,$A$2,"."&amp;K$135&amp;K$1&amp;"P"&amp;$A168)="N/A",0,RTD("tos.rtd",,$A$2,"."&amp;K$135&amp;K$1&amp;"P"&amp;$A168))</f>
        <v>0</v>
      </c>
      <c r="L168" s="91">
        <f ca="1">IF(RTD("tos.rtd",,$A$2,"."&amp;L$135&amp;L$1&amp;"C"&amp;$A168)="N/A",0,RTD("tos.rtd",,$A$2,"."&amp;L$135&amp;L$1&amp;"C"&amp;$A168))-IF(RTD("tos.rtd",,$A$2,"."&amp;L$135&amp;L$1&amp;"P"&amp;$A168)="N/A",0,RTD("tos.rtd",,$A$2,"."&amp;L$135&amp;L$1&amp;"P"&amp;$A168))</f>
        <v>-1</v>
      </c>
      <c r="M168" s="91">
        <f ca="1">IF(RTD("tos.rtd",,$A$2,"."&amp;M$135&amp;M$1&amp;"C"&amp;$A168)="N/A",0,RTD("tos.rtd",,$A$2,"."&amp;M$135&amp;M$1&amp;"C"&amp;$A168))-IF(RTD("tos.rtd",,$A$2,"."&amp;M$135&amp;M$1&amp;"P"&amp;$A168)="N/A",0,RTD("tos.rtd",,$A$2,"."&amp;M$135&amp;M$1&amp;"P"&amp;$A168))</f>
        <v>-5</v>
      </c>
      <c r="N168" s="91">
        <f ca="1">IF(RTD("tos.rtd",,$A$2,"."&amp;N$135&amp;N$1&amp;"C"&amp;$A168)="N/A",0,RTD("tos.rtd",,$A$2,"."&amp;N$135&amp;N$1&amp;"C"&amp;$A168))-IF(RTD("tos.rtd",,$A$2,"."&amp;N$135&amp;N$1&amp;"P"&amp;$A168)="N/A",0,RTD("tos.rtd",,$A$2,"."&amp;N$135&amp;N$1&amp;"P"&amp;$A168))</f>
        <v>0</v>
      </c>
      <c r="O168" s="91">
        <f ca="1">IF(RTD("tos.rtd",,$A$2,"."&amp;O$135&amp;O$1&amp;"C"&amp;$A168)="N/A",0,RTD("tos.rtd",,$A$2,"."&amp;O$135&amp;O$1&amp;"C"&amp;$A168))-IF(RTD("tos.rtd",,$A$2,"."&amp;O$135&amp;O$1&amp;"P"&amp;$A168)="N/A",0,RTD("tos.rtd",,$A$2,"."&amp;O$135&amp;O$1&amp;"P"&amp;$A168))</f>
        <v>0</v>
      </c>
      <c r="P168" s="91">
        <f ca="1">IF(RTD("tos.rtd",,$A$2,"."&amp;P$135&amp;P$1&amp;"C"&amp;$A168)="N/A",0,RTD("tos.rtd",,$A$2,"."&amp;P$135&amp;P$1&amp;"C"&amp;$A168))-IF(RTD("tos.rtd",,$A$2,"."&amp;P$135&amp;P$1&amp;"P"&amp;$A168)="N/A",0,RTD("tos.rtd",,$A$2,"."&amp;P$135&amp;P$1&amp;"P"&amp;$A168))</f>
        <v>0</v>
      </c>
      <c r="Q168" s="91">
        <f ca="1">IF(RTD("tos.rtd",,$A$2,"."&amp;Q$135&amp;Q$1&amp;"C"&amp;$A168)="N/A",0,RTD("tos.rtd",,$A$2,"."&amp;Q$135&amp;Q$1&amp;"C"&amp;$A168))-IF(RTD("tos.rtd",,$A$2,"."&amp;Q$135&amp;Q$1&amp;"P"&amp;$A168)="N/A",0,RTD("tos.rtd",,$A$2,"."&amp;Q$135&amp;Q$1&amp;"P"&amp;$A168))</f>
        <v>6</v>
      </c>
      <c r="R168" s="91">
        <f ca="1">IF(RTD("tos.rtd",,$A$2,"."&amp;R$135&amp;R$1&amp;"C"&amp;$A168)="N/A",0,RTD("tos.rtd",,$A$2,"."&amp;R$135&amp;R$1&amp;"C"&amp;$A168))-IF(RTD("tos.rtd",,$A$2,"."&amp;R$135&amp;R$1&amp;"P"&amp;$A168)="N/A",0,RTD("tos.rtd",,$A$2,"."&amp;R$135&amp;R$1&amp;"P"&amp;$A168))</f>
        <v>0</v>
      </c>
      <c r="S168" s="91">
        <f ca="1">IF(RTD("tos.rtd",,$A$2,"."&amp;S$135&amp;S$1&amp;"C"&amp;$A168)="N/A",0,RTD("tos.rtd",,$A$2,"."&amp;S$135&amp;S$1&amp;"C"&amp;$A168))-IF(RTD("tos.rtd",,$A$2,"."&amp;S$135&amp;S$1&amp;"P"&amp;$A168)="N/A",0,RTD("tos.rtd",,$A$2,"."&amp;S$135&amp;S$1&amp;"P"&amp;$A168))</f>
        <v>-2</v>
      </c>
      <c r="T168" s="91">
        <f ca="1">IF(RTD("tos.rtd",,$A$2,"."&amp;T$135&amp;T$1&amp;"C"&amp;$A168)="N/A",0,RTD("tos.rtd",,$A$2,"."&amp;T$135&amp;T$1&amp;"C"&amp;$A168))-IF(RTD("tos.rtd",,$A$2,"."&amp;T$135&amp;T$1&amp;"P"&amp;$A168)="N/A",0,RTD("tos.rtd",,$A$2,"."&amp;T$135&amp;T$1&amp;"P"&amp;$A168))</f>
        <v>0</v>
      </c>
      <c r="U168" s="91">
        <f ca="1">IF(RTD("tos.rtd",,$A$2,"."&amp;U$135&amp;U$1&amp;"C"&amp;$A168)="N/A",0,RTD("tos.rtd",,$A$2,"."&amp;U$135&amp;U$1&amp;"C"&amp;$A168))-IF(RTD("tos.rtd",,$A$2,"."&amp;U$135&amp;U$1&amp;"P"&amp;$A168)="N/A",0,RTD("tos.rtd",,$A$2,"."&amp;U$135&amp;U$1&amp;"P"&amp;$A168))</f>
        <v>0</v>
      </c>
      <c r="V168" s="91">
        <f ca="1">IF(RTD("tos.rtd",,$A$2,"."&amp;V$135&amp;V$1&amp;"C"&amp;$A168)="N/A",0,RTD("tos.rtd",,$A$2,"."&amp;V$135&amp;V$1&amp;"C"&amp;$A168))-IF(RTD("tos.rtd",,$A$2,"."&amp;V$135&amp;V$1&amp;"P"&amp;$A168)="N/A",0,RTD("tos.rtd",,$A$2,"."&amp;V$135&amp;V$1&amp;"P"&amp;$A168))</f>
        <v>0</v>
      </c>
      <c r="W168" s="91">
        <f ca="1">IF(RTD("tos.rtd",,$A$2,"."&amp;W$135&amp;W$1&amp;"C"&amp;$A168)="N/A",0,RTD("tos.rtd",,$A$2,"."&amp;W$135&amp;W$1&amp;"C"&amp;$A168))-IF(RTD("tos.rtd",,$A$2,"."&amp;W$135&amp;W$1&amp;"P"&amp;$A168)="N/A",0,RTD("tos.rtd",,$A$2,"."&amp;W$135&amp;W$1&amp;"P"&amp;$A168))</f>
        <v>0</v>
      </c>
      <c r="X168" s="91">
        <f ca="1">IF(RTD("tos.rtd",,$A$2,"."&amp;X$135&amp;X$1&amp;"C"&amp;$A168)="N/A",0,RTD("tos.rtd",,$A$2,"."&amp;X$135&amp;X$1&amp;"C"&amp;$A168))-IF(RTD("tos.rtd",,$A$2,"."&amp;X$135&amp;X$1&amp;"P"&amp;$A168)="N/A",0,RTD("tos.rtd",,$A$2,"."&amp;X$135&amp;X$1&amp;"P"&amp;$A168))</f>
        <v>0</v>
      </c>
      <c r="Y168" s="98">
        <f t="shared" ca="1" si="13"/>
        <v>2</v>
      </c>
      <c r="Z168" s="91"/>
      <c r="AA168" s="91"/>
    </row>
    <row r="169" spans="1:27" x14ac:dyDescent="0.25">
      <c r="A169" s="93">
        <f>+Hoja1!A168</f>
        <v>20575</v>
      </c>
      <c r="B169" s="91">
        <f ca="1">IF(RTD("tos.rtd",,$A$2,"."&amp;B$135&amp;B$1&amp;"C"&amp;$A169)="N/A",0,RTD("tos.rtd",,$A$2,"."&amp;B$135&amp;B$1&amp;"C"&amp;$A169))-IF(RTD("tos.rtd",,$A$2,"."&amp;B$135&amp;B$1&amp;"P"&amp;$A169)="N/A",0,RTD("tos.rtd",,$A$2,"."&amp;B$135&amp;B$1&amp;"P"&amp;$A169))</f>
        <v>0</v>
      </c>
      <c r="C169" s="91">
        <f ca="1">IF(RTD("tos.rtd",,$A$2,"."&amp;C$135&amp;C$1&amp;"C"&amp;$A169)="N/A",0,RTD("tos.rtd",,$A$2,"."&amp;C$135&amp;C$1&amp;"C"&amp;$A169))-IF(RTD("tos.rtd",,$A$2,"."&amp;C$135&amp;C$1&amp;"P"&amp;$A169)="N/A",0,RTD("tos.rtd",,$A$2,"."&amp;C$135&amp;C$1&amp;"P"&amp;$A169))</f>
        <v>0</v>
      </c>
      <c r="D169" s="91">
        <f ca="1">IF(RTD("tos.rtd",,$A$2,"."&amp;D$135&amp;D$1&amp;"C"&amp;$A169)="N/A",0,RTD("tos.rtd",,$A$2,"."&amp;D$135&amp;D$1&amp;"C"&amp;$A169))-IF(RTD("tos.rtd",,$A$2,"."&amp;D$135&amp;D$1&amp;"P"&amp;$A169)="N/A",0,RTD("tos.rtd",,$A$2,"."&amp;D$135&amp;D$1&amp;"P"&amp;$A169))</f>
        <v>0</v>
      </c>
      <c r="E169" s="91">
        <f ca="1">IF(RTD("tos.rtd",,$A$2,"."&amp;E$135&amp;E$1&amp;"C"&amp;$A169)="N/A",0,RTD("tos.rtd",,$A$2,"."&amp;E$135&amp;E$1&amp;"C"&amp;$A169))-IF(RTD("tos.rtd",,$A$2,"."&amp;E$135&amp;E$1&amp;"P"&amp;$A169)="N/A",0,RTD("tos.rtd",,$A$2,"."&amp;E$135&amp;E$1&amp;"P"&amp;$A169))</f>
        <v>0</v>
      </c>
      <c r="F169" s="91">
        <f ca="1">IF(RTD("tos.rtd",,$A$2,"."&amp;F$135&amp;F$1&amp;"C"&amp;$A169)="N/A",0,RTD("tos.rtd",,$A$2,"."&amp;F$135&amp;F$1&amp;"C"&amp;$A169))-IF(RTD("tos.rtd",,$A$2,"."&amp;F$135&amp;F$1&amp;"P"&amp;$A169)="N/A",0,RTD("tos.rtd",,$A$2,"."&amp;F$135&amp;F$1&amp;"P"&amp;$A169))</f>
        <v>0</v>
      </c>
      <c r="G169" s="91">
        <f ca="1">IF(RTD("tos.rtd",,$A$2,"."&amp;G$135&amp;G$1&amp;"C"&amp;$A169)="N/A",0,RTD("tos.rtd",,$A$2,"."&amp;G$135&amp;G$1&amp;"C"&amp;$A169))-IF(RTD("tos.rtd",,$A$2,"."&amp;G$135&amp;G$1&amp;"P"&amp;$A169)="N/A",0,RTD("tos.rtd",,$A$2,"."&amp;G$135&amp;G$1&amp;"P"&amp;$A169))</f>
        <v>0</v>
      </c>
      <c r="H169" s="91">
        <f ca="1">IF(RTD("tos.rtd",,$A$2,"."&amp;H$135&amp;H$1&amp;"C"&amp;$A169)="N/A",0,RTD("tos.rtd",,$A$2,"."&amp;H$135&amp;H$1&amp;"C"&amp;$A169))-IF(RTD("tos.rtd",,$A$2,"."&amp;H$135&amp;H$1&amp;"P"&amp;$A169)="N/A",0,RTD("tos.rtd",,$A$2,"."&amp;H$135&amp;H$1&amp;"P"&amp;$A169))</f>
        <v>0</v>
      </c>
      <c r="I169" s="91">
        <f ca="1">IF(RTD("tos.rtd",,$A$2,"."&amp;I$135&amp;I$1&amp;"C"&amp;$A169)="N/A",0,RTD("tos.rtd",,$A$2,"."&amp;I$135&amp;I$1&amp;"C"&amp;$A169))-IF(RTD("tos.rtd",,$A$2,"."&amp;I$135&amp;I$1&amp;"P"&amp;$A169)="N/A",0,RTD("tos.rtd",,$A$2,"."&amp;I$135&amp;I$1&amp;"P"&amp;$A169))</f>
        <v>0</v>
      </c>
      <c r="J169" s="91">
        <f ca="1">IF(RTD("tos.rtd",,$A$2,"."&amp;J$135&amp;J$1&amp;"C"&amp;$A169)="N/A",0,RTD("tos.rtd",,$A$2,"."&amp;J$135&amp;J$1&amp;"C"&amp;$A169))-IF(RTD("tos.rtd",,$A$2,"."&amp;J$135&amp;J$1&amp;"P"&amp;$A169)="N/A",0,RTD("tos.rtd",,$A$2,"."&amp;J$135&amp;J$1&amp;"P"&amp;$A169))</f>
        <v>1</v>
      </c>
      <c r="K169" s="91">
        <f ca="1">IF(RTD("tos.rtd",,$A$2,"."&amp;K$135&amp;K$1&amp;"C"&amp;$A169)="N/A",0,RTD("tos.rtd",,$A$2,"."&amp;K$135&amp;K$1&amp;"C"&amp;$A169))-IF(RTD("tos.rtd",,$A$2,"."&amp;K$135&amp;K$1&amp;"P"&amp;$A169)="N/A",0,RTD("tos.rtd",,$A$2,"."&amp;K$135&amp;K$1&amp;"P"&amp;$A169))</f>
        <v>0</v>
      </c>
      <c r="L169" s="91">
        <f ca="1">IF(RTD("tos.rtd",,$A$2,"."&amp;L$135&amp;L$1&amp;"C"&amp;$A169)="N/A",0,RTD("tos.rtd",,$A$2,"."&amp;L$135&amp;L$1&amp;"C"&amp;$A169))-IF(RTD("tos.rtd",,$A$2,"."&amp;L$135&amp;L$1&amp;"P"&amp;$A169)="N/A",0,RTD("tos.rtd",,$A$2,"."&amp;L$135&amp;L$1&amp;"P"&amp;$A169))</f>
        <v>0</v>
      </c>
      <c r="M169" s="91">
        <f ca="1">IF(RTD("tos.rtd",,$A$2,"."&amp;M$135&amp;M$1&amp;"C"&amp;$A169)="N/A",0,RTD("tos.rtd",,$A$2,"."&amp;M$135&amp;M$1&amp;"C"&amp;$A169))-IF(RTD("tos.rtd",,$A$2,"."&amp;M$135&amp;M$1&amp;"P"&amp;$A169)="N/A",0,RTD("tos.rtd",,$A$2,"."&amp;M$135&amp;M$1&amp;"P"&amp;$A169))</f>
        <v>0</v>
      </c>
      <c r="N169" s="91">
        <f ca="1">IF(RTD("tos.rtd",,$A$2,"."&amp;N$135&amp;N$1&amp;"C"&amp;$A169)="N/A",0,RTD("tos.rtd",,$A$2,"."&amp;N$135&amp;N$1&amp;"C"&amp;$A169))-IF(RTD("tos.rtd",,$A$2,"."&amp;N$135&amp;N$1&amp;"P"&amp;$A169)="N/A",0,RTD("tos.rtd",,$A$2,"."&amp;N$135&amp;N$1&amp;"P"&amp;$A169))</f>
        <v>0</v>
      </c>
      <c r="O169" s="91">
        <f ca="1">IF(RTD("tos.rtd",,$A$2,"."&amp;O$135&amp;O$1&amp;"C"&amp;$A169)="N/A",0,RTD("tos.rtd",,$A$2,"."&amp;O$135&amp;O$1&amp;"C"&amp;$A169))-IF(RTD("tos.rtd",,$A$2,"."&amp;O$135&amp;O$1&amp;"P"&amp;$A169)="N/A",0,RTD("tos.rtd",,$A$2,"."&amp;O$135&amp;O$1&amp;"P"&amp;$A169))</f>
        <v>0</v>
      </c>
      <c r="P169" s="91">
        <f ca="1">IF(RTD("tos.rtd",,$A$2,"."&amp;P$135&amp;P$1&amp;"C"&amp;$A169)="N/A",0,RTD("tos.rtd",,$A$2,"."&amp;P$135&amp;P$1&amp;"C"&amp;$A169))-IF(RTD("tos.rtd",,$A$2,"."&amp;P$135&amp;P$1&amp;"P"&amp;$A169)="N/A",0,RTD("tos.rtd",,$A$2,"."&amp;P$135&amp;P$1&amp;"P"&amp;$A169))</f>
        <v>0</v>
      </c>
      <c r="Q169" s="91">
        <f ca="1">IF(RTD("tos.rtd",,$A$2,"."&amp;Q$135&amp;Q$1&amp;"C"&amp;$A169)="N/A",0,RTD("tos.rtd",,$A$2,"."&amp;Q$135&amp;Q$1&amp;"C"&amp;$A169))-IF(RTD("tos.rtd",,$A$2,"."&amp;Q$135&amp;Q$1&amp;"P"&amp;$A169)="N/A",0,RTD("tos.rtd",,$A$2,"."&amp;Q$135&amp;Q$1&amp;"P"&amp;$A169))</f>
        <v>0</v>
      </c>
      <c r="R169" s="91">
        <f ca="1">IF(RTD("tos.rtd",,$A$2,"."&amp;R$135&amp;R$1&amp;"C"&amp;$A169)="N/A",0,RTD("tos.rtd",,$A$2,"."&amp;R$135&amp;R$1&amp;"C"&amp;$A169))-IF(RTD("tos.rtd",,$A$2,"."&amp;R$135&amp;R$1&amp;"P"&amp;$A169)="N/A",0,RTD("tos.rtd",,$A$2,"."&amp;R$135&amp;R$1&amp;"P"&amp;$A169))</f>
        <v>0</v>
      </c>
      <c r="S169" s="91">
        <f ca="1">IF(RTD("tos.rtd",,$A$2,"."&amp;S$135&amp;S$1&amp;"C"&amp;$A169)="N/A",0,RTD("tos.rtd",,$A$2,"."&amp;S$135&amp;S$1&amp;"C"&amp;$A169))-IF(RTD("tos.rtd",,$A$2,"."&amp;S$135&amp;S$1&amp;"P"&amp;$A169)="N/A",0,RTD("tos.rtd",,$A$2,"."&amp;S$135&amp;S$1&amp;"P"&amp;$A169))</f>
        <v>0</v>
      </c>
      <c r="T169" s="91">
        <f ca="1">IF(RTD("tos.rtd",,$A$2,"."&amp;T$135&amp;T$1&amp;"C"&amp;$A169)="N/A",0,RTD("tos.rtd",,$A$2,"."&amp;T$135&amp;T$1&amp;"C"&amp;$A169))-IF(RTD("tos.rtd",,$A$2,"."&amp;T$135&amp;T$1&amp;"P"&amp;$A169)="N/A",0,RTD("tos.rtd",,$A$2,"."&amp;T$135&amp;T$1&amp;"P"&amp;$A169))</f>
        <v>0</v>
      </c>
      <c r="U169" s="91">
        <f ca="1">IF(RTD("tos.rtd",,$A$2,"."&amp;U$135&amp;U$1&amp;"C"&amp;$A169)="N/A",0,RTD("tos.rtd",,$A$2,"."&amp;U$135&amp;U$1&amp;"C"&amp;$A169))-IF(RTD("tos.rtd",,$A$2,"."&amp;U$135&amp;U$1&amp;"P"&amp;$A169)="N/A",0,RTD("tos.rtd",,$A$2,"."&amp;U$135&amp;U$1&amp;"P"&amp;$A169))</f>
        <v>0</v>
      </c>
      <c r="V169" s="91">
        <f ca="1">IF(RTD("tos.rtd",,$A$2,"."&amp;V$135&amp;V$1&amp;"C"&amp;$A169)="N/A",0,RTD("tos.rtd",,$A$2,"."&amp;V$135&amp;V$1&amp;"C"&amp;$A169))-IF(RTD("tos.rtd",,$A$2,"."&amp;V$135&amp;V$1&amp;"P"&amp;$A169)="N/A",0,RTD("tos.rtd",,$A$2,"."&amp;V$135&amp;V$1&amp;"P"&amp;$A169))</f>
        <v>0</v>
      </c>
      <c r="W169" s="91">
        <f ca="1">IF(RTD("tos.rtd",,$A$2,"."&amp;W$135&amp;W$1&amp;"C"&amp;$A169)="N/A",0,RTD("tos.rtd",,$A$2,"."&amp;W$135&amp;W$1&amp;"C"&amp;$A169))-IF(RTD("tos.rtd",,$A$2,"."&amp;W$135&amp;W$1&amp;"P"&amp;$A169)="N/A",0,RTD("tos.rtd",,$A$2,"."&amp;W$135&amp;W$1&amp;"P"&amp;$A169))</f>
        <v>0</v>
      </c>
      <c r="X169" s="91">
        <f ca="1">IF(RTD("tos.rtd",,$A$2,"."&amp;X$135&amp;X$1&amp;"C"&amp;$A169)="N/A",0,RTD("tos.rtd",,$A$2,"."&amp;X$135&amp;X$1&amp;"C"&amp;$A169))-IF(RTD("tos.rtd",,$A$2,"."&amp;X$135&amp;X$1&amp;"P"&amp;$A169)="N/A",0,RTD("tos.rtd",,$A$2,"."&amp;X$135&amp;X$1&amp;"P"&amp;$A169))</f>
        <v>0</v>
      </c>
      <c r="Y169" s="98">
        <f t="shared" ca="1" si="13"/>
        <v>1</v>
      </c>
      <c r="Z169" s="91"/>
      <c r="AA169" s="91"/>
    </row>
    <row r="170" spans="1:27" x14ac:dyDescent="0.25">
      <c r="A170" s="93">
        <f>+Hoja1!A169</f>
        <v>20550</v>
      </c>
      <c r="B170" s="91">
        <f ca="1">IF(RTD("tos.rtd",,$A$2,"."&amp;B$135&amp;B$1&amp;"C"&amp;$A170)="N/A",0,RTD("tos.rtd",,$A$2,"."&amp;B$135&amp;B$1&amp;"C"&amp;$A170))-IF(RTD("tos.rtd",,$A$2,"."&amp;B$135&amp;B$1&amp;"P"&amp;$A170)="N/A",0,RTD("tos.rtd",,$A$2,"."&amp;B$135&amp;B$1&amp;"P"&amp;$A170))</f>
        <v>0</v>
      </c>
      <c r="C170" s="91">
        <f ca="1">IF(RTD("tos.rtd",,$A$2,"."&amp;C$135&amp;C$1&amp;"C"&amp;$A170)="N/A",0,RTD("tos.rtd",,$A$2,"."&amp;C$135&amp;C$1&amp;"C"&amp;$A170))-IF(RTD("tos.rtd",,$A$2,"."&amp;C$135&amp;C$1&amp;"P"&amp;$A170)="N/A",0,RTD("tos.rtd",,$A$2,"."&amp;C$135&amp;C$1&amp;"P"&amp;$A170))</f>
        <v>0</v>
      </c>
      <c r="D170" s="91">
        <f ca="1">IF(RTD("tos.rtd",,$A$2,"."&amp;D$135&amp;D$1&amp;"C"&amp;$A170)="N/A",0,RTD("tos.rtd",,$A$2,"."&amp;D$135&amp;D$1&amp;"C"&amp;$A170))-IF(RTD("tos.rtd",,$A$2,"."&amp;D$135&amp;D$1&amp;"P"&amp;$A170)="N/A",0,RTD("tos.rtd",,$A$2,"."&amp;D$135&amp;D$1&amp;"P"&amp;$A170))</f>
        <v>0</v>
      </c>
      <c r="E170" s="91">
        <f ca="1">IF(RTD("tos.rtd",,$A$2,"."&amp;E$135&amp;E$1&amp;"C"&amp;$A170)="N/A",0,RTD("tos.rtd",,$A$2,"."&amp;E$135&amp;E$1&amp;"C"&amp;$A170))-IF(RTD("tos.rtd",,$A$2,"."&amp;E$135&amp;E$1&amp;"P"&amp;$A170)="N/A",0,RTD("tos.rtd",,$A$2,"."&amp;E$135&amp;E$1&amp;"P"&amp;$A170))</f>
        <v>0</v>
      </c>
      <c r="F170" s="91">
        <f ca="1">IF(RTD("tos.rtd",,$A$2,"."&amp;F$135&amp;F$1&amp;"C"&amp;$A170)="N/A",0,RTD("tos.rtd",,$A$2,"."&amp;F$135&amp;F$1&amp;"C"&amp;$A170))-IF(RTD("tos.rtd",,$A$2,"."&amp;F$135&amp;F$1&amp;"P"&amp;$A170)="N/A",0,RTD("tos.rtd",,$A$2,"."&amp;F$135&amp;F$1&amp;"P"&amp;$A170))</f>
        <v>0</v>
      </c>
      <c r="G170" s="91">
        <f ca="1">IF(RTD("tos.rtd",,$A$2,"."&amp;G$135&amp;G$1&amp;"C"&amp;$A170)="N/A",0,RTD("tos.rtd",,$A$2,"."&amp;G$135&amp;G$1&amp;"C"&amp;$A170))-IF(RTD("tos.rtd",,$A$2,"."&amp;G$135&amp;G$1&amp;"P"&amp;$A170)="N/A",0,RTD("tos.rtd",,$A$2,"."&amp;G$135&amp;G$1&amp;"P"&amp;$A170))</f>
        <v>0</v>
      </c>
      <c r="H170" s="91">
        <f ca="1">IF(RTD("tos.rtd",,$A$2,"."&amp;H$135&amp;H$1&amp;"C"&amp;$A170)="N/A",0,RTD("tos.rtd",,$A$2,"."&amp;H$135&amp;H$1&amp;"C"&amp;$A170))-IF(RTD("tos.rtd",,$A$2,"."&amp;H$135&amp;H$1&amp;"P"&amp;$A170)="N/A",0,RTD("tos.rtd",,$A$2,"."&amp;H$135&amp;H$1&amp;"P"&amp;$A170))</f>
        <v>0</v>
      </c>
      <c r="I170" s="91">
        <f ca="1">IF(RTD("tos.rtd",,$A$2,"."&amp;I$135&amp;I$1&amp;"C"&amp;$A170)="N/A",0,RTD("tos.rtd",,$A$2,"."&amp;I$135&amp;I$1&amp;"C"&amp;$A170))-IF(RTD("tos.rtd",,$A$2,"."&amp;I$135&amp;I$1&amp;"P"&amp;$A170)="N/A",0,RTD("tos.rtd",,$A$2,"."&amp;I$135&amp;I$1&amp;"P"&amp;$A170))</f>
        <v>3</v>
      </c>
      <c r="J170" s="91">
        <f ca="1">IF(RTD("tos.rtd",,$A$2,"."&amp;J$135&amp;J$1&amp;"C"&amp;$A170)="N/A",0,RTD("tos.rtd",,$A$2,"."&amp;J$135&amp;J$1&amp;"C"&amp;$A170))-IF(RTD("tos.rtd",,$A$2,"."&amp;J$135&amp;J$1&amp;"P"&amp;$A170)="N/A",0,RTD("tos.rtd",,$A$2,"."&amp;J$135&amp;J$1&amp;"P"&amp;$A170))</f>
        <v>0</v>
      </c>
      <c r="K170" s="91">
        <f ca="1">IF(RTD("tos.rtd",,$A$2,"."&amp;K$135&amp;K$1&amp;"C"&amp;$A170)="N/A",0,RTD("tos.rtd",,$A$2,"."&amp;K$135&amp;K$1&amp;"C"&amp;$A170))-IF(RTD("tos.rtd",,$A$2,"."&amp;K$135&amp;K$1&amp;"P"&amp;$A170)="N/A",0,RTD("tos.rtd",,$A$2,"."&amp;K$135&amp;K$1&amp;"P"&amp;$A170))</f>
        <v>0</v>
      </c>
      <c r="L170" s="91">
        <f ca="1">IF(RTD("tos.rtd",,$A$2,"."&amp;L$135&amp;L$1&amp;"C"&amp;$A170)="N/A",0,RTD("tos.rtd",,$A$2,"."&amp;L$135&amp;L$1&amp;"C"&amp;$A170))-IF(RTD("tos.rtd",,$A$2,"."&amp;L$135&amp;L$1&amp;"P"&amp;$A170)="N/A",0,RTD("tos.rtd",,$A$2,"."&amp;L$135&amp;L$1&amp;"P"&amp;$A170))</f>
        <v>0</v>
      </c>
      <c r="M170" s="91">
        <f ca="1">IF(RTD("tos.rtd",,$A$2,"."&amp;M$135&amp;M$1&amp;"C"&amp;$A170)="N/A",0,RTD("tos.rtd",,$A$2,"."&amp;M$135&amp;M$1&amp;"C"&amp;$A170))-IF(RTD("tos.rtd",,$A$2,"."&amp;M$135&amp;M$1&amp;"P"&amp;$A170)="N/A",0,RTD("tos.rtd",,$A$2,"."&amp;M$135&amp;M$1&amp;"P"&amp;$A170))</f>
        <v>0</v>
      </c>
      <c r="N170" s="91">
        <f ca="1">IF(RTD("tos.rtd",,$A$2,"."&amp;N$135&amp;N$1&amp;"C"&amp;$A170)="N/A",0,RTD("tos.rtd",,$A$2,"."&amp;N$135&amp;N$1&amp;"C"&amp;$A170))-IF(RTD("tos.rtd",,$A$2,"."&amp;N$135&amp;N$1&amp;"P"&amp;$A170)="N/A",0,RTD("tos.rtd",,$A$2,"."&amp;N$135&amp;N$1&amp;"P"&amp;$A170))</f>
        <v>0</v>
      </c>
      <c r="O170" s="91">
        <f ca="1">IF(RTD("tos.rtd",,$A$2,"."&amp;O$135&amp;O$1&amp;"C"&amp;$A170)="N/A",0,RTD("tos.rtd",,$A$2,"."&amp;O$135&amp;O$1&amp;"C"&amp;$A170))-IF(RTD("tos.rtd",,$A$2,"."&amp;O$135&amp;O$1&amp;"P"&amp;$A170)="N/A",0,RTD("tos.rtd",,$A$2,"."&amp;O$135&amp;O$1&amp;"P"&amp;$A170))</f>
        <v>0</v>
      </c>
      <c r="P170" s="91">
        <f ca="1">IF(RTD("tos.rtd",,$A$2,"."&amp;P$135&amp;P$1&amp;"C"&amp;$A170)="N/A",0,RTD("tos.rtd",,$A$2,"."&amp;P$135&amp;P$1&amp;"C"&amp;$A170))-IF(RTD("tos.rtd",,$A$2,"."&amp;P$135&amp;P$1&amp;"P"&amp;$A170)="N/A",0,RTD("tos.rtd",,$A$2,"."&amp;P$135&amp;P$1&amp;"P"&amp;$A170))</f>
        <v>0</v>
      </c>
      <c r="Q170" s="91">
        <f ca="1">IF(RTD("tos.rtd",,$A$2,"."&amp;Q$135&amp;Q$1&amp;"C"&amp;$A170)="N/A",0,RTD("tos.rtd",,$A$2,"."&amp;Q$135&amp;Q$1&amp;"C"&amp;$A170))-IF(RTD("tos.rtd",,$A$2,"."&amp;Q$135&amp;Q$1&amp;"P"&amp;$A170)="N/A",0,RTD("tos.rtd",,$A$2,"."&amp;Q$135&amp;Q$1&amp;"P"&amp;$A170))</f>
        <v>0</v>
      </c>
      <c r="R170" s="91">
        <f ca="1">IF(RTD("tos.rtd",,$A$2,"."&amp;R$135&amp;R$1&amp;"C"&amp;$A170)="N/A",0,RTD("tos.rtd",,$A$2,"."&amp;R$135&amp;R$1&amp;"C"&amp;$A170))-IF(RTD("tos.rtd",,$A$2,"."&amp;R$135&amp;R$1&amp;"P"&amp;$A170)="N/A",0,RTD("tos.rtd",,$A$2,"."&amp;R$135&amp;R$1&amp;"P"&amp;$A170))</f>
        <v>0</v>
      </c>
      <c r="S170" s="91">
        <f ca="1">IF(RTD("tos.rtd",,$A$2,"."&amp;S$135&amp;S$1&amp;"C"&amp;$A170)="N/A",0,RTD("tos.rtd",,$A$2,"."&amp;S$135&amp;S$1&amp;"C"&amp;$A170))-IF(RTD("tos.rtd",,$A$2,"."&amp;S$135&amp;S$1&amp;"P"&amp;$A170)="N/A",0,RTD("tos.rtd",,$A$2,"."&amp;S$135&amp;S$1&amp;"P"&amp;$A170))</f>
        <v>0</v>
      </c>
      <c r="T170" s="91">
        <f ca="1">IF(RTD("tos.rtd",,$A$2,"."&amp;T$135&amp;T$1&amp;"C"&amp;$A170)="N/A",0,RTD("tos.rtd",,$A$2,"."&amp;T$135&amp;T$1&amp;"C"&amp;$A170))-IF(RTD("tos.rtd",,$A$2,"."&amp;T$135&amp;T$1&amp;"P"&amp;$A170)="N/A",0,RTD("tos.rtd",,$A$2,"."&amp;T$135&amp;T$1&amp;"P"&amp;$A170))</f>
        <v>0</v>
      </c>
      <c r="U170" s="91">
        <f ca="1">IF(RTD("tos.rtd",,$A$2,"."&amp;U$135&amp;U$1&amp;"C"&amp;$A170)="N/A",0,RTD("tos.rtd",,$A$2,"."&amp;U$135&amp;U$1&amp;"C"&amp;$A170))-IF(RTD("tos.rtd",,$A$2,"."&amp;U$135&amp;U$1&amp;"P"&amp;$A170)="N/A",0,RTD("tos.rtd",,$A$2,"."&amp;U$135&amp;U$1&amp;"P"&amp;$A170))</f>
        <v>0</v>
      </c>
      <c r="V170" s="91">
        <f ca="1">IF(RTD("tos.rtd",,$A$2,"."&amp;V$135&amp;V$1&amp;"C"&amp;$A170)="N/A",0,RTD("tos.rtd",,$A$2,"."&amp;V$135&amp;V$1&amp;"C"&amp;$A170))-IF(RTD("tos.rtd",,$A$2,"."&amp;V$135&amp;V$1&amp;"P"&amp;$A170)="N/A",0,RTD("tos.rtd",,$A$2,"."&amp;V$135&amp;V$1&amp;"P"&amp;$A170))</f>
        <v>0</v>
      </c>
      <c r="W170" s="91">
        <f ca="1">IF(RTD("tos.rtd",,$A$2,"."&amp;W$135&amp;W$1&amp;"C"&amp;$A170)="N/A",0,RTD("tos.rtd",,$A$2,"."&amp;W$135&amp;W$1&amp;"C"&amp;$A170))-IF(RTD("tos.rtd",,$A$2,"."&amp;W$135&amp;W$1&amp;"P"&amp;$A170)="N/A",0,RTD("tos.rtd",,$A$2,"."&amp;W$135&amp;W$1&amp;"P"&amp;$A170))</f>
        <v>0</v>
      </c>
      <c r="X170" s="91">
        <f ca="1">IF(RTD("tos.rtd",,$A$2,"."&amp;X$135&amp;X$1&amp;"C"&amp;$A170)="N/A",0,RTD("tos.rtd",,$A$2,"."&amp;X$135&amp;X$1&amp;"C"&amp;$A170))-IF(RTD("tos.rtd",,$A$2,"."&amp;X$135&amp;X$1&amp;"P"&amp;$A170)="N/A",0,RTD("tos.rtd",,$A$2,"."&amp;X$135&amp;X$1&amp;"P"&amp;$A170))</f>
        <v>0</v>
      </c>
      <c r="Y170" s="98">
        <f t="shared" ca="1" si="13"/>
        <v>3</v>
      </c>
      <c r="Z170" s="91"/>
      <c r="AA170" s="91"/>
    </row>
    <row r="171" spans="1:27" x14ac:dyDescent="0.25">
      <c r="A171" s="93">
        <f>+Hoja1!A170</f>
        <v>20525</v>
      </c>
      <c r="B171" s="91">
        <f ca="1">IF(RTD("tos.rtd",,$A$2,"."&amp;B$135&amp;B$1&amp;"C"&amp;$A171)="N/A",0,RTD("tos.rtd",,$A$2,"."&amp;B$135&amp;B$1&amp;"C"&amp;$A171))-IF(RTD("tos.rtd",,$A$2,"."&amp;B$135&amp;B$1&amp;"P"&amp;$A171)="N/A",0,RTD("tos.rtd",,$A$2,"."&amp;B$135&amp;B$1&amp;"P"&amp;$A171))</f>
        <v>0</v>
      </c>
      <c r="C171" s="91">
        <f ca="1">IF(RTD("tos.rtd",,$A$2,"."&amp;C$135&amp;C$1&amp;"C"&amp;$A171)="N/A",0,RTD("tos.rtd",,$A$2,"."&amp;C$135&amp;C$1&amp;"C"&amp;$A171))-IF(RTD("tos.rtd",,$A$2,"."&amp;C$135&amp;C$1&amp;"P"&amp;$A171)="N/A",0,RTD("tos.rtd",,$A$2,"."&amp;C$135&amp;C$1&amp;"P"&amp;$A171))</f>
        <v>0</v>
      </c>
      <c r="D171" s="91">
        <f ca="1">IF(RTD("tos.rtd",,$A$2,"."&amp;D$135&amp;D$1&amp;"C"&amp;$A171)="N/A",0,RTD("tos.rtd",,$A$2,"."&amp;D$135&amp;D$1&amp;"C"&amp;$A171))-IF(RTD("tos.rtd",,$A$2,"."&amp;D$135&amp;D$1&amp;"P"&amp;$A171)="N/A",0,RTD("tos.rtd",,$A$2,"."&amp;D$135&amp;D$1&amp;"P"&amp;$A171))</f>
        <v>0</v>
      </c>
      <c r="E171" s="91">
        <f ca="1">IF(RTD("tos.rtd",,$A$2,"."&amp;E$135&amp;E$1&amp;"C"&amp;$A171)="N/A",0,RTD("tos.rtd",,$A$2,"."&amp;E$135&amp;E$1&amp;"C"&amp;$A171))-IF(RTD("tos.rtd",,$A$2,"."&amp;E$135&amp;E$1&amp;"P"&amp;$A171)="N/A",0,RTD("tos.rtd",,$A$2,"."&amp;E$135&amp;E$1&amp;"P"&amp;$A171))</f>
        <v>0</v>
      </c>
      <c r="F171" s="91">
        <f ca="1">IF(RTD("tos.rtd",,$A$2,"."&amp;F$135&amp;F$1&amp;"C"&amp;$A171)="N/A",0,RTD("tos.rtd",,$A$2,"."&amp;F$135&amp;F$1&amp;"C"&amp;$A171))-IF(RTD("tos.rtd",,$A$2,"."&amp;F$135&amp;F$1&amp;"P"&amp;$A171)="N/A",0,RTD("tos.rtd",,$A$2,"."&amp;F$135&amp;F$1&amp;"P"&amp;$A171))</f>
        <v>0</v>
      </c>
      <c r="G171" s="91">
        <f ca="1">IF(RTD("tos.rtd",,$A$2,"."&amp;G$135&amp;G$1&amp;"C"&amp;$A171)="N/A",0,RTD("tos.rtd",,$A$2,"."&amp;G$135&amp;G$1&amp;"C"&amp;$A171))-IF(RTD("tos.rtd",,$A$2,"."&amp;G$135&amp;G$1&amp;"P"&amp;$A171)="N/A",0,RTD("tos.rtd",,$A$2,"."&amp;G$135&amp;G$1&amp;"P"&amp;$A171))</f>
        <v>0</v>
      </c>
      <c r="H171" s="91">
        <f ca="1">IF(RTD("tos.rtd",,$A$2,"."&amp;H$135&amp;H$1&amp;"C"&amp;$A171)="N/A",0,RTD("tos.rtd",,$A$2,"."&amp;H$135&amp;H$1&amp;"C"&amp;$A171))-IF(RTD("tos.rtd",,$A$2,"."&amp;H$135&amp;H$1&amp;"P"&amp;$A171)="N/A",0,RTD("tos.rtd",,$A$2,"."&amp;H$135&amp;H$1&amp;"P"&amp;$A171))</f>
        <v>0</v>
      </c>
      <c r="I171" s="91">
        <f ca="1">IF(RTD("tos.rtd",,$A$2,"."&amp;I$135&amp;I$1&amp;"C"&amp;$A171)="N/A",0,RTD("tos.rtd",,$A$2,"."&amp;I$135&amp;I$1&amp;"C"&amp;$A171))-IF(RTD("tos.rtd",,$A$2,"."&amp;I$135&amp;I$1&amp;"P"&amp;$A171)="N/A",0,RTD("tos.rtd",,$A$2,"."&amp;I$135&amp;I$1&amp;"P"&amp;$A171))</f>
        <v>-1</v>
      </c>
      <c r="J171" s="91">
        <f ca="1">IF(RTD("tos.rtd",,$A$2,"."&amp;J$135&amp;J$1&amp;"C"&amp;$A171)="N/A",0,RTD("tos.rtd",,$A$2,"."&amp;J$135&amp;J$1&amp;"C"&amp;$A171))-IF(RTD("tos.rtd",,$A$2,"."&amp;J$135&amp;J$1&amp;"P"&amp;$A171)="N/A",0,RTD("tos.rtd",,$A$2,"."&amp;J$135&amp;J$1&amp;"P"&amp;$A171))</f>
        <v>0</v>
      </c>
      <c r="K171" s="91">
        <f ca="1">IF(RTD("tos.rtd",,$A$2,"."&amp;K$135&amp;K$1&amp;"C"&amp;$A171)="N/A",0,RTD("tos.rtd",,$A$2,"."&amp;K$135&amp;K$1&amp;"C"&amp;$A171))-IF(RTD("tos.rtd",,$A$2,"."&amp;K$135&amp;K$1&amp;"P"&amp;$A171)="N/A",0,RTD("tos.rtd",,$A$2,"."&amp;K$135&amp;K$1&amp;"P"&amp;$A171))</f>
        <v>0</v>
      </c>
      <c r="L171" s="91">
        <f ca="1">IF(RTD("tos.rtd",,$A$2,"."&amp;L$135&amp;L$1&amp;"C"&amp;$A171)="N/A",0,RTD("tos.rtd",,$A$2,"."&amp;L$135&amp;L$1&amp;"C"&amp;$A171))-IF(RTD("tos.rtd",,$A$2,"."&amp;L$135&amp;L$1&amp;"P"&amp;$A171)="N/A",0,RTD("tos.rtd",,$A$2,"."&amp;L$135&amp;L$1&amp;"P"&amp;$A171))</f>
        <v>0</v>
      </c>
      <c r="M171" s="91">
        <f ca="1">IF(RTD("tos.rtd",,$A$2,"."&amp;M$135&amp;M$1&amp;"C"&amp;$A171)="N/A",0,RTD("tos.rtd",,$A$2,"."&amp;M$135&amp;M$1&amp;"C"&amp;$A171))-IF(RTD("tos.rtd",,$A$2,"."&amp;M$135&amp;M$1&amp;"P"&amp;$A171)="N/A",0,RTD("tos.rtd",,$A$2,"."&amp;M$135&amp;M$1&amp;"P"&amp;$A171))</f>
        <v>0</v>
      </c>
      <c r="N171" s="91">
        <f ca="1">IF(RTD("tos.rtd",,$A$2,"."&amp;N$135&amp;N$1&amp;"C"&amp;$A171)="N/A",0,RTD("tos.rtd",,$A$2,"."&amp;N$135&amp;N$1&amp;"C"&amp;$A171))-IF(RTD("tos.rtd",,$A$2,"."&amp;N$135&amp;N$1&amp;"P"&amp;$A171)="N/A",0,RTD("tos.rtd",,$A$2,"."&amp;N$135&amp;N$1&amp;"P"&amp;$A171))</f>
        <v>0</v>
      </c>
      <c r="O171" s="91">
        <f ca="1">IF(RTD("tos.rtd",,$A$2,"."&amp;O$135&amp;O$1&amp;"C"&amp;$A171)="N/A",0,RTD("tos.rtd",,$A$2,"."&amp;O$135&amp;O$1&amp;"C"&amp;$A171))-IF(RTD("tos.rtd",,$A$2,"."&amp;O$135&amp;O$1&amp;"P"&amp;$A171)="N/A",0,RTD("tos.rtd",,$A$2,"."&amp;O$135&amp;O$1&amp;"P"&amp;$A171))</f>
        <v>0</v>
      </c>
      <c r="P171" s="91">
        <f ca="1">IF(RTD("tos.rtd",,$A$2,"."&amp;P$135&amp;P$1&amp;"C"&amp;$A171)="N/A",0,RTD("tos.rtd",,$A$2,"."&amp;P$135&amp;P$1&amp;"C"&amp;$A171))-IF(RTD("tos.rtd",,$A$2,"."&amp;P$135&amp;P$1&amp;"P"&amp;$A171)="N/A",0,RTD("tos.rtd",,$A$2,"."&amp;P$135&amp;P$1&amp;"P"&amp;$A171))</f>
        <v>0</v>
      </c>
      <c r="Q171" s="91">
        <f ca="1">IF(RTD("tos.rtd",,$A$2,"."&amp;Q$135&amp;Q$1&amp;"C"&amp;$A171)="N/A",0,RTD("tos.rtd",,$A$2,"."&amp;Q$135&amp;Q$1&amp;"C"&amp;$A171))-IF(RTD("tos.rtd",,$A$2,"."&amp;Q$135&amp;Q$1&amp;"P"&amp;$A171)="N/A",0,RTD("tos.rtd",,$A$2,"."&amp;Q$135&amp;Q$1&amp;"P"&amp;$A171))</f>
        <v>0</v>
      </c>
      <c r="R171" s="91">
        <f ca="1">IF(RTD("tos.rtd",,$A$2,"."&amp;R$135&amp;R$1&amp;"C"&amp;$A171)="N/A",0,RTD("tos.rtd",,$A$2,"."&amp;R$135&amp;R$1&amp;"C"&amp;$A171))-IF(RTD("tos.rtd",,$A$2,"."&amp;R$135&amp;R$1&amp;"P"&amp;$A171)="N/A",0,RTD("tos.rtd",,$A$2,"."&amp;R$135&amp;R$1&amp;"P"&amp;$A171))</f>
        <v>0</v>
      </c>
      <c r="S171" s="91">
        <f ca="1">IF(RTD("tos.rtd",,$A$2,"."&amp;S$135&amp;S$1&amp;"C"&amp;$A171)="N/A",0,RTD("tos.rtd",,$A$2,"."&amp;S$135&amp;S$1&amp;"C"&amp;$A171))-IF(RTD("tos.rtd",,$A$2,"."&amp;S$135&amp;S$1&amp;"P"&amp;$A171)="N/A",0,RTD("tos.rtd",,$A$2,"."&amp;S$135&amp;S$1&amp;"P"&amp;$A171))</f>
        <v>0</v>
      </c>
      <c r="T171" s="91">
        <f ca="1">IF(RTD("tos.rtd",,$A$2,"."&amp;T$135&amp;T$1&amp;"C"&amp;$A171)="N/A",0,RTD("tos.rtd",,$A$2,"."&amp;T$135&amp;T$1&amp;"C"&amp;$A171))-IF(RTD("tos.rtd",,$A$2,"."&amp;T$135&amp;T$1&amp;"P"&amp;$A171)="N/A",0,RTD("tos.rtd",,$A$2,"."&amp;T$135&amp;T$1&amp;"P"&amp;$A171))</f>
        <v>0</v>
      </c>
      <c r="U171" s="91">
        <f ca="1">IF(RTD("tos.rtd",,$A$2,"."&amp;U$135&amp;U$1&amp;"C"&amp;$A171)="N/A",0,RTD("tos.rtd",,$A$2,"."&amp;U$135&amp;U$1&amp;"C"&amp;$A171))-IF(RTD("tos.rtd",,$A$2,"."&amp;U$135&amp;U$1&amp;"P"&amp;$A171)="N/A",0,RTD("tos.rtd",,$A$2,"."&amp;U$135&amp;U$1&amp;"P"&amp;$A171))</f>
        <v>0</v>
      </c>
      <c r="V171" s="91">
        <f ca="1">IF(RTD("tos.rtd",,$A$2,"."&amp;V$135&amp;V$1&amp;"C"&amp;$A171)="N/A",0,RTD("tos.rtd",,$A$2,"."&amp;V$135&amp;V$1&amp;"C"&amp;$A171))-IF(RTD("tos.rtd",,$A$2,"."&amp;V$135&amp;V$1&amp;"P"&amp;$A171)="N/A",0,RTD("tos.rtd",,$A$2,"."&amp;V$135&amp;V$1&amp;"P"&amp;$A171))</f>
        <v>0</v>
      </c>
      <c r="W171" s="91">
        <f ca="1">IF(RTD("tos.rtd",,$A$2,"."&amp;W$135&amp;W$1&amp;"C"&amp;$A171)="N/A",0,RTD("tos.rtd",,$A$2,"."&amp;W$135&amp;W$1&amp;"C"&amp;$A171))-IF(RTD("tos.rtd",,$A$2,"."&amp;W$135&amp;W$1&amp;"P"&amp;$A171)="N/A",0,RTD("tos.rtd",,$A$2,"."&amp;W$135&amp;W$1&amp;"P"&amp;$A171))</f>
        <v>0</v>
      </c>
      <c r="X171" s="91">
        <f ca="1">IF(RTD("tos.rtd",,$A$2,"."&amp;X$135&amp;X$1&amp;"C"&amp;$A171)="N/A",0,RTD("tos.rtd",,$A$2,"."&amp;X$135&amp;X$1&amp;"C"&amp;$A171))-IF(RTD("tos.rtd",,$A$2,"."&amp;X$135&amp;X$1&amp;"P"&amp;$A171)="N/A",0,RTD("tos.rtd",,$A$2,"."&amp;X$135&amp;X$1&amp;"P"&amp;$A171))</f>
        <v>0</v>
      </c>
      <c r="Y171" s="98">
        <f t="shared" ca="1" si="13"/>
        <v>-1</v>
      </c>
      <c r="Z171" s="91"/>
      <c r="AA171" s="91"/>
    </row>
    <row r="172" spans="1:27" x14ac:dyDescent="0.25">
      <c r="A172" s="93">
        <f>+Hoja1!A171</f>
        <v>20500</v>
      </c>
      <c r="B172" s="91">
        <f ca="1">IF(RTD("tos.rtd",,$A$2,"."&amp;B$135&amp;B$1&amp;"C"&amp;$A172)="N/A",0,RTD("tos.rtd",,$A$2,"."&amp;B$135&amp;B$1&amp;"C"&amp;$A172))-IF(RTD("tos.rtd",,$A$2,"."&amp;B$135&amp;B$1&amp;"P"&amp;$A172)="N/A",0,RTD("tos.rtd",,$A$2,"."&amp;B$135&amp;B$1&amp;"P"&amp;$A172))</f>
        <v>0</v>
      </c>
      <c r="C172" s="91">
        <f ca="1">IF(RTD("tos.rtd",,$A$2,"."&amp;C$135&amp;C$1&amp;"C"&amp;$A172)="N/A",0,RTD("tos.rtd",,$A$2,"."&amp;C$135&amp;C$1&amp;"C"&amp;$A172))-IF(RTD("tos.rtd",,$A$2,"."&amp;C$135&amp;C$1&amp;"P"&amp;$A172)="N/A",0,RTD("tos.rtd",,$A$2,"."&amp;C$135&amp;C$1&amp;"P"&amp;$A172))</f>
        <v>0</v>
      </c>
      <c r="D172" s="91">
        <f ca="1">IF(RTD("tos.rtd",,$A$2,"."&amp;D$135&amp;D$1&amp;"C"&amp;$A172)="N/A",0,RTD("tos.rtd",,$A$2,"."&amp;D$135&amp;D$1&amp;"C"&amp;$A172))-IF(RTD("tos.rtd",,$A$2,"."&amp;D$135&amp;D$1&amp;"P"&amp;$A172)="N/A",0,RTD("tos.rtd",,$A$2,"."&amp;D$135&amp;D$1&amp;"P"&amp;$A172))</f>
        <v>0</v>
      </c>
      <c r="E172" s="91">
        <f ca="1">IF(RTD("tos.rtd",,$A$2,"."&amp;E$135&amp;E$1&amp;"C"&amp;$A172)="N/A",0,RTD("tos.rtd",,$A$2,"."&amp;E$135&amp;E$1&amp;"C"&amp;$A172))-IF(RTD("tos.rtd",,$A$2,"."&amp;E$135&amp;E$1&amp;"P"&amp;$A172)="N/A",0,RTD("tos.rtd",,$A$2,"."&amp;E$135&amp;E$1&amp;"P"&amp;$A172))</f>
        <v>0</v>
      </c>
      <c r="F172" s="91">
        <f ca="1">IF(RTD("tos.rtd",,$A$2,"."&amp;F$135&amp;F$1&amp;"C"&amp;$A172)="N/A",0,RTD("tos.rtd",,$A$2,"."&amp;F$135&amp;F$1&amp;"C"&amp;$A172))-IF(RTD("tos.rtd",,$A$2,"."&amp;F$135&amp;F$1&amp;"P"&amp;$A172)="N/A",0,RTD("tos.rtd",,$A$2,"."&amp;F$135&amp;F$1&amp;"P"&amp;$A172))</f>
        <v>0</v>
      </c>
      <c r="G172" s="91">
        <f ca="1">IF(RTD("tos.rtd",,$A$2,"."&amp;G$135&amp;G$1&amp;"C"&amp;$A172)="N/A",0,RTD("tos.rtd",,$A$2,"."&amp;G$135&amp;G$1&amp;"C"&amp;$A172))-IF(RTD("tos.rtd",,$A$2,"."&amp;G$135&amp;G$1&amp;"P"&amp;$A172)="N/A",0,RTD("tos.rtd",,$A$2,"."&amp;G$135&amp;G$1&amp;"P"&amp;$A172))</f>
        <v>0</v>
      </c>
      <c r="H172" s="91">
        <f ca="1">IF(RTD("tos.rtd",,$A$2,"."&amp;H$135&amp;H$1&amp;"C"&amp;$A172)="N/A",0,RTD("tos.rtd",,$A$2,"."&amp;H$135&amp;H$1&amp;"C"&amp;$A172))-IF(RTD("tos.rtd",,$A$2,"."&amp;H$135&amp;H$1&amp;"P"&amp;$A172)="N/A",0,RTD("tos.rtd",,$A$2,"."&amp;H$135&amp;H$1&amp;"P"&amp;$A172))</f>
        <v>0</v>
      </c>
      <c r="I172" s="91">
        <f ca="1">IF(RTD("tos.rtd",,$A$2,"."&amp;I$135&amp;I$1&amp;"C"&amp;$A172)="N/A",0,RTD("tos.rtd",,$A$2,"."&amp;I$135&amp;I$1&amp;"C"&amp;$A172))-IF(RTD("tos.rtd",,$A$2,"."&amp;I$135&amp;I$1&amp;"P"&amp;$A172)="N/A",0,RTD("tos.rtd",,$A$2,"."&amp;I$135&amp;I$1&amp;"P"&amp;$A172))</f>
        <v>17</v>
      </c>
      <c r="J172" s="91">
        <f ca="1">IF(RTD("tos.rtd",,$A$2,"."&amp;J$135&amp;J$1&amp;"C"&amp;$A172)="N/A",0,RTD("tos.rtd",,$A$2,"."&amp;J$135&amp;J$1&amp;"C"&amp;$A172))-IF(RTD("tos.rtd",,$A$2,"."&amp;J$135&amp;J$1&amp;"P"&amp;$A172)="N/A",0,RTD("tos.rtd",,$A$2,"."&amp;J$135&amp;J$1&amp;"P"&amp;$A172))</f>
        <v>-1</v>
      </c>
      <c r="K172" s="91">
        <f ca="1">IF(RTD("tos.rtd",,$A$2,"."&amp;K$135&amp;K$1&amp;"C"&amp;$A172)="N/A",0,RTD("tos.rtd",,$A$2,"."&amp;K$135&amp;K$1&amp;"C"&amp;$A172))-IF(RTD("tos.rtd",,$A$2,"."&amp;K$135&amp;K$1&amp;"P"&amp;$A172)="N/A",0,RTD("tos.rtd",,$A$2,"."&amp;K$135&amp;K$1&amp;"P"&amp;$A172))</f>
        <v>0</v>
      </c>
      <c r="L172" s="91">
        <f ca="1">IF(RTD("tos.rtd",,$A$2,"."&amp;L$135&amp;L$1&amp;"C"&amp;$A172)="N/A",0,RTD("tos.rtd",,$A$2,"."&amp;L$135&amp;L$1&amp;"C"&amp;$A172))-IF(RTD("tos.rtd",,$A$2,"."&amp;L$135&amp;L$1&amp;"P"&amp;$A172)="N/A",0,RTD("tos.rtd",,$A$2,"."&amp;L$135&amp;L$1&amp;"P"&amp;$A172))</f>
        <v>0</v>
      </c>
      <c r="M172" s="91">
        <f ca="1">IF(RTD("tos.rtd",,$A$2,"."&amp;M$135&amp;M$1&amp;"C"&amp;$A172)="N/A",0,RTD("tos.rtd",,$A$2,"."&amp;M$135&amp;M$1&amp;"C"&amp;$A172))-IF(RTD("tos.rtd",,$A$2,"."&amp;M$135&amp;M$1&amp;"P"&amp;$A172)="N/A",0,RTD("tos.rtd",,$A$2,"."&amp;M$135&amp;M$1&amp;"P"&amp;$A172))</f>
        <v>0</v>
      </c>
      <c r="N172" s="91">
        <f ca="1">IF(RTD("tos.rtd",,$A$2,"."&amp;N$135&amp;N$1&amp;"C"&amp;$A172)="N/A",0,RTD("tos.rtd",,$A$2,"."&amp;N$135&amp;N$1&amp;"C"&amp;$A172))-IF(RTD("tos.rtd",,$A$2,"."&amp;N$135&amp;N$1&amp;"P"&amp;$A172)="N/A",0,RTD("tos.rtd",,$A$2,"."&amp;N$135&amp;N$1&amp;"P"&amp;$A172))</f>
        <v>0</v>
      </c>
      <c r="O172" s="91">
        <f ca="1">IF(RTD("tos.rtd",,$A$2,"."&amp;O$135&amp;O$1&amp;"C"&amp;$A172)="N/A",0,RTD("tos.rtd",,$A$2,"."&amp;O$135&amp;O$1&amp;"C"&amp;$A172))-IF(RTD("tos.rtd",,$A$2,"."&amp;O$135&amp;O$1&amp;"P"&amp;$A172)="N/A",0,RTD("tos.rtd",,$A$2,"."&amp;O$135&amp;O$1&amp;"P"&amp;$A172))</f>
        <v>1</v>
      </c>
      <c r="P172" s="91">
        <f ca="1">IF(RTD("tos.rtd",,$A$2,"."&amp;P$135&amp;P$1&amp;"C"&amp;$A172)="N/A",0,RTD("tos.rtd",,$A$2,"."&amp;P$135&amp;P$1&amp;"C"&amp;$A172))-IF(RTD("tos.rtd",,$A$2,"."&amp;P$135&amp;P$1&amp;"P"&amp;$A172)="N/A",0,RTD("tos.rtd",,$A$2,"."&amp;P$135&amp;P$1&amp;"P"&amp;$A172))</f>
        <v>0</v>
      </c>
      <c r="Q172" s="91">
        <f ca="1">IF(RTD("tos.rtd",,$A$2,"."&amp;Q$135&amp;Q$1&amp;"C"&amp;$A172)="N/A",0,RTD("tos.rtd",,$A$2,"."&amp;Q$135&amp;Q$1&amp;"C"&amp;$A172))-IF(RTD("tos.rtd",,$A$2,"."&amp;Q$135&amp;Q$1&amp;"P"&amp;$A172)="N/A",0,RTD("tos.rtd",,$A$2,"."&amp;Q$135&amp;Q$1&amp;"P"&amp;$A172))</f>
        <v>3</v>
      </c>
      <c r="R172" s="91">
        <f ca="1">IF(RTD("tos.rtd",,$A$2,"."&amp;R$135&amp;R$1&amp;"C"&amp;$A172)="N/A",0,RTD("tos.rtd",,$A$2,"."&amp;R$135&amp;R$1&amp;"C"&amp;$A172))-IF(RTD("tos.rtd",,$A$2,"."&amp;R$135&amp;R$1&amp;"P"&amp;$A172)="N/A",0,RTD("tos.rtd",,$A$2,"."&amp;R$135&amp;R$1&amp;"P"&amp;$A172))</f>
        <v>0</v>
      </c>
      <c r="S172" s="91">
        <f ca="1">IF(RTD("tos.rtd",,$A$2,"."&amp;S$135&amp;S$1&amp;"C"&amp;$A172)="N/A",0,RTD("tos.rtd",,$A$2,"."&amp;S$135&amp;S$1&amp;"C"&amp;$A172))-IF(RTD("tos.rtd",,$A$2,"."&amp;S$135&amp;S$1&amp;"P"&amp;$A172)="N/A",0,RTD("tos.rtd",,$A$2,"."&amp;S$135&amp;S$1&amp;"P"&amp;$A172))</f>
        <v>-1</v>
      </c>
      <c r="T172" s="91">
        <f ca="1">IF(RTD("tos.rtd",,$A$2,"."&amp;T$135&amp;T$1&amp;"C"&amp;$A172)="N/A",0,RTD("tos.rtd",,$A$2,"."&amp;T$135&amp;T$1&amp;"C"&amp;$A172))-IF(RTD("tos.rtd",,$A$2,"."&amp;T$135&amp;T$1&amp;"P"&amp;$A172)="N/A",0,RTD("tos.rtd",,$A$2,"."&amp;T$135&amp;T$1&amp;"P"&amp;$A172))</f>
        <v>0</v>
      </c>
      <c r="U172" s="91">
        <f ca="1">IF(RTD("tos.rtd",,$A$2,"."&amp;U$135&amp;U$1&amp;"C"&amp;$A172)="N/A",0,RTD("tos.rtd",,$A$2,"."&amp;U$135&amp;U$1&amp;"C"&amp;$A172))-IF(RTD("tos.rtd",,$A$2,"."&amp;U$135&amp;U$1&amp;"P"&amp;$A172)="N/A",0,RTD("tos.rtd",,$A$2,"."&amp;U$135&amp;U$1&amp;"P"&amp;$A172))</f>
        <v>0</v>
      </c>
      <c r="V172" s="91">
        <f ca="1">IF(RTD("tos.rtd",,$A$2,"."&amp;V$135&amp;V$1&amp;"C"&amp;$A172)="N/A",0,RTD("tos.rtd",,$A$2,"."&amp;V$135&amp;V$1&amp;"C"&amp;$A172))-IF(RTD("tos.rtd",,$A$2,"."&amp;V$135&amp;V$1&amp;"P"&amp;$A172)="N/A",0,RTD("tos.rtd",,$A$2,"."&amp;V$135&amp;V$1&amp;"P"&amp;$A172))</f>
        <v>0</v>
      </c>
      <c r="W172" s="91">
        <f ca="1">IF(RTD("tos.rtd",,$A$2,"."&amp;W$135&amp;W$1&amp;"C"&amp;$A172)="N/A",0,RTD("tos.rtd",,$A$2,"."&amp;W$135&amp;W$1&amp;"C"&amp;$A172))-IF(RTD("tos.rtd",,$A$2,"."&amp;W$135&amp;W$1&amp;"P"&amp;$A172)="N/A",0,RTD("tos.rtd",,$A$2,"."&amp;W$135&amp;W$1&amp;"P"&amp;$A172))</f>
        <v>-2</v>
      </c>
      <c r="X172" s="91">
        <f ca="1">IF(RTD("tos.rtd",,$A$2,"."&amp;X$135&amp;X$1&amp;"C"&amp;$A172)="N/A",0,RTD("tos.rtd",,$A$2,"."&amp;X$135&amp;X$1&amp;"C"&amp;$A172))-IF(RTD("tos.rtd",,$A$2,"."&amp;X$135&amp;X$1&amp;"P"&amp;$A172)="N/A",0,RTD("tos.rtd",,$A$2,"."&amp;X$135&amp;X$1&amp;"P"&amp;$A172))</f>
        <v>0</v>
      </c>
      <c r="Y172" s="98">
        <f t="shared" ca="1" si="13"/>
        <v>17</v>
      </c>
      <c r="Z172" s="91"/>
      <c r="AA172" s="91"/>
    </row>
    <row r="173" spans="1:27" x14ac:dyDescent="0.25">
      <c r="A173" s="93">
        <f>+Hoja1!A172</f>
        <v>20475</v>
      </c>
      <c r="B173" s="91">
        <f ca="1">IF(RTD("tos.rtd",,$A$2,"."&amp;B$135&amp;B$1&amp;"C"&amp;$A173)="N/A",0,RTD("tos.rtd",,$A$2,"."&amp;B$135&amp;B$1&amp;"C"&amp;$A173))-IF(RTD("tos.rtd",,$A$2,"."&amp;B$135&amp;B$1&amp;"P"&amp;$A173)="N/A",0,RTD("tos.rtd",,$A$2,"."&amp;B$135&amp;B$1&amp;"P"&amp;$A173))</f>
        <v>0</v>
      </c>
      <c r="C173" s="91">
        <f ca="1">IF(RTD("tos.rtd",,$A$2,"."&amp;C$135&amp;C$1&amp;"C"&amp;$A173)="N/A",0,RTD("tos.rtd",,$A$2,"."&amp;C$135&amp;C$1&amp;"C"&amp;$A173))-IF(RTD("tos.rtd",,$A$2,"."&amp;C$135&amp;C$1&amp;"P"&amp;$A173)="N/A",0,RTD("tos.rtd",,$A$2,"."&amp;C$135&amp;C$1&amp;"P"&amp;$A173))</f>
        <v>0</v>
      </c>
      <c r="D173" s="91">
        <f ca="1">IF(RTD("tos.rtd",,$A$2,"."&amp;D$135&amp;D$1&amp;"C"&amp;$A173)="N/A",0,RTD("tos.rtd",,$A$2,"."&amp;D$135&amp;D$1&amp;"C"&amp;$A173))-IF(RTD("tos.rtd",,$A$2,"."&amp;D$135&amp;D$1&amp;"P"&amp;$A173)="N/A",0,RTD("tos.rtd",,$A$2,"."&amp;D$135&amp;D$1&amp;"P"&amp;$A173))</f>
        <v>0</v>
      </c>
      <c r="E173" s="91">
        <f ca="1">IF(RTD("tos.rtd",,$A$2,"."&amp;E$135&amp;E$1&amp;"C"&amp;$A173)="N/A",0,RTD("tos.rtd",,$A$2,"."&amp;E$135&amp;E$1&amp;"C"&amp;$A173))-IF(RTD("tos.rtd",,$A$2,"."&amp;E$135&amp;E$1&amp;"P"&amp;$A173)="N/A",0,RTD("tos.rtd",,$A$2,"."&amp;E$135&amp;E$1&amp;"P"&amp;$A173))</f>
        <v>0</v>
      </c>
      <c r="F173" s="91">
        <f ca="1">IF(RTD("tos.rtd",,$A$2,"."&amp;F$135&amp;F$1&amp;"C"&amp;$A173)="N/A",0,RTD("tos.rtd",,$A$2,"."&amp;F$135&amp;F$1&amp;"C"&amp;$A173))-IF(RTD("tos.rtd",,$A$2,"."&amp;F$135&amp;F$1&amp;"P"&amp;$A173)="N/A",0,RTD("tos.rtd",,$A$2,"."&amp;F$135&amp;F$1&amp;"P"&amp;$A173))</f>
        <v>0</v>
      </c>
      <c r="G173" s="91">
        <f ca="1">IF(RTD("tos.rtd",,$A$2,"."&amp;G$135&amp;G$1&amp;"C"&amp;$A173)="N/A",0,RTD("tos.rtd",,$A$2,"."&amp;G$135&amp;G$1&amp;"C"&amp;$A173))-IF(RTD("tos.rtd",,$A$2,"."&amp;G$135&amp;G$1&amp;"P"&amp;$A173)="N/A",0,RTD("tos.rtd",,$A$2,"."&amp;G$135&amp;G$1&amp;"P"&amp;$A173))</f>
        <v>0</v>
      </c>
      <c r="H173" s="91">
        <f ca="1">IF(RTD("tos.rtd",,$A$2,"."&amp;H$135&amp;H$1&amp;"C"&amp;$A173)="N/A",0,RTD("tos.rtd",,$A$2,"."&amp;H$135&amp;H$1&amp;"C"&amp;$A173))-IF(RTD("tos.rtd",,$A$2,"."&amp;H$135&amp;H$1&amp;"P"&amp;$A173)="N/A",0,RTD("tos.rtd",,$A$2,"."&amp;H$135&amp;H$1&amp;"P"&amp;$A173))</f>
        <v>0</v>
      </c>
      <c r="I173" s="91">
        <f ca="1">IF(RTD("tos.rtd",,$A$2,"."&amp;I$135&amp;I$1&amp;"C"&amp;$A173)="N/A",0,RTD("tos.rtd",,$A$2,"."&amp;I$135&amp;I$1&amp;"C"&amp;$A173))-IF(RTD("tos.rtd",,$A$2,"."&amp;I$135&amp;I$1&amp;"P"&amp;$A173)="N/A",0,RTD("tos.rtd",,$A$2,"."&amp;I$135&amp;I$1&amp;"P"&amp;$A173))</f>
        <v>0</v>
      </c>
      <c r="J173" s="91">
        <f ca="1">IF(RTD("tos.rtd",,$A$2,"."&amp;J$135&amp;J$1&amp;"C"&amp;$A173)="N/A",0,RTD("tos.rtd",,$A$2,"."&amp;J$135&amp;J$1&amp;"C"&amp;$A173))-IF(RTD("tos.rtd",,$A$2,"."&amp;J$135&amp;J$1&amp;"P"&amp;$A173)="N/A",0,RTD("tos.rtd",,$A$2,"."&amp;J$135&amp;J$1&amp;"P"&amp;$A173))</f>
        <v>0</v>
      </c>
      <c r="K173" s="91">
        <f ca="1">IF(RTD("tos.rtd",,$A$2,"."&amp;K$135&amp;K$1&amp;"C"&amp;$A173)="N/A",0,RTD("tos.rtd",,$A$2,"."&amp;K$135&amp;K$1&amp;"C"&amp;$A173))-IF(RTD("tos.rtd",,$A$2,"."&amp;K$135&amp;K$1&amp;"P"&amp;$A173)="N/A",0,RTD("tos.rtd",,$A$2,"."&amp;K$135&amp;K$1&amp;"P"&amp;$A173))</f>
        <v>0</v>
      </c>
      <c r="L173" s="91">
        <f ca="1">IF(RTD("tos.rtd",,$A$2,"."&amp;L$135&amp;L$1&amp;"C"&amp;$A173)="N/A",0,RTD("tos.rtd",,$A$2,"."&amp;L$135&amp;L$1&amp;"C"&amp;$A173))-IF(RTD("tos.rtd",,$A$2,"."&amp;L$135&amp;L$1&amp;"P"&amp;$A173)="N/A",0,RTD("tos.rtd",,$A$2,"."&amp;L$135&amp;L$1&amp;"P"&amp;$A173))</f>
        <v>0</v>
      </c>
      <c r="M173" s="91">
        <f ca="1">IF(RTD("tos.rtd",,$A$2,"."&amp;M$135&amp;M$1&amp;"C"&amp;$A173)="N/A",0,RTD("tos.rtd",,$A$2,"."&amp;M$135&amp;M$1&amp;"C"&amp;$A173))-IF(RTD("tos.rtd",,$A$2,"."&amp;M$135&amp;M$1&amp;"P"&amp;$A173)="N/A",0,RTD("tos.rtd",,$A$2,"."&amp;M$135&amp;M$1&amp;"P"&amp;$A173))</f>
        <v>0</v>
      </c>
      <c r="N173" s="91">
        <f ca="1">IF(RTD("tos.rtd",,$A$2,"."&amp;N$135&amp;N$1&amp;"C"&amp;$A173)="N/A",0,RTD("tos.rtd",,$A$2,"."&amp;N$135&amp;N$1&amp;"C"&amp;$A173))-IF(RTD("tos.rtd",,$A$2,"."&amp;N$135&amp;N$1&amp;"P"&amp;$A173)="N/A",0,RTD("tos.rtd",,$A$2,"."&amp;N$135&amp;N$1&amp;"P"&amp;$A173))</f>
        <v>0</v>
      </c>
      <c r="O173" s="91">
        <f ca="1">IF(RTD("tos.rtd",,$A$2,"."&amp;O$135&amp;O$1&amp;"C"&amp;$A173)="N/A",0,RTD("tos.rtd",,$A$2,"."&amp;O$135&amp;O$1&amp;"C"&amp;$A173))-IF(RTD("tos.rtd",,$A$2,"."&amp;O$135&amp;O$1&amp;"P"&amp;$A173)="N/A",0,RTD("tos.rtd",,$A$2,"."&amp;O$135&amp;O$1&amp;"P"&amp;$A173))</f>
        <v>0</v>
      </c>
      <c r="P173" s="91">
        <f ca="1">IF(RTD("tos.rtd",,$A$2,"."&amp;P$135&amp;P$1&amp;"C"&amp;$A173)="N/A",0,RTD("tos.rtd",,$A$2,"."&amp;P$135&amp;P$1&amp;"C"&amp;$A173))-IF(RTD("tos.rtd",,$A$2,"."&amp;P$135&amp;P$1&amp;"P"&amp;$A173)="N/A",0,RTD("tos.rtd",,$A$2,"."&amp;P$135&amp;P$1&amp;"P"&amp;$A173))</f>
        <v>0</v>
      </c>
      <c r="Q173" s="91">
        <f ca="1">IF(RTD("tos.rtd",,$A$2,"."&amp;Q$135&amp;Q$1&amp;"C"&amp;$A173)="N/A",0,RTD("tos.rtd",,$A$2,"."&amp;Q$135&amp;Q$1&amp;"C"&amp;$A173))-IF(RTD("tos.rtd",,$A$2,"."&amp;Q$135&amp;Q$1&amp;"P"&amp;$A173)="N/A",0,RTD("tos.rtd",,$A$2,"."&amp;Q$135&amp;Q$1&amp;"P"&amp;$A173))</f>
        <v>0</v>
      </c>
      <c r="R173" s="91">
        <f ca="1">IF(RTD("tos.rtd",,$A$2,"."&amp;R$135&amp;R$1&amp;"C"&amp;$A173)="N/A",0,RTD("tos.rtd",,$A$2,"."&amp;R$135&amp;R$1&amp;"C"&amp;$A173))-IF(RTD("tos.rtd",,$A$2,"."&amp;R$135&amp;R$1&amp;"P"&amp;$A173)="N/A",0,RTD("tos.rtd",,$A$2,"."&amp;R$135&amp;R$1&amp;"P"&amp;$A173))</f>
        <v>0</v>
      </c>
      <c r="S173" s="91">
        <f ca="1">IF(RTD("tos.rtd",,$A$2,"."&amp;S$135&amp;S$1&amp;"C"&amp;$A173)="N/A",0,RTD("tos.rtd",,$A$2,"."&amp;S$135&amp;S$1&amp;"C"&amp;$A173))-IF(RTD("tos.rtd",,$A$2,"."&amp;S$135&amp;S$1&amp;"P"&amp;$A173)="N/A",0,RTD("tos.rtd",,$A$2,"."&amp;S$135&amp;S$1&amp;"P"&amp;$A173))</f>
        <v>0</v>
      </c>
      <c r="T173" s="91">
        <f ca="1">IF(RTD("tos.rtd",,$A$2,"."&amp;T$135&amp;T$1&amp;"C"&amp;$A173)="N/A",0,RTD("tos.rtd",,$A$2,"."&amp;T$135&amp;T$1&amp;"C"&amp;$A173))-IF(RTD("tos.rtd",,$A$2,"."&amp;T$135&amp;T$1&amp;"P"&amp;$A173)="N/A",0,RTD("tos.rtd",,$A$2,"."&amp;T$135&amp;T$1&amp;"P"&amp;$A173))</f>
        <v>0</v>
      </c>
      <c r="U173" s="91">
        <f ca="1">IF(RTD("tos.rtd",,$A$2,"."&amp;U$135&amp;U$1&amp;"C"&amp;$A173)="N/A",0,RTD("tos.rtd",,$A$2,"."&amp;U$135&amp;U$1&amp;"C"&amp;$A173))-IF(RTD("tos.rtd",,$A$2,"."&amp;U$135&amp;U$1&amp;"P"&amp;$A173)="N/A",0,RTD("tos.rtd",,$A$2,"."&amp;U$135&amp;U$1&amp;"P"&amp;$A173))</f>
        <v>0</v>
      </c>
      <c r="V173" s="91">
        <f ca="1">IF(RTD("tos.rtd",,$A$2,"."&amp;V$135&amp;V$1&amp;"C"&amp;$A173)="N/A",0,RTD("tos.rtd",,$A$2,"."&amp;V$135&amp;V$1&amp;"C"&amp;$A173))-IF(RTD("tos.rtd",,$A$2,"."&amp;V$135&amp;V$1&amp;"P"&amp;$A173)="N/A",0,RTD("tos.rtd",,$A$2,"."&amp;V$135&amp;V$1&amp;"P"&amp;$A173))</f>
        <v>0</v>
      </c>
      <c r="W173" s="91">
        <f ca="1">IF(RTD("tos.rtd",,$A$2,"."&amp;W$135&amp;W$1&amp;"C"&amp;$A173)="N/A",0,RTD("tos.rtd",,$A$2,"."&amp;W$135&amp;W$1&amp;"C"&amp;$A173))-IF(RTD("tos.rtd",,$A$2,"."&amp;W$135&amp;W$1&amp;"P"&amp;$A173)="N/A",0,RTD("tos.rtd",,$A$2,"."&amp;W$135&amp;W$1&amp;"P"&amp;$A173))</f>
        <v>0</v>
      </c>
      <c r="X173" s="91">
        <f ca="1">IF(RTD("tos.rtd",,$A$2,"."&amp;X$135&amp;X$1&amp;"C"&amp;$A173)="N/A",0,RTD("tos.rtd",,$A$2,"."&amp;X$135&amp;X$1&amp;"C"&amp;$A173))-IF(RTD("tos.rtd",,$A$2,"."&amp;X$135&amp;X$1&amp;"P"&amp;$A173)="N/A",0,RTD("tos.rtd",,$A$2,"."&amp;X$135&amp;X$1&amp;"P"&amp;$A173))</f>
        <v>0</v>
      </c>
      <c r="Y173" s="98">
        <f t="shared" ca="1" si="13"/>
        <v>0</v>
      </c>
      <c r="Z173" s="91"/>
      <c r="AA173" s="91"/>
    </row>
    <row r="174" spans="1:27" x14ac:dyDescent="0.25">
      <c r="A174" s="93">
        <f>+Hoja1!A173</f>
        <v>20450</v>
      </c>
      <c r="B174" s="91">
        <f ca="1">IF(RTD("tos.rtd",,$A$2,"."&amp;B$135&amp;B$1&amp;"C"&amp;$A174)="N/A",0,RTD("tos.rtd",,$A$2,"."&amp;B$135&amp;B$1&amp;"C"&amp;$A174))-IF(RTD("tos.rtd",,$A$2,"."&amp;B$135&amp;B$1&amp;"P"&amp;$A174)="N/A",0,RTD("tos.rtd",,$A$2,"."&amp;B$135&amp;B$1&amp;"P"&amp;$A174))</f>
        <v>0</v>
      </c>
      <c r="C174" s="91">
        <f ca="1">IF(RTD("tos.rtd",,$A$2,"."&amp;C$135&amp;C$1&amp;"C"&amp;$A174)="N/A",0,RTD("tos.rtd",,$A$2,"."&amp;C$135&amp;C$1&amp;"C"&amp;$A174))-IF(RTD("tos.rtd",,$A$2,"."&amp;C$135&amp;C$1&amp;"P"&amp;$A174)="N/A",0,RTD("tos.rtd",,$A$2,"."&amp;C$135&amp;C$1&amp;"P"&amp;$A174))</f>
        <v>0</v>
      </c>
      <c r="D174" s="91">
        <f ca="1">IF(RTD("tos.rtd",,$A$2,"."&amp;D$135&amp;D$1&amp;"C"&amp;$A174)="N/A",0,RTD("tos.rtd",,$A$2,"."&amp;D$135&amp;D$1&amp;"C"&amp;$A174))-IF(RTD("tos.rtd",,$A$2,"."&amp;D$135&amp;D$1&amp;"P"&amp;$A174)="N/A",0,RTD("tos.rtd",,$A$2,"."&amp;D$135&amp;D$1&amp;"P"&amp;$A174))</f>
        <v>0</v>
      </c>
      <c r="E174" s="91">
        <f ca="1">IF(RTD("tos.rtd",,$A$2,"."&amp;E$135&amp;E$1&amp;"C"&amp;$A174)="N/A",0,RTD("tos.rtd",,$A$2,"."&amp;E$135&amp;E$1&amp;"C"&amp;$A174))-IF(RTD("tos.rtd",,$A$2,"."&amp;E$135&amp;E$1&amp;"P"&amp;$A174)="N/A",0,RTD("tos.rtd",,$A$2,"."&amp;E$135&amp;E$1&amp;"P"&amp;$A174))</f>
        <v>0</v>
      </c>
      <c r="F174" s="91">
        <f ca="1">IF(RTD("tos.rtd",,$A$2,"."&amp;F$135&amp;F$1&amp;"C"&amp;$A174)="N/A",0,RTD("tos.rtd",,$A$2,"."&amp;F$135&amp;F$1&amp;"C"&amp;$A174))-IF(RTD("tos.rtd",,$A$2,"."&amp;F$135&amp;F$1&amp;"P"&amp;$A174)="N/A",0,RTD("tos.rtd",,$A$2,"."&amp;F$135&amp;F$1&amp;"P"&amp;$A174))</f>
        <v>0</v>
      </c>
      <c r="G174" s="91">
        <f ca="1">IF(RTD("tos.rtd",,$A$2,"."&amp;G$135&amp;G$1&amp;"C"&amp;$A174)="N/A",0,RTD("tos.rtd",,$A$2,"."&amp;G$135&amp;G$1&amp;"C"&amp;$A174))-IF(RTD("tos.rtd",,$A$2,"."&amp;G$135&amp;G$1&amp;"P"&amp;$A174)="N/A",0,RTD("tos.rtd",,$A$2,"."&amp;G$135&amp;G$1&amp;"P"&amp;$A174))</f>
        <v>0</v>
      </c>
      <c r="H174" s="91">
        <f ca="1">IF(RTD("tos.rtd",,$A$2,"."&amp;H$135&amp;H$1&amp;"C"&amp;$A174)="N/A",0,RTD("tos.rtd",,$A$2,"."&amp;H$135&amp;H$1&amp;"C"&amp;$A174))-IF(RTD("tos.rtd",,$A$2,"."&amp;H$135&amp;H$1&amp;"P"&amp;$A174)="N/A",0,RTD("tos.rtd",,$A$2,"."&amp;H$135&amp;H$1&amp;"P"&amp;$A174))</f>
        <v>0</v>
      </c>
      <c r="I174" s="91">
        <f ca="1">IF(RTD("tos.rtd",,$A$2,"."&amp;I$135&amp;I$1&amp;"C"&amp;$A174)="N/A",0,RTD("tos.rtd",,$A$2,"."&amp;I$135&amp;I$1&amp;"C"&amp;$A174))-IF(RTD("tos.rtd",,$A$2,"."&amp;I$135&amp;I$1&amp;"P"&amp;$A174)="N/A",0,RTD("tos.rtd",,$A$2,"."&amp;I$135&amp;I$1&amp;"P"&amp;$A174))</f>
        <v>0</v>
      </c>
      <c r="J174" s="91">
        <f ca="1">IF(RTD("tos.rtd",,$A$2,"."&amp;J$135&amp;J$1&amp;"C"&amp;$A174)="N/A",0,RTD("tos.rtd",,$A$2,"."&amp;J$135&amp;J$1&amp;"C"&amp;$A174))-IF(RTD("tos.rtd",,$A$2,"."&amp;J$135&amp;J$1&amp;"P"&amp;$A174)="N/A",0,RTD("tos.rtd",,$A$2,"."&amp;J$135&amp;J$1&amp;"P"&amp;$A174))</f>
        <v>0</v>
      </c>
      <c r="K174" s="91">
        <f ca="1">IF(RTD("tos.rtd",,$A$2,"."&amp;K$135&amp;K$1&amp;"C"&amp;$A174)="N/A",0,RTD("tos.rtd",,$A$2,"."&amp;K$135&amp;K$1&amp;"C"&amp;$A174))-IF(RTD("tos.rtd",,$A$2,"."&amp;K$135&amp;K$1&amp;"P"&amp;$A174)="N/A",0,RTD("tos.rtd",,$A$2,"."&amp;K$135&amp;K$1&amp;"P"&amp;$A174))</f>
        <v>0</v>
      </c>
      <c r="L174" s="91">
        <f ca="1">IF(RTD("tos.rtd",,$A$2,"."&amp;L$135&amp;L$1&amp;"C"&amp;$A174)="N/A",0,RTD("tos.rtd",,$A$2,"."&amp;L$135&amp;L$1&amp;"C"&amp;$A174))-IF(RTD("tos.rtd",,$A$2,"."&amp;L$135&amp;L$1&amp;"P"&amp;$A174)="N/A",0,RTD("tos.rtd",,$A$2,"."&amp;L$135&amp;L$1&amp;"P"&amp;$A174))</f>
        <v>0</v>
      </c>
      <c r="M174" s="91">
        <f ca="1">IF(RTD("tos.rtd",,$A$2,"."&amp;M$135&amp;M$1&amp;"C"&amp;$A174)="N/A",0,RTD("tos.rtd",,$A$2,"."&amp;M$135&amp;M$1&amp;"C"&amp;$A174))-IF(RTD("tos.rtd",,$A$2,"."&amp;M$135&amp;M$1&amp;"P"&amp;$A174)="N/A",0,RTD("tos.rtd",,$A$2,"."&amp;M$135&amp;M$1&amp;"P"&amp;$A174))</f>
        <v>0</v>
      </c>
      <c r="N174" s="91">
        <f ca="1">IF(RTD("tos.rtd",,$A$2,"."&amp;N$135&amp;N$1&amp;"C"&amp;$A174)="N/A",0,RTD("tos.rtd",,$A$2,"."&amp;N$135&amp;N$1&amp;"C"&amp;$A174))-IF(RTD("tos.rtd",,$A$2,"."&amp;N$135&amp;N$1&amp;"P"&amp;$A174)="N/A",0,RTD("tos.rtd",,$A$2,"."&amp;N$135&amp;N$1&amp;"P"&amp;$A174))</f>
        <v>0</v>
      </c>
      <c r="O174" s="91">
        <f ca="1">IF(RTD("tos.rtd",,$A$2,"."&amp;O$135&amp;O$1&amp;"C"&amp;$A174)="N/A",0,RTD("tos.rtd",,$A$2,"."&amp;O$135&amp;O$1&amp;"C"&amp;$A174))-IF(RTD("tos.rtd",,$A$2,"."&amp;O$135&amp;O$1&amp;"P"&amp;$A174)="N/A",0,RTD("tos.rtd",,$A$2,"."&amp;O$135&amp;O$1&amp;"P"&amp;$A174))</f>
        <v>0</v>
      </c>
      <c r="P174" s="91">
        <f ca="1">IF(RTD("tos.rtd",,$A$2,"."&amp;P$135&amp;P$1&amp;"C"&amp;$A174)="N/A",0,RTD("tos.rtd",,$A$2,"."&amp;P$135&amp;P$1&amp;"C"&amp;$A174))-IF(RTD("tos.rtd",,$A$2,"."&amp;P$135&amp;P$1&amp;"P"&amp;$A174)="N/A",0,RTD("tos.rtd",,$A$2,"."&amp;P$135&amp;P$1&amp;"P"&amp;$A174))</f>
        <v>0</v>
      </c>
      <c r="Q174" s="91">
        <f ca="1">IF(RTD("tos.rtd",,$A$2,"."&amp;Q$135&amp;Q$1&amp;"C"&amp;$A174)="N/A",0,RTD("tos.rtd",,$A$2,"."&amp;Q$135&amp;Q$1&amp;"C"&amp;$A174))-IF(RTD("tos.rtd",,$A$2,"."&amp;Q$135&amp;Q$1&amp;"P"&amp;$A174)="N/A",0,RTD("tos.rtd",,$A$2,"."&amp;Q$135&amp;Q$1&amp;"P"&amp;$A174))</f>
        <v>0</v>
      </c>
      <c r="R174" s="91">
        <f ca="1">IF(RTD("tos.rtd",,$A$2,"."&amp;R$135&amp;R$1&amp;"C"&amp;$A174)="N/A",0,RTD("tos.rtd",,$A$2,"."&amp;R$135&amp;R$1&amp;"C"&amp;$A174))-IF(RTD("tos.rtd",,$A$2,"."&amp;R$135&amp;R$1&amp;"P"&amp;$A174)="N/A",0,RTD("tos.rtd",,$A$2,"."&amp;R$135&amp;R$1&amp;"P"&amp;$A174))</f>
        <v>0</v>
      </c>
      <c r="S174" s="91">
        <f ca="1">IF(RTD("tos.rtd",,$A$2,"."&amp;S$135&amp;S$1&amp;"C"&amp;$A174)="N/A",0,RTD("tos.rtd",,$A$2,"."&amp;S$135&amp;S$1&amp;"C"&amp;$A174))-IF(RTD("tos.rtd",,$A$2,"."&amp;S$135&amp;S$1&amp;"P"&amp;$A174)="N/A",0,RTD("tos.rtd",,$A$2,"."&amp;S$135&amp;S$1&amp;"P"&amp;$A174))</f>
        <v>0</v>
      </c>
      <c r="T174" s="91">
        <f ca="1">IF(RTD("tos.rtd",,$A$2,"."&amp;T$135&amp;T$1&amp;"C"&amp;$A174)="N/A",0,RTD("tos.rtd",,$A$2,"."&amp;T$135&amp;T$1&amp;"C"&amp;$A174))-IF(RTD("tos.rtd",,$A$2,"."&amp;T$135&amp;T$1&amp;"P"&amp;$A174)="N/A",0,RTD("tos.rtd",,$A$2,"."&amp;T$135&amp;T$1&amp;"P"&amp;$A174))</f>
        <v>0</v>
      </c>
      <c r="U174" s="91">
        <f ca="1">IF(RTD("tos.rtd",,$A$2,"."&amp;U$135&amp;U$1&amp;"C"&amp;$A174)="N/A",0,RTD("tos.rtd",,$A$2,"."&amp;U$135&amp;U$1&amp;"C"&amp;$A174))-IF(RTD("tos.rtd",,$A$2,"."&amp;U$135&amp;U$1&amp;"P"&amp;$A174)="N/A",0,RTD("tos.rtd",,$A$2,"."&amp;U$135&amp;U$1&amp;"P"&amp;$A174))</f>
        <v>0</v>
      </c>
      <c r="V174" s="91">
        <f ca="1">IF(RTD("tos.rtd",,$A$2,"."&amp;V$135&amp;V$1&amp;"C"&amp;$A174)="N/A",0,RTD("tos.rtd",,$A$2,"."&amp;V$135&amp;V$1&amp;"C"&amp;$A174))-IF(RTD("tos.rtd",,$A$2,"."&amp;V$135&amp;V$1&amp;"P"&amp;$A174)="N/A",0,RTD("tos.rtd",,$A$2,"."&amp;V$135&amp;V$1&amp;"P"&amp;$A174))</f>
        <v>0</v>
      </c>
      <c r="W174" s="91">
        <f ca="1">IF(RTD("tos.rtd",,$A$2,"."&amp;W$135&amp;W$1&amp;"C"&amp;$A174)="N/A",0,RTD("tos.rtd",,$A$2,"."&amp;W$135&amp;W$1&amp;"C"&amp;$A174))-IF(RTD("tos.rtd",,$A$2,"."&amp;W$135&amp;W$1&amp;"P"&amp;$A174)="N/A",0,RTD("tos.rtd",,$A$2,"."&amp;W$135&amp;W$1&amp;"P"&amp;$A174))</f>
        <v>0</v>
      </c>
      <c r="X174" s="91">
        <f ca="1">IF(RTD("tos.rtd",,$A$2,"."&amp;X$135&amp;X$1&amp;"C"&amp;$A174)="N/A",0,RTD("tos.rtd",,$A$2,"."&amp;X$135&amp;X$1&amp;"C"&amp;$A174))-IF(RTD("tos.rtd",,$A$2,"."&amp;X$135&amp;X$1&amp;"P"&amp;$A174)="N/A",0,RTD("tos.rtd",,$A$2,"."&amp;X$135&amp;X$1&amp;"P"&amp;$A174))</f>
        <v>0</v>
      </c>
      <c r="Y174" s="98">
        <f t="shared" ca="1" si="13"/>
        <v>0</v>
      </c>
      <c r="Z174" s="91"/>
      <c r="AA174" s="91"/>
    </row>
    <row r="175" spans="1:27" x14ac:dyDescent="0.25">
      <c r="A175" s="93">
        <f>+Hoja1!A174</f>
        <v>20425</v>
      </c>
      <c r="B175" s="91">
        <f ca="1">IF(RTD("tos.rtd",,$A$2,"."&amp;B$135&amp;B$1&amp;"C"&amp;$A175)="N/A",0,RTD("tos.rtd",,$A$2,"."&amp;B$135&amp;B$1&amp;"C"&amp;$A175))-IF(RTD("tos.rtd",,$A$2,"."&amp;B$135&amp;B$1&amp;"P"&amp;$A175)="N/A",0,RTD("tos.rtd",,$A$2,"."&amp;B$135&amp;B$1&amp;"P"&amp;$A175))</f>
        <v>0</v>
      </c>
      <c r="C175" s="91">
        <f ca="1">IF(RTD("tos.rtd",,$A$2,"."&amp;C$135&amp;C$1&amp;"C"&amp;$A175)="N/A",0,RTD("tos.rtd",,$A$2,"."&amp;C$135&amp;C$1&amp;"C"&amp;$A175))-IF(RTD("tos.rtd",,$A$2,"."&amp;C$135&amp;C$1&amp;"P"&amp;$A175)="N/A",0,RTD("tos.rtd",,$A$2,"."&amp;C$135&amp;C$1&amp;"P"&amp;$A175))</f>
        <v>0</v>
      </c>
      <c r="D175" s="91">
        <f ca="1">IF(RTD("tos.rtd",,$A$2,"."&amp;D$135&amp;D$1&amp;"C"&amp;$A175)="N/A",0,RTD("tos.rtd",,$A$2,"."&amp;D$135&amp;D$1&amp;"C"&amp;$A175))-IF(RTD("tos.rtd",,$A$2,"."&amp;D$135&amp;D$1&amp;"P"&amp;$A175)="N/A",0,RTD("tos.rtd",,$A$2,"."&amp;D$135&amp;D$1&amp;"P"&amp;$A175))</f>
        <v>0</v>
      </c>
      <c r="E175" s="91">
        <f ca="1">IF(RTD("tos.rtd",,$A$2,"."&amp;E$135&amp;E$1&amp;"C"&amp;$A175)="N/A",0,RTD("tos.rtd",,$A$2,"."&amp;E$135&amp;E$1&amp;"C"&amp;$A175))-IF(RTD("tos.rtd",,$A$2,"."&amp;E$135&amp;E$1&amp;"P"&amp;$A175)="N/A",0,RTD("tos.rtd",,$A$2,"."&amp;E$135&amp;E$1&amp;"P"&amp;$A175))</f>
        <v>0</v>
      </c>
      <c r="F175" s="91">
        <f ca="1">IF(RTD("tos.rtd",,$A$2,"."&amp;F$135&amp;F$1&amp;"C"&amp;$A175)="N/A",0,RTD("tos.rtd",,$A$2,"."&amp;F$135&amp;F$1&amp;"C"&amp;$A175))-IF(RTD("tos.rtd",,$A$2,"."&amp;F$135&amp;F$1&amp;"P"&amp;$A175)="N/A",0,RTD("tos.rtd",,$A$2,"."&amp;F$135&amp;F$1&amp;"P"&amp;$A175))</f>
        <v>0</v>
      </c>
      <c r="G175" s="91">
        <f ca="1">IF(RTD("tos.rtd",,$A$2,"."&amp;G$135&amp;G$1&amp;"C"&amp;$A175)="N/A",0,RTD("tos.rtd",,$A$2,"."&amp;G$135&amp;G$1&amp;"C"&amp;$A175))-IF(RTD("tos.rtd",,$A$2,"."&amp;G$135&amp;G$1&amp;"P"&amp;$A175)="N/A",0,RTD("tos.rtd",,$A$2,"."&amp;G$135&amp;G$1&amp;"P"&amp;$A175))</f>
        <v>0</v>
      </c>
      <c r="H175" s="91">
        <f ca="1">IF(RTD("tos.rtd",,$A$2,"."&amp;H$135&amp;H$1&amp;"C"&amp;$A175)="N/A",0,RTD("tos.rtd",,$A$2,"."&amp;H$135&amp;H$1&amp;"C"&amp;$A175))-IF(RTD("tos.rtd",,$A$2,"."&amp;H$135&amp;H$1&amp;"P"&amp;$A175)="N/A",0,RTD("tos.rtd",,$A$2,"."&amp;H$135&amp;H$1&amp;"P"&amp;$A175))</f>
        <v>0</v>
      </c>
      <c r="I175" s="91">
        <f ca="1">IF(RTD("tos.rtd",,$A$2,"."&amp;I$135&amp;I$1&amp;"C"&amp;$A175)="N/A",0,RTD("tos.rtd",,$A$2,"."&amp;I$135&amp;I$1&amp;"C"&amp;$A175))-IF(RTD("tos.rtd",,$A$2,"."&amp;I$135&amp;I$1&amp;"P"&amp;$A175)="N/A",0,RTD("tos.rtd",,$A$2,"."&amp;I$135&amp;I$1&amp;"P"&amp;$A175))</f>
        <v>-1</v>
      </c>
      <c r="J175" s="91">
        <f ca="1">IF(RTD("tos.rtd",,$A$2,"."&amp;J$135&amp;J$1&amp;"C"&amp;$A175)="N/A",0,RTD("tos.rtd",,$A$2,"."&amp;J$135&amp;J$1&amp;"C"&amp;$A175))-IF(RTD("tos.rtd",,$A$2,"."&amp;J$135&amp;J$1&amp;"P"&amp;$A175)="N/A",0,RTD("tos.rtd",,$A$2,"."&amp;J$135&amp;J$1&amp;"P"&amp;$A175))</f>
        <v>0</v>
      </c>
      <c r="K175" s="91">
        <f ca="1">IF(RTD("tos.rtd",,$A$2,"."&amp;K$135&amp;K$1&amp;"C"&amp;$A175)="N/A",0,RTD("tos.rtd",,$A$2,"."&amp;K$135&amp;K$1&amp;"C"&amp;$A175))-IF(RTD("tos.rtd",,$A$2,"."&amp;K$135&amp;K$1&amp;"P"&amp;$A175)="N/A",0,RTD("tos.rtd",,$A$2,"."&amp;K$135&amp;K$1&amp;"P"&amp;$A175))</f>
        <v>0</v>
      </c>
      <c r="L175" s="91">
        <f ca="1">IF(RTD("tos.rtd",,$A$2,"."&amp;L$135&amp;L$1&amp;"C"&amp;$A175)="N/A",0,RTD("tos.rtd",,$A$2,"."&amp;L$135&amp;L$1&amp;"C"&amp;$A175))-IF(RTD("tos.rtd",,$A$2,"."&amp;L$135&amp;L$1&amp;"P"&amp;$A175)="N/A",0,RTD("tos.rtd",,$A$2,"."&amp;L$135&amp;L$1&amp;"P"&amp;$A175))</f>
        <v>0</v>
      </c>
      <c r="M175" s="91">
        <f ca="1">IF(RTD("tos.rtd",,$A$2,"."&amp;M$135&amp;M$1&amp;"C"&amp;$A175)="N/A",0,RTD("tos.rtd",,$A$2,"."&amp;M$135&amp;M$1&amp;"C"&amp;$A175))-IF(RTD("tos.rtd",,$A$2,"."&amp;M$135&amp;M$1&amp;"P"&amp;$A175)="N/A",0,RTD("tos.rtd",,$A$2,"."&amp;M$135&amp;M$1&amp;"P"&amp;$A175))</f>
        <v>0</v>
      </c>
      <c r="N175" s="91">
        <f ca="1">IF(RTD("tos.rtd",,$A$2,"."&amp;N$135&amp;N$1&amp;"C"&amp;$A175)="N/A",0,RTD("tos.rtd",,$A$2,"."&amp;N$135&amp;N$1&amp;"C"&amp;$A175))-IF(RTD("tos.rtd",,$A$2,"."&amp;N$135&amp;N$1&amp;"P"&amp;$A175)="N/A",0,RTD("tos.rtd",,$A$2,"."&amp;N$135&amp;N$1&amp;"P"&amp;$A175))</f>
        <v>0</v>
      </c>
      <c r="O175" s="91">
        <f ca="1">IF(RTD("tos.rtd",,$A$2,"."&amp;O$135&amp;O$1&amp;"C"&amp;$A175)="N/A",0,RTD("tos.rtd",,$A$2,"."&amp;O$135&amp;O$1&amp;"C"&amp;$A175))-IF(RTD("tos.rtd",,$A$2,"."&amp;O$135&amp;O$1&amp;"P"&amp;$A175)="N/A",0,RTD("tos.rtd",,$A$2,"."&amp;O$135&amp;O$1&amp;"P"&amp;$A175))</f>
        <v>0</v>
      </c>
      <c r="P175" s="91">
        <f ca="1">IF(RTD("tos.rtd",,$A$2,"."&amp;P$135&amp;P$1&amp;"C"&amp;$A175)="N/A",0,RTD("tos.rtd",,$A$2,"."&amp;P$135&amp;P$1&amp;"C"&amp;$A175))-IF(RTD("tos.rtd",,$A$2,"."&amp;P$135&amp;P$1&amp;"P"&amp;$A175)="N/A",0,RTD("tos.rtd",,$A$2,"."&amp;P$135&amp;P$1&amp;"P"&amp;$A175))</f>
        <v>0</v>
      </c>
      <c r="Q175" s="91">
        <f ca="1">IF(RTD("tos.rtd",,$A$2,"."&amp;Q$135&amp;Q$1&amp;"C"&amp;$A175)="N/A",0,RTD("tos.rtd",,$A$2,"."&amp;Q$135&amp;Q$1&amp;"C"&amp;$A175))-IF(RTD("tos.rtd",,$A$2,"."&amp;Q$135&amp;Q$1&amp;"P"&amp;$A175)="N/A",0,RTD("tos.rtd",,$A$2,"."&amp;Q$135&amp;Q$1&amp;"P"&amp;$A175))</f>
        <v>0</v>
      </c>
      <c r="R175" s="91">
        <f ca="1">IF(RTD("tos.rtd",,$A$2,"."&amp;R$135&amp;R$1&amp;"C"&amp;$A175)="N/A",0,RTD("tos.rtd",,$A$2,"."&amp;R$135&amp;R$1&amp;"C"&amp;$A175))-IF(RTD("tos.rtd",,$A$2,"."&amp;R$135&amp;R$1&amp;"P"&amp;$A175)="N/A",0,RTD("tos.rtd",,$A$2,"."&amp;R$135&amp;R$1&amp;"P"&amp;$A175))</f>
        <v>0</v>
      </c>
      <c r="S175" s="91">
        <f ca="1">IF(RTD("tos.rtd",,$A$2,"."&amp;S$135&amp;S$1&amp;"C"&amp;$A175)="N/A",0,RTD("tos.rtd",,$A$2,"."&amp;S$135&amp;S$1&amp;"C"&amp;$A175))-IF(RTD("tos.rtd",,$A$2,"."&amp;S$135&amp;S$1&amp;"P"&amp;$A175)="N/A",0,RTD("tos.rtd",,$A$2,"."&amp;S$135&amp;S$1&amp;"P"&amp;$A175))</f>
        <v>0</v>
      </c>
      <c r="T175" s="91">
        <f ca="1">IF(RTD("tos.rtd",,$A$2,"."&amp;T$135&amp;T$1&amp;"C"&amp;$A175)="N/A",0,RTD("tos.rtd",,$A$2,"."&amp;T$135&amp;T$1&amp;"C"&amp;$A175))-IF(RTD("tos.rtd",,$A$2,"."&amp;T$135&amp;T$1&amp;"P"&amp;$A175)="N/A",0,RTD("tos.rtd",,$A$2,"."&amp;T$135&amp;T$1&amp;"P"&amp;$A175))</f>
        <v>0</v>
      </c>
      <c r="U175" s="91">
        <f ca="1">IF(RTD("tos.rtd",,$A$2,"."&amp;U$135&amp;U$1&amp;"C"&amp;$A175)="N/A",0,RTD("tos.rtd",,$A$2,"."&amp;U$135&amp;U$1&amp;"C"&amp;$A175))-IF(RTD("tos.rtd",,$A$2,"."&amp;U$135&amp;U$1&amp;"P"&amp;$A175)="N/A",0,RTD("tos.rtd",,$A$2,"."&amp;U$135&amp;U$1&amp;"P"&amp;$A175))</f>
        <v>0</v>
      </c>
      <c r="V175" s="91">
        <f ca="1">IF(RTD("tos.rtd",,$A$2,"."&amp;V$135&amp;V$1&amp;"C"&amp;$A175)="N/A",0,RTD("tos.rtd",,$A$2,"."&amp;V$135&amp;V$1&amp;"C"&amp;$A175))-IF(RTD("tos.rtd",,$A$2,"."&amp;V$135&amp;V$1&amp;"P"&amp;$A175)="N/A",0,RTD("tos.rtd",,$A$2,"."&amp;V$135&amp;V$1&amp;"P"&amp;$A175))</f>
        <v>0</v>
      </c>
      <c r="W175" s="91">
        <f ca="1">IF(RTD("tos.rtd",,$A$2,"."&amp;W$135&amp;W$1&amp;"C"&amp;$A175)="N/A",0,RTD("tos.rtd",,$A$2,"."&amp;W$135&amp;W$1&amp;"C"&amp;$A175))-IF(RTD("tos.rtd",,$A$2,"."&amp;W$135&amp;W$1&amp;"P"&amp;$A175)="N/A",0,RTD("tos.rtd",,$A$2,"."&amp;W$135&amp;W$1&amp;"P"&amp;$A175))</f>
        <v>0</v>
      </c>
      <c r="X175" s="91">
        <f ca="1">IF(RTD("tos.rtd",,$A$2,"."&amp;X$135&amp;X$1&amp;"C"&amp;$A175)="N/A",0,RTD("tos.rtd",,$A$2,"."&amp;X$135&amp;X$1&amp;"C"&amp;$A175))-IF(RTD("tos.rtd",,$A$2,"."&amp;X$135&amp;X$1&amp;"P"&amp;$A175)="N/A",0,RTD("tos.rtd",,$A$2,"."&amp;X$135&amp;X$1&amp;"P"&amp;$A175))</f>
        <v>0</v>
      </c>
      <c r="Y175" s="98">
        <f t="shared" ca="1" si="13"/>
        <v>-1</v>
      </c>
      <c r="Z175" s="91"/>
      <c r="AA175" s="91"/>
    </row>
    <row r="176" spans="1:27" x14ac:dyDescent="0.25">
      <c r="A176" s="93">
        <f>+Hoja1!A175</f>
        <v>20400</v>
      </c>
      <c r="B176" s="91">
        <f ca="1">IF(RTD("tos.rtd",,$A$2,"."&amp;B$135&amp;B$1&amp;"C"&amp;$A176)="N/A",0,RTD("tos.rtd",,$A$2,"."&amp;B$135&amp;B$1&amp;"C"&amp;$A176))-IF(RTD("tos.rtd",,$A$2,"."&amp;B$135&amp;B$1&amp;"P"&amp;$A176)="N/A",0,RTD("tos.rtd",,$A$2,"."&amp;B$135&amp;B$1&amp;"P"&amp;$A176))</f>
        <v>0</v>
      </c>
      <c r="C176" s="91">
        <f ca="1">IF(RTD("tos.rtd",,$A$2,"."&amp;C$135&amp;C$1&amp;"C"&amp;$A176)="N/A",0,RTD("tos.rtd",,$A$2,"."&amp;C$135&amp;C$1&amp;"C"&amp;$A176))-IF(RTD("tos.rtd",,$A$2,"."&amp;C$135&amp;C$1&amp;"P"&amp;$A176)="N/A",0,RTD("tos.rtd",,$A$2,"."&amp;C$135&amp;C$1&amp;"P"&amp;$A176))</f>
        <v>0</v>
      </c>
      <c r="D176" s="91">
        <f ca="1">IF(RTD("tos.rtd",,$A$2,"."&amp;D$135&amp;D$1&amp;"C"&amp;$A176)="N/A",0,RTD("tos.rtd",,$A$2,"."&amp;D$135&amp;D$1&amp;"C"&amp;$A176))-IF(RTD("tos.rtd",,$A$2,"."&amp;D$135&amp;D$1&amp;"P"&amp;$A176)="N/A",0,RTD("tos.rtd",,$A$2,"."&amp;D$135&amp;D$1&amp;"P"&amp;$A176))</f>
        <v>0</v>
      </c>
      <c r="E176" s="91">
        <f ca="1">IF(RTD("tos.rtd",,$A$2,"."&amp;E$135&amp;E$1&amp;"C"&amp;$A176)="N/A",0,RTD("tos.rtd",,$A$2,"."&amp;E$135&amp;E$1&amp;"C"&amp;$A176))-IF(RTD("tos.rtd",,$A$2,"."&amp;E$135&amp;E$1&amp;"P"&amp;$A176)="N/A",0,RTD("tos.rtd",,$A$2,"."&amp;E$135&amp;E$1&amp;"P"&amp;$A176))</f>
        <v>0</v>
      </c>
      <c r="F176" s="91">
        <f ca="1">IF(RTD("tos.rtd",,$A$2,"."&amp;F$135&amp;F$1&amp;"C"&amp;$A176)="N/A",0,RTD("tos.rtd",,$A$2,"."&amp;F$135&amp;F$1&amp;"C"&amp;$A176))-IF(RTD("tos.rtd",,$A$2,"."&amp;F$135&amp;F$1&amp;"P"&amp;$A176)="N/A",0,RTD("tos.rtd",,$A$2,"."&amp;F$135&amp;F$1&amp;"P"&amp;$A176))</f>
        <v>0</v>
      </c>
      <c r="G176" s="91">
        <f ca="1">IF(RTD("tos.rtd",,$A$2,"."&amp;G$135&amp;G$1&amp;"C"&amp;$A176)="N/A",0,RTD("tos.rtd",,$A$2,"."&amp;G$135&amp;G$1&amp;"C"&amp;$A176))-IF(RTD("tos.rtd",,$A$2,"."&amp;G$135&amp;G$1&amp;"P"&amp;$A176)="N/A",0,RTD("tos.rtd",,$A$2,"."&amp;G$135&amp;G$1&amp;"P"&amp;$A176))</f>
        <v>0</v>
      </c>
      <c r="H176" s="91">
        <f ca="1">IF(RTD("tos.rtd",,$A$2,"."&amp;H$135&amp;H$1&amp;"C"&amp;$A176)="N/A",0,RTD("tos.rtd",,$A$2,"."&amp;H$135&amp;H$1&amp;"C"&amp;$A176))-IF(RTD("tos.rtd",,$A$2,"."&amp;H$135&amp;H$1&amp;"P"&amp;$A176)="N/A",0,RTD("tos.rtd",,$A$2,"."&amp;H$135&amp;H$1&amp;"P"&amp;$A176))</f>
        <v>0</v>
      </c>
      <c r="I176" s="91">
        <f ca="1">IF(RTD("tos.rtd",,$A$2,"."&amp;I$135&amp;I$1&amp;"C"&amp;$A176)="N/A",0,RTD("tos.rtd",,$A$2,"."&amp;I$135&amp;I$1&amp;"C"&amp;$A176))-IF(RTD("tos.rtd",,$A$2,"."&amp;I$135&amp;I$1&amp;"P"&amp;$A176)="N/A",0,RTD("tos.rtd",,$A$2,"."&amp;I$135&amp;I$1&amp;"P"&amp;$A176))</f>
        <v>0</v>
      </c>
      <c r="J176" s="91">
        <f ca="1">IF(RTD("tos.rtd",,$A$2,"."&amp;J$135&amp;J$1&amp;"C"&amp;$A176)="N/A",0,RTD("tos.rtd",,$A$2,"."&amp;J$135&amp;J$1&amp;"C"&amp;$A176))-IF(RTD("tos.rtd",,$A$2,"."&amp;J$135&amp;J$1&amp;"P"&amp;$A176)="N/A",0,RTD("tos.rtd",,$A$2,"."&amp;J$135&amp;J$1&amp;"P"&amp;$A176))</f>
        <v>1</v>
      </c>
      <c r="K176" s="91">
        <f ca="1">IF(RTD("tos.rtd",,$A$2,"."&amp;K$135&amp;K$1&amp;"C"&amp;$A176)="N/A",0,RTD("tos.rtd",,$A$2,"."&amp;K$135&amp;K$1&amp;"C"&amp;$A176))-IF(RTD("tos.rtd",,$A$2,"."&amp;K$135&amp;K$1&amp;"P"&amp;$A176)="N/A",0,RTD("tos.rtd",,$A$2,"."&amp;K$135&amp;K$1&amp;"P"&amp;$A176))</f>
        <v>0</v>
      </c>
      <c r="L176" s="91">
        <f ca="1">IF(RTD("tos.rtd",,$A$2,"."&amp;L$135&amp;L$1&amp;"C"&amp;$A176)="N/A",0,RTD("tos.rtd",,$A$2,"."&amp;L$135&amp;L$1&amp;"C"&amp;$A176))-IF(RTD("tos.rtd",,$A$2,"."&amp;L$135&amp;L$1&amp;"P"&amp;$A176)="N/A",0,RTD("tos.rtd",,$A$2,"."&amp;L$135&amp;L$1&amp;"P"&amp;$A176))</f>
        <v>0</v>
      </c>
      <c r="M176" s="91">
        <f ca="1">IF(RTD("tos.rtd",,$A$2,"."&amp;M$135&amp;M$1&amp;"C"&amp;$A176)="N/A",0,RTD("tos.rtd",,$A$2,"."&amp;M$135&amp;M$1&amp;"C"&amp;$A176))-IF(RTD("tos.rtd",,$A$2,"."&amp;M$135&amp;M$1&amp;"P"&amp;$A176)="N/A",0,RTD("tos.rtd",,$A$2,"."&amp;M$135&amp;M$1&amp;"P"&amp;$A176))</f>
        <v>2</v>
      </c>
      <c r="N176" s="91">
        <f ca="1">IF(RTD("tos.rtd",,$A$2,"."&amp;N$135&amp;N$1&amp;"C"&amp;$A176)="N/A",0,RTD("tos.rtd",,$A$2,"."&amp;N$135&amp;N$1&amp;"C"&amp;$A176))-IF(RTD("tos.rtd",,$A$2,"."&amp;N$135&amp;N$1&amp;"P"&amp;$A176)="N/A",0,RTD("tos.rtd",,$A$2,"."&amp;N$135&amp;N$1&amp;"P"&amp;$A176))</f>
        <v>0</v>
      </c>
      <c r="O176" s="91">
        <f ca="1">IF(RTD("tos.rtd",,$A$2,"."&amp;O$135&amp;O$1&amp;"C"&amp;$A176)="N/A",0,RTD("tos.rtd",,$A$2,"."&amp;O$135&amp;O$1&amp;"C"&amp;$A176))-IF(RTD("tos.rtd",,$A$2,"."&amp;O$135&amp;O$1&amp;"P"&amp;$A176)="N/A",0,RTD("tos.rtd",,$A$2,"."&amp;O$135&amp;O$1&amp;"P"&amp;$A176))</f>
        <v>2</v>
      </c>
      <c r="P176" s="91">
        <f ca="1">IF(RTD("tos.rtd",,$A$2,"."&amp;P$135&amp;P$1&amp;"C"&amp;$A176)="N/A",0,RTD("tos.rtd",,$A$2,"."&amp;P$135&amp;P$1&amp;"C"&amp;$A176))-IF(RTD("tos.rtd",,$A$2,"."&amp;P$135&amp;P$1&amp;"P"&amp;$A176)="N/A",0,RTD("tos.rtd",,$A$2,"."&amp;P$135&amp;P$1&amp;"P"&amp;$A176))</f>
        <v>0</v>
      </c>
      <c r="Q176" s="91">
        <f ca="1">IF(RTD("tos.rtd",,$A$2,"."&amp;Q$135&amp;Q$1&amp;"C"&amp;$A176)="N/A",0,RTD("tos.rtd",,$A$2,"."&amp;Q$135&amp;Q$1&amp;"C"&amp;$A176))-IF(RTD("tos.rtd",,$A$2,"."&amp;Q$135&amp;Q$1&amp;"P"&amp;$A176)="N/A",0,RTD("tos.rtd",,$A$2,"."&amp;Q$135&amp;Q$1&amp;"P"&amp;$A176))</f>
        <v>0</v>
      </c>
      <c r="R176" s="91">
        <f ca="1">IF(RTD("tos.rtd",,$A$2,"."&amp;R$135&amp;R$1&amp;"C"&amp;$A176)="N/A",0,RTD("tos.rtd",,$A$2,"."&amp;R$135&amp;R$1&amp;"C"&amp;$A176))-IF(RTD("tos.rtd",,$A$2,"."&amp;R$135&amp;R$1&amp;"P"&amp;$A176)="N/A",0,RTD("tos.rtd",,$A$2,"."&amp;R$135&amp;R$1&amp;"P"&amp;$A176))</f>
        <v>0</v>
      </c>
      <c r="S176" s="91">
        <f ca="1">IF(RTD("tos.rtd",,$A$2,"."&amp;S$135&amp;S$1&amp;"C"&amp;$A176)="N/A",0,RTD("tos.rtd",,$A$2,"."&amp;S$135&amp;S$1&amp;"C"&amp;$A176))-IF(RTD("tos.rtd",,$A$2,"."&amp;S$135&amp;S$1&amp;"P"&amp;$A176)="N/A",0,RTD("tos.rtd",,$A$2,"."&amp;S$135&amp;S$1&amp;"P"&amp;$A176))</f>
        <v>0</v>
      </c>
      <c r="T176" s="91">
        <f ca="1">IF(RTD("tos.rtd",,$A$2,"."&amp;T$135&amp;T$1&amp;"C"&amp;$A176)="N/A",0,RTD("tos.rtd",,$A$2,"."&amp;T$135&amp;T$1&amp;"C"&amp;$A176))-IF(RTD("tos.rtd",,$A$2,"."&amp;T$135&amp;T$1&amp;"P"&amp;$A176)="N/A",0,RTD("tos.rtd",,$A$2,"."&amp;T$135&amp;T$1&amp;"P"&amp;$A176))</f>
        <v>0</v>
      </c>
      <c r="U176" s="91">
        <f ca="1">IF(RTD("tos.rtd",,$A$2,"."&amp;U$135&amp;U$1&amp;"C"&amp;$A176)="N/A",0,RTD("tos.rtd",,$A$2,"."&amp;U$135&amp;U$1&amp;"C"&amp;$A176))-IF(RTD("tos.rtd",,$A$2,"."&amp;U$135&amp;U$1&amp;"P"&amp;$A176)="N/A",0,RTD("tos.rtd",,$A$2,"."&amp;U$135&amp;U$1&amp;"P"&amp;$A176))</f>
        <v>0</v>
      </c>
      <c r="V176" s="91">
        <f ca="1">IF(RTD("tos.rtd",,$A$2,"."&amp;V$135&amp;V$1&amp;"C"&amp;$A176)="N/A",0,RTD("tos.rtd",,$A$2,"."&amp;V$135&amp;V$1&amp;"C"&amp;$A176))-IF(RTD("tos.rtd",,$A$2,"."&amp;V$135&amp;V$1&amp;"P"&amp;$A176)="N/A",0,RTD("tos.rtd",,$A$2,"."&amp;V$135&amp;V$1&amp;"P"&amp;$A176))</f>
        <v>0</v>
      </c>
      <c r="W176" s="91">
        <f ca="1">IF(RTD("tos.rtd",,$A$2,"."&amp;W$135&amp;W$1&amp;"C"&amp;$A176)="N/A",0,RTD("tos.rtd",,$A$2,"."&amp;W$135&amp;W$1&amp;"C"&amp;$A176))-IF(RTD("tos.rtd",,$A$2,"."&amp;W$135&amp;W$1&amp;"P"&amp;$A176)="N/A",0,RTD("tos.rtd",,$A$2,"."&amp;W$135&amp;W$1&amp;"P"&amp;$A176))</f>
        <v>-2</v>
      </c>
      <c r="X176" s="91">
        <f ca="1">IF(RTD("tos.rtd",,$A$2,"."&amp;X$135&amp;X$1&amp;"C"&amp;$A176)="N/A",0,RTD("tos.rtd",,$A$2,"."&amp;X$135&amp;X$1&amp;"C"&amp;$A176))-IF(RTD("tos.rtd",,$A$2,"."&amp;X$135&amp;X$1&amp;"P"&amp;$A176)="N/A",0,RTD("tos.rtd",,$A$2,"."&amp;X$135&amp;X$1&amp;"P"&amp;$A176))</f>
        <v>0</v>
      </c>
      <c r="Y176" s="98">
        <f t="shared" ca="1" si="13"/>
        <v>3</v>
      </c>
      <c r="Z176" s="91"/>
      <c r="AA176" s="91"/>
    </row>
    <row r="177" spans="1:27" x14ac:dyDescent="0.25">
      <c r="A177" s="93">
        <f>+Hoja1!A176</f>
        <v>20375</v>
      </c>
      <c r="B177" s="91">
        <f ca="1">IF(RTD("tos.rtd",,$A$2,"."&amp;B$135&amp;B$1&amp;"C"&amp;$A177)="N/A",0,RTD("tos.rtd",,$A$2,"."&amp;B$135&amp;B$1&amp;"C"&amp;$A177))-IF(RTD("tos.rtd",,$A$2,"."&amp;B$135&amp;B$1&amp;"P"&amp;$A177)="N/A",0,RTD("tos.rtd",,$A$2,"."&amp;B$135&amp;B$1&amp;"P"&amp;$A177))</f>
        <v>0</v>
      </c>
      <c r="C177" s="91">
        <f ca="1">IF(RTD("tos.rtd",,$A$2,"."&amp;C$135&amp;C$1&amp;"C"&amp;$A177)="N/A",0,RTD("tos.rtd",,$A$2,"."&amp;C$135&amp;C$1&amp;"C"&amp;$A177))-IF(RTD("tos.rtd",,$A$2,"."&amp;C$135&amp;C$1&amp;"P"&amp;$A177)="N/A",0,RTD("tos.rtd",,$A$2,"."&amp;C$135&amp;C$1&amp;"P"&amp;$A177))</f>
        <v>0</v>
      </c>
      <c r="D177" s="91">
        <f ca="1">IF(RTD("tos.rtd",,$A$2,"."&amp;D$135&amp;D$1&amp;"C"&amp;$A177)="N/A",0,RTD("tos.rtd",,$A$2,"."&amp;D$135&amp;D$1&amp;"C"&amp;$A177))-IF(RTD("tos.rtd",,$A$2,"."&amp;D$135&amp;D$1&amp;"P"&amp;$A177)="N/A",0,RTD("tos.rtd",,$A$2,"."&amp;D$135&amp;D$1&amp;"P"&amp;$A177))</f>
        <v>0</v>
      </c>
      <c r="E177" s="91">
        <f ca="1">IF(RTD("tos.rtd",,$A$2,"."&amp;E$135&amp;E$1&amp;"C"&amp;$A177)="N/A",0,RTD("tos.rtd",,$A$2,"."&amp;E$135&amp;E$1&amp;"C"&amp;$A177))-IF(RTD("tos.rtd",,$A$2,"."&amp;E$135&amp;E$1&amp;"P"&amp;$A177)="N/A",0,RTD("tos.rtd",,$A$2,"."&amp;E$135&amp;E$1&amp;"P"&amp;$A177))</f>
        <v>0</v>
      </c>
      <c r="F177" s="91">
        <f ca="1">IF(RTD("tos.rtd",,$A$2,"."&amp;F$135&amp;F$1&amp;"C"&amp;$A177)="N/A",0,RTD("tos.rtd",,$A$2,"."&amp;F$135&amp;F$1&amp;"C"&amp;$A177))-IF(RTD("tos.rtd",,$A$2,"."&amp;F$135&amp;F$1&amp;"P"&amp;$A177)="N/A",0,RTD("tos.rtd",,$A$2,"."&amp;F$135&amp;F$1&amp;"P"&amp;$A177))</f>
        <v>0</v>
      </c>
      <c r="G177" s="91">
        <f ca="1">IF(RTD("tos.rtd",,$A$2,"."&amp;G$135&amp;G$1&amp;"C"&amp;$A177)="N/A",0,RTD("tos.rtd",,$A$2,"."&amp;G$135&amp;G$1&amp;"C"&amp;$A177))-IF(RTD("tos.rtd",,$A$2,"."&amp;G$135&amp;G$1&amp;"P"&amp;$A177)="N/A",0,RTD("tos.rtd",,$A$2,"."&amp;G$135&amp;G$1&amp;"P"&amp;$A177))</f>
        <v>0</v>
      </c>
      <c r="H177" s="91">
        <f ca="1">IF(RTD("tos.rtd",,$A$2,"."&amp;H$135&amp;H$1&amp;"C"&amp;$A177)="N/A",0,RTD("tos.rtd",,$A$2,"."&amp;H$135&amp;H$1&amp;"C"&amp;$A177))-IF(RTD("tos.rtd",,$A$2,"."&amp;H$135&amp;H$1&amp;"P"&amp;$A177)="N/A",0,RTD("tos.rtd",,$A$2,"."&amp;H$135&amp;H$1&amp;"P"&amp;$A177))</f>
        <v>0</v>
      </c>
      <c r="I177" s="91">
        <f ca="1">IF(RTD("tos.rtd",,$A$2,"."&amp;I$135&amp;I$1&amp;"C"&amp;$A177)="N/A",0,RTD("tos.rtd",,$A$2,"."&amp;I$135&amp;I$1&amp;"C"&amp;$A177))-IF(RTD("tos.rtd",,$A$2,"."&amp;I$135&amp;I$1&amp;"P"&amp;$A177)="N/A",0,RTD("tos.rtd",,$A$2,"."&amp;I$135&amp;I$1&amp;"P"&amp;$A177))</f>
        <v>-1</v>
      </c>
      <c r="J177" s="91">
        <f ca="1">IF(RTD("tos.rtd",,$A$2,"."&amp;J$135&amp;J$1&amp;"C"&amp;$A177)="N/A",0,RTD("tos.rtd",,$A$2,"."&amp;J$135&amp;J$1&amp;"C"&amp;$A177))-IF(RTD("tos.rtd",,$A$2,"."&amp;J$135&amp;J$1&amp;"P"&amp;$A177)="N/A",0,RTD("tos.rtd",,$A$2,"."&amp;J$135&amp;J$1&amp;"P"&amp;$A177))</f>
        <v>0</v>
      </c>
      <c r="K177" s="91">
        <f ca="1">IF(RTD("tos.rtd",,$A$2,"."&amp;K$135&amp;K$1&amp;"C"&amp;$A177)="N/A",0,RTD("tos.rtd",,$A$2,"."&amp;K$135&amp;K$1&amp;"C"&amp;$A177))-IF(RTD("tos.rtd",,$A$2,"."&amp;K$135&amp;K$1&amp;"P"&amp;$A177)="N/A",0,RTD("tos.rtd",,$A$2,"."&amp;K$135&amp;K$1&amp;"P"&amp;$A177))</f>
        <v>0</v>
      </c>
      <c r="L177" s="91">
        <f ca="1">IF(RTD("tos.rtd",,$A$2,"."&amp;L$135&amp;L$1&amp;"C"&amp;$A177)="N/A",0,RTD("tos.rtd",,$A$2,"."&amp;L$135&amp;L$1&amp;"C"&amp;$A177))-IF(RTD("tos.rtd",,$A$2,"."&amp;L$135&amp;L$1&amp;"P"&amp;$A177)="N/A",0,RTD("tos.rtd",,$A$2,"."&amp;L$135&amp;L$1&amp;"P"&amp;$A177))</f>
        <v>0</v>
      </c>
      <c r="M177" s="91">
        <f ca="1">IF(RTD("tos.rtd",,$A$2,"."&amp;M$135&amp;M$1&amp;"C"&amp;$A177)="N/A",0,RTD("tos.rtd",,$A$2,"."&amp;M$135&amp;M$1&amp;"C"&amp;$A177))-IF(RTD("tos.rtd",,$A$2,"."&amp;M$135&amp;M$1&amp;"P"&amp;$A177)="N/A",0,RTD("tos.rtd",,$A$2,"."&amp;M$135&amp;M$1&amp;"P"&amp;$A177))</f>
        <v>0</v>
      </c>
      <c r="N177" s="91">
        <f ca="1">IF(RTD("tos.rtd",,$A$2,"."&amp;N$135&amp;N$1&amp;"C"&amp;$A177)="N/A",0,RTD("tos.rtd",,$A$2,"."&amp;N$135&amp;N$1&amp;"C"&amp;$A177))-IF(RTD("tos.rtd",,$A$2,"."&amp;N$135&amp;N$1&amp;"P"&amp;$A177)="N/A",0,RTD("tos.rtd",,$A$2,"."&amp;N$135&amp;N$1&amp;"P"&amp;$A177))</f>
        <v>0</v>
      </c>
      <c r="O177" s="91">
        <f ca="1">IF(RTD("tos.rtd",,$A$2,"."&amp;O$135&amp;O$1&amp;"C"&amp;$A177)="N/A",0,RTD("tos.rtd",,$A$2,"."&amp;O$135&amp;O$1&amp;"C"&amp;$A177))-IF(RTD("tos.rtd",,$A$2,"."&amp;O$135&amp;O$1&amp;"P"&amp;$A177)="N/A",0,RTD("tos.rtd",,$A$2,"."&amp;O$135&amp;O$1&amp;"P"&amp;$A177))</f>
        <v>0</v>
      </c>
      <c r="P177" s="91">
        <f ca="1">IF(RTD("tos.rtd",,$A$2,"."&amp;P$135&amp;P$1&amp;"C"&amp;$A177)="N/A",0,RTD("tos.rtd",,$A$2,"."&amp;P$135&amp;P$1&amp;"C"&amp;$A177))-IF(RTD("tos.rtd",,$A$2,"."&amp;P$135&amp;P$1&amp;"P"&amp;$A177)="N/A",0,RTD("tos.rtd",,$A$2,"."&amp;P$135&amp;P$1&amp;"P"&amp;$A177))</f>
        <v>0</v>
      </c>
      <c r="Q177" s="91">
        <f ca="1">IF(RTD("tos.rtd",,$A$2,"."&amp;Q$135&amp;Q$1&amp;"C"&amp;$A177)="N/A",0,RTD("tos.rtd",,$A$2,"."&amp;Q$135&amp;Q$1&amp;"C"&amp;$A177))-IF(RTD("tos.rtd",,$A$2,"."&amp;Q$135&amp;Q$1&amp;"P"&amp;$A177)="N/A",0,RTD("tos.rtd",,$A$2,"."&amp;Q$135&amp;Q$1&amp;"P"&amp;$A177))</f>
        <v>0</v>
      </c>
      <c r="R177" s="91">
        <f ca="1">IF(RTD("tos.rtd",,$A$2,"."&amp;R$135&amp;R$1&amp;"C"&amp;$A177)="N/A",0,RTD("tos.rtd",,$A$2,"."&amp;R$135&amp;R$1&amp;"C"&amp;$A177))-IF(RTD("tos.rtd",,$A$2,"."&amp;R$135&amp;R$1&amp;"P"&amp;$A177)="N/A",0,RTD("tos.rtd",,$A$2,"."&amp;R$135&amp;R$1&amp;"P"&amp;$A177))</f>
        <v>0</v>
      </c>
      <c r="S177" s="91">
        <f ca="1">IF(RTD("tos.rtd",,$A$2,"."&amp;S$135&amp;S$1&amp;"C"&amp;$A177)="N/A",0,RTD("tos.rtd",,$A$2,"."&amp;S$135&amp;S$1&amp;"C"&amp;$A177))-IF(RTD("tos.rtd",,$A$2,"."&amp;S$135&amp;S$1&amp;"P"&amp;$A177)="N/A",0,RTD("tos.rtd",,$A$2,"."&amp;S$135&amp;S$1&amp;"P"&amp;$A177))</f>
        <v>0</v>
      </c>
      <c r="T177" s="91">
        <f ca="1">IF(RTD("tos.rtd",,$A$2,"."&amp;T$135&amp;T$1&amp;"C"&amp;$A177)="N/A",0,RTD("tos.rtd",,$A$2,"."&amp;T$135&amp;T$1&amp;"C"&amp;$A177))-IF(RTD("tos.rtd",,$A$2,"."&amp;T$135&amp;T$1&amp;"P"&amp;$A177)="N/A",0,RTD("tos.rtd",,$A$2,"."&amp;T$135&amp;T$1&amp;"P"&amp;$A177))</f>
        <v>0</v>
      </c>
      <c r="U177" s="91">
        <f ca="1">IF(RTD("tos.rtd",,$A$2,"."&amp;U$135&amp;U$1&amp;"C"&amp;$A177)="N/A",0,RTD("tos.rtd",,$A$2,"."&amp;U$135&amp;U$1&amp;"C"&amp;$A177))-IF(RTD("tos.rtd",,$A$2,"."&amp;U$135&amp;U$1&amp;"P"&amp;$A177)="N/A",0,RTD("tos.rtd",,$A$2,"."&amp;U$135&amp;U$1&amp;"P"&amp;$A177))</f>
        <v>0</v>
      </c>
      <c r="V177" s="91">
        <f ca="1">IF(RTD("tos.rtd",,$A$2,"."&amp;V$135&amp;V$1&amp;"C"&amp;$A177)="N/A",0,RTD("tos.rtd",,$A$2,"."&amp;V$135&amp;V$1&amp;"C"&amp;$A177))-IF(RTD("tos.rtd",,$A$2,"."&amp;V$135&amp;V$1&amp;"P"&amp;$A177)="N/A",0,RTD("tos.rtd",,$A$2,"."&amp;V$135&amp;V$1&amp;"P"&amp;$A177))</f>
        <v>0</v>
      </c>
      <c r="W177" s="91">
        <f ca="1">IF(RTD("tos.rtd",,$A$2,"."&amp;W$135&amp;W$1&amp;"C"&amp;$A177)="N/A",0,RTD("tos.rtd",,$A$2,"."&amp;W$135&amp;W$1&amp;"C"&amp;$A177))-IF(RTD("tos.rtd",,$A$2,"."&amp;W$135&amp;W$1&amp;"P"&amp;$A177)="N/A",0,RTD("tos.rtd",,$A$2,"."&amp;W$135&amp;W$1&amp;"P"&amp;$A177))</f>
        <v>0</v>
      </c>
      <c r="X177" s="91">
        <f ca="1">IF(RTD("tos.rtd",,$A$2,"."&amp;X$135&amp;X$1&amp;"C"&amp;$A177)="N/A",0,RTD("tos.rtd",,$A$2,"."&amp;X$135&amp;X$1&amp;"C"&amp;$A177))-IF(RTD("tos.rtd",,$A$2,"."&amp;X$135&amp;X$1&amp;"P"&amp;$A177)="N/A",0,RTD("tos.rtd",,$A$2,"."&amp;X$135&amp;X$1&amp;"P"&amp;$A177))</f>
        <v>0</v>
      </c>
      <c r="Y177" s="98">
        <f t="shared" ca="1" si="13"/>
        <v>-1</v>
      </c>
      <c r="Z177" s="91"/>
      <c r="AA177" s="91"/>
    </row>
    <row r="178" spans="1:27" x14ac:dyDescent="0.25">
      <c r="A178" s="93">
        <f>+Hoja1!A177</f>
        <v>20350</v>
      </c>
      <c r="B178" s="91">
        <f ca="1">IF(RTD("tos.rtd",,$A$2,"."&amp;B$135&amp;B$1&amp;"C"&amp;$A178)="N/A",0,RTD("tos.rtd",,$A$2,"."&amp;B$135&amp;B$1&amp;"C"&amp;$A178))-IF(RTD("tos.rtd",,$A$2,"."&amp;B$135&amp;B$1&amp;"P"&amp;$A178)="N/A",0,RTD("tos.rtd",,$A$2,"."&amp;B$135&amp;B$1&amp;"P"&amp;$A178))</f>
        <v>0</v>
      </c>
      <c r="C178" s="91">
        <f ca="1">IF(RTD("tos.rtd",,$A$2,"."&amp;C$135&amp;C$1&amp;"C"&amp;$A178)="N/A",0,RTD("tos.rtd",,$A$2,"."&amp;C$135&amp;C$1&amp;"C"&amp;$A178))-IF(RTD("tos.rtd",,$A$2,"."&amp;C$135&amp;C$1&amp;"P"&amp;$A178)="N/A",0,RTD("tos.rtd",,$A$2,"."&amp;C$135&amp;C$1&amp;"P"&amp;$A178))</f>
        <v>0</v>
      </c>
      <c r="D178" s="91">
        <f ca="1">IF(RTD("tos.rtd",,$A$2,"."&amp;D$135&amp;D$1&amp;"C"&amp;$A178)="N/A",0,RTD("tos.rtd",,$A$2,"."&amp;D$135&amp;D$1&amp;"C"&amp;$A178))-IF(RTD("tos.rtd",,$A$2,"."&amp;D$135&amp;D$1&amp;"P"&amp;$A178)="N/A",0,RTD("tos.rtd",,$A$2,"."&amp;D$135&amp;D$1&amp;"P"&amp;$A178))</f>
        <v>0</v>
      </c>
      <c r="E178" s="91">
        <f ca="1">IF(RTD("tos.rtd",,$A$2,"."&amp;E$135&amp;E$1&amp;"C"&amp;$A178)="N/A",0,RTD("tos.rtd",,$A$2,"."&amp;E$135&amp;E$1&amp;"C"&amp;$A178))-IF(RTD("tos.rtd",,$A$2,"."&amp;E$135&amp;E$1&amp;"P"&amp;$A178)="N/A",0,RTD("tos.rtd",,$A$2,"."&amp;E$135&amp;E$1&amp;"P"&amp;$A178))</f>
        <v>0</v>
      </c>
      <c r="F178" s="91">
        <f ca="1">IF(RTD("tos.rtd",,$A$2,"."&amp;F$135&amp;F$1&amp;"C"&amp;$A178)="N/A",0,RTD("tos.rtd",,$A$2,"."&amp;F$135&amp;F$1&amp;"C"&amp;$A178))-IF(RTD("tos.rtd",,$A$2,"."&amp;F$135&amp;F$1&amp;"P"&amp;$A178)="N/A",0,RTD("tos.rtd",,$A$2,"."&amp;F$135&amp;F$1&amp;"P"&amp;$A178))</f>
        <v>0</v>
      </c>
      <c r="G178" s="91">
        <f ca="1">IF(RTD("tos.rtd",,$A$2,"."&amp;G$135&amp;G$1&amp;"C"&amp;$A178)="N/A",0,RTD("tos.rtd",,$A$2,"."&amp;G$135&amp;G$1&amp;"C"&amp;$A178))-IF(RTD("tos.rtd",,$A$2,"."&amp;G$135&amp;G$1&amp;"P"&amp;$A178)="N/A",0,RTD("tos.rtd",,$A$2,"."&amp;G$135&amp;G$1&amp;"P"&amp;$A178))</f>
        <v>0</v>
      </c>
      <c r="H178" s="91">
        <f ca="1">IF(RTD("tos.rtd",,$A$2,"."&amp;H$135&amp;H$1&amp;"C"&amp;$A178)="N/A",0,RTD("tos.rtd",,$A$2,"."&amp;H$135&amp;H$1&amp;"C"&amp;$A178))-IF(RTD("tos.rtd",,$A$2,"."&amp;H$135&amp;H$1&amp;"P"&amp;$A178)="N/A",0,RTD("tos.rtd",,$A$2,"."&amp;H$135&amp;H$1&amp;"P"&amp;$A178))</f>
        <v>0</v>
      </c>
      <c r="I178" s="91">
        <f ca="1">IF(RTD("tos.rtd",,$A$2,"."&amp;I$135&amp;I$1&amp;"C"&amp;$A178)="N/A",0,RTD("tos.rtd",,$A$2,"."&amp;I$135&amp;I$1&amp;"C"&amp;$A178))-IF(RTD("tos.rtd",,$A$2,"."&amp;I$135&amp;I$1&amp;"P"&amp;$A178)="N/A",0,RTD("tos.rtd",,$A$2,"."&amp;I$135&amp;I$1&amp;"P"&amp;$A178))</f>
        <v>0</v>
      </c>
      <c r="J178" s="91">
        <f ca="1">IF(RTD("tos.rtd",,$A$2,"."&amp;J$135&amp;J$1&amp;"C"&amp;$A178)="N/A",0,RTD("tos.rtd",,$A$2,"."&amp;J$135&amp;J$1&amp;"C"&amp;$A178))-IF(RTD("tos.rtd",,$A$2,"."&amp;J$135&amp;J$1&amp;"P"&amp;$A178)="N/A",0,RTD("tos.rtd",,$A$2,"."&amp;J$135&amp;J$1&amp;"P"&amp;$A178))</f>
        <v>0</v>
      </c>
      <c r="K178" s="91">
        <f ca="1">IF(RTD("tos.rtd",,$A$2,"."&amp;K$135&amp;K$1&amp;"C"&amp;$A178)="N/A",0,RTD("tos.rtd",,$A$2,"."&amp;K$135&amp;K$1&amp;"C"&amp;$A178))-IF(RTD("tos.rtd",,$A$2,"."&amp;K$135&amp;K$1&amp;"P"&amp;$A178)="N/A",0,RTD("tos.rtd",,$A$2,"."&amp;K$135&amp;K$1&amp;"P"&amp;$A178))</f>
        <v>0</v>
      </c>
      <c r="L178" s="91">
        <f ca="1">IF(RTD("tos.rtd",,$A$2,"."&amp;L$135&amp;L$1&amp;"C"&amp;$A178)="N/A",0,RTD("tos.rtd",,$A$2,"."&amp;L$135&amp;L$1&amp;"C"&amp;$A178))-IF(RTD("tos.rtd",,$A$2,"."&amp;L$135&amp;L$1&amp;"P"&amp;$A178)="N/A",0,RTD("tos.rtd",,$A$2,"."&amp;L$135&amp;L$1&amp;"P"&amp;$A178))</f>
        <v>0</v>
      </c>
      <c r="M178" s="91">
        <f ca="1">IF(RTD("tos.rtd",,$A$2,"."&amp;M$135&amp;M$1&amp;"C"&amp;$A178)="N/A",0,RTD("tos.rtd",,$A$2,"."&amp;M$135&amp;M$1&amp;"C"&amp;$A178))-IF(RTD("tos.rtd",,$A$2,"."&amp;M$135&amp;M$1&amp;"P"&amp;$A178)="N/A",0,RTD("tos.rtd",,$A$2,"."&amp;M$135&amp;M$1&amp;"P"&amp;$A178))</f>
        <v>0</v>
      </c>
      <c r="N178" s="91">
        <f ca="1">IF(RTD("tos.rtd",,$A$2,"."&amp;N$135&amp;N$1&amp;"C"&amp;$A178)="N/A",0,RTD("tos.rtd",,$A$2,"."&amp;N$135&amp;N$1&amp;"C"&amp;$A178))-IF(RTD("tos.rtd",,$A$2,"."&amp;N$135&amp;N$1&amp;"P"&amp;$A178)="N/A",0,RTD("tos.rtd",,$A$2,"."&amp;N$135&amp;N$1&amp;"P"&amp;$A178))</f>
        <v>0</v>
      </c>
      <c r="O178" s="91">
        <f ca="1">IF(RTD("tos.rtd",,$A$2,"."&amp;O$135&amp;O$1&amp;"C"&amp;$A178)="N/A",0,RTD("tos.rtd",,$A$2,"."&amp;O$135&amp;O$1&amp;"C"&amp;$A178))-IF(RTD("tos.rtd",,$A$2,"."&amp;O$135&amp;O$1&amp;"P"&amp;$A178)="N/A",0,RTD("tos.rtd",,$A$2,"."&amp;O$135&amp;O$1&amp;"P"&amp;$A178))</f>
        <v>0</v>
      </c>
      <c r="P178" s="91">
        <f ca="1">IF(RTD("tos.rtd",,$A$2,"."&amp;P$135&amp;P$1&amp;"C"&amp;$A178)="N/A",0,RTD("tos.rtd",,$A$2,"."&amp;P$135&amp;P$1&amp;"C"&amp;$A178))-IF(RTD("tos.rtd",,$A$2,"."&amp;P$135&amp;P$1&amp;"P"&amp;$A178)="N/A",0,RTD("tos.rtd",,$A$2,"."&amp;P$135&amp;P$1&amp;"P"&amp;$A178))</f>
        <v>0</v>
      </c>
      <c r="Q178" s="91">
        <f ca="1">IF(RTD("tos.rtd",,$A$2,"."&amp;Q$135&amp;Q$1&amp;"C"&amp;$A178)="N/A",0,RTD("tos.rtd",,$A$2,"."&amp;Q$135&amp;Q$1&amp;"C"&amp;$A178))-IF(RTD("tos.rtd",,$A$2,"."&amp;Q$135&amp;Q$1&amp;"P"&amp;$A178)="N/A",0,RTD("tos.rtd",,$A$2,"."&amp;Q$135&amp;Q$1&amp;"P"&amp;$A178))</f>
        <v>0</v>
      </c>
      <c r="R178" s="91">
        <f ca="1">IF(RTD("tos.rtd",,$A$2,"."&amp;R$135&amp;R$1&amp;"C"&amp;$A178)="N/A",0,RTD("tos.rtd",,$A$2,"."&amp;R$135&amp;R$1&amp;"C"&amp;$A178))-IF(RTD("tos.rtd",,$A$2,"."&amp;R$135&amp;R$1&amp;"P"&amp;$A178)="N/A",0,RTD("tos.rtd",,$A$2,"."&amp;R$135&amp;R$1&amp;"P"&amp;$A178))</f>
        <v>0</v>
      </c>
      <c r="S178" s="91">
        <f ca="1">IF(RTD("tos.rtd",,$A$2,"."&amp;S$135&amp;S$1&amp;"C"&amp;$A178)="N/A",0,RTD("tos.rtd",,$A$2,"."&amp;S$135&amp;S$1&amp;"C"&amp;$A178))-IF(RTD("tos.rtd",,$A$2,"."&amp;S$135&amp;S$1&amp;"P"&amp;$A178)="N/A",0,RTD("tos.rtd",,$A$2,"."&amp;S$135&amp;S$1&amp;"P"&amp;$A178))</f>
        <v>0</v>
      </c>
      <c r="T178" s="91">
        <f ca="1">IF(RTD("tos.rtd",,$A$2,"."&amp;T$135&amp;T$1&amp;"C"&amp;$A178)="N/A",0,RTD("tos.rtd",,$A$2,"."&amp;T$135&amp;T$1&amp;"C"&amp;$A178))-IF(RTD("tos.rtd",,$A$2,"."&amp;T$135&amp;T$1&amp;"P"&amp;$A178)="N/A",0,RTD("tos.rtd",,$A$2,"."&amp;T$135&amp;T$1&amp;"P"&amp;$A178))</f>
        <v>0</v>
      </c>
      <c r="U178" s="91">
        <f ca="1">IF(RTD("tos.rtd",,$A$2,"."&amp;U$135&amp;U$1&amp;"C"&amp;$A178)="N/A",0,RTD("tos.rtd",,$A$2,"."&amp;U$135&amp;U$1&amp;"C"&amp;$A178))-IF(RTD("tos.rtd",,$A$2,"."&amp;U$135&amp;U$1&amp;"P"&amp;$A178)="N/A",0,RTD("tos.rtd",,$A$2,"."&amp;U$135&amp;U$1&amp;"P"&amp;$A178))</f>
        <v>0</v>
      </c>
      <c r="V178" s="91">
        <f ca="1">IF(RTD("tos.rtd",,$A$2,"."&amp;V$135&amp;V$1&amp;"C"&amp;$A178)="N/A",0,RTD("tos.rtd",,$A$2,"."&amp;V$135&amp;V$1&amp;"C"&amp;$A178))-IF(RTD("tos.rtd",,$A$2,"."&amp;V$135&amp;V$1&amp;"P"&amp;$A178)="N/A",0,RTD("tos.rtd",,$A$2,"."&amp;V$135&amp;V$1&amp;"P"&amp;$A178))</f>
        <v>0</v>
      </c>
      <c r="W178" s="91">
        <f ca="1">IF(RTD("tos.rtd",,$A$2,"."&amp;W$135&amp;W$1&amp;"C"&amp;$A178)="N/A",0,RTD("tos.rtd",,$A$2,"."&amp;W$135&amp;W$1&amp;"C"&amp;$A178))-IF(RTD("tos.rtd",,$A$2,"."&amp;W$135&amp;W$1&amp;"P"&amp;$A178)="N/A",0,RTD("tos.rtd",,$A$2,"."&amp;W$135&amp;W$1&amp;"P"&amp;$A178))</f>
        <v>0</v>
      </c>
      <c r="X178" s="91">
        <f ca="1">IF(RTD("tos.rtd",,$A$2,"."&amp;X$135&amp;X$1&amp;"C"&amp;$A178)="N/A",0,RTD("tos.rtd",,$A$2,"."&amp;X$135&amp;X$1&amp;"C"&amp;$A178))-IF(RTD("tos.rtd",,$A$2,"."&amp;X$135&amp;X$1&amp;"P"&amp;$A178)="N/A",0,RTD("tos.rtd",,$A$2,"."&amp;X$135&amp;X$1&amp;"P"&amp;$A178))</f>
        <v>0</v>
      </c>
      <c r="Y178" s="98">
        <f t="shared" ca="1" si="13"/>
        <v>0</v>
      </c>
      <c r="Z178" s="91"/>
      <c r="AA178" s="91"/>
    </row>
    <row r="179" spans="1:27" x14ac:dyDescent="0.25">
      <c r="A179" s="93">
        <f>+Hoja1!A178</f>
        <v>20325</v>
      </c>
      <c r="B179" s="91">
        <f ca="1">IF(RTD("tos.rtd",,$A$2,"."&amp;B$135&amp;B$1&amp;"C"&amp;$A179)="N/A",0,RTD("tos.rtd",,$A$2,"."&amp;B$135&amp;B$1&amp;"C"&amp;$A179))-IF(RTD("tos.rtd",,$A$2,"."&amp;B$135&amp;B$1&amp;"P"&amp;$A179)="N/A",0,RTD("tos.rtd",,$A$2,"."&amp;B$135&amp;B$1&amp;"P"&amp;$A179))</f>
        <v>0</v>
      </c>
      <c r="C179" s="91">
        <f ca="1">IF(RTD("tos.rtd",,$A$2,"."&amp;C$135&amp;C$1&amp;"C"&amp;$A179)="N/A",0,RTD("tos.rtd",,$A$2,"."&amp;C$135&amp;C$1&amp;"C"&amp;$A179))-IF(RTD("tos.rtd",,$A$2,"."&amp;C$135&amp;C$1&amp;"P"&amp;$A179)="N/A",0,RTD("tos.rtd",,$A$2,"."&amp;C$135&amp;C$1&amp;"P"&amp;$A179))</f>
        <v>0</v>
      </c>
      <c r="D179" s="91">
        <f ca="1">IF(RTD("tos.rtd",,$A$2,"."&amp;D$135&amp;D$1&amp;"C"&amp;$A179)="N/A",0,RTD("tos.rtd",,$A$2,"."&amp;D$135&amp;D$1&amp;"C"&amp;$A179))-IF(RTD("tos.rtd",,$A$2,"."&amp;D$135&amp;D$1&amp;"P"&amp;$A179)="N/A",0,RTD("tos.rtd",,$A$2,"."&amp;D$135&amp;D$1&amp;"P"&amp;$A179))</f>
        <v>0</v>
      </c>
      <c r="E179" s="91">
        <f ca="1">IF(RTD("tos.rtd",,$A$2,"."&amp;E$135&amp;E$1&amp;"C"&amp;$A179)="N/A",0,RTD("tos.rtd",,$A$2,"."&amp;E$135&amp;E$1&amp;"C"&amp;$A179))-IF(RTD("tos.rtd",,$A$2,"."&amp;E$135&amp;E$1&amp;"P"&amp;$A179)="N/A",0,RTD("tos.rtd",,$A$2,"."&amp;E$135&amp;E$1&amp;"P"&amp;$A179))</f>
        <v>0</v>
      </c>
      <c r="F179" s="91">
        <f ca="1">IF(RTD("tos.rtd",,$A$2,"."&amp;F$135&amp;F$1&amp;"C"&amp;$A179)="N/A",0,RTD("tos.rtd",,$A$2,"."&amp;F$135&amp;F$1&amp;"C"&amp;$A179))-IF(RTD("tos.rtd",,$A$2,"."&amp;F$135&amp;F$1&amp;"P"&amp;$A179)="N/A",0,RTD("tos.rtd",,$A$2,"."&amp;F$135&amp;F$1&amp;"P"&amp;$A179))</f>
        <v>0</v>
      </c>
      <c r="G179" s="91">
        <f ca="1">IF(RTD("tos.rtd",,$A$2,"."&amp;G$135&amp;G$1&amp;"C"&amp;$A179)="N/A",0,RTD("tos.rtd",,$A$2,"."&amp;G$135&amp;G$1&amp;"C"&amp;$A179))-IF(RTD("tos.rtd",,$A$2,"."&amp;G$135&amp;G$1&amp;"P"&amp;$A179)="N/A",0,RTD("tos.rtd",,$A$2,"."&amp;G$135&amp;G$1&amp;"P"&amp;$A179))</f>
        <v>0</v>
      </c>
      <c r="H179" s="91">
        <f ca="1">IF(RTD("tos.rtd",,$A$2,"."&amp;H$135&amp;H$1&amp;"C"&amp;$A179)="N/A",0,RTD("tos.rtd",,$A$2,"."&amp;H$135&amp;H$1&amp;"C"&amp;$A179))-IF(RTD("tos.rtd",,$A$2,"."&amp;H$135&amp;H$1&amp;"P"&amp;$A179)="N/A",0,RTD("tos.rtd",,$A$2,"."&amp;H$135&amp;H$1&amp;"P"&amp;$A179))</f>
        <v>0</v>
      </c>
      <c r="I179" s="91">
        <f ca="1">IF(RTD("tos.rtd",,$A$2,"."&amp;I$135&amp;I$1&amp;"C"&amp;$A179)="N/A",0,RTD("tos.rtd",,$A$2,"."&amp;I$135&amp;I$1&amp;"C"&amp;$A179))-IF(RTD("tos.rtd",,$A$2,"."&amp;I$135&amp;I$1&amp;"P"&amp;$A179)="N/A",0,RTD("tos.rtd",,$A$2,"."&amp;I$135&amp;I$1&amp;"P"&amp;$A179))</f>
        <v>0</v>
      </c>
      <c r="J179" s="91">
        <f ca="1">IF(RTD("tos.rtd",,$A$2,"."&amp;J$135&amp;J$1&amp;"C"&amp;$A179)="N/A",0,RTD("tos.rtd",,$A$2,"."&amp;J$135&amp;J$1&amp;"C"&amp;$A179))-IF(RTD("tos.rtd",,$A$2,"."&amp;J$135&amp;J$1&amp;"P"&amp;$A179)="N/A",0,RTD("tos.rtd",,$A$2,"."&amp;J$135&amp;J$1&amp;"P"&amp;$A179))</f>
        <v>0</v>
      </c>
      <c r="K179" s="91">
        <f ca="1">IF(RTD("tos.rtd",,$A$2,"."&amp;K$135&amp;K$1&amp;"C"&amp;$A179)="N/A",0,RTD("tos.rtd",,$A$2,"."&amp;K$135&amp;K$1&amp;"C"&amp;$A179))-IF(RTD("tos.rtd",,$A$2,"."&amp;K$135&amp;K$1&amp;"P"&amp;$A179)="N/A",0,RTD("tos.rtd",,$A$2,"."&amp;K$135&amp;K$1&amp;"P"&amp;$A179))</f>
        <v>0</v>
      </c>
      <c r="L179" s="91">
        <f ca="1">IF(RTD("tos.rtd",,$A$2,"."&amp;L$135&amp;L$1&amp;"C"&amp;$A179)="N/A",0,RTD("tos.rtd",,$A$2,"."&amp;L$135&amp;L$1&amp;"C"&amp;$A179))-IF(RTD("tos.rtd",,$A$2,"."&amp;L$135&amp;L$1&amp;"P"&amp;$A179)="N/A",0,RTD("tos.rtd",,$A$2,"."&amp;L$135&amp;L$1&amp;"P"&amp;$A179))</f>
        <v>0</v>
      </c>
      <c r="M179" s="91">
        <f ca="1">IF(RTD("tos.rtd",,$A$2,"."&amp;M$135&amp;M$1&amp;"C"&amp;$A179)="N/A",0,RTD("tos.rtd",,$A$2,"."&amp;M$135&amp;M$1&amp;"C"&amp;$A179))-IF(RTD("tos.rtd",,$A$2,"."&amp;M$135&amp;M$1&amp;"P"&amp;$A179)="N/A",0,RTD("tos.rtd",,$A$2,"."&amp;M$135&amp;M$1&amp;"P"&amp;$A179))</f>
        <v>0</v>
      </c>
      <c r="N179" s="91">
        <f ca="1">IF(RTD("tos.rtd",,$A$2,"."&amp;N$135&amp;N$1&amp;"C"&amp;$A179)="N/A",0,RTD("tos.rtd",,$A$2,"."&amp;N$135&amp;N$1&amp;"C"&amp;$A179))-IF(RTD("tos.rtd",,$A$2,"."&amp;N$135&amp;N$1&amp;"P"&amp;$A179)="N/A",0,RTD("tos.rtd",,$A$2,"."&amp;N$135&amp;N$1&amp;"P"&amp;$A179))</f>
        <v>0</v>
      </c>
      <c r="O179" s="91">
        <f ca="1">IF(RTD("tos.rtd",,$A$2,"."&amp;O$135&amp;O$1&amp;"C"&amp;$A179)="N/A",0,RTD("tos.rtd",,$A$2,"."&amp;O$135&amp;O$1&amp;"C"&amp;$A179))-IF(RTD("tos.rtd",,$A$2,"."&amp;O$135&amp;O$1&amp;"P"&amp;$A179)="N/A",0,RTD("tos.rtd",,$A$2,"."&amp;O$135&amp;O$1&amp;"P"&amp;$A179))</f>
        <v>0</v>
      </c>
      <c r="P179" s="91">
        <f ca="1">IF(RTD("tos.rtd",,$A$2,"."&amp;P$135&amp;P$1&amp;"C"&amp;$A179)="N/A",0,RTD("tos.rtd",,$A$2,"."&amp;P$135&amp;P$1&amp;"C"&amp;$A179))-IF(RTD("tos.rtd",,$A$2,"."&amp;P$135&amp;P$1&amp;"P"&amp;$A179)="N/A",0,RTD("tos.rtd",,$A$2,"."&amp;P$135&amp;P$1&amp;"P"&amp;$A179))</f>
        <v>0</v>
      </c>
      <c r="Q179" s="91">
        <f ca="1">IF(RTD("tos.rtd",,$A$2,"."&amp;Q$135&amp;Q$1&amp;"C"&amp;$A179)="N/A",0,RTD("tos.rtd",,$A$2,"."&amp;Q$135&amp;Q$1&amp;"C"&amp;$A179))-IF(RTD("tos.rtd",,$A$2,"."&amp;Q$135&amp;Q$1&amp;"P"&amp;$A179)="N/A",0,RTD("tos.rtd",,$A$2,"."&amp;Q$135&amp;Q$1&amp;"P"&amp;$A179))</f>
        <v>0</v>
      </c>
      <c r="R179" s="91">
        <f ca="1">IF(RTD("tos.rtd",,$A$2,"."&amp;R$135&amp;R$1&amp;"C"&amp;$A179)="N/A",0,RTD("tos.rtd",,$A$2,"."&amp;R$135&amp;R$1&amp;"C"&amp;$A179))-IF(RTD("tos.rtd",,$A$2,"."&amp;R$135&amp;R$1&amp;"P"&amp;$A179)="N/A",0,RTD("tos.rtd",,$A$2,"."&amp;R$135&amp;R$1&amp;"P"&amp;$A179))</f>
        <v>0</v>
      </c>
      <c r="S179" s="91">
        <f ca="1">IF(RTD("tos.rtd",,$A$2,"."&amp;S$135&amp;S$1&amp;"C"&amp;$A179)="N/A",0,RTD("tos.rtd",,$A$2,"."&amp;S$135&amp;S$1&amp;"C"&amp;$A179))-IF(RTD("tos.rtd",,$A$2,"."&amp;S$135&amp;S$1&amp;"P"&amp;$A179)="N/A",0,RTD("tos.rtd",,$A$2,"."&amp;S$135&amp;S$1&amp;"P"&amp;$A179))</f>
        <v>0</v>
      </c>
      <c r="T179" s="91">
        <f ca="1">IF(RTD("tos.rtd",,$A$2,"."&amp;T$135&amp;T$1&amp;"C"&amp;$A179)="N/A",0,RTD("tos.rtd",,$A$2,"."&amp;T$135&amp;T$1&amp;"C"&amp;$A179))-IF(RTD("tos.rtd",,$A$2,"."&amp;T$135&amp;T$1&amp;"P"&amp;$A179)="N/A",0,RTD("tos.rtd",,$A$2,"."&amp;T$135&amp;T$1&amp;"P"&amp;$A179))</f>
        <v>0</v>
      </c>
      <c r="U179" s="91">
        <f ca="1">IF(RTD("tos.rtd",,$A$2,"."&amp;U$135&amp;U$1&amp;"C"&amp;$A179)="N/A",0,RTD("tos.rtd",,$A$2,"."&amp;U$135&amp;U$1&amp;"C"&amp;$A179))-IF(RTD("tos.rtd",,$A$2,"."&amp;U$135&amp;U$1&amp;"P"&amp;$A179)="N/A",0,RTD("tos.rtd",,$A$2,"."&amp;U$135&amp;U$1&amp;"P"&amp;$A179))</f>
        <v>0</v>
      </c>
      <c r="V179" s="91">
        <f ca="1">IF(RTD("tos.rtd",,$A$2,"."&amp;V$135&amp;V$1&amp;"C"&amp;$A179)="N/A",0,RTD("tos.rtd",,$A$2,"."&amp;V$135&amp;V$1&amp;"C"&amp;$A179))-IF(RTD("tos.rtd",,$A$2,"."&amp;V$135&amp;V$1&amp;"P"&amp;$A179)="N/A",0,RTD("tos.rtd",,$A$2,"."&amp;V$135&amp;V$1&amp;"P"&amp;$A179))</f>
        <v>0</v>
      </c>
      <c r="W179" s="91">
        <f ca="1">IF(RTD("tos.rtd",,$A$2,"."&amp;W$135&amp;W$1&amp;"C"&amp;$A179)="N/A",0,RTD("tos.rtd",,$A$2,"."&amp;W$135&amp;W$1&amp;"C"&amp;$A179))-IF(RTD("tos.rtd",,$A$2,"."&amp;W$135&amp;W$1&amp;"P"&amp;$A179)="N/A",0,RTD("tos.rtd",,$A$2,"."&amp;W$135&amp;W$1&amp;"P"&amp;$A179))</f>
        <v>0</v>
      </c>
      <c r="X179" s="91">
        <f ca="1">IF(RTD("tos.rtd",,$A$2,"."&amp;X$135&amp;X$1&amp;"C"&amp;$A179)="N/A",0,RTD("tos.rtd",,$A$2,"."&amp;X$135&amp;X$1&amp;"C"&amp;$A179))-IF(RTD("tos.rtd",,$A$2,"."&amp;X$135&amp;X$1&amp;"P"&amp;$A179)="N/A",0,RTD("tos.rtd",,$A$2,"."&amp;X$135&amp;X$1&amp;"P"&amp;$A179))</f>
        <v>0</v>
      </c>
      <c r="Y179" s="98">
        <f t="shared" ca="1" si="13"/>
        <v>0</v>
      </c>
      <c r="Z179" s="91"/>
      <c r="AA179" s="91"/>
    </row>
    <row r="180" spans="1:27" x14ac:dyDescent="0.25">
      <c r="A180" s="93">
        <f>+Hoja1!A179</f>
        <v>20300</v>
      </c>
      <c r="B180" s="91">
        <f ca="1">IF(RTD("tos.rtd",,$A$2,"."&amp;B$135&amp;B$1&amp;"C"&amp;$A180)="N/A",0,RTD("tos.rtd",,$A$2,"."&amp;B$135&amp;B$1&amp;"C"&amp;$A180))-IF(RTD("tos.rtd",,$A$2,"."&amp;B$135&amp;B$1&amp;"P"&amp;$A180)="N/A",0,RTD("tos.rtd",,$A$2,"."&amp;B$135&amp;B$1&amp;"P"&amp;$A180))</f>
        <v>0</v>
      </c>
      <c r="C180" s="91">
        <f ca="1">IF(RTD("tos.rtd",,$A$2,"."&amp;C$135&amp;C$1&amp;"C"&amp;$A180)="N/A",0,RTD("tos.rtd",,$A$2,"."&amp;C$135&amp;C$1&amp;"C"&amp;$A180))-IF(RTD("tos.rtd",,$A$2,"."&amp;C$135&amp;C$1&amp;"P"&amp;$A180)="N/A",0,RTD("tos.rtd",,$A$2,"."&amp;C$135&amp;C$1&amp;"P"&amp;$A180))</f>
        <v>0</v>
      </c>
      <c r="D180" s="91">
        <f ca="1">IF(RTD("tos.rtd",,$A$2,"."&amp;D$135&amp;D$1&amp;"C"&amp;$A180)="N/A",0,RTD("tos.rtd",,$A$2,"."&amp;D$135&amp;D$1&amp;"C"&amp;$A180))-IF(RTD("tos.rtd",,$A$2,"."&amp;D$135&amp;D$1&amp;"P"&amp;$A180)="N/A",0,RTD("tos.rtd",,$A$2,"."&amp;D$135&amp;D$1&amp;"P"&amp;$A180))</f>
        <v>0</v>
      </c>
      <c r="E180" s="91">
        <f ca="1">IF(RTD("tos.rtd",,$A$2,"."&amp;E$135&amp;E$1&amp;"C"&amp;$A180)="N/A",0,RTD("tos.rtd",,$A$2,"."&amp;E$135&amp;E$1&amp;"C"&amp;$A180))-IF(RTD("tos.rtd",,$A$2,"."&amp;E$135&amp;E$1&amp;"P"&amp;$A180)="N/A",0,RTD("tos.rtd",,$A$2,"."&amp;E$135&amp;E$1&amp;"P"&amp;$A180))</f>
        <v>0</v>
      </c>
      <c r="F180" s="91">
        <f ca="1">IF(RTD("tos.rtd",,$A$2,"."&amp;F$135&amp;F$1&amp;"C"&amp;$A180)="N/A",0,RTD("tos.rtd",,$A$2,"."&amp;F$135&amp;F$1&amp;"C"&amp;$A180))-IF(RTD("tos.rtd",,$A$2,"."&amp;F$135&amp;F$1&amp;"P"&amp;$A180)="N/A",0,RTD("tos.rtd",,$A$2,"."&amp;F$135&amp;F$1&amp;"P"&amp;$A180))</f>
        <v>0</v>
      </c>
      <c r="G180" s="91">
        <f ca="1">IF(RTD("tos.rtd",,$A$2,"."&amp;G$135&amp;G$1&amp;"C"&amp;$A180)="N/A",0,RTD("tos.rtd",,$A$2,"."&amp;G$135&amp;G$1&amp;"C"&amp;$A180))-IF(RTD("tos.rtd",,$A$2,"."&amp;G$135&amp;G$1&amp;"P"&amp;$A180)="N/A",0,RTD("tos.rtd",,$A$2,"."&amp;G$135&amp;G$1&amp;"P"&amp;$A180))</f>
        <v>0</v>
      </c>
      <c r="H180" s="91">
        <f ca="1">IF(RTD("tos.rtd",,$A$2,"."&amp;H$135&amp;H$1&amp;"C"&amp;$A180)="N/A",0,RTD("tos.rtd",,$A$2,"."&amp;H$135&amp;H$1&amp;"C"&amp;$A180))-IF(RTD("tos.rtd",,$A$2,"."&amp;H$135&amp;H$1&amp;"P"&amp;$A180)="N/A",0,RTD("tos.rtd",,$A$2,"."&amp;H$135&amp;H$1&amp;"P"&amp;$A180))</f>
        <v>0</v>
      </c>
      <c r="I180" s="91">
        <f ca="1">IF(RTD("tos.rtd",,$A$2,"."&amp;I$135&amp;I$1&amp;"C"&amp;$A180)="N/A",0,RTD("tos.rtd",,$A$2,"."&amp;I$135&amp;I$1&amp;"C"&amp;$A180))-IF(RTD("tos.rtd",,$A$2,"."&amp;I$135&amp;I$1&amp;"P"&amp;$A180)="N/A",0,RTD("tos.rtd",,$A$2,"."&amp;I$135&amp;I$1&amp;"P"&amp;$A180))</f>
        <v>-3</v>
      </c>
      <c r="J180" s="91">
        <f ca="1">IF(RTD("tos.rtd",,$A$2,"."&amp;J$135&amp;J$1&amp;"C"&amp;$A180)="N/A",0,RTD("tos.rtd",,$A$2,"."&amp;J$135&amp;J$1&amp;"C"&amp;$A180))-IF(RTD("tos.rtd",,$A$2,"."&amp;J$135&amp;J$1&amp;"P"&amp;$A180)="N/A",0,RTD("tos.rtd",,$A$2,"."&amp;J$135&amp;J$1&amp;"P"&amp;$A180))</f>
        <v>-1</v>
      </c>
      <c r="K180" s="91">
        <f ca="1">IF(RTD("tos.rtd",,$A$2,"."&amp;K$135&amp;K$1&amp;"C"&amp;$A180)="N/A",0,RTD("tos.rtd",,$A$2,"."&amp;K$135&amp;K$1&amp;"C"&amp;$A180))-IF(RTD("tos.rtd",,$A$2,"."&amp;K$135&amp;K$1&amp;"P"&amp;$A180)="N/A",0,RTD("tos.rtd",,$A$2,"."&amp;K$135&amp;K$1&amp;"P"&amp;$A180))</f>
        <v>0</v>
      </c>
      <c r="L180" s="91">
        <f ca="1">IF(RTD("tos.rtd",,$A$2,"."&amp;L$135&amp;L$1&amp;"C"&amp;$A180)="N/A",0,RTD("tos.rtd",,$A$2,"."&amp;L$135&amp;L$1&amp;"C"&amp;$A180))-IF(RTD("tos.rtd",,$A$2,"."&amp;L$135&amp;L$1&amp;"P"&amp;$A180)="N/A",0,RTD("tos.rtd",,$A$2,"."&amp;L$135&amp;L$1&amp;"P"&amp;$A180))</f>
        <v>0</v>
      </c>
      <c r="M180" s="91">
        <f ca="1">IF(RTD("tos.rtd",,$A$2,"."&amp;M$135&amp;M$1&amp;"C"&amp;$A180)="N/A",0,RTD("tos.rtd",,$A$2,"."&amp;M$135&amp;M$1&amp;"C"&amp;$A180))-IF(RTD("tos.rtd",,$A$2,"."&amp;M$135&amp;M$1&amp;"P"&amp;$A180)="N/A",0,RTD("tos.rtd",,$A$2,"."&amp;M$135&amp;M$1&amp;"P"&amp;$A180))</f>
        <v>-1</v>
      </c>
      <c r="N180" s="91">
        <f ca="1">IF(RTD("tos.rtd",,$A$2,"."&amp;N$135&amp;N$1&amp;"C"&amp;$A180)="N/A",0,RTD("tos.rtd",,$A$2,"."&amp;N$135&amp;N$1&amp;"C"&amp;$A180))-IF(RTD("tos.rtd",,$A$2,"."&amp;N$135&amp;N$1&amp;"P"&amp;$A180)="N/A",0,RTD("tos.rtd",,$A$2,"."&amp;N$135&amp;N$1&amp;"P"&amp;$A180))</f>
        <v>0</v>
      </c>
      <c r="O180" s="91">
        <f ca="1">IF(RTD("tos.rtd",,$A$2,"."&amp;O$135&amp;O$1&amp;"C"&amp;$A180)="N/A",0,RTD("tos.rtd",,$A$2,"."&amp;O$135&amp;O$1&amp;"C"&amp;$A180))-IF(RTD("tos.rtd",,$A$2,"."&amp;O$135&amp;O$1&amp;"P"&amp;$A180)="N/A",0,RTD("tos.rtd",,$A$2,"."&amp;O$135&amp;O$1&amp;"P"&amp;$A180))</f>
        <v>-1</v>
      </c>
      <c r="P180" s="91">
        <f ca="1">IF(RTD("tos.rtd",,$A$2,"."&amp;P$135&amp;P$1&amp;"C"&amp;$A180)="N/A",0,RTD("tos.rtd",,$A$2,"."&amp;P$135&amp;P$1&amp;"C"&amp;$A180))-IF(RTD("tos.rtd",,$A$2,"."&amp;P$135&amp;P$1&amp;"P"&amp;$A180)="N/A",0,RTD("tos.rtd",,$A$2,"."&amp;P$135&amp;P$1&amp;"P"&amp;$A180))</f>
        <v>0</v>
      </c>
      <c r="Q180" s="91">
        <f ca="1">IF(RTD("tos.rtd",,$A$2,"."&amp;Q$135&amp;Q$1&amp;"C"&amp;$A180)="N/A",0,RTD("tos.rtd",,$A$2,"."&amp;Q$135&amp;Q$1&amp;"C"&amp;$A180))-IF(RTD("tos.rtd",,$A$2,"."&amp;Q$135&amp;Q$1&amp;"P"&amp;$A180)="N/A",0,RTD("tos.rtd",,$A$2,"."&amp;Q$135&amp;Q$1&amp;"P"&amp;$A180))</f>
        <v>0</v>
      </c>
      <c r="R180" s="91">
        <f ca="1">IF(RTD("tos.rtd",,$A$2,"."&amp;R$135&amp;R$1&amp;"C"&amp;$A180)="N/A",0,RTD("tos.rtd",,$A$2,"."&amp;R$135&amp;R$1&amp;"C"&amp;$A180))-IF(RTD("tos.rtd",,$A$2,"."&amp;R$135&amp;R$1&amp;"P"&amp;$A180)="N/A",0,RTD("tos.rtd",,$A$2,"."&amp;R$135&amp;R$1&amp;"P"&amp;$A180))</f>
        <v>0</v>
      </c>
      <c r="S180" s="91">
        <f ca="1">IF(RTD("tos.rtd",,$A$2,"."&amp;S$135&amp;S$1&amp;"C"&amp;$A180)="N/A",0,RTD("tos.rtd",,$A$2,"."&amp;S$135&amp;S$1&amp;"C"&amp;$A180))-IF(RTD("tos.rtd",,$A$2,"."&amp;S$135&amp;S$1&amp;"P"&amp;$A180)="N/A",0,RTD("tos.rtd",,$A$2,"."&amp;S$135&amp;S$1&amp;"P"&amp;$A180))</f>
        <v>5</v>
      </c>
      <c r="T180" s="91">
        <f ca="1">IF(RTD("tos.rtd",,$A$2,"."&amp;T$135&amp;T$1&amp;"C"&amp;$A180)="N/A",0,RTD("tos.rtd",,$A$2,"."&amp;T$135&amp;T$1&amp;"C"&amp;$A180))-IF(RTD("tos.rtd",,$A$2,"."&amp;T$135&amp;T$1&amp;"P"&amp;$A180)="N/A",0,RTD("tos.rtd",,$A$2,"."&amp;T$135&amp;T$1&amp;"P"&amp;$A180))</f>
        <v>0</v>
      </c>
      <c r="U180" s="91">
        <f ca="1">IF(RTD("tos.rtd",,$A$2,"."&amp;U$135&amp;U$1&amp;"C"&amp;$A180)="N/A",0,RTD("tos.rtd",,$A$2,"."&amp;U$135&amp;U$1&amp;"C"&amp;$A180))-IF(RTD("tos.rtd",,$A$2,"."&amp;U$135&amp;U$1&amp;"P"&amp;$A180)="N/A",0,RTD("tos.rtd",,$A$2,"."&amp;U$135&amp;U$1&amp;"P"&amp;$A180))</f>
        <v>0</v>
      </c>
      <c r="V180" s="91">
        <f ca="1">IF(RTD("tos.rtd",,$A$2,"."&amp;V$135&amp;V$1&amp;"C"&amp;$A180)="N/A",0,RTD("tos.rtd",,$A$2,"."&amp;V$135&amp;V$1&amp;"C"&amp;$A180))-IF(RTD("tos.rtd",,$A$2,"."&amp;V$135&amp;V$1&amp;"P"&amp;$A180)="N/A",0,RTD("tos.rtd",,$A$2,"."&amp;V$135&amp;V$1&amp;"P"&amp;$A180))</f>
        <v>0</v>
      </c>
      <c r="W180" s="91">
        <f ca="1">IF(RTD("tos.rtd",,$A$2,"."&amp;W$135&amp;W$1&amp;"C"&amp;$A180)="N/A",0,RTD("tos.rtd",,$A$2,"."&amp;W$135&amp;W$1&amp;"C"&amp;$A180))-IF(RTD("tos.rtd",,$A$2,"."&amp;W$135&amp;W$1&amp;"P"&amp;$A180)="N/A",0,RTD("tos.rtd",,$A$2,"."&amp;W$135&amp;W$1&amp;"P"&amp;$A180))</f>
        <v>-1</v>
      </c>
      <c r="X180" s="91">
        <f ca="1">IF(RTD("tos.rtd",,$A$2,"."&amp;X$135&amp;X$1&amp;"C"&amp;$A180)="N/A",0,RTD("tos.rtd",,$A$2,"."&amp;X$135&amp;X$1&amp;"C"&amp;$A180))-IF(RTD("tos.rtd",,$A$2,"."&amp;X$135&amp;X$1&amp;"P"&amp;$A180)="N/A",0,RTD("tos.rtd",,$A$2,"."&amp;X$135&amp;X$1&amp;"P"&amp;$A180))</f>
        <v>0</v>
      </c>
      <c r="Y180" s="98">
        <f t="shared" ca="1" si="13"/>
        <v>-2</v>
      </c>
      <c r="Z180" s="91"/>
      <c r="AA180" s="91"/>
    </row>
    <row r="181" spans="1:27" x14ac:dyDescent="0.25">
      <c r="A181" s="93">
        <f>+Hoja1!A180</f>
        <v>20275</v>
      </c>
      <c r="B181" s="91">
        <f ca="1">IF(RTD("tos.rtd",,$A$2,"."&amp;B$135&amp;B$1&amp;"C"&amp;$A181)="N/A",0,RTD("tos.rtd",,$A$2,"."&amp;B$135&amp;B$1&amp;"C"&amp;$A181))-IF(RTD("tos.rtd",,$A$2,"."&amp;B$135&amp;B$1&amp;"P"&amp;$A181)="N/A",0,RTD("tos.rtd",,$A$2,"."&amp;B$135&amp;B$1&amp;"P"&amp;$A181))</f>
        <v>0</v>
      </c>
      <c r="C181" s="91">
        <f ca="1">IF(RTD("tos.rtd",,$A$2,"."&amp;C$135&amp;C$1&amp;"C"&amp;$A181)="N/A",0,RTD("tos.rtd",,$A$2,"."&amp;C$135&amp;C$1&amp;"C"&amp;$A181))-IF(RTD("tos.rtd",,$A$2,"."&amp;C$135&amp;C$1&amp;"P"&amp;$A181)="N/A",0,RTD("tos.rtd",,$A$2,"."&amp;C$135&amp;C$1&amp;"P"&amp;$A181))</f>
        <v>0</v>
      </c>
      <c r="D181" s="91">
        <f ca="1">IF(RTD("tos.rtd",,$A$2,"."&amp;D$135&amp;D$1&amp;"C"&amp;$A181)="N/A",0,RTD("tos.rtd",,$A$2,"."&amp;D$135&amp;D$1&amp;"C"&amp;$A181))-IF(RTD("tos.rtd",,$A$2,"."&amp;D$135&amp;D$1&amp;"P"&amp;$A181)="N/A",0,RTD("tos.rtd",,$A$2,"."&amp;D$135&amp;D$1&amp;"P"&amp;$A181))</f>
        <v>0</v>
      </c>
      <c r="E181" s="91">
        <f ca="1">IF(RTD("tos.rtd",,$A$2,"."&amp;E$135&amp;E$1&amp;"C"&amp;$A181)="N/A",0,RTD("tos.rtd",,$A$2,"."&amp;E$135&amp;E$1&amp;"C"&amp;$A181))-IF(RTD("tos.rtd",,$A$2,"."&amp;E$135&amp;E$1&amp;"P"&amp;$A181)="N/A",0,RTD("tos.rtd",,$A$2,"."&amp;E$135&amp;E$1&amp;"P"&amp;$A181))</f>
        <v>0</v>
      </c>
      <c r="F181" s="91">
        <f ca="1">IF(RTD("tos.rtd",,$A$2,"."&amp;F$135&amp;F$1&amp;"C"&amp;$A181)="N/A",0,RTD("tos.rtd",,$A$2,"."&amp;F$135&amp;F$1&amp;"C"&amp;$A181))-IF(RTD("tos.rtd",,$A$2,"."&amp;F$135&amp;F$1&amp;"P"&amp;$A181)="N/A",0,RTD("tos.rtd",,$A$2,"."&amp;F$135&amp;F$1&amp;"P"&amp;$A181))</f>
        <v>0</v>
      </c>
      <c r="G181" s="91">
        <f ca="1">IF(RTD("tos.rtd",,$A$2,"."&amp;G$135&amp;G$1&amp;"C"&amp;$A181)="N/A",0,RTD("tos.rtd",,$A$2,"."&amp;G$135&amp;G$1&amp;"C"&amp;$A181))-IF(RTD("tos.rtd",,$A$2,"."&amp;G$135&amp;G$1&amp;"P"&amp;$A181)="N/A",0,RTD("tos.rtd",,$A$2,"."&amp;G$135&amp;G$1&amp;"P"&amp;$A181))</f>
        <v>0</v>
      </c>
      <c r="H181" s="91">
        <f ca="1">IF(RTD("tos.rtd",,$A$2,"."&amp;H$135&amp;H$1&amp;"C"&amp;$A181)="N/A",0,RTD("tos.rtd",,$A$2,"."&amp;H$135&amp;H$1&amp;"C"&amp;$A181))-IF(RTD("tos.rtd",,$A$2,"."&amp;H$135&amp;H$1&amp;"P"&amp;$A181)="N/A",0,RTD("tos.rtd",,$A$2,"."&amp;H$135&amp;H$1&amp;"P"&amp;$A181))</f>
        <v>0</v>
      </c>
      <c r="I181" s="91">
        <f ca="1">IF(RTD("tos.rtd",,$A$2,"."&amp;I$135&amp;I$1&amp;"C"&amp;$A181)="N/A",0,RTD("tos.rtd",,$A$2,"."&amp;I$135&amp;I$1&amp;"C"&amp;$A181))-IF(RTD("tos.rtd",,$A$2,"."&amp;I$135&amp;I$1&amp;"P"&amp;$A181)="N/A",0,RTD("tos.rtd",,$A$2,"."&amp;I$135&amp;I$1&amp;"P"&amp;$A181))</f>
        <v>0</v>
      </c>
      <c r="J181" s="91">
        <f ca="1">IF(RTD("tos.rtd",,$A$2,"."&amp;J$135&amp;J$1&amp;"C"&amp;$A181)="N/A",0,RTD("tos.rtd",,$A$2,"."&amp;J$135&amp;J$1&amp;"C"&amp;$A181))-IF(RTD("tos.rtd",,$A$2,"."&amp;J$135&amp;J$1&amp;"P"&amp;$A181)="N/A",0,RTD("tos.rtd",,$A$2,"."&amp;J$135&amp;J$1&amp;"P"&amp;$A181))</f>
        <v>0</v>
      </c>
      <c r="K181" s="91">
        <f ca="1">IF(RTD("tos.rtd",,$A$2,"."&amp;K$135&amp;K$1&amp;"C"&amp;$A181)="N/A",0,RTD("tos.rtd",,$A$2,"."&amp;K$135&amp;K$1&amp;"C"&amp;$A181))-IF(RTD("tos.rtd",,$A$2,"."&amp;K$135&amp;K$1&amp;"P"&amp;$A181)="N/A",0,RTD("tos.rtd",,$A$2,"."&amp;K$135&amp;K$1&amp;"P"&amp;$A181))</f>
        <v>0</v>
      </c>
      <c r="L181" s="91">
        <f ca="1">IF(RTD("tos.rtd",,$A$2,"."&amp;L$135&amp;L$1&amp;"C"&amp;$A181)="N/A",0,RTD("tos.rtd",,$A$2,"."&amp;L$135&amp;L$1&amp;"C"&amp;$A181))-IF(RTD("tos.rtd",,$A$2,"."&amp;L$135&amp;L$1&amp;"P"&amp;$A181)="N/A",0,RTD("tos.rtd",,$A$2,"."&amp;L$135&amp;L$1&amp;"P"&amp;$A181))</f>
        <v>2</v>
      </c>
      <c r="M181" s="91">
        <f ca="1">IF(RTD("tos.rtd",,$A$2,"."&amp;M$135&amp;M$1&amp;"C"&amp;$A181)="N/A",0,RTD("tos.rtd",,$A$2,"."&amp;M$135&amp;M$1&amp;"C"&amp;$A181))-IF(RTD("tos.rtd",,$A$2,"."&amp;M$135&amp;M$1&amp;"P"&amp;$A181)="N/A",0,RTD("tos.rtd",,$A$2,"."&amp;M$135&amp;M$1&amp;"P"&amp;$A181))</f>
        <v>0</v>
      </c>
      <c r="N181" s="91">
        <f ca="1">IF(RTD("tos.rtd",,$A$2,"."&amp;N$135&amp;N$1&amp;"C"&amp;$A181)="N/A",0,RTD("tos.rtd",,$A$2,"."&amp;N$135&amp;N$1&amp;"C"&amp;$A181))-IF(RTD("tos.rtd",,$A$2,"."&amp;N$135&amp;N$1&amp;"P"&amp;$A181)="N/A",0,RTD("tos.rtd",,$A$2,"."&amp;N$135&amp;N$1&amp;"P"&amp;$A181))</f>
        <v>0</v>
      </c>
      <c r="O181" s="91">
        <f ca="1">IF(RTD("tos.rtd",,$A$2,"."&amp;O$135&amp;O$1&amp;"C"&amp;$A181)="N/A",0,RTD("tos.rtd",,$A$2,"."&amp;O$135&amp;O$1&amp;"C"&amp;$A181))-IF(RTD("tos.rtd",,$A$2,"."&amp;O$135&amp;O$1&amp;"P"&amp;$A181)="N/A",0,RTD("tos.rtd",,$A$2,"."&amp;O$135&amp;O$1&amp;"P"&amp;$A181))</f>
        <v>0</v>
      </c>
      <c r="P181" s="91">
        <f ca="1">IF(RTD("tos.rtd",,$A$2,"."&amp;P$135&amp;P$1&amp;"C"&amp;$A181)="N/A",0,RTD("tos.rtd",,$A$2,"."&amp;P$135&amp;P$1&amp;"C"&amp;$A181))-IF(RTD("tos.rtd",,$A$2,"."&amp;P$135&amp;P$1&amp;"P"&amp;$A181)="N/A",0,RTD("tos.rtd",,$A$2,"."&amp;P$135&amp;P$1&amp;"P"&amp;$A181))</f>
        <v>0</v>
      </c>
      <c r="Q181" s="91">
        <f ca="1">IF(RTD("tos.rtd",,$A$2,"."&amp;Q$135&amp;Q$1&amp;"C"&amp;$A181)="N/A",0,RTD("tos.rtd",,$A$2,"."&amp;Q$135&amp;Q$1&amp;"C"&amp;$A181))-IF(RTD("tos.rtd",,$A$2,"."&amp;Q$135&amp;Q$1&amp;"P"&amp;$A181)="N/A",0,RTD("tos.rtd",,$A$2,"."&amp;Q$135&amp;Q$1&amp;"P"&amp;$A181))</f>
        <v>0</v>
      </c>
      <c r="R181" s="91">
        <f ca="1">IF(RTD("tos.rtd",,$A$2,"."&amp;R$135&amp;R$1&amp;"C"&amp;$A181)="N/A",0,RTD("tos.rtd",,$A$2,"."&amp;R$135&amp;R$1&amp;"C"&amp;$A181))-IF(RTD("tos.rtd",,$A$2,"."&amp;R$135&amp;R$1&amp;"P"&amp;$A181)="N/A",0,RTD("tos.rtd",,$A$2,"."&amp;R$135&amp;R$1&amp;"P"&amp;$A181))</f>
        <v>0</v>
      </c>
      <c r="S181" s="91">
        <f ca="1">IF(RTD("tos.rtd",,$A$2,"."&amp;S$135&amp;S$1&amp;"C"&amp;$A181)="N/A",0,RTD("tos.rtd",,$A$2,"."&amp;S$135&amp;S$1&amp;"C"&amp;$A181))-IF(RTD("tos.rtd",,$A$2,"."&amp;S$135&amp;S$1&amp;"P"&amp;$A181)="N/A",0,RTD("tos.rtd",,$A$2,"."&amp;S$135&amp;S$1&amp;"P"&amp;$A181))</f>
        <v>0</v>
      </c>
      <c r="T181" s="91">
        <f ca="1">IF(RTD("tos.rtd",,$A$2,"."&amp;T$135&amp;T$1&amp;"C"&amp;$A181)="N/A",0,RTD("tos.rtd",,$A$2,"."&amp;T$135&amp;T$1&amp;"C"&amp;$A181))-IF(RTD("tos.rtd",,$A$2,"."&amp;T$135&amp;T$1&amp;"P"&amp;$A181)="N/A",0,RTD("tos.rtd",,$A$2,"."&amp;T$135&amp;T$1&amp;"P"&amp;$A181))</f>
        <v>0</v>
      </c>
      <c r="U181" s="91">
        <f ca="1">IF(RTD("tos.rtd",,$A$2,"."&amp;U$135&amp;U$1&amp;"C"&amp;$A181)="N/A",0,RTD("tos.rtd",,$A$2,"."&amp;U$135&amp;U$1&amp;"C"&amp;$A181))-IF(RTD("tos.rtd",,$A$2,"."&amp;U$135&amp;U$1&amp;"P"&amp;$A181)="N/A",0,RTD("tos.rtd",,$A$2,"."&amp;U$135&amp;U$1&amp;"P"&amp;$A181))</f>
        <v>0</v>
      </c>
      <c r="V181" s="91">
        <f ca="1">IF(RTD("tos.rtd",,$A$2,"."&amp;V$135&amp;V$1&amp;"C"&amp;$A181)="N/A",0,RTD("tos.rtd",,$A$2,"."&amp;V$135&amp;V$1&amp;"C"&amp;$A181))-IF(RTD("tos.rtd",,$A$2,"."&amp;V$135&amp;V$1&amp;"P"&amp;$A181)="N/A",0,RTD("tos.rtd",,$A$2,"."&amp;V$135&amp;V$1&amp;"P"&amp;$A181))</f>
        <v>0</v>
      </c>
      <c r="W181" s="91">
        <f ca="1">IF(RTD("tos.rtd",,$A$2,"."&amp;W$135&amp;W$1&amp;"C"&amp;$A181)="N/A",0,RTD("tos.rtd",,$A$2,"."&amp;W$135&amp;W$1&amp;"C"&amp;$A181))-IF(RTD("tos.rtd",,$A$2,"."&amp;W$135&amp;W$1&amp;"P"&amp;$A181)="N/A",0,RTD("tos.rtd",,$A$2,"."&amp;W$135&amp;W$1&amp;"P"&amp;$A181))</f>
        <v>0</v>
      </c>
      <c r="X181" s="91">
        <f ca="1">IF(RTD("tos.rtd",,$A$2,"."&amp;X$135&amp;X$1&amp;"C"&amp;$A181)="N/A",0,RTD("tos.rtd",,$A$2,"."&amp;X$135&amp;X$1&amp;"C"&amp;$A181))-IF(RTD("tos.rtd",,$A$2,"."&amp;X$135&amp;X$1&amp;"P"&amp;$A181)="N/A",0,RTD("tos.rtd",,$A$2,"."&amp;X$135&amp;X$1&amp;"P"&amp;$A181))</f>
        <v>0</v>
      </c>
      <c r="Y181" s="98">
        <f t="shared" ca="1" si="13"/>
        <v>2</v>
      </c>
      <c r="Z181" s="91"/>
      <c r="AA181" s="91"/>
    </row>
    <row r="182" spans="1:27" x14ac:dyDescent="0.25">
      <c r="A182" s="93">
        <f>+Hoja1!A181</f>
        <v>20250</v>
      </c>
      <c r="B182" s="91">
        <f ca="1">IF(RTD("tos.rtd",,$A$2,"."&amp;B$135&amp;B$1&amp;"C"&amp;$A182)="N/A",0,RTD("tos.rtd",,$A$2,"."&amp;B$135&amp;B$1&amp;"C"&amp;$A182))-IF(RTD("tos.rtd",,$A$2,"."&amp;B$135&amp;B$1&amp;"P"&amp;$A182)="N/A",0,RTD("tos.rtd",,$A$2,"."&amp;B$135&amp;B$1&amp;"P"&amp;$A182))</f>
        <v>0</v>
      </c>
      <c r="C182" s="91">
        <f ca="1">IF(RTD("tos.rtd",,$A$2,"."&amp;C$135&amp;C$1&amp;"C"&amp;$A182)="N/A",0,RTD("tos.rtd",,$A$2,"."&amp;C$135&amp;C$1&amp;"C"&amp;$A182))-IF(RTD("tos.rtd",,$A$2,"."&amp;C$135&amp;C$1&amp;"P"&amp;$A182)="N/A",0,RTD("tos.rtd",,$A$2,"."&amp;C$135&amp;C$1&amp;"P"&amp;$A182))</f>
        <v>0</v>
      </c>
      <c r="D182" s="91">
        <f ca="1">IF(RTD("tos.rtd",,$A$2,"."&amp;D$135&amp;D$1&amp;"C"&amp;$A182)="N/A",0,RTD("tos.rtd",,$A$2,"."&amp;D$135&amp;D$1&amp;"C"&amp;$A182))-IF(RTD("tos.rtd",,$A$2,"."&amp;D$135&amp;D$1&amp;"P"&amp;$A182)="N/A",0,RTD("tos.rtd",,$A$2,"."&amp;D$135&amp;D$1&amp;"P"&amp;$A182))</f>
        <v>0</v>
      </c>
      <c r="E182" s="91">
        <f ca="1">IF(RTD("tos.rtd",,$A$2,"."&amp;E$135&amp;E$1&amp;"C"&amp;$A182)="N/A",0,RTD("tos.rtd",,$A$2,"."&amp;E$135&amp;E$1&amp;"C"&amp;$A182))-IF(RTD("tos.rtd",,$A$2,"."&amp;E$135&amp;E$1&amp;"P"&amp;$A182)="N/A",0,RTD("tos.rtd",,$A$2,"."&amp;E$135&amp;E$1&amp;"P"&amp;$A182))</f>
        <v>0</v>
      </c>
      <c r="F182" s="91">
        <f ca="1">IF(RTD("tos.rtd",,$A$2,"."&amp;F$135&amp;F$1&amp;"C"&amp;$A182)="N/A",0,RTD("tos.rtd",,$A$2,"."&amp;F$135&amp;F$1&amp;"C"&amp;$A182))-IF(RTD("tos.rtd",,$A$2,"."&amp;F$135&amp;F$1&amp;"P"&amp;$A182)="N/A",0,RTD("tos.rtd",,$A$2,"."&amp;F$135&amp;F$1&amp;"P"&amp;$A182))</f>
        <v>0</v>
      </c>
      <c r="G182" s="91">
        <f ca="1">IF(RTD("tos.rtd",,$A$2,"."&amp;G$135&amp;G$1&amp;"C"&amp;$A182)="N/A",0,RTD("tos.rtd",,$A$2,"."&amp;G$135&amp;G$1&amp;"C"&amp;$A182))-IF(RTD("tos.rtd",,$A$2,"."&amp;G$135&amp;G$1&amp;"P"&amp;$A182)="N/A",0,RTD("tos.rtd",,$A$2,"."&amp;G$135&amp;G$1&amp;"P"&amp;$A182))</f>
        <v>0</v>
      </c>
      <c r="H182" s="91">
        <f ca="1">IF(RTD("tos.rtd",,$A$2,"."&amp;H$135&amp;H$1&amp;"C"&amp;$A182)="N/A",0,RTD("tos.rtd",,$A$2,"."&amp;H$135&amp;H$1&amp;"C"&amp;$A182))-IF(RTD("tos.rtd",,$A$2,"."&amp;H$135&amp;H$1&amp;"P"&amp;$A182)="N/A",0,RTD("tos.rtd",,$A$2,"."&amp;H$135&amp;H$1&amp;"P"&amp;$A182))</f>
        <v>0</v>
      </c>
      <c r="I182" s="91">
        <f ca="1">IF(RTD("tos.rtd",,$A$2,"."&amp;I$135&amp;I$1&amp;"C"&amp;$A182)="N/A",0,RTD("tos.rtd",,$A$2,"."&amp;I$135&amp;I$1&amp;"C"&amp;$A182))-IF(RTD("tos.rtd",,$A$2,"."&amp;I$135&amp;I$1&amp;"P"&amp;$A182)="N/A",0,RTD("tos.rtd",,$A$2,"."&amp;I$135&amp;I$1&amp;"P"&amp;$A182))</f>
        <v>0</v>
      </c>
      <c r="J182" s="91">
        <f ca="1">IF(RTD("tos.rtd",,$A$2,"."&amp;J$135&amp;J$1&amp;"C"&amp;$A182)="N/A",0,RTD("tos.rtd",,$A$2,"."&amp;J$135&amp;J$1&amp;"C"&amp;$A182))-IF(RTD("tos.rtd",,$A$2,"."&amp;J$135&amp;J$1&amp;"P"&amp;$A182)="N/A",0,RTD("tos.rtd",,$A$2,"."&amp;J$135&amp;J$1&amp;"P"&amp;$A182))</f>
        <v>0</v>
      </c>
      <c r="K182" s="91">
        <f ca="1">IF(RTD("tos.rtd",,$A$2,"."&amp;K$135&amp;K$1&amp;"C"&amp;$A182)="N/A",0,RTD("tos.rtd",,$A$2,"."&amp;K$135&amp;K$1&amp;"C"&amp;$A182))-IF(RTD("tos.rtd",,$A$2,"."&amp;K$135&amp;K$1&amp;"P"&amp;$A182)="N/A",0,RTD("tos.rtd",,$A$2,"."&amp;K$135&amp;K$1&amp;"P"&amp;$A182))</f>
        <v>0</v>
      </c>
      <c r="L182" s="91">
        <f ca="1">IF(RTD("tos.rtd",,$A$2,"."&amp;L$135&amp;L$1&amp;"C"&amp;$A182)="N/A",0,RTD("tos.rtd",,$A$2,"."&amp;L$135&amp;L$1&amp;"C"&amp;$A182))-IF(RTD("tos.rtd",,$A$2,"."&amp;L$135&amp;L$1&amp;"P"&amp;$A182)="N/A",0,RTD("tos.rtd",,$A$2,"."&amp;L$135&amp;L$1&amp;"P"&amp;$A182))</f>
        <v>0</v>
      </c>
      <c r="M182" s="91">
        <f ca="1">IF(RTD("tos.rtd",,$A$2,"."&amp;M$135&amp;M$1&amp;"C"&amp;$A182)="N/A",0,RTD("tos.rtd",,$A$2,"."&amp;M$135&amp;M$1&amp;"C"&amp;$A182))-IF(RTD("tos.rtd",,$A$2,"."&amp;M$135&amp;M$1&amp;"P"&amp;$A182)="N/A",0,RTD("tos.rtd",,$A$2,"."&amp;M$135&amp;M$1&amp;"P"&amp;$A182))</f>
        <v>0</v>
      </c>
      <c r="N182" s="91">
        <f ca="1">IF(RTD("tos.rtd",,$A$2,"."&amp;N$135&amp;N$1&amp;"C"&amp;$A182)="N/A",0,RTD("tos.rtd",,$A$2,"."&amp;N$135&amp;N$1&amp;"C"&amp;$A182))-IF(RTD("tos.rtd",,$A$2,"."&amp;N$135&amp;N$1&amp;"P"&amp;$A182)="N/A",0,RTD("tos.rtd",,$A$2,"."&amp;N$135&amp;N$1&amp;"P"&amp;$A182))</f>
        <v>0</v>
      </c>
      <c r="O182" s="91">
        <f ca="1">IF(RTD("tos.rtd",,$A$2,"."&amp;O$135&amp;O$1&amp;"C"&amp;$A182)="N/A",0,RTD("tos.rtd",,$A$2,"."&amp;O$135&amp;O$1&amp;"C"&amp;$A182))-IF(RTD("tos.rtd",,$A$2,"."&amp;O$135&amp;O$1&amp;"P"&amp;$A182)="N/A",0,RTD("tos.rtd",,$A$2,"."&amp;O$135&amp;O$1&amp;"P"&amp;$A182))</f>
        <v>0</v>
      </c>
      <c r="P182" s="91">
        <f ca="1">IF(RTD("tos.rtd",,$A$2,"."&amp;P$135&amp;P$1&amp;"C"&amp;$A182)="N/A",0,RTD("tos.rtd",,$A$2,"."&amp;P$135&amp;P$1&amp;"C"&amp;$A182))-IF(RTD("tos.rtd",,$A$2,"."&amp;P$135&amp;P$1&amp;"P"&amp;$A182)="N/A",0,RTD("tos.rtd",,$A$2,"."&amp;P$135&amp;P$1&amp;"P"&amp;$A182))</f>
        <v>0</v>
      </c>
      <c r="Q182" s="91">
        <f ca="1">IF(RTD("tos.rtd",,$A$2,"."&amp;Q$135&amp;Q$1&amp;"C"&amp;$A182)="N/A",0,RTD("tos.rtd",,$A$2,"."&amp;Q$135&amp;Q$1&amp;"C"&amp;$A182))-IF(RTD("tos.rtd",,$A$2,"."&amp;Q$135&amp;Q$1&amp;"P"&amp;$A182)="N/A",0,RTD("tos.rtd",,$A$2,"."&amp;Q$135&amp;Q$1&amp;"P"&amp;$A182))</f>
        <v>0</v>
      </c>
      <c r="R182" s="91">
        <f ca="1">IF(RTD("tos.rtd",,$A$2,"."&amp;R$135&amp;R$1&amp;"C"&amp;$A182)="N/A",0,RTD("tos.rtd",,$A$2,"."&amp;R$135&amp;R$1&amp;"C"&amp;$A182))-IF(RTD("tos.rtd",,$A$2,"."&amp;R$135&amp;R$1&amp;"P"&amp;$A182)="N/A",0,RTD("tos.rtd",,$A$2,"."&amp;R$135&amp;R$1&amp;"P"&amp;$A182))</f>
        <v>0</v>
      </c>
      <c r="S182" s="91">
        <f ca="1">IF(RTD("tos.rtd",,$A$2,"."&amp;S$135&amp;S$1&amp;"C"&amp;$A182)="N/A",0,RTD("tos.rtd",,$A$2,"."&amp;S$135&amp;S$1&amp;"C"&amp;$A182))-IF(RTD("tos.rtd",,$A$2,"."&amp;S$135&amp;S$1&amp;"P"&amp;$A182)="N/A",0,RTD("tos.rtd",,$A$2,"."&amp;S$135&amp;S$1&amp;"P"&amp;$A182))</f>
        <v>0</v>
      </c>
      <c r="T182" s="91">
        <f ca="1">IF(RTD("tos.rtd",,$A$2,"."&amp;T$135&amp;T$1&amp;"C"&amp;$A182)="N/A",0,RTD("tos.rtd",,$A$2,"."&amp;T$135&amp;T$1&amp;"C"&amp;$A182))-IF(RTD("tos.rtd",,$A$2,"."&amp;T$135&amp;T$1&amp;"P"&amp;$A182)="N/A",0,RTD("tos.rtd",,$A$2,"."&amp;T$135&amp;T$1&amp;"P"&amp;$A182))</f>
        <v>0</v>
      </c>
      <c r="U182" s="91">
        <f ca="1">IF(RTD("tos.rtd",,$A$2,"."&amp;U$135&amp;U$1&amp;"C"&amp;$A182)="N/A",0,RTD("tos.rtd",,$A$2,"."&amp;U$135&amp;U$1&amp;"C"&amp;$A182))-IF(RTD("tos.rtd",,$A$2,"."&amp;U$135&amp;U$1&amp;"P"&amp;$A182)="N/A",0,RTD("tos.rtd",,$A$2,"."&amp;U$135&amp;U$1&amp;"P"&amp;$A182))</f>
        <v>0</v>
      </c>
      <c r="V182" s="91">
        <f ca="1">IF(RTD("tos.rtd",,$A$2,"."&amp;V$135&amp;V$1&amp;"C"&amp;$A182)="N/A",0,RTD("tos.rtd",,$A$2,"."&amp;V$135&amp;V$1&amp;"C"&amp;$A182))-IF(RTD("tos.rtd",,$A$2,"."&amp;V$135&amp;V$1&amp;"P"&amp;$A182)="N/A",0,RTD("tos.rtd",,$A$2,"."&amp;V$135&amp;V$1&amp;"P"&amp;$A182))</f>
        <v>0</v>
      </c>
      <c r="W182" s="91">
        <f ca="1">IF(RTD("tos.rtd",,$A$2,"."&amp;W$135&amp;W$1&amp;"C"&amp;$A182)="N/A",0,RTD("tos.rtd",,$A$2,"."&amp;W$135&amp;W$1&amp;"C"&amp;$A182))-IF(RTD("tos.rtd",,$A$2,"."&amp;W$135&amp;W$1&amp;"P"&amp;$A182)="N/A",0,RTD("tos.rtd",,$A$2,"."&amp;W$135&amp;W$1&amp;"P"&amp;$A182))</f>
        <v>0</v>
      </c>
      <c r="X182" s="91">
        <f ca="1">IF(RTD("tos.rtd",,$A$2,"."&amp;X$135&amp;X$1&amp;"C"&amp;$A182)="N/A",0,RTD("tos.rtd",,$A$2,"."&amp;X$135&amp;X$1&amp;"C"&amp;$A182))-IF(RTD("tos.rtd",,$A$2,"."&amp;X$135&amp;X$1&amp;"P"&amp;$A182)="N/A",0,RTD("tos.rtd",,$A$2,"."&amp;X$135&amp;X$1&amp;"P"&amp;$A182))</f>
        <v>0</v>
      </c>
      <c r="Y182" s="98">
        <f t="shared" ca="1" si="13"/>
        <v>0</v>
      </c>
      <c r="Z182" s="91"/>
      <c r="AA182" s="91"/>
    </row>
    <row r="183" spans="1:27" x14ac:dyDescent="0.25">
      <c r="A183" s="93">
        <f>+Hoja1!A182</f>
        <v>20225</v>
      </c>
      <c r="B183" s="91">
        <f ca="1">IF(RTD("tos.rtd",,$A$2,"."&amp;B$135&amp;B$1&amp;"C"&amp;$A183)="N/A",0,RTD("tos.rtd",,$A$2,"."&amp;B$135&amp;B$1&amp;"C"&amp;$A183))-IF(RTD("tos.rtd",,$A$2,"."&amp;B$135&amp;B$1&amp;"P"&amp;$A183)="N/A",0,RTD("tos.rtd",,$A$2,"."&amp;B$135&amp;B$1&amp;"P"&amp;$A183))</f>
        <v>0</v>
      </c>
      <c r="C183" s="91">
        <f ca="1">IF(RTD("tos.rtd",,$A$2,"."&amp;C$135&amp;C$1&amp;"C"&amp;$A183)="N/A",0,RTD("tos.rtd",,$A$2,"."&amp;C$135&amp;C$1&amp;"C"&amp;$A183))-IF(RTD("tos.rtd",,$A$2,"."&amp;C$135&amp;C$1&amp;"P"&amp;$A183)="N/A",0,RTD("tos.rtd",,$A$2,"."&amp;C$135&amp;C$1&amp;"P"&amp;$A183))</f>
        <v>0</v>
      </c>
      <c r="D183" s="91">
        <f ca="1">IF(RTD("tos.rtd",,$A$2,"."&amp;D$135&amp;D$1&amp;"C"&amp;$A183)="N/A",0,RTD("tos.rtd",,$A$2,"."&amp;D$135&amp;D$1&amp;"C"&amp;$A183))-IF(RTD("tos.rtd",,$A$2,"."&amp;D$135&amp;D$1&amp;"P"&amp;$A183)="N/A",0,RTD("tos.rtd",,$A$2,"."&amp;D$135&amp;D$1&amp;"P"&amp;$A183))</f>
        <v>0</v>
      </c>
      <c r="E183" s="91">
        <f ca="1">IF(RTD("tos.rtd",,$A$2,"."&amp;E$135&amp;E$1&amp;"C"&amp;$A183)="N/A",0,RTD("tos.rtd",,$A$2,"."&amp;E$135&amp;E$1&amp;"C"&amp;$A183))-IF(RTD("tos.rtd",,$A$2,"."&amp;E$135&amp;E$1&amp;"P"&amp;$A183)="N/A",0,RTD("tos.rtd",,$A$2,"."&amp;E$135&amp;E$1&amp;"P"&amp;$A183))</f>
        <v>0</v>
      </c>
      <c r="F183" s="91">
        <f ca="1">IF(RTD("tos.rtd",,$A$2,"."&amp;F$135&amp;F$1&amp;"C"&amp;$A183)="N/A",0,RTD("tos.rtd",,$A$2,"."&amp;F$135&amp;F$1&amp;"C"&amp;$A183))-IF(RTD("tos.rtd",,$A$2,"."&amp;F$135&amp;F$1&amp;"P"&amp;$A183)="N/A",0,RTD("tos.rtd",,$A$2,"."&amp;F$135&amp;F$1&amp;"P"&amp;$A183))</f>
        <v>0</v>
      </c>
      <c r="G183" s="91">
        <f ca="1">IF(RTD("tos.rtd",,$A$2,"."&amp;G$135&amp;G$1&amp;"C"&amp;$A183)="N/A",0,RTD("tos.rtd",,$A$2,"."&amp;G$135&amp;G$1&amp;"C"&amp;$A183))-IF(RTD("tos.rtd",,$A$2,"."&amp;G$135&amp;G$1&amp;"P"&amp;$A183)="N/A",0,RTD("tos.rtd",,$A$2,"."&amp;G$135&amp;G$1&amp;"P"&amp;$A183))</f>
        <v>0</v>
      </c>
      <c r="H183" s="91">
        <f ca="1">IF(RTD("tos.rtd",,$A$2,"."&amp;H$135&amp;H$1&amp;"C"&amp;$A183)="N/A",0,RTD("tos.rtd",,$A$2,"."&amp;H$135&amp;H$1&amp;"C"&amp;$A183))-IF(RTD("tos.rtd",,$A$2,"."&amp;H$135&amp;H$1&amp;"P"&amp;$A183)="N/A",0,RTD("tos.rtd",,$A$2,"."&amp;H$135&amp;H$1&amp;"P"&amp;$A183))</f>
        <v>0</v>
      </c>
      <c r="I183" s="91">
        <f ca="1">IF(RTD("tos.rtd",,$A$2,"."&amp;I$135&amp;I$1&amp;"C"&amp;$A183)="N/A",0,RTD("tos.rtd",,$A$2,"."&amp;I$135&amp;I$1&amp;"C"&amp;$A183))-IF(RTD("tos.rtd",,$A$2,"."&amp;I$135&amp;I$1&amp;"P"&amp;$A183)="N/A",0,RTD("tos.rtd",,$A$2,"."&amp;I$135&amp;I$1&amp;"P"&amp;$A183))</f>
        <v>0</v>
      </c>
      <c r="J183" s="91">
        <f ca="1">IF(RTD("tos.rtd",,$A$2,"."&amp;J$135&amp;J$1&amp;"C"&amp;$A183)="N/A",0,RTD("tos.rtd",,$A$2,"."&amp;J$135&amp;J$1&amp;"C"&amp;$A183))-IF(RTD("tos.rtd",,$A$2,"."&amp;J$135&amp;J$1&amp;"P"&amp;$A183)="N/A",0,RTD("tos.rtd",,$A$2,"."&amp;J$135&amp;J$1&amp;"P"&amp;$A183))</f>
        <v>1</v>
      </c>
      <c r="K183" s="91">
        <f ca="1">IF(RTD("tos.rtd",,$A$2,"."&amp;K$135&amp;K$1&amp;"C"&amp;$A183)="N/A",0,RTD("tos.rtd",,$A$2,"."&amp;K$135&amp;K$1&amp;"C"&amp;$A183))-IF(RTD("tos.rtd",,$A$2,"."&amp;K$135&amp;K$1&amp;"P"&amp;$A183)="N/A",0,RTD("tos.rtd",,$A$2,"."&amp;K$135&amp;K$1&amp;"P"&amp;$A183))</f>
        <v>0</v>
      </c>
      <c r="L183" s="91">
        <f ca="1">IF(RTD("tos.rtd",,$A$2,"."&amp;L$135&amp;L$1&amp;"C"&amp;$A183)="N/A",0,RTD("tos.rtd",,$A$2,"."&amp;L$135&amp;L$1&amp;"C"&amp;$A183))-IF(RTD("tos.rtd",,$A$2,"."&amp;L$135&amp;L$1&amp;"P"&amp;$A183)="N/A",0,RTD("tos.rtd",,$A$2,"."&amp;L$135&amp;L$1&amp;"P"&amp;$A183))</f>
        <v>0</v>
      </c>
      <c r="M183" s="91">
        <f ca="1">IF(RTD("tos.rtd",,$A$2,"."&amp;M$135&amp;M$1&amp;"C"&amp;$A183)="N/A",0,RTD("tos.rtd",,$A$2,"."&amp;M$135&amp;M$1&amp;"C"&amp;$A183))-IF(RTD("tos.rtd",,$A$2,"."&amp;M$135&amp;M$1&amp;"P"&amp;$A183)="N/A",0,RTD("tos.rtd",,$A$2,"."&amp;M$135&amp;M$1&amp;"P"&amp;$A183))</f>
        <v>0</v>
      </c>
      <c r="N183" s="91">
        <f ca="1">IF(RTD("tos.rtd",,$A$2,"."&amp;N$135&amp;N$1&amp;"C"&amp;$A183)="N/A",0,RTD("tos.rtd",,$A$2,"."&amp;N$135&amp;N$1&amp;"C"&amp;$A183))-IF(RTD("tos.rtd",,$A$2,"."&amp;N$135&amp;N$1&amp;"P"&amp;$A183)="N/A",0,RTD("tos.rtd",,$A$2,"."&amp;N$135&amp;N$1&amp;"P"&amp;$A183))</f>
        <v>0</v>
      </c>
      <c r="O183" s="91">
        <f ca="1">IF(RTD("tos.rtd",,$A$2,"."&amp;O$135&amp;O$1&amp;"C"&amp;$A183)="N/A",0,RTD("tos.rtd",,$A$2,"."&amp;O$135&amp;O$1&amp;"C"&amp;$A183))-IF(RTD("tos.rtd",,$A$2,"."&amp;O$135&amp;O$1&amp;"P"&amp;$A183)="N/A",0,RTD("tos.rtd",,$A$2,"."&amp;O$135&amp;O$1&amp;"P"&amp;$A183))</f>
        <v>0</v>
      </c>
      <c r="P183" s="91">
        <f ca="1">IF(RTD("tos.rtd",,$A$2,"."&amp;P$135&amp;P$1&amp;"C"&amp;$A183)="N/A",0,RTD("tos.rtd",,$A$2,"."&amp;P$135&amp;P$1&amp;"C"&amp;$A183))-IF(RTD("tos.rtd",,$A$2,"."&amp;P$135&amp;P$1&amp;"P"&amp;$A183)="N/A",0,RTD("tos.rtd",,$A$2,"."&amp;P$135&amp;P$1&amp;"P"&amp;$A183))</f>
        <v>0</v>
      </c>
      <c r="Q183" s="91">
        <f ca="1">IF(RTD("tos.rtd",,$A$2,"."&amp;Q$135&amp;Q$1&amp;"C"&amp;$A183)="N/A",0,RTD("tos.rtd",,$A$2,"."&amp;Q$135&amp;Q$1&amp;"C"&amp;$A183))-IF(RTD("tos.rtd",,$A$2,"."&amp;Q$135&amp;Q$1&amp;"P"&amp;$A183)="N/A",0,RTD("tos.rtd",,$A$2,"."&amp;Q$135&amp;Q$1&amp;"P"&amp;$A183))</f>
        <v>0</v>
      </c>
      <c r="R183" s="91">
        <f ca="1">IF(RTD("tos.rtd",,$A$2,"."&amp;R$135&amp;R$1&amp;"C"&amp;$A183)="N/A",0,RTD("tos.rtd",,$A$2,"."&amp;R$135&amp;R$1&amp;"C"&amp;$A183))-IF(RTD("tos.rtd",,$A$2,"."&amp;R$135&amp;R$1&amp;"P"&amp;$A183)="N/A",0,RTD("tos.rtd",,$A$2,"."&amp;R$135&amp;R$1&amp;"P"&amp;$A183))</f>
        <v>0</v>
      </c>
      <c r="S183" s="91">
        <f ca="1">IF(RTD("tos.rtd",,$A$2,"."&amp;S$135&amp;S$1&amp;"C"&amp;$A183)="N/A",0,RTD("tos.rtd",,$A$2,"."&amp;S$135&amp;S$1&amp;"C"&amp;$A183))-IF(RTD("tos.rtd",,$A$2,"."&amp;S$135&amp;S$1&amp;"P"&amp;$A183)="N/A",0,RTD("tos.rtd",,$A$2,"."&amp;S$135&amp;S$1&amp;"P"&amp;$A183))</f>
        <v>0</v>
      </c>
      <c r="T183" s="91">
        <f ca="1">IF(RTD("tos.rtd",,$A$2,"."&amp;T$135&amp;T$1&amp;"C"&amp;$A183)="N/A",0,RTD("tos.rtd",,$A$2,"."&amp;T$135&amp;T$1&amp;"C"&amp;$A183))-IF(RTD("tos.rtd",,$A$2,"."&amp;T$135&amp;T$1&amp;"P"&amp;$A183)="N/A",0,RTD("tos.rtd",,$A$2,"."&amp;T$135&amp;T$1&amp;"P"&amp;$A183))</f>
        <v>0</v>
      </c>
      <c r="U183" s="91">
        <f ca="1">IF(RTD("tos.rtd",,$A$2,"."&amp;U$135&amp;U$1&amp;"C"&amp;$A183)="N/A",0,RTD("tos.rtd",,$A$2,"."&amp;U$135&amp;U$1&amp;"C"&amp;$A183))-IF(RTD("tos.rtd",,$A$2,"."&amp;U$135&amp;U$1&amp;"P"&amp;$A183)="N/A",0,RTD("tos.rtd",,$A$2,"."&amp;U$135&amp;U$1&amp;"P"&amp;$A183))</f>
        <v>0</v>
      </c>
      <c r="V183" s="91">
        <f ca="1">IF(RTD("tos.rtd",,$A$2,"."&amp;V$135&amp;V$1&amp;"C"&amp;$A183)="N/A",0,RTD("tos.rtd",,$A$2,"."&amp;V$135&amp;V$1&amp;"C"&amp;$A183))-IF(RTD("tos.rtd",,$A$2,"."&amp;V$135&amp;V$1&amp;"P"&amp;$A183)="N/A",0,RTD("tos.rtd",,$A$2,"."&amp;V$135&amp;V$1&amp;"P"&amp;$A183))</f>
        <v>0</v>
      </c>
      <c r="W183" s="91">
        <f ca="1">IF(RTD("tos.rtd",,$A$2,"."&amp;W$135&amp;W$1&amp;"C"&amp;$A183)="N/A",0,RTD("tos.rtd",,$A$2,"."&amp;W$135&amp;W$1&amp;"C"&amp;$A183))-IF(RTD("tos.rtd",,$A$2,"."&amp;W$135&amp;W$1&amp;"P"&amp;$A183)="N/A",0,RTD("tos.rtd",,$A$2,"."&amp;W$135&amp;W$1&amp;"P"&amp;$A183))</f>
        <v>0</v>
      </c>
      <c r="X183" s="91">
        <f ca="1">IF(RTD("tos.rtd",,$A$2,"."&amp;X$135&amp;X$1&amp;"C"&amp;$A183)="N/A",0,RTD("tos.rtd",,$A$2,"."&amp;X$135&amp;X$1&amp;"C"&amp;$A183))-IF(RTD("tos.rtd",,$A$2,"."&amp;X$135&amp;X$1&amp;"P"&amp;$A183)="N/A",0,RTD("tos.rtd",,$A$2,"."&amp;X$135&amp;X$1&amp;"P"&amp;$A183))</f>
        <v>0</v>
      </c>
      <c r="Y183" s="98">
        <f t="shared" ca="1" si="13"/>
        <v>1</v>
      </c>
      <c r="Z183" s="91"/>
      <c r="AA183" s="91"/>
    </row>
    <row r="184" spans="1:27" x14ac:dyDescent="0.25">
      <c r="A184" s="93">
        <f>+Hoja1!A183</f>
        <v>20200</v>
      </c>
      <c r="B184" s="91">
        <f ca="1">IF(RTD("tos.rtd",,$A$2,"."&amp;B$135&amp;B$1&amp;"C"&amp;$A184)="N/A",0,RTD("tos.rtd",,$A$2,"."&amp;B$135&amp;B$1&amp;"C"&amp;$A184))-IF(RTD("tos.rtd",,$A$2,"."&amp;B$135&amp;B$1&amp;"P"&amp;$A184)="N/A",0,RTD("tos.rtd",,$A$2,"."&amp;B$135&amp;B$1&amp;"P"&amp;$A184))</f>
        <v>0</v>
      </c>
      <c r="C184" s="91">
        <f ca="1">IF(RTD("tos.rtd",,$A$2,"."&amp;C$135&amp;C$1&amp;"C"&amp;$A184)="N/A",0,RTD("tos.rtd",,$A$2,"."&amp;C$135&amp;C$1&amp;"C"&amp;$A184))-IF(RTD("tos.rtd",,$A$2,"."&amp;C$135&amp;C$1&amp;"P"&amp;$A184)="N/A",0,RTD("tos.rtd",,$A$2,"."&amp;C$135&amp;C$1&amp;"P"&amp;$A184))</f>
        <v>0</v>
      </c>
      <c r="D184" s="91">
        <f ca="1">IF(RTD("tos.rtd",,$A$2,"."&amp;D$135&amp;D$1&amp;"C"&amp;$A184)="N/A",0,RTD("tos.rtd",,$A$2,"."&amp;D$135&amp;D$1&amp;"C"&amp;$A184))-IF(RTD("tos.rtd",,$A$2,"."&amp;D$135&amp;D$1&amp;"P"&amp;$A184)="N/A",0,RTD("tos.rtd",,$A$2,"."&amp;D$135&amp;D$1&amp;"P"&amp;$A184))</f>
        <v>0</v>
      </c>
      <c r="E184" s="91">
        <f ca="1">IF(RTD("tos.rtd",,$A$2,"."&amp;E$135&amp;E$1&amp;"C"&amp;$A184)="N/A",0,RTD("tos.rtd",,$A$2,"."&amp;E$135&amp;E$1&amp;"C"&amp;$A184))-IF(RTD("tos.rtd",,$A$2,"."&amp;E$135&amp;E$1&amp;"P"&amp;$A184)="N/A",0,RTD("tos.rtd",,$A$2,"."&amp;E$135&amp;E$1&amp;"P"&amp;$A184))</f>
        <v>0</v>
      </c>
      <c r="F184" s="91">
        <f ca="1">IF(RTD("tos.rtd",,$A$2,"."&amp;F$135&amp;F$1&amp;"C"&amp;$A184)="N/A",0,RTD("tos.rtd",,$A$2,"."&amp;F$135&amp;F$1&amp;"C"&amp;$A184))-IF(RTD("tos.rtd",,$A$2,"."&amp;F$135&amp;F$1&amp;"P"&amp;$A184)="N/A",0,RTD("tos.rtd",,$A$2,"."&amp;F$135&amp;F$1&amp;"P"&amp;$A184))</f>
        <v>0</v>
      </c>
      <c r="G184" s="91">
        <f ca="1">IF(RTD("tos.rtd",,$A$2,"."&amp;G$135&amp;G$1&amp;"C"&amp;$A184)="N/A",0,RTD("tos.rtd",,$A$2,"."&amp;G$135&amp;G$1&amp;"C"&amp;$A184))-IF(RTD("tos.rtd",,$A$2,"."&amp;G$135&amp;G$1&amp;"P"&amp;$A184)="N/A",0,RTD("tos.rtd",,$A$2,"."&amp;G$135&amp;G$1&amp;"P"&amp;$A184))</f>
        <v>0</v>
      </c>
      <c r="H184" s="91">
        <f ca="1">IF(RTD("tos.rtd",,$A$2,"."&amp;H$135&amp;H$1&amp;"C"&amp;$A184)="N/A",0,RTD("tos.rtd",,$A$2,"."&amp;H$135&amp;H$1&amp;"C"&amp;$A184))-IF(RTD("tos.rtd",,$A$2,"."&amp;H$135&amp;H$1&amp;"P"&amp;$A184)="N/A",0,RTD("tos.rtd",,$A$2,"."&amp;H$135&amp;H$1&amp;"P"&amp;$A184))</f>
        <v>0</v>
      </c>
      <c r="I184" s="91">
        <f ca="1">IF(RTD("tos.rtd",,$A$2,"."&amp;I$135&amp;I$1&amp;"C"&amp;$A184)="N/A",0,RTD("tos.rtd",,$A$2,"."&amp;I$135&amp;I$1&amp;"C"&amp;$A184))-IF(RTD("tos.rtd",,$A$2,"."&amp;I$135&amp;I$1&amp;"P"&amp;$A184)="N/A",0,RTD("tos.rtd",,$A$2,"."&amp;I$135&amp;I$1&amp;"P"&amp;$A184))</f>
        <v>-1</v>
      </c>
      <c r="J184" s="91">
        <f ca="1">IF(RTD("tos.rtd",,$A$2,"."&amp;J$135&amp;J$1&amp;"C"&amp;$A184)="N/A",0,RTD("tos.rtd",,$A$2,"."&amp;J$135&amp;J$1&amp;"C"&amp;$A184))-IF(RTD("tos.rtd",,$A$2,"."&amp;J$135&amp;J$1&amp;"P"&amp;$A184)="N/A",0,RTD("tos.rtd",,$A$2,"."&amp;J$135&amp;J$1&amp;"P"&amp;$A184))</f>
        <v>-2</v>
      </c>
      <c r="K184" s="91">
        <f ca="1">IF(RTD("tos.rtd",,$A$2,"."&amp;K$135&amp;K$1&amp;"C"&amp;$A184)="N/A",0,RTD("tos.rtd",,$A$2,"."&amp;K$135&amp;K$1&amp;"C"&amp;$A184))-IF(RTD("tos.rtd",,$A$2,"."&amp;K$135&amp;K$1&amp;"P"&amp;$A184)="N/A",0,RTD("tos.rtd",,$A$2,"."&amp;K$135&amp;K$1&amp;"P"&amp;$A184))</f>
        <v>0</v>
      </c>
      <c r="L184" s="91">
        <f ca="1">IF(RTD("tos.rtd",,$A$2,"."&amp;L$135&amp;L$1&amp;"C"&amp;$A184)="N/A",0,RTD("tos.rtd",,$A$2,"."&amp;L$135&amp;L$1&amp;"C"&amp;$A184))-IF(RTD("tos.rtd",,$A$2,"."&amp;L$135&amp;L$1&amp;"P"&amp;$A184)="N/A",0,RTD("tos.rtd",,$A$2,"."&amp;L$135&amp;L$1&amp;"P"&amp;$A184))</f>
        <v>0</v>
      </c>
      <c r="M184" s="91">
        <f ca="1">IF(RTD("tos.rtd",,$A$2,"."&amp;M$135&amp;M$1&amp;"C"&amp;$A184)="N/A",0,RTD("tos.rtd",,$A$2,"."&amp;M$135&amp;M$1&amp;"C"&amp;$A184))-IF(RTD("tos.rtd",,$A$2,"."&amp;M$135&amp;M$1&amp;"P"&amp;$A184)="N/A",0,RTD("tos.rtd",,$A$2,"."&amp;M$135&amp;M$1&amp;"P"&amp;$A184))</f>
        <v>-2</v>
      </c>
      <c r="N184" s="91">
        <f ca="1">IF(RTD("tos.rtd",,$A$2,"."&amp;N$135&amp;N$1&amp;"C"&amp;$A184)="N/A",0,RTD("tos.rtd",,$A$2,"."&amp;N$135&amp;N$1&amp;"C"&amp;$A184))-IF(RTD("tos.rtd",,$A$2,"."&amp;N$135&amp;N$1&amp;"P"&amp;$A184)="N/A",0,RTD("tos.rtd",,$A$2,"."&amp;N$135&amp;N$1&amp;"P"&amp;$A184))</f>
        <v>0</v>
      </c>
      <c r="O184" s="91">
        <f ca="1">IF(RTD("tos.rtd",,$A$2,"."&amp;O$135&amp;O$1&amp;"C"&amp;$A184)="N/A",0,RTD("tos.rtd",,$A$2,"."&amp;O$135&amp;O$1&amp;"C"&amp;$A184))-IF(RTD("tos.rtd",,$A$2,"."&amp;O$135&amp;O$1&amp;"P"&amp;$A184)="N/A",0,RTD("tos.rtd",,$A$2,"."&amp;O$135&amp;O$1&amp;"P"&amp;$A184))</f>
        <v>2</v>
      </c>
      <c r="P184" s="91">
        <f ca="1">IF(RTD("tos.rtd",,$A$2,"."&amp;P$135&amp;P$1&amp;"C"&amp;$A184)="N/A",0,RTD("tos.rtd",,$A$2,"."&amp;P$135&amp;P$1&amp;"C"&amp;$A184))-IF(RTD("tos.rtd",,$A$2,"."&amp;P$135&amp;P$1&amp;"P"&amp;$A184)="N/A",0,RTD("tos.rtd",,$A$2,"."&amp;P$135&amp;P$1&amp;"P"&amp;$A184))</f>
        <v>0</v>
      </c>
      <c r="Q184" s="91">
        <f ca="1">IF(RTD("tos.rtd",,$A$2,"."&amp;Q$135&amp;Q$1&amp;"C"&amp;$A184)="N/A",0,RTD("tos.rtd",,$A$2,"."&amp;Q$135&amp;Q$1&amp;"C"&amp;$A184))-IF(RTD("tos.rtd",,$A$2,"."&amp;Q$135&amp;Q$1&amp;"P"&amp;$A184)="N/A",0,RTD("tos.rtd",,$A$2,"."&amp;Q$135&amp;Q$1&amp;"P"&amp;$A184))</f>
        <v>0</v>
      </c>
      <c r="R184" s="91">
        <f ca="1">IF(RTD("tos.rtd",,$A$2,"."&amp;R$135&amp;R$1&amp;"C"&amp;$A184)="N/A",0,RTD("tos.rtd",,$A$2,"."&amp;R$135&amp;R$1&amp;"C"&amp;$A184))-IF(RTD("tos.rtd",,$A$2,"."&amp;R$135&amp;R$1&amp;"P"&amp;$A184)="N/A",0,RTD("tos.rtd",,$A$2,"."&amp;R$135&amp;R$1&amp;"P"&amp;$A184))</f>
        <v>2</v>
      </c>
      <c r="S184" s="91">
        <f ca="1">IF(RTD("tos.rtd",,$A$2,"."&amp;S$135&amp;S$1&amp;"C"&amp;$A184)="N/A",0,RTD("tos.rtd",,$A$2,"."&amp;S$135&amp;S$1&amp;"C"&amp;$A184))-IF(RTD("tos.rtd",,$A$2,"."&amp;S$135&amp;S$1&amp;"P"&amp;$A184)="N/A",0,RTD("tos.rtd",,$A$2,"."&amp;S$135&amp;S$1&amp;"P"&amp;$A184))</f>
        <v>0</v>
      </c>
      <c r="T184" s="91">
        <f ca="1">IF(RTD("tos.rtd",,$A$2,"."&amp;T$135&amp;T$1&amp;"C"&amp;$A184)="N/A",0,RTD("tos.rtd",,$A$2,"."&amp;T$135&amp;T$1&amp;"C"&amp;$A184))-IF(RTD("tos.rtd",,$A$2,"."&amp;T$135&amp;T$1&amp;"P"&amp;$A184)="N/A",0,RTD("tos.rtd",,$A$2,"."&amp;T$135&amp;T$1&amp;"P"&amp;$A184))</f>
        <v>0</v>
      </c>
      <c r="U184" s="91">
        <f ca="1">IF(RTD("tos.rtd",,$A$2,"."&amp;U$135&amp;U$1&amp;"C"&amp;$A184)="N/A",0,RTD("tos.rtd",,$A$2,"."&amp;U$135&amp;U$1&amp;"C"&amp;$A184))-IF(RTD("tos.rtd",,$A$2,"."&amp;U$135&amp;U$1&amp;"P"&amp;$A184)="N/A",0,RTD("tos.rtd",,$A$2,"."&amp;U$135&amp;U$1&amp;"P"&amp;$A184))</f>
        <v>0</v>
      </c>
      <c r="V184" s="91">
        <f ca="1">IF(RTD("tos.rtd",,$A$2,"."&amp;V$135&amp;V$1&amp;"C"&amp;$A184)="N/A",0,RTD("tos.rtd",,$A$2,"."&amp;V$135&amp;V$1&amp;"C"&amp;$A184))-IF(RTD("tos.rtd",,$A$2,"."&amp;V$135&amp;V$1&amp;"P"&amp;$A184)="N/A",0,RTD("tos.rtd",,$A$2,"."&amp;V$135&amp;V$1&amp;"P"&amp;$A184))</f>
        <v>0</v>
      </c>
      <c r="W184" s="91">
        <f ca="1">IF(RTD("tos.rtd",,$A$2,"."&amp;W$135&amp;W$1&amp;"C"&amp;$A184)="N/A",0,RTD("tos.rtd",,$A$2,"."&amp;W$135&amp;W$1&amp;"C"&amp;$A184))-IF(RTD("tos.rtd",,$A$2,"."&amp;W$135&amp;W$1&amp;"P"&amp;$A184)="N/A",0,RTD("tos.rtd",,$A$2,"."&amp;W$135&amp;W$1&amp;"P"&amp;$A184))</f>
        <v>0</v>
      </c>
      <c r="X184" s="91">
        <f ca="1">IF(RTD("tos.rtd",,$A$2,"."&amp;X$135&amp;X$1&amp;"C"&amp;$A184)="N/A",0,RTD("tos.rtd",,$A$2,"."&amp;X$135&amp;X$1&amp;"C"&amp;$A184))-IF(RTD("tos.rtd",,$A$2,"."&amp;X$135&amp;X$1&amp;"P"&amp;$A184)="N/A",0,RTD("tos.rtd",,$A$2,"."&amp;X$135&amp;X$1&amp;"P"&amp;$A184))</f>
        <v>0</v>
      </c>
      <c r="Y184" s="98">
        <f t="shared" ca="1" si="13"/>
        <v>-1</v>
      </c>
      <c r="Z184" s="91"/>
      <c r="AA184" s="91"/>
    </row>
    <row r="185" spans="1:27" x14ac:dyDescent="0.25">
      <c r="A185" s="93">
        <f>+Hoja1!A184</f>
        <v>20175</v>
      </c>
      <c r="B185" s="91">
        <f ca="1">IF(RTD("tos.rtd",,$A$2,"."&amp;B$135&amp;B$1&amp;"C"&amp;$A185)="N/A",0,RTD("tos.rtd",,$A$2,"."&amp;B$135&amp;B$1&amp;"C"&amp;$A185))-IF(RTD("tos.rtd",,$A$2,"."&amp;B$135&amp;B$1&amp;"P"&amp;$A185)="N/A",0,RTD("tos.rtd",,$A$2,"."&amp;B$135&amp;B$1&amp;"P"&amp;$A185))</f>
        <v>0</v>
      </c>
      <c r="C185" s="91">
        <f ca="1">IF(RTD("tos.rtd",,$A$2,"."&amp;C$135&amp;C$1&amp;"C"&amp;$A185)="N/A",0,RTD("tos.rtd",,$A$2,"."&amp;C$135&amp;C$1&amp;"C"&amp;$A185))-IF(RTD("tos.rtd",,$A$2,"."&amp;C$135&amp;C$1&amp;"P"&amp;$A185)="N/A",0,RTD("tos.rtd",,$A$2,"."&amp;C$135&amp;C$1&amp;"P"&amp;$A185))</f>
        <v>0</v>
      </c>
      <c r="D185" s="91">
        <f ca="1">IF(RTD("tos.rtd",,$A$2,"."&amp;D$135&amp;D$1&amp;"C"&amp;$A185)="N/A",0,RTD("tos.rtd",,$A$2,"."&amp;D$135&amp;D$1&amp;"C"&amp;$A185))-IF(RTD("tos.rtd",,$A$2,"."&amp;D$135&amp;D$1&amp;"P"&amp;$A185)="N/A",0,RTD("tos.rtd",,$A$2,"."&amp;D$135&amp;D$1&amp;"P"&amp;$A185))</f>
        <v>0</v>
      </c>
      <c r="E185" s="91">
        <f ca="1">IF(RTD("tos.rtd",,$A$2,"."&amp;E$135&amp;E$1&amp;"C"&amp;$A185)="N/A",0,RTD("tos.rtd",,$A$2,"."&amp;E$135&amp;E$1&amp;"C"&amp;$A185))-IF(RTD("tos.rtd",,$A$2,"."&amp;E$135&amp;E$1&amp;"P"&amp;$A185)="N/A",0,RTD("tos.rtd",,$A$2,"."&amp;E$135&amp;E$1&amp;"P"&amp;$A185))</f>
        <v>0</v>
      </c>
      <c r="F185" s="91">
        <f ca="1">IF(RTD("tos.rtd",,$A$2,"."&amp;F$135&amp;F$1&amp;"C"&amp;$A185)="N/A",0,RTD("tos.rtd",,$A$2,"."&amp;F$135&amp;F$1&amp;"C"&amp;$A185))-IF(RTD("tos.rtd",,$A$2,"."&amp;F$135&amp;F$1&amp;"P"&amp;$A185)="N/A",0,RTD("tos.rtd",,$A$2,"."&amp;F$135&amp;F$1&amp;"P"&amp;$A185))</f>
        <v>0</v>
      </c>
      <c r="G185" s="91">
        <f ca="1">IF(RTD("tos.rtd",,$A$2,"."&amp;G$135&amp;G$1&amp;"C"&amp;$A185)="N/A",0,RTD("tos.rtd",,$A$2,"."&amp;G$135&amp;G$1&amp;"C"&amp;$A185))-IF(RTD("tos.rtd",,$A$2,"."&amp;G$135&amp;G$1&amp;"P"&amp;$A185)="N/A",0,RTD("tos.rtd",,$A$2,"."&amp;G$135&amp;G$1&amp;"P"&amp;$A185))</f>
        <v>0</v>
      </c>
      <c r="H185" s="91">
        <f ca="1">IF(RTD("tos.rtd",,$A$2,"."&amp;H$135&amp;H$1&amp;"C"&amp;$A185)="N/A",0,RTD("tos.rtd",,$A$2,"."&amp;H$135&amp;H$1&amp;"C"&amp;$A185))-IF(RTD("tos.rtd",,$A$2,"."&amp;H$135&amp;H$1&amp;"P"&amp;$A185)="N/A",0,RTD("tos.rtd",,$A$2,"."&amp;H$135&amp;H$1&amp;"P"&amp;$A185))</f>
        <v>0</v>
      </c>
      <c r="I185" s="91">
        <f ca="1">IF(RTD("tos.rtd",,$A$2,"."&amp;I$135&amp;I$1&amp;"C"&amp;$A185)="N/A",0,RTD("tos.rtd",,$A$2,"."&amp;I$135&amp;I$1&amp;"C"&amp;$A185))-IF(RTD("tos.rtd",,$A$2,"."&amp;I$135&amp;I$1&amp;"P"&amp;$A185)="N/A",0,RTD("tos.rtd",,$A$2,"."&amp;I$135&amp;I$1&amp;"P"&amp;$A185))</f>
        <v>0</v>
      </c>
      <c r="J185" s="91">
        <f ca="1">IF(RTD("tos.rtd",,$A$2,"."&amp;J$135&amp;J$1&amp;"C"&amp;$A185)="N/A",0,RTD("tos.rtd",,$A$2,"."&amp;J$135&amp;J$1&amp;"C"&amp;$A185))-IF(RTD("tos.rtd",,$A$2,"."&amp;J$135&amp;J$1&amp;"P"&amp;$A185)="N/A",0,RTD("tos.rtd",,$A$2,"."&amp;J$135&amp;J$1&amp;"P"&amp;$A185))</f>
        <v>0</v>
      </c>
      <c r="K185" s="91">
        <f ca="1">IF(RTD("tos.rtd",,$A$2,"."&amp;K$135&amp;K$1&amp;"C"&amp;$A185)="N/A",0,RTD("tos.rtd",,$A$2,"."&amp;K$135&amp;K$1&amp;"C"&amp;$A185))-IF(RTD("tos.rtd",,$A$2,"."&amp;K$135&amp;K$1&amp;"P"&amp;$A185)="N/A",0,RTD("tos.rtd",,$A$2,"."&amp;K$135&amp;K$1&amp;"P"&amp;$A185))</f>
        <v>0</v>
      </c>
      <c r="L185" s="91">
        <f ca="1">IF(RTD("tos.rtd",,$A$2,"."&amp;L$135&amp;L$1&amp;"C"&amp;$A185)="N/A",0,RTD("tos.rtd",,$A$2,"."&amp;L$135&amp;L$1&amp;"C"&amp;$A185))-IF(RTD("tos.rtd",,$A$2,"."&amp;L$135&amp;L$1&amp;"P"&amp;$A185)="N/A",0,RTD("tos.rtd",,$A$2,"."&amp;L$135&amp;L$1&amp;"P"&amp;$A185))</f>
        <v>0</v>
      </c>
      <c r="M185" s="91">
        <f ca="1">IF(RTD("tos.rtd",,$A$2,"."&amp;M$135&amp;M$1&amp;"C"&amp;$A185)="N/A",0,RTD("tos.rtd",,$A$2,"."&amp;M$135&amp;M$1&amp;"C"&amp;$A185))-IF(RTD("tos.rtd",,$A$2,"."&amp;M$135&amp;M$1&amp;"P"&amp;$A185)="N/A",0,RTD("tos.rtd",,$A$2,"."&amp;M$135&amp;M$1&amp;"P"&amp;$A185))</f>
        <v>0</v>
      </c>
      <c r="N185" s="91">
        <f ca="1">IF(RTD("tos.rtd",,$A$2,"."&amp;N$135&amp;N$1&amp;"C"&amp;$A185)="N/A",0,RTD("tos.rtd",,$A$2,"."&amp;N$135&amp;N$1&amp;"C"&amp;$A185))-IF(RTD("tos.rtd",,$A$2,"."&amp;N$135&amp;N$1&amp;"P"&amp;$A185)="N/A",0,RTD("tos.rtd",,$A$2,"."&amp;N$135&amp;N$1&amp;"P"&amp;$A185))</f>
        <v>0</v>
      </c>
      <c r="O185" s="91">
        <f ca="1">IF(RTD("tos.rtd",,$A$2,"."&amp;O$135&amp;O$1&amp;"C"&amp;$A185)="N/A",0,RTD("tos.rtd",,$A$2,"."&amp;O$135&amp;O$1&amp;"C"&amp;$A185))-IF(RTD("tos.rtd",,$A$2,"."&amp;O$135&amp;O$1&amp;"P"&amp;$A185)="N/A",0,RTD("tos.rtd",,$A$2,"."&amp;O$135&amp;O$1&amp;"P"&amp;$A185))</f>
        <v>0</v>
      </c>
      <c r="P185" s="91">
        <f ca="1">IF(RTD("tos.rtd",,$A$2,"."&amp;P$135&amp;P$1&amp;"C"&amp;$A185)="N/A",0,RTD("tos.rtd",,$A$2,"."&amp;P$135&amp;P$1&amp;"C"&amp;$A185))-IF(RTD("tos.rtd",,$A$2,"."&amp;P$135&amp;P$1&amp;"P"&amp;$A185)="N/A",0,RTD("tos.rtd",,$A$2,"."&amp;P$135&amp;P$1&amp;"P"&amp;$A185))</f>
        <v>0</v>
      </c>
      <c r="Q185" s="91">
        <f ca="1">IF(RTD("tos.rtd",,$A$2,"."&amp;Q$135&amp;Q$1&amp;"C"&amp;$A185)="N/A",0,RTD("tos.rtd",,$A$2,"."&amp;Q$135&amp;Q$1&amp;"C"&amp;$A185))-IF(RTD("tos.rtd",,$A$2,"."&amp;Q$135&amp;Q$1&amp;"P"&amp;$A185)="N/A",0,RTD("tos.rtd",,$A$2,"."&amp;Q$135&amp;Q$1&amp;"P"&amp;$A185))</f>
        <v>0</v>
      </c>
      <c r="R185" s="91">
        <f ca="1">IF(RTD("tos.rtd",,$A$2,"."&amp;R$135&amp;R$1&amp;"C"&amp;$A185)="N/A",0,RTD("tos.rtd",,$A$2,"."&amp;R$135&amp;R$1&amp;"C"&amp;$A185))-IF(RTD("tos.rtd",,$A$2,"."&amp;R$135&amp;R$1&amp;"P"&amp;$A185)="N/A",0,RTD("tos.rtd",,$A$2,"."&amp;R$135&amp;R$1&amp;"P"&amp;$A185))</f>
        <v>0</v>
      </c>
      <c r="S185" s="91">
        <f ca="1">IF(RTD("tos.rtd",,$A$2,"."&amp;S$135&amp;S$1&amp;"C"&amp;$A185)="N/A",0,RTD("tos.rtd",,$A$2,"."&amp;S$135&amp;S$1&amp;"C"&amp;$A185))-IF(RTD("tos.rtd",,$A$2,"."&amp;S$135&amp;S$1&amp;"P"&amp;$A185)="N/A",0,RTD("tos.rtd",,$A$2,"."&amp;S$135&amp;S$1&amp;"P"&amp;$A185))</f>
        <v>0</v>
      </c>
      <c r="T185" s="91">
        <f ca="1">IF(RTD("tos.rtd",,$A$2,"."&amp;T$135&amp;T$1&amp;"C"&amp;$A185)="N/A",0,RTD("tos.rtd",,$A$2,"."&amp;T$135&amp;T$1&amp;"C"&amp;$A185))-IF(RTD("tos.rtd",,$A$2,"."&amp;T$135&amp;T$1&amp;"P"&amp;$A185)="N/A",0,RTD("tos.rtd",,$A$2,"."&amp;T$135&amp;T$1&amp;"P"&amp;$A185))</f>
        <v>0</v>
      </c>
      <c r="U185" s="91">
        <f ca="1">IF(RTD("tos.rtd",,$A$2,"."&amp;U$135&amp;U$1&amp;"C"&amp;$A185)="N/A",0,RTD("tos.rtd",,$A$2,"."&amp;U$135&amp;U$1&amp;"C"&amp;$A185))-IF(RTD("tos.rtd",,$A$2,"."&amp;U$135&amp;U$1&amp;"P"&amp;$A185)="N/A",0,RTD("tos.rtd",,$A$2,"."&amp;U$135&amp;U$1&amp;"P"&amp;$A185))</f>
        <v>0</v>
      </c>
      <c r="V185" s="91">
        <f ca="1">IF(RTD("tos.rtd",,$A$2,"."&amp;V$135&amp;V$1&amp;"C"&amp;$A185)="N/A",0,RTD("tos.rtd",,$A$2,"."&amp;V$135&amp;V$1&amp;"C"&amp;$A185))-IF(RTD("tos.rtd",,$A$2,"."&amp;V$135&amp;V$1&amp;"P"&amp;$A185)="N/A",0,RTD("tos.rtd",,$A$2,"."&amp;V$135&amp;V$1&amp;"P"&amp;$A185))</f>
        <v>0</v>
      </c>
      <c r="W185" s="91">
        <f ca="1">IF(RTD("tos.rtd",,$A$2,"."&amp;W$135&amp;W$1&amp;"C"&amp;$A185)="N/A",0,RTD("tos.rtd",,$A$2,"."&amp;W$135&amp;W$1&amp;"C"&amp;$A185))-IF(RTD("tos.rtd",,$A$2,"."&amp;W$135&amp;W$1&amp;"P"&amp;$A185)="N/A",0,RTD("tos.rtd",,$A$2,"."&amp;W$135&amp;W$1&amp;"P"&amp;$A185))</f>
        <v>0</v>
      </c>
      <c r="X185" s="91">
        <f ca="1">IF(RTD("tos.rtd",,$A$2,"."&amp;X$135&amp;X$1&amp;"C"&amp;$A185)="N/A",0,RTD("tos.rtd",,$A$2,"."&amp;X$135&amp;X$1&amp;"C"&amp;$A185))-IF(RTD("tos.rtd",,$A$2,"."&amp;X$135&amp;X$1&amp;"P"&amp;$A185)="N/A",0,RTD("tos.rtd",,$A$2,"."&amp;X$135&amp;X$1&amp;"P"&amp;$A185))</f>
        <v>0</v>
      </c>
      <c r="Y185" s="98">
        <f t="shared" ca="1" si="13"/>
        <v>0</v>
      </c>
      <c r="Z185" s="91"/>
      <c r="AA185" s="91"/>
    </row>
    <row r="186" spans="1:27" x14ac:dyDescent="0.25">
      <c r="A186" s="93">
        <f>+Hoja1!A185</f>
        <v>20150</v>
      </c>
      <c r="B186" s="91">
        <f ca="1">IF(RTD("tos.rtd",,$A$2,"."&amp;B$135&amp;B$1&amp;"C"&amp;$A186)="N/A",0,RTD("tos.rtd",,$A$2,"."&amp;B$135&amp;B$1&amp;"C"&amp;$A186))-IF(RTD("tos.rtd",,$A$2,"."&amp;B$135&amp;B$1&amp;"P"&amp;$A186)="N/A",0,RTD("tos.rtd",,$A$2,"."&amp;B$135&amp;B$1&amp;"P"&amp;$A186))</f>
        <v>0</v>
      </c>
      <c r="C186" s="91">
        <f ca="1">IF(RTD("tos.rtd",,$A$2,"."&amp;C$135&amp;C$1&amp;"C"&amp;$A186)="N/A",0,RTD("tos.rtd",,$A$2,"."&amp;C$135&amp;C$1&amp;"C"&amp;$A186))-IF(RTD("tos.rtd",,$A$2,"."&amp;C$135&amp;C$1&amp;"P"&amp;$A186)="N/A",0,RTD("tos.rtd",,$A$2,"."&amp;C$135&amp;C$1&amp;"P"&amp;$A186))</f>
        <v>0</v>
      </c>
      <c r="D186" s="91">
        <f ca="1">IF(RTD("tos.rtd",,$A$2,"."&amp;D$135&amp;D$1&amp;"C"&amp;$A186)="N/A",0,RTD("tos.rtd",,$A$2,"."&amp;D$135&amp;D$1&amp;"C"&amp;$A186))-IF(RTD("tos.rtd",,$A$2,"."&amp;D$135&amp;D$1&amp;"P"&amp;$A186)="N/A",0,RTD("tos.rtd",,$A$2,"."&amp;D$135&amp;D$1&amp;"P"&amp;$A186))</f>
        <v>0</v>
      </c>
      <c r="E186" s="91">
        <f ca="1">IF(RTD("tos.rtd",,$A$2,"."&amp;E$135&amp;E$1&amp;"C"&amp;$A186)="N/A",0,RTD("tos.rtd",,$A$2,"."&amp;E$135&amp;E$1&amp;"C"&amp;$A186))-IF(RTD("tos.rtd",,$A$2,"."&amp;E$135&amp;E$1&amp;"P"&amp;$A186)="N/A",0,RTD("tos.rtd",,$A$2,"."&amp;E$135&amp;E$1&amp;"P"&amp;$A186))</f>
        <v>0</v>
      </c>
      <c r="F186" s="91">
        <f ca="1">IF(RTD("tos.rtd",,$A$2,"."&amp;F$135&amp;F$1&amp;"C"&amp;$A186)="N/A",0,RTD("tos.rtd",,$A$2,"."&amp;F$135&amp;F$1&amp;"C"&amp;$A186))-IF(RTD("tos.rtd",,$A$2,"."&amp;F$135&amp;F$1&amp;"P"&amp;$A186)="N/A",0,RTD("tos.rtd",,$A$2,"."&amp;F$135&amp;F$1&amp;"P"&amp;$A186))</f>
        <v>0</v>
      </c>
      <c r="G186" s="91">
        <f ca="1">IF(RTD("tos.rtd",,$A$2,"."&amp;G$135&amp;G$1&amp;"C"&amp;$A186)="N/A",0,RTD("tos.rtd",,$A$2,"."&amp;G$135&amp;G$1&amp;"C"&amp;$A186))-IF(RTD("tos.rtd",,$A$2,"."&amp;G$135&amp;G$1&amp;"P"&amp;$A186)="N/A",0,RTD("tos.rtd",,$A$2,"."&amp;G$135&amp;G$1&amp;"P"&amp;$A186))</f>
        <v>0</v>
      </c>
      <c r="H186" s="91">
        <f ca="1">IF(RTD("tos.rtd",,$A$2,"."&amp;H$135&amp;H$1&amp;"C"&amp;$A186)="N/A",0,RTD("tos.rtd",,$A$2,"."&amp;H$135&amp;H$1&amp;"C"&amp;$A186))-IF(RTD("tos.rtd",,$A$2,"."&amp;H$135&amp;H$1&amp;"P"&amp;$A186)="N/A",0,RTD("tos.rtd",,$A$2,"."&amp;H$135&amp;H$1&amp;"P"&amp;$A186))</f>
        <v>0</v>
      </c>
      <c r="I186" s="91">
        <f ca="1">IF(RTD("tos.rtd",,$A$2,"."&amp;I$135&amp;I$1&amp;"C"&amp;$A186)="N/A",0,RTD("tos.rtd",,$A$2,"."&amp;I$135&amp;I$1&amp;"C"&amp;$A186))-IF(RTD("tos.rtd",,$A$2,"."&amp;I$135&amp;I$1&amp;"P"&amp;$A186)="N/A",0,RTD("tos.rtd",,$A$2,"."&amp;I$135&amp;I$1&amp;"P"&amp;$A186))</f>
        <v>0</v>
      </c>
      <c r="J186" s="91">
        <f ca="1">IF(RTD("tos.rtd",,$A$2,"."&amp;J$135&amp;J$1&amp;"C"&amp;$A186)="N/A",0,RTD("tos.rtd",,$A$2,"."&amp;J$135&amp;J$1&amp;"C"&amp;$A186))-IF(RTD("tos.rtd",,$A$2,"."&amp;J$135&amp;J$1&amp;"P"&amp;$A186)="N/A",0,RTD("tos.rtd",,$A$2,"."&amp;J$135&amp;J$1&amp;"P"&amp;$A186))</f>
        <v>1</v>
      </c>
      <c r="K186" s="91">
        <f ca="1">IF(RTD("tos.rtd",,$A$2,"."&amp;K$135&amp;K$1&amp;"C"&amp;$A186)="N/A",0,RTD("tos.rtd",,$A$2,"."&amp;K$135&amp;K$1&amp;"C"&amp;$A186))-IF(RTD("tos.rtd",,$A$2,"."&amp;K$135&amp;K$1&amp;"P"&amp;$A186)="N/A",0,RTD("tos.rtd",,$A$2,"."&amp;K$135&amp;K$1&amp;"P"&amp;$A186))</f>
        <v>0</v>
      </c>
      <c r="L186" s="91">
        <f ca="1">IF(RTD("tos.rtd",,$A$2,"."&amp;L$135&amp;L$1&amp;"C"&amp;$A186)="N/A",0,RTD("tos.rtd",,$A$2,"."&amp;L$135&amp;L$1&amp;"C"&amp;$A186))-IF(RTD("tos.rtd",,$A$2,"."&amp;L$135&amp;L$1&amp;"P"&amp;$A186)="N/A",0,RTD("tos.rtd",,$A$2,"."&amp;L$135&amp;L$1&amp;"P"&amp;$A186))</f>
        <v>0</v>
      </c>
      <c r="M186" s="91">
        <f ca="1">IF(RTD("tos.rtd",,$A$2,"."&amp;M$135&amp;M$1&amp;"C"&amp;$A186)="N/A",0,RTD("tos.rtd",,$A$2,"."&amp;M$135&amp;M$1&amp;"C"&amp;$A186))-IF(RTD("tos.rtd",,$A$2,"."&amp;M$135&amp;M$1&amp;"P"&amp;$A186)="N/A",0,RTD("tos.rtd",,$A$2,"."&amp;M$135&amp;M$1&amp;"P"&amp;$A186))</f>
        <v>0</v>
      </c>
      <c r="N186" s="91">
        <f ca="1">IF(RTD("tos.rtd",,$A$2,"."&amp;N$135&amp;N$1&amp;"C"&amp;$A186)="N/A",0,RTD("tos.rtd",,$A$2,"."&amp;N$135&amp;N$1&amp;"C"&amp;$A186))-IF(RTD("tos.rtd",,$A$2,"."&amp;N$135&amp;N$1&amp;"P"&amp;$A186)="N/A",0,RTD("tos.rtd",,$A$2,"."&amp;N$135&amp;N$1&amp;"P"&amp;$A186))</f>
        <v>0</v>
      </c>
      <c r="O186" s="91">
        <f ca="1">IF(RTD("tos.rtd",,$A$2,"."&amp;O$135&amp;O$1&amp;"C"&amp;$A186)="N/A",0,RTD("tos.rtd",,$A$2,"."&amp;O$135&amp;O$1&amp;"C"&amp;$A186))-IF(RTD("tos.rtd",,$A$2,"."&amp;O$135&amp;O$1&amp;"P"&amp;$A186)="N/A",0,RTD("tos.rtd",,$A$2,"."&amp;O$135&amp;O$1&amp;"P"&amp;$A186))</f>
        <v>0</v>
      </c>
      <c r="P186" s="91">
        <f ca="1">IF(RTD("tos.rtd",,$A$2,"."&amp;P$135&amp;P$1&amp;"C"&amp;$A186)="N/A",0,RTD("tos.rtd",,$A$2,"."&amp;P$135&amp;P$1&amp;"C"&amp;$A186))-IF(RTD("tos.rtd",,$A$2,"."&amp;P$135&amp;P$1&amp;"P"&amp;$A186)="N/A",0,RTD("tos.rtd",,$A$2,"."&amp;P$135&amp;P$1&amp;"P"&amp;$A186))</f>
        <v>0</v>
      </c>
      <c r="Q186" s="91">
        <f ca="1">IF(RTD("tos.rtd",,$A$2,"."&amp;Q$135&amp;Q$1&amp;"C"&amp;$A186)="N/A",0,RTD("tos.rtd",,$A$2,"."&amp;Q$135&amp;Q$1&amp;"C"&amp;$A186))-IF(RTD("tos.rtd",,$A$2,"."&amp;Q$135&amp;Q$1&amp;"P"&amp;$A186)="N/A",0,RTD("tos.rtd",,$A$2,"."&amp;Q$135&amp;Q$1&amp;"P"&amp;$A186))</f>
        <v>0</v>
      </c>
      <c r="R186" s="91">
        <f ca="1">IF(RTD("tos.rtd",,$A$2,"."&amp;R$135&amp;R$1&amp;"C"&amp;$A186)="N/A",0,RTD("tos.rtd",,$A$2,"."&amp;R$135&amp;R$1&amp;"C"&amp;$A186))-IF(RTD("tos.rtd",,$A$2,"."&amp;R$135&amp;R$1&amp;"P"&amp;$A186)="N/A",0,RTD("tos.rtd",,$A$2,"."&amp;R$135&amp;R$1&amp;"P"&amp;$A186))</f>
        <v>0</v>
      </c>
      <c r="S186" s="91">
        <f ca="1">IF(RTD("tos.rtd",,$A$2,"."&amp;S$135&amp;S$1&amp;"C"&amp;$A186)="N/A",0,RTD("tos.rtd",,$A$2,"."&amp;S$135&amp;S$1&amp;"C"&amp;$A186))-IF(RTD("tos.rtd",,$A$2,"."&amp;S$135&amp;S$1&amp;"P"&amp;$A186)="N/A",0,RTD("tos.rtd",,$A$2,"."&amp;S$135&amp;S$1&amp;"P"&amp;$A186))</f>
        <v>0</v>
      </c>
      <c r="T186" s="91">
        <f ca="1">IF(RTD("tos.rtd",,$A$2,"."&amp;T$135&amp;T$1&amp;"C"&amp;$A186)="N/A",0,RTD("tos.rtd",,$A$2,"."&amp;T$135&amp;T$1&amp;"C"&amp;$A186))-IF(RTD("tos.rtd",,$A$2,"."&amp;T$135&amp;T$1&amp;"P"&amp;$A186)="N/A",0,RTD("tos.rtd",,$A$2,"."&amp;T$135&amp;T$1&amp;"P"&amp;$A186))</f>
        <v>0</v>
      </c>
      <c r="U186" s="91">
        <f ca="1">IF(RTD("tos.rtd",,$A$2,"."&amp;U$135&amp;U$1&amp;"C"&amp;$A186)="N/A",0,RTD("tos.rtd",,$A$2,"."&amp;U$135&amp;U$1&amp;"C"&amp;$A186))-IF(RTD("tos.rtd",,$A$2,"."&amp;U$135&amp;U$1&amp;"P"&amp;$A186)="N/A",0,RTD("tos.rtd",,$A$2,"."&amp;U$135&amp;U$1&amp;"P"&amp;$A186))</f>
        <v>0</v>
      </c>
      <c r="V186" s="91">
        <f ca="1">IF(RTD("tos.rtd",,$A$2,"."&amp;V$135&amp;V$1&amp;"C"&amp;$A186)="N/A",0,RTD("tos.rtd",,$A$2,"."&amp;V$135&amp;V$1&amp;"C"&amp;$A186))-IF(RTD("tos.rtd",,$A$2,"."&amp;V$135&amp;V$1&amp;"P"&amp;$A186)="N/A",0,RTD("tos.rtd",,$A$2,"."&amp;V$135&amp;V$1&amp;"P"&amp;$A186))</f>
        <v>0</v>
      </c>
      <c r="W186" s="91">
        <f ca="1">IF(RTD("tos.rtd",,$A$2,"."&amp;W$135&amp;W$1&amp;"C"&amp;$A186)="N/A",0,RTD("tos.rtd",,$A$2,"."&amp;W$135&amp;W$1&amp;"C"&amp;$A186))-IF(RTD("tos.rtd",,$A$2,"."&amp;W$135&amp;W$1&amp;"P"&amp;$A186)="N/A",0,RTD("tos.rtd",,$A$2,"."&amp;W$135&amp;W$1&amp;"P"&amp;$A186))</f>
        <v>0</v>
      </c>
      <c r="X186" s="91">
        <f ca="1">IF(RTD("tos.rtd",,$A$2,"."&amp;X$135&amp;X$1&amp;"C"&amp;$A186)="N/A",0,RTD("tos.rtd",,$A$2,"."&amp;X$135&amp;X$1&amp;"C"&amp;$A186))-IF(RTD("tos.rtd",,$A$2,"."&amp;X$135&amp;X$1&amp;"P"&amp;$A186)="N/A",0,RTD("tos.rtd",,$A$2,"."&amp;X$135&amp;X$1&amp;"P"&amp;$A186))</f>
        <v>0</v>
      </c>
      <c r="Y186" s="98">
        <f t="shared" ca="1" si="13"/>
        <v>1</v>
      </c>
      <c r="Z186" s="91"/>
      <c r="AA186" s="91"/>
    </row>
    <row r="187" spans="1:27" x14ac:dyDescent="0.25">
      <c r="A187" s="93">
        <f>+Hoja1!A186</f>
        <v>20125</v>
      </c>
      <c r="B187" s="91">
        <f ca="1">IF(RTD("tos.rtd",,$A$2,"."&amp;B$135&amp;B$1&amp;"C"&amp;$A187)="N/A",0,RTD("tos.rtd",,$A$2,"."&amp;B$135&amp;B$1&amp;"C"&amp;$A187))-IF(RTD("tos.rtd",,$A$2,"."&amp;B$135&amp;B$1&amp;"P"&amp;$A187)="N/A",0,RTD("tos.rtd",,$A$2,"."&amp;B$135&amp;B$1&amp;"P"&amp;$A187))</f>
        <v>0</v>
      </c>
      <c r="C187" s="91">
        <f ca="1">IF(RTD("tos.rtd",,$A$2,"."&amp;C$135&amp;C$1&amp;"C"&amp;$A187)="N/A",0,RTD("tos.rtd",,$A$2,"."&amp;C$135&amp;C$1&amp;"C"&amp;$A187))-IF(RTD("tos.rtd",,$A$2,"."&amp;C$135&amp;C$1&amp;"P"&amp;$A187)="N/A",0,RTD("tos.rtd",,$A$2,"."&amp;C$135&amp;C$1&amp;"P"&amp;$A187))</f>
        <v>0</v>
      </c>
      <c r="D187" s="91">
        <f ca="1">IF(RTD("tos.rtd",,$A$2,"."&amp;D$135&amp;D$1&amp;"C"&amp;$A187)="N/A",0,RTD("tos.rtd",,$A$2,"."&amp;D$135&amp;D$1&amp;"C"&amp;$A187))-IF(RTD("tos.rtd",,$A$2,"."&amp;D$135&amp;D$1&amp;"P"&amp;$A187)="N/A",0,RTD("tos.rtd",,$A$2,"."&amp;D$135&amp;D$1&amp;"P"&amp;$A187))</f>
        <v>0</v>
      </c>
      <c r="E187" s="91">
        <f ca="1">IF(RTD("tos.rtd",,$A$2,"."&amp;E$135&amp;E$1&amp;"C"&amp;$A187)="N/A",0,RTD("tos.rtd",,$A$2,"."&amp;E$135&amp;E$1&amp;"C"&amp;$A187))-IF(RTD("tos.rtd",,$A$2,"."&amp;E$135&amp;E$1&amp;"P"&amp;$A187)="N/A",0,RTD("tos.rtd",,$A$2,"."&amp;E$135&amp;E$1&amp;"P"&amp;$A187))</f>
        <v>0</v>
      </c>
      <c r="F187" s="91">
        <f ca="1">IF(RTD("tos.rtd",,$A$2,"."&amp;F$135&amp;F$1&amp;"C"&amp;$A187)="N/A",0,RTD("tos.rtd",,$A$2,"."&amp;F$135&amp;F$1&amp;"C"&amp;$A187))-IF(RTD("tos.rtd",,$A$2,"."&amp;F$135&amp;F$1&amp;"P"&amp;$A187)="N/A",0,RTD("tos.rtd",,$A$2,"."&amp;F$135&amp;F$1&amp;"P"&amp;$A187))</f>
        <v>0</v>
      </c>
      <c r="G187" s="91">
        <f ca="1">IF(RTD("tos.rtd",,$A$2,"."&amp;G$135&amp;G$1&amp;"C"&amp;$A187)="N/A",0,RTD("tos.rtd",,$A$2,"."&amp;G$135&amp;G$1&amp;"C"&amp;$A187))-IF(RTD("tos.rtd",,$A$2,"."&amp;G$135&amp;G$1&amp;"P"&amp;$A187)="N/A",0,RTD("tos.rtd",,$A$2,"."&amp;G$135&amp;G$1&amp;"P"&amp;$A187))</f>
        <v>0</v>
      </c>
      <c r="H187" s="91">
        <f ca="1">IF(RTD("tos.rtd",,$A$2,"."&amp;H$135&amp;H$1&amp;"C"&amp;$A187)="N/A",0,RTD("tos.rtd",,$A$2,"."&amp;H$135&amp;H$1&amp;"C"&amp;$A187))-IF(RTD("tos.rtd",,$A$2,"."&amp;H$135&amp;H$1&amp;"P"&amp;$A187)="N/A",0,RTD("tos.rtd",,$A$2,"."&amp;H$135&amp;H$1&amp;"P"&amp;$A187))</f>
        <v>0</v>
      </c>
      <c r="I187" s="91">
        <f ca="1">IF(RTD("tos.rtd",,$A$2,"."&amp;I$135&amp;I$1&amp;"C"&amp;$A187)="N/A",0,RTD("tos.rtd",,$A$2,"."&amp;I$135&amp;I$1&amp;"C"&amp;$A187))-IF(RTD("tos.rtd",,$A$2,"."&amp;I$135&amp;I$1&amp;"P"&amp;$A187)="N/A",0,RTD("tos.rtd",,$A$2,"."&amp;I$135&amp;I$1&amp;"P"&amp;$A187))</f>
        <v>0</v>
      </c>
      <c r="J187" s="91">
        <f ca="1">IF(RTD("tos.rtd",,$A$2,"."&amp;J$135&amp;J$1&amp;"C"&amp;$A187)="N/A",0,RTD("tos.rtd",,$A$2,"."&amp;J$135&amp;J$1&amp;"C"&amp;$A187))-IF(RTD("tos.rtd",,$A$2,"."&amp;J$135&amp;J$1&amp;"P"&amp;$A187)="N/A",0,RTD("tos.rtd",,$A$2,"."&amp;J$135&amp;J$1&amp;"P"&amp;$A187))</f>
        <v>1</v>
      </c>
      <c r="K187" s="91">
        <f ca="1">IF(RTD("tos.rtd",,$A$2,"."&amp;K$135&amp;K$1&amp;"C"&amp;$A187)="N/A",0,RTD("tos.rtd",,$A$2,"."&amp;K$135&amp;K$1&amp;"C"&amp;$A187))-IF(RTD("tos.rtd",,$A$2,"."&amp;K$135&amp;K$1&amp;"P"&amp;$A187)="N/A",0,RTD("tos.rtd",,$A$2,"."&amp;K$135&amp;K$1&amp;"P"&amp;$A187))</f>
        <v>0</v>
      </c>
      <c r="L187" s="91">
        <f ca="1">IF(RTD("tos.rtd",,$A$2,"."&amp;L$135&amp;L$1&amp;"C"&amp;$A187)="N/A",0,RTD("tos.rtd",,$A$2,"."&amp;L$135&amp;L$1&amp;"C"&amp;$A187))-IF(RTD("tos.rtd",,$A$2,"."&amp;L$135&amp;L$1&amp;"P"&amp;$A187)="N/A",0,RTD("tos.rtd",,$A$2,"."&amp;L$135&amp;L$1&amp;"P"&amp;$A187))</f>
        <v>0</v>
      </c>
      <c r="M187" s="91">
        <f ca="1">IF(RTD("tos.rtd",,$A$2,"."&amp;M$135&amp;M$1&amp;"C"&amp;$A187)="N/A",0,RTD("tos.rtd",,$A$2,"."&amp;M$135&amp;M$1&amp;"C"&amp;$A187))-IF(RTD("tos.rtd",,$A$2,"."&amp;M$135&amp;M$1&amp;"P"&amp;$A187)="N/A",0,RTD("tos.rtd",,$A$2,"."&amp;M$135&amp;M$1&amp;"P"&amp;$A187))</f>
        <v>0</v>
      </c>
      <c r="N187" s="91">
        <f ca="1">IF(RTD("tos.rtd",,$A$2,"."&amp;N$135&amp;N$1&amp;"C"&amp;$A187)="N/A",0,RTD("tos.rtd",,$A$2,"."&amp;N$135&amp;N$1&amp;"C"&amp;$A187))-IF(RTD("tos.rtd",,$A$2,"."&amp;N$135&amp;N$1&amp;"P"&amp;$A187)="N/A",0,RTD("tos.rtd",,$A$2,"."&amp;N$135&amp;N$1&amp;"P"&amp;$A187))</f>
        <v>0</v>
      </c>
      <c r="O187" s="91">
        <f ca="1">IF(RTD("tos.rtd",,$A$2,"."&amp;O$135&amp;O$1&amp;"C"&amp;$A187)="N/A",0,RTD("tos.rtd",,$A$2,"."&amp;O$135&amp;O$1&amp;"C"&amp;$A187))-IF(RTD("tos.rtd",,$A$2,"."&amp;O$135&amp;O$1&amp;"P"&amp;$A187)="N/A",0,RTD("tos.rtd",,$A$2,"."&amp;O$135&amp;O$1&amp;"P"&amp;$A187))</f>
        <v>0</v>
      </c>
      <c r="P187" s="91">
        <f ca="1">IF(RTD("tos.rtd",,$A$2,"."&amp;P$135&amp;P$1&amp;"C"&amp;$A187)="N/A",0,RTD("tos.rtd",,$A$2,"."&amp;P$135&amp;P$1&amp;"C"&amp;$A187))-IF(RTD("tos.rtd",,$A$2,"."&amp;P$135&amp;P$1&amp;"P"&amp;$A187)="N/A",0,RTD("tos.rtd",,$A$2,"."&amp;P$135&amp;P$1&amp;"P"&amp;$A187))</f>
        <v>0</v>
      </c>
      <c r="Q187" s="91">
        <f ca="1">IF(RTD("tos.rtd",,$A$2,"."&amp;Q$135&amp;Q$1&amp;"C"&amp;$A187)="N/A",0,RTD("tos.rtd",,$A$2,"."&amp;Q$135&amp;Q$1&amp;"C"&amp;$A187))-IF(RTD("tos.rtd",,$A$2,"."&amp;Q$135&amp;Q$1&amp;"P"&amp;$A187)="N/A",0,RTD("tos.rtd",,$A$2,"."&amp;Q$135&amp;Q$1&amp;"P"&amp;$A187))</f>
        <v>0</v>
      </c>
      <c r="R187" s="91">
        <f ca="1">IF(RTD("tos.rtd",,$A$2,"."&amp;R$135&amp;R$1&amp;"C"&amp;$A187)="N/A",0,RTD("tos.rtd",,$A$2,"."&amp;R$135&amp;R$1&amp;"C"&amp;$A187))-IF(RTD("tos.rtd",,$A$2,"."&amp;R$135&amp;R$1&amp;"P"&amp;$A187)="N/A",0,RTD("tos.rtd",,$A$2,"."&amp;R$135&amp;R$1&amp;"P"&amp;$A187))</f>
        <v>0</v>
      </c>
      <c r="S187" s="91">
        <f ca="1">IF(RTD("tos.rtd",,$A$2,"."&amp;S$135&amp;S$1&amp;"C"&amp;$A187)="N/A",0,RTD("tos.rtd",,$A$2,"."&amp;S$135&amp;S$1&amp;"C"&amp;$A187))-IF(RTD("tos.rtd",,$A$2,"."&amp;S$135&amp;S$1&amp;"P"&amp;$A187)="N/A",0,RTD("tos.rtd",,$A$2,"."&amp;S$135&amp;S$1&amp;"P"&amp;$A187))</f>
        <v>0</v>
      </c>
      <c r="T187" s="91">
        <f ca="1">IF(RTD("tos.rtd",,$A$2,"."&amp;T$135&amp;T$1&amp;"C"&amp;$A187)="N/A",0,RTD("tos.rtd",,$A$2,"."&amp;T$135&amp;T$1&amp;"C"&amp;$A187))-IF(RTD("tos.rtd",,$A$2,"."&amp;T$135&amp;T$1&amp;"P"&amp;$A187)="N/A",0,RTD("tos.rtd",,$A$2,"."&amp;T$135&amp;T$1&amp;"P"&amp;$A187))</f>
        <v>0</v>
      </c>
      <c r="U187" s="91">
        <f ca="1">IF(RTD("tos.rtd",,$A$2,"."&amp;U$135&amp;U$1&amp;"C"&amp;$A187)="N/A",0,RTD("tos.rtd",,$A$2,"."&amp;U$135&amp;U$1&amp;"C"&amp;$A187))-IF(RTD("tos.rtd",,$A$2,"."&amp;U$135&amp;U$1&amp;"P"&amp;$A187)="N/A",0,RTD("tos.rtd",,$A$2,"."&amp;U$135&amp;U$1&amp;"P"&amp;$A187))</f>
        <v>0</v>
      </c>
      <c r="V187" s="91">
        <f ca="1">IF(RTD("tos.rtd",,$A$2,"."&amp;V$135&amp;V$1&amp;"C"&amp;$A187)="N/A",0,RTD("tos.rtd",,$A$2,"."&amp;V$135&amp;V$1&amp;"C"&amp;$A187))-IF(RTD("tos.rtd",,$A$2,"."&amp;V$135&amp;V$1&amp;"P"&amp;$A187)="N/A",0,RTD("tos.rtd",,$A$2,"."&amp;V$135&amp;V$1&amp;"P"&amp;$A187))</f>
        <v>0</v>
      </c>
      <c r="W187" s="91">
        <f ca="1">IF(RTD("tos.rtd",,$A$2,"."&amp;W$135&amp;W$1&amp;"C"&amp;$A187)="N/A",0,RTD("tos.rtd",,$A$2,"."&amp;W$135&amp;W$1&amp;"C"&amp;$A187))-IF(RTD("tos.rtd",,$A$2,"."&amp;W$135&amp;W$1&amp;"P"&amp;$A187)="N/A",0,RTD("tos.rtd",,$A$2,"."&amp;W$135&amp;W$1&amp;"P"&amp;$A187))</f>
        <v>0</v>
      </c>
      <c r="X187" s="91">
        <f ca="1">IF(RTD("tos.rtd",,$A$2,"."&amp;X$135&amp;X$1&amp;"C"&amp;$A187)="N/A",0,RTD("tos.rtd",,$A$2,"."&amp;X$135&amp;X$1&amp;"C"&amp;$A187))-IF(RTD("tos.rtd",,$A$2,"."&amp;X$135&amp;X$1&amp;"P"&amp;$A187)="N/A",0,RTD("tos.rtd",,$A$2,"."&amp;X$135&amp;X$1&amp;"P"&amp;$A187))</f>
        <v>0</v>
      </c>
      <c r="Y187" s="98">
        <f t="shared" ca="1" si="13"/>
        <v>1</v>
      </c>
      <c r="Z187" s="91"/>
      <c r="AA187" s="91"/>
    </row>
    <row r="188" spans="1:27" x14ac:dyDescent="0.25">
      <c r="A188" s="93">
        <f>+Hoja1!A187</f>
        <v>20100</v>
      </c>
      <c r="B188" s="91">
        <f ca="1">IF(RTD("tos.rtd",,$A$2,"."&amp;B$135&amp;B$1&amp;"C"&amp;$A188)="N/A",0,RTD("tos.rtd",,$A$2,"."&amp;B$135&amp;B$1&amp;"C"&amp;$A188))-IF(RTD("tos.rtd",,$A$2,"."&amp;B$135&amp;B$1&amp;"P"&amp;$A188)="N/A",0,RTD("tos.rtd",,$A$2,"."&amp;B$135&amp;B$1&amp;"P"&amp;$A188))</f>
        <v>0</v>
      </c>
      <c r="C188" s="91">
        <f ca="1">IF(RTD("tos.rtd",,$A$2,"."&amp;C$135&amp;C$1&amp;"C"&amp;$A188)="N/A",0,RTD("tos.rtd",,$A$2,"."&amp;C$135&amp;C$1&amp;"C"&amp;$A188))-IF(RTD("tos.rtd",,$A$2,"."&amp;C$135&amp;C$1&amp;"P"&amp;$A188)="N/A",0,RTD("tos.rtd",,$A$2,"."&amp;C$135&amp;C$1&amp;"P"&amp;$A188))</f>
        <v>0</v>
      </c>
      <c r="D188" s="91">
        <f ca="1">IF(RTD("tos.rtd",,$A$2,"."&amp;D$135&amp;D$1&amp;"C"&amp;$A188)="N/A",0,RTD("tos.rtd",,$A$2,"."&amp;D$135&amp;D$1&amp;"C"&amp;$A188))-IF(RTD("tos.rtd",,$A$2,"."&amp;D$135&amp;D$1&amp;"P"&amp;$A188)="N/A",0,RTD("tos.rtd",,$A$2,"."&amp;D$135&amp;D$1&amp;"P"&amp;$A188))</f>
        <v>0</v>
      </c>
      <c r="E188" s="91">
        <f ca="1">IF(RTD("tos.rtd",,$A$2,"."&amp;E$135&amp;E$1&amp;"C"&amp;$A188)="N/A",0,RTD("tos.rtd",,$A$2,"."&amp;E$135&amp;E$1&amp;"C"&amp;$A188))-IF(RTD("tos.rtd",,$A$2,"."&amp;E$135&amp;E$1&amp;"P"&amp;$A188)="N/A",0,RTD("tos.rtd",,$A$2,"."&amp;E$135&amp;E$1&amp;"P"&amp;$A188))</f>
        <v>0</v>
      </c>
      <c r="F188" s="91">
        <f ca="1">IF(RTD("tos.rtd",,$A$2,"."&amp;F$135&amp;F$1&amp;"C"&amp;$A188)="N/A",0,RTD("tos.rtd",,$A$2,"."&amp;F$135&amp;F$1&amp;"C"&amp;$A188))-IF(RTD("tos.rtd",,$A$2,"."&amp;F$135&amp;F$1&amp;"P"&amp;$A188)="N/A",0,RTD("tos.rtd",,$A$2,"."&amp;F$135&amp;F$1&amp;"P"&amp;$A188))</f>
        <v>0</v>
      </c>
      <c r="G188" s="91">
        <f ca="1">IF(RTD("tos.rtd",,$A$2,"."&amp;G$135&amp;G$1&amp;"C"&amp;$A188)="N/A",0,RTD("tos.rtd",,$A$2,"."&amp;G$135&amp;G$1&amp;"C"&amp;$A188))-IF(RTD("tos.rtd",,$A$2,"."&amp;G$135&amp;G$1&amp;"P"&amp;$A188)="N/A",0,RTD("tos.rtd",,$A$2,"."&amp;G$135&amp;G$1&amp;"P"&amp;$A188))</f>
        <v>0</v>
      </c>
      <c r="H188" s="91">
        <f ca="1">IF(RTD("tos.rtd",,$A$2,"."&amp;H$135&amp;H$1&amp;"C"&amp;$A188)="N/A",0,RTD("tos.rtd",,$A$2,"."&amp;H$135&amp;H$1&amp;"C"&amp;$A188))-IF(RTD("tos.rtd",,$A$2,"."&amp;H$135&amp;H$1&amp;"P"&amp;$A188)="N/A",0,RTD("tos.rtd",,$A$2,"."&amp;H$135&amp;H$1&amp;"P"&amp;$A188))</f>
        <v>0</v>
      </c>
      <c r="I188" s="91">
        <f ca="1">IF(RTD("tos.rtd",,$A$2,"."&amp;I$135&amp;I$1&amp;"C"&amp;$A188)="N/A",0,RTD("tos.rtd",,$A$2,"."&amp;I$135&amp;I$1&amp;"C"&amp;$A188))-IF(RTD("tos.rtd",,$A$2,"."&amp;I$135&amp;I$1&amp;"P"&amp;$A188)="N/A",0,RTD("tos.rtd",,$A$2,"."&amp;I$135&amp;I$1&amp;"P"&amp;$A188))</f>
        <v>1</v>
      </c>
      <c r="J188" s="91">
        <f ca="1">IF(RTD("tos.rtd",,$A$2,"."&amp;J$135&amp;J$1&amp;"C"&amp;$A188)="N/A",0,RTD("tos.rtd",,$A$2,"."&amp;J$135&amp;J$1&amp;"C"&amp;$A188))-IF(RTD("tos.rtd",,$A$2,"."&amp;J$135&amp;J$1&amp;"P"&amp;$A188)="N/A",0,RTD("tos.rtd",,$A$2,"."&amp;J$135&amp;J$1&amp;"P"&amp;$A188))</f>
        <v>0</v>
      </c>
      <c r="K188" s="91">
        <f ca="1">IF(RTD("tos.rtd",,$A$2,"."&amp;K$135&amp;K$1&amp;"C"&amp;$A188)="N/A",0,RTD("tos.rtd",,$A$2,"."&amp;K$135&amp;K$1&amp;"C"&amp;$A188))-IF(RTD("tos.rtd",,$A$2,"."&amp;K$135&amp;K$1&amp;"P"&amp;$A188)="N/A",0,RTD("tos.rtd",,$A$2,"."&amp;K$135&amp;K$1&amp;"P"&amp;$A188))</f>
        <v>0</v>
      </c>
      <c r="L188" s="91">
        <f ca="1">IF(RTD("tos.rtd",,$A$2,"."&amp;L$135&amp;L$1&amp;"C"&amp;$A188)="N/A",0,RTD("tos.rtd",,$A$2,"."&amp;L$135&amp;L$1&amp;"C"&amp;$A188))-IF(RTD("tos.rtd",,$A$2,"."&amp;L$135&amp;L$1&amp;"P"&amp;$A188)="N/A",0,RTD("tos.rtd",,$A$2,"."&amp;L$135&amp;L$1&amp;"P"&amp;$A188))</f>
        <v>1</v>
      </c>
      <c r="M188" s="91">
        <f ca="1">IF(RTD("tos.rtd",,$A$2,"."&amp;M$135&amp;M$1&amp;"C"&amp;$A188)="N/A",0,RTD("tos.rtd",,$A$2,"."&amp;M$135&amp;M$1&amp;"C"&amp;$A188))-IF(RTD("tos.rtd",,$A$2,"."&amp;M$135&amp;M$1&amp;"P"&amp;$A188)="N/A",0,RTD("tos.rtd",,$A$2,"."&amp;M$135&amp;M$1&amp;"P"&amp;$A188))</f>
        <v>-4</v>
      </c>
      <c r="N188" s="91">
        <f ca="1">IF(RTD("tos.rtd",,$A$2,"."&amp;N$135&amp;N$1&amp;"C"&amp;$A188)="N/A",0,RTD("tos.rtd",,$A$2,"."&amp;N$135&amp;N$1&amp;"C"&amp;$A188))-IF(RTD("tos.rtd",,$A$2,"."&amp;N$135&amp;N$1&amp;"P"&amp;$A188)="N/A",0,RTD("tos.rtd",,$A$2,"."&amp;N$135&amp;N$1&amp;"P"&amp;$A188))</f>
        <v>0</v>
      </c>
      <c r="O188" s="91">
        <f ca="1">IF(RTD("tos.rtd",,$A$2,"."&amp;O$135&amp;O$1&amp;"C"&amp;$A188)="N/A",0,RTD("tos.rtd",,$A$2,"."&amp;O$135&amp;O$1&amp;"C"&amp;$A188))-IF(RTD("tos.rtd",,$A$2,"."&amp;O$135&amp;O$1&amp;"P"&amp;$A188)="N/A",0,RTD("tos.rtd",,$A$2,"."&amp;O$135&amp;O$1&amp;"P"&amp;$A188))</f>
        <v>0</v>
      </c>
      <c r="P188" s="91">
        <f ca="1">IF(RTD("tos.rtd",,$A$2,"."&amp;P$135&amp;P$1&amp;"C"&amp;$A188)="N/A",0,RTD("tos.rtd",,$A$2,"."&amp;P$135&amp;P$1&amp;"C"&amp;$A188))-IF(RTD("tos.rtd",,$A$2,"."&amp;P$135&amp;P$1&amp;"P"&amp;$A188)="N/A",0,RTD("tos.rtd",,$A$2,"."&amp;P$135&amp;P$1&amp;"P"&amp;$A188))</f>
        <v>0</v>
      </c>
      <c r="Q188" s="91">
        <f ca="1">IF(RTD("tos.rtd",,$A$2,"."&amp;Q$135&amp;Q$1&amp;"C"&amp;$A188)="N/A",0,RTD("tos.rtd",,$A$2,"."&amp;Q$135&amp;Q$1&amp;"C"&amp;$A188))-IF(RTD("tos.rtd",,$A$2,"."&amp;Q$135&amp;Q$1&amp;"P"&amp;$A188)="N/A",0,RTD("tos.rtd",,$A$2,"."&amp;Q$135&amp;Q$1&amp;"P"&amp;$A188))</f>
        <v>51</v>
      </c>
      <c r="R188" s="91">
        <f ca="1">IF(RTD("tos.rtd",,$A$2,"."&amp;R$135&amp;R$1&amp;"C"&amp;$A188)="N/A",0,RTD("tos.rtd",,$A$2,"."&amp;R$135&amp;R$1&amp;"C"&amp;$A188))-IF(RTD("tos.rtd",,$A$2,"."&amp;R$135&amp;R$1&amp;"P"&amp;$A188)="N/A",0,RTD("tos.rtd",,$A$2,"."&amp;R$135&amp;R$1&amp;"P"&amp;$A188))</f>
        <v>3</v>
      </c>
      <c r="S188" s="91">
        <f ca="1">IF(RTD("tos.rtd",,$A$2,"."&amp;S$135&amp;S$1&amp;"C"&amp;$A188)="N/A",0,RTD("tos.rtd",,$A$2,"."&amp;S$135&amp;S$1&amp;"C"&amp;$A188))-IF(RTD("tos.rtd",,$A$2,"."&amp;S$135&amp;S$1&amp;"P"&amp;$A188)="N/A",0,RTD("tos.rtd",,$A$2,"."&amp;S$135&amp;S$1&amp;"P"&amp;$A188))</f>
        <v>0</v>
      </c>
      <c r="T188" s="91">
        <f ca="1">IF(RTD("tos.rtd",,$A$2,"."&amp;T$135&amp;T$1&amp;"C"&amp;$A188)="N/A",0,RTD("tos.rtd",,$A$2,"."&amp;T$135&amp;T$1&amp;"C"&amp;$A188))-IF(RTD("tos.rtd",,$A$2,"."&amp;T$135&amp;T$1&amp;"P"&amp;$A188)="N/A",0,RTD("tos.rtd",,$A$2,"."&amp;T$135&amp;T$1&amp;"P"&amp;$A188))</f>
        <v>0</v>
      </c>
      <c r="U188" s="91">
        <f ca="1">IF(RTD("tos.rtd",,$A$2,"."&amp;U$135&amp;U$1&amp;"C"&amp;$A188)="N/A",0,RTD("tos.rtd",,$A$2,"."&amp;U$135&amp;U$1&amp;"C"&amp;$A188))-IF(RTD("tos.rtd",,$A$2,"."&amp;U$135&amp;U$1&amp;"P"&amp;$A188)="N/A",0,RTD("tos.rtd",,$A$2,"."&amp;U$135&amp;U$1&amp;"P"&amp;$A188))</f>
        <v>0</v>
      </c>
      <c r="V188" s="91">
        <f ca="1">IF(RTD("tos.rtd",,$A$2,"."&amp;V$135&amp;V$1&amp;"C"&amp;$A188)="N/A",0,RTD("tos.rtd",,$A$2,"."&amp;V$135&amp;V$1&amp;"C"&amp;$A188))-IF(RTD("tos.rtd",,$A$2,"."&amp;V$135&amp;V$1&amp;"P"&amp;$A188)="N/A",0,RTD("tos.rtd",,$A$2,"."&amp;V$135&amp;V$1&amp;"P"&amp;$A188))</f>
        <v>0</v>
      </c>
      <c r="W188" s="91">
        <f ca="1">IF(RTD("tos.rtd",,$A$2,"."&amp;W$135&amp;W$1&amp;"C"&amp;$A188)="N/A",0,RTD("tos.rtd",,$A$2,"."&amp;W$135&amp;W$1&amp;"C"&amp;$A188))-IF(RTD("tos.rtd",,$A$2,"."&amp;W$135&amp;W$1&amp;"P"&amp;$A188)="N/A",0,RTD("tos.rtd",,$A$2,"."&amp;W$135&amp;W$1&amp;"P"&amp;$A188))</f>
        <v>0</v>
      </c>
      <c r="X188" s="91">
        <f ca="1">IF(RTD("tos.rtd",,$A$2,"."&amp;X$135&amp;X$1&amp;"C"&amp;$A188)="N/A",0,RTD("tos.rtd",,$A$2,"."&amp;X$135&amp;X$1&amp;"C"&amp;$A188))-IF(RTD("tos.rtd",,$A$2,"."&amp;X$135&amp;X$1&amp;"P"&amp;$A188)="N/A",0,RTD("tos.rtd",,$A$2,"."&amp;X$135&amp;X$1&amp;"P"&amp;$A188))</f>
        <v>0</v>
      </c>
      <c r="Y188" s="98">
        <f t="shared" ca="1" si="13"/>
        <v>52</v>
      </c>
      <c r="Z188" s="91"/>
      <c r="AA188" s="91"/>
    </row>
    <row r="189" spans="1:27" x14ac:dyDescent="0.25">
      <c r="A189" s="93">
        <f>+Hoja1!A188</f>
        <v>20075</v>
      </c>
      <c r="B189" s="91">
        <f ca="1">IF(RTD("tos.rtd",,$A$2,"."&amp;B$135&amp;B$1&amp;"C"&amp;$A189)="N/A",0,RTD("tos.rtd",,$A$2,"."&amp;B$135&amp;B$1&amp;"C"&amp;$A189))-IF(RTD("tos.rtd",,$A$2,"."&amp;B$135&amp;B$1&amp;"P"&amp;$A189)="N/A",0,RTD("tos.rtd",,$A$2,"."&amp;B$135&amp;B$1&amp;"P"&amp;$A189))</f>
        <v>0</v>
      </c>
      <c r="C189" s="91">
        <f ca="1">IF(RTD("tos.rtd",,$A$2,"."&amp;C$135&amp;C$1&amp;"C"&amp;$A189)="N/A",0,RTD("tos.rtd",,$A$2,"."&amp;C$135&amp;C$1&amp;"C"&amp;$A189))-IF(RTD("tos.rtd",,$A$2,"."&amp;C$135&amp;C$1&amp;"P"&amp;$A189)="N/A",0,RTD("tos.rtd",,$A$2,"."&amp;C$135&amp;C$1&amp;"P"&amp;$A189))</f>
        <v>0</v>
      </c>
      <c r="D189" s="91">
        <f ca="1">IF(RTD("tos.rtd",,$A$2,"."&amp;D$135&amp;D$1&amp;"C"&amp;$A189)="N/A",0,RTD("tos.rtd",,$A$2,"."&amp;D$135&amp;D$1&amp;"C"&amp;$A189))-IF(RTD("tos.rtd",,$A$2,"."&amp;D$135&amp;D$1&amp;"P"&amp;$A189)="N/A",0,RTD("tos.rtd",,$A$2,"."&amp;D$135&amp;D$1&amp;"P"&amp;$A189))</f>
        <v>0</v>
      </c>
      <c r="E189" s="91">
        <f ca="1">IF(RTD("tos.rtd",,$A$2,"."&amp;E$135&amp;E$1&amp;"C"&amp;$A189)="N/A",0,RTD("tos.rtd",,$A$2,"."&amp;E$135&amp;E$1&amp;"C"&amp;$A189))-IF(RTD("tos.rtd",,$A$2,"."&amp;E$135&amp;E$1&amp;"P"&amp;$A189)="N/A",0,RTD("tos.rtd",,$A$2,"."&amp;E$135&amp;E$1&amp;"P"&amp;$A189))</f>
        <v>0</v>
      </c>
      <c r="F189" s="91">
        <f ca="1">IF(RTD("tos.rtd",,$A$2,"."&amp;F$135&amp;F$1&amp;"C"&amp;$A189)="N/A",0,RTD("tos.rtd",,$A$2,"."&amp;F$135&amp;F$1&amp;"C"&amp;$A189))-IF(RTD("tos.rtd",,$A$2,"."&amp;F$135&amp;F$1&amp;"P"&amp;$A189)="N/A",0,RTD("tos.rtd",,$A$2,"."&amp;F$135&amp;F$1&amp;"P"&amp;$A189))</f>
        <v>0</v>
      </c>
      <c r="G189" s="91">
        <f ca="1">IF(RTD("tos.rtd",,$A$2,"."&amp;G$135&amp;G$1&amp;"C"&amp;$A189)="N/A",0,RTD("tos.rtd",,$A$2,"."&amp;G$135&amp;G$1&amp;"C"&amp;$A189))-IF(RTD("tos.rtd",,$A$2,"."&amp;G$135&amp;G$1&amp;"P"&amp;$A189)="N/A",0,RTD("tos.rtd",,$A$2,"."&amp;G$135&amp;G$1&amp;"P"&amp;$A189))</f>
        <v>0</v>
      </c>
      <c r="H189" s="91">
        <f ca="1">IF(RTD("tos.rtd",,$A$2,"."&amp;H$135&amp;H$1&amp;"C"&amp;$A189)="N/A",0,RTD("tos.rtd",,$A$2,"."&amp;H$135&amp;H$1&amp;"C"&amp;$A189))-IF(RTD("tos.rtd",,$A$2,"."&amp;H$135&amp;H$1&amp;"P"&amp;$A189)="N/A",0,RTD("tos.rtd",,$A$2,"."&amp;H$135&amp;H$1&amp;"P"&amp;$A189))</f>
        <v>0</v>
      </c>
      <c r="I189" s="91">
        <f ca="1">IF(RTD("tos.rtd",,$A$2,"."&amp;I$135&amp;I$1&amp;"C"&amp;$A189)="N/A",0,RTD("tos.rtd",,$A$2,"."&amp;I$135&amp;I$1&amp;"C"&amp;$A189))-IF(RTD("tos.rtd",,$A$2,"."&amp;I$135&amp;I$1&amp;"P"&amp;$A189)="N/A",0,RTD("tos.rtd",,$A$2,"."&amp;I$135&amp;I$1&amp;"P"&amp;$A189))</f>
        <v>0</v>
      </c>
      <c r="J189" s="91">
        <f ca="1">IF(RTD("tos.rtd",,$A$2,"."&amp;J$135&amp;J$1&amp;"C"&amp;$A189)="N/A",0,RTD("tos.rtd",,$A$2,"."&amp;J$135&amp;J$1&amp;"C"&amp;$A189))-IF(RTD("tos.rtd",,$A$2,"."&amp;J$135&amp;J$1&amp;"P"&amp;$A189)="N/A",0,RTD("tos.rtd",,$A$2,"."&amp;J$135&amp;J$1&amp;"P"&amp;$A189))</f>
        <v>0</v>
      </c>
      <c r="K189" s="91">
        <f ca="1">IF(RTD("tos.rtd",,$A$2,"."&amp;K$135&amp;K$1&amp;"C"&amp;$A189)="N/A",0,RTD("tos.rtd",,$A$2,"."&amp;K$135&amp;K$1&amp;"C"&amp;$A189))-IF(RTD("tos.rtd",,$A$2,"."&amp;K$135&amp;K$1&amp;"P"&amp;$A189)="N/A",0,RTD("tos.rtd",,$A$2,"."&amp;K$135&amp;K$1&amp;"P"&amp;$A189))</f>
        <v>0</v>
      </c>
      <c r="L189" s="91">
        <f ca="1">IF(RTD("tos.rtd",,$A$2,"."&amp;L$135&amp;L$1&amp;"C"&amp;$A189)="N/A",0,RTD("tos.rtd",,$A$2,"."&amp;L$135&amp;L$1&amp;"C"&amp;$A189))-IF(RTD("tos.rtd",,$A$2,"."&amp;L$135&amp;L$1&amp;"P"&amp;$A189)="N/A",0,RTD("tos.rtd",,$A$2,"."&amp;L$135&amp;L$1&amp;"P"&amp;$A189))</f>
        <v>0</v>
      </c>
      <c r="M189" s="91">
        <f ca="1">IF(RTD("tos.rtd",,$A$2,"."&amp;M$135&amp;M$1&amp;"C"&amp;$A189)="N/A",0,RTD("tos.rtd",,$A$2,"."&amp;M$135&amp;M$1&amp;"C"&amp;$A189))-IF(RTD("tos.rtd",,$A$2,"."&amp;M$135&amp;M$1&amp;"P"&amp;$A189)="N/A",0,RTD("tos.rtd",,$A$2,"."&amp;M$135&amp;M$1&amp;"P"&amp;$A189))</f>
        <v>0</v>
      </c>
      <c r="N189" s="91">
        <f ca="1">IF(RTD("tos.rtd",,$A$2,"."&amp;N$135&amp;N$1&amp;"C"&amp;$A189)="N/A",0,RTD("tos.rtd",,$A$2,"."&amp;N$135&amp;N$1&amp;"C"&amp;$A189))-IF(RTD("tos.rtd",,$A$2,"."&amp;N$135&amp;N$1&amp;"P"&amp;$A189)="N/A",0,RTD("tos.rtd",,$A$2,"."&amp;N$135&amp;N$1&amp;"P"&amp;$A189))</f>
        <v>0</v>
      </c>
      <c r="O189" s="91">
        <f ca="1">IF(RTD("tos.rtd",,$A$2,"."&amp;O$135&amp;O$1&amp;"C"&amp;$A189)="N/A",0,RTD("tos.rtd",,$A$2,"."&amp;O$135&amp;O$1&amp;"C"&amp;$A189))-IF(RTD("tos.rtd",,$A$2,"."&amp;O$135&amp;O$1&amp;"P"&amp;$A189)="N/A",0,RTD("tos.rtd",,$A$2,"."&amp;O$135&amp;O$1&amp;"P"&amp;$A189))</f>
        <v>0</v>
      </c>
      <c r="P189" s="91">
        <f ca="1">IF(RTD("tos.rtd",,$A$2,"."&amp;P$135&amp;P$1&amp;"C"&amp;$A189)="N/A",0,RTD("tos.rtd",,$A$2,"."&amp;P$135&amp;P$1&amp;"C"&amp;$A189))-IF(RTD("tos.rtd",,$A$2,"."&amp;P$135&amp;P$1&amp;"P"&amp;$A189)="N/A",0,RTD("tos.rtd",,$A$2,"."&amp;P$135&amp;P$1&amp;"P"&amp;$A189))</f>
        <v>0</v>
      </c>
      <c r="Q189" s="91">
        <f ca="1">IF(RTD("tos.rtd",,$A$2,"."&amp;Q$135&amp;Q$1&amp;"C"&amp;$A189)="N/A",0,RTD("tos.rtd",,$A$2,"."&amp;Q$135&amp;Q$1&amp;"C"&amp;$A189))-IF(RTD("tos.rtd",,$A$2,"."&amp;Q$135&amp;Q$1&amp;"P"&amp;$A189)="N/A",0,RTD("tos.rtd",,$A$2,"."&amp;Q$135&amp;Q$1&amp;"P"&amp;$A189))</f>
        <v>0</v>
      </c>
      <c r="R189" s="91">
        <f ca="1">IF(RTD("tos.rtd",,$A$2,"."&amp;R$135&amp;R$1&amp;"C"&amp;$A189)="N/A",0,RTD("tos.rtd",,$A$2,"."&amp;R$135&amp;R$1&amp;"C"&amp;$A189))-IF(RTD("tos.rtd",,$A$2,"."&amp;R$135&amp;R$1&amp;"P"&amp;$A189)="N/A",0,RTD("tos.rtd",,$A$2,"."&amp;R$135&amp;R$1&amp;"P"&amp;$A189))</f>
        <v>0</v>
      </c>
      <c r="S189" s="91">
        <f ca="1">IF(RTD("tos.rtd",,$A$2,"."&amp;S$135&amp;S$1&amp;"C"&amp;$A189)="N/A",0,RTD("tos.rtd",,$A$2,"."&amp;S$135&amp;S$1&amp;"C"&amp;$A189))-IF(RTD("tos.rtd",,$A$2,"."&amp;S$135&amp;S$1&amp;"P"&amp;$A189)="N/A",0,RTD("tos.rtd",,$A$2,"."&amp;S$135&amp;S$1&amp;"P"&amp;$A189))</f>
        <v>0</v>
      </c>
      <c r="T189" s="91">
        <f ca="1">IF(RTD("tos.rtd",,$A$2,"."&amp;T$135&amp;T$1&amp;"C"&amp;$A189)="N/A",0,RTD("tos.rtd",,$A$2,"."&amp;T$135&amp;T$1&amp;"C"&amp;$A189))-IF(RTD("tos.rtd",,$A$2,"."&amp;T$135&amp;T$1&amp;"P"&amp;$A189)="N/A",0,RTD("tos.rtd",,$A$2,"."&amp;T$135&amp;T$1&amp;"P"&amp;$A189))</f>
        <v>0</v>
      </c>
      <c r="U189" s="91">
        <f ca="1">IF(RTD("tos.rtd",,$A$2,"."&amp;U$135&amp;U$1&amp;"C"&amp;$A189)="N/A",0,RTD("tos.rtd",,$A$2,"."&amp;U$135&amp;U$1&amp;"C"&amp;$A189))-IF(RTD("tos.rtd",,$A$2,"."&amp;U$135&amp;U$1&amp;"P"&amp;$A189)="N/A",0,RTD("tos.rtd",,$A$2,"."&amp;U$135&amp;U$1&amp;"P"&amp;$A189))</f>
        <v>0</v>
      </c>
      <c r="V189" s="91">
        <f ca="1">IF(RTD("tos.rtd",,$A$2,"."&amp;V$135&amp;V$1&amp;"C"&amp;$A189)="N/A",0,RTD("tos.rtd",,$A$2,"."&amp;V$135&amp;V$1&amp;"C"&amp;$A189))-IF(RTD("tos.rtd",,$A$2,"."&amp;V$135&amp;V$1&amp;"P"&amp;$A189)="N/A",0,RTD("tos.rtd",,$A$2,"."&amp;V$135&amp;V$1&amp;"P"&amp;$A189))</f>
        <v>0</v>
      </c>
      <c r="W189" s="91">
        <f ca="1">IF(RTD("tos.rtd",,$A$2,"."&amp;W$135&amp;W$1&amp;"C"&amp;$A189)="N/A",0,RTD("tos.rtd",,$A$2,"."&amp;W$135&amp;W$1&amp;"C"&amp;$A189))-IF(RTD("tos.rtd",,$A$2,"."&amp;W$135&amp;W$1&amp;"P"&amp;$A189)="N/A",0,RTD("tos.rtd",,$A$2,"."&amp;W$135&amp;W$1&amp;"P"&amp;$A189))</f>
        <v>0</v>
      </c>
      <c r="X189" s="91">
        <f ca="1">IF(RTD("tos.rtd",,$A$2,"."&amp;X$135&amp;X$1&amp;"C"&amp;$A189)="N/A",0,RTD("tos.rtd",,$A$2,"."&amp;X$135&amp;X$1&amp;"C"&amp;$A189))-IF(RTD("tos.rtd",,$A$2,"."&amp;X$135&amp;X$1&amp;"P"&amp;$A189)="N/A",0,RTD("tos.rtd",,$A$2,"."&amp;X$135&amp;X$1&amp;"P"&amp;$A189))</f>
        <v>0</v>
      </c>
      <c r="Y189" s="98">
        <f t="shared" ca="1" si="13"/>
        <v>0</v>
      </c>
      <c r="Z189" s="91"/>
      <c r="AA189" s="91"/>
    </row>
    <row r="190" spans="1:27" x14ac:dyDescent="0.25">
      <c r="A190" s="93">
        <f>+Hoja1!A189</f>
        <v>20050</v>
      </c>
      <c r="B190" s="91">
        <f ca="1">IF(RTD("tos.rtd",,$A$2,"."&amp;B$135&amp;B$1&amp;"C"&amp;$A190)="N/A",0,RTD("tos.rtd",,$A$2,"."&amp;B$135&amp;B$1&amp;"C"&amp;$A190))-IF(RTD("tos.rtd",,$A$2,"."&amp;B$135&amp;B$1&amp;"P"&amp;$A190)="N/A",0,RTD("tos.rtd",,$A$2,"."&amp;B$135&amp;B$1&amp;"P"&amp;$A190))</f>
        <v>0</v>
      </c>
      <c r="C190" s="91">
        <f ca="1">IF(RTD("tos.rtd",,$A$2,"."&amp;C$135&amp;C$1&amp;"C"&amp;$A190)="N/A",0,RTD("tos.rtd",,$A$2,"."&amp;C$135&amp;C$1&amp;"C"&amp;$A190))-IF(RTD("tos.rtd",,$A$2,"."&amp;C$135&amp;C$1&amp;"P"&amp;$A190)="N/A",0,RTD("tos.rtd",,$A$2,"."&amp;C$135&amp;C$1&amp;"P"&amp;$A190))</f>
        <v>0</v>
      </c>
      <c r="D190" s="91">
        <f ca="1">IF(RTD("tos.rtd",,$A$2,"."&amp;D$135&amp;D$1&amp;"C"&amp;$A190)="N/A",0,RTD("tos.rtd",,$A$2,"."&amp;D$135&amp;D$1&amp;"C"&amp;$A190))-IF(RTD("tos.rtd",,$A$2,"."&amp;D$135&amp;D$1&amp;"P"&amp;$A190)="N/A",0,RTD("tos.rtd",,$A$2,"."&amp;D$135&amp;D$1&amp;"P"&amp;$A190))</f>
        <v>0</v>
      </c>
      <c r="E190" s="91">
        <f ca="1">IF(RTD("tos.rtd",,$A$2,"."&amp;E$135&amp;E$1&amp;"C"&amp;$A190)="N/A",0,RTD("tos.rtd",,$A$2,"."&amp;E$135&amp;E$1&amp;"C"&amp;$A190))-IF(RTD("tos.rtd",,$A$2,"."&amp;E$135&amp;E$1&amp;"P"&amp;$A190)="N/A",0,RTD("tos.rtd",,$A$2,"."&amp;E$135&amp;E$1&amp;"P"&amp;$A190))</f>
        <v>0</v>
      </c>
      <c r="F190" s="91">
        <f ca="1">IF(RTD("tos.rtd",,$A$2,"."&amp;F$135&amp;F$1&amp;"C"&amp;$A190)="N/A",0,RTD("tos.rtd",,$A$2,"."&amp;F$135&amp;F$1&amp;"C"&amp;$A190))-IF(RTD("tos.rtd",,$A$2,"."&amp;F$135&amp;F$1&amp;"P"&amp;$A190)="N/A",0,RTD("tos.rtd",,$A$2,"."&amp;F$135&amp;F$1&amp;"P"&amp;$A190))</f>
        <v>0</v>
      </c>
      <c r="G190" s="91">
        <f ca="1">IF(RTD("tos.rtd",,$A$2,"."&amp;G$135&amp;G$1&amp;"C"&amp;$A190)="N/A",0,RTD("tos.rtd",,$A$2,"."&amp;G$135&amp;G$1&amp;"C"&amp;$A190))-IF(RTD("tos.rtd",,$A$2,"."&amp;G$135&amp;G$1&amp;"P"&amp;$A190)="N/A",0,RTD("tos.rtd",,$A$2,"."&amp;G$135&amp;G$1&amp;"P"&amp;$A190))</f>
        <v>0</v>
      </c>
      <c r="H190" s="91">
        <f ca="1">IF(RTD("tos.rtd",,$A$2,"."&amp;H$135&amp;H$1&amp;"C"&amp;$A190)="N/A",0,RTD("tos.rtd",,$A$2,"."&amp;H$135&amp;H$1&amp;"C"&amp;$A190))-IF(RTD("tos.rtd",,$A$2,"."&amp;H$135&amp;H$1&amp;"P"&amp;$A190)="N/A",0,RTD("tos.rtd",,$A$2,"."&amp;H$135&amp;H$1&amp;"P"&amp;$A190))</f>
        <v>0</v>
      </c>
      <c r="I190" s="91">
        <f ca="1">IF(RTD("tos.rtd",,$A$2,"."&amp;I$135&amp;I$1&amp;"C"&amp;$A190)="N/A",0,RTD("tos.rtd",,$A$2,"."&amp;I$135&amp;I$1&amp;"C"&amp;$A190))-IF(RTD("tos.rtd",,$A$2,"."&amp;I$135&amp;I$1&amp;"P"&amp;$A190)="N/A",0,RTD("tos.rtd",,$A$2,"."&amp;I$135&amp;I$1&amp;"P"&amp;$A190))</f>
        <v>0</v>
      </c>
      <c r="J190" s="91">
        <f ca="1">IF(RTD("tos.rtd",,$A$2,"."&amp;J$135&amp;J$1&amp;"C"&amp;$A190)="N/A",0,RTD("tos.rtd",,$A$2,"."&amp;J$135&amp;J$1&amp;"C"&amp;$A190))-IF(RTD("tos.rtd",,$A$2,"."&amp;J$135&amp;J$1&amp;"P"&amp;$A190)="N/A",0,RTD("tos.rtd",,$A$2,"."&amp;J$135&amp;J$1&amp;"P"&amp;$A190))</f>
        <v>0</v>
      </c>
      <c r="K190" s="91">
        <f ca="1">IF(RTD("tos.rtd",,$A$2,"."&amp;K$135&amp;K$1&amp;"C"&amp;$A190)="N/A",0,RTD("tos.rtd",,$A$2,"."&amp;K$135&amp;K$1&amp;"C"&amp;$A190))-IF(RTD("tos.rtd",,$A$2,"."&amp;K$135&amp;K$1&amp;"P"&amp;$A190)="N/A",0,RTD("tos.rtd",,$A$2,"."&amp;K$135&amp;K$1&amp;"P"&amp;$A190))</f>
        <v>0</v>
      </c>
      <c r="L190" s="91">
        <f ca="1">IF(RTD("tos.rtd",,$A$2,"."&amp;L$135&amp;L$1&amp;"C"&amp;$A190)="N/A",0,RTD("tos.rtd",,$A$2,"."&amp;L$135&amp;L$1&amp;"C"&amp;$A190))-IF(RTD("tos.rtd",,$A$2,"."&amp;L$135&amp;L$1&amp;"P"&amp;$A190)="N/A",0,RTD("tos.rtd",,$A$2,"."&amp;L$135&amp;L$1&amp;"P"&amp;$A190))</f>
        <v>0</v>
      </c>
      <c r="M190" s="91">
        <f ca="1">IF(RTD("tos.rtd",,$A$2,"."&amp;M$135&amp;M$1&amp;"C"&amp;$A190)="N/A",0,RTD("tos.rtd",,$A$2,"."&amp;M$135&amp;M$1&amp;"C"&amp;$A190))-IF(RTD("tos.rtd",,$A$2,"."&amp;M$135&amp;M$1&amp;"P"&amp;$A190)="N/A",0,RTD("tos.rtd",,$A$2,"."&amp;M$135&amp;M$1&amp;"P"&amp;$A190))</f>
        <v>0</v>
      </c>
      <c r="N190" s="91">
        <f ca="1">IF(RTD("tos.rtd",,$A$2,"."&amp;N$135&amp;N$1&amp;"C"&amp;$A190)="N/A",0,RTD("tos.rtd",,$A$2,"."&amp;N$135&amp;N$1&amp;"C"&amp;$A190))-IF(RTD("tos.rtd",,$A$2,"."&amp;N$135&amp;N$1&amp;"P"&amp;$A190)="N/A",0,RTD("tos.rtd",,$A$2,"."&amp;N$135&amp;N$1&amp;"P"&amp;$A190))</f>
        <v>0</v>
      </c>
      <c r="O190" s="91">
        <f ca="1">IF(RTD("tos.rtd",,$A$2,"."&amp;O$135&amp;O$1&amp;"C"&amp;$A190)="N/A",0,RTD("tos.rtd",,$A$2,"."&amp;O$135&amp;O$1&amp;"C"&amp;$A190))-IF(RTD("tos.rtd",,$A$2,"."&amp;O$135&amp;O$1&amp;"P"&amp;$A190)="N/A",0,RTD("tos.rtd",,$A$2,"."&amp;O$135&amp;O$1&amp;"P"&amp;$A190))</f>
        <v>0</v>
      </c>
      <c r="P190" s="91">
        <f ca="1">IF(RTD("tos.rtd",,$A$2,"."&amp;P$135&amp;P$1&amp;"C"&amp;$A190)="N/A",0,RTD("tos.rtd",,$A$2,"."&amp;P$135&amp;P$1&amp;"C"&amp;$A190))-IF(RTD("tos.rtd",,$A$2,"."&amp;P$135&amp;P$1&amp;"P"&amp;$A190)="N/A",0,RTD("tos.rtd",,$A$2,"."&amp;P$135&amp;P$1&amp;"P"&amp;$A190))</f>
        <v>0</v>
      </c>
      <c r="Q190" s="91">
        <f ca="1">IF(RTD("tos.rtd",,$A$2,"."&amp;Q$135&amp;Q$1&amp;"C"&amp;$A190)="N/A",0,RTD("tos.rtd",,$A$2,"."&amp;Q$135&amp;Q$1&amp;"C"&amp;$A190))-IF(RTD("tos.rtd",,$A$2,"."&amp;Q$135&amp;Q$1&amp;"P"&amp;$A190)="N/A",0,RTD("tos.rtd",,$A$2,"."&amp;Q$135&amp;Q$1&amp;"P"&amp;$A190))</f>
        <v>0</v>
      </c>
      <c r="R190" s="91">
        <f ca="1">IF(RTD("tos.rtd",,$A$2,"."&amp;R$135&amp;R$1&amp;"C"&amp;$A190)="N/A",0,RTD("tos.rtd",,$A$2,"."&amp;R$135&amp;R$1&amp;"C"&amp;$A190))-IF(RTD("tos.rtd",,$A$2,"."&amp;R$135&amp;R$1&amp;"P"&amp;$A190)="N/A",0,RTD("tos.rtd",,$A$2,"."&amp;R$135&amp;R$1&amp;"P"&amp;$A190))</f>
        <v>0</v>
      </c>
      <c r="S190" s="91">
        <f ca="1">IF(RTD("tos.rtd",,$A$2,"."&amp;S$135&amp;S$1&amp;"C"&amp;$A190)="N/A",0,RTD("tos.rtd",,$A$2,"."&amp;S$135&amp;S$1&amp;"C"&amp;$A190))-IF(RTD("tos.rtd",,$A$2,"."&amp;S$135&amp;S$1&amp;"P"&amp;$A190)="N/A",0,RTD("tos.rtd",,$A$2,"."&amp;S$135&amp;S$1&amp;"P"&amp;$A190))</f>
        <v>0</v>
      </c>
      <c r="T190" s="91">
        <f ca="1">IF(RTD("tos.rtd",,$A$2,"."&amp;T$135&amp;T$1&amp;"C"&amp;$A190)="N/A",0,RTD("tos.rtd",,$A$2,"."&amp;T$135&amp;T$1&amp;"C"&amp;$A190))-IF(RTD("tos.rtd",,$A$2,"."&amp;T$135&amp;T$1&amp;"P"&amp;$A190)="N/A",0,RTD("tos.rtd",,$A$2,"."&amp;T$135&amp;T$1&amp;"P"&amp;$A190))</f>
        <v>0</v>
      </c>
      <c r="U190" s="91">
        <f ca="1">IF(RTD("tos.rtd",,$A$2,"."&amp;U$135&amp;U$1&amp;"C"&amp;$A190)="N/A",0,RTD("tos.rtd",,$A$2,"."&amp;U$135&amp;U$1&amp;"C"&amp;$A190))-IF(RTD("tos.rtd",,$A$2,"."&amp;U$135&amp;U$1&amp;"P"&amp;$A190)="N/A",0,RTD("tos.rtd",,$A$2,"."&amp;U$135&amp;U$1&amp;"P"&amp;$A190))</f>
        <v>0</v>
      </c>
      <c r="V190" s="91">
        <f ca="1">IF(RTD("tos.rtd",,$A$2,"."&amp;V$135&amp;V$1&amp;"C"&amp;$A190)="N/A",0,RTD("tos.rtd",,$A$2,"."&amp;V$135&amp;V$1&amp;"C"&amp;$A190))-IF(RTD("tos.rtd",,$A$2,"."&amp;V$135&amp;V$1&amp;"P"&amp;$A190)="N/A",0,RTD("tos.rtd",,$A$2,"."&amp;V$135&amp;V$1&amp;"P"&amp;$A190))</f>
        <v>0</v>
      </c>
      <c r="W190" s="91">
        <f ca="1">IF(RTD("tos.rtd",,$A$2,"."&amp;W$135&amp;W$1&amp;"C"&amp;$A190)="N/A",0,RTD("tos.rtd",,$A$2,"."&amp;W$135&amp;W$1&amp;"C"&amp;$A190))-IF(RTD("tos.rtd",,$A$2,"."&amp;W$135&amp;W$1&amp;"P"&amp;$A190)="N/A",0,RTD("tos.rtd",,$A$2,"."&amp;W$135&amp;W$1&amp;"P"&amp;$A190))</f>
        <v>0</v>
      </c>
      <c r="X190" s="91">
        <f ca="1">IF(RTD("tos.rtd",,$A$2,"."&amp;X$135&amp;X$1&amp;"C"&amp;$A190)="N/A",0,RTD("tos.rtd",,$A$2,"."&amp;X$135&amp;X$1&amp;"C"&amp;$A190))-IF(RTD("tos.rtd",,$A$2,"."&amp;X$135&amp;X$1&amp;"P"&amp;$A190)="N/A",0,RTD("tos.rtd",,$A$2,"."&amp;X$135&amp;X$1&amp;"P"&amp;$A190))</f>
        <v>0</v>
      </c>
      <c r="Y190" s="98">
        <f t="shared" ca="1" si="13"/>
        <v>0</v>
      </c>
      <c r="Z190" s="91"/>
      <c r="AA190" s="91"/>
    </row>
  </sheetData>
  <conditionalFormatting sqref="Y5:Y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{ACE85CF4-896F-49F0-881A-8C4A8DE47A60}</x14:id>
        </ext>
      </extLst>
    </cfRule>
  </conditionalFormatting>
  <conditionalFormatting sqref="Y46:Y8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{B161C68F-6B4A-407B-BA0A-1F28BFDB1E1E}</x14:id>
        </ext>
      </extLst>
    </cfRule>
  </conditionalFormatting>
  <conditionalFormatting sqref="Y86:Y13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{9700F8F5-0916-40F1-86D3-AE0B5AA2D92F}</x14:id>
        </ext>
      </extLst>
    </cfRule>
  </conditionalFormatting>
  <conditionalFormatting sqref="Y138:Y19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{659DE2BF-8AD3-4F5C-9B32-3879E9CB2192}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E85CF4-896F-49F0-881A-8C4A8DE47A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Y5:Y39</xm:sqref>
        </x14:conditionalFormatting>
        <x14:conditionalFormatting xmlns:xm="http://schemas.microsoft.com/office/excel/2006/main">
          <x14:cfRule type="dataBar" id="{B161C68F-6B4A-407B-BA0A-1F28BFDB1E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Y46:Y80</xm:sqref>
        </x14:conditionalFormatting>
        <x14:conditionalFormatting xmlns:xm="http://schemas.microsoft.com/office/excel/2006/main">
          <x14:cfRule type="dataBar" id="{9700F8F5-0916-40F1-86D3-AE0B5AA2D9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Y86:Y131</xm:sqref>
        </x14:conditionalFormatting>
        <x14:conditionalFormatting xmlns:xm="http://schemas.microsoft.com/office/excel/2006/main">
          <x14:cfRule type="dataBar" id="{659DE2BF-8AD3-4F5C-9B32-3879E9CB21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Y138:Y190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2024-08-10T16:05:50Z</dcterms:created>
  <dcterms:modified xsi:type="dcterms:W3CDTF">2025-05-12T20:16:00Z</dcterms:modified>
</cp:coreProperties>
</file>